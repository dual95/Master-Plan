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1.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P" sheetId="1" r:id="rId4"/>
    <sheet state="visible" name="MASTER PLAN" sheetId="2" r:id="rId5"/>
    <sheet state="visible" name="PROCESOS PRD" sheetId="3" r:id="rId6"/>
    <sheet state="visible" name="PLAN P3" sheetId="4" r:id="rId7"/>
    <sheet state="visible" name="PLAN P2" sheetId="5" r:id="rId8"/>
    <sheet state="visible" name="DASHBOARD" sheetId="6" r:id="rId9"/>
    <sheet state="visible" name="REFERENCIAS" sheetId="7" r:id="rId10"/>
  </sheets>
  <definedNames>
    <definedName hidden="1" localSheetId="2" name="_xlnm._FilterDatabase">'PROCESOS PRD'!$B$2:$Q$107</definedName>
    <definedName hidden="1" localSheetId="1" name="Z_B4FFDF87_16C3_483D_A8B3_FE09960C6A3D_.wvu.FilterData">'MASTER PLAN'!$A$1:$AA$58</definedName>
    <definedName hidden="1" localSheetId="4" name="Z_B4FFDF87_16C3_483D_A8B3_FE09960C6A3D_.wvu.FilterData">'PLAN P2'!$D$27:$M$1203</definedName>
    <definedName hidden="1" localSheetId="4" name="Z_B4FFDF87_16C3_483D_A8B3_FE09960C6A3D_.wvu.FilterData">'PLAN P2'!$D$27:$M$1203</definedName>
    <definedName hidden="1" localSheetId="5" name="Z_B4FFDF87_16C3_483D_A8B3_FE09960C6A3D_.wvu.FilterData">DASHBOARD!$D$5:$E$6</definedName>
    <definedName hidden="1" localSheetId="4" name="Z_D19056F8_E614_47AF_9B87_717BE2A9A417_.wvu.FilterData">'PLAN P2'!$D$27:$M$1203</definedName>
    <definedName hidden="1" localSheetId="5" name="Z_D19056F8_E614_47AF_9B87_717BE2A9A417_.wvu.FilterData">DASHBOARD!$B$4:$F$53</definedName>
    <definedName name="SlicerCache_Table_9_Col_2">#N/A</definedName>
  </definedNames>
  <calcPr/>
  <customWorkbookViews>
    <customWorkbookView activeSheetId="0" maximized="1" windowHeight="0" windowWidth="0" guid="{B4FFDF87-16C3-483D-A8B3-FE09960C6A3D}" name="Filtro 1"/>
    <customWorkbookView activeSheetId="0" maximized="1" windowHeight="0" windowWidth="0" guid="{D19056F8-E614-47AF-9B87-717BE2A9A417}" name="Filtro 2"/>
  </customWorkbookViews>
  <pivotCaches>
    <pivotCache cacheId="0" r:id="rId11"/>
  </pivotCaches>
  <extLst>
    <ext uri="GoogleSheetsCustomDataVersion2">
      <go:sheetsCustomData xmlns:go="http://customooxmlschemas.google.com/" r:id="rId13" roundtripDataChecksum="LprW/AW4y/yCdVvUGQ+7RJ8gW4JwGg4JjuKhTzx2s+k="/>
    </ext>
    <ext uri="{46BE6895-7355-4a93-B00E-2C351335B9C9}">
      <x15:slicerCaches>
        <x14:slicerCache r:id="rId12"/>
      </x15:slicerCaches>
    </ext>
  </extLst>
</workbook>
</file>

<file path=xl/sharedStrings.xml><?xml version="1.0" encoding="utf-8"?>
<sst xmlns="http://schemas.openxmlformats.org/spreadsheetml/2006/main" count="4824" uniqueCount="330">
  <si>
    <t>CLIENTE</t>
  </si>
  <si>
    <t>PEDIDO (14)</t>
  </si>
  <si>
    <t>POSICIÓN</t>
  </si>
  <si>
    <t>MATERIAL</t>
  </si>
  <si>
    <t>PROYECTO</t>
  </si>
  <si>
    <t>CANTIDAD</t>
  </si>
  <si>
    <t>TOTAL</t>
  </si>
  <si>
    <t>FECHA PEDIDO</t>
  </si>
  <si>
    <t>FECHA REQUERIDO</t>
  </si>
  <si>
    <t>PEDIDO CLIENTE</t>
  </si>
  <si>
    <t>PO_ID</t>
  </si>
  <si>
    <t>BUFKOR INC-</t>
  </si>
  <si>
    <t>BOLSA ROGERS ENTERPRISES 10"X4"X7-75"</t>
  </si>
  <si>
    <t>BOLSA MAUI DIVERS 8"x5"x8"</t>
  </si>
  <si>
    <t>CHIPPENHOOK</t>
  </si>
  <si>
    <t>BOLSA FRED MEYER 4-5"x3"x5-5"</t>
  </si>
  <si>
    <t>BOLSA FRED MEYER 10"x4"x8"</t>
  </si>
  <si>
    <t>Bolsa Almagen Corp 8"x4"x10"</t>
  </si>
  <si>
    <t>Bolsa Finks Jewelers 6-5"x3-5"x6-5"</t>
  </si>
  <si>
    <t>Bolsa Finks Jwls 10x5x10"</t>
  </si>
  <si>
    <t>Bolsa Finks Jewelers  7"x5"x9"</t>
  </si>
  <si>
    <t>BOLSA MAUI DIVERS 10"x6"x10"</t>
  </si>
  <si>
    <t>FOLDER GOLD CASTER LAWRENCE</t>
  </si>
  <si>
    <t>BOLSA ELEGANCE 8x4x10 IN FL</t>
  </si>
  <si>
    <t>BOLSA ELEGANCE 6-5x3-5x6-5 IN FL</t>
  </si>
  <si>
    <t>BOLSA ELEGANCE 4-5x2-5x5-75 IN FL</t>
  </si>
  <si>
    <t>BOLSA ELEGANCE 12-5x4x14 IN FL</t>
  </si>
  <si>
    <t>BOLSA ALBERTS JEWELERS 6-5"x3-5"x6-5"</t>
  </si>
  <si>
    <t>BOLSA ALBERTS JEWELERS 10"x6"x10" FL</t>
  </si>
  <si>
    <t>BOLSA HUNTINGTON 6-5"x3-5"x6-5"</t>
  </si>
  <si>
    <t>BOLSA HUNTINGTON 8"X4"X10"</t>
  </si>
  <si>
    <t>BOLSA WATERFALL JEWELERS 6-5"X3-5"X6-5"</t>
  </si>
  <si>
    <t>BOLSA WATERFALL JEWELERS 8"X4"X10"</t>
  </si>
  <si>
    <t>BOLSA SCOTT &amp; CO 5"x4"x6"</t>
  </si>
  <si>
    <t>BOLSA SHARFMANS JLRS 6-5"X3-5"x6-5"</t>
  </si>
  <si>
    <t>BOLSA SHARFMANS JLRS 10"x4"x8"</t>
  </si>
  <si>
    <t>BOLSA HELZBERG 10x2-5x8 IN FA</t>
  </si>
  <si>
    <t>BOLSA WSHM WOS 10"x6"x10" FA</t>
  </si>
  <si>
    <t>BOLSA WSHN WOS 17"x7"x14" FA</t>
  </si>
  <si>
    <t>BOLSA WSMJ MAYORS WOS 6-5"x3-5"x6-5" FA</t>
  </si>
  <si>
    <t>BOLSA WSMJ MAYORS WOS 10"x6"x10" FA</t>
  </si>
  <si>
    <t>BOLSA WSMJ MAYORS WOS 17"x7"x14" FA</t>
  </si>
  <si>
    <t>Bolsa Walker Christopher 6-5x3x9</t>
  </si>
  <si>
    <t>BOLSA GREBITUS 11x4x8 IN FL</t>
  </si>
  <si>
    <t>BOLSA JON'S FINE JEWELRY 5"x4"x7"</t>
  </si>
  <si>
    <t>BOLSA SCHWANKE KASTEN CO 10"x6"x8"</t>
  </si>
  <si>
    <t>UNIPACK, S-A- DE C-V-</t>
  </si>
  <si>
    <t>Bolsa Belum 11x7x14-5 CM FL</t>
  </si>
  <si>
    <t>BOLSA ANNABELLES 8"x4"x10"</t>
  </si>
  <si>
    <t>BOLSA ANNABELLES 13"x5"x10"</t>
  </si>
  <si>
    <t>Bolsa Caldani 6-5"x2-5"x5-5"</t>
  </si>
  <si>
    <t>Bolsa The Gem Lab 6-5x3-5x6-5</t>
  </si>
  <si>
    <t>Bolsa charisma Jewelers 10"x 4"x 8"</t>
  </si>
  <si>
    <t>BOLSA NA HOKU 159x90x210MM</t>
  </si>
  <si>
    <t>BOLSA PEARL FACTORY 159x90x210MM</t>
  </si>
  <si>
    <t>BOLSA MAZZARESE 6-5"x3-5x6-5"</t>
  </si>
  <si>
    <t>Bolsa Lee Brant  8"x4"x10"</t>
  </si>
  <si>
    <t>Bolsa Rottermond 9-75"x4"x7"</t>
  </si>
  <si>
    <t>Bolsa Lawrence(Gold Caster)10-5"x5x8-25"</t>
  </si>
  <si>
    <t>Bolsa Americus Diamond 6-5x3-5x6-5</t>
  </si>
  <si>
    <t>BOLSA WEDDING RING SHOP 9-75x4x6-5 IN FL</t>
  </si>
  <si>
    <t>SIGMAQ MEXICO S-A DE C-V</t>
  </si>
  <si>
    <t>BOLSA COMERCIAL SORIA 10x4x8 IN FC</t>
  </si>
  <si>
    <t>BOLSA COMERCIAL SORIA 6-5x3-5x6-5 IN FC</t>
  </si>
  <si>
    <t>Bolsa Brillanti 6-5"x3-5"x6-5"</t>
  </si>
  <si>
    <t>Bolsa J-C- Jewelers 10"x4"x8" -Blue</t>
  </si>
  <si>
    <t>HT 811106</t>
  </si>
  <si>
    <t>HOLISTIC SKIN GUATEMALA</t>
  </si>
  <si>
    <t>SKINCARE OIL - HIGH END BOX</t>
  </si>
  <si>
    <t>HT 810915</t>
  </si>
  <si>
    <t>ESTUCHE FLEMING 4 CHOCOLATES 2024</t>
  </si>
  <si>
    <t>PATRON SPIRITS MEXICO S-A DE C-V</t>
  </si>
  <si>
    <t>8151050296_IB 1X70 EL ALTO GEX 700ml</t>
  </si>
  <si>
    <t>PO 4510825712</t>
  </si>
  <si>
    <t>8151043729_IB 1X75 EL ALTO USA 750ml</t>
  </si>
  <si>
    <t>PO 4510829937</t>
  </si>
  <si>
    <t>Estuche The Coffee Cup</t>
  </si>
  <si>
    <t>ANEJOS DE ALTURA, S-A-</t>
  </si>
  <si>
    <t>16007447 IBC RZC XO 750ML USA RED B/B</t>
  </si>
  <si>
    <t>OC 4100470443</t>
  </si>
  <si>
    <t>PO 4100471059</t>
  </si>
  <si>
    <t>ESTUCHE RON DE AUTOR</t>
  </si>
  <si>
    <t>ANEJOS DE ALTURA, S.A.</t>
  </si>
  <si>
    <t>16006285 CANISTER RZC EN 750ML USA 2021</t>
  </si>
  <si>
    <t>PO 4100472321</t>
  </si>
  <si>
    <t>JOYERIA GARZON, S.A.</t>
  </si>
  <si>
    <t>Bolsa Joyeria Garzon 4.75"X3.5"X6"</t>
  </si>
  <si>
    <t>Bolsas Joyería Garzón - Alicia</t>
  </si>
  <si>
    <t>BUFKOR INC.</t>
  </si>
  <si>
    <t>BOLSA NAIFEH JEWELRY 8"X4"X10"</t>
  </si>
  <si>
    <t>1301044093-Doc</t>
  </si>
  <si>
    <t>Bls Jewelry Design Center 6.5"x3.5"x6.5"</t>
  </si>
  <si>
    <t>1301044927-DOC</t>
  </si>
  <si>
    <t>Bls Jewelry Design Center 12"x5"x9"</t>
  </si>
  <si>
    <t>Sileo Timeless Jewelry SAS</t>
  </si>
  <si>
    <t>BOLSA SILEO 10X4X8 IN</t>
  </si>
  <si>
    <t>HT 811101</t>
  </si>
  <si>
    <t>SIGMAQ MEXICO S.A DE C.V</t>
  </si>
  <si>
    <t>BARBARA MADERO 160X100X140 MM</t>
  </si>
  <si>
    <t>HT 811078</t>
  </si>
  <si>
    <t>UNIPACK, S.A. DE C.V.</t>
  </si>
  <si>
    <t>Bolsa Casa de Oro 4.5"x2.375"x5.75" Est</t>
  </si>
  <si>
    <t>Bolsas CDO - Alicia</t>
  </si>
  <si>
    <t>Bolsa Casa de Oro 7"x4"x8" Est</t>
  </si>
  <si>
    <t>DISTRIBUIDORA CORRIPIO, S.A.S.</t>
  </si>
  <si>
    <t>BOLSA PIRULETA 20 X 6 X16 IN FL</t>
  </si>
  <si>
    <t>Bolsas Distribuidora Corripio</t>
  </si>
  <si>
    <t>BOLSA PIRULETA 16 X 5 X 14 IN FL</t>
  </si>
  <si>
    <t>BOLSA PIRULETA 13x5x10IN FL</t>
  </si>
  <si>
    <t>DIVISION</t>
  </si>
  <si>
    <t>CUSTOMER</t>
  </si>
  <si>
    <t>DESTINATION</t>
  </si>
  <si>
    <t>RSM</t>
  </si>
  <si>
    <t>PM</t>
  </si>
  <si>
    <t>PRODUCT</t>
  </si>
  <si>
    <t>PO</t>
  </si>
  <si>
    <t>POSITION</t>
  </si>
  <si>
    <t>PROJECT</t>
  </si>
  <si>
    <t>QTY</t>
  </si>
  <si>
    <t>$/UND</t>
  </si>
  <si>
    <t>% OVER</t>
  </si>
  <si>
    <t>QTY + OVER</t>
  </si>
  <si>
    <t>ORDEN</t>
  </si>
  <si>
    <t>ORDER DATE</t>
  </si>
  <si>
    <t>PO DATE</t>
  </si>
  <si>
    <t>REQ DATE</t>
  </si>
  <si>
    <t>SOLPED</t>
  </si>
  <si>
    <t>INITIAL ETD</t>
  </si>
  <si>
    <t>CURRENT EDT</t>
  </si>
  <si>
    <t>COMMENT</t>
  </si>
  <si>
    <t>STATUS</t>
  </si>
  <si>
    <t>LEADTIME</t>
  </si>
  <si>
    <t>REMARK</t>
  </si>
  <si>
    <t>FCST</t>
  </si>
  <si>
    <t>RODNEY LLOYD</t>
  </si>
  <si>
    <t>BOLSAS</t>
  </si>
  <si>
    <t>ETA 24-Nov</t>
  </si>
  <si>
    <t>PAUL POMROY</t>
  </si>
  <si>
    <t>Línea externa Melissa.</t>
  </si>
  <si>
    <t>JENNIFER BEAGLE</t>
  </si>
  <si>
    <t>SAM JONHSTON</t>
  </si>
  <si>
    <t>Línea externa Melissa. Sale PT de P3 el 15-Dic.</t>
  </si>
  <si>
    <t>Línea Externa Melissa 7,500 unidades.</t>
  </si>
  <si>
    <t>ENOC MADRIL</t>
  </si>
  <si>
    <t>Falta programar 1,000 unidades.</t>
  </si>
  <si>
    <t>LYNDA MORRISON</t>
  </si>
  <si>
    <t>Se despacharon 600 unidades aéreas.</t>
  </si>
  <si>
    <t>Se despacharon 900 unidades aéreas.</t>
  </si>
  <si>
    <t>ROY DALE GUSHWA</t>
  </si>
  <si>
    <t>ETA 10-Nov</t>
  </si>
  <si>
    <t>Solped sin fecha en Basecamp.</t>
  </si>
  <si>
    <t>ROSA MARÍA TEJADA</t>
  </si>
  <si>
    <t>JUDY ISMAEL</t>
  </si>
  <si>
    <t>Únicamente restan 8,100 unidades por despachar.</t>
  </si>
  <si>
    <t>Atraso por problema de montaje en los pliegos de proveedor.</t>
  </si>
  <si>
    <t>ETA 18-Nov</t>
  </si>
  <si>
    <t>ETA 25-Nov</t>
  </si>
  <si>
    <t>Se despacharon 400 unidades aéreas.</t>
  </si>
  <si>
    <t>Se despacharon 120 unidades aéreas.</t>
  </si>
  <si>
    <t>ALICIA DE SALAZAR</t>
  </si>
  <si>
    <t>REG MARTIN</t>
  </si>
  <si>
    <t>Materiales en Stock</t>
  </si>
  <si>
    <t>ETA 04-Dic. Se despacharán 10,000 unidades solicitadas como prioridad.</t>
  </si>
  <si>
    <t>ETA 04-Dic</t>
  </si>
  <si>
    <t>Hilo Recibido</t>
  </si>
  <si>
    <t>ETA 07-Nov</t>
  </si>
  <si>
    <t>ETA 03-Dic</t>
  </si>
  <si>
    <t>ETA 12-Nov</t>
  </si>
  <si>
    <t>ETA 22-Dic</t>
  </si>
  <si>
    <t>Solped sin fecha en Basecamp. Línea externa Melissa. Sale PT de P3 el 15-Dic.</t>
  </si>
  <si>
    <t>ETA 27-Nov</t>
  </si>
  <si>
    <t>CAJAS</t>
  </si>
  <si>
    <t>Resto de órdenes: 3310959, 3310960, 3310961, 3310965, 3310969</t>
  </si>
  <si>
    <t>LES UNGER</t>
  </si>
  <si>
    <t>Resto de órdenes: 3349167, 3349168, 3349169.</t>
  </si>
  <si>
    <t>Resto de órdenes: 3349172, 3349173, 3349175.</t>
  </si>
  <si>
    <t>ELIO TORRES</t>
  </si>
  <si>
    <t>Resto de órdenes: 3342762, 3342763, 3342764, 3342765, 3342766.</t>
  </si>
  <si>
    <t>Resto de órdenes: 3348800, 3350104, 3350106, 3350109, 3350111.</t>
  </si>
  <si>
    <t>Resto de órdenes: 3353477, 3353478, 3353479, 3353480.</t>
  </si>
  <si>
    <t>ANNA STEPHANIE LASS</t>
  </si>
  <si>
    <t>Resto de órdenes: 3348424, 3348426, 3348427, 3348428.</t>
  </si>
  <si>
    <t>Resto de órdenes: 3350387, 3350388, 3350397, 3350398.</t>
  </si>
  <si>
    <t>Resto de órdenes: 3353837, 3353838, 3353839, 3353840.</t>
  </si>
  <si>
    <t>CANISTER</t>
  </si>
  <si>
    <t>Resto de órdenes: 3354232, 3354236.</t>
  </si>
  <si>
    <t>ETA 07-Ene</t>
  </si>
  <si>
    <t>ESTEBAN FUENTES</t>
  </si>
  <si>
    <t>POS</t>
  </si>
  <si>
    <t># REP</t>
  </si>
  <si>
    <t>PLIEGOS</t>
  </si>
  <si>
    <t>RESMADO</t>
  </si>
  <si>
    <t>IMPRESIÓN</t>
  </si>
  <si>
    <t>BARNIZ</t>
  </si>
  <si>
    <t>LAMINADO</t>
  </si>
  <si>
    <t>ESTAMPADO</t>
  </si>
  <si>
    <t>REALZADO</t>
  </si>
  <si>
    <t>TROQUELADO</t>
  </si>
  <si>
    <t>PP</t>
  </si>
  <si>
    <t>X</t>
  </si>
  <si>
    <t>CMPC</t>
  </si>
  <si>
    <t>x</t>
  </si>
  <si>
    <t>MELISA. APROX 54K</t>
  </si>
  <si>
    <t>COUCHE</t>
  </si>
  <si>
    <t>MELISA. 15-DIC SALE DE P3</t>
  </si>
  <si>
    <t>LEDGER</t>
  </si>
  <si>
    <t>KRAFT</t>
  </si>
  <si>
    <t>barniz 20-Dic</t>
  </si>
  <si>
    <t>SKINCARE OIL - HIGH END BOX - TAPA DER E IZQ</t>
  </si>
  <si>
    <t>SKINCARE OIL - HIGH END BOX - SOLAPA</t>
  </si>
  <si>
    <t>SKINCARE OIL - HIGH END BOX - COMP. INTERNO SOLAPA</t>
  </si>
  <si>
    <t>SKINCARE OIL - HIGH END BOX - BASE</t>
  </si>
  <si>
    <t>SKINCARE OIL - HIGH END BOX - INSERTOS</t>
  </si>
  <si>
    <t>SKINCARE OIL - HIGH END BOX - MANGA</t>
  </si>
  <si>
    <t>ESTUCHE FLEMING 4 CHOCOLATES 2024 - PAPEL TAPA</t>
  </si>
  <si>
    <t>ESTUCHE FLEMING 4 CHOCOLATES 2024 - CARTÓN TAPA</t>
  </si>
  <si>
    <t>8151050296_IB 1X70 EL ALTO GEX 700ML - PAPEL SOLAPA</t>
  </si>
  <si>
    <t>8151050296_IB 1X70 EL ALTO GEX 700ML - COMP. INTERNO BTP</t>
  </si>
  <si>
    <t>8151050296_IB 1X70 EL ALTO GEX 700ML - COMP. SOLAPA IZQ</t>
  </si>
  <si>
    <t>8151050296_IB 1X70 EL ALTO GEX 700ML - COMP. INFERIOR BASE</t>
  </si>
  <si>
    <t>8151050296_IB 1X70 EL ALTO GEX 700ML - SOLAPA IZQ &amp; DER</t>
  </si>
  <si>
    <t>8151050296_IB 1X70 EL ALTO GEX 700ML - COMP. SOLAPA IZQ &amp; DER</t>
  </si>
  <si>
    <t>8151050296_IB 1X70 EL ALTO GEX 700ML - CINCHOS</t>
  </si>
  <si>
    <t>8151050296_IB 1X70 EL ALTO GEX 700ML - INTERIOR DE BASE</t>
  </si>
  <si>
    <t>8151050296_IB 1X70 EL ALTO GEX 700ML - BTP</t>
  </si>
  <si>
    <t>8151050296_IB 1X70 EL ALTO GEX 700ML - MANGA</t>
  </si>
  <si>
    <t>WK 46</t>
  </si>
  <si>
    <t>WK 47</t>
  </si>
  <si>
    <t>WK 48</t>
  </si>
  <si>
    <t>WK 49</t>
  </si>
  <si>
    <t>WK 50</t>
  </si>
  <si>
    <t>WK 51</t>
  </si>
  <si>
    <t>WK 52</t>
  </si>
  <si>
    <t>WK 01</t>
  </si>
  <si>
    <t>WK 02</t>
  </si>
  <si>
    <t>WK 03</t>
  </si>
  <si>
    <t>WK 04</t>
  </si>
  <si>
    <t>WK 05</t>
  </si>
  <si>
    <t>PROCESO</t>
  </si>
  <si>
    <t>PEDIDO</t>
  </si>
  <si>
    <t>PL/DÍA</t>
  </si>
  <si>
    <t>REALZADO / DEBOSADO</t>
  </si>
  <si>
    <t>WK 45</t>
  </si>
  <si>
    <t>LÍNEA</t>
  </si>
  <si>
    <t>PLAN</t>
  </si>
  <si>
    <t>REAL</t>
  </si>
  <si>
    <t>MOEX</t>
  </si>
  <si>
    <t>BL/DÍA</t>
  </si>
  <si>
    <t>YOBEL</t>
  </si>
  <si>
    <t>MELISSA</t>
  </si>
  <si>
    <t>caja/canister</t>
  </si>
  <si>
    <t>FECHA</t>
  </si>
  <si>
    <t>$/ UND</t>
  </si>
  <si>
    <t>PLAN $</t>
  </si>
  <si>
    <t>REAL $</t>
  </si>
  <si>
    <t>SUM of PLAN</t>
  </si>
  <si>
    <t>Suma total</t>
  </si>
  <si>
    <t/>
  </si>
  <si>
    <t>BOLSA FRED MEYER 10"X4"X8"</t>
  </si>
  <si>
    <t>BOLSA FRED MEYER 4-5"X3"X5-5"</t>
  </si>
  <si>
    <t>BOLSA ALMAGEN CORP 8"X4"X10"</t>
  </si>
  <si>
    <t>BOLSA FINKS JEWELERS  7"X5"X9"</t>
  </si>
  <si>
    <t>BOLSA FINKS JEWELERS 6-5"X3-5"X6-5"</t>
  </si>
  <si>
    <t>BOLSA ANNABELLES 13"X5"X10"</t>
  </si>
  <si>
    <t>BOLSA ANNABELLES 8"X4"X10"</t>
  </si>
  <si>
    <t>BOLSA ELEGANCE 12-5X4X14 IN FL</t>
  </si>
  <si>
    <t>BOLSA ELEGANCE 4-5X2-5X5-75 IN FL</t>
  </si>
  <si>
    <t>BOLSA ELEGANCE 6-5X3-5X6-5 IN FL</t>
  </si>
  <si>
    <t>BOLSA ELEGANCE 8X4X10 IN FL</t>
  </si>
  <si>
    <t>BOLSA ALBERTS JEWELERS 10"X6"X10" FL</t>
  </si>
  <si>
    <t>BOLSA ALBERTS JEWELERS 6-5"X3-5"X6-5"</t>
  </si>
  <si>
    <t>BOLSA HUNTINGTON 6-5"X3-5"X6-5"</t>
  </si>
  <si>
    <t>BOLSA BRILLANTI 6-5"X3-5"X6-5"</t>
  </si>
  <si>
    <t>BOLSA SHARFMANS JLRS 10"X4"X8"</t>
  </si>
  <si>
    <t>BOLSA SHARFMANS JLRS 6-5"X3-5"X6-5"</t>
  </si>
  <si>
    <t>BOLSA HELZBERG 10X2-5X8 IN FA</t>
  </si>
  <si>
    <t>BOLSA WSHM WOS 10"X6"X10" FA</t>
  </si>
  <si>
    <t>BOLSA WSHN WOS 17"X7"X14" FA</t>
  </si>
  <si>
    <t>BOLSA WSMJ MAYORS WOS 10"X6"X10" FA</t>
  </si>
  <si>
    <t>BOLSA WSMJ MAYORS WOS 17"X7"X14" FA</t>
  </si>
  <si>
    <t>BOLSA WSMJ MAYORS WOS 6-5"X3-5"X6-5" FA</t>
  </si>
  <si>
    <t>BOLSA WALKER CHRISTOPHER 6-5X3X9</t>
  </si>
  <si>
    <t>BOLSA JON'S FINE JEWELRY 5"X4"X7"</t>
  </si>
  <si>
    <t>BOLSA SCHWANKE KASTEN CO 10"X6"X8"</t>
  </si>
  <si>
    <t>BOLSA BELUM 11X7X14-5 CM FL</t>
  </si>
  <si>
    <t>BOLSA LAWRENCE(GOLD CASTER)10-5"X5X8-25"</t>
  </si>
  <si>
    <t>BOLSA COMERCIAL SORIA 10X4X8 IN FC</t>
  </si>
  <si>
    <t>BOLSA COMERCIAL SORIA 6-5X3-5X6-5 IN FC</t>
  </si>
  <si>
    <t>BOLSA AMERICUS DIAMOND 6-5X3-5X6-5</t>
  </si>
  <si>
    <t>BOLSA CALDANI 6-5"X2-5"X5-5"</t>
  </si>
  <si>
    <t>BOLSA ROTTERMOND 9-75"X4"X7"</t>
  </si>
  <si>
    <t>BOLSA LEE BRANT  8"X4"X10"</t>
  </si>
  <si>
    <t>BOLSA MAZZARESE 6-5"X3-5X6-5"</t>
  </si>
  <si>
    <t>BOLSA NA HOKU 159X90X210MM</t>
  </si>
  <si>
    <t>BOLSA PEARL FACTORY 159X90X210MM</t>
  </si>
  <si>
    <t>BOLSA THE GEM LAB 6-5X3-5X6-5</t>
  </si>
  <si>
    <t>BOLSA CHARISMA JEWELERS 10"X 4"X 8"</t>
  </si>
  <si>
    <t>BOLSA J-C- JEWELERS 10"X4"X8" -BLUE</t>
  </si>
  <si>
    <t>BOLSA JOYERIA GARZON 4.75"X3.5"X6"</t>
  </si>
  <si>
    <t>N° MES</t>
  </si>
  <si>
    <t>MES</t>
  </si>
  <si>
    <t>META</t>
  </si>
  <si>
    <t>MELISSA MELENDEZ</t>
  </si>
  <si>
    <t>JAN</t>
  </si>
  <si>
    <t>TATIANA IRAHETA</t>
  </si>
  <si>
    <t>FEB</t>
  </si>
  <si>
    <t>MAR</t>
  </si>
  <si>
    <t>REYNALDO CARRANZA</t>
  </si>
  <si>
    <t>APR</t>
  </si>
  <si>
    <t>HAZEL VASQUEZ</t>
  </si>
  <si>
    <t>KENEDY TOBAR</t>
  </si>
  <si>
    <t>MAY</t>
  </si>
  <si>
    <t>JAVIER MOLINA</t>
  </si>
  <si>
    <t>JUN</t>
  </si>
  <si>
    <t>SANTOS CORNEJO</t>
  </si>
  <si>
    <t>JUL</t>
  </si>
  <si>
    <t>AUG</t>
  </si>
  <si>
    <t>LIGIA MONRROY</t>
  </si>
  <si>
    <t>SEP</t>
  </si>
  <si>
    <t>MARIO SERRANO</t>
  </si>
  <si>
    <t>IVANIA ALFARO</t>
  </si>
  <si>
    <t>OCT</t>
  </si>
  <si>
    <t>MATTHEW LEE SMITH</t>
  </si>
  <si>
    <t>ASHLY MERINO</t>
  </si>
  <si>
    <t>NOV</t>
  </si>
  <si>
    <t>DEC</t>
  </si>
  <si>
    <t>ULISES HERNANDEZ</t>
  </si>
  <si>
    <t>RAMON LORA</t>
  </si>
  <si>
    <t>MARIANA GARCIA</t>
  </si>
  <si>
    <t>GORETTI OCHOA</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</si>
</sst>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quot;$&quot;* #,##0.00_);_(&quot;$&quot;* \(#,##0.00\);_(&quot;$&quot;* &quot;-&quot;??_);_(@_)"/>
    <numFmt numFmtId="165" formatCode="_-&quot;$&quot;* #,##0.00_-;_-&quot;$&quot;* \-#,##0.00_-;_-&quot;$&quot;* &quot;-&quot;??_-;_-@"/>
    <numFmt numFmtId="166" formatCode="d&quot;-&quot;mmm&quot;-&quot;yyyy"/>
    <numFmt numFmtId="167" formatCode="_(&quot;$&quot;* #,##0.0000_);_(&quot;$&quot;* \(#,##0.0000\);_(&quot;$&quot;* &quot;-&quot;??_);_(@_)"/>
    <numFmt numFmtId="168" formatCode="0.0%"/>
    <numFmt numFmtId="169" formatCode="0.0"/>
    <numFmt numFmtId="170" formatCode="mmm&quot;-&quot;yyyy"/>
  </numFmts>
  <fonts count="16">
    <font>
      <sz val="11.0"/>
      <color theme="1"/>
      <name val="Calibri"/>
      <scheme val="minor"/>
    </font>
    <font>
      <sz val="11.0"/>
      <color theme="1"/>
      <name val="Roboto"/>
    </font>
    <font>
      <color theme="1"/>
      <name val="Calibri"/>
    </font>
    <font>
      <color theme="1"/>
      <name val="Roboto"/>
    </font>
    <font>
      <sz val="11.0"/>
      <color theme="1"/>
      <name val="Calibri"/>
    </font>
    <font>
      <sz val="11.0"/>
      <color rgb="FF000000"/>
      <name val="Roboto"/>
    </font>
    <font>
      <sz val="11.0"/>
      <color rgb="FFFFFFFF"/>
      <name val="Roboto"/>
    </font>
    <font>
      <b/>
      <sz val="13.0"/>
      <color rgb="FF000000"/>
      <name val="Roboto"/>
    </font>
    <font>
      <b/>
      <color rgb="FFFFFFFF"/>
      <name val="Roboto"/>
    </font>
    <font>
      <b/>
      <sz val="12.0"/>
      <color rgb="FFFFFFFF"/>
      <name val="Roboto"/>
    </font>
    <font/>
    <font>
      <b/>
      <sz val="19.0"/>
      <color theme="1"/>
      <name val="Roboto"/>
    </font>
    <font>
      <sz val="12.0"/>
      <color theme="1"/>
      <name val="Roboto"/>
    </font>
    <font>
      <b/>
      <color rgb="FFFFFFFF"/>
      <name val="Calibri"/>
    </font>
    <font>
      <color theme="1"/>
      <name val="Calibri"/>
      <scheme val="minor"/>
    </font>
    <font>
      <b/>
      <color theme="1"/>
      <name val="Calibri"/>
    </font>
  </fonts>
  <fills count="15">
    <fill>
      <patternFill patternType="none"/>
    </fill>
    <fill>
      <patternFill patternType="lightGray"/>
    </fill>
    <fill>
      <patternFill patternType="solid">
        <fgColor rgb="FF1F3864"/>
        <bgColor rgb="FF1F3864"/>
      </patternFill>
    </fill>
    <fill>
      <patternFill patternType="solid">
        <fgColor rgb="FFFFFF00"/>
        <bgColor rgb="FFFFFF00"/>
      </patternFill>
    </fill>
    <fill>
      <patternFill patternType="solid">
        <fgColor rgb="FFCCCCCC"/>
        <bgColor rgb="FFCCCCCC"/>
      </patternFill>
    </fill>
    <fill>
      <patternFill patternType="solid">
        <fgColor rgb="FF38761D"/>
        <bgColor rgb="FF38761D"/>
      </patternFill>
    </fill>
    <fill>
      <patternFill patternType="solid">
        <fgColor rgb="FF356854"/>
        <bgColor rgb="FF356854"/>
      </patternFill>
    </fill>
    <fill>
      <patternFill patternType="solid">
        <fgColor rgb="FFFFFFFF"/>
        <bgColor rgb="FFFFFFFF"/>
      </patternFill>
    </fill>
    <fill>
      <patternFill patternType="solid">
        <fgColor rgb="FFD9D9D9"/>
        <bgColor rgb="FFD9D9D9"/>
      </patternFill>
    </fill>
    <fill>
      <patternFill patternType="solid">
        <fgColor rgb="FFFFD966"/>
        <bgColor rgb="FFFFD966"/>
      </patternFill>
    </fill>
    <fill>
      <patternFill patternType="solid">
        <fgColor rgb="FFF6F8F9"/>
        <bgColor rgb="FFF6F8F9"/>
      </patternFill>
    </fill>
    <fill>
      <patternFill patternType="solid">
        <fgColor rgb="FFB6D7A8"/>
        <bgColor rgb="FFB6D7A8"/>
      </patternFill>
    </fill>
    <fill>
      <patternFill patternType="solid">
        <fgColor rgb="FF351C75"/>
        <bgColor rgb="FF351C75"/>
      </patternFill>
    </fill>
    <fill>
      <patternFill patternType="solid">
        <fgColor rgb="FFEFEFEF"/>
        <bgColor rgb="FFEFEFEF"/>
      </patternFill>
    </fill>
    <fill>
      <patternFill patternType="solid">
        <fgColor rgb="FFFF0000"/>
        <bgColor rgb="FFFF0000"/>
      </patternFill>
    </fill>
  </fills>
  <borders count="12">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thin">
        <color rgb="FF000000"/>
      </bottom>
    </border>
    <border>
      <right style="medium">
        <color rgb="FF000000"/>
      </right>
      <bottom style="thin">
        <color rgb="FF000000"/>
      </bottom>
    </border>
    <border>
      <bottom style="thin">
        <color rgb="FF000000"/>
      </bottom>
    </border>
    <border>
      <left style="medium">
        <color rgb="FF000000"/>
      </left>
      <bottom style="medium">
        <color rgb="FF000000"/>
      </bottom>
    </border>
    <border>
      <right style="medium">
        <color rgb="FF000000"/>
      </right>
      <bottom style="medium">
        <color rgb="FF000000"/>
      </bottom>
    </border>
    <border>
      <bottom style="medium">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0" xfId="0" applyAlignment="1" applyFont="1">
      <alignment horizontal="center" shrinkToFit="0" vertical="center" wrapText="0"/>
    </xf>
    <xf borderId="0" fillId="0" fontId="1" numFmtId="3" xfId="0" applyAlignment="1" applyFont="1" applyNumberFormat="1">
      <alignment horizontal="center" shrinkToFit="0" vertical="center" wrapText="0"/>
    </xf>
    <xf borderId="0" fillId="0" fontId="1" numFmtId="164" xfId="0" applyAlignment="1" applyFont="1" applyNumberFormat="1">
      <alignment horizontal="center" shrinkToFit="0" vertical="center" wrapText="0"/>
    </xf>
    <xf borderId="0" fillId="0" fontId="2" numFmtId="0" xfId="0" applyAlignment="1" applyFont="1">
      <alignment horizontal="left" shrinkToFit="0" vertical="center" wrapText="0"/>
    </xf>
    <xf borderId="0" fillId="0" fontId="3" numFmtId="0" xfId="0" applyAlignment="1" applyFont="1">
      <alignment shrinkToFit="0" vertical="center" wrapText="0"/>
    </xf>
    <xf borderId="0" fillId="0" fontId="1" numFmtId="3" xfId="0" applyAlignment="1" applyFont="1" applyNumberFormat="1">
      <alignment shrinkToFit="0" vertical="center" wrapText="0"/>
    </xf>
    <xf borderId="0" fillId="0" fontId="1" numFmtId="165" xfId="0" applyAlignment="1" applyFont="1" applyNumberFormat="1">
      <alignment shrinkToFit="0" vertical="center" wrapText="0"/>
    </xf>
    <xf borderId="0" fillId="0" fontId="1" numFmtId="166" xfId="0" applyAlignment="1" applyFont="1" applyNumberFormat="1">
      <alignment shrinkToFit="0" vertical="center" wrapText="0"/>
    </xf>
    <xf borderId="0" fillId="0" fontId="3" numFmtId="0" xfId="0" applyAlignment="1" applyFont="1">
      <alignment horizontal="right" shrinkToFit="0" vertical="center" wrapText="0"/>
    </xf>
    <xf borderId="0" fillId="0" fontId="2" numFmtId="0" xfId="0" applyAlignment="1" applyFont="1">
      <alignment shrinkToFit="0" vertical="center" wrapText="0"/>
    </xf>
    <xf borderId="0" fillId="0" fontId="3" numFmtId="3" xfId="0" applyAlignment="1" applyFont="1" applyNumberFormat="1">
      <alignment shrinkToFit="0" vertical="center" wrapText="0"/>
    </xf>
    <xf borderId="0" fillId="0" fontId="3" numFmtId="166" xfId="0" applyAlignment="1" applyFont="1" applyNumberFormat="1">
      <alignment shrinkToFit="0" vertical="center" wrapText="0"/>
    </xf>
    <xf borderId="0" fillId="0" fontId="2" numFmtId="3" xfId="0" applyFont="1" applyNumberFormat="1"/>
    <xf borderId="0" fillId="0" fontId="4" numFmtId="164" xfId="0" applyFont="1" applyNumberFormat="1"/>
    <xf borderId="0" fillId="0" fontId="2" numFmtId="0" xfId="0" applyAlignment="1" applyFont="1">
      <alignment horizontal="right"/>
    </xf>
    <xf borderId="0" fillId="2" fontId="1" numFmtId="0" xfId="0" applyAlignment="1" applyFill="1" applyFont="1">
      <alignment horizontal="center" shrinkToFit="0" vertical="center" wrapText="0"/>
    </xf>
    <xf borderId="0" fillId="3" fontId="5" numFmtId="0" xfId="0" applyAlignment="1" applyFill="1" applyFont="1">
      <alignment horizontal="center" shrinkToFit="0" vertical="center" wrapText="0"/>
    </xf>
    <xf borderId="0" fillId="3" fontId="5" numFmtId="49" xfId="0" applyAlignment="1" applyFont="1" applyNumberFormat="1">
      <alignment horizontal="center" shrinkToFit="0" vertical="center" wrapText="0"/>
    </xf>
    <xf borderId="0" fillId="4" fontId="3" numFmtId="0" xfId="0" applyAlignment="1" applyFill="1" applyFont="1">
      <alignment shrinkToFit="0" vertical="center" wrapText="0"/>
    </xf>
    <xf borderId="0" fillId="4" fontId="3" numFmtId="0" xfId="0" applyAlignment="1" applyFont="1">
      <alignment horizontal="center" shrinkToFit="0" vertical="center" wrapText="0"/>
    </xf>
    <xf borderId="0" fillId="0" fontId="3" numFmtId="0" xfId="0" applyAlignment="1" applyFont="1">
      <alignment horizontal="center" shrinkToFit="0" vertical="center" wrapText="0"/>
    </xf>
    <xf borderId="0" fillId="4" fontId="3" numFmtId="3" xfId="0" applyAlignment="1" applyFont="1" applyNumberFormat="1">
      <alignment shrinkToFit="0" vertical="center" wrapText="0"/>
    </xf>
    <xf borderId="0" fillId="4" fontId="1" numFmtId="164" xfId="0" applyAlignment="1" applyFont="1" applyNumberFormat="1">
      <alignment shrinkToFit="0" vertical="center" wrapText="0"/>
    </xf>
    <xf borderId="0" fillId="4" fontId="1" numFmtId="167" xfId="0" applyAlignment="1" applyFont="1" applyNumberFormat="1">
      <alignment shrinkToFit="0" vertical="center" wrapText="0"/>
    </xf>
    <xf borderId="0" fillId="0" fontId="1" numFmtId="168" xfId="0" applyAlignment="1" applyFont="1" applyNumberFormat="1">
      <alignment shrinkToFit="0" vertical="center" wrapText="0"/>
    </xf>
    <xf borderId="0" fillId="4" fontId="1" numFmtId="166" xfId="0" applyAlignment="1" applyFont="1" applyNumberFormat="1">
      <alignment shrinkToFit="0" vertical="center" wrapText="0"/>
    </xf>
    <xf borderId="0" fillId="4" fontId="3" numFmtId="169" xfId="0" applyAlignment="1" applyFont="1" applyNumberFormat="1">
      <alignment shrinkToFit="0" vertical="center" wrapText="0"/>
    </xf>
    <xf borderId="0" fillId="4" fontId="3" numFmtId="170" xfId="0" applyAlignment="1" applyFont="1" applyNumberFormat="1">
      <alignment shrinkToFit="0" vertical="center" wrapText="0"/>
    </xf>
    <xf borderId="0" fillId="4" fontId="3" numFmtId="49" xfId="0" applyAlignment="1" applyFont="1" applyNumberFormat="1">
      <alignment shrinkToFit="0" vertical="center" wrapText="0"/>
    </xf>
    <xf borderId="0" fillId="4" fontId="3" numFmtId="0" xfId="0" applyFont="1"/>
    <xf borderId="0" fillId="0" fontId="2" numFmtId="0" xfId="0" applyFont="1"/>
    <xf borderId="0" fillId="0" fontId="3" numFmtId="0" xfId="0" applyAlignment="1" applyFont="1">
      <alignment horizontal="center"/>
    </xf>
    <xf borderId="0" fillId="4" fontId="3" numFmtId="0" xfId="0" applyAlignment="1" applyFont="1">
      <alignment horizontal="center"/>
    </xf>
    <xf borderId="0" fillId="4" fontId="3" numFmtId="3" xfId="0" applyFont="1" applyNumberFormat="1"/>
    <xf borderId="0" fillId="4" fontId="1" numFmtId="164" xfId="0" applyFont="1" applyNumberFormat="1"/>
    <xf borderId="0" fillId="4" fontId="1" numFmtId="167" xfId="0" applyFont="1" applyNumberFormat="1"/>
    <xf borderId="0" fillId="0" fontId="1" numFmtId="168" xfId="0" applyFont="1" applyNumberFormat="1"/>
    <xf borderId="0" fillId="0" fontId="3" numFmtId="166" xfId="0" applyFont="1" applyNumberFormat="1"/>
    <xf borderId="0" fillId="4" fontId="1" numFmtId="166" xfId="0" applyFont="1" applyNumberFormat="1"/>
    <xf borderId="0" fillId="0" fontId="1" numFmtId="0" xfId="0" applyAlignment="1" applyFont="1">
      <alignment horizontal="center"/>
    </xf>
    <xf borderId="0" fillId="0" fontId="1" numFmtId="166" xfId="0" applyFont="1" applyNumberFormat="1"/>
    <xf borderId="0" fillId="0" fontId="3" numFmtId="0" xfId="0" applyFont="1"/>
    <xf borderId="0" fillId="4" fontId="3" numFmtId="169" xfId="0" applyFont="1" applyNumberFormat="1"/>
    <xf borderId="0" fillId="4" fontId="3" numFmtId="49" xfId="0" applyFont="1" applyNumberFormat="1"/>
    <xf borderId="0" fillId="5" fontId="6" numFmtId="0" xfId="0" applyAlignment="1" applyFill="1" applyFont="1">
      <alignment horizontal="center"/>
    </xf>
    <xf borderId="0" fillId="6" fontId="6" numFmtId="0" xfId="0" applyAlignment="1" applyFill="1" applyFont="1">
      <alignment horizontal="center"/>
    </xf>
    <xf borderId="0" fillId="7" fontId="3" numFmtId="0" xfId="0" applyFill="1" applyFont="1"/>
    <xf borderId="0" fillId="7" fontId="3" numFmtId="0" xfId="0" applyAlignment="1" applyFont="1">
      <alignment horizontal="center"/>
    </xf>
    <xf borderId="0" fillId="8" fontId="5" numFmtId="0" xfId="0" applyAlignment="1" applyFill="1" applyFont="1">
      <alignment horizontal="center"/>
    </xf>
    <xf borderId="0" fillId="7" fontId="5" numFmtId="0" xfId="0" applyAlignment="1" applyFont="1">
      <alignment horizontal="center"/>
    </xf>
    <xf borderId="0" fillId="8" fontId="5" numFmtId="3" xfId="0" applyAlignment="1" applyFont="1" applyNumberFormat="1">
      <alignment horizontal="center"/>
    </xf>
    <xf borderId="0" fillId="8" fontId="1" numFmtId="166" xfId="0" applyFont="1" applyNumberFormat="1"/>
    <xf borderId="0" fillId="9" fontId="5" numFmtId="0" xfId="0" applyAlignment="1" applyFill="1" applyFont="1">
      <alignment horizontal="center"/>
    </xf>
    <xf borderId="0" fillId="10" fontId="3" numFmtId="0" xfId="0" applyFill="1" applyFont="1"/>
    <xf borderId="0" fillId="10" fontId="3" numFmtId="0" xfId="0" applyAlignment="1" applyFont="1">
      <alignment horizontal="center"/>
    </xf>
    <xf borderId="0" fillId="10" fontId="5" numFmtId="0" xfId="0" applyAlignment="1" applyFont="1">
      <alignment horizontal="center"/>
    </xf>
    <xf borderId="0" fillId="11" fontId="5" numFmtId="0" xfId="0" applyAlignment="1" applyFill="1" applyFont="1">
      <alignment horizontal="center"/>
    </xf>
    <xf borderId="0" fillId="0" fontId="7" numFmtId="0" xfId="0" applyAlignment="1" applyFont="1">
      <alignment horizontal="center" textRotation="90" vertical="center"/>
    </xf>
    <xf borderId="0" fillId="0" fontId="8" numFmtId="166" xfId="0" applyAlignment="1" applyFont="1" applyNumberFormat="1">
      <alignment horizontal="center"/>
    </xf>
    <xf borderId="1" fillId="12" fontId="9" numFmtId="166" xfId="0" applyAlignment="1" applyBorder="1" applyFill="1" applyFont="1" applyNumberFormat="1">
      <alignment horizontal="center"/>
    </xf>
    <xf borderId="2" fillId="0" fontId="10" numFmtId="0" xfId="0" applyBorder="1" applyFont="1"/>
    <xf borderId="3" fillId="0" fontId="10" numFmtId="0" xfId="0" applyBorder="1" applyFont="1"/>
    <xf borderId="0" fillId="0" fontId="9" numFmtId="166" xfId="0" applyAlignment="1" applyFont="1" applyNumberFormat="1">
      <alignment horizontal="center"/>
    </xf>
    <xf borderId="1" fillId="12" fontId="8" numFmtId="0" xfId="0" applyAlignment="1" applyBorder="1" applyFont="1">
      <alignment horizontal="center" vertical="center"/>
    </xf>
    <xf borderId="2" fillId="12" fontId="8" numFmtId="0" xfId="0" applyAlignment="1" applyBorder="1" applyFont="1">
      <alignment horizontal="center" vertical="center"/>
    </xf>
    <xf borderId="3" fillId="12" fontId="8" numFmtId="0" xfId="0" applyAlignment="1" applyBorder="1" applyFont="1">
      <alignment horizontal="center" vertical="center"/>
    </xf>
    <xf borderId="0" fillId="0" fontId="8" numFmtId="0" xfId="0" applyAlignment="1" applyFont="1">
      <alignment horizontal="center" vertical="center"/>
    </xf>
    <xf borderId="4" fillId="0" fontId="11" numFmtId="0" xfId="0" applyAlignment="1" applyBorder="1" applyFont="1">
      <alignment horizontal="center" shrinkToFit="0" vertical="center" wrapText="1"/>
    </xf>
    <xf borderId="5" fillId="0" fontId="10" numFmtId="0" xfId="0" applyBorder="1" applyFont="1"/>
    <xf borderId="0" fillId="0" fontId="3" numFmtId="3" xfId="0" applyFont="1" applyNumberFormat="1"/>
    <xf borderId="4" fillId="0" fontId="3" numFmtId="0" xfId="0" applyBorder="1" applyFont="1"/>
    <xf borderId="0" fillId="13" fontId="3" numFmtId="0" xfId="0" applyFill="1" applyFont="1"/>
    <xf borderId="5" fillId="13" fontId="3" numFmtId="3" xfId="0" applyBorder="1" applyFont="1" applyNumberFormat="1"/>
    <xf borderId="4" fillId="0" fontId="10" numFmtId="0" xfId="0" applyBorder="1" applyFont="1"/>
    <xf borderId="6" fillId="0" fontId="10" numFmtId="0" xfId="0" applyBorder="1" applyFont="1"/>
    <xf borderId="7" fillId="0" fontId="10" numFmtId="0" xfId="0" applyBorder="1" applyFont="1"/>
    <xf borderId="6" fillId="0" fontId="3" numFmtId="0" xfId="0" applyBorder="1" applyFont="1"/>
    <xf borderId="8" fillId="0" fontId="3" numFmtId="0" xfId="0" applyAlignment="1" applyBorder="1" applyFont="1">
      <alignment horizontal="center"/>
    </xf>
    <xf borderId="8" fillId="13" fontId="3" numFmtId="0" xfId="0" applyBorder="1" applyFont="1"/>
    <xf borderId="7" fillId="13" fontId="3" numFmtId="3" xfId="0" applyBorder="1" applyFont="1" applyNumberFormat="1"/>
    <xf borderId="0" fillId="0" fontId="3" numFmtId="0" xfId="0" applyAlignment="1" applyFont="1">
      <alignment horizontal="right"/>
    </xf>
    <xf borderId="9" fillId="13" fontId="12" numFmtId="3" xfId="0" applyAlignment="1" applyBorder="1" applyFont="1" applyNumberFormat="1">
      <alignment horizontal="center"/>
    </xf>
    <xf borderId="10" fillId="13" fontId="12" numFmtId="0" xfId="0" applyBorder="1" applyFont="1"/>
    <xf borderId="9" fillId="13" fontId="3" numFmtId="0" xfId="0" applyBorder="1" applyFont="1"/>
    <xf borderId="11" fillId="13" fontId="3" numFmtId="0" xfId="0" applyBorder="1" applyFont="1"/>
    <xf borderId="10" fillId="13" fontId="3" numFmtId="3" xfId="0" applyBorder="1" applyFont="1" applyNumberFormat="1"/>
    <xf borderId="4" fillId="12" fontId="8" numFmtId="0" xfId="0" applyAlignment="1" applyBorder="1" applyFont="1">
      <alignment horizontal="center" vertical="center"/>
    </xf>
    <xf borderId="0" fillId="12" fontId="8" numFmtId="0" xfId="0" applyAlignment="1" applyFont="1">
      <alignment horizontal="center" vertical="center"/>
    </xf>
    <xf borderId="5" fillId="12" fontId="8" numFmtId="0" xfId="0" applyAlignment="1" applyBorder="1" applyFont="1">
      <alignment horizontal="center" vertical="center"/>
    </xf>
    <xf borderId="4" fillId="14" fontId="3" numFmtId="0" xfId="0" applyBorder="1" applyFill="1" applyFont="1"/>
    <xf borderId="0" fillId="14" fontId="3" numFmtId="0" xfId="0" applyAlignment="1" applyFont="1">
      <alignment horizontal="center"/>
    </xf>
    <xf borderId="6" fillId="14" fontId="3" numFmtId="0" xfId="0" applyBorder="1" applyFont="1"/>
    <xf borderId="8" fillId="14" fontId="3" numFmtId="0" xfId="0" applyAlignment="1" applyBorder="1" applyFont="1">
      <alignment horizontal="center"/>
    </xf>
    <xf borderId="5" fillId="0" fontId="3" numFmtId="3" xfId="0" applyBorder="1" applyFont="1" applyNumberFormat="1"/>
    <xf borderId="0" fillId="0" fontId="3" numFmtId="0" xfId="0" applyFont="1"/>
    <xf borderId="0" fillId="0" fontId="3" numFmtId="0" xfId="0" applyAlignment="1" applyFont="1">
      <alignment horizontal="center"/>
    </xf>
    <xf borderId="4" fillId="0" fontId="3" numFmtId="0" xfId="0" applyBorder="1" applyFont="1"/>
    <xf borderId="8" fillId="0" fontId="3" numFmtId="3" xfId="0" applyBorder="1" applyFont="1" applyNumberFormat="1"/>
    <xf borderId="7" fillId="0" fontId="3" numFmtId="3" xfId="0" applyBorder="1" applyFont="1" applyNumberFormat="1"/>
    <xf borderId="11" fillId="13" fontId="3" numFmtId="3" xfId="0" applyBorder="1" applyFont="1" applyNumberFormat="1"/>
    <xf borderId="0" fillId="0" fontId="3" numFmtId="0" xfId="0" applyAlignment="1" applyFont="1">
      <alignment readingOrder="0"/>
    </xf>
    <xf borderId="0" fillId="5" fontId="8" numFmtId="0" xfId="0" applyAlignment="1" applyFont="1">
      <alignment horizontal="center"/>
    </xf>
    <xf borderId="0" fillId="5" fontId="8" numFmtId="3" xfId="0" applyAlignment="1" applyFont="1" applyNumberFormat="1">
      <alignment horizontal="center"/>
    </xf>
    <xf borderId="0" fillId="5" fontId="13" numFmtId="0" xfId="0" applyAlignment="1" applyFont="1">
      <alignment horizontal="center"/>
    </xf>
    <xf borderId="0" fillId="0" fontId="2" numFmtId="0" xfId="0" applyAlignment="1" applyFont="1">
      <alignment horizontal="center"/>
    </xf>
    <xf borderId="0" fillId="0" fontId="2" numFmtId="3" xfId="0" applyAlignment="1" applyFont="1" applyNumberFormat="1">
      <alignment horizontal="center"/>
    </xf>
    <xf borderId="0" fillId="0" fontId="2" numFmtId="165" xfId="0" applyFont="1" applyNumberFormat="1"/>
    <xf borderId="0" fillId="0" fontId="14" numFmtId="0" xfId="0" applyFont="1"/>
    <xf borderId="0" fillId="0" fontId="14" numFmtId="3" xfId="0" applyFont="1" applyNumberFormat="1"/>
    <xf borderId="0" fillId="0" fontId="14" numFmtId="166" xfId="0" applyFont="1" applyNumberFormat="1"/>
    <xf borderId="0" fillId="0" fontId="15" numFmtId="0" xfId="0" applyAlignment="1" applyFont="1">
      <alignment horizontal="center"/>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7E1CD"/>
          <bgColor rgb="FFB7E1CD"/>
        </patternFill>
      </fill>
      <border/>
    </dxf>
    <dxf>
      <font/>
      <fill>
        <patternFill patternType="solid">
          <fgColor rgb="FFE06666"/>
          <bgColor rgb="FFE06666"/>
        </patternFill>
      </fill>
      <border/>
    </dxf>
    <dxf>
      <font>
        <color rgb="FFFFFFFF"/>
      </font>
      <fill>
        <patternFill patternType="solid">
          <fgColor rgb="FFCC0000"/>
          <bgColor rgb="FFCC0000"/>
        </patternFill>
      </fill>
      <border/>
    </dxf>
  </dxfs>
  <tableStyles count="8">
    <tableStyle count="3" pivot="0" name="SAP-style">
      <tableStyleElement dxfId="1" type="headerRow"/>
      <tableStyleElement dxfId="2" type="firstRowStripe"/>
      <tableStyleElement dxfId="3" type="secondRowStripe"/>
    </tableStyle>
    <tableStyle count="3" pivot="0" name="MASTER PLAN-style">
      <tableStyleElement dxfId="1" type="headerRow"/>
      <tableStyleElement dxfId="2" type="firstRowStripe"/>
      <tableStyleElement dxfId="3" type="secondRowStripe"/>
    </tableStyle>
    <tableStyle count="2" pivot="0" name="PLAN P2-style">
      <tableStyleElement dxfId="2" type="firstRowStripe"/>
      <tableStyleElement dxfId="3" type="secondRowStripe"/>
    </tableStyle>
    <tableStyle count="2" pivot="0" name="PLAN P2-style 2">
      <tableStyleElement dxfId="2" type="firstRowStripe"/>
      <tableStyleElement dxfId="3" type="secondRowStripe"/>
    </tableStyle>
    <tableStyle count="2" pivot="0" name="PLAN P2-style 3">
      <tableStyleElement dxfId="2" type="firstRowStripe"/>
      <tableStyleElement dxfId="3" type="secondRowStripe"/>
    </tableStyle>
    <tableStyle count="2" pivot="0" name="PLAN P2-style 4">
      <tableStyleElement dxfId="2" type="firstRowStripe"/>
      <tableStyleElement dxfId="3" type="secondRowStripe"/>
    </tableStyle>
    <tableStyle count="2" pivot="0" name="PLAN P2-style 5">
      <tableStyleElement dxfId="3" type="firstRowStripe"/>
      <tableStyleElement dxfId="2" type="secondRowStripe"/>
    </tableStyle>
    <tableStyle count="2" pivot="0" name="PLAN P2-style 6">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3" Type="http://customschemas.google.com/relationships/workbookmetadata" Target="metadata"/><Relationship Id="rId12"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1095375</xdr:colOff>
      <xdr:row>0</xdr:row>
      <xdr:rowOff>76200</xdr:rowOff>
    </xdr:from>
    <xdr:ext cx="2857500" cy="2857500"/>
    <mc:AlternateContent>
      <mc:Choice Requires="sle15">
        <xdr:graphicFrame>
          <xdr:nvGraphicFramePr>
            <xdr:cNvPr id="1" name="PEDIDO_1"/>
            <xdr:cNvGraphicFramePr/>
          </xdr:nvGraphicFramePr>
          <xdr:xfrm>
            <a:off x="0" y="0"/>
            <a:ext cx="0" cy="0"/>
          </xdr:xfrm>
          <a:graphic>
            <a:graphicData uri="http://schemas.microsoft.com/office/drawing/2010/slicer">
              <x3Unk:slicer name="PEDIDO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27:M1197" sheet="PLAN P2"/>
  </cacheSource>
  <cacheFields>
    <cacheField name="FECHA" numFmtId="166">
      <sharedItems containsSemiMixedTypes="0" containsDate="1" containsString="0">
        <d v="2025-11-03T00:00:00Z"/>
        <d v="2025-11-04T00:00:00Z"/>
        <d v="2025-11-05T00:00:00Z"/>
        <d v="2025-11-06T00:00:00Z"/>
        <d v="2025-11-07T00:00:00Z"/>
        <d v="2025-11-08T00:00:00Z"/>
        <d v="2025-11-10T00:00:00Z"/>
        <d v="2025-11-11T00:00:00Z"/>
        <d v="2025-11-12T00:00:00Z"/>
        <d v="2025-11-13T00:00:00Z"/>
        <d v="2025-11-14T00:00:00Z"/>
        <d v="2025-11-15T00:00:00Z"/>
        <d v="2025-11-17T00:00:00Z"/>
        <d v="2025-11-18T00:00:00Z"/>
        <d v="2025-11-19T00:00:00Z"/>
        <d v="2025-11-20T00:00:00Z"/>
        <d v="2025-11-21T00:00:00Z"/>
        <d v="2025-11-22T00:00:00Z"/>
        <d v="2025-11-24T00:00:00Z"/>
        <d v="2025-11-25T00:00:00Z"/>
        <d v="2025-11-26T00:00:00Z"/>
        <d v="2025-11-27T00:00:00Z"/>
        <d v="2025-11-28T00:00:00Z"/>
        <d v="2025-11-29T00:00:00Z"/>
        <d v="2025-12-01T00:00:00Z"/>
        <d v="2025-12-02T00:00:00Z"/>
        <d v="2025-12-03T00:00:00Z"/>
        <d v="2025-12-04T00:00:00Z"/>
        <d v="2025-12-05T00:00:00Z"/>
        <d v="2025-12-06T00:00:00Z"/>
        <d v="2025-12-08T00:00:00Z"/>
        <d v="2025-12-09T00:00:00Z"/>
        <d v="2025-12-10T00:00:00Z"/>
        <d v="2025-12-11T00:00:00Z"/>
        <d v="2025-12-12T00:00:00Z"/>
        <d v="2025-12-13T00:00:00Z"/>
        <d v="2025-12-15T00:00:00Z"/>
        <d v="2025-12-16T00:00:00Z"/>
        <d v="2025-12-17T00:00:00Z"/>
        <d v="2025-12-18T00:00:00Z"/>
        <d v="2025-12-19T00:00:00Z"/>
        <d v="2025-12-20T00:00:00Z"/>
        <d v="2025-12-22T00:00:00Z"/>
        <d v="2025-12-23T00:00:00Z"/>
        <d v="2025-12-24T00:00:00Z"/>
        <d v="2025-12-25T00:00:00Z"/>
        <d v="2025-12-26T00:00:00Z"/>
        <d v="2025-12-27T00:00:00Z"/>
        <d v="2025-12-29T00:00:00Z"/>
        <d v="2025-12-30T00:00:00Z"/>
        <d v="2025-12-31T00:00:00Z"/>
        <d v="2026-01-01T00:00:00Z"/>
        <d v="2026-01-02T00:00:00Z"/>
        <d v="2026-01-03T00:00:00Z"/>
        <d v="2026-01-05T00:00:00Z"/>
        <d v="2026-01-06T00:00:00Z"/>
        <d v="2026-01-07T00:00:00Z"/>
        <d v="2026-01-08T00:00:00Z"/>
        <d v="2026-01-09T00:00:00Z"/>
        <d v="2026-01-10T00:00:00Z"/>
        <d v="2026-01-12T00:00:00Z"/>
        <d v="2026-01-13T00:00:00Z"/>
        <d v="2026-01-14T00:00:00Z"/>
        <d v="2026-01-15T00:00:00Z"/>
        <d v="2026-01-16T00:00:00Z"/>
        <d v="2026-01-17T00:00:00Z"/>
        <d v="2026-01-19T00:00:00Z"/>
        <d v="2026-01-20T00:00:00Z"/>
        <d v="2026-01-21T00:00:00Z"/>
        <d v="2026-01-22T00:00:00Z"/>
        <d v="2026-01-23T00:00:00Z"/>
        <d v="2026-01-24T00:00:00Z"/>
        <d v="2026-01-26T00:00:00Z"/>
        <d v="2026-01-27T00:00:00Z"/>
        <d v="2026-01-28T00:00:00Z"/>
        <d v="2026-01-29T00:00:00Z"/>
        <d v="2026-01-30T00:00:00Z"/>
        <d v="2026-01-31T00:00:00Z"/>
      </sharedItems>
    </cacheField>
    <cacheField name="PEDIDO" numFmtId="0">
      <sharedItems containsString="0" containsBlank="1" containsNumber="1" containsInteger="1">
        <m/>
        <n v="1.402049346E9"/>
        <n v="1.402049277E9"/>
        <n v="1.402049237E9"/>
        <n v="1.402049194E9"/>
        <n v="1.402049321E9"/>
        <n v="1.402049281E9"/>
        <n v="1.402049342E9"/>
        <n v="1.402048833E9"/>
        <n v="1.402049349E9"/>
        <n v="1.40204935E9"/>
        <n v="1.402049286E9"/>
        <n v="1.402049362E9"/>
        <n v="1.402049363E9"/>
        <n v="1.402049207E9"/>
        <n v="1.402049263E9"/>
        <n v="1.402049364E9"/>
        <n v="1.402048632E9"/>
        <n v="1.402049318E9"/>
        <n v="1.402049351E9"/>
        <n v="1.402049444E9"/>
        <n v="1.402049402E9"/>
        <n v="1.402049419E9"/>
        <n v="1.402049355E9"/>
        <n v="1.40204949E9"/>
        <n v="1.402049498E9"/>
        <n v="1.402049507E9"/>
        <n v="1.40204948E9"/>
        <n v="1.402049448E9"/>
        <n v="1.402049475E9"/>
        <n v="1.402049521E9"/>
        <n v="1.402049532E9"/>
        <n v="1.402049358E9"/>
        <n v="1.402049543E9"/>
        <n v="1.402049466E9"/>
        <n v="1.402049559E9"/>
        <n v="1.402049568E9"/>
      </sharedItems>
    </cacheField>
    <cacheField name="POS" numFmtId="0">
      <sharedItems containsString="0" containsBlank="1" containsNumber="1" containsInteger="1">
        <m/>
        <n v="10.0"/>
        <n v="30.0"/>
        <n v="20.0"/>
        <n v="40.0"/>
      </sharedItems>
    </cacheField>
    <cacheField name="PROYECTO" numFmtId="0">
      <sharedItems>
        <s v=""/>
        <s v="BOLSA HELZBERG 10X2-5X8 IN FA"/>
        <s v="BOLSA ELEGANCE 4-5X2-5X5-75 IN FL"/>
        <s v="BOLSA ELEGANCE 8X4X10 IN FL"/>
        <s v="BOLSA ANNABELLES 8&quot;X4&quot;X10&quot;"/>
        <s v="BOLSA ELEGANCE 6-5X3-5X6-5 IN FL"/>
        <s v="BOLSA ANNABELLES 13&quot;X5&quot;X10&quot;"/>
        <s v="BOLSA ALMAGEN CORP 8&quot;X4&quot;X10&quot;"/>
        <s v="BOLSA BRILLANTI 6-5&quot;X3-5&quot;X6-5&quot;"/>
        <s v="BOLSA ALBERTS JEWELERS 6-5&quot;X3-5&quot;X6-5&quot;"/>
        <s v="BOLSA ALBERTS JEWELERS 10&quot;X6&quot;X10&quot; FL"/>
        <s v="BOLSA SHARFMANS JLRS 6-5&quot;X3-5&quot;X6-5&quot;"/>
        <s v="BOLSA SHARFMANS JLRS 10&quot;X4&quot;X8&quot;"/>
        <s v="BOLSA FRED MEYER 4-5&quot;X3&quot;X5-5&quot;"/>
        <s v="BOLSA WSHM WOS 10&quot;X6&quot;X10&quot; FA"/>
        <s v="BOLSA WSMJ MAYORS WOS 6-5&quot;X3-5&quot;X6-5&quot; FA"/>
        <s v="BOLSA WSMJ MAYORS WOS 10&quot;X6&quot;X10&quot; FA"/>
        <s v="BOLSA WSHN WOS 17&quot;X7&quot;X14&quot; FA"/>
        <s v="BOLSA WSMJ MAYORS WOS 17&quot;X7&quot;X14&quot; FA"/>
        <s v="BOLSA ELEGANCE 12-5X4X14 IN FL"/>
        <s v="BOLSA HUNTINGTON 6-5&quot;X3-5&quot;X6-5&quot;"/>
        <s v="BOLSA SCHWANKE KASTEN CO 10&quot;X6&quot;X8&quot;"/>
        <s v="BOLSA BELUM 11X7X14-5 CM FL"/>
        <s v="BOLSA HUNTINGTON 8&quot;X4&quot;X10&quot;"/>
        <s v="BOLSA FINKS JEWELERS 6-5&quot;X3-5&quot;X6-5&quot;"/>
        <s v="BOLSA FINKS JEWELERS  7&quot;X5&quot;X9&quot;"/>
        <s v="FOLDER GOLD CASTER LAWRENCE"/>
        <s v="BOLSA FRED MEYER 10&quot;X4&quot;X8&quot;"/>
        <s v="BOLSA ROGERS ENTERPRISES 10&quot;X4&quot;X7-75&quot;"/>
        <s v="BOLSA WATERFALL JEWELERS 6-5&quot;X3-5&quot;X6-5&quot;"/>
        <s v="BOLSA WATERFALL JEWELERS 8&quot;X4&quot;X10&quot;"/>
        <s v="BOLSA AMERICUS DIAMOND 6-5X3-5X6-5"/>
        <s v="BOLSA LAWRENCE(GOLD CASTER)10-5&quot;X5X8-25&quot;"/>
        <s v="BOLSA COMERCIAL SORIA 10X4X8 IN FC"/>
        <s v="BOLSA COMERCIAL SORIA 6-5X3-5X6-5 IN FC"/>
        <s v="BOLSA WALKER CHRISTOPHER 6-5X3X9"/>
        <s v="BOLSA MAZZARESE 6-5&quot;X3-5X6-5&quot;"/>
        <s v="BOLSA NA HOKU 159X90X210MM"/>
        <s v="BOLSA LEE BRANT  8&quot;X4&quot;X10&quot;"/>
        <s v="BOLSA CALDANI 6-5&quot;X2-5&quot;X5-5&quot;"/>
        <s v="BOLSA PEARL FACTORY 159X90X210MM"/>
        <s v="BOLSA ROTTERMOND 9-75&quot;X4&quot;X7&quot;"/>
        <s v="BOLSA THE GEM LAB 6-5X3-5X6-5"/>
        <s v="BOLSA CHARISMA JEWELERS 10&quot;X 4&quot;X 8&quot;"/>
        <s v="BOLSA JON'S FINE JEWELRY 5&quot;X4&quot;X7&quot;"/>
        <s v="BOLSA J-C- JEWELERS 10&quot;X4&quot;X8&quot; -BLUE"/>
        <s v="BOLSA JOYERIA GARZON 4.75&quot;X3.5&quot;X6&quot;"/>
        <s v="BOLSA SILEO 10X4X8 IN"/>
      </sharedItems>
    </cacheField>
    <cacheField name="PLAN" numFmtId="0">
      <sharedItems containsString="0" containsBlank="1" containsNumber="1" containsInteger="1">
        <m/>
        <n v="1300.0"/>
        <n v="1200.0"/>
        <n v="240.0"/>
        <n v="3500.0"/>
        <n v="3000.0"/>
        <n v="200.0"/>
        <n v="1500.0"/>
        <n v="2000.0"/>
        <n v="1700.0"/>
        <n v="500.0"/>
        <n v="3260.0"/>
        <n v="3200.0"/>
        <n v="2800.0"/>
        <n v="2250.0"/>
        <n v="600.0"/>
        <n v="800.0"/>
        <n v="1400.0"/>
        <n v="700.0"/>
        <n v="2100.0"/>
        <n v="900.0"/>
        <n v="2500.0"/>
        <n v="550.0"/>
        <n v="1800.0"/>
        <n v="2200.0"/>
        <n v="750.0"/>
        <n v="1000.0"/>
        <n v="2750.0"/>
        <n v="150.0"/>
        <n v="2450.0"/>
        <n v="100.0"/>
        <n v="300.0"/>
        <n v="2300.0"/>
      </sharedItems>
    </cacheField>
    <cacheField name="REAL" numFmtId="0">
      <sharedItems containsString="0" containsBlank="1" containsNumber="1" containsInteger="1">
        <m/>
        <n v="1300.0"/>
        <n v="1200.0"/>
        <n v="240.0"/>
        <n v="3500.0"/>
        <n v="3800.0"/>
        <n v="200.0"/>
        <n v="3300.0"/>
      </sharedItems>
    </cacheField>
    <cacheField name="$/ UND">
      <sharedItems containsMixedTypes="1" containsNumber="1">
        <s v=" "/>
        <n v="0.8"/>
        <n v="0.816"/>
        <n v="1.096"/>
        <n v="1.4"/>
        <n v="0.888"/>
        <n v="2.728"/>
        <n v="2.928"/>
        <n v="0.77"/>
        <n v="0.912"/>
        <n v="1.6079999999999999"/>
        <n v="0.92"/>
        <n v="1.16"/>
        <n v="0.5077408637873755"/>
        <n v="2.448"/>
        <n v="1.672"/>
        <n v="2.48"/>
        <n v="4.52"/>
        <n v="4.584"/>
        <n v="1.832"/>
        <n v="1.768"/>
        <n v="1.408"/>
        <n v="0.53"/>
        <n v="3.3360000000000003"/>
        <n v="0.56"/>
        <n v="0.728"/>
        <n v="0.805"/>
        <n v="0.63"/>
        <n v="1.064"/>
        <n v="2.376"/>
        <n v="3.104"/>
        <n v="0.744"/>
        <n v="1.648"/>
        <n v="1.51"/>
        <n v="1.11"/>
        <n v="1.46"/>
        <n v="0.968"/>
        <n v="1.32"/>
        <n v="0.663"/>
        <n v="0.76"/>
        <n v="3.624"/>
        <n v="0.704"/>
        <n v="1.2"/>
        <n v="3.29"/>
        <n v="1.98"/>
      </sharedItems>
    </cacheField>
    <cacheField name="PLAN $" numFmtId="165">
      <sharedItems containsSemiMixedTypes="0" containsString="0" containsNumber="1">
        <n v="0.0"/>
        <n v="1040.0"/>
        <n v="979.1999999999999"/>
        <n v="263.04"/>
        <n v="4900.0"/>
        <n v="2448.0"/>
        <n v="219.20000000000002"/>
        <n v="2664.0"/>
        <n v="4092.0000000000005"/>
        <n v="5856.0"/>
        <n v="1509.6"/>
        <n v="1540.0"/>
        <n v="3192.0"/>
        <n v="385.0"/>
        <n v="1929.6"/>
        <n v="1424.8000000000002"/>
        <n v="1380.0"/>
        <n v="1739.9999999999998"/>
        <n v="3572.9600000000005"/>
        <n v="761.6112956810632"/>
        <n v="1624.7707641196016"/>
        <n v="7344.0"/>
        <n v="4681.599999999999"/>
        <n v="1240.0"/>
        <n v="5508.0"/>
        <n v="2711.9999999999995"/>
        <n v="7440.0"/>
        <n v="3615.9999999999995"/>
        <n v="6417.599999999999"/>
        <n v="1736.0"/>
        <n v="3847.2000000000003"/>
        <n v="2400.0"/>
        <n v="1648.8"/>
        <n v="4420.0"/>
        <n v="2816.0"/>
        <n v="291.5"/>
        <n v="3536.0"/>
        <n v="6004.8"/>
        <n v="1232.0000000000002"/>
        <n v="436.8"/>
        <n v="640.0"/>
        <n v="644.0"/>
        <n v="2184.0"/>
        <n v="472.5"/>
        <n v="655.1999999999999"/>
        <n v="2006.3999999999999"/>
        <n v="6732.0"/>
        <n v="677.9999999999999"/>
        <n v="4464.0"/>
        <n v="1596.0"/>
        <n v="11073.999999999998"/>
        <n v="458.4"/>
        <n v="11459.999999999998"/>
        <n v="319.20000000000005"/>
        <n v="744.8000000000001"/>
        <n v="5227.2"/>
        <n v="9312.0"/>
        <n v="1900.8"/>
        <n v="4752.0"/>
        <n v="3104.0"/>
        <n v="520.8"/>
        <n v="4944.0"/>
        <n v="1711.2"/>
        <n v="755.0"/>
        <n v="1665.0000000000002"/>
        <n v="2190.0"/>
        <n v="1510.0"/>
        <n v="1452.0"/>
        <n v="2736.0"/>
        <n v="2904.0"/>
        <n v="912.0"/>
        <n v="1936.0"/>
        <n v="1320.0"/>
        <n v="663.0"/>
        <n v="1161.6"/>
        <n v="2280.0"/>
        <n v="2710.4"/>
        <n v="1140.0"/>
        <n v="5436.0"/>
        <n v="1760.0"/>
        <n v="600.0"/>
        <n v="1800.0"/>
        <n v="3344.0"/>
        <n v="4935.0"/>
        <n v="380.0"/>
        <n v="2660.0"/>
        <n v="2128.0"/>
        <n v="1600.0"/>
        <n v="3960.0"/>
      </sharedItems>
    </cacheField>
    <cacheField name="REAL $" numFmtId="165">
      <sharedItems containsSemiMixedTypes="0" containsString="0" containsNumber="1">
        <n v="0.0"/>
        <n v="1040.0"/>
        <n v="979.1999999999999"/>
        <n v="263.04"/>
        <n v="4900.0"/>
        <n v="3100.7999999999997"/>
        <n v="219.20000000000002"/>
        <n v="2930.4"/>
      </sharedItems>
    </cacheField>
    <cacheField name="LÍNEA" numFmtId="0">
      <sharedItems>
        <s v="MOEX"/>
        <s v="YOBEL"/>
        <s v="MELISS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SHBOARD" cacheId="0" dataCaption="" compact="0" compactData="0">
  <location ref="B4:CD59" firstHeaderRow="0" firstDataRow="2" firstDataCol="1"/>
  <pivotFields>
    <pivotField name="FECHA" axis="axisCol" compact="0" numFmtId="166"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PEDIDO" axis="axisRow" compact="0" outline="0" multipleItemSelectionAllowed="1" showAll="0" sortType="ascending" defaultSubtotal="0">
      <items>
        <item x="0"/>
        <item x="17"/>
        <item x="8"/>
        <item x="4"/>
        <item x="14"/>
        <item x="3"/>
        <item x="15"/>
        <item x="2"/>
        <item x="6"/>
        <item x="11"/>
        <item x="18"/>
        <item x="5"/>
        <item x="7"/>
        <item x="1"/>
        <item x="9"/>
        <item x="10"/>
        <item x="19"/>
        <item x="23"/>
        <item x="32"/>
        <item x="12"/>
        <item x="13"/>
        <item x="16"/>
        <item x="21"/>
        <item x="22"/>
        <item x="20"/>
        <item x="28"/>
        <item x="34"/>
        <item x="29"/>
        <item x="27"/>
        <item x="24"/>
        <item x="25"/>
        <item x="26"/>
        <item x="30"/>
        <item x="31"/>
        <item x="33"/>
        <item x="35"/>
        <item x="36"/>
      </items>
    </pivotField>
    <pivotField name="POS" compact="0" outline="0" multipleItemSelectionAllowed="1" showAll="0">
      <items>
        <item x="0"/>
        <item x="1"/>
        <item x="2"/>
        <item x="3"/>
        <item x="4"/>
        <item t="default"/>
      </items>
    </pivotField>
    <pivotField name="PROYECTO" axis="axisRow" compact="0" outline="0" multipleItemSelectionAllowed="1" showAll="0" sortType="ascending">
      <items>
        <item x="0"/>
        <item x="10"/>
        <item x="9"/>
        <item x="7"/>
        <item x="31"/>
        <item x="6"/>
        <item x="4"/>
        <item x="22"/>
        <item x="8"/>
        <item x="39"/>
        <item x="43"/>
        <item x="33"/>
        <item x="34"/>
        <item x="19"/>
        <item x="2"/>
        <item x="5"/>
        <item x="3"/>
        <item x="25"/>
        <item x="24"/>
        <item x="27"/>
        <item x="13"/>
        <item x="1"/>
        <item x="20"/>
        <item x="23"/>
        <item x="45"/>
        <item x="44"/>
        <item x="46"/>
        <item x="32"/>
        <item x="38"/>
        <item x="36"/>
        <item x="37"/>
        <item x="40"/>
        <item x="28"/>
        <item x="41"/>
        <item x="21"/>
        <item x="12"/>
        <item x="11"/>
        <item x="47"/>
        <item x="42"/>
        <item x="35"/>
        <item x="29"/>
        <item x="30"/>
        <item x="14"/>
        <item x="17"/>
        <item x="16"/>
        <item x="18"/>
        <item x="15"/>
        <item x="26"/>
        <item t="default"/>
      </items>
    </pivotField>
    <pivotField name="PLA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REAL" compact="0" outline="0" multipleItemSelectionAllowed="1" showAll="0">
      <items>
        <item x="0"/>
        <item x="1"/>
        <item x="2"/>
        <item x="3"/>
        <item x="4"/>
        <item x="5"/>
        <item x="6"/>
        <item x="7"/>
        <item t="default"/>
      </items>
    </pivotField>
    <pivotField name="$/ U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PLAN $"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REAL $" compact="0" numFmtId="165" outline="0" multipleItemSelectionAllowed="1" showAll="0">
      <items>
        <item x="0"/>
        <item x="1"/>
        <item x="2"/>
        <item x="3"/>
        <item x="4"/>
        <item x="5"/>
        <item x="6"/>
        <item x="7"/>
        <item t="default"/>
      </items>
    </pivotField>
    <pivotField name="LÍNEA" compact="0" outline="0" multipleItemSelectionAllowed="1" showAll="0">
      <items>
        <item x="0"/>
        <item x="1"/>
        <item x="2"/>
        <item t="default"/>
      </items>
    </pivotField>
  </pivotFields>
  <rowFields>
    <field x="1"/>
    <field x="3"/>
  </rowFields>
  <colFields>
    <field x="0"/>
  </colFields>
  <dataFields>
    <dataField name="SUM of PLAN" fld="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9_Col_2" sourceName="PEDIDO">
  <x14:extLst>
    <ext uri="{2F2917AC-EB37-4324-AD4E-5DD8C200BD13}">
      <x15:tableSlicerCache tableId="9"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EDIDO_1" cache="SlicerCache_Table_9_Col_2" caption="PEDIDO" rowHeight="247650"/>
</x14:slicers>
</file>

<file path=xl/tables/table1.xml><?xml version="1.0" encoding="utf-8"?>
<table xmlns="http://schemas.openxmlformats.org/spreadsheetml/2006/main" ref="A1:K81" displayName="Table_1" name="Table_1" id="1">
  <tableColumns count="11">
    <tableColumn name="CLIENTE" id="1"/>
    <tableColumn name="PEDIDO (14)" id="2"/>
    <tableColumn name="POSICIÓN" id="3"/>
    <tableColumn name="MATERIAL" id="4"/>
    <tableColumn name="PROYECTO" id="5"/>
    <tableColumn name="CANTIDAD" id="6"/>
    <tableColumn name="TOTAL" id="7"/>
    <tableColumn name="FECHA PEDIDO" id="8"/>
    <tableColumn name="FECHA REQUERIDO" id="9"/>
    <tableColumn name="PEDIDO CLIENTE" id="10"/>
    <tableColumn name="PO_ID" id="11"/>
  </tableColumns>
  <tableStyleInfo name="SAP-style" showColumnStripes="0" showFirstColumn="1" showLastColumn="1" showRowStripes="1"/>
</table>
</file>

<file path=xl/tables/table2.xml><?xml version="1.0" encoding="utf-8"?>
<table xmlns="http://schemas.openxmlformats.org/spreadsheetml/2006/main" ref="A1:AB81" displayName="Table_2" name="Table_2" id="2">
  <tableColumns count="28">
    <tableColumn name="DIVISION" id="1"/>
    <tableColumn name="CUSTOMER" id="2"/>
    <tableColumn name="DESTINATION" id="3"/>
    <tableColumn name="RSM" id="4"/>
    <tableColumn name="PM" id="5"/>
    <tableColumn name="PRODUCT" id="6"/>
    <tableColumn name="PO" id="7"/>
    <tableColumn name="POSITION" id="8"/>
    <tableColumn name="MATERIAL" id="9"/>
    <tableColumn name="PROJECT" id="10"/>
    <tableColumn name="QTY" id="11"/>
    <tableColumn name="TOTAL" id="12"/>
    <tableColumn name="$/UND" id="13"/>
    <tableColumn name="% OVER" id="14"/>
    <tableColumn name="QTY + OVER" id="15"/>
    <tableColumn name="ORDEN" id="16"/>
    <tableColumn name="ORDER DATE" id="17"/>
    <tableColumn name="PO DATE" id="18"/>
    <tableColumn name="REQ DATE" id="19"/>
    <tableColumn name="SOLPED" id="20"/>
    <tableColumn name="INITIAL ETD" id="21"/>
    <tableColumn name="CURRENT EDT" id="22"/>
    <tableColumn name="COMMENT" id="23"/>
    <tableColumn name="STATUS" id="24"/>
    <tableColumn name="LEADTIME" id="25"/>
    <tableColumn name="REMARK" id="26"/>
    <tableColumn name="FCST" id="27"/>
    <tableColumn name="PO_ID" id="28"/>
  </tableColumns>
  <tableStyleInfo name="MASTER PLAN-style" showColumnStripes="0" showFirstColumn="1" showLastColumn="1" showRowStripes="1"/>
</table>
</file>

<file path=xl/tables/table3.xml><?xml version="1.0" encoding="utf-8"?>
<table xmlns="http://schemas.openxmlformats.org/spreadsheetml/2006/main" headerRowCount="0" ref="DI4:DJ4" displayName="Table_3" name="Table_3" id="3">
  <tableColumns count="2">
    <tableColumn name="Column1" id="1"/>
    <tableColumn name="Column2" id="2"/>
  </tableColumns>
  <tableStyleInfo name="PLAN P2-style" showColumnStripes="0" showFirstColumn="1" showLastColumn="1" showRowStripes="1"/>
</table>
</file>

<file path=xl/tables/table4.xml><?xml version="1.0" encoding="utf-8"?>
<table xmlns="http://schemas.openxmlformats.org/spreadsheetml/2006/main" headerRowCount="0" ref="DN4:DO5" displayName="Table_4" name="Table_4" id="4">
  <tableColumns count="2">
    <tableColumn name="Column1" id="1"/>
    <tableColumn name="Column2" id="2"/>
  </tableColumns>
  <tableStyleInfo name="PLAN P2-style 2" showColumnStripes="0" showFirstColumn="1" showLastColumn="1" showRowStripes="1"/>
</table>
</file>

<file path=xl/tables/table5.xml><?xml version="1.0" encoding="utf-8"?>
<table xmlns="http://schemas.openxmlformats.org/spreadsheetml/2006/main" headerRowCount="0" ref="DY4:DZ5" displayName="Table_5" name="Table_5" id="5">
  <tableColumns count="2">
    <tableColumn name="Column1" id="1"/>
    <tableColumn name="Column2" id="2"/>
  </tableColumns>
  <tableStyleInfo name="PLAN P2-style 3" showColumnStripes="0" showFirstColumn="1" showLastColumn="1" showRowStripes="1"/>
</table>
</file>

<file path=xl/tables/table6.xml><?xml version="1.0" encoding="utf-8"?>
<table xmlns="http://schemas.openxmlformats.org/spreadsheetml/2006/main" headerRowCount="0" ref="ED4:EE6" displayName="Table_6" name="Table_6" id="6">
  <tableColumns count="2">
    <tableColumn name="Column1" id="1"/>
    <tableColumn name="Column2" id="2"/>
  </tableColumns>
  <tableStyleInfo name="PLAN P2-style 4" showColumnStripes="0" showFirstColumn="1" showLastColumn="1" showRowStripes="1"/>
</table>
</file>

<file path=xl/tables/table7.xml><?xml version="1.0" encoding="utf-8"?>
<table xmlns="http://schemas.openxmlformats.org/spreadsheetml/2006/main" headerRowCount="0" ref="GX4:GY5" displayName="Table_7" name="Table_7" id="7">
  <tableColumns count="2">
    <tableColumn name="Column1" id="1"/>
    <tableColumn name="Column2" id="2"/>
  </tableColumns>
  <tableStyleInfo name="PLAN P2-style 5" showColumnStripes="0" showFirstColumn="1" showLastColumn="1" showRowStripes="1"/>
</table>
</file>

<file path=xl/tables/table8.xml><?xml version="1.0" encoding="utf-8"?>
<table xmlns="http://schemas.openxmlformats.org/spreadsheetml/2006/main" headerRowCount="0" ref="DN12:DO13" displayName="Table_8" name="Table_8" id="8">
  <tableColumns count="2">
    <tableColumn name="Column1" id="1"/>
    <tableColumn name="Column2" id="2"/>
  </tableColumns>
  <tableStyleInfo name="PLAN P2-style 6" showColumnStripes="0" showFirstColumn="1" showLastColumn="1" showRowStripes="1"/>
</table>
</file>

<file path=xl/tables/table9.xml><?xml version="1.0" encoding="utf-8"?>
<table xmlns="http://schemas.openxmlformats.org/spreadsheetml/2006/main" ref="D27:M1203" displayName="Table_9" name="Table_9" id="9">
  <autoFilter ref="$D$27:$M$1203"/>
  <tableColumns count="10">
    <tableColumn name="FECHA" id="1"/>
    <tableColumn name="PEDIDO" id="2"/>
    <tableColumn name="POS" id="3"/>
    <tableColumn name="PROYECTO" id="4"/>
    <tableColumn name="PLAN" id="5"/>
    <tableColumn name="REAL" id="6"/>
    <tableColumn name="$/ UND" id="7"/>
    <tableColumn name="PLAN $" id="8"/>
    <tableColumn name="REAL $" id="9"/>
    <tableColumn name="LÍNEA" id="10"/>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5.xml"/><Relationship Id="rId10" Type="http://schemas.openxmlformats.org/officeDocument/2006/relationships/table" Target="../tables/table4.xml"/><Relationship Id="rId13" Type="http://schemas.openxmlformats.org/officeDocument/2006/relationships/table" Target="../tables/table7.xml"/><Relationship Id="rId12" Type="http://schemas.openxmlformats.org/officeDocument/2006/relationships/table" Target="../tables/table6.xml"/><Relationship Id="rId9" Type="http://schemas.openxmlformats.org/officeDocument/2006/relationships/table" Target="../tables/table3.xml"/><Relationship Id="rId15" Type="http://schemas.openxmlformats.org/officeDocument/2006/relationships/table" Target="../tables/table9.xml"/><Relationship Id="rId14"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 Id="rId3"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14"/>
    <col customWidth="1" min="2" max="2" width="16.86"/>
    <col customWidth="1" min="3" max="3" width="13.86"/>
    <col customWidth="1" min="4" max="4" width="13.29"/>
    <col customWidth="1" min="5" max="5" width="46.29"/>
    <col customWidth="1" min="6" max="6" width="15.29"/>
    <col customWidth="1" min="7" max="7" width="16.57"/>
    <col customWidth="1" min="8" max="8" width="18.86"/>
    <col customWidth="1" min="9" max="9" width="22.14"/>
    <col customWidth="1" min="10" max="10" width="23.71"/>
    <col customWidth="1" min="11" max="11" width="16.71"/>
  </cols>
  <sheetData>
    <row r="1" ht="14.25" customHeight="1">
      <c r="A1" s="1" t="s">
        <v>0</v>
      </c>
      <c r="B1" s="1" t="s">
        <v>1</v>
      </c>
      <c r="C1" s="1" t="s">
        <v>2</v>
      </c>
      <c r="D1" s="1" t="s">
        <v>3</v>
      </c>
      <c r="E1" s="1" t="s">
        <v>4</v>
      </c>
      <c r="F1" s="2" t="s">
        <v>5</v>
      </c>
      <c r="G1" s="3" t="s">
        <v>6</v>
      </c>
      <c r="H1" s="1" t="s">
        <v>7</v>
      </c>
      <c r="I1" s="1" t="s">
        <v>8</v>
      </c>
      <c r="J1" s="1" t="s">
        <v>9</v>
      </c>
      <c r="K1" s="4" t="s">
        <v>10</v>
      </c>
    </row>
    <row r="2" ht="14.25" customHeight="1">
      <c r="A2" s="5" t="s">
        <v>11</v>
      </c>
      <c r="B2" s="5">
        <v>1.402048632E9</v>
      </c>
      <c r="C2" s="5">
        <v>10.0</v>
      </c>
      <c r="D2" s="5">
        <v>1.0334816E7</v>
      </c>
      <c r="E2" s="5" t="s">
        <v>12</v>
      </c>
      <c r="F2" s="6">
        <v>17500.0</v>
      </c>
      <c r="G2" s="7">
        <v>18620.0</v>
      </c>
      <c r="H2" s="8">
        <v>45771.0</v>
      </c>
      <c r="I2" s="8">
        <v>45838.0</v>
      </c>
      <c r="J2" s="9"/>
      <c r="K2" s="10" t="str">
        <f t="shared" ref="K2:K81" si="1">CONCAT(B2,C2)</f>
        <v>140204863210</v>
      </c>
    </row>
    <row r="3" ht="14.25" customHeight="1">
      <c r="A3" s="5" t="s">
        <v>11</v>
      </c>
      <c r="B3" s="5">
        <v>1.402048797E9</v>
      </c>
      <c r="C3" s="5">
        <v>10.0</v>
      </c>
      <c r="D3" s="5">
        <v>1.0335265E7</v>
      </c>
      <c r="E3" s="5" t="s">
        <v>13</v>
      </c>
      <c r="F3" s="6">
        <v>1280.0</v>
      </c>
      <c r="G3" s="7">
        <v>1730.56</v>
      </c>
      <c r="H3" s="8">
        <v>45806.0</v>
      </c>
      <c r="I3" s="8">
        <v>45849.0</v>
      </c>
      <c r="J3" s="9"/>
      <c r="K3" s="10" t="str">
        <f t="shared" si="1"/>
        <v>140204879710</v>
      </c>
    </row>
    <row r="4" ht="14.25" customHeight="1">
      <c r="A4" s="5" t="s">
        <v>14</v>
      </c>
      <c r="B4" s="5">
        <v>1.402048824E9</v>
      </c>
      <c r="C4" s="5">
        <v>10.0</v>
      </c>
      <c r="D4" s="5">
        <v>1.0332711E7</v>
      </c>
      <c r="E4" s="5" t="s">
        <v>15</v>
      </c>
      <c r="F4" s="6">
        <v>16704.0</v>
      </c>
      <c r="G4" s="7">
        <v>5178.24</v>
      </c>
      <c r="H4" s="8">
        <v>45814.0</v>
      </c>
      <c r="I4" s="8">
        <v>45877.0</v>
      </c>
      <c r="J4" s="9"/>
      <c r="K4" s="10" t="str">
        <f t="shared" si="1"/>
        <v>140204882410</v>
      </c>
    </row>
    <row r="5" ht="14.25" customHeight="1">
      <c r="A5" s="5" t="s">
        <v>14</v>
      </c>
      <c r="B5" s="5">
        <v>1.402048833E9</v>
      </c>
      <c r="C5" s="5">
        <v>10.0</v>
      </c>
      <c r="D5" s="5">
        <v>1.0332711E7</v>
      </c>
      <c r="E5" s="5" t="s">
        <v>15</v>
      </c>
      <c r="F5" s="6">
        <v>54180.0</v>
      </c>
      <c r="G5" s="7">
        <v>27509.4</v>
      </c>
      <c r="H5" s="8">
        <v>45814.0</v>
      </c>
      <c r="I5" s="8">
        <v>45982.0</v>
      </c>
      <c r="J5" s="9"/>
      <c r="K5" s="10" t="str">
        <f t="shared" si="1"/>
        <v>140204883310</v>
      </c>
    </row>
    <row r="6" ht="14.25" customHeight="1">
      <c r="A6" s="5" t="s">
        <v>14</v>
      </c>
      <c r="B6" s="5">
        <v>1.402048833E9</v>
      </c>
      <c r="C6" s="5">
        <v>20.0</v>
      </c>
      <c r="D6" s="5">
        <v>1.0332712E7</v>
      </c>
      <c r="E6" s="5" t="s">
        <v>16</v>
      </c>
      <c r="F6" s="6">
        <v>6240.0</v>
      </c>
      <c r="G6" s="7">
        <v>3931.2</v>
      </c>
      <c r="H6" s="8">
        <v>45814.0</v>
      </c>
      <c r="I6" s="8">
        <v>45982.0</v>
      </c>
      <c r="J6" s="9"/>
      <c r="K6" s="10" t="str">
        <f t="shared" si="1"/>
        <v>140204883320</v>
      </c>
    </row>
    <row r="7" ht="14.25" customHeight="1">
      <c r="A7" s="5" t="s">
        <v>11</v>
      </c>
      <c r="B7" s="5">
        <v>1.402049194E9</v>
      </c>
      <c r="C7" s="5">
        <v>10.0</v>
      </c>
      <c r="D7" s="5">
        <v>1.0330512E7</v>
      </c>
      <c r="E7" s="5" t="s">
        <v>17</v>
      </c>
      <c r="F7" s="6">
        <v>2000.0</v>
      </c>
      <c r="G7" s="7">
        <v>5856.0</v>
      </c>
      <c r="H7" s="8">
        <v>45923.0</v>
      </c>
      <c r="I7" s="8">
        <v>45931.0</v>
      </c>
      <c r="J7" s="9"/>
      <c r="K7" s="10" t="str">
        <f t="shared" si="1"/>
        <v>140204919410</v>
      </c>
    </row>
    <row r="8" ht="14.25" customHeight="1">
      <c r="A8" s="5" t="s">
        <v>11</v>
      </c>
      <c r="B8" s="5">
        <v>1.402049207E9</v>
      </c>
      <c r="C8" s="5">
        <v>10.0</v>
      </c>
      <c r="D8" s="5">
        <v>1.0271087E7</v>
      </c>
      <c r="E8" s="5" t="s">
        <v>18</v>
      </c>
      <c r="F8" s="11">
        <v>9000.0</v>
      </c>
      <c r="G8" s="7">
        <v>5040.0</v>
      </c>
      <c r="H8" s="8">
        <v>45923.0</v>
      </c>
      <c r="I8" s="8">
        <v>45894.0</v>
      </c>
      <c r="J8" s="9"/>
      <c r="K8" s="10" t="str">
        <f t="shared" si="1"/>
        <v>140204920710</v>
      </c>
    </row>
    <row r="9" ht="14.25" customHeight="1">
      <c r="A9" s="5" t="s">
        <v>11</v>
      </c>
      <c r="B9" s="5">
        <v>1.402049437E9</v>
      </c>
      <c r="C9" s="5">
        <v>10.0</v>
      </c>
      <c r="D9" s="5">
        <v>1.027656E7</v>
      </c>
      <c r="E9" s="5" t="s">
        <v>19</v>
      </c>
      <c r="F9" s="11">
        <v>3000.0</v>
      </c>
      <c r="G9" s="7">
        <v>3528.0</v>
      </c>
      <c r="H9" s="8">
        <v>45940.0</v>
      </c>
      <c r="I9" s="8">
        <v>45999.0</v>
      </c>
      <c r="J9" s="9"/>
      <c r="K9" s="10" t="str">
        <f t="shared" si="1"/>
        <v>140204943710</v>
      </c>
    </row>
    <row r="10" ht="14.25" customHeight="1">
      <c r="A10" s="5" t="s">
        <v>11</v>
      </c>
      <c r="B10" s="5">
        <v>1.402049207E9</v>
      </c>
      <c r="C10" s="5">
        <v>20.0</v>
      </c>
      <c r="D10" s="5">
        <v>1.0271097E7</v>
      </c>
      <c r="E10" s="5" t="s">
        <v>20</v>
      </c>
      <c r="F10" s="11">
        <v>12000.0</v>
      </c>
      <c r="G10" s="7">
        <v>8736.0</v>
      </c>
      <c r="H10" s="8">
        <v>45923.0</v>
      </c>
      <c r="I10" s="8">
        <v>45894.0</v>
      </c>
      <c r="J10" s="9"/>
      <c r="K10" s="10" t="str">
        <f t="shared" si="1"/>
        <v>140204920720</v>
      </c>
    </row>
    <row r="11" ht="14.25" customHeight="1">
      <c r="A11" s="5" t="s">
        <v>11</v>
      </c>
      <c r="B11" s="5">
        <v>1.402049238E9</v>
      </c>
      <c r="C11" s="5">
        <v>10.0</v>
      </c>
      <c r="D11" s="5">
        <v>1.0335266E7</v>
      </c>
      <c r="E11" s="5" t="s">
        <v>21</v>
      </c>
      <c r="F11" s="11">
        <v>3040.0</v>
      </c>
      <c r="G11" s="7">
        <v>5496.32</v>
      </c>
      <c r="H11" s="12">
        <v>45918.0</v>
      </c>
      <c r="I11" s="12">
        <v>45960.0</v>
      </c>
      <c r="J11" s="9"/>
      <c r="K11" s="10" t="str">
        <f t="shared" si="1"/>
        <v>140204923810</v>
      </c>
    </row>
    <row r="12" ht="14.25" customHeight="1">
      <c r="A12" s="5" t="s">
        <v>11</v>
      </c>
      <c r="B12" s="5">
        <v>1.402049263E9</v>
      </c>
      <c r="C12" s="5">
        <v>10.0</v>
      </c>
      <c r="D12" s="5">
        <v>1.0269533E7</v>
      </c>
      <c r="E12" s="5" t="s">
        <v>22</v>
      </c>
      <c r="F12" s="11">
        <v>3000.0</v>
      </c>
      <c r="G12" s="7">
        <v>2415.0</v>
      </c>
      <c r="H12" s="12">
        <v>45918.0</v>
      </c>
      <c r="I12" s="12">
        <v>45961.0</v>
      </c>
      <c r="J12" s="9"/>
      <c r="K12" s="10" t="str">
        <f t="shared" si="1"/>
        <v>140204926310</v>
      </c>
    </row>
    <row r="13" ht="14.25" customHeight="1">
      <c r="A13" s="5" t="s">
        <v>11</v>
      </c>
      <c r="B13" s="5">
        <v>1.402049277E9</v>
      </c>
      <c r="C13" s="5">
        <v>10.0</v>
      </c>
      <c r="D13" s="5">
        <v>1.0341337E7</v>
      </c>
      <c r="E13" s="5" t="s">
        <v>23</v>
      </c>
      <c r="F13" s="11">
        <v>5000.0</v>
      </c>
      <c r="G13" s="7">
        <v>5480.0</v>
      </c>
      <c r="H13" s="12">
        <v>45918.0</v>
      </c>
      <c r="I13" s="12">
        <v>45940.0</v>
      </c>
      <c r="J13" s="9"/>
      <c r="K13" s="10" t="str">
        <f t="shared" si="1"/>
        <v>140204927710</v>
      </c>
    </row>
    <row r="14" ht="14.25" customHeight="1">
      <c r="A14" s="5" t="s">
        <v>11</v>
      </c>
      <c r="B14" s="5">
        <v>1.402049277E9</v>
      </c>
      <c r="C14" s="5">
        <v>20.0</v>
      </c>
      <c r="D14" s="5">
        <v>1.0341336E7</v>
      </c>
      <c r="E14" s="5" t="s">
        <v>24</v>
      </c>
      <c r="F14" s="11">
        <v>5000.0</v>
      </c>
      <c r="G14" s="7">
        <v>4440.0</v>
      </c>
      <c r="H14" s="12">
        <v>45918.0</v>
      </c>
      <c r="I14" s="12">
        <v>45940.0</v>
      </c>
      <c r="J14" s="9"/>
      <c r="K14" s="10" t="str">
        <f t="shared" si="1"/>
        <v>140204927720</v>
      </c>
    </row>
    <row r="15" ht="14.25" customHeight="1">
      <c r="A15" s="5" t="s">
        <v>11</v>
      </c>
      <c r="B15" s="5">
        <v>1.402049277E9</v>
      </c>
      <c r="C15" s="5">
        <v>30.0</v>
      </c>
      <c r="D15" s="5">
        <v>1.0341335E7</v>
      </c>
      <c r="E15" s="5" t="s">
        <v>25</v>
      </c>
      <c r="F15" s="11">
        <v>5000.0</v>
      </c>
      <c r="G15" s="7">
        <v>4080.0</v>
      </c>
      <c r="H15" s="12">
        <v>45918.0</v>
      </c>
      <c r="I15" s="12">
        <v>45940.0</v>
      </c>
      <c r="J15" s="9"/>
      <c r="K15" s="10" t="str">
        <f t="shared" si="1"/>
        <v>140204927730</v>
      </c>
    </row>
    <row r="16" ht="14.25" customHeight="1">
      <c r="A16" s="5" t="s">
        <v>11</v>
      </c>
      <c r="B16" s="5">
        <v>1.402049277E9</v>
      </c>
      <c r="C16" s="5">
        <v>40.0</v>
      </c>
      <c r="D16" s="5">
        <v>1.0341338E7</v>
      </c>
      <c r="E16" s="5" t="s">
        <v>26</v>
      </c>
      <c r="F16" s="11">
        <v>3000.0</v>
      </c>
      <c r="G16" s="7">
        <v>5496.0</v>
      </c>
      <c r="H16" s="12">
        <v>45918.0</v>
      </c>
      <c r="I16" s="12">
        <v>45940.0</v>
      </c>
      <c r="J16" s="9"/>
      <c r="K16" s="10" t="str">
        <f t="shared" si="1"/>
        <v>140204927740</v>
      </c>
    </row>
    <row r="17" ht="14.25" customHeight="1">
      <c r="A17" s="5" t="s">
        <v>11</v>
      </c>
      <c r="B17" s="5">
        <v>1.402049281E9</v>
      </c>
      <c r="C17" s="5">
        <v>10.0</v>
      </c>
      <c r="D17" s="5">
        <v>1.0335262E7</v>
      </c>
      <c r="E17" s="5" t="s">
        <v>27</v>
      </c>
      <c r="F17" s="11">
        <v>3500.0</v>
      </c>
      <c r="G17" s="7">
        <v>3192.0</v>
      </c>
      <c r="H17" s="12">
        <v>45918.0</v>
      </c>
      <c r="I17" s="12">
        <v>45961.0</v>
      </c>
      <c r="J17" s="9"/>
      <c r="K17" s="10" t="str">
        <f t="shared" si="1"/>
        <v>140204928110</v>
      </c>
    </row>
    <row r="18" ht="14.25" customHeight="1">
      <c r="A18" s="5" t="s">
        <v>11</v>
      </c>
      <c r="B18" s="5">
        <v>1.402049281E9</v>
      </c>
      <c r="C18" s="5">
        <v>20.0</v>
      </c>
      <c r="D18" s="5">
        <v>1.0340277E7</v>
      </c>
      <c r="E18" s="5" t="s">
        <v>28</v>
      </c>
      <c r="F18" s="11">
        <v>1200.0</v>
      </c>
      <c r="G18" s="7">
        <v>1929.6</v>
      </c>
      <c r="H18" s="12">
        <v>45918.0</v>
      </c>
      <c r="I18" s="12">
        <v>45961.0</v>
      </c>
      <c r="J18" s="9"/>
      <c r="K18" s="10" t="str">
        <f t="shared" si="1"/>
        <v>140204928120</v>
      </c>
    </row>
    <row r="19" ht="14.25" customHeight="1">
      <c r="A19" s="5" t="s">
        <v>11</v>
      </c>
      <c r="B19" s="5">
        <v>1.402049286E9</v>
      </c>
      <c r="C19" s="5">
        <v>10.0</v>
      </c>
      <c r="D19" s="5">
        <v>1.031515E7</v>
      </c>
      <c r="E19" s="5" t="s">
        <v>29</v>
      </c>
      <c r="F19" s="11">
        <v>4500.0</v>
      </c>
      <c r="G19" s="7">
        <v>7956.0</v>
      </c>
      <c r="H19" s="12">
        <v>45918.0</v>
      </c>
      <c r="I19" s="12">
        <v>45945.0</v>
      </c>
      <c r="J19" s="9"/>
      <c r="K19" s="10" t="str">
        <f t="shared" si="1"/>
        <v>140204928610</v>
      </c>
    </row>
    <row r="20" ht="14.25" customHeight="1">
      <c r="A20" s="5" t="s">
        <v>11</v>
      </c>
      <c r="B20" s="5">
        <v>1.402049286E9</v>
      </c>
      <c r="C20" s="5">
        <v>20.0</v>
      </c>
      <c r="D20" s="5">
        <v>1.0315139E7</v>
      </c>
      <c r="E20" s="5" t="s">
        <v>30</v>
      </c>
      <c r="F20" s="11">
        <v>1800.0</v>
      </c>
      <c r="G20" s="7">
        <v>6004.8</v>
      </c>
      <c r="H20" s="12">
        <v>45918.0</v>
      </c>
      <c r="I20" s="12">
        <v>45945.0</v>
      </c>
      <c r="J20" s="9"/>
      <c r="K20" s="10" t="str">
        <f t="shared" si="1"/>
        <v>140204928620</v>
      </c>
    </row>
    <row r="21" ht="14.25" customHeight="1">
      <c r="A21" s="5" t="s">
        <v>11</v>
      </c>
      <c r="B21" s="5">
        <v>1.402049318E9</v>
      </c>
      <c r="C21" s="5">
        <v>10.0</v>
      </c>
      <c r="D21" s="5">
        <v>1.0330738E7</v>
      </c>
      <c r="E21" s="5" t="s">
        <v>31</v>
      </c>
      <c r="F21" s="11">
        <v>3000.0</v>
      </c>
      <c r="G21" s="7">
        <v>7128.0</v>
      </c>
      <c r="H21" s="12">
        <v>45918.0</v>
      </c>
      <c r="I21" s="12">
        <v>45968.0</v>
      </c>
      <c r="J21" s="9"/>
      <c r="K21" s="10" t="str">
        <f t="shared" si="1"/>
        <v>140204931810</v>
      </c>
    </row>
    <row r="22" ht="14.25" customHeight="1">
      <c r="A22" s="5" t="s">
        <v>11</v>
      </c>
      <c r="B22" s="5">
        <v>1.402049318E9</v>
      </c>
      <c r="C22" s="5">
        <v>20.0</v>
      </c>
      <c r="D22" s="5">
        <v>1.0330739E7</v>
      </c>
      <c r="E22" s="5" t="s">
        <v>32</v>
      </c>
      <c r="F22" s="11">
        <v>4000.0</v>
      </c>
      <c r="G22" s="7">
        <v>12416.0</v>
      </c>
      <c r="H22" s="12">
        <v>45918.0</v>
      </c>
      <c r="I22" s="12">
        <v>45968.0</v>
      </c>
      <c r="J22" s="9"/>
      <c r="K22" s="10" t="str">
        <f t="shared" si="1"/>
        <v>140204931820</v>
      </c>
    </row>
    <row r="23" ht="14.25" customHeight="1">
      <c r="A23" s="5" t="s">
        <v>11</v>
      </c>
      <c r="B23" s="5">
        <v>1.402049332E9</v>
      </c>
      <c r="C23" s="5">
        <v>10.0</v>
      </c>
      <c r="D23" s="5">
        <v>1.0315648E7</v>
      </c>
      <c r="E23" s="5" t="s">
        <v>33</v>
      </c>
      <c r="F23" s="11">
        <v>3000.0</v>
      </c>
      <c r="G23" s="7">
        <v>2832.0</v>
      </c>
      <c r="H23" s="12">
        <v>45918.0</v>
      </c>
      <c r="I23" s="12">
        <v>45966.0</v>
      </c>
      <c r="J23" s="9"/>
      <c r="K23" s="10" t="str">
        <f t="shared" si="1"/>
        <v>140204933210</v>
      </c>
    </row>
    <row r="24" ht="14.25" customHeight="1">
      <c r="A24" s="5" t="s">
        <v>11</v>
      </c>
      <c r="B24" s="5">
        <v>1.402049342E9</v>
      </c>
      <c r="C24" s="5">
        <v>10.0</v>
      </c>
      <c r="D24" s="5">
        <v>1.031741E7</v>
      </c>
      <c r="E24" s="5" t="s">
        <v>34</v>
      </c>
      <c r="F24" s="11">
        <v>1500.0</v>
      </c>
      <c r="G24" s="7">
        <v>1380.0</v>
      </c>
      <c r="H24" s="12">
        <v>45918.0</v>
      </c>
      <c r="I24" s="12">
        <v>45961.0</v>
      </c>
      <c r="J24" s="9"/>
      <c r="K24" s="10" t="str">
        <f t="shared" si="1"/>
        <v>140204934210</v>
      </c>
    </row>
    <row r="25" ht="14.25" customHeight="1">
      <c r="A25" s="5" t="s">
        <v>11</v>
      </c>
      <c r="B25" s="5">
        <v>1.402049342E9</v>
      </c>
      <c r="C25" s="5">
        <v>20.0</v>
      </c>
      <c r="D25" s="5">
        <v>1.0317411E7</v>
      </c>
      <c r="E25" s="5" t="s">
        <v>35</v>
      </c>
      <c r="F25" s="11">
        <v>1500.0</v>
      </c>
      <c r="G25" s="7">
        <v>1740.0</v>
      </c>
      <c r="H25" s="12">
        <v>45918.0</v>
      </c>
      <c r="I25" s="12">
        <v>45961.0</v>
      </c>
      <c r="J25" s="9"/>
      <c r="K25" s="10" t="str">
        <f t="shared" si="1"/>
        <v>140204934220</v>
      </c>
    </row>
    <row r="26" ht="14.25" customHeight="1">
      <c r="A26" s="5" t="s">
        <v>14</v>
      </c>
      <c r="B26" s="5">
        <v>1.402049346E9</v>
      </c>
      <c r="C26" s="5">
        <v>10.0</v>
      </c>
      <c r="D26" s="5">
        <v>1.0341615E7</v>
      </c>
      <c r="E26" s="5" t="s">
        <v>36</v>
      </c>
      <c r="F26" s="11">
        <v>20000.0</v>
      </c>
      <c r="G26" s="7">
        <v>16000.0</v>
      </c>
      <c r="H26" s="12">
        <v>45918.0</v>
      </c>
      <c r="I26" s="12">
        <v>45922.0</v>
      </c>
      <c r="J26" s="9"/>
      <c r="K26" s="10" t="str">
        <f t="shared" si="1"/>
        <v>140204934610</v>
      </c>
    </row>
    <row r="27" ht="14.25" customHeight="1">
      <c r="A27" s="5" t="s">
        <v>11</v>
      </c>
      <c r="B27" s="5">
        <v>1.402049349E9</v>
      </c>
      <c r="C27" s="5">
        <v>10.0</v>
      </c>
      <c r="D27" s="5">
        <v>1.0341623E7</v>
      </c>
      <c r="E27" s="5" t="s">
        <v>37</v>
      </c>
      <c r="F27" s="11">
        <v>15000.0</v>
      </c>
      <c r="G27" s="7">
        <v>36720.0</v>
      </c>
      <c r="H27" s="12">
        <v>45923.0</v>
      </c>
      <c r="I27" s="12">
        <v>45960.0</v>
      </c>
      <c r="J27" s="9"/>
      <c r="K27" s="10" t="str">
        <f t="shared" si="1"/>
        <v>140204934910</v>
      </c>
    </row>
    <row r="28" ht="14.25" customHeight="1">
      <c r="A28" s="5" t="s">
        <v>11</v>
      </c>
      <c r="B28" s="5">
        <v>1.402049349E9</v>
      </c>
      <c r="C28" s="5">
        <v>20.0</v>
      </c>
      <c r="D28" s="5">
        <v>1.0341624E7</v>
      </c>
      <c r="E28" s="5" t="s">
        <v>38</v>
      </c>
      <c r="F28" s="11">
        <v>4000.0</v>
      </c>
      <c r="G28" s="7">
        <v>18080.0</v>
      </c>
      <c r="H28" s="12">
        <v>45923.0</v>
      </c>
      <c r="I28" s="12">
        <v>45960.0</v>
      </c>
      <c r="J28" s="9"/>
      <c r="K28" s="10" t="str">
        <f t="shared" si="1"/>
        <v>140204934920</v>
      </c>
    </row>
    <row r="29" ht="14.25" customHeight="1">
      <c r="A29" s="5" t="s">
        <v>11</v>
      </c>
      <c r="B29" s="5">
        <v>1.40204935E9</v>
      </c>
      <c r="C29" s="5">
        <v>10.0</v>
      </c>
      <c r="D29" s="5">
        <v>1.0341618E7</v>
      </c>
      <c r="E29" s="5" t="s">
        <v>39</v>
      </c>
      <c r="F29" s="11">
        <v>4000.0</v>
      </c>
      <c r="G29" s="7">
        <v>6688.0</v>
      </c>
      <c r="H29" s="12">
        <v>45923.0</v>
      </c>
      <c r="I29" s="12">
        <v>45959.0</v>
      </c>
      <c r="J29" s="9"/>
      <c r="K29" s="10" t="str">
        <f t="shared" si="1"/>
        <v>140204935010</v>
      </c>
    </row>
    <row r="30" ht="14.25" customHeight="1">
      <c r="A30" s="5" t="s">
        <v>11</v>
      </c>
      <c r="B30" s="5">
        <v>1.40204935E9</v>
      </c>
      <c r="C30" s="5">
        <v>20.0</v>
      </c>
      <c r="D30" s="5">
        <v>1.034162E7</v>
      </c>
      <c r="E30" s="5" t="s">
        <v>40</v>
      </c>
      <c r="F30" s="11">
        <v>12000.0</v>
      </c>
      <c r="G30" s="7">
        <v>29760.0</v>
      </c>
      <c r="H30" s="12">
        <v>45923.0</v>
      </c>
      <c r="I30" s="12">
        <v>45959.0</v>
      </c>
      <c r="J30" s="9"/>
      <c r="K30" s="10" t="str">
        <f t="shared" si="1"/>
        <v>140204935020</v>
      </c>
    </row>
    <row r="31" ht="14.25" customHeight="1">
      <c r="A31" s="5" t="s">
        <v>11</v>
      </c>
      <c r="B31" s="5">
        <v>1.40204935E9</v>
      </c>
      <c r="C31" s="5">
        <v>30.0</v>
      </c>
      <c r="D31" s="5">
        <v>1.0341619E7</v>
      </c>
      <c r="E31" s="5" t="s">
        <v>41</v>
      </c>
      <c r="F31" s="11">
        <v>4000.0</v>
      </c>
      <c r="G31" s="7">
        <v>18336.0</v>
      </c>
      <c r="H31" s="12">
        <v>45923.0</v>
      </c>
      <c r="I31" s="12">
        <v>45959.0</v>
      </c>
      <c r="J31" s="9"/>
      <c r="K31" s="10" t="str">
        <f t="shared" si="1"/>
        <v>140204935030</v>
      </c>
    </row>
    <row r="32" ht="14.25" customHeight="1">
      <c r="A32" s="5" t="s">
        <v>11</v>
      </c>
      <c r="B32" s="5">
        <v>1.402049351E9</v>
      </c>
      <c r="C32" s="5">
        <v>10.0</v>
      </c>
      <c r="D32" s="5">
        <v>1.0330738E7</v>
      </c>
      <c r="E32" s="5" t="s">
        <v>31</v>
      </c>
      <c r="F32" s="11">
        <v>2000.0</v>
      </c>
      <c r="G32" s="7">
        <v>4752.0</v>
      </c>
      <c r="H32" s="12">
        <v>45923.0</v>
      </c>
      <c r="I32" s="12">
        <v>45968.0</v>
      </c>
      <c r="J32" s="9"/>
      <c r="K32" s="10" t="str">
        <f t="shared" si="1"/>
        <v>140204935110</v>
      </c>
    </row>
    <row r="33" ht="14.25" customHeight="1">
      <c r="A33" s="5" t="s">
        <v>11</v>
      </c>
      <c r="B33" s="5">
        <v>1.402049351E9</v>
      </c>
      <c r="C33" s="5">
        <v>20.0</v>
      </c>
      <c r="D33" s="5">
        <v>1.0330739E7</v>
      </c>
      <c r="E33" s="5" t="s">
        <v>32</v>
      </c>
      <c r="F33" s="11">
        <v>1000.0</v>
      </c>
      <c r="G33" s="7">
        <v>3104.0</v>
      </c>
      <c r="H33" s="12">
        <v>45923.0</v>
      </c>
      <c r="I33" s="12">
        <v>45968.0</v>
      </c>
      <c r="J33" s="9"/>
      <c r="K33" s="10" t="str">
        <f t="shared" si="1"/>
        <v>140204935120</v>
      </c>
    </row>
    <row r="34" ht="14.25" customHeight="1">
      <c r="A34" s="5" t="s">
        <v>11</v>
      </c>
      <c r="B34" s="5">
        <v>1.402049355E9</v>
      </c>
      <c r="C34" s="5">
        <v>10.0</v>
      </c>
      <c r="D34" s="5">
        <v>1.0264307E7</v>
      </c>
      <c r="E34" s="5" t="s">
        <v>42</v>
      </c>
      <c r="F34" s="11">
        <v>1500.0</v>
      </c>
      <c r="G34" s="7">
        <v>2190.0</v>
      </c>
      <c r="H34" s="12">
        <v>45923.0</v>
      </c>
      <c r="I34" s="12">
        <v>45989.0</v>
      </c>
      <c r="J34" s="9"/>
      <c r="K34" s="10" t="str">
        <f t="shared" si="1"/>
        <v>140204935510</v>
      </c>
    </row>
    <row r="35" ht="14.25" customHeight="1">
      <c r="A35" s="5" t="s">
        <v>11</v>
      </c>
      <c r="B35" s="5">
        <v>1.402049357E9</v>
      </c>
      <c r="C35" s="5">
        <v>10.0</v>
      </c>
      <c r="D35" s="5">
        <v>1.0341444E7</v>
      </c>
      <c r="E35" s="5" t="s">
        <v>43</v>
      </c>
      <c r="F35" s="11">
        <v>2000.0</v>
      </c>
      <c r="G35" s="7">
        <v>2304.0</v>
      </c>
      <c r="H35" s="12">
        <v>45923.0</v>
      </c>
      <c r="I35" s="12">
        <v>45961.0</v>
      </c>
      <c r="J35" s="9"/>
      <c r="K35" s="10" t="str">
        <f t="shared" si="1"/>
        <v>140204935710</v>
      </c>
    </row>
    <row r="36" ht="14.25" customHeight="1">
      <c r="A36" s="5" t="s">
        <v>11</v>
      </c>
      <c r="B36" s="5">
        <v>1.402049358E9</v>
      </c>
      <c r="C36" s="5">
        <v>10.0</v>
      </c>
      <c r="D36" s="5">
        <v>1.0315151E7</v>
      </c>
      <c r="E36" s="5" t="s">
        <v>44</v>
      </c>
      <c r="F36" s="11">
        <v>2000.0</v>
      </c>
      <c r="G36" s="7">
        <v>3344.0</v>
      </c>
      <c r="H36" s="12">
        <v>45922.0</v>
      </c>
      <c r="I36" s="12">
        <v>45687.0</v>
      </c>
      <c r="J36" s="9"/>
      <c r="K36" s="10" t="str">
        <f t="shared" si="1"/>
        <v>140204935810</v>
      </c>
    </row>
    <row r="37" ht="14.25" customHeight="1">
      <c r="A37" s="5" t="s">
        <v>11</v>
      </c>
      <c r="B37" s="5">
        <v>1.402049362E9</v>
      </c>
      <c r="C37" s="5">
        <v>10.0</v>
      </c>
      <c r="D37" s="5">
        <v>1.0341266E7</v>
      </c>
      <c r="E37" s="5" t="s">
        <v>45</v>
      </c>
      <c r="F37" s="11">
        <v>2000.0</v>
      </c>
      <c r="G37" s="7">
        <v>2816.0</v>
      </c>
      <c r="H37" s="12">
        <v>45923.0</v>
      </c>
      <c r="I37" s="12">
        <v>45961.0</v>
      </c>
      <c r="J37" s="9"/>
      <c r="K37" s="10" t="str">
        <f t="shared" si="1"/>
        <v>140204936210</v>
      </c>
    </row>
    <row r="38" ht="14.25" customHeight="1">
      <c r="A38" s="5" t="s">
        <v>46</v>
      </c>
      <c r="B38" s="5">
        <v>1.402049363E9</v>
      </c>
      <c r="C38" s="5">
        <v>10.0</v>
      </c>
      <c r="D38" s="5">
        <v>1.034046E7</v>
      </c>
      <c r="E38" s="5" t="s">
        <v>47</v>
      </c>
      <c r="F38" s="11">
        <v>550.0</v>
      </c>
      <c r="G38" s="7">
        <v>291.5</v>
      </c>
      <c r="H38" s="12">
        <v>45923.0</v>
      </c>
      <c r="I38" s="12">
        <v>45986.0</v>
      </c>
      <c r="J38" s="9"/>
      <c r="K38" s="10" t="str">
        <f t="shared" si="1"/>
        <v>140204936310</v>
      </c>
    </row>
    <row r="39" ht="14.25" customHeight="1">
      <c r="A39" s="5" t="s">
        <v>46</v>
      </c>
      <c r="B39" s="5">
        <v>1.402049364E9</v>
      </c>
      <c r="C39" s="5">
        <v>10.0</v>
      </c>
      <c r="D39" s="5">
        <v>1.034046E7</v>
      </c>
      <c r="E39" s="5" t="s">
        <v>47</v>
      </c>
      <c r="F39" s="11">
        <v>550.0</v>
      </c>
      <c r="G39" s="7">
        <v>291.5</v>
      </c>
      <c r="H39" s="12">
        <v>45923.0</v>
      </c>
      <c r="I39" s="12">
        <v>46013.0</v>
      </c>
      <c r="J39" s="9"/>
      <c r="K39" s="10" t="str">
        <f t="shared" si="1"/>
        <v>140204936410</v>
      </c>
    </row>
    <row r="40" ht="14.25" customHeight="1">
      <c r="A40" s="5" t="s">
        <v>11</v>
      </c>
      <c r="B40" s="5">
        <v>1.402049237E9</v>
      </c>
      <c r="C40" s="5">
        <v>10.0</v>
      </c>
      <c r="D40" s="5">
        <v>1.0326083E7</v>
      </c>
      <c r="E40" s="5" t="s">
        <v>48</v>
      </c>
      <c r="F40" s="11">
        <v>4500.0</v>
      </c>
      <c r="G40" s="7">
        <v>6300.0</v>
      </c>
      <c r="H40" s="12">
        <v>45901.0</v>
      </c>
      <c r="I40" s="12">
        <v>45957.0</v>
      </c>
      <c r="J40" s="9"/>
      <c r="K40" s="10" t="str">
        <f t="shared" si="1"/>
        <v>140204923710</v>
      </c>
    </row>
    <row r="41" ht="14.25" customHeight="1">
      <c r="A41" s="5" t="s">
        <v>11</v>
      </c>
      <c r="B41" s="5">
        <v>1.402049237E9</v>
      </c>
      <c r="C41" s="5">
        <v>20.0</v>
      </c>
      <c r="D41" s="5">
        <v>1.0328675E7</v>
      </c>
      <c r="E41" s="5" t="s">
        <v>49</v>
      </c>
      <c r="F41" s="11">
        <v>1500.0</v>
      </c>
      <c r="G41" s="7">
        <v>4092.0</v>
      </c>
      <c r="H41" s="12">
        <v>45901.0</v>
      </c>
      <c r="I41" s="12">
        <v>45957.0</v>
      </c>
      <c r="J41" s="9"/>
      <c r="K41" s="10" t="str">
        <f t="shared" si="1"/>
        <v>140204923720</v>
      </c>
    </row>
    <row r="42" ht="14.25" customHeight="1">
      <c r="A42" s="5" t="s">
        <v>46</v>
      </c>
      <c r="B42" s="5">
        <v>1.402049448E9</v>
      </c>
      <c r="C42" s="5">
        <v>10.0</v>
      </c>
      <c r="D42" s="5">
        <v>1.0282569E7</v>
      </c>
      <c r="E42" s="5" t="s">
        <v>50</v>
      </c>
      <c r="F42" s="11">
        <v>2000.0</v>
      </c>
      <c r="G42" s="7">
        <v>1326.0</v>
      </c>
      <c r="H42" s="12">
        <v>45944.0</v>
      </c>
      <c r="I42" s="12">
        <v>46000.0</v>
      </c>
      <c r="J42" s="9"/>
      <c r="K42" s="10" t="str">
        <f t="shared" si="1"/>
        <v>140204944810</v>
      </c>
    </row>
    <row r="43" ht="14.25" customHeight="1">
      <c r="A43" s="5" t="s">
        <v>11</v>
      </c>
      <c r="B43" s="5">
        <v>1.402049387E9</v>
      </c>
      <c r="C43" s="5">
        <v>10.0</v>
      </c>
      <c r="D43" s="5">
        <v>1.0335266E7</v>
      </c>
      <c r="E43" s="5" t="s">
        <v>21</v>
      </c>
      <c r="F43" s="11">
        <v>10080.0</v>
      </c>
      <c r="G43" s="7">
        <v>18063.36</v>
      </c>
      <c r="H43" s="12">
        <v>45926.0</v>
      </c>
      <c r="I43" s="12">
        <v>45968.0</v>
      </c>
      <c r="J43" s="9"/>
      <c r="K43" s="10" t="str">
        <f t="shared" si="1"/>
        <v>140204938710</v>
      </c>
    </row>
    <row r="44" ht="14.25" customHeight="1">
      <c r="A44" s="5" t="s">
        <v>11</v>
      </c>
      <c r="B44" s="5">
        <v>1.402049521E9</v>
      </c>
      <c r="C44" s="5">
        <v>10.0</v>
      </c>
      <c r="D44" s="5">
        <v>1.0306051E7</v>
      </c>
      <c r="E44" s="5" t="s">
        <v>51</v>
      </c>
      <c r="F44" s="11">
        <v>2500.0</v>
      </c>
      <c r="G44" s="7">
        <v>1760.0</v>
      </c>
      <c r="H44" s="12">
        <v>45961.0</v>
      </c>
      <c r="I44" s="12">
        <v>46008.0</v>
      </c>
      <c r="J44" s="9"/>
      <c r="K44" s="10" t="str">
        <f t="shared" si="1"/>
        <v>140204952110</v>
      </c>
    </row>
    <row r="45" ht="14.25" customHeight="1">
      <c r="A45" s="5" t="s">
        <v>11</v>
      </c>
      <c r="B45" s="5">
        <v>1.402049532E9</v>
      </c>
      <c r="C45" s="5">
        <v>10.0</v>
      </c>
      <c r="D45" s="5">
        <v>1.0282947E7</v>
      </c>
      <c r="E45" s="5" t="s">
        <v>52</v>
      </c>
      <c r="F45" s="11">
        <v>2000.0</v>
      </c>
      <c r="G45" s="7">
        <v>2400.0</v>
      </c>
      <c r="H45" s="12">
        <v>45966.0</v>
      </c>
      <c r="I45" s="12">
        <v>46015.0</v>
      </c>
      <c r="J45" s="9"/>
      <c r="K45" s="10" t="str">
        <f t="shared" si="1"/>
        <v>140204953210</v>
      </c>
    </row>
    <row r="46" ht="14.25" customHeight="1">
      <c r="A46" s="5" t="s">
        <v>11</v>
      </c>
      <c r="B46" s="5">
        <v>1.402049507E9</v>
      </c>
      <c r="C46" s="5">
        <v>10.0</v>
      </c>
      <c r="D46" s="5">
        <v>1.0318221E7</v>
      </c>
      <c r="E46" s="5" t="s">
        <v>53</v>
      </c>
      <c r="F46" s="11">
        <v>20000.0</v>
      </c>
      <c r="G46" s="7">
        <v>19360.0</v>
      </c>
      <c r="H46" s="12">
        <v>45958.0</v>
      </c>
      <c r="I46" s="12">
        <v>45996.0</v>
      </c>
      <c r="J46" s="9"/>
      <c r="K46" s="10" t="str">
        <f t="shared" si="1"/>
        <v>140204950710</v>
      </c>
    </row>
    <row r="47" ht="14.25" customHeight="1">
      <c r="A47" s="5" t="s">
        <v>11</v>
      </c>
      <c r="B47" s="5">
        <v>1.402049507E9</v>
      </c>
      <c r="C47" s="5">
        <v>20.0</v>
      </c>
      <c r="D47" s="5">
        <v>1.0318223E7</v>
      </c>
      <c r="E47" s="5" t="s">
        <v>54</v>
      </c>
      <c r="F47" s="11">
        <v>20000.0</v>
      </c>
      <c r="G47" s="7">
        <v>15200.0</v>
      </c>
      <c r="H47" s="12">
        <v>45958.0</v>
      </c>
      <c r="I47" s="12">
        <v>45996.0</v>
      </c>
      <c r="J47" s="9"/>
      <c r="K47" s="10" t="str">
        <f t="shared" si="1"/>
        <v>140204950720</v>
      </c>
    </row>
    <row r="48" ht="14.25" customHeight="1">
      <c r="A48" s="5" t="s">
        <v>11</v>
      </c>
      <c r="B48" s="5">
        <v>1.402049498E9</v>
      </c>
      <c r="C48" s="5">
        <v>10.0</v>
      </c>
      <c r="D48" s="5">
        <v>1.0335262E7</v>
      </c>
      <c r="E48" s="5" t="s">
        <v>27</v>
      </c>
      <c r="F48" s="11">
        <v>7000.0</v>
      </c>
      <c r="G48" s="7">
        <v>6384.0</v>
      </c>
      <c r="H48" s="12">
        <v>45958.0</v>
      </c>
      <c r="I48" s="12">
        <v>45989.0</v>
      </c>
      <c r="J48" s="9"/>
      <c r="K48" s="10" t="str">
        <f t="shared" si="1"/>
        <v>140204949810</v>
      </c>
    </row>
    <row r="49" ht="14.25" customHeight="1">
      <c r="A49" s="5" t="s">
        <v>11</v>
      </c>
      <c r="B49" s="5">
        <v>1.40204949E9</v>
      </c>
      <c r="C49" s="5">
        <v>10.0</v>
      </c>
      <c r="D49" s="5">
        <v>1.0319404E7</v>
      </c>
      <c r="E49" s="5" t="s">
        <v>55</v>
      </c>
      <c r="F49" s="11">
        <v>1500.0</v>
      </c>
      <c r="G49" s="7">
        <v>1452.0</v>
      </c>
      <c r="H49" s="12">
        <v>45953.0</v>
      </c>
      <c r="I49" s="12">
        <v>45988.0</v>
      </c>
      <c r="J49" s="9"/>
      <c r="K49" s="10" t="str">
        <f t="shared" si="1"/>
        <v>140204949010</v>
      </c>
    </row>
    <row r="50" ht="14.25" customHeight="1">
      <c r="A50" s="5" t="s">
        <v>11</v>
      </c>
      <c r="B50" s="5">
        <v>1.40204948E9</v>
      </c>
      <c r="C50" s="5">
        <v>10.0</v>
      </c>
      <c r="D50" s="5">
        <v>1.0303818E7</v>
      </c>
      <c r="E50" s="5" t="s">
        <v>56</v>
      </c>
      <c r="F50" s="11">
        <v>1000.0</v>
      </c>
      <c r="G50" s="7">
        <v>1320.0</v>
      </c>
      <c r="H50" s="12">
        <v>45952.0</v>
      </c>
      <c r="I50" s="12">
        <v>45994.0</v>
      </c>
      <c r="J50" s="9"/>
      <c r="K50" s="10" t="str">
        <f t="shared" si="1"/>
        <v>140204948010</v>
      </c>
    </row>
    <row r="51" ht="14.25" customHeight="1">
      <c r="A51" s="5" t="s">
        <v>11</v>
      </c>
      <c r="B51" s="5">
        <v>1.40204948E9</v>
      </c>
      <c r="C51" s="5">
        <v>20.0</v>
      </c>
      <c r="D51" s="5">
        <v>1.0303818E7</v>
      </c>
      <c r="E51" s="5" t="s">
        <v>56</v>
      </c>
      <c r="F51" s="11">
        <v>1000.0</v>
      </c>
      <c r="G51" s="7">
        <v>1320.0</v>
      </c>
      <c r="H51" s="12">
        <v>45952.0</v>
      </c>
      <c r="I51" s="12">
        <v>45994.0</v>
      </c>
      <c r="J51" s="9"/>
      <c r="K51" s="10" t="str">
        <f t="shared" si="1"/>
        <v>140204948020</v>
      </c>
    </row>
    <row r="52" ht="14.25" customHeight="1">
      <c r="A52" s="5" t="s">
        <v>11</v>
      </c>
      <c r="B52" s="5">
        <v>1.402049475E9</v>
      </c>
      <c r="C52" s="5">
        <v>10.0</v>
      </c>
      <c r="D52" s="5">
        <v>1.0330281E7</v>
      </c>
      <c r="E52" s="5" t="s">
        <v>57</v>
      </c>
      <c r="F52" s="11">
        <v>1500.0</v>
      </c>
      <c r="G52" s="7">
        <v>5436.0</v>
      </c>
      <c r="H52" s="12">
        <v>45951.0</v>
      </c>
      <c r="I52" s="12">
        <v>45996.0</v>
      </c>
      <c r="J52" s="9"/>
      <c r="K52" s="10" t="str">
        <f t="shared" si="1"/>
        <v>140204947510</v>
      </c>
    </row>
    <row r="53" ht="14.25" customHeight="1">
      <c r="A53" s="5" t="s">
        <v>11</v>
      </c>
      <c r="B53" s="5">
        <v>1.402049402E9</v>
      </c>
      <c r="C53" s="5">
        <v>10.0</v>
      </c>
      <c r="D53" s="5">
        <v>1.0303149E7</v>
      </c>
      <c r="E53" s="5" t="s">
        <v>58</v>
      </c>
      <c r="F53" s="11">
        <v>3000.0</v>
      </c>
      <c r="G53" s="7">
        <v>4944.0</v>
      </c>
      <c r="H53" s="12">
        <v>45930.0</v>
      </c>
      <c r="I53" s="12">
        <v>45968.0</v>
      </c>
      <c r="J53" s="9"/>
      <c r="K53" s="10" t="str">
        <f t="shared" si="1"/>
        <v>140204940210</v>
      </c>
    </row>
    <row r="54" ht="14.25" customHeight="1">
      <c r="A54" s="5" t="s">
        <v>11</v>
      </c>
      <c r="B54" s="5">
        <v>1.402049466E9</v>
      </c>
      <c r="C54" s="5">
        <v>10.0</v>
      </c>
      <c r="D54" s="5">
        <v>1.0334816E7</v>
      </c>
      <c r="E54" s="5" t="s">
        <v>12</v>
      </c>
      <c r="F54" s="11">
        <v>30000.0</v>
      </c>
      <c r="G54" s="7">
        <v>31920.0</v>
      </c>
      <c r="H54" s="12">
        <v>45947.0</v>
      </c>
      <c r="I54" s="12">
        <v>45982.0</v>
      </c>
      <c r="J54" s="9"/>
      <c r="K54" s="10" t="str">
        <f t="shared" si="1"/>
        <v>140204946610</v>
      </c>
    </row>
    <row r="55" ht="14.25" customHeight="1">
      <c r="A55" s="5" t="s">
        <v>11</v>
      </c>
      <c r="B55" s="5">
        <v>1.402049444E9</v>
      </c>
      <c r="C55" s="5">
        <v>10.0</v>
      </c>
      <c r="D55" s="5">
        <v>1.0277464E7</v>
      </c>
      <c r="E55" s="5" t="s">
        <v>59</v>
      </c>
      <c r="F55" s="11">
        <v>3000.0</v>
      </c>
      <c r="G55" s="7">
        <v>2232.0</v>
      </c>
      <c r="H55" s="12">
        <v>45944.0</v>
      </c>
      <c r="I55" s="12">
        <v>45972.0</v>
      </c>
      <c r="J55" s="9"/>
      <c r="K55" s="10" t="str">
        <f t="shared" si="1"/>
        <v>140204944410</v>
      </c>
    </row>
    <row r="56" ht="14.25" customHeight="1">
      <c r="A56" s="5" t="s">
        <v>11</v>
      </c>
      <c r="B56" s="5">
        <v>1.402049421E9</v>
      </c>
      <c r="C56" s="5">
        <v>10.0</v>
      </c>
      <c r="D56" s="5">
        <v>1.0341631E7</v>
      </c>
      <c r="E56" s="5" t="s">
        <v>60</v>
      </c>
      <c r="F56" s="11">
        <v>2000.0</v>
      </c>
      <c r="G56" s="7">
        <v>2640.0</v>
      </c>
      <c r="H56" s="12">
        <v>45936.0</v>
      </c>
      <c r="I56" s="12">
        <v>46007.0</v>
      </c>
      <c r="J56" s="9"/>
      <c r="K56" s="10" t="str">
        <f t="shared" si="1"/>
        <v>140204942110</v>
      </c>
    </row>
    <row r="57" ht="14.25" customHeight="1">
      <c r="A57" s="5" t="s">
        <v>61</v>
      </c>
      <c r="B57" s="5">
        <v>1.402049419E9</v>
      </c>
      <c r="C57" s="5">
        <v>10.0</v>
      </c>
      <c r="D57" s="5">
        <v>1.0341808E7</v>
      </c>
      <c r="E57" s="5" t="s">
        <v>62</v>
      </c>
      <c r="F57" s="11">
        <v>1500.0</v>
      </c>
      <c r="G57" s="7">
        <v>2265.0</v>
      </c>
      <c r="H57" s="12">
        <v>45936.0</v>
      </c>
      <c r="I57" s="12">
        <v>45979.0</v>
      </c>
      <c r="J57" s="9"/>
      <c r="K57" s="10" t="str">
        <f t="shared" si="1"/>
        <v>140204941910</v>
      </c>
    </row>
    <row r="58" ht="14.25" customHeight="1">
      <c r="A58" s="5" t="s">
        <v>61</v>
      </c>
      <c r="B58" s="5">
        <v>1.402049419E9</v>
      </c>
      <c r="C58" s="5">
        <v>20.0</v>
      </c>
      <c r="D58" s="5">
        <v>1.0341809E7</v>
      </c>
      <c r="E58" s="5" t="s">
        <v>63</v>
      </c>
      <c r="F58" s="11">
        <v>1500.0</v>
      </c>
      <c r="G58" s="7">
        <v>1665.0</v>
      </c>
      <c r="H58" s="12">
        <v>45936.0</v>
      </c>
      <c r="I58" s="12">
        <v>45979.0</v>
      </c>
      <c r="J58" s="9"/>
      <c r="K58" s="10" t="str">
        <f t="shared" si="1"/>
        <v>140204941920</v>
      </c>
    </row>
    <row r="59" ht="14.25" customHeight="1">
      <c r="A59" s="5" t="s">
        <v>46</v>
      </c>
      <c r="B59" s="5">
        <v>1.402049321E9</v>
      </c>
      <c r="C59" s="5">
        <v>10.0</v>
      </c>
      <c r="D59" s="5">
        <v>1.0275715E7</v>
      </c>
      <c r="E59" s="5" t="s">
        <v>64</v>
      </c>
      <c r="F59" s="11">
        <v>2500.0</v>
      </c>
      <c r="G59" s="7">
        <v>1925.0</v>
      </c>
      <c r="H59" s="12">
        <v>45965.0</v>
      </c>
      <c r="I59" s="12">
        <v>45972.0</v>
      </c>
      <c r="J59" s="9"/>
      <c r="K59" s="10" t="str">
        <f t="shared" si="1"/>
        <v>140204932110</v>
      </c>
    </row>
    <row r="60" ht="14.25" customHeight="1">
      <c r="A60" s="5" t="s">
        <v>11</v>
      </c>
      <c r="B60" s="5">
        <v>1.402049543E9</v>
      </c>
      <c r="C60" s="5">
        <v>10.0</v>
      </c>
      <c r="D60" s="5">
        <v>1.029378E7</v>
      </c>
      <c r="E60" s="5" t="s">
        <v>65</v>
      </c>
      <c r="F60" s="11">
        <v>1500.0</v>
      </c>
      <c r="G60" s="7">
        <v>4935.0</v>
      </c>
      <c r="H60" s="12">
        <v>45971.0</v>
      </c>
      <c r="I60" s="12">
        <v>46031.0</v>
      </c>
      <c r="J60" s="9" t="s">
        <v>66</v>
      </c>
      <c r="K60" s="10" t="str">
        <f t="shared" si="1"/>
        <v>140204954310</v>
      </c>
    </row>
    <row r="61" ht="14.25" customHeight="1">
      <c r="A61" s="5" t="s">
        <v>67</v>
      </c>
      <c r="B61" s="5">
        <v>1.402048469E9</v>
      </c>
      <c r="C61" s="5">
        <v>20.0</v>
      </c>
      <c r="D61" s="5">
        <v>1.0338264E7</v>
      </c>
      <c r="E61" s="5" t="s">
        <v>68</v>
      </c>
      <c r="F61" s="11">
        <v>2500.0</v>
      </c>
      <c r="G61" s="7">
        <v>21425.0</v>
      </c>
      <c r="H61" s="12">
        <v>45723.0</v>
      </c>
      <c r="I61" s="12">
        <v>46022.0</v>
      </c>
      <c r="J61" s="9" t="s">
        <v>69</v>
      </c>
      <c r="K61" s="10" t="str">
        <f t="shared" si="1"/>
        <v>140204846920</v>
      </c>
    </row>
    <row r="62" ht="14.25" customHeight="1">
      <c r="A62" s="5" t="s">
        <v>11</v>
      </c>
      <c r="B62" s="5">
        <v>1.402049268E9</v>
      </c>
      <c r="C62" s="5">
        <v>10.0</v>
      </c>
      <c r="D62" s="5">
        <v>1.0334969E7</v>
      </c>
      <c r="E62" s="5" t="s">
        <v>70</v>
      </c>
      <c r="F62" s="11">
        <v>35700.0</v>
      </c>
      <c r="G62" s="7">
        <v>22134.0</v>
      </c>
      <c r="H62" s="12">
        <v>45905.0</v>
      </c>
      <c r="I62" s="12">
        <v>45905.0</v>
      </c>
      <c r="J62" s="9">
        <v>1.301044455E9</v>
      </c>
      <c r="K62" s="10" t="str">
        <f t="shared" si="1"/>
        <v>140204926810</v>
      </c>
    </row>
    <row r="63" ht="14.25" customHeight="1">
      <c r="A63" s="5" t="s">
        <v>11</v>
      </c>
      <c r="B63" s="5">
        <v>1.402049269E9</v>
      </c>
      <c r="C63" s="5">
        <v>10.0</v>
      </c>
      <c r="D63" s="5">
        <v>1.0334969E7</v>
      </c>
      <c r="E63" s="5" t="s">
        <v>70</v>
      </c>
      <c r="F63" s="11">
        <v>35700.0</v>
      </c>
      <c r="G63" s="7">
        <v>22134.0</v>
      </c>
      <c r="H63" s="12">
        <v>45905.0</v>
      </c>
      <c r="I63" s="12">
        <v>45905.0</v>
      </c>
      <c r="J63" s="9">
        <v>1.301044445E9</v>
      </c>
      <c r="K63" s="10" t="str">
        <f t="shared" si="1"/>
        <v>140204926910</v>
      </c>
    </row>
    <row r="64" ht="14.25" customHeight="1">
      <c r="A64" s="5" t="s">
        <v>71</v>
      </c>
      <c r="B64" s="5">
        <v>1.402049378E9</v>
      </c>
      <c r="C64" s="5">
        <v>20.0</v>
      </c>
      <c r="D64" s="5">
        <v>1.0333392E7</v>
      </c>
      <c r="E64" s="5" t="s">
        <v>72</v>
      </c>
      <c r="F64" s="11">
        <v>772.0</v>
      </c>
      <c r="G64" s="7">
        <v>11024.16</v>
      </c>
      <c r="H64" s="12">
        <v>45925.0</v>
      </c>
      <c r="I64" s="12">
        <v>45982.0</v>
      </c>
      <c r="J64" s="9" t="s">
        <v>73</v>
      </c>
      <c r="K64" s="10" t="str">
        <f t="shared" si="1"/>
        <v>140204937820</v>
      </c>
    </row>
    <row r="65" ht="14.25" customHeight="1">
      <c r="A65" s="5" t="s">
        <v>71</v>
      </c>
      <c r="B65" s="5">
        <v>1.40204944E9</v>
      </c>
      <c r="C65" s="5">
        <v>10.0</v>
      </c>
      <c r="D65" s="5">
        <v>1.0334743E7</v>
      </c>
      <c r="E65" s="5" t="s">
        <v>74</v>
      </c>
      <c r="F65" s="11">
        <v>10100.0</v>
      </c>
      <c r="G65" s="7">
        <v>144228.0</v>
      </c>
      <c r="H65" s="12">
        <v>45943.0</v>
      </c>
      <c r="I65" s="12">
        <v>46021.0</v>
      </c>
      <c r="J65" s="9" t="s">
        <v>75</v>
      </c>
      <c r="K65" s="10" t="str">
        <f t="shared" si="1"/>
        <v>140204944010</v>
      </c>
    </row>
    <row r="66" ht="14.25" customHeight="1">
      <c r="A66" s="5" t="s">
        <v>46</v>
      </c>
      <c r="B66" s="5">
        <v>1.402049443E9</v>
      </c>
      <c r="C66" s="5">
        <v>10.0</v>
      </c>
      <c r="D66" s="5">
        <v>1.0308826E7</v>
      </c>
      <c r="E66" s="5" t="s">
        <v>76</v>
      </c>
      <c r="F66" s="11">
        <v>1000.0</v>
      </c>
      <c r="G66" s="7">
        <v>4620.0</v>
      </c>
      <c r="H66" s="12">
        <v>45943.0</v>
      </c>
      <c r="I66" s="12">
        <v>45992.0</v>
      </c>
      <c r="J66" s="9">
        <v>4.101000774E9</v>
      </c>
      <c r="K66" s="10" t="str">
        <f t="shared" si="1"/>
        <v>140204944310</v>
      </c>
    </row>
    <row r="67" ht="14.25" customHeight="1">
      <c r="A67" s="5" t="s">
        <v>77</v>
      </c>
      <c r="B67" s="5">
        <v>1.402049459E9</v>
      </c>
      <c r="C67" s="5">
        <v>10.0</v>
      </c>
      <c r="D67" s="5">
        <v>1.0341894E7</v>
      </c>
      <c r="E67" s="5" t="s">
        <v>78</v>
      </c>
      <c r="F67" s="11">
        <v>6000.0</v>
      </c>
      <c r="G67" s="7">
        <v>55200.0</v>
      </c>
      <c r="H67" s="12">
        <v>45946.0</v>
      </c>
      <c r="I67" s="12">
        <v>45996.0</v>
      </c>
      <c r="J67" s="9" t="s">
        <v>79</v>
      </c>
      <c r="K67" s="10" t="str">
        <f t="shared" si="1"/>
        <v>140204945910</v>
      </c>
    </row>
    <row r="68" ht="14.25" customHeight="1">
      <c r="A68" s="5" t="s">
        <v>77</v>
      </c>
      <c r="B68" s="5">
        <v>1.402049512E9</v>
      </c>
      <c r="C68" s="5">
        <v>10.0</v>
      </c>
      <c r="D68" s="5">
        <v>1.0341894E7</v>
      </c>
      <c r="E68" s="5" t="s">
        <v>78</v>
      </c>
      <c r="F68" s="11">
        <v>6000.0</v>
      </c>
      <c r="G68" s="7">
        <v>55200.0</v>
      </c>
      <c r="H68" s="12">
        <v>45959.0</v>
      </c>
      <c r="I68" s="12">
        <v>45959.0</v>
      </c>
      <c r="J68" s="9" t="s">
        <v>80</v>
      </c>
      <c r="K68" s="10" t="str">
        <f t="shared" si="1"/>
        <v>140204951210</v>
      </c>
    </row>
    <row r="69" ht="14.25" customHeight="1">
      <c r="A69" s="5" t="s">
        <v>46</v>
      </c>
      <c r="B69" s="5">
        <v>1.402049569E9</v>
      </c>
      <c r="C69" s="5">
        <v>10.0</v>
      </c>
      <c r="D69" s="5">
        <v>1.0342542E7</v>
      </c>
      <c r="E69" s="5" t="s">
        <v>81</v>
      </c>
      <c r="F69" s="11">
        <v>7500.0</v>
      </c>
      <c r="G69" s="7">
        <v>29700.0</v>
      </c>
      <c r="H69" s="12">
        <v>45978.0</v>
      </c>
      <c r="I69" s="12">
        <v>45999.0</v>
      </c>
      <c r="J69" s="9">
        <v>41.0</v>
      </c>
      <c r="K69" s="10" t="str">
        <f t="shared" si="1"/>
        <v>140204956910</v>
      </c>
    </row>
    <row r="70" ht="14.25" customHeight="1">
      <c r="A70" s="5" t="s">
        <v>82</v>
      </c>
      <c r="B70" s="5">
        <v>1.402049552E9</v>
      </c>
      <c r="C70" s="5">
        <v>10.0</v>
      </c>
      <c r="D70" s="5">
        <v>1.0318295E7</v>
      </c>
      <c r="E70" s="5" t="s">
        <v>83</v>
      </c>
      <c r="F70" s="11">
        <v>5904.0</v>
      </c>
      <c r="G70" s="7">
        <v>15645.6</v>
      </c>
      <c r="H70" s="12">
        <v>45974.0</v>
      </c>
      <c r="I70" s="12">
        <v>46001.0</v>
      </c>
      <c r="J70" s="9" t="s">
        <v>84</v>
      </c>
      <c r="K70" s="10" t="str">
        <f t="shared" si="1"/>
        <v>140204955210</v>
      </c>
    </row>
    <row r="71" ht="14.25" customHeight="1">
      <c r="A71" s="5" t="s">
        <v>85</v>
      </c>
      <c r="B71" s="5">
        <v>1.402049559E9</v>
      </c>
      <c r="C71" s="5">
        <v>10.0</v>
      </c>
      <c r="D71" s="5">
        <v>1.0331823E7</v>
      </c>
      <c r="E71" s="5" t="s">
        <v>86</v>
      </c>
      <c r="F71" s="11">
        <v>2000.0</v>
      </c>
      <c r="G71" s="7">
        <v>1600.0</v>
      </c>
      <c r="H71" s="12">
        <v>45975.0</v>
      </c>
      <c r="I71" s="12">
        <v>46036.0</v>
      </c>
      <c r="J71" s="9" t="s">
        <v>87</v>
      </c>
      <c r="K71" s="10" t="str">
        <f t="shared" si="1"/>
        <v>140204955910</v>
      </c>
    </row>
    <row r="72" ht="14.25" customHeight="1">
      <c r="A72" s="5" t="s">
        <v>88</v>
      </c>
      <c r="B72" s="5">
        <v>1.402049562E9</v>
      </c>
      <c r="C72" s="5">
        <v>10.0</v>
      </c>
      <c r="D72" s="5">
        <v>1.0321977E7</v>
      </c>
      <c r="E72" s="5" t="s">
        <v>89</v>
      </c>
      <c r="F72" s="11">
        <v>2000.0</v>
      </c>
      <c r="G72" s="7">
        <v>2016.0</v>
      </c>
      <c r="H72" s="12">
        <v>45975.0</v>
      </c>
      <c r="I72" s="12">
        <v>46010.0</v>
      </c>
      <c r="J72" s="9" t="s">
        <v>90</v>
      </c>
      <c r="K72" s="10" t="str">
        <f t="shared" si="1"/>
        <v>140204956210</v>
      </c>
    </row>
    <row r="73" ht="14.25" customHeight="1">
      <c r="A73" s="5" t="s">
        <v>88</v>
      </c>
      <c r="B73" s="5">
        <v>1.402049563E9</v>
      </c>
      <c r="C73" s="5">
        <v>10.0</v>
      </c>
      <c r="D73" s="5">
        <v>1.028264E7</v>
      </c>
      <c r="E73" s="5" t="s">
        <v>91</v>
      </c>
      <c r="F73" s="11">
        <v>3000.0</v>
      </c>
      <c r="G73" s="7">
        <v>2208.0</v>
      </c>
      <c r="H73" s="12">
        <v>45975.0</v>
      </c>
      <c r="I73" s="12">
        <v>46010.0</v>
      </c>
      <c r="J73" s="9" t="s">
        <v>92</v>
      </c>
      <c r="K73" s="10" t="str">
        <f t="shared" si="1"/>
        <v>140204956310</v>
      </c>
    </row>
    <row r="74" ht="14.25" customHeight="1">
      <c r="A74" s="5" t="s">
        <v>88</v>
      </c>
      <c r="B74" s="5">
        <v>1.402049563E9</v>
      </c>
      <c r="C74" s="5">
        <v>20.0</v>
      </c>
      <c r="D74" s="5">
        <v>1.0282657E7</v>
      </c>
      <c r="E74" s="5" t="s">
        <v>93</v>
      </c>
      <c r="F74" s="11">
        <v>1500.0</v>
      </c>
      <c r="G74" s="7">
        <v>2772.0</v>
      </c>
      <c r="H74" s="12">
        <v>45975.0</v>
      </c>
      <c r="I74" s="12">
        <v>46010.0</v>
      </c>
      <c r="J74" s="9" t="s">
        <v>92</v>
      </c>
      <c r="K74" s="10" t="str">
        <f t="shared" si="1"/>
        <v>140204956320</v>
      </c>
    </row>
    <row r="75" ht="14.25" customHeight="1">
      <c r="A75" s="5" t="s">
        <v>94</v>
      </c>
      <c r="B75" s="5">
        <v>1.402049568E9</v>
      </c>
      <c r="C75" s="5">
        <v>10.0</v>
      </c>
      <c r="D75" s="5">
        <v>1.0342401E7</v>
      </c>
      <c r="E75" s="5" t="s">
        <v>95</v>
      </c>
      <c r="F75" s="11">
        <v>2000.0</v>
      </c>
      <c r="G75" s="7">
        <v>3960.0</v>
      </c>
      <c r="H75" s="12">
        <v>45978.0</v>
      </c>
      <c r="I75" s="12">
        <v>46038.0</v>
      </c>
      <c r="J75" s="9" t="s">
        <v>96</v>
      </c>
      <c r="K75" s="10" t="str">
        <f t="shared" si="1"/>
        <v>140204956810</v>
      </c>
    </row>
    <row r="76" ht="14.25" customHeight="1">
      <c r="A76" s="5" t="s">
        <v>97</v>
      </c>
      <c r="B76" s="5">
        <v>1.40204957E9</v>
      </c>
      <c r="C76" s="5">
        <v>10.0</v>
      </c>
      <c r="D76" s="5">
        <v>1.0342419E7</v>
      </c>
      <c r="E76" s="5" t="s">
        <v>98</v>
      </c>
      <c r="F76" s="11">
        <v>1500.0</v>
      </c>
      <c r="G76" s="7">
        <v>2625.0</v>
      </c>
      <c r="H76" s="12">
        <v>45978.0</v>
      </c>
      <c r="I76" s="12">
        <v>46038.0</v>
      </c>
      <c r="J76" s="9" t="s">
        <v>99</v>
      </c>
      <c r="K76" s="10" t="str">
        <f t="shared" si="1"/>
        <v>140204957010</v>
      </c>
    </row>
    <row r="77" ht="14.25" customHeight="1">
      <c r="A77" s="5" t="s">
        <v>100</v>
      </c>
      <c r="B77" s="5">
        <v>1.402049582E9</v>
      </c>
      <c r="C77" s="5">
        <v>10.0</v>
      </c>
      <c r="D77" s="5">
        <v>1.0333118E7</v>
      </c>
      <c r="E77" s="5" t="s">
        <v>101</v>
      </c>
      <c r="F77" s="11">
        <v>1500.0</v>
      </c>
      <c r="G77" s="7">
        <v>1065.0</v>
      </c>
      <c r="H77" s="12">
        <v>45980.0</v>
      </c>
      <c r="I77" s="12">
        <v>46038.0</v>
      </c>
      <c r="J77" s="9" t="s">
        <v>102</v>
      </c>
      <c r="K77" s="10" t="str">
        <f t="shared" si="1"/>
        <v>140204958210</v>
      </c>
    </row>
    <row r="78" ht="14.25" customHeight="1">
      <c r="A78" s="5" t="s">
        <v>100</v>
      </c>
      <c r="B78" s="5">
        <v>1.402049582E9</v>
      </c>
      <c r="C78" s="5">
        <v>20.0</v>
      </c>
      <c r="D78" s="5">
        <v>1.0333119E7</v>
      </c>
      <c r="E78" s="5" t="s">
        <v>103</v>
      </c>
      <c r="F78" s="11">
        <v>1500.0</v>
      </c>
      <c r="G78" s="7">
        <v>1260.0</v>
      </c>
      <c r="H78" s="12">
        <v>45980.0</v>
      </c>
      <c r="I78" s="12">
        <v>46038.0</v>
      </c>
      <c r="J78" s="9" t="s">
        <v>102</v>
      </c>
      <c r="K78" s="10" t="str">
        <f t="shared" si="1"/>
        <v>140204958220</v>
      </c>
    </row>
    <row r="79" ht="14.25" customHeight="1">
      <c r="A79" s="5" t="s">
        <v>104</v>
      </c>
      <c r="B79" s="5">
        <v>1.40204959E9</v>
      </c>
      <c r="C79" s="5">
        <v>10.0</v>
      </c>
      <c r="D79" s="5">
        <v>1.0342561E7</v>
      </c>
      <c r="E79" s="5" t="s">
        <v>105</v>
      </c>
      <c r="F79" s="11">
        <v>2000.0</v>
      </c>
      <c r="G79" s="7">
        <v>6940.0</v>
      </c>
      <c r="H79" s="12">
        <v>45981.0</v>
      </c>
      <c r="I79" s="12">
        <v>46035.0</v>
      </c>
      <c r="J79" s="9" t="s">
        <v>106</v>
      </c>
      <c r="K79" s="10" t="str">
        <f t="shared" si="1"/>
        <v>140204959010</v>
      </c>
    </row>
    <row r="80" ht="14.25" customHeight="1">
      <c r="A80" s="5" t="s">
        <v>104</v>
      </c>
      <c r="B80" s="5">
        <v>1.40204959E9</v>
      </c>
      <c r="C80" s="5">
        <v>20.0</v>
      </c>
      <c r="D80" s="5">
        <v>1.034256E7</v>
      </c>
      <c r="E80" s="5" t="s">
        <v>107</v>
      </c>
      <c r="F80" s="11">
        <v>5000.0</v>
      </c>
      <c r="G80" s="7">
        <v>11600.0</v>
      </c>
      <c r="H80" s="12">
        <v>45981.0</v>
      </c>
      <c r="I80" s="12">
        <v>46035.0</v>
      </c>
      <c r="J80" s="9" t="s">
        <v>106</v>
      </c>
      <c r="K80" s="10" t="str">
        <f t="shared" si="1"/>
        <v>140204959020</v>
      </c>
    </row>
    <row r="81" ht="14.25" customHeight="1">
      <c r="A81" s="5" t="s">
        <v>104</v>
      </c>
      <c r="B81" s="5">
        <v>1.40204959E9</v>
      </c>
      <c r="C81" s="5">
        <v>30.0</v>
      </c>
      <c r="D81" s="5">
        <v>1.0342555E7</v>
      </c>
      <c r="E81" s="5" t="s">
        <v>108</v>
      </c>
      <c r="F81" s="11">
        <v>7000.0</v>
      </c>
      <c r="G81" s="7">
        <v>10920.0</v>
      </c>
      <c r="H81" s="12">
        <v>45981.0</v>
      </c>
      <c r="I81" s="12">
        <v>46035.0</v>
      </c>
      <c r="J81" s="9" t="s">
        <v>106</v>
      </c>
      <c r="K81" s="10" t="str">
        <f t="shared" si="1"/>
        <v>140204959030</v>
      </c>
    </row>
    <row r="82" ht="14.25" customHeight="1">
      <c r="F82" s="13"/>
      <c r="G82" s="14"/>
      <c r="J82" s="15"/>
    </row>
    <row r="83" ht="14.25" customHeight="1">
      <c r="F83" s="13"/>
      <c r="G83" s="14"/>
      <c r="J83" s="15"/>
    </row>
    <row r="84" ht="14.25" customHeight="1">
      <c r="F84" s="13"/>
      <c r="G84" s="14"/>
      <c r="J84" s="15"/>
    </row>
    <row r="85" ht="14.25" customHeight="1">
      <c r="F85" s="13"/>
      <c r="G85" s="14"/>
      <c r="J85" s="15"/>
    </row>
    <row r="86" ht="14.25" customHeight="1">
      <c r="F86" s="13"/>
      <c r="G86" s="14"/>
      <c r="J86" s="15"/>
    </row>
    <row r="87" ht="14.25" customHeight="1">
      <c r="F87" s="13"/>
      <c r="G87" s="14"/>
      <c r="J87" s="15"/>
    </row>
    <row r="88" ht="14.25" customHeight="1">
      <c r="F88" s="13"/>
      <c r="G88" s="14"/>
      <c r="J88" s="15"/>
    </row>
    <row r="89" ht="14.25" customHeight="1">
      <c r="F89" s="13"/>
      <c r="G89" s="14"/>
      <c r="J89" s="15"/>
    </row>
    <row r="90" ht="14.25" customHeight="1">
      <c r="F90" s="13"/>
      <c r="G90" s="14"/>
      <c r="J90" s="15"/>
    </row>
    <row r="91" ht="14.25" customHeight="1">
      <c r="F91" s="13"/>
      <c r="G91" s="14"/>
      <c r="J91" s="15"/>
    </row>
    <row r="92" ht="14.25" customHeight="1">
      <c r="F92" s="13"/>
      <c r="G92" s="14"/>
      <c r="J92" s="15"/>
    </row>
    <row r="93" ht="14.25" customHeight="1">
      <c r="F93" s="13"/>
      <c r="G93" s="14"/>
      <c r="J93" s="15"/>
    </row>
    <row r="94" ht="14.25" customHeight="1">
      <c r="F94" s="13"/>
      <c r="G94" s="14"/>
      <c r="J94" s="15"/>
    </row>
    <row r="95" ht="14.25" customHeight="1">
      <c r="F95" s="13"/>
      <c r="G95" s="14"/>
      <c r="J95" s="15"/>
    </row>
    <row r="96" ht="14.25" customHeight="1">
      <c r="F96" s="13"/>
      <c r="G96" s="14"/>
      <c r="J96" s="15"/>
    </row>
    <row r="97" ht="14.25" customHeight="1">
      <c r="F97" s="13"/>
      <c r="G97" s="14"/>
      <c r="J97" s="15"/>
    </row>
    <row r="98" ht="14.25" customHeight="1">
      <c r="F98" s="13"/>
      <c r="G98" s="14"/>
      <c r="J98" s="15"/>
    </row>
    <row r="99" ht="14.25" customHeight="1">
      <c r="F99" s="13"/>
      <c r="G99" s="14"/>
      <c r="J99" s="15"/>
    </row>
    <row r="100" ht="14.25" customHeight="1">
      <c r="F100" s="13"/>
      <c r="G100" s="14"/>
      <c r="J100" s="15"/>
    </row>
    <row r="101" ht="14.25" customHeight="1">
      <c r="F101" s="13"/>
      <c r="G101" s="14"/>
      <c r="J101" s="15"/>
    </row>
    <row r="102" ht="14.25" customHeight="1">
      <c r="F102" s="13"/>
      <c r="G102" s="14"/>
      <c r="J102" s="15"/>
    </row>
    <row r="103" ht="14.25" customHeight="1">
      <c r="F103" s="13"/>
      <c r="G103" s="14"/>
      <c r="J103" s="15"/>
    </row>
    <row r="104" ht="14.25" customHeight="1">
      <c r="F104" s="13"/>
      <c r="G104" s="14"/>
      <c r="J104" s="15"/>
    </row>
    <row r="105" ht="14.25" customHeight="1">
      <c r="F105" s="13"/>
      <c r="G105" s="14"/>
      <c r="J105" s="15"/>
    </row>
    <row r="106" ht="14.25" customHeight="1">
      <c r="F106" s="13"/>
      <c r="G106" s="14"/>
      <c r="J106" s="15"/>
    </row>
    <row r="107" ht="14.25" customHeight="1">
      <c r="F107" s="13"/>
      <c r="G107" s="14"/>
      <c r="J107" s="15"/>
    </row>
    <row r="108" ht="14.25" customHeight="1">
      <c r="F108" s="13"/>
      <c r="G108" s="14"/>
      <c r="J108" s="15"/>
    </row>
    <row r="109" ht="14.25" customHeight="1">
      <c r="F109" s="13"/>
      <c r="G109" s="14"/>
      <c r="J109" s="15"/>
    </row>
    <row r="110" ht="14.25" customHeight="1">
      <c r="F110" s="13"/>
      <c r="G110" s="14"/>
      <c r="J110" s="15"/>
    </row>
    <row r="111" ht="14.25" customHeight="1">
      <c r="F111" s="13"/>
      <c r="G111" s="14"/>
      <c r="J111" s="15"/>
    </row>
    <row r="112" ht="14.25" customHeight="1">
      <c r="F112" s="13"/>
      <c r="G112" s="14"/>
      <c r="J112" s="15"/>
    </row>
    <row r="113" ht="14.25" customHeight="1">
      <c r="F113" s="13"/>
      <c r="G113" s="14"/>
      <c r="J113" s="15"/>
    </row>
    <row r="114" ht="14.25" customHeight="1">
      <c r="F114" s="13"/>
      <c r="G114" s="14"/>
      <c r="J114" s="15"/>
    </row>
    <row r="115" ht="14.25" customHeight="1">
      <c r="F115" s="13"/>
      <c r="G115" s="14"/>
      <c r="J115" s="15"/>
    </row>
    <row r="116" ht="14.25" customHeight="1">
      <c r="F116" s="13"/>
      <c r="G116" s="14"/>
      <c r="J116" s="15"/>
    </row>
    <row r="117" ht="14.25" customHeight="1">
      <c r="F117" s="13"/>
      <c r="G117" s="14"/>
      <c r="J117" s="15"/>
    </row>
    <row r="118" ht="14.25" customHeight="1">
      <c r="F118" s="13"/>
      <c r="G118" s="14"/>
      <c r="J118" s="15"/>
    </row>
    <row r="119" ht="14.25" customHeight="1">
      <c r="F119" s="13"/>
      <c r="G119" s="14"/>
      <c r="J119" s="15"/>
    </row>
    <row r="120" ht="14.25" customHeight="1">
      <c r="F120" s="13"/>
      <c r="G120" s="14"/>
      <c r="J120" s="15"/>
    </row>
    <row r="121" ht="14.25" customHeight="1">
      <c r="F121" s="13"/>
      <c r="G121" s="14"/>
      <c r="J121" s="15"/>
    </row>
    <row r="122" ht="14.25" customHeight="1">
      <c r="F122" s="13"/>
      <c r="G122" s="14"/>
      <c r="J122" s="15"/>
    </row>
    <row r="123" ht="14.25" customHeight="1">
      <c r="F123" s="13"/>
      <c r="G123" s="14"/>
      <c r="J123" s="15"/>
    </row>
    <row r="124" ht="14.25" customHeight="1">
      <c r="F124" s="13"/>
      <c r="G124" s="14"/>
      <c r="J124" s="15"/>
    </row>
    <row r="125" ht="14.25" customHeight="1">
      <c r="F125" s="13"/>
      <c r="G125" s="14"/>
      <c r="J125" s="15"/>
    </row>
    <row r="126" ht="14.25" customHeight="1">
      <c r="F126" s="13"/>
      <c r="G126" s="14"/>
      <c r="J126" s="15"/>
    </row>
    <row r="127" ht="14.25" customHeight="1">
      <c r="F127" s="13"/>
      <c r="G127" s="14"/>
      <c r="J127" s="15"/>
    </row>
    <row r="128" ht="14.25" customHeight="1">
      <c r="F128" s="13"/>
      <c r="G128" s="14"/>
      <c r="J128" s="15"/>
    </row>
    <row r="129" ht="14.25" customHeight="1">
      <c r="F129" s="13"/>
      <c r="G129" s="14"/>
      <c r="J129" s="15"/>
    </row>
    <row r="130" ht="14.25" customHeight="1">
      <c r="F130" s="13"/>
      <c r="G130" s="14"/>
      <c r="J130" s="15"/>
    </row>
    <row r="131" ht="14.25" customHeight="1">
      <c r="F131" s="13"/>
      <c r="G131" s="14"/>
      <c r="J131" s="15"/>
    </row>
    <row r="132" ht="14.25" customHeight="1">
      <c r="F132" s="13"/>
      <c r="G132" s="14"/>
      <c r="J132" s="15"/>
    </row>
    <row r="133" ht="14.25" customHeight="1">
      <c r="F133" s="13"/>
      <c r="G133" s="14"/>
      <c r="J133" s="15"/>
    </row>
    <row r="134" ht="14.25" customHeight="1">
      <c r="F134" s="13"/>
      <c r="G134" s="14"/>
      <c r="J134" s="15"/>
    </row>
    <row r="135" ht="14.25" customHeight="1">
      <c r="F135" s="13"/>
      <c r="G135" s="14"/>
      <c r="J135" s="15"/>
    </row>
    <row r="136" ht="14.25" customHeight="1">
      <c r="F136" s="13"/>
      <c r="G136" s="14"/>
      <c r="J136" s="15"/>
    </row>
    <row r="137" ht="14.25" customHeight="1">
      <c r="F137" s="13"/>
      <c r="G137" s="14"/>
      <c r="J137" s="15"/>
    </row>
    <row r="138" ht="14.25" customHeight="1">
      <c r="F138" s="13"/>
      <c r="G138" s="14"/>
      <c r="J138" s="15"/>
    </row>
    <row r="139" ht="14.25" customHeight="1">
      <c r="F139" s="13"/>
      <c r="G139" s="14"/>
      <c r="J139" s="15"/>
    </row>
    <row r="140" ht="14.25" customHeight="1">
      <c r="F140" s="13"/>
      <c r="G140" s="14"/>
      <c r="J140" s="15"/>
    </row>
    <row r="141" ht="14.25" customHeight="1">
      <c r="F141" s="13"/>
      <c r="G141" s="14"/>
      <c r="J141" s="15"/>
    </row>
    <row r="142" ht="14.25" customHeight="1">
      <c r="F142" s="13"/>
      <c r="G142" s="14"/>
      <c r="J142" s="15"/>
    </row>
    <row r="143" ht="14.25" customHeight="1">
      <c r="F143" s="13"/>
      <c r="G143" s="14"/>
      <c r="J143" s="15"/>
    </row>
    <row r="144" ht="14.25" customHeight="1">
      <c r="F144" s="13"/>
      <c r="G144" s="14"/>
      <c r="J144" s="15"/>
    </row>
    <row r="145" ht="14.25" customHeight="1">
      <c r="F145" s="13"/>
      <c r="G145" s="14"/>
      <c r="J145" s="15"/>
    </row>
    <row r="146" ht="14.25" customHeight="1">
      <c r="F146" s="13"/>
      <c r="G146" s="14"/>
      <c r="J146" s="15"/>
    </row>
    <row r="147" ht="14.25" customHeight="1">
      <c r="F147" s="13"/>
      <c r="G147" s="14"/>
      <c r="J147" s="15"/>
    </row>
    <row r="148" ht="14.25" customHeight="1">
      <c r="F148" s="13"/>
      <c r="G148" s="14"/>
      <c r="J148" s="15"/>
    </row>
    <row r="149" ht="14.25" customHeight="1">
      <c r="F149" s="13"/>
      <c r="G149" s="14"/>
      <c r="J149" s="15"/>
    </row>
    <row r="150" ht="14.25" customHeight="1">
      <c r="F150" s="13"/>
      <c r="G150" s="14"/>
      <c r="J150" s="15"/>
    </row>
    <row r="151" ht="14.25" customHeight="1">
      <c r="F151" s="13"/>
      <c r="G151" s="14"/>
      <c r="J151" s="15"/>
    </row>
    <row r="152" ht="14.25" customHeight="1">
      <c r="F152" s="13"/>
      <c r="G152" s="14"/>
      <c r="J152" s="15"/>
    </row>
    <row r="153" ht="14.25" customHeight="1">
      <c r="F153" s="13"/>
      <c r="G153" s="14"/>
      <c r="J153" s="15"/>
    </row>
    <row r="154" ht="14.25" customHeight="1">
      <c r="F154" s="13"/>
      <c r="G154" s="14"/>
      <c r="J154" s="15"/>
    </row>
    <row r="155" ht="14.25" customHeight="1">
      <c r="F155" s="13"/>
      <c r="G155" s="14"/>
      <c r="J155" s="15"/>
    </row>
    <row r="156" ht="14.25" customHeight="1">
      <c r="F156" s="13"/>
      <c r="G156" s="14"/>
      <c r="J156" s="15"/>
    </row>
    <row r="157" ht="14.25" customHeight="1">
      <c r="F157" s="13"/>
      <c r="G157" s="14"/>
      <c r="J157" s="15"/>
    </row>
    <row r="158" ht="14.25" customHeight="1">
      <c r="F158" s="13"/>
      <c r="G158" s="14"/>
      <c r="J158" s="15"/>
    </row>
    <row r="159" ht="14.25" customHeight="1">
      <c r="F159" s="13"/>
      <c r="G159" s="14"/>
      <c r="J159" s="15"/>
    </row>
    <row r="160" ht="14.25" customHeight="1">
      <c r="F160" s="13"/>
      <c r="G160" s="14"/>
      <c r="J160" s="15"/>
    </row>
    <row r="161" ht="14.25" customHeight="1">
      <c r="F161" s="13"/>
      <c r="G161" s="14"/>
      <c r="J161" s="15"/>
    </row>
    <row r="162" ht="14.25" customHeight="1">
      <c r="F162" s="13"/>
      <c r="G162" s="14"/>
      <c r="J162" s="15"/>
    </row>
    <row r="163" ht="14.25" customHeight="1">
      <c r="F163" s="13"/>
      <c r="G163" s="14"/>
      <c r="J163" s="15"/>
    </row>
    <row r="164" ht="14.25" customHeight="1">
      <c r="F164" s="13"/>
      <c r="G164" s="14"/>
      <c r="J164" s="15"/>
    </row>
    <row r="165" ht="14.25" customHeight="1">
      <c r="F165" s="13"/>
      <c r="G165" s="14"/>
      <c r="J165" s="15"/>
    </row>
    <row r="166" ht="14.25" customHeight="1">
      <c r="F166" s="13"/>
      <c r="G166" s="14"/>
      <c r="J166" s="15"/>
    </row>
    <row r="167" ht="14.25" customHeight="1">
      <c r="F167" s="13"/>
      <c r="G167" s="14"/>
      <c r="J167" s="15"/>
    </row>
    <row r="168" ht="14.25" customHeight="1">
      <c r="F168" s="13"/>
      <c r="G168" s="14"/>
      <c r="J168" s="15"/>
    </row>
    <row r="169" ht="14.25" customHeight="1">
      <c r="F169" s="13"/>
      <c r="G169" s="14"/>
      <c r="J169" s="15"/>
    </row>
    <row r="170" ht="14.25" customHeight="1">
      <c r="F170" s="13"/>
      <c r="G170" s="14"/>
      <c r="J170" s="15"/>
    </row>
    <row r="171" ht="14.25" customHeight="1">
      <c r="F171" s="13"/>
      <c r="G171" s="14"/>
      <c r="J171" s="15"/>
    </row>
    <row r="172" ht="14.25" customHeight="1">
      <c r="F172" s="13"/>
      <c r="G172" s="14"/>
      <c r="J172" s="15"/>
    </row>
    <row r="173" ht="14.25" customHeight="1">
      <c r="F173" s="13"/>
      <c r="G173" s="14"/>
      <c r="J173" s="15"/>
    </row>
    <row r="174" ht="14.25" customHeight="1">
      <c r="F174" s="13"/>
      <c r="G174" s="14"/>
      <c r="J174" s="15"/>
    </row>
    <row r="175" ht="14.25" customHeight="1">
      <c r="F175" s="13"/>
      <c r="G175" s="14"/>
      <c r="J175" s="15"/>
    </row>
    <row r="176" ht="14.25" customHeight="1">
      <c r="F176" s="13"/>
      <c r="G176" s="14"/>
      <c r="J176" s="15"/>
    </row>
    <row r="177" ht="14.25" customHeight="1">
      <c r="F177" s="13"/>
      <c r="G177" s="14"/>
      <c r="J177" s="15"/>
    </row>
    <row r="178" ht="14.25" customHeight="1">
      <c r="F178" s="13"/>
      <c r="G178" s="14"/>
      <c r="J178" s="15"/>
    </row>
    <row r="179" ht="14.25" customHeight="1">
      <c r="F179" s="13"/>
      <c r="G179" s="14"/>
      <c r="J179" s="15"/>
    </row>
    <row r="180" ht="14.25" customHeight="1">
      <c r="F180" s="13"/>
      <c r="G180" s="14"/>
      <c r="J180" s="15"/>
    </row>
    <row r="181" ht="14.25" customHeight="1">
      <c r="F181" s="13"/>
      <c r="G181" s="14"/>
      <c r="J181" s="15"/>
    </row>
    <row r="182" ht="14.25" customHeight="1">
      <c r="F182" s="13"/>
      <c r="G182" s="14"/>
      <c r="J182" s="15"/>
    </row>
    <row r="183" ht="14.25" customHeight="1">
      <c r="F183" s="13"/>
      <c r="G183" s="14"/>
      <c r="J183" s="15"/>
    </row>
    <row r="184" ht="14.25" customHeight="1">
      <c r="F184" s="13"/>
      <c r="G184" s="14"/>
      <c r="J184" s="15"/>
    </row>
    <row r="185" ht="14.25" customHeight="1">
      <c r="F185" s="13"/>
      <c r="G185" s="14"/>
      <c r="J185" s="15"/>
    </row>
    <row r="186" ht="14.25" customHeight="1">
      <c r="F186" s="13"/>
      <c r="G186" s="14"/>
      <c r="J186" s="15"/>
    </row>
    <row r="187" ht="14.25" customHeight="1">
      <c r="F187" s="13"/>
      <c r="G187" s="14"/>
      <c r="J187" s="15"/>
    </row>
    <row r="188" ht="14.25" customHeight="1">
      <c r="F188" s="13"/>
      <c r="G188" s="14"/>
      <c r="J188" s="15"/>
    </row>
    <row r="189" ht="14.25" customHeight="1">
      <c r="F189" s="13"/>
      <c r="G189" s="14"/>
      <c r="J189" s="15"/>
    </row>
    <row r="190" ht="14.25" customHeight="1">
      <c r="F190" s="13"/>
      <c r="G190" s="14"/>
      <c r="J190" s="15"/>
    </row>
    <row r="191" ht="14.25" customHeight="1">
      <c r="F191" s="13"/>
      <c r="G191" s="14"/>
      <c r="J191" s="15"/>
    </row>
    <row r="192" ht="14.25" customHeight="1">
      <c r="F192" s="13"/>
      <c r="G192" s="14"/>
      <c r="J192" s="15"/>
    </row>
    <row r="193" ht="14.25" customHeight="1">
      <c r="F193" s="13"/>
      <c r="G193" s="14"/>
      <c r="J193" s="15"/>
    </row>
    <row r="194" ht="14.25" customHeight="1">
      <c r="F194" s="13"/>
      <c r="G194" s="14"/>
      <c r="J194" s="15"/>
    </row>
    <row r="195" ht="14.25" customHeight="1">
      <c r="F195" s="13"/>
      <c r="G195" s="14"/>
      <c r="J195" s="15"/>
    </row>
    <row r="196" ht="14.25" customHeight="1">
      <c r="F196" s="13"/>
      <c r="G196" s="14"/>
      <c r="J196" s="15"/>
    </row>
    <row r="197" ht="14.25" customHeight="1">
      <c r="F197" s="13"/>
      <c r="G197" s="14"/>
      <c r="J197" s="15"/>
    </row>
    <row r="198" ht="14.25" customHeight="1">
      <c r="F198" s="13"/>
      <c r="G198" s="14"/>
      <c r="J198" s="15"/>
    </row>
    <row r="199" ht="14.25" customHeight="1">
      <c r="F199" s="13"/>
      <c r="G199" s="14"/>
      <c r="J199" s="15"/>
    </row>
    <row r="200" ht="14.25" customHeight="1">
      <c r="F200" s="13"/>
      <c r="G200" s="14"/>
      <c r="J200" s="15"/>
    </row>
    <row r="201" ht="14.25" customHeight="1">
      <c r="F201" s="13"/>
      <c r="G201" s="14"/>
      <c r="J201" s="15"/>
    </row>
    <row r="202" ht="14.25" customHeight="1">
      <c r="F202" s="13"/>
      <c r="G202" s="14"/>
      <c r="J202" s="15"/>
    </row>
    <row r="203" ht="14.25" customHeight="1">
      <c r="F203" s="13"/>
      <c r="G203" s="14"/>
      <c r="J203" s="15"/>
    </row>
    <row r="204" ht="14.25" customHeight="1">
      <c r="F204" s="13"/>
      <c r="G204" s="14"/>
      <c r="J204" s="15"/>
    </row>
    <row r="205" ht="14.25" customHeight="1">
      <c r="F205" s="13"/>
      <c r="G205" s="14"/>
      <c r="J205" s="15"/>
    </row>
    <row r="206" ht="14.25" customHeight="1">
      <c r="F206" s="13"/>
      <c r="G206" s="14"/>
      <c r="J206" s="15"/>
    </row>
    <row r="207" ht="14.25" customHeight="1">
      <c r="F207" s="13"/>
      <c r="G207" s="14"/>
      <c r="J207" s="15"/>
    </row>
    <row r="208" ht="14.25" customHeight="1">
      <c r="F208" s="13"/>
      <c r="G208" s="14"/>
      <c r="J208" s="15"/>
    </row>
    <row r="209" ht="14.25" customHeight="1">
      <c r="F209" s="13"/>
      <c r="G209" s="14"/>
      <c r="J209" s="15"/>
    </row>
    <row r="210" ht="14.25" customHeight="1">
      <c r="F210" s="13"/>
      <c r="G210" s="14"/>
      <c r="J210" s="15"/>
    </row>
    <row r="211" ht="14.25" customHeight="1">
      <c r="F211" s="13"/>
      <c r="G211" s="14"/>
      <c r="J211" s="15"/>
    </row>
    <row r="212" ht="14.25" customHeight="1">
      <c r="F212" s="13"/>
      <c r="G212" s="14"/>
      <c r="J212" s="15"/>
    </row>
    <row r="213" ht="14.25" customHeight="1">
      <c r="F213" s="13"/>
      <c r="G213" s="14"/>
      <c r="J213" s="15"/>
    </row>
    <row r="214" ht="14.25" customHeight="1">
      <c r="F214" s="13"/>
      <c r="G214" s="14"/>
      <c r="J214" s="15"/>
    </row>
    <row r="215" ht="14.25" customHeight="1">
      <c r="F215" s="13"/>
      <c r="G215" s="14"/>
      <c r="J215" s="15"/>
    </row>
    <row r="216" ht="14.25" customHeight="1">
      <c r="F216" s="13"/>
      <c r="G216" s="14"/>
      <c r="J216" s="15"/>
    </row>
    <row r="217" ht="14.25" customHeight="1">
      <c r="F217" s="13"/>
      <c r="G217" s="14"/>
      <c r="J217" s="15"/>
    </row>
    <row r="218" ht="14.25" customHeight="1">
      <c r="F218" s="13"/>
      <c r="G218" s="14"/>
      <c r="J218" s="15"/>
    </row>
    <row r="219" ht="14.25" customHeight="1">
      <c r="F219" s="13"/>
      <c r="G219" s="14"/>
      <c r="J219" s="15"/>
    </row>
    <row r="220" ht="14.25" customHeight="1">
      <c r="F220" s="13"/>
      <c r="G220" s="14"/>
      <c r="J220" s="15"/>
    </row>
    <row r="221" ht="14.25" customHeight="1">
      <c r="F221" s="13"/>
      <c r="G221" s="14"/>
      <c r="J221" s="15"/>
    </row>
    <row r="222" ht="14.25" customHeight="1">
      <c r="F222" s="13"/>
      <c r="G222" s="14"/>
      <c r="J222" s="15"/>
    </row>
    <row r="223" ht="14.25" customHeight="1">
      <c r="F223" s="13"/>
      <c r="G223" s="14"/>
      <c r="J223" s="15"/>
    </row>
    <row r="224" ht="14.25" customHeight="1">
      <c r="F224" s="13"/>
      <c r="G224" s="14"/>
      <c r="J224" s="15"/>
    </row>
    <row r="225" ht="14.25" customHeight="1">
      <c r="F225" s="13"/>
      <c r="G225" s="14"/>
      <c r="J225" s="15"/>
    </row>
    <row r="226" ht="14.25" customHeight="1">
      <c r="F226" s="13"/>
      <c r="G226" s="14"/>
      <c r="J226" s="15"/>
    </row>
    <row r="227" ht="14.25" customHeight="1">
      <c r="F227" s="13"/>
      <c r="G227" s="14"/>
      <c r="J227" s="15"/>
    </row>
    <row r="228" ht="14.25" customHeight="1">
      <c r="F228" s="13"/>
      <c r="G228" s="14"/>
      <c r="J228" s="15"/>
    </row>
    <row r="229" ht="14.25" customHeight="1">
      <c r="F229" s="13"/>
      <c r="G229" s="14"/>
      <c r="J229" s="15"/>
    </row>
    <row r="230" ht="14.25" customHeight="1">
      <c r="F230" s="13"/>
      <c r="G230" s="14"/>
      <c r="J230" s="15"/>
    </row>
    <row r="231" ht="14.25" customHeight="1">
      <c r="F231" s="13"/>
      <c r="G231" s="14"/>
      <c r="J231" s="15"/>
    </row>
    <row r="232" ht="14.25" customHeight="1">
      <c r="F232" s="13"/>
      <c r="G232" s="14"/>
      <c r="J232" s="15"/>
    </row>
    <row r="233" ht="14.25" customHeight="1">
      <c r="F233" s="13"/>
      <c r="G233" s="14"/>
      <c r="J233" s="15"/>
    </row>
    <row r="234" ht="14.25" customHeight="1">
      <c r="F234" s="13"/>
      <c r="G234" s="14"/>
      <c r="J234" s="15"/>
    </row>
    <row r="235" ht="14.25" customHeight="1">
      <c r="F235" s="13"/>
      <c r="G235" s="14"/>
      <c r="J235" s="15"/>
    </row>
    <row r="236" ht="14.25" customHeight="1">
      <c r="F236" s="13"/>
      <c r="G236" s="14"/>
      <c r="J236" s="15"/>
    </row>
    <row r="237" ht="14.25" customHeight="1">
      <c r="F237" s="13"/>
      <c r="G237" s="14"/>
      <c r="J237" s="15"/>
    </row>
    <row r="238" ht="14.25" customHeight="1">
      <c r="F238" s="13"/>
      <c r="G238" s="14"/>
      <c r="J238" s="15"/>
    </row>
    <row r="239" ht="14.25" customHeight="1">
      <c r="F239" s="13"/>
      <c r="G239" s="14"/>
      <c r="J239" s="15"/>
    </row>
    <row r="240" ht="14.25" customHeight="1">
      <c r="F240" s="13"/>
      <c r="G240" s="14"/>
      <c r="J240" s="15"/>
    </row>
    <row r="241" ht="14.25" customHeight="1">
      <c r="F241" s="13"/>
      <c r="G241" s="14"/>
      <c r="J241" s="15"/>
    </row>
    <row r="242" ht="14.25" customHeight="1">
      <c r="F242" s="13"/>
      <c r="G242" s="14"/>
      <c r="J242" s="15"/>
    </row>
    <row r="243" ht="14.25" customHeight="1">
      <c r="F243" s="13"/>
      <c r="G243" s="14"/>
      <c r="J243" s="15"/>
    </row>
    <row r="244" ht="14.25" customHeight="1">
      <c r="F244" s="13"/>
      <c r="G244" s="14"/>
      <c r="J244" s="15"/>
    </row>
    <row r="245" ht="14.25" customHeight="1">
      <c r="F245" s="13"/>
      <c r="G245" s="14"/>
      <c r="J245" s="15"/>
    </row>
    <row r="246" ht="14.25" customHeight="1">
      <c r="F246" s="13"/>
      <c r="G246" s="14"/>
      <c r="J246" s="15"/>
    </row>
    <row r="247" ht="14.25" customHeight="1">
      <c r="F247" s="13"/>
      <c r="G247" s="14"/>
      <c r="J247" s="15"/>
    </row>
    <row r="248" ht="14.25" customHeight="1">
      <c r="F248" s="13"/>
      <c r="G248" s="14"/>
      <c r="J248" s="15"/>
    </row>
    <row r="249" ht="14.25" customHeight="1">
      <c r="F249" s="13"/>
      <c r="G249" s="14"/>
      <c r="J249" s="15"/>
    </row>
    <row r="250" ht="14.25" customHeight="1">
      <c r="F250" s="13"/>
      <c r="G250" s="14"/>
      <c r="J250" s="15"/>
    </row>
    <row r="251" ht="14.25" customHeight="1">
      <c r="F251" s="13"/>
      <c r="G251" s="14"/>
      <c r="J251" s="15"/>
    </row>
    <row r="252" ht="14.25" customHeight="1">
      <c r="F252" s="13"/>
      <c r="G252" s="14"/>
      <c r="J252" s="15"/>
    </row>
    <row r="253" ht="14.25" customHeight="1">
      <c r="F253" s="13"/>
      <c r="G253" s="14"/>
      <c r="J253" s="15"/>
    </row>
    <row r="254" ht="14.25" customHeight="1">
      <c r="F254" s="13"/>
      <c r="G254" s="14"/>
      <c r="J254" s="15"/>
    </row>
    <row r="255" ht="14.25" customHeight="1">
      <c r="F255" s="13"/>
      <c r="G255" s="14"/>
      <c r="J255" s="15"/>
    </row>
    <row r="256" ht="14.25" customHeight="1">
      <c r="F256" s="13"/>
      <c r="G256" s="14"/>
      <c r="J256" s="15"/>
    </row>
    <row r="257" ht="14.25" customHeight="1">
      <c r="F257" s="13"/>
      <c r="G257" s="14"/>
      <c r="J257" s="15"/>
    </row>
    <row r="258" ht="14.25" customHeight="1">
      <c r="F258" s="13"/>
      <c r="G258" s="14"/>
      <c r="J258" s="15"/>
    </row>
    <row r="259" ht="14.25" customHeight="1">
      <c r="F259" s="13"/>
      <c r="G259" s="14"/>
      <c r="J259" s="15"/>
    </row>
    <row r="260" ht="14.25" customHeight="1">
      <c r="F260" s="13"/>
      <c r="G260" s="14"/>
      <c r="J260" s="15"/>
    </row>
    <row r="261" ht="14.25" customHeight="1">
      <c r="F261" s="13"/>
      <c r="G261" s="14"/>
      <c r="J261" s="15"/>
    </row>
    <row r="262" ht="14.25" customHeight="1">
      <c r="F262" s="13"/>
      <c r="G262" s="14"/>
      <c r="J262" s="15"/>
    </row>
    <row r="263" ht="14.25" customHeight="1">
      <c r="F263" s="13"/>
      <c r="G263" s="14"/>
      <c r="J263" s="15"/>
    </row>
    <row r="264" ht="14.25" customHeight="1">
      <c r="F264" s="13"/>
      <c r="G264" s="14"/>
      <c r="J264" s="15"/>
    </row>
    <row r="265" ht="14.25" customHeight="1">
      <c r="F265" s="13"/>
      <c r="G265" s="14"/>
      <c r="J265" s="15"/>
    </row>
    <row r="266" ht="14.25" customHeight="1">
      <c r="F266" s="13"/>
      <c r="G266" s="14"/>
      <c r="J266" s="15"/>
    </row>
    <row r="267" ht="14.25" customHeight="1">
      <c r="F267" s="13"/>
      <c r="G267" s="14"/>
      <c r="J267" s="15"/>
    </row>
    <row r="268" ht="14.25" customHeight="1">
      <c r="F268" s="13"/>
      <c r="G268" s="14"/>
      <c r="J268" s="15"/>
    </row>
    <row r="269" ht="14.25" customHeight="1">
      <c r="F269" s="13"/>
      <c r="G269" s="14"/>
      <c r="J269" s="15"/>
    </row>
    <row r="270" ht="14.25" customHeight="1">
      <c r="F270" s="13"/>
      <c r="G270" s="14"/>
      <c r="J270" s="15"/>
    </row>
    <row r="271" ht="14.25" customHeight="1">
      <c r="F271" s="13"/>
      <c r="G271" s="14"/>
      <c r="J271" s="15"/>
    </row>
    <row r="272" ht="14.25" customHeight="1">
      <c r="F272" s="13"/>
      <c r="G272" s="14"/>
      <c r="J272" s="15"/>
    </row>
    <row r="273" ht="14.25" customHeight="1">
      <c r="F273" s="13"/>
      <c r="G273" s="14"/>
      <c r="J273" s="15"/>
    </row>
    <row r="274" ht="14.25" customHeight="1">
      <c r="F274" s="13"/>
      <c r="G274" s="14"/>
      <c r="J274" s="15"/>
    </row>
    <row r="275" ht="14.25" customHeight="1">
      <c r="F275" s="13"/>
      <c r="G275" s="14"/>
      <c r="J275" s="15"/>
    </row>
    <row r="276" ht="14.25" customHeight="1">
      <c r="F276" s="13"/>
      <c r="G276" s="14"/>
      <c r="J276" s="15"/>
    </row>
    <row r="277" ht="14.25" customHeight="1">
      <c r="F277" s="13"/>
      <c r="G277" s="14"/>
      <c r="J277" s="15"/>
    </row>
    <row r="278" ht="14.25" customHeight="1">
      <c r="F278" s="13"/>
      <c r="G278" s="14"/>
      <c r="J278" s="15"/>
    </row>
    <row r="279" ht="14.25" customHeight="1">
      <c r="F279" s="13"/>
      <c r="G279" s="14"/>
      <c r="J279" s="15"/>
    </row>
    <row r="280" ht="14.25" customHeight="1">
      <c r="F280" s="13"/>
      <c r="G280" s="14"/>
      <c r="J280" s="15"/>
    </row>
    <row r="281" ht="14.25" customHeight="1">
      <c r="F281" s="13"/>
      <c r="G281" s="14"/>
      <c r="J281" s="15"/>
    </row>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H2:H81">
      <formula1>OR(NOT(ISERROR(DATEVALUE(H2))), AND(ISNUMBER(H2), LEFT(CELL("format", H2))="D"))</formula1>
    </dataValidation>
    <dataValidation type="custom" allowBlank="1" showDropDown="1" sqref="B2:B81 G2:G81">
      <formula1>AND(ISNUMBER(B2),(NOT(OR(NOT(ISERROR(DATEVALUE(B2))), AND(ISNUMBER(B2), LEFT(CELL("format", B2))="D")))))</formula1>
    </dataValidation>
  </dataValidations>
  <printOptions/>
  <pageMargins bottom="0.75" footer="0.0" header="0.0" left="0.7" right="0.7" top="0.75"/>
  <pageSetup paperSize="3"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29.14"/>
    <col customWidth="1" min="3" max="3" width="17.71"/>
    <col customWidth="1" min="4" max="4" width="26.86"/>
    <col customWidth="1" min="5" max="5" width="24.43"/>
    <col customWidth="1" min="6" max="6" width="18.43"/>
    <col customWidth="1" min="7" max="7" width="14.29"/>
    <col customWidth="1" min="8" max="8" width="14.57"/>
    <col customWidth="1" min="9" max="9" width="14.86"/>
    <col customWidth="1" min="10" max="10" width="48.71"/>
    <col customWidth="1" min="11" max="11" width="13.29"/>
    <col customWidth="1" min="12" max="12" width="15.71"/>
    <col customWidth="1" min="13" max="13" width="15.86"/>
    <col customWidth="1" min="14" max="14" width="16.14"/>
    <col customWidth="1" min="15" max="15" width="19.57"/>
    <col customWidth="1" min="16" max="16" width="12.43"/>
    <col customWidth="1" min="17" max="17" width="22.29"/>
    <col customWidth="1" min="18" max="18" width="18.43"/>
    <col customWidth="1" min="19" max="19" width="19.57"/>
    <col customWidth="1" min="20" max="20" width="13.57"/>
    <col customWidth="1" min="21" max="21" width="21.57"/>
    <col customWidth="1" min="22" max="22" width="23.71"/>
    <col customWidth="1" min="23" max="23" width="21.0"/>
    <col customWidth="1" min="24" max="24" width="12.86"/>
    <col customWidth="1" min="25" max="25" width="17.0"/>
    <col customWidth="1" min="26" max="26" width="13.71"/>
    <col customWidth="1" min="27" max="27" width="15.14"/>
    <col customWidth="1" min="28" max="28" width="14.0"/>
  </cols>
  <sheetData>
    <row r="1" ht="14.25" customHeight="1">
      <c r="A1" s="16" t="s">
        <v>109</v>
      </c>
      <c r="B1" s="16" t="s">
        <v>110</v>
      </c>
      <c r="C1" s="16" t="s">
        <v>111</v>
      </c>
      <c r="D1" s="16" t="s">
        <v>112</v>
      </c>
      <c r="E1" s="16" t="s">
        <v>113</v>
      </c>
      <c r="F1" s="16" t="s">
        <v>114</v>
      </c>
      <c r="G1" s="17" t="s">
        <v>115</v>
      </c>
      <c r="H1" s="18" t="s">
        <v>116</v>
      </c>
      <c r="I1" s="16" t="s">
        <v>3</v>
      </c>
      <c r="J1" s="16" t="s">
        <v>117</v>
      </c>
      <c r="K1" s="16" t="s">
        <v>118</v>
      </c>
      <c r="L1" s="16" t="s">
        <v>6</v>
      </c>
      <c r="M1" s="16" t="s">
        <v>119</v>
      </c>
      <c r="N1" s="16" t="s">
        <v>120</v>
      </c>
      <c r="O1" s="16" t="s">
        <v>121</v>
      </c>
      <c r="P1" s="16" t="s">
        <v>122</v>
      </c>
      <c r="Q1" s="16" t="s">
        <v>123</v>
      </c>
      <c r="R1" s="16" t="s">
        <v>124</v>
      </c>
      <c r="S1" s="16" t="s">
        <v>125</v>
      </c>
      <c r="T1" s="16" t="s">
        <v>126</v>
      </c>
      <c r="U1" s="16" t="s">
        <v>127</v>
      </c>
      <c r="V1" s="16" t="s">
        <v>128</v>
      </c>
      <c r="W1" s="16" t="s">
        <v>129</v>
      </c>
      <c r="X1" s="16" t="s">
        <v>130</v>
      </c>
      <c r="Y1" s="16" t="s">
        <v>131</v>
      </c>
      <c r="Z1" s="16" t="s">
        <v>132</v>
      </c>
      <c r="AA1" s="16" t="s">
        <v>133</v>
      </c>
      <c r="AB1" s="16" t="s">
        <v>10</v>
      </c>
    </row>
    <row r="2" ht="14.25" customHeight="1">
      <c r="A2" s="19" t="str">
        <f t="shared" ref="A2:A81" si="1">IF(B2="BUFKOR INC.","BUFKOR",IF(B2="CHIPPENHOOK","CHIPPENHOOK","SPECIALTY"))</f>
        <v>SPECIALTY</v>
      </c>
      <c r="B2" s="19" t="str">
        <f t="array" ref="B2">IFERROR(XLOOKUP(G2&amp;H2,SAP!K:K,SAP!A:A,0,0),"")</f>
        <v>BUFKOR INC-</v>
      </c>
      <c r="C2" s="20" t="str">
        <f>IFERROR(IF(OR('MASTER PLAN'!$B$2:$B$81="CHIPPENHOOK",'MASTER PLAN'!$B$2:$B$81="BUFKOR INC."),"USA",IF('MASTER PLAN'!$B$2:$B$81="SIGMAQ MEXICO S.A DE C.V","MX","SP")),"")</f>
        <v>SP</v>
      </c>
      <c r="D2" s="10" t="s">
        <v>134</v>
      </c>
      <c r="E2" s="19" t="str">
        <f>IFERROR(VLOOKUP(D2,REFERENCIAS!A:B,2,0),"")</f>
        <v>KENEDY TOBAR</v>
      </c>
      <c r="F2" s="19" t="s">
        <v>135</v>
      </c>
      <c r="G2" s="10">
        <v>1.402048632E9</v>
      </c>
      <c r="H2" s="21">
        <v>10.0</v>
      </c>
      <c r="I2" s="20">
        <f t="array" ref="I2">IFERROR(XLOOKUP(G2&amp;H2,SAP!K:K,SAP!D:D,0,0),"")</f>
        <v>10334816</v>
      </c>
      <c r="J2" s="19" t="str">
        <f t="array" ref="J2">UPPER(XLOOKUP(G2&amp;H2,SAP!K:K,SAP!E:E,0,0))</f>
        <v>BOLSA ROGERS ENTERPRISES 10"X4"X7-75"</v>
      </c>
      <c r="K2" s="22">
        <f t="array" ref="K2">IFERROR(XLOOKUP(G2&amp;H2,SAP!K:K,SAP!F:F,0,0),"")</f>
        <v>17500</v>
      </c>
      <c r="L2" s="23">
        <f t="array" ref="L2">IFERROR(XLOOKUP(G2&amp;H2,SAP!K:K,SAP!G:G,0,0),"")</f>
        <v>18620</v>
      </c>
      <c r="M2" s="24">
        <f t="shared" ref="M2:M81" si="2">IFERROR(L2/K2,0)</f>
        <v>1.064</v>
      </c>
      <c r="N2" s="25">
        <v>0.2</v>
      </c>
      <c r="O2" s="22">
        <f t="shared" ref="O2:O81" si="3">IFERROR(K2*(1+N2),0)</f>
        <v>21000</v>
      </c>
      <c r="P2" s="21">
        <v>3316830.0</v>
      </c>
      <c r="Q2" s="12">
        <v>45835.0</v>
      </c>
      <c r="R2" s="26">
        <f t="array" ref="R2">IFERROR(XLOOKUP(G2&amp;H2,SAP!K:K,SAP!H:H,0,0),"")</f>
        <v>45771</v>
      </c>
      <c r="S2" s="26">
        <f t="array" ref="S2">IFERROR(XLOOKUP(G2&amp;H2,SAP!K:K,SAP!I:I,0,0),"")</f>
        <v>45838</v>
      </c>
      <c r="T2" s="1">
        <v>3.000106444E9</v>
      </c>
      <c r="U2" s="12">
        <v>46038.0</v>
      </c>
      <c r="V2" s="12"/>
      <c r="W2" s="5" t="s">
        <v>136</v>
      </c>
      <c r="X2" s="19" t="str">
        <f t="shared" ref="X2:X81" si="4">IF(OR(U2&lt;&gt;0,V2&lt;&gt;0),"SCHEDULE","PENDING")</f>
        <v>SCHEDULE</v>
      </c>
      <c r="Y2" s="27">
        <f t="shared" ref="Y2:Y81" si="5">IF(U2&lt;&gt;0,IF(V2&lt;&gt;0,(V2-R2)/7,(U2-R2)/7),"")</f>
        <v>38.14285714</v>
      </c>
      <c r="Z2" s="19" t="str">
        <f t="shared" ref="Z2:Z81" si="6">IF(Y2="","",IF(F2="BOLSAS",IF(Y2&lt;=6,"IN TIME","DELAYED"),IF(F2="CAJAS",IF(Y2&lt;=8,"IN TIME","DELAYED"),IF(Y2&lt;=6,"IN TIME","DELAYED"))))</f>
        <v>DELAYED</v>
      </c>
      <c r="AA2" s="28">
        <f t="shared" ref="AA2:AA81" si="7">IF(AND(ISBLANK(U2),ISBLANK(V2)),"",IF(ISBLANK(V2),U2,V2))</f>
        <v>46038</v>
      </c>
      <c r="AB2" s="29" t="str">
        <f t="shared" ref="AB2:AB81" si="8">CONCAT(G2,H2)</f>
        <v>140204863210</v>
      </c>
    </row>
    <row r="3" ht="14.25" customHeight="1">
      <c r="A3" s="19" t="str">
        <f t="shared" si="1"/>
        <v>SPECIALTY</v>
      </c>
      <c r="B3" s="19" t="str">
        <f t="array" ref="B3">IFERROR(XLOOKUP(G3&amp;H3,SAP!K:K,SAP!A:A,0,0),"")</f>
        <v>BUFKOR INC-</v>
      </c>
      <c r="C3" s="20" t="str">
        <f>IFERROR(IF(OR('MASTER PLAN'!$B$2:$B$81="CHIPPENHOOK",'MASTER PLAN'!$B$2:$B$81="BUFKOR INC."),"USA",IF('MASTER PLAN'!$B$2:$B$81="SIGMAQ MEXICO S.A DE C.V","MX","SP")),"")</f>
        <v>SP</v>
      </c>
      <c r="D3" s="10" t="s">
        <v>134</v>
      </c>
      <c r="E3" s="19" t="str">
        <f>IFERROR(VLOOKUP(D3,REFERENCIAS!A:B,2,0),"")</f>
        <v>KENEDY TOBAR</v>
      </c>
      <c r="F3" s="19" t="s">
        <v>135</v>
      </c>
      <c r="G3" s="10">
        <v>1.402048797E9</v>
      </c>
      <c r="H3" s="21">
        <v>10.0</v>
      </c>
      <c r="I3" s="20">
        <f t="array" ref="I3">IFERROR(XLOOKUP(G3&amp;H3,SAP!K:K,SAP!D:D,0,0),"")</f>
        <v>10335265</v>
      </c>
      <c r="J3" s="19" t="str">
        <f t="array" ref="J3">UPPER(XLOOKUP(G3&amp;H3,SAP!K:K,SAP!E:E,0,0))</f>
        <v>BOLSA MAUI DIVERS 8"X5"X8"</v>
      </c>
      <c r="K3" s="22">
        <f t="array" ref="K3">IFERROR(XLOOKUP(G3&amp;H3,SAP!K:K,SAP!F:F,0,0),"")</f>
        <v>1280</v>
      </c>
      <c r="L3" s="23">
        <f t="array" ref="L3">IFERROR(XLOOKUP(G3&amp;H3,SAP!K:K,SAP!G:G,0,0),"")</f>
        <v>1730.56</v>
      </c>
      <c r="M3" s="24">
        <f t="shared" si="2"/>
        <v>1.352</v>
      </c>
      <c r="N3" s="25">
        <v>0.2</v>
      </c>
      <c r="O3" s="22">
        <f t="shared" si="3"/>
        <v>1536</v>
      </c>
      <c r="P3" s="21">
        <v>3321183.0</v>
      </c>
      <c r="Q3" s="12">
        <v>45835.0</v>
      </c>
      <c r="R3" s="26">
        <f t="array" ref="R3">IFERROR(XLOOKUP(G3&amp;H3,SAP!K:K,SAP!H:H,0,0),"")</f>
        <v>45806</v>
      </c>
      <c r="S3" s="26">
        <f t="array" ref="S3">IFERROR(XLOOKUP(G3&amp;H3,SAP!K:K,SAP!I:I,0,0),"")</f>
        <v>45849</v>
      </c>
      <c r="T3" s="1"/>
      <c r="U3" s="12">
        <v>45978.0</v>
      </c>
      <c r="V3" s="12"/>
      <c r="W3" s="5"/>
      <c r="X3" s="19" t="str">
        <f t="shared" si="4"/>
        <v>SCHEDULE</v>
      </c>
      <c r="Y3" s="27">
        <f t="shared" si="5"/>
        <v>24.57142857</v>
      </c>
      <c r="Z3" s="19" t="str">
        <f t="shared" si="6"/>
        <v>DELAYED</v>
      </c>
      <c r="AA3" s="28">
        <f t="shared" si="7"/>
        <v>45978</v>
      </c>
      <c r="AB3" s="29" t="str">
        <f t="shared" si="8"/>
        <v>140204879710</v>
      </c>
    </row>
    <row r="4" ht="14.25" customHeight="1">
      <c r="A4" s="19" t="str">
        <f t="shared" si="1"/>
        <v>CHIPPENHOOK</v>
      </c>
      <c r="B4" s="19" t="str">
        <f t="array" ref="B4">IFERROR(XLOOKUP(G4&amp;H4,SAP!K:K,SAP!A:A,0,0),"")</f>
        <v>CHIPPENHOOK</v>
      </c>
      <c r="C4" s="20" t="str">
        <f>IFERROR(IF(OR('MASTER PLAN'!$B$2:$B$81="CHIPPENHOOK",'MASTER PLAN'!$B$2:$B$81="BUFKOR INC."),"USA",IF('MASTER PLAN'!$B$2:$B$81="SIGMAQ MEXICO S.A DE C.V","MX","SP")),"")</f>
        <v>USA</v>
      </c>
      <c r="D4" s="10" t="s">
        <v>137</v>
      </c>
      <c r="E4" s="19" t="str">
        <f>IFERROR(VLOOKUP(D4,REFERENCIAS!A:B,2,0),"")</f>
        <v>SANTOS CORNEJO</v>
      </c>
      <c r="F4" s="19" t="s">
        <v>135</v>
      </c>
      <c r="G4" s="10">
        <v>1.402048824E9</v>
      </c>
      <c r="H4" s="21">
        <v>10.0</v>
      </c>
      <c r="I4" s="20">
        <f t="array" ref="I4">IFERROR(XLOOKUP(G4&amp;H4,SAP!K:K,SAP!D:D,0,0),"")</f>
        <v>10332711</v>
      </c>
      <c r="J4" s="19" t="str">
        <f t="array" ref="J4">UPPER(XLOOKUP(G4&amp;H4,SAP!K:K,SAP!E:E,0,0))</f>
        <v>BOLSA FRED MEYER 4-5"X3"X5-5"</v>
      </c>
      <c r="K4" s="22">
        <f t="array" ref="K4">IFERROR(XLOOKUP(G4&amp;H4,SAP!K:K,SAP!F:F,0,0),"")</f>
        <v>16704</v>
      </c>
      <c r="L4" s="23">
        <f t="array" ref="L4">IFERROR(XLOOKUP(G4&amp;H4,SAP!K:K,SAP!G:G,0,0),"")</f>
        <v>5178.24</v>
      </c>
      <c r="M4" s="24">
        <f t="shared" si="2"/>
        <v>0.31</v>
      </c>
      <c r="N4" s="25">
        <v>0.2</v>
      </c>
      <c r="O4" s="22">
        <f t="shared" si="3"/>
        <v>20044.8</v>
      </c>
      <c r="P4" s="21">
        <v>3323155.0</v>
      </c>
      <c r="Q4" s="12">
        <v>45835.0</v>
      </c>
      <c r="R4" s="26">
        <f t="array" ref="R4">IFERROR(XLOOKUP(G4&amp;H4,SAP!K:K,SAP!H:H,0,0),"")</f>
        <v>45814</v>
      </c>
      <c r="S4" s="26">
        <f t="array" ref="S4">IFERROR(XLOOKUP(G4&amp;H4,SAP!K:K,SAP!I:I,0,0),"")</f>
        <v>45877</v>
      </c>
      <c r="T4" s="1"/>
      <c r="U4" s="12">
        <v>45946.0</v>
      </c>
      <c r="V4" s="12"/>
      <c r="W4" s="5"/>
      <c r="X4" s="19" t="str">
        <f t="shared" si="4"/>
        <v>SCHEDULE</v>
      </c>
      <c r="Y4" s="27">
        <f t="shared" si="5"/>
        <v>18.85714286</v>
      </c>
      <c r="Z4" s="19" t="str">
        <f t="shared" si="6"/>
        <v>DELAYED</v>
      </c>
      <c r="AA4" s="28">
        <f t="shared" si="7"/>
        <v>45946</v>
      </c>
      <c r="AB4" s="29" t="str">
        <f t="shared" si="8"/>
        <v>140204882410</v>
      </c>
    </row>
    <row r="5" ht="14.25" customHeight="1">
      <c r="A5" s="19" t="str">
        <f t="shared" si="1"/>
        <v>CHIPPENHOOK</v>
      </c>
      <c r="B5" s="19" t="str">
        <f t="array" ref="B5">IFERROR(XLOOKUP(G5&amp;H5,SAP!K:K,SAP!A:A,0,0),"")</f>
        <v>CHIPPENHOOK</v>
      </c>
      <c r="C5" s="20" t="str">
        <f>IFERROR(IF(OR('MASTER PLAN'!$B$2:$B$81="CHIPPENHOOK",'MASTER PLAN'!$B$2:$B$81="BUFKOR INC."),"USA",IF('MASTER PLAN'!$B$2:$B$81="SIGMAQ MEXICO S.A DE C.V","MX","SP")),"")</f>
        <v>USA</v>
      </c>
      <c r="D5" s="10" t="s">
        <v>137</v>
      </c>
      <c r="E5" s="19" t="str">
        <f>IFERROR(VLOOKUP(D5,REFERENCIAS!A:B,2,0),"")</f>
        <v>SANTOS CORNEJO</v>
      </c>
      <c r="F5" s="19" t="s">
        <v>135</v>
      </c>
      <c r="G5" s="10">
        <v>1.402048833E9</v>
      </c>
      <c r="H5" s="21">
        <v>10.0</v>
      </c>
      <c r="I5" s="20">
        <f t="array" ref="I5">IFERROR(XLOOKUP(G5&amp;H5,SAP!K:K,SAP!D:D,0,0),"")</f>
        <v>10332711</v>
      </c>
      <c r="J5" s="19" t="str">
        <f t="array" ref="J5">UPPER(XLOOKUP(G5&amp;H5,SAP!K:K,SAP!E:E,0,0))</f>
        <v>BOLSA FRED MEYER 4-5"X3"X5-5"</v>
      </c>
      <c r="K5" s="22">
        <f t="array" ref="K5">IFERROR(XLOOKUP(G5&amp;H5,SAP!K:K,SAP!F:F,0,0),"")</f>
        <v>54180</v>
      </c>
      <c r="L5" s="23">
        <f t="array" ref="L5">IFERROR(XLOOKUP(G5&amp;H5,SAP!K:K,SAP!G:G,0,0),"")</f>
        <v>27509.4</v>
      </c>
      <c r="M5" s="24">
        <f t="shared" si="2"/>
        <v>0.5077408638</v>
      </c>
      <c r="N5" s="25">
        <v>0.1</v>
      </c>
      <c r="O5" s="22">
        <f t="shared" si="3"/>
        <v>59598</v>
      </c>
      <c r="P5" s="21">
        <v>3326351.0</v>
      </c>
      <c r="Q5" s="12">
        <v>45845.0</v>
      </c>
      <c r="R5" s="26">
        <f t="array" ref="R5">IFERROR(XLOOKUP(G5&amp;H5,SAP!K:K,SAP!H:H,0,0),"")</f>
        <v>45814</v>
      </c>
      <c r="S5" s="26">
        <f t="array" ref="S5">IFERROR(XLOOKUP(G5&amp;H5,SAP!K:K,SAP!I:I,0,0),"")</f>
        <v>45982</v>
      </c>
      <c r="T5" s="1"/>
      <c r="U5" s="12"/>
      <c r="V5" s="12"/>
      <c r="W5" s="5" t="s">
        <v>138</v>
      </c>
      <c r="X5" s="19" t="str">
        <f t="shared" si="4"/>
        <v>PENDING</v>
      </c>
      <c r="Y5" s="27" t="str">
        <f t="shared" si="5"/>
        <v/>
      </c>
      <c r="Z5" s="19" t="str">
        <f t="shared" si="6"/>
        <v/>
      </c>
      <c r="AA5" s="28" t="str">
        <f t="shared" si="7"/>
        <v/>
      </c>
      <c r="AB5" s="29" t="str">
        <f t="shared" si="8"/>
        <v>140204883310</v>
      </c>
    </row>
    <row r="6" ht="14.25" customHeight="1">
      <c r="A6" s="19" t="str">
        <f t="shared" si="1"/>
        <v>CHIPPENHOOK</v>
      </c>
      <c r="B6" s="19" t="str">
        <f t="array" ref="B6">IFERROR(XLOOKUP(G6&amp;H6,SAP!K:K,SAP!A:A,0,0),"")</f>
        <v>CHIPPENHOOK</v>
      </c>
      <c r="C6" s="20" t="str">
        <f>IFERROR(IF(OR('MASTER PLAN'!$B$2:$B$81="CHIPPENHOOK",'MASTER PLAN'!$B$2:$B$81="BUFKOR INC."),"USA",IF('MASTER PLAN'!$B$2:$B$81="SIGMAQ MEXICO S.A DE C.V","MX","SP")),"")</f>
        <v>USA</v>
      </c>
      <c r="D6" s="10" t="s">
        <v>137</v>
      </c>
      <c r="E6" s="19" t="str">
        <f>IFERROR(VLOOKUP(D6,REFERENCIAS!A:B,2,0),"")</f>
        <v>SANTOS CORNEJO</v>
      </c>
      <c r="F6" s="19" t="s">
        <v>135</v>
      </c>
      <c r="G6" s="10">
        <v>1.402048833E9</v>
      </c>
      <c r="H6" s="21">
        <v>20.0</v>
      </c>
      <c r="I6" s="20">
        <f t="array" ref="I6">IFERROR(XLOOKUP(G6&amp;H6,SAP!K:K,SAP!D:D,0,0),"")</f>
        <v>10332712</v>
      </c>
      <c r="J6" s="19" t="str">
        <f t="array" ref="J6">UPPER(XLOOKUP(G6&amp;H6,SAP!K:K,SAP!E:E,0,0))</f>
        <v>BOLSA FRED MEYER 10"X4"X8"</v>
      </c>
      <c r="K6" s="22">
        <f t="array" ref="K6">IFERROR(XLOOKUP(G6&amp;H6,SAP!K:K,SAP!F:F,0,0),"")</f>
        <v>6240</v>
      </c>
      <c r="L6" s="23">
        <f t="array" ref="L6">IFERROR(XLOOKUP(G6&amp;H6,SAP!K:K,SAP!G:G,0,0),"")</f>
        <v>3931.2</v>
      </c>
      <c r="M6" s="24">
        <f t="shared" si="2"/>
        <v>0.63</v>
      </c>
      <c r="N6" s="25">
        <v>0.1</v>
      </c>
      <c r="O6" s="22">
        <f t="shared" si="3"/>
        <v>6864</v>
      </c>
      <c r="P6" s="21">
        <v>3326351.0</v>
      </c>
      <c r="Q6" s="12">
        <v>45845.0</v>
      </c>
      <c r="R6" s="26">
        <f t="array" ref="R6">IFERROR(XLOOKUP(G6&amp;H6,SAP!K:K,SAP!H:H,0,0),"")</f>
        <v>45814</v>
      </c>
      <c r="S6" s="26">
        <f t="array" ref="S6">IFERROR(XLOOKUP(G6&amp;H6,SAP!K:K,SAP!I:I,0,0),"")</f>
        <v>45982</v>
      </c>
      <c r="T6" s="1"/>
      <c r="U6" s="12">
        <v>45974.0</v>
      </c>
      <c r="V6" s="12"/>
      <c r="W6" s="5"/>
      <c r="X6" s="19" t="str">
        <f t="shared" si="4"/>
        <v>SCHEDULE</v>
      </c>
      <c r="Y6" s="27">
        <f t="shared" si="5"/>
        <v>22.85714286</v>
      </c>
      <c r="Z6" s="19" t="str">
        <f t="shared" si="6"/>
        <v>DELAYED</v>
      </c>
      <c r="AA6" s="28">
        <f t="shared" si="7"/>
        <v>45974</v>
      </c>
      <c r="AB6" s="29" t="str">
        <f t="shared" si="8"/>
        <v>140204883320</v>
      </c>
    </row>
    <row r="7" ht="14.25" customHeight="1">
      <c r="A7" s="19" t="str">
        <f t="shared" si="1"/>
        <v>SPECIALTY</v>
      </c>
      <c r="B7" s="19" t="str">
        <f t="array" ref="B7">IFERROR(XLOOKUP(G7&amp;H7,SAP!K:K,SAP!A:A,0,0),"")</f>
        <v>BUFKOR INC-</v>
      </c>
      <c r="C7" s="20" t="str">
        <f>IFERROR(IF(OR('MASTER PLAN'!$B$2:$B$81="CHIPPENHOOK",'MASTER PLAN'!$B$2:$B$81="BUFKOR INC."),"USA",IF('MASTER PLAN'!$B$2:$B$81="SIGMAQ MEXICO S.A DE C.V","MX","SP")),"")</f>
        <v>SP</v>
      </c>
      <c r="D7" s="10" t="s">
        <v>139</v>
      </c>
      <c r="E7" s="19" t="str">
        <f>IFERROR(VLOOKUP(D7,REFERENCIAS!A:B,2,0),"")</f>
        <v>JAVIER MOLINA</v>
      </c>
      <c r="F7" s="19" t="s">
        <v>135</v>
      </c>
      <c r="G7" s="10">
        <v>1.402049194E9</v>
      </c>
      <c r="H7" s="21">
        <v>10.0</v>
      </c>
      <c r="I7" s="20">
        <f t="array" ref="I7">IFERROR(XLOOKUP(G7&amp;H7,SAP!K:K,SAP!D:D,0,0),"")</f>
        <v>10330512</v>
      </c>
      <c r="J7" s="19" t="str">
        <f t="array" ref="J7">UPPER(XLOOKUP(G7&amp;H7,SAP!K:K,SAP!E:E,0,0))</f>
        <v>BOLSA ALMAGEN CORP 8"X4"X10"</v>
      </c>
      <c r="K7" s="22">
        <f t="array" ref="K7">IFERROR(XLOOKUP(G7&amp;H7,SAP!K:K,SAP!F:F,0,0),"")</f>
        <v>2000</v>
      </c>
      <c r="L7" s="23">
        <f t="array" ref="L7">IFERROR(XLOOKUP(G7&amp;H7,SAP!K:K,SAP!G:G,0,0),"")</f>
        <v>5856</v>
      </c>
      <c r="M7" s="24">
        <f t="shared" si="2"/>
        <v>2.928</v>
      </c>
      <c r="N7" s="25">
        <v>0.2</v>
      </c>
      <c r="O7" s="22">
        <f t="shared" si="3"/>
        <v>2400</v>
      </c>
      <c r="P7" s="21">
        <v>3337498.0</v>
      </c>
      <c r="Q7" s="12">
        <v>45903.0</v>
      </c>
      <c r="R7" s="26">
        <f t="array" ref="R7">IFERROR(XLOOKUP(G7&amp;H7,SAP!K:K,SAP!H:H,0,0),"")</f>
        <v>45923</v>
      </c>
      <c r="S7" s="26">
        <f t="array" ref="S7">IFERROR(XLOOKUP(G7&amp;H7,SAP!K:K,SAP!I:I,0,0),"")</f>
        <v>45931</v>
      </c>
      <c r="T7" s="1"/>
      <c r="U7" s="12">
        <v>45986.0</v>
      </c>
      <c r="V7" s="12"/>
      <c r="W7" s="5"/>
      <c r="X7" s="19" t="str">
        <f t="shared" si="4"/>
        <v>SCHEDULE</v>
      </c>
      <c r="Y7" s="27">
        <f t="shared" si="5"/>
        <v>9</v>
      </c>
      <c r="Z7" s="19" t="str">
        <f t="shared" si="6"/>
        <v>DELAYED</v>
      </c>
      <c r="AA7" s="28">
        <f t="shared" si="7"/>
        <v>45986</v>
      </c>
      <c r="AB7" s="29" t="str">
        <f t="shared" si="8"/>
        <v>140204919410</v>
      </c>
    </row>
    <row r="8" ht="14.25" customHeight="1">
      <c r="A8" s="19" t="str">
        <f t="shared" si="1"/>
        <v>SPECIALTY</v>
      </c>
      <c r="B8" s="19" t="str">
        <f t="array" ref="B8">IFERROR(XLOOKUP(G8&amp;H8,SAP!K:K,SAP!A:A,0,0),"")</f>
        <v>BUFKOR INC-</v>
      </c>
      <c r="C8" s="20" t="str">
        <f>IFERROR(IF(OR('MASTER PLAN'!$B$2:$B$81="CHIPPENHOOK",'MASTER PLAN'!$B$2:$B$81="BUFKOR INC."),"USA",IF('MASTER PLAN'!$B$2:$B$81="SIGMAQ MEXICO S.A DE C.V","MX","SP")),"")</f>
        <v>SP</v>
      </c>
      <c r="D8" s="10" t="s">
        <v>140</v>
      </c>
      <c r="E8" s="19" t="str">
        <f>IFERROR(VLOOKUP(D8,REFERENCIAS!A:B,2,0),"")</f>
        <v>ASHLY MERINO</v>
      </c>
      <c r="F8" s="19" t="s">
        <v>135</v>
      </c>
      <c r="G8" s="10">
        <v>1.402049207E9</v>
      </c>
      <c r="H8" s="21">
        <v>10.0</v>
      </c>
      <c r="I8" s="20">
        <f t="array" ref="I8">IFERROR(XLOOKUP(G8&amp;H8,SAP!K:K,SAP!D:D,0,0),"")</f>
        <v>10271087</v>
      </c>
      <c r="J8" s="19" t="str">
        <f t="array" ref="J8">UPPER(XLOOKUP(G8&amp;H8,SAP!K:K,SAP!E:E,0,0))</f>
        <v>BOLSA FINKS JEWELERS 6-5"X3-5"X6-5"</v>
      </c>
      <c r="K8" s="22">
        <f t="array" ref="K8">IFERROR(XLOOKUP(G8&amp;H8,SAP!K:K,SAP!F:F,0,0),"")</f>
        <v>9000</v>
      </c>
      <c r="L8" s="23">
        <f t="array" ref="L8">IFERROR(XLOOKUP(G8&amp;H8,SAP!K:K,SAP!G:G,0,0),"")</f>
        <v>5040</v>
      </c>
      <c r="M8" s="24">
        <f t="shared" si="2"/>
        <v>0.56</v>
      </c>
      <c r="N8" s="25">
        <v>0.2</v>
      </c>
      <c r="O8" s="22">
        <f t="shared" si="3"/>
        <v>10800</v>
      </c>
      <c r="P8" s="21">
        <v>3336254.0</v>
      </c>
      <c r="Q8" s="12">
        <v>45896.0</v>
      </c>
      <c r="R8" s="26">
        <f t="array" ref="R8">IFERROR(XLOOKUP(G8&amp;H8,SAP!K:K,SAP!H:H,0,0),"")</f>
        <v>45923</v>
      </c>
      <c r="S8" s="26">
        <f t="array" ref="S8">IFERROR(XLOOKUP(G8&amp;H8,SAP!K:K,SAP!I:I,0,0),"")</f>
        <v>45894</v>
      </c>
      <c r="T8" s="1"/>
      <c r="U8" s="12">
        <v>45993.0</v>
      </c>
      <c r="V8" s="12"/>
      <c r="W8" s="5"/>
      <c r="X8" s="19" t="str">
        <f t="shared" si="4"/>
        <v>SCHEDULE</v>
      </c>
      <c r="Y8" s="27">
        <f t="shared" si="5"/>
        <v>10</v>
      </c>
      <c r="Z8" s="19" t="str">
        <f t="shared" si="6"/>
        <v>DELAYED</v>
      </c>
      <c r="AA8" s="28">
        <f t="shared" si="7"/>
        <v>45993</v>
      </c>
      <c r="AB8" s="29" t="str">
        <f t="shared" si="8"/>
        <v>140204920710</v>
      </c>
    </row>
    <row r="9" ht="14.25" customHeight="1">
      <c r="A9" s="19" t="str">
        <f t="shared" si="1"/>
        <v>SPECIALTY</v>
      </c>
      <c r="B9" s="19" t="str">
        <f t="array" ref="B9">IFERROR(XLOOKUP(G9&amp;H9,SAP!K:K,SAP!A:A,0,0),"")</f>
        <v>BUFKOR INC-</v>
      </c>
      <c r="C9" s="20" t="str">
        <f>IFERROR(IF(OR('MASTER PLAN'!$B$2:$B$81="CHIPPENHOOK",'MASTER PLAN'!$B$2:$B$81="BUFKOR INC."),"USA",IF('MASTER PLAN'!$B$2:$B$81="SIGMAQ MEXICO S.A DE C.V","MX","SP")),"")</f>
        <v>SP</v>
      </c>
      <c r="D9" s="10" t="s">
        <v>140</v>
      </c>
      <c r="E9" s="19" t="str">
        <f>IFERROR(VLOOKUP(D9,REFERENCIAS!A:B,2,0),"")</f>
        <v>ASHLY MERINO</v>
      </c>
      <c r="F9" s="19" t="s">
        <v>135</v>
      </c>
      <c r="G9" s="10">
        <v>1.402049437E9</v>
      </c>
      <c r="H9" s="21">
        <v>10.0</v>
      </c>
      <c r="I9" s="20">
        <f t="array" ref="I9">IFERROR(XLOOKUP(G9&amp;H9,SAP!K:K,SAP!D:D,0,0),"")</f>
        <v>10276560</v>
      </c>
      <c r="J9" s="19" t="str">
        <f t="array" ref="J9">UPPER(XLOOKUP(G9&amp;H9,SAP!K:K,SAP!E:E,0,0))</f>
        <v>BOLSA FINKS JWLS 10X5X10"</v>
      </c>
      <c r="K9" s="22">
        <f t="array" ref="K9">IFERROR(XLOOKUP(G9&amp;H9,SAP!K:K,SAP!F:F,0,0),"")</f>
        <v>3000</v>
      </c>
      <c r="L9" s="23">
        <f t="array" ref="L9">IFERROR(XLOOKUP(G9&amp;H9,SAP!K:K,SAP!G:G,0,0),"")</f>
        <v>3528</v>
      </c>
      <c r="M9" s="24">
        <f t="shared" si="2"/>
        <v>1.176</v>
      </c>
      <c r="N9" s="25">
        <v>0.2</v>
      </c>
      <c r="O9" s="22">
        <f t="shared" si="3"/>
        <v>3600</v>
      </c>
      <c r="P9" s="21">
        <v>3351135.0</v>
      </c>
      <c r="Q9" s="12">
        <v>45968.0</v>
      </c>
      <c r="R9" s="26">
        <f t="array" ref="R9">IFERROR(XLOOKUP(G9&amp;H9,SAP!K:K,SAP!H:H,0,0),"")</f>
        <v>45940</v>
      </c>
      <c r="S9" s="26">
        <f t="array" ref="S9">IFERROR(XLOOKUP(G9&amp;H9,SAP!K:K,SAP!I:I,0,0),"")</f>
        <v>45999</v>
      </c>
      <c r="T9" s="1">
        <v>3.000117203E9</v>
      </c>
      <c r="U9" s="12"/>
      <c r="V9" s="12"/>
      <c r="W9" s="5" t="s">
        <v>141</v>
      </c>
      <c r="X9" s="19" t="str">
        <f t="shared" si="4"/>
        <v>PENDING</v>
      </c>
      <c r="Y9" s="27" t="str">
        <f t="shared" si="5"/>
        <v/>
      </c>
      <c r="Z9" s="19" t="str">
        <f t="shared" si="6"/>
        <v/>
      </c>
      <c r="AA9" s="28" t="str">
        <f t="shared" si="7"/>
        <v/>
      </c>
      <c r="AB9" s="29" t="str">
        <f t="shared" si="8"/>
        <v>140204943710</v>
      </c>
    </row>
    <row r="10" ht="14.25" customHeight="1">
      <c r="A10" s="19" t="str">
        <f t="shared" si="1"/>
        <v>SPECIALTY</v>
      </c>
      <c r="B10" s="19" t="str">
        <f t="array" ref="B10">IFERROR(XLOOKUP(G10&amp;H10,SAP!K:K,SAP!A:A,0,0),"")</f>
        <v>BUFKOR INC-</v>
      </c>
      <c r="C10" s="20" t="str">
        <f>IFERROR(IF(OR('MASTER PLAN'!$B$2:$B$81="CHIPPENHOOK",'MASTER PLAN'!$B$2:$B$81="BUFKOR INC."),"USA",IF('MASTER PLAN'!$B$2:$B$81="SIGMAQ MEXICO S.A DE C.V","MX","SP")),"")</f>
        <v>SP</v>
      </c>
      <c r="D10" s="10" t="s">
        <v>140</v>
      </c>
      <c r="E10" s="19" t="str">
        <f>IFERROR(VLOOKUP(D10,REFERENCIAS!A:B,2,0),"")</f>
        <v>ASHLY MERINO</v>
      </c>
      <c r="F10" s="19" t="s">
        <v>135</v>
      </c>
      <c r="G10" s="10">
        <v>1.402049207E9</v>
      </c>
      <c r="H10" s="21">
        <v>20.0</v>
      </c>
      <c r="I10" s="20">
        <f t="array" ref="I10">IFERROR(XLOOKUP(G10&amp;H10,SAP!K:K,SAP!D:D,0,0),"")</f>
        <v>10271097</v>
      </c>
      <c r="J10" s="19" t="str">
        <f t="array" ref="J10">UPPER(XLOOKUP(G10&amp;H10,SAP!K:K,SAP!E:E,0,0))</f>
        <v>BOLSA FINKS JEWELERS  7"X5"X9"</v>
      </c>
      <c r="K10" s="22">
        <f t="array" ref="K10">IFERROR(XLOOKUP(G10&amp;H10,SAP!K:K,SAP!F:F,0,0),"")</f>
        <v>12000</v>
      </c>
      <c r="L10" s="23">
        <f t="array" ref="L10">IFERROR(XLOOKUP(G10&amp;H10,SAP!K:K,SAP!G:G,0,0),"")</f>
        <v>8736</v>
      </c>
      <c r="M10" s="24">
        <f t="shared" si="2"/>
        <v>0.728</v>
      </c>
      <c r="N10" s="25">
        <v>0.2</v>
      </c>
      <c r="O10" s="22">
        <f t="shared" si="3"/>
        <v>14400</v>
      </c>
      <c r="P10" s="21">
        <v>3336254.0</v>
      </c>
      <c r="Q10" s="12">
        <v>45896.0</v>
      </c>
      <c r="R10" s="26">
        <f t="array" ref="R10">IFERROR(XLOOKUP(G10&amp;H10,SAP!K:K,SAP!H:H,0,0),"")</f>
        <v>45923</v>
      </c>
      <c r="S10" s="26">
        <f t="array" ref="S10">IFERROR(XLOOKUP(G10&amp;H10,SAP!K:K,SAP!I:I,0,0),"")</f>
        <v>45894</v>
      </c>
      <c r="T10" s="1"/>
      <c r="U10" s="12">
        <v>46000.0</v>
      </c>
      <c r="V10" s="12"/>
      <c r="W10" s="5" t="s">
        <v>142</v>
      </c>
      <c r="X10" s="19" t="str">
        <f t="shared" si="4"/>
        <v>SCHEDULE</v>
      </c>
      <c r="Y10" s="27">
        <f t="shared" si="5"/>
        <v>11</v>
      </c>
      <c r="Z10" s="19" t="str">
        <f t="shared" si="6"/>
        <v>DELAYED</v>
      </c>
      <c r="AA10" s="28">
        <f t="shared" si="7"/>
        <v>46000</v>
      </c>
      <c r="AB10" s="29" t="str">
        <f t="shared" si="8"/>
        <v>140204920720</v>
      </c>
    </row>
    <row r="11" ht="14.25" customHeight="1">
      <c r="A11" s="19" t="str">
        <f t="shared" si="1"/>
        <v>SPECIALTY</v>
      </c>
      <c r="B11" s="19" t="str">
        <f t="array" ref="B11">IFERROR(XLOOKUP(G11&amp;H11,SAP!K:K,SAP!A:A,0,0),"")</f>
        <v>BUFKOR INC-</v>
      </c>
      <c r="C11" s="20" t="str">
        <f>IFERROR(IF(OR('MASTER PLAN'!$B$2:$B$81="CHIPPENHOOK",'MASTER PLAN'!$B$2:$B$81="BUFKOR INC."),"USA",IF('MASTER PLAN'!$B$2:$B$81="SIGMAQ MEXICO S.A DE C.V","MX","SP")),"")</f>
        <v>SP</v>
      </c>
      <c r="D11" s="10" t="s">
        <v>134</v>
      </c>
      <c r="E11" s="19" t="str">
        <f>IFERROR(VLOOKUP(D11,REFERENCIAS!A:B,2,0),"")</f>
        <v>KENEDY TOBAR</v>
      </c>
      <c r="F11" s="19" t="s">
        <v>135</v>
      </c>
      <c r="G11" s="10">
        <v>1.402049238E9</v>
      </c>
      <c r="H11" s="21">
        <v>10.0</v>
      </c>
      <c r="I11" s="20">
        <f t="array" ref="I11">IFERROR(XLOOKUP(G11&amp;H11,SAP!K:K,SAP!D:D,0,0),"")</f>
        <v>10335266</v>
      </c>
      <c r="J11" s="19" t="str">
        <f t="array" ref="J11">UPPER(XLOOKUP(G11&amp;H11,SAP!K:K,SAP!E:E,0,0))</f>
        <v>BOLSA MAUI DIVERS 10"X6"X10"</v>
      </c>
      <c r="K11" s="22">
        <f t="array" ref="K11">IFERROR(XLOOKUP(G11&amp;H11,SAP!K:K,SAP!F:F,0,0),"")</f>
        <v>3040</v>
      </c>
      <c r="L11" s="23">
        <f t="array" ref="L11">IFERROR(XLOOKUP(G11&amp;H11,SAP!K:K,SAP!G:G,0,0),"")</f>
        <v>5496.32</v>
      </c>
      <c r="M11" s="24">
        <f t="shared" si="2"/>
        <v>1.808</v>
      </c>
      <c r="N11" s="25">
        <v>0.2</v>
      </c>
      <c r="O11" s="22">
        <f t="shared" si="3"/>
        <v>3648</v>
      </c>
      <c r="P11" s="21">
        <v>3341642.0</v>
      </c>
      <c r="Q11" s="12">
        <v>45922.0</v>
      </c>
      <c r="R11" s="26">
        <f t="array" ref="R11">IFERROR(XLOOKUP(G11&amp;H11,SAP!K:K,SAP!H:H,0,0),"")</f>
        <v>45918</v>
      </c>
      <c r="S11" s="26">
        <f t="array" ref="S11">IFERROR(XLOOKUP(G11&amp;H11,SAP!K:K,SAP!I:I,0,0),"")</f>
        <v>45960</v>
      </c>
      <c r="T11" s="1"/>
      <c r="U11" s="12">
        <v>45973.0</v>
      </c>
      <c r="V11" s="12"/>
      <c r="W11" s="5"/>
      <c r="X11" s="19" t="str">
        <f t="shared" si="4"/>
        <v>SCHEDULE</v>
      </c>
      <c r="Y11" s="27">
        <f t="shared" si="5"/>
        <v>7.857142857</v>
      </c>
      <c r="Z11" s="19" t="str">
        <f t="shared" si="6"/>
        <v>DELAYED</v>
      </c>
      <c r="AA11" s="28">
        <f t="shared" si="7"/>
        <v>45973</v>
      </c>
      <c r="AB11" s="29" t="str">
        <f t="shared" si="8"/>
        <v>140204923810</v>
      </c>
    </row>
    <row r="12" ht="14.25" customHeight="1">
      <c r="A12" s="19" t="str">
        <f t="shared" si="1"/>
        <v>SPECIALTY</v>
      </c>
      <c r="B12" s="19" t="str">
        <f t="array" ref="B12">IFERROR(XLOOKUP(G12&amp;H12,SAP!K:K,SAP!A:A,0,0),"")</f>
        <v>BUFKOR INC-</v>
      </c>
      <c r="C12" s="20" t="str">
        <f>IFERROR(IF(OR('MASTER PLAN'!$B$2:$B$81="CHIPPENHOOK",'MASTER PLAN'!$B$2:$B$81="BUFKOR INC."),"USA",IF('MASTER PLAN'!$B$2:$B$81="SIGMAQ MEXICO S.A DE C.V","MX","SP")),"")</f>
        <v>SP</v>
      </c>
      <c r="D12" s="10" t="s">
        <v>143</v>
      </c>
      <c r="E12" s="19" t="str">
        <f>IFERROR(VLOOKUP(D12,REFERENCIAS!A:B,2,0),"")</f>
        <v>REYNALDO CARRANZA</v>
      </c>
      <c r="F12" s="19" t="s">
        <v>135</v>
      </c>
      <c r="G12" s="10">
        <v>1.402049263E9</v>
      </c>
      <c r="H12" s="21">
        <v>10.0</v>
      </c>
      <c r="I12" s="20">
        <f t="array" ref="I12">IFERROR(XLOOKUP(G12&amp;H12,SAP!K:K,SAP!D:D,0,0),"")</f>
        <v>10269533</v>
      </c>
      <c r="J12" s="19" t="str">
        <f t="array" ref="J12">UPPER(XLOOKUP(G12&amp;H12,SAP!K:K,SAP!E:E,0,0))</f>
        <v>FOLDER GOLD CASTER LAWRENCE</v>
      </c>
      <c r="K12" s="22">
        <f t="array" ref="K12">IFERROR(XLOOKUP(G12&amp;H12,SAP!K:K,SAP!F:F,0,0),"")</f>
        <v>3000</v>
      </c>
      <c r="L12" s="23">
        <f t="array" ref="L12">IFERROR(XLOOKUP(G12&amp;H12,SAP!K:K,SAP!G:G,0,0),"")</f>
        <v>2415</v>
      </c>
      <c r="M12" s="24">
        <f t="shared" si="2"/>
        <v>0.805</v>
      </c>
      <c r="N12" s="25">
        <v>0.2</v>
      </c>
      <c r="O12" s="22">
        <f t="shared" si="3"/>
        <v>3600</v>
      </c>
      <c r="P12" s="21">
        <v>3341644.0</v>
      </c>
      <c r="Q12" s="12">
        <v>45922.0</v>
      </c>
      <c r="R12" s="26">
        <f t="array" ref="R12">IFERROR(XLOOKUP(G12&amp;H12,SAP!K:K,SAP!H:H,0,0),"")</f>
        <v>45918</v>
      </c>
      <c r="S12" s="26">
        <f t="array" ref="S12">IFERROR(XLOOKUP(G12&amp;H12,SAP!K:K,SAP!I:I,0,0),"")</f>
        <v>45961</v>
      </c>
      <c r="T12" s="1"/>
      <c r="U12" s="12">
        <v>46000.0</v>
      </c>
      <c r="V12" s="12"/>
      <c r="W12" s="5" t="s">
        <v>144</v>
      </c>
      <c r="X12" s="19" t="str">
        <f t="shared" si="4"/>
        <v>SCHEDULE</v>
      </c>
      <c r="Y12" s="27">
        <f t="shared" si="5"/>
        <v>11.71428571</v>
      </c>
      <c r="Z12" s="19" t="str">
        <f t="shared" si="6"/>
        <v>DELAYED</v>
      </c>
      <c r="AA12" s="28">
        <f t="shared" si="7"/>
        <v>46000</v>
      </c>
      <c r="AB12" s="29" t="str">
        <f t="shared" si="8"/>
        <v>140204926310</v>
      </c>
    </row>
    <row r="13" ht="14.25" customHeight="1">
      <c r="A13" s="19" t="str">
        <f t="shared" si="1"/>
        <v>SPECIALTY</v>
      </c>
      <c r="B13" s="19" t="str">
        <f t="array" ref="B13">IFERROR(XLOOKUP(G13&amp;H13,SAP!K:K,SAP!A:A,0,0),"")</f>
        <v>BUFKOR INC-</v>
      </c>
      <c r="C13" s="20" t="str">
        <f>IFERROR(IF(OR('MASTER PLAN'!$B$2:$B$81="CHIPPENHOOK",'MASTER PLAN'!$B$2:$B$81="BUFKOR INC."),"USA",IF('MASTER PLAN'!$B$2:$B$81="SIGMAQ MEXICO S.A DE C.V","MX","SP")),"")</f>
        <v>SP</v>
      </c>
      <c r="D13" s="10" t="s">
        <v>145</v>
      </c>
      <c r="E13" s="19" t="str">
        <f>IFERROR(VLOOKUP(D13,REFERENCIAS!A:B,2,0),"")</f>
        <v>LIGIA MONRROY</v>
      </c>
      <c r="F13" s="19" t="s">
        <v>135</v>
      </c>
      <c r="G13" s="10">
        <v>1.402049277E9</v>
      </c>
      <c r="H13" s="21">
        <v>10.0</v>
      </c>
      <c r="I13" s="20">
        <f t="array" ref="I13">IFERROR(XLOOKUP(G13&amp;H13,SAP!K:K,SAP!D:D,0,0),"")</f>
        <v>10341337</v>
      </c>
      <c r="J13" s="19" t="str">
        <f t="array" ref="J13">UPPER(XLOOKUP(G13&amp;H13,SAP!K:K,SAP!E:E,0,0))</f>
        <v>BOLSA ELEGANCE 8X4X10 IN FL</v>
      </c>
      <c r="K13" s="22">
        <f t="array" ref="K13">IFERROR(XLOOKUP(G13&amp;H13,SAP!K:K,SAP!F:F,0,0),"")</f>
        <v>5000</v>
      </c>
      <c r="L13" s="23">
        <f t="array" ref="L13">IFERROR(XLOOKUP(G13&amp;H13,SAP!K:K,SAP!G:G,0,0),"")</f>
        <v>5480</v>
      </c>
      <c r="M13" s="24">
        <f t="shared" si="2"/>
        <v>1.096</v>
      </c>
      <c r="N13" s="25">
        <v>0.2</v>
      </c>
      <c r="O13" s="22">
        <f t="shared" si="3"/>
        <v>6000</v>
      </c>
      <c r="P13" s="21">
        <v>3341646.0</v>
      </c>
      <c r="Q13" s="12">
        <v>45922.0</v>
      </c>
      <c r="R13" s="26">
        <f t="array" ref="R13">IFERROR(XLOOKUP(G13&amp;H13,SAP!K:K,SAP!H:H,0,0),"")</f>
        <v>45918</v>
      </c>
      <c r="S13" s="26">
        <f t="array" ref="S13">IFERROR(XLOOKUP(G13&amp;H13,SAP!K:K,SAP!I:I,0,0),"")</f>
        <v>45940</v>
      </c>
      <c r="T13" s="1"/>
      <c r="U13" s="12">
        <v>45986.0</v>
      </c>
      <c r="V13" s="12"/>
      <c r="W13" s="5"/>
      <c r="X13" s="19" t="str">
        <f t="shared" si="4"/>
        <v>SCHEDULE</v>
      </c>
      <c r="Y13" s="27">
        <f t="shared" si="5"/>
        <v>9.714285714</v>
      </c>
      <c r="Z13" s="19" t="str">
        <f t="shared" si="6"/>
        <v>DELAYED</v>
      </c>
      <c r="AA13" s="28">
        <f t="shared" si="7"/>
        <v>45986</v>
      </c>
      <c r="AB13" s="29" t="str">
        <f t="shared" si="8"/>
        <v>140204927710</v>
      </c>
    </row>
    <row r="14" ht="14.25" customHeight="1">
      <c r="A14" s="19" t="str">
        <f t="shared" si="1"/>
        <v>SPECIALTY</v>
      </c>
      <c r="B14" s="19" t="str">
        <f t="array" ref="B14">IFERROR(XLOOKUP(G14&amp;H14,SAP!K:K,SAP!A:A,0,0),"")</f>
        <v>BUFKOR INC-</v>
      </c>
      <c r="C14" s="20" t="str">
        <f>IFERROR(IF(OR('MASTER PLAN'!$B$2:$B$81="CHIPPENHOOK",'MASTER PLAN'!$B$2:$B$81="BUFKOR INC."),"USA",IF('MASTER PLAN'!$B$2:$B$81="SIGMAQ MEXICO S.A DE C.V","MX","SP")),"")</f>
        <v>SP</v>
      </c>
      <c r="D14" s="10" t="s">
        <v>145</v>
      </c>
      <c r="E14" s="19" t="str">
        <f>IFERROR(VLOOKUP(D14,REFERENCIAS!A:B,2,0),"")</f>
        <v>LIGIA MONRROY</v>
      </c>
      <c r="F14" s="19" t="s">
        <v>135</v>
      </c>
      <c r="G14" s="10">
        <v>1.402049277E9</v>
      </c>
      <c r="H14" s="21">
        <v>20.0</v>
      </c>
      <c r="I14" s="20">
        <f t="array" ref="I14">IFERROR(XLOOKUP(G14&amp;H14,SAP!K:K,SAP!D:D,0,0),"")</f>
        <v>10341336</v>
      </c>
      <c r="J14" s="19" t="str">
        <f t="array" ref="J14">UPPER(XLOOKUP(G14&amp;H14,SAP!K:K,SAP!E:E,0,0))</f>
        <v>BOLSA ELEGANCE 6-5X3-5X6-5 IN FL</v>
      </c>
      <c r="K14" s="22">
        <f t="array" ref="K14">IFERROR(XLOOKUP(G14&amp;H14,SAP!K:K,SAP!F:F,0,0),"")</f>
        <v>5000</v>
      </c>
      <c r="L14" s="23">
        <f t="array" ref="L14">IFERROR(XLOOKUP(G14&amp;H14,SAP!K:K,SAP!G:G,0,0),"")</f>
        <v>4440</v>
      </c>
      <c r="M14" s="24">
        <f t="shared" si="2"/>
        <v>0.888</v>
      </c>
      <c r="N14" s="25">
        <v>0.2</v>
      </c>
      <c r="O14" s="22">
        <f t="shared" si="3"/>
        <v>6000</v>
      </c>
      <c r="P14" s="21">
        <v>3341647.0</v>
      </c>
      <c r="Q14" s="12">
        <v>45922.0</v>
      </c>
      <c r="R14" s="26">
        <f t="array" ref="R14">IFERROR(XLOOKUP(G14&amp;H14,SAP!K:K,SAP!H:H,0,0),"")</f>
        <v>45918</v>
      </c>
      <c r="S14" s="26">
        <f t="array" ref="S14">IFERROR(XLOOKUP(G14&amp;H14,SAP!K:K,SAP!I:I,0,0),"")</f>
        <v>45940</v>
      </c>
      <c r="T14" s="1"/>
      <c r="U14" s="12">
        <v>45986.0</v>
      </c>
      <c r="V14" s="12"/>
      <c r="W14" s="5" t="s">
        <v>146</v>
      </c>
      <c r="X14" s="19" t="str">
        <f t="shared" si="4"/>
        <v>SCHEDULE</v>
      </c>
      <c r="Y14" s="27">
        <f t="shared" si="5"/>
        <v>9.714285714</v>
      </c>
      <c r="Z14" s="19" t="str">
        <f t="shared" si="6"/>
        <v>DELAYED</v>
      </c>
      <c r="AA14" s="28">
        <f t="shared" si="7"/>
        <v>45986</v>
      </c>
      <c r="AB14" s="29" t="str">
        <f t="shared" si="8"/>
        <v>140204927720</v>
      </c>
    </row>
    <row r="15" ht="14.25" customHeight="1">
      <c r="A15" s="19" t="str">
        <f t="shared" si="1"/>
        <v>SPECIALTY</v>
      </c>
      <c r="B15" s="19" t="str">
        <f t="array" ref="B15">IFERROR(XLOOKUP(G15&amp;H15,SAP!K:K,SAP!A:A,0,0),"")</f>
        <v>BUFKOR INC-</v>
      </c>
      <c r="C15" s="20" t="str">
        <f>IFERROR(IF(OR('MASTER PLAN'!$B$2:$B$81="CHIPPENHOOK",'MASTER PLAN'!$B$2:$B$81="BUFKOR INC."),"USA",IF('MASTER PLAN'!$B$2:$B$81="SIGMAQ MEXICO S.A DE C.V","MX","SP")),"")</f>
        <v>SP</v>
      </c>
      <c r="D15" s="10" t="s">
        <v>145</v>
      </c>
      <c r="E15" s="19" t="str">
        <f>IFERROR(VLOOKUP(D15,REFERENCIAS!A:B,2,0),"")</f>
        <v>LIGIA MONRROY</v>
      </c>
      <c r="F15" s="19" t="s">
        <v>135</v>
      </c>
      <c r="G15" s="10">
        <v>1.402049277E9</v>
      </c>
      <c r="H15" s="21">
        <v>30.0</v>
      </c>
      <c r="I15" s="20">
        <f t="array" ref="I15">IFERROR(XLOOKUP(G15&amp;H15,SAP!K:K,SAP!D:D,0,0),"")</f>
        <v>10341335</v>
      </c>
      <c r="J15" s="19" t="str">
        <f t="array" ref="J15">UPPER(XLOOKUP(G15&amp;H15,SAP!K:K,SAP!E:E,0,0))</f>
        <v>BOLSA ELEGANCE 4-5X2-5X5-75 IN FL</v>
      </c>
      <c r="K15" s="22">
        <f t="array" ref="K15">IFERROR(XLOOKUP(G15&amp;H15,SAP!K:K,SAP!F:F,0,0),"")</f>
        <v>5000</v>
      </c>
      <c r="L15" s="23">
        <f t="array" ref="L15">IFERROR(XLOOKUP(G15&amp;H15,SAP!K:K,SAP!G:G,0,0),"")</f>
        <v>4080</v>
      </c>
      <c r="M15" s="24">
        <f t="shared" si="2"/>
        <v>0.816</v>
      </c>
      <c r="N15" s="25">
        <v>0.2</v>
      </c>
      <c r="O15" s="22">
        <f t="shared" si="3"/>
        <v>6000</v>
      </c>
      <c r="P15" s="21">
        <v>3341648.0</v>
      </c>
      <c r="Q15" s="12">
        <v>45922.0</v>
      </c>
      <c r="R15" s="26">
        <f t="array" ref="R15">IFERROR(XLOOKUP(G15&amp;H15,SAP!K:K,SAP!H:H,0,0),"")</f>
        <v>45918</v>
      </c>
      <c r="S15" s="26">
        <f t="array" ref="S15">IFERROR(XLOOKUP(G15&amp;H15,SAP!K:K,SAP!I:I,0,0),"")</f>
        <v>45940</v>
      </c>
      <c r="T15" s="1"/>
      <c r="U15" s="12">
        <v>45986.0</v>
      </c>
      <c r="V15" s="12"/>
      <c r="W15" s="5" t="s">
        <v>147</v>
      </c>
      <c r="X15" s="19" t="str">
        <f t="shared" si="4"/>
        <v>SCHEDULE</v>
      </c>
      <c r="Y15" s="27">
        <f t="shared" si="5"/>
        <v>9.714285714</v>
      </c>
      <c r="Z15" s="19" t="str">
        <f t="shared" si="6"/>
        <v>DELAYED</v>
      </c>
      <c r="AA15" s="28">
        <f t="shared" si="7"/>
        <v>45986</v>
      </c>
      <c r="AB15" s="29" t="str">
        <f t="shared" si="8"/>
        <v>140204927730</v>
      </c>
    </row>
    <row r="16" ht="14.25" customHeight="1">
      <c r="A16" s="19" t="str">
        <f t="shared" si="1"/>
        <v>SPECIALTY</v>
      </c>
      <c r="B16" s="19" t="str">
        <f t="array" ref="B16">IFERROR(XLOOKUP(G16&amp;H16,SAP!K:K,SAP!A:A,0,0),"")</f>
        <v>BUFKOR INC-</v>
      </c>
      <c r="C16" s="20" t="str">
        <f>IFERROR(IF(OR('MASTER PLAN'!$B$2:$B$81="CHIPPENHOOK",'MASTER PLAN'!$B$2:$B$81="BUFKOR INC."),"USA",IF('MASTER PLAN'!$B$2:$B$81="SIGMAQ MEXICO S.A DE C.V","MX","SP")),"")</f>
        <v>SP</v>
      </c>
      <c r="D16" s="10" t="s">
        <v>145</v>
      </c>
      <c r="E16" s="19" t="str">
        <f>IFERROR(VLOOKUP(D16,REFERENCIAS!A:B,2,0),"")</f>
        <v>LIGIA MONRROY</v>
      </c>
      <c r="F16" s="19" t="s">
        <v>135</v>
      </c>
      <c r="G16" s="10">
        <v>1.402049277E9</v>
      </c>
      <c r="H16" s="21">
        <v>40.0</v>
      </c>
      <c r="I16" s="20">
        <f t="array" ref="I16">IFERROR(XLOOKUP(G16&amp;H16,SAP!K:K,SAP!D:D,0,0),"")</f>
        <v>10341338</v>
      </c>
      <c r="J16" s="19" t="str">
        <f t="array" ref="J16">UPPER(XLOOKUP(G16&amp;H16,SAP!K:K,SAP!E:E,0,0))</f>
        <v>BOLSA ELEGANCE 12-5X4X14 IN FL</v>
      </c>
      <c r="K16" s="22">
        <f t="array" ref="K16">IFERROR(XLOOKUP(G16&amp;H16,SAP!K:K,SAP!F:F,0,0),"")</f>
        <v>3000</v>
      </c>
      <c r="L16" s="23">
        <f t="array" ref="L16">IFERROR(XLOOKUP(G16&amp;H16,SAP!K:K,SAP!G:G,0,0),"")</f>
        <v>5496</v>
      </c>
      <c r="M16" s="24">
        <f t="shared" si="2"/>
        <v>1.832</v>
      </c>
      <c r="N16" s="25">
        <v>0.2</v>
      </c>
      <c r="O16" s="22">
        <f t="shared" si="3"/>
        <v>3600</v>
      </c>
      <c r="P16" s="21">
        <v>3341650.0</v>
      </c>
      <c r="Q16" s="12">
        <v>45922.0</v>
      </c>
      <c r="R16" s="26">
        <f t="array" ref="R16">IFERROR(XLOOKUP(G16&amp;H16,SAP!K:K,SAP!H:H,0,0),"")</f>
        <v>45918</v>
      </c>
      <c r="S16" s="26">
        <f t="array" ref="S16">IFERROR(XLOOKUP(G16&amp;H16,SAP!K:K,SAP!I:I,0,0),"")</f>
        <v>45940</v>
      </c>
      <c r="T16" s="1"/>
      <c r="U16" s="12">
        <v>45993.0</v>
      </c>
      <c r="V16" s="12"/>
      <c r="W16" s="5"/>
      <c r="X16" s="19" t="str">
        <f t="shared" si="4"/>
        <v>SCHEDULE</v>
      </c>
      <c r="Y16" s="27">
        <f t="shared" si="5"/>
        <v>10.71428571</v>
      </c>
      <c r="Z16" s="19" t="str">
        <f t="shared" si="6"/>
        <v>DELAYED</v>
      </c>
      <c r="AA16" s="28">
        <f t="shared" si="7"/>
        <v>45993</v>
      </c>
      <c r="AB16" s="29" t="str">
        <f t="shared" si="8"/>
        <v>140204927740</v>
      </c>
    </row>
    <row r="17" ht="14.25" customHeight="1">
      <c r="A17" s="19" t="str">
        <f t="shared" si="1"/>
        <v>SPECIALTY</v>
      </c>
      <c r="B17" s="19" t="str">
        <f t="array" ref="B17">IFERROR(XLOOKUP(G17&amp;H17,SAP!K:K,SAP!A:A,0,0),"")</f>
        <v>BUFKOR INC-</v>
      </c>
      <c r="C17" s="20" t="str">
        <f>IFERROR(IF(OR('MASTER PLAN'!$B$2:$B$81="CHIPPENHOOK",'MASTER PLAN'!$B$2:$B$81="BUFKOR INC."),"USA",IF('MASTER PLAN'!$B$2:$B$81="SIGMAQ MEXICO S.A DE C.V","MX","SP")),"")</f>
        <v>SP</v>
      </c>
      <c r="D17" s="10" t="s">
        <v>134</v>
      </c>
      <c r="E17" s="19" t="str">
        <f>IFERROR(VLOOKUP(D17,REFERENCIAS!A:B,2,0),"")</f>
        <v>KENEDY TOBAR</v>
      </c>
      <c r="F17" s="19" t="s">
        <v>135</v>
      </c>
      <c r="G17" s="10">
        <v>1.402049281E9</v>
      </c>
      <c r="H17" s="21">
        <v>10.0</v>
      </c>
      <c r="I17" s="20">
        <f t="array" ref="I17">IFERROR(XLOOKUP(G17&amp;H17,SAP!K:K,SAP!D:D,0,0),"")</f>
        <v>10335262</v>
      </c>
      <c r="J17" s="19" t="str">
        <f t="array" ref="J17">UPPER(XLOOKUP(G17&amp;H17,SAP!K:K,SAP!E:E,0,0))</f>
        <v>BOLSA ALBERTS JEWELERS 6-5"X3-5"X6-5"</v>
      </c>
      <c r="K17" s="22">
        <f t="array" ref="K17">IFERROR(XLOOKUP(G17&amp;H17,SAP!K:K,SAP!F:F,0,0),"")</f>
        <v>3500</v>
      </c>
      <c r="L17" s="23">
        <f t="array" ref="L17">IFERROR(XLOOKUP(G17&amp;H17,SAP!K:K,SAP!G:G,0,0),"")</f>
        <v>3192</v>
      </c>
      <c r="M17" s="24">
        <f t="shared" si="2"/>
        <v>0.912</v>
      </c>
      <c r="N17" s="25">
        <v>0.2</v>
      </c>
      <c r="O17" s="22">
        <f t="shared" si="3"/>
        <v>4200</v>
      </c>
      <c r="P17" s="21">
        <v>3341651.0</v>
      </c>
      <c r="Q17" s="12">
        <v>45922.0</v>
      </c>
      <c r="R17" s="26">
        <f t="array" ref="R17">IFERROR(XLOOKUP(G17&amp;H17,SAP!K:K,SAP!H:H,0,0),"")</f>
        <v>45918</v>
      </c>
      <c r="S17" s="26">
        <f t="array" ref="S17">IFERROR(XLOOKUP(G17&amp;H17,SAP!K:K,SAP!I:I,0,0),"")</f>
        <v>45961</v>
      </c>
      <c r="T17" s="1"/>
      <c r="U17" s="12">
        <v>45986.0</v>
      </c>
      <c r="V17" s="12"/>
      <c r="W17" s="5"/>
      <c r="X17" s="19" t="str">
        <f t="shared" si="4"/>
        <v>SCHEDULE</v>
      </c>
      <c r="Y17" s="27">
        <f t="shared" si="5"/>
        <v>9.714285714</v>
      </c>
      <c r="Z17" s="19" t="str">
        <f t="shared" si="6"/>
        <v>DELAYED</v>
      </c>
      <c r="AA17" s="28">
        <f t="shared" si="7"/>
        <v>45986</v>
      </c>
      <c r="AB17" s="29" t="str">
        <f t="shared" si="8"/>
        <v>140204928110</v>
      </c>
    </row>
    <row r="18" ht="14.25" customHeight="1">
      <c r="A18" s="19" t="str">
        <f t="shared" si="1"/>
        <v>SPECIALTY</v>
      </c>
      <c r="B18" s="19" t="str">
        <f t="array" ref="B18">IFERROR(XLOOKUP(G18&amp;H18,SAP!K:K,SAP!A:A,0,0),"")</f>
        <v>BUFKOR INC-</v>
      </c>
      <c r="C18" s="20" t="str">
        <f>IFERROR(IF(OR('MASTER PLAN'!$B$2:$B$81="CHIPPENHOOK",'MASTER PLAN'!$B$2:$B$81="BUFKOR INC."),"USA",IF('MASTER PLAN'!$B$2:$B$81="SIGMAQ MEXICO S.A DE C.V","MX","SP")),"")</f>
        <v>SP</v>
      </c>
      <c r="D18" s="10" t="s">
        <v>134</v>
      </c>
      <c r="E18" s="19" t="str">
        <f>IFERROR(VLOOKUP(D18,REFERENCIAS!A:B,2,0),"")</f>
        <v>KENEDY TOBAR</v>
      </c>
      <c r="F18" s="19" t="s">
        <v>135</v>
      </c>
      <c r="G18" s="10">
        <v>1.402049281E9</v>
      </c>
      <c r="H18" s="21">
        <v>20.0</v>
      </c>
      <c r="I18" s="20">
        <f t="array" ref="I18">IFERROR(XLOOKUP(G18&amp;H18,SAP!K:K,SAP!D:D,0,0),"")</f>
        <v>10340277</v>
      </c>
      <c r="J18" s="19" t="str">
        <f t="array" ref="J18">UPPER(XLOOKUP(G18&amp;H18,SAP!K:K,SAP!E:E,0,0))</f>
        <v>BOLSA ALBERTS JEWELERS 10"X6"X10" FL</v>
      </c>
      <c r="K18" s="22">
        <f t="array" ref="K18">IFERROR(XLOOKUP(G18&amp;H18,SAP!K:K,SAP!F:F,0,0),"")</f>
        <v>1200</v>
      </c>
      <c r="L18" s="23">
        <f t="array" ref="L18">IFERROR(XLOOKUP(G18&amp;H18,SAP!K:K,SAP!G:G,0,0),"")</f>
        <v>1929.6</v>
      </c>
      <c r="M18" s="24">
        <f t="shared" si="2"/>
        <v>1.608</v>
      </c>
      <c r="N18" s="25">
        <v>0.2</v>
      </c>
      <c r="O18" s="22">
        <f t="shared" si="3"/>
        <v>1440</v>
      </c>
      <c r="P18" s="21">
        <v>3341702.0</v>
      </c>
      <c r="Q18" s="12">
        <v>45922.0</v>
      </c>
      <c r="R18" s="26">
        <f t="array" ref="R18">IFERROR(XLOOKUP(G18&amp;H18,SAP!K:K,SAP!H:H,0,0),"")</f>
        <v>45918</v>
      </c>
      <c r="S18" s="26">
        <f t="array" ref="S18">IFERROR(XLOOKUP(G18&amp;H18,SAP!K:K,SAP!I:I,0,0),"")</f>
        <v>45961</v>
      </c>
      <c r="T18" s="1"/>
      <c r="U18" s="12">
        <v>45986.0</v>
      </c>
      <c r="V18" s="12"/>
      <c r="W18" s="5"/>
      <c r="X18" s="19" t="str">
        <f t="shared" si="4"/>
        <v>SCHEDULE</v>
      </c>
      <c r="Y18" s="27">
        <f t="shared" si="5"/>
        <v>9.714285714</v>
      </c>
      <c r="Z18" s="19" t="str">
        <f t="shared" si="6"/>
        <v>DELAYED</v>
      </c>
      <c r="AA18" s="28">
        <f t="shared" si="7"/>
        <v>45986</v>
      </c>
      <c r="AB18" s="29" t="str">
        <f t="shared" si="8"/>
        <v>140204928120</v>
      </c>
    </row>
    <row r="19" ht="14.25" customHeight="1">
      <c r="A19" s="19" t="str">
        <f t="shared" si="1"/>
        <v>SPECIALTY</v>
      </c>
      <c r="B19" s="19" t="str">
        <f t="array" ref="B19">IFERROR(XLOOKUP(G19&amp;H19,SAP!K:K,SAP!A:A,0,0),"")</f>
        <v>BUFKOR INC-</v>
      </c>
      <c r="C19" s="20" t="str">
        <f>IFERROR(IF(OR('MASTER PLAN'!$B$2:$B$81="CHIPPENHOOK",'MASTER PLAN'!$B$2:$B$81="BUFKOR INC."),"USA",IF('MASTER PLAN'!$B$2:$B$81="SIGMAQ MEXICO S.A DE C.V","MX","SP")),"")</f>
        <v>SP</v>
      </c>
      <c r="D19" s="10" t="s">
        <v>148</v>
      </c>
      <c r="E19" s="19" t="str">
        <f>IFERROR(VLOOKUP(D19,REFERENCIAS!A:B,2,0),"")</f>
        <v>REYNALDO CARRANZA</v>
      </c>
      <c r="F19" s="19" t="s">
        <v>135</v>
      </c>
      <c r="G19" s="10">
        <v>1.402049286E9</v>
      </c>
      <c r="H19" s="21">
        <v>10.0</v>
      </c>
      <c r="I19" s="20">
        <f t="array" ref="I19">IFERROR(XLOOKUP(G19&amp;H19,SAP!K:K,SAP!D:D,0,0),"")</f>
        <v>10315150</v>
      </c>
      <c r="J19" s="19" t="str">
        <f t="array" ref="J19">UPPER(XLOOKUP(G19&amp;H19,SAP!K:K,SAP!E:E,0,0))</f>
        <v>BOLSA HUNTINGTON 6-5"X3-5"X6-5"</v>
      </c>
      <c r="K19" s="22">
        <f t="array" ref="K19">IFERROR(XLOOKUP(G19&amp;H19,SAP!K:K,SAP!F:F,0,0),"")</f>
        <v>4500</v>
      </c>
      <c r="L19" s="23">
        <f t="array" ref="L19">IFERROR(XLOOKUP(G19&amp;H19,SAP!K:K,SAP!G:G,0,0),"")</f>
        <v>7956</v>
      </c>
      <c r="M19" s="24">
        <f t="shared" si="2"/>
        <v>1.768</v>
      </c>
      <c r="N19" s="25">
        <v>0.2</v>
      </c>
      <c r="O19" s="22">
        <f t="shared" si="3"/>
        <v>5400</v>
      </c>
      <c r="P19" s="21">
        <v>3341705.0</v>
      </c>
      <c r="Q19" s="12">
        <v>45922.0</v>
      </c>
      <c r="R19" s="26">
        <f t="array" ref="R19">IFERROR(XLOOKUP(G19&amp;H19,SAP!K:K,SAP!H:H,0,0),"")</f>
        <v>45918</v>
      </c>
      <c r="S19" s="26">
        <f t="array" ref="S19">IFERROR(XLOOKUP(G19&amp;H19,SAP!K:K,SAP!I:I,0,0),"")</f>
        <v>45945</v>
      </c>
      <c r="T19" s="1">
        <v>3.000115091E9</v>
      </c>
      <c r="U19" s="12">
        <v>45993.0</v>
      </c>
      <c r="V19" s="12"/>
      <c r="W19" s="5" t="s">
        <v>149</v>
      </c>
      <c r="X19" s="19" t="str">
        <f t="shared" si="4"/>
        <v>SCHEDULE</v>
      </c>
      <c r="Y19" s="27">
        <f t="shared" si="5"/>
        <v>10.71428571</v>
      </c>
      <c r="Z19" s="19" t="str">
        <f t="shared" si="6"/>
        <v>DELAYED</v>
      </c>
      <c r="AA19" s="28">
        <f t="shared" si="7"/>
        <v>45993</v>
      </c>
      <c r="AB19" s="29" t="str">
        <f t="shared" si="8"/>
        <v>140204928610</v>
      </c>
    </row>
    <row r="20" ht="14.25" customHeight="1">
      <c r="A20" s="19" t="str">
        <f t="shared" si="1"/>
        <v>SPECIALTY</v>
      </c>
      <c r="B20" s="19" t="str">
        <f t="array" ref="B20">IFERROR(XLOOKUP(G20&amp;H20,SAP!K:K,SAP!A:A,0,0),"")</f>
        <v>BUFKOR INC-</v>
      </c>
      <c r="C20" s="20" t="str">
        <f>IFERROR(IF(OR('MASTER PLAN'!$B$2:$B$81="CHIPPENHOOK",'MASTER PLAN'!$B$2:$B$81="BUFKOR INC."),"USA",IF('MASTER PLAN'!$B$2:$B$81="SIGMAQ MEXICO S.A DE C.V","MX","SP")),"")</f>
        <v>SP</v>
      </c>
      <c r="D20" s="10" t="s">
        <v>148</v>
      </c>
      <c r="E20" s="19" t="str">
        <f>IFERROR(VLOOKUP(D20,REFERENCIAS!A:B,2,0),"")</f>
        <v>REYNALDO CARRANZA</v>
      </c>
      <c r="F20" s="19" t="s">
        <v>135</v>
      </c>
      <c r="G20" s="10">
        <v>1.402049286E9</v>
      </c>
      <c r="H20" s="21">
        <v>20.0</v>
      </c>
      <c r="I20" s="20">
        <f t="array" ref="I20">IFERROR(XLOOKUP(G20&amp;H20,SAP!K:K,SAP!D:D,0,0),"")</f>
        <v>10315139</v>
      </c>
      <c r="J20" s="19" t="str">
        <f t="array" ref="J20">UPPER(XLOOKUP(G20&amp;H20,SAP!K:K,SAP!E:E,0,0))</f>
        <v>BOLSA HUNTINGTON 8"X4"X10"</v>
      </c>
      <c r="K20" s="22">
        <f t="array" ref="K20">IFERROR(XLOOKUP(G20&amp;H20,SAP!K:K,SAP!F:F,0,0),"")</f>
        <v>1800</v>
      </c>
      <c r="L20" s="23">
        <f t="array" ref="L20">IFERROR(XLOOKUP(G20&amp;H20,SAP!K:K,SAP!G:G,0,0),"")</f>
        <v>6004.8</v>
      </c>
      <c r="M20" s="24">
        <f t="shared" si="2"/>
        <v>3.336</v>
      </c>
      <c r="N20" s="25">
        <v>0.2</v>
      </c>
      <c r="O20" s="22">
        <f t="shared" si="3"/>
        <v>2160</v>
      </c>
      <c r="P20" s="21">
        <v>3341706.0</v>
      </c>
      <c r="Q20" s="12">
        <v>45922.0</v>
      </c>
      <c r="R20" s="26">
        <f t="array" ref="R20">IFERROR(XLOOKUP(G20&amp;H20,SAP!K:K,SAP!H:H,0,0),"")</f>
        <v>45918</v>
      </c>
      <c r="S20" s="26">
        <f t="array" ref="S20">IFERROR(XLOOKUP(G20&amp;H20,SAP!K:K,SAP!I:I,0,0),"")</f>
        <v>45945</v>
      </c>
      <c r="T20" s="1">
        <v>3.000115091E9</v>
      </c>
      <c r="U20" s="12">
        <v>45993.0</v>
      </c>
      <c r="V20" s="12"/>
      <c r="W20" s="5" t="s">
        <v>149</v>
      </c>
      <c r="X20" s="19" t="str">
        <f t="shared" si="4"/>
        <v>SCHEDULE</v>
      </c>
      <c r="Y20" s="27">
        <f t="shared" si="5"/>
        <v>10.71428571</v>
      </c>
      <c r="Z20" s="19" t="str">
        <f t="shared" si="6"/>
        <v>DELAYED</v>
      </c>
      <c r="AA20" s="28">
        <f t="shared" si="7"/>
        <v>45993</v>
      </c>
      <c r="AB20" s="29" t="str">
        <f t="shared" si="8"/>
        <v>140204928620</v>
      </c>
    </row>
    <row r="21" ht="14.25" customHeight="1">
      <c r="A21" s="19" t="str">
        <f t="shared" si="1"/>
        <v>SPECIALTY</v>
      </c>
      <c r="B21" s="19" t="str">
        <f t="array" ref="B21">IFERROR(XLOOKUP(G21&amp;H21,SAP!K:K,SAP!A:A,0,0),"")</f>
        <v>BUFKOR INC-</v>
      </c>
      <c r="C21" s="20" t="str">
        <f>IFERROR(IF(OR('MASTER PLAN'!$B$2:$B$81="CHIPPENHOOK",'MASTER PLAN'!$B$2:$B$81="BUFKOR INC."),"USA",IF('MASTER PLAN'!$B$2:$B$81="SIGMAQ MEXICO S.A DE C.V","MX","SP")),"")</f>
        <v>SP</v>
      </c>
      <c r="D21" s="10" t="s">
        <v>134</v>
      </c>
      <c r="E21" s="19" t="str">
        <f>IFERROR(VLOOKUP(D21,REFERENCIAS!A:B,2,0),"")</f>
        <v>KENEDY TOBAR</v>
      </c>
      <c r="F21" s="19" t="s">
        <v>135</v>
      </c>
      <c r="G21" s="10">
        <v>1.402049318E9</v>
      </c>
      <c r="H21" s="21">
        <v>10.0</v>
      </c>
      <c r="I21" s="20">
        <f t="array" ref="I21">IFERROR(XLOOKUP(G21&amp;H21,SAP!K:K,SAP!D:D,0,0),"")</f>
        <v>10330738</v>
      </c>
      <c r="J21" s="19" t="str">
        <f t="array" ref="J21">UPPER(XLOOKUP(G21&amp;H21,SAP!K:K,SAP!E:E,0,0))</f>
        <v>BOLSA WATERFALL JEWELERS 6-5"X3-5"X6-5"</v>
      </c>
      <c r="K21" s="22">
        <f t="array" ref="K21">IFERROR(XLOOKUP(G21&amp;H21,SAP!K:K,SAP!F:F,0,0),"")</f>
        <v>3000</v>
      </c>
      <c r="L21" s="23">
        <f t="array" ref="L21">IFERROR(XLOOKUP(G21&amp;H21,SAP!K:K,SAP!G:G,0,0),"")</f>
        <v>7128</v>
      </c>
      <c r="M21" s="24">
        <f t="shared" si="2"/>
        <v>2.376</v>
      </c>
      <c r="N21" s="25">
        <v>0.2</v>
      </c>
      <c r="O21" s="22">
        <f t="shared" si="3"/>
        <v>3600</v>
      </c>
      <c r="P21" s="21">
        <v>3341707.0</v>
      </c>
      <c r="Q21" s="12">
        <v>45922.0</v>
      </c>
      <c r="R21" s="26">
        <f t="array" ref="R21">IFERROR(XLOOKUP(G21&amp;H21,SAP!K:K,SAP!H:H,0,0),"")</f>
        <v>45918</v>
      </c>
      <c r="S21" s="26">
        <f t="array" ref="S21">IFERROR(XLOOKUP(G21&amp;H21,SAP!K:K,SAP!I:I,0,0),"")</f>
        <v>45968</v>
      </c>
      <c r="T21" s="1">
        <v>3.000115938E9</v>
      </c>
      <c r="U21" s="12">
        <v>46010.0</v>
      </c>
      <c r="V21" s="12"/>
      <c r="W21" s="5" t="s">
        <v>150</v>
      </c>
      <c r="X21" s="19" t="str">
        <f t="shared" si="4"/>
        <v>SCHEDULE</v>
      </c>
      <c r="Y21" s="27">
        <f t="shared" si="5"/>
        <v>13.14285714</v>
      </c>
      <c r="Z21" s="19" t="str">
        <f t="shared" si="6"/>
        <v>DELAYED</v>
      </c>
      <c r="AA21" s="28">
        <f t="shared" si="7"/>
        <v>46010</v>
      </c>
      <c r="AB21" s="29" t="str">
        <f t="shared" si="8"/>
        <v>140204931810</v>
      </c>
    </row>
    <row r="22" ht="14.25" customHeight="1">
      <c r="A22" s="19" t="str">
        <f t="shared" si="1"/>
        <v>SPECIALTY</v>
      </c>
      <c r="B22" s="19" t="str">
        <f t="array" ref="B22">IFERROR(XLOOKUP(G22&amp;H22,SAP!K:K,SAP!A:A,0,0),"")</f>
        <v>BUFKOR INC-</v>
      </c>
      <c r="C22" s="20" t="str">
        <f>IFERROR(IF(OR('MASTER PLAN'!$B$2:$B$81="CHIPPENHOOK",'MASTER PLAN'!$B$2:$B$81="BUFKOR INC."),"USA",IF('MASTER PLAN'!$B$2:$B$81="SIGMAQ MEXICO S.A DE C.V","MX","SP")),"")</f>
        <v>SP</v>
      </c>
      <c r="D22" s="10" t="s">
        <v>134</v>
      </c>
      <c r="E22" s="19" t="str">
        <f>IFERROR(VLOOKUP(D22,REFERENCIAS!A:B,2,0),"")</f>
        <v>KENEDY TOBAR</v>
      </c>
      <c r="F22" s="19" t="s">
        <v>135</v>
      </c>
      <c r="G22" s="10">
        <v>1.402049318E9</v>
      </c>
      <c r="H22" s="21">
        <v>20.0</v>
      </c>
      <c r="I22" s="20">
        <f t="array" ref="I22">IFERROR(XLOOKUP(G22&amp;H22,SAP!K:K,SAP!D:D,0,0),"")</f>
        <v>10330739</v>
      </c>
      <c r="J22" s="19" t="str">
        <f t="array" ref="J22">UPPER(XLOOKUP(G22&amp;H22,SAP!K:K,SAP!E:E,0,0))</f>
        <v>BOLSA WATERFALL JEWELERS 8"X4"X10"</v>
      </c>
      <c r="K22" s="22">
        <f t="array" ref="K22">IFERROR(XLOOKUP(G22&amp;H22,SAP!K:K,SAP!F:F,0,0),"")</f>
        <v>4000</v>
      </c>
      <c r="L22" s="23">
        <f t="array" ref="L22">IFERROR(XLOOKUP(G22&amp;H22,SAP!K:K,SAP!G:G,0,0),"")</f>
        <v>12416</v>
      </c>
      <c r="M22" s="24">
        <f t="shared" si="2"/>
        <v>3.104</v>
      </c>
      <c r="N22" s="25">
        <v>0.2</v>
      </c>
      <c r="O22" s="22">
        <f t="shared" si="3"/>
        <v>4800</v>
      </c>
      <c r="P22" s="21">
        <v>3341708.0</v>
      </c>
      <c r="Q22" s="12">
        <v>45922.0</v>
      </c>
      <c r="R22" s="26">
        <f t="array" ref="R22">IFERROR(XLOOKUP(G22&amp;H22,SAP!K:K,SAP!H:H,0,0),"")</f>
        <v>45918</v>
      </c>
      <c r="S22" s="26">
        <f t="array" ref="S22">IFERROR(XLOOKUP(G22&amp;H22,SAP!K:K,SAP!I:I,0,0),"")</f>
        <v>45968</v>
      </c>
      <c r="T22" s="1">
        <v>3.000115938E9</v>
      </c>
      <c r="U22" s="12">
        <v>46010.0</v>
      </c>
      <c r="V22" s="12"/>
      <c r="W22" s="5" t="s">
        <v>150</v>
      </c>
      <c r="X22" s="19" t="str">
        <f t="shared" si="4"/>
        <v>SCHEDULE</v>
      </c>
      <c r="Y22" s="27">
        <f t="shared" si="5"/>
        <v>13.14285714</v>
      </c>
      <c r="Z22" s="19" t="str">
        <f t="shared" si="6"/>
        <v>DELAYED</v>
      </c>
      <c r="AA22" s="28">
        <f t="shared" si="7"/>
        <v>46010</v>
      </c>
      <c r="AB22" s="29" t="str">
        <f t="shared" si="8"/>
        <v>140204931820</v>
      </c>
    </row>
    <row r="23" ht="14.25" customHeight="1">
      <c r="A23" s="19" t="str">
        <f t="shared" si="1"/>
        <v>SPECIALTY</v>
      </c>
      <c r="B23" s="19" t="str">
        <f t="array" ref="B23">IFERROR(XLOOKUP(G23&amp;H23,SAP!K:K,SAP!A:A,0,0),"")</f>
        <v>BUFKOR INC-</v>
      </c>
      <c r="C23" s="20" t="str">
        <f>IFERROR(IF(OR('MASTER PLAN'!$B$2:$B$81="CHIPPENHOOK",'MASTER PLAN'!$B$2:$B$81="BUFKOR INC."),"USA",IF('MASTER PLAN'!$B$2:$B$81="SIGMAQ MEXICO S.A DE C.V","MX","SP")),"")</f>
        <v>SP</v>
      </c>
      <c r="D23" s="10" t="s">
        <v>139</v>
      </c>
      <c r="E23" s="19" t="str">
        <f>IFERROR(VLOOKUP(D23,REFERENCIAS!A:B,2,0),"")</f>
        <v>JAVIER MOLINA</v>
      </c>
      <c r="F23" s="19" t="s">
        <v>135</v>
      </c>
      <c r="G23" s="10">
        <v>1.402049332E9</v>
      </c>
      <c r="H23" s="21">
        <v>10.0</v>
      </c>
      <c r="I23" s="20">
        <f t="array" ref="I23">IFERROR(XLOOKUP(G23&amp;H23,SAP!K:K,SAP!D:D,0,0),"")</f>
        <v>10315648</v>
      </c>
      <c r="J23" s="19" t="str">
        <f t="array" ref="J23">UPPER(XLOOKUP(G23&amp;H23,SAP!K:K,SAP!E:E,0,0))</f>
        <v>BOLSA SCOTT &amp; CO 5"X4"X6"</v>
      </c>
      <c r="K23" s="22">
        <f t="array" ref="K23">IFERROR(XLOOKUP(G23&amp;H23,SAP!K:K,SAP!F:F,0,0),"")</f>
        <v>3000</v>
      </c>
      <c r="L23" s="23">
        <f t="array" ref="L23">IFERROR(XLOOKUP(G23&amp;H23,SAP!K:K,SAP!G:G,0,0),"")</f>
        <v>2832</v>
      </c>
      <c r="M23" s="24">
        <f t="shared" si="2"/>
        <v>0.944</v>
      </c>
      <c r="N23" s="25">
        <v>0.2</v>
      </c>
      <c r="O23" s="22">
        <f t="shared" si="3"/>
        <v>3600</v>
      </c>
      <c r="P23" s="21">
        <v>3341709.0</v>
      </c>
      <c r="Q23" s="12">
        <v>45922.0</v>
      </c>
      <c r="R23" s="26">
        <f t="array" ref="R23">IFERROR(XLOOKUP(G23&amp;H23,SAP!K:K,SAP!H:H,0,0),"")</f>
        <v>45918</v>
      </c>
      <c r="S23" s="26">
        <f t="array" ref="S23">IFERROR(XLOOKUP(G23&amp;H23,SAP!K:K,SAP!I:I,0,0),"")</f>
        <v>45966</v>
      </c>
      <c r="T23" s="1"/>
      <c r="U23" s="12">
        <v>45979.0</v>
      </c>
      <c r="V23" s="12"/>
      <c r="W23" s="5"/>
      <c r="X23" s="19" t="str">
        <f t="shared" si="4"/>
        <v>SCHEDULE</v>
      </c>
      <c r="Y23" s="27">
        <f t="shared" si="5"/>
        <v>8.714285714</v>
      </c>
      <c r="Z23" s="19" t="str">
        <f t="shared" si="6"/>
        <v>DELAYED</v>
      </c>
      <c r="AA23" s="28">
        <f t="shared" si="7"/>
        <v>45979</v>
      </c>
      <c r="AB23" s="29" t="str">
        <f t="shared" si="8"/>
        <v>140204933210</v>
      </c>
    </row>
    <row r="24" ht="14.25" customHeight="1">
      <c r="A24" s="19" t="str">
        <f t="shared" si="1"/>
        <v>SPECIALTY</v>
      </c>
      <c r="B24" s="19" t="str">
        <f t="array" ref="B24">IFERROR(XLOOKUP(G24&amp;H24,SAP!K:K,SAP!A:A,0,0),"")</f>
        <v>BUFKOR INC-</v>
      </c>
      <c r="C24" s="20" t="str">
        <f>IFERROR(IF(OR('MASTER PLAN'!$B$2:$B$81="CHIPPENHOOK",'MASTER PLAN'!$B$2:$B$81="BUFKOR INC."),"USA",IF('MASTER PLAN'!$B$2:$B$81="SIGMAQ MEXICO S.A DE C.V","MX","SP")),"")</f>
        <v>SP</v>
      </c>
      <c r="D24" s="10" t="s">
        <v>151</v>
      </c>
      <c r="E24" s="19" t="str">
        <f>IFERROR(VLOOKUP(D24,REFERENCIAS!A:B,2,0),"")</f>
        <v>ULISES HERNANDEZ</v>
      </c>
      <c r="F24" s="19" t="s">
        <v>135</v>
      </c>
      <c r="G24" s="10">
        <v>1.402049342E9</v>
      </c>
      <c r="H24" s="21">
        <v>10.0</v>
      </c>
      <c r="I24" s="20">
        <f t="array" ref="I24">IFERROR(XLOOKUP(G24&amp;H24,SAP!K:K,SAP!D:D,0,0),"")</f>
        <v>10317410</v>
      </c>
      <c r="J24" s="19" t="str">
        <f t="array" ref="J24">UPPER(XLOOKUP(G24&amp;H24,SAP!K:K,SAP!E:E,0,0))</f>
        <v>BOLSA SHARFMANS JLRS 6-5"X3-5"X6-5"</v>
      </c>
      <c r="K24" s="22">
        <f t="array" ref="K24">IFERROR(XLOOKUP(G24&amp;H24,SAP!K:K,SAP!F:F,0,0),"")</f>
        <v>1500</v>
      </c>
      <c r="L24" s="23">
        <f t="array" ref="L24">IFERROR(XLOOKUP(G24&amp;H24,SAP!K:K,SAP!G:G,0,0),"")</f>
        <v>1380</v>
      </c>
      <c r="M24" s="24">
        <f t="shared" si="2"/>
        <v>0.92</v>
      </c>
      <c r="N24" s="25">
        <v>0.2</v>
      </c>
      <c r="O24" s="22">
        <f t="shared" si="3"/>
        <v>1800</v>
      </c>
      <c r="P24" s="21">
        <v>3343125.0</v>
      </c>
      <c r="Q24" s="12">
        <v>45929.0</v>
      </c>
      <c r="R24" s="26">
        <f t="array" ref="R24">IFERROR(XLOOKUP(G24&amp;H24,SAP!K:K,SAP!H:H,0,0),"")</f>
        <v>45918</v>
      </c>
      <c r="S24" s="26">
        <f t="array" ref="S24">IFERROR(XLOOKUP(G24&amp;H24,SAP!K:K,SAP!I:I,0,0),"")</f>
        <v>45961</v>
      </c>
      <c r="T24" s="1"/>
      <c r="U24" s="12">
        <v>45982.0</v>
      </c>
      <c r="V24" s="12"/>
      <c r="W24" s="5"/>
      <c r="X24" s="19" t="str">
        <f t="shared" si="4"/>
        <v>SCHEDULE</v>
      </c>
      <c r="Y24" s="27">
        <f t="shared" si="5"/>
        <v>9.142857143</v>
      </c>
      <c r="Z24" s="19" t="str">
        <f t="shared" si="6"/>
        <v>DELAYED</v>
      </c>
      <c r="AA24" s="28">
        <f t="shared" si="7"/>
        <v>45982</v>
      </c>
      <c r="AB24" s="29" t="str">
        <f t="shared" si="8"/>
        <v>140204934210</v>
      </c>
    </row>
    <row r="25" ht="14.25" customHeight="1">
      <c r="A25" s="19" t="str">
        <f t="shared" si="1"/>
        <v>SPECIALTY</v>
      </c>
      <c r="B25" s="19" t="str">
        <f t="array" ref="B25">IFERROR(XLOOKUP(G25&amp;H25,SAP!K:K,SAP!A:A,0,0),"")</f>
        <v>BUFKOR INC-</v>
      </c>
      <c r="C25" s="20" t="str">
        <f>IFERROR(IF(OR('MASTER PLAN'!$B$2:$B$81="CHIPPENHOOK",'MASTER PLAN'!$B$2:$B$81="BUFKOR INC."),"USA",IF('MASTER PLAN'!$B$2:$B$81="SIGMAQ MEXICO S.A DE C.V","MX","SP")),"")</f>
        <v>SP</v>
      </c>
      <c r="D25" s="10" t="s">
        <v>151</v>
      </c>
      <c r="E25" s="19" t="str">
        <f>IFERROR(VLOOKUP(D25,REFERENCIAS!A:B,2,0),"")</f>
        <v>ULISES HERNANDEZ</v>
      </c>
      <c r="F25" s="19" t="s">
        <v>135</v>
      </c>
      <c r="G25" s="10">
        <v>1.402049342E9</v>
      </c>
      <c r="H25" s="21">
        <v>20.0</v>
      </c>
      <c r="I25" s="20">
        <f t="array" ref="I25">IFERROR(XLOOKUP(G25&amp;H25,SAP!K:K,SAP!D:D,0,0),"")</f>
        <v>10317411</v>
      </c>
      <c r="J25" s="19" t="str">
        <f t="array" ref="J25">UPPER(XLOOKUP(G25&amp;H25,SAP!K:K,SAP!E:E,0,0))</f>
        <v>BOLSA SHARFMANS JLRS 10"X4"X8"</v>
      </c>
      <c r="K25" s="22">
        <f t="array" ref="K25">IFERROR(XLOOKUP(G25&amp;H25,SAP!K:K,SAP!F:F,0,0),"")</f>
        <v>1500</v>
      </c>
      <c r="L25" s="23">
        <f t="array" ref="L25">IFERROR(XLOOKUP(G25&amp;H25,SAP!K:K,SAP!G:G,0,0),"")</f>
        <v>1740</v>
      </c>
      <c r="M25" s="24">
        <f t="shared" si="2"/>
        <v>1.16</v>
      </c>
      <c r="N25" s="25">
        <v>0.2</v>
      </c>
      <c r="O25" s="22">
        <f t="shared" si="3"/>
        <v>1800</v>
      </c>
      <c r="P25" s="21">
        <v>3343126.0</v>
      </c>
      <c r="Q25" s="12">
        <v>45929.0</v>
      </c>
      <c r="R25" s="26">
        <f t="array" ref="R25">IFERROR(XLOOKUP(G25&amp;H25,SAP!K:K,SAP!H:H,0,0),"")</f>
        <v>45918</v>
      </c>
      <c r="S25" s="26">
        <f t="array" ref="S25">IFERROR(XLOOKUP(G25&amp;H25,SAP!K:K,SAP!I:I,0,0),"")</f>
        <v>45961</v>
      </c>
      <c r="T25" s="1"/>
      <c r="U25" s="12">
        <v>45986.0</v>
      </c>
      <c r="V25" s="12"/>
      <c r="W25" s="5"/>
      <c r="X25" s="19" t="str">
        <f t="shared" si="4"/>
        <v>SCHEDULE</v>
      </c>
      <c r="Y25" s="27">
        <f t="shared" si="5"/>
        <v>9.714285714</v>
      </c>
      <c r="Z25" s="19" t="str">
        <f t="shared" si="6"/>
        <v>DELAYED</v>
      </c>
      <c r="AA25" s="28">
        <f t="shared" si="7"/>
        <v>45986</v>
      </c>
      <c r="AB25" s="29" t="str">
        <f t="shared" si="8"/>
        <v>140204934220</v>
      </c>
    </row>
    <row r="26" ht="14.25" customHeight="1">
      <c r="A26" s="19" t="str">
        <f t="shared" si="1"/>
        <v>CHIPPENHOOK</v>
      </c>
      <c r="B26" s="19" t="str">
        <f t="array" ref="B26">IFERROR(XLOOKUP(G26&amp;H26,SAP!K:K,SAP!A:A,0,0),"")</f>
        <v>CHIPPENHOOK</v>
      </c>
      <c r="C26" s="20" t="str">
        <f>IFERROR(IF(OR('MASTER PLAN'!$B$2:$B$81="CHIPPENHOOK",'MASTER PLAN'!$B$2:$B$81="BUFKOR INC."),"USA",IF('MASTER PLAN'!$B$2:$B$81="SIGMAQ MEXICO S.A DE C.V","MX","SP")),"")</f>
        <v>USA</v>
      </c>
      <c r="D26" s="10" t="s">
        <v>152</v>
      </c>
      <c r="E26" s="19" t="str">
        <f>IFERROR(VLOOKUP(D26,REFERENCIAS!A:B,2,0),"")</f>
        <v>SANTOS CORNEJO</v>
      </c>
      <c r="F26" s="19" t="s">
        <v>135</v>
      </c>
      <c r="G26" s="10">
        <v>1.402049346E9</v>
      </c>
      <c r="H26" s="21">
        <v>10.0</v>
      </c>
      <c r="I26" s="20">
        <f t="array" ref="I26">IFERROR(XLOOKUP(G26&amp;H26,SAP!K:K,SAP!D:D,0,0),"")</f>
        <v>10341615</v>
      </c>
      <c r="J26" s="19" t="str">
        <f t="array" ref="J26">UPPER(XLOOKUP(G26&amp;H26,SAP!K:K,SAP!E:E,0,0))</f>
        <v>BOLSA HELZBERG 10X2-5X8 IN FA</v>
      </c>
      <c r="K26" s="22">
        <f t="array" ref="K26">IFERROR(XLOOKUP(G26&amp;H26,SAP!K:K,SAP!F:F,0,0),"")</f>
        <v>20000</v>
      </c>
      <c r="L26" s="23">
        <f t="array" ref="L26">IFERROR(XLOOKUP(G26&amp;H26,SAP!K:K,SAP!G:G,0,0),"")</f>
        <v>16000</v>
      </c>
      <c r="M26" s="24">
        <f t="shared" si="2"/>
        <v>0.8</v>
      </c>
      <c r="N26" s="25">
        <v>0.2</v>
      </c>
      <c r="O26" s="22">
        <f t="shared" si="3"/>
        <v>24000</v>
      </c>
      <c r="P26" s="21">
        <v>3343127.0</v>
      </c>
      <c r="Q26" s="12">
        <v>45930.0</v>
      </c>
      <c r="R26" s="26">
        <f t="array" ref="R26">IFERROR(XLOOKUP(G26&amp;H26,SAP!K:K,SAP!H:H,0,0),"")</f>
        <v>45918</v>
      </c>
      <c r="S26" s="26">
        <f t="array" ref="S26">IFERROR(XLOOKUP(G26&amp;H26,SAP!K:K,SAP!I:I,0,0),"")</f>
        <v>45922</v>
      </c>
      <c r="T26" s="1"/>
      <c r="U26" s="12">
        <v>45996.0</v>
      </c>
      <c r="V26" s="12"/>
      <c r="W26" s="5" t="s">
        <v>153</v>
      </c>
      <c r="X26" s="19" t="str">
        <f t="shared" si="4"/>
        <v>SCHEDULE</v>
      </c>
      <c r="Y26" s="27">
        <f t="shared" si="5"/>
        <v>11.14285714</v>
      </c>
      <c r="Z26" s="19" t="str">
        <f t="shared" si="6"/>
        <v>DELAYED</v>
      </c>
      <c r="AA26" s="28">
        <f t="shared" si="7"/>
        <v>45996</v>
      </c>
      <c r="AB26" s="29" t="str">
        <f t="shared" si="8"/>
        <v>140204934610</v>
      </c>
    </row>
    <row r="27" ht="14.25" customHeight="1">
      <c r="A27" s="19" t="str">
        <f t="shared" si="1"/>
        <v>SPECIALTY</v>
      </c>
      <c r="B27" s="19" t="str">
        <f t="array" ref="B27">IFERROR(XLOOKUP(G27&amp;H27,SAP!K:K,SAP!A:A,0,0),"")</f>
        <v>BUFKOR INC-</v>
      </c>
      <c r="C27" s="20" t="str">
        <f>IFERROR(IF(OR('MASTER PLAN'!$B$2:$B$81="CHIPPENHOOK",'MASTER PLAN'!$B$2:$B$81="BUFKOR INC."),"USA",IF('MASTER PLAN'!$B$2:$B$81="SIGMAQ MEXICO S.A DE C.V","MX","SP")),"")</f>
        <v>SP</v>
      </c>
      <c r="D27" s="10" t="s">
        <v>139</v>
      </c>
      <c r="E27" s="19" t="str">
        <f>IFERROR(VLOOKUP(D27,REFERENCIAS!A:B,2,0),"")</f>
        <v>JAVIER MOLINA</v>
      </c>
      <c r="F27" s="19" t="s">
        <v>135</v>
      </c>
      <c r="G27" s="10">
        <v>1.402049349E9</v>
      </c>
      <c r="H27" s="21">
        <v>10.0</v>
      </c>
      <c r="I27" s="20">
        <f t="array" ref="I27">IFERROR(XLOOKUP(G27&amp;H27,SAP!K:K,SAP!D:D,0,0),"")</f>
        <v>10341623</v>
      </c>
      <c r="J27" s="19" t="str">
        <f t="array" ref="J27">UPPER(XLOOKUP(G27&amp;H27,SAP!K:K,SAP!E:E,0,0))</f>
        <v>BOLSA WSHM WOS 10"X6"X10" FA</v>
      </c>
      <c r="K27" s="22">
        <f t="array" ref="K27">IFERROR(XLOOKUP(G27&amp;H27,SAP!K:K,SAP!F:F,0,0),"")</f>
        <v>15000</v>
      </c>
      <c r="L27" s="23">
        <f t="array" ref="L27">IFERROR(XLOOKUP(G27&amp;H27,SAP!K:K,SAP!G:G,0,0),"")</f>
        <v>36720</v>
      </c>
      <c r="M27" s="24">
        <f t="shared" si="2"/>
        <v>2.448</v>
      </c>
      <c r="N27" s="25">
        <v>0.2</v>
      </c>
      <c r="O27" s="22">
        <f t="shared" si="3"/>
        <v>18000</v>
      </c>
      <c r="P27" s="21">
        <v>3343130.0</v>
      </c>
      <c r="Q27" s="12">
        <v>45929.0</v>
      </c>
      <c r="R27" s="26">
        <f t="array" ref="R27">IFERROR(XLOOKUP(G27&amp;H27,SAP!K:K,SAP!H:H,0,0),"")</f>
        <v>45923</v>
      </c>
      <c r="S27" s="26">
        <f t="array" ref="S27">IFERROR(XLOOKUP(G27&amp;H27,SAP!K:K,SAP!I:I,0,0),"")</f>
        <v>45960</v>
      </c>
      <c r="T27" s="1"/>
      <c r="U27" s="12">
        <v>46003.0</v>
      </c>
      <c r="V27" s="12"/>
      <c r="W27" s="5" t="s">
        <v>154</v>
      </c>
      <c r="X27" s="19" t="str">
        <f t="shared" si="4"/>
        <v>SCHEDULE</v>
      </c>
      <c r="Y27" s="27">
        <f t="shared" si="5"/>
        <v>11.42857143</v>
      </c>
      <c r="Z27" s="19" t="str">
        <f t="shared" si="6"/>
        <v>DELAYED</v>
      </c>
      <c r="AA27" s="28">
        <f t="shared" si="7"/>
        <v>46003</v>
      </c>
      <c r="AB27" s="29" t="str">
        <f t="shared" si="8"/>
        <v>140204934910</v>
      </c>
    </row>
    <row r="28" ht="14.25" customHeight="1">
      <c r="A28" s="19" t="str">
        <f t="shared" si="1"/>
        <v>SPECIALTY</v>
      </c>
      <c r="B28" s="19" t="str">
        <f t="array" ref="B28">IFERROR(XLOOKUP(G28&amp;H28,SAP!K:K,SAP!A:A,0,0),"")</f>
        <v>BUFKOR INC-</v>
      </c>
      <c r="C28" s="20" t="str">
        <f>IFERROR(IF(OR('MASTER PLAN'!$B$2:$B$81="CHIPPENHOOK",'MASTER PLAN'!$B$2:$B$81="BUFKOR INC."),"USA",IF('MASTER PLAN'!$B$2:$B$81="SIGMAQ MEXICO S.A DE C.V","MX","SP")),"")</f>
        <v>SP</v>
      </c>
      <c r="D28" s="10" t="s">
        <v>139</v>
      </c>
      <c r="E28" s="19" t="str">
        <f>IFERROR(VLOOKUP(D28,REFERENCIAS!A:B,2,0),"")</f>
        <v>JAVIER MOLINA</v>
      </c>
      <c r="F28" s="19" t="s">
        <v>135</v>
      </c>
      <c r="G28" s="10">
        <v>1.402049349E9</v>
      </c>
      <c r="H28" s="21">
        <v>20.0</v>
      </c>
      <c r="I28" s="20">
        <f t="array" ref="I28">IFERROR(XLOOKUP(G28&amp;H28,SAP!K:K,SAP!D:D,0,0),"")</f>
        <v>10341624</v>
      </c>
      <c r="J28" s="19" t="str">
        <f t="array" ref="J28">UPPER(XLOOKUP(G28&amp;H28,SAP!K:K,SAP!E:E,0,0))</f>
        <v>BOLSA WSHN WOS 17"X7"X14" FA</v>
      </c>
      <c r="K28" s="22">
        <f t="array" ref="K28">IFERROR(XLOOKUP(G28&amp;H28,SAP!K:K,SAP!F:F,0,0),"")</f>
        <v>4000</v>
      </c>
      <c r="L28" s="23">
        <f t="array" ref="L28">IFERROR(XLOOKUP(G28&amp;H28,SAP!K:K,SAP!G:G,0,0),"")</f>
        <v>18080</v>
      </c>
      <c r="M28" s="24">
        <f t="shared" si="2"/>
        <v>4.52</v>
      </c>
      <c r="N28" s="25">
        <v>0.2</v>
      </c>
      <c r="O28" s="22">
        <f t="shared" si="3"/>
        <v>4800</v>
      </c>
      <c r="P28" s="21">
        <v>3343131.0</v>
      </c>
      <c r="Q28" s="12">
        <v>45929.0</v>
      </c>
      <c r="R28" s="26">
        <f t="array" ref="R28">IFERROR(XLOOKUP(G28&amp;H28,SAP!K:K,SAP!H:H,0,0),"")</f>
        <v>45923</v>
      </c>
      <c r="S28" s="26">
        <f t="array" ref="S28">IFERROR(XLOOKUP(G28&amp;H28,SAP!K:K,SAP!I:I,0,0),"")</f>
        <v>45960</v>
      </c>
      <c r="T28" s="1"/>
      <c r="U28" s="12">
        <v>46003.0</v>
      </c>
      <c r="V28" s="12"/>
      <c r="W28" s="5" t="s">
        <v>154</v>
      </c>
      <c r="X28" s="19" t="str">
        <f t="shared" si="4"/>
        <v>SCHEDULE</v>
      </c>
      <c r="Y28" s="27">
        <f t="shared" si="5"/>
        <v>11.42857143</v>
      </c>
      <c r="Z28" s="19" t="str">
        <f t="shared" si="6"/>
        <v>DELAYED</v>
      </c>
      <c r="AA28" s="28">
        <f t="shared" si="7"/>
        <v>46003</v>
      </c>
      <c r="AB28" s="29" t="str">
        <f t="shared" si="8"/>
        <v>140204934920</v>
      </c>
    </row>
    <row r="29" ht="14.25" customHeight="1">
      <c r="A29" s="19" t="str">
        <f t="shared" si="1"/>
        <v>SPECIALTY</v>
      </c>
      <c r="B29" s="19" t="str">
        <f t="array" ref="B29">IFERROR(XLOOKUP(G29&amp;H29,SAP!K:K,SAP!A:A,0,0),"")</f>
        <v>BUFKOR INC-</v>
      </c>
      <c r="C29" s="20" t="str">
        <f>IFERROR(IF(OR('MASTER PLAN'!$B$2:$B$81="CHIPPENHOOK",'MASTER PLAN'!$B$2:$B$81="BUFKOR INC."),"USA",IF('MASTER PLAN'!$B$2:$B$81="SIGMAQ MEXICO S.A DE C.V","MX","SP")),"")</f>
        <v>SP</v>
      </c>
      <c r="D29" s="10" t="s">
        <v>139</v>
      </c>
      <c r="E29" s="19" t="str">
        <f>IFERROR(VLOOKUP(D29,REFERENCIAS!A:B,2,0),"")</f>
        <v>JAVIER MOLINA</v>
      </c>
      <c r="F29" s="19" t="s">
        <v>135</v>
      </c>
      <c r="G29" s="10">
        <v>1.40204935E9</v>
      </c>
      <c r="H29" s="21">
        <v>10.0</v>
      </c>
      <c r="I29" s="20">
        <f t="array" ref="I29">IFERROR(XLOOKUP(G29&amp;H29,SAP!K:K,SAP!D:D,0,0),"")</f>
        <v>10341618</v>
      </c>
      <c r="J29" s="19" t="str">
        <f t="array" ref="J29">UPPER(XLOOKUP(G29&amp;H29,SAP!K:K,SAP!E:E,0,0))</f>
        <v>BOLSA WSMJ MAYORS WOS 6-5"X3-5"X6-5" FA</v>
      </c>
      <c r="K29" s="22">
        <f t="array" ref="K29">IFERROR(XLOOKUP(G29&amp;H29,SAP!K:K,SAP!F:F,0,0),"")</f>
        <v>4000</v>
      </c>
      <c r="L29" s="23">
        <f t="array" ref="L29">IFERROR(XLOOKUP(G29&amp;H29,SAP!K:K,SAP!G:G,0,0),"")</f>
        <v>6688</v>
      </c>
      <c r="M29" s="24">
        <f t="shared" si="2"/>
        <v>1.672</v>
      </c>
      <c r="N29" s="25">
        <v>0.2</v>
      </c>
      <c r="O29" s="22">
        <f t="shared" si="3"/>
        <v>4800</v>
      </c>
      <c r="P29" s="21">
        <v>3343132.0</v>
      </c>
      <c r="Q29" s="12">
        <v>45929.0</v>
      </c>
      <c r="R29" s="26">
        <f t="array" ref="R29">IFERROR(XLOOKUP(G29&amp;H29,SAP!K:K,SAP!H:H,0,0),"")</f>
        <v>45923</v>
      </c>
      <c r="S29" s="26">
        <f t="array" ref="S29">IFERROR(XLOOKUP(G29&amp;H29,SAP!K:K,SAP!I:I,0,0),"")</f>
        <v>45959</v>
      </c>
      <c r="T29" s="1"/>
      <c r="U29" s="12">
        <v>46003.0</v>
      </c>
      <c r="V29" s="12"/>
      <c r="W29" s="5" t="s">
        <v>154</v>
      </c>
      <c r="X29" s="19" t="str">
        <f t="shared" si="4"/>
        <v>SCHEDULE</v>
      </c>
      <c r="Y29" s="27">
        <f t="shared" si="5"/>
        <v>11.42857143</v>
      </c>
      <c r="Z29" s="19" t="str">
        <f t="shared" si="6"/>
        <v>DELAYED</v>
      </c>
      <c r="AA29" s="28">
        <f t="shared" si="7"/>
        <v>46003</v>
      </c>
      <c r="AB29" s="29" t="str">
        <f t="shared" si="8"/>
        <v>140204935010</v>
      </c>
    </row>
    <row r="30" ht="14.25" customHeight="1">
      <c r="A30" s="19" t="str">
        <f t="shared" si="1"/>
        <v>SPECIALTY</v>
      </c>
      <c r="B30" s="19" t="str">
        <f t="array" ref="B30">IFERROR(XLOOKUP(G30&amp;H30,SAP!K:K,SAP!A:A,0,0),"")</f>
        <v>BUFKOR INC-</v>
      </c>
      <c r="C30" s="20" t="str">
        <f>IFERROR(IF(OR('MASTER PLAN'!$B$2:$B$81="CHIPPENHOOK",'MASTER PLAN'!$B$2:$B$81="BUFKOR INC."),"USA",IF('MASTER PLAN'!$B$2:$B$81="SIGMAQ MEXICO S.A DE C.V","MX","SP")),"")</f>
        <v>SP</v>
      </c>
      <c r="D30" s="10" t="s">
        <v>139</v>
      </c>
      <c r="E30" s="19" t="str">
        <f>IFERROR(VLOOKUP(D30,REFERENCIAS!A:B,2,0),"")</f>
        <v>JAVIER MOLINA</v>
      </c>
      <c r="F30" s="19" t="s">
        <v>135</v>
      </c>
      <c r="G30" s="10">
        <v>1.40204935E9</v>
      </c>
      <c r="H30" s="21">
        <v>20.0</v>
      </c>
      <c r="I30" s="20">
        <f t="array" ref="I30">IFERROR(XLOOKUP(G30&amp;H30,SAP!K:K,SAP!D:D,0,0),"")</f>
        <v>10341620</v>
      </c>
      <c r="J30" s="19" t="str">
        <f t="array" ref="J30">UPPER(XLOOKUP(G30&amp;H30,SAP!K:K,SAP!E:E,0,0))</f>
        <v>BOLSA WSMJ MAYORS WOS 10"X6"X10" FA</v>
      </c>
      <c r="K30" s="22">
        <f t="array" ref="K30">IFERROR(XLOOKUP(G30&amp;H30,SAP!K:K,SAP!F:F,0,0),"")</f>
        <v>12000</v>
      </c>
      <c r="L30" s="23">
        <f t="array" ref="L30">IFERROR(XLOOKUP(G30&amp;H30,SAP!K:K,SAP!G:G,0,0),"")</f>
        <v>29760</v>
      </c>
      <c r="M30" s="24">
        <f t="shared" si="2"/>
        <v>2.48</v>
      </c>
      <c r="N30" s="25">
        <v>0.2</v>
      </c>
      <c r="O30" s="22">
        <f t="shared" si="3"/>
        <v>14400</v>
      </c>
      <c r="P30" s="21">
        <v>3343133.0</v>
      </c>
      <c r="Q30" s="12">
        <v>45929.0</v>
      </c>
      <c r="R30" s="26">
        <f t="array" ref="R30">IFERROR(XLOOKUP(G30&amp;H30,SAP!K:K,SAP!H:H,0,0),"")</f>
        <v>45923</v>
      </c>
      <c r="S30" s="26">
        <f t="array" ref="S30">IFERROR(XLOOKUP(G30&amp;H30,SAP!K:K,SAP!I:I,0,0),"")</f>
        <v>45959</v>
      </c>
      <c r="T30" s="1"/>
      <c r="U30" s="12">
        <v>46003.0</v>
      </c>
      <c r="V30" s="12"/>
      <c r="W30" s="5" t="s">
        <v>154</v>
      </c>
      <c r="X30" s="19" t="str">
        <f t="shared" si="4"/>
        <v>SCHEDULE</v>
      </c>
      <c r="Y30" s="27">
        <f t="shared" si="5"/>
        <v>11.42857143</v>
      </c>
      <c r="Z30" s="19" t="str">
        <f t="shared" si="6"/>
        <v>DELAYED</v>
      </c>
      <c r="AA30" s="28">
        <f t="shared" si="7"/>
        <v>46003</v>
      </c>
      <c r="AB30" s="29" t="str">
        <f t="shared" si="8"/>
        <v>140204935020</v>
      </c>
    </row>
    <row r="31" ht="14.25" customHeight="1">
      <c r="A31" s="19" t="str">
        <f t="shared" si="1"/>
        <v>SPECIALTY</v>
      </c>
      <c r="B31" s="19" t="str">
        <f t="array" ref="B31">IFERROR(XLOOKUP(G31&amp;H31,SAP!K:K,SAP!A:A,0,0),"")</f>
        <v>BUFKOR INC-</v>
      </c>
      <c r="C31" s="20" t="str">
        <f>IFERROR(IF(OR('MASTER PLAN'!$B$2:$B$81="CHIPPENHOOK",'MASTER PLAN'!$B$2:$B$81="BUFKOR INC."),"USA",IF('MASTER PLAN'!$B$2:$B$81="SIGMAQ MEXICO S.A DE C.V","MX","SP")),"")</f>
        <v>SP</v>
      </c>
      <c r="D31" s="10" t="s">
        <v>139</v>
      </c>
      <c r="E31" s="19" t="str">
        <f>IFERROR(VLOOKUP(D31,REFERENCIAS!A:B,2,0),"")</f>
        <v>JAVIER MOLINA</v>
      </c>
      <c r="F31" s="19" t="s">
        <v>135</v>
      </c>
      <c r="G31" s="10">
        <v>1.40204935E9</v>
      </c>
      <c r="H31" s="21">
        <v>30.0</v>
      </c>
      <c r="I31" s="20">
        <f t="array" ref="I31">IFERROR(XLOOKUP(G31&amp;H31,SAP!K:K,SAP!D:D,0,0),"")</f>
        <v>10341619</v>
      </c>
      <c r="J31" s="19" t="str">
        <f t="array" ref="J31">UPPER(XLOOKUP(G31&amp;H31,SAP!K:K,SAP!E:E,0,0))</f>
        <v>BOLSA WSMJ MAYORS WOS 17"X7"X14" FA</v>
      </c>
      <c r="K31" s="22">
        <f t="array" ref="K31">IFERROR(XLOOKUP(G31&amp;H31,SAP!K:K,SAP!F:F,0,0),"")</f>
        <v>4000</v>
      </c>
      <c r="L31" s="23">
        <f t="array" ref="L31">IFERROR(XLOOKUP(G31&amp;H31,SAP!K:K,SAP!G:G,0,0),"")</f>
        <v>18336</v>
      </c>
      <c r="M31" s="24">
        <f t="shared" si="2"/>
        <v>4.584</v>
      </c>
      <c r="N31" s="25">
        <v>0.2</v>
      </c>
      <c r="O31" s="22">
        <f t="shared" si="3"/>
        <v>4800</v>
      </c>
      <c r="P31" s="21">
        <v>3343134.0</v>
      </c>
      <c r="Q31" s="12">
        <v>45929.0</v>
      </c>
      <c r="R31" s="26">
        <f t="array" ref="R31">IFERROR(XLOOKUP(G31&amp;H31,SAP!K:K,SAP!H:H,0,0),"")</f>
        <v>45923</v>
      </c>
      <c r="S31" s="26">
        <f t="array" ref="S31">IFERROR(XLOOKUP(G31&amp;H31,SAP!K:K,SAP!I:I,0,0),"")</f>
        <v>45959</v>
      </c>
      <c r="T31" s="1"/>
      <c r="U31" s="12">
        <v>46003.0</v>
      </c>
      <c r="V31" s="12"/>
      <c r="W31" s="5" t="s">
        <v>154</v>
      </c>
      <c r="X31" s="19" t="str">
        <f t="shared" si="4"/>
        <v>SCHEDULE</v>
      </c>
      <c r="Y31" s="27">
        <f t="shared" si="5"/>
        <v>11.42857143</v>
      </c>
      <c r="Z31" s="19" t="str">
        <f t="shared" si="6"/>
        <v>DELAYED</v>
      </c>
      <c r="AA31" s="28">
        <f t="shared" si="7"/>
        <v>46003</v>
      </c>
      <c r="AB31" s="29" t="str">
        <f t="shared" si="8"/>
        <v>140204935030</v>
      </c>
    </row>
    <row r="32" ht="14.25" customHeight="1">
      <c r="A32" s="19" t="str">
        <f t="shared" si="1"/>
        <v>SPECIALTY</v>
      </c>
      <c r="B32" s="19" t="str">
        <f t="array" ref="B32">IFERROR(XLOOKUP(G32&amp;H32,SAP!K:K,SAP!A:A,0,0),"")</f>
        <v>BUFKOR INC-</v>
      </c>
      <c r="C32" s="20" t="str">
        <f>IFERROR(IF(OR('MASTER PLAN'!$B$2:$B$81="CHIPPENHOOK",'MASTER PLAN'!$B$2:$B$81="BUFKOR INC."),"USA",IF('MASTER PLAN'!$B$2:$B$81="SIGMAQ MEXICO S.A DE C.V","MX","SP")),"")</f>
        <v>SP</v>
      </c>
      <c r="D32" s="10" t="s">
        <v>134</v>
      </c>
      <c r="E32" s="19" t="str">
        <f>IFERROR(VLOOKUP(D32,REFERENCIAS!A:B,2,0),"")</f>
        <v>KENEDY TOBAR</v>
      </c>
      <c r="F32" s="19" t="s">
        <v>135</v>
      </c>
      <c r="G32" s="10">
        <v>1.402049351E9</v>
      </c>
      <c r="H32" s="21">
        <v>10.0</v>
      </c>
      <c r="I32" s="20">
        <f t="array" ref="I32">IFERROR(XLOOKUP(G32&amp;H32,SAP!K:K,SAP!D:D,0,0),"")</f>
        <v>10330738</v>
      </c>
      <c r="J32" s="19" t="str">
        <f t="array" ref="J32">UPPER(XLOOKUP(G32&amp;H32,SAP!K:K,SAP!E:E,0,0))</f>
        <v>BOLSA WATERFALL JEWELERS 6-5"X3-5"X6-5"</v>
      </c>
      <c r="K32" s="22">
        <f t="array" ref="K32">IFERROR(XLOOKUP(G32&amp;H32,SAP!K:K,SAP!F:F,0,0),"")</f>
        <v>2000</v>
      </c>
      <c r="L32" s="23">
        <f t="array" ref="L32">IFERROR(XLOOKUP(G32&amp;H32,SAP!K:K,SAP!G:G,0,0),"")</f>
        <v>4752</v>
      </c>
      <c r="M32" s="24">
        <f t="shared" si="2"/>
        <v>2.376</v>
      </c>
      <c r="N32" s="25">
        <v>0.2</v>
      </c>
      <c r="O32" s="22">
        <f t="shared" si="3"/>
        <v>2400</v>
      </c>
      <c r="P32" s="21">
        <v>3343201.0</v>
      </c>
      <c r="Q32" s="12">
        <v>45929.0</v>
      </c>
      <c r="R32" s="26">
        <f t="array" ref="R32">IFERROR(XLOOKUP(G32&amp;H32,SAP!K:K,SAP!H:H,0,0),"")</f>
        <v>45923</v>
      </c>
      <c r="S32" s="26">
        <f t="array" ref="S32">IFERROR(XLOOKUP(G32&amp;H32,SAP!K:K,SAP!I:I,0,0),"")</f>
        <v>45968</v>
      </c>
      <c r="T32" s="1"/>
      <c r="U32" s="12">
        <v>46010.0</v>
      </c>
      <c r="V32" s="12"/>
      <c r="W32" s="5"/>
      <c r="X32" s="19" t="str">
        <f t="shared" si="4"/>
        <v>SCHEDULE</v>
      </c>
      <c r="Y32" s="27">
        <f t="shared" si="5"/>
        <v>12.42857143</v>
      </c>
      <c r="Z32" s="19" t="str">
        <f t="shared" si="6"/>
        <v>DELAYED</v>
      </c>
      <c r="AA32" s="28">
        <f t="shared" si="7"/>
        <v>46010</v>
      </c>
      <c r="AB32" s="29" t="str">
        <f t="shared" si="8"/>
        <v>140204935110</v>
      </c>
    </row>
    <row r="33" ht="14.25" customHeight="1">
      <c r="A33" s="19" t="str">
        <f t="shared" si="1"/>
        <v>SPECIALTY</v>
      </c>
      <c r="B33" s="19" t="str">
        <f t="array" ref="B33">IFERROR(XLOOKUP(G33&amp;H33,SAP!K:K,SAP!A:A,0,0),"")</f>
        <v>BUFKOR INC-</v>
      </c>
      <c r="C33" s="20" t="str">
        <f>IFERROR(IF(OR('MASTER PLAN'!$B$2:$B$81="CHIPPENHOOK",'MASTER PLAN'!$B$2:$B$81="BUFKOR INC."),"USA",IF('MASTER PLAN'!$B$2:$B$81="SIGMAQ MEXICO S.A DE C.V","MX","SP")),"")</f>
        <v>SP</v>
      </c>
      <c r="D33" s="10" t="s">
        <v>134</v>
      </c>
      <c r="E33" s="19" t="str">
        <f>IFERROR(VLOOKUP(D33,REFERENCIAS!A:B,2,0),"")</f>
        <v>KENEDY TOBAR</v>
      </c>
      <c r="F33" s="19" t="s">
        <v>135</v>
      </c>
      <c r="G33" s="10">
        <v>1.402049351E9</v>
      </c>
      <c r="H33" s="21">
        <v>20.0</v>
      </c>
      <c r="I33" s="20">
        <f t="array" ref="I33">IFERROR(XLOOKUP(G33&amp;H33,SAP!K:K,SAP!D:D,0,0),"")</f>
        <v>10330739</v>
      </c>
      <c r="J33" s="19" t="str">
        <f t="array" ref="J33">UPPER(XLOOKUP(G33&amp;H33,SAP!K:K,SAP!E:E,0,0))</f>
        <v>BOLSA WATERFALL JEWELERS 8"X4"X10"</v>
      </c>
      <c r="K33" s="22">
        <f t="array" ref="K33">IFERROR(XLOOKUP(G33&amp;H33,SAP!K:K,SAP!F:F,0,0),"")</f>
        <v>1000</v>
      </c>
      <c r="L33" s="23">
        <f t="array" ref="L33">IFERROR(XLOOKUP(G33&amp;H33,SAP!K:K,SAP!G:G,0,0),"")</f>
        <v>3104</v>
      </c>
      <c r="M33" s="24">
        <f t="shared" si="2"/>
        <v>3.104</v>
      </c>
      <c r="N33" s="25">
        <v>0.2</v>
      </c>
      <c r="O33" s="22">
        <f t="shared" si="3"/>
        <v>1200</v>
      </c>
      <c r="P33" s="21">
        <v>3343202.0</v>
      </c>
      <c r="Q33" s="12">
        <v>45929.0</v>
      </c>
      <c r="R33" s="26">
        <f t="array" ref="R33">IFERROR(XLOOKUP(G33&amp;H33,SAP!K:K,SAP!H:H,0,0),"")</f>
        <v>45923</v>
      </c>
      <c r="S33" s="26">
        <f t="array" ref="S33">IFERROR(XLOOKUP(G33&amp;H33,SAP!K:K,SAP!I:I,0,0),"")</f>
        <v>45968</v>
      </c>
      <c r="T33" s="1"/>
      <c r="U33" s="12">
        <v>46010.0</v>
      </c>
      <c r="V33" s="12"/>
      <c r="W33" s="5"/>
      <c r="X33" s="19" t="str">
        <f t="shared" si="4"/>
        <v>SCHEDULE</v>
      </c>
      <c r="Y33" s="27">
        <f t="shared" si="5"/>
        <v>12.42857143</v>
      </c>
      <c r="Z33" s="19" t="str">
        <f t="shared" si="6"/>
        <v>DELAYED</v>
      </c>
      <c r="AA33" s="28">
        <f t="shared" si="7"/>
        <v>46010</v>
      </c>
      <c r="AB33" s="29" t="str">
        <f t="shared" si="8"/>
        <v>140204935120</v>
      </c>
    </row>
    <row r="34" ht="14.25" customHeight="1">
      <c r="A34" s="19" t="str">
        <f t="shared" si="1"/>
        <v>SPECIALTY</v>
      </c>
      <c r="B34" s="19" t="str">
        <f t="array" ref="B34">IFERROR(XLOOKUP(G34&amp;H34,SAP!K:K,SAP!A:A,0,0),"")</f>
        <v>BUFKOR INC-</v>
      </c>
      <c r="C34" s="20" t="str">
        <f>IFERROR(IF(OR('MASTER PLAN'!$B$2:$B$81="CHIPPENHOOK",'MASTER PLAN'!$B$2:$B$81="BUFKOR INC."),"USA",IF('MASTER PLAN'!$B$2:$B$81="SIGMAQ MEXICO S.A DE C.V","MX","SP")),"")</f>
        <v>SP</v>
      </c>
      <c r="D34" s="10" t="s">
        <v>151</v>
      </c>
      <c r="E34" s="19" t="str">
        <f>IFERROR(VLOOKUP(D34,REFERENCIAS!A:B,2,0),"")</f>
        <v>ULISES HERNANDEZ</v>
      </c>
      <c r="F34" s="19" t="s">
        <v>135</v>
      </c>
      <c r="G34" s="10">
        <v>1.402049355E9</v>
      </c>
      <c r="H34" s="21">
        <v>10.0</v>
      </c>
      <c r="I34" s="20">
        <f t="array" ref="I34">IFERROR(XLOOKUP(G34&amp;H34,SAP!K:K,SAP!D:D,0,0),"")</f>
        <v>10264307</v>
      </c>
      <c r="J34" s="19" t="str">
        <f t="array" ref="J34">UPPER(XLOOKUP(G34&amp;H34,SAP!K:K,SAP!E:E,0,0))</f>
        <v>BOLSA WALKER CHRISTOPHER 6-5X3X9</v>
      </c>
      <c r="K34" s="22">
        <f t="array" ref="K34">IFERROR(XLOOKUP(G34&amp;H34,SAP!K:K,SAP!F:F,0,0),"")</f>
        <v>1500</v>
      </c>
      <c r="L34" s="23">
        <f t="array" ref="L34">IFERROR(XLOOKUP(G34&amp;H34,SAP!K:K,SAP!G:G,0,0),"")</f>
        <v>2190</v>
      </c>
      <c r="M34" s="24">
        <f t="shared" si="2"/>
        <v>1.46</v>
      </c>
      <c r="N34" s="25">
        <v>0.2</v>
      </c>
      <c r="O34" s="22">
        <f t="shared" si="3"/>
        <v>1800</v>
      </c>
      <c r="P34" s="21">
        <v>3343214.0</v>
      </c>
      <c r="Q34" s="12">
        <v>45929.0</v>
      </c>
      <c r="R34" s="26">
        <f t="array" ref="R34">IFERROR(XLOOKUP(G34&amp;H34,SAP!K:K,SAP!H:H,0,0),"")</f>
        <v>45923</v>
      </c>
      <c r="S34" s="26">
        <f t="array" ref="S34">IFERROR(XLOOKUP(G34&amp;H34,SAP!K:K,SAP!I:I,0,0),"")</f>
        <v>45989</v>
      </c>
      <c r="T34" s="1">
        <v>3.000115937E9</v>
      </c>
      <c r="U34" s="12">
        <v>46010.0</v>
      </c>
      <c r="V34" s="12"/>
      <c r="W34" s="5" t="s">
        <v>155</v>
      </c>
      <c r="X34" s="19" t="str">
        <f t="shared" si="4"/>
        <v>SCHEDULE</v>
      </c>
      <c r="Y34" s="27">
        <f t="shared" si="5"/>
        <v>12.42857143</v>
      </c>
      <c r="Z34" s="19" t="str">
        <f t="shared" si="6"/>
        <v>DELAYED</v>
      </c>
      <c r="AA34" s="28">
        <f t="shared" si="7"/>
        <v>46010</v>
      </c>
      <c r="AB34" s="29" t="str">
        <f t="shared" si="8"/>
        <v>140204935510</v>
      </c>
    </row>
    <row r="35" ht="14.25" customHeight="1">
      <c r="A35" s="19" t="str">
        <f t="shared" si="1"/>
        <v>SPECIALTY</v>
      </c>
      <c r="B35" s="19" t="str">
        <f t="array" ref="B35">IFERROR(XLOOKUP(G35&amp;H35,SAP!K:K,SAP!A:A,0,0),"")</f>
        <v>BUFKOR INC-</v>
      </c>
      <c r="C35" s="20" t="str">
        <f>IFERROR(IF(OR('MASTER PLAN'!$B$2:$B$81="CHIPPENHOOK",'MASTER PLAN'!$B$2:$B$81="BUFKOR INC."),"USA",IF('MASTER PLAN'!$B$2:$B$81="SIGMAQ MEXICO S.A DE C.V","MX","SP")),"")</f>
        <v>SP</v>
      </c>
      <c r="D35" s="10" t="s">
        <v>143</v>
      </c>
      <c r="E35" s="19" t="str">
        <f>IFERROR(VLOOKUP(D35,REFERENCIAS!A:B,2,0),"")</f>
        <v>REYNALDO CARRANZA</v>
      </c>
      <c r="F35" s="19" t="s">
        <v>135</v>
      </c>
      <c r="G35" s="10">
        <v>1.402049357E9</v>
      </c>
      <c r="H35" s="21">
        <v>10.0</v>
      </c>
      <c r="I35" s="20">
        <f t="array" ref="I35">IFERROR(XLOOKUP(G35&amp;H35,SAP!K:K,SAP!D:D,0,0),"")</f>
        <v>10341444</v>
      </c>
      <c r="J35" s="19" t="str">
        <f t="array" ref="J35">UPPER(XLOOKUP(G35&amp;H35,SAP!K:K,SAP!E:E,0,0))</f>
        <v>BOLSA GREBITUS 11X4X8 IN FL</v>
      </c>
      <c r="K35" s="22">
        <f t="array" ref="K35">IFERROR(XLOOKUP(G35&amp;H35,SAP!K:K,SAP!F:F,0,0),"")</f>
        <v>2000</v>
      </c>
      <c r="L35" s="23">
        <f t="array" ref="L35">IFERROR(XLOOKUP(G35&amp;H35,SAP!K:K,SAP!G:G,0,0),"")</f>
        <v>2304</v>
      </c>
      <c r="M35" s="24">
        <f t="shared" si="2"/>
        <v>1.152</v>
      </c>
      <c r="N35" s="25">
        <v>0.2</v>
      </c>
      <c r="O35" s="22">
        <f t="shared" si="3"/>
        <v>2400</v>
      </c>
      <c r="P35" s="21">
        <v>3343203.0</v>
      </c>
      <c r="Q35" s="12">
        <v>45929.0</v>
      </c>
      <c r="R35" s="26">
        <f t="array" ref="R35">IFERROR(XLOOKUP(G35&amp;H35,SAP!K:K,SAP!H:H,0,0),"")</f>
        <v>45923</v>
      </c>
      <c r="S35" s="26">
        <f t="array" ref="S35">IFERROR(XLOOKUP(G35&amp;H35,SAP!K:K,SAP!I:I,0,0),"")</f>
        <v>45961</v>
      </c>
      <c r="T35" s="1"/>
      <c r="U35" s="12">
        <v>45980.0</v>
      </c>
      <c r="V35" s="12"/>
      <c r="W35" s="5"/>
      <c r="X35" s="19" t="str">
        <f t="shared" si="4"/>
        <v>SCHEDULE</v>
      </c>
      <c r="Y35" s="27">
        <f t="shared" si="5"/>
        <v>8.142857143</v>
      </c>
      <c r="Z35" s="19" t="str">
        <f t="shared" si="6"/>
        <v>DELAYED</v>
      </c>
      <c r="AA35" s="28">
        <f t="shared" si="7"/>
        <v>45980</v>
      </c>
      <c r="AB35" s="29" t="str">
        <f t="shared" si="8"/>
        <v>140204935710</v>
      </c>
    </row>
    <row r="36" ht="14.25" customHeight="1">
      <c r="A36" s="19" t="str">
        <f t="shared" si="1"/>
        <v>SPECIALTY</v>
      </c>
      <c r="B36" s="19" t="str">
        <f t="array" ref="B36">IFERROR(XLOOKUP(G36&amp;H36,SAP!K:K,SAP!A:A,0,0),"")</f>
        <v>BUFKOR INC-</v>
      </c>
      <c r="C36" s="20" t="str">
        <f>IFERROR(IF(OR('MASTER PLAN'!$B$2:$B$81="CHIPPENHOOK",'MASTER PLAN'!$B$2:$B$81="BUFKOR INC."),"USA",IF('MASTER PLAN'!$B$2:$B$81="SIGMAQ MEXICO S.A DE C.V","MX","SP")),"")</f>
        <v>SP</v>
      </c>
      <c r="D36" s="10" t="s">
        <v>139</v>
      </c>
      <c r="E36" s="19" t="str">
        <f>IFERROR(VLOOKUP(D36,REFERENCIAS!A:B,2,0),"")</f>
        <v>JAVIER MOLINA</v>
      </c>
      <c r="F36" s="19" t="s">
        <v>135</v>
      </c>
      <c r="G36" s="10">
        <v>1.402049358E9</v>
      </c>
      <c r="H36" s="21">
        <v>10.0</v>
      </c>
      <c r="I36" s="20">
        <f t="array" ref="I36">IFERROR(XLOOKUP(G36&amp;H36,SAP!K:K,SAP!D:D,0,0),"")</f>
        <v>10315151</v>
      </c>
      <c r="J36" s="19" t="str">
        <f t="array" ref="J36">UPPER(XLOOKUP(G36&amp;H36,SAP!K:K,SAP!E:E,0,0))</f>
        <v>BOLSA JON'S FINE JEWELRY 5"X4"X7"</v>
      </c>
      <c r="K36" s="22">
        <f t="array" ref="K36">IFERROR(XLOOKUP(G36&amp;H36,SAP!K:K,SAP!F:F,0,0),"")</f>
        <v>2000</v>
      </c>
      <c r="L36" s="23">
        <f t="array" ref="L36">IFERROR(XLOOKUP(G36&amp;H36,SAP!K:K,SAP!G:G,0,0),"")</f>
        <v>3344</v>
      </c>
      <c r="M36" s="24">
        <f t="shared" si="2"/>
        <v>1.672</v>
      </c>
      <c r="N36" s="25">
        <v>0.2</v>
      </c>
      <c r="O36" s="22">
        <f t="shared" si="3"/>
        <v>2400</v>
      </c>
      <c r="P36" s="21">
        <v>3343204.0</v>
      </c>
      <c r="Q36" s="12">
        <v>45929.0</v>
      </c>
      <c r="R36" s="26">
        <f t="array" ref="R36">IFERROR(XLOOKUP(G36&amp;H36,SAP!K:K,SAP!H:H,0,0),"")</f>
        <v>45922</v>
      </c>
      <c r="S36" s="26">
        <f t="array" ref="S36">IFERROR(XLOOKUP(G36&amp;H36,SAP!K:K,SAP!I:I,0,0),"")</f>
        <v>45687</v>
      </c>
      <c r="T36" s="1">
        <v>3.00011595E9</v>
      </c>
      <c r="U36" s="12">
        <v>46031.0</v>
      </c>
      <c r="V36" s="12"/>
      <c r="W36" s="5" t="s">
        <v>156</v>
      </c>
      <c r="X36" s="19" t="str">
        <f t="shared" si="4"/>
        <v>SCHEDULE</v>
      </c>
      <c r="Y36" s="27">
        <f t="shared" si="5"/>
        <v>15.57142857</v>
      </c>
      <c r="Z36" s="19" t="str">
        <f t="shared" si="6"/>
        <v>DELAYED</v>
      </c>
      <c r="AA36" s="28">
        <f t="shared" si="7"/>
        <v>46031</v>
      </c>
      <c r="AB36" s="29" t="str">
        <f t="shared" si="8"/>
        <v>140204935810</v>
      </c>
    </row>
    <row r="37" ht="14.25" customHeight="1">
      <c r="A37" s="19" t="str">
        <f t="shared" si="1"/>
        <v>SPECIALTY</v>
      </c>
      <c r="B37" s="19" t="str">
        <f t="array" ref="B37">IFERROR(XLOOKUP(G37&amp;H37,SAP!K:K,SAP!A:A,0,0),"")</f>
        <v>BUFKOR INC-</v>
      </c>
      <c r="C37" s="20" t="str">
        <f>IFERROR(IF(OR('MASTER PLAN'!$B$2:$B$81="CHIPPENHOOK",'MASTER PLAN'!$B$2:$B$81="BUFKOR INC."),"USA",IF('MASTER PLAN'!$B$2:$B$81="SIGMAQ MEXICO S.A DE C.V","MX","SP")),"")</f>
        <v>SP</v>
      </c>
      <c r="D37" s="10" t="s">
        <v>151</v>
      </c>
      <c r="E37" s="19" t="str">
        <f>IFERROR(VLOOKUP(D37,REFERENCIAS!A:B,2,0),"")</f>
        <v>ULISES HERNANDEZ</v>
      </c>
      <c r="F37" s="19" t="s">
        <v>135</v>
      </c>
      <c r="G37" s="10">
        <v>1.402049362E9</v>
      </c>
      <c r="H37" s="21">
        <v>10.0</v>
      </c>
      <c r="I37" s="20">
        <f t="array" ref="I37">IFERROR(XLOOKUP(G37&amp;H37,SAP!K:K,SAP!D:D,0,0),"")</f>
        <v>10341266</v>
      </c>
      <c r="J37" s="19" t="str">
        <f t="array" ref="J37">UPPER(XLOOKUP(G37&amp;H37,SAP!K:K,SAP!E:E,0,0))</f>
        <v>BOLSA SCHWANKE KASTEN CO 10"X6"X8"</v>
      </c>
      <c r="K37" s="22">
        <f t="array" ref="K37">IFERROR(XLOOKUP(G37&amp;H37,SAP!K:K,SAP!F:F,0,0),"")</f>
        <v>2000</v>
      </c>
      <c r="L37" s="23">
        <f t="array" ref="L37">IFERROR(XLOOKUP(G37&amp;H37,SAP!K:K,SAP!G:G,0,0),"")</f>
        <v>2816</v>
      </c>
      <c r="M37" s="24">
        <f t="shared" si="2"/>
        <v>1.408</v>
      </c>
      <c r="N37" s="25">
        <v>0.2</v>
      </c>
      <c r="O37" s="22">
        <f t="shared" si="3"/>
        <v>2400</v>
      </c>
      <c r="P37" s="21">
        <v>3343205.0</v>
      </c>
      <c r="Q37" s="12">
        <v>45929.0</v>
      </c>
      <c r="R37" s="26">
        <f t="array" ref="R37">IFERROR(XLOOKUP(G37&amp;H37,SAP!K:K,SAP!H:H,0,0),"")</f>
        <v>45923</v>
      </c>
      <c r="S37" s="26">
        <f t="array" ref="S37">IFERROR(XLOOKUP(G37&amp;H37,SAP!K:K,SAP!I:I,0,0),"")</f>
        <v>45961</v>
      </c>
      <c r="T37" s="1"/>
      <c r="U37" s="12">
        <v>45989.0</v>
      </c>
      <c r="V37" s="12"/>
      <c r="W37" s="5"/>
      <c r="X37" s="19" t="str">
        <f t="shared" si="4"/>
        <v>SCHEDULE</v>
      </c>
      <c r="Y37" s="27">
        <f t="shared" si="5"/>
        <v>9.428571429</v>
      </c>
      <c r="Z37" s="19" t="str">
        <f t="shared" si="6"/>
        <v>DELAYED</v>
      </c>
      <c r="AA37" s="28">
        <f t="shared" si="7"/>
        <v>45989</v>
      </c>
      <c r="AB37" s="29" t="str">
        <f t="shared" si="8"/>
        <v>140204936210</v>
      </c>
    </row>
    <row r="38" ht="14.25" customHeight="1">
      <c r="A38" s="19" t="str">
        <f t="shared" si="1"/>
        <v>SPECIALTY</v>
      </c>
      <c r="B38" s="19" t="str">
        <f t="array" ref="B38">IFERROR(XLOOKUP(G38&amp;H38,SAP!K:K,SAP!A:A,0,0),"")</f>
        <v>UNIPACK, S-A- DE C-V-</v>
      </c>
      <c r="C38" s="20" t="str">
        <f>IFERROR(IF(OR('MASTER PLAN'!$B$2:$B$81="CHIPPENHOOK",'MASTER PLAN'!$B$2:$B$81="BUFKOR INC."),"USA",IF('MASTER PLAN'!$B$2:$B$81="SIGMAQ MEXICO S.A DE C.V","MX","SP")),"")</f>
        <v>SP</v>
      </c>
      <c r="D38" s="10" t="s">
        <v>151</v>
      </c>
      <c r="E38" s="19" t="str">
        <f>IFERROR(VLOOKUP(D38,REFERENCIAS!A:B,2,0),"")</f>
        <v>ULISES HERNANDEZ</v>
      </c>
      <c r="F38" s="19" t="s">
        <v>135</v>
      </c>
      <c r="G38" s="10">
        <v>1.402049363E9</v>
      </c>
      <c r="H38" s="21">
        <v>10.0</v>
      </c>
      <c r="I38" s="20">
        <f t="array" ref="I38">IFERROR(XLOOKUP(G38&amp;H38,SAP!K:K,SAP!D:D,0,0),"")</f>
        <v>10340460</v>
      </c>
      <c r="J38" s="19" t="str">
        <f t="array" ref="J38">UPPER(XLOOKUP(G38&amp;H38,SAP!K:K,SAP!E:E,0,0))</f>
        <v>BOLSA BELUM 11X7X14-5 CM FL</v>
      </c>
      <c r="K38" s="22">
        <f t="array" ref="K38">IFERROR(XLOOKUP(G38&amp;H38,SAP!K:K,SAP!F:F,0,0),"")</f>
        <v>550</v>
      </c>
      <c r="L38" s="23">
        <f t="array" ref="L38">IFERROR(XLOOKUP(G38&amp;H38,SAP!K:K,SAP!G:G,0,0),"")</f>
        <v>291.5</v>
      </c>
      <c r="M38" s="24">
        <f t="shared" si="2"/>
        <v>0.53</v>
      </c>
      <c r="N38" s="25">
        <v>0.2</v>
      </c>
      <c r="O38" s="22">
        <f t="shared" si="3"/>
        <v>660</v>
      </c>
      <c r="P38" s="21">
        <v>3343206.0</v>
      </c>
      <c r="Q38" s="12">
        <v>45929.0</v>
      </c>
      <c r="R38" s="26">
        <f t="array" ref="R38">IFERROR(XLOOKUP(G38&amp;H38,SAP!K:K,SAP!H:H,0,0),"")</f>
        <v>45923</v>
      </c>
      <c r="S38" s="26">
        <f t="array" ref="S38">IFERROR(XLOOKUP(G38&amp;H38,SAP!K:K,SAP!I:I,0,0),"")</f>
        <v>45986</v>
      </c>
      <c r="T38" s="1"/>
      <c r="U38" s="12">
        <v>45989.0</v>
      </c>
      <c r="V38" s="12"/>
      <c r="W38" s="5"/>
      <c r="X38" s="19" t="str">
        <f t="shared" si="4"/>
        <v>SCHEDULE</v>
      </c>
      <c r="Y38" s="27">
        <f t="shared" si="5"/>
        <v>9.428571429</v>
      </c>
      <c r="Z38" s="19" t="str">
        <f t="shared" si="6"/>
        <v>DELAYED</v>
      </c>
      <c r="AA38" s="28">
        <f t="shared" si="7"/>
        <v>45989</v>
      </c>
      <c r="AB38" s="29" t="str">
        <f t="shared" si="8"/>
        <v>140204936310</v>
      </c>
    </row>
    <row r="39" ht="14.25" customHeight="1">
      <c r="A39" s="19" t="str">
        <f t="shared" si="1"/>
        <v>SPECIALTY</v>
      </c>
      <c r="B39" s="19" t="str">
        <f t="array" ref="B39">IFERROR(XLOOKUP(G39&amp;H39,SAP!K:K,SAP!A:A,0,0),"")</f>
        <v>UNIPACK, S-A- DE C-V-</v>
      </c>
      <c r="C39" s="20" t="str">
        <f>IFERROR(IF(OR('MASTER PLAN'!$B$2:$B$81="CHIPPENHOOK",'MASTER PLAN'!$B$2:$B$81="BUFKOR INC."),"USA",IF('MASTER PLAN'!$B$2:$B$81="SIGMAQ MEXICO S.A DE C.V","MX","SP")),"")</f>
        <v>SP</v>
      </c>
      <c r="D39" s="10" t="s">
        <v>151</v>
      </c>
      <c r="E39" s="19" t="str">
        <f>IFERROR(VLOOKUP(D39,REFERENCIAS!A:B,2,0),"")</f>
        <v>ULISES HERNANDEZ</v>
      </c>
      <c r="F39" s="19" t="s">
        <v>135</v>
      </c>
      <c r="G39" s="10">
        <v>1.402049364E9</v>
      </c>
      <c r="H39" s="21">
        <v>10.0</v>
      </c>
      <c r="I39" s="20">
        <f t="array" ref="I39">IFERROR(XLOOKUP(G39&amp;H39,SAP!K:K,SAP!D:D,0,0),"")</f>
        <v>10340460</v>
      </c>
      <c r="J39" s="19" t="str">
        <f t="array" ref="J39">UPPER(XLOOKUP(G39&amp;H39,SAP!K:K,SAP!E:E,0,0))</f>
        <v>BOLSA BELUM 11X7X14-5 CM FL</v>
      </c>
      <c r="K39" s="22">
        <f t="array" ref="K39">IFERROR(XLOOKUP(G39&amp;H39,SAP!K:K,SAP!F:F,0,0),"")</f>
        <v>550</v>
      </c>
      <c r="L39" s="23">
        <f t="array" ref="L39">IFERROR(XLOOKUP(G39&amp;H39,SAP!K:K,SAP!G:G,0,0),"")</f>
        <v>291.5</v>
      </c>
      <c r="M39" s="24">
        <f t="shared" si="2"/>
        <v>0.53</v>
      </c>
      <c r="N39" s="25">
        <v>0.2</v>
      </c>
      <c r="O39" s="22">
        <f t="shared" si="3"/>
        <v>660</v>
      </c>
      <c r="P39" s="21">
        <v>3343208.0</v>
      </c>
      <c r="Q39" s="12">
        <v>45929.0</v>
      </c>
      <c r="R39" s="26">
        <f t="array" ref="R39">IFERROR(XLOOKUP(G39&amp;H39,SAP!K:K,SAP!H:H,0,0),"")</f>
        <v>45923</v>
      </c>
      <c r="S39" s="26">
        <f t="array" ref="S39">IFERROR(XLOOKUP(G39&amp;H39,SAP!K:K,SAP!I:I,0,0),"")</f>
        <v>46013</v>
      </c>
      <c r="T39" s="1"/>
      <c r="U39" s="12">
        <v>45996.0</v>
      </c>
      <c r="V39" s="12"/>
      <c r="W39" s="5"/>
      <c r="X39" s="19" t="str">
        <f t="shared" si="4"/>
        <v>SCHEDULE</v>
      </c>
      <c r="Y39" s="27">
        <f t="shared" si="5"/>
        <v>10.42857143</v>
      </c>
      <c r="Z39" s="19" t="str">
        <f t="shared" si="6"/>
        <v>DELAYED</v>
      </c>
      <c r="AA39" s="28">
        <f t="shared" si="7"/>
        <v>45996</v>
      </c>
      <c r="AB39" s="29" t="str">
        <f t="shared" si="8"/>
        <v>140204936410</v>
      </c>
    </row>
    <row r="40" ht="14.25" customHeight="1">
      <c r="A40" s="19" t="str">
        <f t="shared" si="1"/>
        <v>SPECIALTY</v>
      </c>
      <c r="B40" s="19" t="str">
        <f t="array" ref="B40">IFERROR(XLOOKUP(G40&amp;H40,SAP!K:K,SAP!A:A,0,0),"")</f>
        <v>BUFKOR INC-</v>
      </c>
      <c r="C40" s="20" t="str">
        <f>IFERROR(IF(OR('MASTER PLAN'!$B$2:$B$81="CHIPPENHOOK",'MASTER PLAN'!$B$2:$B$81="BUFKOR INC."),"USA",IF('MASTER PLAN'!$B$2:$B$81="SIGMAQ MEXICO S.A DE C.V","MX","SP")),"")</f>
        <v>SP</v>
      </c>
      <c r="D40" s="10" t="s">
        <v>145</v>
      </c>
      <c r="E40" s="19" t="str">
        <f>IFERROR(VLOOKUP(D40,REFERENCIAS!A:B,2,0),"")</f>
        <v>LIGIA MONRROY</v>
      </c>
      <c r="F40" s="19" t="s">
        <v>135</v>
      </c>
      <c r="G40" s="10">
        <v>1.402049237E9</v>
      </c>
      <c r="H40" s="21">
        <v>10.0</v>
      </c>
      <c r="I40" s="20">
        <f t="array" ref="I40">IFERROR(XLOOKUP(G40&amp;H40,SAP!K:K,SAP!D:D,0,0),"")</f>
        <v>10326083</v>
      </c>
      <c r="J40" s="19" t="str">
        <f t="array" ref="J40">UPPER(XLOOKUP(G40&amp;H40,SAP!K:K,SAP!E:E,0,0))</f>
        <v>BOLSA ANNABELLES 8"X4"X10"</v>
      </c>
      <c r="K40" s="22">
        <f t="array" ref="K40">IFERROR(XLOOKUP(G40&amp;H40,SAP!K:K,SAP!F:F,0,0),"")</f>
        <v>4500</v>
      </c>
      <c r="L40" s="23">
        <f t="array" ref="L40">IFERROR(XLOOKUP(G40&amp;H40,SAP!K:K,SAP!G:G,0,0),"")</f>
        <v>6300</v>
      </c>
      <c r="M40" s="24">
        <f t="shared" si="2"/>
        <v>1.4</v>
      </c>
      <c r="N40" s="25">
        <v>0.2</v>
      </c>
      <c r="O40" s="22">
        <f t="shared" si="3"/>
        <v>5400</v>
      </c>
      <c r="P40" s="21">
        <v>3349042.0</v>
      </c>
      <c r="Q40" s="12">
        <v>45957.0</v>
      </c>
      <c r="R40" s="26">
        <f t="array" ref="R40">IFERROR(XLOOKUP(G40&amp;H40,SAP!K:K,SAP!H:H,0,0),"")</f>
        <v>45901</v>
      </c>
      <c r="S40" s="26">
        <f t="array" ref="S40">IFERROR(XLOOKUP(G40&amp;H40,SAP!K:K,SAP!I:I,0,0),"")</f>
        <v>45957</v>
      </c>
      <c r="T40" s="1"/>
      <c r="U40" s="12">
        <v>45986.0</v>
      </c>
      <c r="V40" s="12"/>
      <c r="W40" s="5" t="s">
        <v>157</v>
      </c>
      <c r="X40" s="19" t="str">
        <f t="shared" si="4"/>
        <v>SCHEDULE</v>
      </c>
      <c r="Y40" s="27">
        <f t="shared" si="5"/>
        <v>12.14285714</v>
      </c>
      <c r="Z40" s="19" t="str">
        <f t="shared" si="6"/>
        <v>DELAYED</v>
      </c>
      <c r="AA40" s="28">
        <f t="shared" si="7"/>
        <v>45986</v>
      </c>
      <c r="AB40" s="29" t="str">
        <f t="shared" si="8"/>
        <v>140204923710</v>
      </c>
    </row>
    <row r="41" ht="14.25" customHeight="1">
      <c r="A41" s="19" t="str">
        <f t="shared" si="1"/>
        <v>SPECIALTY</v>
      </c>
      <c r="B41" s="19" t="str">
        <f t="array" ref="B41">IFERROR(XLOOKUP(G41&amp;H41,SAP!K:K,SAP!A:A,0,0),"")</f>
        <v>BUFKOR INC-</v>
      </c>
      <c r="C41" s="20" t="str">
        <f>IFERROR(IF(OR('MASTER PLAN'!$B$2:$B$81="CHIPPENHOOK",'MASTER PLAN'!$B$2:$B$81="BUFKOR INC."),"USA",IF('MASTER PLAN'!$B$2:$B$81="SIGMAQ MEXICO S.A DE C.V","MX","SP")),"")</f>
        <v>SP</v>
      </c>
      <c r="D41" s="10" t="s">
        <v>145</v>
      </c>
      <c r="E41" s="19" t="str">
        <f>IFERROR(VLOOKUP(D41,REFERENCIAS!A:B,2,0),"")</f>
        <v>LIGIA MONRROY</v>
      </c>
      <c r="F41" s="19" t="s">
        <v>135</v>
      </c>
      <c r="G41" s="10">
        <v>1.402049237E9</v>
      </c>
      <c r="H41" s="21">
        <v>20.0</v>
      </c>
      <c r="I41" s="20">
        <f t="array" ref="I41">IFERROR(XLOOKUP(G41&amp;H41,SAP!K:K,SAP!D:D,0,0),"")</f>
        <v>10328675</v>
      </c>
      <c r="J41" s="19" t="str">
        <f t="array" ref="J41">UPPER(XLOOKUP(G41&amp;H41,SAP!K:K,SAP!E:E,0,0))</f>
        <v>BOLSA ANNABELLES 13"X5"X10"</v>
      </c>
      <c r="K41" s="22">
        <f t="array" ref="K41">IFERROR(XLOOKUP(G41&amp;H41,SAP!K:K,SAP!F:F,0,0),"")</f>
        <v>1500</v>
      </c>
      <c r="L41" s="23">
        <f t="array" ref="L41">IFERROR(XLOOKUP(G41&amp;H41,SAP!K:K,SAP!G:G,0,0),"")</f>
        <v>4092</v>
      </c>
      <c r="M41" s="24">
        <f t="shared" si="2"/>
        <v>2.728</v>
      </c>
      <c r="N41" s="25">
        <v>0.2</v>
      </c>
      <c r="O41" s="22">
        <f t="shared" si="3"/>
        <v>1800</v>
      </c>
      <c r="P41" s="21">
        <v>3349041.0</v>
      </c>
      <c r="Q41" s="12">
        <v>45957.0</v>
      </c>
      <c r="R41" s="26">
        <f t="array" ref="R41">IFERROR(XLOOKUP(G41&amp;H41,SAP!K:K,SAP!H:H,0,0),"")</f>
        <v>45901</v>
      </c>
      <c r="S41" s="26">
        <f t="array" ref="S41">IFERROR(XLOOKUP(G41&amp;H41,SAP!K:K,SAP!I:I,0,0),"")</f>
        <v>45957</v>
      </c>
      <c r="T41" s="1"/>
      <c r="U41" s="12">
        <v>45986.0</v>
      </c>
      <c r="V41" s="12"/>
      <c r="W41" s="5" t="s">
        <v>158</v>
      </c>
      <c r="X41" s="19" t="str">
        <f t="shared" si="4"/>
        <v>SCHEDULE</v>
      </c>
      <c r="Y41" s="27">
        <f t="shared" si="5"/>
        <v>12.14285714</v>
      </c>
      <c r="Z41" s="19" t="str">
        <f t="shared" si="6"/>
        <v>DELAYED</v>
      </c>
      <c r="AA41" s="28">
        <f t="shared" si="7"/>
        <v>45986</v>
      </c>
      <c r="AB41" s="29" t="str">
        <f t="shared" si="8"/>
        <v>140204923720</v>
      </c>
    </row>
    <row r="42" ht="14.25" customHeight="1">
      <c r="A42" s="19" t="str">
        <f t="shared" si="1"/>
        <v>SPECIALTY</v>
      </c>
      <c r="B42" s="19" t="str">
        <f t="array" ref="B42">IFERROR(XLOOKUP(G42&amp;H42,SAP!K:K,SAP!A:A,0,0),"")</f>
        <v>UNIPACK, S-A- DE C-V-</v>
      </c>
      <c r="C42" s="20" t="str">
        <f>IFERROR(IF(OR('MASTER PLAN'!$B$2:$B$81="CHIPPENHOOK",'MASTER PLAN'!$B$2:$B$81="BUFKOR INC."),"USA",IF('MASTER PLAN'!$B$2:$B$81="SIGMAQ MEXICO S.A DE C.V","MX","SP")),"")</f>
        <v>SP</v>
      </c>
      <c r="D42" s="10" t="s">
        <v>159</v>
      </c>
      <c r="E42" s="19" t="str">
        <f>IFERROR(VLOOKUP(D42,REFERENCIAS!A:B,2,0),"")</f>
        <v>MELISSA MELENDEZ</v>
      </c>
      <c r="F42" s="19" t="s">
        <v>135</v>
      </c>
      <c r="G42" s="10">
        <v>1.402049448E9</v>
      </c>
      <c r="H42" s="21">
        <v>10.0</v>
      </c>
      <c r="I42" s="20">
        <f t="array" ref="I42">IFERROR(XLOOKUP(G42&amp;H42,SAP!K:K,SAP!D:D,0,0),"")</f>
        <v>10282569</v>
      </c>
      <c r="J42" s="19" t="str">
        <f t="array" ref="J42">UPPER(XLOOKUP(G42&amp;H42,SAP!K:K,SAP!E:E,0,0))</f>
        <v>BOLSA CALDANI 6-5"X2-5"X5-5"</v>
      </c>
      <c r="K42" s="22">
        <f t="array" ref="K42">IFERROR(XLOOKUP(G42&amp;H42,SAP!K:K,SAP!F:F,0,0),"")</f>
        <v>2000</v>
      </c>
      <c r="L42" s="23">
        <f t="array" ref="L42">IFERROR(XLOOKUP(G42&amp;H42,SAP!K:K,SAP!G:G,0,0),"")</f>
        <v>1326</v>
      </c>
      <c r="M42" s="24">
        <f t="shared" si="2"/>
        <v>0.663</v>
      </c>
      <c r="N42" s="25">
        <v>0.2</v>
      </c>
      <c r="O42" s="22">
        <f t="shared" si="3"/>
        <v>2400</v>
      </c>
      <c r="P42" s="21">
        <v>3350615.0</v>
      </c>
      <c r="Q42" s="12">
        <v>45965.0</v>
      </c>
      <c r="R42" s="26">
        <f t="array" ref="R42">IFERROR(XLOOKUP(G42&amp;H42,SAP!K:K,SAP!H:H,0,0),"")</f>
        <v>45944</v>
      </c>
      <c r="S42" s="26">
        <f t="array" ref="S42">IFERROR(XLOOKUP(G42&amp;H42,SAP!K:K,SAP!I:I,0,0),"")</f>
        <v>46000</v>
      </c>
      <c r="T42" s="1"/>
      <c r="U42" s="12">
        <v>46017.0</v>
      </c>
      <c r="V42" s="12"/>
      <c r="W42" s="5"/>
      <c r="X42" s="19" t="str">
        <f t="shared" si="4"/>
        <v>SCHEDULE</v>
      </c>
      <c r="Y42" s="27">
        <f t="shared" si="5"/>
        <v>10.42857143</v>
      </c>
      <c r="Z42" s="19" t="str">
        <f t="shared" si="6"/>
        <v>DELAYED</v>
      </c>
      <c r="AA42" s="28">
        <f t="shared" si="7"/>
        <v>46017</v>
      </c>
      <c r="AB42" s="29" t="str">
        <f t="shared" si="8"/>
        <v>140204944810</v>
      </c>
    </row>
    <row r="43" ht="14.25" customHeight="1">
      <c r="A43" s="19" t="str">
        <f t="shared" si="1"/>
        <v>SPECIALTY</v>
      </c>
      <c r="B43" s="19" t="str">
        <f t="array" ref="B43">IFERROR(XLOOKUP(G43&amp;H43,SAP!K:K,SAP!A:A,0,0),"")</f>
        <v>BUFKOR INC-</v>
      </c>
      <c r="C43" s="20" t="str">
        <f>IFERROR(IF(OR('MASTER PLAN'!$B$2:$B$81="CHIPPENHOOK",'MASTER PLAN'!$B$2:$B$81="BUFKOR INC."),"USA",IF('MASTER PLAN'!$B$2:$B$81="SIGMAQ MEXICO S.A DE C.V","MX","SP")),"")</f>
        <v>SP</v>
      </c>
      <c r="D43" s="10" t="s">
        <v>134</v>
      </c>
      <c r="E43" s="19" t="str">
        <f>IFERROR(VLOOKUP(D43,REFERENCIAS!A:B,2,0),"")</f>
        <v>KENEDY TOBAR</v>
      </c>
      <c r="F43" s="19" t="s">
        <v>135</v>
      </c>
      <c r="G43" s="10">
        <v>1.402049387E9</v>
      </c>
      <c r="H43" s="21">
        <v>10.0</v>
      </c>
      <c r="I43" s="20">
        <f t="array" ref="I43">IFERROR(XLOOKUP(G43&amp;H43,SAP!K:K,SAP!D:D,0,0),"")</f>
        <v>10335266</v>
      </c>
      <c r="J43" s="19" t="str">
        <f t="array" ref="J43">UPPER(XLOOKUP(G43&amp;H43,SAP!K:K,SAP!E:E,0,0))</f>
        <v>BOLSA MAUI DIVERS 10"X6"X10"</v>
      </c>
      <c r="K43" s="22">
        <f t="array" ref="K43">IFERROR(XLOOKUP(G43&amp;H43,SAP!K:K,SAP!F:F,0,0),"")</f>
        <v>10080</v>
      </c>
      <c r="L43" s="23">
        <f t="array" ref="L43">IFERROR(XLOOKUP(G43&amp;H43,SAP!K:K,SAP!G:G,0,0),"")</f>
        <v>18063.36</v>
      </c>
      <c r="M43" s="24">
        <f t="shared" si="2"/>
        <v>1.792</v>
      </c>
      <c r="N43" s="25">
        <v>0.2</v>
      </c>
      <c r="O43" s="22">
        <f t="shared" si="3"/>
        <v>12096</v>
      </c>
      <c r="P43" s="21">
        <v>3345138.0</v>
      </c>
      <c r="Q43" s="12">
        <v>45937.0</v>
      </c>
      <c r="R43" s="26">
        <f t="array" ref="R43">IFERROR(XLOOKUP(G43&amp;H43,SAP!K:K,SAP!H:H,0,0),"")</f>
        <v>45926</v>
      </c>
      <c r="S43" s="26">
        <f t="array" ref="S43">IFERROR(XLOOKUP(G43&amp;H43,SAP!K:K,SAP!I:I,0,0),"")</f>
        <v>45968</v>
      </c>
      <c r="T43" s="1"/>
      <c r="U43" s="12">
        <v>45980.0</v>
      </c>
      <c r="V43" s="12"/>
      <c r="W43" s="5"/>
      <c r="X43" s="19" t="str">
        <f t="shared" si="4"/>
        <v>SCHEDULE</v>
      </c>
      <c r="Y43" s="27">
        <f t="shared" si="5"/>
        <v>7.714285714</v>
      </c>
      <c r="Z43" s="19" t="str">
        <f t="shared" si="6"/>
        <v>DELAYED</v>
      </c>
      <c r="AA43" s="28">
        <f t="shared" si="7"/>
        <v>45980</v>
      </c>
      <c r="AB43" s="29" t="str">
        <f t="shared" si="8"/>
        <v>140204938710</v>
      </c>
    </row>
    <row r="44" ht="14.25" customHeight="1">
      <c r="A44" s="19" t="str">
        <f t="shared" si="1"/>
        <v>SPECIALTY</v>
      </c>
      <c r="B44" s="19" t="str">
        <f t="array" ref="B44">IFERROR(XLOOKUP(G44&amp;H44,SAP!K:K,SAP!A:A,0,0),"")</f>
        <v>BUFKOR INC-</v>
      </c>
      <c r="C44" s="20" t="str">
        <f>IFERROR(IF(OR('MASTER PLAN'!$B$2:$B$81="CHIPPENHOOK",'MASTER PLAN'!$B$2:$B$81="BUFKOR INC."),"USA",IF('MASTER PLAN'!$B$2:$B$81="SIGMAQ MEXICO S.A DE C.V","MX","SP")),"")</f>
        <v>SP</v>
      </c>
      <c r="D44" s="10" t="s">
        <v>160</v>
      </c>
      <c r="E44" s="19" t="str">
        <f>IFERROR(VLOOKUP(D44,REFERENCIAS!A:B,2,0),"")</f>
        <v>JAVIER MOLINA</v>
      </c>
      <c r="F44" s="19" t="s">
        <v>135</v>
      </c>
      <c r="G44" s="10">
        <v>1.402049521E9</v>
      </c>
      <c r="H44" s="21">
        <v>10.0</v>
      </c>
      <c r="I44" s="20">
        <f t="array" ref="I44">IFERROR(XLOOKUP(G44&amp;H44,SAP!K:K,SAP!D:D,0,0),"")</f>
        <v>10306051</v>
      </c>
      <c r="J44" s="19" t="str">
        <f t="array" ref="J44">UPPER(XLOOKUP(G44&amp;H44,SAP!K:K,SAP!E:E,0,0))</f>
        <v>BOLSA THE GEM LAB 6-5X3-5X6-5</v>
      </c>
      <c r="K44" s="22">
        <f t="array" ref="K44">IFERROR(XLOOKUP(G44&amp;H44,SAP!K:K,SAP!F:F,0,0),"")</f>
        <v>2500</v>
      </c>
      <c r="L44" s="23">
        <f t="array" ref="L44">IFERROR(XLOOKUP(G44&amp;H44,SAP!K:K,SAP!G:G,0,0),"")</f>
        <v>1760</v>
      </c>
      <c r="M44" s="24">
        <f t="shared" si="2"/>
        <v>0.704</v>
      </c>
      <c r="N44" s="25">
        <v>0.2</v>
      </c>
      <c r="O44" s="22">
        <f t="shared" si="3"/>
        <v>3000</v>
      </c>
      <c r="P44" s="21">
        <v>3352202.0</v>
      </c>
      <c r="Q44" s="12">
        <v>45973.0</v>
      </c>
      <c r="R44" s="26">
        <f t="array" ref="R44">IFERROR(XLOOKUP(G44&amp;H44,SAP!K:K,SAP!H:H,0,0),"")</f>
        <v>45961</v>
      </c>
      <c r="S44" s="26">
        <f t="array" ref="S44">IFERROR(XLOOKUP(G44&amp;H44,SAP!K:K,SAP!I:I,0,0),"")</f>
        <v>46008</v>
      </c>
      <c r="T44" s="1">
        <v>3.000117203E9</v>
      </c>
      <c r="U44" s="12">
        <v>46028.0</v>
      </c>
      <c r="V44" s="12"/>
      <c r="W44" s="5"/>
      <c r="X44" s="19" t="str">
        <f t="shared" si="4"/>
        <v>SCHEDULE</v>
      </c>
      <c r="Y44" s="27">
        <f t="shared" si="5"/>
        <v>9.571428571</v>
      </c>
      <c r="Z44" s="19" t="str">
        <f t="shared" si="6"/>
        <v>DELAYED</v>
      </c>
      <c r="AA44" s="28">
        <f t="shared" si="7"/>
        <v>46028</v>
      </c>
      <c r="AB44" s="29" t="str">
        <f t="shared" si="8"/>
        <v>140204952110</v>
      </c>
    </row>
    <row r="45" ht="14.25" customHeight="1">
      <c r="A45" s="19" t="str">
        <f t="shared" si="1"/>
        <v>SPECIALTY</v>
      </c>
      <c r="B45" s="19" t="str">
        <f t="array" ref="B45">IFERROR(XLOOKUP(G45&amp;H45,SAP!K:K,SAP!A:A,0,0),"")</f>
        <v>BUFKOR INC-</v>
      </c>
      <c r="C45" s="20" t="str">
        <f>IFERROR(IF(OR('MASTER PLAN'!$B$2:$B$81="CHIPPENHOOK",'MASTER PLAN'!$B$2:$B$81="BUFKOR INC."),"USA",IF('MASTER PLAN'!$B$2:$B$81="SIGMAQ MEXICO S.A DE C.V","MX","SP")),"")</f>
        <v>SP</v>
      </c>
      <c r="D45" s="10" t="s">
        <v>160</v>
      </c>
      <c r="E45" s="19" t="str">
        <f>IFERROR(VLOOKUP(D45,REFERENCIAS!A:B,2,0),"")</f>
        <v>JAVIER MOLINA</v>
      </c>
      <c r="F45" s="19" t="s">
        <v>135</v>
      </c>
      <c r="G45" s="10">
        <v>1.402049532E9</v>
      </c>
      <c r="H45" s="21">
        <v>10.0</v>
      </c>
      <c r="I45" s="20">
        <f t="array" ref="I45">IFERROR(XLOOKUP(G45&amp;H45,SAP!K:K,SAP!D:D,0,0),"")</f>
        <v>10282947</v>
      </c>
      <c r="J45" s="19" t="str">
        <f t="array" ref="J45">UPPER(XLOOKUP(G45&amp;H45,SAP!K:K,SAP!E:E,0,0))</f>
        <v>BOLSA CHARISMA JEWELERS 10"X 4"X 8"</v>
      </c>
      <c r="K45" s="22">
        <f t="array" ref="K45">IFERROR(XLOOKUP(G45&amp;H45,SAP!K:K,SAP!F:F,0,0),"")</f>
        <v>2000</v>
      </c>
      <c r="L45" s="23">
        <f t="array" ref="L45">IFERROR(XLOOKUP(G45&amp;H45,SAP!K:K,SAP!G:G,0,0),"")</f>
        <v>2400</v>
      </c>
      <c r="M45" s="24">
        <f t="shared" si="2"/>
        <v>1.2</v>
      </c>
      <c r="N45" s="25">
        <v>0.2</v>
      </c>
      <c r="O45" s="22">
        <f t="shared" si="3"/>
        <v>2400</v>
      </c>
      <c r="P45" s="21">
        <v>3352203.0</v>
      </c>
      <c r="Q45" s="12">
        <v>45973.0</v>
      </c>
      <c r="R45" s="26">
        <f t="array" ref="R45">IFERROR(XLOOKUP(G45&amp;H45,SAP!K:K,SAP!H:H,0,0),"")</f>
        <v>45966</v>
      </c>
      <c r="S45" s="26">
        <f t="array" ref="S45">IFERROR(XLOOKUP(G45&amp;H45,SAP!K:K,SAP!I:I,0,0),"")</f>
        <v>46015</v>
      </c>
      <c r="T45" s="1"/>
      <c r="U45" s="12">
        <v>46000.0</v>
      </c>
      <c r="V45" s="12"/>
      <c r="W45" s="5" t="s">
        <v>161</v>
      </c>
      <c r="X45" s="19" t="str">
        <f t="shared" si="4"/>
        <v>SCHEDULE</v>
      </c>
      <c r="Y45" s="27">
        <f t="shared" si="5"/>
        <v>4.857142857</v>
      </c>
      <c r="Z45" s="19" t="str">
        <f t="shared" si="6"/>
        <v>IN TIME</v>
      </c>
      <c r="AA45" s="28">
        <f t="shared" si="7"/>
        <v>46000</v>
      </c>
      <c r="AB45" s="29" t="str">
        <f t="shared" si="8"/>
        <v>140204953210</v>
      </c>
    </row>
    <row r="46" ht="14.25" customHeight="1">
      <c r="A46" s="19" t="str">
        <f t="shared" si="1"/>
        <v>SPECIALTY</v>
      </c>
      <c r="B46" s="19" t="str">
        <f t="array" ref="B46">IFERROR(XLOOKUP(G46&amp;H46,SAP!K:K,SAP!A:A,0,0),"")</f>
        <v>BUFKOR INC-</v>
      </c>
      <c r="C46" s="20" t="str">
        <f>IFERROR(IF(OR('MASTER PLAN'!$B$2:$B$81="CHIPPENHOOK",'MASTER PLAN'!$B$2:$B$81="BUFKOR INC."),"USA",IF('MASTER PLAN'!$B$2:$B$81="SIGMAQ MEXICO S.A DE C.V","MX","SP")),"")</f>
        <v>SP</v>
      </c>
      <c r="D46" s="10" t="s">
        <v>134</v>
      </c>
      <c r="E46" s="19" t="str">
        <f>IFERROR(VLOOKUP(D46,REFERENCIAS!A:B,2,0),"")</f>
        <v>KENEDY TOBAR</v>
      </c>
      <c r="F46" s="19" t="s">
        <v>135</v>
      </c>
      <c r="G46" s="10">
        <v>1.402049507E9</v>
      </c>
      <c r="H46" s="21">
        <v>10.0</v>
      </c>
      <c r="I46" s="20">
        <f t="array" ref="I46">IFERROR(XLOOKUP(G46&amp;H46,SAP!K:K,SAP!D:D,0,0),"")</f>
        <v>10318221</v>
      </c>
      <c r="J46" s="19" t="str">
        <f t="array" ref="J46">UPPER(XLOOKUP(G46&amp;H46,SAP!K:K,SAP!E:E,0,0))</f>
        <v>BOLSA NA HOKU 159X90X210MM</v>
      </c>
      <c r="K46" s="22">
        <f t="array" ref="K46">IFERROR(XLOOKUP(G46&amp;H46,SAP!K:K,SAP!F:F,0,0),"")</f>
        <v>20000</v>
      </c>
      <c r="L46" s="23">
        <f t="array" ref="L46">IFERROR(XLOOKUP(G46&amp;H46,SAP!K:K,SAP!G:G,0,0),"")</f>
        <v>19360</v>
      </c>
      <c r="M46" s="24">
        <f t="shared" si="2"/>
        <v>0.968</v>
      </c>
      <c r="N46" s="25">
        <v>0.2</v>
      </c>
      <c r="O46" s="22">
        <f t="shared" si="3"/>
        <v>24000</v>
      </c>
      <c r="P46" s="21">
        <v>3352204.0</v>
      </c>
      <c r="Q46" s="12">
        <v>45973.0</v>
      </c>
      <c r="R46" s="26">
        <f t="array" ref="R46">IFERROR(XLOOKUP(G46&amp;H46,SAP!K:K,SAP!H:H,0,0),"")</f>
        <v>45958</v>
      </c>
      <c r="S46" s="26">
        <f t="array" ref="S46">IFERROR(XLOOKUP(G46&amp;H46,SAP!K:K,SAP!I:I,0,0),"")</f>
        <v>45996</v>
      </c>
      <c r="T46" s="1">
        <v>3.000118004E9</v>
      </c>
      <c r="U46" s="12">
        <v>46021.0</v>
      </c>
      <c r="V46" s="12"/>
      <c r="W46" s="5" t="s">
        <v>162</v>
      </c>
      <c r="X46" s="19" t="str">
        <f t="shared" si="4"/>
        <v>SCHEDULE</v>
      </c>
      <c r="Y46" s="27">
        <f t="shared" si="5"/>
        <v>9</v>
      </c>
      <c r="Z46" s="19" t="str">
        <f t="shared" si="6"/>
        <v>DELAYED</v>
      </c>
      <c r="AA46" s="28">
        <f t="shared" si="7"/>
        <v>46021</v>
      </c>
      <c r="AB46" s="29" t="str">
        <f t="shared" si="8"/>
        <v>140204950710</v>
      </c>
    </row>
    <row r="47" ht="14.25" customHeight="1">
      <c r="A47" s="19" t="str">
        <f t="shared" si="1"/>
        <v>SPECIALTY</v>
      </c>
      <c r="B47" s="19" t="str">
        <f t="array" ref="B47">IFERROR(XLOOKUP(G47&amp;H47,SAP!K:K,SAP!A:A,0,0),"")</f>
        <v>BUFKOR INC-</v>
      </c>
      <c r="C47" s="20" t="str">
        <f>IFERROR(IF(OR('MASTER PLAN'!$B$2:$B$81="CHIPPENHOOK",'MASTER PLAN'!$B$2:$B$81="BUFKOR INC."),"USA",IF('MASTER PLAN'!$B$2:$B$81="SIGMAQ MEXICO S.A DE C.V","MX","SP")),"")</f>
        <v>SP</v>
      </c>
      <c r="D47" s="10" t="s">
        <v>134</v>
      </c>
      <c r="E47" s="19" t="str">
        <f>IFERROR(VLOOKUP(D47,REFERENCIAS!A:B,2,0),"")</f>
        <v>KENEDY TOBAR</v>
      </c>
      <c r="F47" s="19" t="s">
        <v>135</v>
      </c>
      <c r="G47" s="10">
        <v>1.402049507E9</v>
      </c>
      <c r="H47" s="21">
        <v>20.0</v>
      </c>
      <c r="I47" s="20">
        <f t="array" ref="I47">IFERROR(XLOOKUP(G47&amp;H47,SAP!K:K,SAP!D:D,0,0),"")</f>
        <v>10318223</v>
      </c>
      <c r="J47" s="19" t="str">
        <f t="array" ref="J47">UPPER(XLOOKUP(G47&amp;H47,SAP!K:K,SAP!E:E,0,0))</f>
        <v>BOLSA PEARL FACTORY 159X90X210MM</v>
      </c>
      <c r="K47" s="22">
        <f t="array" ref="K47">IFERROR(XLOOKUP(G47&amp;H47,SAP!K:K,SAP!F:F,0,0),"")</f>
        <v>20000</v>
      </c>
      <c r="L47" s="23">
        <f t="array" ref="L47">IFERROR(XLOOKUP(G47&amp;H47,SAP!K:K,SAP!G:G,0,0),"")</f>
        <v>15200</v>
      </c>
      <c r="M47" s="24">
        <f t="shared" si="2"/>
        <v>0.76</v>
      </c>
      <c r="N47" s="25">
        <v>0.2</v>
      </c>
      <c r="O47" s="22">
        <f t="shared" si="3"/>
        <v>24000</v>
      </c>
      <c r="P47" s="21">
        <v>3352205.0</v>
      </c>
      <c r="Q47" s="12">
        <v>45973.0</v>
      </c>
      <c r="R47" s="26">
        <f t="array" ref="R47">IFERROR(XLOOKUP(G47&amp;H47,SAP!K:K,SAP!H:H,0,0),"")</f>
        <v>45958</v>
      </c>
      <c r="S47" s="26">
        <f t="array" ref="S47">IFERROR(XLOOKUP(G47&amp;H47,SAP!K:K,SAP!I:I,0,0),"")</f>
        <v>45996</v>
      </c>
      <c r="T47" s="1">
        <v>3.000118004E9</v>
      </c>
      <c r="U47" s="12">
        <v>46035.0</v>
      </c>
      <c r="V47" s="12"/>
      <c r="W47" s="5" t="s">
        <v>163</v>
      </c>
      <c r="X47" s="19" t="str">
        <f t="shared" si="4"/>
        <v>SCHEDULE</v>
      </c>
      <c r="Y47" s="27">
        <f t="shared" si="5"/>
        <v>11</v>
      </c>
      <c r="Z47" s="19" t="str">
        <f t="shared" si="6"/>
        <v>DELAYED</v>
      </c>
      <c r="AA47" s="28">
        <f t="shared" si="7"/>
        <v>46035</v>
      </c>
      <c r="AB47" s="29" t="str">
        <f t="shared" si="8"/>
        <v>140204950720</v>
      </c>
    </row>
    <row r="48" ht="14.25" customHeight="1">
      <c r="A48" s="19" t="str">
        <f t="shared" si="1"/>
        <v>SPECIALTY</v>
      </c>
      <c r="B48" s="19" t="str">
        <f t="array" ref="B48">IFERROR(XLOOKUP(G48&amp;H48,SAP!K:K,SAP!A:A,0,0),"")</f>
        <v>BUFKOR INC-</v>
      </c>
      <c r="C48" s="20" t="str">
        <f>IFERROR(IF(OR('MASTER PLAN'!$B$2:$B$81="CHIPPENHOOK",'MASTER PLAN'!$B$2:$B$81="BUFKOR INC."),"USA",IF('MASTER PLAN'!$B$2:$B$81="SIGMAQ MEXICO S.A DE C.V","MX","SP")),"")</f>
        <v>SP</v>
      </c>
      <c r="D48" s="10" t="s">
        <v>134</v>
      </c>
      <c r="E48" s="19" t="str">
        <f>IFERROR(VLOOKUP(D48,REFERENCIAS!A:B,2,0),"")</f>
        <v>KENEDY TOBAR</v>
      </c>
      <c r="F48" s="19" t="s">
        <v>135</v>
      </c>
      <c r="G48" s="10">
        <v>1.402049498E9</v>
      </c>
      <c r="H48" s="21">
        <v>10.0</v>
      </c>
      <c r="I48" s="20">
        <f t="array" ref="I48">IFERROR(XLOOKUP(G48&amp;H48,SAP!K:K,SAP!D:D,0,0),"")</f>
        <v>10335262</v>
      </c>
      <c r="J48" s="19" t="str">
        <f t="array" ref="J48">UPPER(XLOOKUP(G48&amp;H48,SAP!K:K,SAP!E:E,0,0))</f>
        <v>BOLSA ALBERTS JEWELERS 6-5"X3-5"X6-5"</v>
      </c>
      <c r="K48" s="22">
        <f t="array" ref="K48">IFERROR(XLOOKUP(G48&amp;H48,SAP!K:K,SAP!F:F,0,0),"")</f>
        <v>7000</v>
      </c>
      <c r="L48" s="23">
        <f t="array" ref="L48">IFERROR(XLOOKUP(G48&amp;H48,SAP!K:K,SAP!G:G,0,0),"")</f>
        <v>6384</v>
      </c>
      <c r="M48" s="24">
        <f t="shared" si="2"/>
        <v>0.912</v>
      </c>
      <c r="N48" s="25">
        <v>0.2</v>
      </c>
      <c r="O48" s="22">
        <f t="shared" si="3"/>
        <v>8400</v>
      </c>
      <c r="P48" s="21">
        <v>3352206.0</v>
      </c>
      <c r="Q48" s="12">
        <v>45973.0</v>
      </c>
      <c r="R48" s="26">
        <f t="array" ref="R48">IFERROR(XLOOKUP(G48&amp;H48,SAP!K:K,SAP!H:H,0,0),"")</f>
        <v>45958</v>
      </c>
      <c r="S48" s="26">
        <f t="array" ref="S48">IFERROR(XLOOKUP(G48&amp;H48,SAP!K:K,SAP!I:I,0,0),"")</f>
        <v>45989</v>
      </c>
      <c r="T48" s="1">
        <v>3.000118528E9</v>
      </c>
      <c r="U48" s="12">
        <v>46017.0</v>
      </c>
      <c r="V48" s="12"/>
      <c r="W48" s="5" t="s">
        <v>150</v>
      </c>
      <c r="X48" s="19" t="str">
        <f t="shared" si="4"/>
        <v>SCHEDULE</v>
      </c>
      <c r="Y48" s="27">
        <f t="shared" si="5"/>
        <v>8.428571429</v>
      </c>
      <c r="Z48" s="19" t="str">
        <f t="shared" si="6"/>
        <v>DELAYED</v>
      </c>
      <c r="AA48" s="28">
        <f t="shared" si="7"/>
        <v>46017</v>
      </c>
      <c r="AB48" s="29" t="str">
        <f t="shared" si="8"/>
        <v>140204949810</v>
      </c>
    </row>
    <row r="49" ht="14.25" customHeight="1">
      <c r="A49" s="19" t="str">
        <f t="shared" si="1"/>
        <v>SPECIALTY</v>
      </c>
      <c r="B49" s="19" t="str">
        <f t="array" ref="B49">IFERROR(XLOOKUP(G49&amp;H49,SAP!K:K,SAP!A:A,0,0),"")</f>
        <v>BUFKOR INC-</v>
      </c>
      <c r="C49" s="20" t="str">
        <f>IFERROR(IF(OR('MASTER PLAN'!$B$2:$B$81="CHIPPENHOOK",'MASTER PLAN'!$B$2:$B$81="BUFKOR INC."),"USA",IF('MASTER PLAN'!$B$2:$B$81="SIGMAQ MEXICO S.A DE C.V","MX","SP")),"")</f>
        <v>SP</v>
      </c>
      <c r="D49" s="10" t="s">
        <v>148</v>
      </c>
      <c r="E49" s="19" t="str">
        <f>IFERROR(VLOOKUP(D49,REFERENCIAS!A:B,2,0),"")</f>
        <v>REYNALDO CARRANZA</v>
      </c>
      <c r="F49" s="19" t="s">
        <v>135</v>
      </c>
      <c r="G49" s="10">
        <v>1.40204949E9</v>
      </c>
      <c r="H49" s="21">
        <v>10.0</v>
      </c>
      <c r="I49" s="20">
        <f t="array" ref="I49">IFERROR(XLOOKUP(G49&amp;H49,SAP!K:K,SAP!D:D,0,0),"")</f>
        <v>10319404</v>
      </c>
      <c r="J49" s="19" t="str">
        <f t="array" ref="J49">UPPER(XLOOKUP(G49&amp;H49,SAP!K:K,SAP!E:E,0,0))</f>
        <v>BOLSA MAZZARESE 6-5"X3-5X6-5"</v>
      </c>
      <c r="K49" s="22">
        <f t="array" ref="K49">IFERROR(XLOOKUP(G49&amp;H49,SAP!K:K,SAP!F:F,0,0),"")</f>
        <v>1500</v>
      </c>
      <c r="L49" s="23">
        <f t="array" ref="L49">IFERROR(XLOOKUP(G49&amp;H49,SAP!K:K,SAP!G:G,0,0),"")</f>
        <v>1452</v>
      </c>
      <c r="M49" s="24">
        <f t="shared" si="2"/>
        <v>0.968</v>
      </c>
      <c r="N49" s="25">
        <v>0.2</v>
      </c>
      <c r="O49" s="22">
        <f t="shared" si="3"/>
        <v>1800</v>
      </c>
      <c r="P49" s="21">
        <v>3352207.0</v>
      </c>
      <c r="Q49" s="12">
        <v>45973.0</v>
      </c>
      <c r="R49" s="26">
        <f t="array" ref="R49">IFERROR(XLOOKUP(G49&amp;H49,SAP!K:K,SAP!H:H,0,0),"")</f>
        <v>45953</v>
      </c>
      <c r="S49" s="26">
        <f t="array" ref="S49">IFERROR(XLOOKUP(G49&amp;H49,SAP!K:K,SAP!I:I,0,0),"")</f>
        <v>45988</v>
      </c>
      <c r="T49" s="1">
        <v>3.000117701E9</v>
      </c>
      <c r="U49" s="12">
        <v>46014.0</v>
      </c>
      <c r="V49" s="12"/>
      <c r="W49" s="5" t="s">
        <v>164</v>
      </c>
      <c r="X49" s="19" t="str">
        <f t="shared" si="4"/>
        <v>SCHEDULE</v>
      </c>
      <c r="Y49" s="27">
        <f t="shared" si="5"/>
        <v>8.714285714</v>
      </c>
      <c r="Z49" s="19" t="str">
        <f t="shared" si="6"/>
        <v>DELAYED</v>
      </c>
      <c r="AA49" s="28">
        <f t="shared" si="7"/>
        <v>46014</v>
      </c>
      <c r="AB49" s="29" t="str">
        <f t="shared" si="8"/>
        <v>140204949010</v>
      </c>
    </row>
    <row r="50" ht="14.25" customHeight="1">
      <c r="A50" s="19" t="str">
        <f t="shared" si="1"/>
        <v>SPECIALTY</v>
      </c>
      <c r="B50" s="19" t="str">
        <f t="array" ref="B50">IFERROR(XLOOKUP(G50&amp;H50,SAP!K:K,SAP!A:A,0,0),"")</f>
        <v>BUFKOR INC-</v>
      </c>
      <c r="C50" s="20" t="str">
        <f>IFERROR(IF(OR('MASTER PLAN'!$B$2:$B$81="CHIPPENHOOK",'MASTER PLAN'!$B$2:$B$81="BUFKOR INC."),"USA",IF('MASTER PLAN'!$B$2:$B$81="SIGMAQ MEXICO S.A DE C.V","MX","SP")),"")</f>
        <v>SP</v>
      </c>
      <c r="D50" s="10" t="s">
        <v>139</v>
      </c>
      <c r="E50" s="19" t="str">
        <f>IFERROR(VLOOKUP(D50,REFERENCIAS!A:B,2,0),"")</f>
        <v>JAVIER MOLINA</v>
      </c>
      <c r="F50" s="19" t="s">
        <v>135</v>
      </c>
      <c r="G50" s="10">
        <v>1.40204948E9</v>
      </c>
      <c r="H50" s="21">
        <v>10.0</v>
      </c>
      <c r="I50" s="20">
        <f t="array" ref="I50">IFERROR(XLOOKUP(G50&amp;H50,SAP!K:K,SAP!D:D,0,0),"")</f>
        <v>10303818</v>
      </c>
      <c r="J50" s="19" t="str">
        <f t="array" ref="J50">UPPER(XLOOKUP(G50&amp;H50,SAP!K:K,SAP!E:E,0,0))</f>
        <v>BOLSA LEE BRANT  8"X4"X10"</v>
      </c>
      <c r="K50" s="22">
        <f t="array" ref="K50">IFERROR(XLOOKUP(G50&amp;H50,SAP!K:K,SAP!F:F,0,0),"")</f>
        <v>1000</v>
      </c>
      <c r="L50" s="23">
        <f t="array" ref="L50">IFERROR(XLOOKUP(G50&amp;H50,SAP!K:K,SAP!G:G,0,0),"")</f>
        <v>1320</v>
      </c>
      <c r="M50" s="24">
        <f t="shared" si="2"/>
        <v>1.32</v>
      </c>
      <c r="N50" s="25">
        <v>0.2</v>
      </c>
      <c r="O50" s="22">
        <f t="shared" si="3"/>
        <v>1200</v>
      </c>
      <c r="P50" s="21">
        <v>3352208.0</v>
      </c>
      <c r="Q50" s="12">
        <v>45973.0</v>
      </c>
      <c r="R50" s="26">
        <f t="array" ref="R50">IFERROR(XLOOKUP(G50&amp;H50,SAP!K:K,SAP!H:H,0,0),"")</f>
        <v>45952</v>
      </c>
      <c r="S50" s="26">
        <f t="array" ref="S50">IFERROR(XLOOKUP(G50&amp;H50,SAP!K:K,SAP!I:I,0,0),"")</f>
        <v>45994</v>
      </c>
      <c r="T50" s="1">
        <v>3.000117533E9</v>
      </c>
      <c r="U50" s="12">
        <v>46017.0</v>
      </c>
      <c r="V50" s="12"/>
      <c r="W50" s="5" t="s">
        <v>165</v>
      </c>
      <c r="X50" s="19" t="str">
        <f t="shared" si="4"/>
        <v>SCHEDULE</v>
      </c>
      <c r="Y50" s="27">
        <f t="shared" si="5"/>
        <v>9.285714286</v>
      </c>
      <c r="Z50" s="19" t="str">
        <f t="shared" si="6"/>
        <v>DELAYED</v>
      </c>
      <c r="AA50" s="28">
        <f t="shared" si="7"/>
        <v>46017</v>
      </c>
      <c r="AB50" s="29" t="str">
        <f t="shared" si="8"/>
        <v>140204948010</v>
      </c>
    </row>
    <row r="51" ht="14.25" customHeight="1">
      <c r="A51" s="19" t="str">
        <f t="shared" si="1"/>
        <v>SPECIALTY</v>
      </c>
      <c r="B51" s="19" t="str">
        <f t="array" ref="B51">IFERROR(XLOOKUP(G51&amp;H51,SAP!K:K,SAP!A:A,0,0),"")</f>
        <v>BUFKOR INC-</v>
      </c>
      <c r="C51" s="20" t="str">
        <f>IFERROR(IF(OR('MASTER PLAN'!$B$2:$B$81="CHIPPENHOOK",'MASTER PLAN'!$B$2:$B$81="BUFKOR INC."),"USA",IF('MASTER PLAN'!$B$2:$B$81="SIGMAQ MEXICO S.A DE C.V","MX","SP")),"")</f>
        <v>SP</v>
      </c>
      <c r="D51" s="10" t="s">
        <v>139</v>
      </c>
      <c r="E51" s="19" t="str">
        <f>IFERROR(VLOOKUP(D51,REFERENCIAS!A:B,2,0),"")</f>
        <v>JAVIER MOLINA</v>
      </c>
      <c r="F51" s="19" t="s">
        <v>135</v>
      </c>
      <c r="G51" s="10">
        <v>1.40204948E9</v>
      </c>
      <c r="H51" s="21">
        <v>20.0</v>
      </c>
      <c r="I51" s="20">
        <f t="array" ref="I51">IFERROR(XLOOKUP(G51&amp;H51,SAP!K:K,SAP!D:D,0,0),"")</f>
        <v>10303818</v>
      </c>
      <c r="J51" s="19" t="str">
        <f t="array" ref="J51">UPPER(XLOOKUP(G51&amp;H51,SAP!K:K,SAP!E:E,0,0))</f>
        <v>BOLSA LEE BRANT  8"X4"X10"</v>
      </c>
      <c r="K51" s="22">
        <f t="array" ref="K51">IFERROR(XLOOKUP(G51&amp;H51,SAP!K:K,SAP!F:F,0,0),"")</f>
        <v>1000</v>
      </c>
      <c r="L51" s="23">
        <f t="array" ref="L51">IFERROR(XLOOKUP(G51&amp;H51,SAP!K:K,SAP!G:G,0,0),"")</f>
        <v>1320</v>
      </c>
      <c r="M51" s="24">
        <f t="shared" si="2"/>
        <v>1.32</v>
      </c>
      <c r="N51" s="25">
        <v>0.2</v>
      </c>
      <c r="O51" s="22">
        <f t="shared" si="3"/>
        <v>1200</v>
      </c>
      <c r="P51" s="21">
        <v>3352209.0</v>
      </c>
      <c r="Q51" s="12">
        <v>45973.0</v>
      </c>
      <c r="R51" s="26">
        <f t="array" ref="R51">IFERROR(XLOOKUP(G51&amp;H51,SAP!K:K,SAP!H:H,0,0),"")</f>
        <v>45952</v>
      </c>
      <c r="S51" s="26">
        <f t="array" ref="S51">IFERROR(XLOOKUP(G51&amp;H51,SAP!K:K,SAP!I:I,0,0),"")</f>
        <v>45994</v>
      </c>
      <c r="T51" s="1">
        <v>3.000117533E9</v>
      </c>
      <c r="U51" s="12">
        <v>46017.0</v>
      </c>
      <c r="V51" s="12"/>
      <c r="W51" s="5" t="s">
        <v>165</v>
      </c>
      <c r="X51" s="19" t="str">
        <f t="shared" si="4"/>
        <v>SCHEDULE</v>
      </c>
      <c r="Y51" s="27">
        <f t="shared" si="5"/>
        <v>9.285714286</v>
      </c>
      <c r="Z51" s="19" t="str">
        <f t="shared" si="6"/>
        <v>DELAYED</v>
      </c>
      <c r="AA51" s="28">
        <f t="shared" si="7"/>
        <v>46017</v>
      </c>
      <c r="AB51" s="29" t="str">
        <f t="shared" si="8"/>
        <v>140204948020</v>
      </c>
    </row>
    <row r="52" ht="14.25" customHeight="1">
      <c r="A52" s="19" t="str">
        <f t="shared" si="1"/>
        <v>SPECIALTY</v>
      </c>
      <c r="B52" s="19" t="str">
        <f t="array" ref="B52">IFERROR(XLOOKUP(G52&amp;H52,SAP!K:K,SAP!A:A,0,0),"")</f>
        <v>BUFKOR INC-</v>
      </c>
      <c r="C52" s="20" t="str">
        <f>IFERROR(IF(OR('MASTER PLAN'!$B$2:$B$81="CHIPPENHOOK",'MASTER PLAN'!$B$2:$B$81="BUFKOR INC."),"USA",IF('MASTER PLAN'!$B$2:$B$81="SIGMAQ MEXICO S.A DE C.V","MX","SP")),"")</f>
        <v>SP</v>
      </c>
      <c r="D52" s="10" t="s">
        <v>134</v>
      </c>
      <c r="E52" s="19" t="str">
        <f>IFERROR(VLOOKUP(D52,REFERENCIAS!A:B,2,0),"")</f>
        <v>KENEDY TOBAR</v>
      </c>
      <c r="F52" s="19" t="s">
        <v>135</v>
      </c>
      <c r="G52" s="10">
        <v>1.402049475E9</v>
      </c>
      <c r="H52" s="21">
        <v>10.0</v>
      </c>
      <c r="I52" s="20">
        <f t="array" ref="I52">IFERROR(XLOOKUP(G52&amp;H52,SAP!K:K,SAP!D:D,0,0),"")</f>
        <v>10330281</v>
      </c>
      <c r="J52" s="19" t="str">
        <f t="array" ref="J52">UPPER(XLOOKUP(G52&amp;H52,SAP!K:K,SAP!E:E,0,0))</f>
        <v>BOLSA ROTTERMOND 9-75"X4"X7"</v>
      </c>
      <c r="K52" s="22">
        <f t="array" ref="K52">IFERROR(XLOOKUP(G52&amp;H52,SAP!K:K,SAP!F:F,0,0),"")</f>
        <v>1500</v>
      </c>
      <c r="L52" s="23">
        <f t="array" ref="L52">IFERROR(XLOOKUP(G52&amp;H52,SAP!K:K,SAP!G:G,0,0),"")</f>
        <v>5436</v>
      </c>
      <c r="M52" s="24">
        <f t="shared" si="2"/>
        <v>3.624</v>
      </c>
      <c r="N52" s="25">
        <v>0.2</v>
      </c>
      <c r="O52" s="22">
        <f t="shared" si="3"/>
        <v>1800</v>
      </c>
      <c r="P52" s="21">
        <v>3352210.0</v>
      </c>
      <c r="Q52" s="12">
        <v>45973.0</v>
      </c>
      <c r="R52" s="26">
        <f t="array" ref="R52">IFERROR(XLOOKUP(G52&amp;H52,SAP!K:K,SAP!H:H,0,0),"")</f>
        <v>45951</v>
      </c>
      <c r="S52" s="26">
        <f t="array" ref="S52">IFERROR(XLOOKUP(G52&amp;H52,SAP!K:K,SAP!I:I,0,0),"")</f>
        <v>45996</v>
      </c>
      <c r="T52" s="1">
        <v>3.000117533E9</v>
      </c>
      <c r="U52" s="12">
        <v>46028.0</v>
      </c>
      <c r="V52" s="12"/>
      <c r="W52" s="5" t="s">
        <v>166</v>
      </c>
      <c r="X52" s="19" t="str">
        <f t="shared" si="4"/>
        <v>SCHEDULE</v>
      </c>
      <c r="Y52" s="27">
        <f t="shared" si="5"/>
        <v>11</v>
      </c>
      <c r="Z52" s="19" t="str">
        <f t="shared" si="6"/>
        <v>DELAYED</v>
      </c>
      <c r="AA52" s="28">
        <f t="shared" si="7"/>
        <v>46028</v>
      </c>
      <c r="AB52" s="29" t="str">
        <f t="shared" si="8"/>
        <v>140204947510</v>
      </c>
    </row>
    <row r="53" ht="14.25" customHeight="1">
      <c r="A53" s="19" t="str">
        <f t="shared" si="1"/>
        <v>SPECIALTY</v>
      </c>
      <c r="B53" s="19" t="str">
        <f t="array" ref="B53">IFERROR(XLOOKUP(G53&amp;H53,SAP!K:K,SAP!A:A,0,0),"")</f>
        <v>BUFKOR INC-</v>
      </c>
      <c r="C53" s="20" t="str">
        <f>IFERROR(IF(OR('MASTER PLAN'!$B$2:$B$81="CHIPPENHOOK",'MASTER PLAN'!$B$2:$B$81="BUFKOR INC."),"USA",IF('MASTER PLAN'!$B$2:$B$81="SIGMAQ MEXICO S.A DE C.V","MX","SP")),"")</f>
        <v>SP</v>
      </c>
      <c r="D53" s="10" t="s">
        <v>134</v>
      </c>
      <c r="E53" s="19" t="str">
        <f>IFERROR(VLOOKUP(D53,REFERENCIAS!A:B,2,0),"")</f>
        <v>KENEDY TOBAR</v>
      </c>
      <c r="F53" s="19" t="s">
        <v>135</v>
      </c>
      <c r="G53" s="10">
        <v>1.402049402E9</v>
      </c>
      <c r="H53" s="21">
        <v>10.0</v>
      </c>
      <c r="I53" s="20">
        <f t="array" ref="I53">IFERROR(XLOOKUP(G53&amp;H53,SAP!K:K,SAP!D:D,0,0),"")</f>
        <v>10303149</v>
      </c>
      <c r="J53" s="19" t="str">
        <f t="array" ref="J53">UPPER(XLOOKUP(G53&amp;H53,SAP!K:K,SAP!E:E,0,0))</f>
        <v>BOLSA LAWRENCE(GOLD CASTER)10-5"X5X8-25"</v>
      </c>
      <c r="K53" s="22">
        <f t="array" ref="K53">IFERROR(XLOOKUP(G53&amp;H53,SAP!K:K,SAP!F:F,0,0),"")</f>
        <v>3000</v>
      </c>
      <c r="L53" s="23">
        <f t="array" ref="L53">IFERROR(XLOOKUP(G53&amp;H53,SAP!K:K,SAP!G:G,0,0),"")</f>
        <v>4944</v>
      </c>
      <c r="M53" s="24">
        <f t="shared" si="2"/>
        <v>1.648</v>
      </c>
      <c r="N53" s="25">
        <v>0.2</v>
      </c>
      <c r="O53" s="22">
        <f t="shared" si="3"/>
        <v>3600</v>
      </c>
      <c r="P53" s="21">
        <v>3351137.0</v>
      </c>
      <c r="Q53" s="12">
        <v>45968.0</v>
      </c>
      <c r="R53" s="26">
        <f t="array" ref="R53">IFERROR(XLOOKUP(G53&amp;H53,SAP!K:K,SAP!H:H,0,0),"")</f>
        <v>45930</v>
      </c>
      <c r="S53" s="26">
        <f t="array" ref="S53">IFERROR(XLOOKUP(G53&amp;H53,SAP!K:K,SAP!I:I,0,0),"")</f>
        <v>45968</v>
      </c>
      <c r="T53" s="1">
        <v>3.000116427E9</v>
      </c>
      <c r="U53" s="12">
        <v>46010.0</v>
      </c>
      <c r="V53" s="12"/>
      <c r="W53" s="5" t="s">
        <v>167</v>
      </c>
      <c r="X53" s="19" t="str">
        <f t="shared" si="4"/>
        <v>SCHEDULE</v>
      </c>
      <c r="Y53" s="27">
        <f t="shared" si="5"/>
        <v>11.42857143</v>
      </c>
      <c r="Z53" s="19" t="str">
        <f t="shared" si="6"/>
        <v>DELAYED</v>
      </c>
      <c r="AA53" s="28">
        <f t="shared" si="7"/>
        <v>46010</v>
      </c>
      <c r="AB53" s="29" t="str">
        <f t="shared" si="8"/>
        <v>140204940210</v>
      </c>
    </row>
    <row r="54" ht="14.25" customHeight="1">
      <c r="A54" s="19" t="str">
        <f t="shared" si="1"/>
        <v>SPECIALTY</v>
      </c>
      <c r="B54" s="19" t="str">
        <f t="array" ref="B54">IFERROR(XLOOKUP(G54&amp;H54,SAP!K:K,SAP!A:A,0,0),"")</f>
        <v>BUFKOR INC-</v>
      </c>
      <c r="C54" s="20" t="str">
        <f>IFERROR(IF(OR('MASTER PLAN'!$B$2:$B$81="CHIPPENHOOK",'MASTER PLAN'!$B$2:$B$81="BUFKOR INC."),"USA",IF('MASTER PLAN'!$B$2:$B$81="SIGMAQ MEXICO S.A DE C.V","MX","SP")),"")</f>
        <v>SP</v>
      </c>
      <c r="D54" s="10" t="s">
        <v>134</v>
      </c>
      <c r="E54" s="19" t="str">
        <f>IFERROR(VLOOKUP(D54,REFERENCIAS!A:B,2,0),"")</f>
        <v>KENEDY TOBAR</v>
      </c>
      <c r="F54" s="19" t="s">
        <v>135</v>
      </c>
      <c r="G54" s="10">
        <v>1.402049466E9</v>
      </c>
      <c r="H54" s="21">
        <v>10.0</v>
      </c>
      <c r="I54" s="20">
        <f t="array" ref="I54">IFERROR(XLOOKUP(G54&amp;H54,SAP!K:K,SAP!D:D,0,0),"")</f>
        <v>10334816</v>
      </c>
      <c r="J54" s="19" t="str">
        <f t="array" ref="J54">UPPER(XLOOKUP(G54&amp;H54,SAP!K:K,SAP!E:E,0,0))</f>
        <v>BOLSA ROGERS ENTERPRISES 10"X4"X7-75"</v>
      </c>
      <c r="K54" s="22">
        <f t="array" ref="K54">IFERROR(XLOOKUP(G54&amp;H54,SAP!K:K,SAP!F:F,0,0),"")</f>
        <v>30000</v>
      </c>
      <c r="L54" s="23">
        <f t="array" ref="L54">IFERROR(XLOOKUP(G54&amp;H54,SAP!K:K,SAP!G:G,0,0),"")</f>
        <v>31920</v>
      </c>
      <c r="M54" s="24">
        <f t="shared" si="2"/>
        <v>1.064</v>
      </c>
      <c r="N54" s="25">
        <v>0.2</v>
      </c>
      <c r="O54" s="22">
        <f t="shared" si="3"/>
        <v>36000</v>
      </c>
      <c r="P54" s="21">
        <v>3352211.0</v>
      </c>
      <c r="Q54" s="12">
        <v>45973.0</v>
      </c>
      <c r="R54" s="26">
        <f t="array" ref="R54">IFERROR(XLOOKUP(G54&amp;H54,SAP!K:K,SAP!H:H,0,0),"")</f>
        <v>45947</v>
      </c>
      <c r="S54" s="26">
        <f t="array" ref="S54">IFERROR(XLOOKUP(G54&amp;H54,SAP!K:K,SAP!I:I,0,0),"")</f>
        <v>45982</v>
      </c>
      <c r="T54" s="1">
        <v>3.000117533E9</v>
      </c>
      <c r="U54" s="12">
        <v>46038.0</v>
      </c>
      <c r="V54" s="12"/>
      <c r="W54" s="5" t="s">
        <v>168</v>
      </c>
      <c r="X54" s="19" t="str">
        <f t="shared" si="4"/>
        <v>SCHEDULE</v>
      </c>
      <c r="Y54" s="27">
        <f t="shared" si="5"/>
        <v>13</v>
      </c>
      <c r="Z54" s="19" t="str">
        <f t="shared" si="6"/>
        <v>DELAYED</v>
      </c>
      <c r="AA54" s="28">
        <f t="shared" si="7"/>
        <v>46038</v>
      </c>
      <c r="AB54" s="29" t="str">
        <f t="shared" si="8"/>
        <v>140204946610</v>
      </c>
    </row>
    <row r="55" ht="14.25" customHeight="1">
      <c r="A55" s="19" t="str">
        <f t="shared" si="1"/>
        <v>SPECIALTY</v>
      </c>
      <c r="B55" s="19" t="str">
        <f t="array" ref="B55">IFERROR(XLOOKUP(G55&amp;H55,SAP!K:K,SAP!A:A,0,0),"")</f>
        <v>BUFKOR INC-</v>
      </c>
      <c r="C55" s="20" t="str">
        <f>IFERROR(IF(OR('MASTER PLAN'!$B$2:$B$81="CHIPPENHOOK",'MASTER PLAN'!$B$2:$B$81="BUFKOR INC."),"USA",IF('MASTER PLAN'!$B$2:$B$81="SIGMAQ MEXICO S.A DE C.V","MX","SP")),"")</f>
        <v>SP</v>
      </c>
      <c r="D55" s="10" t="s">
        <v>148</v>
      </c>
      <c r="E55" s="19" t="str">
        <f>IFERROR(VLOOKUP(D55,REFERENCIAS!A:B,2,0),"")</f>
        <v>REYNALDO CARRANZA</v>
      </c>
      <c r="F55" s="19" t="s">
        <v>135</v>
      </c>
      <c r="G55" s="10">
        <v>1.402049444E9</v>
      </c>
      <c r="H55" s="21">
        <v>10.0</v>
      </c>
      <c r="I55" s="20">
        <f t="array" ref="I55">IFERROR(XLOOKUP(G55&amp;H55,SAP!K:K,SAP!D:D,0,0),"")</f>
        <v>10277464</v>
      </c>
      <c r="J55" s="19" t="str">
        <f t="array" ref="J55">UPPER(XLOOKUP(G55&amp;H55,SAP!K:K,SAP!E:E,0,0))</f>
        <v>BOLSA AMERICUS DIAMOND 6-5X3-5X6-5</v>
      </c>
      <c r="K55" s="22">
        <f t="array" ref="K55">IFERROR(XLOOKUP(G55&amp;H55,SAP!K:K,SAP!F:F,0,0),"")</f>
        <v>3000</v>
      </c>
      <c r="L55" s="23">
        <f t="array" ref="L55">IFERROR(XLOOKUP(G55&amp;H55,SAP!K:K,SAP!G:G,0,0),"")</f>
        <v>2232</v>
      </c>
      <c r="M55" s="24">
        <f t="shared" si="2"/>
        <v>0.744</v>
      </c>
      <c r="N55" s="25">
        <v>0.2</v>
      </c>
      <c r="O55" s="22">
        <f t="shared" si="3"/>
        <v>3600</v>
      </c>
      <c r="P55" s="21">
        <v>3352212.0</v>
      </c>
      <c r="Q55" s="12">
        <v>45973.0</v>
      </c>
      <c r="R55" s="26">
        <f t="array" ref="R55">IFERROR(XLOOKUP(G55&amp;H55,SAP!K:K,SAP!H:H,0,0),"")</f>
        <v>45944</v>
      </c>
      <c r="S55" s="26">
        <f t="array" ref="S55">IFERROR(XLOOKUP(G55&amp;H55,SAP!K:K,SAP!I:I,0,0),"")</f>
        <v>45972</v>
      </c>
      <c r="T55" s="1">
        <v>3.000117175E9</v>
      </c>
      <c r="U55" s="12">
        <v>46010.0</v>
      </c>
      <c r="V55" s="12"/>
      <c r="W55" s="5" t="s">
        <v>167</v>
      </c>
      <c r="X55" s="19" t="str">
        <f t="shared" si="4"/>
        <v>SCHEDULE</v>
      </c>
      <c r="Y55" s="27">
        <f t="shared" si="5"/>
        <v>9.428571429</v>
      </c>
      <c r="Z55" s="19" t="str">
        <f t="shared" si="6"/>
        <v>DELAYED</v>
      </c>
      <c r="AA55" s="28">
        <f t="shared" si="7"/>
        <v>46010</v>
      </c>
      <c r="AB55" s="29" t="str">
        <f t="shared" si="8"/>
        <v>140204944410</v>
      </c>
    </row>
    <row r="56" ht="14.25" customHeight="1">
      <c r="A56" s="19" t="str">
        <f t="shared" si="1"/>
        <v>SPECIALTY</v>
      </c>
      <c r="B56" s="19" t="str">
        <f t="array" ref="B56">IFERROR(XLOOKUP(G56&amp;H56,SAP!K:K,SAP!A:A,0,0),"")</f>
        <v>BUFKOR INC-</v>
      </c>
      <c r="C56" s="20" t="str">
        <f>IFERROR(IF(OR('MASTER PLAN'!$B$2:$B$81="CHIPPENHOOK",'MASTER PLAN'!$B$2:$B$81="BUFKOR INC."),"USA",IF('MASTER PLAN'!$B$2:$B$81="SIGMAQ MEXICO S.A DE C.V","MX","SP")),"")</f>
        <v>SP</v>
      </c>
      <c r="D56" s="10" t="s">
        <v>134</v>
      </c>
      <c r="E56" s="19" t="str">
        <f>IFERROR(VLOOKUP(D56,REFERENCIAS!A:B,2,0),"")</f>
        <v>KENEDY TOBAR</v>
      </c>
      <c r="F56" s="19" t="s">
        <v>135</v>
      </c>
      <c r="G56" s="10">
        <v>1.402049421E9</v>
      </c>
      <c r="H56" s="21">
        <v>10.0</v>
      </c>
      <c r="I56" s="20">
        <f t="array" ref="I56">IFERROR(XLOOKUP(G56&amp;H56,SAP!K:K,SAP!D:D,0,0),"")</f>
        <v>10341631</v>
      </c>
      <c r="J56" s="19" t="str">
        <f t="array" ref="J56">UPPER(XLOOKUP(G56&amp;H56,SAP!K:K,SAP!E:E,0,0))</f>
        <v>BOLSA WEDDING RING SHOP 9-75X4X6-5 IN FL</v>
      </c>
      <c r="K56" s="22">
        <f t="array" ref="K56">IFERROR(XLOOKUP(G56&amp;H56,SAP!K:K,SAP!F:F,0,0),"")</f>
        <v>2000</v>
      </c>
      <c r="L56" s="23">
        <f t="array" ref="L56">IFERROR(XLOOKUP(G56&amp;H56,SAP!K:K,SAP!G:G,0,0),"")</f>
        <v>2640</v>
      </c>
      <c r="M56" s="24">
        <f t="shared" si="2"/>
        <v>1.32</v>
      </c>
      <c r="N56" s="25">
        <v>0.2</v>
      </c>
      <c r="O56" s="22">
        <f t="shared" si="3"/>
        <v>2400</v>
      </c>
      <c r="P56" s="21">
        <v>3346928.0</v>
      </c>
      <c r="Q56" s="12">
        <v>45945.0</v>
      </c>
      <c r="R56" s="26">
        <f t="array" ref="R56">IFERROR(XLOOKUP(G56&amp;H56,SAP!K:K,SAP!H:H,0,0),"")</f>
        <v>45936</v>
      </c>
      <c r="S56" s="26">
        <f t="array" ref="S56">IFERROR(XLOOKUP(G56&amp;H56,SAP!K:K,SAP!I:I,0,0),"")</f>
        <v>46007</v>
      </c>
      <c r="T56" s="1">
        <v>3.000116806E9</v>
      </c>
      <c r="U56" s="12"/>
      <c r="V56" s="12"/>
      <c r="W56" s="5" t="s">
        <v>169</v>
      </c>
      <c r="X56" s="19" t="str">
        <f t="shared" si="4"/>
        <v>PENDING</v>
      </c>
      <c r="Y56" s="27" t="str">
        <f t="shared" si="5"/>
        <v/>
      </c>
      <c r="Z56" s="19" t="str">
        <f t="shared" si="6"/>
        <v/>
      </c>
      <c r="AA56" s="28" t="str">
        <f t="shared" si="7"/>
        <v/>
      </c>
      <c r="AB56" s="29" t="str">
        <f t="shared" si="8"/>
        <v>140204942110</v>
      </c>
    </row>
    <row r="57" ht="14.25" customHeight="1">
      <c r="A57" s="19" t="str">
        <f t="shared" si="1"/>
        <v>SPECIALTY</v>
      </c>
      <c r="B57" s="19" t="str">
        <f t="array" ref="B57">IFERROR(XLOOKUP(G57&amp;H57,SAP!K:K,SAP!A:A,0,0),"")</f>
        <v>SIGMAQ MEXICO S-A DE C-V</v>
      </c>
      <c r="C57" s="20" t="str">
        <f>IFERROR(IF(OR('MASTER PLAN'!$B$2:$B$81="CHIPPENHOOK",'MASTER PLAN'!$B$2:$B$81="BUFKOR INC."),"USA",IF('MASTER PLAN'!$B$2:$B$81="SIGMAQ MEXICO S.A DE C.V","MX","SP")),"")</f>
        <v>SP</v>
      </c>
      <c r="D57" s="10" t="s">
        <v>151</v>
      </c>
      <c r="E57" s="19" t="str">
        <f>IFERROR(VLOOKUP(D57,REFERENCIAS!A:B,2,0),"")</f>
        <v>ULISES HERNANDEZ</v>
      </c>
      <c r="F57" s="19" t="s">
        <v>135</v>
      </c>
      <c r="G57" s="10">
        <v>1.402049419E9</v>
      </c>
      <c r="H57" s="21">
        <v>10.0</v>
      </c>
      <c r="I57" s="20">
        <f t="array" ref="I57">IFERROR(XLOOKUP(G57&amp;H57,SAP!K:K,SAP!D:D,0,0),"")</f>
        <v>10341808</v>
      </c>
      <c r="J57" s="19" t="str">
        <f t="array" ref="J57">UPPER(XLOOKUP(G57&amp;H57,SAP!K:K,SAP!E:E,0,0))</f>
        <v>BOLSA COMERCIAL SORIA 10X4X8 IN FC</v>
      </c>
      <c r="K57" s="22">
        <f t="array" ref="K57">IFERROR(XLOOKUP(G57&amp;H57,SAP!K:K,SAP!F:F,0,0),"")</f>
        <v>1500</v>
      </c>
      <c r="L57" s="23">
        <f t="array" ref="L57">IFERROR(XLOOKUP(G57&amp;H57,SAP!K:K,SAP!G:G,0,0),"")</f>
        <v>2265</v>
      </c>
      <c r="M57" s="24">
        <f t="shared" si="2"/>
        <v>1.51</v>
      </c>
      <c r="N57" s="25">
        <v>0.2</v>
      </c>
      <c r="O57" s="22">
        <f t="shared" si="3"/>
        <v>1800</v>
      </c>
      <c r="P57" s="21">
        <v>3352213.0</v>
      </c>
      <c r="Q57" s="12">
        <v>45973.0</v>
      </c>
      <c r="R57" s="26">
        <f t="array" ref="R57">IFERROR(XLOOKUP(G57&amp;H57,SAP!K:K,SAP!H:H,0,0),"")</f>
        <v>45936</v>
      </c>
      <c r="S57" s="26">
        <f t="array" ref="S57">IFERROR(XLOOKUP(G57&amp;H57,SAP!K:K,SAP!I:I,0,0),"")</f>
        <v>45979</v>
      </c>
      <c r="T57" s="1">
        <v>3.000117995E9</v>
      </c>
      <c r="U57" s="12">
        <v>46014.0</v>
      </c>
      <c r="V57" s="12"/>
      <c r="W57" s="5" t="s">
        <v>170</v>
      </c>
      <c r="X57" s="19" t="str">
        <f t="shared" si="4"/>
        <v>SCHEDULE</v>
      </c>
      <c r="Y57" s="27">
        <f t="shared" si="5"/>
        <v>11.14285714</v>
      </c>
      <c r="Z57" s="19" t="str">
        <f t="shared" si="6"/>
        <v>DELAYED</v>
      </c>
      <c r="AA57" s="28">
        <f t="shared" si="7"/>
        <v>46014</v>
      </c>
      <c r="AB57" s="29" t="str">
        <f t="shared" si="8"/>
        <v>140204941910</v>
      </c>
    </row>
    <row r="58" ht="14.25" customHeight="1">
      <c r="A58" s="19" t="str">
        <f t="shared" si="1"/>
        <v>SPECIALTY</v>
      </c>
      <c r="B58" s="19" t="str">
        <f t="array" ref="B58">IFERROR(XLOOKUP(G58&amp;H58,SAP!K:K,SAP!A:A,0,0),"")</f>
        <v>SIGMAQ MEXICO S-A DE C-V</v>
      </c>
      <c r="C58" s="20" t="str">
        <f>IFERROR(IF(OR('MASTER PLAN'!$B$2:$B$81="CHIPPENHOOK",'MASTER PLAN'!$B$2:$B$81="BUFKOR INC."),"USA",IF('MASTER PLAN'!$B$2:$B$81="SIGMAQ MEXICO S.A DE C.V","MX","SP")),"")</f>
        <v>SP</v>
      </c>
      <c r="D58" s="10" t="s">
        <v>151</v>
      </c>
      <c r="E58" s="19" t="str">
        <f>IFERROR(VLOOKUP(D58,REFERENCIAS!A:B,2,0),"")</f>
        <v>ULISES HERNANDEZ</v>
      </c>
      <c r="F58" s="19" t="s">
        <v>135</v>
      </c>
      <c r="G58" s="10">
        <v>1.402049419E9</v>
      </c>
      <c r="H58" s="21">
        <v>20.0</v>
      </c>
      <c r="I58" s="20">
        <f t="array" ref="I58">IFERROR(XLOOKUP(G58&amp;H58,SAP!K:K,SAP!D:D,0,0),"")</f>
        <v>10341809</v>
      </c>
      <c r="J58" s="19" t="str">
        <f t="array" ref="J58">UPPER(XLOOKUP(G58&amp;H58,SAP!K:K,SAP!E:E,0,0))</f>
        <v>BOLSA COMERCIAL SORIA 6-5X3-5X6-5 IN FC</v>
      </c>
      <c r="K58" s="22">
        <f t="array" ref="K58">IFERROR(XLOOKUP(G58&amp;H58,SAP!K:K,SAP!F:F,0,0),"")</f>
        <v>1500</v>
      </c>
      <c r="L58" s="23">
        <f t="array" ref="L58">IFERROR(XLOOKUP(G58&amp;H58,SAP!K:K,SAP!G:G,0,0),"")</f>
        <v>1665</v>
      </c>
      <c r="M58" s="24">
        <f t="shared" si="2"/>
        <v>1.11</v>
      </c>
      <c r="N58" s="25">
        <v>0.2</v>
      </c>
      <c r="O58" s="22">
        <f t="shared" si="3"/>
        <v>1800</v>
      </c>
      <c r="P58" s="21">
        <v>3352214.0</v>
      </c>
      <c r="Q58" s="12">
        <v>45973.0</v>
      </c>
      <c r="R58" s="26">
        <f t="array" ref="R58">IFERROR(XLOOKUP(G58&amp;H58,SAP!K:K,SAP!H:H,0,0),"")</f>
        <v>45936</v>
      </c>
      <c r="S58" s="26">
        <f t="array" ref="S58">IFERROR(XLOOKUP(G58&amp;H58,SAP!K:K,SAP!I:I,0,0),"")</f>
        <v>45979</v>
      </c>
      <c r="T58" s="1">
        <v>3.000117995E9</v>
      </c>
      <c r="U58" s="12">
        <v>46014.0</v>
      </c>
      <c r="V58" s="12"/>
      <c r="W58" s="5" t="s">
        <v>170</v>
      </c>
      <c r="X58" s="19" t="str">
        <f t="shared" si="4"/>
        <v>SCHEDULE</v>
      </c>
      <c r="Y58" s="27">
        <f t="shared" si="5"/>
        <v>11.14285714</v>
      </c>
      <c r="Z58" s="19" t="str">
        <f t="shared" si="6"/>
        <v>DELAYED</v>
      </c>
      <c r="AA58" s="28">
        <f t="shared" si="7"/>
        <v>46014</v>
      </c>
      <c r="AB58" s="29" t="str">
        <f t="shared" si="8"/>
        <v>140204941920</v>
      </c>
    </row>
    <row r="59" ht="21.0" customHeight="1">
      <c r="A59" s="19" t="str">
        <f t="shared" si="1"/>
        <v>SPECIALTY</v>
      </c>
      <c r="B59" s="19" t="str">
        <f t="array" ref="B59">IFERROR(XLOOKUP(G59&amp;H59,SAP!K:K,SAP!A:A,0,0),"")</f>
        <v>UNIPACK, S-A- DE C-V-</v>
      </c>
      <c r="C59" s="20" t="str">
        <f>IFERROR(IF(OR('MASTER PLAN'!$B$2:$B$81="CHIPPENHOOK",'MASTER PLAN'!$B$2:$B$81="BUFKOR INC."),"USA",IF('MASTER PLAN'!$B$2:$B$81="SIGMAQ MEXICO S.A DE C.V","MX","SP")),"")</f>
        <v>SP</v>
      </c>
      <c r="D59" s="10" t="s">
        <v>159</v>
      </c>
      <c r="E59" s="19" t="str">
        <f>IFERROR(VLOOKUP(D59,REFERENCIAS!A:B,2,0),"")</f>
        <v>MELISSA MELENDEZ</v>
      </c>
      <c r="F59" s="19" t="s">
        <v>135</v>
      </c>
      <c r="G59" s="10">
        <v>1.402049321E9</v>
      </c>
      <c r="H59" s="21">
        <v>10.0</v>
      </c>
      <c r="I59" s="20">
        <f t="array" ref="I59">IFERROR(XLOOKUP(G59&amp;H59,SAP!K:K,SAP!D:D,0,0),"")</f>
        <v>10275715</v>
      </c>
      <c r="J59" s="19" t="str">
        <f t="array" ref="J59">UPPER(XLOOKUP(G59&amp;H59,SAP!K:K,SAP!E:E,0,0))</f>
        <v>BOLSA BRILLANTI 6-5"X3-5"X6-5"</v>
      </c>
      <c r="K59" s="22">
        <f t="array" ref="K59">IFERROR(XLOOKUP(G59&amp;H59,SAP!K:K,SAP!F:F,0,0),"")</f>
        <v>2500</v>
      </c>
      <c r="L59" s="23">
        <f t="array" ref="L59">IFERROR(XLOOKUP(G59&amp;H59,SAP!K:K,SAP!G:G,0,0),"")</f>
        <v>1925</v>
      </c>
      <c r="M59" s="24">
        <f t="shared" si="2"/>
        <v>0.77</v>
      </c>
      <c r="N59" s="25">
        <v>0.2</v>
      </c>
      <c r="O59" s="22">
        <f t="shared" si="3"/>
        <v>3000</v>
      </c>
      <c r="P59" s="21">
        <v>3350512.0</v>
      </c>
      <c r="Q59" s="12">
        <v>45965.0</v>
      </c>
      <c r="R59" s="26">
        <f t="array" ref="R59">IFERROR(XLOOKUP(G59&amp;H59,SAP!K:K,SAP!H:H,0,0),"")</f>
        <v>45965</v>
      </c>
      <c r="S59" s="26">
        <f t="array" ref="S59">IFERROR(XLOOKUP(G59&amp;H59,SAP!K:K,SAP!I:I,0,0),"")</f>
        <v>45972</v>
      </c>
      <c r="T59" s="1"/>
      <c r="U59" s="12">
        <v>45986.0</v>
      </c>
      <c r="V59" s="12"/>
      <c r="W59" s="5" t="s">
        <v>161</v>
      </c>
      <c r="X59" s="19" t="str">
        <f t="shared" si="4"/>
        <v>SCHEDULE</v>
      </c>
      <c r="Y59" s="27">
        <f t="shared" si="5"/>
        <v>3</v>
      </c>
      <c r="Z59" s="19" t="str">
        <f t="shared" si="6"/>
        <v>IN TIME</v>
      </c>
      <c r="AA59" s="28">
        <f t="shared" si="7"/>
        <v>45986</v>
      </c>
      <c r="AB59" s="29" t="str">
        <f t="shared" si="8"/>
        <v>140204932110</v>
      </c>
    </row>
    <row r="60" ht="21.0" customHeight="1">
      <c r="A60" s="19" t="str">
        <f t="shared" si="1"/>
        <v>SPECIALTY</v>
      </c>
      <c r="B60" s="19" t="str">
        <f t="array" ref="B60">IFERROR(XLOOKUP(G60&amp;H60,SAP!K:K,SAP!A:A,0,0),"")</f>
        <v>BUFKOR INC-</v>
      </c>
      <c r="C60" s="20" t="str">
        <f>IFERROR(IF(OR('MASTER PLAN'!$B$2:$B$81="CHIPPENHOOK",'MASTER PLAN'!$B$2:$B$81="BUFKOR INC."),"USA",IF('MASTER PLAN'!$B$2:$B$81="SIGMAQ MEXICO S.A DE C.V","MX","SP")),"")</f>
        <v>SP</v>
      </c>
      <c r="D60" s="10" t="s">
        <v>151</v>
      </c>
      <c r="E60" s="19" t="str">
        <f>IFERROR(VLOOKUP(D60,REFERENCIAS!A:B,2,0),"")</f>
        <v>ULISES HERNANDEZ</v>
      </c>
      <c r="F60" s="19" t="s">
        <v>135</v>
      </c>
      <c r="G60" s="10">
        <v>1.402049543E9</v>
      </c>
      <c r="H60" s="21">
        <v>10.0</v>
      </c>
      <c r="I60" s="20">
        <f t="array" ref="I60">IFERROR(XLOOKUP(G60&amp;H60,SAP!K:K,SAP!D:D,0,0),"")</f>
        <v>10293780</v>
      </c>
      <c r="J60" s="19" t="str">
        <f t="array" ref="J60">UPPER(XLOOKUP(G60&amp;H60,SAP!K:K,SAP!E:E,0,0))</f>
        <v>BOLSA J-C- JEWELERS 10"X4"X8" -BLUE</v>
      </c>
      <c r="K60" s="22">
        <f t="array" ref="K60">IFERROR(XLOOKUP(G60&amp;H60,SAP!K:K,SAP!F:F,0,0),"")</f>
        <v>1500</v>
      </c>
      <c r="L60" s="23">
        <f t="array" ref="L60">IFERROR(XLOOKUP(G60&amp;H60,SAP!K:K,SAP!G:G,0,0),"")</f>
        <v>4935</v>
      </c>
      <c r="M60" s="24">
        <f t="shared" si="2"/>
        <v>3.29</v>
      </c>
      <c r="N60" s="25">
        <v>0.2</v>
      </c>
      <c r="O60" s="22">
        <f t="shared" si="3"/>
        <v>1800</v>
      </c>
      <c r="P60" s="21">
        <v>3353931.0</v>
      </c>
      <c r="Q60" s="12">
        <v>45982.0</v>
      </c>
      <c r="R60" s="26">
        <f t="array" ref="R60">IFERROR(XLOOKUP(G60&amp;H60,SAP!K:K,SAP!H:H,0,0),"")</f>
        <v>45971</v>
      </c>
      <c r="S60" s="26">
        <f t="array" ref="S60">IFERROR(XLOOKUP(G60&amp;H60,SAP!K:K,SAP!I:I,0,0),"")</f>
        <v>46031</v>
      </c>
      <c r="T60" s="1">
        <v>3.000118927E9</v>
      </c>
      <c r="U60" s="12">
        <v>46031.0</v>
      </c>
      <c r="V60" s="12"/>
      <c r="W60" s="5" t="s">
        <v>136</v>
      </c>
      <c r="X60" s="19" t="str">
        <f t="shared" si="4"/>
        <v>SCHEDULE</v>
      </c>
      <c r="Y60" s="27">
        <f t="shared" si="5"/>
        <v>8.571428571</v>
      </c>
      <c r="Z60" s="19" t="str">
        <f t="shared" si="6"/>
        <v>DELAYED</v>
      </c>
      <c r="AA60" s="28">
        <f t="shared" si="7"/>
        <v>46031</v>
      </c>
      <c r="AB60" s="29" t="str">
        <f t="shared" si="8"/>
        <v>140204954310</v>
      </c>
    </row>
    <row r="61" ht="21.0" customHeight="1">
      <c r="A61" s="19" t="str">
        <f t="shared" si="1"/>
        <v>SPECIALTY</v>
      </c>
      <c r="B61" s="19" t="str">
        <f t="array" ref="B61">IFERROR(XLOOKUP(G61&amp;H61,SAP!K:K,SAP!A:A,0,0),"")</f>
        <v>HOLISTIC SKIN GUATEMALA</v>
      </c>
      <c r="C61" s="20" t="str">
        <f>IFERROR(IF(OR('MASTER PLAN'!$B$2:$B$81="CHIPPENHOOK",'MASTER PLAN'!$B$2:$B$81="BUFKOR INC."),"USA",IF('MASTER PLAN'!$B$2:$B$81="SIGMAQ MEXICO S.A DE C.V","MX","SP")),"")</f>
        <v>SP</v>
      </c>
      <c r="D61" s="10" t="s">
        <v>151</v>
      </c>
      <c r="E61" s="19" t="str">
        <f>IFERROR(VLOOKUP(D61,REFERENCIAS!A:B,2,0),"")</f>
        <v>ULISES HERNANDEZ</v>
      </c>
      <c r="F61" s="19" t="s">
        <v>171</v>
      </c>
      <c r="G61" s="10">
        <v>1.402048469E9</v>
      </c>
      <c r="H61" s="21">
        <v>20.0</v>
      </c>
      <c r="I61" s="20">
        <f t="array" ref="I61">IFERROR(XLOOKUP(G61&amp;H61,SAP!K:K,SAP!D:D,0,0),"")</f>
        <v>10338264</v>
      </c>
      <c r="J61" s="19" t="str">
        <f t="array" ref="J61">UPPER(XLOOKUP(G61&amp;H61,SAP!K:K,SAP!E:E,0,0))</f>
        <v>SKINCARE OIL - HIGH END BOX</v>
      </c>
      <c r="K61" s="22">
        <f t="array" ref="K61">IFERROR(XLOOKUP(G61&amp;H61,SAP!K:K,SAP!F:F,0,0),"")</f>
        <v>2500</v>
      </c>
      <c r="L61" s="23">
        <f t="array" ref="L61">IFERROR(XLOOKUP(G61&amp;H61,SAP!K:K,SAP!G:G,0,0),"")</f>
        <v>21425</v>
      </c>
      <c r="M61" s="24">
        <f t="shared" si="2"/>
        <v>8.57</v>
      </c>
      <c r="N61" s="25">
        <v>0.3</v>
      </c>
      <c r="O61" s="22">
        <f t="shared" si="3"/>
        <v>3250</v>
      </c>
      <c r="P61" s="21">
        <v>3310969.0</v>
      </c>
      <c r="Q61" s="12">
        <v>45835.0</v>
      </c>
      <c r="R61" s="26">
        <f t="array" ref="R61">IFERROR(XLOOKUP(G61&amp;H61,SAP!K:K,SAP!H:H,0,0),"")</f>
        <v>45723</v>
      </c>
      <c r="S61" s="26">
        <f t="array" ref="S61">IFERROR(XLOOKUP(G61&amp;H61,SAP!K:K,SAP!I:I,0,0),"")</f>
        <v>46022</v>
      </c>
      <c r="T61" s="1"/>
      <c r="U61" s="12"/>
      <c r="V61" s="12"/>
      <c r="W61" s="5" t="s">
        <v>172</v>
      </c>
      <c r="X61" s="19" t="str">
        <f t="shared" si="4"/>
        <v>PENDING</v>
      </c>
      <c r="Y61" s="27" t="str">
        <f t="shared" si="5"/>
        <v/>
      </c>
      <c r="Z61" s="19" t="str">
        <f t="shared" si="6"/>
        <v/>
      </c>
      <c r="AA61" s="28" t="str">
        <f t="shared" si="7"/>
        <v/>
      </c>
      <c r="AB61" s="29" t="str">
        <f t="shared" si="8"/>
        <v>140204846920</v>
      </c>
    </row>
    <row r="62" ht="21.0" customHeight="1">
      <c r="A62" s="19" t="str">
        <f t="shared" si="1"/>
        <v>SPECIALTY</v>
      </c>
      <c r="B62" s="19" t="str">
        <f t="array" ref="B62">IFERROR(XLOOKUP(G62&amp;H62,SAP!K:K,SAP!A:A,0,0),"")</f>
        <v>BUFKOR INC-</v>
      </c>
      <c r="C62" s="20" t="str">
        <f>IFERROR(IF(OR('MASTER PLAN'!$B$2:$B$81="CHIPPENHOOK",'MASTER PLAN'!$B$2:$B$81="BUFKOR INC."),"USA",IF('MASTER PLAN'!$B$2:$B$81="SIGMAQ MEXICO S.A DE C.V","MX","SP")),"")</f>
        <v>SP</v>
      </c>
      <c r="D62" s="10" t="s">
        <v>173</v>
      </c>
      <c r="E62" s="19" t="str">
        <f>IFERROR(VLOOKUP(D62,REFERENCIAS!A:B,2,0),"")</f>
        <v>SANTOS CORNEJO</v>
      </c>
      <c r="F62" s="19" t="s">
        <v>171</v>
      </c>
      <c r="G62" s="10">
        <v>1.402049268E9</v>
      </c>
      <c r="H62" s="21">
        <v>10.0</v>
      </c>
      <c r="I62" s="20">
        <f t="array" ref="I62">IFERROR(XLOOKUP(G62&amp;H62,SAP!K:K,SAP!D:D,0,0),"")</f>
        <v>10334969</v>
      </c>
      <c r="J62" s="19" t="str">
        <f t="array" ref="J62">UPPER(XLOOKUP(G62&amp;H62,SAP!K:K,SAP!E:E,0,0))</f>
        <v>ESTUCHE FLEMING 4 CHOCOLATES 2024</v>
      </c>
      <c r="K62" s="22">
        <f t="array" ref="K62">IFERROR(XLOOKUP(G62&amp;H62,SAP!K:K,SAP!F:F,0,0),"")</f>
        <v>35700</v>
      </c>
      <c r="L62" s="23">
        <f t="array" ref="L62">IFERROR(XLOOKUP(G62&amp;H62,SAP!K:K,SAP!G:G,0,0),"")</f>
        <v>22134</v>
      </c>
      <c r="M62" s="24">
        <f t="shared" si="2"/>
        <v>0.62</v>
      </c>
      <c r="N62" s="25">
        <v>0.1</v>
      </c>
      <c r="O62" s="22">
        <f t="shared" si="3"/>
        <v>39270</v>
      </c>
      <c r="P62" s="21">
        <v>3349170.0</v>
      </c>
      <c r="Q62" s="12">
        <v>45958.0</v>
      </c>
      <c r="R62" s="26">
        <f t="array" ref="R62">IFERROR(XLOOKUP(G62&amp;H62,SAP!K:K,SAP!H:H,0,0),"")</f>
        <v>45905</v>
      </c>
      <c r="S62" s="26">
        <f t="array" ref="S62">IFERROR(XLOOKUP(G62&amp;H62,SAP!K:K,SAP!I:I,0,0),"")</f>
        <v>45905</v>
      </c>
      <c r="T62" s="1"/>
      <c r="U62" s="12"/>
      <c r="V62" s="12"/>
      <c r="W62" s="5" t="s">
        <v>174</v>
      </c>
      <c r="X62" s="19" t="str">
        <f t="shared" si="4"/>
        <v>PENDING</v>
      </c>
      <c r="Y62" s="27" t="str">
        <f t="shared" si="5"/>
        <v/>
      </c>
      <c r="Z62" s="19" t="str">
        <f t="shared" si="6"/>
        <v/>
      </c>
      <c r="AA62" s="28" t="str">
        <f t="shared" si="7"/>
        <v/>
      </c>
      <c r="AB62" s="29" t="str">
        <f t="shared" si="8"/>
        <v>140204926810</v>
      </c>
    </row>
    <row r="63" ht="21.0" customHeight="1">
      <c r="A63" s="19" t="str">
        <f t="shared" si="1"/>
        <v>SPECIALTY</v>
      </c>
      <c r="B63" s="19" t="str">
        <f t="array" ref="B63">IFERROR(XLOOKUP(G63&amp;H63,SAP!K:K,SAP!A:A,0,0),"")</f>
        <v>BUFKOR INC-</v>
      </c>
      <c r="C63" s="20" t="str">
        <f>IFERROR(IF(OR('MASTER PLAN'!$B$2:$B$81="CHIPPENHOOK",'MASTER PLAN'!$B$2:$B$81="BUFKOR INC."),"USA",IF('MASTER PLAN'!$B$2:$B$81="SIGMAQ MEXICO S.A DE C.V","MX","SP")),"")</f>
        <v>SP</v>
      </c>
      <c r="D63" s="10" t="s">
        <v>173</v>
      </c>
      <c r="E63" s="19" t="str">
        <f>IFERROR(VLOOKUP(D63,REFERENCIAS!A:B,2,0),"")</f>
        <v>SANTOS CORNEJO</v>
      </c>
      <c r="F63" s="19" t="s">
        <v>171</v>
      </c>
      <c r="G63" s="10">
        <v>1.402049269E9</v>
      </c>
      <c r="H63" s="21">
        <v>10.0</v>
      </c>
      <c r="I63" s="20">
        <f t="array" ref="I63">IFERROR(XLOOKUP(G63&amp;H63,SAP!K:K,SAP!D:D,0,0),"")</f>
        <v>10334969</v>
      </c>
      <c r="J63" s="19" t="str">
        <f t="array" ref="J63">UPPER(XLOOKUP(G63&amp;H63,SAP!K:K,SAP!E:E,0,0))</f>
        <v>ESTUCHE FLEMING 4 CHOCOLATES 2024</v>
      </c>
      <c r="K63" s="22">
        <f t="array" ref="K63">IFERROR(XLOOKUP(G63&amp;H63,SAP!K:K,SAP!F:F,0,0),"")</f>
        <v>35700</v>
      </c>
      <c r="L63" s="23">
        <f t="array" ref="L63">IFERROR(XLOOKUP(G63&amp;H63,SAP!K:K,SAP!G:G,0,0),"")</f>
        <v>22134</v>
      </c>
      <c r="M63" s="24">
        <f t="shared" si="2"/>
        <v>0.62</v>
      </c>
      <c r="N63" s="25">
        <v>0.1</v>
      </c>
      <c r="O63" s="22">
        <f t="shared" si="3"/>
        <v>39270</v>
      </c>
      <c r="P63" s="21">
        <v>3349177.0</v>
      </c>
      <c r="Q63" s="12">
        <v>45961.0</v>
      </c>
      <c r="R63" s="26">
        <f t="array" ref="R63">IFERROR(XLOOKUP(G63&amp;H63,SAP!K:K,SAP!H:H,0,0),"")</f>
        <v>45905</v>
      </c>
      <c r="S63" s="26">
        <f t="array" ref="S63">IFERROR(XLOOKUP(G63&amp;H63,SAP!K:K,SAP!I:I,0,0),"")</f>
        <v>45905</v>
      </c>
      <c r="T63" s="1"/>
      <c r="U63" s="12"/>
      <c r="V63" s="12"/>
      <c r="W63" s="5" t="s">
        <v>175</v>
      </c>
      <c r="X63" s="19" t="str">
        <f t="shared" si="4"/>
        <v>PENDING</v>
      </c>
      <c r="Y63" s="27" t="str">
        <f t="shared" si="5"/>
        <v/>
      </c>
      <c r="Z63" s="19" t="str">
        <f t="shared" si="6"/>
        <v/>
      </c>
      <c r="AA63" s="28" t="str">
        <f t="shared" si="7"/>
        <v/>
      </c>
      <c r="AB63" s="29" t="str">
        <f t="shared" si="8"/>
        <v>140204926910</v>
      </c>
    </row>
    <row r="64" ht="21.0" customHeight="1">
      <c r="A64" s="19" t="str">
        <f t="shared" si="1"/>
        <v>SPECIALTY</v>
      </c>
      <c r="B64" s="19" t="str">
        <f t="array" ref="B64">IFERROR(XLOOKUP(G64&amp;H64,SAP!K:K,SAP!A:A,0,0),"")</f>
        <v>PATRON SPIRITS MEXICO S-A DE C-V</v>
      </c>
      <c r="C64" s="20" t="str">
        <f>IFERROR(IF(OR('MASTER PLAN'!$B$2:$B$81="CHIPPENHOOK",'MASTER PLAN'!$B$2:$B$81="BUFKOR INC."),"USA",IF('MASTER PLAN'!$B$2:$B$81="SIGMAQ MEXICO S.A DE C.V","MX","SP")),"")</f>
        <v>SP</v>
      </c>
      <c r="D64" s="10" t="s">
        <v>176</v>
      </c>
      <c r="E64" s="19" t="str">
        <f>IFERROR(VLOOKUP(D64,REFERENCIAS!A:B,2,0),"")</f>
        <v>TATIANA IRAHETA</v>
      </c>
      <c r="F64" s="19" t="s">
        <v>171</v>
      </c>
      <c r="G64" s="10">
        <v>1.402049378E9</v>
      </c>
      <c r="H64" s="21">
        <v>20.0</v>
      </c>
      <c r="I64" s="20">
        <f t="array" ref="I64">IFERROR(XLOOKUP(G64&amp;H64,SAP!K:K,SAP!D:D,0,0),"")</f>
        <v>10333392</v>
      </c>
      <c r="J64" s="19" t="str">
        <f t="array" ref="J64">UPPER(XLOOKUP(G64&amp;H64,SAP!K:K,SAP!E:E,0,0))</f>
        <v>8151050296_IB 1X70 EL ALTO GEX 700ML</v>
      </c>
      <c r="K64" s="22">
        <f t="array" ref="K64">IFERROR(XLOOKUP(G64&amp;H64,SAP!K:K,SAP!F:F,0,0),"")</f>
        <v>772</v>
      </c>
      <c r="L64" s="23">
        <f t="array" ref="L64">IFERROR(XLOOKUP(G64&amp;H64,SAP!K:K,SAP!G:G,0,0),"")</f>
        <v>11024.16</v>
      </c>
      <c r="M64" s="24">
        <f t="shared" si="2"/>
        <v>14.28</v>
      </c>
      <c r="N64" s="25">
        <v>0.2</v>
      </c>
      <c r="O64" s="22">
        <f t="shared" si="3"/>
        <v>926.4</v>
      </c>
      <c r="P64" s="21">
        <v>3342767.0</v>
      </c>
      <c r="Q64" s="12">
        <v>45926.0</v>
      </c>
      <c r="R64" s="26">
        <f t="array" ref="R64">IFERROR(XLOOKUP(G64&amp;H64,SAP!K:K,SAP!H:H,0,0),"")</f>
        <v>45925</v>
      </c>
      <c r="S64" s="26">
        <f t="array" ref="S64">IFERROR(XLOOKUP(G64&amp;H64,SAP!K:K,SAP!I:I,0,0),"")</f>
        <v>45982</v>
      </c>
      <c r="T64" s="1"/>
      <c r="U64" s="12"/>
      <c r="V64" s="12"/>
      <c r="W64" s="5" t="s">
        <v>177</v>
      </c>
      <c r="X64" s="19" t="str">
        <f t="shared" si="4"/>
        <v>PENDING</v>
      </c>
      <c r="Y64" s="27" t="str">
        <f t="shared" si="5"/>
        <v/>
      </c>
      <c r="Z64" s="19" t="str">
        <f t="shared" si="6"/>
        <v/>
      </c>
      <c r="AA64" s="28" t="str">
        <f t="shared" si="7"/>
        <v/>
      </c>
      <c r="AB64" s="29" t="str">
        <f t="shared" si="8"/>
        <v>140204937820</v>
      </c>
    </row>
    <row r="65" ht="21.0" customHeight="1">
      <c r="A65" s="19" t="str">
        <f t="shared" si="1"/>
        <v>SPECIALTY</v>
      </c>
      <c r="B65" s="19" t="str">
        <f t="array" ref="B65">IFERROR(XLOOKUP(G65&amp;H65,SAP!K:K,SAP!A:A,0,0),"")</f>
        <v>PATRON SPIRITS MEXICO S-A DE C-V</v>
      </c>
      <c r="C65" s="20" t="str">
        <f>IFERROR(IF(OR('MASTER PLAN'!$B$2:$B$81="CHIPPENHOOK",'MASTER PLAN'!$B$2:$B$81="BUFKOR INC."),"USA",IF('MASTER PLAN'!$B$2:$B$81="SIGMAQ MEXICO S.A DE C.V","MX","SP")),"")</f>
        <v>SP</v>
      </c>
      <c r="D65" s="10" t="s">
        <v>176</v>
      </c>
      <c r="E65" s="19" t="str">
        <f>IFERROR(VLOOKUP(D65,REFERENCIAS!A:B,2,0),"")</f>
        <v>TATIANA IRAHETA</v>
      </c>
      <c r="F65" s="19" t="s">
        <v>171</v>
      </c>
      <c r="G65" s="10">
        <v>1.40204944E9</v>
      </c>
      <c r="H65" s="21">
        <v>10.0</v>
      </c>
      <c r="I65" s="20">
        <f t="array" ref="I65">IFERROR(XLOOKUP(G65&amp;H65,SAP!K:K,SAP!D:D,0,0),"")</f>
        <v>10334743</v>
      </c>
      <c r="J65" s="19" t="str">
        <f t="array" ref="J65">UPPER(XLOOKUP(G65&amp;H65,SAP!K:K,SAP!E:E,0,0))</f>
        <v>8151043729_IB 1X75 EL ALTO USA 750ML</v>
      </c>
      <c r="K65" s="22">
        <f t="array" ref="K65">IFERROR(XLOOKUP(G65&amp;H65,SAP!K:K,SAP!F:F,0,0),"")</f>
        <v>10100</v>
      </c>
      <c r="L65" s="23">
        <f t="array" ref="L65">IFERROR(XLOOKUP(G65&amp;H65,SAP!K:K,SAP!G:G,0,0),"")</f>
        <v>144228</v>
      </c>
      <c r="M65" s="24">
        <f t="shared" si="2"/>
        <v>14.28</v>
      </c>
      <c r="N65" s="25">
        <v>0.2</v>
      </c>
      <c r="O65" s="22">
        <f t="shared" si="3"/>
        <v>12120</v>
      </c>
      <c r="P65" s="21">
        <v>3350117.0</v>
      </c>
      <c r="Q65" s="12">
        <v>45964.0</v>
      </c>
      <c r="R65" s="26">
        <f t="array" ref="R65">IFERROR(XLOOKUP(G65&amp;H65,SAP!K:K,SAP!H:H,0,0),"")</f>
        <v>45943</v>
      </c>
      <c r="S65" s="26">
        <f t="array" ref="S65">IFERROR(XLOOKUP(G65&amp;H65,SAP!K:K,SAP!I:I,0,0),"")</f>
        <v>46021</v>
      </c>
      <c r="T65" s="1"/>
      <c r="U65" s="12"/>
      <c r="V65" s="12"/>
      <c r="W65" s="5" t="s">
        <v>178</v>
      </c>
      <c r="X65" s="19" t="str">
        <f t="shared" si="4"/>
        <v>PENDING</v>
      </c>
      <c r="Y65" s="27" t="str">
        <f t="shared" si="5"/>
        <v/>
      </c>
      <c r="Z65" s="19" t="str">
        <f t="shared" si="6"/>
        <v/>
      </c>
      <c r="AA65" s="28" t="str">
        <f t="shared" si="7"/>
        <v/>
      </c>
      <c r="AB65" s="29" t="str">
        <f t="shared" si="8"/>
        <v>140204944010</v>
      </c>
    </row>
    <row r="66" ht="21.0" customHeight="1">
      <c r="A66" s="19" t="str">
        <f t="shared" si="1"/>
        <v>SPECIALTY</v>
      </c>
      <c r="B66" s="19" t="str">
        <f t="array" ref="B66">IFERROR(XLOOKUP(G66&amp;H66,SAP!K:K,SAP!A:A,0,0),"")</f>
        <v>UNIPACK, S-A- DE C-V-</v>
      </c>
      <c r="C66" s="20" t="str">
        <f>IFERROR(IF(OR('MASTER PLAN'!$B$2:$B$81="CHIPPENHOOK",'MASTER PLAN'!$B$2:$B$81="BUFKOR INC."),"USA",IF('MASTER PLAN'!$B$2:$B$81="SIGMAQ MEXICO S.A DE C.V","MX","SP")),"")</f>
        <v>SP</v>
      </c>
      <c r="D66" s="10" t="s">
        <v>159</v>
      </c>
      <c r="E66" s="19" t="str">
        <f>IFERROR(VLOOKUP(D66,REFERENCIAS!A:B,2,0),"")</f>
        <v>MELISSA MELENDEZ</v>
      </c>
      <c r="F66" s="19" t="s">
        <v>171</v>
      </c>
      <c r="G66" s="10">
        <v>1.402049443E9</v>
      </c>
      <c r="H66" s="21">
        <v>10.0</v>
      </c>
      <c r="I66" s="20">
        <f t="array" ref="I66">IFERROR(XLOOKUP(G66&amp;H66,SAP!K:K,SAP!D:D,0,0),"")</f>
        <v>10308826</v>
      </c>
      <c r="J66" s="19" t="str">
        <f t="array" ref="J66">UPPER(XLOOKUP(G66&amp;H66,SAP!K:K,SAP!E:E,0,0))</f>
        <v>ESTUCHE THE COFFEE CUP</v>
      </c>
      <c r="K66" s="22">
        <f t="array" ref="K66">IFERROR(XLOOKUP(G66&amp;H66,SAP!K:K,SAP!F:F,0,0),"")</f>
        <v>1000</v>
      </c>
      <c r="L66" s="23">
        <f t="array" ref="L66">IFERROR(XLOOKUP(G66&amp;H66,SAP!K:K,SAP!G:G,0,0),"")</f>
        <v>4620</v>
      </c>
      <c r="M66" s="24">
        <f t="shared" si="2"/>
        <v>4.62</v>
      </c>
      <c r="N66" s="25">
        <v>0.3</v>
      </c>
      <c r="O66" s="22">
        <f t="shared" si="3"/>
        <v>1300</v>
      </c>
      <c r="P66" s="21">
        <v>3353481.0</v>
      </c>
      <c r="Q66" s="12">
        <v>45980.0</v>
      </c>
      <c r="R66" s="26">
        <f t="array" ref="R66">IFERROR(XLOOKUP(G66&amp;H66,SAP!K:K,SAP!H:H,0,0),"")</f>
        <v>45943</v>
      </c>
      <c r="S66" s="26">
        <f t="array" ref="S66">IFERROR(XLOOKUP(G66&amp;H66,SAP!K:K,SAP!I:I,0,0),"")</f>
        <v>45992</v>
      </c>
      <c r="T66" s="1"/>
      <c r="U66" s="12"/>
      <c r="V66" s="12"/>
      <c r="W66" s="5" t="s">
        <v>179</v>
      </c>
      <c r="X66" s="19" t="str">
        <f t="shared" si="4"/>
        <v>PENDING</v>
      </c>
      <c r="Y66" s="27" t="str">
        <f t="shared" si="5"/>
        <v/>
      </c>
      <c r="Z66" s="19" t="str">
        <f t="shared" si="6"/>
        <v/>
      </c>
      <c r="AA66" s="28" t="str">
        <f t="shared" si="7"/>
        <v/>
      </c>
      <c r="AB66" s="29" t="str">
        <f t="shared" si="8"/>
        <v>140204944310</v>
      </c>
    </row>
    <row r="67" ht="21.0" customHeight="1">
      <c r="A67" s="19" t="str">
        <f t="shared" si="1"/>
        <v>SPECIALTY</v>
      </c>
      <c r="B67" s="19" t="str">
        <f t="array" ref="B67">IFERROR(XLOOKUP(G67&amp;H67,SAP!K:K,SAP!A:A,0,0),"")</f>
        <v>ANEJOS DE ALTURA, S-A-</v>
      </c>
      <c r="C67" s="20" t="str">
        <f>IFERROR(IF(OR('MASTER PLAN'!$B$2:$B$81="CHIPPENHOOK",'MASTER PLAN'!$B$2:$B$81="BUFKOR INC."),"USA",IF('MASTER PLAN'!$B$2:$B$81="SIGMAQ MEXICO S.A DE C.V","MX","SP")),"")</f>
        <v>SP</v>
      </c>
      <c r="D67" s="10" t="s">
        <v>180</v>
      </c>
      <c r="E67" s="19" t="str">
        <f>IFERROR(VLOOKUP(D67,REFERENCIAS!A:B,2,0),"")</f>
        <v>TATIANA IRAHETA</v>
      </c>
      <c r="F67" s="19" t="s">
        <v>171</v>
      </c>
      <c r="G67" s="10">
        <v>1.402049459E9</v>
      </c>
      <c r="H67" s="21">
        <v>10.0</v>
      </c>
      <c r="I67" s="20">
        <f t="array" ref="I67">IFERROR(XLOOKUP(G67&amp;H67,SAP!K:K,SAP!D:D,0,0),"")</f>
        <v>10341894</v>
      </c>
      <c r="J67" s="19" t="str">
        <f t="array" ref="J67">UPPER(XLOOKUP(G67&amp;H67,SAP!K:K,SAP!E:E,0,0))</f>
        <v>16007447 IBC RZC XO 750ML USA RED B/B</v>
      </c>
      <c r="K67" s="22">
        <f t="array" ref="K67">IFERROR(XLOOKUP(G67&amp;H67,SAP!K:K,SAP!F:F,0,0),"")</f>
        <v>6000</v>
      </c>
      <c r="L67" s="23">
        <f t="array" ref="L67">IFERROR(XLOOKUP(G67&amp;H67,SAP!K:K,SAP!G:G,0,0),"")</f>
        <v>55200</v>
      </c>
      <c r="M67" s="24">
        <f t="shared" si="2"/>
        <v>9.2</v>
      </c>
      <c r="N67" s="25">
        <v>0.25</v>
      </c>
      <c r="O67" s="22">
        <f t="shared" si="3"/>
        <v>7500</v>
      </c>
      <c r="P67" s="21">
        <v>3348429.0</v>
      </c>
      <c r="Q67" s="12">
        <v>45953.0</v>
      </c>
      <c r="R67" s="26">
        <f t="array" ref="R67">IFERROR(XLOOKUP(G67&amp;H67,SAP!K:K,SAP!H:H,0,0),"")</f>
        <v>45946</v>
      </c>
      <c r="S67" s="26">
        <f t="array" ref="S67">IFERROR(XLOOKUP(G67&amp;H67,SAP!K:K,SAP!I:I,0,0),"")</f>
        <v>45996</v>
      </c>
      <c r="T67" s="1"/>
      <c r="U67" s="12"/>
      <c r="V67" s="12"/>
      <c r="W67" s="5" t="s">
        <v>181</v>
      </c>
      <c r="X67" s="19" t="str">
        <f t="shared" si="4"/>
        <v>PENDING</v>
      </c>
      <c r="Y67" s="27" t="str">
        <f t="shared" si="5"/>
        <v/>
      </c>
      <c r="Z67" s="19" t="str">
        <f t="shared" si="6"/>
        <v/>
      </c>
      <c r="AA67" s="28" t="str">
        <f t="shared" si="7"/>
        <v/>
      </c>
      <c r="AB67" s="29" t="str">
        <f t="shared" si="8"/>
        <v>140204945910</v>
      </c>
    </row>
    <row r="68" ht="21.0" customHeight="1">
      <c r="A68" s="19" t="str">
        <f t="shared" si="1"/>
        <v>SPECIALTY</v>
      </c>
      <c r="B68" s="19" t="str">
        <f t="array" ref="B68">IFERROR(XLOOKUP(G68&amp;H68,SAP!K:K,SAP!A:A,0,0),"")</f>
        <v>ANEJOS DE ALTURA, S-A-</v>
      </c>
      <c r="C68" s="20" t="str">
        <f>IFERROR(IF(OR('MASTER PLAN'!$B$2:$B$81="CHIPPENHOOK",'MASTER PLAN'!$B$2:$B$81="BUFKOR INC."),"USA",IF('MASTER PLAN'!$B$2:$B$81="SIGMAQ MEXICO S.A DE C.V","MX","SP")),"")</f>
        <v>SP</v>
      </c>
      <c r="D68" s="10" t="s">
        <v>180</v>
      </c>
      <c r="E68" s="19" t="str">
        <f>IFERROR(VLOOKUP(D68,REFERENCIAS!A:B,2,0),"")</f>
        <v>TATIANA IRAHETA</v>
      </c>
      <c r="F68" s="19" t="s">
        <v>171</v>
      </c>
      <c r="G68" s="10">
        <v>1.402049512E9</v>
      </c>
      <c r="H68" s="21">
        <v>10.0</v>
      </c>
      <c r="I68" s="20">
        <f t="array" ref="I68">IFERROR(XLOOKUP(G68&amp;H68,SAP!K:K,SAP!D:D,0,0),"")</f>
        <v>10341894</v>
      </c>
      <c r="J68" s="19" t="str">
        <f t="array" ref="J68">UPPER(XLOOKUP(G68&amp;H68,SAP!K:K,SAP!E:E,0,0))</f>
        <v>16007447 IBC RZC XO 750ML USA RED B/B</v>
      </c>
      <c r="K68" s="22">
        <f t="array" ref="K68">IFERROR(XLOOKUP(G68&amp;H68,SAP!K:K,SAP!F:F,0,0),"")</f>
        <v>6000</v>
      </c>
      <c r="L68" s="23">
        <f t="array" ref="L68">IFERROR(XLOOKUP(G68&amp;H68,SAP!K:K,SAP!G:G,0,0),"")</f>
        <v>55200</v>
      </c>
      <c r="M68" s="24">
        <f t="shared" si="2"/>
        <v>9.2</v>
      </c>
      <c r="N68" s="25">
        <v>0.25</v>
      </c>
      <c r="O68" s="22">
        <f t="shared" si="3"/>
        <v>7500</v>
      </c>
      <c r="P68" s="21">
        <v>3350399.0</v>
      </c>
      <c r="Q68" s="12">
        <v>45965.0</v>
      </c>
      <c r="R68" s="26">
        <f t="array" ref="R68">IFERROR(XLOOKUP(G68&amp;H68,SAP!K:K,SAP!H:H,0,0),"")</f>
        <v>45959</v>
      </c>
      <c r="S68" s="26">
        <f t="array" ref="S68">IFERROR(XLOOKUP(G68&amp;H68,SAP!K:K,SAP!I:I,0,0),"")</f>
        <v>45959</v>
      </c>
      <c r="T68" s="1"/>
      <c r="U68" s="12"/>
      <c r="V68" s="12"/>
      <c r="W68" s="5" t="s">
        <v>182</v>
      </c>
      <c r="X68" s="19" t="str">
        <f t="shared" si="4"/>
        <v>PENDING</v>
      </c>
      <c r="Y68" s="27" t="str">
        <f t="shared" si="5"/>
        <v/>
      </c>
      <c r="Z68" s="19" t="str">
        <f t="shared" si="6"/>
        <v/>
      </c>
      <c r="AA68" s="28" t="str">
        <f t="shared" si="7"/>
        <v/>
      </c>
      <c r="AB68" s="29" t="str">
        <f t="shared" si="8"/>
        <v>140204951210</v>
      </c>
    </row>
    <row r="69" ht="21.0" customHeight="1">
      <c r="A69" s="19" t="str">
        <f t="shared" si="1"/>
        <v>SPECIALTY</v>
      </c>
      <c r="B69" s="19" t="str">
        <f t="array" ref="B69">IFERROR(XLOOKUP(G69&amp;H69,SAP!K:K,SAP!A:A,0,0),"")</f>
        <v>UNIPACK, S-A- DE C-V-</v>
      </c>
      <c r="C69" s="20" t="str">
        <f>IFERROR(IF(OR('MASTER PLAN'!$B$2:$B$81="CHIPPENHOOK",'MASTER PLAN'!$B$2:$B$81="BUFKOR INC."),"USA",IF('MASTER PLAN'!$B$2:$B$81="SIGMAQ MEXICO S.A DE C.V","MX","SP")),"")</f>
        <v>SP</v>
      </c>
      <c r="D69" s="10" t="s">
        <v>159</v>
      </c>
      <c r="E69" s="19" t="str">
        <f>IFERROR(VLOOKUP(D69,REFERENCIAS!A:B,2,0),"")</f>
        <v>MELISSA MELENDEZ</v>
      </c>
      <c r="F69" s="19" t="s">
        <v>171</v>
      </c>
      <c r="G69" s="10">
        <v>1.402049569E9</v>
      </c>
      <c r="H69" s="21">
        <v>10.0</v>
      </c>
      <c r="I69" s="20">
        <f t="array" ref="I69">IFERROR(XLOOKUP(G69&amp;H69,SAP!K:K,SAP!D:D,0,0),"")</f>
        <v>10342542</v>
      </c>
      <c r="J69" s="19" t="str">
        <f t="array" ref="J69">UPPER(XLOOKUP(G69&amp;H69,SAP!K:K,SAP!E:E,0,0))</f>
        <v>ESTUCHE RON DE AUTOR</v>
      </c>
      <c r="K69" s="22">
        <f t="array" ref="K69">IFERROR(XLOOKUP(G69&amp;H69,SAP!K:K,SAP!F:F,0,0),"")</f>
        <v>7500</v>
      </c>
      <c r="L69" s="23">
        <f t="array" ref="L69">IFERROR(XLOOKUP(G69&amp;H69,SAP!K:K,SAP!G:G,0,0),"")</f>
        <v>29700</v>
      </c>
      <c r="M69" s="24">
        <f t="shared" si="2"/>
        <v>3.96</v>
      </c>
      <c r="N69" s="25">
        <v>0.2</v>
      </c>
      <c r="O69" s="22">
        <f t="shared" si="3"/>
        <v>9000</v>
      </c>
      <c r="P69" s="21">
        <v>3353845.0</v>
      </c>
      <c r="Q69" s="12">
        <v>45981.0</v>
      </c>
      <c r="R69" s="26">
        <f t="array" ref="R69">IFERROR(XLOOKUP(G69&amp;H69,SAP!K:K,SAP!H:H,0,0),"")</f>
        <v>45978</v>
      </c>
      <c r="S69" s="26">
        <f t="array" ref="S69">IFERROR(XLOOKUP(G69&amp;H69,SAP!K:K,SAP!I:I,0,0),"")</f>
        <v>45999</v>
      </c>
      <c r="T69" s="1"/>
      <c r="U69" s="12"/>
      <c r="V69" s="12"/>
      <c r="W69" s="5" t="s">
        <v>183</v>
      </c>
      <c r="X69" s="19" t="str">
        <f t="shared" si="4"/>
        <v>PENDING</v>
      </c>
      <c r="Y69" s="27" t="str">
        <f t="shared" si="5"/>
        <v/>
      </c>
      <c r="Z69" s="19" t="str">
        <f t="shared" si="6"/>
        <v/>
      </c>
      <c r="AA69" s="28" t="str">
        <f t="shared" si="7"/>
        <v/>
      </c>
      <c r="AB69" s="29" t="str">
        <f t="shared" si="8"/>
        <v>140204956910</v>
      </c>
    </row>
    <row r="70" ht="21.0" customHeight="1">
      <c r="A70" s="19" t="str">
        <f t="shared" si="1"/>
        <v>SPECIALTY</v>
      </c>
      <c r="B70" s="19" t="str">
        <f t="array" ref="B70">IFERROR(XLOOKUP(G70&amp;H70,SAP!K:K,SAP!A:A,0,0),"")</f>
        <v>ANEJOS DE ALTURA, S.A.</v>
      </c>
      <c r="C70" s="20" t="str">
        <f>IFERROR(IF(OR('MASTER PLAN'!$B$2:$B$81="CHIPPENHOOK",'MASTER PLAN'!$B$2:$B$81="BUFKOR INC."),"USA",IF('MASTER PLAN'!$B$2:$B$81="SIGMAQ MEXICO S.A DE C.V","MX","SP")),"")</f>
        <v>SP</v>
      </c>
      <c r="D70" s="10" t="s">
        <v>180</v>
      </c>
      <c r="E70" s="19" t="str">
        <f>IFERROR(VLOOKUP(D70,REFERENCIAS!A:B,2,0),"")</f>
        <v>TATIANA IRAHETA</v>
      </c>
      <c r="F70" s="19" t="s">
        <v>184</v>
      </c>
      <c r="G70" s="10">
        <v>1.402049552E9</v>
      </c>
      <c r="H70" s="21">
        <v>10.0</v>
      </c>
      <c r="I70" s="20">
        <f t="array" ref="I70">IFERROR(XLOOKUP(G70&amp;H70,SAP!K:K,SAP!D:D,0,0),"")</f>
        <v>10318295</v>
      </c>
      <c r="J70" s="19" t="str">
        <f t="array" ref="J70">UPPER(XLOOKUP(G70&amp;H70,SAP!K:K,SAP!E:E,0,0))</f>
        <v>16006285 CANISTER RZC EN 750ML USA 2021</v>
      </c>
      <c r="K70" s="22">
        <f t="array" ref="K70">IFERROR(XLOOKUP(G70&amp;H70,SAP!K:K,SAP!F:F,0,0),"")</f>
        <v>5904</v>
      </c>
      <c r="L70" s="23">
        <f t="array" ref="L70">IFERROR(XLOOKUP(G70&amp;H70,SAP!K:K,SAP!G:G,0,0),"")</f>
        <v>15645.6</v>
      </c>
      <c r="M70" s="24">
        <f t="shared" si="2"/>
        <v>2.65</v>
      </c>
      <c r="N70" s="25">
        <v>0.25</v>
      </c>
      <c r="O70" s="22">
        <f t="shared" si="3"/>
        <v>7380</v>
      </c>
      <c r="P70" s="21">
        <v>3354235.0</v>
      </c>
      <c r="Q70" s="12">
        <v>45985.0</v>
      </c>
      <c r="R70" s="26">
        <f t="array" ref="R70">IFERROR(XLOOKUP(G70&amp;H70,SAP!K:K,SAP!H:H,0,0),"")</f>
        <v>45974</v>
      </c>
      <c r="S70" s="26">
        <f t="array" ref="S70">IFERROR(XLOOKUP(G70&amp;H70,SAP!K:K,SAP!I:I,0,0),"")</f>
        <v>46001</v>
      </c>
      <c r="T70" s="1"/>
      <c r="U70" s="12"/>
      <c r="V70" s="12"/>
      <c r="W70" s="5" t="s">
        <v>185</v>
      </c>
      <c r="X70" s="19" t="str">
        <f t="shared" si="4"/>
        <v>PENDING</v>
      </c>
      <c r="Y70" s="27" t="str">
        <f t="shared" si="5"/>
        <v/>
      </c>
      <c r="Z70" s="19" t="str">
        <f t="shared" si="6"/>
        <v/>
      </c>
      <c r="AA70" s="28" t="str">
        <f t="shared" si="7"/>
        <v/>
      </c>
      <c r="AB70" s="29" t="str">
        <f t="shared" si="8"/>
        <v>140204955210</v>
      </c>
    </row>
    <row r="71" ht="21.0" customHeight="1">
      <c r="A71" s="19" t="str">
        <f t="shared" si="1"/>
        <v>SPECIALTY</v>
      </c>
      <c r="B71" s="19" t="str">
        <f t="array" ref="B71">IFERROR(XLOOKUP(G71&amp;H71,SAP!K:K,SAP!A:A,0,0),"")</f>
        <v>JOYERIA GARZON, S.A.</v>
      </c>
      <c r="C71" s="20" t="str">
        <f>IFERROR(IF(OR('MASTER PLAN'!$B$2:$B$81="CHIPPENHOOK",'MASTER PLAN'!$B$2:$B$81="BUFKOR INC."),"USA",IF('MASTER PLAN'!$B$2:$B$81="SIGMAQ MEXICO S.A DE C.V","MX","SP")),"")</f>
        <v>SP</v>
      </c>
      <c r="D71" s="10" t="s">
        <v>159</v>
      </c>
      <c r="E71" s="19" t="str">
        <f>IFERROR(VLOOKUP(D71,REFERENCIAS!A:B,2,0),"")</f>
        <v>MELISSA MELENDEZ</v>
      </c>
      <c r="F71" s="19" t="s">
        <v>135</v>
      </c>
      <c r="G71" s="10">
        <v>1.402049559E9</v>
      </c>
      <c r="H71" s="21">
        <v>10.0</v>
      </c>
      <c r="I71" s="20">
        <f t="array" ref="I71">IFERROR(XLOOKUP(G71&amp;H71,SAP!K:K,SAP!D:D,0,0),"")</f>
        <v>10331823</v>
      </c>
      <c r="J71" s="19" t="str">
        <f t="array" ref="J71">UPPER(XLOOKUP(G71&amp;H71,SAP!K:K,SAP!E:E,0,0))</f>
        <v>BOLSA JOYERIA GARZON 4.75"X3.5"X6"</v>
      </c>
      <c r="K71" s="22">
        <f t="array" ref="K71">IFERROR(XLOOKUP(G71&amp;H71,SAP!K:K,SAP!F:F,0,0),"")</f>
        <v>2000</v>
      </c>
      <c r="L71" s="23">
        <f t="array" ref="L71">IFERROR(XLOOKUP(G71&amp;H71,SAP!K:K,SAP!G:G,0,0),"")</f>
        <v>1600</v>
      </c>
      <c r="M71" s="24">
        <f t="shared" si="2"/>
        <v>0.8</v>
      </c>
      <c r="N71" s="25">
        <v>0.2</v>
      </c>
      <c r="O71" s="22">
        <f t="shared" si="3"/>
        <v>2400</v>
      </c>
      <c r="P71" s="21">
        <v>3354980.0</v>
      </c>
      <c r="Q71" s="12">
        <v>45987.0</v>
      </c>
      <c r="R71" s="26">
        <f t="array" ref="R71">IFERROR(XLOOKUP(G71&amp;H71,SAP!K:K,SAP!H:H,0,0),"")</f>
        <v>45975</v>
      </c>
      <c r="S71" s="26">
        <f t="array" ref="S71">IFERROR(XLOOKUP(G71&amp;H71,SAP!K:K,SAP!I:I,0,0),"")</f>
        <v>46036</v>
      </c>
      <c r="T71" s="1"/>
      <c r="U71" s="12">
        <v>46036.0</v>
      </c>
      <c r="V71" s="12"/>
      <c r="W71" s="5" t="s">
        <v>161</v>
      </c>
      <c r="X71" s="19" t="str">
        <f t="shared" si="4"/>
        <v>SCHEDULE</v>
      </c>
      <c r="Y71" s="27">
        <f t="shared" si="5"/>
        <v>8.714285714</v>
      </c>
      <c r="Z71" s="19" t="str">
        <f t="shared" si="6"/>
        <v>DELAYED</v>
      </c>
      <c r="AA71" s="28">
        <f t="shared" si="7"/>
        <v>46036</v>
      </c>
      <c r="AB71" s="29" t="str">
        <f t="shared" si="8"/>
        <v>140204955910</v>
      </c>
    </row>
    <row r="72" ht="21.0" customHeight="1">
      <c r="A72" s="19" t="str">
        <f t="shared" si="1"/>
        <v>BUFKOR</v>
      </c>
      <c r="B72" s="19" t="str">
        <f t="array" ref="B72">IFERROR(XLOOKUP(G72&amp;H72,SAP!K:K,SAP!A:A,0,0),"")</f>
        <v>BUFKOR INC.</v>
      </c>
      <c r="C72" s="20" t="str">
        <f>IFERROR(IF(OR('MASTER PLAN'!$B$2:$B$81="CHIPPENHOOK",'MASTER PLAN'!$B$2:$B$81="BUFKOR INC."),"USA",IF('MASTER PLAN'!$B$2:$B$81="SIGMAQ MEXICO S.A DE C.V","MX","SP")),"")</f>
        <v>USA</v>
      </c>
      <c r="D72" s="10" t="s">
        <v>148</v>
      </c>
      <c r="E72" s="19" t="str">
        <f>IFERROR(VLOOKUP(D72,REFERENCIAS!A:B,2,0),"")</f>
        <v>REYNALDO CARRANZA</v>
      </c>
      <c r="F72" s="19" t="s">
        <v>135</v>
      </c>
      <c r="G72" s="10">
        <v>1.402049562E9</v>
      </c>
      <c r="H72" s="21">
        <v>10.0</v>
      </c>
      <c r="I72" s="20">
        <f t="array" ref="I72">IFERROR(XLOOKUP(G72&amp;H72,SAP!K:K,SAP!D:D,0,0),"")</f>
        <v>10321977</v>
      </c>
      <c r="J72" s="19" t="str">
        <f t="array" ref="J72">UPPER(XLOOKUP(G72&amp;H72,SAP!K:K,SAP!E:E,0,0))</f>
        <v>BOLSA NAIFEH JEWELRY 8"X4"X10"</v>
      </c>
      <c r="K72" s="22">
        <f t="array" ref="K72">IFERROR(XLOOKUP(G72&amp;H72,SAP!K:K,SAP!F:F,0,0),"")</f>
        <v>2000</v>
      </c>
      <c r="L72" s="23">
        <f t="array" ref="L72">IFERROR(XLOOKUP(G72&amp;H72,SAP!K:K,SAP!G:G,0,0),"")</f>
        <v>2016</v>
      </c>
      <c r="M72" s="24">
        <f t="shared" si="2"/>
        <v>1.008</v>
      </c>
      <c r="N72" s="25">
        <v>0.2</v>
      </c>
      <c r="O72" s="22">
        <f t="shared" si="3"/>
        <v>2400</v>
      </c>
      <c r="P72" s="21">
        <v>3354981.0</v>
      </c>
      <c r="Q72" s="12">
        <v>45987.0</v>
      </c>
      <c r="R72" s="26">
        <f t="array" ref="R72">IFERROR(XLOOKUP(G72&amp;H72,SAP!K:K,SAP!H:H,0,0),"")</f>
        <v>45975</v>
      </c>
      <c r="S72" s="26">
        <f t="array" ref="S72">IFERROR(XLOOKUP(G72&amp;H72,SAP!K:K,SAP!I:I,0,0),"")</f>
        <v>46010</v>
      </c>
      <c r="T72" s="1"/>
      <c r="U72" s="12"/>
      <c r="V72" s="12"/>
      <c r="W72" s="5"/>
      <c r="X72" s="19" t="str">
        <f t="shared" si="4"/>
        <v>PENDING</v>
      </c>
      <c r="Y72" s="27" t="str">
        <f t="shared" si="5"/>
        <v/>
      </c>
      <c r="Z72" s="19" t="str">
        <f t="shared" si="6"/>
        <v/>
      </c>
      <c r="AA72" s="28" t="str">
        <f t="shared" si="7"/>
        <v/>
      </c>
      <c r="AB72" s="29" t="str">
        <f t="shared" si="8"/>
        <v>140204956210</v>
      </c>
    </row>
    <row r="73" ht="21.0" customHeight="1">
      <c r="A73" s="19" t="str">
        <f t="shared" si="1"/>
        <v>BUFKOR</v>
      </c>
      <c r="B73" s="19" t="str">
        <f t="array" ref="B73">IFERROR(XLOOKUP(G73&amp;H73,SAP!K:K,SAP!A:A,0,0),"")</f>
        <v>BUFKOR INC.</v>
      </c>
      <c r="C73" s="20" t="str">
        <f>IFERROR(IF(OR('MASTER PLAN'!$B$2:$B$81="CHIPPENHOOK",'MASTER PLAN'!$B$2:$B$81="BUFKOR INC."),"USA",IF('MASTER PLAN'!$B$2:$B$81="SIGMAQ MEXICO S.A DE C.V","MX","SP")),"")</f>
        <v>USA</v>
      </c>
      <c r="D73" s="10" t="s">
        <v>148</v>
      </c>
      <c r="E73" s="19" t="str">
        <f>IFERROR(VLOOKUP(D73,REFERENCIAS!A:B,2,0),"")</f>
        <v>REYNALDO CARRANZA</v>
      </c>
      <c r="F73" s="19" t="s">
        <v>135</v>
      </c>
      <c r="G73" s="10">
        <v>1.402049563E9</v>
      </c>
      <c r="H73" s="21">
        <v>10.0</v>
      </c>
      <c r="I73" s="20">
        <f t="array" ref="I73">IFERROR(XLOOKUP(G73&amp;H73,SAP!K:K,SAP!D:D,0,0),"")</f>
        <v>10282640</v>
      </c>
      <c r="J73" s="19" t="str">
        <f t="array" ref="J73">UPPER(XLOOKUP(G73&amp;H73,SAP!K:K,SAP!E:E,0,0))</f>
        <v>BLS JEWELRY DESIGN CENTER 6.5"X3.5"X6.5"</v>
      </c>
      <c r="K73" s="22">
        <f t="array" ref="K73">IFERROR(XLOOKUP(G73&amp;H73,SAP!K:K,SAP!F:F,0,0),"")</f>
        <v>3000</v>
      </c>
      <c r="L73" s="23">
        <f t="array" ref="L73">IFERROR(XLOOKUP(G73&amp;H73,SAP!K:K,SAP!G:G,0,0),"")</f>
        <v>2208</v>
      </c>
      <c r="M73" s="24">
        <f t="shared" si="2"/>
        <v>0.736</v>
      </c>
      <c r="N73" s="25">
        <v>0.2</v>
      </c>
      <c r="O73" s="22">
        <f t="shared" si="3"/>
        <v>3600</v>
      </c>
      <c r="P73" s="21">
        <v>3354982.0</v>
      </c>
      <c r="Q73" s="12">
        <v>45987.0</v>
      </c>
      <c r="R73" s="26">
        <f t="array" ref="R73">IFERROR(XLOOKUP(G73&amp;H73,SAP!K:K,SAP!H:H,0,0),"")</f>
        <v>45975</v>
      </c>
      <c r="S73" s="26">
        <f t="array" ref="S73">IFERROR(XLOOKUP(G73&amp;H73,SAP!K:K,SAP!I:I,0,0),"")</f>
        <v>46010</v>
      </c>
      <c r="T73" s="1"/>
      <c r="U73" s="12"/>
      <c r="V73" s="12"/>
      <c r="W73" s="5"/>
      <c r="X73" s="19" t="str">
        <f t="shared" si="4"/>
        <v>PENDING</v>
      </c>
      <c r="Y73" s="27" t="str">
        <f t="shared" si="5"/>
        <v/>
      </c>
      <c r="Z73" s="19" t="str">
        <f t="shared" si="6"/>
        <v/>
      </c>
      <c r="AA73" s="28" t="str">
        <f t="shared" si="7"/>
        <v/>
      </c>
      <c r="AB73" s="29" t="str">
        <f t="shared" si="8"/>
        <v>140204956310</v>
      </c>
    </row>
    <row r="74" ht="21.0" customHeight="1">
      <c r="A74" s="19" t="str">
        <f t="shared" si="1"/>
        <v>BUFKOR</v>
      </c>
      <c r="B74" s="19" t="str">
        <f t="array" ref="B74">IFERROR(XLOOKUP(G74&amp;H74,SAP!K:K,SAP!A:A,0,0),"")</f>
        <v>BUFKOR INC.</v>
      </c>
      <c r="C74" s="20" t="str">
        <f>IFERROR(IF(OR('MASTER PLAN'!$B$2:$B$81="CHIPPENHOOK",'MASTER PLAN'!$B$2:$B$81="BUFKOR INC."),"USA",IF('MASTER PLAN'!$B$2:$B$81="SIGMAQ MEXICO S.A DE C.V","MX","SP")),"")</f>
        <v>USA</v>
      </c>
      <c r="D74" s="10" t="s">
        <v>148</v>
      </c>
      <c r="E74" s="19" t="str">
        <f>IFERROR(VLOOKUP(D74,REFERENCIAS!A:B,2,0),"")</f>
        <v>REYNALDO CARRANZA</v>
      </c>
      <c r="F74" s="19" t="s">
        <v>135</v>
      </c>
      <c r="G74" s="10">
        <v>1.402049563E9</v>
      </c>
      <c r="H74" s="21">
        <v>20.0</v>
      </c>
      <c r="I74" s="20">
        <f t="array" ref="I74">IFERROR(XLOOKUP(G74&amp;H74,SAP!K:K,SAP!D:D,0,0),"")</f>
        <v>10282657</v>
      </c>
      <c r="J74" s="19" t="str">
        <f t="array" ref="J74">UPPER(XLOOKUP(G74&amp;H74,SAP!K:K,SAP!E:E,0,0))</f>
        <v>BLS JEWELRY DESIGN CENTER 12"X5"X9"</v>
      </c>
      <c r="K74" s="22">
        <f t="array" ref="K74">IFERROR(XLOOKUP(G74&amp;H74,SAP!K:K,SAP!F:F,0,0),"")</f>
        <v>1500</v>
      </c>
      <c r="L74" s="23">
        <f t="array" ref="L74">IFERROR(XLOOKUP(G74&amp;H74,SAP!K:K,SAP!G:G,0,0),"")</f>
        <v>2772</v>
      </c>
      <c r="M74" s="24">
        <f t="shared" si="2"/>
        <v>1.848</v>
      </c>
      <c r="N74" s="25">
        <v>0.2</v>
      </c>
      <c r="O74" s="22">
        <f t="shared" si="3"/>
        <v>1800</v>
      </c>
      <c r="P74" s="21">
        <v>3354983.0</v>
      </c>
      <c r="Q74" s="12">
        <v>45987.0</v>
      </c>
      <c r="R74" s="26">
        <f t="array" ref="R74">IFERROR(XLOOKUP(G74&amp;H74,SAP!K:K,SAP!H:H,0,0),"")</f>
        <v>45975</v>
      </c>
      <c r="S74" s="26">
        <f t="array" ref="S74">IFERROR(XLOOKUP(G74&amp;H74,SAP!K:K,SAP!I:I,0,0),"")</f>
        <v>46010</v>
      </c>
      <c r="T74" s="1"/>
      <c r="U74" s="12"/>
      <c r="V74" s="12"/>
      <c r="W74" s="5"/>
      <c r="X74" s="19" t="str">
        <f t="shared" si="4"/>
        <v>PENDING</v>
      </c>
      <c r="Y74" s="27" t="str">
        <f t="shared" si="5"/>
        <v/>
      </c>
      <c r="Z74" s="19" t="str">
        <f t="shared" si="6"/>
        <v/>
      </c>
      <c r="AA74" s="28" t="str">
        <f t="shared" si="7"/>
        <v/>
      </c>
      <c r="AB74" s="29" t="str">
        <f t="shared" si="8"/>
        <v>140204956320</v>
      </c>
    </row>
    <row r="75" ht="21.0" customHeight="1">
      <c r="A75" s="19" t="str">
        <f t="shared" si="1"/>
        <v>SPECIALTY</v>
      </c>
      <c r="B75" s="19" t="str">
        <f t="array" ref="B75">IFERROR(XLOOKUP(G75&amp;H75,SAP!K:K,SAP!A:A,0,0),"")</f>
        <v>Sileo Timeless Jewelry SAS</v>
      </c>
      <c r="C75" s="20" t="str">
        <f>IFERROR(IF(OR('MASTER PLAN'!$B$2:$B$81="CHIPPENHOOK",'MASTER PLAN'!$B$2:$B$81="BUFKOR INC."),"USA",IF('MASTER PLAN'!$B$2:$B$81="SIGMAQ MEXICO S.A DE C.V","MX","SP")),"")</f>
        <v>SP</v>
      </c>
      <c r="D75" s="10" t="s">
        <v>151</v>
      </c>
      <c r="E75" s="19" t="str">
        <f>IFERROR(VLOOKUP(D75,REFERENCIAS!A:B,2,0),"")</f>
        <v>ULISES HERNANDEZ</v>
      </c>
      <c r="F75" s="19" t="s">
        <v>135</v>
      </c>
      <c r="G75" s="10">
        <v>1.402049568E9</v>
      </c>
      <c r="H75" s="21">
        <v>10.0</v>
      </c>
      <c r="I75" s="20">
        <f t="array" ref="I75">IFERROR(XLOOKUP(G75&amp;H75,SAP!K:K,SAP!D:D,0,0),"")</f>
        <v>10342401</v>
      </c>
      <c r="J75" s="19" t="str">
        <f t="array" ref="J75">UPPER(XLOOKUP(G75&amp;H75,SAP!K:K,SAP!E:E,0,0))</f>
        <v>BOLSA SILEO 10X4X8 IN</v>
      </c>
      <c r="K75" s="22">
        <f t="array" ref="K75">IFERROR(XLOOKUP(G75&amp;H75,SAP!K:K,SAP!F:F,0,0),"")</f>
        <v>2000</v>
      </c>
      <c r="L75" s="23">
        <f t="array" ref="L75">IFERROR(XLOOKUP(G75&amp;H75,SAP!K:K,SAP!G:G,0,0),"")</f>
        <v>3960</v>
      </c>
      <c r="M75" s="24">
        <f t="shared" si="2"/>
        <v>1.98</v>
      </c>
      <c r="N75" s="25">
        <v>0.2</v>
      </c>
      <c r="O75" s="22">
        <f t="shared" si="3"/>
        <v>2400</v>
      </c>
      <c r="P75" s="21">
        <v>3354984.0</v>
      </c>
      <c r="Q75" s="12">
        <v>45987.0</v>
      </c>
      <c r="R75" s="26">
        <f t="array" ref="R75">IFERROR(XLOOKUP(G75&amp;H75,SAP!K:K,SAP!H:H,0,0),"")</f>
        <v>45978</v>
      </c>
      <c r="S75" s="26">
        <f t="array" ref="S75">IFERROR(XLOOKUP(G75&amp;H75,SAP!K:K,SAP!I:I,0,0),"")</f>
        <v>46038</v>
      </c>
      <c r="T75" s="1">
        <v>3.00011927E9</v>
      </c>
      <c r="U75" s="12">
        <v>46036.0</v>
      </c>
      <c r="V75" s="12"/>
      <c r="W75" s="5" t="s">
        <v>186</v>
      </c>
      <c r="X75" s="19" t="str">
        <f t="shared" si="4"/>
        <v>SCHEDULE</v>
      </c>
      <c r="Y75" s="27">
        <f t="shared" si="5"/>
        <v>8.285714286</v>
      </c>
      <c r="Z75" s="19" t="str">
        <f t="shared" si="6"/>
        <v>DELAYED</v>
      </c>
      <c r="AA75" s="28">
        <f t="shared" si="7"/>
        <v>46036</v>
      </c>
      <c r="AB75" s="29" t="str">
        <f t="shared" si="8"/>
        <v>140204956810</v>
      </c>
    </row>
    <row r="76" ht="21.0" customHeight="1">
      <c r="A76" s="19" t="str">
        <f t="shared" si="1"/>
        <v>SPECIALTY</v>
      </c>
      <c r="B76" s="19" t="str">
        <f t="array" ref="B76">IFERROR(XLOOKUP(G76&amp;H76,SAP!K:K,SAP!A:A,0,0),"")</f>
        <v>SIGMAQ MEXICO S.A DE C.V</v>
      </c>
      <c r="C76" s="20" t="str">
        <f>IFERROR(IF(OR('MASTER PLAN'!$B$2:$B$81="CHIPPENHOOK",'MASTER PLAN'!$B$2:$B$81="BUFKOR INC."),"USA",IF('MASTER PLAN'!$B$2:$B$81="SIGMAQ MEXICO S.A DE C.V","MX","SP")),"")</f>
        <v>MX</v>
      </c>
      <c r="D76" s="10" t="s">
        <v>151</v>
      </c>
      <c r="E76" s="19" t="str">
        <f>IFERROR(VLOOKUP(D76,REFERENCIAS!A:B,2,0),"")</f>
        <v>ULISES HERNANDEZ</v>
      </c>
      <c r="F76" s="19" t="s">
        <v>135</v>
      </c>
      <c r="G76" s="10">
        <v>1.40204957E9</v>
      </c>
      <c r="H76" s="21">
        <v>10.0</v>
      </c>
      <c r="I76" s="20">
        <f t="array" ref="I76">IFERROR(XLOOKUP(G76&amp;H76,SAP!K:K,SAP!D:D,0,0),"")</f>
        <v>10342419</v>
      </c>
      <c r="J76" s="19" t="str">
        <f t="array" ref="J76">UPPER(XLOOKUP(G76&amp;H76,SAP!K:K,SAP!E:E,0,0))</f>
        <v>BARBARA MADERO 160X100X140 MM</v>
      </c>
      <c r="K76" s="22">
        <f t="array" ref="K76">IFERROR(XLOOKUP(G76&amp;H76,SAP!K:K,SAP!F:F,0,0),"")</f>
        <v>1500</v>
      </c>
      <c r="L76" s="23">
        <f t="array" ref="L76">IFERROR(XLOOKUP(G76&amp;H76,SAP!K:K,SAP!G:G,0,0),"")</f>
        <v>2625</v>
      </c>
      <c r="M76" s="24">
        <f t="shared" si="2"/>
        <v>1.75</v>
      </c>
      <c r="N76" s="25">
        <v>0.2</v>
      </c>
      <c r="O76" s="22">
        <f t="shared" si="3"/>
        <v>1800</v>
      </c>
      <c r="P76" s="21">
        <v>3354985.0</v>
      </c>
      <c r="Q76" s="12">
        <v>45987.0</v>
      </c>
      <c r="R76" s="26">
        <f t="array" ref="R76">IFERROR(XLOOKUP(G76&amp;H76,SAP!K:K,SAP!H:H,0,0),"")</f>
        <v>45978</v>
      </c>
      <c r="S76" s="26">
        <f t="array" ref="S76">IFERROR(XLOOKUP(G76&amp;H76,SAP!K:K,SAP!I:I,0,0),"")</f>
        <v>46038</v>
      </c>
      <c r="T76" s="1"/>
      <c r="U76" s="12"/>
      <c r="V76" s="12"/>
      <c r="W76" s="5"/>
      <c r="X76" s="19" t="str">
        <f t="shared" si="4"/>
        <v>PENDING</v>
      </c>
      <c r="Y76" s="27" t="str">
        <f t="shared" si="5"/>
        <v/>
      </c>
      <c r="Z76" s="19" t="str">
        <f t="shared" si="6"/>
        <v/>
      </c>
      <c r="AA76" s="28" t="str">
        <f t="shared" si="7"/>
        <v/>
      </c>
      <c r="AB76" s="29" t="str">
        <f t="shared" si="8"/>
        <v>140204957010</v>
      </c>
    </row>
    <row r="77" ht="21.0" customHeight="1">
      <c r="A77" s="19" t="str">
        <f t="shared" si="1"/>
        <v>SPECIALTY</v>
      </c>
      <c r="B77" s="19" t="str">
        <f t="array" ref="B77">IFERROR(XLOOKUP(G77&amp;H77,SAP!K:K,SAP!A:A,0,0),"")</f>
        <v>UNIPACK, S.A. DE C.V.</v>
      </c>
      <c r="C77" s="20" t="str">
        <f>IFERROR(IF(OR('MASTER PLAN'!$B$2:$B$81="CHIPPENHOOK",'MASTER PLAN'!$B$2:$B$81="BUFKOR INC."),"USA",IF('MASTER PLAN'!$B$2:$B$81="SIGMAQ MEXICO S.A DE C.V","MX","SP")),"")</f>
        <v>SP</v>
      </c>
      <c r="D77" s="10" t="s">
        <v>159</v>
      </c>
      <c r="E77" s="19" t="str">
        <f>IFERROR(VLOOKUP(D77,REFERENCIAS!A:B,2,0),"")</f>
        <v>MELISSA MELENDEZ</v>
      </c>
      <c r="F77" s="19" t="s">
        <v>135</v>
      </c>
      <c r="G77" s="10">
        <v>1.402049582E9</v>
      </c>
      <c r="H77" s="21">
        <v>10.0</v>
      </c>
      <c r="I77" s="20">
        <f t="array" ref="I77">IFERROR(XLOOKUP(G77&amp;H77,SAP!K:K,SAP!D:D,0,0),"")</f>
        <v>10333118</v>
      </c>
      <c r="J77" s="19" t="str">
        <f t="array" ref="J77">UPPER(XLOOKUP(G77&amp;H77,SAP!K:K,SAP!E:E,0,0))</f>
        <v>BOLSA CASA DE ORO 4.5"X2.375"X5.75" EST</v>
      </c>
      <c r="K77" s="22">
        <f t="array" ref="K77">IFERROR(XLOOKUP(G77&amp;H77,SAP!K:K,SAP!F:F,0,0),"")</f>
        <v>1500</v>
      </c>
      <c r="L77" s="23">
        <f t="array" ref="L77">IFERROR(XLOOKUP(G77&amp;H77,SAP!K:K,SAP!G:G,0,0),"")</f>
        <v>1065</v>
      </c>
      <c r="M77" s="24">
        <f t="shared" si="2"/>
        <v>0.71</v>
      </c>
      <c r="N77" s="25">
        <v>0.2</v>
      </c>
      <c r="O77" s="22">
        <f t="shared" si="3"/>
        <v>1800</v>
      </c>
      <c r="P77" s="21">
        <v>3354986.0</v>
      </c>
      <c r="Q77" s="12">
        <v>45987.0</v>
      </c>
      <c r="R77" s="26">
        <f t="array" ref="R77">IFERROR(XLOOKUP(G77&amp;H77,SAP!K:K,SAP!H:H,0,0),"")</f>
        <v>45980</v>
      </c>
      <c r="S77" s="26">
        <f t="array" ref="S77">IFERROR(XLOOKUP(G77&amp;H77,SAP!K:K,SAP!I:I,0,0),"")</f>
        <v>46038</v>
      </c>
      <c r="T77" s="1"/>
      <c r="U77" s="12"/>
      <c r="V77" s="12"/>
      <c r="W77" s="5"/>
      <c r="X77" s="19" t="str">
        <f t="shared" si="4"/>
        <v>PENDING</v>
      </c>
      <c r="Y77" s="27" t="str">
        <f t="shared" si="5"/>
        <v/>
      </c>
      <c r="Z77" s="19" t="str">
        <f t="shared" si="6"/>
        <v/>
      </c>
      <c r="AA77" s="28" t="str">
        <f t="shared" si="7"/>
        <v/>
      </c>
      <c r="AB77" s="29" t="str">
        <f t="shared" si="8"/>
        <v>140204958210</v>
      </c>
    </row>
    <row r="78" ht="21.0" customHeight="1">
      <c r="A78" s="19" t="str">
        <f t="shared" si="1"/>
        <v>SPECIALTY</v>
      </c>
      <c r="B78" s="19" t="str">
        <f t="array" ref="B78">IFERROR(XLOOKUP(G78&amp;H78,SAP!K:K,SAP!A:A,0,0),"")</f>
        <v>UNIPACK, S.A. DE C.V.</v>
      </c>
      <c r="C78" s="20" t="str">
        <f>IFERROR(IF(OR('MASTER PLAN'!$B$2:$B$81="CHIPPENHOOK",'MASTER PLAN'!$B$2:$B$81="BUFKOR INC."),"USA",IF('MASTER PLAN'!$B$2:$B$81="SIGMAQ MEXICO S.A DE C.V","MX","SP")),"")</f>
        <v>SP</v>
      </c>
      <c r="D78" s="10" t="s">
        <v>159</v>
      </c>
      <c r="E78" s="19" t="str">
        <f>IFERROR(VLOOKUP(D78,REFERENCIAS!A:B,2,0),"")</f>
        <v>MELISSA MELENDEZ</v>
      </c>
      <c r="F78" s="19" t="s">
        <v>135</v>
      </c>
      <c r="G78" s="10">
        <v>1.402049582E9</v>
      </c>
      <c r="H78" s="21">
        <v>20.0</v>
      </c>
      <c r="I78" s="20">
        <f t="array" ref="I78">IFERROR(XLOOKUP(G78&amp;H78,SAP!K:K,SAP!D:D,0,0),"")</f>
        <v>10333119</v>
      </c>
      <c r="J78" s="19" t="str">
        <f t="array" ref="J78">UPPER(XLOOKUP(G78&amp;H78,SAP!K:K,SAP!E:E,0,0))</f>
        <v>BOLSA CASA DE ORO 7"X4"X8" EST</v>
      </c>
      <c r="K78" s="22">
        <f t="array" ref="K78">IFERROR(XLOOKUP(G78&amp;H78,SAP!K:K,SAP!F:F,0,0),"")</f>
        <v>1500</v>
      </c>
      <c r="L78" s="23">
        <f t="array" ref="L78">IFERROR(XLOOKUP(G78&amp;H78,SAP!K:K,SAP!G:G,0,0),"")</f>
        <v>1260</v>
      </c>
      <c r="M78" s="24">
        <f t="shared" si="2"/>
        <v>0.84</v>
      </c>
      <c r="N78" s="25">
        <v>0.2</v>
      </c>
      <c r="O78" s="22">
        <f t="shared" si="3"/>
        <v>1800</v>
      </c>
      <c r="P78" s="21">
        <v>3354987.0</v>
      </c>
      <c r="Q78" s="12">
        <v>45987.0</v>
      </c>
      <c r="R78" s="26">
        <f t="array" ref="R78">IFERROR(XLOOKUP(G78&amp;H78,SAP!K:K,SAP!H:H,0,0),"")</f>
        <v>45980</v>
      </c>
      <c r="S78" s="26">
        <f t="array" ref="S78">IFERROR(XLOOKUP(G78&amp;H78,SAP!K:K,SAP!I:I,0,0),"")</f>
        <v>46038</v>
      </c>
      <c r="T78" s="1"/>
      <c r="U78" s="12"/>
      <c r="V78" s="12"/>
      <c r="W78" s="5"/>
      <c r="X78" s="19" t="str">
        <f t="shared" si="4"/>
        <v>PENDING</v>
      </c>
      <c r="Y78" s="27" t="str">
        <f t="shared" si="5"/>
        <v/>
      </c>
      <c r="Z78" s="19" t="str">
        <f t="shared" si="6"/>
        <v/>
      </c>
      <c r="AA78" s="28" t="str">
        <f t="shared" si="7"/>
        <v/>
      </c>
      <c r="AB78" s="29" t="str">
        <f t="shared" si="8"/>
        <v>140204958220</v>
      </c>
    </row>
    <row r="79" ht="21.0" customHeight="1">
      <c r="A79" s="19" t="str">
        <f t="shared" si="1"/>
        <v>SPECIALTY</v>
      </c>
      <c r="B79" s="19" t="str">
        <f t="array" ref="B79">IFERROR(XLOOKUP(G79&amp;H79,SAP!K:K,SAP!A:A,0,0),"")</f>
        <v>DISTRIBUIDORA CORRIPIO, S.A.S.</v>
      </c>
      <c r="C79" s="20" t="str">
        <f>IFERROR(IF(OR('MASTER PLAN'!$B$2:$B$81="CHIPPENHOOK",'MASTER PLAN'!$B$2:$B$81="BUFKOR INC."),"USA",IF('MASTER PLAN'!$B$2:$B$81="SIGMAQ MEXICO S.A DE C.V","MX","SP")),"")</f>
        <v>SP</v>
      </c>
      <c r="D79" s="10" t="s">
        <v>187</v>
      </c>
      <c r="E79" s="19" t="str">
        <f>IFERROR(VLOOKUP(D79,REFERENCIAS!A:B,2,0),"")</f>
        <v>IVANIA ALFARO</v>
      </c>
      <c r="F79" s="19" t="s">
        <v>135</v>
      </c>
      <c r="G79" s="10">
        <v>1.40204959E9</v>
      </c>
      <c r="H79" s="21">
        <v>10.0</v>
      </c>
      <c r="I79" s="20">
        <f t="array" ref="I79">IFERROR(XLOOKUP(G79&amp;H79,SAP!K:K,SAP!D:D,0,0),"")</f>
        <v>10342561</v>
      </c>
      <c r="J79" s="19" t="str">
        <f t="array" ref="J79">UPPER(XLOOKUP(G79&amp;H79,SAP!K:K,SAP!E:E,0,0))</f>
        <v>BOLSA PIRULETA 20 X 6 X16 IN FL</v>
      </c>
      <c r="K79" s="22">
        <f t="array" ref="K79">IFERROR(XLOOKUP(G79&amp;H79,SAP!K:K,SAP!F:F,0,0),"")</f>
        <v>2000</v>
      </c>
      <c r="L79" s="23">
        <f t="array" ref="L79">IFERROR(XLOOKUP(G79&amp;H79,SAP!K:K,SAP!G:G,0,0),"")</f>
        <v>6940</v>
      </c>
      <c r="M79" s="24">
        <f t="shared" si="2"/>
        <v>3.47</v>
      </c>
      <c r="N79" s="25">
        <v>0.2</v>
      </c>
      <c r="O79" s="22">
        <f t="shared" si="3"/>
        <v>2400</v>
      </c>
      <c r="P79" s="21">
        <v>3354988.0</v>
      </c>
      <c r="Q79" s="12">
        <v>45987.0</v>
      </c>
      <c r="R79" s="26">
        <f t="array" ref="R79">IFERROR(XLOOKUP(G79&amp;H79,SAP!K:K,SAP!H:H,0,0),"")</f>
        <v>45981</v>
      </c>
      <c r="S79" s="26">
        <f t="array" ref="S79">IFERROR(XLOOKUP(G79&amp;H79,SAP!K:K,SAP!I:I,0,0),"")</f>
        <v>46035</v>
      </c>
      <c r="T79" s="1"/>
      <c r="U79" s="12"/>
      <c r="V79" s="12"/>
      <c r="W79" s="5"/>
      <c r="X79" s="19" t="str">
        <f t="shared" si="4"/>
        <v>PENDING</v>
      </c>
      <c r="Y79" s="27" t="str">
        <f t="shared" si="5"/>
        <v/>
      </c>
      <c r="Z79" s="19" t="str">
        <f t="shared" si="6"/>
        <v/>
      </c>
      <c r="AA79" s="28" t="str">
        <f t="shared" si="7"/>
        <v/>
      </c>
      <c r="AB79" s="29" t="str">
        <f t="shared" si="8"/>
        <v>140204959010</v>
      </c>
    </row>
    <row r="80" ht="21.0" customHeight="1">
      <c r="A80" s="19" t="str">
        <f t="shared" si="1"/>
        <v>SPECIALTY</v>
      </c>
      <c r="B80" s="19" t="str">
        <f t="array" ref="B80">IFERROR(XLOOKUP(G80&amp;H80,SAP!K:K,SAP!A:A,0,0),"")</f>
        <v>DISTRIBUIDORA CORRIPIO, S.A.S.</v>
      </c>
      <c r="C80" s="20" t="str">
        <f>IFERROR(IF(OR('MASTER PLAN'!$B$2:$B$81="CHIPPENHOOK",'MASTER PLAN'!$B$2:$B$81="BUFKOR INC."),"USA",IF('MASTER PLAN'!$B$2:$B$81="SIGMAQ MEXICO S.A DE C.V","MX","SP")),"")</f>
        <v>SP</v>
      </c>
      <c r="D80" s="10" t="s">
        <v>187</v>
      </c>
      <c r="E80" s="19" t="str">
        <f>IFERROR(VLOOKUP(D80,REFERENCIAS!A:B,2,0),"")</f>
        <v>IVANIA ALFARO</v>
      </c>
      <c r="F80" s="19" t="s">
        <v>135</v>
      </c>
      <c r="G80" s="10">
        <v>1.40204959E9</v>
      </c>
      <c r="H80" s="21">
        <v>20.0</v>
      </c>
      <c r="I80" s="20">
        <f t="array" ref="I80">IFERROR(XLOOKUP(G80&amp;H80,SAP!K:K,SAP!D:D,0,0),"")</f>
        <v>10342560</v>
      </c>
      <c r="J80" s="19" t="str">
        <f t="array" ref="J80">UPPER(XLOOKUP(G80&amp;H80,SAP!K:K,SAP!E:E,0,0))</f>
        <v>BOLSA PIRULETA 16 X 5 X 14 IN FL</v>
      </c>
      <c r="K80" s="22">
        <f t="array" ref="K80">IFERROR(XLOOKUP(G80&amp;H80,SAP!K:K,SAP!F:F,0,0),"")</f>
        <v>5000</v>
      </c>
      <c r="L80" s="23">
        <f t="array" ref="L80">IFERROR(XLOOKUP(G80&amp;H80,SAP!K:K,SAP!G:G,0,0),"")</f>
        <v>11600</v>
      </c>
      <c r="M80" s="24">
        <f t="shared" si="2"/>
        <v>2.32</v>
      </c>
      <c r="N80" s="25">
        <v>0.2</v>
      </c>
      <c r="O80" s="22">
        <f t="shared" si="3"/>
        <v>6000</v>
      </c>
      <c r="P80" s="21">
        <v>3354990.0</v>
      </c>
      <c r="Q80" s="12">
        <v>45987.0</v>
      </c>
      <c r="R80" s="26">
        <f t="array" ref="R80">IFERROR(XLOOKUP(G80&amp;H80,SAP!K:K,SAP!H:H,0,0),"")</f>
        <v>45981</v>
      </c>
      <c r="S80" s="26">
        <f t="array" ref="S80">IFERROR(XLOOKUP(G80&amp;H80,SAP!K:K,SAP!I:I,0,0),"")</f>
        <v>46035</v>
      </c>
      <c r="T80" s="1"/>
      <c r="U80" s="12"/>
      <c r="V80" s="12"/>
      <c r="W80" s="5"/>
      <c r="X80" s="19" t="str">
        <f t="shared" si="4"/>
        <v>PENDING</v>
      </c>
      <c r="Y80" s="27" t="str">
        <f t="shared" si="5"/>
        <v/>
      </c>
      <c r="Z80" s="19" t="str">
        <f t="shared" si="6"/>
        <v/>
      </c>
      <c r="AA80" s="28" t="str">
        <f t="shared" si="7"/>
        <v/>
      </c>
      <c r="AB80" s="29" t="str">
        <f t="shared" si="8"/>
        <v>140204959020</v>
      </c>
    </row>
    <row r="81" ht="21.0" customHeight="1">
      <c r="A81" s="19" t="str">
        <f t="shared" si="1"/>
        <v>SPECIALTY</v>
      </c>
      <c r="B81" s="19" t="str">
        <f t="array" ref="B81">IFERROR(XLOOKUP(G81&amp;H81,SAP!K:K,SAP!A:A,0,0),"")</f>
        <v>DISTRIBUIDORA CORRIPIO, S.A.S.</v>
      </c>
      <c r="C81" s="20" t="str">
        <f>IFERROR(IF(OR('MASTER PLAN'!$B$2:$B$81="CHIPPENHOOK",'MASTER PLAN'!$B$2:$B$81="BUFKOR INC."),"USA",IF('MASTER PLAN'!$B$2:$B$81="SIGMAQ MEXICO S.A DE C.V","MX","SP")),"")</f>
        <v>SP</v>
      </c>
      <c r="D81" s="10" t="s">
        <v>187</v>
      </c>
      <c r="E81" s="19" t="str">
        <f>IFERROR(VLOOKUP(D81,REFERENCIAS!A:B,2,0),"")</f>
        <v>IVANIA ALFARO</v>
      </c>
      <c r="F81" s="19" t="s">
        <v>135</v>
      </c>
      <c r="G81" s="10">
        <v>1.40204959E9</v>
      </c>
      <c r="H81" s="21">
        <v>30.0</v>
      </c>
      <c r="I81" s="20">
        <f t="array" ref="I81">IFERROR(XLOOKUP(G81&amp;H81,SAP!K:K,SAP!D:D,0,0),"")</f>
        <v>10342555</v>
      </c>
      <c r="J81" s="19" t="str">
        <f t="array" ref="J81">UPPER(XLOOKUP(G81&amp;H81,SAP!K:K,SAP!E:E,0,0))</f>
        <v>BOLSA PIRULETA 13X5X10IN FL</v>
      </c>
      <c r="K81" s="22">
        <f t="array" ref="K81">IFERROR(XLOOKUP(G81&amp;H81,SAP!K:K,SAP!F:F,0,0),"")</f>
        <v>7000</v>
      </c>
      <c r="L81" s="23">
        <f t="array" ref="L81">IFERROR(XLOOKUP(G81&amp;H81,SAP!K:K,SAP!G:G,0,0),"")</f>
        <v>10920</v>
      </c>
      <c r="M81" s="24">
        <f t="shared" si="2"/>
        <v>1.56</v>
      </c>
      <c r="N81" s="25">
        <v>0.2</v>
      </c>
      <c r="O81" s="22">
        <f t="shared" si="3"/>
        <v>8400</v>
      </c>
      <c r="P81" s="21">
        <v>3354991.0</v>
      </c>
      <c r="Q81" s="12">
        <v>45987.0</v>
      </c>
      <c r="R81" s="26">
        <f t="array" ref="R81">IFERROR(XLOOKUP(G81&amp;H81,SAP!K:K,SAP!H:H,0,0),"")</f>
        <v>45981</v>
      </c>
      <c r="S81" s="26">
        <f t="array" ref="S81">IFERROR(XLOOKUP(G81&amp;H81,SAP!K:K,SAP!I:I,0,0),"")</f>
        <v>46035</v>
      </c>
      <c r="T81" s="1"/>
      <c r="U81" s="12"/>
      <c r="V81" s="12"/>
      <c r="W81" s="5"/>
      <c r="X81" s="19" t="str">
        <f t="shared" si="4"/>
        <v>PENDING</v>
      </c>
      <c r="Y81" s="27" t="str">
        <f t="shared" si="5"/>
        <v/>
      </c>
      <c r="Z81" s="19" t="str">
        <f t="shared" si="6"/>
        <v/>
      </c>
      <c r="AA81" s="28" t="str">
        <f t="shared" si="7"/>
        <v/>
      </c>
      <c r="AB81" s="29" t="str">
        <f t="shared" si="8"/>
        <v>140204959030</v>
      </c>
    </row>
    <row r="82" ht="21.0" customHeight="1">
      <c r="A82" s="30"/>
      <c r="B82" s="30"/>
      <c r="C82" s="30"/>
      <c r="E82" s="30"/>
      <c r="F82" s="30"/>
      <c r="G82" s="31"/>
      <c r="H82" s="32"/>
      <c r="I82" s="33"/>
      <c r="J82" s="30"/>
      <c r="K82" s="34"/>
      <c r="L82" s="35"/>
      <c r="M82" s="36"/>
      <c r="N82" s="37"/>
      <c r="O82" s="34"/>
      <c r="P82" s="32"/>
      <c r="Q82" s="38"/>
      <c r="R82" s="39"/>
      <c r="S82" s="39"/>
      <c r="T82" s="40"/>
      <c r="U82" s="38"/>
      <c r="V82" s="41"/>
      <c r="W82" s="42"/>
      <c r="X82" s="30"/>
      <c r="Y82" s="43"/>
      <c r="Z82" s="30"/>
      <c r="AA82" s="44"/>
      <c r="AB82" s="44"/>
    </row>
    <row r="83" ht="21.0" customHeight="1">
      <c r="A83" s="30"/>
      <c r="B83" s="30"/>
      <c r="C83" s="30"/>
      <c r="E83" s="30"/>
      <c r="F83" s="30"/>
      <c r="G83" s="31"/>
      <c r="H83" s="32"/>
      <c r="I83" s="33"/>
      <c r="J83" s="30"/>
      <c r="K83" s="34"/>
      <c r="L83" s="35"/>
      <c r="M83" s="36"/>
      <c r="N83" s="37"/>
      <c r="O83" s="34"/>
      <c r="P83" s="32"/>
      <c r="Q83" s="38"/>
      <c r="R83" s="39"/>
      <c r="S83" s="39"/>
      <c r="T83" s="40"/>
      <c r="U83" s="38"/>
      <c r="V83" s="41"/>
      <c r="W83" s="42"/>
      <c r="X83" s="30"/>
      <c r="Y83" s="43"/>
      <c r="Z83" s="30"/>
      <c r="AA83" s="44"/>
      <c r="AB83" s="44"/>
    </row>
    <row r="84" ht="21.0" customHeight="1">
      <c r="A84" s="30"/>
      <c r="B84" s="30"/>
      <c r="C84" s="30"/>
      <c r="E84" s="30"/>
      <c r="F84" s="30"/>
      <c r="G84" s="31"/>
      <c r="H84" s="32"/>
      <c r="I84" s="33"/>
      <c r="J84" s="30"/>
      <c r="K84" s="34"/>
      <c r="L84" s="35"/>
      <c r="M84" s="36"/>
      <c r="N84" s="37"/>
      <c r="O84" s="34"/>
      <c r="P84" s="32"/>
      <c r="Q84" s="38"/>
      <c r="R84" s="39"/>
      <c r="S84" s="39"/>
      <c r="T84" s="40"/>
      <c r="U84" s="38"/>
      <c r="V84" s="41"/>
      <c r="W84" s="42"/>
      <c r="X84" s="30"/>
      <c r="Y84" s="43"/>
      <c r="Z84" s="30"/>
      <c r="AA84" s="44"/>
      <c r="AB84" s="44"/>
    </row>
    <row r="85" ht="21.0" customHeight="1">
      <c r="A85" s="30"/>
      <c r="B85" s="30"/>
      <c r="C85" s="30"/>
      <c r="E85" s="30"/>
      <c r="F85" s="30"/>
      <c r="G85" s="31"/>
      <c r="H85" s="32"/>
      <c r="I85" s="33"/>
      <c r="J85" s="30"/>
      <c r="K85" s="34"/>
      <c r="L85" s="35"/>
      <c r="M85" s="36"/>
      <c r="N85" s="37"/>
      <c r="O85" s="34"/>
      <c r="P85" s="32"/>
      <c r="Q85" s="38"/>
      <c r="R85" s="39"/>
      <c r="S85" s="39"/>
      <c r="T85" s="40"/>
      <c r="U85" s="38"/>
      <c r="V85" s="41"/>
      <c r="W85" s="42"/>
      <c r="X85" s="30"/>
      <c r="Y85" s="43"/>
      <c r="Z85" s="30"/>
      <c r="AA85" s="44"/>
      <c r="AB85" s="44"/>
    </row>
    <row r="86" ht="21.0" customHeight="1">
      <c r="A86" s="30"/>
      <c r="B86" s="30"/>
      <c r="C86" s="30"/>
      <c r="E86" s="30"/>
      <c r="F86" s="30"/>
      <c r="G86" s="31"/>
      <c r="H86" s="32"/>
      <c r="I86" s="33"/>
      <c r="J86" s="30"/>
      <c r="K86" s="34"/>
      <c r="L86" s="35"/>
      <c r="M86" s="36"/>
      <c r="N86" s="37"/>
      <c r="O86" s="34"/>
      <c r="P86" s="32"/>
      <c r="Q86" s="38"/>
      <c r="R86" s="39"/>
      <c r="S86" s="39"/>
      <c r="T86" s="40"/>
      <c r="U86" s="38"/>
      <c r="V86" s="41"/>
      <c r="W86" s="42"/>
      <c r="X86" s="30"/>
      <c r="Y86" s="43"/>
      <c r="Z86" s="30"/>
      <c r="AA86" s="44"/>
      <c r="AB86" s="44"/>
    </row>
    <row r="87" ht="21.0" customHeight="1">
      <c r="A87" s="30"/>
      <c r="B87" s="30"/>
      <c r="C87" s="30"/>
      <c r="E87" s="30"/>
      <c r="F87" s="30"/>
      <c r="G87" s="31"/>
      <c r="H87" s="32"/>
      <c r="I87" s="33"/>
      <c r="J87" s="30"/>
      <c r="K87" s="34"/>
      <c r="L87" s="35"/>
      <c r="M87" s="36"/>
      <c r="N87" s="37"/>
      <c r="O87" s="34"/>
      <c r="P87" s="32"/>
      <c r="Q87" s="38"/>
      <c r="R87" s="39"/>
      <c r="S87" s="39"/>
      <c r="T87" s="40"/>
      <c r="U87" s="38"/>
      <c r="V87" s="41"/>
      <c r="W87" s="42"/>
      <c r="X87" s="30"/>
      <c r="Y87" s="43"/>
      <c r="Z87" s="30"/>
      <c r="AA87" s="44"/>
      <c r="AB87" s="44"/>
    </row>
    <row r="88" ht="21.0" customHeight="1">
      <c r="A88" s="30"/>
      <c r="B88" s="30"/>
      <c r="C88" s="30"/>
      <c r="E88" s="30"/>
      <c r="F88" s="30"/>
      <c r="G88" s="31"/>
      <c r="H88" s="32"/>
      <c r="I88" s="33"/>
      <c r="J88" s="30"/>
      <c r="K88" s="34"/>
      <c r="L88" s="35"/>
      <c r="M88" s="36"/>
      <c r="N88" s="37"/>
      <c r="O88" s="34"/>
      <c r="P88" s="32"/>
      <c r="Q88" s="38"/>
      <c r="R88" s="39"/>
      <c r="S88" s="39"/>
      <c r="T88" s="40"/>
      <c r="U88" s="38"/>
      <c r="V88" s="41"/>
      <c r="W88" s="42"/>
      <c r="X88" s="30"/>
      <c r="Y88" s="43"/>
      <c r="Z88" s="30"/>
      <c r="AA88" s="44"/>
      <c r="AB88" s="44"/>
    </row>
    <row r="89" ht="21.0" customHeight="1">
      <c r="A89" s="30"/>
      <c r="B89" s="30"/>
      <c r="C89" s="30"/>
      <c r="E89" s="30"/>
      <c r="F89" s="30"/>
      <c r="G89" s="31"/>
      <c r="H89" s="32"/>
      <c r="I89" s="33"/>
      <c r="J89" s="30"/>
      <c r="K89" s="34"/>
      <c r="L89" s="35"/>
      <c r="M89" s="36"/>
      <c r="N89" s="37"/>
      <c r="O89" s="34"/>
      <c r="P89" s="32"/>
      <c r="Q89" s="38"/>
      <c r="R89" s="39"/>
      <c r="S89" s="39"/>
      <c r="T89" s="40"/>
      <c r="U89" s="38"/>
      <c r="V89" s="41"/>
      <c r="W89" s="42"/>
      <c r="X89" s="30"/>
      <c r="Y89" s="43"/>
      <c r="Z89" s="30"/>
      <c r="AA89" s="44"/>
      <c r="AB89" s="44"/>
    </row>
    <row r="90" ht="21.0" customHeight="1">
      <c r="A90" s="30"/>
      <c r="B90" s="30"/>
      <c r="C90" s="30"/>
      <c r="E90" s="30"/>
      <c r="F90" s="30"/>
      <c r="G90" s="31"/>
      <c r="H90" s="32"/>
      <c r="I90" s="33"/>
      <c r="J90" s="30"/>
      <c r="K90" s="34"/>
      <c r="L90" s="35"/>
      <c r="M90" s="36"/>
      <c r="N90" s="37"/>
      <c r="O90" s="34"/>
      <c r="P90" s="32"/>
      <c r="Q90" s="38"/>
      <c r="R90" s="39"/>
      <c r="S90" s="39"/>
      <c r="T90" s="40"/>
      <c r="U90" s="38"/>
      <c r="V90" s="41"/>
      <c r="W90" s="42"/>
      <c r="X90" s="30"/>
      <c r="Y90" s="43"/>
      <c r="Z90" s="30"/>
      <c r="AA90" s="44"/>
      <c r="AB90" s="44"/>
    </row>
    <row r="91" ht="21.0" customHeight="1">
      <c r="A91" s="30"/>
      <c r="B91" s="30"/>
      <c r="C91" s="30"/>
      <c r="E91" s="30"/>
      <c r="F91" s="30"/>
      <c r="G91" s="31"/>
      <c r="H91" s="32"/>
      <c r="I91" s="33"/>
      <c r="J91" s="30"/>
      <c r="K91" s="34"/>
      <c r="L91" s="35"/>
      <c r="M91" s="36"/>
      <c r="N91" s="37"/>
      <c r="O91" s="34"/>
      <c r="P91" s="32"/>
      <c r="Q91" s="38"/>
      <c r="R91" s="39"/>
      <c r="S91" s="39"/>
      <c r="T91" s="40"/>
      <c r="U91" s="38"/>
      <c r="V91" s="41"/>
      <c r="W91" s="42"/>
      <c r="X91" s="30"/>
      <c r="Y91" s="43"/>
      <c r="Z91" s="30"/>
      <c r="AA91" s="44"/>
      <c r="AB91" s="44"/>
    </row>
    <row r="92" ht="21.0" customHeight="1">
      <c r="A92" s="30"/>
      <c r="B92" s="30"/>
      <c r="C92" s="30"/>
      <c r="E92" s="30"/>
      <c r="F92" s="30"/>
      <c r="G92" s="31"/>
      <c r="H92" s="32"/>
      <c r="I92" s="33"/>
      <c r="J92" s="30"/>
      <c r="K92" s="34"/>
      <c r="L92" s="35"/>
      <c r="M92" s="36"/>
      <c r="N92" s="37"/>
      <c r="O92" s="34"/>
      <c r="P92" s="32"/>
      <c r="Q92" s="38"/>
      <c r="R92" s="39"/>
      <c r="S92" s="39"/>
      <c r="T92" s="40"/>
      <c r="U92" s="38"/>
      <c r="V92" s="41"/>
      <c r="W92" s="42"/>
      <c r="X92" s="30"/>
      <c r="Y92" s="43"/>
      <c r="Z92" s="30"/>
      <c r="AA92" s="44"/>
      <c r="AB92" s="44"/>
    </row>
    <row r="93" ht="21.0" customHeight="1">
      <c r="A93" s="30"/>
      <c r="B93" s="30"/>
      <c r="C93" s="30"/>
      <c r="E93" s="30"/>
      <c r="F93" s="30"/>
      <c r="G93" s="31"/>
      <c r="H93" s="32"/>
      <c r="I93" s="33"/>
      <c r="J93" s="30"/>
      <c r="K93" s="34"/>
      <c r="L93" s="35"/>
      <c r="M93" s="36"/>
      <c r="N93" s="37"/>
      <c r="O93" s="34"/>
      <c r="P93" s="32"/>
      <c r="Q93" s="38"/>
      <c r="R93" s="39"/>
      <c r="S93" s="39"/>
      <c r="T93" s="40"/>
      <c r="U93" s="38"/>
      <c r="V93" s="41"/>
      <c r="W93" s="42"/>
      <c r="X93" s="30"/>
      <c r="Y93" s="43"/>
      <c r="Z93" s="30"/>
      <c r="AA93" s="44"/>
      <c r="AB93" s="44"/>
    </row>
    <row r="94" ht="21.0" customHeight="1">
      <c r="A94" s="30"/>
      <c r="B94" s="30"/>
      <c r="C94" s="30"/>
      <c r="E94" s="30"/>
      <c r="F94" s="30"/>
      <c r="G94" s="31"/>
      <c r="H94" s="32"/>
      <c r="I94" s="33"/>
      <c r="J94" s="30"/>
      <c r="K94" s="34"/>
      <c r="L94" s="35"/>
      <c r="M94" s="36"/>
      <c r="N94" s="37"/>
      <c r="O94" s="34"/>
      <c r="P94" s="32"/>
      <c r="Q94" s="38"/>
      <c r="R94" s="39"/>
      <c r="S94" s="39"/>
      <c r="T94" s="40"/>
      <c r="U94" s="38"/>
      <c r="V94" s="41"/>
      <c r="W94" s="42"/>
      <c r="X94" s="30"/>
      <c r="Y94" s="43"/>
      <c r="Z94" s="30"/>
      <c r="AA94" s="44"/>
      <c r="AB94" s="44"/>
    </row>
    <row r="95" ht="21.0" customHeight="1">
      <c r="A95" s="30"/>
      <c r="B95" s="30"/>
      <c r="C95" s="30"/>
      <c r="E95" s="30"/>
      <c r="F95" s="30"/>
      <c r="G95" s="31"/>
      <c r="H95" s="32"/>
      <c r="I95" s="33"/>
      <c r="J95" s="30"/>
      <c r="K95" s="34"/>
      <c r="L95" s="35"/>
      <c r="M95" s="36"/>
      <c r="N95" s="37"/>
      <c r="O95" s="34"/>
      <c r="P95" s="32"/>
      <c r="Q95" s="38"/>
      <c r="R95" s="39"/>
      <c r="S95" s="39"/>
      <c r="T95" s="40"/>
      <c r="U95" s="38"/>
      <c r="V95" s="41"/>
      <c r="W95" s="42"/>
      <c r="X95" s="30"/>
      <c r="Y95" s="43"/>
      <c r="Z95" s="30"/>
      <c r="AA95" s="44"/>
      <c r="AB95" s="44"/>
    </row>
    <row r="96" ht="21.0" customHeight="1">
      <c r="A96" s="30"/>
      <c r="B96" s="30"/>
      <c r="C96" s="30"/>
      <c r="E96" s="30"/>
      <c r="F96" s="30"/>
      <c r="G96" s="31"/>
      <c r="H96" s="32"/>
      <c r="I96" s="33"/>
      <c r="J96" s="30"/>
      <c r="K96" s="34"/>
      <c r="L96" s="35"/>
      <c r="M96" s="36"/>
      <c r="N96" s="37"/>
      <c r="O96" s="34"/>
      <c r="P96" s="32"/>
      <c r="Q96" s="38"/>
      <c r="R96" s="39"/>
      <c r="S96" s="39"/>
      <c r="T96" s="40"/>
      <c r="U96" s="38"/>
      <c r="V96" s="41"/>
      <c r="W96" s="42"/>
      <c r="X96" s="30"/>
      <c r="Y96" s="43"/>
      <c r="Z96" s="30"/>
      <c r="AA96" s="44"/>
      <c r="AB96" s="44"/>
    </row>
    <row r="97" ht="21.0" customHeight="1">
      <c r="A97" s="30"/>
      <c r="B97" s="30"/>
      <c r="C97" s="30"/>
      <c r="E97" s="30"/>
      <c r="F97" s="30"/>
      <c r="G97" s="31"/>
      <c r="H97" s="32"/>
      <c r="I97" s="33"/>
      <c r="J97" s="30"/>
      <c r="K97" s="34"/>
      <c r="L97" s="35"/>
      <c r="M97" s="36"/>
      <c r="N97" s="37"/>
      <c r="O97" s="34"/>
      <c r="P97" s="32"/>
      <c r="Q97" s="38"/>
      <c r="R97" s="39"/>
      <c r="S97" s="39"/>
      <c r="T97" s="40"/>
      <c r="U97" s="38"/>
      <c r="V97" s="41"/>
      <c r="W97" s="42"/>
      <c r="X97" s="30"/>
      <c r="Y97" s="43"/>
      <c r="Z97" s="30"/>
      <c r="AA97" s="44"/>
      <c r="AB97" s="44"/>
    </row>
    <row r="98" ht="21.0" customHeight="1">
      <c r="A98" s="30"/>
      <c r="B98" s="30"/>
      <c r="C98" s="30"/>
      <c r="E98" s="30"/>
      <c r="F98" s="30"/>
      <c r="G98" s="31"/>
      <c r="H98" s="32"/>
      <c r="I98" s="33"/>
      <c r="J98" s="30"/>
      <c r="K98" s="34"/>
      <c r="L98" s="35"/>
      <c r="M98" s="36"/>
      <c r="N98" s="37"/>
      <c r="O98" s="34"/>
      <c r="P98" s="32"/>
      <c r="Q98" s="38"/>
      <c r="R98" s="39"/>
      <c r="S98" s="39"/>
      <c r="T98" s="40"/>
      <c r="U98" s="38"/>
      <c r="V98" s="41"/>
      <c r="W98" s="42"/>
      <c r="X98" s="30"/>
      <c r="Y98" s="43"/>
      <c r="Z98" s="30"/>
      <c r="AA98" s="44"/>
      <c r="AB98" s="44"/>
    </row>
    <row r="99" ht="21.0" customHeight="1">
      <c r="A99" s="30"/>
      <c r="B99" s="30"/>
      <c r="C99" s="30"/>
      <c r="E99" s="30"/>
      <c r="F99" s="30"/>
      <c r="G99" s="31"/>
      <c r="H99" s="32"/>
      <c r="I99" s="33"/>
      <c r="J99" s="30"/>
      <c r="K99" s="34"/>
      <c r="L99" s="35"/>
      <c r="M99" s="36"/>
      <c r="N99" s="37"/>
      <c r="O99" s="34"/>
      <c r="P99" s="32"/>
      <c r="Q99" s="38"/>
      <c r="R99" s="39"/>
      <c r="S99" s="39"/>
      <c r="T99" s="40"/>
      <c r="U99" s="38"/>
      <c r="V99" s="41"/>
      <c r="W99" s="42"/>
      <c r="X99" s="30"/>
      <c r="Y99" s="43"/>
      <c r="Z99" s="30"/>
      <c r="AA99" s="44"/>
      <c r="AB99" s="44"/>
    </row>
    <row r="100" ht="21.0" customHeight="1">
      <c r="A100" s="30"/>
      <c r="B100" s="30"/>
      <c r="C100" s="30"/>
      <c r="E100" s="30"/>
      <c r="F100" s="30"/>
      <c r="G100" s="31"/>
      <c r="H100" s="32"/>
      <c r="I100" s="33"/>
      <c r="J100" s="30"/>
      <c r="K100" s="34"/>
      <c r="L100" s="35"/>
      <c r="M100" s="36"/>
      <c r="N100" s="37"/>
      <c r="O100" s="34"/>
      <c r="P100" s="32"/>
      <c r="Q100" s="38"/>
      <c r="R100" s="39"/>
      <c r="S100" s="39"/>
      <c r="T100" s="40"/>
      <c r="U100" s="38"/>
      <c r="V100" s="41"/>
      <c r="W100" s="42"/>
      <c r="X100" s="30"/>
      <c r="Y100" s="43"/>
      <c r="Z100" s="30"/>
      <c r="AA100" s="44"/>
      <c r="AB100" s="44"/>
    </row>
    <row r="101" ht="21.0" customHeight="1">
      <c r="A101" s="30"/>
      <c r="B101" s="30"/>
      <c r="C101" s="30"/>
      <c r="E101" s="30"/>
      <c r="F101" s="30"/>
      <c r="G101" s="31"/>
      <c r="H101" s="32"/>
      <c r="I101" s="33"/>
      <c r="J101" s="30"/>
      <c r="K101" s="34"/>
      <c r="L101" s="35"/>
      <c r="M101" s="36"/>
      <c r="N101" s="37"/>
      <c r="O101" s="34"/>
      <c r="P101" s="32"/>
      <c r="Q101" s="38"/>
      <c r="R101" s="39"/>
      <c r="S101" s="39"/>
      <c r="T101" s="40"/>
      <c r="U101" s="38"/>
      <c r="V101" s="41"/>
      <c r="W101" s="42"/>
      <c r="X101" s="30"/>
      <c r="Y101" s="43"/>
      <c r="Z101" s="30"/>
      <c r="AA101" s="44"/>
      <c r="AB101" s="44"/>
    </row>
    <row r="102" ht="21.0" customHeight="1">
      <c r="A102" s="30"/>
      <c r="B102" s="30"/>
      <c r="C102" s="30"/>
      <c r="E102" s="30"/>
      <c r="F102" s="30"/>
      <c r="G102" s="31"/>
      <c r="H102" s="32"/>
      <c r="I102" s="33"/>
      <c r="J102" s="30"/>
      <c r="K102" s="34"/>
      <c r="L102" s="35"/>
      <c r="M102" s="36"/>
      <c r="N102" s="37"/>
      <c r="O102" s="34"/>
      <c r="P102" s="32"/>
      <c r="Q102" s="38"/>
      <c r="R102" s="39"/>
      <c r="S102" s="39"/>
      <c r="T102" s="40"/>
      <c r="U102" s="38"/>
      <c r="V102" s="41"/>
      <c r="W102" s="42"/>
      <c r="X102" s="30"/>
      <c r="Y102" s="43"/>
      <c r="Z102" s="30"/>
      <c r="AA102" s="44"/>
      <c r="AB102" s="44"/>
    </row>
    <row r="103" ht="21.0" customHeight="1">
      <c r="A103" s="30"/>
      <c r="B103" s="30"/>
      <c r="C103" s="30"/>
      <c r="E103" s="30"/>
      <c r="F103" s="30"/>
      <c r="G103" s="31"/>
      <c r="H103" s="32"/>
      <c r="I103" s="33"/>
      <c r="J103" s="30"/>
      <c r="K103" s="34"/>
      <c r="L103" s="35"/>
      <c r="M103" s="36"/>
      <c r="N103" s="37"/>
      <c r="O103" s="34"/>
      <c r="P103" s="32"/>
      <c r="Q103" s="38"/>
      <c r="R103" s="39"/>
      <c r="S103" s="39"/>
      <c r="T103" s="40"/>
      <c r="U103" s="38"/>
      <c r="V103" s="41"/>
      <c r="W103" s="42"/>
      <c r="X103" s="30"/>
      <c r="Y103" s="43"/>
      <c r="Z103" s="30"/>
      <c r="AA103" s="44"/>
      <c r="AB103" s="44"/>
    </row>
    <row r="104" ht="21.0" customHeight="1">
      <c r="A104" s="30"/>
      <c r="B104" s="30"/>
      <c r="C104" s="30"/>
      <c r="E104" s="30"/>
      <c r="F104" s="30"/>
      <c r="G104" s="31"/>
      <c r="H104" s="32"/>
      <c r="I104" s="33"/>
      <c r="J104" s="30"/>
      <c r="K104" s="34"/>
      <c r="L104" s="35"/>
      <c r="M104" s="36"/>
      <c r="N104" s="37"/>
      <c r="O104" s="34"/>
      <c r="P104" s="32"/>
      <c r="Q104" s="38"/>
      <c r="R104" s="39"/>
      <c r="S104" s="39"/>
      <c r="T104" s="40"/>
      <c r="U104" s="38"/>
      <c r="V104" s="41"/>
      <c r="W104" s="42"/>
      <c r="X104" s="30"/>
      <c r="Y104" s="43"/>
      <c r="Z104" s="30"/>
      <c r="AA104" s="44"/>
      <c r="AB104" s="44"/>
    </row>
    <row r="105" ht="21.0" customHeight="1">
      <c r="A105" s="30"/>
      <c r="B105" s="30"/>
      <c r="C105" s="30"/>
      <c r="E105" s="30"/>
      <c r="F105" s="30"/>
      <c r="G105" s="31"/>
      <c r="H105" s="32"/>
      <c r="I105" s="33"/>
      <c r="J105" s="30"/>
      <c r="K105" s="34"/>
      <c r="L105" s="35"/>
      <c r="M105" s="36"/>
      <c r="N105" s="37"/>
      <c r="O105" s="34"/>
      <c r="P105" s="32"/>
      <c r="Q105" s="38"/>
      <c r="R105" s="39"/>
      <c r="S105" s="39"/>
      <c r="T105" s="40"/>
      <c r="U105" s="38"/>
      <c r="V105" s="41"/>
      <c r="W105" s="42"/>
      <c r="X105" s="30"/>
      <c r="Y105" s="43"/>
      <c r="Z105" s="30"/>
      <c r="AA105" s="44"/>
      <c r="AB105" s="44"/>
    </row>
    <row r="106" ht="21.0" customHeight="1">
      <c r="A106" s="30"/>
      <c r="B106" s="30"/>
      <c r="C106" s="30"/>
      <c r="E106" s="30"/>
      <c r="F106" s="30"/>
      <c r="G106" s="31"/>
      <c r="H106" s="32"/>
      <c r="I106" s="33"/>
      <c r="J106" s="30"/>
      <c r="K106" s="34"/>
      <c r="L106" s="35"/>
      <c r="M106" s="36"/>
      <c r="N106" s="37"/>
      <c r="O106" s="34"/>
      <c r="P106" s="32"/>
      <c r="Q106" s="38"/>
      <c r="R106" s="39"/>
      <c r="S106" s="39"/>
      <c r="T106" s="40"/>
      <c r="U106" s="38"/>
      <c r="V106" s="41"/>
      <c r="W106" s="42"/>
      <c r="X106" s="30"/>
      <c r="Y106" s="43"/>
      <c r="Z106" s="30"/>
      <c r="AA106" s="44"/>
      <c r="AB106" s="44"/>
    </row>
    <row r="107" ht="21.0" customHeight="1">
      <c r="A107" s="30"/>
      <c r="B107" s="30"/>
      <c r="C107" s="30"/>
      <c r="E107" s="30"/>
      <c r="F107" s="30"/>
      <c r="G107" s="31"/>
      <c r="H107" s="32"/>
      <c r="I107" s="33"/>
      <c r="J107" s="30"/>
      <c r="K107" s="34"/>
      <c r="L107" s="35"/>
      <c r="M107" s="36"/>
      <c r="N107" s="37"/>
      <c r="O107" s="34"/>
      <c r="P107" s="32"/>
      <c r="Q107" s="38"/>
      <c r="R107" s="39"/>
      <c r="S107" s="39"/>
      <c r="T107" s="40"/>
      <c r="U107" s="38"/>
      <c r="V107" s="41"/>
      <c r="W107" s="42"/>
      <c r="X107" s="30"/>
      <c r="Y107" s="43"/>
      <c r="Z107" s="30"/>
      <c r="AA107" s="44"/>
      <c r="AB107" s="44"/>
    </row>
    <row r="108" ht="21.0" customHeight="1">
      <c r="A108" s="30"/>
      <c r="B108" s="30"/>
      <c r="C108" s="30"/>
      <c r="E108" s="30"/>
      <c r="F108" s="30"/>
      <c r="G108" s="31"/>
      <c r="H108" s="32"/>
      <c r="I108" s="33"/>
      <c r="J108" s="30"/>
      <c r="K108" s="34"/>
      <c r="L108" s="35"/>
      <c r="M108" s="36"/>
      <c r="N108" s="37"/>
      <c r="O108" s="34"/>
      <c r="P108" s="32"/>
      <c r="Q108" s="38"/>
      <c r="R108" s="39"/>
      <c r="S108" s="39"/>
      <c r="T108" s="40"/>
      <c r="U108" s="38"/>
      <c r="V108" s="41"/>
      <c r="W108" s="42"/>
      <c r="X108" s="30"/>
      <c r="Y108" s="43"/>
      <c r="Z108" s="30"/>
      <c r="AA108" s="44"/>
      <c r="AB108" s="44"/>
    </row>
    <row r="109" ht="21.0" customHeight="1">
      <c r="A109" s="30"/>
      <c r="B109" s="30"/>
      <c r="C109" s="30"/>
      <c r="E109" s="30"/>
      <c r="F109" s="30"/>
      <c r="G109" s="31"/>
      <c r="H109" s="32"/>
      <c r="I109" s="33"/>
      <c r="J109" s="30"/>
      <c r="K109" s="34"/>
      <c r="L109" s="35"/>
      <c r="M109" s="36"/>
      <c r="N109" s="37"/>
      <c r="O109" s="34"/>
      <c r="P109" s="32"/>
      <c r="Q109" s="38"/>
      <c r="R109" s="39"/>
      <c r="S109" s="39"/>
      <c r="T109" s="40"/>
      <c r="U109" s="38"/>
      <c r="V109" s="41"/>
      <c r="W109" s="42"/>
      <c r="X109" s="30"/>
      <c r="Y109" s="43"/>
      <c r="Z109" s="30"/>
      <c r="AA109" s="44"/>
      <c r="AB109" s="44"/>
    </row>
    <row r="110" ht="21.0" customHeight="1">
      <c r="A110" s="30"/>
      <c r="B110" s="30"/>
      <c r="C110" s="30"/>
      <c r="E110" s="30"/>
      <c r="F110" s="30"/>
      <c r="G110" s="31"/>
      <c r="H110" s="32"/>
      <c r="I110" s="33"/>
      <c r="J110" s="30"/>
      <c r="K110" s="34"/>
      <c r="L110" s="35"/>
      <c r="M110" s="36"/>
      <c r="N110" s="37"/>
      <c r="O110" s="34"/>
      <c r="P110" s="32"/>
      <c r="Q110" s="38"/>
      <c r="R110" s="39"/>
      <c r="S110" s="39"/>
      <c r="T110" s="40"/>
      <c r="U110" s="38"/>
      <c r="V110" s="41"/>
      <c r="W110" s="42"/>
      <c r="X110" s="30"/>
      <c r="Y110" s="43"/>
      <c r="Z110" s="30"/>
      <c r="AA110" s="44"/>
      <c r="AB110" s="44"/>
    </row>
    <row r="111" ht="21.0" customHeight="1">
      <c r="A111" s="30"/>
      <c r="B111" s="30"/>
      <c r="C111" s="30"/>
      <c r="E111" s="30"/>
      <c r="F111" s="30"/>
      <c r="G111" s="31"/>
      <c r="H111" s="32"/>
      <c r="I111" s="33"/>
      <c r="J111" s="30"/>
      <c r="K111" s="34"/>
      <c r="L111" s="35"/>
      <c r="M111" s="36"/>
      <c r="N111" s="37"/>
      <c r="O111" s="34"/>
      <c r="P111" s="32"/>
      <c r="Q111" s="38"/>
      <c r="R111" s="39"/>
      <c r="S111" s="39"/>
      <c r="T111" s="40"/>
      <c r="U111" s="38"/>
      <c r="V111" s="41"/>
      <c r="W111" s="42"/>
      <c r="X111" s="30"/>
      <c r="Y111" s="43"/>
      <c r="Z111" s="30"/>
      <c r="AA111" s="44"/>
      <c r="AB111" s="44"/>
    </row>
    <row r="112" ht="21.0" customHeight="1">
      <c r="A112" s="30"/>
      <c r="B112" s="30"/>
      <c r="C112" s="30"/>
      <c r="E112" s="30"/>
      <c r="F112" s="30"/>
      <c r="G112" s="31"/>
      <c r="H112" s="32"/>
      <c r="I112" s="33"/>
      <c r="J112" s="30"/>
      <c r="K112" s="34"/>
      <c r="L112" s="35"/>
      <c r="M112" s="36"/>
      <c r="N112" s="37"/>
      <c r="O112" s="34"/>
      <c r="P112" s="32"/>
      <c r="Q112" s="38"/>
      <c r="R112" s="39"/>
      <c r="S112" s="39"/>
      <c r="T112" s="40"/>
      <c r="U112" s="38"/>
      <c r="V112" s="41"/>
      <c r="W112" s="42"/>
      <c r="X112" s="30"/>
      <c r="Y112" s="43"/>
      <c r="Z112" s="30"/>
      <c r="AA112" s="44"/>
      <c r="AB112" s="44"/>
    </row>
    <row r="113" ht="21.0" customHeight="1">
      <c r="A113" s="30"/>
      <c r="B113" s="30"/>
      <c r="C113" s="30"/>
      <c r="E113" s="30"/>
      <c r="F113" s="30"/>
      <c r="G113" s="31"/>
      <c r="H113" s="32"/>
      <c r="I113" s="33"/>
      <c r="J113" s="30"/>
      <c r="K113" s="34"/>
      <c r="L113" s="35"/>
      <c r="M113" s="36"/>
      <c r="N113" s="37"/>
      <c r="O113" s="34"/>
      <c r="P113" s="32"/>
      <c r="Q113" s="38"/>
      <c r="R113" s="39"/>
      <c r="S113" s="39"/>
      <c r="T113" s="40"/>
      <c r="U113" s="38"/>
      <c r="V113" s="41"/>
      <c r="W113" s="42"/>
      <c r="X113" s="30"/>
      <c r="Y113" s="43"/>
      <c r="Z113" s="30"/>
      <c r="AA113" s="44"/>
      <c r="AB113" s="44"/>
    </row>
    <row r="114" ht="21.0" customHeight="1">
      <c r="A114" s="30"/>
      <c r="B114" s="30"/>
      <c r="C114" s="30"/>
      <c r="E114" s="30"/>
      <c r="F114" s="30"/>
      <c r="G114" s="31"/>
      <c r="H114" s="32"/>
      <c r="I114" s="33"/>
      <c r="J114" s="30"/>
      <c r="K114" s="34"/>
      <c r="L114" s="35"/>
      <c r="M114" s="36"/>
      <c r="N114" s="37"/>
      <c r="O114" s="34"/>
      <c r="P114" s="32"/>
      <c r="Q114" s="38"/>
      <c r="R114" s="39"/>
      <c r="S114" s="39"/>
      <c r="T114" s="40"/>
      <c r="U114" s="38"/>
      <c r="V114" s="41"/>
      <c r="W114" s="42"/>
      <c r="X114" s="30"/>
      <c r="Y114" s="43"/>
      <c r="Z114" s="30"/>
      <c r="AA114" s="44"/>
      <c r="AB114" s="44"/>
    </row>
    <row r="115" ht="21.0" customHeight="1">
      <c r="A115" s="30"/>
      <c r="B115" s="30"/>
      <c r="C115" s="30"/>
      <c r="E115" s="30"/>
      <c r="F115" s="30"/>
      <c r="G115" s="31"/>
      <c r="H115" s="32"/>
      <c r="I115" s="33"/>
      <c r="J115" s="30"/>
      <c r="K115" s="34"/>
      <c r="L115" s="35"/>
      <c r="M115" s="36"/>
      <c r="N115" s="37"/>
      <c r="O115" s="34"/>
      <c r="P115" s="32"/>
      <c r="Q115" s="38"/>
      <c r="R115" s="39"/>
      <c r="S115" s="39"/>
      <c r="T115" s="40"/>
      <c r="U115" s="38"/>
      <c r="V115" s="41"/>
      <c r="W115" s="42"/>
      <c r="X115" s="30"/>
      <c r="Y115" s="43"/>
      <c r="Z115" s="30"/>
      <c r="AA115" s="44"/>
      <c r="AB115" s="44"/>
    </row>
    <row r="116" ht="21.0" customHeight="1">
      <c r="A116" s="30"/>
      <c r="B116" s="30"/>
      <c r="C116" s="30"/>
      <c r="E116" s="30"/>
      <c r="F116" s="30"/>
      <c r="G116" s="31"/>
      <c r="H116" s="32"/>
      <c r="I116" s="33"/>
      <c r="J116" s="30"/>
      <c r="K116" s="34"/>
      <c r="L116" s="35"/>
      <c r="M116" s="36"/>
      <c r="N116" s="37"/>
      <c r="O116" s="34"/>
      <c r="P116" s="32"/>
      <c r="Q116" s="38"/>
      <c r="R116" s="39"/>
      <c r="S116" s="39"/>
      <c r="T116" s="40"/>
      <c r="U116" s="38"/>
      <c r="V116" s="41"/>
      <c r="W116" s="42"/>
      <c r="X116" s="30"/>
      <c r="Y116" s="43"/>
      <c r="Z116" s="30"/>
      <c r="AA116" s="44"/>
      <c r="AB116" s="44"/>
    </row>
    <row r="117" ht="21.0" customHeight="1">
      <c r="A117" s="30"/>
      <c r="B117" s="30"/>
      <c r="C117" s="30"/>
      <c r="E117" s="30"/>
      <c r="F117" s="30"/>
      <c r="G117" s="31"/>
      <c r="H117" s="32"/>
      <c r="I117" s="33"/>
      <c r="J117" s="30"/>
      <c r="K117" s="34"/>
      <c r="L117" s="35"/>
      <c r="M117" s="36"/>
      <c r="N117" s="37"/>
      <c r="O117" s="34"/>
      <c r="P117" s="32"/>
      <c r="Q117" s="38"/>
      <c r="R117" s="39"/>
      <c r="S117" s="39"/>
      <c r="T117" s="40"/>
      <c r="U117" s="38"/>
      <c r="V117" s="41"/>
      <c r="W117" s="42"/>
      <c r="X117" s="30"/>
      <c r="Y117" s="43"/>
      <c r="Z117" s="30"/>
      <c r="AA117" s="44"/>
      <c r="AB117" s="44"/>
    </row>
    <row r="118" ht="21.0" customHeight="1">
      <c r="A118" s="30"/>
      <c r="B118" s="30"/>
      <c r="C118" s="30"/>
      <c r="E118" s="30"/>
      <c r="F118" s="30"/>
      <c r="G118" s="31"/>
      <c r="H118" s="32"/>
      <c r="I118" s="33"/>
      <c r="J118" s="30"/>
      <c r="K118" s="34"/>
      <c r="L118" s="35"/>
      <c r="M118" s="36"/>
      <c r="N118" s="37"/>
      <c r="O118" s="34"/>
      <c r="P118" s="32"/>
      <c r="Q118" s="38"/>
      <c r="R118" s="39"/>
      <c r="S118" s="39"/>
      <c r="T118" s="40"/>
      <c r="U118" s="38"/>
      <c r="V118" s="41"/>
      <c r="W118" s="42"/>
      <c r="X118" s="30"/>
      <c r="Y118" s="43"/>
      <c r="Z118" s="30"/>
      <c r="AA118" s="44"/>
      <c r="AB118" s="44"/>
    </row>
    <row r="119" ht="21.0" customHeight="1">
      <c r="A119" s="30"/>
      <c r="B119" s="30"/>
      <c r="C119" s="30"/>
      <c r="E119" s="30"/>
      <c r="F119" s="30"/>
      <c r="G119" s="31"/>
      <c r="H119" s="32"/>
      <c r="I119" s="33"/>
      <c r="J119" s="30"/>
      <c r="K119" s="34"/>
      <c r="L119" s="35"/>
      <c r="M119" s="36"/>
      <c r="N119" s="37"/>
      <c r="O119" s="34"/>
      <c r="P119" s="32"/>
      <c r="Q119" s="38"/>
      <c r="R119" s="39"/>
      <c r="S119" s="39"/>
      <c r="T119" s="40"/>
      <c r="U119" s="38"/>
      <c r="V119" s="41"/>
      <c r="W119" s="42"/>
      <c r="X119" s="30"/>
      <c r="Y119" s="43"/>
      <c r="Z119" s="30"/>
      <c r="AA119" s="44"/>
      <c r="AB119" s="44"/>
    </row>
    <row r="120" ht="21.0" customHeight="1">
      <c r="A120" s="30"/>
      <c r="B120" s="30"/>
      <c r="C120" s="30"/>
      <c r="E120" s="30"/>
      <c r="F120" s="30"/>
      <c r="G120" s="31"/>
      <c r="H120" s="32"/>
      <c r="I120" s="33"/>
      <c r="J120" s="30"/>
      <c r="K120" s="34"/>
      <c r="L120" s="35"/>
      <c r="M120" s="36"/>
      <c r="N120" s="37"/>
      <c r="O120" s="34"/>
      <c r="P120" s="32"/>
      <c r="Q120" s="38"/>
      <c r="R120" s="39"/>
      <c r="S120" s="39"/>
      <c r="T120" s="40"/>
      <c r="U120" s="38"/>
      <c r="V120" s="41"/>
      <c r="W120" s="42"/>
      <c r="X120" s="30"/>
      <c r="Y120" s="43"/>
      <c r="Z120" s="30"/>
      <c r="AA120" s="44"/>
      <c r="AB120" s="44"/>
    </row>
    <row r="121" ht="21.0" customHeight="1">
      <c r="A121" s="30"/>
      <c r="B121" s="30"/>
      <c r="C121" s="30"/>
      <c r="E121" s="30"/>
      <c r="F121" s="30"/>
      <c r="G121" s="31"/>
      <c r="H121" s="32"/>
      <c r="I121" s="33"/>
      <c r="J121" s="30"/>
      <c r="K121" s="34"/>
      <c r="L121" s="35"/>
      <c r="M121" s="36"/>
      <c r="N121" s="37"/>
      <c r="O121" s="34"/>
      <c r="P121" s="32"/>
      <c r="Q121" s="38"/>
      <c r="R121" s="39"/>
      <c r="S121" s="39"/>
      <c r="T121" s="40"/>
      <c r="U121" s="38"/>
      <c r="V121" s="41"/>
      <c r="W121" s="42"/>
      <c r="X121" s="30"/>
      <c r="Y121" s="43"/>
      <c r="Z121" s="30"/>
      <c r="AA121" s="44"/>
      <c r="AB121" s="44"/>
    </row>
    <row r="122" ht="21.0" customHeight="1">
      <c r="A122" s="30"/>
      <c r="B122" s="30"/>
      <c r="C122" s="30"/>
      <c r="E122" s="30"/>
      <c r="F122" s="30"/>
      <c r="G122" s="31"/>
      <c r="H122" s="32"/>
      <c r="I122" s="33"/>
      <c r="J122" s="30"/>
      <c r="K122" s="34"/>
      <c r="L122" s="35"/>
      <c r="M122" s="36"/>
      <c r="N122" s="37"/>
      <c r="O122" s="34"/>
      <c r="P122" s="32"/>
      <c r="Q122" s="38"/>
      <c r="R122" s="39"/>
      <c r="S122" s="39"/>
      <c r="T122" s="40"/>
      <c r="U122" s="38"/>
      <c r="V122" s="41"/>
      <c r="W122" s="42"/>
      <c r="X122" s="30"/>
      <c r="Y122" s="43"/>
      <c r="Z122" s="30"/>
      <c r="AA122" s="44"/>
      <c r="AB122" s="44"/>
    </row>
    <row r="123" ht="21.0" customHeight="1">
      <c r="A123" s="30"/>
      <c r="B123" s="30"/>
      <c r="C123" s="30"/>
      <c r="E123" s="30"/>
      <c r="F123" s="30"/>
      <c r="G123" s="31"/>
      <c r="H123" s="32"/>
      <c r="I123" s="33"/>
      <c r="J123" s="30"/>
      <c r="K123" s="34"/>
      <c r="L123" s="35"/>
      <c r="M123" s="36"/>
      <c r="N123" s="37"/>
      <c r="O123" s="34"/>
      <c r="P123" s="32"/>
      <c r="Q123" s="38"/>
      <c r="R123" s="39"/>
      <c r="S123" s="39"/>
      <c r="T123" s="40"/>
      <c r="U123" s="38"/>
      <c r="V123" s="41"/>
      <c r="W123" s="42"/>
      <c r="X123" s="30"/>
      <c r="Y123" s="43"/>
      <c r="Z123" s="30"/>
      <c r="AA123" s="44"/>
      <c r="AB123" s="44"/>
    </row>
    <row r="124" ht="21.0" customHeight="1">
      <c r="A124" s="30"/>
      <c r="B124" s="30"/>
      <c r="C124" s="30"/>
      <c r="E124" s="30"/>
      <c r="F124" s="30"/>
      <c r="G124" s="31"/>
      <c r="H124" s="32"/>
      <c r="I124" s="33"/>
      <c r="J124" s="30"/>
      <c r="K124" s="34"/>
      <c r="L124" s="35"/>
      <c r="M124" s="36"/>
      <c r="N124" s="37"/>
      <c r="O124" s="34"/>
      <c r="P124" s="32"/>
      <c r="Q124" s="38"/>
      <c r="R124" s="39"/>
      <c r="S124" s="39"/>
      <c r="T124" s="40"/>
      <c r="U124" s="38"/>
      <c r="V124" s="41"/>
      <c r="W124" s="42"/>
      <c r="X124" s="30"/>
      <c r="Y124" s="43"/>
      <c r="Z124" s="30"/>
      <c r="AA124" s="44"/>
      <c r="AB124" s="44"/>
    </row>
    <row r="125" ht="21.0" customHeight="1">
      <c r="A125" s="30"/>
      <c r="B125" s="30"/>
      <c r="C125" s="30"/>
      <c r="E125" s="30"/>
      <c r="F125" s="30"/>
      <c r="G125" s="31"/>
      <c r="H125" s="32"/>
      <c r="I125" s="33"/>
      <c r="J125" s="30"/>
      <c r="K125" s="34"/>
      <c r="L125" s="35"/>
      <c r="M125" s="36"/>
      <c r="N125" s="37"/>
      <c r="O125" s="34"/>
      <c r="P125" s="32"/>
      <c r="Q125" s="38"/>
      <c r="R125" s="39"/>
      <c r="S125" s="39"/>
      <c r="T125" s="40"/>
      <c r="U125" s="38"/>
      <c r="V125" s="41"/>
      <c r="W125" s="42"/>
      <c r="X125" s="30"/>
      <c r="Y125" s="43"/>
      <c r="Z125" s="30"/>
      <c r="AA125" s="44"/>
      <c r="AB125" s="44"/>
    </row>
    <row r="126" ht="21.0" customHeight="1">
      <c r="A126" s="30"/>
      <c r="B126" s="30"/>
      <c r="C126" s="30"/>
      <c r="E126" s="30"/>
      <c r="F126" s="30"/>
      <c r="G126" s="31"/>
      <c r="H126" s="32"/>
      <c r="I126" s="33"/>
      <c r="J126" s="30"/>
      <c r="K126" s="34"/>
      <c r="L126" s="35"/>
      <c r="M126" s="36"/>
      <c r="N126" s="37"/>
      <c r="O126" s="34"/>
      <c r="P126" s="32"/>
      <c r="Q126" s="38"/>
      <c r="R126" s="39"/>
      <c r="S126" s="39"/>
      <c r="T126" s="40"/>
      <c r="U126" s="38"/>
      <c r="V126" s="41"/>
      <c r="W126" s="42"/>
      <c r="X126" s="30"/>
      <c r="Y126" s="43"/>
      <c r="Z126" s="30"/>
      <c r="AA126" s="44"/>
      <c r="AB126" s="44"/>
    </row>
    <row r="127" ht="21.0" customHeight="1">
      <c r="A127" s="30"/>
      <c r="B127" s="30"/>
      <c r="C127" s="30"/>
      <c r="E127" s="30"/>
      <c r="F127" s="30"/>
      <c r="G127" s="31"/>
      <c r="H127" s="32"/>
      <c r="I127" s="33"/>
      <c r="J127" s="30"/>
      <c r="K127" s="34"/>
      <c r="L127" s="35"/>
      <c r="M127" s="36"/>
      <c r="N127" s="37"/>
      <c r="O127" s="34"/>
      <c r="P127" s="32"/>
      <c r="Q127" s="38"/>
      <c r="R127" s="39"/>
      <c r="S127" s="39"/>
      <c r="T127" s="40"/>
      <c r="U127" s="38"/>
      <c r="V127" s="41"/>
      <c r="W127" s="42"/>
      <c r="X127" s="30"/>
      <c r="Y127" s="43"/>
      <c r="Z127" s="30"/>
      <c r="AA127" s="44"/>
      <c r="AB127" s="44"/>
    </row>
    <row r="128" ht="21.0" customHeight="1">
      <c r="A128" s="30"/>
      <c r="B128" s="30"/>
      <c r="C128" s="30"/>
      <c r="E128" s="30"/>
      <c r="F128" s="30"/>
      <c r="G128" s="31"/>
      <c r="H128" s="32"/>
      <c r="I128" s="33"/>
      <c r="J128" s="30"/>
      <c r="K128" s="34"/>
      <c r="L128" s="35"/>
      <c r="M128" s="36"/>
      <c r="N128" s="37"/>
      <c r="O128" s="34"/>
      <c r="P128" s="32"/>
      <c r="Q128" s="38"/>
      <c r="R128" s="39"/>
      <c r="S128" s="39"/>
      <c r="T128" s="40"/>
      <c r="U128" s="38"/>
      <c r="V128" s="41"/>
      <c r="W128" s="42"/>
      <c r="X128" s="30"/>
      <c r="Y128" s="43"/>
      <c r="Z128" s="30"/>
      <c r="AA128" s="44"/>
      <c r="AB128" s="44"/>
    </row>
    <row r="129" ht="21.0" customHeight="1">
      <c r="A129" s="30"/>
      <c r="B129" s="30"/>
      <c r="C129" s="30"/>
      <c r="E129" s="30"/>
      <c r="F129" s="30"/>
      <c r="G129" s="31"/>
      <c r="H129" s="32"/>
      <c r="I129" s="33"/>
      <c r="J129" s="30"/>
      <c r="K129" s="34"/>
      <c r="L129" s="35"/>
      <c r="M129" s="36"/>
      <c r="N129" s="37"/>
      <c r="O129" s="34"/>
      <c r="P129" s="32"/>
      <c r="Q129" s="38"/>
      <c r="R129" s="39"/>
      <c r="S129" s="39"/>
      <c r="T129" s="40"/>
      <c r="U129" s="38"/>
      <c r="V129" s="41"/>
      <c r="W129" s="42"/>
      <c r="X129" s="30"/>
      <c r="Y129" s="43"/>
      <c r="Z129" s="30"/>
      <c r="AA129" s="44"/>
      <c r="AB129" s="44"/>
    </row>
    <row r="130" ht="21.0" customHeight="1">
      <c r="A130" s="30"/>
      <c r="B130" s="30"/>
      <c r="C130" s="30"/>
      <c r="E130" s="30"/>
      <c r="F130" s="30"/>
      <c r="G130" s="31"/>
      <c r="H130" s="32"/>
      <c r="I130" s="33"/>
      <c r="J130" s="30"/>
      <c r="K130" s="34"/>
      <c r="L130" s="35"/>
      <c r="M130" s="36"/>
      <c r="N130" s="37"/>
      <c r="O130" s="34"/>
      <c r="P130" s="32"/>
      <c r="Q130" s="38"/>
      <c r="R130" s="39"/>
      <c r="S130" s="39"/>
      <c r="T130" s="40"/>
      <c r="U130" s="38"/>
      <c r="V130" s="41"/>
      <c r="W130" s="42"/>
      <c r="X130" s="30"/>
      <c r="Y130" s="43"/>
      <c r="Z130" s="30"/>
      <c r="AA130" s="44"/>
      <c r="AB130" s="44"/>
    </row>
    <row r="131" ht="21.0" customHeight="1">
      <c r="A131" s="30"/>
      <c r="B131" s="30"/>
      <c r="C131" s="30"/>
      <c r="E131" s="30"/>
      <c r="F131" s="30"/>
      <c r="G131" s="31"/>
      <c r="H131" s="32"/>
      <c r="I131" s="33"/>
      <c r="J131" s="30"/>
      <c r="K131" s="34"/>
      <c r="L131" s="35"/>
      <c r="M131" s="36"/>
      <c r="N131" s="37"/>
      <c r="O131" s="34"/>
      <c r="P131" s="32"/>
      <c r="Q131" s="38"/>
      <c r="R131" s="39"/>
      <c r="S131" s="39"/>
      <c r="T131" s="40"/>
      <c r="U131" s="38"/>
      <c r="V131" s="41"/>
      <c r="W131" s="42"/>
      <c r="X131" s="30"/>
      <c r="Y131" s="43"/>
      <c r="Z131" s="30"/>
      <c r="AA131" s="44"/>
      <c r="AB131" s="44"/>
    </row>
    <row r="132" ht="21.0" customHeight="1">
      <c r="A132" s="30"/>
      <c r="B132" s="30"/>
      <c r="C132" s="30"/>
      <c r="E132" s="30"/>
      <c r="F132" s="30"/>
      <c r="G132" s="31"/>
      <c r="H132" s="32"/>
      <c r="I132" s="33"/>
      <c r="J132" s="30"/>
      <c r="K132" s="34"/>
      <c r="L132" s="35"/>
      <c r="M132" s="36"/>
      <c r="N132" s="37"/>
      <c r="O132" s="34"/>
      <c r="P132" s="32"/>
      <c r="Q132" s="38"/>
      <c r="R132" s="39"/>
      <c r="S132" s="39"/>
      <c r="T132" s="40"/>
      <c r="U132" s="38"/>
      <c r="V132" s="41"/>
      <c r="W132" s="42"/>
      <c r="X132" s="30"/>
      <c r="Y132" s="43"/>
      <c r="Z132" s="30"/>
      <c r="AA132" s="44"/>
      <c r="AB132" s="44"/>
    </row>
    <row r="133" ht="21.0" customHeight="1">
      <c r="A133" s="30"/>
      <c r="B133" s="30"/>
      <c r="C133" s="30"/>
      <c r="E133" s="30"/>
      <c r="F133" s="30"/>
      <c r="G133" s="31"/>
      <c r="H133" s="32"/>
      <c r="I133" s="33"/>
      <c r="J133" s="30"/>
      <c r="K133" s="34"/>
      <c r="L133" s="35"/>
      <c r="M133" s="36"/>
      <c r="N133" s="37"/>
      <c r="O133" s="34"/>
      <c r="P133" s="32"/>
      <c r="Q133" s="38"/>
      <c r="R133" s="39"/>
      <c r="S133" s="39"/>
      <c r="T133" s="40"/>
      <c r="U133" s="38"/>
      <c r="V133" s="41"/>
      <c r="W133" s="42"/>
      <c r="X133" s="30"/>
      <c r="Y133" s="43"/>
      <c r="Z133" s="30"/>
      <c r="AA133" s="44"/>
      <c r="AB133" s="44"/>
    </row>
    <row r="134" ht="21.0" customHeight="1">
      <c r="A134" s="30"/>
      <c r="B134" s="30"/>
      <c r="C134" s="30"/>
      <c r="E134" s="30"/>
      <c r="F134" s="30"/>
      <c r="G134" s="31"/>
      <c r="H134" s="32"/>
      <c r="I134" s="33"/>
      <c r="J134" s="30"/>
      <c r="K134" s="34"/>
      <c r="L134" s="35"/>
      <c r="M134" s="36"/>
      <c r="N134" s="37"/>
      <c r="O134" s="34"/>
      <c r="P134" s="32"/>
      <c r="Q134" s="38"/>
      <c r="R134" s="39"/>
      <c r="S134" s="39"/>
      <c r="T134" s="40"/>
      <c r="U134" s="38"/>
      <c r="V134" s="41"/>
      <c r="W134" s="42"/>
      <c r="X134" s="30"/>
      <c r="Y134" s="43"/>
      <c r="Z134" s="30"/>
      <c r="AA134" s="44"/>
      <c r="AB134" s="44"/>
    </row>
    <row r="135" ht="21.0" customHeight="1">
      <c r="A135" s="30"/>
      <c r="B135" s="30"/>
      <c r="C135" s="30"/>
      <c r="E135" s="30"/>
      <c r="F135" s="30"/>
      <c r="G135" s="31"/>
      <c r="H135" s="32"/>
      <c r="I135" s="33"/>
      <c r="J135" s="30"/>
      <c r="K135" s="34"/>
      <c r="L135" s="35"/>
      <c r="M135" s="36"/>
      <c r="N135" s="37"/>
      <c r="O135" s="34"/>
      <c r="P135" s="32"/>
      <c r="Q135" s="38"/>
      <c r="R135" s="39"/>
      <c r="S135" s="39"/>
      <c r="T135" s="40"/>
      <c r="U135" s="38"/>
      <c r="V135" s="41"/>
      <c r="W135" s="42"/>
      <c r="X135" s="30"/>
      <c r="Y135" s="43"/>
      <c r="Z135" s="30"/>
      <c r="AA135" s="44"/>
      <c r="AB135" s="44"/>
    </row>
    <row r="136" ht="21.0" customHeight="1">
      <c r="A136" s="30"/>
      <c r="B136" s="30"/>
      <c r="C136" s="30"/>
      <c r="E136" s="30"/>
      <c r="F136" s="30"/>
      <c r="G136" s="31"/>
      <c r="H136" s="32"/>
      <c r="I136" s="33"/>
      <c r="J136" s="30"/>
      <c r="K136" s="34"/>
      <c r="L136" s="35"/>
      <c r="M136" s="36"/>
      <c r="N136" s="37"/>
      <c r="O136" s="34"/>
      <c r="P136" s="32"/>
      <c r="Q136" s="38"/>
      <c r="R136" s="39"/>
      <c r="S136" s="39"/>
      <c r="T136" s="40"/>
      <c r="U136" s="38"/>
      <c r="V136" s="41"/>
      <c r="W136" s="42"/>
      <c r="X136" s="30"/>
      <c r="Y136" s="43"/>
      <c r="Z136" s="30"/>
      <c r="AA136" s="44"/>
      <c r="AB136" s="44"/>
    </row>
    <row r="137" ht="21.0" customHeight="1">
      <c r="A137" s="30"/>
      <c r="B137" s="30"/>
      <c r="C137" s="30"/>
      <c r="E137" s="30"/>
      <c r="F137" s="30"/>
      <c r="G137" s="31"/>
      <c r="H137" s="32"/>
      <c r="I137" s="33"/>
      <c r="J137" s="30"/>
      <c r="K137" s="34"/>
      <c r="L137" s="35"/>
      <c r="M137" s="36"/>
      <c r="N137" s="37"/>
      <c r="O137" s="34"/>
      <c r="P137" s="32"/>
      <c r="Q137" s="38"/>
      <c r="R137" s="39"/>
      <c r="S137" s="39"/>
      <c r="T137" s="40"/>
      <c r="U137" s="38"/>
      <c r="V137" s="41"/>
      <c r="W137" s="42"/>
      <c r="X137" s="30"/>
      <c r="Y137" s="43"/>
      <c r="Z137" s="30"/>
      <c r="AA137" s="44"/>
      <c r="AB137" s="44"/>
    </row>
    <row r="138" ht="21.0" customHeight="1">
      <c r="A138" s="30"/>
      <c r="B138" s="30"/>
      <c r="C138" s="30"/>
      <c r="E138" s="30"/>
      <c r="F138" s="30"/>
      <c r="G138" s="31"/>
      <c r="H138" s="32"/>
      <c r="I138" s="33"/>
      <c r="J138" s="30"/>
      <c r="K138" s="34"/>
      <c r="L138" s="35"/>
      <c r="M138" s="36"/>
      <c r="N138" s="37"/>
      <c r="O138" s="34"/>
      <c r="P138" s="32"/>
      <c r="Q138" s="38"/>
      <c r="R138" s="39"/>
      <c r="S138" s="39"/>
      <c r="T138" s="40"/>
      <c r="U138" s="38"/>
      <c r="V138" s="41"/>
      <c r="W138" s="42"/>
      <c r="X138" s="30"/>
      <c r="Y138" s="43"/>
      <c r="Z138" s="30"/>
      <c r="AA138" s="44"/>
      <c r="AB138" s="44"/>
    </row>
    <row r="139" ht="21.0" customHeight="1">
      <c r="A139" s="30"/>
      <c r="B139" s="30"/>
      <c r="C139" s="30"/>
      <c r="E139" s="30"/>
      <c r="F139" s="30"/>
      <c r="G139" s="31"/>
      <c r="H139" s="32"/>
      <c r="I139" s="33"/>
      <c r="J139" s="30"/>
      <c r="K139" s="34"/>
      <c r="L139" s="35"/>
      <c r="M139" s="36"/>
      <c r="N139" s="37"/>
      <c r="O139" s="34"/>
      <c r="P139" s="32"/>
      <c r="Q139" s="38"/>
      <c r="R139" s="39"/>
      <c r="S139" s="39"/>
      <c r="T139" s="40"/>
      <c r="U139" s="38"/>
      <c r="V139" s="41"/>
      <c r="W139" s="42"/>
      <c r="X139" s="30"/>
      <c r="Y139" s="43"/>
      <c r="Z139" s="30"/>
      <c r="AA139" s="44"/>
      <c r="AB139" s="44"/>
    </row>
    <row r="140" ht="21.0" customHeight="1">
      <c r="A140" s="30"/>
      <c r="B140" s="30"/>
      <c r="C140" s="30"/>
      <c r="E140" s="30"/>
      <c r="F140" s="30"/>
      <c r="G140" s="31"/>
      <c r="H140" s="32"/>
      <c r="I140" s="33"/>
      <c r="J140" s="30"/>
      <c r="K140" s="34"/>
      <c r="L140" s="35"/>
      <c r="M140" s="36"/>
      <c r="N140" s="37"/>
      <c r="O140" s="34"/>
      <c r="P140" s="32"/>
      <c r="Q140" s="38"/>
      <c r="R140" s="39"/>
      <c r="S140" s="39"/>
      <c r="T140" s="40"/>
      <c r="U140" s="38"/>
      <c r="V140" s="41"/>
      <c r="W140" s="42"/>
      <c r="X140" s="30"/>
      <c r="Y140" s="43"/>
      <c r="Z140" s="30"/>
      <c r="AA140" s="44"/>
      <c r="AB140" s="44"/>
    </row>
    <row r="141" ht="21.0" customHeight="1">
      <c r="A141" s="30"/>
      <c r="B141" s="30"/>
      <c r="C141" s="30"/>
      <c r="E141" s="30"/>
      <c r="F141" s="30"/>
      <c r="G141" s="31"/>
      <c r="H141" s="32"/>
      <c r="I141" s="33"/>
      <c r="J141" s="30"/>
      <c r="K141" s="34"/>
      <c r="L141" s="35"/>
      <c r="M141" s="36"/>
      <c r="N141" s="37"/>
      <c r="O141" s="34"/>
      <c r="P141" s="32"/>
      <c r="Q141" s="38"/>
      <c r="R141" s="39"/>
      <c r="S141" s="39"/>
      <c r="T141" s="40"/>
      <c r="U141" s="38"/>
      <c r="V141" s="41"/>
      <c r="W141" s="42"/>
      <c r="X141" s="30"/>
      <c r="Y141" s="43"/>
      <c r="Z141" s="30"/>
      <c r="AA141" s="44"/>
      <c r="AB141" s="44"/>
    </row>
    <row r="142" ht="21.0" customHeight="1">
      <c r="A142" s="30"/>
      <c r="B142" s="30"/>
      <c r="C142" s="30"/>
      <c r="E142" s="30"/>
      <c r="F142" s="30"/>
      <c r="G142" s="31"/>
      <c r="H142" s="32"/>
      <c r="I142" s="33"/>
      <c r="J142" s="30"/>
      <c r="K142" s="34"/>
      <c r="L142" s="35"/>
      <c r="M142" s="36"/>
      <c r="N142" s="37"/>
      <c r="O142" s="34"/>
      <c r="P142" s="32"/>
      <c r="Q142" s="38"/>
      <c r="R142" s="39"/>
      <c r="S142" s="39"/>
      <c r="T142" s="40"/>
      <c r="U142" s="38"/>
      <c r="V142" s="41"/>
      <c r="W142" s="42"/>
      <c r="X142" s="30"/>
      <c r="Y142" s="43"/>
      <c r="Z142" s="30"/>
      <c r="AA142" s="44"/>
      <c r="AB142" s="44"/>
    </row>
    <row r="143" ht="21.0" customHeight="1">
      <c r="A143" s="30"/>
      <c r="B143" s="30"/>
      <c r="C143" s="30"/>
      <c r="E143" s="30"/>
      <c r="F143" s="30"/>
      <c r="G143" s="31"/>
      <c r="H143" s="32"/>
      <c r="I143" s="33"/>
      <c r="J143" s="30"/>
      <c r="K143" s="34"/>
      <c r="L143" s="35"/>
      <c r="M143" s="36"/>
      <c r="N143" s="37"/>
      <c r="O143" s="34"/>
      <c r="P143" s="32"/>
      <c r="Q143" s="38"/>
      <c r="R143" s="39"/>
      <c r="S143" s="39"/>
      <c r="T143" s="40"/>
      <c r="U143" s="38"/>
      <c r="V143" s="41"/>
      <c r="W143" s="42"/>
      <c r="X143" s="30"/>
      <c r="Y143" s="43"/>
      <c r="Z143" s="30"/>
      <c r="AA143" s="44"/>
      <c r="AB143" s="44"/>
    </row>
    <row r="144" ht="21.0" customHeight="1">
      <c r="A144" s="30"/>
      <c r="B144" s="30"/>
      <c r="C144" s="30"/>
      <c r="E144" s="30"/>
      <c r="F144" s="30"/>
      <c r="G144" s="31"/>
      <c r="H144" s="32"/>
      <c r="I144" s="33"/>
      <c r="J144" s="30"/>
      <c r="K144" s="34"/>
      <c r="L144" s="35"/>
      <c r="M144" s="36"/>
      <c r="N144" s="37"/>
      <c r="O144" s="34"/>
      <c r="P144" s="32"/>
      <c r="Q144" s="38"/>
      <c r="R144" s="39"/>
      <c r="S144" s="39"/>
      <c r="T144" s="40"/>
      <c r="U144" s="38"/>
      <c r="V144" s="41"/>
      <c r="W144" s="42"/>
      <c r="X144" s="30"/>
      <c r="Y144" s="43"/>
      <c r="Z144" s="30"/>
      <c r="AA144" s="44"/>
      <c r="AB144" s="44"/>
    </row>
    <row r="145" ht="21.0" customHeight="1">
      <c r="A145" s="30"/>
      <c r="B145" s="30"/>
      <c r="C145" s="30"/>
      <c r="E145" s="30"/>
      <c r="F145" s="30"/>
      <c r="G145" s="31"/>
      <c r="H145" s="32"/>
      <c r="I145" s="33"/>
      <c r="J145" s="30"/>
      <c r="K145" s="34"/>
      <c r="L145" s="35"/>
      <c r="M145" s="36"/>
      <c r="N145" s="37"/>
      <c r="O145" s="34"/>
      <c r="P145" s="32"/>
      <c r="Q145" s="38"/>
      <c r="R145" s="39"/>
      <c r="S145" s="39"/>
      <c r="T145" s="40"/>
      <c r="U145" s="38"/>
      <c r="V145" s="41"/>
      <c r="W145" s="42"/>
      <c r="X145" s="30"/>
      <c r="Y145" s="43"/>
      <c r="Z145" s="30"/>
      <c r="AA145" s="44"/>
      <c r="AB145" s="44"/>
    </row>
    <row r="146" ht="21.0" customHeight="1">
      <c r="A146" s="30"/>
      <c r="B146" s="30"/>
      <c r="C146" s="30"/>
      <c r="E146" s="30"/>
      <c r="F146" s="30"/>
      <c r="G146" s="31"/>
      <c r="H146" s="32"/>
      <c r="I146" s="33"/>
      <c r="J146" s="30"/>
      <c r="K146" s="34"/>
      <c r="L146" s="35"/>
      <c r="M146" s="36"/>
      <c r="N146" s="37"/>
      <c r="O146" s="34"/>
      <c r="P146" s="32"/>
      <c r="Q146" s="38"/>
      <c r="R146" s="39"/>
      <c r="S146" s="39"/>
      <c r="T146" s="40"/>
      <c r="U146" s="38"/>
      <c r="V146" s="41"/>
      <c r="W146" s="42"/>
      <c r="X146" s="30"/>
      <c r="Y146" s="43"/>
      <c r="Z146" s="30"/>
      <c r="AA146" s="44"/>
      <c r="AB146" s="44"/>
    </row>
    <row r="147" ht="21.0" customHeight="1">
      <c r="A147" s="30"/>
      <c r="B147" s="30"/>
      <c r="C147" s="30"/>
      <c r="E147" s="30"/>
      <c r="F147" s="30"/>
      <c r="G147" s="31"/>
      <c r="H147" s="32"/>
      <c r="I147" s="33"/>
      <c r="J147" s="30"/>
      <c r="K147" s="34"/>
      <c r="L147" s="35"/>
      <c r="M147" s="36"/>
      <c r="N147" s="37"/>
      <c r="O147" s="34"/>
      <c r="P147" s="32"/>
      <c r="Q147" s="38"/>
      <c r="R147" s="39"/>
      <c r="S147" s="39"/>
      <c r="T147" s="40"/>
      <c r="U147" s="38"/>
      <c r="V147" s="41"/>
      <c r="W147" s="42"/>
      <c r="X147" s="30"/>
      <c r="Y147" s="43"/>
      <c r="Z147" s="30"/>
      <c r="AA147" s="44"/>
      <c r="AB147" s="44"/>
    </row>
    <row r="148" ht="21.0" customHeight="1">
      <c r="A148" s="30"/>
      <c r="B148" s="30"/>
      <c r="C148" s="30"/>
      <c r="E148" s="30"/>
      <c r="F148" s="30"/>
      <c r="G148" s="31"/>
      <c r="H148" s="32"/>
      <c r="I148" s="33"/>
      <c r="J148" s="30"/>
      <c r="K148" s="34"/>
      <c r="L148" s="35"/>
      <c r="M148" s="36"/>
      <c r="N148" s="37"/>
      <c r="O148" s="34"/>
      <c r="P148" s="32"/>
      <c r="Q148" s="38"/>
      <c r="R148" s="39"/>
      <c r="S148" s="39"/>
      <c r="T148" s="40"/>
      <c r="U148" s="38"/>
      <c r="V148" s="41"/>
      <c r="W148" s="42"/>
      <c r="X148" s="30"/>
      <c r="Y148" s="43"/>
      <c r="Z148" s="30"/>
      <c r="AA148" s="44"/>
      <c r="AB148" s="44"/>
    </row>
    <row r="149" ht="21.0" customHeight="1">
      <c r="A149" s="30"/>
      <c r="B149" s="30"/>
      <c r="C149" s="30"/>
      <c r="E149" s="30"/>
      <c r="F149" s="30"/>
      <c r="G149" s="31"/>
      <c r="H149" s="32"/>
      <c r="I149" s="33"/>
      <c r="J149" s="30"/>
      <c r="K149" s="34"/>
      <c r="L149" s="35"/>
      <c r="M149" s="36"/>
      <c r="N149" s="37"/>
      <c r="O149" s="34"/>
      <c r="P149" s="32"/>
      <c r="Q149" s="38"/>
      <c r="R149" s="39"/>
      <c r="S149" s="39"/>
      <c r="T149" s="40"/>
      <c r="U149" s="38"/>
      <c r="V149" s="41"/>
      <c r="W149" s="42"/>
      <c r="X149" s="30"/>
      <c r="Y149" s="43"/>
      <c r="Z149" s="30"/>
      <c r="AA149" s="44"/>
      <c r="AB149" s="44"/>
    </row>
    <row r="150" ht="21.0" customHeight="1">
      <c r="A150" s="30"/>
      <c r="B150" s="30"/>
      <c r="C150" s="30"/>
      <c r="E150" s="30"/>
      <c r="F150" s="30"/>
      <c r="G150" s="31"/>
      <c r="H150" s="32"/>
      <c r="I150" s="33"/>
      <c r="J150" s="30"/>
      <c r="K150" s="34"/>
      <c r="L150" s="35"/>
      <c r="M150" s="36"/>
      <c r="N150" s="37"/>
      <c r="O150" s="34"/>
      <c r="P150" s="32"/>
      <c r="Q150" s="38"/>
      <c r="R150" s="39"/>
      <c r="S150" s="39"/>
      <c r="T150" s="40"/>
      <c r="U150" s="38"/>
      <c r="V150" s="41"/>
      <c r="W150" s="42"/>
      <c r="X150" s="30"/>
      <c r="Y150" s="43"/>
      <c r="Z150" s="30"/>
      <c r="AA150" s="44"/>
      <c r="AB150" s="44"/>
    </row>
    <row r="151" ht="21.0" customHeight="1">
      <c r="A151" s="30"/>
      <c r="B151" s="30"/>
      <c r="C151" s="30"/>
      <c r="E151" s="30"/>
      <c r="F151" s="30"/>
      <c r="G151" s="31"/>
      <c r="H151" s="32"/>
      <c r="I151" s="33"/>
      <c r="J151" s="30"/>
      <c r="K151" s="34"/>
      <c r="L151" s="35"/>
      <c r="M151" s="36"/>
      <c r="N151" s="37"/>
      <c r="O151" s="34"/>
      <c r="P151" s="32"/>
      <c r="Q151" s="38"/>
      <c r="R151" s="39"/>
      <c r="S151" s="39"/>
      <c r="T151" s="40"/>
      <c r="U151" s="38"/>
      <c r="V151" s="41"/>
      <c r="W151" s="42"/>
      <c r="X151" s="30"/>
      <c r="Y151" s="43"/>
      <c r="Z151" s="30"/>
      <c r="AA151" s="44"/>
      <c r="AB151" s="44"/>
    </row>
    <row r="152" ht="21.0" customHeight="1">
      <c r="A152" s="30"/>
      <c r="B152" s="30"/>
      <c r="C152" s="30"/>
      <c r="E152" s="30"/>
      <c r="F152" s="30"/>
      <c r="G152" s="31"/>
      <c r="H152" s="32"/>
      <c r="I152" s="33"/>
      <c r="J152" s="30"/>
      <c r="K152" s="34"/>
      <c r="L152" s="35"/>
      <c r="M152" s="36"/>
      <c r="N152" s="37"/>
      <c r="O152" s="34"/>
      <c r="P152" s="32"/>
      <c r="Q152" s="38"/>
      <c r="R152" s="39"/>
      <c r="S152" s="39"/>
      <c r="T152" s="40"/>
      <c r="U152" s="38"/>
      <c r="V152" s="41"/>
      <c r="W152" s="42"/>
      <c r="X152" s="30"/>
      <c r="Y152" s="43"/>
      <c r="Z152" s="30"/>
      <c r="AA152" s="44"/>
      <c r="AB152" s="44"/>
    </row>
    <row r="153" ht="21.0" customHeight="1">
      <c r="A153" s="30"/>
      <c r="B153" s="30"/>
      <c r="C153" s="30"/>
      <c r="E153" s="30"/>
      <c r="F153" s="30"/>
      <c r="G153" s="31"/>
      <c r="H153" s="32"/>
      <c r="I153" s="33"/>
      <c r="J153" s="30"/>
      <c r="K153" s="34"/>
      <c r="L153" s="35"/>
      <c r="M153" s="36"/>
      <c r="N153" s="37"/>
      <c r="O153" s="34"/>
      <c r="P153" s="32"/>
      <c r="Q153" s="38"/>
      <c r="R153" s="39"/>
      <c r="S153" s="39"/>
      <c r="T153" s="40"/>
      <c r="U153" s="38"/>
      <c r="V153" s="41"/>
      <c r="W153" s="42"/>
      <c r="X153" s="30"/>
      <c r="Y153" s="43"/>
      <c r="Z153" s="30"/>
      <c r="AA153" s="44"/>
      <c r="AB153" s="44"/>
    </row>
    <row r="154" ht="21.0" customHeight="1">
      <c r="A154" s="30"/>
      <c r="B154" s="30"/>
      <c r="C154" s="30"/>
      <c r="E154" s="30"/>
      <c r="F154" s="30"/>
      <c r="G154" s="31"/>
      <c r="H154" s="32"/>
      <c r="I154" s="33"/>
      <c r="J154" s="30"/>
      <c r="K154" s="34"/>
      <c r="L154" s="35"/>
      <c r="M154" s="36"/>
      <c r="N154" s="37"/>
      <c r="O154" s="34"/>
      <c r="P154" s="32"/>
      <c r="Q154" s="38"/>
      <c r="R154" s="39"/>
      <c r="S154" s="39"/>
      <c r="T154" s="40"/>
      <c r="U154" s="38"/>
      <c r="V154" s="41"/>
      <c r="W154" s="42"/>
      <c r="X154" s="30"/>
      <c r="Y154" s="43"/>
      <c r="Z154" s="30"/>
      <c r="AA154" s="44"/>
      <c r="AB154" s="44"/>
    </row>
    <row r="155" ht="21.0" customHeight="1">
      <c r="A155" s="30"/>
      <c r="B155" s="30"/>
      <c r="C155" s="30"/>
      <c r="E155" s="30"/>
      <c r="F155" s="30"/>
      <c r="G155" s="31"/>
      <c r="H155" s="32"/>
      <c r="I155" s="33"/>
      <c r="J155" s="30"/>
      <c r="K155" s="34"/>
      <c r="L155" s="35"/>
      <c r="M155" s="36"/>
      <c r="N155" s="37"/>
      <c r="O155" s="34"/>
      <c r="P155" s="32"/>
      <c r="Q155" s="38"/>
      <c r="R155" s="39"/>
      <c r="S155" s="39"/>
      <c r="T155" s="40"/>
      <c r="U155" s="38"/>
      <c r="V155" s="41"/>
      <c r="W155" s="42"/>
      <c r="X155" s="30"/>
      <c r="Y155" s="43"/>
      <c r="Z155" s="30"/>
      <c r="AA155" s="44"/>
      <c r="AB155" s="44"/>
    </row>
    <row r="156" ht="21.0" customHeight="1">
      <c r="A156" s="30"/>
      <c r="B156" s="30"/>
      <c r="C156" s="30"/>
      <c r="E156" s="30"/>
      <c r="F156" s="30"/>
      <c r="G156" s="31"/>
      <c r="H156" s="32"/>
      <c r="I156" s="33"/>
      <c r="J156" s="30"/>
      <c r="K156" s="34"/>
      <c r="L156" s="35"/>
      <c r="M156" s="36"/>
      <c r="N156" s="37"/>
      <c r="O156" s="34"/>
      <c r="P156" s="32"/>
      <c r="Q156" s="38"/>
      <c r="R156" s="39"/>
      <c r="S156" s="39"/>
      <c r="T156" s="40"/>
      <c r="U156" s="38"/>
      <c r="V156" s="41"/>
      <c r="W156" s="42"/>
      <c r="X156" s="30"/>
      <c r="Y156" s="43"/>
      <c r="Z156" s="30"/>
      <c r="AA156" s="44"/>
      <c r="AB156" s="44"/>
    </row>
    <row r="157" ht="21.0" customHeight="1">
      <c r="A157" s="30"/>
      <c r="B157" s="30"/>
      <c r="C157" s="30"/>
      <c r="E157" s="30"/>
      <c r="F157" s="30"/>
      <c r="G157" s="31"/>
      <c r="H157" s="32"/>
      <c r="I157" s="33"/>
      <c r="J157" s="30"/>
      <c r="K157" s="34"/>
      <c r="L157" s="35"/>
      <c r="M157" s="36"/>
      <c r="N157" s="37"/>
      <c r="O157" s="34"/>
      <c r="P157" s="32"/>
      <c r="Q157" s="38"/>
      <c r="R157" s="39"/>
      <c r="S157" s="39"/>
      <c r="T157" s="40"/>
      <c r="U157" s="38"/>
      <c r="V157" s="41"/>
      <c r="W157" s="42"/>
      <c r="X157" s="30"/>
      <c r="Y157" s="43"/>
      <c r="Z157" s="30"/>
      <c r="AA157" s="44"/>
      <c r="AB157" s="44"/>
    </row>
    <row r="158" ht="21.0" customHeight="1">
      <c r="A158" s="30"/>
      <c r="B158" s="30"/>
      <c r="C158" s="30"/>
      <c r="E158" s="30"/>
      <c r="F158" s="30"/>
      <c r="G158" s="31"/>
      <c r="H158" s="32"/>
      <c r="I158" s="33"/>
      <c r="J158" s="30"/>
      <c r="K158" s="34"/>
      <c r="L158" s="35"/>
      <c r="M158" s="36"/>
      <c r="N158" s="37"/>
      <c r="O158" s="34"/>
      <c r="P158" s="32"/>
      <c r="Q158" s="38"/>
      <c r="R158" s="39"/>
      <c r="S158" s="39"/>
      <c r="T158" s="40"/>
      <c r="U158" s="38"/>
      <c r="V158" s="41"/>
      <c r="W158" s="42"/>
      <c r="X158" s="30"/>
      <c r="Y158" s="43"/>
      <c r="Z158" s="30"/>
      <c r="AA158" s="44"/>
      <c r="AB158" s="44"/>
    </row>
    <row r="159" ht="21.0" customHeight="1">
      <c r="A159" s="30"/>
      <c r="B159" s="30"/>
      <c r="C159" s="30"/>
      <c r="E159" s="30"/>
      <c r="F159" s="30"/>
      <c r="G159" s="31"/>
      <c r="H159" s="32"/>
      <c r="I159" s="33"/>
      <c r="J159" s="30"/>
      <c r="K159" s="34"/>
      <c r="L159" s="35"/>
      <c r="M159" s="36"/>
      <c r="N159" s="37"/>
      <c r="O159" s="34"/>
      <c r="P159" s="32"/>
      <c r="Q159" s="38"/>
      <c r="R159" s="39"/>
      <c r="S159" s="39"/>
      <c r="T159" s="40"/>
      <c r="U159" s="38"/>
      <c r="V159" s="41"/>
      <c r="W159" s="42"/>
      <c r="X159" s="30"/>
      <c r="Y159" s="43"/>
      <c r="Z159" s="30"/>
      <c r="AA159" s="44"/>
      <c r="AB159" s="44"/>
    </row>
    <row r="160" ht="21.0" customHeight="1">
      <c r="A160" s="30"/>
      <c r="B160" s="30"/>
      <c r="C160" s="30"/>
      <c r="E160" s="30"/>
      <c r="F160" s="30"/>
      <c r="G160" s="31"/>
      <c r="H160" s="32"/>
      <c r="I160" s="33"/>
      <c r="J160" s="30"/>
      <c r="K160" s="34"/>
      <c r="L160" s="35"/>
      <c r="M160" s="36"/>
      <c r="N160" s="37"/>
      <c r="O160" s="34"/>
      <c r="P160" s="32"/>
      <c r="Q160" s="38"/>
      <c r="R160" s="39"/>
      <c r="S160" s="39"/>
      <c r="T160" s="40"/>
      <c r="U160" s="38"/>
      <c r="V160" s="41"/>
      <c r="W160" s="42"/>
      <c r="X160" s="30"/>
      <c r="Y160" s="43"/>
      <c r="Z160" s="30"/>
      <c r="AA160" s="44"/>
      <c r="AB160" s="44"/>
    </row>
    <row r="161" ht="21.0" customHeight="1">
      <c r="A161" s="30"/>
      <c r="B161" s="30"/>
      <c r="C161" s="30"/>
      <c r="E161" s="30"/>
      <c r="F161" s="30"/>
      <c r="G161" s="31"/>
      <c r="H161" s="32"/>
      <c r="I161" s="33"/>
      <c r="J161" s="30"/>
      <c r="K161" s="34"/>
      <c r="L161" s="35"/>
      <c r="M161" s="36"/>
      <c r="N161" s="37"/>
      <c r="O161" s="34"/>
      <c r="P161" s="32"/>
      <c r="Q161" s="38"/>
      <c r="R161" s="39"/>
      <c r="S161" s="39"/>
      <c r="T161" s="40"/>
      <c r="U161" s="38"/>
      <c r="V161" s="41"/>
      <c r="W161" s="42"/>
      <c r="X161" s="30"/>
      <c r="Y161" s="43"/>
      <c r="Z161" s="30"/>
      <c r="AA161" s="44"/>
      <c r="AB161" s="44"/>
    </row>
    <row r="162" ht="21.0" customHeight="1">
      <c r="A162" s="30"/>
      <c r="B162" s="30"/>
      <c r="C162" s="30"/>
      <c r="E162" s="30"/>
      <c r="F162" s="30"/>
      <c r="G162" s="31"/>
      <c r="H162" s="32"/>
      <c r="I162" s="33"/>
      <c r="J162" s="30"/>
      <c r="K162" s="34"/>
      <c r="L162" s="35"/>
      <c r="M162" s="36"/>
      <c r="N162" s="37"/>
      <c r="O162" s="34"/>
      <c r="P162" s="32"/>
      <c r="Q162" s="38"/>
      <c r="R162" s="39"/>
      <c r="S162" s="39"/>
      <c r="T162" s="40"/>
      <c r="U162" s="38"/>
      <c r="V162" s="41"/>
      <c r="W162" s="42"/>
      <c r="X162" s="30"/>
      <c r="Y162" s="43"/>
      <c r="Z162" s="30"/>
      <c r="AA162" s="44"/>
      <c r="AB162" s="44"/>
    </row>
    <row r="163" ht="21.0" customHeight="1">
      <c r="A163" s="30"/>
      <c r="B163" s="30"/>
      <c r="C163" s="30"/>
      <c r="E163" s="30"/>
      <c r="F163" s="30"/>
      <c r="G163" s="31"/>
      <c r="H163" s="32"/>
      <c r="I163" s="33"/>
      <c r="J163" s="30"/>
      <c r="K163" s="34"/>
      <c r="L163" s="35"/>
      <c r="M163" s="36"/>
      <c r="N163" s="37"/>
      <c r="O163" s="34"/>
      <c r="P163" s="32"/>
      <c r="Q163" s="38"/>
      <c r="R163" s="39"/>
      <c r="S163" s="39"/>
      <c r="T163" s="40"/>
      <c r="U163" s="38"/>
      <c r="V163" s="41"/>
      <c r="W163" s="42"/>
      <c r="X163" s="30"/>
      <c r="Y163" s="43"/>
      <c r="Z163" s="30"/>
      <c r="AA163" s="44"/>
      <c r="AB163" s="44"/>
    </row>
    <row r="164" ht="21.0"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row>
    <row r="165" ht="21.0"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row>
    <row r="166" ht="21.0"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row>
    <row r="167" ht="21.0"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row>
    <row r="168" ht="21.0"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row>
    <row r="169" ht="21.0"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row>
    <row r="170" ht="21.0"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row>
    <row r="171" ht="21.0"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row>
    <row r="172" ht="21.0"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row>
    <row r="173" ht="21.0"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row>
    <row r="174" ht="21.0"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row>
    <row r="175" ht="21.0"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row>
    <row r="176" ht="21.0"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row>
    <row r="177" ht="21.0"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row>
    <row r="178" ht="21.0"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row>
    <row r="179" ht="21.0"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row>
    <row r="180" ht="21.0"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row>
    <row r="181" ht="21.0"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row>
    <row r="182" ht="21.0"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row>
    <row r="183" ht="21.0"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row>
    <row r="184" ht="21.0"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row>
    <row r="185" ht="21.0"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row>
    <row r="186" ht="21.0"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row>
    <row r="187" ht="21.0"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row>
    <row r="188" ht="21.0"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row>
    <row r="189" ht="21.0"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row>
    <row r="190" ht="21.0"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row>
    <row r="191" ht="21.0"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row>
    <row r="192" ht="21.0"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row>
    <row r="193" ht="21.0"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row>
    <row r="194" ht="21.0"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row>
    <row r="195" ht="21.0"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row>
    <row r="196" ht="21.0"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row>
    <row r="197" ht="21.0"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row>
    <row r="198" ht="21.0"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row>
    <row r="199" ht="21.0"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row>
    <row r="200" ht="21.0"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row>
    <row r="201" ht="21.0"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row>
    <row r="202" ht="21.0"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row>
    <row r="203" ht="21.0"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row>
    <row r="204" ht="21.0"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row>
    <row r="205" ht="21.0"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row>
    <row r="206" ht="21.0"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row>
    <row r="207" ht="21.0"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row>
    <row r="208" ht="21.0"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row>
    <row r="209" ht="21.0"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row>
    <row r="210" ht="21.0"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row>
    <row r="211" ht="21.0"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row>
    <row r="212" ht="21.0"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row>
    <row r="213" ht="21.0"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row>
    <row r="214" ht="21.0"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row>
    <row r="215" ht="21.0"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row>
    <row r="216" ht="21.0"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row>
    <row r="217" ht="21.0"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row>
    <row r="218" ht="21.0"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row>
    <row r="219" ht="21.0"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row>
    <row r="220" ht="21.0"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row>
    <row r="221" ht="21.0"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row>
    <row r="222" ht="21.0"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row>
    <row r="223" ht="21.0"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row>
    <row r="224" ht="21.0"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row>
    <row r="225" ht="21.0"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row>
    <row r="226" ht="21.0"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row>
    <row r="227" ht="21.0"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row>
    <row r="228" ht="21.0"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row>
    <row r="229" ht="21.0"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row>
    <row r="230" ht="21.0"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row>
    <row r="231" ht="21.0"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row>
    <row r="232" ht="21.0"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row>
    <row r="233" ht="21.0"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row>
    <row r="234" ht="21.0"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row>
    <row r="235" ht="21.0"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row>
    <row r="236" ht="21.0"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row>
    <row r="237" ht="21.0"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row>
    <row r="238" ht="21.0"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row>
    <row r="239" ht="21.0"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row>
    <row r="240" ht="21.0"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row>
    <row r="241" ht="21.0"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row>
    <row r="242" ht="21.0"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row>
    <row r="243" ht="21.0"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row>
    <row r="244" ht="21.0"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row>
    <row r="245" ht="21.0"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row>
    <row r="246" ht="21.0"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row>
    <row r="247" ht="21.0"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row>
    <row r="248" ht="21.0"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row>
    <row r="249" ht="21.0"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row>
    <row r="250" ht="21.0"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row>
    <row r="251" ht="21.0"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row>
    <row r="252" ht="21.0"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row>
    <row r="253" ht="21.0"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row>
    <row r="254" ht="21.0"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row>
    <row r="255" ht="21.0"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row>
    <row r="256" ht="21.0"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row>
    <row r="257" ht="21.0"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row>
    <row r="258" ht="21.0"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row>
    <row r="259" ht="21.0"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row>
    <row r="260" ht="21.0"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row>
    <row r="261" ht="21.0"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row>
    <row r="262" ht="21.0"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row>
    <row r="263" ht="21.0"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row>
    <row r="264" ht="21.0"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row>
    <row r="265" ht="21.0"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row>
    <row r="266" ht="21.0"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row>
    <row r="267" ht="21.0"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row>
    <row r="268" ht="21.0"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row>
    <row r="269" ht="21.0"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row>
    <row r="270" ht="21.0"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row>
    <row r="271" ht="21.0"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row>
    <row r="272" ht="21.0"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row>
    <row r="273" ht="21.0"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row>
    <row r="274" ht="21.0"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row>
    <row r="275" ht="21.0"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row>
    <row r="276" ht="21.0"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row>
    <row r="277" ht="21.0"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row>
    <row r="278" ht="21.0"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row>
    <row r="279" ht="21.0"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row>
    <row r="280" ht="21.0"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row>
    <row r="281" ht="21.0"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row>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B4FFDF87-16C3-483D-A8B3-FE09960C6A3D}" filter="1" showAutoFilter="1">
      <autoFilter ref="$A$1:$AA$58"/>
      <extLst>
        <ext uri="GoogleSheetsCustomDataVersion1">
          <go:sheetsCustomData xmlns:go="http://customooxmlschemas.google.com/" filterViewId="1588773035"/>
        </ext>
      </extLst>
    </customSheetView>
  </customSheetViews>
  <conditionalFormatting sqref="X2:X163">
    <cfRule type="cellIs" dxfId="4" priority="1" operator="equal">
      <formula>"SCHEDULE"</formula>
    </cfRule>
  </conditionalFormatting>
  <conditionalFormatting sqref="X2:X163">
    <cfRule type="cellIs" dxfId="5" priority="2" operator="equal">
      <formula>"PENDING"</formula>
    </cfRule>
  </conditionalFormatting>
  <conditionalFormatting sqref="Z2:Z163">
    <cfRule type="cellIs" dxfId="4" priority="3" operator="equal">
      <formula>"IN TIME"</formula>
    </cfRule>
  </conditionalFormatting>
  <conditionalFormatting sqref="Z2:Z163">
    <cfRule type="cellIs" dxfId="5" priority="4" operator="equal">
      <formula>"DELAYED"</formula>
    </cfRule>
  </conditionalFormatting>
  <dataValidations>
    <dataValidation type="list" allowBlank="1" showErrorMessage="1" sqref="F2:F81">
      <formula1>"BOLSAS,CAJAS,CANISTER"</formula1>
    </dataValidation>
    <dataValidation type="custom" allowBlank="1" showDropDown="1" sqref="Q2:S81 U2:V81 AA2:AA81">
      <formula1>OR(NOT(ISERROR(DATEVALUE(Q2))), AND(ISNUMBER(Q2), LEFT(CELL("format", Q2))="D"))</formula1>
    </dataValidation>
    <dataValidation type="custom" allowBlank="1" showDropDown="1" sqref="K2:O81 Y2:Y81">
      <formula1>AND(ISNUMBER(K2),(NOT(OR(NOT(ISERROR(DATEVALUE(K2))), AND(ISNUMBER(K2), LEFT(CELL("format", K2))="D")))))</formula1>
    </dataValidation>
    <dataValidation type="list" allowBlank="1" sqref="D2:D81">
      <formula1>#REF!</formula1>
    </dataValidation>
    <dataValidation type="custom" allowBlank="1" showDropDown="1" showErrorMessage="1" sqref="T2:T81">
      <formula1>AND(ISNUMBER(T2),INT(T2)=T2,T2&gt;=1000000000,T2&lt;=9999999999)</formula1>
    </dataValidation>
    <dataValidation type="custom" allowBlank="1" showDropDown="1" showErrorMessage="1" sqref="P2:P81">
      <formula1>AND(ISNUMBER(P2),INT(P2)=P2,P2&gt;=1000000,P2&lt;=9999999)</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86"/>
    <col customWidth="1" min="2" max="2" width="16.43"/>
    <col customWidth="1" min="3" max="3" width="20.86"/>
    <col customWidth="1" min="4" max="4" width="66.86"/>
    <col customWidth="1" min="5" max="5" width="23.57"/>
    <col customWidth="1" min="6" max="6" width="9.14"/>
    <col customWidth="1" min="8" max="9" width="12.71"/>
    <col customWidth="1" hidden="1" min="10" max="10" width="17.14"/>
    <col customWidth="1" min="11" max="11" width="13.86"/>
    <col customWidth="1" min="12" max="12" width="15.14"/>
    <col customWidth="1" min="13" max="13" width="10.43"/>
    <col customWidth="1" min="14" max="14" width="14.71"/>
    <col customWidth="1" min="15" max="15" width="16.29"/>
    <col customWidth="1" min="16" max="16" width="13.57"/>
    <col customWidth="1" min="17" max="17" width="17.43"/>
    <col customWidth="1" min="18" max="18" width="5.43"/>
    <col customWidth="1" min="19" max="19" width="16.57"/>
  </cols>
  <sheetData>
    <row r="1">
      <c r="A1" s="31"/>
      <c r="B1" s="42"/>
      <c r="C1" s="42"/>
    </row>
    <row r="2">
      <c r="A2" s="31"/>
      <c r="B2" s="45" t="s">
        <v>115</v>
      </c>
      <c r="C2" s="45" t="s">
        <v>188</v>
      </c>
      <c r="D2" s="45" t="s">
        <v>117</v>
      </c>
      <c r="E2" s="45" t="s">
        <v>3</v>
      </c>
      <c r="F2" s="45" t="s">
        <v>189</v>
      </c>
      <c r="G2" s="45" t="s">
        <v>121</v>
      </c>
      <c r="H2" s="45" t="s">
        <v>190</v>
      </c>
      <c r="I2" s="45" t="s">
        <v>125</v>
      </c>
      <c r="J2" s="45" t="s">
        <v>10</v>
      </c>
      <c r="K2" s="45" t="s">
        <v>191</v>
      </c>
      <c r="L2" s="45" t="s">
        <v>192</v>
      </c>
      <c r="M2" s="45" t="s">
        <v>193</v>
      </c>
      <c r="N2" s="45" t="s">
        <v>194</v>
      </c>
      <c r="O2" s="45" t="s">
        <v>195</v>
      </c>
      <c r="P2" s="45" t="s">
        <v>196</v>
      </c>
      <c r="Q2" s="45" t="s">
        <v>197</v>
      </c>
      <c r="S2" s="46"/>
    </row>
    <row r="3">
      <c r="B3" s="47">
        <v>1.402048632E9</v>
      </c>
      <c r="C3" s="48">
        <v>10.0</v>
      </c>
      <c r="D3" s="49" t="str">
        <f t="array" ref="D3">IFERROR(IF(XLOOKUP(CONCAT(B3,C3),'MASTER PLAN'!$AB:$AB,'MASTER PLAN'!$J:$J,0,0)=0,"",XLOOKUP(CONCAT(B3,C3),'MASTER PLAN'!$AB:$AB,'MASTER PLAN'!$J:$J,0,0)),"")</f>
        <v>BOLSA ROGERS ENTERPRISES 10"X4"X7-75"</v>
      </c>
      <c r="E3" s="50" t="s">
        <v>198</v>
      </c>
      <c r="F3" s="48">
        <v>2.0</v>
      </c>
      <c r="G3" s="51">
        <f t="array" ref="G3">IFERROR(IF(XLOOKUP(CONCAT(B3,C3),'MASTER PLAN'!$AB:$AB,'MASTER PLAN'!$O:$O,0,0)=0,"",XLOOKUP(CONCAT(B3,C3),'MASTER PLAN'!$AB:$AB,'MASTER PLAN'!$O:$O,0,0)),"")</f>
        <v>21000</v>
      </c>
      <c r="H3" s="51">
        <f t="shared" ref="H3:H107" si="1">IFERROR(G3/F3,"")</f>
        <v>10500</v>
      </c>
      <c r="I3" s="52">
        <f t="array" ref="I3">IFERROR(IF(XLOOKUP(CONCAT(B3,C3),'MASTER PLAN'!$AB:$AB,'MASTER PLAN'!$S:$S,0,0)=0,"",XLOOKUP(CONCAT(B3,C3),'MASTER PLAN'!$AB:$AB,'MASTER PLAN'!$S:$S,0,0)),"")</f>
        <v>45838</v>
      </c>
      <c r="J3" s="49" t="str">
        <f t="shared" ref="J3:J107" si="2">CONCAT(B3,C3)</f>
        <v>140204863210</v>
      </c>
      <c r="K3" s="50" t="b">
        <v>0</v>
      </c>
      <c r="L3" s="53" t="b">
        <v>1</v>
      </c>
      <c r="M3" s="53" t="b">
        <v>1</v>
      </c>
      <c r="N3" s="50" t="b">
        <v>0</v>
      </c>
      <c r="O3" s="50" t="b">
        <v>0</v>
      </c>
      <c r="P3" s="50" t="b">
        <v>0</v>
      </c>
      <c r="Q3" s="53" t="b">
        <v>1</v>
      </c>
      <c r="R3" s="50"/>
      <c r="S3" s="50" t="s">
        <v>199</v>
      </c>
    </row>
    <row r="4">
      <c r="B4" s="54">
        <v>1.402048797E9</v>
      </c>
      <c r="C4" s="55">
        <v>10.0</v>
      </c>
      <c r="D4" s="49" t="str">
        <f t="array" ref="D4">IFERROR(IF(XLOOKUP(CONCAT(B4,C4),'MASTER PLAN'!$AB:$AB,'MASTER PLAN'!$J:$J,0,0)=0,"",XLOOKUP(CONCAT(B4,C4),'MASTER PLAN'!$AB:$AB,'MASTER PLAN'!$J:$J,0,0)),"")</f>
        <v>BOLSA MAUI DIVERS 8"X5"X8"</v>
      </c>
      <c r="E4" s="56" t="s">
        <v>200</v>
      </c>
      <c r="F4" s="55">
        <v>1.0</v>
      </c>
      <c r="G4" s="51">
        <f t="array" ref="G4">IFERROR(IF(XLOOKUP(CONCAT(B4,C4),'MASTER PLAN'!$AB:$AB,'MASTER PLAN'!$O:$O,0,0)=0,"",XLOOKUP(CONCAT(B4,C4),'MASTER PLAN'!$AB:$AB,'MASTER PLAN'!$O:$O,0,0)),"")</f>
        <v>1536</v>
      </c>
      <c r="H4" s="51">
        <f t="shared" si="1"/>
        <v>1536</v>
      </c>
      <c r="I4" s="52">
        <f t="array" ref="I4">IFERROR(IF(XLOOKUP(CONCAT(B4,C4),'MASTER PLAN'!$AB:$AB,'MASTER PLAN'!$S:$S,0,0)=0,"",XLOOKUP(CONCAT(B4,C4),'MASTER PLAN'!$AB:$AB,'MASTER PLAN'!$S:$S,0,0)),"")</f>
        <v>45849</v>
      </c>
      <c r="J4" s="49" t="str">
        <f t="shared" si="2"/>
        <v>140204879710</v>
      </c>
      <c r="K4" s="56" t="b">
        <v>0</v>
      </c>
      <c r="L4" s="57" t="b">
        <v>1</v>
      </c>
      <c r="M4" s="56" t="b">
        <v>0</v>
      </c>
      <c r="N4" s="57" t="b">
        <v>1</v>
      </c>
      <c r="O4" s="56" t="b">
        <v>0</v>
      </c>
      <c r="P4" s="57" t="b">
        <v>1</v>
      </c>
      <c r="Q4" s="57" t="b">
        <v>1</v>
      </c>
      <c r="R4" s="56"/>
      <c r="S4" s="56" t="s">
        <v>201</v>
      </c>
    </row>
    <row r="5">
      <c r="B5" s="47">
        <v>1.402048824E9</v>
      </c>
      <c r="C5" s="48">
        <v>10.0</v>
      </c>
      <c r="D5" s="49" t="str">
        <f t="array" ref="D5">IFERROR(IF(XLOOKUP(CONCAT(B5,C5),'MASTER PLAN'!$AB:$AB,'MASTER PLAN'!$J:$J,0,0)=0,"",XLOOKUP(CONCAT(B5,C5),'MASTER PLAN'!$AB:$AB,'MASTER PLAN'!$J:$J,0,0)),"")</f>
        <v>BOLSA FRED MEYER 4-5"X3"X5-5"</v>
      </c>
      <c r="E5" s="50" t="s">
        <v>198</v>
      </c>
      <c r="F5" s="48">
        <v>3.0</v>
      </c>
      <c r="G5" s="51">
        <f t="array" ref="G5">IFERROR(IF(XLOOKUP(CONCAT(B5,C5),'MASTER PLAN'!$AB:$AB,'MASTER PLAN'!$O:$O,0,0)=0,"",XLOOKUP(CONCAT(B5,C5),'MASTER PLAN'!$AB:$AB,'MASTER PLAN'!$O:$O,0,0)),"")</f>
        <v>20044.8</v>
      </c>
      <c r="H5" s="51">
        <f t="shared" si="1"/>
        <v>6681.6</v>
      </c>
      <c r="I5" s="52">
        <f t="array" ref="I5">IFERROR(IF(XLOOKUP(CONCAT(B5,C5),'MASTER PLAN'!$AB:$AB,'MASTER PLAN'!$S:$S,0,0)=0,"",XLOOKUP(CONCAT(B5,C5),'MASTER PLAN'!$AB:$AB,'MASTER PLAN'!$S:$S,0,0)),"")</f>
        <v>45877</v>
      </c>
      <c r="J5" s="49" t="str">
        <f t="shared" si="2"/>
        <v>140204882410</v>
      </c>
      <c r="K5" s="50" t="b">
        <v>0</v>
      </c>
      <c r="L5" s="50" t="b">
        <v>0</v>
      </c>
      <c r="M5" s="50" t="b">
        <v>0</v>
      </c>
      <c r="N5" s="50" t="b">
        <v>0</v>
      </c>
      <c r="O5" s="57" t="b">
        <v>1</v>
      </c>
      <c r="P5" s="50" t="b">
        <v>0</v>
      </c>
      <c r="Q5" s="57" t="b">
        <v>1</v>
      </c>
      <c r="R5" s="50"/>
      <c r="S5" s="50" t="s">
        <v>199</v>
      </c>
    </row>
    <row r="6">
      <c r="B6" s="54">
        <v>1.402048833E9</v>
      </c>
      <c r="C6" s="55">
        <v>10.0</v>
      </c>
      <c r="D6" s="49" t="str">
        <f t="array" ref="D6">IFERROR(IF(XLOOKUP(CONCAT(B6,C6),'MASTER PLAN'!$AB:$AB,'MASTER PLAN'!$J:$J,0,0)=0,"",XLOOKUP(CONCAT(B6,C6),'MASTER PLAN'!$AB:$AB,'MASTER PLAN'!$J:$J,0,0)),"")</f>
        <v>BOLSA FRED MEYER 4-5"X3"X5-5"</v>
      </c>
      <c r="E6" s="56" t="s">
        <v>198</v>
      </c>
      <c r="F6" s="55">
        <v>3.0</v>
      </c>
      <c r="G6" s="51">
        <f t="array" ref="G6">IFERROR(IF(XLOOKUP(CONCAT(B6,C6),'MASTER PLAN'!$AB:$AB,'MASTER PLAN'!$O:$O,0,0)=0,"",XLOOKUP(CONCAT(B6,C6),'MASTER PLAN'!$AB:$AB,'MASTER PLAN'!$O:$O,0,0)),"")</f>
        <v>59598</v>
      </c>
      <c r="H6" s="51">
        <f t="shared" si="1"/>
        <v>19866</v>
      </c>
      <c r="I6" s="52">
        <f t="array" ref="I6">IFERROR(IF(XLOOKUP(CONCAT(B6,C6),'MASTER PLAN'!$AB:$AB,'MASTER PLAN'!$S:$S,0,0)=0,"",XLOOKUP(CONCAT(B6,C6),'MASTER PLAN'!$AB:$AB,'MASTER PLAN'!$S:$S,0,0)),"")</f>
        <v>45982</v>
      </c>
      <c r="J6" s="49" t="str">
        <f t="shared" si="2"/>
        <v>140204883310</v>
      </c>
      <c r="K6" s="56" t="b">
        <v>0</v>
      </c>
      <c r="L6" s="56" t="b">
        <v>0</v>
      </c>
      <c r="M6" s="56" t="b">
        <v>0</v>
      </c>
      <c r="N6" s="56" t="b">
        <v>0</v>
      </c>
      <c r="O6" s="57" t="b">
        <v>1</v>
      </c>
      <c r="P6" s="56" t="b">
        <v>0</v>
      </c>
      <c r="Q6" s="57" t="b">
        <v>1</v>
      </c>
      <c r="R6" s="56"/>
      <c r="S6" s="56" t="s">
        <v>202</v>
      </c>
    </row>
    <row r="7">
      <c r="B7" s="47">
        <v>1.402048833E9</v>
      </c>
      <c r="C7" s="48">
        <v>20.0</v>
      </c>
      <c r="D7" s="49" t="str">
        <f t="array" ref="D7">IFERROR(IF(XLOOKUP(CONCAT(B7,C7),'MASTER PLAN'!$AB:$AB,'MASTER PLAN'!$J:$J,0,0)=0,"",XLOOKUP(CONCAT(B7,C7),'MASTER PLAN'!$AB:$AB,'MASTER PLAN'!$J:$J,0,0)),"")</f>
        <v>BOLSA FRED MEYER 10"X4"X8"</v>
      </c>
      <c r="E7" s="50" t="s">
        <v>198</v>
      </c>
      <c r="F7" s="48">
        <v>2.0</v>
      </c>
      <c r="G7" s="51">
        <f t="array" ref="G7">IFERROR(IF(XLOOKUP(CONCAT(B7,C7),'MASTER PLAN'!$AB:$AB,'MASTER PLAN'!$O:$O,0,0)=0,"",XLOOKUP(CONCAT(B7,C7),'MASTER PLAN'!$AB:$AB,'MASTER PLAN'!$O:$O,0,0)),"")</f>
        <v>6864</v>
      </c>
      <c r="H7" s="51">
        <f t="shared" si="1"/>
        <v>3432</v>
      </c>
      <c r="I7" s="52">
        <f t="array" ref="I7">IFERROR(IF(XLOOKUP(CONCAT(B7,C7),'MASTER PLAN'!$AB:$AB,'MASTER PLAN'!$S:$S,0,0)=0,"",XLOOKUP(CONCAT(B7,C7),'MASTER PLAN'!$AB:$AB,'MASTER PLAN'!$S:$S,0,0)),"")</f>
        <v>45982</v>
      </c>
      <c r="J7" s="49" t="str">
        <f t="shared" si="2"/>
        <v>140204883320</v>
      </c>
      <c r="K7" s="50" t="b">
        <v>0</v>
      </c>
      <c r="L7" s="50" t="b">
        <v>0</v>
      </c>
      <c r="M7" s="50" t="b">
        <v>0</v>
      </c>
      <c r="N7" s="50" t="b">
        <v>0</v>
      </c>
      <c r="O7" s="57" t="b">
        <v>1</v>
      </c>
      <c r="P7" s="50" t="b">
        <v>0</v>
      </c>
      <c r="Q7" s="57" t="b">
        <v>1</v>
      </c>
      <c r="R7" s="50"/>
      <c r="S7" s="50" t="s">
        <v>199</v>
      </c>
    </row>
    <row r="8">
      <c r="B8" s="54">
        <v>1.402049194E9</v>
      </c>
      <c r="C8" s="55">
        <v>10.0</v>
      </c>
      <c r="D8" s="49" t="str">
        <f t="array" ref="D8">IFERROR(IF(XLOOKUP(CONCAT(B8,C8),'MASTER PLAN'!$AB:$AB,'MASTER PLAN'!$J:$J,0,0)=0,"",XLOOKUP(CONCAT(B8,C8),'MASTER PLAN'!$AB:$AB,'MASTER PLAN'!$J:$J,0,0)),"")</f>
        <v>BOLSA ALMAGEN CORP 8"X4"X10"</v>
      </c>
      <c r="E8" s="56" t="s">
        <v>198</v>
      </c>
      <c r="F8" s="55">
        <v>1.0</v>
      </c>
      <c r="G8" s="51">
        <f t="array" ref="G8">IFERROR(IF(XLOOKUP(CONCAT(B8,C8),'MASTER PLAN'!$AB:$AB,'MASTER PLAN'!$O:$O,0,0)=0,"",XLOOKUP(CONCAT(B8,C8),'MASTER PLAN'!$AB:$AB,'MASTER PLAN'!$O:$O,0,0)),"")</f>
        <v>2400</v>
      </c>
      <c r="H8" s="51">
        <f t="shared" si="1"/>
        <v>2400</v>
      </c>
      <c r="I8" s="52">
        <f t="array" ref="I8">IFERROR(IF(XLOOKUP(CONCAT(B8,C8),'MASTER PLAN'!$AB:$AB,'MASTER PLAN'!$S:$S,0,0)=0,"",XLOOKUP(CONCAT(B8,C8),'MASTER PLAN'!$AB:$AB,'MASTER PLAN'!$S:$S,0,0)),"")</f>
        <v>45931</v>
      </c>
      <c r="J8" s="49" t="str">
        <f t="shared" si="2"/>
        <v>140204919410</v>
      </c>
      <c r="K8" s="57" t="b">
        <v>1</v>
      </c>
      <c r="L8" s="56" t="b">
        <v>0</v>
      </c>
      <c r="M8" s="56" t="b">
        <v>0</v>
      </c>
      <c r="N8" s="56" t="b">
        <v>0</v>
      </c>
      <c r="O8" s="56" t="b">
        <v>1</v>
      </c>
      <c r="P8" s="56" t="b">
        <v>0</v>
      </c>
      <c r="Q8" s="57" t="b">
        <v>1</v>
      </c>
      <c r="R8" s="56"/>
      <c r="S8" s="56" t="s">
        <v>199</v>
      </c>
    </row>
    <row r="9">
      <c r="B9" s="47">
        <v>1.402049207E9</v>
      </c>
      <c r="C9" s="48">
        <v>10.0</v>
      </c>
      <c r="D9" s="49" t="str">
        <f t="array" ref="D9">IFERROR(IF(XLOOKUP(CONCAT(B9,C9),'MASTER PLAN'!$AB:$AB,'MASTER PLAN'!$J:$J,0,0)=0,"",XLOOKUP(CONCAT(B9,C9),'MASTER PLAN'!$AB:$AB,'MASTER PLAN'!$J:$J,0,0)),"")</f>
        <v>BOLSA FINKS JEWELERS 6-5"X3-5"X6-5"</v>
      </c>
      <c r="E9" s="50" t="s">
        <v>203</v>
      </c>
      <c r="F9" s="48">
        <v>1.0</v>
      </c>
      <c r="G9" s="51">
        <f t="array" ref="G9">IFERROR(IF(XLOOKUP(CONCAT(B9,C9),'MASTER PLAN'!$AB:$AB,'MASTER PLAN'!$O:$O,0,0)=0,"",XLOOKUP(CONCAT(B9,C9),'MASTER PLAN'!$AB:$AB,'MASTER PLAN'!$O:$O,0,0)),"")</f>
        <v>10800</v>
      </c>
      <c r="H9" s="51">
        <f t="shared" si="1"/>
        <v>10800</v>
      </c>
      <c r="I9" s="52">
        <f t="array" ref="I9">IFERROR(IF(XLOOKUP(CONCAT(B9,C9),'MASTER PLAN'!$AB:$AB,'MASTER PLAN'!$S:$S,0,0)=0,"",XLOOKUP(CONCAT(B9,C9),'MASTER PLAN'!$AB:$AB,'MASTER PLAN'!$S:$S,0,0)),"")</f>
        <v>45894</v>
      </c>
      <c r="J9" s="49" t="str">
        <f t="shared" si="2"/>
        <v>140204920710</v>
      </c>
      <c r="K9" s="57" t="b">
        <v>1</v>
      </c>
      <c r="L9" s="57" t="b">
        <v>1</v>
      </c>
      <c r="M9" s="50" t="b">
        <v>0</v>
      </c>
      <c r="N9" s="57" t="b">
        <v>1</v>
      </c>
      <c r="O9" s="57" t="b">
        <v>1</v>
      </c>
      <c r="P9" s="57" t="b">
        <v>1</v>
      </c>
      <c r="Q9" s="57" t="b">
        <v>1</v>
      </c>
      <c r="R9" s="50"/>
      <c r="S9" s="50" t="s">
        <v>199</v>
      </c>
    </row>
    <row r="10">
      <c r="B10" s="54">
        <v>1.402049437E9</v>
      </c>
      <c r="C10" s="55">
        <v>10.0</v>
      </c>
      <c r="D10" s="49" t="str">
        <f t="array" ref="D10">IFERROR(IF(XLOOKUP(CONCAT(B10,C10),'MASTER PLAN'!$AB:$AB,'MASTER PLAN'!$J:$J,0,0)=0,"",XLOOKUP(CONCAT(B10,C10),'MASTER PLAN'!$AB:$AB,'MASTER PLAN'!$J:$J,0,0)),"")</f>
        <v>BOLSA FINKS JWLS 10X5X10"</v>
      </c>
      <c r="E10" s="56" t="s">
        <v>203</v>
      </c>
      <c r="F10" s="55">
        <v>1.0</v>
      </c>
      <c r="G10" s="51">
        <f t="array" ref="G10">IFERROR(IF(XLOOKUP(CONCAT(B10,C10),'MASTER PLAN'!$AB:$AB,'MASTER PLAN'!$O:$O,0,0)=0,"",XLOOKUP(CONCAT(B10,C10),'MASTER PLAN'!$AB:$AB,'MASTER PLAN'!$O:$O,0,0)),"")</f>
        <v>3600</v>
      </c>
      <c r="H10" s="51">
        <f t="shared" si="1"/>
        <v>3600</v>
      </c>
      <c r="I10" s="52">
        <f t="array" ref="I10">IFERROR(IF(XLOOKUP(CONCAT(B10,C10),'MASTER PLAN'!$AB:$AB,'MASTER PLAN'!$S:$S,0,0)=0,"",XLOOKUP(CONCAT(B10,C10),'MASTER PLAN'!$AB:$AB,'MASTER PLAN'!$S:$S,0,0)),"")</f>
        <v>45999</v>
      </c>
      <c r="J10" s="49" t="str">
        <f t="shared" si="2"/>
        <v>140204943710</v>
      </c>
      <c r="K10" s="53" t="b">
        <v>1</v>
      </c>
      <c r="L10" s="53" t="b">
        <v>1</v>
      </c>
      <c r="M10" s="56" t="b">
        <v>0</v>
      </c>
      <c r="N10" s="53" t="b">
        <v>1</v>
      </c>
      <c r="O10" s="53" t="b">
        <v>1</v>
      </c>
      <c r="P10" s="53" t="b">
        <v>1</v>
      </c>
      <c r="Q10" s="53" t="b">
        <v>1</v>
      </c>
      <c r="R10" s="56"/>
      <c r="S10" s="56" t="s">
        <v>204</v>
      </c>
    </row>
    <row r="11">
      <c r="B11" s="47">
        <v>1.402049207E9</v>
      </c>
      <c r="C11" s="48">
        <v>20.0</v>
      </c>
      <c r="D11" s="49" t="str">
        <f t="array" ref="D11">IFERROR(IF(XLOOKUP(CONCAT(B11,C11),'MASTER PLAN'!$AB:$AB,'MASTER PLAN'!$J:$J,0,0)=0,"",XLOOKUP(CONCAT(B11,C11),'MASTER PLAN'!$AB:$AB,'MASTER PLAN'!$J:$J,0,0)),"")</f>
        <v>BOLSA FINKS JEWELERS  7"X5"X9"</v>
      </c>
      <c r="E11" s="50" t="s">
        <v>203</v>
      </c>
      <c r="F11" s="48">
        <v>1.0</v>
      </c>
      <c r="G11" s="51">
        <f t="array" ref="G11">IFERROR(IF(XLOOKUP(CONCAT(B11,C11),'MASTER PLAN'!$AB:$AB,'MASTER PLAN'!$O:$O,0,0)=0,"",XLOOKUP(CONCAT(B11,C11),'MASTER PLAN'!$AB:$AB,'MASTER PLAN'!$O:$O,0,0)),"")</f>
        <v>14400</v>
      </c>
      <c r="H11" s="51">
        <f t="shared" si="1"/>
        <v>14400</v>
      </c>
      <c r="I11" s="52">
        <f t="array" ref="I11">IFERROR(IF(XLOOKUP(CONCAT(B11,C11),'MASTER PLAN'!$AB:$AB,'MASTER PLAN'!$S:$S,0,0)=0,"",XLOOKUP(CONCAT(B11,C11),'MASTER PLAN'!$AB:$AB,'MASTER PLAN'!$S:$S,0,0)),"")</f>
        <v>45894</v>
      </c>
      <c r="J11" s="49" t="str">
        <f t="shared" si="2"/>
        <v>140204920720</v>
      </c>
      <c r="K11" s="57" t="b">
        <v>1</v>
      </c>
      <c r="L11" s="57" t="b">
        <v>1</v>
      </c>
      <c r="M11" s="50" t="b">
        <v>0</v>
      </c>
      <c r="N11" s="57" t="b">
        <v>1</v>
      </c>
      <c r="O11" s="57" t="b">
        <v>1</v>
      </c>
      <c r="P11" s="57" t="b">
        <v>1</v>
      </c>
      <c r="Q11" s="57" t="b">
        <v>1</v>
      </c>
      <c r="R11" s="50"/>
      <c r="S11" s="50" t="s">
        <v>199</v>
      </c>
    </row>
    <row r="12">
      <c r="B12" s="54">
        <v>1.402049238E9</v>
      </c>
      <c r="C12" s="55">
        <v>10.0</v>
      </c>
      <c r="D12" s="49" t="str">
        <f t="array" ref="D12">IFERROR(IF(XLOOKUP(CONCAT(B12,C12),'MASTER PLAN'!$AB:$AB,'MASTER PLAN'!$J:$J,0,0)=0,"",XLOOKUP(CONCAT(B12,C12),'MASTER PLAN'!$AB:$AB,'MASTER PLAN'!$J:$J,0,0)),"")</f>
        <v>BOLSA MAUI DIVERS 10"X6"X10"</v>
      </c>
      <c r="E12" s="56" t="s">
        <v>200</v>
      </c>
      <c r="F12" s="55">
        <v>1.0</v>
      </c>
      <c r="G12" s="51">
        <f t="array" ref="G12">IFERROR(IF(XLOOKUP(CONCAT(B12,C12),'MASTER PLAN'!$AB:$AB,'MASTER PLAN'!$O:$O,0,0)=0,"",XLOOKUP(CONCAT(B12,C12),'MASTER PLAN'!$AB:$AB,'MASTER PLAN'!$O:$O,0,0)),"")</f>
        <v>3648</v>
      </c>
      <c r="H12" s="51">
        <f t="shared" si="1"/>
        <v>3648</v>
      </c>
      <c r="I12" s="52">
        <f t="array" ref="I12">IFERROR(IF(XLOOKUP(CONCAT(B12,C12),'MASTER PLAN'!$AB:$AB,'MASTER PLAN'!$S:$S,0,0)=0,"",XLOOKUP(CONCAT(B12,C12),'MASTER PLAN'!$AB:$AB,'MASTER PLAN'!$S:$S,0,0)),"")</f>
        <v>45960</v>
      </c>
      <c r="J12" s="49" t="str">
        <f t="shared" si="2"/>
        <v>140204923810</v>
      </c>
      <c r="K12" s="56" t="b">
        <v>0</v>
      </c>
      <c r="L12" s="57" t="b">
        <v>1</v>
      </c>
      <c r="M12" s="57" t="b">
        <v>1</v>
      </c>
      <c r="N12" s="57" t="b">
        <v>1</v>
      </c>
      <c r="O12" s="56" t="b">
        <v>0</v>
      </c>
      <c r="P12" s="57" t="b">
        <v>1</v>
      </c>
      <c r="Q12" s="57" t="b">
        <v>1</v>
      </c>
      <c r="R12" s="56"/>
      <c r="S12" s="56" t="s">
        <v>201</v>
      </c>
    </row>
    <row r="13">
      <c r="B13" s="47">
        <v>1.402049263E9</v>
      </c>
      <c r="C13" s="48">
        <v>10.0</v>
      </c>
      <c r="D13" s="49" t="str">
        <f t="array" ref="D13">IFERROR(IF(XLOOKUP(CONCAT(B13,C13),'MASTER PLAN'!$AB:$AB,'MASTER PLAN'!$J:$J,0,0)=0,"",XLOOKUP(CONCAT(B13,C13),'MASTER PLAN'!$AB:$AB,'MASTER PLAN'!$J:$J,0,0)),"")</f>
        <v>FOLDER GOLD CASTER LAWRENCE</v>
      </c>
      <c r="E13" s="50" t="s">
        <v>200</v>
      </c>
      <c r="F13" s="48">
        <v>1.0</v>
      </c>
      <c r="G13" s="51">
        <f t="array" ref="G13">IFERROR(IF(XLOOKUP(CONCAT(B13,C13),'MASTER PLAN'!$AB:$AB,'MASTER PLAN'!$O:$O,0,0)=0,"",XLOOKUP(CONCAT(B13,C13),'MASTER PLAN'!$AB:$AB,'MASTER PLAN'!$O:$O,0,0)),"")</f>
        <v>3600</v>
      </c>
      <c r="H13" s="51">
        <f t="shared" si="1"/>
        <v>3600</v>
      </c>
      <c r="I13" s="52">
        <f t="array" ref="I13">IFERROR(IF(XLOOKUP(CONCAT(B13,C13),'MASTER PLAN'!$AB:$AB,'MASTER PLAN'!$S:$S,0,0)=0,"",XLOOKUP(CONCAT(B13,C13),'MASTER PLAN'!$AB:$AB,'MASTER PLAN'!$S:$S,0,0)),"")</f>
        <v>45961</v>
      </c>
      <c r="J13" s="49" t="str">
        <f t="shared" si="2"/>
        <v>140204926310</v>
      </c>
      <c r="K13" s="50" t="b">
        <v>0</v>
      </c>
      <c r="L13" s="57" t="b">
        <v>1</v>
      </c>
      <c r="M13" s="50" t="b">
        <v>0</v>
      </c>
      <c r="N13" s="57" t="b">
        <v>1</v>
      </c>
      <c r="O13" s="57" t="b">
        <v>1</v>
      </c>
      <c r="P13" s="50" t="b">
        <v>0</v>
      </c>
      <c r="Q13" s="57" t="b">
        <v>1</v>
      </c>
      <c r="R13" s="50"/>
      <c r="S13" s="50" t="s">
        <v>201</v>
      </c>
    </row>
    <row r="14">
      <c r="B14" s="54">
        <v>1.402049277E9</v>
      </c>
      <c r="C14" s="55">
        <v>10.0</v>
      </c>
      <c r="D14" s="49" t="str">
        <f t="array" ref="D14">IFERROR(IF(XLOOKUP(CONCAT(B14,C14),'MASTER PLAN'!$AB:$AB,'MASTER PLAN'!$J:$J,0,0)=0,"",XLOOKUP(CONCAT(B14,C14),'MASTER PLAN'!$AB:$AB,'MASTER PLAN'!$J:$J,0,0)),"")</f>
        <v>BOLSA ELEGANCE 8X4X10 IN FL</v>
      </c>
      <c r="E14" s="56" t="s">
        <v>203</v>
      </c>
      <c r="F14" s="55">
        <v>1.0</v>
      </c>
      <c r="G14" s="51">
        <f t="array" ref="G14">IFERROR(IF(XLOOKUP(CONCAT(B14,C14),'MASTER PLAN'!$AB:$AB,'MASTER PLAN'!$O:$O,0,0)=0,"",XLOOKUP(CONCAT(B14,C14),'MASTER PLAN'!$AB:$AB,'MASTER PLAN'!$O:$O,0,0)),"")</f>
        <v>6000</v>
      </c>
      <c r="H14" s="51">
        <f t="shared" si="1"/>
        <v>6000</v>
      </c>
      <c r="I14" s="52">
        <f t="array" ref="I14">IFERROR(IF(XLOOKUP(CONCAT(B14,C14),'MASTER PLAN'!$AB:$AB,'MASTER PLAN'!$S:$S,0,0)=0,"",XLOOKUP(CONCAT(B14,C14),'MASTER PLAN'!$AB:$AB,'MASTER PLAN'!$S:$S,0,0)),"")</f>
        <v>45940</v>
      </c>
      <c r="J14" s="49" t="str">
        <f t="shared" si="2"/>
        <v>140204927710</v>
      </c>
      <c r="K14" s="57" t="b">
        <v>1</v>
      </c>
      <c r="L14" s="57" t="b">
        <v>1</v>
      </c>
      <c r="M14" s="56" t="b">
        <v>0</v>
      </c>
      <c r="N14" s="57" t="b">
        <v>1</v>
      </c>
      <c r="O14" s="57" t="b">
        <v>1</v>
      </c>
      <c r="P14" s="56" t="b">
        <v>0</v>
      </c>
      <c r="Q14" s="57" t="b">
        <v>1</v>
      </c>
      <c r="R14" s="56"/>
      <c r="S14" s="56" t="s">
        <v>199</v>
      </c>
    </row>
    <row r="15">
      <c r="B15" s="47">
        <v>1.402049277E9</v>
      </c>
      <c r="C15" s="48">
        <v>20.0</v>
      </c>
      <c r="D15" s="49" t="str">
        <f t="array" ref="D15">IFERROR(IF(XLOOKUP(CONCAT(B15,C15),'MASTER PLAN'!$AB:$AB,'MASTER PLAN'!$J:$J,0,0)=0,"",XLOOKUP(CONCAT(B15,C15),'MASTER PLAN'!$AB:$AB,'MASTER PLAN'!$J:$J,0,0)),"")</f>
        <v>BOLSA ELEGANCE 6-5X3-5X6-5 IN FL</v>
      </c>
      <c r="E15" s="50" t="s">
        <v>203</v>
      </c>
      <c r="F15" s="48">
        <v>1.0</v>
      </c>
      <c r="G15" s="51">
        <f t="array" ref="G15">IFERROR(IF(XLOOKUP(CONCAT(B15,C15),'MASTER PLAN'!$AB:$AB,'MASTER PLAN'!$O:$O,0,0)=0,"",XLOOKUP(CONCAT(B15,C15),'MASTER PLAN'!$AB:$AB,'MASTER PLAN'!$O:$O,0,0)),"")</f>
        <v>6000</v>
      </c>
      <c r="H15" s="51">
        <f t="shared" si="1"/>
        <v>6000</v>
      </c>
      <c r="I15" s="52">
        <f t="array" ref="I15">IFERROR(IF(XLOOKUP(CONCAT(B15,C15),'MASTER PLAN'!$AB:$AB,'MASTER PLAN'!$S:$S,0,0)=0,"",XLOOKUP(CONCAT(B15,C15),'MASTER PLAN'!$AB:$AB,'MASTER PLAN'!$S:$S,0,0)),"")</f>
        <v>45940</v>
      </c>
      <c r="J15" s="49" t="str">
        <f t="shared" si="2"/>
        <v>140204927720</v>
      </c>
      <c r="K15" s="57" t="b">
        <v>1</v>
      </c>
      <c r="L15" s="57" t="b">
        <v>1</v>
      </c>
      <c r="M15" s="50" t="b">
        <v>0</v>
      </c>
      <c r="N15" s="57" t="b">
        <v>1</v>
      </c>
      <c r="O15" s="57" t="b">
        <v>1</v>
      </c>
      <c r="P15" s="50" t="b">
        <v>0</v>
      </c>
      <c r="Q15" s="57" t="b">
        <v>1</v>
      </c>
      <c r="R15" s="50"/>
      <c r="S15" s="50" t="s">
        <v>199</v>
      </c>
    </row>
    <row r="16">
      <c r="B16" s="54">
        <v>1.402049277E9</v>
      </c>
      <c r="C16" s="55">
        <v>30.0</v>
      </c>
      <c r="D16" s="49" t="str">
        <f t="array" ref="D16">IFERROR(IF(XLOOKUP(CONCAT(B16,C16),'MASTER PLAN'!$AB:$AB,'MASTER PLAN'!$J:$J,0,0)=0,"",XLOOKUP(CONCAT(B16,C16),'MASTER PLAN'!$AB:$AB,'MASTER PLAN'!$J:$J,0,0)),"")</f>
        <v>BOLSA ELEGANCE 4-5X2-5X5-75 IN FL</v>
      </c>
      <c r="E16" s="56" t="s">
        <v>203</v>
      </c>
      <c r="F16" s="55">
        <v>2.0</v>
      </c>
      <c r="G16" s="51">
        <f t="array" ref="G16">IFERROR(IF(XLOOKUP(CONCAT(B16,C16),'MASTER PLAN'!$AB:$AB,'MASTER PLAN'!$O:$O,0,0)=0,"",XLOOKUP(CONCAT(B16,C16),'MASTER PLAN'!$AB:$AB,'MASTER PLAN'!$O:$O,0,0)),"")</f>
        <v>6000</v>
      </c>
      <c r="H16" s="51">
        <f t="shared" si="1"/>
        <v>3000</v>
      </c>
      <c r="I16" s="52">
        <f t="array" ref="I16">IFERROR(IF(XLOOKUP(CONCAT(B16,C16),'MASTER PLAN'!$AB:$AB,'MASTER PLAN'!$S:$S,0,0)=0,"",XLOOKUP(CONCAT(B16,C16),'MASTER PLAN'!$AB:$AB,'MASTER PLAN'!$S:$S,0,0)),"")</f>
        <v>45940</v>
      </c>
      <c r="J16" s="49" t="str">
        <f t="shared" si="2"/>
        <v>140204927730</v>
      </c>
      <c r="K16" s="57" t="b">
        <v>1</v>
      </c>
      <c r="L16" s="57" t="b">
        <v>1</v>
      </c>
      <c r="M16" s="56" t="b">
        <v>0</v>
      </c>
      <c r="N16" s="57" t="b">
        <v>1</v>
      </c>
      <c r="O16" s="57" t="b">
        <v>1</v>
      </c>
      <c r="P16" s="56" t="b">
        <v>0</v>
      </c>
      <c r="Q16" s="57" t="b">
        <v>1</v>
      </c>
      <c r="R16" s="56"/>
      <c r="S16" s="56" t="s">
        <v>199</v>
      </c>
    </row>
    <row r="17">
      <c r="B17" s="47">
        <v>1.402049277E9</v>
      </c>
      <c r="C17" s="48">
        <v>40.0</v>
      </c>
      <c r="D17" s="49" t="str">
        <f t="array" ref="D17">IFERROR(IF(XLOOKUP(CONCAT(B17,C17),'MASTER PLAN'!$AB:$AB,'MASTER PLAN'!$J:$J,0,0)=0,"",XLOOKUP(CONCAT(B17,C17),'MASTER PLAN'!$AB:$AB,'MASTER PLAN'!$J:$J,0,0)),"")</f>
        <v>BOLSA ELEGANCE 12-5X4X14 IN FL</v>
      </c>
      <c r="E17" s="50" t="s">
        <v>203</v>
      </c>
      <c r="F17" s="48">
        <v>0.5</v>
      </c>
      <c r="G17" s="51">
        <f t="array" ref="G17">IFERROR(IF(XLOOKUP(CONCAT(B17,C17),'MASTER PLAN'!$AB:$AB,'MASTER PLAN'!$O:$O,0,0)=0,"",XLOOKUP(CONCAT(B17,C17),'MASTER PLAN'!$AB:$AB,'MASTER PLAN'!$O:$O,0,0)),"")</f>
        <v>3600</v>
      </c>
      <c r="H17" s="51">
        <f t="shared" si="1"/>
        <v>7200</v>
      </c>
      <c r="I17" s="52">
        <f t="array" ref="I17">IFERROR(IF(XLOOKUP(CONCAT(B17,C17),'MASTER PLAN'!$AB:$AB,'MASTER PLAN'!$S:$S,0,0)=0,"",XLOOKUP(CONCAT(B17,C17),'MASTER PLAN'!$AB:$AB,'MASTER PLAN'!$S:$S,0,0)),"")</f>
        <v>45940</v>
      </c>
      <c r="J17" s="49" t="str">
        <f t="shared" si="2"/>
        <v>140204927740</v>
      </c>
      <c r="K17" s="57" t="b">
        <v>1</v>
      </c>
      <c r="L17" s="57" t="b">
        <v>1</v>
      </c>
      <c r="M17" s="50" t="b">
        <v>0</v>
      </c>
      <c r="N17" s="57" t="b">
        <v>1</v>
      </c>
      <c r="O17" s="53" t="b">
        <v>1</v>
      </c>
      <c r="P17" s="50" t="b">
        <v>0</v>
      </c>
      <c r="Q17" s="53" t="b">
        <v>1</v>
      </c>
      <c r="R17" s="50"/>
      <c r="S17" s="50" t="s">
        <v>201</v>
      </c>
    </row>
    <row r="18">
      <c r="B18" s="54">
        <v>1.402049281E9</v>
      </c>
      <c r="C18" s="55">
        <v>10.0</v>
      </c>
      <c r="D18" s="49" t="str">
        <f t="array" ref="D18">IFERROR(IF(XLOOKUP(CONCAT(B18,C18),'MASTER PLAN'!$AB:$AB,'MASTER PLAN'!$J:$J,0,0)=0,"",XLOOKUP(CONCAT(B18,C18),'MASTER PLAN'!$AB:$AB,'MASTER PLAN'!$J:$J,0,0)),"")</f>
        <v>BOLSA ALBERTS JEWELERS 6-5"X3-5"X6-5"</v>
      </c>
      <c r="E18" s="56" t="s">
        <v>200</v>
      </c>
      <c r="F18" s="55">
        <v>1.0</v>
      </c>
      <c r="G18" s="51">
        <f t="array" ref="G18">IFERROR(IF(XLOOKUP(CONCAT(B18,C18),'MASTER PLAN'!$AB:$AB,'MASTER PLAN'!$O:$O,0,0)=0,"",XLOOKUP(CONCAT(B18,C18),'MASTER PLAN'!$AB:$AB,'MASTER PLAN'!$O:$O,0,0)),"")</f>
        <v>4200</v>
      </c>
      <c r="H18" s="51">
        <f t="shared" si="1"/>
        <v>4200</v>
      </c>
      <c r="I18" s="52">
        <f t="array" ref="I18">IFERROR(IF(XLOOKUP(CONCAT(B18,C18),'MASTER PLAN'!$AB:$AB,'MASTER PLAN'!$S:$S,0,0)=0,"",XLOOKUP(CONCAT(B18,C18),'MASTER PLAN'!$AB:$AB,'MASTER PLAN'!$S:$S,0,0)),"")</f>
        <v>45961</v>
      </c>
      <c r="J18" s="49" t="str">
        <f t="shared" si="2"/>
        <v>140204928110</v>
      </c>
      <c r="K18" s="56" t="b">
        <v>0</v>
      </c>
      <c r="L18" s="57" t="b">
        <v>1</v>
      </c>
      <c r="M18" s="56" t="b">
        <v>0</v>
      </c>
      <c r="N18" s="57" t="b">
        <v>1</v>
      </c>
      <c r="O18" s="56" t="b">
        <v>0</v>
      </c>
      <c r="P18" s="57" t="b">
        <v>1</v>
      </c>
      <c r="Q18" s="57" t="b">
        <v>1</v>
      </c>
      <c r="R18" s="56"/>
      <c r="S18" s="56" t="s">
        <v>199</v>
      </c>
    </row>
    <row r="19">
      <c r="B19" s="47">
        <v>1.402049281E9</v>
      </c>
      <c r="C19" s="48">
        <v>20.0</v>
      </c>
      <c r="D19" s="49" t="str">
        <f t="array" ref="D19">IFERROR(IF(XLOOKUP(CONCAT(B19,C19),'MASTER PLAN'!$AB:$AB,'MASTER PLAN'!$J:$J,0,0)=0,"",XLOOKUP(CONCAT(B19,C19),'MASTER PLAN'!$AB:$AB,'MASTER PLAN'!$J:$J,0,0)),"")</f>
        <v>BOLSA ALBERTS JEWELERS 10"X6"X10" FL</v>
      </c>
      <c r="E19" s="50" t="s">
        <v>200</v>
      </c>
      <c r="F19" s="48">
        <v>0.5</v>
      </c>
      <c r="G19" s="51">
        <f t="array" ref="G19">IFERROR(IF(XLOOKUP(CONCAT(B19,C19),'MASTER PLAN'!$AB:$AB,'MASTER PLAN'!$O:$O,0,0)=0,"",XLOOKUP(CONCAT(B19,C19),'MASTER PLAN'!$AB:$AB,'MASTER PLAN'!$O:$O,0,0)),"")</f>
        <v>1440</v>
      </c>
      <c r="H19" s="51">
        <f t="shared" si="1"/>
        <v>2880</v>
      </c>
      <c r="I19" s="52">
        <f t="array" ref="I19">IFERROR(IF(XLOOKUP(CONCAT(B19,C19),'MASTER PLAN'!$AB:$AB,'MASTER PLAN'!$S:$S,0,0)=0,"",XLOOKUP(CONCAT(B19,C19),'MASTER PLAN'!$AB:$AB,'MASTER PLAN'!$S:$S,0,0)),"")</f>
        <v>45961</v>
      </c>
      <c r="J19" s="49" t="str">
        <f t="shared" si="2"/>
        <v>140204928120</v>
      </c>
      <c r="K19" s="50" t="b">
        <v>0</v>
      </c>
      <c r="L19" s="57" t="b">
        <v>1</v>
      </c>
      <c r="M19" s="50" t="b">
        <v>0</v>
      </c>
      <c r="N19" s="57" t="b">
        <v>1</v>
      </c>
      <c r="O19" s="50" t="b">
        <v>0</v>
      </c>
      <c r="P19" s="57" t="b">
        <v>1</v>
      </c>
      <c r="Q19" s="57" t="b">
        <v>1</v>
      </c>
      <c r="R19" s="50"/>
      <c r="S19" s="50" t="s">
        <v>199</v>
      </c>
    </row>
    <row r="20">
      <c r="B20" s="54">
        <v>1.402049286E9</v>
      </c>
      <c r="C20" s="55">
        <v>10.0</v>
      </c>
      <c r="D20" s="49" t="str">
        <f t="array" ref="D20">IFERROR(IF(XLOOKUP(CONCAT(B20,C20),'MASTER PLAN'!$AB:$AB,'MASTER PLAN'!$J:$J,0,0)=0,"",XLOOKUP(CONCAT(B20,C20),'MASTER PLAN'!$AB:$AB,'MASTER PLAN'!$J:$J,0,0)),"")</f>
        <v>BOLSA HUNTINGTON 6-5"X3-5"X6-5"</v>
      </c>
      <c r="E20" s="56" t="s">
        <v>198</v>
      </c>
      <c r="F20" s="55">
        <v>1.0</v>
      </c>
      <c r="G20" s="51">
        <f t="array" ref="G20">IFERROR(IF(XLOOKUP(CONCAT(B20,C20),'MASTER PLAN'!$AB:$AB,'MASTER PLAN'!$O:$O,0,0)=0,"",XLOOKUP(CONCAT(B20,C20),'MASTER PLAN'!$AB:$AB,'MASTER PLAN'!$O:$O,0,0)),"")</f>
        <v>5400</v>
      </c>
      <c r="H20" s="51">
        <f t="shared" si="1"/>
        <v>5400</v>
      </c>
      <c r="I20" s="52">
        <f t="array" ref="I20">IFERROR(IF(XLOOKUP(CONCAT(B20,C20),'MASTER PLAN'!$AB:$AB,'MASTER PLAN'!$S:$S,0,0)=0,"",XLOOKUP(CONCAT(B20,C20),'MASTER PLAN'!$AB:$AB,'MASTER PLAN'!$S:$S,0,0)),"")</f>
        <v>45945</v>
      </c>
      <c r="J20" s="49" t="str">
        <f t="shared" si="2"/>
        <v>140204928610</v>
      </c>
      <c r="K20" s="53" t="b">
        <v>1</v>
      </c>
      <c r="L20" s="56" t="b">
        <v>0</v>
      </c>
      <c r="M20" s="56" t="b">
        <v>0</v>
      </c>
      <c r="N20" s="56" t="b">
        <v>0</v>
      </c>
      <c r="O20" s="53" t="b">
        <v>1</v>
      </c>
      <c r="P20" s="56" t="b">
        <v>0</v>
      </c>
      <c r="Q20" s="53" t="b">
        <v>1</v>
      </c>
      <c r="R20" s="56"/>
      <c r="S20" s="56" t="s">
        <v>201</v>
      </c>
    </row>
    <row r="21" ht="15.75" customHeight="1">
      <c r="B21" s="47">
        <v>1.402049286E9</v>
      </c>
      <c r="C21" s="48">
        <v>20.0</v>
      </c>
      <c r="D21" s="49" t="str">
        <f t="array" ref="D21">IFERROR(IF(XLOOKUP(CONCAT(B21,C21),'MASTER PLAN'!$AB:$AB,'MASTER PLAN'!$J:$J,0,0)=0,"",XLOOKUP(CONCAT(B21,C21),'MASTER PLAN'!$AB:$AB,'MASTER PLAN'!$J:$J,0,0)),"")</f>
        <v>BOLSA HUNTINGTON 8"X4"X10"</v>
      </c>
      <c r="E21" s="50" t="s">
        <v>198</v>
      </c>
      <c r="F21" s="48">
        <v>1.0</v>
      </c>
      <c r="G21" s="51">
        <f t="array" ref="G21">IFERROR(IF(XLOOKUP(CONCAT(B21,C21),'MASTER PLAN'!$AB:$AB,'MASTER PLAN'!$O:$O,0,0)=0,"",XLOOKUP(CONCAT(B21,C21),'MASTER PLAN'!$AB:$AB,'MASTER PLAN'!$O:$O,0,0)),"")</f>
        <v>2160</v>
      </c>
      <c r="H21" s="51">
        <f t="shared" si="1"/>
        <v>2160</v>
      </c>
      <c r="I21" s="52">
        <f t="array" ref="I21">IFERROR(IF(XLOOKUP(CONCAT(B21,C21),'MASTER PLAN'!$AB:$AB,'MASTER PLAN'!$S:$S,0,0)=0,"",XLOOKUP(CONCAT(B21,C21),'MASTER PLAN'!$AB:$AB,'MASTER PLAN'!$S:$S,0,0)),"")</f>
        <v>45945</v>
      </c>
      <c r="J21" s="49" t="str">
        <f t="shared" si="2"/>
        <v>140204928620</v>
      </c>
      <c r="K21" s="53" t="b">
        <v>1</v>
      </c>
      <c r="L21" s="50" t="b">
        <v>0</v>
      </c>
      <c r="M21" s="50" t="b">
        <v>0</v>
      </c>
      <c r="N21" s="50" t="b">
        <v>0</v>
      </c>
      <c r="O21" s="53" t="b">
        <v>1</v>
      </c>
      <c r="P21" s="50" t="b">
        <v>0</v>
      </c>
      <c r="Q21" s="53" t="b">
        <v>1</v>
      </c>
      <c r="R21" s="50"/>
      <c r="S21" s="50" t="s">
        <v>201</v>
      </c>
    </row>
    <row r="22" ht="15.75" customHeight="1">
      <c r="B22" s="54">
        <v>1.402049318E9</v>
      </c>
      <c r="C22" s="55">
        <v>10.0</v>
      </c>
      <c r="D22" s="49" t="str">
        <f t="array" ref="D22">IFERROR(IF(XLOOKUP(CONCAT(B22,C22),'MASTER PLAN'!$AB:$AB,'MASTER PLAN'!$J:$J,0,0)=0,"",XLOOKUP(CONCAT(B22,C22),'MASTER PLAN'!$AB:$AB,'MASTER PLAN'!$J:$J,0,0)),"")</f>
        <v>BOLSA WATERFALL JEWELERS 6-5"X3-5"X6-5"</v>
      </c>
      <c r="E22" s="56" t="s">
        <v>198</v>
      </c>
      <c r="F22" s="55">
        <v>1.0</v>
      </c>
      <c r="G22" s="51">
        <f t="array" ref="G22">IFERROR(IF(XLOOKUP(CONCAT(B22,C22),'MASTER PLAN'!$AB:$AB,'MASTER PLAN'!$O:$O,0,0)=0,"",XLOOKUP(CONCAT(B22,C22),'MASTER PLAN'!$AB:$AB,'MASTER PLAN'!$O:$O,0,0)),"")</f>
        <v>3600</v>
      </c>
      <c r="H22" s="51">
        <f t="shared" si="1"/>
        <v>3600</v>
      </c>
      <c r="I22" s="52">
        <f t="array" ref="I22">IFERROR(IF(XLOOKUP(CONCAT(B22,C22),'MASTER PLAN'!$AB:$AB,'MASTER PLAN'!$S:$S,0,0)=0,"",XLOOKUP(CONCAT(B22,C22),'MASTER PLAN'!$AB:$AB,'MASTER PLAN'!$S:$S,0,0)),"")</f>
        <v>45968</v>
      </c>
      <c r="J22" s="49" t="str">
        <f t="shared" si="2"/>
        <v>140204931810</v>
      </c>
      <c r="K22" s="53" t="b">
        <v>1</v>
      </c>
      <c r="L22" s="56" t="b">
        <v>0</v>
      </c>
      <c r="M22" s="56" t="b">
        <v>0</v>
      </c>
      <c r="N22" s="56" t="b">
        <v>0</v>
      </c>
      <c r="O22" s="53" t="b">
        <v>1</v>
      </c>
      <c r="P22" s="56" t="b">
        <v>0</v>
      </c>
      <c r="Q22" s="53" t="b">
        <v>1</v>
      </c>
      <c r="R22" s="56"/>
      <c r="S22" s="56" t="s">
        <v>201</v>
      </c>
    </row>
    <row r="23" ht="15.75" customHeight="1">
      <c r="B23" s="47">
        <v>1.402049318E9</v>
      </c>
      <c r="C23" s="48">
        <v>20.0</v>
      </c>
      <c r="D23" s="49" t="str">
        <f t="array" ref="D23">IFERROR(IF(XLOOKUP(CONCAT(B23,C23),'MASTER PLAN'!$AB:$AB,'MASTER PLAN'!$J:$J,0,0)=0,"",XLOOKUP(CONCAT(B23,C23),'MASTER PLAN'!$AB:$AB,'MASTER PLAN'!$J:$J,0,0)),"")</f>
        <v>BOLSA WATERFALL JEWELERS 8"X4"X10"</v>
      </c>
      <c r="E23" s="50" t="s">
        <v>198</v>
      </c>
      <c r="F23" s="48">
        <v>1.0</v>
      </c>
      <c r="G23" s="51">
        <f t="array" ref="G23">IFERROR(IF(XLOOKUP(CONCAT(B23,C23),'MASTER PLAN'!$AB:$AB,'MASTER PLAN'!$O:$O,0,0)=0,"",XLOOKUP(CONCAT(B23,C23),'MASTER PLAN'!$AB:$AB,'MASTER PLAN'!$O:$O,0,0)),"")</f>
        <v>4800</v>
      </c>
      <c r="H23" s="51">
        <f t="shared" si="1"/>
        <v>4800</v>
      </c>
      <c r="I23" s="52">
        <f t="array" ref="I23">IFERROR(IF(XLOOKUP(CONCAT(B23,C23),'MASTER PLAN'!$AB:$AB,'MASTER PLAN'!$S:$S,0,0)=0,"",XLOOKUP(CONCAT(B23,C23),'MASTER PLAN'!$AB:$AB,'MASTER PLAN'!$S:$S,0,0)),"")</f>
        <v>45968</v>
      </c>
      <c r="J23" s="49" t="str">
        <f t="shared" si="2"/>
        <v>140204931820</v>
      </c>
      <c r="K23" s="53" t="b">
        <v>1</v>
      </c>
      <c r="L23" s="50" t="b">
        <v>0</v>
      </c>
      <c r="M23" s="50" t="b">
        <v>0</v>
      </c>
      <c r="N23" s="50" t="b">
        <v>0</v>
      </c>
      <c r="O23" s="53" t="b">
        <v>1</v>
      </c>
      <c r="P23" s="50" t="b">
        <v>0</v>
      </c>
      <c r="Q23" s="53" t="b">
        <v>1</v>
      </c>
      <c r="R23" s="50"/>
      <c r="S23" s="50" t="s">
        <v>201</v>
      </c>
    </row>
    <row r="24" ht="15.75" customHeight="1">
      <c r="B24" s="54">
        <v>1.402049332E9</v>
      </c>
      <c r="C24" s="55">
        <v>10.0</v>
      </c>
      <c r="D24" s="49" t="str">
        <f t="array" ref="D24">IFERROR(IF(XLOOKUP(CONCAT(B24,C24),'MASTER PLAN'!$AB:$AB,'MASTER PLAN'!$J:$J,0,0)=0,"",XLOOKUP(CONCAT(B24,C24),'MASTER PLAN'!$AB:$AB,'MASTER PLAN'!$J:$J,0,0)),"")</f>
        <v>BOLSA SCOTT &amp; CO 5"X4"X6"</v>
      </c>
      <c r="E24" s="56" t="s">
        <v>200</v>
      </c>
      <c r="F24" s="55">
        <v>1.0</v>
      </c>
      <c r="G24" s="51">
        <f t="array" ref="G24">IFERROR(IF(XLOOKUP(CONCAT(B24,C24),'MASTER PLAN'!$AB:$AB,'MASTER PLAN'!$O:$O,0,0)=0,"",XLOOKUP(CONCAT(B24,C24),'MASTER PLAN'!$AB:$AB,'MASTER PLAN'!$O:$O,0,0)),"")</f>
        <v>3600</v>
      </c>
      <c r="H24" s="51">
        <f t="shared" si="1"/>
        <v>3600</v>
      </c>
      <c r="I24" s="52">
        <f t="array" ref="I24">IFERROR(IF(XLOOKUP(CONCAT(B24,C24),'MASTER PLAN'!$AB:$AB,'MASTER PLAN'!$S:$S,0,0)=0,"",XLOOKUP(CONCAT(B24,C24),'MASTER PLAN'!$AB:$AB,'MASTER PLAN'!$S:$S,0,0)),"")</f>
        <v>45966</v>
      </c>
      <c r="J24" s="49" t="str">
        <f t="shared" si="2"/>
        <v>140204933210</v>
      </c>
      <c r="K24" s="56" t="b">
        <v>0</v>
      </c>
      <c r="L24" s="57" t="b">
        <v>1</v>
      </c>
      <c r="M24" s="57" t="b">
        <v>1</v>
      </c>
      <c r="N24" s="57" t="b">
        <v>1</v>
      </c>
      <c r="O24" s="57" t="b">
        <v>1</v>
      </c>
      <c r="P24" s="56" t="b">
        <v>0</v>
      </c>
      <c r="Q24" s="57" t="b">
        <v>1</v>
      </c>
      <c r="R24" s="56"/>
      <c r="S24" s="56" t="s">
        <v>199</v>
      </c>
    </row>
    <row r="25" ht="15.75" customHeight="1">
      <c r="B25" s="47">
        <v>1.402049342E9</v>
      </c>
      <c r="C25" s="48">
        <v>10.0</v>
      </c>
      <c r="D25" s="49" t="str">
        <f t="array" ref="D25">IFERROR(IF(XLOOKUP(CONCAT(B25,C25),'MASTER PLAN'!$AB:$AB,'MASTER PLAN'!$J:$J,0,0)=0,"",XLOOKUP(CONCAT(B25,C25),'MASTER PLAN'!$AB:$AB,'MASTER PLAN'!$J:$J,0,0)),"")</f>
        <v>BOLSA SHARFMANS JLRS 6-5"X3-5"X6-5"</v>
      </c>
      <c r="E25" s="50" t="s">
        <v>203</v>
      </c>
      <c r="F25" s="48">
        <v>1.0</v>
      </c>
      <c r="G25" s="51">
        <f t="array" ref="G25">IFERROR(IF(XLOOKUP(CONCAT(B25,C25),'MASTER PLAN'!$AB:$AB,'MASTER PLAN'!$O:$O,0,0)=0,"",XLOOKUP(CONCAT(B25,C25),'MASTER PLAN'!$AB:$AB,'MASTER PLAN'!$O:$O,0,0)),"")</f>
        <v>1800</v>
      </c>
      <c r="H25" s="51">
        <f t="shared" si="1"/>
        <v>1800</v>
      </c>
      <c r="I25" s="52">
        <f t="array" ref="I25">IFERROR(IF(XLOOKUP(CONCAT(B25,C25),'MASTER PLAN'!$AB:$AB,'MASTER PLAN'!$S:$S,0,0)=0,"",XLOOKUP(CONCAT(B25,C25),'MASTER PLAN'!$AB:$AB,'MASTER PLAN'!$S:$S,0,0)),"")</f>
        <v>45961</v>
      </c>
      <c r="J25" s="49" t="str">
        <f t="shared" si="2"/>
        <v>140204934210</v>
      </c>
      <c r="K25" s="57" t="b">
        <v>1</v>
      </c>
      <c r="L25" s="57" t="b">
        <v>1</v>
      </c>
      <c r="M25" s="50" t="b">
        <v>0</v>
      </c>
      <c r="N25" s="57" t="b">
        <v>1</v>
      </c>
      <c r="O25" s="57" t="b">
        <v>1</v>
      </c>
      <c r="P25" s="50" t="b">
        <v>0</v>
      </c>
      <c r="Q25" s="57" t="b">
        <v>1</v>
      </c>
      <c r="R25" s="50"/>
      <c r="S25" s="50" t="s">
        <v>199</v>
      </c>
    </row>
    <row r="26" ht="15.75" customHeight="1">
      <c r="B26" s="54">
        <v>1.402049342E9</v>
      </c>
      <c r="C26" s="55">
        <v>20.0</v>
      </c>
      <c r="D26" s="49" t="str">
        <f t="array" ref="D26">IFERROR(IF(XLOOKUP(CONCAT(B26,C26),'MASTER PLAN'!$AB:$AB,'MASTER PLAN'!$J:$J,0,0)=0,"",XLOOKUP(CONCAT(B26,C26),'MASTER PLAN'!$AB:$AB,'MASTER PLAN'!$J:$J,0,0)),"")</f>
        <v>BOLSA SHARFMANS JLRS 10"X4"X8"</v>
      </c>
      <c r="E26" s="56" t="s">
        <v>203</v>
      </c>
      <c r="F26" s="55">
        <v>1.0</v>
      </c>
      <c r="G26" s="51">
        <f t="array" ref="G26">IFERROR(IF(XLOOKUP(CONCAT(B26,C26),'MASTER PLAN'!$AB:$AB,'MASTER PLAN'!$O:$O,0,0)=0,"",XLOOKUP(CONCAT(B26,C26),'MASTER PLAN'!$AB:$AB,'MASTER PLAN'!$O:$O,0,0)),"")</f>
        <v>1800</v>
      </c>
      <c r="H26" s="51">
        <f t="shared" si="1"/>
        <v>1800</v>
      </c>
      <c r="I26" s="52">
        <f t="array" ref="I26">IFERROR(IF(XLOOKUP(CONCAT(B26,C26),'MASTER PLAN'!$AB:$AB,'MASTER PLAN'!$S:$S,0,0)=0,"",XLOOKUP(CONCAT(B26,C26),'MASTER PLAN'!$AB:$AB,'MASTER PLAN'!$S:$S,0,0)),"")</f>
        <v>45961</v>
      </c>
      <c r="J26" s="49" t="str">
        <f t="shared" si="2"/>
        <v>140204934220</v>
      </c>
      <c r="K26" s="57" t="b">
        <v>1</v>
      </c>
      <c r="L26" s="57" t="b">
        <v>1</v>
      </c>
      <c r="M26" s="56" t="b">
        <v>0</v>
      </c>
      <c r="N26" s="57" t="b">
        <v>1</v>
      </c>
      <c r="O26" s="57" t="b">
        <v>1</v>
      </c>
      <c r="P26" s="56" t="b">
        <v>0</v>
      </c>
      <c r="Q26" s="57" t="b">
        <v>1</v>
      </c>
      <c r="R26" s="56"/>
      <c r="S26" s="56" t="s">
        <v>199</v>
      </c>
    </row>
    <row r="27" ht="15.75" customHeight="1">
      <c r="B27" s="47">
        <v>1.402049346E9</v>
      </c>
      <c r="C27" s="48">
        <v>10.0</v>
      </c>
      <c r="D27" s="49" t="str">
        <f t="array" ref="D27">IFERROR(IF(XLOOKUP(CONCAT(B27,C27),'MASTER PLAN'!$AB:$AB,'MASTER PLAN'!$J:$J,0,0)=0,"",XLOOKUP(CONCAT(B27,C27),'MASTER PLAN'!$AB:$AB,'MASTER PLAN'!$J:$J,0,0)),"")</f>
        <v>BOLSA HELZBERG 10X2-5X8 IN FA</v>
      </c>
      <c r="E27" s="50" t="s">
        <v>203</v>
      </c>
      <c r="F27" s="48">
        <v>2.0</v>
      </c>
      <c r="G27" s="51">
        <f t="array" ref="G27">IFERROR(IF(XLOOKUP(CONCAT(B27,C27),'MASTER PLAN'!$AB:$AB,'MASTER PLAN'!$O:$O,0,0)=0,"",XLOOKUP(CONCAT(B27,C27),'MASTER PLAN'!$AB:$AB,'MASTER PLAN'!$O:$O,0,0)),"")</f>
        <v>24000</v>
      </c>
      <c r="H27" s="51">
        <f t="shared" si="1"/>
        <v>12000</v>
      </c>
      <c r="I27" s="52">
        <f t="array" ref="I27">IFERROR(IF(XLOOKUP(CONCAT(B27,C27),'MASTER PLAN'!$AB:$AB,'MASTER PLAN'!$S:$S,0,0)=0,"",XLOOKUP(CONCAT(B27,C27),'MASTER PLAN'!$AB:$AB,'MASTER PLAN'!$S:$S,0,0)),"")</f>
        <v>45922</v>
      </c>
      <c r="J27" s="49" t="str">
        <f t="shared" si="2"/>
        <v>140204934610</v>
      </c>
      <c r="K27" s="57" t="b">
        <v>1</v>
      </c>
      <c r="L27" s="57" t="b">
        <v>1</v>
      </c>
      <c r="M27" s="50" t="b">
        <v>0</v>
      </c>
      <c r="N27" s="57" t="b">
        <v>1</v>
      </c>
      <c r="O27" s="57" t="b">
        <v>1</v>
      </c>
      <c r="P27" s="50" t="b">
        <v>0</v>
      </c>
      <c r="Q27" s="57" t="b">
        <v>1</v>
      </c>
      <c r="R27" s="50"/>
      <c r="S27" s="50" t="s">
        <v>201</v>
      </c>
    </row>
    <row r="28" ht="15.75" customHeight="1">
      <c r="B28" s="54">
        <v>1.402049349E9</v>
      </c>
      <c r="C28" s="55">
        <v>10.0</v>
      </c>
      <c r="D28" s="49" t="str">
        <f t="array" ref="D28">IFERROR(IF(XLOOKUP(CONCAT(B28,C28),'MASTER PLAN'!$AB:$AB,'MASTER PLAN'!$J:$J,0,0)=0,"",XLOOKUP(CONCAT(B28,C28),'MASTER PLAN'!$AB:$AB,'MASTER PLAN'!$J:$J,0,0)),"")</f>
        <v>BOLSA WSHM WOS 10"X6"X10" FA</v>
      </c>
      <c r="E28" s="56" t="s">
        <v>200</v>
      </c>
      <c r="F28" s="55">
        <v>1.0</v>
      </c>
      <c r="G28" s="51">
        <f t="array" ref="G28">IFERROR(IF(XLOOKUP(CONCAT(B28,C28),'MASTER PLAN'!$AB:$AB,'MASTER PLAN'!$O:$O,0,0)=0,"",XLOOKUP(CONCAT(B28,C28),'MASTER PLAN'!$AB:$AB,'MASTER PLAN'!$O:$O,0,0)),"")</f>
        <v>18000</v>
      </c>
      <c r="H28" s="51">
        <f t="shared" si="1"/>
        <v>18000</v>
      </c>
      <c r="I28" s="52">
        <f t="array" ref="I28">IFERROR(IF(XLOOKUP(CONCAT(B28,C28),'MASTER PLAN'!$AB:$AB,'MASTER PLAN'!$S:$S,0,0)=0,"",XLOOKUP(CONCAT(B28,C28),'MASTER PLAN'!$AB:$AB,'MASTER PLAN'!$S:$S,0,0)),"")</f>
        <v>45960</v>
      </c>
      <c r="J28" s="49" t="str">
        <f t="shared" si="2"/>
        <v>140204934910</v>
      </c>
      <c r="K28" s="56" t="b">
        <v>0</v>
      </c>
      <c r="L28" s="53" t="b">
        <v>1</v>
      </c>
      <c r="M28" s="56" t="b">
        <v>0</v>
      </c>
      <c r="N28" s="53" t="b">
        <v>1</v>
      </c>
      <c r="O28" s="53" t="b">
        <v>1</v>
      </c>
      <c r="P28" s="56" t="b">
        <v>0</v>
      </c>
      <c r="Q28" s="56" t="b">
        <v>1</v>
      </c>
      <c r="R28" s="56"/>
      <c r="S28" s="56" t="s">
        <v>199</v>
      </c>
    </row>
    <row r="29" ht="15.75" customHeight="1">
      <c r="B29" s="47">
        <v>1.402049349E9</v>
      </c>
      <c r="C29" s="48">
        <v>20.0</v>
      </c>
      <c r="D29" s="49" t="str">
        <f t="array" ref="D29">IFERROR(IF(XLOOKUP(CONCAT(B29,C29),'MASTER PLAN'!$AB:$AB,'MASTER PLAN'!$J:$J,0,0)=0,"",XLOOKUP(CONCAT(B29,C29),'MASTER PLAN'!$AB:$AB,'MASTER PLAN'!$J:$J,0,0)),"")</f>
        <v>BOLSA WSHN WOS 17"X7"X14" FA</v>
      </c>
      <c r="E29" s="50" t="s">
        <v>200</v>
      </c>
      <c r="F29" s="48">
        <v>0.5</v>
      </c>
      <c r="G29" s="51">
        <f t="array" ref="G29">IFERROR(IF(XLOOKUP(CONCAT(B29,C29),'MASTER PLAN'!$AB:$AB,'MASTER PLAN'!$O:$O,0,0)=0,"",XLOOKUP(CONCAT(B29,C29),'MASTER PLAN'!$AB:$AB,'MASTER PLAN'!$O:$O,0,0)),"")</f>
        <v>4800</v>
      </c>
      <c r="H29" s="51">
        <f t="shared" si="1"/>
        <v>9600</v>
      </c>
      <c r="I29" s="52">
        <f t="array" ref="I29">IFERROR(IF(XLOOKUP(CONCAT(B29,C29),'MASTER PLAN'!$AB:$AB,'MASTER PLAN'!$S:$S,0,0)=0,"",XLOOKUP(CONCAT(B29,C29),'MASTER PLAN'!$AB:$AB,'MASTER PLAN'!$S:$S,0,0)),"")</f>
        <v>45960</v>
      </c>
      <c r="J29" s="49" t="str">
        <f t="shared" si="2"/>
        <v>140204934920</v>
      </c>
      <c r="K29" s="50" t="b">
        <v>0</v>
      </c>
      <c r="L29" s="53" t="b">
        <v>1</v>
      </c>
      <c r="M29" s="50" t="b">
        <v>0</v>
      </c>
      <c r="N29" s="53" t="b">
        <v>1</v>
      </c>
      <c r="O29" s="53" t="b">
        <v>1</v>
      </c>
      <c r="P29" s="50" t="b">
        <v>0</v>
      </c>
      <c r="Q29" s="50" t="b">
        <v>1</v>
      </c>
      <c r="R29" s="50"/>
      <c r="S29" s="50" t="s">
        <v>199</v>
      </c>
    </row>
    <row r="30" ht="15.75" customHeight="1">
      <c r="B30" s="54">
        <v>1.40204935E9</v>
      </c>
      <c r="C30" s="55">
        <v>10.0</v>
      </c>
      <c r="D30" s="49" t="str">
        <f t="array" ref="D30">IFERROR(IF(XLOOKUP(CONCAT(B30,C30),'MASTER PLAN'!$AB:$AB,'MASTER PLAN'!$J:$J,0,0)=0,"",XLOOKUP(CONCAT(B30,C30),'MASTER PLAN'!$AB:$AB,'MASTER PLAN'!$J:$J,0,0)),"")</f>
        <v>BOLSA WSMJ MAYORS WOS 6-5"X3-5"X6-5" FA</v>
      </c>
      <c r="E30" s="56" t="s">
        <v>200</v>
      </c>
      <c r="F30" s="55">
        <v>1.0</v>
      </c>
      <c r="G30" s="51">
        <f t="array" ref="G30">IFERROR(IF(XLOOKUP(CONCAT(B30,C30),'MASTER PLAN'!$AB:$AB,'MASTER PLAN'!$O:$O,0,0)=0,"",XLOOKUP(CONCAT(B30,C30),'MASTER PLAN'!$AB:$AB,'MASTER PLAN'!$O:$O,0,0)),"")</f>
        <v>4800</v>
      </c>
      <c r="H30" s="51">
        <f t="shared" si="1"/>
        <v>4800</v>
      </c>
      <c r="I30" s="52">
        <f t="array" ref="I30">IFERROR(IF(XLOOKUP(CONCAT(B30,C30),'MASTER PLAN'!$AB:$AB,'MASTER PLAN'!$S:$S,0,0)=0,"",XLOOKUP(CONCAT(B30,C30),'MASTER PLAN'!$AB:$AB,'MASTER PLAN'!$S:$S,0,0)),"")</f>
        <v>45959</v>
      </c>
      <c r="J30" s="49" t="str">
        <f t="shared" si="2"/>
        <v>140204935010</v>
      </c>
      <c r="K30" s="56" t="b">
        <v>0</v>
      </c>
      <c r="L30" s="53" t="b">
        <v>1</v>
      </c>
      <c r="M30" s="56" t="b">
        <v>0</v>
      </c>
      <c r="N30" s="53" t="b">
        <v>1</v>
      </c>
      <c r="O30" s="53" t="b">
        <v>1</v>
      </c>
      <c r="P30" s="56" t="b">
        <v>0</v>
      </c>
      <c r="Q30" s="56" t="b">
        <v>1</v>
      </c>
      <c r="R30" s="56"/>
      <c r="S30" s="56" t="s">
        <v>199</v>
      </c>
    </row>
    <row r="31" ht="15.75" customHeight="1">
      <c r="B31" s="47">
        <v>1.40204935E9</v>
      </c>
      <c r="C31" s="48">
        <v>20.0</v>
      </c>
      <c r="D31" s="49" t="str">
        <f t="array" ref="D31">IFERROR(IF(XLOOKUP(CONCAT(B31,C31),'MASTER PLAN'!$AB:$AB,'MASTER PLAN'!$J:$J,0,0)=0,"",XLOOKUP(CONCAT(B31,C31),'MASTER PLAN'!$AB:$AB,'MASTER PLAN'!$J:$J,0,0)),"")</f>
        <v>BOLSA WSMJ MAYORS WOS 10"X6"X10" FA</v>
      </c>
      <c r="E31" s="50" t="s">
        <v>200</v>
      </c>
      <c r="F31" s="48">
        <v>1.0</v>
      </c>
      <c r="G31" s="51">
        <f t="array" ref="G31">IFERROR(IF(XLOOKUP(CONCAT(B31,C31),'MASTER PLAN'!$AB:$AB,'MASTER PLAN'!$O:$O,0,0)=0,"",XLOOKUP(CONCAT(B31,C31),'MASTER PLAN'!$AB:$AB,'MASTER PLAN'!$O:$O,0,0)),"")</f>
        <v>14400</v>
      </c>
      <c r="H31" s="51">
        <f t="shared" si="1"/>
        <v>14400</v>
      </c>
      <c r="I31" s="52">
        <f t="array" ref="I31">IFERROR(IF(XLOOKUP(CONCAT(B31,C31),'MASTER PLAN'!$AB:$AB,'MASTER PLAN'!$S:$S,0,0)=0,"",XLOOKUP(CONCAT(B31,C31),'MASTER PLAN'!$AB:$AB,'MASTER PLAN'!$S:$S,0,0)),"")</f>
        <v>45959</v>
      </c>
      <c r="J31" s="49" t="str">
        <f t="shared" si="2"/>
        <v>140204935020</v>
      </c>
      <c r="K31" s="50" t="b">
        <v>0</v>
      </c>
      <c r="L31" s="53" t="b">
        <v>1</v>
      </c>
      <c r="M31" s="50" t="b">
        <v>0</v>
      </c>
      <c r="N31" s="53" t="b">
        <v>1</v>
      </c>
      <c r="O31" s="53" t="b">
        <v>1</v>
      </c>
      <c r="P31" s="50" t="b">
        <v>0</v>
      </c>
      <c r="Q31" s="50" t="b">
        <v>1</v>
      </c>
      <c r="R31" s="50"/>
      <c r="S31" s="50" t="s">
        <v>199</v>
      </c>
    </row>
    <row r="32" ht="15.75" customHeight="1">
      <c r="B32" s="54">
        <v>1.40204935E9</v>
      </c>
      <c r="C32" s="55">
        <v>30.0</v>
      </c>
      <c r="D32" s="49" t="str">
        <f t="array" ref="D32">IFERROR(IF(XLOOKUP(CONCAT(B32,C32),'MASTER PLAN'!$AB:$AB,'MASTER PLAN'!$J:$J,0,0)=0,"",XLOOKUP(CONCAT(B32,C32),'MASTER PLAN'!$AB:$AB,'MASTER PLAN'!$J:$J,0,0)),"")</f>
        <v>BOLSA WSMJ MAYORS WOS 17"X7"X14" FA</v>
      </c>
      <c r="E32" s="56" t="s">
        <v>200</v>
      </c>
      <c r="F32" s="55">
        <v>0.5</v>
      </c>
      <c r="G32" s="51">
        <f t="array" ref="G32">IFERROR(IF(XLOOKUP(CONCAT(B32,C32),'MASTER PLAN'!$AB:$AB,'MASTER PLAN'!$O:$O,0,0)=0,"",XLOOKUP(CONCAT(B32,C32),'MASTER PLAN'!$AB:$AB,'MASTER PLAN'!$O:$O,0,0)),"")</f>
        <v>4800</v>
      </c>
      <c r="H32" s="51">
        <f t="shared" si="1"/>
        <v>9600</v>
      </c>
      <c r="I32" s="52">
        <f t="array" ref="I32">IFERROR(IF(XLOOKUP(CONCAT(B32,C32),'MASTER PLAN'!$AB:$AB,'MASTER PLAN'!$S:$S,0,0)=0,"",XLOOKUP(CONCAT(B32,C32),'MASTER PLAN'!$AB:$AB,'MASTER PLAN'!$S:$S,0,0)),"")</f>
        <v>45959</v>
      </c>
      <c r="J32" s="49" t="str">
        <f t="shared" si="2"/>
        <v>140204935030</v>
      </c>
      <c r="K32" s="56" t="b">
        <v>0</v>
      </c>
      <c r="L32" s="53" t="b">
        <v>1</v>
      </c>
      <c r="M32" s="56" t="b">
        <v>0</v>
      </c>
      <c r="N32" s="53" t="b">
        <v>1</v>
      </c>
      <c r="O32" s="53" t="b">
        <v>1</v>
      </c>
      <c r="P32" s="56" t="b">
        <v>0</v>
      </c>
      <c r="Q32" s="56" t="b">
        <v>1</v>
      </c>
      <c r="R32" s="56"/>
      <c r="S32" s="56" t="s">
        <v>199</v>
      </c>
    </row>
    <row r="33" ht="15.75" customHeight="1">
      <c r="B33" s="47">
        <v>1.402049351E9</v>
      </c>
      <c r="C33" s="48">
        <v>10.0</v>
      </c>
      <c r="D33" s="49" t="str">
        <f t="array" ref="D33">IFERROR(IF(XLOOKUP(CONCAT(B33,C33),'MASTER PLAN'!$AB:$AB,'MASTER PLAN'!$J:$J,0,0)=0,"",XLOOKUP(CONCAT(B33,C33),'MASTER PLAN'!$AB:$AB,'MASTER PLAN'!$J:$J,0,0)),"")</f>
        <v>BOLSA WATERFALL JEWELERS 6-5"X3-5"X6-5"</v>
      </c>
      <c r="E33" s="50" t="s">
        <v>198</v>
      </c>
      <c r="F33" s="48">
        <v>1.0</v>
      </c>
      <c r="G33" s="51">
        <f t="array" ref="G33">IFERROR(IF(XLOOKUP(CONCAT(B33,C33),'MASTER PLAN'!$AB:$AB,'MASTER PLAN'!$O:$O,0,0)=0,"",XLOOKUP(CONCAT(B33,C33),'MASTER PLAN'!$AB:$AB,'MASTER PLAN'!$O:$O,0,0)),"")</f>
        <v>2400</v>
      </c>
      <c r="H33" s="51">
        <f t="shared" si="1"/>
        <v>2400</v>
      </c>
      <c r="I33" s="52">
        <f t="array" ref="I33">IFERROR(IF(XLOOKUP(CONCAT(B33,C33),'MASTER PLAN'!$AB:$AB,'MASTER PLAN'!$S:$S,0,0)=0,"",XLOOKUP(CONCAT(B33,C33),'MASTER PLAN'!$AB:$AB,'MASTER PLAN'!$S:$S,0,0)),"")</f>
        <v>45968</v>
      </c>
      <c r="J33" s="49" t="str">
        <f t="shared" si="2"/>
        <v>140204935110</v>
      </c>
      <c r="K33" s="53" t="b">
        <v>1</v>
      </c>
      <c r="L33" s="50" t="b">
        <v>0</v>
      </c>
      <c r="M33" s="50" t="b">
        <v>0</v>
      </c>
      <c r="N33" s="50" t="b">
        <v>0</v>
      </c>
      <c r="O33" s="53" t="b">
        <v>1</v>
      </c>
      <c r="P33" s="50" t="b">
        <v>0</v>
      </c>
      <c r="Q33" s="53" t="b">
        <v>1</v>
      </c>
      <c r="R33" s="50"/>
      <c r="S33" s="50" t="s">
        <v>201</v>
      </c>
    </row>
    <row r="34" ht="15.75" customHeight="1">
      <c r="B34" s="54">
        <v>1.402049351E9</v>
      </c>
      <c r="C34" s="55">
        <v>20.0</v>
      </c>
      <c r="D34" s="49" t="str">
        <f t="array" ref="D34">IFERROR(IF(XLOOKUP(CONCAT(B34,C34),'MASTER PLAN'!$AB:$AB,'MASTER PLAN'!$J:$J,0,0)=0,"",XLOOKUP(CONCAT(B34,C34),'MASTER PLAN'!$AB:$AB,'MASTER PLAN'!$J:$J,0,0)),"")</f>
        <v>BOLSA WATERFALL JEWELERS 8"X4"X10"</v>
      </c>
      <c r="E34" s="56" t="s">
        <v>198</v>
      </c>
      <c r="F34" s="55">
        <v>1.0</v>
      </c>
      <c r="G34" s="51">
        <f t="array" ref="G34">IFERROR(IF(XLOOKUP(CONCAT(B34,C34),'MASTER PLAN'!$AB:$AB,'MASTER PLAN'!$O:$O,0,0)=0,"",XLOOKUP(CONCAT(B34,C34),'MASTER PLAN'!$AB:$AB,'MASTER PLAN'!$O:$O,0,0)),"")</f>
        <v>1200</v>
      </c>
      <c r="H34" s="51">
        <f t="shared" si="1"/>
        <v>1200</v>
      </c>
      <c r="I34" s="52">
        <f t="array" ref="I34">IFERROR(IF(XLOOKUP(CONCAT(B34,C34),'MASTER PLAN'!$AB:$AB,'MASTER PLAN'!$S:$S,0,0)=0,"",XLOOKUP(CONCAT(B34,C34),'MASTER PLAN'!$AB:$AB,'MASTER PLAN'!$S:$S,0,0)),"")</f>
        <v>45968</v>
      </c>
      <c r="J34" s="49" t="str">
        <f t="shared" si="2"/>
        <v>140204935120</v>
      </c>
      <c r="K34" s="53" t="b">
        <v>1</v>
      </c>
      <c r="L34" s="56" t="b">
        <v>0</v>
      </c>
      <c r="M34" s="56" t="b">
        <v>0</v>
      </c>
      <c r="N34" s="56" t="b">
        <v>0</v>
      </c>
      <c r="O34" s="53" t="b">
        <v>1</v>
      </c>
      <c r="P34" s="56" t="b">
        <v>0</v>
      </c>
      <c r="Q34" s="53" t="b">
        <v>1</v>
      </c>
      <c r="R34" s="56"/>
      <c r="S34" s="56" t="s">
        <v>201</v>
      </c>
    </row>
    <row r="35" ht="15.75" customHeight="1">
      <c r="B35" s="47">
        <v>1.402049355E9</v>
      </c>
      <c r="C35" s="48">
        <v>10.0</v>
      </c>
      <c r="D35" s="49" t="str">
        <f t="array" ref="D35">IFERROR(IF(XLOOKUP(CONCAT(B35,C35),'MASTER PLAN'!$AB:$AB,'MASTER PLAN'!$J:$J,0,0)=0,"",XLOOKUP(CONCAT(B35,C35),'MASTER PLAN'!$AB:$AB,'MASTER PLAN'!$J:$J,0,0)),"")</f>
        <v>BOLSA WALKER CHRISTOPHER 6-5X3X9</v>
      </c>
      <c r="E35" s="50" t="s">
        <v>198</v>
      </c>
      <c r="F35" s="48">
        <v>1.0</v>
      </c>
      <c r="G35" s="51">
        <f t="array" ref="G35">IFERROR(IF(XLOOKUP(CONCAT(B35,C35),'MASTER PLAN'!$AB:$AB,'MASTER PLAN'!$O:$O,0,0)=0,"",XLOOKUP(CONCAT(B35,C35),'MASTER PLAN'!$AB:$AB,'MASTER PLAN'!$O:$O,0,0)),"")</f>
        <v>1800</v>
      </c>
      <c r="H35" s="51">
        <f t="shared" si="1"/>
        <v>1800</v>
      </c>
      <c r="I35" s="52">
        <f t="array" ref="I35">IFERROR(IF(XLOOKUP(CONCAT(B35,C35),'MASTER PLAN'!$AB:$AB,'MASTER PLAN'!$S:$S,0,0)=0,"",XLOOKUP(CONCAT(B35,C35),'MASTER PLAN'!$AB:$AB,'MASTER PLAN'!$S:$S,0,0)),"")</f>
        <v>45989</v>
      </c>
      <c r="J35" s="49" t="str">
        <f t="shared" si="2"/>
        <v>140204935510</v>
      </c>
      <c r="K35" s="53" t="b">
        <v>1</v>
      </c>
      <c r="L35" s="50" t="b">
        <v>0</v>
      </c>
      <c r="M35" s="50" t="b">
        <v>0</v>
      </c>
      <c r="N35" s="50" t="b">
        <v>0</v>
      </c>
      <c r="O35" s="53" t="b">
        <v>1</v>
      </c>
      <c r="P35" s="50" t="b">
        <v>0</v>
      </c>
      <c r="Q35" s="53" t="b">
        <v>1</v>
      </c>
      <c r="R35" s="50"/>
      <c r="S35" s="50" t="s">
        <v>201</v>
      </c>
    </row>
    <row r="36" ht="15.75" customHeight="1">
      <c r="B36" s="54">
        <v>1.402049357E9</v>
      </c>
      <c r="C36" s="55">
        <v>10.0</v>
      </c>
      <c r="D36" s="49" t="str">
        <f t="array" ref="D36">IFERROR(IF(XLOOKUP(CONCAT(B36,C36),'MASTER PLAN'!$AB:$AB,'MASTER PLAN'!$J:$J,0,0)=0,"",XLOOKUP(CONCAT(B36,C36),'MASTER PLAN'!$AB:$AB,'MASTER PLAN'!$J:$J,0,0)),"")</f>
        <v>BOLSA GREBITUS 11X4X8 IN FL</v>
      </c>
      <c r="E36" s="56" t="s">
        <v>203</v>
      </c>
      <c r="F36" s="55">
        <v>0.5</v>
      </c>
      <c r="G36" s="51">
        <f t="array" ref="G36">IFERROR(IF(XLOOKUP(CONCAT(B36,C36),'MASTER PLAN'!$AB:$AB,'MASTER PLAN'!$O:$O,0,0)=0,"",XLOOKUP(CONCAT(B36,C36),'MASTER PLAN'!$AB:$AB,'MASTER PLAN'!$O:$O,0,0)),"")</f>
        <v>2400</v>
      </c>
      <c r="H36" s="51">
        <f t="shared" si="1"/>
        <v>4800</v>
      </c>
      <c r="I36" s="52">
        <f t="array" ref="I36">IFERROR(IF(XLOOKUP(CONCAT(B36,C36),'MASTER PLAN'!$AB:$AB,'MASTER PLAN'!$S:$S,0,0)=0,"",XLOOKUP(CONCAT(B36,C36),'MASTER PLAN'!$AB:$AB,'MASTER PLAN'!$S:$S,0,0)),"")</f>
        <v>45961</v>
      </c>
      <c r="J36" s="49" t="str">
        <f t="shared" si="2"/>
        <v>140204935710</v>
      </c>
      <c r="K36" s="57" t="b">
        <v>1</v>
      </c>
      <c r="L36" s="57" t="b">
        <v>1</v>
      </c>
      <c r="M36" s="56" t="b">
        <v>0</v>
      </c>
      <c r="N36" s="57" t="b">
        <v>1</v>
      </c>
      <c r="O36" s="56" t="b">
        <v>0</v>
      </c>
      <c r="P36" s="56" t="b">
        <v>0</v>
      </c>
      <c r="Q36" s="57" t="b">
        <v>1</v>
      </c>
      <c r="R36" s="56"/>
      <c r="S36" s="56" t="s">
        <v>199</v>
      </c>
    </row>
    <row r="37" ht="15.75" customHeight="1">
      <c r="B37" s="47">
        <v>1.402049358E9</v>
      </c>
      <c r="C37" s="48">
        <v>10.0</v>
      </c>
      <c r="D37" s="49" t="str">
        <f t="array" ref="D37">IFERROR(IF(XLOOKUP(CONCAT(B37,C37),'MASTER PLAN'!$AB:$AB,'MASTER PLAN'!$J:$J,0,0)=0,"",XLOOKUP(CONCAT(B37,C37),'MASTER PLAN'!$AB:$AB,'MASTER PLAN'!$J:$J,0,0)),"")</f>
        <v>BOLSA JON'S FINE JEWELRY 5"X4"X7"</v>
      </c>
      <c r="E37" s="50" t="s">
        <v>198</v>
      </c>
      <c r="F37" s="48">
        <v>2.0</v>
      </c>
      <c r="G37" s="51">
        <f t="array" ref="G37">IFERROR(IF(XLOOKUP(CONCAT(B37,C37),'MASTER PLAN'!$AB:$AB,'MASTER PLAN'!$O:$O,0,0)=0,"",XLOOKUP(CONCAT(B37,C37),'MASTER PLAN'!$AB:$AB,'MASTER PLAN'!$O:$O,0,0)),"")</f>
        <v>2400</v>
      </c>
      <c r="H37" s="51">
        <f t="shared" si="1"/>
        <v>1200</v>
      </c>
      <c r="I37" s="52">
        <f t="array" ref="I37">IFERROR(IF(XLOOKUP(CONCAT(B37,C37),'MASTER PLAN'!$AB:$AB,'MASTER PLAN'!$S:$S,0,0)=0,"",XLOOKUP(CONCAT(B37,C37),'MASTER PLAN'!$AB:$AB,'MASTER PLAN'!$S:$S,0,0)),"")</f>
        <v>45687</v>
      </c>
      <c r="J37" s="49" t="str">
        <f t="shared" si="2"/>
        <v>140204935810</v>
      </c>
      <c r="K37" s="53" t="b">
        <v>1</v>
      </c>
      <c r="L37" s="50" t="b">
        <v>0</v>
      </c>
      <c r="M37" s="53" t="b">
        <v>1</v>
      </c>
      <c r="N37" s="50" t="b">
        <v>0</v>
      </c>
      <c r="O37" s="53" t="b">
        <v>1</v>
      </c>
      <c r="P37" s="50" t="b">
        <v>0</v>
      </c>
      <c r="Q37" s="53" t="b">
        <v>1</v>
      </c>
      <c r="R37" s="50"/>
      <c r="S37" s="50" t="s">
        <v>199</v>
      </c>
    </row>
    <row r="38" ht="15.75" customHeight="1">
      <c r="B38" s="54">
        <v>1.402049362E9</v>
      </c>
      <c r="C38" s="55">
        <v>10.0</v>
      </c>
      <c r="D38" s="49" t="str">
        <f t="array" ref="D38">IFERROR(IF(XLOOKUP(CONCAT(B38,C38),'MASTER PLAN'!$AB:$AB,'MASTER PLAN'!$J:$J,0,0)=0,"",XLOOKUP(CONCAT(B38,C38),'MASTER PLAN'!$AB:$AB,'MASTER PLAN'!$J:$J,0,0)),"")</f>
        <v>BOLSA SCHWANKE KASTEN CO 10"X6"X8"</v>
      </c>
      <c r="E38" s="56" t="s">
        <v>200</v>
      </c>
      <c r="F38" s="55">
        <v>1.0</v>
      </c>
      <c r="G38" s="51">
        <f t="array" ref="G38">IFERROR(IF(XLOOKUP(CONCAT(B38,C38),'MASTER PLAN'!$AB:$AB,'MASTER PLAN'!$O:$O,0,0)=0,"",XLOOKUP(CONCAT(B38,C38),'MASTER PLAN'!$AB:$AB,'MASTER PLAN'!$O:$O,0,0)),"")</f>
        <v>2400</v>
      </c>
      <c r="H38" s="51">
        <f t="shared" si="1"/>
        <v>2400</v>
      </c>
      <c r="I38" s="52">
        <f t="array" ref="I38">IFERROR(IF(XLOOKUP(CONCAT(B38,C38),'MASTER PLAN'!$AB:$AB,'MASTER PLAN'!$S:$S,0,0)=0,"",XLOOKUP(CONCAT(B38,C38),'MASTER PLAN'!$AB:$AB,'MASTER PLAN'!$S:$S,0,0)),"")</f>
        <v>45961</v>
      </c>
      <c r="J38" s="49" t="str">
        <f t="shared" si="2"/>
        <v>140204936210</v>
      </c>
      <c r="K38" s="56" t="b">
        <v>0</v>
      </c>
      <c r="L38" s="53" t="b">
        <v>1</v>
      </c>
      <c r="M38" s="56" t="b">
        <v>0</v>
      </c>
      <c r="N38" s="53" t="b">
        <v>1</v>
      </c>
      <c r="O38" s="53" t="b">
        <v>1</v>
      </c>
      <c r="P38" s="56" t="b">
        <v>0</v>
      </c>
      <c r="Q38" s="53" t="b">
        <v>1</v>
      </c>
      <c r="R38" s="56"/>
      <c r="S38" s="56" t="s">
        <v>199</v>
      </c>
    </row>
    <row r="39" ht="15.75" customHeight="1">
      <c r="B39" s="47">
        <v>1.402049363E9</v>
      </c>
      <c r="C39" s="48">
        <v>10.0</v>
      </c>
      <c r="D39" s="49" t="str">
        <f t="array" ref="D39">IFERROR(IF(XLOOKUP(CONCAT(B39,C39),'MASTER PLAN'!$AB:$AB,'MASTER PLAN'!$J:$J,0,0)=0,"",XLOOKUP(CONCAT(B39,C39),'MASTER PLAN'!$AB:$AB,'MASTER PLAN'!$J:$J,0,0)),"")</f>
        <v>BOLSA BELUM 11X7X14-5 CM FL</v>
      </c>
      <c r="E39" s="50" t="s">
        <v>203</v>
      </c>
      <c r="F39" s="48">
        <v>0.5</v>
      </c>
      <c r="G39" s="51">
        <f t="array" ref="G39">IFERROR(IF(XLOOKUP(CONCAT(B39,C39),'MASTER PLAN'!$AB:$AB,'MASTER PLAN'!$O:$O,0,0)=0,"",XLOOKUP(CONCAT(B39,C39),'MASTER PLAN'!$AB:$AB,'MASTER PLAN'!$O:$O,0,0)),"")</f>
        <v>660</v>
      </c>
      <c r="H39" s="51">
        <f t="shared" si="1"/>
        <v>1320</v>
      </c>
      <c r="I39" s="52">
        <f t="array" ref="I39">IFERROR(IF(XLOOKUP(CONCAT(B39,C39),'MASTER PLAN'!$AB:$AB,'MASTER PLAN'!$S:$S,0,0)=0,"",XLOOKUP(CONCAT(B39,C39),'MASTER PLAN'!$AB:$AB,'MASTER PLAN'!$S:$S,0,0)),"")</f>
        <v>45986</v>
      </c>
      <c r="J39" s="49" t="str">
        <f t="shared" si="2"/>
        <v>140204936310</v>
      </c>
      <c r="K39" s="57" t="b">
        <v>1</v>
      </c>
      <c r="L39" s="50" t="b">
        <v>0</v>
      </c>
      <c r="M39" s="50" t="b">
        <v>0</v>
      </c>
      <c r="N39" s="57" t="b">
        <v>1</v>
      </c>
      <c r="O39" s="57" t="b">
        <v>1</v>
      </c>
      <c r="P39" s="50" t="b">
        <v>0</v>
      </c>
      <c r="Q39" s="57" t="b">
        <v>1</v>
      </c>
      <c r="R39" s="50"/>
      <c r="S39" s="50" t="s">
        <v>201</v>
      </c>
    </row>
    <row r="40" ht="15.75" customHeight="1">
      <c r="B40" s="54">
        <v>1.402049364E9</v>
      </c>
      <c r="C40" s="55">
        <v>10.0</v>
      </c>
      <c r="D40" s="49" t="str">
        <f t="array" ref="D40">IFERROR(IF(XLOOKUP(CONCAT(B40,C40),'MASTER PLAN'!$AB:$AB,'MASTER PLAN'!$J:$J,0,0)=0,"",XLOOKUP(CONCAT(B40,C40),'MASTER PLAN'!$AB:$AB,'MASTER PLAN'!$J:$J,0,0)),"")</f>
        <v>BOLSA BELUM 11X7X14-5 CM FL</v>
      </c>
      <c r="E40" s="56" t="s">
        <v>203</v>
      </c>
      <c r="F40" s="55">
        <v>0.5</v>
      </c>
      <c r="G40" s="51">
        <f t="array" ref="G40">IFERROR(IF(XLOOKUP(CONCAT(B40,C40),'MASTER PLAN'!$AB:$AB,'MASTER PLAN'!$O:$O,0,0)=0,"",XLOOKUP(CONCAT(B40,C40),'MASTER PLAN'!$AB:$AB,'MASTER PLAN'!$O:$O,0,0)),"")</f>
        <v>660</v>
      </c>
      <c r="H40" s="51">
        <f t="shared" si="1"/>
        <v>1320</v>
      </c>
      <c r="I40" s="52">
        <f t="array" ref="I40">IFERROR(IF(XLOOKUP(CONCAT(B40,C40),'MASTER PLAN'!$AB:$AB,'MASTER PLAN'!$S:$S,0,0)=0,"",XLOOKUP(CONCAT(B40,C40),'MASTER PLAN'!$AB:$AB,'MASTER PLAN'!$S:$S,0,0)),"")</f>
        <v>46013</v>
      </c>
      <c r="J40" s="49" t="str">
        <f t="shared" si="2"/>
        <v>140204936410</v>
      </c>
      <c r="K40" s="57" t="b">
        <v>1</v>
      </c>
      <c r="L40" s="56" t="b">
        <v>0</v>
      </c>
      <c r="M40" s="56" t="b">
        <v>0</v>
      </c>
      <c r="N40" s="56" t="b">
        <v>1</v>
      </c>
      <c r="O40" s="56" t="b">
        <v>1</v>
      </c>
      <c r="P40" s="56" t="b">
        <v>0</v>
      </c>
      <c r="Q40" s="56" t="b">
        <v>1</v>
      </c>
      <c r="R40" s="56"/>
      <c r="S40" s="56" t="s">
        <v>199</v>
      </c>
    </row>
    <row r="41" ht="15.75" customHeight="1">
      <c r="B41" s="47">
        <v>1.402049237E9</v>
      </c>
      <c r="C41" s="48">
        <v>10.0</v>
      </c>
      <c r="D41" s="49" t="str">
        <f t="array" ref="D41">IFERROR(IF(XLOOKUP(CONCAT(B41,C41),'MASTER PLAN'!$AB:$AB,'MASTER PLAN'!$J:$J,0,0)=0,"",XLOOKUP(CONCAT(B41,C41),'MASTER PLAN'!$AB:$AB,'MASTER PLAN'!$J:$J,0,0)),"")</f>
        <v>BOLSA ANNABELLES 8"X4"X10"</v>
      </c>
      <c r="E41" s="50" t="s">
        <v>200</v>
      </c>
      <c r="F41" s="48">
        <v>1.0</v>
      </c>
      <c r="G41" s="51">
        <f t="array" ref="G41">IFERROR(IF(XLOOKUP(CONCAT(B41,C41),'MASTER PLAN'!$AB:$AB,'MASTER PLAN'!$O:$O,0,0)=0,"",XLOOKUP(CONCAT(B41,C41),'MASTER PLAN'!$AB:$AB,'MASTER PLAN'!$O:$O,0,0)),"")</f>
        <v>5400</v>
      </c>
      <c r="H41" s="51">
        <f t="shared" si="1"/>
        <v>5400</v>
      </c>
      <c r="I41" s="52">
        <f t="array" ref="I41">IFERROR(IF(XLOOKUP(CONCAT(B41,C41),'MASTER PLAN'!$AB:$AB,'MASTER PLAN'!$S:$S,0,0)=0,"",XLOOKUP(CONCAT(B41,C41),'MASTER PLAN'!$AB:$AB,'MASTER PLAN'!$S:$S,0,0)),"")</f>
        <v>45957</v>
      </c>
      <c r="J41" s="49" t="str">
        <f t="shared" si="2"/>
        <v>140204923710</v>
      </c>
      <c r="K41" s="50" t="b">
        <v>0</v>
      </c>
      <c r="L41" s="57" t="b">
        <v>1</v>
      </c>
      <c r="M41" s="50" t="b">
        <v>0</v>
      </c>
      <c r="N41" s="57" t="b">
        <v>1</v>
      </c>
      <c r="O41" s="50" t="b">
        <v>0</v>
      </c>
      <c r="P41" s="50" t="b">
        <v>0</v>
      </c>
      <c r="Q41" s="57" t="b">
        <v>1</v>
      </c>
      <c r="R41" s="50"/>
      <c r="S41" s="50" t="s">
        <v>199</v>
      </c>
    </row>
    <row r="42" ht="15.75" customHeight="1">
      <c r="B42" s="54">
        <v>1.402049237E9</v>
      </c>
      <c r="C42" s="55">
        <v>20.0</v>
      </c>
      <c r="D42" s="49" t="str">
        <f t="array" ref="D42">IFERROR(IF(XLOOKUP(CONCAT(B42,C42),'MASTER PLAN'!$AB:$AB,'MASTER PLAN'!$J:$J,0,0)=0,"",XLOOKUP(CONCAT(B42,C42),'MASTER PLAN'!$AB:$AB,'MASTER PLAN'!$J:$J,0,0)),"")</f>
        <v>BOLSA ANNABELLES 13"X5"X10"</v>
      </c>
      <c r="E42" s="56" t="s">
        <v>200</v>
      </c>
      <c r="F42" s="55">
        <v>0.5</v>
      </c>
      <c r="G42" s="51">
        <f t="array" ref="G42">IFERROR(IF(XLOOKUP(CONCAT(B42,C42),'MASTER PLAN'!$AB:$AB,'MASTER PLAN'!$O:$O,0,0)=0,"",XLOOKUP(CONCAT(B42,C42),'MASTER PLAN'!$AB:$AB,'MASTER PLAN'!$O:$O,0,0)),"")</f>
        <v>1800</v>
      </c>
      <c r="H42" s="51">
        <f t="shared" si="1"/>
        <v>3600</v>
      </c>
      <c r="I42" s="52">
        <f t="array" ref="I42">IFERROR(IF(XLOOKUP(CONCAT(B42,C42),'MASTER PLAN'!$AB:$AB,'MASTER PLAN'!$S:$S,0,0)=0,"",XLOOKUP(CONCAT(B42,C42),'MASTER PLAN'!$AB:$AB,'MASTER PLAN'!$S:$S,0,0)),"")</f>
        <v>45957</v>
      </c>
      <c r="J42" s="49" t="str">
        <f t="shared" si="2"/>
        <v>140204923720</v>
      </c>
      <c r="K42" s="56" t="b">
        <v>0</v>
      </c>
      <c r="L42" s="57" t="b">
        <v>1</v>
      </c>
      <c r="M42" s="56" t="b">
        <v>0</v>
      </c>
      <c r="N42" s="57" t="b">
        <v>1</v>
      </c>
      <c r="O42" s="56" t="b">
        <v>0</v>
      </c>
      <c r="P42" s="56" t="b">
        <v>0</v>
      </c>
      <c r="Q42" s="57" t="b">
        <v>1</v>
      </c>
      <c r="R42" s="56"/>
      <c r="S42" s="56" t="s">
        <v>199</v>
      </c>
    </row>
    <row r="43" ht="15.75" customHeight="1">
      <c r="B43" s="47">
        <v>1.402049448E9</v>
      </c>
      <c r="C43" s="48">
        <v>10.0</v>
      </c>
      <c r="D43" s="49" t="str">
        <f t="array" ref="D43">IFERROR(IF(XLOOKUP(CONCAT(B43,C43),'MASTER PLAN'!$AB:$AB,'MASTER PLAN'!$J:$J,0,0)=0,"",XLOOKUP(CONCAT(B43,C43),'MASTER PLAN'!$AB:$AB,'MASTER PLAN'!$J:$J,0,0)),"")</f>
        <v>BOLSA CALDANI 6-5"X2-5"X5-5"</v>
      </c>
      <c r="E43" s="50" t="s">
        <v>205</v>
      </c>
      <c r="F43" s="48">
        <v>2.0</v>
      </c>
      <c r="G43" s="51">
        <f t="array" ref="G43">IFERROR(IF(XLOOKUP(CONCAT(B43,C43),'MASTER PLAN'!$AB:$AB,'MASTER PLAN'!$O:$O,0,0)=0,"",XLOOKUP(CONCAT(B43,C43),'MASTER PLAN'!$AB:$AB,'MASTER PLAN'!$O:$O,0,0)),"")</f>
        <v>2400</v>
      </c>
      <c r="H43" s="51">
        <f t="shared" si="1"/>
        <v>1200</v>
      </c>
      <c r="I43" s="52">
        <f t="array" ref="I43">IFERROR(IF(XLOOKUP(CONCAT(B43,C43),'MASTER PLAN'!$AB:$AB,'MASTER PLAN'!$S:$S,0,0)=0,"",XLOOKUP(CONCAT(B43,C43),'MASTER PLAN'!$AB:$AB,'MASTER PLAN'!$S:$S,0,0)),"")</f>
        <v>46000</v>
      </c>
      <c r="J43" s="49" t="str">
        <f t="shared" si="2"/>
        <v>140204944810</v>
      </c>
      <c r="K43" s="50" t="b">
        <v>0</v>
      </c>
      <c r="L43" s="53" t="b">
        <v>1</v>
      </c>
      <c r="M43" s="50" t="b">
        <v>0</v>
      </c>
      <c r="N43" s="50" t="b">
        <v>0</v>
      </c>
      <c r="O43" s="53" t="b">
        <v>1</v>
      </c>
      <c r="P43" s="50" t="b">
        <v>0</v>
      </c>
      <c r="Q43" s="53" t="b">
        <v>1</v>
      </c>
      <c r="R43" s="50"/>
      <c r="S43" s="50" t="s">
        <v>201</v>
      </c>
    </row>
    <row r="44" ht="15.75" customHeight="1">
      <c r="B44" s="54">
        <v>1.402049387E9</v>
      </c>
      <c r="C44" s="55">
        <v>10.0</v>
      </c>
      <c r="D44" s="49" t="str">
        <f t="array" ref="D44">IFERROR(IF(XLOOKUP(CONCAT(B44,C44),'MASTER PLAN'!$AB:$AB,'MASTER PLAN'!$J:$J,0,0)=0,"",XLOOKUP(CONCAT(B44,C44),'MASTER PLAN'!$AB:$AB,'MASTER PLAN'!$J:$J,0,0)),"")</f>
        <v>BOLSA MAUI DIVERS 10"X6"X10"</v>
      </c>
      <c r="E44" s="56" t="s">
        <v>200</v>
      </c>
      <c r="F44" s="55">
        <v>1.0</v>
      </c>
      <c r="G44" s="51">
        <f t="array" ref="G44">IFERROR(IF(XLOOKUP(CONCAT(B44,C44),'MASTER PLAN'!$AB:$AB,'MASTER PLAN'!$O:$O,0,0)=0,"",XLOOKUP(CONCAT(B44,C44),'MASTER PLAN'!$AB:$AB,'MASTER PLAN'!$O:$O,0,0)),"")</f>
        <v>12096</v>
      </c>
      <c r="H44" s="51">
        <f t="shared" si="1"/>
        <v>12096</v>
      </c>
      <c r="I44" s="52">
        <f t="array" ref="I44">IFERROR(IF(XLOOKUP(CONCAT(B44,C44),'MASTER PLAN'!$AB:$AB,'MASTER PLAN'!$S:$S,0,0)=0,"",XLOOKUP(CONCAT(B44,C44),'MASTER PLAN'!$AB:$AB,'MASTER PLAN'!$S:$S,0,0)),"")</f>
        <v>45968</v>
      </c>
      <c r="J44" s="49" t="str">
        <f t="shared" si="2"/>
        <v>140204938710</v>
      </c>
      <c r="K44" s="56" t="b">
        <v>0</v>
      </c>
      <c r="L44" s="57" t="b">
        <v>1</v>
      </c>
      <c r="M44" s="57" t="b">
        <v>1</v>
      </c>
      <c r="N44" s="57" t="b">
        <v>1</v>
      </c>
      <c r="O44" s="56" t="b">
        <v>0</v>
      </c>
      <c r="P44" s="57" t="b">
        <v>1</v>
      </c>
      <c r="Q44" s="57" t="b">
        <v>1</v>
      </c>
      <c r="R44" s="56"/>
      <c r="S44" s="56" t="s">
        <v>199</v>
      </c>
    </row>
    <row r="45" ht="15.75" customHeight="1">
      <c r="B45" s="47">
        <v>1.402049521E9</v>
      </c>
      <c r="C45" s="48">
        <v>10.0</v>
      </c>
      <c r="D45" s="49" t="str">
        <f t="array" ref="D45">IFERROR(IF(XLOOKUP(CONCAT(B45,C45),'MASTER PLAN'!$AB:$AB,'MASTER PLAN'!$J:$J,0,0)=0,"",XLOOKUP(CONCAT(B45,C45),'MASTER PLAN'!$AB:$AB,'MASTER PLAN'!$J:$J,0,0)),"")</f>
        <v>BOLSA THE GEM LAB 6-5X3-5X6-5</v>
      </c>
      <c r="E45" s="50" t="s">
        <v>206</v>
      </c>
      <c r="F45" s="48">
        <v>1.0</v>
      </c>
      <c r="G45" s="51">
        <f t="array" ref="G45">IFERROR(IF(XLOOKUP(CONCAT(B45,C45),'MASTER PLAN'!$AB:$AB,'MASTER PLAN'!$O:$O,0,0)=0,"",XLOOKUP(CONCAT(B45,C45),'MASTER PLAN'!$AB:$AB,'MASTER PLAN'!$O:$O,0,0)),"")</f>
        <v>3000</v>
      </c>
      <c r="H45" s="51">
        <f t="shared" si="1"/>
        <v>3000</v>
      </c>
      <c r="I45" s="52">
        <f t="array" ref="I45">IFERROR(IF(XLOOKUP(CONCAT(B45,C45),'MASTER PLAN'!$AB:$AB,'MASTER PLAN'!$S:$S,0,0)=0,"",XLOOKUP(CONCAT(B45,C45),'MASTER PLAN'!$AB:$AB,'MASTER PLAN'!$S:$S,0,0)),"")</f>
        <v>46008</v>
      </c>
      <c r="J45" s="49" t="str">
        <f t="shared" si="2"/>
        <v>140204952110</v>
      </c>
      <c r="K45" s="53" t="b">
        <v>1</v>
      </c>
      <c r="L45" s="53" t="b">
        <v>1</v>
      </c>
      <c r="M45" s="50" t="b">
        <v>0</v>
      </c>
      <c r="N45" s="50" t="b">
        <v>0</v>
      </c>
      <c r="O45" s="53" t="b">
        <v>1</v>
      </c>
      <c r="P45" s="50" t="b">
        <v>0</v>
      </c>
      <c r="Q45" s="53" t="b">
        <v>1</v>
      </c>
      <c r="R45" s="50"/>
      <c r="S45" s="50" t="s">
        <v>199</v>
      </c>
    </row>
    <row r="46" ht="15.75" customHeight="1">
      <c r="B46" s="54">
        <v>1.402049532E9</v>
      </c>
      <c r="C46" s="55">
        <v>10.0</v>
      </c>
      <c r="D46" s="49" t="str">
        <f t="array" ref="D46">IFERROR(IF(XLOOKUP(CONCAT(B46,C46),'MASTER PLAN'!$AB:$AB,'MASTER PLAN'!$J:$J,0,0)=0,"",XLOOKUP(CONCAT(B46,C46),'MASTER PLAN'!$AB:$AB,'MASTER PLAN'!$J:$J,0,0)),"")</f>
        <v>BOLSA CHARISMA JEWELERS 10"X 4"X 8"</v>
      </c>
      <c r="E46" s="56" t="s">
        <v>203</v>
      </c>
      <c r="F46" s="55">
        <v>1.0</v>
      </c>
      <c r="G46" s="51">
        <f t="array" ref="G46">IFERROR(IF(XLOOKUP(CONCAT(B46,C46),'MASTER PLAN'!$AB:$AB,'MASTER PLAN'!$O:$O,0,0)=0,"",XLOOKUP(CONCAT(B46,C46),'MASTER PLAN'!$AB:$AB,'MASTER PLAN'!$O:$O,0,0)),"")</f>
        <v>2400</v>
      </c>
      <c r="H46" s="51">
        <f t="shared" si="1"/>
        <v>2400</v>
      </c>
      <c r="I46" s="52">
        <f t="array" ref="I46">IFERROR(IF(XLOOKUP(CONCAT(B46,C46),'MASTER PLAN'!$AB:$AB,'MASTER PLAN'!$S:$S,0,0)=0,"",XLOOKUP(CONCAT(B46,C46),'MASTER PLAN'!$AB:$AB,'MASTER PLAN'!$S:$S,0,0)),"")</f>
        <v>46015</v>
      </c>
      <c r="J46" s="49" t="str">
        <f t="shared" si="2"/>
        <v>140204953210</v>
      </c>
      <c r="K46" s="53" t="b">
        <v>1</v>
      </c>
      <c r="L46" s="53" t="b">
        <v>1</v>
      </c>
      <c r="M46" s="56" t="b">
        <v>0</v>
      </c>
      <c r="N46" s="53" t="b">
        <v>1</v>
      </c>
      <c r="O46" s="53" t="b">
        <v>1</v>
      </c>
      <c r="P46" s="56" t="b">
        <v>0</v>
      </c>
      <c r="Q46" s="53" t="b">
        <v>1</v>
      </c>
      <c r="R46" s="56"/>
      <c r="S46" s="56" t="s">
        <v>199</v>
      </c>
    </row>
    <row r="47" ht="15.75" customHeight="1">
      <c r="B47" s="47">
        <v>1.402049507E9</v>
      </c>
      <c r="C47" s="48">
        <v>10.0</v>
      </c>
      <c r="D47" s="49" t="str">
        <f t="array" ref="D47">IFERROR(IF(XLOOKUP(CONCAT(B47,C47),'MASTER PLAN'!$AB:$AB,'MASTER PLAN'!$J:$J,0,0)=0,"",XLOOKUP(CONCAT(B47,C47),'MASTER PLAN'!$AB:$AB,'MASTER PLAN'!$J:$J,0,0)),"")</f>
        <v>BOLSA NA HOKU 159X90X210MM</v>
      </c>
      <c r="E47" s="50" t="s">
        <v>200</v>
      </c>
      <c r="F47" s="48">
        <v>2.0</v>
      </c>
      <c r="G47" s="51">
        <f t="array" ref="G47">IFERROR(IF(XLOOKUP(CONCAT(B47,C47),'MASTER PLAN'!$AB:$AB,'MASTER PLAN'!$O:$O,0,0)=0,"",XLOOKUP(CONCAT(B47,C47),'MASTER PLAN'!$AB:$AB,'MASTER PLAN'!$O:$O,0,0)),"")</f>
        <v>24000</v>
      </c>
      <c r="H47" s="51">
        <f t="shared" si="1"/>
        <v>12000</v>
      </c>
      <c r="I47" s="52">
        <f t="array" ref="I47">IFERROR(IF(XLOOKUP(CONCAT(B47,C47),'MASTER PLAN'!$AB:$AB,'MASTER PLAN'!$S:$S,0,0)=0,"",XLOOKUP(CONCAT(B47,C47),'MASTER PLAN'!$AB:$AB,'MASTER PLAN'!$S:$S,0,0)),"")</f>
        <v>45996</v>
      </c>
      <c r="J47" s="49" t="str">
        <f t="shared" si="2"/>
        <v>140204950710</v>
      </c>
      <c r="K47" s="50" t="b">
        <v>0</v>
      </c>
      <c r="L47" s="53" t="b">
        <v>1</v>
      </c>
      <c r="M47" s="50" t="b">
        <v>0</v>
      </c>
      <c r="N47" s="53" t="b">
        <v>1</v>
      </c>
      <c r="O47" s="53" t="b">
        <v>1</v>
      </c>
      <c r="P47" s="53" t="b">
        <v>1</v>
      </c>
      <c r="Q47" s="53" t="b">
        <v>1</v>
      </c>
      <c r="R47" s="50"/>
      <c r="S47" s="50" t="s">
        <v>201</v>
      </c>
    </row>
    <row r="48" ht="15.75" customHeight="1">
      <c r="B48" s="54">
        <v>1.402049507E9</v>
      </c>
      <c r="C48" s="55">
        <v>20.0</v>
      </c>
      <c r="D48" s="49" t="str">
        <f t="array" ref="D48">IFERROR(IF(XLOOKUP(CONCAT(B48,C48),'MASTER PLAN'!$AB:$AB,'MASTER PLAN'!$J:$J,0,0)=0,"",XLOOKUP(CONCAT(B48,C48),'MASTER PLAN'!$AB:$AB,'MASTER PLAN'!$J:$J,0,0)),"")</f>
        <v>BOLSA PEARL FACTORY 159X90X210MM</v>
      </c>
      <c r="E48" s="56" t="s">
        <v>200</v>
      </c>
      <c r="F48" s="55">
        <v>2.0</v>
      </c>
      <c r="G48" s="51">
        <f t="array" ref="G48">IFERROR(IF(XLOOKUP(CONCAT(B48,C48),'MASTER PLAN'!$AB:$AB,'MASTER PLAN'!$O:$O,0,0)=0,"",XLOOKUP(CONCAT(B48,C48),'MASTER PLAN'!$AB:$AB,'MASTER PLAN'!$O:$O,0,0)),"")</f>
        <v>24000</v>
      </c>
      <c r="H48" s="51">
        <f t="shared" si="1"/>
        <v>12000</v>
      </c>
      <c r="I48" s="52">
        <f t="array" ref="I48">IFERROR(IF(XLOOKUP(CONCAT(B48,C48),'MASTER PLAN'!$AB:$AB,'MASTER PLAN'!$S:$S,0,0)=0,"",XLOOKUP(CONCAT(B48,C48),'MASTER PLAN'!$AB:$AB,'MASTER PLAN'!$S:$S,0,0)),"")</f>
        <v>45996</v>
      </c>
      <c r="J48" s="49" t="str">
        <f t="shared" si="2"/>
        <v>140204950720</v>
      </c>
      <c r="K48" s="56" t="b">
        <v>0</v>
      </c>
      <c r="L48" s="53" t="b">
        <v>1</v>
      </c>
      <c r="M48" s="56" t="b">
        <v>0</v>
      </c>
      <c r="N48" s="53" t="b">
        <v>1</v>
      </c>
      <c r="O48" s="53" t="b">
        <v>1</v>
      </c>
      <c r="P48" s="53" t="b">
        <v>1</v>
      </c>
      <c r="Q48" s="53" t="b">
        <v>1</v>
      </c>
      <c r="R48" s="56"/>
      <c r="S48" s="56" t="s">
        <v>201</v>
      </c>
    </row>
    <row r="49" ht="15.75" customHeight="1">
      <c r="B49" s="47">
        <v>1.402049498E9</v>
      </c>
      <c r="C49" s="48">
        <v>10.0</v>
      </c>
      <c r="D49" s="49" t="str">
        <f t="array" ref="D49">IFERROR(IF(XLOOKUP(CONCAT(B49,C49),'MASTER PLAN'!$AB:$AB,'MASTER PLAN'!$J:$J,0,0)=0,"",XLOOKUP(CONCAT(B49,C49),'MASTER PLAN'!$AB:$AB,'MASTER PLAN'!$J:$J,0,0)),"")</f>
        <v>BOLSA ALBERTS JEWELERS 6-5"X3-5"X6-5"</v>
      </c>
      <c r="E49" s="50" t="s">
        <v>200</v>
      </c>
      <c r="F49" s="48">
        <v>1.0</v>
      </c>
      <c r="G49" s="51">
        <f t="array" ref="G49">IFERROR(IF(XLOOKUP(CONCAT(B49,C49),'MASTER PLAN'!$AB:$AB,'MASTER PLAN'!$O:$O,0,0)=0,"",XLOOKUP(CONCAT(B49,C49),'MASTER PLAN'!$AB:$AB,'MASTER PLAN'!$O:$O,0,0)),"")</f>
        <v>8400</v>
      </c>
      <c r="H49" s="51">
        <f t="shared" si="1"/>
        <v>8400</v>
      </c>
      <c r="I49" s="52">
        <f t="array" ref="I49">IFERROR(IF(XLOOKUP(CONCAT(B49,C49),'MASTER PLAN'!$AB:$AB,'MASTER PLAN'!$S:$S,0,0)=0,"",XLOOKUP(CONCAT(B49,C49),'MASTER PLAN'!$AB:$AB,'MASTER PLAN'!$S:$S,0,0)),"")</f>
        <v>45989</v>
      </c>
      <c r="J49" s="49" t="str">
        <f t="shared" si="2"/>
        <v>140204949810</v>
      </c>
      <c r="K49" s="50" t="b">
        <v>0</v>
      </c>
      <c r="L49" s="53" t="b">
        <v>1</v>
      </c>
      <c r="M49" s="50" t="b">
        <v>0</v>
      </c>
      <c r="N49" s="53" t="b">
        <v>1</v>
      </c>
      <c r="O49" s="50" t="b">
        <v>0</v>
      </c>
      <c r="P49" s="53" t="b">
        <v>1</v>
      </c>
      <c r="Q49" s="53" t="b">
        <v>1</v>
      </c>
      <c r="R49" s="50"/>
      <c r="S49" s="50" t="s">
        <v>201</v>
      </c>
    </row>
    <row r="50" ht="15.75" customHeight="1">
      <c r="B50" s="54">
        <v>1.40204949E9</v>
      </c>
      <c r="C50" s="55">
        <v>10.0</v>
      </c>
      <c r="D50" s="49" t="str">
        <f t="array" ref="D50">IFERROR(IF(XLOOKUP(CONCAT(B50,C50),'MASTER PLAN'!$AB:$AB,'MASTER PLAN'!$J:$J,0,0)=0,"",XLOOKUP(CONCAT(B50,C50),'MASTER PLAN'!$AB:$AB,'MASTER PLAN'!$J:$J,0,0)),"")</f>
        <v>BOLSA MAZZARESE 6-5"X3-5X6-5"</v>
      </c>
      <c r="E50" s="56" t="s">
        <v>203</v>
      </c>
      <c r="F50" s="55">
        <v>1.0</v>
      </c>
      <c r="G50" s="51">
        <f t="array" ref="G50">IFERROR(IF(XLOOKUP(CONCAT(B50,C50),'MASTER PLAN'!$AB:$AB,'MASTER PLAN'!$O:$O,0,0)=0,"",XLOOKUP(CONCAT(B50,C50),'MASTER PLAN'!$AB:$AB,'MASTER PLAN'!$O:$O,0,0)),"")</f>
        <v>1800</v>
      </c>
      <c r="H50" s="51">
        <f t="shared" si="1"/>
        <v>1800</v>
      </c>
      <c r="I50" s="52">
        <f t="array" ref="I50">IFERROR(IF(XLOOKUP(CONCAT(B50,C50),'MASTER PLAN'!$AB:$AB,'MASTER PLAN'!$S:$S,0,0)=0,"",XLOOKUP(CONCAT(B50,C50),'MASTER PLAN'!$AB:$AB,'MASTER PLAN'!$S:$S,0,0)),"")</f>
        <v>45988</v>
      </c>
      <c r="J50" s="49" t="str">
        <f t="shared" si="2"/>
        <v>140204949010</v>
      </c>
      <c r="K50" s="53" t="b">
        <v>1</v>
      </c>
      <c r="L50" s="53" t="b">
        <v>1</v>
      </c>
      <c r="M50" s="56" t="b">
        <v>0</v>
      </c>
      <c r="N50" s="53" t="b">
        <v>1</v>
      </c>
      <c r="O50" s="53" t="b">
        <v>1</v>
      </c>
      <c r="P50" s="53" t="b">
        <v>1</v>
      </c>
      <c r="Q50" s="53" t="b">
        <v>1</v>
      </c>
      <c r="R50" s="56"/>
      <c r="S50" s="56" t="s">
        <v>201</v>
      </c>
    </row>
    <row r="51" ht="15.75" customHeight="1">
      <c r="B51" s="47">
        <v>1.40204948E9</v>
      </c>
      <c r="C51" s="48">
        <v>10.0</v>
      </c>
      <c r="D51" s="49" t="str">
        <f t="array" ref="D51">IFERROR(IF(XLOOKUP(CONCAT(B51,C51),'MASTER PLAN'!$AB:$AB,'MASTER PLAN'!$J:$J,0,0)=0,"",XLOOKUP(CONCAT(B51,C51),'MASTER PLAN'!$AB:$AB,'MASTER PLAN'!$J:$J,0,0)),"")</f>
        <v>BOLSA LEE BRANT  8"X4"X10"</v>
      </c>
      <c r="E51" s="50" t="s">
        <v>203</v>
      </c>
      <c r="F51" s="48">
        <v>1.0</v>
      </c>
      <c r="G51" s="51">
        <f t="array" ref="G51">IFERROR(IF(XLOOKUP(CONCAT(B51,C51),'MASTER PLAN'!$AB:$AB,'MASTER PLAN'!$O:$O,0,0)=0,"",XLOOKUP(CONCAT(B51,C51),'MASTER PLAN'!$AB:$AB,'MASTER PLAN'!$O:$O,0,0)),"")</f>
        <v>1200</v>
      </c>
      <c r="H51" s="51">
        <f t="shared" si="1"/>
        <v>1200</v>
      </c>
      <c r="I51" s="52">
        <f t="array" ref="I51">IFERROR(IF(XLOOKUP(CONCAT(B51,C51),'MASTER PLAN'!$AB:$AB,'MASTER PLAN'!$S:$S,0,0)=0,"",XLOOKUP(CONCAT(B51,C51),'MASTER PLAN'!$AB:$AB,'MASTER PLAN'!$S:$S,0,0)),"")</f>
        <v>45994</v>
      </c>
      <c r="J51" s="49" t="str">
        <f t="shared" si="2"/>
        <v>140204948010</v>
      </c>
      <c r="K51" s="53" t="b">
        <v>1</v>
      </c>
      <c r="L51" s="53" t="b">
        <v>1</v>
      </c>
      <c r="M51" s="50" t="b">
        <v>0</v>
      </c>
      <c r="N51" s="53" t="b">
        <v>1</v>
      </c>
      <c r="O51" s="53" t="b">
        <v>1</v>
      </c>
      <c r="P51" s="50" t="b">
        <v>0</v>
      </c>
      <c r="Q51" s="53" t="b">
        <v>1</v>
      </c>
      <c r="R51" s="50"/>
      <c r="S51" s="50" t="s">
        <v>201</v>
      </c>
    </row>
    <row r="52" ht="15.75" customHeight="1">
      <c r="B52" s="54">
        <v>1.40204948E9</v>
      </c>
      <c r="C52" s="55">
        <v>20.0</v>
      </c>
      <c r="D52" s="49" t="str">
        <f t="array" ref="D52">IFERROR(IF(XLOOKUP(CONCAT(B52,C52),'MASTER PLAN'!$AB:$AB,'MASTER PLAN'!$J:$J,0,0)=0,"",XLOOKUP(CONCAT(B52,C52),'MASTER PLAN'!$AB:$AB,'MASTER PLAN'!$J:$J,0,0)),"")</f>
        <v>BOLSA LEE BRANT  8"X4"X10"</v>
      </c>
      <c r="E52" s="56" t="s">
        <v>203</v>
      </c>
      <c r="F52" s="55">
        <v>1.0</v>
      </c>
      <c r="G52" s="51">
        <f t="array" ref="G52">IFERROR(IF(XLOOKUP(CONCAT(B52,C52),'MASTER PLAN'!$AB:$AB,'MASTER PLAN'!$O:$O,0,0)=0,"",XLOOKUP(CONCAT(B52,C52),'MASTER PLAN'!$AB:$AB,'MASTER PLAN'!$O:$O,0,0)),"")</f>
        <v>1200</v>
      </c>
      <c r="H52" s="51">
        <f t="shared" si="1"/>
        <v>1200</v>
      </c>
      <c r="I52" s="52">
        <f t="array" ref="I52">IFERROR(IF(XLOOKUP(CONCAT(B52,C52),'MASTER PLAN'!$AB:$AB,'MASTER PLAN'!$S:$S,0,0)=0,"",XLOOKUP(CONCAT(B52,C52),'MASTER PLAN'!$AB:$AB,'MASTER PLAN'!$S:$S,0,0)),"")</f>
        <v>45994</v>
      </c>
      <c r="J52" s="49" t="str">
        <f t="shared" si="2"/>
        <v>140204948020</v>
      </c>
      <c r="K52" s="53" t="b">
        <v>1</v>
      </c>
      <c r="L52" s="53" t="b">
        <v>1</v>
      </c>
      <c r="M52" s="56" t="b">
        <v>0</v>
      </c>
      <c r="N52" s="53" t="b">
        <v>1</v>
      </c>
      <c r="O52" s="53" t="b">
        <v>1</v>
      </c>
      <c r="P52" s="56" t="b">
        <v>0</v>
      </c>
      <c r="Q52" s="53" t="b">
        <v>1</v>
      </c>
      <c r="R52" s="56"/>
      <c r="S52" s="56" t="s">
        <v>201</v>
      </c>
    </row>
    <row r="53" ht="15.75" customHeight="1">
      <c r="B53" s="47">
        <v>1.402049475E9</v>
      </c>
      <c r="C53" s="48">
        <v>10.0</v>
      </c>
      <c r="D53" s="49" t="str">
        <f t="array" ref="D53">IFERROR(IF(XLOOKUP(CONCAT(B53,C53),'MASTER PLAN'!$AB:$AB,'MASTER PLAN'!$J:$J,0,0)=0,"",XLOOKUP(CONCAT(B53,C53),'MASTER PLAN'!$AB:$AB,'MASTER PLAN'!$J:$J,0,0)),"")</f>
        <v>BOLSA ROTTERMOND 9-75"X4"X7"</v>
      </c>
      <c r="E53" s="50" t="s">
        <v>198</v>
      </c>
      <c r="F53" s="48">
        <v>1.0</v>
      </c>
      <c r="G53" s="51">
        <f t="array" ref="G53">IFERROR(IF(XLOOKUP(CONCAT(B53,C53),'MASTER PLAN'!$AB:$AB,'MASTER PLAN'!$O:$O,0,0)=0,"",XLOOKUP(CONCAT(B53,C53),'MASTER PLAN'!$AB:$AB,'MASTER PLAN'!$O:$O,0,0)),"")</f>
        <v>1800</v>
      </c>
      <c r="H53" s="51">
        <f t="shared" si="1"/>
        <v>1800</v>
      </c>
      <c r="I53" s="52">
        <f t="array" ref="I53">IFERROR(IF(XLOOKUP(CONCAT(B53,C53),'MASTER PLAN'!$AB:$AB,'MASTER PLAN'!$S:$S,0,0)=0,"",XLOOKUP(CONCAT(B53,C53),'MASTER PLAN'!$AB:$AB,'MASTER PLAN'!$S:$S,0,0)),"")</f>
        <v>45996</v>
      </c>
      <c r="J53" s="49" t="str">
        <f t="shared" si="2"/>
        <v>140204947510</v>
      </c>
      <c r="K53" s="53" t="b">
        <v>1</v>
      </c>
      <c r="L53" s="50" t="b">
        <v>0</v>
      </c>
      <c r="M53" s="50" t="b">
        <v>0</v>
      </c>
      <c r="N53" s="50" t="b">
        <v>0</v>
      </c>
      <c r="O53" s="53" t="b">
        <v>1</v>
      </c>
      <c r="P53" s="50" t="b">
        <v>0</v>
      </c>
      <c r="Q53" s="53" t="b">
        <v>1</v>
      </c>
      <c r="R53" s="50"/>
      <c r="S53" s="50" t="s">
        <v>199</v>
      </c>
    </row>
    <row r="54" ht="15.75" customHeight="1">
      <c r="B54" s="54">
        <v>1.402049402E9</v>
      </c>
      <c r="C54" s="55">
        <v>10.0</v>
      </c>
      <c r="D54" s="49" t="str">
        <f t="array" ref="D54">IFERROR(IF(XLOOKUP(CONCAT(B54,C54),'MASTER PLAN'!$AB:$AB,'MASTER PLAN'!$J:$J,0,0)=0,"",XLOOKUP(CONCAT(B54,C54),'MASTER PLAN'!$AB:$AB,'MASTER PLAN'!$J:$J,0,0)),"")</f>
        <v>BOLSA LAWRENCE(GOLD CASTER)10-5"X5X8-25"</v>
      </c>
      <c r="E54" s="56" t="s">
        <v>198</v>
      </c>
      <c r="F54" s="55">
        <v>1.0</v>
      </c>
      <c r="G54" s="51">
        <f t="array" ref="G54">IFERROR(IF(XLOOKUP(CONCAT(B54,C54),'MASTER PLAN'!$AB:$AB,'MASTER PLAN'!$O:$O,0,0)=0,"",XLOOKUP(CONCAT(B54,C54),'MASTER PLAN'!$AB:$AB,'MASTER PLAN'!$O:$O,0,0)),"")</f>
        <v>3600</v>
      </c>
      <c r="H54" s="51">
        <f t="shared" si="1"/>
        <v>3600</v>
      </c>
      <c r="I54" s="52">
        <f t="array" ref="I54">IFERROR(IF(XLOOKUP(CONCAT(B54,C54),'MASTER PLAN'!$AB:$AB,'MASTER PLAN'!$S:$S,0,0)=0,"",XLOOKUP(CONCAT(B54,C54),'MASTER PLAN'!$AB:$AB,'MASTER PLAN'!$S:$S,0,0)),"")</f>
        <v>45968</v>
      </c>
      <c r="J54" s="49" t="str">
        <f t="shared" si="2"/>
        <v>140204940210</v>
      </c>
      <c r="K54" s="53" t="b">
        <v>1</v>
      </c>
      <c r="L54" s="53" t="b">
        <v>1</v>
      </c>
      <c r="M54" s="53" t="b">
        <v>1</v>
      </c>
      <c r="N54" s="56" t="b">
        <v>0</v>
      </c>
      <c r="O54" s="53" t="b">
        <v>1</v>
      </c>
      <c r="P54" s="53" t="b">
        <v>1</v>
      </c>
      <c r="Q54" s="53" t="b">
        <v>1</v>
      </c>
      <c r="R54" s="56"/>
      <c r="S54" s="56" t="s">
        <v>201</v>
      </c>
    </row>
    <row r="55" ht="15.75" customHeight="1">
      <c r="B55" s="47">
        <v>1.402049466E9</v>
      </c>
      <c r="C55" s="48">
        <v>10.0</v>
      </c>
      <c r="D55" s="49" t="str">
        <f t="array" ref="D55">IFERROR(IF(XLOOKUP(CONCAT(B55,C55),'MASTER PLAN'!$AB:$AB,'MASTER PLAN'!$J:$J,0,0)=0,"",XLOOKUP(CONCAT(B55,C55),'MASTER PLAN'!$AB:$AB,'MASTER PLAN'!$J:$J,0,0)),"")</f>
        <v>BOLSA ROGERS ENTERPRISES 10"X4"X7-75"</v>
      </c>
      <c r="E55" s="50" t="s">
        <v>198</v>
      </c>
      <c r="F55" s="48">
        <v>1.0</v>
      </c>
      <c r="G55" s="51">
        <f t="array" ref="G55">IFERROR(IF(XLOOKUP(CONCAT(B55,C55),'MASTER PLAN'!$AB:$AB,'MASTER PLAN'!$O:$O,0,0)=0,"",XLOOKUP(CONCAT(B55,C55),'MASTER PLAN'!$AB:$AB,'MASTER PLAN'!$O:$O,0,0)),"")</f>
        <v>36000</v>
      </c>
      <c r="H55" s="51">
        <f t="shared" si="1"/>
        <v>36000</v>
      </c>
      <c r="I55" s="52">
        <f t="array" ref="I55">IFERROR(IF(XLOOKUP(CONCAT(B55,C55),'MASTER PLAN'!$AB:$AB,'MASTER PLAN'!$S:$S,0,0)=0,"",XLOOKUP(CONCAT(B55,C55),'MASTER PLAN'!$AB:$AB,'MASTER PLAN'!$S:$S,0,0)),"")</f>
        <v>45982</v>
      </c>
      <c r="J55" s="49" t="str">
        <f t="shared" si="2"/>
        <v>140204946610</v>
      </c>
      <c r="K55" s="50" t="b">
        <v>0</v>
      </c>
      <c r="L55" s="53" t="b">
        <v>1</v>
      </c>
      <c r="M55" s="53" t="b">
        <v>1</v>
      </c>
      <c r="N55" s="50" t="b">
        <v>0</v>
      </c>
      <c r="O55" s="50" t="b">
        <v>0</v>
      </c>
      <c r="P55" s="50" t="b">
        <v>0</v>
      </c>
      <c r="Q55" s="53" t="b">
        <v>1</v>
      </c>
      <c r="R55" s="50"/>
      <c r="S55" s="50" t="s">
        <v>207</v>
      </c>
    </row>
    <row r="56" ht="15.75" customHeight="1">
      <c r="B56" s="54">
        <v>1.402049444E9</v>
      </c>
      <c r="C56" s="55">
        <v>10.0</v>
      </c>
      <c r="D56" s="49" t="str">
        <f t="array" ref="D56">IFERROR(IF(XLOOKUP(CONCAT(B56,C56),'MASTER PLAN'!$AB:$AB,'MASTER PLAN'!$J:$J,0,0)=0,"",XLOOKUP(CONCAT(B56,C56),'MASTER PLAN'!$AB:$AB,'MASTER PLAN'!$J:$J,0,0)),"")</f>
        <v>BOLSA AMERICUS DIAMOND 6-5X3-5X6-5</v>
      </c>
      <c r="E56" s="56" t="s">
        <v>203</v>
      </c>
      <c r="F56" s="55">
        <v>1.0</v>
      </c>
      <c r="G56" s="51">
        <f t="array" ref="G56">IFERROR(IF(XLOOKUP(CONCAT(B56,C56),'MASTER PLAN'!$AB:$AB,'MASTER PLAN'!$O:$O,0,0)=0,"",XLOOKUP(CONCAT(B56,C56),'MASTER PLAN'!$AB:$AB,'MASTER PLAN'!$O:$O,0,0)),"")</f>
        <v>3600</v>
      </c>
      <c r="H56" s="51">
        <f t="shared" si="1"/>
        <v>3600</v>
      </c>
      <c r="I56" s="52">
        <f t="array" ref="I56">IFERROR(IF(XLOOKUP(CONCAT(B56,C56),'MASTER PLAN'!$AB:$AB,'MASTER PLAN'!$S:$S,0,0)=0,"",XLOOKUP(CONCAT(B56,C56),'MASTER PLAN'!$AB:$AB,'MASTER PLAN'!$S:$S,0,0)),"")</f>
        <v>45972</v>
      </c>
      <c r="J56" s="49" t="str">
        <f t="shared" si="2"/>
        <v>140204944410</v>
      </c>
      <c r="K56" s="53" t="b">
        <v>1</v>
      </c>
      <c r="L56" s="53" t="b">
        <v>1</v>
      </c>
      <c r="M56" s="56" t="b">
        <v>0</v>
      </c>
      <c r="N56" s="53" t="b">
        <v>1</v>
      </c>
      <c r="O56" s="53" t="b">
        <v>1</v>
      </c>
      <c r="P56" s="56" t="b">
        <v>0</v>
      </c>
      <c r="Q56" s="53" t="b">
        <v>1</v>
      </c>
      <c r="R56" s="56"/>
      <c r="S56" s="56" t="s">
        <v>201</v>
      </c>
    </row>
    <row r="57" ht="15.75" customHeight="1">
      <c r="B57" s="47">
        <v>1.402049421E9</v>
      </c>
      <c r="C57" s="48">
        <v>10.0</v>
      </c>
      <c r="D57" s="49" t="str">
        <f t="array" ref="D57">IFERROR(IF(XLOOKUP(CONCAT(B57,C57),'MASTER PLAN'!$AB:$AB,'MASTER PLAN'!$J:$J,0,0)=0,"",XLOOKUP(CONCAT(B57,C57),'MASTER PLAN'!$AB:$AB,'MASTER PLAN'!$J:$J,0,0)),"")</f>
        <v>BOLSA WEDDING RING SHOP 9-75X4X6-5 IN FL</v>
      </c>
      <c r="E57" s="50" t="s">
        <v>200</v>
      </c>
      <c r="F57" s="48">
        <v>1.0</v>
      </c>
      <c r="G57" s="51">
        <f t="array" ref="G57">IFERROR(IF(XLOOKUP(CONCAT(B57,C57),'MASTER PLAN'!$AB:$AB,'MASTER PLAN'!$O:$O,0,0)=0,"",XLOOKUP(CONCAT(B57,C57),'MASTER PLAN'!$AB:$AB,'MASTER PLAN'!$O:$O,0,0)),"")</f>
        <v>2400</v>
      </c>
      <c r="H57" s="51">
        <f t="shared" si="1"/>
        <v>2400</v>
      </c>
      <c r="I57" s="52">
        <f t="array" ref="I57">IFERROR(IF(XLOOKUP(CONCAT(B57,C57),'MASTER PLAN'!$AB:$AB,'MASTER PLAN'!$S:$S,0,0)=0,"",XLOOKUP(CONCAT(B57,C57),'MASTER PLAN'!$AB:$AB,'MASTER PLAN'!$S:$S,0,0)),"")</f>
        <v>46007</v>
      </c>
      <c r="J57" s="49" t="str">
        <f t="shared" si="2"/>
        <v>140204942110</v>
      </c>
      <c r="K57" s="50" t="b">
        <v>0</v>
      </c>
      <c r="L57" s="53" t="b">
        <v>1</v>
      </c>
      <c r="M57" s="50" t="b">
        <v>0</v>
      </c>
      <c r="N57" s="53" t="b">
        <v>1</v>
      </c>
      <c r="O57" s="53" t="b">
        <v>1</v>
      </c>
      <c r="P57" s="50" t="b">
        <v>0</v>
      </c>
      <c r="Q57" s="53" t="b">
        <v>1</v>
      </c>
      <c r="R57" s="50"/>
      <c r="S57" s="50" t="s">
        <v>204</v>
      </c>
    </row>
    <row r="58" ht="15.75" customHeight="1">
      <c r="B58" s="54">
        <v>1.402049419E9</v>
      </c>
      <c r="C58" s="55">
        <v>10.0</v>
      </c>
      <c r="D58" s="49" t="str">
        <f t="array" ref="D58">IFERROR(IF(XLOOKUP(CONCAT(B58,C58),'MASTER PLAN'!$AB:$AB,'MASTER PLAN'!$J:$J,0,0)=0,"",XLOOKUP(CONCAT(B58,C58),'MASTER PLAN'!$AB:$AB,'MASTER PLAN'!$J:$J,0,0)),"")</f>
        <v>BOLSA COMERCIAL SORIA 10X4X8 IN FC</v>
      </c>
      <c r="E58" s="56" t="s">
        <v>203</v>
      </c>
      <c r="F58" s="55">
        <v>1.0</v>
      </c>
      <c r="G58" s="51">
        <f t="array" ref="G58">IFERROR(IF(XLOOKUP(CONCAT(B58,C58),'MASTER PLAN'!$AB:$AB,'MASTER PLAN'!$O:$O,0,0)=0,"",XLOOKUP(CONCAT(B58,C58),'MASTER PLAN'!$AB:$AB,'MASTER PLAN'!$O:$O,0,0)),"")</f>
        <v>1800</v>
      </c>
      <c r="H58" s="51">
        <f t="shared" si="1"/>
        <v>1800</v>
      </c>
      <c r="I58" s="52">
        <f t="array" ref="I58">IFERROR(IF(XLOOKUP(CONCAT(B58,C58),'MASTER PLAN'!$AB:$AB,'MASTER PLAN'!$S:$S,0,0)=0,"",XLOOKUP(CONCAT(B58,C58),'MASTER PLAN'!$AB:$AB,'MASTER PLAN'!$S:$S,0,0)),"")</f>
        <v>45979</v>
      </c>
      <c r="J58" s="49" t="str">
        <f t="shared" si="2"/>
        <v>140204941910</v>
      </c>
      <c r="K58" s="53" t="b">
        <v>1</v>
      </c>
      <c r="L58" s="53" t="b">
        <v>1</v>
      </c>
      <c r="M58" s="56" t="b">
        <v>0</v>
      </c>
      <c r="N58" s="53" t="b">
        <v>1</v>
      </c>
      <c r="O58" s="56" t="b">
        <v>0</v>
      </c>
      <c r="P58" s="56" t="b">
        <v>0</v>
      </c>
      <c r="Q58" s="53" t="b">
        <v>1</v>
      </c>
      <c r="R58" s="56"/>
      <c r="S58" s="56" t="s">
        <v>201</v>
      </c>
    </row>
    <row r="59" ht="15.75" customHeight="1">
      <c r="B59" s="47">
        <v>1.402049419E9</v>
      </c>
      <c r="C59" s="48">
        <v>20.0</v>
      </c>
      <c r="D59" s="49" t="str">
        <f t="array" ref="D59">IFERROR(IF(XLOOKUP(CONCAT(B59,C59),'MASTER PLAN'!$AB:$AB,'MASTER PLAN'!$J:$J,0,0)=0,"",XLOOKUP(CONCAT(B59,C59),'MASTER PLAN'!$AB:$AB,'MASTER PLAN'!$J:$J,0,0)),"")</f>
        <v>BOLSA COMERCIAL SORIA 6-5X3-5X6-5 IN FC</v>
      </c>
      <c r="E59" s="50" t="s">
        <v>203</v>
      </c>
      <c r="F59" s="48">
        <v>1.0</v>
      </c>
      <c r="G59" s="51">
        <f t="array" ref="G59">IFERROR(IF(XLOOKUP(CONCAT(B59,C59),'MASTER PLAN'!$AB:$AB,'MASTER PLAN'!$O:$O,0,0)=0,"",XLOOKUP(CONCAT(B59,C59),'MASTER PLAN'!$AB:$AB,'MASTER PLAN'!$O:$O,0,0)),"")</f>
        <v>1800</v>
      </c>
      <c r="H59" s="51">
        <f t="shared" si="1"/>
        <v>1800</v>
      </c>
      <c r="I59" s="52">
        <f t="array" ref="I59">IFERROR(IF(XLOOKUP(CONCAT(B59,C59),'MASTER PLAN'!$AB:$AB,'MASTER PLAN'!$S:$S,0,0)=0,"",XLOOKUP(CONCAT(B59,C59),'MASTER PLAN'!$AB:$AB,'MASTER PLAN'!$S:$S,0,0)),"")</f>
        <v>45979</v>
      </c>
      <c r="J59" s="49" t="str">
        <f t="shared" si="2"/>
        <v>140204941920</v>
      </c>
      <c r="K59" s="53" t="b">
        <v>1</v>
      </c>
      <c r="L59" s="53" t="b">
        <v>1</v>
      </c>
      <c r="M59" s="50" t="b">
        <v>0</v>
      </c>
      <c r="N59" s="53" t="b">
        <v>1</v>
      </c>
      <c r="O59" s="50" t="b">
        <v>0</v>
      </c>
      <c r="P59" s="50" t="b">
        <v>0</v>
      </c>
      <c r="Q59" s="53" t="b">
        <v>1</v>
      </c>
      <c r="R59" s="50"/>
      <c r="S59" s="50" t="s">
        <v>201</v>
      </c>
    </row>
    <row r="60" ht="15.75" customHeight="1">
      <c r="B60" s="54">
        <v>1.402049321E9</v>
      </c>
      <c r="C60" s="55">
        <v>10.0</v>
      </c>
      <c r="D60" s="49" t="str">
        <f t="array" ref="D60">IFERROR(IF(XLOOKUP(CONCAT(B60,C60),'MASTER PLAN'!$AB:$AB,'MASTER PLAN'!$J:$J,0,0)=0,"",XLOOKUP(CONCAT(B60,C60),'MASTER PLAN'!$AB:$AB,'MASTER PLAN'!$J:$J,0,0)),"")</f>
        <v>BOLSA BRILLANTI 6-5"X3-5"X6-5"</v>
      </c>
      <c r="E60" s="56" t="s">
        <v>203</v>
      </c>
      <c r="F60" s="55">
        <v>1.0</v>
      </c>
      <c r="G60" s="51">
        <f t="array" ref="G60">IFERROR(IF(XLOOKUP(CONCAT(B60,C60),'MASTER PLAN'!$AB:$AB,'MASTER PLAN'!$O:$O,0,0)=0,"",XLOOKUP(CONCAT(B60,C60),'MASTER PLAN'!$AB:$AB,'MASTER PLAN'!$O:$O,0,0)),"")</f>
        <v>3000</v>
      </c>
      <c r="H60" s="51">
        <f t="shared" si="1"/>
        <v>3000</v>
      </c>
      <c r="I60" s="52">
        <f t="array" ref="I60">IFERROR(IF(XLOOKUP(CONCAT(B60,C60),'MASTER PLAN'!$AB:$AB,'MASTER PLAN'!$S:$S,0,0)=0,"",XLOOKUP(CONCAT(B60,C60),'MASTER PLAN'!$AB:$AB,'MASTER PLAN'!$S:$S,0,0)),"")</f>
        <v>45972</v>
      </c>
      <c r="J60" s="49" t="str">
        <f t="shared" si="2"/>
        <v>140204932110</v>
      </c>
      <c r="K60" s="57" t="b">
        <v>1</v>
      </c>
      <c r="L60" s="57" t="b">
        <v>1</v>
      </c>
      <c r="M60" s="56" t="b">
        <v>0</v>
      </c>
      <c r="N60" s="57" t="b">
        <v>1</v>
      </c>
      <c r="O60" s="57" t="b">
        <v>1</v>
      </c>
      <c r="P60" s="56" t="b">
        <v>0</v>
      </c>
      <c r="Q60" s="57" t="b">
        <v>1</v>
      </c>
      <c r="R60" s="56"/>
      <c r="S60" s="56" t="s">
        <v>199</v>
      </c>
    </row>
    <row r="61" ht="15.75" customHeight="1">
      <c r="B61" s="47">
        <v>1.402049543E9</v>
      </c>
      <c r="C61" s="48">
        <v>10.0</v>
      </c>
      <c r="D61" s="49" t="str">
        <f t="array" ref="D61">IFERROR(IF(XLOOKUP(CONCAT(B61,C61),'MASTER PLAN'!$AB:$AB,'MASTER PLAN'!$J:$J,0,0)=0,"",XLOOKUP(CONCAT(B61,C61),'MASTER PLAN'!$AB:$AB,'MASTER PLAN'!$J:$J,0,0)),"")</f>
        <v>BOLSA J-C- JEWELERS 10"X4"X8" -BLUE</v>
      </c>
      <c r="E61" s="50" t="s">
        <v>198</v>
      </c>
      <c r="F61" s="48">
        <v>1.0</v>
      </c>
      <c r="G61" s="51">
        <f t="array" ref="G61">IFERROR(IF(XLOOKUP(CONCAT(B61,C61),'MASTER PLAN'!$AB:$AB,'MASTER PLAN'!$O:$O,0,0)=0,"",XLOOKUP(CONCAT(B61,C61),'MASTER PLAN'!$AB:$AB,'MASTER PLAN'!$O:$O,0,0)),"")</f>
        <v>1800</v>
      </c>
      <c r="H61" s="51">
        <f t="shared" si="1"/>
        <v>1800</v>
      </c>
      <c r="I61" s="52">
        <f t="array" ref="I61">IFERROR(IF(XLOOKUP(CONCAT(B61,C61),'MASTER PLAN'!$AB:$AB,'MASTER PLAN'!$S:$S,0,0)=0,"",XLOOKUP(CONCAT(B61,C61),'MASTER PLAN'!$AB:$AB,'MASTER PLAN'!$S:$S,0,0)),"")</f>
        <v>46031</v>
      </c>
      <c r="J61" s="49" t="str">
        <f t="shared" si="2"/>
        <v>140204954310</v>
      </c>
      <c r="K61" s="53" t="b">
        <v>1</v>
      </c>
      <c r="L61" s="50" t="b">
        <v>0</v>
      </c>
      <c r="M61" s="50" t="b">
        <v>0</v>
      </c>
      <c r="N61" s="50" t="b">
        <v>0</v>
      </c>
      <c r="O61" s="53" t="b">
        <v>1</v>
      </c>
      <c r="P61" s="50" t="b">
        <v>0</v>
      </c>
      <c r="Q61" s="53" t="b">
        <v>1</v>
      </c>
      <c r="R61" s="50"/>
      <c r="S61" s="50" t="s">
        <v>201</v>
      </c>
    </row>
    <row r="62" ht="15.75" customHeight="1">
      <c r="B62" s="54">
        <v>1.402048469E9</v>
      </c>
      <c r="C62" s="55">
        <v>20.0</v>
      </c>
      <c r="D62" s="56" t="s">
        <v>208</v>
      </c>
      <c r="E62" s="56" t="s">
        <v>203</v>
      </c>
      <c r="F62" s="55">
        <v>1.0</v>
      </c>
      <c r="G62" s="51">
        <f t="array" ref="G62">IFERROR(IF(XLOOKUP(CONCAT(B62,C62),'MASTER PLAN'!$AB:$AB,'MASTER PLAN'!$O:$O,0,0)=0,"",XLOOKUP(CONCAT(B62,C62),'MASTER PLAN'!$AB:$AB,'MASTER PLAN'!$O:$O,0,0)),"")</f>
        <v>3250</v>
      </c>
      <c r="H62" s="51">
        <f t="shared" si="1"/>
        <v>3250</v>
      </c>
      <c r="I62" s="52">
        <f t="array" ref="I62">IFERROR(IF(XLOOKUP(CONCAT(B62,C62),'MASTER PLAN'!$AB:$AB,'MASTER PLAN'!$S:$S,0,0)=0,"",XLOOKUP(CONCAT(B62,C62),'MASTER PLAN'!$AB:$AB,'MASTER PLAN'!$S:$S,0,0)),"")</f>
        <v>46022</v>
      </c>
      <c r="J62" s="49" t="str">
        <f t="shared" si="2"/>
        <v>140204846920</v>
      </c>
      <c r="K62" s="56" t="b">
        <v>1</v>
      </c>
      <c r="L62" s="56" t="b">
        <v>1</v>
      </c>
      <c r="M62" s="56" t="b">
        <v>1</v>
      </c>
      <c r="N62" s="56" t="b">
        <v>1</v>
      </c>
      <c r="O62" s="56" t="b">
        <v>0</v>
      </c>
      <c r="P62" s="56" t="b">
        <v>0</v>
      </c>
      <c r="Q62" s="56" t="b">
        <v>1</v>
      </c>
      <c r="R62" s="56"/>
      <c r="S62" s="56"/>
    </row>
    <row r="63" ht="15.75" customHeight="1">
      <c r="B63" s="47">
        <v>1.402048469E9</v>
      </c>
      <c r="C63" s="48">
        <v>20.0</v>
      </c>
      <c r="D63" s="50" t="s">
        <v>209</v>
      </c>
      <c r="E63" s="50" t="s">
        <v>203</v>
      </c>
      <c r="F63" s="48">
        <v>4.0</v>
      </c>
      <c r="G63" s="51">
        <f t="array" ref="G63">IFERROR(IF(XLOOKUP(CONCAT(B63,C63),'MASTER PLAN'!$AB:$AB,'MASTER PLAN'!$O:$O,0,0)=0,"",XLOOKUP(CONCAT(B63,C63),'MASTER PLAN'!$AB:$AB,'MASTER PLAN'!$O:$O,0,0)),"")</f>
        <v>3250</v>
      </c>
      <c r="H63" s="51">
        <f t="shared" si="1"/>
        <v>812.5</v>
      </c>
      <c r="I63" s="52">
        <f t="array" ref="I63">IFERROR(IF(XLOOKUP(CONCAT(B63,C63),'MASTER PLAN'!$AB:$AB,'MASTER PLAN'!$S:$S,0,0)=0,"",XLOOKUP(CONCAT(B63,C63),'MASTER PLAN'!$AB:$AB,'MASTER PLAN'!$S:$S,0,0)),"")</f>
        <v>46022</v>
      </c>
      <c r="J63" s="49" t="str">
        <f t="shared" si="2"/>
        <v>140204846920</v>
      </c>
      <c r="K63" s="50" t="b">
        <v>0</v>
      </c>
      <c r="L63" s="50" t="b">
        <v>1</v>
      </c>
      <c r="M63" s="50" t="b">
        <v>1</v>
      </c>
      <c r="N63" s="50" t="b">
        <v>1</v>
      </c>
      <c r="O63" s="50" t="b">
        <v>0</v>
      </c>
      <c r="P63" s="50" t="b">
        <v>0</v>
      </c>
      <c r="Q63" s="50" t="b">
        <v>1</v>
      </c>
      <c r="R63" s="50"/>
      <c r="S63" s="50"/>
    </row>
    <row r="64" ht="15.75" customHeight="1">
      <c r="B64" s="54">
        <v>1.402048469E9</v>
      </c>
      <c r="C64" s="55">
        <v>20.0</v>
      </c>
      <c r="D64" s="56" t="s">
        <v>210</v>
      </c>
      <c r="E64" s="56" t="s">
        <v>203</v>
      </c>
      <c r="F64" s="55">
        <v>4.0</v>
      </c>
      <c r="G64" s="51">
        <f t="array" ref="G64">IFERROR(IF(XLOOKUP(CONCAT(B64,C64),'MASTER PLAN'!$AB:$AB,'MASTER PLAN'!$O:$O,0,0)=0,"",XLOOKUP(CONCAT(B64,C64),'MASTER PLAN'!$AB:$AB,'MASTER PLAN'!$O:$O,0,0)),"")</f>
        <v>3250</v>
      </c>
      <c r="H64" s="51">
        <f t="shared" si="1"/>
        <v>812.5</v>
      </c>
      <c r="I64" s="52">
        <f t="array" ref="I64">IFERROR(IF(XLOOKUP(CONCAT(B64,C64),'MASTER PLAN'!$AB:$AB,'MASTER PLAN'!$S:$S,0,0)=0,"",XLOOKUP(CONCAT(B64,C64),'MASTER PLAN'!$AB:$AB,'MASTER PLAN'!$S:$S,0,0)),"")</f>
        <v>46022</v>
      </c>
      <c r="J64" s="49" t="str">
        <f t="shared" si="2"/>
        <v>140204846920</v>
      </c>
      <c r="K64" s="56" t="b">
        <v>1</v>
      </c>
      <c r="L64" s="56" t="b">
        <v>1</v>
      </c>
      <c r="M64" s="56" t="b">
        <v>1</v>
      </c>
      <c r="N64" s="56" t="b">
        <v>1</v>
      </c>
      <c r="O64" s="56" t="b">
        <v>0</v>
      </c>
      <c r="P64" s="56" t="b">
        <v>0</v>
      </c>
      <c r="Q64" s="56" t="b">
        <v>1</v>
      </c>
      <c r="R64" s="56"/>
      <c r="S64" s="56"/>
    </row>
    <row r="65" ht="15.75" customHeight="1">
      <c r="B65" s="47">
        <v>1.402048469E9</v>
      </c>
      <c r="C65" s="48">
        <v>20.0</v>
      </c>
      <c r="D65" s="50" t="s">
        <v>211</v>
      </c>
      <c r="E65" s="50" t="s">
        <v>203</v>
      </c>
      <c r="F65" s="48">
        <v>2.0</v>
      </c>
      <c r="G65" s="51">
        <f t="array" ref="G65">IFERROR(IF(XLOOKUP(CONCAT(B65,C65),'MASTER PLAN'!$AB:$AB,'MASTER PLAN'!$O:$O,0,0)=0,"",XLOOKUP(CONCAT(B65,C65),'MASTER PLAN'!$AB:$AB,'MASTER PLAN'!$O:$O,0,0)),"")</f>
        <v>3250</v>
      </c>
      <c r="H65" s="51">
        <f t="shared" si="1"/>
        <v>1625</v>
      </c>
      <c r="I65" s="52">
        <f t="array" ref="I65">IFERROR(IF(XLOOKUP(CONCAT(B65,C65),'MASTER PLAN'!$AB:$AB,'MASTER PLAN'!$S:$S,0,0)=0,"",XLOOKUP(CONCAT(B65,C65),'MASTER PLAN'!$AB:$AB,'MASTER PLAN'!$S:$S,0,0)),"")</f>
        <v>46022</v>
      </c>
      <c r="J65" s="49" t="str">
        <f t="shared" si="2"/>
        <v>140204846920</v>
      </c>
      <c r="K65" s="50" t="b">
        <v>1</v>
      </c>
      <c r="L65" s="50" t="b">
        <v>1</v>
      </c>
      <c r="M65" s="50" t="b">
        <v>1</v>
      </c>
      <c r="N65" s="50" t="b">
        <v>1</v>
      </c>
      <c r="O65" s="50" t="b">
        <v>0</v>
      </c>
      <c r="P65" s="50" t="b">
        <v>0</v>
      </c>
      <c r="Q65" s="50" t="b">
        <v>1</v>
      </c>
      <c r="R65" s="50"/>
      <c r="S65" s="50"/>
    </row>
    <row r="66" ht="15.75" customHeight="1">
      <c r="B66" s="54">
        <v>1.402048469E9</v>
      </c>
      <c r="C66" s="55">
        <v>20.0</v>
      </c>
      <c r="D66" s="56" t="s">
        <v>212</v>
      </c>
      <c r="E66" s="56" t="s">
        <v>203</v>
      </c>
      <c r="F66" s="55">
        <v>4.0</v>
      </c>
      <c r="G66" s="51">
        <f t="array" ref="G66">IFERROR(IF(XLOOKUP(CONCAT(B66,C66),'MASTER PLAN'!$AB:$AB,'MASTER PLAN'!$O:$O,0,0)=0,"",XLOOKUP(CONCAT(B66,C66),'MASTER PLAN'!$AB:$AB,'MASTER PLAN'!$O:$O,0,0)),"")</f>
        <v>3250</v>
      </c>
      <c r="H66" s="51">
        <f t="shared" si="1"/>
        <v>812.5</v>
      </c>
      <c r="I66" s="52">
        <f t="array" ref="I66">IFERROR(IF(XLOOKUP(CONCAT(B66,C66),'MASTER PLAN'!$AB:$AB,'MASTER PLAN'!$S:$S,0,0)=0,"",XLOOKUP(CONCAT(B66,C66),'MASTER PLAN'!$AB:$AB,'MASTER PLAN'!$S:$S,0,0)),"")</f>
        <v>46022</v>
      </c>
      <c r="J66" s="49" t="str">
        <f t="shared" si="2"/>
        <v>140204846920</v>
      </c>
      <c r="K66" s="56" t="b">
        <v>0</v>
      </c>
      <c r="L66" s="56" t="b">
        <v>0</v>
      </c>
      <c r="M66" s="56" t="b">
        <v>0</v>
      </c>
      <c r="N66" s="56" t="b">
        <v>1</v>
      </c>
      <c r="O66" s="56" t="b">
        <v>0</v>
      </c>
      <c r="P66" s="56" t="b">
        <v>0</v>
      </c>
      <c r="Q66" s="56" t="b">
        <v>1</v>
      </c>
      <c r="R66" s="56"/>
      <c r="S66" s="56"/>
    </row>
    <row r="67" ht="15.75" customHeight="1">
      <c r="B67" s="47">
        <v>1.402048469E9</v>
      </c>
      <c r="C67" s="48">
        <v>20.0</v>
      </c>
      <c r="D67" s="50" t="s">
        <v>213</v>
      </c>
      <c r="E67" s="50" t="s">
        <v>203</v>
      </c>
      <c r="F67" s="48">
        <v>1.0</v>
      </c>
      <c r="G67" s="51">
        <f t="array" ref="G67">IFERROR(IF(XLOOKUP(CONCAT(B67,C67),'MASTER PLAN'!$AB:$AB,'MASTER PLAN'!$O:$O,0,0)=0,"",XLOOKUP(CONCAT(B67,C67),'MASTER PLAN'!$AB:$AB,'MASTER PLAN'!$O:$O,0,0)),"")</f>
        <v>3250</v>
      </c>
      <c r="H67" s="51">
        <f t="shared" si="1"/>
        <v>3250</v>
      </c>
      <c r="I67" s="52">
        <f t="array" ref="I67">IFERROR(IF(XLOOKUP(CONCAT(B67,C67),'MASTER PLAN'!$AB:$AB,'MASTER PLAN'!$S:$S,0,0)=0,"",XLOOKUP(CONCAT(B67,C67),'MASTER PLAN'!$AB:$AB,'MASTER PLAN'!$S:$S,0,0)),"")</f>
        <v>46022</v>
      </c>
      <c r="J67" s="49" t="str">
        <f t="shared" si="2"/>
        <v>140204846920</v>
      </c>
      <c r="K67" s="50" t="b">
        <v>0</v>
      </c>
      <c r="L67" s="50" t="b">
        <v>1</v>
      </c>
      <c r="M67" s="50" t="b">
        <v>1</v>
      </c>
      <c r="N67" s="50" t="b">
        <v>1</v>
      </c>
      <c r="O67" s="50" t="b">
        <v>0</v>
      </c>
      <c r="P67" s="50" t="b">
        <v>0</v>
      </c>
      <c r="Q67" s="50" t="b">
        <v>1</v>
      </c>
      <c r="R67" s="50"/>
      <c r="S67" s="50"/>
    </row>
    <row r="68" ht="15.75" customHeight="1">
      <c r="B68" s="54">
        <v>1.402049559E9</v>
      </c>
      <c r="C68" s="55">
        <v>10.0</v>
      </c>
      <c r="D68" s="49" t="str">
        <f t="array" ref="D68">IFERROR(IF(XLOOKUP(CONCAT(B68,C68),'MASTER PLAN'!$AB:$AB,'MASTER PLAN'!$J:$J,0,0)=0,"",XLOOKUP(CONCAT(B68,C68),'MASTER PLAN'!$AB:$AB,'MASTER PLAN'!$J:$J,0,0)),"")</f>
        <v>BOLSA JOYERIA GARZON 4.75"X3.5"X6"</v>
      </c>
      <c r="E68" s="56" t="s">
        <v>203</v>
      </c>
      <c r="F68" s="55">
        <v>1.0</v>
      </c>
      <c r="G68" s="51">
        <f t="array" ref="G68">IFERROR(IF(XLOOKUP(CONCAT(B68,C68),'MASTER PLAN'!$AB:$AB,'MASTER PLAN'!$O:$O,0,0)=0,"",XLOOKUP(CONCAT(B68,C68),'MASTER PLAN'!$AB:$AB,'MASTER PLAN'!$O:$O,0,0)),"")</f>
        <v>2400</v>
      </c>
      <c r="H68" s="51">
        <f t="shared" si="1"/>
        <v>2400</v>
      </c>
      <c r="I68" s="52">
        <f t="array" ref="I68">IFERROR(IF(XLOOKUP(CONCAT(B68,C68),'MASTER PLAN'!$AB:$AB,'MASTER PLAN'!$S:$S,0,0)=0,"",XLOOKUP(CONCAT(B68,C68),'MASTER PLAN'!$AB:$AB,'MASTER PLAN'!$S:$S,0,0)),"")</f>
        <v>46036</v>
      </c>
      <c r="J68" s="49" t="str">
        <f t="shared" si="2"/>
        <v>140204955910</v>
      </c>
      <c r="K68" s="53" t="b">
        <v>1</v>
      </c>
      <c r="L68" s="56" t="b">
        <v>0</v>
      </c>
      <c r="M68" s="56" t="b">
        <v>0</v>
      </c>
      <c r="N68" s="53" t="b">
        <v>1</v>
      </c>
      <c r="O68" s="53" t="b">
        <v>1</v>
      </c>
      <c r="P68" s="56" t="b">
        <v>0</v>
      </c>
      <c r="Q68" s="53" t="b">
        <v>1</v>
      </c>
      <c r="R68" s="56"/>
      <c r="S68" s="56"/>
    </row>
    <row r="69" ht="15.75" customHeight="1">
      <c r="B69" s="47">
        <v>1.402049562E9</v>
      </c>
      <c r="C69" s="48">
        <v>10.0</v>
      </c>
      <c r="D69" s="49" t="str">
        <f t="array" ref="D69">IFERROR(IF(XLOOKUP(CONCAT(B69,C69),'MASTER PLAN'!$AB:$AB,'MASTER PLAN'!$J:$J,0,0)=0,"",XLOOKUP(CONCAT(B69,C69),'MASTER PLAN'!$AB:$AB,'MASTER PLAN'!$J:$J,0,0)),"")</f>
        <v>BOLSA NAIFEH JEWELRY 8"X4"X10"</v>
      </c>
      <c r="E69" s="50" t="s">
        <v>198</v>
      </c>
      <c r="F69" s="48">
        <v>1.0</v>
      </c>
      <c r="G69" s="51">
        <f t="array" ref="G69">IFERROR(IF(XLOOKUP(CONCAT(B69,C69),'MASTER PLAN'!$AB:$AB,'MASTER PLAN'!$O:$O,0,0)=0,"",XLOOKUP(CONCAT(B69,C69),'MASTER PLAN'!$AB:$AB,'MASTER PLAN'!$O:$O,0,0)),"")</f>
        <v>2400</v>
      </c>
      <c r="H69" s="51">
        <f t="shared" si="1"/>
        <v>2400</v>
      </c>
      <c r="I69" s="52">
        <f t="array" ref="I69">IFERROR(IF(XLOOKUP(CONCAT(B69,C69),'MASTER PLAN'!$AB:$AB,'MASTER PLAN'!$S:$S,0,0)=0,"",XLOOKUP(CONCAT(B69,C69),'MASTER PLAN'!$AB:$AB,'MASTER PLAN'!$S:$S,0,0)),"")</f>
        <v>46010</v>
      </c>
      <c r="J69" s="49" t="str">
        <f t="shared" si="2"/>
        <v>140204956210</v>
      </c>
      <c r="K69" s="50" t="b">
        <v>1</v>
      </c>
      <c r="L69" s="50" t="b">
        <v>0</v>
      </c>
      <c r="M69" s="50" t="b">
        <v>0</v>
      </c>
      <c r="N69" s="50" t="b">
        <v>0</v>
      </c>
      <c r="O69" s="50" t="b">
        <v>1</v>
      </c>
      <c r="P69" s="50" t="b">
        <v>0</v>
      </c>
      <c r="Q69" s="50" t="b">
        <v>1</v>
      </c>
      <c r="R69" s="50"/>
      <c r="S69" s="50"/>
    </row>
    <row r="70" ht="15.75" customHeight="1">
      <c r="B70" s="54">
        <v>1.402049563E9</v>
      </c>
      <c r="C70" s="55">
        <v>10.0</v>
      </c>
      <c r="D70" s="49" t="str">
        <f t="array" ref="D70">IFERROR(IF(XLOOKUP(CONCAT(B70,C70),'MASTER PLAN'!$AB:$AB,'MASTER PLAN'!$J:$J,0,0)=0,"",XLOOKUP(CONCAT(B70,C70),'MASTER PLAN'!$AB:$AB,'MASTER PLAN'!$J:$J,0,0)),"")</f>
        <v>BLS JEWELRY DESIGN CENTER 6.5"X3.5"X6.5"</v>
      </c>
      <c r="E70" s="56" t="s">
        <v>203</v>
      </c>
      <c r="F70" s="55">
        <v>1.0</v>
      </c>
      <c r="G70" s="51">
        <f t="array" ref="G70">IFERROR(IF(XLOOKUP(CONCAT(B70,C70),'MASTER PLAN'!$AB:$AB,'MASTER PLAN'!$O:$O,0,0)=0,"",XLOOKUP(CONCAT(B70,C70),'MASTER PLAN'!$AB:$AB,'MASTER PLAN'!$O:$O,0,0)),"")</f>
        <v>3600</v>
      </c>
      <c r="H70" s="51">
        <f t="shared" si="1"/>
        <v>3600</v>
      </c>
      <c r="I70" s="52">
        <f t="array" ref="I70">IFERROR(IF(XLOOKUP(CONCAT(B70,C70),'MASTER PLAN'!$AB:$AB,'MASTER PLAN'!$S:$S,0,0)=0,"",XLOOKUP(CONCAT(B70,C70),'MASTER PLAN'!$AB:$AB,'MASTER PLAN'!$S:$S,0,0)),"")</f>
        <v>46010</v>
      </c>
      <c r="J70" s="49" t="str">
        <f t="shared" si="2"/>
        <v>140204956310</v>
      </c>
      <c r="K70" s="56" t="b">
        <v>1</v>
      </c>
      <c r="L70" s="56" t="b">
        <v>1</v>
      </c>
      <c r="M70" s="56" t="b">
        <v>0</v>
      </c>
      <c r="N70" s="56" t="b">
        <v>1</v>
      </c>
      <c r="O70" s="56" t="b">
        <v>1</v>
      </c>
      <c r="P70" s="56" t="b">
        <v>0</v>
      </c>
      <c r="Q70" s="56" t="b">
        <v>1</v>
      </c>
      <c r="R70" s="56"/>
      <c r="S70" s="56"/>
    </row>
    <row r="71" ht="15.75" customHeight="1">
      <c r="B71" s="47">
        <v>1.402049563E9</v>
      </c>
      <c r="C71" s="48">
        <v>20.0</v>
      </c>
      <c r="D71" s="49" t="str">
        <f t="array" ref="D71">IFERROR(IF(XLOOKUP(CONCAT(B71,C71),'MASTER PLAN'!$AB:$AB,'MASTER PLAN'!$J:$J,0,0)=0,"",XLOOKUP(CONCAT(B71,C71),'MASTER PLAN'!$AB:$AB,'MASTER PLAN'!$J:$J,0,0)),"")</f>
        <v>BLS JEWELRY DESIGN CENTER 12"X5"X9"</v>
      </c>
      <c r="E71" s="50" t="s">
        <v>203</v>
      </c>
      <c r="F71" s="48">
        <v>0.5</v>
      </c>
      <c r="G71" s="51">
        <f t="array" ref="G71">IFERROR(IF(XLOOKUP(CONCAT(B71,C71),'MASTER PLAN'!$AB:$AB,'MASTER PLAN'!$O:$O,0,0)=0,"",XLOOKUP(CONCAT(B71,C71),'MASTER PLAN'!$AB:$AB,'MASTER PLAN'!$O:$O,0,0)),"")</f>
        <v>1800</v>
      </c>
      <c r="H71" s="51">
        <f t="shared" si="1"/>
        <v>3600</v>
      </c>
      <c r="I71" s="52">
        <f t="array" ref="I71">IFERROR(IF(XLOOKUP(CONCAT(B71,C71),'MASTER PLAN'!$AB:$AB,'MASTER PLAN'!$S:$S,0,0)=0,"",XLOOKUP(CONCAT(B71,C71),'MASTER PLAN'!$AB:$AB,'MASTER PLAN'!$S:$S,0,0)),"")</f>
        <v>46010</v>
      </c>
      <c r="J71" s="49" t="str">
        <f t="shared" si="2"/>
        <v>140204956320</v>
      </c>
      <c r="K71" s="50" t="b">
        <v>1</v>
      </c>
      <c r="L71" s="50" t="b">
        <v>1</v>
      </c>
      <c r="M71" s="50" t="b">
        <v>0</v>
      </c>
      <c r="N71" s="50" t="b">
        <v>1</v>
      </c>
      <c r="O71" s="50" t="b">
        <v>1</v>
      </c>
      <c r="P71" s="50" t="b">
        <v>0</v>
      </c>
      <c r="Q71" s="50" t="b">
        <v>1</v>
      </c>
      <c r="R71" s="50"/>
      <c r="S71" s="50"/>
    </row>
    <row r="72" ht="15.75" customHeight="1">
      <c r="B72" s="54">
        <v>1.402049568E9</v>
      </c>
      <c r="C72" s="55">
        <v>10.0</v>
      </c>
      <c r="D72" s="49" t="str">
        <f t="array" ref="D72">IFERROR(IF(XLOOKUP(CONCAT(B72,C72),'MASTER PLAN'!$AB:$AB,'MASTER PLAN'!$J:$J,0,0)=0,"",XLOOKUP(CONCAT(B72,C72),'MASTER PLAN'!$AB:$AB,'MASTER PLAN'!$J:$J,0,0)),"")</f>
        <v>BOLSA SILEO 10X4X8 IN</v>
      </c>
      <c r="E72" s="56" t="s">
        <v>200</v>
      </c>
      <c r="F72" s="55">
        <v>1.0</v>
      </c>
      <c r="G72" s="51">
        <f t="array" ref="G72">IFERROR(IF(XLOOKUP(CONCAT(B72,C72),'MASTER PLAN'!$AB:$AB,'MASTER PLAN'!$O:$O,0,0)=0,"",XLOOKUP(CONCAT(B72,C72),'MASTER PLAN'!$AB:$AB,'MASTER PLAN'!$O:$O,0,0)),"")</f>
        <v>2400</v>
      </c>
      <c r="H72" s="51">
        <f t="shared" si="1"/>
        <v>2400</v>
      </c>
      <c r="I72" s="52">
        <f t="array" ref="I72">IFERROR(IF(XLOOKUP(CONCAT(B72,C72),'MASTER PLAN'!$AB:$AB,'MASTER PLAN'!$S:$S,0,0)=0,"",XLOOKUP(CONCAT(B72,C72),'MASTER PLAN'!$AB:$AB,'MASTER PLAN'!$S:$S,0,0)),"")</f>
        <v>46038</v>
      </c>
      <c r="J72" s="49" t="str">
        <f t="shared" si="2"/>
        <v>140204956810</v>
      </c>
      <c r="K72" s="56" t="b">
        <v>0</v>
      </c>
      <c r="L72" s="53" t="b">
        <v>1</v>
      </c>
      <c r="M72" s="56" t="b">
        <v>0</v>
      </c>
      <c r="N72" s="53" t="b">
        <v>1</v>
      </c>
      <c r="O72" s="53" t="b">
        <v>1</v>
      </c>
      <c r="P72" s="56" t="b">
        <v>0</v>
      </c>
      <c r="Q72" s="53" t="b">
        <v>1</v>
      </c>
      <c r="R72" s="56"/>
      <c r="S72" s="56"/>
    </row>
    <row r="73" ht="15.75" customHeight="1">
      <c r="B73" s="47">
        <v>1.40204957E9</v>
      </c>
      <c r="C73" s="48">
        <v>10.0</v>
      </c>
      <c r="D73" s="49" t="str">
        <f t="array" ref="D73">IFERROR(IF(XLOOKUP(CONCAT(B73,C73),'MASTER PLAN'!$AB:$AB,'MASTER PLAN'!$J:$J,0,0)=0,"",XLOOKUP(CONCAT(B73,C73),'MASTER PLAN'!$AB:$AB,'MASTER PLAN'!$J:$J,0,0)),"")</f>
        <v>BARBARA MADERO 160X100X140 MM</v>
      </c>
      <c r="E73" s="50" t="s">
        <v>198</v>
      </c>
      <c r="F73" s="48"/>
      <c r="G73" s="51">
        <f t="array" ref="G73">IFERROR(IF(XLOOKUP(CONCAT(B73,C73),'MASTER PLAN'!$AB:$AB,'MASTER PLAN'!$O:$O,0,0)=0,"",XLOOKUP(CONCAT(B73,C73),'MASTER PLAN'!$AB:$AB,'MASTER PLAN'!$O:$O,0,0)),"")</f>
        <v>1800</v>
      </c>
      <c r="H73" s="51" t="str">
        <f t="shared" si="1"/>
        <v/>
      </c>
      <c r="I73" s="52">
        <f t="array" ref="I73">IFERROR(IF(XLOOKUP(CONCAT(B73,C73),'MASTER PLAN'!$AB:$AB,'MASTER PLAN'!$S:$S,0,0)=0,"",XLOOKUP(CONCAT(B73,C73),'MASTER PLAN'!$AB:$AB,'MASTER PLAN'!$S:$S,0,0)),"")</f>
        <v>46038</v>
      </c>
      <c r="J73" s="49" t="str">
        <f t="shared" si="2"/>
        <v>140204957010</v>
      </c>
      <c r="K73" s="50" t="b">
        <v>1</v>
      </c>
      <c r="L73" s="50" t="b">
        <v>0</v>
      </c>
      <c r="M73" s="50" t="b">
        <v>0</v>
      </c>
      <c r="N73" s="50" t="b">
        <v>0</v>
      </c>
      <c r="O73" s="50" t="b">
        <v>1</v>
      </c>
      <c r="P73" s="50" t="b">
        <v>0</v>
      </c>
      <c r="Q73" s="50" t="b">
        <v>1</v>
      </c>
      <c r="R73" s="50"/>
      <c r="S73" s="50"/>
    </row>
    <row r="74" ht="15.75" customHeight="1">
      <c r="B74" s="54">
        <v>1.402049582E9</v>
      </c>
      <c r="C74" s="55">
        <v>10.0</v>
      </c>
      <c r="D74" s="49" t="str">
        <f t="array" ref="D74">IFERROR(IF(XLOOKUP(CONCAT(B74,C74),'MASTER PLAN'!$AB:$AB,'MASTER PLAN'!$J:$J,0,0)=0,"",XLOOKUP(CONCAT(B74,C74),'MASTER PLAN'!$AB:$AB,'MASTER PLAN'!$J:$J,0,0)),"")</f>
        <v>BOLSA CASA DE ORO 4.5"X2.375"X5.75" EST</v>
      </c>
      <c r="E74" s="56" t="s">
        <v>203</v>
      </c>
      <c r="F74" s="55">
        <v>2.0</v>
      </c>
      <c r="G74" s="51">
        <f t="array" ref="G74">IFERROR(IF(XLOOKUP(CONCAT(B74,C74),'MASTER PLAN'!$AB:$AB,'MASTER PLAN'!$O:$O,0,0)=0,"",XLOOKUP(CONCAT(B74,C74),'MASTER PLAN'!$AB:$AB,'MASTER PLAN'!$O:$O,0,0)),"")</f>
        <v>1800</v>
      </c>
      <c r="H74" s="51">
        <f t="shared" si="1"/>
        <v>900</v>
      </c>
      <c r="I74" s="52">
        <f t="array" ref="I74">IFERROR(IF(XLOOKUP(CONCAT(B74,C74),'MASTER PLAN'!$AB:$AB,'MASTER PLAN'!$S:$S,0,0)=0,"",XLOOKUP(CONCAT(B74,C74),'MASTER PLAN'!$AB:$AB,'MASTER PLAN'!$S:$S,0,0)),"")</f>
        <v>46038</v>
      </c>
      <c r="J74" s="49" t="str">
        <f t="shared" si="2"/>
        <v>140204958210</v>
      </c>
      <c r="K74" s="56" t="b">
        <v>1</v>
      </c>
      <c r="L74" s="56" t="b">
        <v>1</v>
      </c>
      <c r="M74" s="56" t="b">
        <v>0</v>
      </c>
      <c r="N74" s="56" t="b">
        <v>1</v>
      </c>
      <c r="O74" s="56" t="b">
        <v>1</v>
      </c>
      <c r="P74" s="56" t="b">
        <v>0</v>
      </c>
      <c r="Q74" s="56" t="b">
        <v>1</v>
      </c>
      <c r="R74" s="56"/>
      <c r="S74" s="56"/>
    </row>
    <row r="75" ht="15.75" customHeight="1">
      <c r="B75" s="47">
        <v>1.402049582E9</v>
      </c>
      <c r="C75" s="48">
        <v>20.0</v>
      </c>
      <c r="D75" s="49" t="str">
        <f t="array" ref="D75">IFERROR(IF(XLOOKUP(CONCAT(B75,C75),'MASTER PLAN'!$AB:$AB,'MASTER PLAN'!$J:$J,0,0)=0,"",XLOOKUP(CONCAT(B75,C75),'MASTER PLAN'!$AB:$AB,'MASTER PLAN'!$J:$J,0,0)),"")</f>
        <v>BOLSA CASA DE ORO 7"X4"X8" EST</v>
      </c>
      <c r="E75" s="50" t="s">
        <v>203</v>
      </c>
      <c r="F75" s="48">
        <v>1.0</v>
      </c>
      <c r="G75" s="51">
        <f t="array" ref="G75">IFERROR(IF(XLOOKUP(CONCAT(B75,C75),'MASTER PLAN'!$AB:$AB,'MASTER PLAN'!$O:$O,0,0)=0,"",XLOOKUP(CONCAT(B75,C75),'MASTER PLAN'!$AB:$AB,'MASTER PLAN'!$O:$O,0,0)),"")</f>
        <v>1800</v>
      </c>
      <c r="H75" s="51">
        <f t="shared" si="1"/>
        <v>1800</v>
      </c>
      <c r="I75" s="52">
        <f t="array" ref="I75">IFERROR(IF(XLOOKUP(CONCAT(B75,C75),'MASTER PLAN'!$AB:$AB,'MASTER PLAN'!$S:$S,0,0)=0,"",XLOOKUP(CONCAT(B75,C75),'MASTER PLAN'!$AB:$AB,'MASTER PLAN'!$S:$S,0,0)),"")</f>
        <v>46038</v>
      </c>
      <c r="J75" s="49" t="str">
        <f t="shared" si="2"/>
        <v>140204958220</v>
      </c>
      <c r="K75" s="50" t="b">
        <v>1</v>
      </c>
      <c r="L75" s="50" t="b">
        <v>1</v>
      </c>
      <c r="M75" s="50" t="b">
        <v>0</v>
      </c>
      <c r="N75" s="50" t="b">
        <v>1</v>
      </c>
      <c r="O75" s="50" t="b">
        <v>1</v>
      </c>
      <c r="P75" s="50" t="b">
        <v>0</v>
      </c>
      <c r="Q75" s="50" t="b">
        <v>1</v>
      </c>
      <c r="R75" s="50"/>
      <c r="S75" s="50"/>
    </row>
    <row r="76" ht="15.75" customHeight="1">
      <c r="B76" s="54">
        <v>1.40204959E9</v>
      </c>
      <c r="C76" s="55">
        <v>10.0</v>
      </c>
      <c r="D76" s="49" t="str">
        <f t="array" ref="D76">IFERROR(IF(XLOOKUP(CONCAT(B76,C76),'MASTER PLAN'!$AB:$AB,'MASTER PLAN'!$J:$J,0,0)=0,"",XLOOKUP(CONCAT(B76,C76),'MASTER PLAN'!$AB:$AB,'MASTER PLAN'!$J:$J,0,0)),"")</f>
        <v>BOLSA PIRULETA 20 X 6 X16 IN FL</v>
      </c>
      <c r="E76" s="56" t="s">
        <v>203</v>
      </c>
      <c r="F76" s="55"/>
      <c r="G76" s="51">
        <f t="array" ref="G76">IFERROR(IF(XLOOKUP(CONCAT(B76,C76),'MASTER PLAN'!$AB:$AB,'MASTER PLAN'!$O:$O,0,0)=0,"",XLOOKUP(CONCAT(B76,C76),'MASTER PLAN'!$AB:$AB,'MASTER PLAN'!$O:$O,0,0)),"")</f>
        <v>2400</v>
      </c>
      <c r="H76" s="51" t="str">
        <f t="shared" si="1"/>
        <v/>
      </c>
      <c r="I76" s="52">
        <f t="array" ref="I76">IFERROR(IF(XLOOKUP(CONCAT(B76,C76),'MASTER PLAN'!$AB:$AB,'MASTER PLAN'!$S:$S,0,0)=0,"",XLOOKUP(CONCAT(B76,C76),'MASTER PLAN'!$AB:$AB,'MASTER PLAN'!$S:$S,0,0)),"")</f>
        <v>46035</v>
      </c>
      <c r="J76" s="49" t="str">
        <f t="shared" si="2"/>
        <v>140204959010</v>
      </c>
      <c r="K76" s="56" t="b">
        <v>1</v>
      </c>
      <c r="L76" s="56" t="b">
        <v>1</v>
      </c>
      <c r="M76" s="56" t="b">
        <v>0</v>
      </c>
      <c r="N76" s="56" t="b">
        <v>1</v>
      </c>
      <c r="O76" s="56" t="b">
        <v>0</v>
      </c>
      <c r="P76" s="56" t="b">
        <v>0</v>
      </c>
      <c r="Q76" s="56" t="b">
        <v>1</v>
      </c>
      <c r="R76" s="56"/>
      <c r="S76" s="56"/>
    </row>
    <row r="77" ht="15.75" customHeight="1">
      <c r="B77" s="47">
        <v>1.40204959E9</v>
      </c>
      <c r="C77" s="48">
        <v>20.0</v>
      </c>
      <c r="D77" s="49" t="str">
        <f t="array" ref="D77">IFERROR(IF(XLOOKUP(CONCAT(B77,C77),'MASTER PLAN'!$AB:$AB,'MASTER PLAN'!$J:$J,0,0)=0,"",XLOOKUP(CONCAT(B77,C77),'MASTER PLAN'!$AB:$AB,'MASTER PLAN'!$J:$J,0,0)),"")</f>
        <v>BOLSA PIRULETA 16 X 5 X 14 IN FL</v>
      </c>
      <c r="E77" s="50" t="s">
        <v>203</v>
      </c>
      <c r="F77" s="48"/>
      <c r="G77" s="51">
        <f t="array" ref="G77">IFERROR(IF(XLOOKUP(CONCAT(B77,C77),'MASTER PLAN'!$AB:$AB,'MASTER PLAN'!$O:$O,0,0)=0,"",XLOOKUP(CONCAT(B77,C77),'MASTER PLAN'!$AB:$AB,'MASTER PLAN'!$O:$O,0,0)),"")</f>
        <v>6000</v>
      </c>
      <c r="H77" s="51" t="str">
        <f t="shared" si="1"/>
        <v/>
      </c>
      <c r="I77" s="52">
        <f t="array" ref="I77">IFERROR(IF(XLOOKUP(CONCAT(B77,C77),'MASTER PLAN'!$AB:$AB,'MASTER PLAN'!$S:$S,0,0)=0,"",XLOOKUP(CONCAT(B77,C77),'MASTER PLAN'!$AB:$AB,'MASTER PLAN'!$S:$S,0,0)),"")</f>
        <v>46035</v>
      </c>
      <c r="J77" s="49" t="str">
        <f t="shared" si="2"/>
        <v>140204959020</v>
      </c>
      <c r="K77" s="50" t="b">
        <v>1</v>
      </c>
      <c r="L77" s="50" t="b">
        <v>1</v>
      </c>
      <c r="M77" s="50" t="b">
        <v>0</v>
      </c>
      <c r="N77" s="50" t="b">
        <v>1</v>
      </c>
      <c r="O77" s="50" t="b">
        <v>0</v>
      </c>
      <c r="P77" s="50" t="b">
        <v>0</v>
      </c>
      <c r="Q77" s="50" t="b">
        <v>1</v>
      </c>
      <c r="R77" s="50"/>
      <c r="S77" s="50"/>
    </row>
    <row r="78" ht="15.75" customHeight="1">
      <c r="B78" s="54">
        <v>1.40204959E9</v>
      </c>
      <c r="C78" s="55">
        <v>30.0</v>
      </c>
      <c r="D78" s="49" t="str">
        <f t="array" ref="D78">IFERROR(IF(XLOOKUP(CONCAT(B78,C78),'MASTER PLAN'!$AB:$AB,'MASTER PLAN'!$J:$J,0,0)=0,"",XLOOKUP(CONCAT(B78,C78),'MASTER PLAN'!$AB:$AB,'MASTER PLAN'!$J:$J,0,0)),"")</f>
        <v>BOLSA PIRULETA 13X5X10IN FL</v>
      </c>
      <c r="E78" s="56" t="s">
        <v>203</v>
      </c>
      <c r="F78" s="55"/>
      <c r="G78" s="51">
        <f t="array" ref="G78">IFERROR(IF(XLOOKUP(CONCAT(B78,C78),'MASTER PLAN'!$AB:$AB,'MASTER PLAN'!$O:$O,0,0)=0,"",XLOOKUP(CONCAT(B78,C78),'MASTER PLAN'!$AB:$AB,'MASTER PLAN'!$O:$O,0,0)),"")</f>
        <v>8400</v>
      </c>
      <c r="H78" s="51" t="str">
        <f t="shared" si="1"/>
        <v/>
      </c>
      <c r="I78" s="52">
        <f t="array" ref="I78">IFERROR(IF(XLOOKUP(CONCAT(B78,C78),'MASTER PLAN'!$AB:$AB,'MASTER PLAN'!$S:$S,0,0)=0,"",XLOOKUP(CONCAT(B78,C78),'MASTER PLAN'!$AB:$AB,'MASTER PLAN'!$S:$S,0,0)),"")</f>
        <v>46035</v>
      </c>
      <c r="J78" s="49" t="str">
        <f t="shared" si="2"/>
        <v>140204959030</v>
      </c>
      <c r="K78" s="56" t="b">
        <v>1</v>
      </c>
      <c r="L78" s="56" t="b">
        <v>1</v>
      </c>
      <c r="M78" s="56" t="b">
        <v>0</v>
      </c>
      <c r="N78" s="56" t="b">
        <v>1</v>
      </c>
      <c r="O78" s="56" t="b">
        <v>0</v>
      </c>
      <c r="P78" s="56" t="b">
        <v>0</v>
      </c>
      <c r="Q78" s="56" t="b">
        <v>1</v>
      </c>
      <c r="R78" s="56"/>
      <c r="S78" s="56"/>
    </row>
    <row r="79" ht="15.75" customHeight="1">
      <c r="B79" s="47">
        <v>1.402049268E9</v>
      </c>
      <c r="C79" s="48">
        <v>10.0</v>
      </c>
      <c r="D79" s="50" t="s">
        <v>214</v>
      </c>
      <c r="E79" s="50" t="s">
        <v>198</v>
      </c>
      <c r="F79" s="48"/>
      <c r="G79" s="51">
        <f t="array" ref="G79">IFERROR(IF(XLOOKUP(CONCAT(B79,C79),'MASTER PLAN'!$AB:$AB,'MASTER PLAN'!$O:$O,0,0)=0,"",XLOOKUP(CONCAT(B79,C79),'MASTER PLAN'!$AB:$AB,'MASTER PLAN'!$O:$O,0,0)),"")</f>
        <v>39270</v>
      </c>
      <c r="H79" s="51" t="str">
        <f t="shared" si="1"/>
        <v/>
      </c>
      <c r="I79" s="52">
        <f t="array" ref="I79">IFERROR(IF(XLOOKUP(CONCAT(B79,C79),'MASTER PLAN'!$AB:$AB,'MASTER PLAN'!$S:$S,0,0)=0,"",XLOOKUP(CONCAT(B79,C79),'MASTER PLAN'!$AB:$AB,'MASTER PLAN'!$S:$S,0,0)),"")</f>
        <v>45905</v>
      </c>
      <c r="J79" s="49" t="str">
        <f t="shared" si="2"/>
        <v>140204926810</v>
      </c>
      <c r="K79" s="50" t="b">
        <v>1</v>
      </c>
      <c r="L79" s="50" t="b">
        <v>0</v>
      </c>
      <c r="M79" s="50" t="b">
        <v>0</v>
      </c>
      <c r="N79" s="50" t="b">
        <v>0</v>
      </c>
      <c r="O79" s="50" t="b">
        <v>1</v>
      </c>
      <c r="P79" s="50" t="b">
        <v>0</v>
      </c>
      <c r="Q79" s="50" t="b">
        <v>1</v>
      </c>
      <c r="R79" s="50"/>
      <c r="S79" s="50"/>
    </row>
    <row r="80" ht="15.75" customHeight="1">
      <c r="B80" s="54">
        <v>1.402049268E9</v>
      </c>
      <c r="C80" s="55">
        <v>10.0</v>
      </c>
      <c r="D80" s="56" t="s">
        <v>215</v>
      </c>
      <c r="E80" s="56" t="s">
        <v>198</v>
      </c>
      <c r="F80" s="55"/>
      <c r="G80" s="51">
        <f t="array" ref="G80">IFERROR(IF(XLOOKUP(CONCAT(B80,C80),'MASTER PLAN'!$AB:$AB,'MASTER PLAN'!$O:$O,0,0)=0,"",XLOOKUP(CONCAT(B80,C80),'MASTER PLAN'!$AB:$AB,'MASTER PLAN'!$O:$O,0,0)),"")</f>
        <v>39270</v>
      </c>
      <c r="H80" s="51" t="str">
        <f t="shared" si="1"/>
        <v/>
      </c>
      <c r="I80" s="52">
        <f t="array" ref="I80">IFERROR(IF(XLOOKUP(CONCAT(B80,C80),'MASTER PLAN'!$AB:$AB,'MASTER PLAN'!$S:$S,0,0)=0,"",XLOOKUP(CONCAT(B80,C80),'MASTER PLAN'!$AB:$AB,'MASTER PLAN'!$S:$S,0,0)),"")</f>
        <v>45905</v>
      </c>
      <c r="J80" s="49" t="str">
        <f t="shared" si="2"/>
        <v>140204926810</v>
      </c>
      <c r="K80" s="56" t="b">
        <v>0</v>
      </c>
      <c r="L80" s="56" t="b">
        <v>1</v>
      </c>
      <c r="M80" s="56" t="b">
        <v>1</v>
      </c>
      <c r="N80" s="56" t="b">
        <v>0</v>
      </c>
      <c r="O80" s="56" t="b">
        <v>0</v>
      </c>
      <c r="P80" s="56" t="b">
        <v>0</v>
      </c>
      <c r="Q80" s="56" t="b">
        <v>1</v>
      </c>
      <c r="R80" s="56"/>
      <c r="S80" s="56"/>
    </row>
    <row r="81" ht="15.75" customHeight="1">
      <c r="B81" s="47">
        <v>1.402049269E9</v>
      </c>
      <c r="C81" s="48">
        <v>10.0</v>
      </c>
      <c r="D81" s="50" t="s">
        <v>214</v>
      </c>
      <c r="E81" s="50" t="s">
        <v>198</v>
      </c>
      <c r="F81" s="48"/>
      <c r="G81" s="51">
        <f t="array" ref="G81">IFERROR(IF(XLOOKUP(CONCAT(B81,C81),'MASTER PLAN'!$AB:$AB,'MASTER PLAN'!$O:$O,0,0)=0,"",XLOOKUP(CONCAT(B81,C81),'MASTER PLAN'!$AB:$AB,'MASTER PLAN'!$O:$O,0,0)),"")</f>
        <v>39270</v>
      </c>
      <c r="H81" s="51" t="str">
        <f t="shared" si="1"/>
        <v/>
      </c>
      <c r="I81" s="52">
        <f t="array" ref="I81">IFERROR(IF(XLOOKUP(CONCAT(B81,C81),'MASTER PLAN'!$AB:$AB,'MASTER PLAN'!$S:$S,0,0)=0,"",XLOOKUP(CONCAT(B81,C81),'MASTER PLAN'!$AB:$AB,'MASTER PLAN'!$S:$S,0,0)),"")</f>
        <v>45905</v>
      </c>
      <c r="J81" s="49" t="str">
        <f t="shared" si="2"/>
        <v>140204926910</v>
      </c>
      <c r="K81" s="50" t="b">
        <v>1</v>
      </c>
      <c r="L81" s="50" t="b">
        <v>0</v>
      </c>
      <c r="M81" s="50" t="b">
        <v>0</v>
      </c>
      <c r="N81" s="50" t="b">
        <v>0</v>
      </c>
      <c r="O81" s="50" t="b">
        <v>1</v>
      </c>
      <c r="P81" s="50" t="b">
        <v>0</v>
      </c>
      <c r="Q81" s="50" t="b">
        <v>1</v>
      </c>
      <c r="R81" s="50"/>
      <c r="S81" s="50"/>
    </row>
    <row r="82" ht="15.75" customHeight="1">
      <c r="B82" s="54">
        <v>1.402049269E9</v>
      </c>
      <c r="C82" s="55">
        <v>10.0</v>
      </c>
      <c r="D82" s="56" t="s">
        <v>215</v>
      </c>
      <c r="E82" s="56" t="s">
        <v>198</v>
      </c>
      <c r="F82" s="55"/>
      <c r="G82" s="51">
        <f t="array" ref="G82">IFERROR(IF(XLOOKUP(CONCAT(B82,C82),'MASTER PLAN'!$AB:$AB,'MASTER PLAN'!$O:$O,0,0)=0,"",XLOOKUP(CONCAT(B82,C82),'MASTER PLAN'!$AB:$AB,'MASTER PLAN'!$O:$O,0,0)),"")</f>
        <v>39270</v>
      </c>
      <c r="H82" s="51" t="str">
        <f t="shared" si="1"/>
        <v/>
      </c>
      <c r="I82" s="52">
        <f t="array" ref="I82">IFERROR(IF(XLOOKUP(CONCAT(B82,C82),'MASTER PLAN'!$AB:$AB,'MASTER PLAN'!$S:$S,0,0)=0,"",XLOOKUP(CONCAT(B82,C82),'MASTER PLAN'!$AB:$AB,'MASTER PLAN'!$S:$S,0,0)),"")</f>
        <v>45905</v>
      </c>
      <c r="J82" s="49" t="str">
        <f t="shared" si="2"/>
        <v>140204926910</v>
      </c>
      <c r="K82" s="56" t="b">
        <v>0</v>
      </c>
      <c r="L82" s="56" t="b">
        <v>1</v>
      </c>
      <c r="M82" s="56" t="b">
        <v>1</v>
      </c>
      <c r="N82" s="56" t="b">
        <v>0</v>
      </c>
      <c r="O82" s="56" t="b">
        <v>0</v>
      </c>
      <c r="P82" s="56" t="b">
        <v>0</v>
      </c>
      <c r="Q82" s="56" t="b">
        <v>1</v>
      </c>
      <c r="R82" s="56"/>
      <c r="S82" s="56"/>
    </row>
    <row r="83" ht="15.75" customHeight="1">
      <c r="B83" s="47">
        <v>1.402049378E9</v>
      </c>
      <c r="C83" s="48">
        <v>20.0</v>
      </c>
      <c r="D83" s="50" t="s">
        <v>216</v>
      </c>
      <c r="E83" s="50" t="s">
        <v>198</v>
      </c>
      <c r="F83" s="48"/>
      <c r="G83" s="51">
        <f t="array" ref="G83">IFERROR(IF(XLOOKUP(CONCAT(B83,C83),'MASTER PLAN'!$AB:$AB,'MASTER PLAN'!$O:$O,0,0)=0,"",XLOOKUP(CONCAT(B83,C83),'MASTER PLAN'!$AB:$AB,'MASTER PLAN'!$O:$O,0,0)),"")</f>
        <v>926.4</v>
      </c>
      <c r="H83" s="51" t="str">
        <f t="shared" si="1"/>
        <v/>
      </c>
      <c r="I83" s="52">
        <f t="array" ref="I83">IFERROR(IF(XLOOKUP(CONCAT(B83,C83),'MASTER PLAN'!$AB:$AB,'MASTER PLAN'!$S:$S,0,0)=0,"",XLOOKUP(CONCAT(B83,C83),'MASTER PLAN'!$AB:$AB,'MASTER PLAN'!$S:$S,0,0)),"")</f>
        <v>45982</v>
      </c>
      <c r="J83" s="49" t="str">
        <f t="shared" si="2"/>
        <v>140204937820</v>
      </c>
      <c r="K83" s="50" t="b">
        <v>1</v>
      </c>
      <c r="L83" s="50" t="b">
        <v>1</v>
      </c>
      <c r="M83" s="50" t="b">
        <v>0</v>
      </c>
      <c r="N83" s="50" t="b">
        <v>0</v>
      </c>
      <c r="O83" s="50" t="b">
        <v>1</v>
      </c>
      <c r="P83" s="50" t="b">
        <v>1</v>
      </c>
      <c r="Q83" s="50" t="b">
        <v>1</v>
      </c>
      <c r="R83" s="50"/>
      <c r="S83" s="50"/>
    </row>
    <row r="84" ht="15.75" customHeight="1">
      <c r="B84" s="54">
        <v>1.402049378E9</v>
      </c>
      <c r="C84" s="55">
        <v>20.0</v>
      </c>
      <c r="D84" s="56" t="s">
        <v>217</v>
      </c>
      <c r="E84" s="56" t="s">
        <v>198</v>
      </c>
      <c r="F84" s="55"/>
      <c r="G84" s="51">
        <f t="array" ref="G84">IFERROR(IF(XLOOKUP(CONCAT(B84,C84),'MASTER PLAN'!$AB:$AB,'MASTER PLAN'!$O:$O,0,0)=0,"",XLOOKUP(CONCAT(B84,C84),'MASTER PLAN'!$AB:$AB,'MASTER PLAN'!$O:$O,0,0)),"")</f>
        <v>926.4</v>
      </c>
      <c r="H84" s="51" t="str">
        <f t="shared" si="1"/>
        <v/>
      </c>
      <c r="I84" s="52">
        <f t="array" ref="I84">IFERROR(IF(XLOOKUP(CONCAT(B84,C84),'MASTER PLAN'!$AB:$AB,'MASTER PLAN'!$S:$S,0,0)=0,"",XLOOKUP(CONCAT(B84,C84),'MASTER PLAN'!$AB:$AB,'MASTER PLAN'!$S:$S,0,0)),"")</f>
        <v>45982</v>
      </c>
      <c r="J84" s="49" t="str">
        <f t="shared" si="2"/>
        <v>140204937820</v>
      </c>
      <c r="K84" s="56" t="b">
        <v>1</v>
      </c>
      <c r="L84" s="56" t="b">
        <v>0</v>
      </c>
      <c r="M84" s="56" t="b">
        <v>0</v>
      </c>
      <c r="N84" s="56" t="b">
        <v>1</v>
      </c>
      <c r="O84" s="56" t="b">
        <v>0</v>
      </c>
      <c r="P84" s="56" t="b">
        <v>1</v>
      </c>
      <c r="Q84" s="56" t="b">
        <v>0</v>
      </c>
      <c r="R84" s="56"/>
      <c r="S84" s="56"/>
    </row>
    <row r="85" ht="15.75" customHeight="1">
      <c r="B85" s="47">
        <v>1.402049378E9</v>
      </c>
      <c r="C85" s="48">
        <v>20.0</v>
      </c>
      <c r="D85" s="50" t="s">
        <v>218</v>
      </c>
      <c r="E85" s="50" t="s">
        <v>198</v>
      </c>
      <c r="F85" s="48"/>
      <c r="G85" s="51">
        <f t="array" ref="G85">IFERROR(IF(XLOOKUP(CONCAT(B85,C85),'MASTER PLAN'!$AB:$AB,'MASTER PLAN'!$O:$O,0,0)=0,"",XLOOKUP(CONCAT(B85,C85),'MASTER PLAN'!$AB:$AB,'MASTER PLAN'!$O:$O,0,0)),"")</f>
        <v>926.4</v>
      </c>
      <c r="H85" s="51" t="str">
        <f t="shared" si="1"/>
        <v/>
      </c>
      <c r="I85" s="52">
        <f t="array" ref="I85">IFERROR(IF(XLOOKUP(CONCAT(B85,C85),'MASTER PLAN'!$AB:$AB,'MASTER PLAN'!$S:$S,0,0)=0,"",XLOOKUP(CONCAT(B85,C85),'MASTER PLAN'!$AB:$AB,'MASTER PLAN'!$S:$S,0,0)),"")</f>
        <v>45982</v>
      </c>
      <c r="J85" s="49" t="str">
        <f t="shared" si="2"/>
        <v>140204937820</v>
      </c>
      <c r="K85" s="50" t="b">
        <v>1</v>
      </c>
      <c r="L85" s="50" t="b">
        <v>1</v>
      </c>
      <c r="M85" s="50" t="b">
        <v>0</v>
      </c>
      <c r="N85" s="50" t="b">
        <v>0</v>
      </c>
      <c r="O85" s="50" t="b">
        <v>1</v>
      </c>
      <c r="P85" s="50" t="b">
        <v>0</v>
      </c>
      <c r="Q85" s="50" t="b">
        <v>1</v>
      </c>
      <c r="R85" s="50"/>
      <c r="S85" s="50"/>
    </row>
    <row r="86" ht="15.75" customHeight="1">
      <c r="B86" s="54">
        <v>1.402049378E9</v>
      </c>
      <c r="C86" s="55">
        <v>20.0</v>
      </c>
      <c r="D86" s="56" t="s">
        <v>219</v>
      </c>
      <c r="E86" s="56" t="s">
        <v>198</v>
      </c>
      <c r="F86" s="55"/>
      <c r="G86" s="51">
        <f t="array" ref="G86">IFERROR(IF(XLOOKUP(CONCAT(B86,C86),'MASTER PLAN'!$AB:$AB,'MASTER PLAN'!$O:$O,0,0)=0,"",XLOOKUP(CONCAT(B86,C86),'MASTER PLAN'!$AB:$AB,'MASTER PLAN'!$O:$O,0,0)),"")</f>
        <v>926.4</v>
      </c>
      <c r="H86" s="51" t="str">
        <f t="shared" si="1"/>
        <v/>
      </c>
      <c r="I86" s="52">
        <f t="array" ref="I86">IFERROR(IF(XLOOKUP(CONCAT(B86,C86),'MASTER PLAN'!$AB:$AB,'MASTER PLAN'!$S:$S,0,0)=0,"",XLOOKUP(CONCAT(B86,C86),'MASTER PLAN'!$AB:$AB,'MASTER PLAN'!$S:$S,0,0)),"")</f>
        <v>45982</v>
      </c>
      <c r="J86" s="49" t="str">
        <f t="shared" si="2"/>
        <v>140204937820</v>
      </c>
      <c r="K86" s="56" t="b">
        <v>1</v>
      </c>
      <c r="L86" s="56" t="b">
        <v>0</v>
      </c>
      <c r="M86" s="56" t="b">
        <v>0</v>
      </c>
      <c r="N86" s="56" t="b">
        <v>0</v>
      </c>
      <c r="O86" s="56" t="b">
        <v>1</v>
      </c>
      <c r="P86" s="56" t="b">
        <v>1</v>
      </c>
      <c r="Q86" s="56" t="b">
        <v>1</v>
      </c>
      <c r="R86" s="56"/>
      <c r="S86" s="56"/>
    </row>
    <row r="87" ht="15.75" customHeight="1">
      <c r="B87" s="47">
        <v>1.402049378E9</v>
      </c>
      <c r="C87" s="48">
        <v>20.0</v>
      </c>
      <c r="D87" s="50" t="s">
        <v>220</v>
      </c>
      <c r="E87" s="50" t="s">
        <v>198</v>
      </c>
      <c r="F87" s="48"/>
      <c r="G87" s="51">
        <f t="array" ref="G87">IFERROR(IF(XLOOKUP(CONCAT(B87,C87),'MASTER PLAN'!$AB:$AB,'MASTER PLAN'!$O:$O,0,0)=0,"",XLOOKUP(CONCAT(B87,C87),'MASTER PLAN'!$AB:$AB,'MASTER PLAN'!$O:$O,0,0)),"")</f>
        <v>926.4</v>
      </c>
      <c r="H87" s="51" t="str">
        <f t="shared" si="1"/>
        <v/>
      </c>
      <c r="I87" s="52">
        <f t="array" ref="I87">IFERROR(IF(XLOOKUP(CONCAT(B87,C87),'MASTER PLAN'!$AB:$AB,'MASTER PLAN'!$S:$S,0,0)=0,"",XLOOKUP(CONCAT(B87,C87),'MASTER PLAN'!$AB:$AB,'MASTER PLAN'!$S:$S,0,0)),"")</f>
        <v>45982</v>
      </c>
      <c r="J87" s="49" t="str">
        <f t="shared" si="2"/>
        <v>140204937820</v>
      </c>
      <c r="K87" s="50" t="b">
        <v>1</v>
      </c>
      <c r="L87" s="50" t="b">
        <v>0</v>
      </c>
      <c r="M87" s="50" t="b">
        <v>0</v>
      </c>
      <c r="N87" s="50" t="b">
        <v>0</v>
      </c>
      <c r="O87" s="50" t="b">
        <v>0</v>
      </c>
      <c r="P87" s="50" t="b">
        <v>0</v>
      </c>
      <c r="Q87" s="50" t="b">
        <v>1</v>
      </c>
      <c r="R87" s="50"/>
      <c r="S87" s="50"/>
    </row>
    <row r="88" ht="15.75" customHeight="1">
      <c r="B88" s="54">
        <v>1.402049378E9</v>
      </c>
      <c r="C88" s="55">
        <v>20.0</v>
      </c>
      <c r="D88" s="56" t="s">
        <v>221</v>
      </c>
      <c r="E88" s="56" t="s">
        <v>198</v>
      </c>
      <c r="F88" s="55"/>
      <c r="G88" s="51">
        <f t="array" ref="G88">IFERROR(IF(XLOOKUP(CONCAT(B88,C88),'MASTER PLAN'!$AB:$AB,'MASTER PLAN'!$O:$O,0,0)=0,"",XLOOKUP(CONCAT(B88,C88),'MASTER PLAN'!$AB:$AB,'MASTER PLAN'!$O:$O,0,0)),"")</f>
        <v>926.4</v>
      </c>
      <c r="H88" s="51" t="str">
        <f t="shared" si="1"/>
        <v/>
      </c>
      <c r="I88" s="52">
        <f t="array" ref="I88">IFERROR(IF(XLOOKUP(CONCAT(B88,C88),'MASTER PLAN'!$AB:$AB,'MASTER PLAN'!$S:$S,0,0)=0,"",XLOOKUP(CONCAT(B88,C88),'MASTER PLAN'!$AB:$AB,'MASTER PLAN'!$S:$S,0,0)),"")</f>
        <v>45982</v>
      </c>
      <c r="J88" s="49" t="str">
        <f t="shared" si="2"/>
        <v>140204937820</v>
      </c>
      <c r="K88" s="56" t="b">
        <v>1</v>
      </c>
      <c r="L88" s="56" t="b">
        <v>0</v>
      </c>
      <c r="M88" s="56" t="b">
        <v>0</v>
      </c>
      <c r="N88" s="56" t="b">
        <v>0</v>
      </c>
      <c r="O88" s="56" t="b">
        <v>0</v>
      </c>
      <c r="P88" s="56" t="b">
        <v>0</v>
      </c>
      <c r="Q88" s="56" t="b">
        <v>1</v>
      </c>
      <c r="R88" s="56"/>
      <c r="S88" s="56"/>
    </row>
    <row r="89" ht="15.75" customHeight="1">
      <c r="B89" s="47">
        <v>1.402049378E9</v>
      </c>
      <c r="C89" s="48">
        <v>20.0</v>
      </c>
      <c r="D89" s="50" t="s">
        <v>222</v>
      </c>
      <c r="E89" s="50" t="s">
        <v>198</v>
      </c>
      <c r="F89" s="48"/>
      <c r="G89" s="51">
        <f t="array" ref="G89">IFERROR(IF(XLOOKUP(CONCAT(B89,C89),'MASTER PLAN'!$AB:$AB,'MASTER PLAN'!$O:$O,0,0)=0,"",XLOOKUP(CONCAT(B89,C89),'MASTER PLAN'!$AB:$AB,'MASTER PLAN'!$O:$O,0,0)),"")</f>
        <v>926.4</v>
      </c>
      <c r="H89" s="51" t="str">
        <f t="shared" si="1"/>
        <v/>
      </c>
      <c r="I89" s="52">
        <f t="array" ref="I89">IFERROR(IF(XLOOKUP(CONCAT(B89,C89),'MASTER PLAN'!$AB:$AB,'MASTER PLAN'!$S:$S,0,0)=0,"",XLOOKUP(CONCAT(B89,C89),'MASTER PLAN'!$AB:$AB,'MASTER PLAN'!$S:$S,0,0)),"")</f>
        <v>45982</v>
      </c>
      <c r="J89" s="49" t="str">
        <f t="shared" si="2"/>
        <v>140204937820</v>
      </c>
      <c r="K89" s="50" t="b">
        <v>1</v>
      </c>
      <c r="L89" s="50" t="b">
        <v>0</v>
      </c>
      <c r="M89" s="50" t="b">
        <v>0</v>
      </c>
      <c r="N89" s="50" t="b">
        <v>1</v>
      </c>
      <c r="O89" s="50" t="b">
        <v>0</v>
      </c>
      <c r="P89" s="50" t="b">
        <v>0</v>
      </c>
      <c r="Q89" s="50" t="b">
        <v>1</v>
      </c>
      <c r="R89" s="50"/>
      <c r="S89" s="50"/>
    </row>
    <row r="90" ht="15.75" customHeight="1">
      <c r="B90" s="54">
        <v>1.402049378E9</v>
      </c>
      <c r="C90" s="55">
        <v>20.0</v>
      </c>
      <c r="D90" s="56" t="s">
        <v>223</v>
      </c>
      <c r="E90" s="56" t="s">
        <v>198</v>
      </c>
      <c r="F90" s="55"/>
      <c r="G90" s="51">
        <f t="array" ref="G90">IFERROR(IF(XLOOKUP(CONCAT(B90,C90),'MASTER PLAN'!$AB:$AB,'MASTER PLAN'!$O:$O,0,0)=0,"",XLOOKUP(CONCAT(B90,C90),'MASTER PLAN'!$AB:$AB,'MASTER PLAN'!$O:$O,0,0)),"")</f>
        <v>926.4</v>
      </c>
      <c r="H90" s="51" t="str">
        <f t="shared" si="1"/>
        <v/>
      </c>
      <c r="I90" s="52">
        <f t="array" ref="I90">IFERROR(IF(XLOOKUP(CONCAT(B90,C90),'MASTER PLAN'!$AB:$AB,'MASTER PLAN'!$S:$S,0,0)=0,"",XLOOKUP(CONCAT(B90,C90),'MASTER PLAN'!$AB:$AB,'MASTER PLAN'!$S:$S,0,0)),"")</f>
        <v>45982</v>
      </c>
      <c r="J90" s="49" t="str">
        <f t="shared" si="2"/>
        <v>140204937820</v>
      </c>
      <c r="K90" s="56" t="b">
        <v>1</v>
      </c>
      <c r="L90" s="56" t="b">
        <v>0</v>
      </c>
      <c r="M90" s="56" t="b">
        <v>0</v>
      </c>
      <c r="N90" s="56" t="b">
        <v>0</v>
      </c>
      <c r="O90" s="56" t="b">
        <v>0</v>
      </c>
      <c r="P90" s="56" t="b">
        <v>0</v>
      </c>
      <c r="Q90" s="56" t="b">
        <v>1</v>
      </c>
      <c r="R90" s="56"/>
      <c r="S90" s="56"/>
    </row>
    <row r="91" ht="15.75" customHeight="1">
      <c r="B91" s="47">
        <v>1.402049378E9</v>
      </c>
      <c r="C91" s="48">
        <v>20.0</v>
      </c>
      <c r="D91" s="50" t="s">
        <v>224</v>
      </c>
      <c r="E91" s="50"/>
      <c r="F91" s="48"/>
      <c r="G91" s="51">
        <f t="array" ref="G91">IFERROR(IF(XLOOKUP(CONCAT(B91,C91),'MASTER PLAN'!$AB:$AB,'MASTER PLAN'!$O:$O,0,0)=0,"",XLOOKUP(CONCAT(B91,C91),'MASTER PLAN'!$AB:$AB,'MASTER PLAN'!$O:$O,0,0)),"")</f>
        <v>926.4</v>
      </c>
      <c r="H91" s="51" t="str">
        <f t="shared" si="1"/>
        <v/>
      </c>
      <c r="I91" s="52">
        <f t="array" ref="I91">IFERROR(IF(XLOOKUP(CONCAT(B91,C91),'MASTER PLAN'!$AB:$AB,'MASTER PLAN'!$S:$S,0,0)=0,"",XLOOKUP(CONCAT(B91,C91),'MASTER PLAN'!$AB:$AB,'MASTER PLAN'!$S:$S,0,0)),"")</f>
        <v>45982</v>
      </c>
      <c r="J91" s="49" t="str">
        <f t="shared" si="2"/>
        <v>140204937820</v>
      </c>
      <c r="K91" s="50" t="b">
        <v>1</v>
      </c>
      <c r="L91" s="50" t="b">
        <v>0</v>
      </c>
      <c r="M91" s="50" t="b">
        <v>0</v>
      </c>
      <c r="N91" s="50" t="b">
        <v>0</v>
      </c>
      <c r="O91" s="50" t="b">
        <v>0</v>
      </c>
      <c r="P91" s="50" t="b">
        <v>0</v>
      </c>
      <c r="Q91" s="50" t="b">
        <v>1</v>
      </c>
      <c r="R91" s="50"/>
      <c r="S91" s="50"/>
    </row>
    <row r="92" ht="15.75" customHeight="1">
      <c r="B92" s="54">
        <v>1.402049378E9</v>
      </c>
      <c r="C92" s="55">
        <v>20.0</v>
      </c>
      <c r="D92" s="56" t="s">
        <v>225</v>
      </c>
      <c r="E92" s="56" t="s">
        <v>200</v>
      </c>
      <c r="F92" s="55"/>
      <c r="G92" s="51">
        <f t="array" ref="G92">IFERROR(IF(XLOOKUP(CONCAT(B92,C92),'MASTER PLAN'!$AB:$AB,'MASTER PLAN'!$O:$O,0,0)=0,"",XLOOKUP(CONCAT(B92,C92),'MASTER PLAN'!$AB:$AB,'MASTER PLAN'!$O:$O,0,0)),"")</f>
        <v>926.4</v>
      </c>
      <c r="H92" s="51" t="str">
        <f t="shared" si="1"/>
        <v/>
      </c>
      <c r="I92" s="52">
        <f t="array" ref="I92">IFERROR(IF(XLOOKUP(CONCAT(B92,C92),'MASTER PLAN'!$AB:$AB,'MASTER PLAN'!$S:$S,0,0)=0,"",XLOOKUP(CONCAT(B92,C92),'MASTER PLAN'!$AB:$AB,'MASTER PLAN'!$S:$S,0,0)),"")</f>
        <v>45982</v>
      </c>
      <c r="J92" s="49" t="str">
        <f t="shared" si="2"/>
        <v>140204937820</v>
      </c>
      <c r="K92" s="56" t="b">
        <v>0</v>
      </c>
      <c r="L92" s="56" t="b">
        <v>0</v>
      </c>
      <c r="M92" s="56" t="b">
        <v>0</v>
      </c>
      <c r="N92" s="56" t="b">
        <v>0</v>
      </c>
      <c r="O92" s="56" t="b">
        <v>0</v>
      </c>
      <c r="P92" s="56" t="b">
        <v>0</v>
      </c>
      <c r="Q92" s="56" t="b">
        <v>1</v>
      </c>
      <c r="R92" s="56"/>
      <c r="S92" s="56"/>
    </row>
    <row r="93" ht="15.75" customHeight="1">
      <c r="B93" s="47"/>
      <c r="C93" s="48"/>
      <c r="D93" s="49" t="str">
        <f t="array" ref="D93">IFERROR(IF(XLOOKUP(CONCAT(B93,C93),'MASTER PLAN'!$AB:$AB,'MASTER PLAN'!$J:$J,0,0)=0,"",XLOOKUP(CONCAT(B93,C93),'MASTER PLAN'!$AB:$AB,'MASTER PLAN'!$J:$J,0,0)),"")</f>
        <v/>
      </c>
      <c r="E93" s="50"/>
      <c r="F93" s="48"/>
      <c r="G93" s="51" t="str">
        <f t="array" ref="G93">IFERROR(IF(XLOOKUP(CONCAT(B93,C93),'MASTER PLAN'!$AB:$AB,'MASTER PLAN'!$O:$O,0,0)=0,"",XLOOKUP(CONCAT(B93,C93),'MASTER PLAN'!$AB:$AB,'MASTER PLAN'!$O:$O,0,0)),"")</f>
        <v/>
      </c>
      <c r="H93" s="51" t="str">
        <f t="shared" si="1"/>
        <v/>
      </c>
      <c r="I93" s="52" t="str">
        <f t="array" ref="I93">IFERROR(IF(XLOOKUP(CONCAT(B93,C93),'MASTER PLAN'!$AB:$AB,'MASTER PLAN'!$S:$S,0,0)=0,"",XLOOKUP(CONCAT(B93,C93),'MASTER PLAN'!$AB:$AB,'MASTER PLAN'!$S:$S,0,0)),"")</f>
        <v/>
      </c>
      <c r="J93" s="49" t="str">
        <f t="shared" si="2"/>
        <v/>
      </c>
      <c r="K93" s="50" t="b">
        <v>0</v>
      </c>
      <c r="L93" s="50" t="b">
        <v>0</v>
      </c>
      <c r="M93" s="50" t="b">
        <v>0</v>
      </c>
      <c r="N93" s="50" t="b">
        <v>0</v>
      </c>
      <c r="O93" s="50" t="b">
        <v>0</v>
      </c>
      <c r="P93" s="50" t="b">
        <v>0</v>
      </c>
      <c r="Q93" s="50" t="b">
        <v>0</v>
      </c>
      <c r="R93" s="50"/>
      <c r="S93" s="50"/>
    </row>
    <row r="94" ht="15.75" customHeight="1">
      <c r="B94" s="54"/>
      <c r="C94" s="55"/>
      <c r="D94" s="49" t="str">
        <f t="array" ref="D94">IFERROR(IF(XLOOKUP(CONCAT(B94,C94),'MASTER PLAN'!$AB:$AB,'MASTER PLAN'!$J:$J,0,0)=0,"",XLOOKUP(CONCAT(B94,C94),'MASTER PLAN'!$AB:$AB,'MASTER PLAN'!$J:$J,0,0)),"")</f>
        <v/>
      </c>
      <c r="E94" s="56"/>
      <c r="F94" s="55"/>
      <c r="G94" s="51" t="str">
        <f t="array" ref="G94">IFERROR(IF(XLOOKUP(CONCAT(B94,C94),'MASTER PLAN'!$AB:$AB,'MASTER PLAN'!$O:$O,0,0)=0,"",XLOOKUP(CONCAT(B94,C94),'MASTER PLAN'!$AB:$AB,'MASTER PLAN'!$O:$O,0,0)),"")</f>
        <v/>
      </c>
      <c r="H94" s="51" t="str">
        <f t="shared" si="1"/>
        <v/>
      </c>
      <c r="I94" s="52" t="str">
        <f t="array" ref="I94">IFERROR(IF(XLOOKUP(CONCAT(B94,C94),'MASTER PLAN'!$AB:$AB,'MASTER PLAN'!$S:$S,0,0)=0,"",XLOOKUP(CONCAT(B94,C94),'MASTER PLAN'!$AB:$AB,'MASTER PLAN'!$S:$S,0,0)),"")</f>
        <v/>
      </c>
      <c r="J94" s="49" t="str">
        <f t="shared" si="2"/>
        <v/>
      </c>
      <c r="K94" s="56" t="b">
        <v>0</v>
      </c>
      <c r="L94" s="56" t="b">
        <v>0</v>
      </c>
      <c r="M94" s="56" t="b">
        <v>0</v>
      </c>
      <c r="N94" s="56" t="b">
        <v>0</v>
      </c>
      <c r="O94" s="56" t="b">
        <v>0</v>
      </c>
      <c r="P94" s="56" t="b">
        <v>0</v>
      </c>
      <c r="Q94" s="56" t="b">
        <v>0</v>
      </c>
      <c r="R94" s="56"/>
      <c r="S94" s="56"/>
    </row>
    <row r="95" ht="15.75" customHeight="1">
      <c r="B95" s="47"/>
      <c r="C95" s="48"/>
      <c r="D95" s="49" t="str">
        <f t="array" ref="D95">IFERROR(IF(XLOOKUP(CONCAT(B95,C95),'MASTER PLAN'!$AB:$AB,'MASTER PLAN'!$J:$J,0,0)=0,"",XLOOKUP(CONCAT(B95,C95),'MASTER PLAN'!$AB:$AB,'MASTER PLAN'!$J:$J,0,0)),"")</f>
        <v/>
      </c>
      <c r="E95" s="50"/>
      <c r="F95" s="48"/>
      <c r="G95" s="51" t="str">
        <f t="array" ref="G95">IFERROR(IF(XLOOKUP(CONCAT(B95,C95),'MASTER PLAN'!$AB:$AB,'MASTER PLAN'!$O:$O,0,0)=0,"",XLOOKUP(CONCAT(B95,C95),'MASTER PLAN'!$AB:$AB,'MASTER PLAN'!$O:$O,0,0)),"")</f>
        <v/>
      </c>
      <c r="H95" s="51" t="str">
        <f t="shared" si="1"/>
        <v/>
      </c>
      <c r="I95" s="52" t="str">
        <f t="array" ref="I95">IFERROR(IF(XLOOKUP(CONCAT(B95,C95),'MASTER PLAN'!$AB:$AB,'MASTER PLAN'!$S:$S,0,0)=0,"",XLOOKUP(CONCAT(B95,C95),'MASTER PLAN'!$AB:$AB,'MASTER PLAN'!$S:$S,0,0)),"")</f>
        <v/>
      </c>
      <c r="J95" s="49" t="str">
        <f t="shared" si="2"/>
        <v/>
      </c>
      <c r="K95" s="50" t="b">
        <v>0</v>
      </c>
      <c r="L95" s="50" t="b">
        <v>0</v>
      </c>
      <c r="M95" s="50" t="b">
        <v>0</v>
      </c>
      <c r="N95" s="50" t="b">
        <v>0</v>
      </c>
      <c r="O95" s="50" t="b">
        <v>0</v>
      </c>
      <c r="P95" s="50" t="b">
        <v>0</v>
      </c>
      <c r="Q95" s="50" t="b">
        <v>0</v>
      </c>
      <c r="R95" s="50"/>
      <c r="S95" s="50"/>
    </row>
    <row r="96" ht="15.75" customHeight="1">
      <c r="B96" s="54"/>
      <c r="C96" s="55"/>
      <c r="D96" s="49" t="str">
        <f t="array" ref="D96">IFERROR(IF(XLOOKUP(CONCAT(B96,C96),'MASTER PLAN'!$AB:$AB,'MASTER PLAN'!$J:$J,0,0)=0,"",XLOOKUP(CONCAT(B96,C96),'MASTER PLAN'!$AB:$AB,'MASTER PLAN'!$J:$J,0,0)),"")</f>
        <v/>
      </c>
      <c r="E96" s="56"/>
      <c r="F96" s="55"/>
      <c r="G96" s="51" t="str">
        <f t="array" ref="G96">IFERROR(IF(XLOOKUP(CONCAT(B96,C96),'MASTER PLAN'!$AB:$AB,'MASTER PLAN'!$O:$O,0,0)=0,"",XLOOKUP(CONCAT(B96,C96),'MASTER PLAN'!$AB:$AB,'MASTER PLAN'!$O:$O,0,0)),"")</f>
        <v/>
      </c>
      <c r="H96" s="51" t="str">
        <f t="shared" si="1"/>
        <v/>
      </c>
      <c r="I96" s="52" t="str">
        <f t="array" ref="I96">IFERROR(IF(XLOOKUP(CONCAT(B96,C96),'MASTER PLAN'!$AB:$AB,'MASTER PLAN'!$S:$S,0,0)=0,"",XLOOKUP(CONCAT(B96,C96),'MASTER PLAN'!$AB:$AB,'MASTER PLAN'!$S:$S,0,0)),"")</f>
        <v/>
      </c>
      <c r="J96" s="49" t="str">
        <f t="shared" si="2"/>
        <v/>
      </c>
      <c r="K96" s="56" t="b">
        <v>0</v>
      </c>
      <c r="L96" s="56" t="b">
        <v>0</v>
      </c>
      <c r="M96" s="56" t="b">
        <v>0</v>
      </c>
      <c r="N96" s="56" t="b">
        <v>0</v>
      </c>
      <c r="O96" s="56" t="b">
        <v>0</v>
      </c>
      <c r="P96" s="56" t="b">
        <v>0</v>
      </c>
      <c r="Q96" s="56" t="b">
        <v>0</v>
      </c>
      <c r="R96" s="56"/>
      <c r="S96" s="56"/>
    </row>
    <row r="97" ht="15.75" customHeight="1">
      <c r="B97" s="47"/>
      <c r="C97" s="48"/>
      <c r="D97" s="49" t="str">
        <f t="array" ref="D97">IFERROR(IF(XLOOKUP(CONCAT(B97,C97),'MASTER PLAN'!$AB:$AB,'MASTER PLAN'!$J:$J,0,0)=0,"",XLOOKUP(CONCAT(B97,C97),'MASTER PLAN'!$AB:$AB,'MASTER PLAN'!$J:$J,0,0)),"")</f>
        <v/>
      </c>
      <c r="E97" s="50"/>
      <c r="F97" s="48"/>
      <c r="G97" s="51" t="str">
        <f t="array" ref="G97">IFERROR(IF(XLOOKUP(CONCAT(B97,C97),'MASTER PLAN'!$AB:$AB,'MASTER PLAN'!$O:$O,0,0)=0,"",XLOOKUP(CONCAT(B97,C97),'MASTER PLAN'!$AB:$AB,'MASTER PLAN'!$O:$O,0,0)),"")</f>
        <v/>
      </c>
      <c r="H97" s="51" t="str">
        <f t="shared" si="1"/>
        <v/>
      </c>
      <c r="I97" s="52" t="str">
        <f t="array" ref="I97">IFERROR(IF(XLOOKUP(CONCAT(B97,C97),'MASTER PLAN'!$AB:$AB,'MASTER PLAN'!$S:$S,0,0)=0,"",XLOOKUP(CONCAT(B97,C97),'MASTER PLAN'!$AB:$AB,'MASTER PLAN'!$S:$S,0,0)),"")</f>
        <v/>
      </c>
      <c r="J97" s="49" t="str">
        <f t="shared" si="2"/>
        <v/>
      </c>
      <c r="K97" s="50" t="b">
        <v>0</v>
      </c>
      <c r="L97" s="50" t="b">
        <v>0</v>
      </c>
      <c r="M97" s="50" t="b">
        <v>0</v>
      </c>
      <c r="N97" s="50" t="b">
        <v>0</v>
      </c>
      <c r="O97" s="50" t="b">
        <v>0</v>
      </c>
      <c r="P97" s="50" t="b">
        <v>0</v>
      </c>
      <c r="Q97" s="50" t="b">
        <v>0</v>
      </c>
      <c r="R97" s="50"/>
      <c r="S97" s="50"/>
    </row>
    <row r="98" ht="15.75" customHeight="1">
      <c r="B98" s="54"/>
      <c r="C98" s="55"/>
      <c r="D98" s="49" t="str">
        <f t="array" ref="D98">IFERROR(IF(XLOOKUP(CONCAT(B98,C98),'MASTER PLAN'!$AB:$AB,'MASTER PLAN'!$J:$J,0,0)=0,"",XLOOKUP(CONCAT(B98,C98),'MASTER PLAN'!$AB:$AB,'MASTER PLAN'!$J:$J,0,0)),"")</f>
        <v/>
      </c>
      <c r="E98" s="56"/>
      <c r="F98" s="55"/>
      <c r="G98" s="51" t="str">
        <f t="array" ref="G98">IFERROR(IF(XLOOKUP(CONCAT(B98,C98),'MASTER PLAN'!$AB:$AB,'MASTER PLAN'!$O:$O,0,0)=0,"",XLOOKUP(CONCAT(B98,C98),'MASTER PLAN'!$AB:$AB,'MASTER PLAN'!$O:$O,0,0)),"")</f>
        <v/>
      </c>
      <c r="H98" s="51" t="str">
        <f t="shared" si="1"/>
        <v/>
      </c>
      <c r="I98" s="52" t="str">
        <f t="array" ref="I98">IFERROR(IF(XLOOKUP(CONCAT(B98,C98),'MASTER PLAN'!$AB:$AB,'MASTER PLAN'!$S:$S,0,0)=0,"",XLOOKUP(CONCAT(B98,C98),'MASTER PLAN'!$AB:$AB,'MASTER PLAN'!$S:$S,0,0)),"")</f>
        <v/>
      </c>
      <c r="J98" s="49" t="str">
        <f t="shared" si="2"/>
        <v/>
      </c>
      <c r="K98" s="56" t="b">
        <v>0</v>
      </c>
      <c r="L98" s="56" t="b">
        <v>0</v>
      </c>
      <c r="M98" s="56" t="b">
        <v>0</v>
      </c>
      <c r="N98" s="56" t="b">
        <v>0</v>
      </c>
      <c r="O98" s="56" t="b">
        <v>0</v>
      </c>
      <c r="P98" s="56" t="b">
        <v>0</v>
      </c>
      <c r="Q98" s="56" t="b">
        <v>0</v>
      </c>
      <c r="R98" s="56"/>
      <c r="S98" s="56"/>
    </row>
    <row r="99" ht="15.75" customHeight="1">
      <c r="B99" s="47"/>
      <c r="C99" s="48"/>
      <c r="D99" s="49" t="str">
        <f t="array" ref="D99">IFERROR(IF(XLOOKUP(CONCAT(B99,C99),'MASTER PLAN'!$AB:$AB,'MASTER PLAN'!$J:$J,0,0)=0,"",XLOOKUP(CONCAT(B99,C99),'MASTER PLAN'!$AB:$AB,'MASTER PLAN'!$J:$J,0,0)),"")</f>
        <v/>
      </c>
      <c r="E99" s="50"/>
      <c r="F99" s="48"/>
      <c r="G99" s="51" t="str">
        <f t="array" ref="G99">IFERROR(IF(XLOOKUP(CONCAT(B99,C99),'MASTER PLAN'!$AB:$AB,'MASTER PLAN'!$O:$O,0,0)=0,"",XLOOKUP(CONCAT(B99,C99),'MASTER PLAN'!$AB:$AB,'MASTER PLAN'!$O:$O,0,0)),"")</f>
        <v/>
      </c>
      <c r="H99" s="51" t="str">
        <f t="shared" si="1"/>
        <v/>
      </c>
      <c r="I99" s="52" t="str">
        <f t="array" ref="I99">IFERROR(IF(XLOOKUP(CONCAT(B99,C99),'MASTER PLAN'!$AB:$AB,'MASTER PLAN'!$S:$S,0,0)=0,"",XLOOKUP(CONCAT(B99,C99),'MASTER PLAN'!$AB:$AB,'MASTER PLAN'!$S:$S,0,0)),"")</f>
        <v/>
      </c>
      <c r="J99" s="49" t="str">
        <f t="shared" si="2"/>
        <v/>
      </c>
      <c r="K99" s="50" t="b">
        <v>0</v>
      </c>
      <c r="L99" s="50" t="b">
        <v>0</v>
      </c>
      <c r="M99" s="50" t="b">
        <v>0</v>
      </c>
      <c r="N99" s="50" t="b">
        <v>0</v>
      </c>
      <c r="O99" s="50" t="b">
        <v>0</v>
      </c>
      <c r="P99" s="50" t="b">
        <v>0</v>
      </c>
      <c r="Q99" s="50" t="b">
        <v>0</v>
      </c>
      <c r="R99" s="50"/>
      <c r="S99" s="50"/>
    </row>
    <row r="100" ht="15.75" customHeight="1">
      <c r="B100" s="54"/>
      <c r="C100" s="55"/>
      <c r="D100" s="49" t="str">
        <f t="array" ref="D100">IFERROR(IF(XLOOKUP(CONCAT(B100,C100),'MASTER PLAN'!$AB:$AB,'MASTER PLAN'!$J:$J,0,0)=0,"",XLOOKUP(CONCAT(B100,C100),'MASTER PLAN'!$AB:$AB,'MASTER PLAN'!$J:$J,0,0)),"")</f>
        <v/>
      </c>
      <c r="E100" s="56"/>
      <c r="F100" s="55"/>
      <c r="G100" s="51" t="str">
        <f t="array" ref="G100">IFERROR(IF(XLOOKUP(CONCAT(B100,C100),'MASTER PLAN'!$AB:$AB,'MASTER PLAN'!$O:$O,0,0)=0,"",XLOOKUP(CONCAT(B100,C100),'MASTER PLAN'!$AB:$AB,'MASTER PLAN'!$O:$O,0,0)),"")</f>
        <v/>
      </c>
      <c r="H100" s="51" t="str">
        <f t="shared" si="1"/>
        <v/>
      </c>
      <c r="I100" s="52" t="str">
        <f t="array" ref="I100">IFERROR(IF(XLOOKUP(CONCAT(B100,C100),'MASTER PLAN'!$AB:$AB,'MASTER PLAN'!$S:$S,0,0)=0,"",XLOOKUP(CONCAT(B100,C100),'MASTER PLAN'!$AB:$AB,'MASTER PLAN'!$S:$S,0,0)),"")</f>
        <v/>
      </c>
      <c r="J100" s="49" t="str">
        <f t="shared" si="2"/>
        <v/>
      </c>
      <c r="K100" s="56" t="b">
        <v>0</v>
      </c>
      <c r="L100" s="56" t="b">
        <v>0</v>
      </c>
      <c r="M100" s="56" t="b">
        <v>0</v>
      </c>
      <c r="N100" s="56" t="b">
        <v>0</v>
      </c>
      <c r="O100" s="56" t="b">
        <v>0</v>
      </c>
      <c r="P100" s="56" t="b">
        <v>0</v>
      </c>
      <c r="Q100" s="56" t="b">
        <v>0</v>
      </c>
      <c r="R100" s="56"/>
      <c r="S100" s="56"/>
    </row>
    <row r="101" ht="15.75" customHeight="1">
      <c r="B101" s="47"/>
      <c r="C101" s="48"/>
      <c r="D101" s="49" t="str">
        <f t="array" ref="D101">IFERROR(IF(XLOOKUP(CONCAT(B101,C101),'MASTER PLAN'!$AB:$AB,'MASTER PLAN'!$J:$J,0,0)=0,"",XLOOKUP(CONCAT(B101,C101),'MASTER PLAN'!$AB:$AB,'MASTER PLAN'!$J:$J,0,0)),"")</f>
        <v/>
      </c>
      <c r="E101" s="50"/>
      <c r="F101" s="48"/>
      <c r="G101" s="51" t="str">
        <f t="array" ref="G101">IFERROR(IF(XLOOKUP(CONCAT(B101,C101),'MASTER PLAN'!$AB:$AB,'MASTER PLAN'!$O:$O,0,0)=0,"",XLOOKUP(CONCAT(B101,C101),'MASTER PLAN'!$AB:$AB,'MASTER PLAN'!$O:$O,0,0)),"")</f>
        <v/>
      </c>
      <c r="H101" s="51" t="str">
        <f t="shared" si="1"/>
        <v/>
      </c>
      <c r="I101" s="52" t="str">
        <f t="array" ref="I101">IFERROR(IF(XLOOKUP(CONCAT(B101,C101),'MASTER PLAN'!$AB:$AB,'MASTER PLAN'!$S:$S,0,0)=0,"",XLOOKUP(CONCAT(B101,C101),'MASTER PLAN'!$AB:$AB,'MASTER PLAN'!$S:$S,0,0)),"")</f>
        <v/>
      </c>
      <c r="J101" s="49" t="str">
        <f t="shared" si="2"/>
        <v/>
      </c>
      <c r="K101" s="50" t="b">
        <v>0</v>
      </c>
      <c r="L101" s="50" t="b">
        <v>0</v>
      </c>
      <c r="M101" s="50" t="b">
        <v>0</v>
      </c>
      <c r="N101" s="50" t="b">
        <v>0</v>
      </c>
      <c r="O101" s="50" t="b">
        <v>0</v>
      </c>
      <c r="P101" s="50" t="b">
        <v>0</v>
      </c>
      <c r="Q101" s="50" t="b">
        <v>0</v>
      </c>
      <c r="R101" s="50"/>
      <c r="S101" s="50"/>
    </row>
    <row r="102" ht="15.75" customHeight="1">
      <c r="B102" s="54"/>
      <c r="C102" s="55"/>
      <c r="D102" s="49" t="str">
        <f t="array" ref="D102">IFERROR(IF(XLOOKUP(CONCAT(B102,C102),'MASTER PLAN'!$AB:$AB,'MASTER PLAN'!$J:$J,0,0)=0,"",XLOOKUP(CONCAT(B102,C102),'MASTER PLAN'!$AB:$AB,'MASTER PLAN'!$J:$J,0,0)),"")</f>
        <v/>
      </c>
      <c r="E102" s="56"/>
      <c r="F102" s="55"/>
      <c r="G102" s="51" t="str">
        <f t="array" ref="G102">IFERROR(IF(XLOOKUP(CONCAT(B102,C102),'MASTER PLAN'!$AB:$AB,'MASTER PLAN'!$O:$O,0,0)=0,"",XLOOKUP(CONCAT(B102,C102),'MASTER PLAN'!$AB:$AB,'MASTER PLAN'!$O:$O,0,0)),"")</f>
        <v/>
      </c>
      <c r="H102" s="51" t="str">
        <f t="shared" si="1"/>
        <v/>
      </c>
      <c r="I102" s="52" t="str">
        <f t="array" ref="I102">IFERROR(IF(XLOOKUP(CONCAT(B102,C102),'MASTER PLAN'!$AB:$AB,'MASTER PLAN'!$S:$S,0,0)=0,"",XLOOKUP(CONCAT(B102,C102),'MASTER PLAN'!$AB:$AB,'MASTER PLAN'!$S:$S,0,0)),"")</f>
        <v/>
      </c>
      <c r="J102" s="49" t="str">
        <f t="shared" si="2"/>
        <v/>
      </c>
      <c r="K102" s="56" t="b">
        <v>0</v>
      </c>
      <c r="L102" s="56" t="b">
        <v>0</v>
      </c>
      <c r="M102" s="56" t="b">
        <v>0</v>
      </c>
      <c r="N102" s="56" t="b">
        <v>0</v>
      </c>
      <c r="O102" s="56" t="b">
        <v>0</v>
      </c>
      <c r="P102" s="56" t="b">
        <v>0</v>
      </c>
      <c r="Q102" s="56" t="b">
        <v>0</v>
      </c>
      <c r="R102" s="56"/>
      <c r="S102" s="56"/>
    </row>
    <row r="103" ht="15.75" customHeight="1">
      <c r="B103" s="47"/>
      <c r="C103" s="48"/>
      <c r="D103" s="49" t="str">
        <f t="array" ref="D103">IFERROR(IF(XLOOKUP(CONCAT(B103,C103),'MASTER PLAN'!$AB:$AB,'MASTER PLAN'!$J:$J,0,0)=0,"",XLOOKUP(CONCAT(B103,C103),'MASTER PLAN'!$AB:$AB,'MASTER PLAN'!$J:$J,0,0)),"")</f>
        <v/>
      </c>
      <c r="E103" s="50"/>
      <c r="F103" s="48"/>
      <c r="G103" s="51" t="str">
        <f t="array" ref="G103">IFERROR(IF(XLOOKUP(CONCAT(B103,C103),'MASTER PLAN'!$AB:$AB,'MASTER PLAN'!$O:$O,0,0)=0,"",XLOOKUP(CONCAT(B103,C103),'MASTER PLAN'!$AB:$AB,'MASTER PLAN'!$O:$O,0,0)),"")</f>
        <v/>
      </c>
      <c r="H103" s="51" t="str">
        <f t="shared" si="1"/>
        <v/>
      </c>
      <c r="I103" s="52" t="str">
        <f t="array" ref="I103">IFERROR(IF(XLOOKUP(CONCAT(B103,C103),'MASTER PLAN'!$AB:$AB,'MASTER PLAN'!$S:$S,0,0)=0,"",XLOOKUP(CONCAT(B103,C103),'MASTER PLAN'!$AB:$AB,'MASTER PLAN'!$S:$S,0,0)),"")</f>
        <v/>
      </c>
      <c r="J103" s="49" t="str">
        <f t="shared" si="2"/>
        <v/>
      </c>
      <c r="K103" s="50" t="b">
        <v>0</v>
      </c>
      <c r="L103" s="50" t="b">
        <v>0</v>
      </c>
      <c r="M103" s="50" t="b">
        <v>0</v>
      </c>
      <c r="N103" s="50" t="b">
        <v>0</v>
      </c>
      <c r="O103" s="50" t="b">
        <v>0</v>
      </c>
      <c r="P103" s="50" t="b">
        <v>0</v>
      </c>
      <c r="Q103" s="50" t="b">
        <v>0</v>
      </c>
      <c r="R103" s="50"/>
      <c r="S103" s="50"/>
    </row>
    <row r="104" ht="15.75" customHeight="1">
      <c r="B104" s="54"/>
      <c r="C104" s="55"/>
      <c r="D104" s="49" t="str">
        <f t="array" ref="D104">IFERROR(IF(XLOOKUP(CONCAT(B104,C104),'MASTER PLAN'!$AB:$AB,'MASTER PLAN'!$J:$J,0,0)=0,"",XLOOKUP(CONCAT(B104,C104),'MASTER PLAN'!$AB:$AB,'MASTER PLAN'!$J:$J,0,0)),"")</f>
        <v/>
      </c>
      <c r="E104" s="56"/>
      <c r="F104" s="55"/>
      <c r="G104" s="51" t="str">
        <f t="array" ref="G104">IFERROR(IF(XLOOKUP(CONCAT(B104,C104),'MASTER PLAN'!$AB:$AB,'MASTER PLAN'!$O:$O,0,0)=0,"",XLOOKUP(CONCAT(B104,C104),'MASTER PLAN'!$AB:$AB,'MASTER PLAN'!$O:$O,0,0)),"")</f>
        <v/>
      </c>
      <c r="H104" s="51" t="str">
        <f t="shared" si="1"/>
        <v/>
      </c>
      <c r="I104" s="52" t="str">
        <f t="array" ref="I104">IFERROR(IF(XLOOKUP(CONCAT(B104,C104),'MASTER PLAN'!$AB:$AB,'MASTER PLAN'!$S:$S,0,0)=0,"",XLOOKUP(CONCAT(B104,C104),'MASTER PLAN'!$AB:$AB,'MASTER PLAN'!$S:$S,0,0)),"")</f>
        <v/>
      </c>
      <c r="J104" s="49" t="str">
        <f t="shared" si="2"/>
        <v/>
      </c>
      <c r="K104" s="56" t="b">
        <v>0</v>
      </c>
      <c r="L104" s="56" t="b">
        <v>0</v>
      </c>
      <c r="M104" s="56" t="b">
        <v>0</v>
      </c>
      <c r="N104" s="56" t="b">
        <v>0</v>
      </c>
      <c r="O104" s="56" t="b">
        <v>0</v>
      </c>
      <c r="P104" s="56" t="b">
        <v>0</v>
      </c>
      <c r="Q104" s="56" t="b">
        <v>0</v>
      </c>
      <c r="R104" s="56"/>
      <c r="S104" s="56"/>
    </row>
    <row r="105" ht="15.75" customHeight="1">
      <c r="B105" s="47"/>
      <c r="C105" s="48"/>
      <c r="D105" s="49" t="str">
        <f t="array" ref="D105">IFERROR(IF(XLOOKUP(CONCAT(B105,C105),'MASTER PLAN'!$AB:$AB,'MASTER PLAN'!$J:$J,0,0)=0,"",XLOOKUP(CONCAT(B105,C105),'MASTER PLAN'!$AB:$AB,'MASTER PLAN'!$J:$J,0,0)),"")</f>
        <v/>
      </c>
      <c r="E105" s="50"/>
      <c r="F105" s="48"/>
      <c r="G105" s="51" t="str">
        <f t="array" ref="G105">IFERROR(IF(XLOOKUP(CONCAT(B105,C105),'MASTER PLAN'!$AB:$AB,'MASTER PLAN'!$O:$O,0,0)=0,"",XLOOKUP(CONCAT(B105,C105),'MASTER PLAN'!$AB:$AB,'MASTER PLAN'!$O:$O,0,0)),"")</f>
        <v/>
      </c>
      <c r="H105" s="51" t="str">
        <f t="shared" si="1"/>
        <v/>
      </c>
      <c r="I105" s="52" t="str">
        <f t="array" ref="I105">IFERROR(IF(XLOOKUP(CONCAT(B105,C105),'MASTER PLAN'!$AB:$AB,'MASTER PLAN'!$S:$S,0,0)=0,"",XLOOKUP(CONCAT(B105,C105),'MASTER PLAN'!$AB:$AB,'MASTER PLAN'!$S:$S,0,0)),"")</f>
        <v/>
      </c>
      <c r="J105" s="49" t="str">
        <f t="shared" si="2"/>
        <v/>
      </c>
      <c r="K105" s="50" t="b">
        <v>0</v>
      </c>
      <c r="L105" s="50" t="b">
        <v>0</v>
      </c>
      <c r="M105" s="50" t="b">
        <v>0</v>
      </c>
      <c r="N105" s="50" t="b">
        <v>0</v>
      </c>
      <c r="O105" s="50" t="b">
        <v>0</v>
      </c>
      <c r="P105" s="50" t="b">
        <v>0</v>
      </c>
      <c r="Q105" s="50" t="b">
        <v>0</v>
      </c>
      <c r="R105" s="50"/>
      <c r="S105" s="50"/>
    </row>
    <row r="106" ht="15.75" customHeight="1">
      <c r="B106" s="54"/>
      <c r="C106" s="55"/>
      <c r="D106" s="49" t="str">
        <f t="array" ref="D106">IFERROR(IF(XLOOKUP(CONCAT(B106,C106),'MASTER PLAN'!$AB:$AB,'MASTER PLAN'!$J:$J,0,0)=0,"",XLOOKUP(CONCAT(B106,C106),'MASTER PLAN'!$AB:$AB,'MASTER PLAN'!$J:$J,0,0)),"")</f>
        <v/>
      </c>
      <c r="E106" s="56"/>
      <c r="F106" s="55"/>
      <c r="G106" s="51" t="str">
        <f t="array" ref="G106">IFERROR(IF(XLOOKUP(CONCAT(B106,C106),'MASTER PLAN'!$AB:$AB,'MASTER PLAN'!$O:$O,0,0)=0,"",XLOOKUP(CONCAT(B106,C106),'MASTER PLAN'!$AB:$AB,'MASTER PLAN'!$O:$O,0,0)),"")</f>
        <v/>
      </c>
      <c r="H106" s="51" t="str">
        <f t="shared" si="1"/>
        <v/>
      </c>
      <c r="I106" s="52" t="str">
        <f t="array" ref="I106">IFERROR(IF(XLOOKUP(CONCAT(B106,C106),'MASTER PLAN'!$AB:$AB,'MASTER PLAN'!$S:$S,0,0)=0,"",XLOOKUP(CONCAT(B106,C106),'MASTER PLAN'!$AB:$AB,'MASTER PLAN'!$S:$S,0,0)),"")</f>
        <v/>
      </c>
      <c r="J106" s="49" t="str">
        <f t="shared" si="2"/>
        <v/>
      </c>
      <c r="K106" s="56" t="b">
        <v>0</v>
      </c>
      <c r="L106" s="56" t="b">
        <v>0</v>
      </c>
      <c r="M106" s="56" t="b">
        <v>0</v>
      </c>
      <c r="N106" s="56" t="b">
        <v>0</v>
      </c>
      <c r="O106" s="56" t="b">
        <v>0</v>
      </c>
      <c r="P106" s="56" t="b">
        <v>0</v>
      </c>
      <c r="Q106" s="56" t="b">
        <v>0</v>
      </c>
      <c r="R106" s="56"/>
      <c r="S106" s="56"/>
    </row>
    <row r="107" ht="15.75" customHeight="1">
      <c r="B107" s="47"/>
      <c r="C107" s="48"/>
      <c r="D107" s="49" t="str">
        <f t="array" ref="D107">IFERROR(IF(XLOOKUP(CONCAT(B107,C107),'MASTER PLAN'!$AB:$AB,'MASTER PLAN'!$J:$J,0,0)=0,"",XLOOKUP(CONCAT(B107,C107),'MASTER PLAN'!$AB:$AB,'MASTER PLAN'!$J:$J,0,0)),"")</f>
        <v/>
      </c>
      <c r="E107" s="50"/>
      <c r="F107" s="48"/>
      <c r="G107" s="51" t="str">
        <f t="array" ref="G107">IFERROR(IF(XLOOKUP(CONCAT(B107,C107),'MASTER PLAN'!$AB:$AB,'MASTER PLAN'!$O:$O,0,0)=0,"",XLOOKUP(CONCAT(B107,C107),'MASTER PLAN'!$AB:$AB,'MASTER PLAN'!$O:$O,0,0)),"")</f>
        <v/>
      </c>
      <c r="H107" s="51" t="str">
        <f t="shared" si="1"/>
        <v/>
      </c>
      <c r="I107" s="52" t="str">
        <f t="array" ref="I107">IFERROR(IF(XLOOKUP(CONCAT(B107,C107),'MASTER PLAN'!$AB:$AB,'MASTER PLAN'!$S:$S,0,0)=0,"",XLOOKUP(CONCAT(B107,C107),'MASTER PLAN'!$AB:$AB,'MASTER PLAN'!$S:$S,0,0)),"")</f>
        <v/>
      </c>
      <c r="J107" s="49" t="str">
        <f t="shared" si="2"/>
        <v/>
      </c>
      <c r="K107" s="50" t="b">
        <v>0</v>
      </c>
      <c r="L107" s="50" t="b">
        <v>0</v>
      </c>
      <c r="M107" s="50" t="b">
        <v>0</v>
      </c>
      <c r="N107" s="50" t="b">
        <v>0</v>
      </c>
      <c r="O107" s="50" t="b">
        <v>0</v>
      </c>
      <c r="P107" s="50" t="b">
        <v>0</v>
      </c>
      <c r="Q107" s="50" t="b">
        <v>0</v>
      </c>
      <c r="R107" s="50"/>
      <c r="S107" s="50"/>
    </row>
    <row r="108" ht="15.75" customHeight="1">
      <c r="B108" s="42"/>
      <c r="C108" s="42"/>
    </row>
    <row r="109" ht="15.75" customHeight="1">
      <c r="B109" s="42"/>
      <c r="C109" s="42"/>
    </row>
    <row r="110" ht="15.75" customHeight="1">
      <c r="B110" s="42"/>
      <c r="C110" s="42"/>
    </row>
    <row r="111" ht="15.75" customHeight="1">
      <c r="B111" s="42"/>
      <c r="C111" s="42"/>
    </row>
    <row r="112" ht="15.75" customHeight="1">
      <c r="B112" s="42"/>
      <c r="C112" s="42"/>
    </row>
    <row r="113" ht="15.75" customHeight="1">
      <c r="B113" s="42"/>
      <c r="C113" s="42"/>
    </row>
    <row r="114" ht="15.75" customHeight="1">
      <c r="B114" s="42"/>
      <c r="C114" s="42"/>
    </row>
    <row r="115" ht="15.75" customHeight="1">
      <c r="B115" s="42"/>
      <c r="C115" s="42"/>
    </row>
    <row r="116" ht="15.75" customHeight="1">
      <c r="B116" s="42"/>
      <c r="C116" s="42"/>
    </row>
    <row r="117" ht="15.75" customHeight="1">
      <c r="B117" s="42"/>
      <c r="C117" s="42"/>
    </row>
    <row r="118" ht="15.75" customHeight="1">
      <c r="B118" s="42"/>
      <c r="C118" s="42"/>
    </row>
    <row r="119" ht="15.75" customHeight="1">
      <c r="B119" s="42"/>
      <c r="C119" s="42"/>
    </row>
    <row r="120" ht="15.75" customHeight="1">
      <c r="B120" s="42"/>
      <c r="C120" s="42"/>
    </row>
    <row r="121" ht="15.75" customHeight="1">
      <c r="B121" s="42"/>
      <c r="C121" s="42"/>
    </row>
    <row r="122" ht="15.75" customHeight="1">
      <c r="B122" s="42"/>
      <c r="C122" s="42"/>
    </row>
    <row r="123" ht="15.75" customHeight="1">
      <c r="B123" s="42"/>
      <c r="C123" s="42"/>
    </row>
    <row r="124" ht="15.75" customHeight="1">
      <c r="B124" s="42"/>
      <c r="C124" s="42"/>
    </row>
    <row r="125" ht="15.75" customHeight="1">
      <c r="B125" s="42"/>
      <c r="C125" s="42"/>
    </row>
    <row r="126" ht="15.75" customHeight="1">
      <c r="B126" s="42"/>
      <c r="C126" s="42"/>
    </row>
    <row r="127" ht="15.75" customHeight="1">
      <c r="B127" s="42"/>
      <c r="C127" s="42"/>
    </row>
    <row r="128" ht="15.75" customHeight="1">
      <c r="B128" s="42"/>
      <c r="C128" s="42"/>
    </row>
    <row r="129" ht="15.75" customHeight="1">
      <c r="B129" s="42"/>
      <c r="C129" s="42"/>
    </row>
    <row r="130" ht="15.75" customHeight="1">
      <c r="B130" s="42"/>
      <c r="C130" s="42"/>
    </row>
    <row r="131" ht="15.75" customHeight="1">
      <c r="B131" s="42"/>
      <c r="C131" s="42"/>
    </row>
    <row r="132" ht="15.75" customHeight="1">
      <c r="B132" s="42"/>
      <c r="C132" s="42"/>
    </row>
    <row r="133" ht="15.75" customHeight="1">
      <c r="B133" s="42"/>
      <c r="C133" s="42"/>
    </row>
    <row r="134" ht="15.75" customHeight="1">
      <c r="B134" s="42"/>
      <c r="C134" s="42"/>
    </row>
    <row r="135" ht="15.75" customHeight="1">
      <c r="B135" s="42"/>
      <c r="C135" s="42"/>
    </row>
    <row r="136" ht="15.75" customHeight="1">
      <c r="B136" s="42"/>
      <c r="C136" s="42"/>
    </row>
    <row r="137" ht="15.75" customHeight="1">
      <c r="B137" s="42"/>
      <c r="C137" s="42"/>
    </row>
    <row r="138" ht="15.75" customHeight="1">
      <c r="B138" s="42"/>
      <c r="C138" s="42"/>
    </row>
    <row r="139" ht="15.75" customHeight="1">
      <c r="B139" s="42"/>
      <c r="C139" s="42"/>
    </row>
    <row r="140" ht="15.75" customHeight="1">
      <c r="B140" s="42"/>
      <c r="C140" s="42"/>
    </row>
    <row r="141" ht="15.75" customHeight="1">
      <c r="B141" s="42"/>
      <c r="C141" s="42"/>
    </row>
    <row r="142" ht="15.75" customHeight="1">
      <c r="B142" s="42"/>
      <c r="C142" s="42"/>
    </row>
    <row r="143" ht="15.75" customHeight="1">
      <c r="B143" s="42"/>
      <c r="C143" s="42"/>
    </row>
    <row r="144" ht="15.75" customHeight="1">
      <c r="B144" s="42"/>
      <c r="C144" s="42"/>
    </row>
    <row r="145" ht="15.75" customHeight="1">
      <c r="B145" s="42"/>
      <c r="C145" s="42"/>
    </row>
    <row r="146" ht="15.75" customHeight="1">
      <c r="B146" s="42"/>
      <c r="C146" s="42"/>
    </row>
    <row r="147" ht="15.75" customHeight="1">
      <c r="B147" s="42"/>
      <c r="C147" s="42"/>
    </row>
    <row r="148" ht="15.75" customHeight="1">
      <c r="B148" s="42"/>
      <c r="C148" s="42"/>
    </row>
    <row r="149" ht="15.75" customHeight="1">
      <c r="B149" s="42"/>
      <c r="C149" s="42"/>
    </row>
    <row r="150" ht="15.75" customHeight="1">
      <c r="B150" s="42"/>
      <c r="C150" s="42"/>
    </row>
    <row r="151" ht="15.75" customHeight="1">
      <c r="B151" s="42"/>
      <c r="C151" s="42"/>
    </row>
    <row r="152" ht="15.75" customHeight="1">
      <c r="B152" s="42"/>
      <c r="C152" s="42"/>
    </row>
    <row r="153" ht="15.75" customHeight="1">
      <c r="B153" s="42"/>
      <c r="C153" s="42"/>
    </row>
    <row r="154" ht="15.75" customHeight="1">
      <c r="B154" s="42"/>
      <c r="C154" s="42"/>
    </row>
    <row r="155" ht="15.75" customHeight="1">
      <c r="B155" s="42"/>
      <c r="C155" s="42"/>
    </row>
    <row r="156" ht="15.75" customHeight="1">
      <c r="B156" s="42"/>
      <c r="C156" s="42"/>
    </row>
    <row r="157" ht="15.75" customHeight="1">
      <c r="B157" s="42"/>
      <c r="C157" s="42"/>
    </row>
    <row r="158" ht="15.75" customHeight="1">
      <c r="B158" s="42"/>
      <c r="C158" s="42"/>
    </row>
    <row r="159" ht="15.75" customHeight="1">
      <c r="B159" s="42"/>
      <c r="C159" s="42"/>
    </row>
    <row r="160" ht="15.75" customHeight="1">
      <c r="B160" s="42"/>
      <c r="C160" s="42"/>
    </row>
    <row r="161" ht="15.75" customHeight="1">
      <c r="B161" s="42"/>
      <c r="C161" s="42"/>
    </row>
    <row r="162" ht="15.75" customHeight="1">
      <c r="B162" s="42"/>
      <c r="C162" s="42"/>
    </row>
    <row r="163" ht="15.75" customHeight="1">
      <c r="B163" s="42"/>
      <c r="C163" s="42"/>
    </row>
    <row r="164" ht="15.75" customHeight="1">
      <c r="B164" s="42"/>
      <c r="C164" s="42"/>
    </row>
    <row r="165" ht="15.75" customHeight="1">
      <c r="B165" s="42"/>
      <c r="C165" s="42"/>
    </row>
    <row r="166" ht="15.75" customHeight="1">
      <c r="B166" s="42"/>
      <c r="C166" s="42"/>
    </row>
    <row r="167" ht="15.75" customHeight="1">
      <c r="B167" s="42"/>
      <c r="C167" s="42"/>
    </row>
    <row r="168" ht="15.75" customHeight="1">
      <c r="B168" s="42"/>
      <c r="C168" s="42"/>
    </row>
    <row r="169" ht="15.75" customHeight="1">
      <c r="B169" s="42"/>
      <c r="C169" s="42"/>
    </row>
    <row r="170" ht="15.75" customHeight="1">
      <c r="B170" s="42"/>
      <c r="C170" s="42"/>
    </row>
    <row r="171" ht="15.75" customHeight="1">
      <c r="B171" s="42"/>
      <c r="C171" s="42"/>
    </row>
    <row r="172" ht="15.75" customHeight="1">
      <c r="B172" s="42"/>
      <c r="C172" s="42"/>
    </row>
    <row r="173" ht="15.75" customHeight="1">
      <c r="B173" s="42"/>
      <c r="C173" s="42"/>
    </row>
    <row r="174" ht="15.75" customHeight="1">
      <c r="B174" s="42"/>
      <c r="C174" s="42"/>
    </row>
    <row r="175" ht="15.75" customHeight="1">
      <c r="B175" s="42"/>
      <c r="C175" s="42"/>
    </row>
    <row r="176" ht="15.75" customHeight="1">
      <c r="B176" s="42"/>
      <c r="C176" s="42"/>
    </row>
    <row r="177" ht="15.75" customHeight="1">
      <c r="B177" s="42"/>
      <c r="C177" s="42"/>
    </row>
    <row r="178" ht="15.75" customHeight="1">
      <c r="B178" s="42"/>
      <c r="C178" s="42"/>
    </row>
    <row r="179" ht="15.75" customHeight="1">
      <c r="B179" s="42"/>
      <c r="C179" s="42"/>
    </row>
    <row r="180" ht="15.75" customHeight="1">
      <c r="B180" s="42"/>
      <c r="C180" s="42"/>
    </row>
    <row r="181" ht="15.75" customHeight="1">
      <c r="B181" s="42"/>
      <c r="C181" s="42"/>
    </row>
    <row r="182" ht="15.75" customHeight="1">
      <c r="B182" s="42"/>
      <c r="C182" s="42"/>
    </row>
    <row r="183" ht="15.75" customHeight="1">
      <c r="B183" s="42"/>
      <c r="C183" s="42"/>
    </row>
    <row r="184" ht="15.75" customHeight="1">
      <c r="B184" s="42"/>
      <c r="C184" s="42"/>
    </row>
    <row r="185" ht="15.75" customHeight="1">
      <c r="B185" s="42"/>
      <c r="C185" s="42"/>
    </row>
    <row r="186" ht="15.75" customHeight="1">
      <c r="B186" s="42"/>
      <c r="C186" s="42"/>
    </row>
    <row r="187" ht="15.75" customHeight="1">
      <c r="B187" s="42"/>
      <c r="C187" s="42"/>
    </row>
    <row r="188" ht="15.75" customHeight="1">
      <c r="B188" s="42"/>
      <c r="C188" s="42"/>
    </row>
    <row r="189" ht="15.75" customHeight="1">
      <c r="B189" s="42"/>
      <c r="C189" s="42"/>
    </row>
    <row r="190" ht="15.75" customHeight="1">
      <c r="B190" s="42"/>
      <c r="C190" s="42"/>
    </row>
    <row r="191" ht="15.75" customHeight="1">
      <c r="B191" s="42"/>
      <c r="C191" s="42"/>
    </row>
    <row r="192" ht="15.75" customHeight="1">
      <c r="B192" s="42"/>
      <c r="C192" s="42"/>
    </row>
    <row r="193" ht="15.75" customHeight="1">
      <c r="B193" s="42"/>
      <c r="C193" s="42"/>
    </row>
    <row r="194" ht="15.75" customHeight="1">
      <c r="B194" s="42"/>
      <c r="C194" s="42"/>
    </row>
    <row r="195" ht="15.75" customHeight="1">
      <c r="B195" s="42"/>
      <c r="C195" s="42"/>
    </row>
    <row r="196" ht="15.75" customHeight="1">
      <c r="B196" s="42"/>
      <c r="C196" s="42"/>
    </row>
    <row r="197" ht="15.75" customHeight="1">
      <c r="B197" s="42"/>
      <c r="C197" s="42"/>
    </row>
    <row r="198" ht="15.75" customHeight="1">
      <c r="B198" s="42"/>
      <c r="C198" s="42"/>
    </row>
    <row r="199" ht="15.75" customHeight="1">
      <c r="B199" s="42"/>
      <c r="C199" s="42"/>
    </row>
    <row r="200" ht="15.75" customHeight="1">
      <c r="B200" s="42"/>
      <c r="C200" s="42"/>
    </row>
    <row r="201" ht="15.75" customHeight="1">
      <c r="B201" s="42"/>
      <c r="C201" s="42"/>
    </row>
    <row r="202" ht="15.75" customHeight="1">
      <c r="B202" s="42"/>
      <c r="C202" s="42"/>
    </row>
    <row r="203" ht="15.75" customHeight="1">
      <c r="B203" s="42"/>
      <c r="C203" s="42"/>
    </row>
    <row r="204" ht="15.75" customHeight="1">
      <c r="B204" s="42"/>
      <c r="C204" s="42"/>
    </row>
    <row r="205" ht="15.75" customHeight="1">
      <c r="B205" s="42"/>
      <c r="C205" s="42"/>
    </row>
    <row r="206" ht="15.75" customHeight="1">
      <c r="B206" s="42"/>
      <c r="C206" s="42"/>
    </row>
    <row r="207" ht="15.75" customHeight="1">
      <c r="B207" s="42"/>
      <c r="C207" s="42"/>
    </row>
    <row r="208" ht="15.75" customHeight="1">
      <c r="B208" s="42"/>
      <c r="C208" s="42"/>
    </row>
    <row r="209" ht="15.75" customHeight="1">
      <c r="B209" s="42"/>
      <c r="C209" s="42"/>
    </row>
    <row r="210" ht="15.75" customHeight="1">
      <c r="B210" s="42"/>
      <c r="C210" s="42"/>
    </row>
    <row r="211" ht="15.75" customHeight="1">
      <c r="B211" s="42"/>
      <c r="C211" s="42"/>
    </row>
    <row r="212" ht="15.75" customHeight="1">
      <c r="B212" s="42"/>
      <c r="C212" s="42"/>
    </row>
    <row r="213" ht="15.75" customHeight="1">
      <c r="B213" s="42"/>
      <c r="C213" s="42"/>
    </row>
    <row r="214" ht="15.75" customHeight="1">
      <c r="B214" s="42"/>
      <c r="C214" s="42"/>
    </row>
    <row r="215" ht="15.75" customHeight="1">
      <c r="B215" s="42"/>
      <c r="C215" s="42"/>
    </row>
    <row r="216" ht="15.75" customHeight="1">
      <c r="B216" s="42"/>
      <c r="C216" s="42"/>
    </row>
    <row r="217" ht="15.75" customHeight="1">
      <c r="B217" s="42"/>
      <c r="C217" s="42"/>
    </row>
    <row r="218" ht="15.75" customHeight="1">
      <c r="B218" s="42"/>
      <c r="C218" s="42"/>
    </row>
    <row r="219" ht="15.75" customHeight="1">
      <c r="B219" s="42"/>
      <c r="C219" s="42"/>
    </row>
    <row r="220" ht="15.75" customHeight="1">
      <c r="B220" s="42"/>
      <c r="C220" s="42"/>
    </row>
    <row r="221" ht="15.75" customHeight="1">
      <c r="B221" s="42"/>
      <c r="C221" s="42"/>
    </row>
    <row r="222" ht="15.75" customHeight="1">
      <c r="B222" s="42"/>
      <c r="C222" s="42"/>
    </row>
    <row r="223" ht="15.75" customHeight="1">
      <c r="B223" s="42"/>
      <c r="C223" s="42"/>
    </row>
    <row r="224" ht="15.75" customHeight="1">
      <c r="B224" s="42"/>
      <c r="C224" s="42"/>
    </row>
    <row r="225" ht="15.75" customHeight="1">
      <c r="B225" s="42"/>
      <c r="C225" s="42"/>
    </row>
    <row r="226" ht="15.75" customHeight="1">
      <c r="B226" s="42"/>
      <c r="C226" s="42"/>
    </row>
    <row r="227" ht="15.75" customHeight="1">
      <c r="B227" s="42"/>
      <c r="C227" s="42"/>
    </row>
    <row r="228" ht="15.75" customHeight="1">
      <c r="B228" s="42"/>
      <c r="C228" s="42"/>
    </row>
    <row r="229" ht="15.75" customHeight="1">
      <c r="B229" s="42"/>
      <c r="C229" s="42"/>
    </row>
    <row r="230" ht="15.75" customHeight="1">
      <c r="B230" s="42"/>
      <c r="C230" s="42"/>
    </row>
    <row r="231" ht="15.75" customHeight="1">
      <c r="B231" s="42"/>
      <c r="C231" s="42"/>
    </row>
    <row r="232" ht="15.75" customHeight="1">
      <c r="B232" s="42"/>
      <c r="C232" s="42"/>
    </row>
    <row r="233" ht="15.75" customHeight="1">
      <c r="B233" s="42"/>
      <c r="C233" s="42"/>
    </row>
    <row r="234" ht="15.75" customHeight="1">
      <c r="B234" s="42"/>
      <c r="C234" s="42"/>
    </row>
    <row r="235" ht="15.75" customHeight="1">
      <c r="B235" s="42"/>
      <c r="C235" s="42"/>
    </row>
    <row r="236" ht="15.75" customHeight="1">
      <c r="B236" s="42"/>
      <c r="C236" s="42"/>
    </row>
    <row r="237" ht="15.75" customHeight="1">
      <c r="B237" s="42"/>
      <c r="C237" s="42"/>
    </row>
    <row r="238" ht="15.75" customHeight="1">
      <c r="B238" s="42"/>
      <c r="C238" s="42"/>
    </row>
    <row r="239" ht="15.75" customHeight="1">
      <c r="B239" s="42"/>
      <c r="C239" s="42"/>
    </row>
    <row r="240" ht="15.75" customHeight="1">
      <c r="B240" s="42"/>
      <c r="C240" s="42"/>
    </row>
    <row r="241" ht="15.75" customHeight="1">
      <c r="B241" s="42"/>
      <c r="C241" s="42"/>
    </row>
    <row r="242" ht="15.75" customHeight="1">
      <c r="B242" s="42"/>
      <c r="C242" s="42"/>
    </row>
    <row r="243" ht="15.75" customHeight="1">
      <c r="B243" s="42"/>
      <c r="C243" s="42"/>
    </row>
    <row r="244" ht="15.75" customHeight="1">
      <c r="B244" s="42"/>
      <c r="C244" s="42"/>
    </row>
    <row r="245" ht="15.75" customHeight="1">
      <c r="B245" s="42"/>
      <c r="C245" s="42"/>
    </row>
    <row r="246" ht="15.75" customHeight="1">
      <c r="B246" s="42"/>
      <c r="C246" s="42"/>
    </row>
    <row r="247" ht="15.75" customHeight="1">
      <c r="B247" s="42"/>
      <c r="C247" s="42"/>
    </row>
    <row r="248" ht="15.75" customHeight="1">
      <c r="B248" s="42"/>
      <c r="C248" s="42"/>
    </row>
    <row r="249" ht="15.75" customHeight="1">
      <c r="B249" s="42"/>
      <c r="C249" s="42"/>
    </row>
    <row r="250" ht="15.75" customHeight="1">
      <c r="B250" s="42"/>
      <c r="C250" s="42"/>
    </row>
    <row r="251" ht="15.75" customHeight="1">
      <c r="B251" s="42"/>
      <c r="C251" s="42"/>
    </row>
    <row r="252" ht="15.75" customHeight="1">
      <c r="B252" s="42"/>
      <c r="C252" s="42"/>
    </row>
    <row r="253" ht="15.75" customHeight="1">
      <c r="B253" s="42"/>
      <c r="C253" s="42"/>
    </row>
    <row r="254" ht="15.75" customHeight="1">
      <c r="B254" s="42"/>
      <c r="C254" s="42"/>
    </row>
    <row r="255" ht="15.75" customHeight="1">
      <c r="B255" s="42"/>
      <c r="C255" s="42"/>
    </row>
    <row r="256" ht="15.75" customHeight="1">
      <c r="B256" s="42"/>
      <c r="C256" s="42"/>
    </row>
    <row r="257" ht="15.75" customHeight="1">
      <c r="B257" s="42"/>
      <c r="C257" s="42"/>
    </row>
    <row r="258" ht="15.75" customHeight="1">
      <c r="B258" s="42"/>
      <c r="C258" s="42"/>
    </row>
    <row r="259" ht="15.75" customHeight="1">
      <c r="B259" s="42"/>
      <c r="C259" s="42"/>
    </row>
    <row r="260" ht="15.75" customHeight="1">
      <c r="B260" s="42"/>
      <c r="C260" s="42"/>
    </row>
    <row r="261" ht="15.75" customHeight="1">
      <c r="B261" s="42"/>
      <c r="C261" s="42"/>
    </row>
    <row r="262" ht="15.75" customHeight="1">
      <c r="B262" s="42"/>
      <c r="C262" s="42"/>
    </row>
    <row r="263" ht="15.75" customHeight="1">
      <c r="B263" s="42"/>
      <c r="C263" s="42"/>
    </row>
    <row r="264" ht="15.75" customHeight="1">
      <c r="B264" s="42"/>
      <c r="C264" s="42"/>
    </row>
    <row r="265" ht="15.75" customHeight="1">
      <c r="B265" s="42"/>
      <c r="C265" s="42"/>
    </row>
    <row r="266" ht="15.75" customHeight="1">
      <c r="B266" s="42"/>
      <c r="C266" s="42"/>
    </row>
    <row r="267" ht="15.75" customHeight="1">
      <c r="B267" s="42"/>
      <c r="C267" s="42"/>
    </row>
    <row r="268" ht="15.75" customHeight="1">
      <c r="B268" s="42"/>
      <c r="C268" s="42"/>
    </row>
    <row r="269" ht="15.75" customHeight="1">
      <c r="B269" s="42"/>
      <c r="C269" s="42"/>
    </row>
    <row r="270" ht="15.75" customHeight="1">
      <c r="B270" s="42"/>
      <c r="C270" s="42"/>
    </row>
    <row r="271" ht="15.75" customHeight="1">
      <c r="B271" s="42"/>
      <c r="C271" s="42"/>
    </row>
    <row r="272" ht="15.75" customHeight="1">
      <c r="B272" s="42"/>
      <c r="C272" s="42"/>
    </row>
    <row r="273" ht="15.75" customHeight="1">
      <c r="B273" s="42"/>
      <c r="C273" s="42"/>
    </row>
    <row r="274" ht="15.75" customHeight="1">
      <c r="B274" s="42"/>
      <c r="C274" s="42"/>
    </row>
    <row r="275" ht="15.75" customHeight="1">
      <c r="B275" s="42"/>
      <c r="C275" s="42"/>
    </row>
    <row r="276" ht="15.75" customHeight="1">
      <c r="B276" s="42"/>
      <c r="C276" s="42"/>
    </row>
    <row r="277" ht="15.75" customHeight="1">
      <c r="B277" s="42"/>
      <c r="C277" s="42"/>
    </row>
    <row r="278" ht="15.75" customHeight="1">
      <c r="B278" s="42"/>
      <c r="C278" s="42"/>
    </row>
    <row r="279" ht="15.75" customHeight="1">
      <c r="B279" s="42"/>
      <c r="C279" s="42"/>
    </row>
    <row r="280" ht="15.75" customHeight="1">
      <c r="B280" s="42"/>
      <c r="C280" s="42"/>
    </row>
    <row r="281" ht="15.75" customHeight="1">
      <c r="B281" s="42"/>
      <c r="C281" s="42"/>
    </row>
    <row r="282" ht="15.75" customHeight="1">
      <c r="B282" s="42"/>
      <c r="C282" s="42"/>
    </row>
    <row r="283" ht="15.75" customHeight="1">
      <c r="B283" s="42"/>
      <c r="C283" s="42"/>
    </row>
    <row r="284" ht="15.75" customHeight="1">
      <c r="B284" s="42"/>
      <c r="C284" s="42"/>
    </row>
    <row r="285" ht="15.75" customHeight="1">
      <c r="B285" s="42"/>
      <c r="C285" s="42"/>
    </row>
    <row r="286" ht="15.75" customHeight="1">
      <c r="B286" s="42"/>
      <c r="C286" s="42"/>
    </row>
    <row r="287" ht="15.75" customHeight="1">
      <c r="B287" s="42"/>
      <c r="C287" s="42"/>
    </row>
    <row r="288" ht="15.75" customHeight="1">
      <c r="B288" s="42"/>
      <c r="C288" s="42"/>
    </row>
    <row r="289" ht="15.75" customHeight="1">
      <c r="B289" s="42"/>
      <c r="C289" s="42"/>
    </row>
    <row r="290" ht="15.75" customHeight="1">
      <c r="B290" s="42"/>
      <c r="C290" s="42"/>
    </row>
    <row r="291" ht="15.75" customHeight="1">
      <c r="B291" s="42"/>
      <c r="C291" s="42"/>
    </row>
    <row r="292" ht="15.75" customHeight="1">
      <c r="B292" s="42"/>
      <c r="C292" s="42"/>
    </row>
    <row r="293" ht="15.75" customHeight="1">
      <c r="B293" s="42"/>
      <c r="C293" s="42"/>
    </row>
    <row r="294" ht="15.75" customHeight="1">
      <c r="B294" s="42"/>
      <c r="C294" s="42"/>
    </row>
    <row r="295" ht="15.75" customHeight="1">
      <c r="B295" s="42"/>
      <c r="C295" s="42"/>
    </row>
    <row r="296" ht="15.75" customHeight="1">
      <c r="B296" s="42"/>
      <c r="C296" s="42"/>
    </row>
    <row r="297" ht="15.75" customHeight="1">
      <c r="B297" s="42"/>
      <c r="C297" s="42"/>
    </row>
    <row r="298" ht="15.75" customHeight="1">
      <c r="B298" s="42"/>
      <c r="C298" s="42"/>
    </row>
    <row r="299" ht="15.75" customHeight="1">
      <c r="B299" s="42"/>
      <c r="C299" s="42"/>
    </row>
    <row r="300" ht="15.75" customHeight="1">
      <c r="B300" s="42"/>
      <c r="C300" s="42"/>
    </row>
    <row r="301" ht="15.75" customHeight="1">
      <c r="B301" s="42"/>
      <c r="C301" s="42"/>
    </row>
    <row r="302" ht="15.75" customHeight="1">
      <c r="B302" s="42"/>
      <c r="C302" s="42"/>
    </row>
    <row r="303" ht="15.75" customHeight="1">
      <c r="B303" s="42"/>
      <c r="C303" s="42"/>
    </row>
    <row r="304" ht="15.75" customHeight="1">
      <c r="B304" s="42"/>
      <c r="C304" s="42"/>
    </row>
    <row r="305" ht="15.75" customHeight="1">
      <c r="B305" s="42"/>
      <c r="C305" s="42"/>
    </row>
    <row r="306" ht="15.75" customHeight="1">
      <c r="B306" s="42"/>
      <c r="C306" s="42"/>
    </row>
    <row r="307" ht="15.75" customHeight="1">
      <c r="B307" s="42"/>
      <c r="C307" s="42"/>
    </row>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2:$Q$107"/>
  <dataValidations>
    <dataValidation type="list" allowBlank="1" showErrorMessage="1" sqref="E3:E107">
      <formula1>"COUCHE,PP,CMPC,LEDGER,KRAFT"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outlineLevelCol="1"/>
  <cols>
    <col customWidth="1" min="1" max="1" width="6.57"/>
    <col customWidth="1" min="2" max="2" width="21.86"/>
    <col customWidth="1" min="3" max="3" width="14.43"/>
    <col collapsed="1" customWidth="1" min="4" max="4" width="6.14"/>
    <col customWidth="1" hidden="1" min="5" max="5" width="12.43" outlineLevel="1"/>
    <col customWidth="1" hidden="1" min="6" max="6" width="7.86" outlineLevel="1"/>
    <col customWidth="1" hidden="1" min="7" max="7" width="41.43" outlineLevel="1"/>
    <col customWidth="1" hidden="1" min="8" max="8" width="14.43" outlineLevel="1"/>
    <col customWidth="1" hidden="1" min="9" max="9" width="12.43" outlineLevel="1"/>
    <col customWidth="1" hidden="1" min="10" max="10" width="7.86" outlineLevel="1"/>
    <col customWidth="1" hidden="1" min="11" max="11" width="41.43" outlineLevel="1"/>
    <col customWidth="1" hidden="1" min="12" max="12" width="14.43" outlineLevel="1"/>
    <col customWidth="1" hidden="1" min="13" max="13" width="12.43" outlineLevel="1"/>
    <col customWidth="1" hidden="1" min="14" max="14" width="7.86" outlineLevel="1"/>
    <col customWidth="1" hidden="1" min="15" max="15" width="41.43" outlineLevel="1"/>
    <col customWidth="1" hidden="1" min="16" max="16" width="14.43" outlineLevel="1"/>
    <col customWidth="1" hidden="1" min="17" max="17" width="12.43" outlineLevel="1"/>
    <col customWidth="1" hidden="1" min="18" max="18" width="7.86" outlineLevel="1"/>
    <col customWidth="1" hidden="1" min="19" max="19" width="41.43" outlineLevel="1"/>
    <col customWidth="1" hidden="1" min="20" max="20" width="14.43" outlineLevel="1"/>
    <col customWidth="1" min="21" max="21" width="6.14"/>
    <col customWidth="1" hidden="1" min="22" max="22" width="12.43" outlineLevel="1"/>
    <col customWidth="1" hidden="1" min="23" max="23" width="7.86" outlineLevel="1"/>
    <col customWidth="1" hidden="1" min="24" max="24" width="41.43" outlineLevel="1"/>
    <col customWidth="1" hidden="1" min="25" max="25" width="14.43" outlineLevel="1"/>
    <col customWidth="1" hidden="1" min="26" max="26" width="12.43" outlineLevel="1"/>
    <col customWidth="1" hidden="1" min="27" max="27" width="7.86" outlineLevel="1"/>
    <col customWidth="1" hidden="1" min="28" max="28" width="41.43" outlineLevel="1"/>
    <col customWidth="1" hidden="1" min="29" max="29" width="14.43" outlineLevel="1"/>
    <col customWidth="1" hidden="1" min="30" max="30" width="12.43" outlineLevel="1"/>
    <col customWidth="1" hidden="1" min="31" max="31" width="7.86" outlineLevel="1"/>
    <col customWidth="1" hidden="1" min="32" max="32" width="41.43" outlineLevel="1"/>
    <col customWidth="1" hidden="1" min="33" max="33" width="14.43" outlineLevel="1"/>
    <col customWidth="1" hidden="1" min="34" max="34" width="12.43" outlineLevel="1"/>
    <col customWidth="1" hidden="1" min="35" max="35" width="7.86" outlineLevel="1"/>
    <col customWidth="1" hidden="1" min="36" max="36" width="41.43" outlineLevel="1"/>
    <col customWidth="1" hidden="1" min="37" max="37" width="14.43" outlineLevel="1"/>
    <col customWidth="1" hidden="1" min="38" max="38" width="12.43" outlineLevel="1"/>
    <col customWidth="1" hidden="1" min="39" max="39" width="7.86" outlineLevel="1"/>
    <col customWidth="1" hidden="1" min="40" max="40" width="43.57" outlineLevel="1"/>
    <col customWidth="1" hidden="1" min="41" max="41" width="14.43" outlineLevel="1"/>
    <col customWidth="1" hidden="1" min="42" max="42" width="12.43" outlineLevel="1"/>
    <col customWidth="1" hidden="1" min="43" max="43" width="7.86" outlineLevel="1"/>
    <col customWidth="1" hidden="1" min="44" max="44" width="41.43" outlineLevel="1"/>
    <col customWidth="1" hidden="1" min="45" max="45" width="14.43" outlineLevel="1"/>
    <col customWidth="1" min="46" max="46" width="6.14"/>
    <col customWidth="1" min="47" max="47" width="12.43" outlineLevel="1"/>
    <col customWidth="1" min="48" max="48" width="7.86" outlineLevel="1"/>
    <col customWidth="1" min="49" max="49" width="41.43" outlineLevel="1"/>
    <col customWidth="1" min="50" max="50" width="14.43" outlineLevel="1"/>
    <col customWidth="1" min="51" max="51" width="12.43" outlineLevel="1"/>
    <col customWidth="1" min="52" max="52" width="7.86" outlineLevel="1"/>
    <col customWidth="1" min="53" max="53" width="44.86" outlineLevel="1"/>
    <col customWidth="1" min="54" max="54" width="14.43" outlineLevel="1"/>
    <col customWidth="1" min="55" max="55" width="12.43" outlineLevel="1"/>
    <col customWidth="1" min="56" max="56" width="7.86" outlineLevel="1"/>
    <col customWidth="1" min="57" max="57" width="41.43" outlineLevel="1"/>
    <col customWidth="1" min="58" max="58" width="14.43" outlineLevel="1"/>
    <col customWidth="1" min="59" max="59" width="12.43" outlineLevel="1"/>
    <col customWidth="1" min="60" max="60" width="7.86" outlineLevel="1"/>
    <col customWidth="1" min="61" max="61" width="47.43" outlineLevel="1"/>
    <col customWidth="1" min="62" max="62" width="14.43" outlineLevel="1"/>
    <col customWidth="1" min="63" max="63" width="12.43" outlineLevel="1"/>
    <col customWidth="1" min="64" max="64" width="7.86" outlineLevel="1"/>
    <col customWidth="1" min="65" max="65" width="41.43" outlineLevel="1"/>
    <col customWidth="1" min="66" max="66" width="14.43" outlineLevel="1"/>
    <col customWidth="1" min="67" max="67" width="12.43" outlineLevel="1"/>
    <col customWidth="1" min="68" max="68" width="7.86" outlineLevel="1"/>
    <col customWidth="1" min="69" max="69" width="41.43" outlineLevel="1"/>
    <col customWidth="1" min="70" max="70" width="14.43" outlineLevel="1"/>
    <col customWidth="1" min="71" max="71" width="6.14"/>
    <col customWidth="1" hidden="1" min="72" max="72" width="12.43" outlineLevel="1"/>
    <col customWidth="1" hidden="1" min="73" max="73" width="7.86" outlineLevel="1"/>
    <col customWidth="1" hidden="1" min="74" max="74" width="47.29" outlineLevel="1"/>
    <col customWidth="1" hidden="1" min="75" max="75" width="14.43" outlineLevel="1"/>
    <col customWidth="1" hidden="1" min="76" max="76" width="12.43" outlineLevel="1"/>
    <col customWidth="1" hidden="1" min="77" max="77" width="7.86" outlineLevel="1"/>
    <col customWidth="1" hidden="1" min="78" max="78" width="41.43" outlineLevel="1"/>
    <col customWidth="1" hidden="1" min="79" max="79" width="14.43" outlineLevel="1"/>
    <col customWidth="1" hidden="1" min="80" max="80" width="12.43" outlineLevel="1"/>
    <col customWidth="1" hidden="1" min="81" max="81" width="7.86" outlineLevel="1"/>
    <col customWidth="1" hidden="1" min="82" max="82" width="47.29" outlineLevel="1"/>
    <col customWidth="1" hidden="1" min="83" max="83" width="14.43" outlineLevel="1"/>
    <col customWidth="1" hidden="1" min="84" max="84" width="12.43" outlineLevel="1"/>
    <col customWidth="1" hidden="1" min="85" max="85" width="7.86" outlineLevel="1"/>
    <col customWidth="1" hidden="1" min="86" max="86" width="41.43" outlineLevel="1"/>
    <col customWidth="1" hidden="1" min="87" max="87" width="14.43" outlineLevel="1"/>
    <col customWidth="1" hidden="1" min="88" max="88" width="12.43" outlineLevel="1"/>
    <col customWidth="1" hidden="1" min="89" max="89" width="7.86" outlineLevel="1"/>
    <col customWidth="1" hidden="1" min="90" max="90" width="47.29" outlineLevel="1"/>
    <col customWidth="1" hidden="1" min="91" max="91" width="14.43" outlineLevel="1"/>
    <col customWidth="1" hidden="1" min="92" max="92" width="12.43" outlineLevel="1"/>
    <col customWidth="1" hidden="1" min="93" max="93" width="7.86" outlineLevel="1"/>
    <col customWidth="1" hidden="1" min="94" max="94" width="41.43" outlineLevel="1"/>
    <col customWidth="1" hidden="1" min="95" max="95" width="14.43" outlineLevel="1"/>
    <col customWidth="1" min="96" max="96" width="6.14"/>
    <col customWidth="1" hidden="1" min="97" max="97" width="12.43" outlineLevel="1"/>
    <col customWidth="1" hidden="1" min="98" max="98" width="7.86" outlineLevel="1"/>
    <col customWidth="1" hidden="1" min="99" max="99" width="47.29" outlineLevel="1"/>
    <col customWidth="1" hidden="1" min="100" max="100" width="14.43" outlineLevel="1"/>
    <col customWidth="1" hidden="1" min="101" max="101" width="12.43" outlineLevel="1"/>
    <col customWidth="1" hidden="1" min="102" max="102" width="7.86" outlineLevel="1"/>
    <col customWidth="1" hidden="1" min="103" max="103" width="41.43" outlineLevel="1"/>
    <col customWidth="1" hidden="1" min="104" max="104" width="14.43" outlineLevel="1"/>
    <col customWidth="1" hidden="1" min="105" max="105" width="12.43" outlineLevel="1"/>
    <col customWidth="1" hidden="1" min="106" max="106" width="7.86" outlineLevel="1"/>
    <col customWidth="1" hidden="1" min="107" max="107" width="45.43" outlineLevel="1"/>
    <col customWidth="1" hidden="1" min="108" max="108" width="14.43" outlineLevel="1"/>
    <col customWidth="1" hidden="1" min="109" max="109" width="12.43" outlineLevel="1"/>
    <col customWidth="1" hidden="1" min="110" max="110" width="7.86" outlineLevel="1"/>
    <col customWidth="1" hidden="1" min="111" max="111" width="45.43" outlineLevel="1"/>
    <col customWidth="1" hidden="1" min="112" max="112" width="14.43" outlineLevel="1"/>
    <col customWidth="1" hidden="1" min="113" max="113" width="12.43" outlineLevel="1"/>
    <col customWidth="1" hidden="1" min="114" max="114" width="7.86" outlineLevel="1"/>
    <col customWidth="1" hidden="1" min="115" max="115" width="41.43" outlineLevel="1"/>
    <col customWidth="1" hidden="1" min="116" max="116" width="14.43" outlineLevel="1"/>
    <col customWidth="1" hidden="1" min="117" max="117" width="12.43" outlineLevel="1"/>
    <col customWidth="1" hidden="1" min="118" max="118" width="7.86" outlineLevel="1"/>
    <col customWidth="1" hidden="1" min="119" max="119" width="41.43" outlineLevel="1"/>
    <col customWidth="1" hidden="1" min="120" max="120" width="14.43" outlineLevel="1"/>
    <col customWidth="1" min="121" max="121" width="6.14"/>
    <col customWidth="1" min="122" max="122" width="12.43" outlineLevel="1"/>
    <col customWidth="1" min="123" max="123" width="7.86" outlineLevel="1"/>
    <col customWidth="1" min="124" max="124" width="41.43" outlineLevel="1"/>
    <col customWidth="1" min="125" max="125" width="14.43" outlineLevel="1"/>
    <col customWidth="1" min="126" max="126" width="12.43" outlineLevel="1"/>
    <col customWidth="1" min="127" max="127" width="7.86" outlineLevel="1"/>
    <col customWidth="1" min="128" max="128" width="41.43" outlineLevel="1"/>
    <col customWidth="1" min="129" max="129" width="14.43" outlineLevel="1"/>
    <col customWidth="1" min="130" max="130" width="12.43" outlineLevel="1"/>
    <col customWidth="1" min="131" max="131" width="7.86" outlineLevel="1"/>
    <col customWidth="1" min="132" max="132" width="41.43" outlineLevel="1"/>
    <col customWidth="1" min="133" max="133" width="14.43" outlineLevel="1"/>
    <col customWidth="1" min="134" max="134" width="12.43" outlineLevel="1"/>
    <col customWidth="1" min="135" max="135" width="7.86" outlineLevel="1"/>
    <col customWidth="1" min="136" max="136" width="41.43" outlineLevel="1"/>
    <col customWidth="1" min="137" max="137" width="14.43" outlineLevel="1"/>
    <col customWidth="1" min="138" max="138" width="12.43" outlineLevel="1"/>
    <col customWidth="1" min="139" max="139" width="7.86" outlineLevel="1"/>
    <col customWidth="1" min="140" max="140" width="41.43" outlineLevel="1"/>
    <col customWidth="1" min="141" max="141" width="14.43" outlineLevel="1"/>
    <col customWidth="1" min="142" max="142" width="12.43" outlineLevel="1"/>
    <col customWidth="1" min="143" max="143" width="7.86" outlineLevel="1"/>
    <col customWidth="1" min="144" max="144" width="41.43" outlineLevel="1"/>
    <col customWidth="1" min="145" max="145" width="14.43" outlineLevel="1"/>
    <col customWidth="1" min="146" max="146" width="6.14"/>
    <col customWidth="1" hidden="1" min="147" max="147" width="12.43" outlineLevel="1"/>
    <col customWidth="1" hidden="1" min="148" max="148" width="7.86" outlineLevel="1"/>
    <col customWidth="1" hidden="1" min="149" max="149" width="41.43" outlineLevel="1"/>
    <col customWidth="1" hidden="1" min="150" max="150" width="14.43" outlineLevel="1"/>
    <col customWidth="1" hidden="1" min="151" max="151" width="12.43" outlineLevel="1"/>
    <col customWidth="1" hidden="1" min="152" max="152" width="7.86" outlineLevel="1"/>
    <col customWidth="1" hidden="1" min="153" max="153" width="41.43" outlineLevel="1"/>
    <col customWidth="1" hidden="1" min="154" max="154" width="14.43" outlineLevel="1"/>
    <col customWidth="1" hidden="1" min="155" max="155" width="12.43" outlineLevel="1"/>
    <col customWidth="1" hidden="1" min="156" max="156" width="7.86" outlineLevel="1"/>
    <col customWidth="1" hidden="1" min="157" max="157" width="41.43" outlineLevel="1"/>
    <col customWidth="1" hidden="1" min="158" max="158" width="14.43" outlineLevel="1"/>
    <col customWidth="1" hidden="1" min="159" max="159" width="12.43" outlineLevel="1"/>
    <col customWidth="1" hidden="1" min="160" max="160" width="7.86" outlineLevel="1"/>
    <col customWidth="1" hidden="1" min="161" max="161" width="41.43" outlineLevel="1"/>
    <col customWidth="1" hidden="1" min="162" max="162" width="14.43" outlineLevel="1"/>
    <col customWidth="1" hidden="1" min="163" max="163" width="12.43" outlineLevel="1"/>
    <col customWidth="1" hidden="1" min="164" max="164" width="7.86" outlineLevel="1"/>
    <col customWidth="1" hidden="1" min="165" max="165" width="41.43" outlineLevel="1"/>
    <col customWidth="1" hidden="1" min="166" max="166" width="14.43" outlineLevel="1"/>
    <col customWidth="1" hidden="1" min="167" max="167" width="12.43" outlineLevel="1"/>
    <col customWidth="1" hidden="1" min="168" max="168" width="7.86" outlineLevel="1"/>
    <col customWidth="1" hidden="1" min="169" max="169" width="41.43" outlineLevel="1"/>
    <col customWidth="1" hidden="1" min="170" max="170" width="14.43" outlineLevel="1"/>
    <col customWidth="1" min="171" max="171" width="6.14"/>
    <col customWidth="1" hidden="1" min="172" max="172" width="12.43" outlineLevel="1"/>
    <col customWidth="1" hidden="1" min="173" max="173" width="7.86" outlineLevel="1"/>
    <col customWidth="1" hidden="1" min="174" max="174" width="41.43" outlineLevel="1"/>
    <col customWidth="1" hidden="1" min="175" max="175" width="14.43" outlineLevel="1"/>
    <col customWidth="1" hidden="1" min="176" max="176" width="12.43" outlineLevel="1"/>
    <col customWidth="1" hidden="1" min="177" max="177" width="7.86" outlineLevel="1"/>
    <col customWidth="1" hidden="1" min="178" max="178" width="41.43" outlineLevel="1"/>
    <col customWidth="1" hidden="1" min="179" max="179" width="14.43" outlineLevel="1"/>
    <col customWidth="1" hidden="1" min="180" max="180" width="12.43" outlineLevel="1"/>
    <col customWidth="1" hidden="1" min="181" max="181" width="7.86" outlineLevel="1"/>
    <col customWidth="1" hidden="1" min="182" max="182" width="41.43" outlineLevel="1"/>
    <col customWidth="1" hidden="1" min="183" max="183" width="14.43" outlineLevel="1"/>
    <col customWidth="1" hidden="1" min="184" max="184" width="12.43" outlineLevel="1"/>
    <col customWidth="1" hidden="1" min="185" max="185" width="7.86" outlineLevel="1"/>
    <col customWidth="1" hidden="1" min="186" max="186" width="41.43" outlineLevel="1"/>
    <col customWidth="1" hidden="1" min="187" max="187" width="14.43" outlineLevel="1"/>
    <col customWidth="1" hidden="1" min="188" max="188" width="12.43" outlineLevel="1"/>
    <col customWidth="1" hidden="1" min="189" max="189" width="7.86" outlineLevel="1"/>
    <col customWidth="1" hidden="1" min="190" max="190" width="41.43" outlineLevel="1"/>
    <col customWidth="1" hidden="1" min="191" max="191" width="14.43" outlineLevel="1"/>
    <col customWidth="1" hidden="1" min="192" max="192" width="12.43" outlineLevel="1"/>
    <col customWidth="1" hidden="1" min="193" max="193" width="7.86" outlineLevel="1"/>
    <col customWidth="1" hidden="1" min="194" max="194" width="41.43" outlineLevel="1"/>
    <col customWidth="1" hidden="1" min="195" max="195" width="14.43" outlineLevel="1"/>
    <col customWidth="1" min="196" max="196" width="6.14"/>
    <col customWidth="1" hidden="1" min="197" max="197" width="12.43" outlineLevel="1"/>
    <col customWidth="1" hidden="1" min="198" max="198" width="7.86" outlineLevel="1"/>
    <col customWidth="1" hidden="1" min="199" max="199" width="41.43" outlineLevel="1"/>
    <col customWidth="1" hidden="1" min="200" max="200" width="14.43" outlineLevel="1"/>
    <col customWidth="1" hidden="1" min="201" max="201" width="12.43" outlineLevel="1"/>
    <col customWidth="1" hidden="1" min="202" max="202" width="7.86" outlineLevel="1"/>
    <col customWidth="1" hidden="1" min="203" max="203" width="41.43" outlineLevel="1"/>
    <col customWidth="1" hidden="1" min="204" max="204" width="14.43" outlineLevel="1"/>
    <col customWidth="1" hidden="1" min="205" max="205" width="12.43" outlineLevel="1"/>
    <col customWidth="1" hidden="1" min="206" max="206" width="7.86" outlineLevel="1"/>
    <col customWidth="1" hidden="1" min="207" max="207" width="41.43" outlineLevel="1"/>
    <col customWidth="1" hidden="1" min="208" max="208" width="14.43" outlineLevel="1"/>
    <col customWidth="1" hidden="1" min="209" max="209" width="12.43" outlineLevel="1"/>
    <col customWidth="1" hidden="1" min="210" max="210" width="7.86" outlineLevel="1"/>
    <col customWidth="1" hidden="1" min="211" max="211" width="41.43" outlineLevel="1"/>
    <col customWidth="1" hidden="1" min="212" max="212" width="14.43" outlineLevel="1"/>
    <col customWidth="1" hidden="1" min="213" max="213" width="12.43" outlineLevel="1"/>
    <col customWidth="1" hidden="1" min="214" max="214" width="7.86" outlineLevel="1"/>
    <col customWidth="1" hidden="1" min="215" max="215" width="41.43" outlineLevel="1"/>
    <col customWidth="1" hidden="1" min="216" max="216" width="14.43" outlineLevel="1"/>
    <col customWidth="1" hidden="1" min="217" max="217" width="12.43" outlineLevel="1"/>
    <col customWidth="1" hidden="1" min="218" max="218" width="7.86" outlineLevel="1"/>
    <col customWidth="1" hidden="1" min="219" max="219" width="41.43" outlineLevel="1"/>
    <col customWidth="1" hidden="1" min="220" max="220" width="14.43" outlineLevel="1"/>
    <col customWidth="1" min="221" max="221" width="6.14"/>
    <col customWidth="1" hidden="1" min="222" max="222" width="12.43" outlineLevel="1"/>
    <col customWidth="1" hidden="1" min="223" max="223" width="7.86" outlineLevel="1"/>
    <col customWidth="1" hidden="1" min="224" max="224" width="41.43" outlineLevel="1"/>
    <col customWidth="1" hidden="1" min="225" max="225" width="14.43" outlineLevel="1"/>
    <col customWidth="1" hidden="1" min="226" max="226" width="12.43" outlineLevel="1"/>
    <col customWidth="1" hidden="1" min="227" max="227" width="7.86" outlineLevel="1"/>
    <col customWidth="1" hidden="1" min="228" max="228" width="41.43" outlineLevel="1"/>
    <col customWidth="1" hidden="1" min="229" max="229" width="14.43" outlineLevel="1"/>
    <col customWidth="1" hidden="1" min="230" max="230" width="12.43" outlineLevel="1"/>
    <col customWidth="1" hidden="1" min="231" max="231" width="7.86" outlineLevel="1"/>
    <col customWidth="1" hidden="1" min="232" max="232" width="41.43" outlineLevel="1"/>
    <col customWidth="1" hidden="1" min="233" max="233" width="14.43" outlineLevel="1"/>
    <col customWidth="1" hidden="1" min="234" max="234" width="12.43" outlineLevel="1"/>
    <col customWidth="1" hidden="1" min="235" max="235" width="7.86" outlineLevel="1"/>
    <col customWidth="1" hidden="1" min="236" max="236" width="41.43" outlineLevel="1"/>
    <col customWidth="1" hidden="1" min="237" max="237" width="14.43" outlineLevel="1"/>
    <col customWidth="1" hidden="1" min="238" max="238" width="12.43" outlineLevel="1"/>
    <col customWidth="1" hidden="1" min="239" max="239" width="7.86" outlineLevel="1"/>
    <col customWidth="1" hidden="1" min="240" max="240" width="41.43" outlineLevel="1"/>
    <col customWidth="1" hidden="1" min="241" max="241" width="14.43" outlineLevel="1"/>
    <col customWidth="1" hidden="1" min="242" max="242" width="12.43" outlineLevel="1"/>
    <col customWidth="1" hidden="1" min="243" max="243" width="7.86" outlineLevel="1"/>
    <col customWidth="1" hidden="1" min="244" max="244" width="41.43" outlineLevel="1"/>
    <col customWidth="1" hidden="1" min="245" max="245" width="14.43" outlineLevel="1"/>
    <col customWidth="1" min="246" max="246" width="6.14"/>
    <col customWidth="1" hidden="1" min="247" max="247" width="12.43" outlineLevel="1"/>
    <col customWidth="1" hidden="1" min="248" max="248" width="7.86" outlineLevel="1"/>
    <col customWidth="1" hidden="1" min="249" max="249" width="41.43" outlineLevel="1"/>
    <col customWidth="1" hidden="1" min="250" max="250" width="14.43" outlineLevel="1"/>
    <col customWidth="1" hidden="1" min="251" max="251" width="12.43" outlineLevel="1"/>
    <col customWidth="1" hidden="1" min="252" max="252" width="7.86" outlineLevel="1"/>
    <col customWidth="1" hidden="1" min="253" max="253" width="41.43" outlineLevel="1"/>
    <col customWidth="1" hidden="1" min="254" max="254" width="14.43" outlineLevel="1"/>
    <col customWidth="1" hidden="1" min="255" max="255" width="12.43" outlineLevel="1"/>
    <col customWidth="1" hidden="1" min="256" max="256" width="7.86" outlineLevel="1"/>
    <col customWidth="1" hidden="1" min="257" max="257" width="41.43" outlineLevel="1"/>
    <col customWidth="1" hidden="1" min="258" max="258" width="14.43" outlineLevel="1"/>
    <col customWidth="1" hidden="1" min="259" max="259" width="12.43" outlineLevel="1"/>
    <col customWidth="1" hidden="1" min="260" max="260" width="7.86" outlineLevel="1"/>
    <col customWidth="1" hidden="1" min="261" max="261" width="41.43" outlineLevel="1"/>
    <col customWidth="1" hidden="1" min="262" max="262" width="14.43" outlineLevel="1"/>
    <col customWidth="1" hidden="1" min="263" max="263" width="12.43" outlineLevel="1"/>
    <col customWidth="1" hidden="1" min="264" max="264" width="7.86" outlineLevel="1"/>
    <col customWidth="1" hidden="1" min="265" max="265" width="41.43" outlineLevel="1"/>
    <col customWidth="1" hidden="1" min="266" max="266" width="14.43" outlineLevel="1"/>
    <col customWidth="1" hidden="1" min="267" max="267" width="12.43" outlineLevel="1"/>
    <col customWidth="1" hidden="1" min="268" max="268" width="7.86" outlineLevel="1"/>
    <col customWidth="1" hidden="1" min="269" max="269" width="41.43" outlineLevel="1"/>
    <col customWidth="1" hidden="1" min="270" max="270" width="14.43" outlineLevel="1"/>
    <col customWidth="1" min="271" max="271" width="6.14"/>
    <col customWidth="1" hidden="1" min="272" max="272" width="12.43" outlineLevel="1"/>
    <col customWidth="1" hidden="1" min="273" max="273" width="7.86" outlineLevel="1"/>
    <col customWidth="1" hidden="1" min="274" max="274" width="41.43" outlineLevel="1"/>
    <col customWidth="1" hidden="1" min="275" max="275" width="14.43" outlineLevel="1"/>
    <col customWidth="1" hidden="1" min="276" max="276" width="12.43" outlineLevel="1"/>
    <col customWidth="1" hidden="1" min="277" max="277" width="7.86" outlineLevel="1"/>
    <col customWidth="1" hidden="1" min="278" max="278" width="41.43" outlineLevel="1"/>
    <col customWidth="1" hidden="1" min="279" max="279" width="14.43" outlineLevel="1"/>
    <col customWidth="1" hidden="1" min="280" max="280" width="12.43" outlineLevel="1"/>
    <col customWidth="1" hidden="1" min="281" max="281" width="7.86" outlineLevel="1"/>
    <col customWidth="1" hidden="1" min="282" max="282" width="41.43" outlineLevel="1"/>
    <col customWidth="1" hidden="1" min="283" max="283" width="14.43" outlineLevel="1"/>
    <col customWidth="1" hidden="1" min="284" max="284" width="12.43" outlineLevel="1"/>
    <col customWidth="1" hidden="1" min="285" max="285" width="7.86" outlineLevel="1"/>
    <col customWidth="1" hidden="1" min="286" max="286" width="41.43" outlineLevel="1"/>
    <col customWidth="1" hidden="1" min="287" max="287" width="14.43" outlineLevel="1"/>
    <col customWidth="1" hidden="1" min="288" max="288" width="12.43" outlineLevel="1"/>
    <col customWidth="1" hidden="1" min="289" max="289" width="7.86" outlineLevel="1"/>
    <col customWidth="1" hidden="1" min="290" max="290" width="41.43" outlineLevel="1"/>
    <col customWidth="1" hidden="1" min="291" max="291" width="14.43" outlineLevel="1"/>
    <col customWidth="1" hidden="1" min="292" max="292" width="12.43" outlineLevel="1"/>
    <col customWidth="1" hidden="1" min="293" max="293" width="7.86" outlineLevel="1"/>
    <col customWidth="1" hidden="1" min="294" max="294" width="41.43" outlineLevel="1"/>
    <col customWidth="1" hidden="1" min="295" max="295" width="14.43" outlineLevel="1"/>
  </cols>
  <sheetData>
    <row r="1">
      <c r="A1" s="42"/>
      <c r="B1" s="42"/>
      <c r="C1" s="42"/>
      <c r="D1" s="58" t="s">
        <v>226</v>
      </c>
      <c r="E1" s="59"/>
      <c r="F1" s="59"/>
      <c r="G1" s="59"/>
      <c r="H1" s="59"/>
      <c r="I1" s="59"/>
      <c r="J1" s="59"/>
      <c r="K1" s="59"/>
      <c r="L1" s="59"/>
      <c r="M1" s="59"/>
      <c r="N1" s="59"/>
      <c r="O1" s="59"/>
      <c r="P1" s="59"/>
      <c r="Q1" s="59"/>
      <c r="R1" s="59"/>
      <c r="S1" s="59"/>
      <c r="T1" s="59"/>
      <c r="U1" s="58" t="s">
        <v>227</v>
      </c>
      <c r="V1" s="59"/>
      <c r="W1" s="59"/>
      <c r="X1" s="59"/>
      <c r="Y1" s="59"/>
      <c r="Z1" s="59"/>
      <c r="AA1" s="59"/>
      <c r="AB1" s="59"/>
      <c r="AC1" s="59"/>
      <c r="AD1" s="59"/>
      <c r="AE1" s="59"/>
      <c r="AF1" s="59"/>
      <c r="AG1" s="59"/>
      <c r="AH1" s="59"/>
      <c r="AI1" s="59"/>
      <c r="AJ1" s="59"/>
      <c r="AK1" s="59"/>
      <c r="AL1" s="59"/>
      <c r="AM1" s="59"/>
      <c r="AN1" s="59"/>
      <c r="AO1" s="59"/>
      <c r="AP1" s="59"/>
      <c r="AQ1" s="59"/>
      <c r="AR1" s="59"/>
      <c r="AS1" s="59"/>
      <c r="AT1" s="58" t="s">
        <v>228</v>
      </c>
      <c r="AU1" s="59"/>
      <c r="AV1" s="59"/>
      <c r="AW1" s="59"/>
      <c r="AX1" s="59"/>
      <c r="AY1" s="59"/>
      <c r="AZ1" s="59"/>
      <c r="BA1" s="59"/>
      <c r="BB1" s="59"/>
      <c r="BC1" s="59"/>
      <c r="BD1" s="59"/>
      <c r="BE1" s="59"/>
      <c r="BF1" s="59"/>
      <c r="BG1" s="59"/>
      <c r="BH1" s="59"/>
      <c r="BI1" s="59"/>
      <c r="BJ1" s="59"/>
      <c r="BK1" s="59"/>
      <c r="BL1" s="59"/>
      <c r="BM1" s="59"/>
      <c r="BN1" s="59"/>
      <c r="BO1" s="59"/>
      <c r="BP1" s="59"/>
      <c r="BQ1" s="59"/>
      <c r="BR1" s="59"/>
      <c r="BS1" s="58" t="s">
        <v>229</v>
      </c>
      <c r="BT1" s="59"/>
      <c r="BU1" s="59"/>
      <c r="BV1" s="59"/>
      <c r="BW1" s="59"/>
      <c r="BX1" s="59"/>
      <c r="BY1" s="59"/>
      <c r="BZ1" s="59"/>
      <c r="CA1" s="59"/>
      <c r="CB1" s="59"/>
      <c r="CC1" s="59"/>
      <c r="CD1" s="59"/>
      <c r="CE1" s="59"/>
      <c r="CF1" s="59"/>
      <c r="CG1" s="59"/>
      <c r="CH1" s="59"/>
      <c r="CI1" s="59"/>
      <c r="CJ1" s="59"/>
      <c r="CK1" s="59"/>
      <c r="CL1" s="59"/>
      <c r="CM1" s="59"/>
      <c r="CN1" s="59"/>
      <c r="CO1" s="59"/>
      <c r="CP1" s="59"/>
      <c r="CQ1" s="59"/>
      <c r="CR1" s="58" t="s">
        <v>230</v>
      </c>
      <c r="CS1" s="59"/>
      <c r="CT1" s="59"/>
      <c r="CU1" s="59"/>
      <c r="CV1" s="59"/>
      <c r="CW1" s="59"/>
      <c r="CX1" s="59"/>
      <c r="CY1" s="59"/>
      <c r="CZ1" s="59"/>
      <c r="DA1" s="59"/>
      <c r="DB1" s="59"/>
      <c r="DC1" s="59"/>
      <c r="DD1" s="59"/>
      <c r="DE1" s="59"/>
      <c r="DF1" s="59"/>
      <c r="DG1" s="59"/>
      <c r="DH1" s="59"/>
      <c r="DI1" s="59"/>
      <c r="DJ1" s="59"/>
      <c r="DK1" s="59"/>
      <c r="DL1" s="59"/>
      <c r="DM1" s="59"/>
      <c r="DN1" s="59"/>
      <c r="DO1" s="59"/>
      <c r="DP1" s="59"/>
      <c r="DQ1" s="58" t="s">
        <v>231</v>
      </c>
      <c r="DR1" s="59"/>
      <c r="DS1" s="59"/>
      <c r="DT1" s="59"/>
      <c r="DU1" s="59"/>
      <c r="DV1" s="59"/>
      <c r="DW1" s="59"/>
      <c r="DX1" s="59"/>
      <c r="DY1" s="59"/>
      <c r="DZ1" s="59"/>
      <c r="EA1" s="59"/>
      <c r="EB1" s="59"/>
      <c r="EC1" s="59"/>
      <c r="ED1" s="59"/>
      <c r="EE1" s="59"/>
      <c r="EF1" s="59"/>
      <c r="EG1" s="59"/>
      <c r="EH1" s="59"/>
      <c r="EI1" s="59"/>
      <c r="EJ1" s="59"/>
      <c r="EK1" s="59"/>
      <c r="EL1" s="59"/>
      <c r="EM1" s="59"/>
      <c r="EN1" s="59"/>
      <c r="EO1" s="59"/>
      <c r="EP1" s="58" t="s">
        <v>232</v>
      </c>
      <c r="EQ1" s="59"/>
      <c r="ER1" s="59"/>
      <c r="ES1" s="59"/>
      <c r="ET1" s="59"/>
      <c r="EU1" s="59"/>
      <c r="EV1" s="59"/>
      <c r="EW1" s="59"/>
      <c r="EX1" s="59"/>
      <c r="EY1" s="59"/>
      <c r="EZ1" s="59"/>
      <c r="FA1" s="59"/>
      <c r="FB1" s="59"/>
      <c r="FC1" s="59"/>
      <c r="FD1" s="59"/>
      <c r="FE1" s="59"/>
      <c r="FF1" s="59"/>
      <c r="FG1" s="59"/>
      <c r="FH1" s="59"/>
      <c r="FI1" s="59"/>
      <c r="FJ1" s="59"/>
      <c r="FK1" s="59"/>
      <c r="FL1" s="59"/>
      <c r="FM1" s="59"/>
      <c r="FN1" s="59"/>
      <c r="FO1" s="58" t="s">
        <v>233</v>
      </c>
      <c r="FP1" s="59"/>
      <c r="FQ1" s="59"/>
      <c r="FR1" s="59"/>
      <c r="FS1" s="59"/>
      <c r="FT1" s="59"/>
      <c r="FU1" s="59"/>
      <c r="FV1" s="59"/>
      <c r="FW1" s="59"/>
      <c r="FX1" s="59"/>
      <c r="FY1" s="59"/>
      <c r="FZ1" s="59"/>
      <c r="GA1" s="59"/>
      <c r="GB1" s="59"/>
      <c r="GC1" s="59"/>
      <c r="GD1" s="59"/>
      <c r="GE1" s="59"/>
      <c r="GF1" s="59"/>
      <c r="GG1" s="59"/>
      <c r="GH1" s="59"/>
      <c r="GI1" s="59"/>
      <c r="GJ1" s="59"/>
      <c r="GK1" s="59"/>
      <c r="GL1" s="59"/>
      <c r="GM1" s="59"/>
      <c r="GN1" s="58" t="s">
        <v>234</v>
      </c>
      <c r="GO1" s="59"/>
      <c r="GP1" s="59"/>
      <c r="GQ1" s="59"/>
      <c r="GR1" s="59"/>
      <c r="GS1" s="59"/>
      <c r="GT1" s="59"/>
      <c r="GU1" s="59"/>
      <c r="GV1" s="59"/>
      <c r="GW1" s="59"/>
      <c r="GX1" s="59"/>
      <c r="GY1" s="59"/>
      <c r="GZ1" s="59"/>
      <c r="HA1" s="59"/>
      <c r="HB1" s="59"/>
      <c r="HC1" s="59"/>
      <c r="HD1" s="59"/>
      <c r="HE1" s="59"/>
      <c r="HF1" s="59"/>
      <c r="HG1" s="59"/>
      <c r="HH1" s="59"/>
      <c r="HI1" s="59"/>
      <c r="HJ1" s="59"/>
      <c r="HK1" s="59"/>
      <c r="HL1" s="59"/>
      <c r="HM1" s="58" t="s">
        <v>235</v>
      </c>
      <c r="HN1" s="59"/>
      <c r="HO1" s="59"/>
      <c r="HP1" s="59"/>
      <c r="HQ1" s="59"/>
      <c r="HR1" s="59"/>
      <c r="HS1" s="59"/>
      <c r="HT1" s="59"/>
      <c r="HU1" s="59"/>
      <c r="HV1" s="59"/>
      <c r="HW1" s="59"/>
      <c r="HX1" s="59"/>
      <c r="HY1" s="59"/>
      <c r="HZ1" s="59"/>
      <c r="IA1" s="59"/>
      <c r="IB1" s="59"/>
      <c r="IC1" s="59"/>
      <c r="ID1" s="59"/>
      <c r="IE1" s="59"/>
      <c r="IF1" s="59"/>
      <c r="IG1" s="59"/>
      <c r="IH1" s="59"/>
      <c r="II1" s="59"/>
      <c r="IJ1" s="59"/>
      <c r="IK1" s="59"/>
      <c r="IL1" s="58" t="s">
        <v>236</v>
      </c>
      <c r="IM1" s="59"/>
      <c r="IN1" s="59"/>
      <c r="IO1" s="59"/>
      <c r="IP1" s="59"/>
      <c r="IQ1" s="59"/>
      <c r="IR1" s="59"/>
      <c r="IS1" s="59"/>
      <c r="IT1" s="59"/>
      <c r="IU1" s="59"/>
      <c r="IV1" s="59"/>
      <c r="IW1" s="59"/>
      <c r="IX1" s="59"/>
      <c r="IY1" s="59"/>
      <c r="IZ1" s="59"/>
      <c r="JA1" s="59"/>
      <c r="JB1" s="59"/>
      <c r="JC1" s="59"/>
      <c r="JD1" s="59"/>
      <c r="JE1" s="59"/>
      <c r="JF1" s="59"/>
      <c r="JG1" s="59"/>
      <c r="JH1" s="59"/>
      <c r="JI1" s="59"/>
      <c r="JJ1" s="59"/>
      <c r="JK1" s="58" t="s">
        <v>237</v>
      </c>
      <c r="JL1" s="59"/>
      <c r="JM1" s="59"/>
      <c r="JN1" s="59"/>
      <c r="JO1" s="59"/>
      <c r="JP1" s="59"/>
      <c r="JQ1" s="59"/>
      <c r="JR1" s="59"/>
      <c r="JS1" s="59"/>
      <c r="JT1" s="59"/>
      <c r="JU1" s="59"/>
      <c r="JV1" s="59"/>
      <c r="JW1" s="59"/>
      <c r="JX1" s="59"/>
      <c r="JY1" s="59"/>
      <c r="JZ1" s="59"/>
      <c r="KA1" s="59"/>
      <c r="KB1" s="59"/>
      <c r="KC1" s="59"/>
      <c r="KD1" s="59"/>
      <c r="KE1" s="59"/>
      <c r="KF1" s="59"/>
      <c r="KG1" s="59"/>
      <c r="KH1" s="59"/>
      <c r="KI1" s="59"/>
      <c r="KJ1" s="59"/>
      <c r="KK1" s="59"/>
      <c r="KL1" s="59"/>
      <c r="KM1" s="59"/>
      <c r="KN1" s="59"/>
      <c r="KO1" s="59"/>
      <c r="KP1" s="59"/>
      <c r="KQ1" s="59"/>
      <c r="KR1" s="59"/>
      <c r="KS1" s="59"/>
      <c r="KT1" s="59"/>
      <c r="KU1" s="59"/>
      <c r="KV1" s="59"/>
      <c r="KW1" s="59"/>
      <c r="KX1" s="59"/>
      <c r="KY1" s="59"/>
      <c r="KZ1" s="59"/>
      <c r="LA1" s="59"/>
      <c r="LB1" s="59"/>
      <c r="LC1" s="59"/>
    </row>
    <row r="2">
      <c r="A2" s="42"/>
      <c r="B2" s="42"/>
      <c r="C2" s="42"/>
      <c r="E2" s="60">
        <v>45973.0</v>
      </c>
      <c r="F2" s="61"/>
      <c r="G2" s="61"/>
      <c r="H2" s="62"/>
      <c r="I2" s="60">
        <f>E2+1</f>
        <v>45974</v>
      </c>
      <c r="J2" s="61"/>
      <c r="K2" s="61"/>
      <c r="L2" s="62"/>
      <c r="M2" s="60">
        <f>I2+1</f>
        <v>45975</v>
      </c>
      <c r="N2" s="61"/>
      <c r="O2" s="61"/>
      <c r="P2" s="62"/>
      <c r="Q2" s="60">
        <f>M2+1</f>
        <v>45976</v>
      </c>
      <c r="R2" s="61"/>
      <c r="S2" s="61"/>
      <c r="T2" s="62"/>
      <c r="V2" s="60">
        <v>45978.0</v>
      </c>
      <c r="W2" s="61"/>
      <c r="X2" s="61"/>
      <c r="Y2" s="62"/>
      <c r="Z2" s="60">
        <f>V2+1</f>
        <v>45979</v>
      </c>
      <c r="AA2" s="61"/>
      <c r="AB2" s="61"/>
      <c r="AC2" s="62"/>
      <c r="AD2" s="60">
        <f>Z2+1</f>
        <v>45980</v>
      </c>
      <c r="AE2" s="61"/>
      <c r="AF2" s="61"/>
      <c r="AG2" s="62"/>
      <c r="AH2" s="60">
        <f>AD2+1</f>
        <v>45981</v>
      </c>
      <c r="AI2" s="61"/>
      <c r="AJ2" s="61"/>
      <c r="AK2" s="62"/>
      <c r="AL2" s="60">
        <f>AH2+1</f>
        <v>45982</v>
      </c>
      <c r="AM2" s="61"/>
      <c r="AN2" s="61"/>
      <c r="AO2" s="62"/>
      <c r="AP2" s="60">
        <f>AL2+1</f>
        <v>45983</v>
      </c>
      <c r="AQ2" s="61"/>
      <c r="AR2" s="61"/>
      <c r="AS2" s="62"/>
      <c r="AU2" s="60">
        <v>45985.0</v>
      </c>
      <c r="AV2" s="61"/>
      <c r="AW2" s="61"/>
      <c r="AX2" s="62"/>
      <c r="AY2" s="60">
        <f>AU2+1</f>
        <v>45986</v>
      </c>
      <c r="AZ2" s="61"/>
      <c r="BA2" s="61"/>
      <c r="BB2" s="62"/>
      <c r="BC2" s="60">
        <f>AY2+1</f>
        <v>45987</v>
      </c>
      <c r="BD2" s="61"/>
      <c r="BE2" s="61"/>
      <c r="BF2" s="62"/>
      <c r="BG2" s="60">
        <f>BC2+1</f>
        <v>45988</v>
      </c>
      <c r="BH2" s="61"/>
      <c r="BI2" s="61"/>
      <c r="BJ2" s="62"/>
      <c r="BK2" s="60">
        <f>BG2+1</f>
        <v>45989</v>
      </c>
      <c r="BL2" s="61"/>
      <c r="BM2" s="61"/>
      <c r="BN2" s="62"/>
      <c r="BO2" s="60">
        <f>BK2+1</f>
        <v>45990</v>
      </c>
      <c r="BP2" s="61"/>
      <c r="BQ2" s="61"/>
      <c r="BR2" s="62"/>
      <c r="BT2" s="60">
        <v>45992.0</v>
      </c>
      <c r="BU2" s="61"/>
      <c r="BV2" s="61"/>
      <c r="BW2" s="62"/>
      <c r="BX2" s="60">
        <f>BT2+1</f>
        <v>45993</v>
      </c>
      <c r="BY2" s="61"/>
      <c r="BZ2" s="61"/>
      <c r="CA2" s="62"/>
      <c r="CB2" s="60">
        <f>BX2+1</f>
        <v>45994</v>
      </c>
      <c r="CC2" s="61"/>
      <c r="CD2" s="61"/>
      <c r="CE2" s="62"/>
      <c r="CF2" s="60">
        <f>CB2+1</f>
        <v>45995</v>
      </c>
      <c r="CG2" s="61"/>
      <c r="CH2" s="61"/>
      <c r="CI2" s="62"/>
      <c r="CJ2" s="60">
        <f>CF2+1</f>
        <v>45996</v>
      </c>
      <c r="CK2" s="61"/>
      <c r="CL2" s="61"/>
      <c r="CM2" s="62"/>
      <c r="CN2" s="60">
        <f>CJ2+1</f>
        <v>45997</v>
      </c>
      <c r="CO2" s="61"/>
      <c r="CP2" s="61"/>
      <c r="CQ2" s="62"/>
      <c r="CS2" s="60">
        <v>45999.0</v>
      </c>
      <c r="CT2" s="61"/>
      <c r="CU2" s="61"/>
      <c r="CV2" s="62"/>
      <c r="CW2" s="60">
        <f>CS2+1</f>
        <v>46000</v>
      </c>
      <c r="CX2" s="61"/>
      <c r="CY2" s="61"/>
      <c r="CZ2" s="62"/>
      <c r="DA2" s="60">
        <f>CW2+1</f>
        <v>46001</v>
      </c>
      <c r="DB2" s="61"/>
      <c r="DC2" s="61"/>
      <c r="DD2" s="62"/>
      <c r="DE2" s="60">
        <f>DA2+1</f>
        <v>46002</v>
      </c>
      <c r="DF2" s="61"/>
      <c r="DG2" s="61"/>
      <c r="DH2" s="62"/>
      <c r="DI2" s="60">
        <f>DE2+1</f>
        <v>46003</v>
      </c>
      <c r="DJ2" s="61"/>
      <c r="DK2" s="61"/>
      <c r="DL2" s="62"/>
      <c r="DM2" s="60">
        <f>DI2+1</f>
        <v>46004</v>
      </c>
      <c r="DN2" s="61"/>
      <c r="DO2" s="61"/>
      <c r="DP2" s="62"/>
      <c r="DR2" s="60">
        <v>46006.0</v>
      </c>
      <c r="DS2" s="61"/>
      <c r="DT2" s="61"/>
      <c r="DU2" s="62"/>
      <c r="DV2" s="60">
        <f>DR2+1</f>
        <v>46007</v>
      </c>
      <c r="DW2" s="61"/>
      <c r="DX2" s="61"/>
      <c r="DY2" s="62"/>
      <c r="DZ2" s="60">
        <f>DV2+1</f>
        <v>46008</v>
      </c>
      <c r="EA2" s="61"/>
      <c r="EB2" s="61"/>
      <c r="EC2" s="62"/>
      <c r="ED2" s="60">
        <f>DZ2+1</f>
        <v>46009</v>
      </c>
      <c r="EE2" s="61"/>
      <c r="EF2" s="61"/>
      <c r="EG2" s="62"/>
      <c r="EH2" s="60">
        <f>ED2+1</f>
        <v>46010</v>
      </c>
      <c r="EI2" s="61"/>
      <c r="EJ2" s="61"/>
      <c r="EK2" s="62"/>
      <c r="EL2" s="60">
        <f>EH2+1</f>
        <v>46011</v>
      </c>
      <c r="EM2" s="61"/>
      <c r="EN2" s="61"/>
      <c r="EO2" s="62"/>
      <c r="EQ2" s="60">
        <v>46013.0</v>
      </c>
      <c r="ER2" s="61"/>
      <c r="ES2" s="61"/>
      <c r="ET2" s="62"/>
      <c r="EU2" s="60">
        <f>EQ2+1</f>
        <v>46014</v>
      </c>
      <c r="EV2" s="61"/>
      <c r="EW2" s="61"/>
      <c r="EX2" s="62"/>
      <c r="EY2" s="60">
        <f>EU2+1</f>
        <v>46015</v>
      </c>
      <c r="EZ2" s="61"/>
      <c r="FA2" s="61"/>
      <c r="FB2" s="62"/>
      <c r="FC2" s="60">
        <f>EY2+1</f>
        <v>46016</v>
      </c>
      <c r="FD2" s="61"/>
      <c r="FE2" s="61"/>
      <c r="FF2" s="62"/>
      <c r="FG2" s="60">
        <f>FC2+1</f>
        <v>46017</v>
      </c>
      <c r="FH2" s="61"/>
      <c r="FI2" s="61"/>
      <c r="FJ2" s="62"/>
      <c r="FK2" s="60">
        <f>FG2+1</f>
        <v>46018</v>
      </c>
      <c r="FL2" s="61"/>
      <c r="FM2" s="61"/>
      <c r="FN2" s="62"/>
      <c r="FP2" s="60">
        <v>46020.0</v>
      </c>
      <c r="FQ2" s="61"/>
      <c r="FR2" s="61"/>
      <c r="FS2" s="62"/>
      <c r="FT2" s="60">
        <f>FP2+1</f>
        <v>46021</v>
      </c>
      <c r="FU2" s="61"/>
      <c r="FV2" s="61"/>
      <c r="FW2" s="62"/>
      <c r="FX2" s="60">
        <f>FT2+1</f>
        <v>46022</v>
      </c>
      <c r="FY2" s="61"/>
      <c r="FZ2" s="61"/>
      <c r="GA2" s="62"/>
      <c r="GB2" s="60">
        <f>FX2+1</f>
        <v>46023</v>
      </c>
      <c r="GC2" s="61"/>
      <c r="GD2" s="61"/>
      <c r="GE2" s="62"/>
      <c r="GF2" s="60">
        <f>GB2+1</f>
        <v>46024</v>
      </c>
      <c r="GG2" s="61"/>
      <c r="GH2" s="61"/>
      <c r="GI2" s="62"/>
      <c r="GJ2" s="60">
        <f>GF2+1</f>
        <v>46025</v>
      </c>
      <c r="GK2" s="61"/>
      <c r="GL2" s="61"/>
      <c r="GM2" s="62"/>
      <c r="GO2" s="60">
        <v>46027.0</v>
      </c>
      <c r="GP2" s="61"/>
      <c r="GQ2" s="61"/>
      <c r="GR2" s="62"/>
      <c r="GS2" s="60">
        <f>GO2+1</f>
        <v>46028</v>
      </c>
      <c r="GT2" s="61"/>
      <c r="GU2" s="61"/>
      <c r="GV2" s="62"/>
      <c r="GW2" s="60">
        <f>GS2+1</f>
        <v>46029</v>
      </c>
      <c r="GX2" s="61"/>
      <c r="GY2" s="61"/>
      <c r="GZ2" s="62"/>
      <c r="HA2" s="60">
        <f>GW2+1</f>
        <v>46030</v>
      </c>
      <c r="HB2" s="61"/>
      <c r="HC2" s="61"/>
      <c r="HD2" s="62"/>
      <c r="HE2" s="60">
        <f>HA2+1</f>
        <v>46031</v>
      </c>
      <c r="HF2" s="61"/>
      <c r="HG2" s="61"/>
      <c r="HH2" s="62"/>
      <c r="HI2" s="60">
        <f>HE2+1</f>
        <v>46032</v>
      </c>
      <c r="HJ2" s="61"/>
      <c r="HK2" s="61"/>
      <c r="HL2" s="62"/>
      <c r="HN2" s="60">
        <v>46034.0</v>
      </c>
      <c r="HO2" s="61"/>
      <c r="HP2" s="61"/>
      <c r="HQ2" s="62"/>
      <c r="HR2" s="60">
        <f>HN2+1</f>
        <v>46035</v>
      </c>
      <c r="HS2" s="61"/>
      <c r="HT2" s="61"/>
      <c r="HU2" s="62"/>
      <c r="HV2" s="60">
        <f>HR2+1</f>
        <v>46036</v>
      </c>
      <c r="HW2" s="61"/>
      <c r="HX2" s="61"/>
      <c r="HY2" s="62"/>
      <c r="HZ2" s="60">
        <f>HV2+1</f>
        <v>46037</v>
      </c>
      <c r="IA2" s="61"/>
      <c r="IB2" s="61"/>
      <c r="IC2" s="62"/>
      <c r="ID2" s="60">
        <f>HZ2+1</f>
        <v>46038</v>
      </c>
      <c r="IE2" s="61"/>
      <c r="IF2" s="61"/>
      <c r="IG2" s="62"/>
      <c r="IH2" s="60">
        <f>ID2+1</f>
        <v>46039</v>
      </c>
      <c r="II2" s="61"/>
      <c r="IJ2" s="61"/>
      <c r="IK2" s="62"/>
      <c r="IM2" s="60">
        <v>46041.0</v>
      </c>
      <c r="IN2" s="61"/>
      <c r="IO2" s="61"/>
      <c r="IP2" s="62"/>
      <c r="IQ2" s="60">
        <f>IM2+1</f>
        <v>46042</v>
      </c>
      <c r="IR2" s="61"/>
      <c r="IS2" s="61"/>
      <c r="IT2" s="62"/>
      <c r="IU2" s="60">
        <f>IQ2+1</f>
        <v>46043</v>
      </c>
      <c r="IV2" s="61"/>
      <c r="IW2" s="61"/>
      <c r="IX2" s="62"/>
      <c r="IY2" s="60">
        <f>IU2+1</f>
        <v>46044</v>
      </c>
      <c r="IZ2" s="61"/>
      <c r="JA2" s="61"/>
      <c r="JB2" s="62"/>
      <c r="JC2" s="60">
        <f>IY2+1</f>
        <v>46045</v>
      </c>
      <c r="JD2" s="61"/>
      <c r="JE2" s="61"/>
      <c r="JF2" s="62"/>
      <c r="JG2" s="60">
        <f>JC2+1</f>
        <v>46046</v>
      </c>
      <c r="JH2" s="61"/>
      <c r="JI2" s="61"/>
      <c r="JJ2" s="62"/>
      <c r="JL2" s="60">
        <v>46048.0</v>
      </c>
      <c r="JM2" s="61"/>
      <c r="JN2" s="61"/>
      <c r="JO2" s="62"/>
      <c r="JP2" s="60">
        <f>JL2+1</f>
        <v>46049</v>
      </c>
      <c r="JQ2" s="61"/>
      <c r="JR2" s="61"/>
      <c r="JS2" s="62"/>
      <c r="JT2" s="60">
        <f>JP2+1</f>
        <v>46050</v>
      </c>
      <c r="JU2" s="61"/>
      <c r="JV2" s="61"/>
      <c r="JW2" s="62"/>
      <c r="JX2" s="60">
        <f>JT2+1</f>
        <v>46051</v>
      </c>
      <c r="JY2" s="61"/>
      <c r="JZ2" s="61"/>
      <c r="KA2" s="62"/>
      <c r="KB2" s="60">
        <f>JX2+1</f>
        <v>46052</v>
      </c>
      <c r="KC2" s="61"/>
      <c r="KD2" s="61"/>
      <c r="KE2" s="62"/>
      <c r="KF2" s="60">
        <f>KB2+1</f>
        <v>46053</v>
      </c>
      <c r="KG2" s="61"/>
      <c r="KH2" s="61"/>
      <c r="KI2" s="62"/>
      <c r="KJ2" s="63"/>
      <c r="KK2" s="63"/>
      <c r="KL2" s="63"/>
      <c r="KM2" s="63"/>
      <c r="KN2" s="63"/>
      <c r="KO2" s="63"/>
      <c r="KP2" s="63"/>
      <c r="KQ2" s="63"/>
      <c r="KR2" s="63"/>
      <c r="KS2" s="63"/>
      <c r="KT2" s="63"/>
      <c r="KU2" s="63"/>
      <c r="KV2" s="63"/>
      <c r="KW2" s="63"/>
      <c r="KX2" s="63"/>
      <c r="KY2" s="63"/>
      <c r="KZ2" s="63"/>
      <c r="LA2" s="63"/>
      <c r="LB2" s="63"/>
      <c r="LC2" s="63"/>
    </row>
    <row r="3" ht="19.5" customHeight="1">
      <c r="A3" s="42"/>
      <c r="B3" s="64" t="s">
        <v>238</v>
      </c>
      <c r="C3" s="62"/>
      <c r="E3" s="64" t="s">
        <v>239</v>
      </c>
      <c r="F3" s="65" t="s">
        <v>188</v>
      </c>
      <c r="G3" s="65" t="s">
        <v>4</v>
      </c>
      <c r="H3" s="66" t="s">
        <v>190</v>
      </c>
      <c r="I3" s="64" t="s">
        <v>239</v>
      </c>
      <c r="J3" s="65" t="s">
        <v>188</v>
      </c>
      <c r="K3" s="65" t="s">
        <v>4</v>
      </c>
      <c r="L3" s="66" t="s">
        <v>190</v>
      </c>
      <c r="M3" s="64" t="s">
        <v>239</v>
      </c>
      <c r="N3" s="65" t="s">
        <v>188</v>
      </c>
      <c r="O3" s="65" t="s">
        <v>4</v>
      </c>
      <c r="P3" s="66" t="s">
        <v>190</v>
      </c>
      <c r="Q3" s="64" t="s">
        <v>239</v>
      </c>
      <c r="R3" s="65" t="s">
        <v>188</v>
      </c>
      <c r="S3" s="65" t="s">
        <v>4</v>
      </c>
      <c r="T3" s="66" t="s">
        <v>190</v>
      </c>
      <c r="V3" s="64" t="s">
        <v>239</v>
      </c>
      <c r="W3" s="65" t="s">
        <v>188</v>
      </c>
      <c r="X3" s="65" t="s">
        <v>4</v>
      </c>
      <c r="Y3" s="66" t="s">
        <v>190</v>
      </c>
      <c r="Z3" s="64" t="s">
        <v>239</v>
      </c>
      <c r="AA3" s="65" t="s">
        <v>188</v>
      </c>
      <c r="AB3" s="65" t="s">
        <v>4</v>
      </c>
      <c r="AC3" s="66" t="s">
        <v>190</v>
      </c>
      <c r="AD3" s="64" t="s">
        <v>239</v>
      </c>
      <c r="AE3" s="65" t="s">
        <v>188</v>
      </c>
      <c r="AF3" s="65" t="s">
        <v>4</v>
      </c>
      <c r="AG3" s="66" t="s">
        <v>190</v>
      </c>
      <c r="AH3" s="64" t="s">
        <v>239</v>
      </c>
      <c r="AI3" s="65" t="s">
        <v>188</v>
      </c>
      <c r="AJ3" s="65" t="s">
        <v>4</v>
      </c>
      <c r="AK3" s="66" t="s">
        <v>190</v>
      </c>
      <c r="AL3" s="64" t="s">
        <v>239</v>
      </c>
      <c r="AM3" s="65" t="s">
        <v>188</v>
      </c>
      <c r="AN3" s="65" t="s">
        <v>4</v>
      </c>
      <c r="AO3" s="66" t="s">
        <v>190</v>
      </c>
      <c r="AP3" s="64" t="s">
        <v>239</v>
      </c>
      <c r="AQ3" s="65" t="s">
        <v>188</v>
      </c>
      <c r="AR3" s="65" t="s">
        <v>4</v>
      </c>
      <c r="AS3" s="66" t="s">
        <v>190</v>
      </c>
      <c r="AU3" s="64" t="s">
        <v>239</v>
      </c>
      <c r="AV3" s="65" t="s">
        <v>188</v>
      </c>
      <c r="AW3" s="65" t="s">
        <v>4</v>
      </c>
      <c r="AX3" s="66" t="s">
        <v>190</v>
      </c>
      <c r="AY3" s="64" t="s">
        <v>239</v>
      </c>
      <c r="AZ3" s="65" t="s">
        <v>188</v>
      </c>
      <c r="BA3" s="65" t="s">
        <v>4</v>
      </c>
      <c r="BB3" s="66" t="s">
        <v>190</v>
      </c>
      <c r="BC3" s="64" t="s">
        <v>239</v>
      </c>
      <c r="BD3" s="65" t="s">
        <v>188</v>
      </c>
      <c r="BE3" s="65" t="s">
        <v>4</v>
      </c>
      <c r="BF3" s="66" t="s">
        <v>190</v>
      </c>
      <c r="BG3" s="64" t="s">
        <v>239</v>
      </c>
      <c r="BH3" s="65" t="s">
        <v>188</v>
      </c>
      <c r="BI3" s="65" t="s">
        <v>4</v>
      </c>
      <c r="BJ3" s="66" t="s">
        <v>190</v>
      </c>
      <c r="BK3" s="64" t="s">
        <v>239</v>
      </c>
      <c r="BL3" s="65" t="s">
        <v>188</v>
      </c>
      <c r="BM3" s="65" t="s">
        <v>4</v>
      </c>
      <c r="BN3" s="66" t="s">
        <v>190</v>
      </c>
      <c r="BO3" s="64" t="s">
        <v>239</v>
      </c>
      <c r="BP3" s="65" t="s">
        <v>188</v>
      </c>
      <c r="BQ3" s="65" t="s">
        <v>4</v>
      </c>
      <c r="BR3" s="66" t="s">
        <v>190</v>
      </c>
      <c r="BT3" s="64" t="s">
        <v>239</v>
      </c>
      <c r="BU3" s="65" t="s">
        <v>188</v>
      </c>
      <c r="BV3" s="65" t="s">
        <v>4</v>
      </c>
      <c r="BW3" s="66" t="s">
        <v>190</v>
      </c>
      <c r="BX3" s="64" t="s">
        <v>239</v>
      </c>
      <c r="BY3" s="65" t="s">
        <v>188</v>
      </c>
      <c r="BZ3" s="65" t="s">
        <v>4</v>
      </c>
      <c r="CA3" s="66" t="s">
        <v>190</v>
      </c>
      <c r="CB3" s="64" t="s">
        <v>239</v>
      </c>
      <c r="CC3" s="65" t="s">
        <v>188</v>
      </c>
      <c r="CD3" s="65" t="s">
        <v>4</v>
      </c>
      <c r="CE3" s="66" t="s">
        <v>190</v>
      </c>
      <c r="CF3" s="64" t="s">
        <v>239</v>
      </c>
      <c r="CG3" s="65" t="s">
        <v>188</v>
      </c>
      <c r="CH3" s="65" t="s">
        <v>4</v>
      </c>
      <c r="CI3" s="66" t="s">
        <v>190</v>
      </c>
      <c r="CJ3" s="64" t="s">
        <v>239</v>
      </c>
      <c r="CK3" s="65" t="s">
        <v>188</v>
      </c>
      <c r="CL3" s="65" t="s">
        <v>4</v>
      </c>
      <c r="CM3" s="66" t="s">
        <v>190</v>
      </c>
      <c r="CN3" s="64" t="s">
        <v>239</v>
      </c>
      <c r="CO3" s="65" t="s">
        <v>188</v>
      </c>
      <c r="CP3" s="65" t="s">
        <v>4</v>
      </c>
      <c r="CQ3" s="66" t="s">
        <v>190</v>
      </c>
      <c r="CS3" s="64" t="s">
        <v>239</v>
      </c>
      <c r="CT3" s="65" t="s">
        <v>188</v>
      </c>
      <c r="CU3" s="65" t="s">
        <v>4</v>
      </c>
      <c r="CV3" s="66" t="s">
        <v>190</v>
      </c>
      <c r="CW3" s="64" t="s">
        <v>239</v>
      </c>
      <c r="CX3" s="65" t="s">
        <v>188</v>
      </c>
      <c r="CY3" s="65" t="s">
        <v>4</v>
      </c>
      <c r="CZ3" s="66" t="s">
        <v>190</v>
      </c>
      <c r="DA3" s="64" t="s">
        <v>239</v>
      </c>
      <c r="DB3" s="65" t="s">
        <v>188</v>
      </c>
      <c r="DC3" s="65" t="s">
        <v>4</v>
      </c>
      <c r="DD3" s="66" t="s">
        <v>190</v>
      </c>
      <c r="DE3" s="64" t="s">
        <v>239</v>
      </c>
      <c r="DF3" s="65" t="s">
        <v>188</v>
      </c>
      <c r="DG3" s="65" t="s">
        <v>4</v>
      </c>
      <c r="DH3" s="66" t="s">
        <v>190</v>
      </c>
      <c r="DI3" s="64" t="s">
        <v>239</v>
      </c>
      <c r="DJ3" s="65" t="s">
        <v>188</v>
      </c>
      <c r="DK3" s="65" t="s">
        <v>4</v>
      </c>
      <c r="DL3" s="66" t="s">
        <v>190</v>
      </c>
      <c r="DM3" s="64" t="s">
        <v>239</v>
      </c>
      <c r="DN3" s="65" t="s">
        <v>188</v>
      </c>
      <c r="DO3" s="65" t="s">
        <v>4</v>
      </c>
      <c r="DP3" s="66" t="s">
        <v>190</v>
      </c>
      <c r="DR3" s="64" t="s">
        <v>239</v>
      </c>
      <c r="DS3" s="65" t="s">
        <v>188</v>
      </c>
      <c r="DT3" s="65" t="s">
        <v>4</v>
      </c>
      <c r="DU3" s="66" t="s">
        <v>190</v>
      </c>
      <c r="DV3" s="64" t="s">
        <v>239</v>
      </c>
      <c r="DW3" s="65" t="s">
        <v>188</v>
      </c>
      <c r="DX3" s="65" t="s">
        <v>4</v>
      </c>
      <c r="DY3" s="66" t="s">
        <v>190</v>
      </c>
      <c r="DZ3" s="64" t="s">
        <v>239</v>
      </c>
      <c r="EA3" s="65" t="s">
        <v>188</v>
      </c>
      <c r="EB3" s="65" t="s">
        <v>4</v>
      </c>
      <c r="EC3" s="66" t="s">
        <v>190</v>
      </c>
      <c r="ED3" s="64" t="s">
        <v>239</v>
      </c>
      <c r="EE3" s="65" t="s">
        <v>188</v>
      </c>
      <c r="EF3" s="65" t="s">
        <v>4</v>
      </c>
      <c r="EG3" s="66" t="s">
        <v>190</v>
      </c>
      <c r="EH3" s="64" t="s">
        <v>239</v>
      </c>
      <c r="EI3" s="65" t="s">
        <v>188</v>
      </c>
      <c r="EJ3" s="65" t="s">
        <v>4</v>
      </c>
      <c r="EK3" s="66" t="s">
        <v>190</v>
      </c>
      <c r="EL3" s="64" t="s">
        <v>239</v>
      </c>
      <c r="EM3" s="65" t="s">
        <v>188</v>
      </c>
      <c r="EN3" s="65" t="s">
        <v>4</v>
      </c>
      <c r="EO3" s="66" t="s">
        <v>190</v>
      </c>
      <c r="EQ3" s="64" t="s">
        <v>239</v>
      </c>
      <c r="ER3" s="65" t="s">
        <v>188</v>
      </c>
      <c r="ES3" s="65" t="s">
        <v>4</v>
      </c>
      <c r="ET3" s="66" t="s">
        <v>190</v>
      </c>
      <c r="EU3" s="64" t="s">
        <v>239</v>
      </c>
      <c r="EV3" s="65" t="s">
        <v>188</v>
      </c>
      <c r="EW3" s="65" t="s">
        <v>4</v>
      </c>
      <c r="EX3" s="66" t="s">
        <v>190</v>
      </c>
      <c r="EY3" s="64" t="s">
        <v>239</v>
      </c>
      <c r="EZ3" s="65" t="s">
        <v>188</v>
      </c>
      <c r="FA3" s="65" t="s">
        <v>4</v>
      </c>
      <c r="FB3" s="66" t="s">
        <v>190</v>
      </c>
      <c r="FC3" s="64" t="s">
        <v>239</v>
      </c>
      <c r="FD3" s="65" t="s">
        <v>188</v>
      </c>
      <c r="FE3" s="65" t="s">
        <v>4</v>
      </c>
      <c r="FF3" s="66" t="s">
        <v>190</v>
      </c>
      <c r="FG3" s="64" t="s">
        <v>239</v>
      </c>
      <c r="FH3" s="65" t="s">
        <v>188</v>
      </c>
      <c r="FI3" s="65" t="s">
        <v>4</v>
      </c>
      <c r="FJ3" s="66" t="s">
        <v>190</v>
      </c>
      <c r="FK3" s="64" t="s">
        <v>239</v>
      </c>
      <c r="FL3" s="65" t="s">
        <v>188</v>
      </c>
      <c r="FM3" s="65" t="s">
        <v>4</v>
      </c>
      <c r="FN3" s="66" t="s">
        <v>190</v>
      </c>
      <c r="FP3" s="64" t="s">
        <v>239</v>
      </c>
      <c r="FQ3" s="65" t="s">
        <v>188</v>
      </c>
      <c r="FR3" s="65" t="s">
        <v>4</v>
      </c>
      <c r="FS3" s="66" t="s">
        <v>190</v>
      </c>
      <c r="FT3" s="64" t="s">
        <v>239</v>
      </c>
      <c r="FU3" s="65" t="s">
        <v>188</v>
      </c>
      <c r="FV3" s="65" t="s">
        <v>4</v>
      </c>
      <c r="FW3" s="66" t="s">
        <v>190</v>
      </c>
      <c r="FX3" s="64" t="s">
        <v>239</v>
      </c>
      <c r="FY3" s="65" t="s">
        <v>188</v>
      </c>
      <c r="FZ3" s="65" t="s">
        <v>4</v>
      </c>
      <c r="GA3" s="66" t="s">
        <v>190</v>
      </c>
      <c r="GB3" s="64" t="s">
        <v>239</v>
      </c>
      <c r="GC3" s="65" t="s">
        <v>188</v>
      </c>
      <c r="GD3" s="65" t="s">
        <v>4</v>
      </c>
      <c r="GE3" s="66" t="s">
        <v>190</v>
      </c>
      <c r="GF3" s="64" t="s">
        <v>239</v>
      </c>
      <c r="GG3" s="65" t="s">
        <v>188</v>
      </c>
      <c r="GH3" s="65" t="s">
        <v>4</v>
      </c>
      <c r="GI3" s="66" t="s">
        <v>190</v>
      </c>
      <c r="GJ3" s="64" t="s">
        <v>239</v>
      </c>
      <c r="GK3" s="65" t="s">
        <v>188</v>
      </c>
      <c r="GL3" s="65" t="s">
        <v>4</v>
      </c>
      <c r="GM3" s="66" t="s">
        <v>190</v>
      </c>
      <c r="GO3" s="64" t="s">
        <v>239</v>
      </c>
      <c r="GP3" s="65" t="s">
        <v>188</v>
      </c>
      <c r="GQ3" s="65" t="s">
        <v>4</v>
      </c>
      <c r="GR3" s="66" t="s">
        <v>190</v>
      </c>
      <c r="GS3" s="64" t="s">
        <v>239</v>
      </c>
      <c r="GT3" s="65" t="s">
        <v>188</v>
      </c>
      <c r="GU3" s="65" t="s">
        <v>4</v>
      </c>
      <c r="GV3" s="66" t="s">
        <v>190</v>
      </c>
      <c r="GW3" s="64" t="s">
        <v>239</v>
      </c>
      <c r="GX3" s="65" t="s">
        <v>188</v>
      </c>
      <c r="GY3" s="65" t="s">
        <v>4</v>
      </c>
      <c r="GZ3" s="66" t="s">
        <v>190</v>
      </c>
      <c r="HA3" s="64" t="s">
        <v>239</v>
      </c>
      <c r="HB3" s="65" t="s">
        <v>188</v>
      </c>
      <c r="HC3" s="65" t="s">
        <v>4</v>
      </c>
      <c r="HD3" s="66" t="s">
        <v>190</v>
      </c>
      <c r="HE3" s="64" t="s">
        <v>239</v>
      </c>
      <c r="HF3" s="65" t="s">
        <v>188</v>
      </c>
      <c r="HG3" s="65" t="s">
        <v>4</v>
      </c>
      <c r="HH3" s="66" t="s">
        <v>190</v>
      </c>
      <c r="HI3" s="64" t="s">
        <v>239</v>
      </c>
      <c r="HJ3" s="65" t="s">
        <v>188</v>
      </c>
      <c r="HK3" s="65" t="s">
        <v>4</v>
      </c>
      <c r="HL3" s="66" t="s">
        <v>190</v>
      </c>
      <c r="HN3" s="64" t="s">
        <v>239</v>
      </c>
      <c r="HO3" s="65" t="s">
        <v>188</v>
      </c>
      <c r="HP3" s="65" t="s">
        <v>4</v>
      </c>
      <c r="HQ3" s="66" t="s">
        <v>190</v>
      </c>
      <c r="HR3" s="64" t="s">
        <v>239</v>
      </c>
      <c r="HS3" s="65" t="s">
        <v>188</v>
      </c>
      <c r="HT3" s="65" t="s">
        <v>4</v>
      </c>
      <c r="HU3" s="66" t="s">
        <v>190</v>
      </c>
      <c r="HV3" s="64" t="s">
        <v>239</v>
      </c>
      <c r="HW3" s="65" t="s">
        <v>188</v>
      </c>
      <c r="HX3" s="65" t="s">
        <v>4</v>
      </c>
      <c r="HY3" s="66" t="s">
        <v>190</v>
      </c>
      <c r="HZ3" s="64" t="s">
        <v>239</v>
      </c>
      <c r="IA3" s="65" t="s">
        <v>188</v>
      </c>
      <c r="IB3" s="65" t="s">
        <v>4</v>
      </c>
      <c r="IC3" s="66" t="s">
        <v>190</v>
      </c>
      <c r="ID3" s="64" t="s">
        <v>239</v>
      </c>
      <c r="IE3" s="65" t="s">
        <v>188</v>
      </c>
      <c r="IF3" s="65" t="s">
        <v>4</v>
      </c>
      <c r="IG3" s="66" t="s">
        <v>190</v>
      </c>
      <c r="IH3" s="64" t="s">
        <v>239</v>
      </c>
      <c r="II3" s="65" t="s">
        <v>188</v>
      </c>
      <c r="IJ3" s="65" t="s">
        <v>4</v>
      </c>
      <c r="IK3" s="66" t="s">
        <v>190</v>
      </c>
      <c r="IM3" s="64" t="s">
        <v>239</v>
      </c>
      <c r="IN3" s="65" t="s">
        <v>188</v>
      </c>
      <c r="IO3" s="65" t="s">
        <v>4</v>
      </c>
      <c r="IP3" s="66" t="s">
        <v>190</v>
      </c>
      <c r="IQ3" s="64" t="s">
        <v>239</v>
      </c>
      <c r="IR3" s="65" t="s">
        <v>188</v>
      </c>
      <c r="IS3" s="65" t="s">
        <v>4</v>
      </c>
      <c r="IT3" s="66" t="s">
        <v>190</v>
      </c>
      <c r="IU3" s="64" t="s">
        <v>239</v>
      </c>
      <c r="IV3" s="65" t="s">
        <v>188</v>
      </c>
      <c r="IW3" s="65" t="s">
        <v>4</v>
      </c>
      <c r="IX3" s="66" t="s">
        <v>190</v>
      </c>
      <c r="IY3" s="64" t="s">
        <v>239</v>
      </c>
      <c r="IZ3" s="65" t="s">
        <v>188</v>
      </c>
      <c r="JA3" s="65" t="s">
        <v>4</v>
      </c>
      <c r="JB3" s="66" t="s">
        <v>190</v>
      </c>
      <c r="JC3" s="64" t="s">
        <v>239</v>
      </c>
      <c r="JD3" s="65" t="s">
        <v>188</v>
      </c>
      <c r="JE3" s="65" t="s">
        <v>4</v>
      </c>
      <c r="JF3" s="66" t="s">
        <v>190</v>
      </c>
      <c r="JG3" s="64" t="s">
        <v>239</v>
      </c>
      <c r="JH3" s="65" t="s">
        <v>188</v>
      </c>
      <c r="JI3" s="65" t="s">
        <v>4</v>
      </c>
      <c r="JJ3" s="66" t="s">
        <v>190</v>
      </c>
      <c r="JL3" s="64" t="s">
        <v>239</v>
      </c>
      <c r="JM3" s="65" t="s">
        <v>188</v>
      </c>
      <c r="JN3" s="65" t="s">
        <v>4</v>
      </c>
      <c r="JO3" s="66" t="s">
        <v>190</v>
      </c>
      <c r="JP3" s="64" t="s">
        <v>239</v>
      </c>
      <c r="JQ3" s="65" t="s">
        <v>188</v>
      </c>
      <c r="JR3" s="65" t="s">
        <v>4</v>
      </c>
      <c r="JS3" s="66" t="s">
        <v>190</v>
      </c>
      <c r="JT3" s="64" t="s">
        <v>239</v>
      </c>
      <c r="JU3" s="65" t="s">
        <v>188</v>
      </c>
      <c r="JV3" s="65" t="s">
        <v>4</v>
      </c>
      <c r="JW3" s="66" t="s">
        <v>190</v>
      </c>
      <c r="JX3" s="64" t="s">
        <v>239</v>
      </c>
      <c r="JY3" s="65" t="s">
        <v>188</v>
      </c>
      <c r="JZ3" s="65" t="s">
        <v>4</v>
      </c>
      <c r="KA3" s="66" t="s">
        <v>190</v>
      </c>
      <c r="KB3" s="64" t="s">
        <v>239</v>
      </c>
      <c r="KC3" s="65" t="s">
        <v>188</v>
      </c>
      <c r="KD3" s="65" t="s">
        <v>4</v>
      </c>
      <c r="KE3" s="66" t="s">
        <v>190</v>
      </c>
      <c r="KF3" s="64" t="s">
        <v>239</v>
      </c>
      <c r="KG3" s="65" t="s">
        <v>188</v>
      </c>
      <c r="KH3" s="65" t="s">
        <v>4</v>
      </c>
      <c r="KI3" s="66" t="s">
        <v>190</v>
      </c>
      <c r="KJ3" s="67"/>
      <c r="KK3" s="67"/>
      <c r="KL3" s="67"/>
      <c r="KM3" s="67"/>
      <c r="KN3" s="67"/>
      <c r="KO3" s="67"/>
      <c r="KP3" s="67"/>
      <c r="KQ3" s="67"/>
      <c r="KR3" s="67"/>
      <c r="KS3" s="67"/>
      <c r="KT3" s="67"/>
      <c r="KU3" s="67"/>
      <c r="KV3" s="67"/>
      <c r="KW3" s="67"/>
      <c r="KX3" s="67"/>
      <c r="KY3" s="67"/>
      <c r="KZ3" s="67"/>
      <c r="LA3" s="67"/>
      <c r="LB3" s="67"/>
      <c r="LC3" s="67"/>
    </row>
    <row r="4">
      <c r="A4" s="42"/>
      <c r="B4" s="68" t="s">
        <v>191</v>
      </c>
      <c r="C4" s="69"/>
      <c r="D4" s="70"/>
      <c r="E4" s="71"/>
      <c r="F4" s="32"/>
      <c r="G4" s="72" t="str">
        <f t="array" ref="G4">IFERROR(IF(XLOOKUP(CONCAT(E4,F4),'MASTER PLAN'!$AB:$AB,'MASTER PLAN'!$J:$J,0,0)=0,"",XLOOKUP(CONCAT(E4,F4),'MASTER PLAN'!$AB:$AB,'MASTER PLAN'!$J:$J,0,0)),"")</f>
        <v/>
      </c>
      <c r="H4" s="73" t="str">
        <f t="array" ref="H4">IFERROR(IF(XLOOKUP(CONCAT(E4,F4),'PROCESOS PRD'!$J:$J,'PROCESOS PRD'!$H:$H,0,0)=0,"",XLOOKUP(CONCAT(E4,F4),'PROCESOS PRD'!$J:$J,'PROCESOS PRD'!$H:$H,0,0)),"")</f>
        <v/>
      </c>
      <c r="I4" s="71"/>
      <c r="J4" s="32"/>
      <c r="K4" s="72" t="str">
        <f t="array" ref="K4">IFERROR(IF(XLOOKUP(CONCAT(I4,J4),'MASTER PLAN'!$AB:$AB,'MASTER PLAN'!$J:$J,0,0)=0,"",XLOOKUP(CONCAT(I4,J4),'MASTER PLAN'!$AB:$AB,'MASTER PLAN'!$J:$J,0,0)),"")</f>
        <v/>
      </c>
      <c r="L4" s="73" t="str">
        <f t="array" ref="L4">IFERROR(IF(XLOOKUP(CONCAT(I4,J4),'PROCESOS PRD'!$J:$J,'PROCESOS PRD'!$H:$H,0,0)=0,"",XLOOKUP(CONCAT(I4,J4),'PROCESOS PRD'!$J:$J,'PROCESOS PRD'!$H:$H,0,0)),"")</f>
        <v/>
      </c>
      <c r="M4" s="71"/>
      <c r="N4" s="32"/>
      <c r="O4" s="72" t="str">
        <f t="array" ref="O4">IFERROR(IF(XLOOKUP(CONCAT(M4,N4),'MASTER PLAN'!$AB:$AB,'MASTER PLAN'!$J:$J,0,0)=0,"",XLOOKUP(CONCAT(M4,N4),'MASTER PLAN'!$AB:$AB,'MASTER PLAN'!$J:$J,0,0)),"")</f>
        <v/>
      </c>
      <c r="P4" s="73" t="str">
        <f t="array" ref="P4">IFERROR(IF(XLOOKUP(CONCAT(M4,N4),'PROCESOS PRD'!$J:$J,'PROCESOS PRD'!$H:$H,0,0)=0,"",XLOOKUP(CONCAT(M4,N4),'PROCESOS PRD'!$J:$J,'PROCESOS PRD'!$H:$H,0,0)),"")</f>
        <v/>
      </c>
      <c r="Q4" s="71"/>
      <c r="R4" s="32"/>
      <c r="S4" s="72" t="str">
        <f t="array" ref="S4">IFERROR(IF(XLOOKUP(CONCAT(Q4,R4),'MASTER PLAN'!$AB:$AB,'MASTER PLAN'!$J:$J,0,0)=0,"",XLOOKUP(CONCAT(Q4,R4),'MASTER PLAN'!$AB:$AB,'MASTER PLAN'!$J:$J,0,0)),"")</f>
        <v/>
      </c>
      <c r="T4" s="73" t="str">
        <f t="array" ref="T4">IFERROR(IF(XLOOKUP(CONCAT(Q4,R4),'PROCESOS PRD'!$J:$J,'PROCESOS PRD'!$H:$H,0,0)=0,"",XLOOKUP(CONCAT(Q4,R4),'PROCESOS PRD'!$J:$J,'PROCESOS PRD'!$H:$H,0,0)),"")</f>
        <v/>
      </c>
      <c r="U4" s="70"/>
      <c r="V4" s="71"/>
      <c r="W4" s="32"/>
      <c r="X4" s="72" t="str">
        <f t="array" ref="X4">IFERROR(IF(XLOOKUP(CONCAT(V4,W4),'MASTER PLAN'!$AB:$AB,'MASTER PLAN'!$J:$J,0,0)=0,"",XLOOKUP(CONCAT(V4,W4),'MASTER PLAN'!$AB:$AB,'MASTER PLAN'!$J:$J,0,0)),"")</f>
        <v/>
      </c>
      <c r="Y4" s="73" t="str">
        <f t="array" ref="Y4">IFERROR(IF(XLOOKUP(CONCAT(V4,W4),'PROCESOS PRD'!$J:$J,'PROCESOS PRD'!$H:$H,0,0)=0,"",XLOOKUP(CONCAT(V4,W4),'PROCESOS PRD'!$J:$J,'PROCESOS PRD'!$H:$H,0,0)),"")</f>
        <v/>
      </c>
      <c r="Z4" s="71"/>
      <c r="AA4" s="32"/>
      <c r="AB4" s="72" t="str">
        <f t="array" ref="AB4">IFERROR(IF(XLOOKUP(CONCAT(Z4,AA4),'MASTER PLAN'!$AB:$AB,'MASTER PLAN'!$J:$J,0,0)=0,"",XLOOKUP(CONCAT(Z4,AA4),'MASTER PLAN'!$AB:$AB,'MASTER PLAN'!$J:$J,0,0)),"")</f>
        <v/>
      </c>
      <c r="AC4" s="73" t="str">
        <f t="array" ref="AC4">IFERROR(IF(XLOOKUP(CONCAT(Z4,AA4),'PROCESOS PRD'!$J:$J,'PROCESOS PRD'!$H:$H,0,0)=0,"",XLOOKUP(CONCAT(Z4,AA4),'PROCESOS PRD'!$J:$J,'PROCESOS PRD'!$H:$H,0,0)),"")</f>
        <v/>
      </c>
      <c r="AD4" s="71"/>
      <c r="AE4" s="32"/>
      <c r="AF4" s="72" t="str">
        <f t="array" ref="AF4">IFERROR(IF(XLOOKUP(CONCAT(AD4,AE4),'MASTER PLAN'!$AB:$AB,'MASTER PLAN'!$J:$J,0,0)=0,"",XLOOKUP(CONCAT(AD4,AE4),'MASTER PLAN'!$AB:$AB,'MASTER PLAN'!$J:$J,0,0)),"")</f>
        <v/>
      </c>
      <c r="AG4" s="73" t="str">
        <f t="array" ref="AG4">IFERROR(IF(XLOOKUP(CONCAT(AD4,AE4),'PROCESOS PRD'!$J:$J,'PROCESOS PRD'!$H:$H,0,0)=0,"",XLOOKUP(CONCAT(AD4,AE4),'PROCESOS PRD'!$J:$J,'PROCESOS PRD'!$H:$H,0,0)),"")</f>
        <v/>
      </c>
      <c r="AH4" s="71">
        <v>1.402049286E9</v>
      </c>
      <c r="AI4" s="32">
        <v>10.0</v>
      </c>
      <c r="AJ4" s="72" t="str">
        <f t="array" ref="AJ4">IFERROR(IF(XLOOKUP(CONCAT(AH4,AI4),'MASTER PLAN'!$AB:$AB,'MASTER PLAN'!$J:$J,0,0)=0,"",XLOOKUP(CONCAT(AH4,AI4),'MASTER PLAN'!$AB:$AB,'MASTER PLAN'!$J:$J,0,0)),"")</f>
        <v>BOLSA HUNTINGTON 6-5"X3-5"X6-5"</v>
      </c>
      <c r="AK4" s="73">
        <f t="array" ref="AK4">IFERROR(IF(XLOOKUP(CONCAT(AH4,AI4),'PROCESOS PRD'!$J:$J,'PROCESOS PRD'!$H:$H,0,0)=0,"",XLOOKUP(CONCAT(AH4,AI4),'PROCESOS PRD'!$J:$J,'PROCESOS PRD'!$H:$H,0,0)),"")</f>
        <v>5400</v>
      </c>
      <c r="AL4" s="71">
        <v>1.402049402E9</v>
      </c>
      <c r="AM4" s="32">
        <v>10.0</v>
      </c>
      <c r="AN4" s="72" t="str">
        <f t="array" ref="AN4">IFERROR(IF(XLOOKUP(CONCAT(AL4,AM4),'MASTER PLAN'!$AB:$AB,'MASTER PLAN'!$J:$J,0,0)=0,"",XLOOKUP(CONCAT(AL4,AM4),'MASTER PLAN'!$AB:$AB,'MASTER PLAN'!$J:$J,0,0)),"")</f>
        <v>BOLSA LAWRENCE(GOLD CASTER)10-5"X5X8-25"</v>
      </c>
      <c r="AO4" s="73">
        <f t="array" ref="AO4">IFERROR(IF(XLOOKUP(CONCAT(AL4,AM4),'PROCESOS PRD'!$J:$J,'PROCESOS PRD'!$H:$H,0,0)=0,"",XLOOKUP(CONCAT(AL4,AM4),'PROCESOS PRD'!$J:$J,'PROCESOS PRD'!$H:$H,0,0)),"")</f>
        <v>3600</v>
      </c>
      <c r="AP4" s="71"/>
      <c r="AQ4" s="32"/>
      <c r="AR4" s="72" t="str">
        <f t="array" ref="AR4">IFERROR(IF(XLOOKUP(CONCAT(AP4,AQ4),'MASTER PLAN'!$AB:$AB,'MASTER PLAN'!$J:$J,0,0)=0,"",XLOOKUP(CONCAT(AP4,AQ4),'MASTER PLAN'!$AB:$AB,'MASTER PLAN'!$J:$J,0,0)),"")</f>
        <v/>
      </c>
      <c r="AS4" s="73" t="str">
        <f t="array" ref="AS4">IFERROR(IF(XLOOKUP(CONCAT(AP4,AQ4),'PROCESOS PRD'!$J:$J,'PROCESOS PRD'!$H:$H,0,0)=0,"",XLOOKUP(CONCAT(AP4,AQ4),'PROCESOS PRD'!$J:$J,'PROCESOS PRD'!$H:$H,0,0)),"")</f>
        <v/>
      </c>
      <c r="AT4" s="70"/>
      <c r="AU4" s="71"/>
      <c r="AV4" s="32"/>
      <c r="AW4" s="72" t="str">
        <f t="array" ref="AW4">IFERROR(IF(XLOOKUP(CONCAT(AU4,AV4),'MASTER PLAN'!$AB:$AB,'MASTER PLAN'!$J:$J,0,0)=0,"",XLOOKUP(CONCAT(AU4,AV4),'MASTER PLAN'!$AB:$AB,'MASTER PLAN'!$J:$J,0,0)),"")</f>
        <v/>
      </c>
      <c r="AX4" s="73" t="str">
        <f t="array" ref="AX4">IFERROR(IF(XLOOKUP(CONCAT(AU4,AV4),'PROCESOS PRD'!$J:$J,'PROCESOS PRD'!$H:$H,0,0)=0,"",XLOOKUP(CONCAT(AU4,AV4),'PROCESOS PRD'!$J:$J,'PROCESOS PRD'!$H:$H,0,0)),"")</f>
        <v/>
      </c>
      <c r="AY4" s="71"/>
      <c r="AZ4" s="32"/>
      <c r="BA4" s="72" t="str">
        <f t="array" ref="BA4">IFERROR(IF(XLOOKUP(CONCAT(AY4,AZ4),'MASTER PLAN'!$AB:$AB,'MASTER PLAN'!$J:$J,0,0)=0,"",XLOOKUP(CONCAT(AY4,AZ4),'MASTER PLAN'!$AB:$AB,'MASTER PLAN'!$J:$J,0,0)),"")</f>
        <v/>
      </c>
      <c r="BB4" s="73" t="str">
        <f t="array" ref="BB4">IFERROR(IF(XLOOKUP(CONCAT(AY4,AZ4),'PROCESOS PRD'!$J:$J,'PROCESOS PRD'!$H:$H,0,0)=0,"",XLOOKUP(CONCAT(AY4,AZ4),'PROCESOS PRD'!$J:$J,'PROCESOS PRD'!$H:$H,0,0)),"")</f>
        <v/>
      </c>
      <c r="BC4" s="71"/>
      <c r="BD4" s="32"/>
      <c r="BE4" s="72" t="str">
        <f t="array" ref="BE4">IFERROR(IF(XLOOKUP(CONCAT(BC4,BD4),'MASTER PLAN'!$AB:$AB,'MASTER PLAN'!$J:$J,0,0)=0,"",XLOOKUP(CONCAT(BC4,BD4),'MASTER PLAN'!$AB:$AB,'MASTER PLAN'!$J:$J,0,0)),"")</f>
        <v/>
      </c>
      <c r="BF4" s="73" t="str">
        <f t="array" ref="BF4">IFERROR(IF(XLOOKUP(CONCAT(BC4,BD4),'PROCESOS PRD'!$J:$J,'PROCESOS PRD'!$H:$H,0,0)=0,"",XLOOKUP(CONCAT(BC4,BD4),'PROCESOS PRD'!$J:$J,'PROCESOS PRD'!$H:$H,0,0)),"")</f>
        <v/>
      </c>
      <c r="BG4" s="71">
        <v>1.402049318E9</v>
      </c>
      <c r="BH4" s="32">
        <v>10.0</v>
      </c>
      <c r="BI4" s="72" t="str">
        <f t="array" ref="BI4">IFERROR(IF(XLOOKUP(CONCAT(BG4,BH4),'MASTER PLAN'!$AB:$AB,'MASTER PLAN'!$J:$J,0,0)=0,"",XLOOKUP(CONCAT(BG4,BH4),'MASTER PLAN'!$AB:$AB,'MASTER PLAN'!$J:$J,0,0)),"")</f>
        <v>BOLSA WATERFALL JEWELERS 6-5"X3-5"X6-5"</v>
      </c>
      <c r="BJ4" s="73">
        <f t="array" ref="BJ4">IFERROR(IF(XLOOKUP(CONCAT(BG4,BH4),'PROCESOS PRD'!$J:$J,'PROCESOS PRD'!$H:$H,0,0)=0,"",XLOOKUP(CONCAT(BG4,BH4),'PROCESOS PRD'!$J:$J,'PROCESOS PRD'!$H:$H,0,0)),"")</f>
        <v>3600</v>
      </c>
      <c r="BK4" s="71">
        <v>1.40204948E9</v>
      </c>
      <c r="BL4" s="32">
        <v>10.0</v>
      </c>
      <c r="BM4" s="72" t="str">
        <f t="array" ref="BM4">IFERROR(IF(XLOOKUP(CONCAT(BK4,BL4),'MASTER PLAN'!$AB:$AB,'MASTER PLAN'!$J:$J,0,0)=0,"",XLOOKUP(CONCAT(BK4,BL4),'MASTER PLAN'!$AB:$AB,'MASTER PLAN'!$J:$J,0,0)),"")</f>
        <v>BOLSA LEE BRANT  8"X4"X10"</v>
      </c>
      <c r="BN4" s="73">
        <f t="array" ref="BN4">IFERROR(IF(XLOOKUP(CONCAT(BK4,BL4),'PROCESOS PRD'!$J:$J,'PROCESOS PRD'!$H:$H,0,0)=0,"",XLOOKUP(CONCAT(BK4,BL4),'PROCESOS PRD'!$J:$J,'PROCESOS PRD'!$H:$H,0,0)),"")</f>
        <v>1200</v>
      </c>
      <c r="BO4" s="71"/>
      <c r="BP4" s="32"/>
      <c r="BQ4" s="72" t="str">
        <f t="array" ref="BQ4">IFERROR(IF(XLOOKUP(CONCAT(BO4,BP4),'MASTER PLAN'!$AB:$AB,'MASTER PLAN'!$J:$J,0,0)=0,"",XLOOKUP(CONCAT(BO4,BP4),'MASTER PLAN'!$AB:$AB,'MASTER PLAN'!$J:$J,0,0)),"")</f>
        <v/>
      </c>
      <c r="BR4" s="73" t="str">
        <f t="array" ref="BR4">IFERROR(IF(XLOOKUP(CONCAT(BO4,BP4),'PROCESOS PRD'!$J:$J,'PROCESOS PRD'!$H:$H,0,0)=0,"",XLOOKUP(CONCAT(BO4,BP4),'PROCESOS PRD'!$J:$J,'PROCESOS PRD'!$H:$H,0,0)),"")</f>
        <v/>
      </c>
      <c r="BS4" s="70"/>
      <c r="BT4" s="71">
        <v>1.402049475E9</v>
      </c>
      <c r="BU4" s="32">
        <v>10.0</v>
      </c>
      <c r="BV4" s="72" t="str">
        <f t="array" ref="BV4">IFERROR(IF(XLOOKUP(CONCAT(BT4,BU4),'MASTER PLAN'!$AB:$AB,'MASTER PLAN'!$J:$J,0,0)=0,"",XLOOKUP(CONCAT(BT4,BU4),'MASTER PLAN'!$AB:$AB,'MASTER PLAN'!$J:$J,0,0)),"")</f>
        <v>BOLSA ROTTERMOND 9-75"X4"X7"</v>
      </c>
      <c r="BW4" s="73">
        <f t="array" ref="BW4">IFERROR(IF(XLOOKUP(CONCAT(BT4,BU4),'PROCESOS PRD'!$J:$J,'PROCESOS PRD'!$H:$H,0,0)=0,"",XLOOKUP(CONCAT(BT4,BU4),'PROCESOS PRD'!$J:$J,'PROCESOS PRD'!$H:$H,0,0)),"")</f>
        <v>1800</v>
      </c>
      <c r="BX4" s="71">
        <v>1.402049559E9</v>
      </c>
      <c r="BY4" s="32">
        <v>10.0</v>
      </c>
      <c r="BZ4" s="72" t="str">
        <f t="array" ref="BZ4">IFERROR(IF(XLOOKUP(CONCAT(BX4,BY4),'MASTER PLAN'!$AB:$AB,'MASTER PLAN'!$J:$J,0,0)=0,"",XLOOKUP(CONCAT(BX4,BY4),'MASTER PLAN'!$AB:$AB,'MASTER PLAN'!$J:$J,0,0)),"")</f>
        <v>BOLSA JOYERIA GARZON 4.75"X3.5"X6"</v>
      </c>
      <c r="CA4" s="73">
        <f t="array" ref="CA4">IFERROR(IF(XLOOKUP(CONCAT(BX4,BY4),'PROCESOS PRD'!$J:$J,'PROCESOS PRD'!$H:$H,0,0)=0,"",XLOOKUP(CONCAT(BX4,BY4),'PROCESOS PRD'!$J:$J,'PROCESOS PRD'!$H:$H,0,0)),"")</f>
        <v>2400</v>
      </c>
      <c r="CB4" s="71"/>
      <c r="CC4" s="32"/>
      <c r="CD4" s="72" t="str">
        <f t="array" ref="CD4">IFERROR(IF(XLOOKUP(CONCAT(CB4,CC4),'MASTER PLAN'!$AB:$AB,'MASTER PLAN'!$J:$J,0,0)=0,"",XLOOKUP(CONCAT(CB4,CC4),'MASTER PLAN'!$AB:$AB,'MASTER PLAN'!$J:$J,0,0)),"")</f>
        <v/>
      </c>
      <c r="CE4" s="73" t="str">
        <f t="array" ref="CE4">IFERROR(IF(XLOOKUP(CONCAT(CB4,CC4),'PROCESOS PRD'!$J:$J,'PROCESOS PRD'!$H:$H,0,0)=0,"",XLOOKUP(CONCAT(CB4,CC4),'PROCESOS PRD'!$J:$J,'PROCESOS PRD'!$H:$H,0,0)),"")</f>
        <v/>
      </c>
      <c r="CF4" s="71"/>
      <c r="CG4" s="32"/>
      <c r="CH4" s="72" t="str">
        <f t="array" ref="CH4">IFERROR(IF(XLOOKUP(CONCAT(CF4,CG4),'MASTER PLAN'!$AB:$AB,'MASTER PLAN'!$J:$J,0,0)=0,"",XLOOKUP(CONCAT(CF4,CG4),'MASTER PLAN'!$AB:$AB,'MASTER PLAN'!$J:$J,0,0)),"")</f>
        <v/>
      </c>
      <c r="CI4" s="73" t="str">
        <f t="array" ref="CI4">IFERROR(IF(XLOOKUP(CONCAT(CF4,CG4),'PROCESOS PRD'!$J:$J,'PROCESOS PRD'!$H:$H,0,0)=0,"",XLOOKUP(CONCAT(CF4,CG4),'PROCESOS PRD'!$J:$J,'PROCESOS PRD'!$H:$H,0,0)),"")</f>
        <v/>
      </c>
      <c r="CJ4" s="71"/>
      <c r="CK4" s="32"/>
      <c r="CL4" s="72" t="str">
        <f t="array" ref="CL4">IFERROR(IF(XLOOKUP(CONCAT(CJ4,CK4),'MASTER PLAN'!$AB:$AB,'MASTER PLAN'!$J:$J,0,0)=0,"",XLOOKUP(CONCAT(CJ4,CK4),'MASTER PLAN'!$AB:$AB,'MASTER PLAN'!$J:$J,0,0)),"")</f>
        <v/>
      </c>
      <c r="CM4" s="73" t="str">
        <f t="array" ref="CM4">IFERROR(IF(XLOOKUP(CONCAT(CJ4,CK4),'PROCESOS PRD'!$J:$J,'PROCESOS PRD'!$H:$H,0,0)=0,"",XLOOKUP(CONCAT(CJ4,CK4),'PROCESOS PRD'!$J:$J,'PROCESOS PRD'!$H:$H,0,0)),"")</f>
        <v/>
      </c>
      <c r="CN4" s="71"/>
      <c r="CO4" s="32"/>
      <c r="CP4" s="72" t="str">
        <f t="array" ref="CP4">IFERROR(IF(XLOOKUP(CONCAT(CN4,CO4),'MASTER PLAN'!$AB:$AB,'MASTER PLAN'!$J:$J,0,0)=0,"",XLOOKUP(CONCAT(CN4,CO4),'MASTER PLAN'!$AB:$AB,'MASTER PLAN'!$J:$J,0,0)),"")</f>
        <v/>
      </c>
      <c r="CQ4" s="73" t="str">
        <f t="array" ref="CQ4">IFERROR(IF(XLOOKUP(CONCAT(CN4,CO4),'PROCESOS PRD'!$J:$J,'PROCESOS PRD'!$H:$H,0,0)=0,"",XLOOKUP(CONCAT(CN4,CO4),'PROCESOS PRD'!$J:$J,'PROCESOS PRD'!$H:$H,0,0)),"")</f>
        <v/>
      </c>
      <c r="CR4" s="70"/>
      <c r="CS4" s="71"/>
      <c r="CT4" s="32"/>
      <c r="CU4" s="72" t="str">
        <f t="array" ref="CU4">IFERROR(IF(XLOOKUP(CONCAT(CS4,CT4),'MASTER PLAN'!$AB:$AB,'MASTER PLAN'!$J:$J,0,0)=0,"",XLOOKUP(CONCAT(CS4,CT4),'MASTER PLAN'!$AB:$AB,'MASTER PLAN'!$J:$J,0,0)),"")</f>
        <v/>
      </c>
      <c r="CV4" s="73" t="str">
        <f t="array" ref="CV4">IFERROR(IF(XLOOKUP(CONCAT(CS4,CT4),'PROCESOS PRD'!$J:$J,'PROCESOS PRD'!$H:$H,0,0)=0,"",XLOOKUP(CONCAT(CS4,CT4),'PROCESOS PRD'!$J:$J,'PROCESOS PRD'!$H:$H,0,0)),"")</f>
        <v/>
      </c>
      <c r="CW4" s="71"/>
      <c r="CX4" s="32"/>
      <c r="CY4" s="72" t="str">
        <f t="array" ref="CY4">IFERROR(IF(XLOOKUP(CONCAT(CW4,CX4),'MASTER PLAN'!$AB:$AB,'MASTER PLAN'!$J:$J,0,0)=0,"",XLOOKUP(CONCAT(CW4,CX4),'MASTER PLAN'!$AB:$AB,'MASTER PLAN'!$J:$J,0,0)),"")</f>
        <v/>
      </c>
      <c r="CZ4" s="73" t="str">
        <f t="array" ref="CZ4">IFERROR(IF(XLOOKUP(CONCAT(CW4,CX4),'PROCESOS PRD'!$J:$J,'PROCESOS PRD'!$H:$H,0,0)=0,"",XLOOKUP(CONCAT(CW4,CX4),'PROCESOS PRD'!$J:$J,'PROCESOS PRD'!$H:$H,0,0)),"")</f>
        <v/>
      </c>
      <c r="DA4" s="71"/>
      <c r="DB4" s="32"/>
      <c r="DC4" s="72" t="str">
        <f t="array" ref="DC4">IFERROR(IF(XLOOKUP(CONCAT(DA4,DB4),'MASTER PLAN'!$AB:$AB,'MASTER PLAN'!$J:$J,0,0)=0,"",XLOOKUP(CONCAT(DA4,DB4),'MASTER PLAN'!$AB:$AB,'MASTER PLAN'!$J:$J,0,0)),"")</f>
        <v/>
      </c>
      <c r="DD4" s="73" t="str">
        <f t="array" ref="DD4">IFERROR(IF(XLOOKUP(CONCAT(DA4,DB4),'PROCESOS PRD'!$J:$J,'PROCESOS PRD'!$H:$H,0,0)=0,"",XLOOKUP(CONCAT(DA4,DB4),'PROCESOS PRD'!$J:$J,'PROCESOS PRD'!$H:$H,0,0)),"")</f>
        <v/>
      </c>
      <c r="DE4" s="71"/>
      <c r="DF4" s="32"/>
      <c r="DG4" s="72" t="str">
        <f t="array" ref="DG4">IFERROR(IF(XLOOKUP(CONCAT(DE4,DF4),'MASTER PLAN'!$AB:$AB,'MASTER PLAN'!$J:$J,0,0)=0,"",XLOOKUP(CONCAT(DE4,DF4),'MASTER PLAN'!$AB:$AB,'MASTER PLAN'!$J:$J,0,0)),"")</f>
        <v/>
      </c>
      <c r="DH4" s="73" t="str">
        <f t="array" ref="DH4">IFERROR(IF(XLOOKUP(CONCAT(DE4,DF4),'PROCESOS PRD'!$J:$J,'PROCESOS PRD'!$H:$H,0,0)=0,"",XLOOKUP(CONCAT(DE4,DF4),'PROCESOS PRD'!$J:$J,'PROCESOS PRD'!$H:$H,0,0)),"")</f>
        <v/>
      </c>
      <c r="DI4" s="71"/>
      <c r="DJ4" s="32"/>
      <c r="DK4" s="72" t="str">
        <f t="array" ref="DK4">IFERROR(IF(XLOOKUP(CONCAT(DI4,DJ4),'MASTER PLAN'!$AB:$AB,'MASTER PLAN'!$J:$J,0,0)=0,"",XLOOKUP(CONCAT(DI4,DJ4),'MASTER PLAN'!$AB:$AB,'MASTER PLAN'!$J:$J,0,0)),"")</f>
        <v/>
      </c>
      <c r="DL4" s="73" t="str">
        <f t="array" ref="DL4">IFERROR(IF(XLOOKUP(CONCAT(DI4,DJ4),'PROCESOS PRD'!$J:$J,'PROCESOS PRD'!$H:$H,0,0)=0,"",XLOOKUP(CONCAT(DI4,DJ4),'PROCESOS PRD'!$J:$J,'PROCESOS PRD'!$H:$H,0,0)),"")</f>
        <v/>
      </c>
      <c r="DM4" s="71"/>
      <c r="DN4" s="32"/>
      <c r="DO4" s="72" t="str">
        <f t="array" ref="DO4">IFERROR(IF(XLOOKUP(CONCAT(DM4,DN4),'MASTER PLAN'!$AB:$AB,'MASTER PLAN'!$J:$J,0,0)=0,"",XLOOKUP(CONCAT(DM4,DN4),'MASTER PLAN'!$AB:$AB,'MASTER PLAN'!$J:$J,0,0)),"")</f>
        <v/>
      </c>
      <c r="DP4" s="73" t="str">
        <f t="array" ref="DP4">IFERROR(IF(XLOOKUP(CONCAT(DM4,DN4),'PROCESOS PRD'!$J:$J,'PROCESOS PRD'!$H:$H,0,0)=0,"",XLOOKUP(CONCAT(DM4,DN4),'PROCESOS PRD'!$J:$J,'PROCESOS PRD'!$H:$H,0,0)),"")</f>
        <v/>
      </c>
      <c r="DQ4" s="70"/>
      <c r="DR4" s="71"/>
      <c r="DS4" s="32"/>
      <c r="DT4" s="72" t="str">
        <f t="array" ref="DT4">IFERROR(IF(XLOOKUP(CONCAT(DR4,DS4),'MASTER PLAN'!$AB:$AB,'MASTER PLAN'!$J:$J,0,0)=0,"",XLOOKUP(CONCAT(DR4,DS4),'MASTER PLAN'!$AB:$AB,'MASTER PLAN'!$J:$J,0,0)),"")</f>
        <v/>
      </c>
      <c r="DU4" s="73" t="str">
        <f t="array" ref="DU4">IFERROR(IF(XLOOKUP(CONCAT(DR4,DS4),'PROCESOS PRD'!$J:$J,'PROCESOS PRD'!$H:$H,0,0)=0,"",XLOOKUP(CONCAT(DR4,DS4),'PROCESOS PRD'!$J:$J,'PROCESOS PRD'!$H:$H,0,0)),"")</f>
        <v/>
      </c>
      <c r="DV4" s="71"/>
      <c r="DW4" s="32"/>
      <c r="DX4" s="72" t="str">
        <f t="array" ref="DX4">IFERROR(IF(XLOOKUP(CONCAT(DV4,DW4),'MASTER PLAN'!$AB:$AB,'MASTER PLAN'!$J:$J,0,0)=0,"",XLOOKUP(CONCAT(DV4,DW4),'MASTER PLAN'!$AB:$AB,'MASTER PLAN'!$J:$J,0,0)),"")</f>
        <v/>
      </c>
      <c r="DY4" s="73" t="str">
        <f t="array" ref="DY4">IFERROR(IF(XLOOKUP(CONCAT(DV4,DW4),'PROCESOS PRD'!$J:$J,'PROCESOS PRD'!$H:$H,0,0)=0,"",XLOOKUP(CONCAT(DV4,DW4),'PROCESOS PRD'!$J:$J,'PROCESOS PRD'!$H:$H,0,0)),"")</f>
        <v/>
      </c>
      <c r="DZ4" s="71"/>
      <c r="EA4" s="32"/>
      <c r="EB4" s="72" t="str">
        <f t="array" ref="EB4">IFERROR(IF(XLOOKUP(CONCAT(DZ4,EA4),'MASTER PLAN'!$AB:$AB,'MASTER PLAN'!$J:$J,0,0)=0,"",XLOOKUP(CONCAT(DZ4,EA4),'MASTER PLAN'!$AB:$AB,'MASTER PLAN'!$J:$J,0,0)),"")</f>
        <v/>
      </c>
      <c r="EC4" s="73" t="str">
        <f t="array" ref="EC4">IFERROR(IF(XLOOKUP(CONCAT(DZ4,EA4),'PROCESOS PRD'!$J:$J,'PROCESOS PRD'!$H:$H,0,0)=0,"",XLOOKUP(CONCAT(DZ4,EA4),'PROCESOS PRD'!$J:$J,'PROCESOS PRD'!$H:$H,0,0)),"")</f>
        <v/>
      </c>
      <c r="ED4" s="71"/>
      <c r="EE4" s="32"/>
      <c r="EF4" s="72" t="str">
        <f t="array" ref="EF4">IFERROR(IF(XLOOKUP(CONCAT(ED4,EE4),'MASTER PLAN'!$AB:$AB,'MASTER PLAN'!$J:$J,0,0)=0,"",XLOOKUP(CONCAT(ED4,EE4),'MASTER PLAN'!$AB:$AB,'MASTER PLAN'!$J:$J,0,0)),"")</f>
        <v/>
      </c>
      <c r="EG4" s="73" t="str">
        <f t="array" ref="EG4">IFERROR(IF(XLOOKUP(CONCAT(ED4,EE4),'PROCESOS PRD'!$J:$J,'PROCESOS PRD'!$H:$H,0,0)=0,"",XLOOKUP(CONCAT(ED4,EE4),'PROCESOS PRD'!$J:$J,'PROCESOS PRD'!$H:$H,0,0)),"")</f>
        <v/>
      </c>
      <c r="EH4" s="71"/>
      <c r="EI4" s="32"/>
      <c r="EJ4" s="72" t="str">
        <f t="array" ref="EJ4">IFERROR(IF(XLOOKUP(CONCAT(EH4,EI4),'MASTER PLAN'!$AB:$AB,'MASTER PLAN'!$J:$J,0,0)=0,"",XLOOKUP(CONCAT(EH4,EI4),'MASTER PLAN'!$AB:$AB,'MASTER PLAN'!$J:$J,0,0)),"")</f>
        <v/>
      </c>
      <c r="EK4" s="73" t="str">
        <f t="array" ref="EK4">IFERROR(IF(XLOOKUP(CONCAT(EH4,EI4),'PROCESOS PRD'!$J:$J,'PROCESOS PRD'!$H:$H,0,0)=0,"",XLOOKUP(CONCAT(EH4,EI4),'PROCESOS PRD'!$J:$J,'PROCESOS PRD'!$H:$H,0,0)),"")</f>
        <v/>
      </c>
      <c r="EL4" s="71"/>
      <c r="EM4" s="32"/>
      <c r="EN4" s="72" t="str">
        <f t="array" ref="EN4">IFERROR(IF(XLOOKUP(CONCAT(EL4,EM4),'MASTER PLAN'!$AB:$AB,'MASTER PLAN'!$J:$J,0,0)=0,"",XLOOKUP(CONCAT(EL4,EM4),'MASTER PLAN'!$AB:$AB,'MASTER PLAN'!$J:$J,0,0)),"")</f>
        <v/>
      </c>
      <c r="EO4" s="73" t="str">
        <f t="array" ref="EO4">IFERROR(IF(XLOOKUP(CONCAT(EL4,EM4),'PROCESOS PRD'!$J:$J,'PROCESOS PRD'!$H:$H,0,0)=0,"",XLOOKUP(CONCAT(EL4,EM4),'PROCESOS PRD'!$J:$J,'PROCESOS PRD'!$H:$H,0,0)),"")</f>
        <v/>
      </c>
      <c r="EP4" s="70"/>
      <c r="EQ4" s="71"/>
      <c r="ER4" s="32"/>
      <c r="ES4" s="72" t="str">
        <f t="array" ref="ES4">IFERROR(IF(XLOOKUP(CONCAT(EQ4,ER4),'MASTER PLAN'!$AB:$AB,'MASTER PLAN'!$J:$J,0,0)=0,"",XLOOKUP(CONCAT(EQ4,ER4),'MASTER PLAN'!$AB:$AB,'MASTER PLAN'!$J:$J,0,0)),"")</f>
        <v/>
      </c>
      <c r="ET4" s="73" t="str">
        <f t="array" ref="ET4">IFERROR(IF(XLOOKUP(CONCAT(EQ4,ER4),'PROCESOS PRD'!$J:$J,'PROCESOS PRD'!$H:$H,0,0)=0,"",XLOOKUP(CONCAT(EQ4,ER4),'PROCESOS PRD'!$J:$J,'PROCESOS PRD'!$H:$H,0,0)),"")</f>
        <v/>
      </c>
      <c r="EU4" s="71"/>
      <c r="EV4" s="32"/>
      <c r="EW4" s="72" t="str">
        <f t="array" ref="EW4">IFERROR(IF(XLOOKUP(CONCAT(EU4,EV4),'MASTER PLAN'!$AB:$AB,'MASTER PLAN'!$J:$J,0,0)=0,"",XLOOKUP(CONCAT(EU4,EV4),'MASTER PLAN'!$AB:$AB,'MASTER PLAN'!$J:$J,0,0)),"")</f>
        <v/>
      </c>
      <c r="EX4" s="73" t="str">
        <f t="array" ref="EX4">IFERROR(IF(XLOOKUP(CONCAT(EU4,EV4),'PROCESOS PRD'!$J:$J,'PROCESOS PRD'!$H:$H,0,0)=0,"",XLOOKUP(CONCAT(EU4,EV4),'PROCESOS PRD'!$J:$J,'PROCESOS PRD'!$H:$H,0,0)),"")</f>
        <v/>
      </c>
      <c r="EY4" s="71"/>
      <c r="EZ4" s="32"/>
      <c r="FA4" s="72" t="str">
        <f t="array" ref="FA4">IFERROR(IF(XLOOKUP(CONCAT(EY4,EZ4),'MASTER PLAN'!$AB:$AB,'MASTER PLAN'!$J:$J,0,0)=0,"",XLOOKUP(CONCAT(EY4,EZ4),'MASTER PLAN'!$AB:$AB,'MASTER PLAN'!$J:$J,0,0)),"")</f>
        <v/>
      </c>
      <c r="FB4" s="73" t="str">
        <f t="array" ref="FB4">IFERROR(IF(XLOOKUP(CONCAT(EY4,EZ4),'PROCESOS PRD'!$J:$J,'PROCESOS PRD'!$H:$H,0,0)=0,"",XLOOKUP(CONCAT(EY4,EZ4),'PROCESOS PRD'!$J:$J,'PROCESOS PRD'!$H:$H,0,0)),"")</f>
        <v/>
      </c>
      <c r="FC4" s="71"/>
      <c r="FD4" s="32"/>
      <c r="FE4" s="72" t="str">
        <f t="array" ref="FE4">IFERROR(IF(XLOOKUP(CONCAT(FC4,FD4),'MASTER PLAN'!$AB:$AB,'MASTER PLAN'!$J:$J,0,0)=0,"",XLOOKUP(CONCAT(FC4,FD4),'MASTER PLAN'!$AB:$AB,'MASTER PLAN'!$J:$J,0,0)),"")</f>
        <v/>
      </c>
      <c r="FF4" s="73" t="str">
        <f t="array" ref="FF4">IFERROR(IF(XLOOKUP(CONCAT(FC4,FD4),'PROCESOS PRD'!$J:$J,'PROCESOS PRD'!$H:$H,0,0)=0,"",XLOOKUP(CONCAT(FC4,FD4),'PROCESOS PRD'!$J:$J,'PROCESOS PRD'!$H:$H,0,0)),"")</f>
        <v/>
      </c>
      <c r="FG4" s="71"/>
      <c r="FH4" s="32"/>
      <c r="FI4" s="72" t="str">
        <f t="array" ref="FI4">IFERROR(IF(XLOOKUP(CONCAT(FG4,FH4),'MASTER PLAN'!$AB:$AB,'MASTER PLAN'!$J:$J,0,0)=0,"",XLOOKUP(CONCAT(FG4,FH4),'MASTER PLAN'!$AB:$AB,'MASTER PLAN'!$J:$J,0,0)),"")</f>
        <v/>
      </c>
      <c r="FJ4" s="73" t="str">
        <f t="array" ref="FJ4">IFERROR(IF(XLOOKUP(CONCAT(FG4,FH4),'PROCESOS PRD'!$J:$J,'PROCESOS PRD'!$H:$H,0,0)=0,"",XLOOKUP(CONCAT(FG4,FH4),'PROCESOS PRD'!$J:$J,'PROCESOS PRD'!$H:$H,0,0)),"")</f>
        <v/>
      </c>
      <c r="FK4" s="71"/>
      <c r="FL4" s="32"/>
      <c r="FM4" s="72" t="str">
        <f t="array" ref="FM4">IFERROR(IF(XLOOKUP(CONCAT(FK4,FL4),'MASTER PLAN'!$AB:$AB,'MASTER PLAN'!$J:$J,0,0)=0,"",XLOOKUP(CONCAT(FK4,FL4),'MASTER PLAN'!$AB:$AB,'MASTER PLAN'!$J:$J,0,0)),"")</f>
        <v/>
      </c>
      <c r="FN4" s="73" t="str">
        <f t="array" ref="FN4">IFERROR(IF(XLOOKUP(CONCAT(FK4,FL4),'PROCESOS PRD'!$J:$J,'PROCESOS PRD'!$H:$H,0,0)=0,"",XLOOKUP(CONCAT(FK4,FL4),'PROCESOS PRD'!$J:$J,'PROCESOS PRD'!$H:$H,0,0)),"")</f>
        <v/>
      </c>
      <c r="FO4" s="70"/>
      <c r="FP4" s="71"/>
      <c r="FQ4" s="32"/>
      <c r="FR4" s="72" t="str">
        <f t="array" ref="FR4">IFERROR(IF(XLOOKUP(CONCAT(FP4,FQ4),'MASTER PLAN'!$AB:$AB,'MASTER PLAN'!$J:$J,0,0)=0,"",XLOOKUP(CONCAT(FP4,FQ4),'MASTER PLAN'!$AB:$AB,'MASTER PLAN'!$J:$J,0,0)),"")</f>
        <v/>
      </c>
      <c r="FS4" s="73" t="str">
        <f t="array" ref="FS4">IFERROR(IF(XLOOKUP(CONCAT(FP4,FQ4),'PROCESOS PRD'!$J:$J,'PROCESOS PRD'!$H:$H,0,0)=0,"",XLOOKUP(CONCAT(FP4,FQ4),'PROCESOS PRD'!$J:$J,'PROCESOS PRD'!$H:$H,0,0)),"")</f>
        <v/>
      </c>
      <c r="FT4" s="71"/>
      <c r="FU4" s="32"/>
      <c r="FV4" s="72" t="str">
        <f t="array" ref="FV4">IFERROR(IF(XLOOKUP(CONCAT(FT4,FU4),'MASTER PLAN'!$AB:$AB,'MASTER PLAN'!$J:$J,0,0)=0,"",XLOOKUP(CONCAT(FT4,FU4),'MASTER PLAN'!$AB:$AB,'MASTER PLAN'!$J:$J,0,0)),"")</f>
        <v/>
      </c>
      <c r="FW4" s="73" t="str">
        <f t="array" ref="FW4">IFERROR(IF(XLOOKUP(CONCAT(FT4,FU4),'PROCESOS PRD'!$J:$J,'PROCESOS PRD'!$H:$H,0,0)=0,"",XLOOKUP(CONCAT(FT4,FU4),'PROCESOS PRD'!$J:$J,'PROCESOS PRD'!$H:$H,0,0)),"")</f>
        <v/>
      </c>
      <c r="FX4" s="71"/>
      <c r="FY4" s="32"/>
      <c r="FZ4" s="72" t="str">
        <f t="array" ref="FZ4">IFERROR(IF(XLOOKUP(CONCAT(FX4,FY4),'MASTER PLAN'!$AB:$AB,'MASTER PLAN'!$J:$J,0,0)=0,"",XLOOKUP(CONCAT(FX4,FY4),'MASTER PLAN'!$AB:$AB,'MASTER PLAN'!$J:$J,0,0)),"")</f>
        <v/>
      </c>
      <c r="GA4" s="73" t="str">
        <f t="array" ref="GA4">IFERROR(IF(XLOOKUP(CONCAT(FX4,FY4),'PROCESOS PRD'!$J:$J,'PROCESOS PRD'!$H:$H,0,0)=0,"",XLOOKUP(CONCAT(FX4,FY4),'PROCESOS PRD'!$J:$J,'PROCESOS PRD'!$H:$H,0,0)),"")</f>
        <v/>
      </c>
      <c r="GB4" s="71"/>
      <c r="GC4" s="32"/>
      <c r="GD4" s="72" t="str">
        <f t="array" ref="GD4">IFERROR(IF(XLOOKUP(CONCAT(GB4,GC4),'MASTER PLAN'!$AB:$AB,'MASTER PLAN'!$J:$J,0,0)=0,"",XLOOKUP(CONCAT(GB4,GC4),'MASTER PLAN'!$AB:$AB,'MASTER PLAN'!$J:$J,0,0)),"")</f>
        <v/>
      </c>
      <c r="GE4" s="73" t="str">
        <f t="array" ref="GE4">IFERROR(IF(XLOOKUP(CONCAT(GB4,GC4),'PROCESOS PRD'!$J:$J,'PROCESOS PRD'!$H:$H,0,0)=0,"",XLOOKUP(CONCAT(GB4,GC4),'PROCESOS PRD'!$J:$J,'PROCESOS PRD'!$H:$H,0,0)),"")</f>
        <v/>
      </c>
      <c r="GF4" s="71">
        <v>1.402049543E9</v>
      </c>
      <c r="GG4" s="32">
        <v>10.0</v>
      </c>
      <c r="GH4" s="72" t="str">
        <f t="array" ref="GH4">IFERROR(IF(XLOOKUP(CONCAT(GF4,GG4),'MASTER PLAN'!$AB:$AB,'MASTER PLAN'!$J:$J,0,0)=0,"",XLOOKUP(CONCAT(GF4,GG4),'MASTER PLAN'!$AB:$AB,'MASTER PLAN'!$J:$J,0,0)),"")</f>
        <v>BOLSA J-C- JEWELERS 10"X4"X8" -BLUE</v>
      </c>
      <c r="GI4" s="73">
        <f t="array" ref="GI4">IFERROR(IF(XLOOKUP(CONCAT(GF4,GG4),'PROCESOS PRD'!$J:$J,'PROCESOS PRD'!$H:$H,0,0)=0,"",XLOOKUP(CONCAT(GF4,GG4),'PROCESOS PRD'!$J:$J,'PROCESOS PRD'!$H:$H,0,0)),"")</f>
        <v>1800</v>
      </c>
      <c r="GJ4" s="71"/>
      <c r="GK4" s="32"/>
      <c r="GL4" s="72" t="str">
        <f t="array" ref="GL4">IFERROR(IF(XLOOKUP(CONCAT(GJ4,GK4),'MASTER PLAN'!$AB:$AB,'MASTER PLAN'!$J:$J,0,0)=0,"",XLOOKUP(CONCAT(GJ4,GK4),'MASTER PLAN'!$AB:$AB,'MASTER PLAN'!$J:$J,0,0)),"")</f>
        <v/>
      </c>
      <c r="GM4" s="73" t="str">
        <f t="array" ref="GM4">IFERROR(IF(XLOOKUP(CONCAT(GJ4,GK4),'PROCESOS PRD'!$J:$J,'PROCESOS PRD'!$H:$H,0,0)=0,"",XLOOKUP(CONCAT(GJ4,GK4),'PROCESOS PRD'!$J:$J,'PROCESOS PRD'!$H:$H,0,0)),"")</f>
        <v/>
      </c>
      <c r="GN4" s="70"/>
      <c r="GO4" s="71"/>
      <c r="GP4" s="32"/>
      <c r="GQ4" s="72" t="str">
        <f t="array" ref="GQ4">IFERROR(IF(XLOOKUP(CONCAT(GO4,GP4),'MASTER PLAN'!$AB:$AB,'MASTER PLAN'!$J:$J,0,0)=0,"",XLOOKUP(CONCAT(GO4,GP4),'MASTER PLAN'!$AB:$AB,'MASTER PLAN'!$J:$J,0,0)),"")</f>
        <v/>
      </c>
      <c r="GR4" s="73" t="str">
        <f t="array" ref="GR4">IFERROR(IF(XLOOKUP(CONCAT(GO4,GP4),'PROCESOS PRD'!$J:$J,'PROCESOS PRD'!$H:$H,0,0)=0,"",XLOOKUP(CONCAT(GO4,GP4),'PROCESOS PRD'!$J:$J,'PROCESOS PRD'!$H:$H,0,0)),"")</f>
        <v/>
      </c>
      <c r="GS4" s="71"/>
      <c r="GT4" s="32"/>
      <c r="GU4" s="72" t="str">
        <f t="array" ref="GU4">IFERROR(IF(XLOOKUP(CONCAT(GS4,GT4),'MASTER PLAN'!$AB:$AB,'MASTER PLAN'!$J:$J,0,0)=0,"",XLOOKUP(CONCAT(GS4,GT4),'MASTER PLAN'!$AB:$AB,'MASTER PLAN'!$J:$J,0,0)),"")</f>
        <v/>
      </c>
      <c r="GV4" s="73" t="str">
        <f t="array" ref="GV4">IFERROR(IF(XLOOKUP(CONCAT(GS4,GT4),'PROCESOS PRD'!$J:$J,'PROCESOS PRD'!$H:$H,0,0)=0,"",XLOOKUP(CONCAT(GS4,GT4),'PROCESOS PRD'!$J:$J,'PROCESOS PRD'!$H:$H,0,0)),"")</f>
        <v/>
      </c>
      <c r="GW4" s="71"/>
      <c r="GX4" s="32"/>
      <c r="GY4" s="72" t="str">
        <f t="array" ref="GY4">IFERROR(IF(XLOOKUP(CONCAT(GW4,GX4),'MASTER PLAN'!$AB:$AB,'MASTER PLAN'!$J:$J,0,0)=0,"",XLOOKUP(CONCAT(GW4,GX4),'MASTER PLAN'!$AB:$AB,'MASTER PLAN'!$J:$J,0,0)),"")</f>
        <v/>
      </c>
      <c r="GZ4" s="73" t="str">
        <f t="array" ref="GZ4">IFERROR(IF(XLOOKUP(CONCAT(GW4,GX4),'PROCESOS PRD'!$J:$J,'PROCESOS PRD'!$H:$H,0,0)=0,"",XLOOKUP(CONCAT(GW4,GX4),'PROCESOS PRD'!$J:$J,'PROCESOS PRD'!$H:$H,0,0)),"")</f>
        <v/>
      </c>
      <c r="HA4" s="71"/>
      <c r="HB4" s="32"/>
      <c r="HC4" s="72" t="str">
        <f t="array" ref="HC4">IFERROR(IF(XLOOKUP(CONCAT(HA4,HB4),'MASTER PLAN'!$AB:$AB,'MASTER PLAN'!$J:$J,0,0)=0,"",XLOOKUP(CONCAT(HA4,HB4),'MASTER PLAN'!$AB:$AB,'MASTER PLAN'!$J:$J,0,0)),"")</f>
        <v/>
      </c>
      <c r="HD4" s="73" t="str">
        <f t="array" ref="HD4">IFERROR(IF(XLOOKUP(CONCAT(HA4,HB4),'PROCESOS PRD'!$J:$J,'PROCESOS PRD'!$H:$H,0,0)=0,"",XLOOKUP(CONCAT(HA4,HB4),'PROCESOS PRD'!$J:$J,'PROCESOS PRD'!$H:$H,0,0)),"")</f>
        <v/>
      </c>
      <c r="HE4" s="71"/>
      <c r="HF4" s="32"/>
      <c r="HG4" s="72" t="str">
        <f t="array" ref="HG4">IFERROR(IF(XLOOKUP(CONCAT(HE4,HF4),'MASTER PLAN'!$AB:$AB,'MASTER PLAN'!$J:$J,0,0)=0,"",XLOOKUP(CONCAT(HE4,HF4),'MASTER PLAN'!$AB:$AB,'MASTER PLAN'!$J:$J,0,0)),"")</f>
        <v/>
      </c>
      <c r="HH4" s="73" t="str">
        <f t="array" ref="HH4">IFERROR(IF(XLOOKUP(CONCAT(HE4,HF4),'PROCESOS PRD'!$J:$J,'PROCESOS PRD'!$H:$H,0,0)=0,"",XLOOKUP(CONCAT(HE4,HF4),'PROCESOS PRD'!$J:$J,'PROCESOS PRD'!$H:$H,0,0)),"")</f>
        <v/>
      </c>
      <c r="HI4" s="71"/>
      <c r="HJ4" s="32"/>
      <c r="HK4" s="72" t="str">
        <f t="array" ref="HK4">IFERROR(IF(XLOOKUP(CONCAT(HI4,HJ4),'MASTER PLAN'!$AB:$AB,'MASTER PLAN'!$J:$J,0,0)=0,"",XLOOKUP(CONCAT(HI4,HJ4),'MASTER PLAN'!$AB:$AB,'MASTER PLAN'!$J:$J,0,0)),"")</f>
        <v/>
      </c>
      <c r="HL4" s="73" t="str">
        <f t="array" ref="HL4">IFERROR(IF(XLOOKUP(CONCAT(HI4,HJ4),'PROCESOS PRD'!$J:$J,'PROCESOS PRD'!$H:$H,0,0)=0,"",XLOOKUP(CONCAT(HI4,HJ4),'PROCESOS PRD'!$J:$J,'PROCESOS PRD'!$H:$H,0,0)),"")</f>
        <v/>
      </c>
      <c r="HM4" s="70"/>
      <c r="HN4" s="71"/>
      <c r="HO4" s="32"/>
      <c r="HP4" s="72" t="str">
        <f t="array" ref="HP4">IFERROR(IF(XLOOKUP(CONCAT(HN4,HO4),'MASTER PLAN'!$AB:$AB,'MASTER PLAN'!$J:$J,0,0)=0,"",XLOOKUP(CONCAT(HN4,HO4),'MASTER PLAN'!$AB:$AB,'MASTER PLAN'!$J:$J,0,0)),"")</f>
        <v/>
      </c>
      <c r="HQ4" s="73" t="str">
        <f t="array" ref="HQ4">IFERROR(IF(XLOOKUP(CONCAT(HN4,HO4),'PROCESOS PRD'!$J:$J,'PROCESOS PRD'!$H:$H,0,0)=0,"",XLOOKUP(CONCAT(HN4,HO4),'PROCESOS PRD'!$J:$J,'PROCESOS PRD'!$H:$H,0,0)),"")</f>
        <v/>
      </c>
      <c r="HR4" s="71"/>
      <c r="HS4" s="32"/>
      <c r="HT4" s="72" t="str">
        <f t="array" ref="HT4">IFERROR(IF(XLOOKUP(CONCAT(HR4,HS4),'MASTER PLAN'!$AB:$AB,'MASTER PLAN'!$J:$J,0,0)=0,"",XLOOKUP(CONCAT(HR4,HS4),'MASTER PLAN'!$AB:$AB,'MASTER PLAN'!$J:$J,0,0)),"")</f>
        <v/>
      </c>
      <c r="HU4" s="73" t="str">
        <f t="array" ref="HU4">IFERROR(IF(XLOOKUP(CONCAT(HR4,HS4),'PROCESOS PRD'!$J:$J,'PROCESOS PRD'!$H:$H,0,0)=0,"",XLOOKUP(CONCAT(HR4,HS4),'PROCESOS PRD'!$J:$J,'PROCESOS PRD'!$H:$H,0,0)),"")</f>
        <v/>
      </c>
      <c r="HV4" s="71"/>
      <c r="HW4" s="32"/>
      <c r="HX4" s="72" t="str">
        <f t="array" ref="HX4">IFERROR(IF(XLOOKUP(CONCAT(HV4,HW4),'MASTER PLAN'!$AB:$AB,'MASTER PLAN'!$J:$J,0,0)=0,"",XLOOKUP(CONCAT(HV4,HW4),'MASTER PLAN'!$AB:$AB,'MASTER PLAN'!$J:$J,0,0)),"")</f>
        <v/>
      </c>
      <c r="HY4" s="73" t="str">
        <f t="array" ref="HY4">IFERROR(IF(XLOOKUP(CONCAT(HV4,HW4),'PROCESOS PRD'!$J:$J,'PROCESOS PRD'!$H:$H,0,0)=0,"",XLOOKUP(CONCAT(HV4,HW4),'PROCESOS PRD'!$J:$J,'PROCESOS PRD'!$H:$H,0,0)),"")</f>
        <v/>
      </c>
      <c r="HZ4" s="71"/>
      <c r="IA4" s="32"/>
      <c r="IB4" s="72" t="str">
        <f t="array" ref="IB4">IFERROR(IF(XLOOKUP(CONCAT(HZ4,IA4),'MASTER PLAN'!$AB:$AB,'MASTER PLAN'!$J:$J,0,0)=0,"",XLOOKUP(CONCAT(HZ4,IA4),'MASTER PLAN'!$AB:$AB,'MASTER PLAN'!$J:$J,0,0)),"")</f>
        <v/>
      </c>
      <c r="IC4" s="73" t="str">
        <f t="array" ref="IC4">IFERROR(IF(XLOOKUP(CONCAT(HZ4,IA4),'PROCESOS PRD'!$J:$J,'PROCESOS PRD'!$H:$H,0,0)=0,"",XLOOKUP(CONCAT(HZ4,IA4),'PROCESOS PRD'!$J:$J,'PROCESOS PRD'!$H:$H,0,0)),"")</f>
        <v/>
      </c>
      <c r="ID4" s="71"/>
      <c r="IE4" s="32"/>
      <c r="IF4" s="72" t="str">
        <f t="array" ref="IF4">IFERROR(IF(XLOOKUP(CONCAT(ID4,IE4),'MASTER PLAN'!$AB:$AB,'MASTER PLAN'!$J:$J,0,0)=0,"",XLOOKUP(CONCAT(ID4,IE4),'MASTER PLAN'!$AB:$AB,'MASTER PLAN'!$J:$J,0,0)),"")</f>
        <v/>
      </c>
      <c r="IG4" s="73" t="str">
        <f t="array" ref="IG4">IFERROR(IF(XLOOKUP(CONCAT(ID4,IE4),'PROCESOS PRD'!$J:$J,'PROCESOS PRD'!$H:$H,0,0)=0,"",XLOOKUP(CONCAT(ID4,IE4),'PROCESOS PRD'!$J:$J,'PROCESOS PRD'!$H:$H,0,0)),"")</f>
        <v/>
      </c>
      <c r="IH4" s="71"/>
      <c r="II4" s="32"/>
      <c r="IJ4" s="72" t="str">
        <f t="array" ref="IJ4">IFERROR(IF(XLOOKUP(CONCAT(IH4,II4),'MASTER PLAN'!$AB:$AB,'MASTER PLAN'!$J:$J,0,0)=0,"",XLOOKUP(CONCAT(IH4,II4),'MASTER PLAN'!$AB:$AB,'MASTER PLAN'!$J:$J,0,0)),"")</f>
        <v/>
      </c>
      <c r="IK4" s="73" t="str">
        <f t="array" ref="IK4">IFERROR(IF(XLOOKUP(CONCAT(IH4,II4),'PROCESOS PRD'!$J:$J,'PROCESOS PRD'!$H:$H,0,0)=0,"",XLOOKUP(CONCAT(IH4,II4),'PROCESOS PRD'!$J:$J,'PROCESOS PRD'!$H:$H,0,0)),"")</f>
        <v/>
      </c>
      <c r="IL4" s="70"/>
      <c r="IM4" s="71"/>
      <c r="IN4" s="32"/>
      <c r="IO4" s="72" t="str">
        <f t="array" ref="IO4">IFERROR(IF(XLOOKUP(CONCAT(IM4,IN4),'MASTER PLAN'!$AB:$AB,'MASTER PLAN'!$J:$J,0,0)=0,"",XLOOKUP(CONCAT(IM4,IN4),'MASTER PLAN'!$AB:$AB,'MASTER PLAN'!$J:$J,0,0)),"")</f>
        <v/>
      </c>
      <c r="IP4" s="73" t="str">
        <f t="array" ref="IP4">IFERROR(IF(XLOOKUP(CONCAT(IM4,IN4),'PROCESOS PRD'!$J:$J,'PROCESOS PRD'!$H:$H,0,0)=0,"",XLOOKUP(CONCAT(IM4,IN4),'PROCESOS PRD'!$J:$J,'PROCESOS PRD'!$H:$H,0,0)),"")</f>
        <v/>
      </c>
      <c r="IQ4" s="71"/>
      <c r="IR4" s="32"/>
      <c r="IS4" s="72" t="str">
        <f t="array" ref="IS4">IFERROR(IF(XLOOKUP(CONCAT(IQ4,IR4),'MASTER PLAN'!$AB:$AB,'MASTER PLAN'!$J:$J,0,0)=0,"",XLOOKUP(CONCAT(IQ4,IR4),'MASTER PLAN'!$AB:$AB,'MASTER PLAN'!$J:$J,0,0)),"")</f>
        <v/>
      </c>
      <c r="IT4" s="73" t="str">
        <f t="array" ref="IT4">IFERROR(IF(XLOOKUP(CONCAT(IQ4,IR4),'PROCESOS PRD'!$J:$J,'PROCESOS PRD'!$H:$H,0,0)=0,"",XLOOKUP(CONCAT(IQ4,IR4),'PROCESOS PRD'!$J:$J,'PROCESOS PRD'!$H:$H,0,0)),"")</f>
        <v/>
      </c>
      <c r="IU4" s="71"/>
      <c r="IV4" s="32"/>
      <c r="IW4" s="72" t="str">
        <f t="array" ref="IW4">IFERROR(IF(XLOOKUP(CONCAT(IU4,IV4),'MASTER PLAN'!$AB:$AB,'MASTER PLAN'!$J:$J,0,0)=0,"",XLOOKUP(CONCAT(IU4,IV4),'MASTER PLAN'!$AB:$AB,'MASTER PLAN'!$J:$J,0,0)),"")</f>
        <v/>
      </c>
      <c r="IX4" s="73" t="str">
        <f t="array" ref="IX4">IFERROR(IF(XLOOKUP(CONCAT(IU4,IV4),'PROCESOS PRD'!$J:$J,'PROCESOS PRD'!$H:$H,0,0)=0,"",XLOOKUP(CONCAT(IU4,IV4),'PROCESOS PRD'!$J:$J,'PROCESOS PRD'!$H:$H,0,0)),"")</f>
        <v/>
      </c>
      <c r="IY4" s="71"/>
      <c r="IZ4" s="32"/>
      <c r="JA4" s="72" t="str">
        <f t="array" ref="JA4">IFERROR(IF(XLOOKUP(CONCAT(IY4,IZ4),'MASTER PLAN'!$AB:$AB,'MASTER PLAN'!$J:$J,0,0)=0,"",XLOOKUP(CONCAT(IY4,IZ4),'MASTER PLAN'!$AB:$AB,'MASTER PLAN'!$J:$J,0,0)),"")</f>
        <v/>
      </c>
      <c r="JB4" s="73" t="str">
        <f t="array" ref="JB4">IFERROR(IF(XLOOKUP(CONCAT(IY4,IZ4),'PROCESOS PRD'!$J:$J,'PROCESOS PRD'!$H:$H,0,0)=0,"",XLOOKUP(CONCAT(IY4,IZ4),'PROCESOS PRD'!$J:$J,'PROCESOS PRD'!$H:$H,0,0)),"")</f>
        <v/>
      </c>
      <c r="JC4" s="71"/>
      <c r="JD4" s="32"/>
      <c r="JE4" s="72" t="str">
        <f t="array" ref="JE4">IFERROR(IF(XLOOKUP(CONCAT(JC4,JD4),'MASTER PLAN'!$AB:$AB,'MASTER PLAN'!$J:$J,0,0)=0,"",XLOOKUP(CONCAT(JC4,JD4),'MASTER PLAN'!$AB:$AB,'MASTER PLAN'!$J:$J,0,0)),"")</f>
        <v/>
      </c>
      <c r="JF4" s="73" t="str">
        <f t="array" ref="JF4">IFERROR(IF(XLOOKUP(CONCAT(JC4,JD4),'PROCESOS PRD'!$J:$J,'PROCESOS PRD'!$H:$H,0,0)=0,"",XLOOKUP(CONCAT(JC4,JD4),'PROCESOS PRD'!$J:$J,'PROCESOS PRD'!$H:$H,0,0)),"")</f>
        <v/>
      </c>
      <c r="JG4" s="71"/>
      <c r="JH4" s="32"/>
      <c r="JI4" s="72" t="str">
        <f t="array" ref="JI4">IFERROR(IF(XLOOKUP(CONCAT(JG4,JH4),'MASTER PLAN'!$AB:$AB,'MASTER PLAN'!$J:$J,0,0)=0,"",XLOOKUP(CONCAT(JG4,JH4),'MASTER PLAN'!$AB:$AB,'MASTER PLAN'!$J:$J,0,0)),"")</f>
        <v/>
      </c>
      <c r="JJ4" s="73" t="str">
        <f t="array" ref="JJ4">IFERROR(IF(XLOOKUP(CONCAT(JG4,JH4),'PROCESOS PRD'!$J:$J,'PROCESOS PRD'!$H:$H,0,0)=0,"",XLOOKUP(CONCAT(JG4,JH4),'PROCESOS PRD'!$J:$J,'PROCESOS PRD'!$H:$H,0,0)),"")</f>
        <v/>
      </c>
      <c r="JK4" s="70"/>
      <c r="JL4" s="71"/>
      <c r="JM4" s="32"/>
      <c r="JN4" s="72" t="str">
        <f t="array" ref="JN4">IFERROR(IF(XLOOKUP(CONCAT(JL4,JM4),'MASTER PLAN'!$AB:$AB,'MASTER PLAN'!$J:$J,0,0)=0,"",XLOOKUP(CONCAT(JL4,JM4),'MASTER PLAN'!$AB:$AB,'MASTER PLAN'!$J:$J,0,0)),"")</f>
        <v/>
      </c>
      <c r="JO4" s="73" t="str">
        <f t="array" ref="JO4">IFERROR(IF(XLOOKUP(CONCAT(JL4,JM4),'PROCESOS PRD'!$J:$J,'PROCESOS PRD'!$H:$H,0,0)=0,"",XLOOKUP(CONCAT(JL4,JM4),'PROCESOS PRD'!$J:$J,'PROCESOS PRD'!$H:$H,0,0)),"")</f>
        <v/>
      </c>
      <c r="JP4" s="71"/>
      <c r="JQ4" s="32"/>
      <c r="JR4" s="72" t="str">
        <f t="array" ref="JR4">IFERROR(IF(XLOOKUP(CONCAT(JP4,JQ4),'MASTER PLAN'!$AB:$AB,'MASTER PLAN'!$J:$J,0,0)=0,"",XLOOKUP(CONCAT(JP4,JQ4),'MASTER PLAN'!$AB:$AB,'MASTER PLAN'!$J:$J,0,0)),"")</f>
        <v/>
      </c>
      <c r="JS4" s="73" t="str">
        <f t="array" ref="JS4">IFERROR(IF(XLOOKUP(CONCAT(JP4,JQ4),'PROCESOS PRD'!$J:$J,'PROCESOS PRD'!$H:$H,0,0)=0,"",XLOOKUP(CONCAT(JP4,JQ4),'PROCESOS PRD'!$J:$J,'PROCESOS PRD'!$H:$H,0,0)),"")</f>
        <v/>
      </c>
      <c r="JT4" s="71"/>
      <c r="JU4" s="32"/>
      <c r="JV4" s="72" t="str">
        <f t="array" ref="JV4">IFERROR(IF(XLOOKUP(CONCAT(JT4,JU4),'MASTER PLAN'!$AB:$AB,'MASTER PLAN'!$J:$J,0,0)=0,"",XLOOKUP(CONCAT(JT4,JU4),'MASTER PLAN'!$AB:$AB,'MASTER PLAN'!$J:$J,0,0)),"")</f>
        <v/>
      </c>
      <c r="JW4" s="73" t="str">
        <f t="array" ref="JW4">IFERROR(IF(XLOOKUP(CONCAT(JT4,JU4),'PROCESOS PRD'!$J:$J,'PROCESOS PRD'!$H:$H,0,0)=0,"",XLOOKUP(CONCAT(JT4,JU4),'PROCESOS PRD'!$J:$J,'PROCESOS PRD'!$H:$H,0,0)),"")</f>
        <v/>
      </c>
      <c r="JX4" s="71"/>
      <c r="JY4" s="32"/>
      <c r="JZ4" s="72" t="str">
        <f t="array" ref="JZ4">IFERROR(IF(XLOOKUP(CONCAT(JX4,JY4),'MASTER PLAN'!$AB:$AB,'MASTER PLAN'!$J:$J,0,0)=0,"",XLOOKUP(CONCAT(JX4,JY4),'MASTER PLAN'!$AB:$AB,'MASTER PLAN'!$J:$J,0,0)),"")</f>
        <v/>
      </c>
      <c r="KA4" s="73" t="str">
        <f t="array" ref="KA4">IFERROR(IF(XLOOKUP(CONCAT(JX4,JY4),'PROCESOS PRD'!$J:$J,'PROCESOS PRD'!$H:$H,0,0)=0,"",XLOOKUP(CONCAT(JX4,JY4),'PROCESOS PRD'!$J:$J,'PROCESOS PRD'!$H:$H,0,0)),"")</f>
        <v/>
      </c>
      <c r="KB4" s="71"/>
      <c r="KC4" s="32"/>
      <c r="KD4" s="72" t="str">
        <f t="array" ref="KD4">IFERROR(IF(XLOOKUP(CONCAT(KB4,KC4),'MASTER PLAN'!$AB:$AB,'MASTER PLAN'!$J:$J,0,0)=0,"",XLOOKUP(CONCAT(KB4,KC4),'MASTER PLAN'!$AB:$AB,'MASTER PLAN'!$J:$J,0,0)),"")</f>
        <v/>
      </c>
      <c r="KE4" s="73" t="str">
        <f t="array" ref="KE4">IFERROR(IF(XLOOKUP(CONCAT(KB4,KC4),'PROCESOS PRD'!$J:$J,'PROCESOS PRD'!$H:$H,0,0)=0,"",XLOOKUP(CONCAT(KB4,KC4),'PROCESOS PRD'!$J:$J,'PROCESOS PRD'!$H:$H,0,0)),"")</f>
        <v/>
      </c>
      <c r="KF4" s="71"/>
      <c r="KG4" s="32"/>
      <c r="KH4" s="72" t="str">
        <f t="array" ref="KH4">IFERROR(IF(XLOOKUP(CONCAT(KF4,KG4),'MASTER PLAN'!$AB:$AB,'MASTER PLAN'!$J:$J,0,0)=0,"",XLOOKUP(CONCAT(KF4,KG4),'MASTER PLAN'!$AB:$AB,'MASTER PLAN'!$J:$J,0,0)),"")</f>
        <v/>
      </c>
      <c r="KI4" s="73" t="str">
        <f t="array" ref="KI4">IFERROR(IF(XLOOKUP(CONCAT(KF4,KG4),'PROCESOS PRD'!$J:$J,'PROCESOS PRD'!$H:$H,0,0)=0,"",XLOOKUP(CONCAT(KF4,KG4),'PROCESOS PRD'!$J:$J,'PROCESOS PRD'!$H:$H,0,0)),"")</f>
        <v/>
      </c>
      <c r="KJ4" s="70"/>
      <c r="KK4" s="70"/>
      <c r="KL4" s="70"/>
      <c r="KM4" s="70"/>
      <c r="KN4" s="70"/>
      <c r="KO4" s="70"/>
      <c r="KP4" s="70"/>
      <c r="KQ4" s="70"/>
      <c r="KR4" s="70"/>
      <c r="KS4" s="70"/>
      <c r="KT4" s="70"/>
      <c r="KU4" s="70"/>
      <c r="KV4" s="70"/>
      <c r="KW4" s="70"/>
      <c r="KX4" s="70"/>
      <c r="KY4" s="70"/>
      <c r="KZ4" s="70"/>
      <c r="LA4" s="70"/>
      <c r="LB4" s="70"/>
      <c r="LC4" s="70"/>
    </row>
    <row r="5">
      <c r="A5" s="42"/>
      <c r="B5" s="74"/>
      <c r="C5" s="69"/>
      <c r="D5" s="70"/>
      <c r="E5" s="71"/>
      <c r="F5" s="32"/>
      <c r="G5" s="72" t="str">
        <f t="array" ref="G5">IFERROR(IF(XLOOKUP(CONCAT(E5,F5),'MASTER PLAN'!$AB:$AB,'MASTER PLAN'!$J:$J,0,0)=0,"",XLOOKUP(CONCAT(E5,F5),'MASTER PLAN'!$AB:$AB,'MASTER PLAN'!$J:$J,0,0)),"")</f>
        <v/>
      </c>
      <c r="H5" s="73" t="str">
        <f t="array" ref="H5">IFERROR(IF(XLOOKUP(CONCAT(E5,F5),'PROCESOS PRD'!$J:$J,'PROCESOS PRD'!$H:$H,0,0)=0,"",XLOOKUP(CONCAT(E5,F5),'PROCESOS PRD'!$J:$J,'PROCESOS PRD'!$H:$H,0,0)),"")</f>
        <v/>
      </c>
      <c r="I5" s="71"/>
      <c r="J5" s="32"/>
      <c r="K5" s="72" t="str">
        <f t="array" ref="K5">IFERROR(IF(XLOOKUP(CONCAT(I5,J5),'MASTER PLAN'!$AB:$AB,'MASTER PLAN'!$J:$J,0,0)=0,"",XLOOKUP(CONCAT(I5,J5),'MASTER PLAN'!$AB:$AB,'MASTER PLAN'!$J:$J,0,0)),"")</f>
        <v/>
      </c>
      <c r="L5" s="73" t="str">
        <f t="array" ref="L5">IFERROR(IF(XLOOKUP(CONCAT(I5,J5),'PROCESOS PRD'!$J:$J,'PROCESOS PRD'!$H:$H,0,0)=0,"",XLOOKUP(CONCAT(I5,J5),'PROCESOS PRD'!$J:$J,'PROCESOS PRD'!$H:$H,0,0)),"")</f>
        <v/>
      </c>
      <c r="M5" s="71"/>
      <c r="N5" s="32"/>
      <c r="O5" s="72" t="str">
        <f t="array" ref="O5">IFERROR(IF(XLOOKUP(CONCAT(M5,N5),'MASTER PLAN'!$AB:$AB,'MASTER PLAN'!$J:$J,0,0)=0,"",XLOOKUP(CONCAT(M5,N5),'MASTER PLAN'!$AB:$AB,'MASTER PLAN'!$J:$J,0,0)),"")</f>
        <v/>
      </c>
      <c r="P5" s="73" t="str">
        <f t="array" ref="P5">IFERROR(IF(XLOOKUP(CONCAT(M5,N5),'PROCESOS PRD'!$J:$J,'PROCESOS PRD'!$H:$H,0,0)=0,"",XLOOKUP(CONCAT(M5,N5),'PROCESOS PRD'!$J:$J,'PROCESOS PRD'!$H:$H,0,0)),"")</f>
        <v/>
      </c>
      <c r="Q5" s="71"/>
      <c r="R5" s="32"/>
      <c r="S5" s="72" t="str">
        <f t="array" ref="S5">IFERROR(IF(XLOOKUP(CONCAT(Q5,R5),'MASTER PLAN'!$AB:$AB,'MASTER PLAN'!$J:$J,0,0)=0,"",XLOOKUP(CONCAT(Q5,R5),'MASTER PLAN'!$AB:$AB,'MASTER PLAN'!$J:$J,0,0)),"")</f>
        <v/>
      </c>
      <c r="T5" s="73" t="str">
        <f t="array" ref="T5">IFERROR(IF(XLOOKUP(CONCAT(Q5,R5),'PROCESOS PRD'!$J:$J,'PROCESOS PRD'!$H:$H,0,0)=0,"",XLOOKUP(CONCAT(Q5,R5),'PROCESOS PRD'!$J:$J,'PROCESOS PRD'!$H:$H,0,0)),"")</f>
        <v/>
      </c>
      <c r="U5" s="70"/>
      <c r="V5" s="71"/>
      <c r="W5" s="32"/>
      <c r="X5" s="72" t="str">
        <f t="array" ref="X5">IFERROR(IF(XLOOKUP(CONCAT(V5,W5),'MASTER PLAN'!$AB:$AB,'MASTER PLAN'!$J:$J,0,0)=0,"",XLOOKUP(CONCAT(V5,W5),'MASTER PLAN'!$AB:$AB,'MASTER PLAN'!$J:$J,0,0)),"")</f>
        <v/>
      </c>
      <c r="Y5" s="73" t="str">
        <f t="array" ref="Y5">IFERROR(IF(XLOOKUP(CONCAT(V5,W5),'PROCESOS PRD'!$J:$J,'PROCESOS PRD'!$H:$H,0,0)=0,"",XLOOKUP(CONCAT(V5,W5),'PROCESOS PRD'!$J:$J,'PROCESOS PRD'!$H:$H,0,0)),"")</f>
        <v/>
      </c>
      <c r="Z5" s="71"/>
      <c r="AA5" s="32"/>
      <c r="AB5" s="72" t="str">
        <f t="array" ref="AB5">IFERROR(IF(XLOOKUP(CONCAT(Z5,AA5),'MASTER PLAN'!$AB:$AB,'MASTER PLAN'!$J:$J,0,0)=0,"",XLOOKUP(CONCAT(Z5,AA5),'MASTER PLAN'!$AB:$AB,'MASTER PLAN'!$J:$J,0,0)),"")</f>
        <v/>
      </c>
      <c r="AC5" s="73" t="str">
        <f t="array" ref="AC5">IFERROR(IF(XLOOKUP(CONCAT(Z5,AA5),'PROCESOS PRD'!$J:$J,'PROCESOS PRD'!$H:$H,0,0)=0,"",XLOOKUP(CONCAT(Z5,AA5),'PROCESOS PRD'!$J:$J,'PROCESOS PRD'!$H:$H,0,0)),"")</f>
        <v/>
      </c>
      <c r="AD5" s="71"/>
      <c r="AE5" s="32"/>
      <c r="AF5" s="72" t="str">
        <f t="array" ref="AF5">IFERROR(IF(XLOOKUP(CONCAT(AD5,AE5),'MASTER PLAN'!$AB:$AB,'MASTER PLAN'!$J:$J,0,0)=0,"",XLOOKUP(CONCAT(AD5,AE5),'MASTER PLAN'!$AB:$AB,'MASTER PLAN'!$J:$J,0,0)),"")</f>
        <v/>
      </c>
      <c r="AG5" s="73" t="str">
        <f t="array" ref="AG5">IFERROR(IF(XLOOKUP(CONCAT(AD5,AE5),'PROCESOS PRD'!$J:$J,'PROCESOS PRD'!$H:$H,0,0)=0,"",XLOOKUP(CONCAT(AD5,AE5),'PROCESOS PRD'!$J:$J,'PROCESOS PRD'!$H:$H,0,0)),"")</f>
        <v/>
      </c>
      <c r="AH5" s="71">
        <v>1.402049286E9</v>
      </c>
      <c r="AI5" s="32">
        <v>20.0</v>
      </c>
      <c r="AJ5" s="72" t="str">
        <f t="array" ref="AJ5">IFERROR(IF(XLOOKUP(CONCAT(AH5,AI5),'MASTER PLAN'!$AB:$AB,'MASTER PLAN'!$J:$J,0,0)=0,"",XLOOKUP(CONCAT(AH5,AI5),'MASTER PLAN'!$AB:$AB,'MASTER PLAN'!$J:$J,0,0)),"")</f>
        <v>BOLSA HUNTINGTON 8"X4"X10"</v>
      </c>
      <c r="AK5" s="73">
        <f t="array" ref="AK5">IFERROR(IF(XLOOKUP(CONCAT(AH5,AI5),'PROCESOS PRD'!$J:$J,'PROCESOS PRD'!$H:$H,0,0)=0,"",XLOOKUP(CONCAT(AH5,AI5),'PROCESOS PRD'!$J:$J,'PROCESOS PRD'!$H:$H,0,0)),"")</f>
        <v>2160</v>
      </c>
      <c r="AL5" s="71">
        <v>1.402049419E9</v>
      </c>
      <c r="AM5" s="32">
        <v>10.0</v>
      </c>
      <c r="AN5" s="72" t="str">
        <f t="array" ref="AN5">IFERROR(IF(XLOOKUP(CONCAT(AL5,AM5),'MASTER PLAN'!$AB:$AB,'MASTER PLAN'!$J:$J,0,0)=0,"",XLOOKUP(CONCAT(AL5,AM5),'MASTER PLAN'!$AB:$AB,'MASTER PLAN'!$J:$J,0,0)),"")</f>
        <v>BOLSA COMERCIAL SORIA 10X4X8 IN FC</v>
      </c>
      <c r="AO5" s="73">
        <f t="array" ref="AO5">IFERROR(IF(XLOOKUP(CONCAT(AL5,AM5),'PROCESOS PRD'!$J:$J,'PROCESOS PRD'!$H:$H,0,0)=0,"",XLOOKUP(CONCAT(AL5,AM5),'PROCESOS PRD'!$J:$J,'PROCESOS PRD'!$H:$H,0,0)),"")</f>
        <v>1800</v>
      </c>
      <c r="AP5" s="71"/>
      <c r="AQ5" s="32"/>
      <c r="AR5" s="72" t="str">
        <f t="array" ref="AR5">IFERROR(IF(XLOOKUP(CONCAT(AP5,AQ5),'MASTER PLAN'!$AB:$AB,'MASTER PLAN'!$J:$J,0,0)=0,"",XLOOKUP(CONCAT(AP5,AQ5),'MASTER PLAN'!$AB:$AB,'MASTER PLAN'!$J:$J,0,0)),"")</f>
        <v/>
      </c>
      <c r="AS5" s="73" t="str">
        <f t="array" ref="AS5">IFERROR(IF(XLOOKUP(CONCAT(AP5,AQ5),'PROCESOS PRD'!$J:$J,'PROCESOS PRD'!$H:$H,0,0)=0,"",XLOOKUP(CONCAT(AP5,AQ5),'PROCESOS PRD'!$J:$J,'PROCESOS PRD'!$H:$H,0,0)),"")</f>
        <v/>
      </c>
      <c r="AT5" s="70"/>
      <c r="AU5" s="71"/>
      <c r="AV5" s="32"/>
      <c r="AW5" s="72" t="str">
        <f t="array" ref="AW5">IFERROR(IF(XLOOKUP(CONCAT(AU5,AV5),'MASTER PLAN'!$AB:$AB,'MASTER PLAN'!$J:$J,0,0)=0,"",XLOOKUP(CONCAT(AU5,AV5),'MASTER PLAN'!$AB:$AB,'MASTER PLAN'!$J:$J,0,0)),"")</f>
        <v/>
      </c>
      <c r="AX5" s="73" t="str">
        <f t="array" ref="AX5">IFERROR(IF(XLOOKUP(CONCAT(AU5,AV5),'PROCESOS PRD'!$J:$J,'PROCESOS PRD'!$H:$H,0,0)=0,"",XLOOKUP(CONCAT(AU5,AV5),'PROCESOS PRD'!$J:$J,'PROCESOS PRD'!$H:$H,0,0)),"")</f>
        <v/>
      </c>
      <c r="AY5" s="71"/>
      <c r="AZ5" s="32"/>
      <c r="BA5" s="72" t="str">
        <f t="array" ref="BA5">IFERROR(IF(XLOOKUP(CONCAT(AY5,AZ5),'MASTER PLAN'!$AB:$AB,'MASTER PLAN'!$J:$J,0,0)=0,"",XLOOKUP(CONCAT(AY5,AZ5),'MASTER PLAN'!$AB:$AB,'MASTER PLAN'!$J:$J,0,0)),"")</f>
        <v/>
      </c>
      <c r="BB5" s="73" t="str">
        <f t="array" ref="BB5">IFERROR(IF(XLOOKUP(CONCAT(AY5,AZ5),'PROCESOS PRD'!$J:$J,'PROCESOS PRD'!$H:$H,0,0)=0,"",XLOOKUP(CONCAT(AY5,AZ5),'PROCESOS PRD'!$J:$J,'PROCESOS PRD'!$H:$H,0,0)),"")</f>
        <v/>
      </c>
      <c r="BC5" s="71"/>
      <c r="BD5" s="32"/>
      <c r="BE5" s="72" t="str">
        <f t="array" ref="BE5">IFERROR(IF(XLOOKUP(CONCAT(BC5,BD5),'MASTER PLAN'!$AB:$AB,'MASTER PLAN'!$J:$J,0,0)=0,"",XLOOKUP(CONCAT(BC5,BD5),'MASTER PLAN'!$AB:$AB,'MASTER PLAN'!$J:$J,0,0)),"")</f>
        <v/>
      </c>
      <c r="BF5" s="73" t="str">
        <f t="array" ref="BF5">IFERROR(IF(XLOOKUP(CONCAT(BC5,BD5),'PROCESOS PRD'!$J:$J,'PROCESOS PRD'!$H:$H,0,0)=0,"",XLOOKUP(CONCAT(BC5,BD5),'PROCESOS PRD'!$J:$J,'PROCESOS PRD'!$H:$H,0,0)),"")</f>
        <v/>
      </c>
      <c r="BG5" s="71">
        <v>1.402049318E9</v>
      </c>
      <c r="BH5" s="32">
        <v>20.0</v>
      </c>
      <c r="BI5" s="72" t="str">
        <f t="array" ref="BI5">IFERROR(IF(XLOOKUP(CONCAT(BG5,BH5),'MASTER PLAN'!$AB:$AB,'MASTER PLAN'!$J:$J,0,0)=0,"",XLOOKUP(CONCAT(BG5,BH5),'MASTER PLAN'!$AB:$AB,'MASTER PLAN'!$J:$J,0,0)),"")</f>
        <v>BOLSA WATERFALL JEWELERS 8"X4"X10"</v>
      </c>
      <c r="BJ5" s="73">
        <f t="array" ref="BJ5">IFERROR(IF(XLOOKUP(CONCAT(BG5,BH5),'PROCESOS PRD'!$J:$J,'PROCESOS PRD'!$H:$H,0,0)=0,"",XLOOKUP(CONCAT(BG5,BH5),'PROCESOS PRD'!$J:$J,'PROCESOS PRD'!$H:$H,0,0)),"")</f>
        <v>4800</v>
      </c>
      <c r="BK5" s="71">
        <v>1.40204948E9</v>
      </c>
      <c r="BL5" s="32">
        <v>20.0</v>
      </c>
      <c r="BM5" s="72" t="str">
        <f t="array" ref="BM5">IFERROR(IF(XLOOKUP(CONCAT(BK5,BL5),'MASTER PLAN'!$AB:$AB,'MASTER PLAN'!$J:$J,0,0)=0,"",XLOOKUP(CONCAT(BK5,BL5),'MASTER PLAN'!$AB:$AB,'MASTER PLAN'!$J:$J,0,0)),"")</f>
        <v>BOLSA LEE BRANT  8"X4"X10"</v>
      </c>
      <c r="BN5" s="73">
        <f t="array" ref="BN5">IFERROR(IF(XLOOKUP(CONCAT(BK5,BL5),'PROCESOS PRD'!$J:$J,'PROCESOS PRD'!$H:$H,0,0)=0,"",XLOOKUP(CONCAT(BK5,BL5),'PROCESOS PRD'!$J:$J,'PROCESOS PRD'!$H:$H,0,0)),"")</f>
        <v>1200</v>
      </c>
      <c r="BO5" s="71"/>
      <c r="BP5" s="32"/>
      <c r="BQ5" s="72" t="str">
        <f t="array" ref="BQ5">IFERROR(IF(XLOOKUP(CONCAT(BO5,BP5),'MASTER PLAN'!$AB:$AB,'MASTER PLAN'!$J:$J,0,0)=0,"",XLOOKUP(CONCAT(BO5,BP5),'MASTER PLAN'!$AB:$AB,'MASTER PLAN'!$J:$J,0,0)),"")</f>
        <v/>
      </c>
      <c r="BR5" s="73" t="str">
        <f t="array" ref="BR5">IFERROR(IF(XLOOKUP(CONCAT(BO5,BP5),'PROCESOS PRD'!$J:$J,'PROCESOS PRD'!$H:$H,0,0)=0,"",XLOOKUP(CONCAT(BO5,BP5),'PROCESOS PRD'!$J:$J,'PROCESOS PRD'!$H:$H,0,0)),"")</f>
        <v/>
      </c>
      <c r="BS5" s="70"/>
      <c r="BT5" s="71">
        <v>1.402049521E9</v>
      </c>
      <c r="BU5" s="32">
        <v>10.0</v>
      </c>
      <c r="BV5" s="72" t="str">
        <f t="array" ref="BV5">IFERROR(IF(XLOOKUP(CONCAT(BT5,BU5),'MASTER PLAN'!$AB:$AB,'MASTER PLAN'!$J:$J,0,0)=0,"",XLOOKUP(CONCAT(BT5,BU5),'MASTER PLAN'!$AB:$AB,'MASTER PLAN'!$J:$J,0,0)),"")</f>
        <v>BOLSA THE GEM LAB 6-5X3-5X6-5</v>
      </c>
      <c r="BW5" s="73">
        <f t="array" ref="BW5">IFERROR(IF(XLOOKUP(CONCAT(BT5,BU5),'PROCESOS PRD'!$J:$J,'PROCESOS PRD'!$H:$H,0,0)=0,"",XLOOKUP(CONCAT(BT5,BU5),'PROCESOS PRD'!$J:$J,'PROCESOS PRD'!$H:$H,0,0)),"")</f>
        <v>3000</v>
      </c>
      <c r="BX5" s="71"/>
      <c r="BY5" s="32"/>
      <c r="BZ5" s="72" t="str">
        <f t="array" ref="BZ5">IFERROR(IF(XLOOKUP(CONCAT(BX5,BY5),'MASTER PLAN'!$AB:$AB,'MASTER PLAN'!$J:$J,0,0)=0,"",XLOOKUP(CONCAT(BX5,BY5),'MASTER PLAN'!$AB:$AB,'MASTER PLAN'!$J:$J,0,0)),"")</f>
        <v/>
      </c>
      <c r="CA5" s="73" t="str">
        <f t="array" ref="CA5">IFERROR(IF(XLOOKUP(CONCAT(BX5,BY5),'PROCESOS PRD'!$J:$J,'PROCESOS PRD'!$H:$H,0,0)=0,"",XLOOKUP(CONCAT(BX5,BY5),'PROCESOS PRD'!$J:$J,'PROCESOS PRD'!$H:$H,0,0)),"")</f>
        <v/>
      </c>
      <c r="CB5" s="71"/>
      <c r="CC5" s="32"/>
      <c r="CD5" s="72" t="str">
        <f t="array" ref="CD5">IFERROR(IF(XLOOKUP(CONCAT(CB5,CC5),'MASTER PLAN'!$AB:$AB,'MASTER PLAN'!$J:$J,0,0)=0,"",XLOOKUP(CONCAT(CB5,CC5),'MASTER PLAN'!$AB:$AB,'MASTER PLAN'!$J:$J,0,0)),"")</f>
        <v/>
      </c>
      <c r="CE5" s="73" t="str">
        <f t="array" ref="CE5">IFERROR(IF(XLOOKUP(CONCAT(CB5,CC5),'PROCESOS PRD'!$J:$J,'PROCESOS PRD'!$H:$H,0,0)=0,"",XLOOKUP(CONCAT(CB5,CC5),'PROCESOS PRD'!$J:$J,'PROCESOS PRD'!$H:$H,0,0)),"")</f>
        <v/>
      </c>
      <c r="CF5" s="71"/>
      <c r="CG5" s="32"/>
      <c r="CH5" s="72" t="str">
        <f t="array" ref="CH5">IFERROR(IF(XLOOKUP(CONCAT(CF5,CG5),'MASTER PLAN'!$AB:$AB,'MASTER PLAN'!$J:$J,0,0)=0,"",XLOOKUP(CONCAT(CF5,CG5),'MASTER PLAN'!$AB:$AB,'MASTER PLAN'!$J:$J,0,0)),"")</f>
        <v/>
      </c>
      <c r="CI5" s="73" t="str">
        <f t="array" ref="CI5">IFERROR(IF(XLOOKUP(CONCAT(CF5,CG5),'PROCESOS PRD'!$J:$J,'PROCESOS PRD'!$H:$H,0,0)=0,"",XLOOKUP(CONCAT(CF5,CG5),'PROCESOS PRD'!$J:$J,'PROCESOS PRD'!$H:$H,0,0)),"")</f>
        <v/>
      </c>
      <c r="CJ5" s="71"/>
      <c r="CK5" s="32"/>
      <c r="CL5" s="72" t="str">
        <f t="array" ref="CL5">IFERROR(IF(XLOOKUP(CONCAT(CJ5,CK5),'MASTER PLAN'!$AB:$AB,'MASTER PLAN'!$J:$J,0,0)=0,"",XLOOKUP(CONCAT(CJ5,CK5),'MASTER PLAN'!$AB:$AB,'MASTER PLAN'!$J:$J,0,0)),"")</f>
        <v/>
      </c>
      <c r="CM5" s="73" t="str">
        <f t="array" ref="CM5">IFERROR(IF(XLOOKUP(CONCAT(CJ5,CK5),'PROCESOS PRD'!$J:$J,'PROCESOS PRD'!$H:$H,0,0)=0,"",XLOOKUP(CONCAT(CJ5,CK5),'PROCESOS PRD'!$J:$J,'PROCESOS PRD'!$H:$H,0,0)),"")</f>
        <v/>
      </c>
      <c r="CN5" s="71"/>
      <c r="CO5" s="32"/>
      <c r="CP5" s="72" t="str">
        <f t="array" ref="CP5">IFERROR(IF(XLOOKUP(CONCAT(CN5,CO5),'MASTER PLAN'!$AB:$AB,'MASTER PLAN'!$J:$J,0,0)=0,"",XLOOKUP(CONCAT(CN5,CO5),'MASTER PLAN'!$AB:$AB,'MASTER PLAN'!$J:$J,0,0)),"")</f>
        <v/>
      </c>
      <c r="CQ5" s="73" t="str">
        <f t="array" ref="CQ5">IFERROR(IF(XLOOKUP(CONCAT(CN5,CO5),'PROCESOS PRD'!$J:$J,'PROCESOS PRD'!$H:$H,0,0)=0,"",XLOOKUP(CONCAT(CN5,CO5),'PROCESOS PRD'!$J:$J,'PROCESOS PRD'!$H:$H,0,0)),"")</f>
        <v/>
      </c>
      <c r="CR5" s="70"/>
      <c r="CS5" s="71"/>
      <c r="CT5" s="32"/>
      <c r="CU5" s="72" t="str">
        <f t="array" ref="CU5">IFERROR(IF(XLOOKUP(CONCAT(CS5,CT5),'MASTER PLAN'!$AB:$AB,'MASTER PLAN'!$J:$J,0,0)=0,"",XLOOKUP(CONCAT(CS5,CT5),'MASTER PLAN'!$AB:$AB,'MASTER PLAN'!$J:$J,0,0)),"")</f>
        <v/>
      </c>
      <c r="CV5" s="73" t="str">
        <f t="array" ref="CV5">IFERROR(IF(XLOOKUP(CONCAT(CS5,CT5),'PROCESOS PRD'!$J:$J,'PROCESOS PRD'!$H:$H,0,0)=0,"",XLOOKUP(CONCAT(CS5,CT5),'PROCESOS PRD'!$J:$J,'PROCESOS PRD'!$H:$H,0,0)),"")</f>
        <v/>
      </c>
      <c r="CW5" s="71"/>
      <c r="CX5" s="32"/>
      <c r="CY5" s="72" t="str">
        <f t="array" ref="CY5">IFERROR(IF(XLOOKUP(CONCAT(CW5,CX5),'MASTER PLAN'!$AB:$AB,'MASTER PLAN'!$J:$J,0,0)=0,"",XLOOKUP(CONCAT(CW5,CX5),'MASTER PLAN'!$AB:$AB,'MASTER PLAN'!$J:$J,0,0)),"")</f>
        <v/>
      </c>
      <c r="CZ5" s="73" t="str">
        <f t="array" ref="CZ5">IFERROR(IF(XLOOKUP(CONCAT(CW5,CX5),'PROCESOS PRD'!$J:$J,'PROCESOS PRD'!$H:$H,0,0)=0,"",XLOOKUP(CONCAT(CW5,CX5),'PROCESOS PRD'!$J:$J,'PROCESOS PRD'!$H:$H,0,0)),"")</f>
        <v/>
      </c>
      <c r="DA5" s="71"/>
      <c r="DB5" s="32"/>
      <c r="DC5" s="72" t="str">
        <f t="array" ref="DC5">IFERROR(IF(XLOOKUP(CONCAT(DA5,DB5),'MASTER PLAN'!$AB:$AB,'MASTER PLAN'!$J:$J,0,0)=0,"",XLOOKUP(CONCAT(DA5,DB5),'MASTER PLAN'!$AB:$AB,'MASTER PLAN'!$J:$J,0,0)),"")</f>
        <v/>
      </c>
      <c r="DD5" s="73" t="str">
        <f t="array" ref="DD5">IFERROR(IF(XLOOKUP(CONCAT(DA5,DB5),'PROCESOS PRD'!$J:$J,'PROCESOS PRD'!$H:$H,0,0)=0,"",XLOOKUP(CONCAT(DA5,DB5),'PROCESOS PRD'!$J:$J,'PROCESOS PRD'!$H:$H,0,0)),"")</f>
        <v/>
      </c>
      <c r="DE5" s="71"/>
      <c r="DF5" s="32"/>
      <c r="DG5" s="72" t="str">
        <f t="array" ref="DG5">IFERROR(IF(XLOOKUP(CONCAT(DE5,DF5),'MASTER PLAN'!$AB:$AB,'MASTER PLAN'!$J:$J,0,0)=0,"",XLOOKUP(CONCAT(DE5,DF5),'MASTER PLAN'!$AB:$AB,'MASTER PLAN'!$J:$J,0,0)),"")</f>
        <v/>
      </c>
      <c r="DH5" s="73" t="str">
        <f t="array" ref="DH5">IFERROR(IF(XLOOKUP(CONCAT(DE5,DF5),'PROCESOS PRD'!$J:$J,'PROCESOS PRD'!$H:$H,0,0)=0,"",XLOOKUP(CONCAT(DE5,DF5),'PROCESOS PRD'!$J:$J,'PROCESOS PRD'!$H:$H,0,0)),"")</f>
        <v/>
      </c>
      <c r="DI5" s="71"/>
      <c r="DJ5" s="32"/>
      <c r="DK5" s="72" t="str">
        <f t="array" ref="DK5">IFERROR(IF(XLOOKUP(CONCAT(DI5,DJ5),'MASTER PLAN'!$AB:$AB,'MASTER PLAN'!$J:$J,0,0)=0,"",XLOOKUP(CONCAT(DI5,DJ5),'MASTER PLAN'!$AB:$AB,'MASTER PLAN'!$J:$J,0,0)),"")</f>
        <v/>
      </c>
      <c r="DL5" s="73" t="str">
        <f t="array" ref="DL5">IFERROR(IF(XLOOKUP(CONCAT(DI5,DJ5),'PROCESOS PRD'!$J:$J,'PROCESOS PRD'!$H:$H,0,0)=0,"",XLOOKUP(CONCAT(DI5,DJ5),'PROCESOS PRD'!$J:$J,'PROCESOS PRD'!$H:$H,0,0)),"")</f>
        <v/>
      </c>
      <c r="DM5" s="71"/>
      <c r="DN5" s="32"/>
      <c r="DO5" s="72" t="str">
        <f t="array" ref="DO5">IFERROR(IF(XLOOKUP(CONCAT(DM5,DN5),'MASTER PLAN'!$AB:$AB,'MASTER PLAN'!$J:$J,0,0)=0,"",XLOOKUP(CONCAT(DM5,DN5),'MASTER PLAN'!$AB:$AB,'MASTER PLAN'!$J:$J,0,0)),"")</f>
        <v/>
      </c>
      <c r="DP5" s="73" t="str">
        <f t="array" ref="DP5">IFERROR(IF(XLOOKUP(CONCAT(DM5,DN5),'PROCESOS PRD'!$J:$J,'PROCESOS PRD'!$H:$H,0,0)=0,"",XLOOKUP(CONCAT(DM5,DN5),'PROCESOS PRD'!$J:$J,'PROCESOS PRD'!$H:$H,0,0)),"")</f>
        <v/>
      </c>
      <c r="DQ5" s="70"/>
      <c r="DR5" s="71"/>
      <c r="DS5" s="32"/>
      <c r="DT5" s="72" t="str">
        <f t="array" ref="DT5">IFERROR(IF(XLOOKUP(CONCAT(DR5,DS5),'MASTER PLAN'!$AB:$AB,'MASTER PLAN'!$J:$J,0,0)=0,"",XLOOKUP(CONCAT(DR5,DS5),'MASTER PLAN'!$AB:$AB,'MASTER PLAN'!$J:$J,0,0)),"")</f>
        <v/>
      </c>
      <c r="DU5" s="73" t="str">
        <f t="array" ref="DU5">IFERROR(IF(XLOOKUP(CONCAT(DR5,DS5),'PROCESOS PRD'!$J:$J,'PROCESOS PRD'!$H:$H,0,0)=0,"",XLOOKUP(CONCAT(DR5,DS5),'PROCESOS PRD'!$J:$J,'PROCESOS PRD'!$H:$H,0,0)),"")</f>
        <v/>
      </c>
      <c r="DV5" s="71"/>
      <c r="DW5" s="32"/>
      <c r="DX5" s="72" t="str">
        <f t="array" ref="DX5">IFERROR(IF(XLOOKUP(CONCAT(DV5,DW5),'MASTER PLAN'!$AB:$AB,'MASTER PLAN'!$J:$J,0,0)=0,"",XLOOKUP(CONCAT(DV5,DW5),'MASTER PLAN'!$AB:$AB,'MASTER PLAN'!$J:$J,0,0)),"")</f>
        <v/>
      </c>
      <c r="DY5" s="73" t="str">
        <f t="array" ref="DY5">IFERROR(IF(XLOOKUP(CONCAT(DV5,DW5),'PROCESOS PRD'!$J:$J,'PROCESOS PRD'!$H:$H,0,0)=0,"",XLOOKUP(CONCAT(DV5,DW5),'PROCESOS PRD'!$J:$J,'PROCESOS PRD'!$H:$H,0,0)),"")</f>
        <v/>
      </c>
      <c r="DZ5" s="71"/>
      <c r="EA5" s="32"/>
      <c r="EB5" s="72" t="str">
        <f t="array" ref="EB5">IFERROR(IF(XLOOKUP(CONCAT(DZ5,EA5),'MASTER PLAN'!$AB:$AB,'MASTER PLAN'!$J:$J,0,0)=0,"",XLOOKUP(CONCAT(DZ5,EA5),'MASTER PLAN'!$AB:$AB,'MASTER PLAN'!$J:$J,0,0)),"")</f>
        <v/>
      </c>
      <c r="EC5" s="73" t="str">
        <f t="array" ref="EC5">IFERROR(IF(XLOOKUP(CONCAT(DZ5,EA5),'PROCESOS PRD'!$J:$J,'PROCESOS PRD'!$H:$H,0,0)=0,"",XLOOKUP(CONCAT(DZ5,EA5),'PROCESOS PRD'!$J:$J,'PROCESOS PRD'!$H:$H,0,0)),"")</f>
        <v/>
      </c>
      <c r="ED5" s="71"/>
      <c r="EE5" s="32"/>
      <c r="EF5" s="72" t="str">
        <f t="array" ref="EF5">IFERROR(IF(XLOOKUP(CONCAT(ED5,EE5),'MASTER PLAN'!$AB:$AB,'MASTER PLAN'!$J:$J,0,0)=0,"",XLOOKUP(CONCAT(ED5,EE5),'MASTER PLAN'!$AB:$AB,'MASTER PLAN'!$J:$J,0,0)),"")</f>
        <v/>
      </c>
      <c r="EG5" s="73" t="str">
        <f t="array" ref="EG5">IFERROR(IF(XLOOKUP(CONCAT(ED5,EE5),'PROCESOS PRD'!$J:$J,'PROCESOS PRD'!$H:$H,0,0)=0,"",XLOOKUP(CONCAT(ED5,EE5),'PROCESOS PRD'!$J:$J,'PROCESOS PRD'!$H:$H,0,0)),"")</f>
        <v/>
      </c>
      <c r="EH5" s="71"/>
      <c r="EI5" s="32"/>
      <c r="EJ5" s="72" t="str">
        <f t="array" ref="EJ5">IFERROR(IF(XLOOKUP(CONCAT(EH5,EI5),'MASTER PLAN'!$AB:$AB,'MASTER PLAN'!$J:$J,0,0)=0,"",XLOOKUP(CONCAT(EH5,EI5),'MASTER PLAN'!$AB:$AB,'MASTER PLAN'!$J:$J,0,0)),"")</f>
        <v/>
      </c>
      <c r="EK5" s="73" t="str">
        <f t="array" ref="EK5">IFERROR(IF(XLOOKUP(CONCAT(EH5,EI5),'PROCESOS PRD'!$J:$J,'PROCESOS PRD'!$H:$H,0,0)=0,"",XLOOKUP(CONCAT(EH5,EI5),'PROCESOS PRD'!$J:$J,'PROCESOS PRD'!$H:$H,0,0)),"")</f>
        <v/>
      </c>
      <c r="EL5" s="71"/>
      <c r="EM5" s="32"/>
      <c r="EN5" s="72" t="str">
        <f t="array" ref="EN5">IFERROR(IF(XLOOKUP(CONCAT(EL5,EM5),'MASTER PLAN'!$AB:$AB,'MASTER PLAN'!$J:$J,0,0)=0,"",XLOOKUP(CONCAT(EL5,EM5),'MASTER PLAN'!$AB:$AB,'MASTER PLAN'!$J:$J,0,0)),"")</f>
        <v/>
      </c>
      <c r="EO5" s="73" t="str">
        <f t="array" ref="EO5">IFERROR(IF(XLOOKUP(CONCAT(EL5,EM5),'PROCESOS PRD'!$J:$J,'PROCESOS PRD'!$H:$H,0,0)=0,"",XLOOKUP(CONCAT(EL5,EM5),'PROCESOS PRD'!$J:$J,'PROCESOS PRD'!$H:$H,0,0)),"")</f>
        <v/>
      </c>
      <c r="EP5" s="70"/>
      <c r="EQ5" s="71"/>
      <c r="ER5" s="32"/>
      <c r="ES5" s="72" t="str">
        <f t="array" ref="ES5">IFERROR(IF(XLOOKUP(CONCAT(EQ5,ER5),'MASTER PLAN'!$AB:$AB,'MASTER PLAN'!$J:$J,0,0)=0,"",XLOOKUP(CONCAT(EQ5,ER5),'MASTER PLAN'!$AB:$AB,'MASTER PLAN'!$J:$J,0,0)),"")</f>
        <v/>
      </c>
      <c r="ET5" s="73" t="str">
        <f t="array" ref="ET5">IFERROR(IF(XLOOKUP(CONCAT(EQ5,ER5),'PROCESOS PRD'!$J:$J,'PROCESOS PRD'!$H:$H,0,0)=0,"",XLOOKUP(CONCAT(EQ5,ER5),'PROCESOS PRD'!$J:$J,'PROCESOS PRD'!$H:$H,0,0)),"")</f>
        <v/>
      </c>
      <c r="EU5" s="71"/>
      <c r="EV5" s="32"/>
      <c r="EW5" s="72" t="str">
        <f t="array" ref="EW5">IFERROR(IF(XLOOKUP(CONCAT(EU5,EV5),'MASTER PLAN'!$AB:$AB,'MASTER PLAN'!$J:$J,0,0)=0,"",XLOOKUP(CONCAT(EU5,EV5),'MASTER PLAN'!$AB:$AB,'MASTER PLAN'!$J:$J,0,0)),"")</f>
        <v/>
      </c>
      <c r="EX5" s="73" t="str">
        <f t="array" ref="EX5">IFERROR(IF(XLOOKUP(CONCAT(EU5,EV5),'PROCESOS PRD'!$J:$J,'PROCESOS PRD'!$H:$H,0,0)=0,"",XLOOKUP(CONCAT(EU5,EV5),'PROCESOS PRD'!$J:$J,'PROCESOS PRD'!$H:$H,0,0)),"")</f>
        <v/>
      </c>
      <c r="EY5" s="71"/>
      <c r="EZ5" s="32"/>
      <c r="FA5" s="72" t="str">
        <f t="array" ref="FA5">IFERROR(IF(XLOOKUP(CONCAT(EY5,EZ5),'MASTER PLAN'!$AB:$AB,'MASTER PLAN'!$J:$J,0,0)=0,"",XLOOKUP(CONCAT(EY5,EZ5),'MASTER PLAN'!$AB:$AB,'MASTER PLAN'!$J:$J,0,0)),"")</f>
        <v/>
      </c>
      <c r="FB5" s="73" t="str">
        <f t="array" ref="FB5">IFERROR(IF(XLOOKUP(CONCAT(EY5,EZ5),'PROCESOS PRD'!$J:$J,'PROCESOS PRD'!$H:$H,0,0)=0,"",XLOOKUP(CONCAT(EY5,EZ5),'PROCESOS PRD'!$J:$J,'PROCESOS PRD'!$H:$H,0,0)),"")</f>
        <v/>
      </c>
      <c r="FC5" s="71"/>
      <c r="FD5" s="32"/>
      <c r="FE5" s="72" t="str">
        <f t="array" ref="FE5">IFERROR(IF(XLOOKUP(CONCAT(FC5,FD5),'MASTER PLAN'!$AB:$AB,'MASTER PLAN'!$J:$J,0,0)=0,"",XLOOKUP(CONCAT(FC5,FD5),'MASTER PLAN'!$AB:$AB,'MASTER PLAN'!$J:$J,0,0)),"")</f>
        <v/>
      </c>
      <c r="FF5" s="73" t="str">
        <f t="array" ref="FF5">IFERROR(IF(XLOOKUP(CONCAT(FC5,FD5),'PROCESOS PRD'!$J:$J,'PROCESOS PRD'!$H:$H,0,0)=0,"",XLOOKUP(CONCAT(FC5,FD5),'PROCESOS PRD'!$J:$J,'PROCESOS PRD'!$H:$H,0,0)),"")</f>
        <v/>
      </c>
      <c r="FG5" s="71"/>
      <c r="FH5" s="32"/>
      <c r="FI5" s="72" t="str">
        <f t="array" ref="FI5">IFERROR(IF(XLOOKUP(CONCAT(FG5,FH5),'MASTER PLAN'!$AB:$AB,'MASTER PLAN'!$J:$J,0,0)=0,"",XLOOKUP(CONCAT(FG5,FH5),'MASTER PLAN'!$AB:$AB,'MASTER PLAN'!$J:$J,0,0)),"")</f>
        <v/>
      </c>
      <c r="FJ5" s="73" t="str">
        <f t="array" ref="FJ5">IFERROR(IF(XLOOKUP(CONCAT(FG5,FH5),'PROCESOS PRD'!$J:$J,'PROCESOS PRD'!$H:$H,0,0)=0,"",XLOOKUP(CONCAT(FG5,FH5),'PROCESOS PRD'!$J:$J,'PROCESOS PRD'!$H:$H,0,0)),"")</f>
        <v/>
      </c>
      <c r="FK5" s="71"/>
      <c r="FL5" s="32"/>
      <c r="FM5" s="72" t="str">
        <f t="array" ref="FM5">IFERROR(IF(XLOOKUP(CONCAT(FK5,FL5),'MASTER PLAN'!$AB:$AB,'MASTER PLAN'!$J:$J,0,0)=0,"",XLOOKUP(CONCAT(FK5,FL5),'MASTER PLAN'!$AB:$AB,'MASTER PLAN'!$J:$J,0,0)),"")</f>
        <v/>
      </c>
      <c r="FN5" s="73" t="str">
        <f t="array" ref="FN5">IFERROR(IF(XLOOKUP(CONCAT(FK5,FL5),'PROCESOS PRD'!$J:$J,'PROCESOS PRD'!$H:$H,0,0)=0,"",XLOOKUP(CONCAT(FK5,FL5),'PROCESOS PRD'!$J:$J,'PROCESOS PRD'!$H:$H,0,0)),"")</f>
        <v/>
      </c>
      <c r="FO5" s="70"/>
      <c r="FP5" s="71"/>
      <c r="FQ5" s="32"/>
      <c r="FR5" s="72" t="str">
        <f t="array" ref="FR5">IFERROR(IF(XLOOKUP(CONCAT(FP5,FQ5),'MASTER PLAN'!$AB:$AB,'MASTER PLAN'!$J:$J,0,0)=0,"",XLOOKUP(CONCAT(FP5,FQ5),'MASTER PLAN'!$AB:$AB,'MASTER PLAN'!$J:$J,0,0)),"")</f>
        <v/>
      </c>
      <c r="FS5" s="73" t="str">
        <f t="array" ref="FS5">IFERROR(IF(XLOOKUP(CONCAT(FP5,FQ5),'PROCESOS PRD'!$J:$J,'PROCESOS PRD'!$H:$H,0,0)=0,"",XLOOKUP(CONCAT(FP5,FQ5),'PROCESOS PRD'!$J:$J,'PROCESOS PRD'!$H:$H,0,0)),"")</f>
        <v/>
      </c>
      <c r="FT5" s="71"/>
      <c r="FU5" s="32"/>
      <c r="FV5" s="72" t="str">
        <f t="array" ref="FV5">IFERROR(IF(XLOOKUP(CONCAT(FT5,FU5),'MASTER PLAN'!$AB:$AB,'MASTER PLAN'!$J:$J,0,0)=0,"",XLOOKUP(CONCAT(FT5,FU5),'MASTER PLAN'!$AB:$AB,'MASTER PLAN'!$J:$J,0,0)),"")</f>
        <v/>
      </c>
      <c r="FW5" s="73" t="str">
        <f t="array" ref="FW5">IFERROR(IF(XLOOKUP(CONCAT(FT5,FU5),'PROCESOS PRD'!$J:$J,'PROCESOS PRD'!$H:$H,0,0)=0,"",XLOOKUP(CONCAT(FT5,FU5),'PROCESOS PRD'!$J:$J,'PROCESOS PRD'!$H:$H,0,0)),"")</f>
        <v/>
      </c>
      <c r="FX5" s="71"/>
      <c r="FY5" s="32"/>
      <c r="FZ5" s="72" t="str">
        <f t="array" ref="FZ5">IFERROR(IF(XLOOKUP(CONCAT(FX5,FY5),'MASTER PLAN'!$AB:$AB,'MASTER PLAN'!$J:$J,0,0)=0,"",XLOOKUP(CONCAT(FX5,FY5),'MASTER PLAN'!$AB:$AB,'MASTER PLAN'!$J:$J,0,0)),"")</f>
        <v/>
      </c>
      <c r="GA5" s="73" t="str">
        <f t="array" ref="GA5">IFERROR(IF(XLOOKUP(CONCAT(FX5,FY5),'PROCESOS PRD'!$J:$J,'PROCESOS PRD'!$H:$H,0,0)=0,"",XLOOKUP(CONCAT(FX5,FY5),'PROCESOS PRD'!$J:$J,'PROCESOS PRD'!$H:$H,0,0)),"")</f>
        <v/>
      </c>
      <c r="GB5" s="71"/>
      <c r="GC5" s="32"/>
      <c r="GD5" s="72" t="str">
        <f t="array" ref="GD5">IFERROR(IF(XLOOKUP(CONCAT(GB5,GC5),'MASTER PLAN'!$AB:$AB,'MASTER PLAN'!$J:$J,0,0)=0,"",XLOOKUP(CONCAT(GB5,GC5),'MASTER PLAN'!$AB:$AB,'MASTER PLAN'!$J:$J,0,0)),"")</f>
        <v/>
      </c>
      <c r="GE5" s="73" t="str">
        <f t="array" ref="GE5">IFERROR(IF(XLOOKUP(CONCAT(GB5,GC5),'PROCESOS PRD'!$J:$J,'PROCESOS PRD'!$H:$H,0,0)=0,"",XLOOKUP(CONCAT(GB5,GC5),'PROCESOS PRD'!$J:$J,'PROCESOS PRD'!$H:$H,0,0)),"")</f>
        <v/>
      </c>
      <c r="GF5" s="71"/>
      <c r="GG5" s="32"/>
      <c r="GH5" s="72" t="str">
        <f t="array" ref="GH5">IFERROR(IF(XLOOKUP(CONCAT(GF5,GG5),'MASTER PLAN'!$AB:$AB,'MASTER PLAN'!$J:$J,0,0)=0,"",XLOOKUP(CONCAT(GF5,GG5),'MASTER PLAN'!$AB:$AB,'MASTER PLAN'!$J:$J,0,0)),"")</f>
        <v/>
      </c>
      <c r="GI5" s="73" t="str">
        <f t="array" ref="GI5">IFERROR(IF(XLOOKUP(CONCAT(GF5,GG5),'PROCESOS PRD'!$J:$J,'PROCESOS PRD'!$H:$H,0,0)=0,"",XLOOKUP(CONCAT(GF5,GG5),'PROCESOS PRD'!$J:$J,'PROCESOS PRD'!$H:$H,0,0)),"")</f>
        <v/>
      </c>
      <c r="GJ5" s="71"/>
      <c r="GK5" s="32"/>
      <c r="GL5" s="72" t="str">
        <f t="array" ref="GL5">IFERROR(IF(XLOOKUP(CONCAT(GJ5,GK5),'MASTER PLAN'!$AB:$AB,'MASTER PLAN'!$J:$J,0,0)=0,"",XLOOKUP(CONCAT(GJ5,GK5),'MASTER PLAN'!$AB:$AB,'MASTER PLAN'!$J:$J,0,0)),"")</f>
        <v/>
      </c>
      <c r="GM5" s="73" t="str">
        <f t="array" ref="GM5">IFERROR(IF(XLOOKUP(CONCAT(GJ5,GK5),'PROCESOS PRD'!$J:$J,'PROCESOS PRD'!$H:$H,0,0)=0,"",XLOOKUP(CONCAT(GJ5,GK5),'PROCESOS PRD'!$J:$J,'PROCESOS PRD'!$H:$H,0,0)),"")</f>
        <v/>
      </c>
      <c r="GN5" s="70"/>
      <c r="GO5" s="71"/>
      <c r="GP5" s="32"/>
      <c r="GQ5" s="72" t="str">
        <f t="array" ref="GQ5">IFERROR(IF(XLOOKUP(CONCAT(GO5,GP5),'MASTER PLAN'!$AB:$AB,'MASTER PLAN'!$J:$J,0,0)=0,"",XLOOKUP(CONCAT(GO5,GP5),'MASTER PLAN'!$AB:$AB,'MASTER PLAN'!$J:$J,0,0)),"")</f>
        <v/>
      </c>
      <c r="GR5" s="73" t="str">
        <f t="array" ref="GR5">IFERROR(IF(XLOOKUP(CONCAT(GO5,GP5),'PROCESOS PRD'!$J:$J,'PROCESOS PRD'!$H:$H,0,0)=0,"",XLOOKUP(CONCAT(GO5,GP5),'PROCESOS PRD'!$J:$J,'PROCESOS PRD'!$H:$H,0,0)),"")</f>
        <v/>
      </c>
      <c r="GS5" s="71"/>
      <c r="GT5" s="32"/>
      <c r="GU5" s="72" t="str">
        <f t="array" ref="GU5">IFERROR(IF(XLOOKUP(CONCAT(GS5,GT5),'MASTER PLAN'!$AB:$AB,'MASTER PLAN'!$J:$J,0,0)=0,"",XLOOKUP(CONCAT(GS5,GT5),'MASTER PLAN'!$AB:$AB,'MASTER PLAN'!$J:$J,0,0)),"")</f>
        <v/>
      </c>
      <c r="GV5" s="73" t="str">
        <f t="array" ref="GV5">IFERROR(IF(XLOOKUP(CONCAT(GS5,GT5),'PROCESOS PRD'!$J:$J,'PROCESOS PRD'!$H:$H,0,0)=0,"",XLOOKUP(CONCAT(GS5,GT5),'PROCESOS PRD'!$J:$J,'PROCESOS PRD'!$H:$H,0,0)),"")</f>
        <v/>
      </c>
      <c r="GW5" s="71"/>
      <c r="GX5" s="32"/>
      <c r="GY5" s="72" t="str">
        <f t="array" ref="GY5">IFERROR(IF(XLOOKUP(CONCAT(GW5,GX5),'MASTER PLAN'!$AB:$AB,'MASTER PLAN'!$J:$J,0,0)=0,"",XLOOKUP(CONCAT(GW5,GX5),'MASTER PLAN'!$AB:$AB,'MASTER PLAN'!$J:$J,0,0)),"")</f>
        <v/>
      </c>
      <c r="GZ5" s="73" t="str">
        <f t="array" ref="GZ5">IFERROR(IF(XLOOKUP(CONCAT(GW5,GX5),'PROCESOS PRD'!$J:$J,'PROCESOS PRD'!$H:$H,0,0)=0,"",XLOOKUP(CONCAT(GW5,GX5),'PROCESOS PRD'!$J:$J,'PROCESOS PRD'!$H:$H,0,0)),"")</f>
        <v/>
      </c>
      <c r="HA5" s="71"/>
      <c r="HB5" s="32"/>
      <c r="HC5" s="72" t="str">
        <f t="array" ref="HC5">IFERROR(IF(XLOOKUP(CONCAT(HA5,HB5),'MASTER PLAN'!$AB:$AB,'MASTER PLAN'!$J:$J,0,0)=0,"",XLOOKUP(CONCAT(HA5,HB5),'MASTER PLAN'!$AB:$AB,'MASTER PLAN'!$J:$J,0,0)),"")</f>
        <v/>
      </c>
      <c r="HD5" s="73" t="str">
        <f t="array" ref="HD5">IFERROR(IF(XLOOKUP(CONCAT(HA5,HB5),'PROCESOS PRD'!$J:$J,'PROCESOS PRD'!$H:$H,0,0)=0,"",XLOOKUP(CONCAT(HA5,HB5),'PROCESOS PRD'!$J:$J,'PROCESOS PRD'!$H:$H,0,0)),"")</f>
        <v/>
      </c>
      <c r="HE5" s="71"/>
      <c r="HF5" s="32"/>
      <c r="HG5" s="72" t="str">
        <f t="array" ref="HG5">IFERROR(IF(XLOOKUP(CONCAT(HE5,HF5),'MASTER PLAN'!$AB:$AB,'MASTER PLAN'!$J:$J,0,0)=0,"",XLOOKUP(CONCAT(HE5,HF5),'MASTER PLAN'!$AB:$AB,'MASTER PLAN'!$J:$J,0,0)),"")</f>
        <v/>
      </c>
      <c r="HH5" s="73" t="str">
        <f t="array" ref="HH5">IFERROR(IF(XLOOKUP(CONCAT(HE5,HF5),'PROCESOS PRD'!$J:$J,'PROCESOS PRD'!$H:$H,0,0)=0,"",XLOOKUP(CONCAT(HE5,HF5),'PROCESOS PRD'!$J:$J,'PROCESOS PRD'!$H:$H,0,0)),"")</f>
        <v/>
      </c>
      <c r="HI5" s="71"/>
      <c r="HJ5" s="32"/>
      <c r="HK5" s="72" t="str">
        <f t="array" ref="HK5">IFERROR(IF(XLOOKUP(CONCAT(HI5,HJ5),'MASTER PLAN'!$AB:$AB,'MASTER PLAN'!$J:$J,0,0)=0,"",XLOOKUP(CONCAT(HI5,HJ5),'MASTER PLAN'!$AB:$AB,'MASTER PLAN'!$J:$J,0,0)),"")</f>
        <v/>
      </c>
      <c r="HL5" s="73" t="str">
        <f t="array" ref="HL5">IFERROR(IF(XLOOKUP(CONCAT(HI5,HJ5),'PROCESOS PRD'!$J:$J,'PROCESOS PRD'!$H:$H,0,0)=0,"",XLOOKUP(CONCAT(HI5,HJ5),'PROCESOS PRD'!$J:$J,'PROCESOS PRD'!$H:$H,0,0)),"")</f>
        <v/>
      </c>
      <c r="HM5" s="70"/>
      <c r="HN5" s="71"/>
      <c r="HO5" s="32"/>
      <c r="HP5" s="72" t="str">
        <f t="array" ref="HP5">IFERROR(IF(XLOOKUP(CONCAT(HN5,HO5),'MASTER PLAN'!$AB:$AB,'MASTER PLAN'!$J:$J,0,0)=0,"",XLOOKUP(CONCAT(HN5,HO5),'MASTER PLAN'!$AB:$AB,'MASTER PLAN'!$J:$J,0,0)),"")</f>
        <v/>
      </c>
      <c r="HQ5" s="73" t="str">
        <f t="array" ref="HQ5">IFERROR(IF(XLOOKUP(CONCAT(HN5,HO5),'PROCESOS PRD'!$J:$J,'PROCESOS PRD'!$H:$H,0,0)=0,"",XLOOKUP(CONCAT(HN5,HO5),'PROCESOS PRD'!$J:$J,'PROCESOS PRD'!$H:$H,0,0)),"")</f>
        <v/>
      </c>
      <c r="HR5" s="71"/>
      <c r="HS5" s="32"/>
      <c r="HT5" s="72" t="str">
        <f t="array" ref="HT5">IFERROR(IF(XLOOKUP(CONCAT(HR5,HS5),'MASTER PLAN'!$AB:$AB,'MASTER PLAN'!$J:$J,0,0)=0,"",XLOOKUP(CONCAT(HR5,HS5),'MASTER PLAN'!$AB:$AB,'MASTER PLAN'!$J:$J,0,0)),"")</f>
        <v/>
      </c>
      <c r="HU5" s="73" t="str">
        <f t="array" ref="HU5">IFERROR(IF(XLOOKUP(CONCAT(HR5,HS5),'PROCESOS PRD'!$J:$J,'PROCESOS PRD'!$H:$H,0,0)=0,"",XLOOKUP(CONCAT(HR5,HS5),'PROCESOS PRD'!$J:$J,'PROCESOS PRD'!$H:$H,0,0)),"")</f>
        <v/>
      </c>
      <c r="HV5" s="71"/>
      <c r="HW5" s="32"/>
      <c r="HX5" s="72" t="str">
        <f t="array" ref="HX5">IFERROR(IF(XLOOKUP(CONCAT(HV5,HW5),'MASTER PLAN'!$AB:$AB,'MASTER PLAN'!$J:$J,0,0)=0,"",XLOOKUP(CONCAT(HV5,HW5),'MASTER PLAN'!$AB:$AB,'MASTER PLAN'!$J:$J,0,0)),"")</f>
        <v/>
      </c>
      <c r="HY5" s="73" t="str">
        <f t="array" ref="HY5">IFERROR(IF(XLOOKUP(CONCAT(HV5,HW5),'PROCESOS PRD'!$J:$J,'PROCESOS PRD'!$H:$H,0,0)=0,"",XLOOKUP(CONCAT(HV5,HW5),'PROCESOS PRD'!$J:$J,'PROCESOS PRD'!$H:$H,0,0)),"")</f>
        <v/>
      </c>
      <c r="HZ5" s="71"/>
      <c r="IA5" s="32"/>
      <c r="IB5" s="72" t="str">
        <f t="array" ref="IB5">IFERROR(IF(XLOOKUP(CONCAT(HZ5,IA5),'MASTER PLAN'!$AB:$AB,'MASTER PLAN'!$J:$J,0,0)=0,"",XLOOKUP(CONCAT(HZ5,IA5),'MASTER PLAN'!$AB:$AB,'MASTER PLAN'!$J:$J,0,0)),"")</f>
        <v/>
      </c>
      <c r="IC5" s="73" t="str">
        <f t="array" ref="IC5">IFERROR(IF(XLOOKUP(CONCAT(HZ5,IA5),'PROCESOS PRD'!$J:$J,'PROCESOS PRD'!$H:$H,0,0)=0,"",XLOOKUP(CONCAT(HZ5,IA5),'PROCESOS PRD'!$J:$J,'PROCESOS PRD'!$H:$H,0,0)),"")</f>
        <v/>
      </c>
      <c r="ID5" s="71"/>
      <c r="IE5" s="32"/>
      <c r="IF5" s="72" t="str">
        <f t="array" ref="IF5">IFERROR(IF(XLOOKUP(CONCAT(ID5,IE5),'MASTER PLAN'!$AB:$AB,'MASTER PLAN'!$J:$J,0,0)=0,"",XLOOKUP(CONCAT(ID5,IE5),'MASTER PLAN'!$AB:$AB,'MASTER PLAN'!$J:$J,0,0)),"")</f>
        <v/>
      </c>
      <c r="IG5" s="73" t="str">
        <f t="array" ref="IG5">IFERROR(IF(XLOOKUP(CONCAT(ID5,IE5),'PROCESOS PRD'!$J:$J,'PROCESOS PRD'!$H:$H,0,0)=0,"",XLOOKUP(CONCAT(ID5,IE5),'PROCESOS PRD'!$J:$J,'PROCESOS PRD'!$H:$H,0,0)),"")</f>
        <v/>
      </c>
      <c r="IH5" s="71"/>
      <c r="II5" s="32"/>
      <c r="IJ5" s="72" t="str">
        <f t="array" ref="IJ5">IFERROR(IF(XLOOKUP(CONCAT(IH5,II5),'MASTER PLAN'!$AB:$AB,'MASTER PLAN'!$J:$J,0,0)=0,"",XLOOKUP(CONCAT(IH5,II5),'MASTER PLAN'!$AB:$AB,'MASTER PLAN'!$J:$J,0,0)),"")</f>
        <v/>
      </c>
      <c r="IK5" s="73" t="str">
        <f t="array" ref="IK5">IFERROR(IF(XLOOKUP(CONCAT(IH5,II5),'PROCESOS PRD'!$J:$J,'PROCESOS PRD'!$H:$H,0,0)=0,"",XLOOKUP(CONCAT(IH5,II5),'PROCESOS PRD'!$J:$J,'PROCESOS PRD'!$H:$H,0,0)),"")</f>
        <v/>
      </c>
      <c r="IL5" s="70"/>
      <c r="IM5" s="71"/>
      <c r="IN5" s="32"/>
      <c r="IO5" s="72" t="str">
        <f t="array" ref="IO5">IFERROR(IF(XLOOKUP(CONCAT(IM5,IN5),'MASTER PLAN'!$AB:$AB,'MASTER PLAN'!$J:$J,0,0)=0,"",XLOOKUP(CONCAT(IM5,IN5),'MASTER PLAN'!$AB:$AB,'MASTER PLAN'!$J:$J,0,0)),"")</f>
        <v/>
      </c>
      <c r="IP5" s="73" t="str">
        <f t="array" ref="IP5">IFERROR(IF(XLOOKUP(CONCAT(IM5,IN5),'PROCESOS PRD'!$J:$J,'PROCESOS PRD'!$H:$H,0,0)=0,"",XLOOKUP(CONCAT(IM5,IN5),'PROCESOS PRD'!$J:$J,'PROCESOS PRD'!$H:$H,0,0)),"")</f>
        <v/>
      </c>
      <c r="IQ5" s="71"/>
      <c r="IR5" s="32"/>
      <c r="IS5" s="72" t="str">
        <f t="array" ref="IS5">IFERROR(IF(XLOOKUP(CONCAT(IQ5,IR5),'MASTER PLAN'!$AB:$AB,'MASTER PLAN'!$J:$J,0,0)=0,"",XLOOKUP(CONCAT(IQ5,IR5),'MASTER PLAN'!$AB:$AB,'MASTER PLAN'!$J:$J,0,0)),"")</f>
        <v/>
      </c>
      <c r="IT5" s="73" t="str">
        <f t="array" ref="IT5">IFERROR(IF(XLOOKUP(CONCAT(IQ5,IR5),'PROCESOS PRD'!$J:$J,'PROCESOS PRD'!$H:$H,0,0)=0,"",XLOOKUP(CONCAT(IQ5,IR5),'PROCESOS PRD'!$J:$J,'PROCESOS PRD'!$H:$H,0,0)),"")</f>
        <v/>
      </c>
      <c r="IU5" s="71"/>
      <c r="IV5" s="32"/>
      <c r="IW5" s="72" t="str">
        <f t="array" ref="IW5">IFERROR(IF(XLOOKUP(CONCAT(IU5,IV5),'MASTER PLAN'!$AB:$AB,'MASTER PLAN'!$J:$J,0,0)=0,"",XLOOKUP(CONCAT(IU5,IV5),'MASTER PLAN'!$AB:$AB,'MASTER PLAN'!$J:$J,0,0)),"")</f>
        <v/>
      </c>
      <c r="IX5" s="73" t="str">
        <f t="array" ref="IX5">IFERROR(IF(XLOOKUP(CONCAT(IU5,IV5),'PROCESOS PRD'!$J:$J,'PROCESOS PRD'!$H:$H,0,0)=0,"",XLOOKUP(CONCAT(IU5,IV5),'PROCESOS PRD'!$J:$J,'PROCESOS PRD'!$H:$H,0,0)),"")</f>
        <v/>
      </c>
      <c r="IY5" s="71"/>
      <c r="IZ5" s="32"/>
      <c r="JA5" s="72" t="str">
        <f t="array" ref="JA5">IFERROR(IF(XLOOKUP(CONCAT(IY5,IZ5),'MASTER PLAN'!$AB:$AB,'MASTER PLAN'!$J:$J,0,0)=0,"",XLOOKUP(CONCAT(IY5,IZ5),'MASTER PLAN'!$AB:$AB,'MASTER PLAN'!$J:$J,0,0)),"")</f>
        <v/>
      </c>
      <c r="JB5" s="73" t="str">
        <f t="array" ref="JB5">IFERROR(IF(XLOOKUP(CONCAT(IY5,IZ5),'PROCESOS PRD'!$J:$J,'PROCESOS PRD'!$H:$H,0,0)=0,"",XLOOKUP(CONCAT(IY5,IZ5),'PROCESOS PRD'!$J:$J,'PROCESOS PRD'!$H:$H,0,0)),"")</f>
        <v/>
      </c>
      <c r="JC5" s="71"/>
      <c r="JD5" s="32"/>
      <c r="JE5" s="72" t="str">
        <f t="array" ref="JE5">IFERROR(IF(XLOOKUP(CONCAT(JC5,JD5),'MASTER PLAN'!$AB:$AB,'MASTER PLAN'!$J:$J,0,0)=0,"",XLOOKUP(CONCAT(JC5,JD5),'MASTER PLAN'!$AB:$AB,'MASTER PLAN'!$J:$J,0,0)),"")</f>
        <v/>
      </c>
      <c r="JF5" s="73" t="str">
        <f t="array" ref="JF5">IFERROR(IF(XLOOKUP(CONCAT(JC5,JD5),'PROCESOS PRD'!$J:$J,'PROCESOS PRD'!$H:$H,0,0)=0,"",XLOOKUP(CONCAT(JC5,JD5),'PROCESOS PRD'!$J:$J,'PROCESOS PRD'!$H:$H,0,0)),"")</f>
        <v/>
      </c>
      <c r="JG5" s="71"/>
      <c r="JH5" s="32"/>
      <c r="JI5" s="72" t="str">
        <f t="array" ref="JI5">IFERROR(IF(XLOOKUP(CONCAT(JG5,JH5),'MASTER PLAN'!$AB:$AB,'MASTER PLAN'!$J:$J,0,0)=0,"",XLOOKUP(CONCAT(JG5,JH5),'MASTER PLAN'!$AB:$AB,'MASTER PLAN'!$J:$J,0,0)),"")</f>
        <v/>
      </c>
      <c r="JJ5" s="73" t="str">
        <f t="array" ref="JJ5">IFERROR(IF(XLOOKUP(CONCAT(JG5,JH5),'PROCESOS PRD'!$J:$J,'PROCESOS PRD'!$H:$H,0,0)=0,"",XLOOKUP(CONCAT(JG5,JH5),'PROCESOS PRD'!$J:$J,'PROCESOS PRD'!$H:$H,0,0)),"")</f>
        <v/>
      </c>
      <c r="JK5" s="70"/>
      <c r="JL5" s="71"/>
      <c r="JM5" s="32"/>
      <c r="JN5" s="72" t="str">
        <f t="array" ref="JN5">IFERROR(IF(XLOOKUP(CONCAT(JL5,JM5),'MASTER PLAN'!$AB:$AB,'MASTER PLAN'!$J:$J,0,0)=0,"",XLOOKUP(CONCAT(JL5,JM5),'MASTER PLAN'!$AB:$AB,'MASTER PLAN'!$J:$J,0,0)),"")</f>
        <v/>
      </c>
      <c r="JO5" s="73" t="str">
        <f t="array" ref="JO5">IFERROR(IF(XLOOKUP(CONCAT(JL5,JM5),'PROCESOS PRD'!$J:$J,'PROCESOS PRD'!$H:$H,0,0)=0,"",XLOOKUP(CONCAT(JL5,JM5),'PROCESOS PRD'!$J:$J,'PROCESOS PRD'!$H:$H,0,0)),"")</f>
        <v/>
      </c>
      <c r="JP5" s="71"/>
      <c r="JQ5" s="32"/>
      <c r="JR5" s="72" t="str">
        <f t="array" ref="JR5">IFERROR(IF(XLOOKUP(CONCAT(JP5,JQ5),'MASTER PLAN'!$AB:$AB,'MASTER PLAN'!$J:$J,0,0)=0,"",XLOOKUP(CONCAT(JP5,JQ5),'MASTER PLAN'!$AB:$AB,'MASTER PLAN'!$J:$J,0,0)),"")</f>
        <v/>
      </c>
      <c r="JS5" s="73" t="str">
        <f t="array" ref="JS5">IFERROR(IF(XLOOKUP(CONCAT(JP5,JQ5),'PROCESOS PRD'!$J:$J,'PROCESOS PRD'!$H:$H,0,0)=0,"",XLOOKUP(CONCAT(JP5,JQ5),'PROCESOS PRD'!$J:$J,'PROCESOS PRD'!$H:$H,0,0)),"")</f>
        <v/>
      </c>
      <c r="JT5" s="71"/>
      <c r="JU5" s="32"/>
      <c r="JV5" s="72" t="str">
        <f t="array" ref="JV5">IFERROR(IF(XLOOKUP(CONCAT(JT5,JU5),'MASTER PLAN'!$AB:$AB,'MASTER PLAN'!$J:$J,0,0)=0,"",XLOOKUP(CONCAT(JT5,JU5),'MASTER PLAN'!$AB:$AB,'MASTER PLAN'!$J:$J,0,0)),"")</f>
        <v/>
      </c>
      <c r="JW5" s="73" t="str">
        <f t="array" ref="JW5">IFERROR(IF(XLOOKUP(CONCAT(JT5,JU5),'PROCESOS PRD'!$J:$J,'PROCESOS PRD'!$H:$H,0,0)=0,"",XLOOKUP(CONCAT(JT5,JU5),'PROCESOS PRD'!$J:$J,'PROCESOS PRD'!$H:$H,0,0)),"")</f>
        <v/>
      </c>
      <c r="JX5" s="71"/>
      <c r="JY5" s="32"/>
      <c r="JZ5" s="72" t="str">
        <f t="array" ref="JZ5">IFERROR(IF(XLOOKUP(CONCAT(JX5,JY5),'MASTER PLAN'!$AB:$AB,'MASTER PLAN'!$J:$J,0,0)=0,"",XLOOKUP(CONCAT(JX5,JY5),'MASTER PLAN'!$AB:$AB,'MASTER PLAN'!$J:$J,0,0)),"")</f>
        <v/>
      </c>
      <c r="KA5" s="73" t="str">
        <f t="array" ref="KA5">IFERROR(IF(XLOOKUP(CONCAT(JX5,JY5),'PROCESOS PRD'!$J:$J,'PROCESOS PRD'!$H:$H,0,0)=0,"",XLOOKUP(CONCAT(JX5,JY5),'PROCESOS PRD'!$J:$J,'PROCESOS PRD'!$H:$H,0,0)),"")</f>
        <v/>
      </c>
      <c r="KB5" s="71"/>
      <c r="KC5" s="32"/>
      <c r="KD5" s="72" t="str">
        <f t="array" ref="KD5">IFERROR(IF(XLOOKUP(CONCAT(KB5,KC5),'MASTER PLAN'!$AB:$AB,'MASTER PLAN'!$J:$J,0,0)=0,"",XLOOKUP(CONCAT(KB5,KC5),'MASTER PLAN'!$AB:$AB,'MASTER PLAN'!$J:$J,0,0)),"")</f>
        <v/>
      </c>
      <c r="KE5" s="73" t="str">
        <f t="array" ref="KE5">IFERROR(IF(XLOOKUP(CONCAT(KB5,KC5),'PROCESOS PRD'!$J:$J,'PROCESOS PRD'!$H:$H,0,0)=0,"",XLOOKUP(CONCAT(KB5,KC5),'PROCESOS PRD'!$J:$J,'PROCESOS PRD'!$H:$H,0,0)),"")</f>
        <v/>
      </c>
      <c r="KF5" s="71"/>
      <c r="KG5" s="32"/>
      <c r="KH5" s="72" t="str">
        <f t="array" ref="KH5">IFERROR(IF(XLOOKUP(CONCAT(KF5,KG5),'MASTER PLAN'!$AB:$AB,'MASTER PLAN'!$J:$J,0,0)=0,"",XLOOKUP(CONCAT(KF5,KG5),'MASTER PLAN'!$AB:$AB,'MASTER PLAN'!$J:$J,0,0)),"")</f>
        <v/>
      </c>
      <c r="KI5" s="73" t="str">
        <f t="array" ref="KI5">IFERROR(IF(XLOOKUP(CONCAT(KF5,KG5),'PROCESOS PRD'!$J:$J,'PROCESOS PRD'!$H:$H,0,0)=0,"",XLOOKUP(CONCAT(KF5,KG5),'PROCESOS PRD'!$J:$J,'PROCESOS PRD'!$H:$H,0,0)),"")</f>
        <v/>
      </c>
      <c r="KJ5" s="70"/>
      <c r="KK5" s="70"/>
      <c r="KL5" s="70"/>
      <c r="KM5" s="70"/>
      <c r="KN5" s="70"/>
      <c r="KO5" s="70"/>
      <c r="KP5" s="70"/>
      <c r="KQ5" s="70"/>
      <c r="KR5" s="70"/>
      <c r="KS5" s="70"/>
      <c r="KT5" s="70"/>
      <c r="KU5" s="70"/>
      <c r="KV5" s="70"/>
      <c r="KW5" s="70"/>
      <c r="KX5" s="70"/>
      <c r="KY5" s="70"/>
      <c r="KZ5" s="70"/>
      <c r="LA5" s="70"/>
      <c r="LB5" s="70"/>
      <c r="LC5" s="70"/>
    </row>
    <row r="6">
      <c r="A6" s="42"/>
      <c r="B6" s="74"/>
      <c r="C6" s="69"/>
      <c r="D6" s="70"/>
      <c r="E6" s="71"/>
      <c r="F6" s="32"/>
      <c r="G6" s="72" t="str">
        <f t="array" ref="G6">IFERROR(IF(XLOOKUP(CONCAT(E6,F6),'MASTER PLAN'!$AB:$AB,'MASTER PLAN'!$J:$J,0,0)=0,"",XLOOKUP(CONCAT(E6,F6),'MASTER PLAN'!$AB:$AB,'MASTER PLAN'!$J:$J,0,0)),"")</f>
        <v/>
      </c>
      <c r="H6" s="73" t="str">
        <f t="array" ref="H6">IFERROR(IF(XLOOKUP(CONCAT(E6,F6),'PROCESOS PRD'!$J:$J,'PROCESOS PRD'!$H:$H,0,0)=0,"",XLOOKUP(CONCAT(E6,F6),'PROCESOS PRD'!$J:$J,'PROCESOS PRD'!$H:$H,0,0)),"")</f>
        <v/>
      </c>
      <c r="I6" s="71"/>
      <c r="J6" s="32"/>
      <c r="K6" s="72" t="str">
        <f t="array" ref="K6">IFERROR(IF(XLOOKUP(CONCAT(I6,J6),'MASTER PLAN'!$AB:$AB,'MASTER PLAN'!$J:$J,0,0)=0,"",XLOOKUP(CONCAT(I6,J6),'MASTER PLAN'!$AB:$AB,'MASTER PLAN'!$J:$J,0,0)),"")</f>
        <v/>
      </c>
      <c r="L6" s="73" t="str">
        <f t="array" ref="L6">IFERROR(IF(XLOOKUP(CONCAT(I6,J6),'PROCESOS PRD'!$J:$J,'PROCESOS PRD'!$H:$H,0,0)=0,"",XLOOKUP(CONCAT(I6,J6),'PROCESOS PRD'!$J:$J,'PROCESOS PRD'!$H:$H,0,0)),"")</f>
        <v/>
      </c>
      <c r="M6" s="71"/>
      <c r="N6" s="32"/>
      <c r="O6" s="72" t="str">
        <f t="array" ref="O6">IFERROR(IF(XLOOKUP(CONCAT(M6,N6),'MASTER PLAN'!$AB:$AB,'MASTER PLAN'!$J:$J,0,0)=0,"",XLOOKUP(CONCAT(M6,N6),'MASTER PLAN'!$AB:$AB,'MASTER PLAN'!$J:$J,0,0)),"")</f>
        <v/>
      </c>
      <c r="P6" s="73" t="str">
        <f t="array" ref="P6">IFERROR(IF(XLOOKUP(CONCAT(M6,N6),'PROCESOS PRD'!$J:$J,'PROCESOS PRD'!$H:$H,0,0)=0,"",XLOOKUP(CONCAT(M6,N6),'PROCESOS PRD'!$J:$J,'PROCESOS PRD'!$H:$H,0,0)),"")</f>
        <v/>
      </c>
      <c r="Q6" s="71"/>
      <c r="R6" s="32"/>
      <c r="S6" s="72" t="str">
        <f t="array" ref="S6">IFERROR(IF(XLOOKUP(CONCAT(Q6,R6),'MASTER PLAN'!$AB:$AB,'MASTER PLAN'!$J:$J,0,0)=0,"",XLOOKUP(CONCAT(Q6,R6),'MASTER PLAN'!$AB:$AB,'MASTER PLAN'!$J:$J,0,0)),"")</f>
        <v/>
      </c>
      <c r="T6" s="73" t="str">
        <f t="array" ref="T6">IFERROR(IF(XLOOKUP(CONCAT(Q6,R6),'PROCESOS PRD'!$J:$J,'PROCESOS PRD'!$H:$H,0,0)=0,"",XLOOKUP(CONCAT(Q6,R6),'PROCESOS PRD'!$J:$J,'PROCESOS PRD'!$H:$H,0,0)),"")</f>
        <v/>
      </c>
      <c r="U6" s="70"/>
      <c r="V6" s="71"/>
      <c r="W6" s="32"/>
      <c r="X6" s="72" t="str">
        <f t="array" ref="X6">IFERROR(IF(XLOOKUP(CONCAT(V6,W6),'MASTER PLAN'!$AB:$AB,'MASTER PLAN'!$J:$J,0,0)=0,"",XLOOKUP(CONCAT(V6,W6),'MASTER PLAN'!$AB:$AB,'MASTER PLAN'!$J:$J,0,0)),"")</f>
        <v/>
      </c>
      <c r="Y6" s="73" t="str">
        <f t="array" ref="Y6">IFERROR(IF(XLOOKUP(CONCAT(V6,W6),'PROCESOS PRD'!$J:$J,'PROCESOS PRD'!$H:$H,0,0)=0,"",XLOOKUP(CONCAT(V6,W6),'PROCESOS PRD'!$J:$J,'PROCESOS PRD'!$H:$H,0,0)),"")</f>
        <v/>
      </c>
      <c r="Z6" s="71"/>
      <c r="AA6" s="32"/>
      <c r="AB6" s="72" t="str">
        <f t="array" ref="AB6">IFERROR(IF(XLOOKUP(CONCAT(Z6,AA6),'MASTER PLAN'!$AB:$AB,'MASTER PLAN'!$J:$J,0,0)=0,"",XLOOKUP(CONCAT(Z6,AA6),'MASTER PLAN'!$AB:$AB,'MASTER PLAN'!$J:$J,0,0)),"")</f>
        <v/>
      </c>
      <c r="AC6" s="73" t="str">
        <f t="array" ref="AC6">IFERROR(IF(XLOOKUP(CONCAT(Z6,AA6),'PROCESOS PRD'!$J:$J,'PROCESOS PRD'!$H:$H,0,0)=0,"",XLOOKUP(CONCAT(Z6,AA6),'PROCESOS PRD'!$J:$J,'PROCESOS PRD'!$H:$H,0,0)),"")</f>
        <v/>
      </c>
      <c r="AD6" s="71"/>
      <c r="AE6" s="32"/>
      <c r="AF6" s="72" t="str">
        <f t="array" ref="AF6">IFERROR(IF(XLOOKUP(CONCAT(AD6,AE6),'MASTER PLAN'!$AB:$AB,'MASTER PLAN'!$J:$J,0,0)=0,"",XLOOKUP(CONCAT(AD6,AE6),'MASTER PLAN'!$AB:$AB,'MASTER PLAN'!$J:$J,0,0)),"")</f>
        <v/>
      </c>
      <c r="AG6" s="73" t="str">
        <f t="array" ref="AG6">IFERROR(IF(XLOOKUP(CONCAT(AD6,AE6),'PROCESOS PRD'!$J:$J,'PROCESOS PRD'!$H:$H,0,0)=0,"",XLOOKUP(CONCAT(AD6,AE6),'PROCESOS PRD'!$J:$J,'PROCESOS PRD'!$H:$H,0,0)),"")</f>
        <v/>
      </c>
      <c r="AH6" s="71">
        <v>1.402049444E9</v>
      </c>
      <c r="AI6" s="32">
        <v>10.0</v>
      </c>
      <c r="AJ6" s="72" t="str">
        <f t="array" ref="AJ6">IFERROR(IF(XLOOKUP(CONCAT(AH6,AI6),'MASTER PLAN'!$AB:$AB,'MASTER PLAN'!$J:$J,0,0)=0,"",XLOOKUP(CONCAT(AH6,AI6),'MASTER PLAN'!$AB:$AB,'MASTER PLAN'!$J:$J,0,0)),"")</f>
        <v>BOLSA AMERICUS DIAMOND 6-5X3-5X6-5</v>
      </c>
      <c r="AK6" s="73">
        <f t="array" ref="AK6">IFERROR(IF(XLOOKUP(CONCAT(AH6,AI6),'PROCESOS PRD'!$J:$J,'PROCESOS PRD'!$H:$H,0,0)=0,"",XLOOKUP(CONCAT(AH6,AI6),'PROCESOS PRD'!$J:$J,'PROCESOS PRD'!$H:$H,0,0)),"")</f>
        <v>3600</v>
      </c>
      <c r="AL6" s="71">
        <v>1.402049419E9</v>
      </c>
      <c r="AM6" s="32">
        <v>20.0</v>
      </c>
      <c r="AN6" s="72" t="str">
        <f t="array" ref="AN6">IFERROR(IF(XLOOKUP(CONCAT(AL6,AM6),'MASTER PLAN'!$AB:$AB,'MASTER PLAN'!$J:$J,0,0)=0,"",XLOOKUP(CONCAT(AL6,AM6),'MASTER PLAN'!$AB:$AB,'MASTER PLAN'!$J:$J,0,0)),"")</f>
        <v>BOLSA COMERCIAL SORIA 6-5X3-5X6-5 IN FC</v>
      </c>
      <c r="AO6" s="73">
        <f t="array" ref="AO6">IFERROR(IF(XLOOKUP(CONCAT(AL6,AM6),'PROCESOS PRD'!$J:$J,'PROCESOS PRD'!$H:$H,0,0)=0,"",XLOOKUP(CONCAT(AL6,AM6),'PROCESOS PRD'!$J:$J,'PROCESOS PRD'!$H:$H,0,0)),"")</f>
        <v>1800</v>
      </c>
      <c r="AP6" s="71"/>
      <c r="AQ6" s="32"/>
      <c r="AR6" s="72" t="str">
        <f t="array" ref="AR6">IFERROR(IF(XLOOKUP(CONCAT(AP6,AQ6),'MASTER PLAN'!$AB:$AB,'MASTER PLAN'!$J:$J,0,0)=0,"",XLOOKUP(CONCAT(AP6,AQ6),'MASTER PLAN'!$AB:$AB,'MASTER PLAN'!$J:$J,0,0)),"")</f>
        <v/>
      </c>
      <c r="AS6" s="73" t="str">
        <f t="array" ref="AS6">IFERROR(IF(XLOOKUP(CONCAT(AP6,AQ6),'PROCESOS PRD'!$J:$J,'PROCESOS PRD'!$H:$H,0,0)=0,"",XLOOKUP(CONCAT(AP6,AQ6),'PROCESOS PRD'!$J:$J,'PROCESOS PRD'!$H:$H,0,0)),"")</f>
        <v/>
      </c>
      <c r="AT6" s="70"/>
      <c r="AU6" s="71"/>
      <c r="AV6" s="32"/>
      <c r="AW6" s="72" t="str">
        <f t="array" ref="AW6">IFERROR(IF(XLOOKUP(CONCAT(AU6,AV6),'MASTER PLAN'!$AB:$AB,'MASTER PLAN'!$J:$J,0,0)=0,"",XLOOKUP(CONCAT(AU6,AV6),'MASTER PLAN'!$AB:$AB,'MASTER PLAN'!$J:$J,0,0)),"")</f>
        <v/>
      </c>
      <c r="AX6" s="73" t="str">
        <f t="array" ref="AX6">IFERROR(IF(XLOOKUP(CONCAT(AU6,AV6),'PROCESOS PRD'!$J:$J,'PROCESOS PRD'!$H:$H,0,0)=0,"",XLOOKUP(CONCAT(AU6,AV6),'PROCESOS PRD'!$J:$J,'PROCESOS PRD'!$H:$H,0,0)),"")</f>
        <v/>
      </c>
      <c r="AY6" s="71"/>
      <c r="AZ6" s="32"/>
      <c r="BA6" s="72" t="str">
        <f t="array" ref="BA6">IFERROR(IF(XLOOKUP(CONCAT(AY6,AZ6),'MASTER PLAN'!$AB:$AB,'MASTER PLAN'!$J:$J,0,0)=0,"",XLOOKUP(CONCAT(AY6,AZ6),'MASTER PLAN'!$AB:$AB,'MASTER PLAN'!$J:$J,0,0)),"")</f>
        <v/>
      </c>
      <c r="BB6" s="73" t="str">
        <f t="array" ref="BB6">IFERROR(IF(XLOOKUP(CONCAT(AY6,AZ6),'PROCESOS PRD'!$J:$J,'PROCESOS PRD'!$H:$H,0,0)=0,"",XLOOKUP(CONCAT(AY6,AZ6),'PROCESOS PRD'!$J:$J,'PROCESOS PRD'!$H:$H,0,0)),"")</f>
        <v/>
      </c>
      <c r="BC6" s="71"/>
      <c r="BD6" s="32"/>
      <c r="BE6" s="72" t="str">
        <f t="array" ref="BE6">IFERROR(IF(XLOOKUP(CONCAT(BC6,BD6),'MASTER PLAN'!$AB:$AB,'MASTER PLAN'!$J:$J,0,0)=0,"",XLOOKUP(CONCAT(BC6,BD6),'MASTER PLAN'!$AB:$AB,'MASTER PLAN'!$J:$J,0,0)),"")</f>
        <v/>
      </c>
      <c r="BF6" s="73" t="str">
        <f t="array" ref="BF6">IFERROR(IF(XLOOKUP(CONCAT(BC6,BD6),'PROCESOS PRD'!$J:$J,'PROCESOS PRD'!$H:$H,0,0)=0,"",XLOOKUP(CONCAT(BC6,BD6),'PROCESOS PRD'!$J:$J,'PROCESOS PRD'!$H:$H,0,0)),"")</f>
        <v/>
      </c>
      <c r="BG6" s="71">
        <v>1.402049351E9</v>
      </c>
      <c r="BH6" s="32">
        <v>10.0</v>
      </c>
      <c r="BI6" s="72" t="str">
        <f t="array" ref="BI6">IFERROR(IF(XLOOKUP(CONCAT(BG6,BH6),'MASTER PLAN'!$AB:$AB,'MASTER PLAN'!$J:$J,0,0)=0,"",XLOOKUP(CONCAT(BG6,BH6),'MASTER PLAN'!$AB:$AB,'MASTER PLAN'!$J:$J,0,0)),"")</f>
        <v>BOLSA WATERFALL JEWELERS 6-5"X3-5"X6-5"</v>
      </c>
      <c r="BJ6" s="73">
        <f t="array" ref="BJ6">IFERROR(IF(XLOOKUP(CONCAT(BG6,BH6),'PROCESOS PRD'!$J:$J,'PROCESOS PRD'!$H:$H,0,0)=0,"",XLOOKUP(CONCAT(BG6,BH6),'PROCESOS PRD'!$J:$J,'PROCESOS PRD'!$H:$H,0,0)),"")</f>
        <v>2400</v>
      </c>
      <c r="BK6" s="71">
        <v>1.402049437E9</v>
      </c>
      <c r="BL6" s="32">
        <v>10.0</v>
      </c>
      <c r="BM6" s="72" t="str">
        <f t="array" ref="BM6">IFERROR(IF(XLOOKUP(CONCAT(BK6,BL6),'MASTER PLAN'!$AB:$AB,'MASTER PLAN'!$J:$J,0,0)=0,"",XLOOKUP(CONCAT(BK6,BL6),'MASTER PLAN'!$AB:$AB,'MASTER PLAN'!$J:$J,0,0)),"")</f>
        <v>BOLSA FINKS JWLS 10X5X10"</v>
      </c>
      <c r="BN6" s="73">
        <f t="array" ref="BN6">IFERROR(IF(XLOOKUP(CONCAT(BK6,BL6),'PROCESOS PRD'!$J:$J,'PROCESOS PRD'!$H:$H,0,0)=0,"",XLOOKUP(CONCAT(BK6,BL6),'PROCESOS PRD'!$J:$J,'PROCESOS PRD'!$H:$H,0,0)),"")</f>
        <v>3600</v>
      </c>
      <c r="BO6" s="71"/>
      <c r="BP6" s="32"/>
      <c r="BQ6" s="72" t="str">
        <f t="array" ref="BQ6">IFERROR(IF(XLOOKUP(CONCAT(BO6,BP6),'MASTER PLAN'!$AB:$AB,'MASTER PLAN'!$J:$J,0,0)=0,"",XLOOKUP(CONCAT(BO6,BP6),'MASTER PLAN'!$AB:$AB,'MASTER PLAN'!$J:$J,0,0)),"")</f>
        <v/>
      </c>
      <c r="BR6" s="73" t="str">
        <f t="array" ref="BR6">IFERROR(IF(XLOOKUP(CONCAT(BO6,BP6),'PROCESOS PRD'!$J:$J,'PROCESOS PRD'!$H:$H,0,0)=0,"",XLOOKUP(CONCAT(BO6,BP6),'PROCESOS PRD'!$J:$J,'PROCESOS PRD'!$H:$H,0,0)),"")</f>
        <v/>
      </c>
      <c r="BS6" s="70"/>
      <c r="BT6" s="71">
        <v>1.402049532E9</v>
      </c>
      <c r="BU6" s="32">
        <v>10.0</v>
      </c>
      <c r="BV6" s="72" t="str">
        <f t="array" ref="BV6">IFERROR(IF(XLOOKUP(CONCAT(BT6,BU6),'MASTER PLAN'!$AB:$AB,'MASTER PLAN'!$J:$J,0,0)=0,"",XLOOKUP(CONCAT(BT6,BU6),'MASTER PLAN'!$AB:$AB,'MASTER PLAN'!$J:$J,0,0)),"")</f>
        <v>BOLSA CHARISMA JEWELERS 10"X 4"X 8"</v>
      </c>
      <c r="BW6" s="73">
        <f t="array" ref="BW6">IFERROR(IF(XLOOKUP(CONCAT(BT6,BU6),'PROCESOS PRD'!$J:$J,'PROCESOS PRD'!$H:$H,0,0)=0,"",XLOOKUP(CONCAT(BT6,BU6),'PROCESOS PRD'!$J:$J,'PROCESOS PRD'!$H:$H,0,0)),"")</f>
        <v>2400</v>
      </c>
      <c r="BX6" s="71"/>
      <c r="BY6" s="32"/>
      <c r="BZ6" s="72" t="str">
        <f t="array" ref="BZ6">IFERROR(IF(XLOOKUP(CONCAT(BX6,BY6),'MASTER PLAN'!$AB:$AB,'MASTER PLAN'!$J:$J,0,0)=0,"",XLOOKUP(CONCAT(BX6,BY6),'MASTER PLAN'!$AB:$AB,'MASTER PLAN'!$J:$J,0,0)),"")</f>
        <v/>
      </c>
      <c r="CA6" s="73" t="str">
        <f t="array" ref="CA6">IFERROR(IF(XLOOKUP(CONCAT(BX6,BY6),'PROCESOS PRD'!$J:$J,'PROCESOS PRD'!$H:$H,0,0)=0,"",XLOOKUP(CONCAT(BX6,BY6),'PROCESOS PRD'!$J:$J,'PROCESOS PRD'!$H:$H,0,0)),"")</f>
        <v/>
      </c>
      <c r="CB6" s="71"/>
      <c r="CC6" s="32"/>
      <c r="CD6" s="72" t="str">
        <f t="array" ref="CD6">IFERROR(IF(XLOOKUP(CONCAT(CB6,CC6),'MASTER PLAN'!$AB:$AB,'MASTER PLAN'!$J:$J,0,0)=0,"",XLOOKUP(CONCAT(CB6,CC6),'MASTER PLAN'!$AB:$AB,'MASTER PLAN'!$J:$J,0,0)),"")</f>
        <v/>
      </c>
      <c r="CE6" s="73" t="str">
        <f t="array" ref="CE6">IFERROR(IF(XLOOKUP(CONCAT(CB6,CC6),'PROCESOS PRD'!$J:$J,'PROCESOS PRD'!$H:$H,0,0)=0,"",XLOOKUP(CONCAT(CB6,CC6),'PROCESOS PRD'!$J:$J,'PROCESOS PRD'!$H:$H,0,0)),"")</f>
        <v/>
      </c>
      <c r="CF6" s="71"/>
      <c r="CG6" s="32"/>
      <c r="CH6" s="72" t="str">
        <f t="array" ref="CH6">IFERROR(IF(XLOOKUP(CONCAT(CF6,CG6),'MASTER PLAN'!$AB:$AB,'MASTER PLAN'!$J:$J,0,0)=0,"",XLOOKUP(CONCAT(CF6,CG6),'MASTER PLAN'!$AB:$AB,'MASTER PLAN'!$J:$J,0,0)),"")</f>
        <v/>
      </c>
      <c r="CI6" s="73" t="str">
        <f t="array" ref="CI6">IFERROR(IF(XLOOKUP(CONCAT(CF6,CG6),'PROCESOS PRD'!$J:$J,'PROCESOS PRD'!$H:$H,0,0)=0,"",XLOOKUP(CONCAT(CF6,CG6),'PROCESOS PRD'!$J:$J,'PROCESOS PRD'!$H:$H,0,0)),"")</f>
        <v/>
      </c>
      <c r="CJ6" s="71"/>
      <c r="CK6" s="32"/>
      <c r="CL6" s="72" t="str">
        <f t="array" ref="CL6">IFERROR(IF(XLOOKUP(CONCAT(CJ6,CK6),'MASTER PLAN'!$AB:$AB,'MASTER PLAN'!$J:$J,0,0)=0,"",XLOOKUP(CONCAT(CJ6,CK6),'MASTER PLAN'!$AB:$AB,'MASTER PLAN'!$J:$J,0,0)),"")</f>
        <v/>
      </c>
      <c r="CM6" s="73" t="str">
        <f t="array" ref="CM6">IFERROR(IF(XLOOKUP(CONCAT(CJ6,CK6),'PROCESOS PRD'!$J:$J,'PROCESOS PRD'!$H:$H,0,0)=0,"",XLOOKUP(CONCAT(CJ6,CK6),'PROCESOS PRD'!$J:$J,'PROCESOS PRD'!$H:$H,0,0)),"")</f>
        <v/>
      </c>
      <c r="CN6" s="71"/>
      <c r="CO6" s="32"/>
      <c r="CP6" s="72" t="str">
        <f t="array" ref="CP6">IFERROR(IF(XLOOKUP(CONCAT(CN6,CO6),'MASTER PLAN'!$AB:$AB,'MASTER PLAN'!$J:$J,0,0)=0,"",XLOOKUP(CONCAT(CN6,CO6),'MASTER PLAN'!$AB:$AB,'MASTER PLAN'!$J:$J,0,0)),"")</f>
        <v/>
      </c>
      <c r="CQ6" s="73" t="str">
        <f t="array" ref="CQ6">IFERROR(IF(XLOOKUP(CONCAT(CN6,CO6),'PROCESOS PRD'!$J:$J,'PROCESOS PRD'!$H:$H,0,0)=0,"",XLOOKUP(CONCAT(CN6,CO6),'PROCESOS PRD'!$J:$J,'PROCESOS PRD'!$H:$H,0,0)),"")</f>
        <v/>
      </c>
      <c r="CR6" s="70"/>
      <c r="CS6" s="71"/>
      <c r="CT6" s="32"/>
      <c r="CU6" s="72" t="str">
        <f t="array" ref="CU6">IFERROR(IF(XLOOKUP(CONCAT(CS6,CT6),'MASTER PLAN'!$AB:$AB,'MASTER PLAN'!$J:$J,0,0)=0,"",XLOOKUP(CONCAT(CS6,CT6),'MASTER PLAN'!$AB:$AB,'MASTER PLAN'!$J:$J,0,0)),"")</f>
        <v/>
      </c>
      <c r="CV6" s="73" t="str">
        <f t="array" ref="CV6">IFERROR(IF(XLOOKUP(CONCAT(CS6,CT6),'PROCESOS PRD'!$J:$J,'PROCESOS PRD'!$H:$H,0,0)=0,"",XLOOKUP(CONCAT(CS6,CT6),'PROCESOS PRD'!$J:$J,'PROCESOS PRD'!$H:$H,0,0)),"")</f>
        <v/>
      </c>
      <c r="CW6" s="71"/>
      <c r="CX6" s="32"/>
      <c r="CY6" s="72" t="str">
        <f t="array" ref="CY6">IFERROR(IF(XLOOKUP(CONCAT(CW6,CX6),'MASTER PLAN'!$AB:$AB,'MASTER PLAN'!$J:$J,0,0)=0,"",XLOOKUP(CONCAT(CW6,CX6),'MASTER PLAN'!$AB:$AB,'MASTER PLAN'!$J:$J,0,0)),"")</f>
        <v/>
      </c>
      <c r="CZ6" s="73" t="str">
        <f t="array" ref="CZ6">IFERROR(IF(XLOOKUP(CONCAT(CW6,CX6),'PROCESOS PRD'!$J:$J,'PROCESOS PRD'!$H:$H,0,0)=0,"",XLOOKUP(CONCAT(CW6,CX6),'PROCESOS PRD'!$J:$J,'PROCESOS PRD'!$H:$H,0,0)),"")</f>
        <v/>
      </c>
      <c r="DA6" s="71"/>
      <c r="DB6" s="32"/>
      <c r="DC6" s="72" t="str">
        <f t="array" ref="DC6">IFERROR(IF(XLOOKUP(CONCAT(DA6,DB6),'MASTER PLAN'!$AB:$AB,'MASTER PLAN'!$J:$J,0,0)=0,"",XLOOKUP(CONCAT(DA6,DB6),'MASTER PLAN'!$AB:$AB,'MASTER PLAN'!$J:$J,0,0)),"")</f>
        <v/>
      </c>
      <c r="DD6" s="73" t="str">
        <f t="array" ref="DD6">IFERROR(IF(XLOOKUP(CONCAT(DA6,DB6),'PROCESOS PRD'!$J:$J,'PROCESOS PRD'!$H:$H,0,0)=0,"",XLOOKUP(CONCAT(DA6,DB6),'PROCESOS PRD'!$J:$J,'PROCESOS PRD'!$H:$H,0,0)),"")</f>
        <v/>
      </c>
      <c r="DE6" s="71"/>
      <c r="DF6" s="32"/>
      <c r="DG6" s="72" t="str">
        <f t="array" ref="DG6">IFERROR(IF(XLOOKUP(CONCAT(DE6,DF6),'MASTER PLAN'!$AB:$AB,'MASTER PLAN'!$J:$J,0,0)=0,"",XLOOKUP(CONCAT(DE6,DF6),'MASTER PLAN'!$AB:$AB,'MASTER PLAN'!$J:$J,0,0)),"")</f>
        <v/>
      </c>
      <c r="DH6" s="73" t="str">
        <f t="array" ref="DH6">IFERROR(IF(XLOOKUP(CONCAT(DE6,DF6),'PROCESOS PRD'!$J:$J,'PROCESOS PRD'!$H:$H,0,0)=0,"",XLOOKUP(CONCAT(DE6,DF6),'PROCESOS PRD'!$J:$J,'PROCESOS PRD'!$H:$H,0,0)),"")</f>
        <v/>
      </c>
      <c r="DI6" s="71"/>
      <c r="DJ6" s="32"/>
      <c r="DK6" s="72" t="str">
        <f t="array" ref="DK6">IFERROR(IF(XLOOKUP(CONCAT(DI6,DJ6),'MASTER PLAN'!$AB:$AB,'MASTER PLAN'!$J:$J,0,0)=0,"",XLOOKUP(CONCAT(DI6,DJ6),'MASTER PLAN'!$AB:$AB,'MASTER PLAN'!$J:$J,0,0)),"")</f>
        <v/>
      </c>
      <c r="DL6" s="73" t="str">
        <f t="array" ref="DL6">IFERROR(IF(XLOOKUP(CONCAT(DI6,DJ6),'PROCESOS PRD'!$J:$J,'PROCESOS PRD'!$H:$H,0,0)=0,"",XLOOKUP(CONCAT(DI6,DJ6),'PROCESOS PRD'!$J:$J,'PROCESOS PRD'!$H:$H,0,0)),"")</f>
        <v/>
      </c>
      <c r="DM6" s="71"/>
      <c r="DN6" s="32"/>
      <c r="DO6" s="72" t="str">
        <f t="array" ref="DO6">IFERROR(IF(XLOOKUP(CONCAT(DM6,DN6),'MASTER PLAN'!$AB:$AB,'MASTER PLAN'!$J:$J,0,0)=0,"",XLOOKUP(CONCAT(DM6,DN6),'MASTER PLAN'!$AB:$AB,'MASTER PLAN'!$J:$J,0,0)),"")</f>
        <v/>
      </c>
      <c r="DP6" s="73" t="str">
        <f t="array" ref="DP6">IFERROR(IF(XLOOKUP(CONCAT(DM6,DN6),'PROCESOS PRD'!$J:$J,'PROCESOS PRD'!$H:$H,0,0)=0,"",XLOOKUP(CONCAT(DM6,DN6),'PROCESOS PRD'!$J:$J,'PROCESOS PRD'!$H:$H,0,0)),"")</f>
        <v/>
      </c>
      <c r="DQ6" s="70"/>
      <c r="DR6" s="71"/>
      <c r="DS6" s="32"/>
      <c r="DT6" s="72" t="str">
        <f t="array" ref="DT6">IFERROR(IF(XLOOKUP(CONCAT(DR6,DS6),'MASTER PLAN'!$AB:$AB,'MASTER PLAN'!$J:$J,0,0)=0,"",XLOOKUP(CONCAT(DR6,DS6),'MASTER PLAN'!$AB:$AB,'MASTER PLAN'!$J:$J,0,0)),"")</f>
        <v/>
      </c>
      <c r="DU6" s="73" t="str">
        <f t="array" ref="DU6">IFERROR(IF(XLOOKUP(CONCAT(DR6,DS6),'PROCESOS PRD'!$J:$J,'PROCESOS PRD'!$H:$H,0,0)=0,"",XLOOKUP(CONCAT(DR6,DS6),'PROCESOS PRD'!$J:$J,'PROCESOS PRD'!$H:$H,0,0)),"")</f>
        <v/>
      </c>
      <c r="DV6" s="71"/>
      <c r="DW6" s="32"/>
      <c r="DX6" s="72" t="str">
        <f t="array" ref="DX6">IFERROR(IF(XLOOKUP(CONCAT(DV6,DW6),'MASTER PLAN'!$AB:$AB,'MASTER PLAN'!$J:$J,0,0)=0,"",XLOOKUP(CONCAT(DV6,DW6),'MASTER PLAN'!$AB:$AB,'MASTER PLAN'!$J:$J,0,0)),"")</f>
        <v/>
      </c>
      <c r="DY6" s="73" t="str">
        <f t="array" ref="DY6">IFERROR(IF(XLOOKUP(CONCAT(DV6,DW6),'PROCESOS PRD'!$J:$J,'PROCESOS PRD'!$H:$H,0,0)=0,"",XLOOKUP(CONCAT(DV6,DW6),'PROCESOS PRD'!$J:$J,'PROCESOS PRD'!$H:$H,0,0)),"")</f>
        <v/>
      </c>
      <c r="DZ6" s="71"/>
      <c r="EA6" s="32"/>
      <c r="EB6" s="72" t="str">
        <f t="array" ref="EB6">IFERROR(IF(XLOOKUP(CONCAT(DZ6,EA6),'MASTER PLAN'!$AB:$AB,'MASTER PLAN'!$J:$J,0,0)=0,"",XLOOKUP(CONCAT(DZ6,EA6),'MASTER PLAN'!$AB:$AB,'MASTER PLAN'!$J:$J,0,0)),"")</f>
        <v/>
      </c>
      <c r="EC6" s="73" t="str">
        <f t="array" ref="EC6">IFERROR(IF(XLOOKUP(CONCAT(DZ6,EA6),'PROCESOS PRD'!$J:$J,'PROCESOS PRD'!$H:$H,0,0)=0,"",XLOOKUP(CONCAT(DZ6,EA6),'PROCESOS PRD'!$J:$J,'PROCESOS PRD'!$H:$H,0,0)),"")</f>
        <v/>
      </c>
      <c r="ED6" s="71"/>
      <c r="EE6" s="32"/>
      <c r="EF6" s="72" t="str">
        <f t="array" ref="EF6">IFERROR(IF(XLOOKUP(CONCAT(ED6,EE6),'MASTER PLAN'!$AB:$AB,'MASTER PLAN'!$J:$J,0,0)=0,"",XLOOKUP(CONCAT(ED6,EE6),'MASTER PLAN'!$AB:$AB,'MASTER PLAN'!$J:$J,0,0)),"")</f>
        <v/>
      </c>
      <c r="EG6" s="73" t="str">
        <f t="array" ref="EG6">IFERROR(IF(XLOOKUP(CONCAT(ED6,EE6),'PROCESOS PRD'!$J:$J,'PROCESOS PRD'!$H:$H,0,0)=0,"",XLOOKUP(CONCAT(ED6,EE6),'PROCESOS PRD'!$J:$J,'PROCESOS PRD'!$H:$H,0,0)),"")</f>
        <v/>
      </c>
      <c r="EH6" s="71"/>
      <c r="EI6" s="32"/>
      <c r="EJ6" s="72" t="str">
        <f t="array" ref="EJ6">IFERROR(IF(XLOOKUP(CONCAT(EH6,EI6),'MASTER PLAN'!$AB:$AB,'MASTER PLAN'!$J:$J,0,0)=0,"",XLOOKUP(CONCAT(EH6,EI6),'MASTER PLAN'!$AB:$AB,'MASTER PLAN'!$J:$J,0,0)),"")</f>
        <v/>
      </c>
      <c r="EK6" s="73" t="str">
        <f t="array" ref="EK6">IFERROR(IF(XLOOKUP(CONCAT(EH6,EI6),'PROCESOS PRD'!$J:$J,'PROCESOS PRD'!$H:$H,0,0)=0,"",XLOOKUP(CONCAT(EH6,EI6),'PROCESOS PRD'!$J:$J,'PROCESOS PRD'!$H:$H,0,0)),"")</f>
        <v/>
      </c>
      <c r="EL6" s="71"/>
      <c r="EM6" s="32"/>
      <c r="EN6" s="72" t="str">
        <f t="array" ref="EN6">IFERROR(IF(XLOOKUP(CONCAT(EL6,EM6),'MASTER PLAN'!$AB:$AB,'MASTER PLAN'!$J:$J,0,0)=0,"",XLOOKUP(CONCAT(EL6,EM6),'MASTER PLAN'!$AB:$AB,'MASTER PLAN'!$J:$J,0,0)),"")</f>
        <v/>
      </c>
      <c r="EO6" s="73" t="str">
        <f t="array" ref="EO6">IFERROR(IF(XLOOKUP(CONCAT(EL6,EM6),'PROCESOS PRD'!$J:$J,'PROCESOS PRD'!$H:$H,0,0)=0,"",XLOOKUP(CONCAT(EL6,EM6),'PROCESOS PRD'!$J:$J,'PROCESOS PRD'!$H:$H,0,0)),"")</f>
        <v/>
      </c>
      <c r="EP6" s="70"/>
      <c r="EQ6" s="71"/>
      <c r="ER6" s="32"/>
      <c r="ES6" s="72" t="str">
        <f t="array" ref="ES6">IFERROR(IF(XLOOKUP(CONCAT(EQ6,ER6),'MASTER PLAN'!$AB:$AB,'MASTER PLAN'!$J:$J,0,0)=0,"",XLOOKUP(CONCAT(EQ6,ER6),'MASTER PLAN'!$AB:$AB,'MASTER PLAN'!$J:$J,0,0)),"")</f>
        <v/>
      </c>
      <c r="ET6" s="73" t="str">
        <f t="array" ref="ET6">IFERROR(IF(XLOOKUP(CONCAT(EQ6,ER6),'PROCESOS PRD'!$J:$J,'PROCESOS PRD'!$H:$H,0,0)=0,"",XLOOKUP(CONCAT(EQ6,ER6),'PROCESOS PRD'!$J:$J,'PROCESOS PRD'!$H:$H,0,0)),"")</f>
        <v/>
      </c>
      <c r="EU6" s="71"/>
      <c r="EV6" s="32"/>
      <c r="EW6" s="72" t="str">
        <f t="array" ref="EW6">IFERROR(IF(XLOOKUP(CONCAT(EU6,EV6),'MASTER PLAN'!$AB:$AB,'MASTER PLAN'!$J:$J,0,0)=0,"",XLOOKUP(CONCAT(EU6,EV6),'MASTER PLAN'!$AB:$AB,'MASTER PLAN'!$J:$J,0,0)),"")</f>
        <v/>
      </c>
      <c r="EX6" s="73" t="str">
        <f t="array" ref="EX6">IFERROR(IF(XLOOKUP(CONCAT(EU6,EV6),'PROCESOS PRD'!$J:$J,'PROCESOS PRD'!$H:$H,0,0)=0,"",XLOOKUP(CONCAT(EU6,EV6),'PROCESOS PRD'!$J:$J,'PROCESOS PRD'!$H:$H,0,0)),"")</f>
        <v/>
      </c>
      <c r="EY6" s="71"/>
      <c r="EZ6" s="32"/>
      <c r="FA6" s="72" t="str">
        <f t="array" ref="FA6">IFERROR(IF(XLOOKUP(CONCAT(EY6,EZ6),'MASTER PLAN'!$AB:$AB,'MASTER PLAN'!$J:$J,0,0)=0,"",XLOOKUP(CONCAT(EY6,EZ6),'MASTER PLAN'!$AB:$AB,'MASTER PLAN'!$J:$J,0,0)),"")</f>
        <v/>
      </c>
      <c r="FB6" s="73" t="str">
        <f t="array" ref="FB6">IFERROR(IF(XLOOKUP(CONCAT(EY6,EZ6),'PROCESOS PRD'!$J:$J,'PROCESOS PRD'!$H:$H,0,0)=0,"",XLOOKUP(CONCAT(EY6,EZ6),'PROCESOS PRD'!$J:$J,'PROCESOS PRD'!$H:$H,0,0)),"")</f>
        <v/>
      </c>
      <c r="FC6" s="71"/>
      <c r="FD6" s="32"/>
      <c r="FE6" s="72" t="str">
        <f t="array" ref="FE6">IFERROR(IF(XLOOKUP(CONCAT(FC6,FD6),'MASTER PLAN'!$AB:$AB,'MASTER PLAN'!$J:$J,0,0)=0,"",XLOOKUP(CONCAT(FC6,FD6),'MASTER PLAN'!$AB:$AB,'MASTER PLAN'!$J:$J,0,0)),"")</f>
        <v/>
      </c>
      <c r="FF6" s="73" t="str">
        <f t="array" ref="FF6">IFERROR(IF(XLOOKUP(CONCAT(FC6,FD6),'PROCESOS PRD'!$J:$J,'PROCESOS PRD'!$H:$H,0,0)=0,"",XLOOKUP(CONCAT(FC6,FD6),'PROCESOS PRD'!$J:$J,'PROCESOS PRD'!$H:$H,0,0)),"")</f>
        <v/>
      </c>
      <c r="FG6" s="71"/>
      <c r="FH6" s="32"/>
      <c r="FI6" s="72" t="str">
        <f t="array" ref="FI6">IFERROR(IF(XLOOKUP(CONCAT(FG6,FH6),'MASTER PLAN'!$AB:$AB,'MASTER PLAN'!$J:$J,0,0)=0,"",XLOOKUP(CONCAT(FG6,FH6),'MASTER PLAN'!$AB:$AB,'MASTER PLAN'!$J:$J,0,0)),"")</f>
        <v/>
      </c>
      <c r="FJ6" s="73" t="str">
        <f t="array" ref="FJ6">IFERROR(IF(XLOOKUP(CONCAT(FG6,FH6),'PROCESOS PRD'!$J:$J,'PROCESOS PRD'!$H:$H,0,0)=0,"",XLOOKUP(CONCAT(FG6,FH6),'PROCESOS PRD'!$J:$J,'PROCESOS PRD'!$H:$H,0,0)),"")</f>
        <v/>
      </c>
      <c r="FK6" s="71"/>
      <c r="FL6" s="32"/>
      <c r="FM6" s="72" t="str">
        <f t="array" ref="FM6">IFERROR(IF(XLOOKUP(CONCAT(FK6,FL6),'MASTER PLAN'!$AB:$AB,'MASTER PLAN'!$J:$J,0,0)=0,"",XLOOKUP(CONCAT(FK6,FL6),'MASTER PLAN'!$AB:$AB,'MASTER PLAN'!$J:$J,0,0)),"")</f>
        <v/>
      </c>
      <c r="FN6" s="73" t="str">
        <f t="array" ref="FN6">IFERROR(IF(XLOOKUP(CONCAT(FK6,FL6),'PROCESOS PRD'!$J:$J,'PROCESOS PRD'!$H:$H,0,0)=0,"",XLOOKUP(CONCAT(FK6,FL6),'PROCESOS PRD'!$J:$J,'PROCESOS PRD'!$H:$H,0,0)),"")</f>
        <v/>
      </c>
      <c r="FO6" s="70"/>
      <c r="FP6" s="71"/>
      <c r="FQ6" s="32"/>
      <c r="FR6" s="72" t="str">
        <f t="array" ref="FR6">IFERROR(IF(XLOOKUP(CONCAT(FP6,FQ6),'MASTER PLAN'!$AB:$AB,'MASTER PLAN'!$J:$J,0,0)=0,"",XLOOKUP(CONCAT(FP6,FQ6),'MASTER PLAN'!$AB:$AB,'MASTER PLAN'!$J:$J,0,0)),"")</f>
        <v/>
      </c>
      <c r="FS6" s="73" t="str">
        <f t="array" ref="FS6">IFERROR(IF(XLOOKUP(CONCAT(FP6,FQ6),'PROCESOS PRD'!$J:$J,'PROCESOS PRD'!$H:$H,0,0)=0,"",XLOOKUP(CONCAT(FP6,FQ6),'PROCESOS PRD'!$J:$J,'PROCESOS PRD'!$H:$H,0,0)),"")</f>
        <v/>
      </c>
      <c r="FT6" s="71"/>
      <c r="FU6" s="32"/>
      <c r="FV6" s="72" t="str">
        <f t="array" ref="FV6">IFERROR(IF(XLOOKUP(CONCAT(FT6,FU6),'MASTER PLAN'!$AB:$AB,'MASTER PLAN'!$J:$J,0,0)=0,"",XLOOKUP(CONCAT(FT6,FU6),'MASTER PLAN'!$AB:$AB,'MASTER PLAN'!$J:$J,0,0)),"")</f>
        <v/>
      </c>
      <c r="FW6" s="73" t="str">
        <f t="array" ref="FW6">IFERROR(IF(XLOOKUP(CONCAT(FT6,FU6),'PROCESOS PRD'!$J:$J,'PROCESOS PRD'!$H:$H,0,0)=0,"",XLOOKUP(CONCAT(FT6,FU6),'PROCESOS PRD'!$J:$J,'PROCESOS PRD'!$H:$H,0,0)),"")</f>
        <v/>
      </c>
      <c r="FX6" s="71"/>
      <c r="FY6" s="32"/>
      <c r="FZ6" s="72" t="str">
        <f t="array" ref="FZ6">IFERROR(IF(XLOOKUP(CONCAT(FX6,FY6),'MASTER PLAN'!$AB:$AB,'MASTER PLAN'!$J:$J,0,0)=0,"",XLOOKUP(CONCAT(FX6,FY6),'MASTER PLAN'!$AB:$AB,'MASTER PLAN'!$J:$J,0,0)),"")</f>
        <v/>
      </c>
      <c r="GA6" s="73" t="str">
        <f t="array" ref="GA6">IFERROR(IF(XLOOKUP(CONCAT(FX6,FY6),'PROCESOS PRD'!$J:$J,'PROCESOS PRD'!$H:$H,0,0)=0,"",XLOOKUP(CONCAT(FX6,FY6),'PROCESOS PRD'!$J:$J,'PROCESOS PRD'!$H:$H,0,0)),"")</f>
        <v/>
      </c>
      <c r="GB6" s="71"/>
      <c r="GC6" s="32"/>
      <c r="GD6" s="72" t="str">
        <f t="array" ref="GD6">IFERROR(IF(XLOOKUP(CONCAT(GB6,GC6),'MASTER PLAN'!$AB:$AB,'MASTER PLAN'!$J:$J,0,0)=0,"",XLOOKUP(CONCAT(GB6,GC6),'MASTER PLAN'!$AB:$AB,'MASTER PLAN'!$J:$J,0,0)),"")</f>
        <v/>
      </c>
      <c r="GE6" s="73" t="str">
        <f t="array" ref="GE6">IFERROR(IF(XLOOKUP(CONCAT(GB6,GC6),'PROCESOS PRD'!$J:$J,'PROCESOS PRD'!$H:$H,0,0)=0,"",XLOOKUP(CONCAT(GB6,GC6),'PROCESOS PRD'!$J:$J,'PROCESOS PRD'!$H:$H,0,0)),"")</f>
        <v/>
      </c>
      <c r="GF6" s="71"/>
      <c r="GG6" s="32"/>
      <c r="GH6" s="72" t="str">
        <f t="array" ref="GH6">IFERROR(IF(XLOOKUP(CONCAT(GF6,GG6),'MASTER PLAN'!$AB:$AB,'MASTER PLAN'!$J:$J,0,0)=0,"",XLOOKUP(CONCAT(GF6,GG6),'MASTER PLAN'!$AB:$AB,'MASTER PLAN'!$J:$J,0,0)),"")</f>
        <v/>
      </c>
      <c r="GI6" s="73" t="str">
        <f t="array" ref="GI6">IFERROR(IF(XLOOKUP(CONCAT(GF6,GG6),'PROCESOS PRD'!$J:$J,'PROCESOS PRD'!$H:$H,0,0)=0,"",XLOOKUP(CONCAT(GF6,GG6),'PROCESOS PRD'!$J:$J,'PROCESOS PRD'!$H:$H,0,0)),"")</f>
        <v/>
      </c>
      <c r="GJ6" s="71"/>
      <c r="GK6" s="32"/>
      <c r="GL6" s="72" t="str">
        <f t="array" ref="GL6">IFERROR(IF(XLOOKUP(CONCAT(GJ6,GK6),'MASTER PLAN'!$AB:$AB,'MASTER PLAN'!$J:$J,0,0)=0,"",XLOOKUP(CONCAT(GJ6,GK6),'MASTER PLAN'!$AB:$AB,'MASTER PLAN'!$J:$J,0,0)),"")</f>
        <v/>
      </c>
      <c r="GM6" s="73" t="str">
        <f t="array" ref="GM6">IFERROR(IF(XLOOKUP(CONCAT(GJ6,GK6),'PROCESOS PRD'!$J:$J,'PROCESOS PRD'!$H:$H,0,0)=0,"",XLOOKUP(CONCAT(GJ6,GK6),'PROCESOS PRD'!$J:$J,'PROCESOS PRD'!$H:$H,0,0)),"")</f>
        <v/>
      </c>
      <c r="GN6" s="70"/>
      <c r="GO6" s="71"/>
      <c r="GP6" s="32"/>
      <c r="GQ6" s="72" t="str">
        <f t="array" ref="GQ6">IFERROR(IF(XLOOKUP(CONCAT(GO6,GP6),'MASTER PLAN'!$AB:$AB,'MASTER PLAN'!$J:$J,0,0)=0,"",XLOOKUP(CONCAT(GO6,GP6),'MASTER PLAN'!$AB:$AB,'MASTER PLAN'!$J:$J,0,0)),"")</f>
        <v/>
      </c>
      <c r="GR6" s="73" t="str">
        <f t="array" ref="GR6">IFERROR(IF(XLOOKUP(CONCAT(GO6,GP6),'PROCESOS PRD'!$J:$J,'PROCESOS PRD'!$H:$H,0,0)=0,"",XLOOKUP(CONCAT(GO6,GP6),'PROCESOS PRD'!$J:$J,'PROCESOS PRD'!$H:$H,0,0)),"")</f>
        <v/>
      </c>
      <c r="GS6" s="71"/>
      <c r="GT6" s="32"/>
      <c r="GU6" s="72" t="str">
        <f t="array" ref="GU6">IFERROR(IF(XLOOKUP(CONCAT(GS6,GT6),'MASTER PLAN'!$AB:$AB,'MASTER PLAN'!$J:$J,0,0)=0,"",XLOOKUP(CONCAT(GS6,GT6),'MASTER PLAN'!$AB:$AB,'MASTER PLAN'!$J:$J,0,0)),"")</f>
        <v/>
      </c>
      <c r="GV6" s="73" t="str">
        <f t="array" ref="GV6">IFERROR(IF(XLOOKUP(CONCAT(GS6,GT6),'PROCESOS PRD'!$J:$J,'PROCESOS PRD'!$H:$H,0,0)=0,"",XLOOKUP(CONCAT(GS6,GT6),'PROCESOS PRD'!$J:$J,'PROCESOS PRD'!$H:$H,0,0)),"")</f>
        <v/>
      </c>
      <c r="GW6" s="71"/>
      <c r="GX6" s="32"/>
      <c r="GY6" s="72" t="str">
        <f t="array" ref="GY6">IFERROR(IF(XLOOKUP(CONCAT(GW6,GX6),'MASTER PLAN'!$AB:$AB,'MASTER PLAN'!$J:$J,0,0)=0,"",XLOOKUP(CONCAT(GW6,GX6),'MASTER PLAN'!$AB:$AB,'MASTER PLAN'!$J:$J,0,0)),"")</f>
        <v/>
      </c>
      <c r="GZ6" s="73" t="str">
        <f t="array" ref="GZ6">IFERROR(IF(XLOOKUP(CONCAT(GW6,GX6),'PROCESOS PRD'!$J:$J,'PROCESOS PRD'!$H:$H,0,0)=0,"",XLOOKUP(CONCAT(GW6,GX6),'PROCESOS PRD'!$J:$J,'PROCESOS PRD'!$H:$H,0,0)),"")</f>
        <v/>
      </c>
      <c r="HA6" s="71"/>
      <c r="HB6" s="32"/>
      <c r="HC6" s="72" t="str">
        <f t="array" ref="HC6">IFERROR(IF(XLOOKUP(CONCAT(HA6,HB6),'MASTER PLAN'!$AB:$AB,'MASTER PLAN'!$J:$J,0,0)=0,"",XLOOKUP(CONCAT(HA6,HB6),'MASTER PLAN'!$AB:$AB,'MASTER PLAN'!$J:$J,0,0)),"")</f>
        <v/>
      </c>
      <c r="HD6" s="73" t="str">
        <f t="array" ref="HD6">IFERROR(IF(XLOOKUP(CONCAT(HA6,HB6),'PROCESOS PRD'!$J:$J,'PROCESOS PRD'!$H:$H,0,0)=0,"",XLOOKUP(CONCAT(HA6,HB6),'PROCESOS PRD'!$J:$J,'PROCESOS PRD'!$H:$H,0,0)),"")</f>
        <v/>
      </c>
      <c r="HE6" s="71"/>
      <c r="HF6" s="32"/>
      <c r="HG6" s="72" t="str">
        <f t="array" ref="HG6">IFERROR(IF(XLOOKUP(CONCAT(HE6,HF6),'MASTER PLAN'!$AB:$AB,'MASTER PLAN'!$J:$J,0,0)=0,"",XLOOKUP(CONCAT(HE6,HF6),'MASTER PLAN'!$AB:$AB,'MASTER PLAN'!$J:$J,0,0)),"")</f>
        <v/>
      </c>
      <c r="HH6" s="73" t="str">
        <f t="array" ref="HH6">IFERROR(IF(XLOOKUP(CONCAT(HE6,HF6),'PROCESOS PRD'!$J:$J,'PROCESOS PRD'!$H:$H,0,0)=0,"",XLOOKUP(CONCAT(HE6,HF6),'PROCESOS PRD'!$J:$J,'PROCESOS PRD'!$H:$H,0,0)),"")</f>
        <v/>
      </c>
      <c r="HI6" s="71"/>
      <c r="HJ6" s="32"/>
      <c r="HK6" s="72" t="str">
        <f t="array" ref="HK6">IFERROR(IF(XLOOKUP(CONCAT(HI6,HJ6),'MASTER PLAN'!$AB:$AB,'MASTER PLAN'!$J:$J,0,0)=0,"",XLOOKUP(CONCAT(HI6,HJ6),'MASTER PLAN'!$AB:$AB,'MASTER PLAN'!$J:$J,0,0)),"")</f>
        <v/>
      </c>
      <c r="HL6" s="73" t="str">
        <f t="array" ref="HL6">IFERROR(IF(XLOOKUP(CONCAT(HI6,HJ6),'PROCESOS PRD'!$J:$J,'PROCESOS PRD'!$H:$H,0,0)=0,"",XLOOKUP(CONCAT(HI6,HJ6),'PROCESOS PRD'!$J:$J,'PROCESOS PRD'!$H:$H,0,0)),"")</f>
        <v/>
      </c>
      <c r="HM6" s="70"/>
      <c r="HN6" s="71"/>
      <c r="HO6" s="32"/>
      <c r="HP6" s="72" t="str">
        <f t="array" ref="HP6">IFERROR(IF(XLOOKUP(CONCAT(HN6,HO6),'MASTER PLAN'!$AB:$AB,'MASTER PLAN'!$J:$J,0,0)=0,"",XLOOKUP(CONCAT(HN6,HO6),'MASTER PLAN'!$AB:$AB,'MASTER PLAN'!$J:$J,0,0)),"")</f>
        <v/>
      </c>
      <c r="HQ6" s="73" t="str">
        <f t="array" ref="HQ6">IFERROR(IF(XLOOKUP(CONCAT(HN6,HO6),'PROCESOS PRD'!$J:$J,'PROCESOS PRD'!$H:$H,0,0)=0,"",XLOOKUP(CONCAT(HN6,HO6),'PROCESOS PRD'!$J:$J,'PROCESOS PRD'!$H:$H,0,0)),"")</f>
        <v/>
      </c>
      <c r="HR6" s="71"/>
      <c r="HS6" s="32"/>
      <c r="HT6" s="72" t="str">
        <f t="array" ref="HT6">IFERROR(IF(XLOOKUP(CONCAT(HR6,HS6),'MASTER PLAN'!$AB:$AB,'MASTER PLAN'!$J:$J,0,0)=0,"",XLOOKUP(CONCAT(HR6,HS6),'MASTER PLAN'!$AB:$AB,'MASTER PLAN'!$J:$J,0,0)),"")</f>
        <v/>
      </c>
      <c r="HU6" s="73" t="str">
        <f t="array" ref="HU6">IFERROR(IF(XLOOKUP(CONCAT(HR6,HS6),'PROCESOS PRD'!$J:$J,'PROCESOS PRD'!$H:$H,0,0)=0,"",XLOOKUP(CONCAT(HR6,HS6),'PROCESOS PRD'!$J:$J,'PROCESOS PRD'!$H:$H,0,0)),"")</f>
        <v/>
      </c>
      <c r="HV6" s="71"/>
      <c r="HW6" s="32"/>
      <c r="HX6" s="72" t="str">
        <f t="array" ref="HX6">IFERROR(IF(XLOOKUP(CONCAT(HV6,HW6),'MASTER PLAN'!$AB:$AB,'MASTER PLAN'!$J:$J,0,0)=0,"",XLOOKUP(CONCAT(HV6,HW6),'MASTER PLAN'!$AB:$AB,'MASTER PLAN'!$J:$J,0,0)),"")</f>
        <v/>
      </c>
      <c r="HY6" s="73" t="str">
        <f t="array" ref="HY6">IFERROR(IF(XLOOKUP(CONCAT(HV6,HW6),'PROCESOS PRD'!$J:$J,'PROCESOS PRD'!$H:$H,0,0)=0,"",XLOOKUP(CONCAT(HV6,HW6),'PROCESOS PRD'!$J:$J,'PROCESOS PRD'!$H:$H,0,0)),"")</f>
        <v/>
      </c>
      <c r="HZ6" s="71"/>
      <c r="IA6" s="32"/>
      <c r="IB6" s="72" t="str">
        <f t="array" ref="IB6">IFERROR(IF(XLOOKUP(CONCAT(HZ6,IA6),'MASTER PLAN'!$AB:$AB,'MASTER PLAN'!$J:$J,0,0)=0,"",XLOOKUP(CONCAT(HZ6,IA6),'MASTER PLAN'!$AB:$AB,'MASTER PLAN'!$J:$J,0,0)),"")</f>
        <v/>
      </c>
      <c r="IC6" s="73" t="str">
        <f t="array" ref="IC6">IFERROR(IF(XLOOKUP(CONCAT(HZ6,IA6),'PROCESOS PRD'!$J:$J,'PROCESOS PRD'!$H:$H,0,0)=0,"",XLOOKUP(CONCAT(HZ6,IA6),'PROCESOS PRD'!$J:$J,'PROCESOS PRD'!$H:$H,0,0)),"")</f>
        <v/>
      </c>
      <c r="ID6" s="71"/>
      <c r="IE6" s="32"/>
      <c r="IF6" s="72" t="str">
        <f t="array" ref="IF6">IFERROR(IF(XLOOKUP(CONCAT(ID6,IE6),'MASTER PLAN'!$AB:$AB,'MASTER PLAN'!$J:$J,0,0)=0,"",XLOOKUP(CONCAT(ID6,IE6),'MASTER PLAN'!$AB:$AB,'MASTER PLAN'!$J:$J,0,0)),"")</f>
        <v/>
      </c>
      <c r="IG6" s="73" t="str">
        <f t="array" ref="IG6">IFERROR(IF(XLOOKUP(CONCAT(ID6,IE6),'PROCESOS PRD'!$J:$J,'PROCESOS PRD'!$H:$H,0,0)=0,"",XLOOKUP(CONCAT(ID6,IE6),'PROCESOS PRD'!$J:$J,'PROCESOS PRD'!$H:$H,0,0)),"")</f>
        <v/>
      </c>
      <c r="IH6" s="71"/>
      <c r="II6" s="32"/>
      <c r="IJ6" s="72" t="str">
        <f t="array" ref="IJ6">IFERROR(IF(XLOOKUP(CONCAT(IH6,II6),'MASTER PLAN'!$AB:$AB,'MASTER PLAN'!$J:$J,0,0)=0,"",XLOOKUP(CONCAT(IH6,II6),'MASTER PLAN'!$AB:$AB,'MASTER PLAN'!$J:$J,0,0)),"")</f>
        <v/>
      </c>
      <c r="IK6" s="73" t="str">
        <f t="array" ref="IK6">IFERROR(IF(XLOOKUP(CONCAT(IH6,II6),'PROCESOS PRD'!$J:$J,'PROCESOS PRD'!$H:$H,0,0)=0,"",XLOOKUP(CONCAT(IH6,II6),'PROCESOS PRD'!$J:$J,'PROCESOS PRD'!$H:$H,0,0)),"")</f>
        <v/>
      </c>
      <c r="IL6" s="70"/>
      <c r="IM6" s="71"/>
      <c r="IN6" s="32"/>
      <c r="IO6" s="72" t="str">
        <f t="array" ref="IO6">IFERROR(IF(XLOOKUP(CONCAT(IM6,IN6),'MASTER PLAN'!$AB:$AB,'MASTER PLAN'!$J:$J,0,0)=0,"",XLOOKUP(CONCAT(IM6,IN6),'MASTER PLAN'!$AB:$AB,'MASTER PLAN'!$J:$J,0,0)),"")</f>
        <v/>
      </c>
      <c r="IP6" s="73" t="str">
        <f t="array" ref="IP6">IFERROR(IF(XLOOKUP(CONCAT(IM6,IN6),'PROCESOS PRD'!$J:$J,'PROCESOS PRD'!$H:$H,0,0)=0,"",XLOOKUP(CONCAT(IM6,IN6),'PROCESOS PRD'!$J:$J,'PROCESOS PRD'!$H:$H,0,0)),"")</f>
        <v/>
      </c>
      <c r="IQ6" s="71"/>
      <c r="IR6" s="32"/>
      <c r="IS6" s="72" t="str">
        <f t="array" ref="IS6">IFERROR(IF(XLOOKUP(CONCAT(IQ6,IR6),'MASTER PLAN'!$AB:$AB,'MASTER PLAN'!$J:$J,0,0)=0,"",XLOOKUP(CONCAT(IQ6,IR6),'MASTER PLAN'!$AB:$AB,'MASTER PLAN'!$J:$J,0,0)),"")</f>
        <v/>
      </c>
      <c r="IT6" s="73" t="str">
        <f t="array" ref="IT6">IFERROR(IF(XLOOKUP(CONCAT(IQ6,IR6),'PROCESOS PRD'!$J:$J,'PROCESOS PRD'!$H:$H,0,0)=0,"",XLOOKUP(CONCAT(IQ6,IR6),'PROCESOS PRD'!$J:$J,'PROCESOS PRD'!$H:$H,0,0)),"")</f>
        <v/>
      </c>
      <c r="IU6" s="71"/>
      <c r="IV6" s="32"/>
      <c r="IW6" s="72" t="str">
        <f t="array" ref="IW6">IFERROR(IF(XLOOKUP(CONCAT(IU6,IV6),'MASTER PLAN'!$AB:$AB,'MASTER PLAN'!$J:$J,0,0)=0,"",XLOOKUP(CONCAT(IU6,IV6),'MASTER PLAN'!$AB:$AB,'MASTER PLAN'!$J:$J,0,0)),"")</f>
        <v/>
      </c>
      <c r="IX6" s="73" t="str">
        <f t="array" ref="IX6">IFERROR(IF(XLOOKUP(CONCAT(IU6,IV6),'PROCESOS PRD'!$J:$J,'PROCESOS PRD'!$H:$H,0,0)=0,"",XLOOKUP(CONCAT(IU6,IV6),'PROCESOS PRD'!$J:$J,'PROCESOS PRD'!$H:$H,0,0)),"")</f>
        <v/>
      </c>
      <c r="IY6" s="71"/>
      <c r="IZ6" s="32"/>
      <c r="JA6" s="72" t="str">
        <f t="array" ref="JA6">IFERROR(IF(XLOOKUP(CONCAT(IY6,IZ6),'MASTER PLAN'!$AB:$AB,'MASTER PLAN'!$J:$J,0,0)=0,"",XLOOKUP(CONCAT(IY6,IZ6),'MASTER PLAN'!$AB:$AB,'MASTER PLAN'!$J:$J,0,0)),"")</f>
        <v/>
      </c>
      <c r="JB6" s="73" t="str">
        <f t="array" ref="JB6">IFERROR(IF(XLOOKUP(CONCAT(IY6,IZ6),'PROCESOS PRD'!$J:$J,'PROCESOS PRD'!$H:$H,0,0)=0,"",XLOOKUP(CONCAT(IY6,IZ6),'PROCESOS PRD'!$J:$J,'PROCESOS PRD'!$H:$H,0,0)),"")</f>
        <v/>
      </c>
      <c r="JC6" s="71"/>
      <c r="JD6" s="32"/>
      <c r="JE6" s="72" t="str">
        <f t="array" ref="JE6">IFERROR(IF(XLOOKUP(CONCAT(JC6,JD6),'MASTER PLAN'!$AB:$AB,'MASTER PLAN'!$J:$J,0,0)=0,"",XLOOKUP(CONCAT(JC6,JD6),'MASTER PLAN'!$AB:$AB,'MASTER PLAN'!$J:$J,0,0)),"")</f>
        <v/>
      </c>
      <c r="JF6" s="73" t="str">
        <f t="array" ref="JF6">IFERROR(IF(XLOOKUP(CONCAT(JC6,JD6),'PROCESOS PRD'!$J:$J,'PROCESOS PRD'!$H:$H,0,0)=0,"",XLOOKUP(CONCAT(JC6,JD6),'PROCESOS PRD'!$J:$J,'PROCESOS PRD'!$H:$H,0,0)),"")</f>
        <v/>
      </c>
      <c r="JG6" s="71"/>
      <c r="JH6" s="32"/>
      <c r="JI6" s="72" t="str">
        <f t="array" ref="JI6">IFERROR(IF(XLOOKUP(CONCAT(JG6,JH6),'MASTER PLAN'!$AB:$AB,'MASTER PLAN'!$J:$J,0,0)=0,"",XLOOKUP(CONCAT(JG6,JH6),'MASTER PLAN'!$AB:$AB,'MASTER PLAN'!$J:$J,0,0)),"")</f>
        <v/>
      </c>
      <c r="JJ6" s="73" t="str">
        <f t="array" ref="JJ6">IFERROR(IF(XLOOKUP(CONCAT(JG6,JH6),'PROCESOS PRD'!$J:$J,'PROCESOS PRD'!$H:$H,0,0)=0,"",XLOOKUP(CONCAT(JG6,JH6),'PROCESOS PRD'!$J:$J,'PROCESOS PRD'!$H:$H,0,0)),"")</f>
        <v/>
      </c>
      <c r="JK6" s="70"/>
      <c r="JL6" s="71"/>
      <c r="JM6" s="32"/>
      <c r="JN6" s="72" t="str">
        <f t="array" ref="JN6">IFERROR(IF(XLOOKUP(CONCAT(JL6,JM6),'MASTER PLAN'!$AB:$AB,'MASTER PLAN'!$J:$J,0,0)=0,"",XLOOKUP(CONCAT(JL6,JM6),'MASTER PLAN'!$AB:$AB,'MASTER PLAN'!$J:$J,0,0)),"")</f>
        <v/>
      </c>
      <c r="JO6" s="73" t="str">
        <f t="array" ref="JO6">IFERROR(IF(XLOOKUP(CONCAT(JL6,JM6),'PROCESOS PRD'!$J:$J,'PROCESOS PRD'!$H:$H,0,0)=0,"",XLOOKUP(CONCAT(JL6,JM6),'PROCESOS PRD'!$J:$J,'PROCESOS PRD'!$H:$H,0,0)),"")</f>
        <v/>
      </c>
      <c r="JP6" s="71"/>
      <c r="JQ6" s="32"/>
      <c r="JR6" s="72" t="str">
        <f t="array" ref="JR6">IFERROR(IF(XLOOKUP(CONCAT(JP6,JQ6),'MASTER PLAN'!$AB:$AB,'MASTER PLAN'!$J:$J,0,0)=0,"",XLOOKUP(CONCAT(JP6,JQ6),'MASTER PLAN'!$AB:$AB,'MASTER PLAN'!$J:$J,0,0)),"")</f>
        <v/>
      </c>
      <c r="JS6" s="73" t="str">
        <f t="array" ref="JS6">IFERROR(IF(XLOOKUP(CONCAT(JP6,JQ6),'PROCESOS PRD'!$J:$J,'PROCESOS PRD'!$H:$H,0,0)=0,"",XLOOKUP(CONCAT(JP6,JQ6),'PROCESOS PRD'!$J:$J,'PROCESOS PRD'!$H:$H,0,0)),"")</f>
        <v/>
      </c>
      <c r="JT6" s="71"/>
      <c r="JU6" s="32"/>
      <c r="JV6" s="72" t="str">
        <f t="array" ref="JV6">IFERROR(IF(XLOOKUP(CONCAT(JT6,JU6),'MASTER PLAN'!$AB:$AB,'MASTER PLAN'!$J:$J,0,0)=0,"",XLOOKUP(CONCAT(JT6,JU6),'MASTER PLAN'!$AB:$AB,'MASTER PLAN'!$J:$J,0,0)),"")</f>
        <v/>
      </c>
      <c r="JW6" s="73" t="str">
        <f t="array" ref="JW6">IFERROR(IF(XLOOKUP(CONCAT(JT6,JU6),'PROCESOS PRD'!$J:$J,'PROCESOS PRD'!$H:$H,0,0)=0,"",XLOOKUP(CONCAT(JT6,JU6),'PROCESOS PRD'!$J:$J,'PROCESOS PRD'!$H:$H,0,0)),"")</f>
        <v/>
      </c>
      <c r="JX6" s="71"/>
      <c r="JY6" s="32"/>
      <c r="JZ6" s="72" t="str">
        <f t="array" ref="JZ6">IFERROR(IF(XLOOKUP(CONCAT(JX6,JY6),'MASTER PLAN'!$AB:$AB,'MASTER PLAN'!$J:$J,0,0)=0,"",XLOOKUP(CONCAT(JX6,JY6),'MASTER PLAN'!$AB:$AB,'MASTER PLAN'!$J:$J,0,0)),"")</f>
        <v/>
      </c>
      <c r="KA6" s="73" t="str">
        <f t="array" ref="KA6">IFERROR(IF(XLOOKUP(CONCAT(JX6,JY6),'PROCESOS PRD'!$J:$J,'PROCESOS PRD'!$H:$H,0,0)=0,"",XLOOKUP(CONCAT(JX6,JY6),'PROCESOS PRD'!$J:$J,'PROCESOS PRD'!$H:$H,0,0)),"")</f>
        <v/>
      </c>
      <c r="KB6" s="71"/>
      <c r="KC6" s="32"/>
      <c r="KD6" s="72" t="str">
        <f t="array" ref="KD6">IFERROR(IF(XLOOKUP(CONCAT(KB6,KC6),'MASTER PLAN'!$AB:$AB,'MASTER PLAN'!$J:$J,0,0)=0,"",XLOOKUP(CONCAT(KB6,KC6),'MASTER PLAN'!$AB:$AB,'MASTER PLAN'!$J:$J,0,0)),"")</f>
        <v/>
      </c>
      <c r="KE6" s="73" t="str">
        <f t="array" ref="KE6">IFERROR(IF(XLOOKUP(CONCAT(KB6,KC6),'PROCESOS PRD'!$J:$J,'PROCESOS PRD'!$H:$H,0,0)=0,"",XLOOKUP(CONCAT(KB6,KC6),'PROCESOS PRD'!$J:$J,'PROCESOS PRD'!$H:$H,0,0)),"")</f>
        <v/>
      </c>
      <c r="KF6" s="71"/>
      <c r="KG6" s="32"/>
      <c r="KH6" s="72" t="str">
        <f t="array" ref="KH6">IFERROR(IF(XLOOKUP(CONCAT(KF6,KG6),'MASTER PLAN'!$AB:$AB,'MASTER PLAN'!$J:$J,0,0)=0,"",XLOOKUP(CONCAT(KF6,KG6),'MASTER PLAN'!$AB:$AB,'MASTER PLAN'!$J:$J,0,0)),"")</f>
        <v/>
      </c>
      <c r="KI6" s="73" t="str">
        <f t="array" ref="KI6">IFERROR(IF(XLOOKUP(CONCAT(KF6,KG6),'PROCESOS PRD'!$J:$J,'PROCESOS PRD'!$H:$H,0,0)=0,"",XLOOKUP(CONCAT(KF6,KG6),'PROCESOS PRD'!$J:$J,'PROCESOS PRD'!$H:$H,0,0)),"")</f>
        <v/>
      </c>
      <c r="KJ6" s="70"/>
      <c r="KK6" s="70"/>
      <c r="KL6" s="70"/>
      <c r="KM6" s="70"/>
      <c r="KN6" s="70"/>
      <c r="KO6" s="70"/>
      <c r="KP6" s="70"/>
      <c r="KQ6" s="70"/>
      <c r="KR6" s="70"/>
      <c r="KS6" s="70"/>
      <c r="KT6" s="70"/>
      <c r="KU6" s="70"/>
      <c r="KV6" s="70"/>
      <c r="KW6" s="70"/>
      <c r="KX6" s="70"/>
      <c r="KY6" s="70"/>
      <c r="KZ6" s="70"/>
      <c r="LA6" s="70"/>
      <c r="LB6" s="70"/>
      <c r="LC6" s="70"/>
    </row>
    <row r="7">
      <c r="A7" s="42"/>
      <c r="B7" s="74"/>
      <c r="C7" s="69"/>
      <c r="D7" s="70"/>
      <c r="E7" s="71"/>
      <c r="F7" s="32"/>
      <c r="G7" s="72" t="str">
        <f t="array" ref="G7">IFERROR(IF(XLOOKUP(CONCAT(E7,F7),'MASTER PLAN'!$AB:$AB,'MASTER PLAN'!$J:$J,0,0)=0,"",XLOOKUP(CONCAT(E7,F7),'MASTER PLAN'!$AB:$AB,'MASTER PLAN'!$J:$J,0,0)),"")</f>
        <v/>
      </c>
      <c r="H7" s="73" t="str">
        <f t="array" ref="H7">IFERROR(IF(XLOOKUP(CONCAT(E7,F7),'PROCESOS PRD'!$J:$J,'PROCESOS PRD'!$H:$H,0,0)=0,"",XLOOKUP(CONCAT(E7,F7),'PROCESOS PRD'!$J:$J,'PROCESOS PRD'!$H:$H,0,0)),"")</f>
        <v/>
      </c>
      <c r="I7" s="71"/>
      <c r="J7" s="32"/>
      <c r="K7" s="72" t="str">
        <f t="array" ref="K7">IFERROR(IF(XLOOKUP(CONCAT(I7,J7),'MASTER PLAN'!$AB:$AB,'MASTER PLAN'!$J:$J,0,0)=0,"",XLOOKUP(CONCAT(I7,J7),'MASTER PLAN'!$AB:$AB,'MASTER PLAN'!$J:$J,0,0)),"")</f>
        <v/>
      </c>
      <c r="L7" s="73" t="str">
        <f t="array" ref="L7">IFERROR(IF(XLOOKUP(CONCAT(I7,J7),'PROCESOS PRD'!$J:$J,'PROCESOS PRD'!$H:$H,0,0)=0,"",XLOOKUP(CONCAT(I7,J7),'PROCESOS PRD'!$J:$J,'PROCESOS PRD'!$H:$H,0,0)),"")</f>
        <v/>
      </c>
      <c r="M7" s="71"/>
      <c r="N7" s="32"/>
      <c r="O7" s="72" t="str">
        <f t="array" ref="O7">IFERROR(IF(XLOOKUP(CONCAT(M7,N7),'MASTER PLAN'!$AB:$AB,'MASTER PLAN'!$J:$J,0,0)=0,"",XLOOKUP(CONCAT(M7,N7),'MASTER PLAN'!$AB:$AB,'MASTER PLAN'!$J:$J,0,0)),"")</f>
        <v/>
      </c>
      <c r="P7" s="73" t="str">
        <f t="array" ref="P7">IFERROR(IF(XLOOKUP(CONCAT(M7,N7),'PROCESOS PRD'!$J:$J,'PROCESOS PRD'!$H:$H,0,0)=0,"",XLOOKUP(CONCAT(M7,N7),'PROCESOS PRD'!$J:$J,'PROCESOS PRD'!$H:$H,0,0)),"")</f>
        <v/>
      </c>
      <c r="Q7" s="71"/>
      <c r="R7" s="32"/>
      <c r="S7" s="72" t="str">
        <f t="array" ref="S7">IFERROR(IF(XLOOKUP(CONCAT(Q7,R7),'MASTER PLAN'!$AB:$AB,'MASTER PLAN'!$J:$J,0,0)=0,"",XLOOKUP(CONCAT(Q7,R7),'MASTER PLAN'!$AB:$AB,'MASTER PLAN'!$J:$J,0,0)),"")</f>
        <v/>
      </c>
      <c r="T7" s="73" t="str">
        <f t="array" ref="T7">IFERROR(IF(XLOOKUP(CONCAT(Q7,R7),'PROCESOS PRD'!$J:$J,'PROCESOS PRD'!$H:$H,0,0)=0,"",XLOOKUP(CONCAT(Q7,R7),'PROCESOS PRD'!$J:$J,'PROCESOS PRD'!$H:$H,0,0)),"")</f>
        <v/>
      </c>
      <c r="U7" s="70"/>
      <c r="V7" s="71"/>
      <c r="W7" s="32"/>
      <c r="X7" s="72" t="str">
        <f t="array" ref="X7">IFERROR(IF(XLOOKUP(CONCAT(V7,W7),'MASTER PLAN'!$AB:$AB,'MASTER PLAN'!$J:$J,0,0)=0,"",XLOOKUP(CONCAT(V7,W7),'MASTER PLAN'!$AB:$AB,'MASTER PLAN'!$J:$J,0,0)),"")</f>
        <v/>
      </c>
      <c r="Y7" s="73" t="str">
        <f t="array" ref="Y7">IFERROR(IF(XLOOKUP(CONCAT(V7,W7),'PROCESOS PRD'!$J:$J,'PROCESOS PRD'!$H:$H,0,0)=0,"",XLOOKUP(CONCAT(V7,W7),'PROCESOS PRD'!$J:$J,'PROCESOS PRD'!$H:$H,0,0)),"")</f>
        <v/>
      </c>
      <c r="Z7" s="71"/>
      <c r="AA7" s="32"/>
      <c r="AB7" s="72" t="str">
        <f t="array" ref="AB7">IFERROR(IF(XLOOKUP(CONCAT(Z7,AA7),'MASTER PLAN'!$AB:$AB,'MASTER PLAN'!$J:$J,0,0)=0,"",XLOOKUP(CONCAT(Z7,AA7),'MASTER PLAN'!$AB:$AB,'MASTER PLAN'!$J:$J,0,0)),"")</f>
        <v/>
      </c>
      <c r="AC7" s="73" t="str">
        <f t="array" ref="AC7">IFERROR(IF(XLOOKUP(CONCAT(Z7,AA7),'PROCESOS PRD'!$J:$J,'PROCESOS PRD'!$H:$H,0,0)=0,"",XLOOKUP(CONCAT(Z7,AA7),'PROCESOS PRD'!$J:$J,'PROCESOS PRD'!$H:$H,0,0)),"")</f>
        <v/>
      </c>
      <c r="AD7" s="71"/>
      <c r="AE7" s="32"/>
      <c r="AF7" s="72" t="str">
        <f t="array" ref="AF7">IFERROR(IF(XLOOKUP(CONCAT(AD7,AE7),'MASTER PLAN'!$AB:$AB,'MASTER PLAN'!$J:$J,0,0)=0,"",XLOOKUP(CONCAT(AD7,AE7),'MASTER PLAN'!$AB:$AB,'MASTER PLAN'!$J:$J,0,0)),"")</f>
        <v/>
      </c>
      <c r="AG7" s="73" t="str">
        <f t="array" ref="AG7">IFERROR(IF(XLOOKUP(CONCAT(AD7,AE7),'PROCESOS PRD'!$J:$J,'PROCESOS PRD'!$H:$H,0,0)=0,"",XLOOKUP(CONCAT(AD7,AE7),'PROCESOS PRD'!$J:$J,'PROCESOS PRD'!$H:$H,0,0)),"")</f>
        <v/>
      </c>
      <c r="AH7" s="71"/>
      <c r="AI7" s="32"/>
      <c r="AJ7" s="72" t="str">
        <f t="array" ref="AJ7">IFERROR(IF(XLOOKUP(CONCAT(AH7,AI7),'MASTER PLAN'!$AB:$AB,'MASTER PLAN'!$J:$J,0,0)=0,"",XLOOKUP(CONCAT(AH7,AI7),'MASTER PLAN'!$AB:$AB,'MASTER PLAN'!$J:$J,0,0)),"")</f>
        <v/>
      </c>
      <c r="AK7" s="73" t="str">
        <f t="array" ref="AK7">IFERROR(IF(XLOOKUP(CONCAT(AH7,AI7),'PROCESOS PRD'!$J:$J,'PROCESOS PRD'!$H:$H,0,0)=0,"",XLOOKUP(CONCAT(AH7,AI7),'PROCESOS PRD'!$J:$J,'PROCESOS PRD'!$H:$H,0,0)),"")</f>
        <v/>
      </c>
      <c r="AL7" s="71">
        <v>1.402049355E9</v>
      </c>
      <c r="AM7" s="32">
        <v>10.0</v>
      </c>
      <c r="AN7" s="72" t="str">
        <f t="array" ref="AN7">IFERROR(IF(XLOOKUP(CONCAT(AL7,AM7),'MASTER PLAN'!$AB:$AB,'MASTER PLAN'!$J:$J,0,0)=0,"",XLOOKUP(CONCAT(AL7,AM7),'MASTER PLAN'!$AB:$AB,'MASTER PLAN'!$J:$J,0,0)),"")</f>
        <v>BOLSA WALKER CHRISTOPHER 6-5X3X9</v>
      </c>
      <c r="AO7" s="73">
        <f t="array" ref="AO7">IFERROR(IF(XLOOKUP(CONCAT(AL7,AM7),'PROCESOS PRD'!$J:$J,'PROCESOS PRD'!$H:$H,0,0)=0,"",XLOOKUP(CONCAT(AL7,AM7),'PROCESOS PRD'!$J:$J,'PROCESOS PRD'!$H:$H,0,0)),"")</f>
        <v>1800</v>
      </c>
      <c r="AP7" s="71"/>
      <c r="AQ7" s="32"/>
      <c r="AR7" s="72" t="str">
        <f t="array" ref="AR7">IFERROR(IF(XLOOKUP(CONCAT(AP7,AQ7),'MASTER PLAN'!$AB:$AB,'MASTER PLAN'!$J:$J,0,0)=0,"",XLOOKUP(CONCAT(AP7,AQ7),'MASTER PLAN'!$AB:$AB,'MASTER PLAN'!$J:$J,0,0)),"")</f>
        <v/>
      </c>
      <c r="AS7" s="73" t="str">
        <f t="array" ref="AS7">IFERROR(IF(XLOOKUP(CONCAT(AP7,AQ7),'PROCESOS PRD'!$J:$J,'PROCESOS PRD'!$H:$H,0,0)=0,"",XLOOKUP(CONCAT(AP7,AQ7),'PROCESOS PRD'!$J:$J,'PROCESOS PRD'!$H:$H,0,0)),"")</f>
        <v/>
      </c>
      <c r="AT7" s="70"/>
      <c r="AU7" s="71"/>
      <c r="AV7" s="32"/>
      <c r="AW7" s="72" t="str">
        <f t="array" ref="AW7">IFERROR(IF(XLOOKUP(CONCAT(AU7,AV7),'MASTER PLAN'!$AB:$AB,'MASTER PLAN'!$J:$J,0,0)=0,"",XLOOKUP(CONCAT(AU7,AV7),'MASTER PLAN'!$AB:$AB,'MASTER PLAN'!$J:$J,0,0)),"")</f>
        <v/>
      </c>
      <c r="AX7" s="73" t="str">
        <f t="array" ref="AX7">IFERROR(IF(XLOOKUP(CONCAT(AU7,AV7),'PROCESOS PRD'!$J:$J,'PROCESOS PRD'!$H:$H,0,0)=0,"",XLOOKUP(CONCAT(AU7,AV7),'PROCESOS PRD'!$J:$J,'PROCESOS PRD'!$H:$H,0,0)),"")</f>
        <v/>
      </c>
      <c r="AY7" s="71"/>
      <c r="AZ7" s="32"/>
      <c r="BA7" s="72" t="str">
        <f t="array" ref="BA7">IFERROR(IF(XLOOKUP(CONCAT(AY7,AZ7),'MASTER PLAN'!$AB:$AB,'MASTER PLAN'!$J:$J,0,0)=0,"",XLOOKUP(CONCAT(AY7,AZ7),'MASTER PLAN'!$AB:$AB,'MASTER PLAN'!$J:$J,0,0)),"")</f>
        <v/>
      </c>
      <c r="BB7" s="73" t="str">
        <f t="array" ref="BB7">IFERROR(IF(XLOOKUP(CONCAT(AY7,AZ7),'PROCESOS PRD'!$J:$J,'PROCESOS PRD'!$H:$H,0,0)=0,"",XLOOKUP(CONCAT(AY7,AZ7),'PROCESOS PRD'!$J:$J,'PROCESOS PRD'!$H:$H,0,0)),"")</f>
        <v/>
      </c>
      <c r="BC7" s="71"/>
      <c r="BD7" s="32"/>
      <c r="BE7" s="72" t="str">
        <f t="array" ref="BE7">IFERROR(IF(XLOOKUP(CONCAT(BC7,BD7),'MASTER PLAN'!$AB:$AB,'MASTER PLAN'!$J:$J,0,0)=0,"",XLOOKUP(CONCAT(BC7,BD7),'MASTER PLAN'!$AB:$AB,'MASTER PLAN'!$J:$J,0,0)),"")</f>
        <v/>
      </c>
      <c r="BF7" s="73" t="str">
        <f t="array" ref="BF7">IFERROR(IF(XLOOKUP(CONCAT(BC7,BD7),'PROCESOS PRD'!$J:$J,'PROCESOS PRD'!$H:$H,0,0)=0,"",XLOOKUP(CONCAT(BC7,BD7),'PROCESOS PRD'!$J:$J,'PROCESOS PRD'!$H:$H,0,0)),"")</f>
        <v/>
      </c>
      <c r="BG7" s="71">
        <v>1.402049351E9</v>
      </c>
      <c r="BH7" s="32">
        <v>20.0</v>
      </c>
      <c r="BI7" s="72" t="str">
        <f t="array" ref="BI7">IFERROR(IF(XLOOKUP(CONCAT(BG7,BH7),'MASTER PLAN'!$AB:$AB,'MASTER PLAN'!$J:$J,0,0)=0,"",XLOOKUP(CONCAT(BG7,BH7),'MASTER PLAN'!$AB:$AB,'MASTER PLAN'!$J:$J,0,0)),"")</f>
        <v>BOLSA WATERFALL JEWELERS 8"X4"X10"</v>
      </c>
      <c r="BJ7" s="73">
        <f t="array" ref="BJ7">IFERROR(IF(XLOOKUP(CONCAT(BG7,BH7),'PROCESOS PRD'!$J:$J,'PROCESOS PRD'!$H:$H,0,0)=0,"",XLOOKUP(CONCAT(BG7,BH7),'PROCESOS PRD'!$J:$J,'PROCESOS PRD'!$H:$H,0,0)),"")</f>
        <v>1200</v>
      </c>
      <c r="BK7" s="71">
        <v>1.402049358E9</v>
      </c>
      <c r="BL7" s="32">
        <v>10.0</v>
      </c>
      <c r="BM7" s="72" t="str">
        <f t="array" ref="BM7">IFERROR(IF(XLOOKUP(CONCAT(BK7,BL7),'MASTER PLAN'!$AB:$AB,'MASTER PLAN'!$J:$J,0,0)=0,"",XLOOKUP(CONCAT(BK7,BL7),'MASTER PLAN'!$AB:$AB,'MASTER PLAN'!$J:$J,0,0)),"")</f>
        <v>BOLSA JON'S FINE JEWELRY 5"X4"X7"</v>
      </c>
      <c r="BN7" s="73">
        <f t="array" ref="BN7">IFERROR(IF(XLOOKUP(CONCAT(BK7,BL7),'PROCESOS PRD'!$J:$J,'PROCESOS PRD'!$H:$H,0,0)=0,"",XLOOKUP(CONCAT(BK7,BL7),'PROCESOS PRD'!$J:$J,'PROCESOS PRD'!$H:$H,0,0)),"")</f>
        <v>1200</v>
      </c>
      <c r="BO7" s="71"/>
      <c r="BP7" s="32"/>
      <c r="BQ7" s="72" t="str">
        <f t="array" ref="BQ7">IFERROR(IF(XLOOKUP(CONCAT(BO7,BP7),'MASTER PLAN'!$AB:$AB,'MASTER PLAN'!$J:$J,0,0)=0,"",XLOOKUP(CONCAT(BO7,BP7),'MASTER PLAN'!$AB:$AB,'MASTER PLAN'!$J:$J,0,0)),"")</f>
        <v/>
      </c>
      <c r="BR7" s="73" t="str">
        <f t="array" ref="BR7">IFERROR(IF(XLOOKUP(CONCAT(BO7,BP7),'PROCESOS PRD'!$J:$J,'PROCESOS PRD'!$H:$H,0,0)=0,"",XLOOKUP(CONCAT(BO7,BP7),'PROCESOS PRD'!$J:$J,'PROCESOS PRD'!$H:$H,0,0)),"")</f>
        <v/>
      </c>
      <c r="BS7" s="70"/>
      <c r="BT7" s="71"/>
      <c r="BU7" s="32"/>
      <c r="BV7" s="72" t="str">
        <f t="array" ref="BV7">IFERROR(IF(XLOOKUP(CONCAT(BT7,BU7),'MASTER PLAN'!$AB:$AB,'MASTER PLAN'!$J:$J,0,0)=0,"",XLOOKUP(CONCAT(BT7,BU7),'MASTER PLAN'!$AB:$AB,'MASTER PLAN'!$J:$J,0,0)),"")</f>
        <v/>
      </c>
      <c r="BW7" s="73" t="str">
        <f t="array" ref="BW7">IFERROR(IF(XLOOKUP(CONCAT(BT7,BU7),'PROCESOS PRD'!$J:$J,'PROCESOS PRD'!$H:$H,0,0)=0,"",XLOOKUP(CONCAT(BT7,BU7),'PROCESOS PRD'!$J:$J,'PROCESOS PRD'!$H:$H,0,0)),"")</f>
        <v/>
      </c>
      <c r="BX7" s="71"/>
      <c r="BY7" s="32"/>
      <c r="BZ7" s="72" t="str">
        <f t="array" ref="BZ7">IFERROR(IF(XLOOKUP(CONCAT(BX7,BY7),'MASTER PLAN'!$AB:$AB,'MASTER PLAN'!$J:$J,0,0)=0,"",XLOOKUP(CONCAT(BX7,BY7),'MASTER PLAN'!$AB:$AB,'MASTER PLAN'!$J:$J,0,0)),"")</f>
        <v/>
      </c>
      <c r="CA7" s="73" t="str">
        <f t="array" ref="CA7">IFERROR(IF(XLOOKUP(CONCAT(BX7,BY7),'PROCESOS PRD'!$J:$J,'PROCESOS PRD'!$H:$H,0,0)=0,"",XLOOKUP(CONCAT(BX7,BY7),'PROCESOS PRD'!$J:$J,'PROCESOS PRD'!$H:$H,0,0)),"")</f>
        <v/>
      </c>
      <c r="CB7" s="71"/>
      <c r="CC7" s="32"/>
      <c r="CD7" s="72" t="str">
        <f t="array" ref="CD7">IFERROR(IF(XLOOKUP(CONCAT(CB7,CC7),'MASTER PLAN'!$AB:$AB,'MASTER PLAN'!$J:$J,0,0)=0,"",XLOOKUP(CONCAT(CB7,CC7),'MASTER PLAN'!$AB:$AB,'MASTER PLAN'!$J:$J,0,0)),"")</f>
        <v/>
      </c>
      <c r="CE7" s="73" t="str">
        <f t="array" ref="CE7">IFERROR(IF(XLOOKUP(CONCAT(CB7,CC7),'PROCESOS PRD'!$J:$J,'PROCESOS PRD'!$H:$H,0,0)=0,"",XLOOKUP(CONCAT(CB7,CC7),'PROCESOS PRD'!$J:$J,'PROCESOS PRD'!$H:$H,0,0)),"")</f>
        <v/>
      </c>
      <c r="CF7" s="71"/>
      <c r="CG7" s="32"/>
      <c r="CH7" s="72" t="str">
        <f t="array" ref="CH7">IFERROR(IF(XLOOKUP(CONCAT(CF7,CG7),'MASTER PLAN'!$AB:$AB,'MASTER PLAN'!$J:$J,0,0)=0,"",XLOOKUP(CONCAT(CF7,CG7),'MASTER PLAN'!$AB:$AB,'MASTER PLAN'!$J:$J,0,0)),"")</f>
        <v/>
      </c>
      <c r="CI7" s="73" t="str">
        <f t="array" ref="CI7">IFERROR(IF(XLOOKUP(CONCAT(CF7,CG7),'PROCESOS PRD'!$J:$J,'PROCESOS PRD'!$H:$H,0,0)=0,"",XLOOKUP(CONCAT(CF7,CG7),'PROCESOS PRD'!$J:$J,'PROCESOS PRD'!$H:$H,0,0)),"")</f>
        <v/>
      </c>
      <c r="CJ7" s="71"/>
      <c r="CK7" s="32"/>
      <c r="CL7" s="72" t="str">
        <f t="array" ref="CL7">IFERROR(IF(XLOOKUP(CONCAT(CJ7,CK7),'MASTER PLAN'!$AB:$AB,'MASTER PLAN'!$J:$J,0,0)=0,"",XLOOKUP(CONCAT(CJ7,CK7),'MASTER PLAN'!$AB:$AB,'MASTER PLAN'!$J:$J,0,0)),"")</f>
        <v/>
      </c>
      <c r="CM7" s="73" t="str">
        <f t="array" ref="CM7">IFERROR(IF(XLOOKUP(CONCAT(CJ7,CK7),'PROCESOS PRD'!$J:$J,'PROCESOS PRD'!$H:$H,0,0)=0,"",XLOOKUP(CONCAT(CJ7,CK7),'PROCESOS PRD'!$J:$J,'PROCESOS PRD'!$H:$H,0,0)),"")</f>
        <v/>
      </c>
      <c r="CN7" s="71"/>
      <c r="CO7" s="32"/>
      <c r="CP7" s="72" t="str">
        <f t="array" ref="CP7">IFERROR(IF(XLOOKUP(CONCAT(CN7,CO7),'MASTER PLAN'!$AB:$AB,'MASTER PLAN'!$J:$J,0,0)=0,"",XLOOKUP(CONCAT(CN7,CO7),'MASTER PLAN'!$AB:$AB,'MASTER PLAN'!$J:$J,0,0)),"")</f>
        <v/>
      </c>
      <c r="CQ7" s="73" t="str">
        <f t="array" ref="CQ7">IFERROR(IF(XLOOKUP(CONCAT(CN7,CO7),'PROCESOS PRD'!$J:$J,'PROCESOS PRD'!$H:$H,0,0)=0,"",XLOOKUP(CONCAT(CN7,CO7),'PROCESOS PRD'!$J:$J,'PROCESOS PRD'!$H:$H,0,0)),"")</f>
        <v/>
      </c>
      <c r="CR7" s="70"/>
      <c r="CS7" s="71"/>
      <c r="CT7" s="32"/>
      <c r="CU7" s="72" t="str">
        <f t="array" ref="CU7">IFERROR(IF(XLOOKUP(CONCAT(CS7,CT7),'MASTER PLAN'!$AB:$AB,'MASTER PLAN'!$J:$J,0,0)=0,"",XLOOKUP(CONCAT(CS7,CT7),'MASTER PLAN'!$AB:$AB,'MASTER PLAN'!$J:$J,0,0)),"")</f>
        <v/>
      </c>
      <c r="CV7" s="73" t="str">
        <f t="array" ref="CV7">IFERROR(IF(XLOOKUP(CONCAT(CS7,CT7),'PROCESOS PRD'!$J:$J,'PROCESOS PRD'!$H:$H,0,0)=0,"",XLOOKUP(CONCAT(CS7,CT7),'PROCESOS PRD'!$J:$J,'PROCESOS PRD'!$H:$H,0,0)),"")</f>
        <v/>
      </c>
      <c r="CW7" s="71"/>
      <c r="CX7" s="32"/>
      <c r="CY7" s="72" t="str">
        <f t="array" ref="CY7">IFERROR(IF(XLOOKUP(CONCAT(CW7,CX7),'MASTER PLAN'!$AB:$AB,'MASTER PLAN'!$J:$J,0,0)=0,"",XLOOKUP(CONCAT(CW7,CX7),'MASTER PLAN'!$AB:$AB,'MASTER PLAN'!$J:$J,0,0)),"")</f>
        <v/>
      </c>
      <c r="CZ7" s="73" t="str">
        <f t="array" ref="CZ7">IFERROR(IF(XLOOKUP(CONCAT(CW7,CX7),'PROCESOS PRD'!$J:$J,'PROCESOS PRD'!$H:$H,0,0)=0,"",XLOOKUP(CONCAT(CW7,CX7),'PROCESOS PRD'!$J:$J,'PROCESOS PRD'!$H:$H,0,0)),"")</f>
        <v/>
      </c>
      <c r="DA7" s="71"/>
      <c r="DB7" s="32"/>
      <c r="DC7" s="72" t="str">
        <f t="array" ref="DC7">IFERROR(IF(XLOOKUP(CONCAT(DA7,DB7),'MASTER PLAN'!$AB:$AB,'MASTER PLAN'!$J:$J,0,0)=0,"",XLOOKUP(CONCAT(DA7,DB7),'MASTER PLAN'!$AB:$AB,'MASTER PLAN'!$J:$J,0,0)),"")</f>
        <v/>
      </c>
      <c r="DD7" s="73" t="str">
        <f t="array" ref="DD7">IFERROR(IF(XLOOKUP(CONCAT(DA7,DB7),'PROCESOS PRD'!$J:$J,'PROCESOS PRD'!$H:$H,0,0)=0,"",XLOOKUP(CONCAT(DA7,DB7),'PROCESOS PRD'!$J:$J,'PROCESOS PRD'!$H:$H,0,0)),"")</f>
        <v/>
      </c>
      <c r="DE7" s="71"/>
      <c r="DF7" s="32"/>
      <c r="DG7" s="72" t="str">
        <f t="array" ref="DG7">IFERROR(IF(XLOOKUP(CONCAT(DE7,DF7),'MASTER PLAN'!$AB:$AB,'MASTER PLAN'!$J:$J,0,0)=0,"",XLOOKUP(CONCAT(DE7,DF7),'MASTER PLAN'!$AB:$AB,'MASTER PLAN'!$J:$J,0,0)),"")</f>
        <v/>
      </c>
      <c r="DH7" s="73" t="str">
        <f t="array" ref="DH7">IFERROR(IF(XLOOKUP(CONCAT(DE7,DF7),'PROCESOS PRD'!$J:$J,'PROCESOS PRD'!$H:$H,0,0)=0,"",XLOOKUP(CONCAT(DE7,DF7),'PROCESOS PRD'!$J:$J,'PROCESOS PRD'!$H:$H,0,0)),"")</f>
        <v/>
      </c>
      <c r="DI7" s="71"/>
      <c r="DJ7" s="32"/>
      <c r="DK7" s="72" t="str">
        <f t="array" ref="DK7">IFERROR(IF(XLOOKUP(CONCAT(DI7,DJ7),'MASTER PLAN'!$AB:$AB,'MASTER PLAN'!$J:$J,0,0)=0,"",XLOOKUP(CONCAT(DI7,DJ7),'MASTER PLAN'!$AB:$AB,'MASTER PLAN'!$J:$J,0,0)),"")</f>
        <v/>
      </c>
      <c r="DL7" s="73" t="str">
        <f t="array" ref="DL7">IFERROR(IF(XLOOKUP(CONCAT(DI7,DJ7),'PROCESOS PRD'!$J:$J,'PROCESOS PRD'!$H:$H,0,0)=0,"",XLOOKUP(CONCAT(DI7,DJ7),'PROCESOS PRD'!$J:$J,'PROCESOS PRD'!$H:$H,0,0)),"")</f>
        <v/>
      </c>
      <c r="DM7" s="71"/>
      <c r="DN7" s="32"/>
      <c r="DO7" s="72" t="str">
        <f t="array" ref="DO7">IFERROR(IF(XLOOKUP(CONCAT(DM7,DN7),'MASTER PLAN'!$AB:$AB,'MASTER PLAN'!$J:$J,0,0)=0,"",XLOOKUP(CONCAT(DM7,DN7),'MASTER PLAN'!$AB:$AB,'MASTER PLAN'!$J:$J,0,0)),"")</f>
        <v/>
      </c>
      <c r="DP7" s="73" t="str">
        <f t="array" ref="DP7">IFERROR(IF(XLOOKUP(CONCAT(DM7,DN7),'PROCESOS PRD'!$J:$J,'PROCESOS PRD'!$H:$H,0,0)=0,"",XLOOKUP(CONCAT(DM7,DN7),'PROCESOS PRD'!$J:$J,'PROCESOS PRD'!$H:$H,0,0)),"")</f>
        <v/>
      </c>
      <c r="DQ7" s="70"/>
      <c r="DR7" s="71"/>
      <c r="DS7" s="32"/>
      <c r="DT7" s="72" t="str">
        <f t="array" ref="DT7">IFERROR(IF(XLOOKUP(CONCAT(DR7,DS7),'MASTER PLAN'!$AB:$AB,'MASTER PLAN'!$J:$J,0,0)=0,"",XLOOKUP(CONCAT(DR7,DS7),'MASTER PLAN'!$AB:$AB,'MASTER PLAN'!$J:$J,0,0)),"")</f>
        <v/>
      </c>
      <c r="DU7" s="73" t="str">
        <f t="array" ref="DU7">IFERROR(IF(XLOOKUP(CONCAT(DR7,DS7),'PROCESOS PRD'!$J:$J,'PROCESOS PRD'!$H:$H,0,0)=0,"",XLOOKUP(CONCAT(DR7,DS7),'PROCESOS PRD'!$J:$J,'PROCESOS PRD'!$H:$H,0,0)),"")</f>
        <v/>
      </c>
      <c r="DV7" s="71"/>
      <c r="DW7" s="32"/>
      <c r="DX7" s="72" t="str">
        <f t="array" ref="DX7">IFERROR(IF(XLOOKUP(CONCAT(DV7,DW7),'MASTER PLAN'!$AB:$AB,'MASTER PLAN'!$J:$J,0,0)=0,"",XLOOKUP(CONCAT(DV7,DW7),'MASTER PLAN'!$AB:$AB,'MASTER PLAN'!$J:$J,0,0)),"")</f>
        <v/>
      </c>
      <c r="DY7" s="73" t="str">
        <f t="array" ref="DY7">IFERROR(IF(XLOOKUP(CONCAT(DV7,DW7),'PROCESOS PRD'!$J:$J,'PROCESOS PRD'!$H:$H,0,0)=0,"",XLOOKUP(CONCAT(DV7,DW7),'PROCESOS PRD'!$J:$J,'PROCESOS PRD'!$H:$H,0,0)),"")</f>
        <v/>
      </c>
      <c r="DZ7" s="71"/>
      <c r="EA7" s="32"/>
      <c r="EB7" s="72" t="str">
        <f t="array" ref="EB7">IFERROR(IF(XLOOKUP(CONCAT(DZ7,EA7),'MASTER PLAN'!$AB:$AB,'MASTER PLAN'!$J:$J,0,0)=0,"",XLOOKUP(CONCAT(DZ7,EA7),'MASTER PLAN'!$AB:$AB,'MASTER PLAN'!$J:$J,0,0)),"")</f>
        <v/>
      </c>
      <c r="EC7" s="73" t="str">
        <f t="array" ref="EC7">IFERROR(IF(XLOOKUP(CONCAT(DZ7,EA7),'PROCESOS PRD'!$J:$J,'PROCESOS PRD'!$H:$H,0,0)=0,"",XLOOKUP(CONCAT(DZ7,EA7),'PROCESOS PRD'!$J:$J,'PROCESOS PRD'!$H:$H,0,0)),"")</f>
        <v/>
      </c>
      <c r="ED7" s="71"/>
      <c r="EE7" s="32"/>
      <c r="EF7" s="72" t="str">
        <f t="array" ref="EF7">IFERROR(IF(XLOOKUP(CONCAT(ED7,EE7),'MASTER PLAN'!$AB:$AB,'MASTER PLAN'!$J:$J,0,0)=0,"",XLOOKUP(CONCAT(ED7,EE7),'MASTER PLAN'!$AB:$AB,'MASTER PLAN'!$J:$J,0,0)),"")</f>
        <v/>
      </c>
      <c r="EG7" s="73" t="str">
        <f t="array" ref="EG7">IFERROR(IF(XLOOKUP(CONCAT(ED7,EE7),'PROCESOS PRD'!$J:$J,'PROCESOS PRD'!$H:$H,0,0)=0,"",XLOOKUP(CONCAT(ED7,EE7),'PROCESOS PRD'!$J:$J,'PROCESOS PRD'!$H:$H,0,0)),"")</f>
        <v/>
      </c>
      <c r="EH7" s="71"/>
      <c r="EI7" s="32"/>
      <c r="EJ7" s="72" t="str">
        <f t="array" ref="EJ7">IFERROR(IF(XLOOKUP(CONCAT(EH7,EI7),'MASTER PLAN'!$AB:$AB,'MASTER PLAN'!$J:$J,0,0)=0,"",XLOOKUP(CONCAT(EH7,EI7),'MASTER PLAN'!$AB:$AB,'MASTER PLAN'!$J:$J,0,0)),"")</f>
        <v/>
      </c>
      <c r="EK7" s="73" t="str">
        <f t="array" ref="EK7">IFERROR(IF(XLOOKUP(CONCAT(EH7,EI7),'PROCESOS PRD'!$J:$J,'PROCESOS PRD'!$H:$H,0,0)=0,"",XLOOKUP(CONCAT(EH7,EI7),'PROCESOS PRD'!$J:$J,'PROCESOS PRD'!$H:$H,0,0)),"")</f>
        <v/>
      </c>
      <c r="EL7" s="71"/>
      <c r="EM7" s="32"/>
      <c r="EN7" s="72" t="str">
        <f t="array" ref="EN7">IFERROR(IF(XLOOKUP(CONCAT(EL7,EM7),'MASTER PLAN'!$AB:$AB,'MASTER PLAN'!$J:$J,0,0)=0,"",XLOOKUP(CONCAT(EL7,EM7),'MASTER PLAN'!$AB:$AB,'MASTER PLAN'!$J:$J,0,0)),"")</f>
        <v/>
      </c>
      <c r="EO7" s="73" t="str">
        <f t="array" ref="EO7">IFERROR(IF(XLOOKUP(CONCAT(EL7,EM7),'PROCESOS PRD'!$J:$J,'PROCESOS PRD'!$H:$H,0,0)=0,"",XLOOKUP(CONCAT(EL7,EM7),'PROCESOS PRD'!$J:$J,'PROCESOS PRD'!$H:$H,0,0)),"")</f>
        <v/>
      </c>
      <c r="EP7" s="70"/>
      <c r="EQ7" s="71"/>
      <c r="ER7" s="32"/>
      <c r="ES7" s="72" t="str">
        <f t="array" ref="ES7">IFERROR(IF(XLOOKUP(CONCAT(EQ7,ER7),'MASTER PLAN'!$AB:$AB,'MASTER PLAN'!$J:$J,0,0)=0,"",XLOOKUP(CONCAT(EQ7,ER7),'MASTER PLAN'!$AB:$AB,'MASTER PLAN'!$J:$J,0,0)),"")</f>
        <v/>
      </c>
      <c r="ET7" s="73" t="str">
        <f t="array" ref="ET7">IFERROR(IF(XLOOKUP(CONCAT(EQ7,ER7),'PROCESOS PRD'!$J:$J,'PROCESOS PRD'!$H:$H,0,0)=0,"",XLOOKUP(CONCAT(EQ7,ER7),'PROCESOS PRD'!$J:$J,'PROCESOS PRD'!$H:$H,0,0)),"")</f>
        <v/>
      </c>
      <c r="EU7" s="71"/>
      <c r="EV7" s="32"/>
      <c r="EW7" s="72" t="str">
        <f t="array" ref="EW7">IFERROR(IF(XLOOKUP(CONCAT(EU7,EV7),'MASTER PLAN'!$AB:$AB,'MASTER PLAN'!$J:$J,0,0)=0,"",XLOOKUP(CONCAT(EU7,EV7),'MASTER PLAN'!$AB:$AB,'MASTER PLAN'!$J:$J,0,0)),"")</f>
        <v/>
      </c>
      <c r="EX7" s="73" t="str">
        <f t="array" ref="EX7">IFERROR(IF(XLOOKUP(CONCAT(EU7,EV7),'PROCESOS PRD'!$J:$J,'PROCESOS PRD'!$H:$H,0,0)=0,"",XLOOKUP(CONCAT(EU7,EV7),'PROCESOS PRD'!$J:$J,'PROCESOS PRD'!$H:$H,0,0)),"")</f>
        <v/>
      </c>
      <c r="EY7" s="71"/>
      <c r="EZ7" s="32"/>
      <c r="FA7" s="72" t="str">
        <f t="array" ref="FA7">IFERROR(IF(XLOOKUP(CONCAT(EY7,EZ7),'MASTER PLAN'!$AB:$AB,'MASTER PLAN'!$J:$J,0,0)=0,"",XLOOKUP(CONCAT(EY7,EZ7),'MASTER PLAN'!$AB:$AB,'MASTER PLAN'!$J:$J,0,0)),"")</f>
        <v/>
      </c>
      <c r="FB7" s="73" t="str">
        <f t="array" ref="FB7">IFERROR(IF(XLOOKUP(CONCAT(EY7,EZ7),'PROCESOS PRD'!$J:$J,'PROCESOS PRD'!$H:$H,0,0)=0,"",XLOOKUP(CONCAT(EY7,EZ7),'PROCESOS PRD'!$J:$J,'PROCESOS PRD'!$H:$H,0,0)),"")</f>
        <v/>
      </c>
      <c r="FC7" s="71"/>
      <c r="FD7" s="32"/>
      <c r="FE7" s="72" t="str">
        <f t="array" ref="FE7">IFERROR(IF(XLOOKUP(CONCAT(FC7,FD7),'MASTER PLAN'!$AB:$AB,'MASTER PLAN'!$J:$J,0,0)=0,"",XLOOKUP(CONCAT(FC7,FD7),'MASTER PLAN'!$AB:$AB,'MASTER PLAN'!$J:$J,0,0)),"")</f>
        <v/>
      </c>
      <c r="FF7" s="73" t="str">
        <f t="array" ref="FF7">IFERROR(IF(XLOOKUP(CONCAT(FC7,FD7),'PROCESOS PRD'!$J:$J,'PROCESOS PRD'!$H:$H,0,0)=0,"",XLOOKUP(CONCAT(FC7,FD7),'PROCESOS PRD'!$J:$J,'PROCESOS PRD'!$H:$H,0,0)),"")</f>
        <v/>
      </c>
      <c r="FG7" s="71"/>
      <c r="FH7" s="32"/>
      <c r="FI7" s="72" t="str">
        <f t="array" ref="FI7">IFERROR(IF(XLOOKUP(CONCAT(FG7,FH7),'MASTER PLAN'!$AB:$AB,'MASTER PLAN'!$J:$J,0,0)=0,"",XLOOKUP(CONCAT(FG7,FH7),'MASTER PLAN'!$AB:$AB,'MASTER PLAN'!$J:$J,0,0)),"")</f>
        <v/>
      </c>
      <c r="FJ7" s="73" t="str">
        <f t="array" ref="FJ7">IFERROR(IF(XLOOKUP(CONCAT(FG7,FH7),'PROCESOS PRD'!$J:$J,'PROCESOS PRD'!$H:$H,0,0)=0,"",XLOOKUP(CONCAT(FG7,FH7),'PROCESOS PRD'!$J:$J,'PROCESOS PRD'!$H:$H,0,0)),"")</f>
        <v/>
      </c>
      <c r="FK7" s="71"/>
      <c r="FL7" s="32"/>
      <c r="FM7" s="72" t="str">
        <f t="array" ref="FM7">IFERROR(IF(XLOOKUP(CONCAT(FK7,FL7),'MASTER PLAN'!$AB:$AB,'MASTER PLAN'!$J:$J,0,0)=0,"",XLOOKUP(CONCAT(FK7,FL7),'MASTER PLAN'!$AB:$AB,'MASTER PLAN'!$J:$J,0,0)),"")</f>
        <v/>
      </c>
      <c r="FN7" s="73" t="str">
        <f t="array" ref="FN7">IFERROR(IF(XLOOKUP(CONCAT(FK7,FL7),'PROCESOS PRD'!$J:$J,'PROCESOS PRD'!$H:$H,0,0)=0,"",XLOOKUP(CONCAT(FK7,FL7),'PROCESOS PRD'!$J:$J,'PROCESOS PRD'!$H:$H,0,0)),"")</f>
        <v/>
      </c>
      <c r="FO7" s="70"/>
      <c r="FP7" s="71"/>
      <c r="FQ7" s="32"/>
      <c r="FR7" s="72" t="str">
        <f t="array" ref="FR7">IFERROR(IF(XLOOKUP(CONCAT(FP7,FQ7),'MASTER PLAN'!$AB:$AB,'MASTER PLAN'!$J:$J,0,0)=0,"",XLOOKUP(CONCAT(FP7,FQ7),'MASTER PLAN'!$AB:$AB,'MASTER PLAN'!$J:$J,0,0)),"")</f>
        <v/>
      </c>
      <c r="FS7" s="73" t="str">
        <f t="array" ref="FS7">IFERROR(IF(XLOOKUP(CONCAT(FP7,FQ7),'PROCESOS PRD'!$J:$J,'PROCESOS PRD'!$H:$H,0,0)=0,"",XLOOKUP(CONCAT(FP7,FQ7),'PROCESOS PRD'!$J:$J,'PROCESOS PRD'!$H:$H,0,0)),"")</f>
        <v/>
      </c>
      <c r="FT7" s="71"/>
      <c r="FU7" s="32"/>
      <c r="FV7" s="72" t="str">
        <f t="array" ref="FV7">IFERROR(IF(XLOOKUP(CONCAT(FT7,FU7),'MASTER PLAN'!$AB:$AB,'MASTER PLAN'!$J:$J,0,0)=0,"",XLOOKUP(CONCAT(FT7,FU7),'MASTER PLAN'!$AB:$AB,'MASTER PLAN'!$J:$J,0,0)),"")</f>
        <v/>
      </c>
      <c r="FW7" s="73" t="str">
        <f t="array" ref="FW7">IFERROR(IF(XLOOKUP(CONCAT(FT7,FU7),'PROCESOS PRD'!$J:$J,'PROCESOS PRD'!$H:$H,0,0)=0,"",XLOOKUP(CONCAT(FT7,FU7),'PROCESOS PRD'!$J:$J,'PROCESOS PRD'!$H:$H,0,0)),"")</f>
        <v/>
      </c>
      <c r="FX7" s="71"/>
      <c r="FY7" s="32"/>
      <c r="FZ7" s="72" t="str">
        <f t="array" ref="FZ7">IFERROR(IF(XLOOKUP(CONCAT(FX7,FY7),'MASTER PLAN'!$AB:$AB,'MASTER PLAN'!$J:$J,0,0)=0,"",XLOOKUP(CONCAT(FX7,FY7),'MASTER PLAN'!$AB:$AB,'MASTER PLAN'!$J:$J,0,0)),"")</f>
        <v/>
      </c>
      <c r="GA7" s="73" t="str">
        <f t="array" ref="GA7">IFERROR(IF(XLOOKUP(CONCAT(FX7,FY7),'PROCESOS PRD'!$J:$J,'PROCESOS PRD'!$H:$H,0,0)=0,"",XLOOKUP(CONCAT(FX7,FY7),'PROCESOS PRD'!$J:$J,'PROCESOS PRD'!$H:$H,0,0)),"")</f>
        <v/>
      </c>
      <c r="GB7" s="71"/>
      <c r="GC7" s="32"/>
      <c r="GD7" s="72" t="str">
        <f t="array" ref="GD7">IFERROR(IF(XLOOKUP(CONCAT(GB7,GC7),'MASTER PLAN'!$AB:$AB,'MASTER PLAN'!$J:$J,0,0)=0,"",XLOOKUP(CONCAT(GB7,GC7),'MASTER PLAN'!$AB:$AB,'MASTER PLAN'!$J:$J,0,0)),"")</f>
        <v/>
      </c>
      <c r="GE7" s="73" t="str">
        <f t="array" ref="GE7">IFERROR(IF(XLOOKUP(CONCAT(GB7,GC7),'PROCESOS PRD'!$J:$J,'PROCESOS PRD'!$H:$H,0,0)=0,"",XLOOKUP(CONCAT(GB7,GC7),'PROCESOS PRD'!$J:$J,'PROCESOS PRD'!$H:$H,0,0)),"")</f>
        <v/>
      </c>
      <c r="GF7" s="71"/>
      <c r="GG7" s="32"/>
      <c r="GH7" s="72" t="str">
        <f t="array" ref="GH7">IFERROR(IF(XLOOKUP(CONCAT(GF7,GG7),'MASTER PLAN'!$AB:$AB,'MASTER PLAN'!$J:$J,0,0)=0,"",XLOOKUP(CONCAT(GF7,GG7),'MASTER PLAN'!$AB:$AB,'MASTER PLAN'!$J:$J,0,0)),"")</f>
        <v/>
      </c>
      <c r="GI7" s="73" t="str">
        <f t="array" ref="GI7">IFERROR(IF(XLOOKUP(CONCAT(GF7,GG7),'PROCESOS PRD'!$J:$J,'PROCESOS PRD'!$H:$H,0,0)=0,"",XLOOKUP(CONCAT(GF7,GG7),'PROCESOS PRD'!$J:$J,'PROCESOS PRD'!$H:$H,0,0)),"")</f>
        <v/>
      </c>
      <c r="GJ7" s="71"/>
      <c r="GK7" s="32"/>
      <c r="GL7" s="72" t="str">
        <f t="array" ref="GL7">IFERROR(IF(XLOOKUP(CONCAT(GJ7,GK7),'MASTER PLAN'!$AB:$AB,'MASTER PLAN'!$J:$J,0,0)=0,"",XLOOKUP(CONCAT(GJ7,GK7),'MASTER PLAN'!$AB:$AB,'MASTER PLAN'!$J:$J,0,0)),"")</f>
        <v/>
      </c>
      <c r="GM7" s="73" t="str">
        <f t="array" ref="GM7">IFERROR(IF(XLOOKUP(CONCAT(GJ7,GK7),'PROCESOS PRD'!$J:$J,'PROCESOS PRD'!$H:$H,0,0)=0,"",XLOOKUP(CONCAT(GJ7,GK7),'PROCESOS PRD'!$J:$J,'PROCESOS PRD'!$H:$H,0,0)),"")</f>
        <v/>
      </c>
      <c r="GN7" s="70"/>
      <c r="GO7" s="71"/>
      <c r="GP7" s="32"/>
      <c r="GQ7" s="72" t="str">
        <f t="array" ref="GQ7">IFERROR(IF(XLOOKUP(CONCAT(GO7,GP7),'MASTER PLAN'!$AB:$AB,'MASTER PLAN'!$J:$J,0,0)=0,"",XLOOKUP(CONCAT(GO7,GP7),'MASTER PLAN'!$AB:$AB,'MASTER PLAN'!$J:$J,0,0)),"")</f>
        <v/>
      </c>
      <c r="GR7" s="73" t="str">
        <f t="array" ref="GR7">IFERROR(IF(XLOOKUP(CONCAT(GO7,GP7),'PROCESOS PRD'!$J:$J,'PROCESOS PRD'!$H:$H,0,0)=0,"",XLOOKUP(CONCAT(GO7,GP7),'PROCESOS PRD'!$J:$J,'PROCESOS PRD'!$H:$H,0,0)),"")</f>
        <v/>
      </c>
      <c r="GS7" s="71"/>
      <c r="GT7" s="32"/>
      <c r="GU7" s="72" t="str">
        <f t="array" ref="GU7">IFERROR(IF(XLOOKUP(CONCAT(GS7,GT7),'MASTER PLAN'!$AB:$AB,'MASTER PLAN'!$J:$J,0,0)=0,"",XLOOKUP(CONCAT(GS7,GT7),'MASTER PLAN'!$AB:$AB,'MASTER PLAN'!$J:$J,0,0)),"")</f>
        <v/>
      </c>
      <c r="GV7" s="73" t="str">
        <f t="array" ref="GV7">IFERROR(IF(XLOOKUP(CONCAT(GS7,GT7),'PROCESOS PRD'!$J:$J,'PROCESOS PRD'!$H:$H,0,0)=0,"",XLOOKUP(CONCAT(GS7,GT7),'PROCESOS PRD'!$J:$J,'PROCESOS PRD'!$H:$H,0,0)),"")</f>
        <v/>
      </c>
      <c r="GW7" s="71"/>
      <c r="GX7" s="32"/>
      <c r="GY7" s="72" t="str">
        <f t="array" ref="GY7">IFERROR(IF(XLOOKUP(CONCAT(GW7,GX7),'MASTER PLAN'!$AB:$AB,'MASTER PLAN'!$J:$J,0,0)=0,"",XLOOKUP(CONCAT(GW7,GX7),'MASTER PLAN'!$AB:$AB,'MASTER PLAN'!$J:$J,0,0)),"")</f>
        <v/>
      </c>
      <c r="GZ7" s="73" t="str">
        <f t="array" ref="GZ7">IFERROR(IF(XLOOKUP(CONCAT(GW7,GX7),'PROCESOS PRD'!$J:$J,'PROCESOS PRD'!$H:$H,0,0)=0,"",XLOOKUP(CONCAT(GW7,GX7),'PROCESOS PRD'!$J:$J,'PROCESOS PRD'!$H:$H,0,0)),"")</f>
        <v/>
      </c>
      <c r="HA7" s="71"/>
      <c r="HB7" s="32"/>
      <c r="HC7" s="72" t="str">
        <f t="array" ref="HC7">IFERROR(IF(XLOOKUP(CONCAT(HA7,HB7),'MASTER PLAN'!$AB:$AB,'MASTER PLAN'!$J:$J,0,0)=0,"",XLOOKUP(CONCAT(HA7,HB7),'MASTER PLAN'!$AB:$AB,'MASTER PLAN'!$J:$J,0,0)),"")</f>
        <v/>
      </c>
      <c r="HD7" s="73" t="str">
        <f t="array" ref="HD7">IFERROR(IF(XLOOKUP(CONCAT(HA7,HB7),'PROCESOS PRD'!$J:$J,'PROCESOS PRD'!$H:$H,0,0)=0,"",XLOOKUP(CONCAT(HA7,HB7),'PROCESOS PRD'!$J:$J,'PROCESOS PRD'!$H:$H,0,0)),"")</f>
        <v/>
      </c>
      <c r="HE7" s="71"/>
      <c r="HF7" s="32"/>
      <c r="HG7" s="72" t="str">
        <f t="array" ref="HG7">IFERROR(IF(XLOOKUP(CONCAT(HE7,HF7),'MASTER PLAN'!$AB:$AB,'MASTER PLAN'!$J:$J,0,0)=0,"",XLOOKUP(CONCAT(HE7,HF7),'MASTER PLAN'!$AB:$AB,'MASTER PLAN'!$J:$J,0,0)),"")</f>
        <v/>
      </c>
      <c r="HH7" s="73" t="str">
        <f t="array" ref="HH7">IFERROR(IF(XLOOKUP(CONCAT(HE7,HF7),'PROCESOS PRD'!$J:$J,'PROCESOS PRD'!$H:$H,0,0)=0,"",XLOOKUP(CONCAT(HE7,HF7),'PROCESOS PRD'!$J:$J,'PROCESOS PRD'!$H:$H,0,0)),"")</f>
        <v/>
      </c>
      <c r="HI7" s="71"/>
      <c r="HJ7" s="32"/>
      <c r="HK7" s="72" t="str">
        <f t="array" ref="HK7">IFERROR(IF(XLOOKUP(CONCAT(HI7,HJ7),'MASTER PLAN'!$AB:$AB,'MASTER PLAN'!$J:$J,0,0)=0,"",XLOOKUP(CONCAT(HI7,HJ7),'MASTER PLAN'!$AB:$AB,'MASTER PLAN'!$J:$J,0,0)),"")</f>
        <v/>
      </c>
      <c r="HL7" s="73" t="str">
        <f t="array" ref="HL7">IFERROR(IF(XLOOKUP(CONCAT(HI7,HJ7),'PROCESOS PRD'!$J:$J,'PROCESOS PRD'!$H:$H,0,0)=0,"",XLOOKUP(CONCAT(HI7,HJ7),'PROCESOS PRD'!$J:$J,'PROCESOS PRD'!$H:$H,0,0)),"")</f>
        <v/>
      </c>
      <c r="HM7" s="70"/>
      <c r="HN7" s="71"/>
      <c r="HO7" s="32"/>
      <c r="HP7" s="72" t="str">
        <f t="array" ref="HP7">IFERROR(IF(XLOOKUP(CONCAT(HN7,HO7),'MASTER PLAN'!$AB:$AB,'MASTER PLAN'!$J:$J,0,0)=0,"",XLOOKUP(CONCAT(HN7,HO7),'MASTER PLAN'!$AB:$AB,'MASTER PLAN'!$J:$J,0,0)),"")</f>
        <v/>
      </c>
      <c r="HQ7" s="73" t="str">
        <f t="array" ref="HQ7">IFERROR(IF(XLOOKUP(CONCAT(HN7,HO7),'PROCESOS PRD'!$J:$J,'PROCESOS PRD'!$H:$H,0,0)=0,"",XLOOKUP(CONCAT(HN7,HO7),'PROCESOS PRD'!$J:$J,'PROCESOS PRD'!$H:$H,0,0)),"")</f>
        <v/>
      </c>
      <c r="HR7" s="71"/>
      <c r="HS7" s="32"/>
      <c r="HT7" s="72" t="str">
        <f t="array" ref="HT7">IFERROR(IF(XLOOKUP(CONCAT(HR7,HS7),'MASTER PLAN'!$AB:$AB,'MASTER PLAN'!$J:$J,0,0)=0,"",XLOOKUP(CONCAT(HR7,HS7),'MASTER PLAN'!$AB:$AB,'MASTER PLAN'!$J:$J,0,0)),"")</f>
        <v/>
      </c>
      <c r="HU7" s="73" t="str">
        <f t="array" ref="HU7">IFERROR(IF(XLOOKUP(CONCAT(HR7,HS7),'PROCESOS PRD'!$J:$J,'PROCESOS PRD'!$H:$H,0,0)=0,"",XLOOKUP(CONCAT(HR7,HS7),'PROCESOS PRD'!$J:$J,'PROCESOS PRD'!$H:$H,0,0)),"")</f>
        <v/>
      </c>
      <c r="HV7" s="71"/>
      <c r="HW7" s="32"/>
      <c r="HX7" s="72" t="str">
        <f t="array" ref="HX7">IFERROR(IF(XLOOKUP(CONCAT(HV7,HW7),'MASTER PLAN'!$AB:$AB,'MASTER PLAN'!$J:$J,0,0)=0,"",XLOOKUP(CONCAT(HV7,HW7),'MASTER PLAN'!$AB:$AB,'MASTER PLAN'!$J:$J,0,0)),"")</f>
        <v/>
      </c>
      <c r="HY7" s="73" t="str">
        <f t="array" ref="HY7">IFERROR(IF(XLOOKUP(CONCAT(HV7,HW7),'PROCESOS PRD'!$J:$J,'PROCESOS PRD'!$H:$H,0,0)=0,"",XLOOKUP(CONCAT(HV7,HW7),'PROCESOS PRD'!$J:$J,'PROCESOS PRD'!$H:$H,0,0)),"")</f>
        <v/>
      </c>
      <c r="HZ7" s="71"/>
      <c r="IA7" s="32"/>
      <c r="IB7" s="72" t="str">
        <f t="array" ref="IB7">IFERROR(IF(XLOOKUP(CONCAT(HZ7,IA7),'MASTER PLAN'!$AB:$AB,'MASTER PLAN'!$J:$J,0,0)=0,"",XLOOKUP(CONCAT(HZ7,IA7),'MASTER PLAN'!$AB:$AB,'MASTER PLAN'!$J:$J,0,0)),"")</f>
        <v/>
      </c>
      <c r="IC7" s="73" t="str">
        <f t="array" ref="IC7">IFERROR(IF(XLOOKUP(CONCAT(HZ7,IA7),'PROCESOS PRD'!$J:$J,'PROCESOS PRD'!$H:$H,0,0)=0,"",XLOOKUP(CONCAT(HZ7,IA7),'PROCESOS PRD'!$J:$J,'PROCESOS PRD'!$H:$H,0,0)),"")</f>
        <v/>
      </c>
      <c r="ID7" s="71"/>
      <c r="IE7" s="32"/>
      <c r="IF7" s="72" t="str">
        <f t="array" ref="IF7">IFERROR(IF(XLOOKUP(CONCAT(ID7,IE7),'MASTER PLAN'!$AB:$AB,'MASTER PLAN'!$J:$J,0,0)=0,"",XLOOKUP(CONCAT(ID7,IE7),'MASTER PLAN'!$AB:$AB,'MASTER PLAN'!$J:$J,0,0)),"")</f>
        <v/>
      </c>
      <c r="IG7" s="73" t="str">
        <f t="array" ref="IG7">IFERROR(IF(XLOOKUP(CONCAT(ID7,IE7),'PROCESOS PRD'!$J:$J,'PROCESOS PRD'!$H:$H,0,0)=0,"",XLOOKUP(CONCAT(ID7,IE7),'PROCESOS PRD'!$J:$J,'PROCESOS PRD'!$H:$H,0,0)),"")</f>
        <v/>
      </c>
      <c r="IH7" s="71"/>
      <c r="II7" s="32"/>
      <c r="IJ7" s="72" t="str">
        <f t="array" ref="IJ7">IFERROR(IF(XLOOKUP(CONCAT(IH7,II7),'MASTER PLAN'!$AB:$AB,'MASTER PLAN'!$J:$J,0,0)=0,"",XLOOKUP(CONCAT(IH7,II7),'MASTER PLAN'!$AB:$AB,'MASTER PLAN'!$J:$J,0,0)),"")</f>
        <v/>
      </c>
      <c r="IK7" s="73" t="str">
        <f t="array" ref="IK7">IFERROR(IF(XLOOKUP(CONCAT(IH7,II7),'PROCESOS PRD'!$J:$J,'PROCESOS PRD'!$H:$H,0,0)=0,"",XLOOKUP(CONCAT(IH7,II7),'PROCESOS PRD'!$J:$J,'PROCESOS PRD'!$H:$H,0,0)),"")</f>
        <v/>
      </c>
      <c r="IL7" s="70"/>
      <c r="IM7" s="71"/>
      <c r="IN7" s="32"/>
      <c r="IO7" s="72" t="str">
        <f t="array" ref="IO7">IFERROR(IF(XLOOKUP(CONCAT(IM7,IN7),'MASTER PLAN'!$AB:$AB,'MASTER PLAN'!$J:$J,0,0)=0,"",XLOOKUP(CONCAT(IM7,IN7),'MASTER PLAN'!$AB:$AB,'MASTER PLAN'!$J:$J,0,0)),"")</f>
        <v/>
      </c>
      <c r="IP7" s="73" t="str">
        <f t="array" ref="IP7">IFERROR(IF(XLOOKUP(CONCAT(IM7,IN7),'PROCESOS PRD'!$J:$J,'PROCESOS PRD'!$H:$H,0,0)=0,"",XLOOKUP(CONCAT(IM7,IN7),'PROCESOS PRD'!$J:$J,'PROCESOS PRD'!$H:$H,0,0)),"")</f>
        <v/>
      </c>
      <c r="IQ7" s="71"/>
      <c r="IR7" s="32"/>
      <c r="IS7" s="72" t="str">
        <f t="array" ref="IS7">IFERROR(IF(XLOOKUP(CONCAT(IQ7,IR7),'MASTER PLAN'!$AB:$AB,'MASTER PLAN'!$J:$J,0,0)=0,"",XLOOKUP(CONCAT(IQ7,IR7),'MASTER PLAN'!$AB:$AB,'MASTER PLAN'!$J:$J,0,0)),"")</f>
        <v/>
      </c>
      <c r="IT7" s="73" t="str">
        <f t="array" ref="IT7">IFERROR(IF(XLOOKUP(CONCAT(IQ7,IR7),'PROCESOS PRD'!$J:$J,'PROCESOS PRD'!$H:$H,0,0)=0,"",XLOOKUP(CONCAT(IQ7,IR7),'PROCESOS PRD'!$J:$J,'PROCESOS PRD'!$H:$H,0,0)),"")</f>
        <v/>
      </c>
      <c r="IU7" s="71"/>
      <c r="IV7" s="32"/>
      <c r="IW7" s="72" t="str">
        <f t="array" ref="IW7">IFERROR(IF(XLOOKUP(CONCAT(IU7,IV7),'MASTER PLAN'!$AB:$AB,'MASTER PLAN'!$J:$J,0,0)=0,"",XLOOKUP(CONCAT(IU7,IV7),'MASTER PLAN'!$AB:$AB,'MASTER PLAN'!$J:$J,0,0)),"")</f>
        <v/>
      </c>
      <c r="IX7" s="73" t="str">
        <f t="array" ref="IX7">IFERROR(IF(XLOOKUP(CONCAT(IU7,IV7),'PROCESOS PRD'!$J:$J,'PROCESOS PRD'!$H:$H,0,0)=0,"",XLOOKUP(CONCAT(IU7,IV7),'PROCESOS PRD'!$J:$J,'PROCESOS PRD'!$H:$H,0,0)),"")</f>
        <v/>
      </c>
      <c r="IY7" s="71"/>
      <c r="IZ7" s="32"/>
      <c r="JA7" s="72" t="str">
        <f t="array" ref="JA7">IFERROR(IF(XLOOKUP(CONCAT(IY7,IZ7),'MASTER PLAN'!$AB:$AB,'MASTER PLAN'!$J:$J,0,0)=0,"",XLOOKUP(CONCAT(IY7,IZ7),'MASTER PLAN'!$AB:$AB,'MASTER PLAN'!$J:$J,0,0)),"")</f>
        <v/>
      </c>
      <c r="JB7" s="73" t="str">
        <f t="array" ref="JB7">IFERROR(IF(XLOOKUP(CONCAT(IY7,IZ7),'PROCESOS PRD'!$J:$J,'PROCESOS PRD'!$H:$H,0,0)=0,"",XLOOKUP(CONCAT(IY7,IZ7),'PROCESOS PRD'!$J:$J,'PROCESOS PRD'!$H:$H,0,0)),"")</f>
        <v/>
      </c>
      <c r="JC7" s="71"/>
      <c r="JD7" s="32"/>
      <c r="JE7" s="72" t="str">
        <f t="array" ref="JE7">IFERROR(IF(XLOOKUP(CONCAT(JC7,JD7),'MASTER PLAN'!$AB:$AB,'MASTER PLAN'!$J:$J,0,0)=0,"",XLOOKUP(CONCAT(JC7,JD7),'MASTER PLAN'!$AB:$AB,'MASTER PLAN'!$J:$J,0,0)),"")</f>
        <v/>
      </c>
      <c r="JF7" s="73" t="str">
        <f t="array" ref="JF7">IFERROR(IF(XLOOKUP(CONCAT(JC7,JD7),'PROCESOS PRD'!$J:$J,'PROCESOS PRD'!$H:$H,0,0)=0,"",XLOOKUP(CONCAT(JC7,JD7),'PROCESOS PRD'!$J:$J,'PROCESOS PRD'!$H:$H,0,0)),"")</f>
        <v/>
      </c>
      <c r="JG7" s="71"/>
      <c r="JH7" s="32"/>
      <c r="JI7" s="72" t="str">
        <f t="array" ref="JI7">IFERROR(IF(XLOOKUP(CONCAT(JG7,JH7),'MASTER PLAN'!$AB:$AB,'MASTER PLAN'!$J:$J,0,0)=0,"",XLOOKUP(CONCAT(JG7,JH7),'MASTER PLAN'!$AB:$AB,'MASTER PLAN'!$J:$J,0,0)),"")</f>
        <v/>
      </c>
      <c r="JJ7" s="73" t="str">
        <f t="array" ref="JJ7">IFERROR(IF(XLOOKUP(CONCAT(JG7,JH7),'PROCESOS PRD'!$J:$J,'PROCESOS PRD'!$H:$H,0,0)=0,"",XLOOKUP(CONCAT(JG7,JH7),'PROCESOS PRD'!$J:$J,'PROCESOS PRD'!$H:$H,0,0)),"")</f>
        <v/>
      </c>
      <c r="JK7" s="70"/>
      <c r="JL7" s="71"/>
      <c r="JM7" s="32"/>
      <c r="JN7" s="72" t="str">
        <f t="array" ref="JN7">IFERROR(IF(XLOOKUP(CONCAT(JL7,JM7),'MASTER PLAN'!$AB:$AB,'MASTER PLAN'!$J:$J,0,0)=0,"",XLOOKUP(CONCAT(JL7,JM7),'MASTER PLAN'!$AB:$AB,'MASTER PLAN'!$J:$J,0,0)),"")</f>
        <v/>
      </c>
      <c r="JO7" s="73" t="str">
        <f t="array" ref="JO7">IFERROR(IF(XLOOKUP(CONCAT(JL7,JM7),'PROCESOS PRD'!$J:$J,'PROCESOS PRD'!$H:$H,0,0)=0,"",XLOOKUP(CONCAT(JL7,JM7),'PROCESOS PRD'!$J:$J,'PROCESOS PRD'!$H:$H,0,0)),"")</f>
        <v/>
      </c>
      <c r="JP7" s="71"/>
      <c r="JQ7" s="32"/>
      <c r="JR7" s="72" t="str">
        <f t="array" ref="JR7">IFERROR(IF(XLOOKUP(CONCAT(JP7,JQ7),'MASTER PLAN'!$AB:$AB,'MASTER PLAN'!$J:$J,0,0)=0,"",XLOOKUP(CONCAT(JP7,JQ7),'MASTER PLAN'!$AB:$AB,'MASTER PLAN'!$J:$J,0,0)),"")</f>
        <v/>
      </c>
      <c r="JS7" s="73" t="str">
        <f t="array" ref="JS7">IFERROR(IF(XLOOKUP(CONCAT(JP7,JQ7),'PROCESOS PRD'!$J:$J,'PROCESOS PRD'!$H:$H,0,0)=0,"",XLOOKUP(CONCAT(JP7,JQ7),'PROCESOS PRD'!$J:$J,'PROCESOS PRD'!$H:$H,0,0)),"")</f>
        <v/>
      </c>
      <c r="JT7" s="71"/>
      <c r="JU7" s="32"/>
      <c r="JV7" s="72" t="str">
        <f t="array" ref="JV7">IFERROR(IF(XLOOKUP(CONCAT(JT7,JU7),'MASTER PLAN'!$AB:$AB,'MASTER PLAN'!$J:$J,0,0)=0,"",XLOOKUP(CONCAT(JT7,JU7),'MASTER PLAN'!$AB:$AB,'MASTER PLAN'!$J:$J,0,0)),"")</f>
        <v/>
      </c>
      <c r="JW7" s="73" t="str">
        <f t="array" ref="JW7">IFERROR(IF(XLOOKUP(CONCAT(JT7,JU7),'PROCESOS PRD'!$J:$J,'PROCESOS PRD'!$H:$H,0,0)=0,"",XLOOKUP(CONCAT(JT7,JU7),'PROCESOS PRD'!$J:$J,'PROCESOS PRD'!$H:$H,0,0)),"")</f>
        <v/>
      </c>
      <c r="JX7" s="71"/>
      <c r="JY7" s="32"/>
      <c r="JZ7" s="72" t="str">
        <f t="array" ref="JZ7">IFERROR(IF(XLOOKUP(CONCAT(JX7,JY7),'MASTER PLAN'!$AB:$AB,'MASTER PLAN'!$J:$J,0,0)=0,"",XLOOKUP(CONCAT(JX7,JY7),'MASTER PLAN'!$AB:$AB,'MASTER PLAN'!$J:$J,0,0)),"")</f>
        <v/>
      </c>
      <c r="KA7" s="73" t="str">
        <f t="array" ref="KA7">IFERROR(IF(XLOOKUP(CONCAT(JX7,JY7),'PROCESOS PRD'!$J:$J,'PROCESOS PRD'!$H:$H,0,0)=0,"",XLOOKUP(CONCAT(JX7,JY7),'PROCESOS PRD'!$J:$J,'PROCESOS PRD'!$H:$H,0,0)),"")</f>
        <v/>
      </c>
      <c r="KB7" s="71"/>
      <c r="KC7" s="32"/>
      <c r="KD7" s="72" t="str">
        <f t="array" ref="KD7">IFERROR(IF(XLOOKUP(CONCAT(KB7,KC7),'MASTER PLAN'!$AB:$AB,'MASTER PLAN'!$J:$J,0,0)=0,"",XLOOKUP(CONCAT(KB7,KC7),'MASTER PLAN'!$AB:$AB,'MASTER PLAN'!$J:$J,0,0)),"")</f>
        <v/>
      </c>
      <c r="KE7" s="73" t="str">
        <f t="array" ref="KE7">IFERROR(IF(XLOOKUP(CONCAT(KB7,KC7),'PROCESOS PRD'!$J:$J,'PROCESOS PRD'!$H:$H,0,0)=0,"",XLOOKUP(CONCAT(KB7,KC7),'PROCESOS PRD'!$J:$J,'PROCESOS PRD'!$H:$H,0,0)),"")</f>
        <v/>
      </c>
      <c r="KF7" s="71"/>
      <c r="KG7" s="32"/>
      <c r="KH7" s="72" t="str">
        <f t="array" ref="KH7">IFERROR(IF(XLOOKUP(CONCAT(KF7,KG7),'MASTER PLAN'!$AB:$AB,'MASTER PLAN'!$J:$J,0,0)=0,"",XLOOKUP(CONCAT(KF7,KG7),'MASTER PLAN'!$AB:$AB,'MASTER PLAN'!$J:$J,0,0)),"")</f>
        <v/>
      </c>
      <c r="KI7" s="73" t="str">
        <f t="array" ref="KI7">IFERROR(IF(XLOOKUP(CONCAT(KF7,KG7),'PROCESOS PRD'!$J:$J,'PROCESOS PRD'!$H:$H,0,0)=0,"",XLOOKUP(CONCAT(KF7,KG7),'PROCESOS PRD'!$J:$J,'PROCESOS PRD'!$H:$H,0,0)),"")</f>
        <v/>
      </c>
      <c r="KJ7" s="70"/>
      <c r="KK7" s="70"/>
      <c r="KL7" s="70"/>
      <c r="KM7" s="70"/>
      <c r="KN7" s="70"/>
      <c r="KO7" s="70"/>
      <c r="KP7" s="70"/>
      <c r="KQ7" s="70"/>
      <c r="KR7" s="70"/>
      <c r="KS7" s="70"/>
      <c r="KT7" s="70"/>
      <c r="KU7" s="70"/>
      <c r="KV7" s="70"/>
      <c r="KW7" s="70"/>
      <c r="KX7" s="70"/>
      <c r="KY7" s="70"/>
      <c r="KZ7" s="70"/>
      <c r="LA7" s="70"/>
      <c r="LB7" s="70"/>
      <c r="LC7" s="70"/>
    </row>
    <row r="8">
      <c r="A8" s="42"/>
      <c r="B8" s="74"/>
      <c r="C8" s="69"/>
      <c r="D8" s="70"/>
      <c r="E8" s="71"/>
      <c r="F8" s="32"/>
      <c r="G8" s="72" t="str">
        <f t="array" ref="G8">IFERROR(IF(XLOOKUP(CONCAT(E8,F8),'MASTER PLAN'!$AB:$AB,'MASTER PLAN'!$J:$J,0,0)=0,"",XLOOKUP(CONCAT(E8,F8),'MASTER PLAN'!$AB:$AB,'MASTER PLAN'!$J:$J,0,0)),"")</f>
        <v/>
      </c>
      <c r="H8" s="73" t="str">
        <f t="array" ref="H8">IFERROR(IF(XLOOKUP(CONCAT(E8,F8),'PROCESOS PRD'!$J:$J,'PROCESOS PRD'!$H:$H,0,0)=0,"",XLOOKUP(CONCAT(E8,F8),'PROCESOS PRD'!$J:$J,'PROCESOS PRD'!$H:$H,0,0)),"")</f>
        <v/>
      </c>
      <c r="I8" s="71"/>
      <c r="J8" s="32"/>
      <c r="K8" s="72" t="str">
        <f t="array" ref="K8">IFERROR(IF(XLOOKUP(CONCAT(I8,J8),'MASTER PLAN'!$AB:$AB,'MASTER PLAN'!$J:$J,0,0)=0,"",XLOOKUP(CONCAT(I8,J8),'MASTER PLAN'!$AB:$AB,'MASTER PLAN'!$J:$J,0,0)),"")</f>
        <v/>
      </c>
      <c r="L8" s="73" t="str">
        <f t="array" ref="L8">IFERROR(IF(XLOOKUP(CONCAT(I8,J8),'PROCESOS PRD'!$J:$J,'PROCESOS PRD'!$H:$H,0,0)=0,"",XLOOKUP(CONCAT(I8,J8),'PROCESOS PRD'!$J:$J,'PROCESOS PRD'!$H:$H,0,0)),"")</f>
        <v/>
      </c>
      <c r="M8" s="71"/>
      <c r="N8" s="32"/>
      <c r="O8" s="72" t="str">
        <f t="array" ref="O8">IFERROR(IF(XLOOKUP(CONCAT(M8,N8),'MASTER PLAN'!$AB:$AB,'MASTER PLAN'!$J:$J,0,0)=0,"",XLOOKUP(CONCAT(M8,N8),'MASTER PLAN'!$AB:$AB,'MASTER PLAN'!$J:$J,0,0)),"")</f>
        <v/>
      </c>
      <c r="P8" s="73" t="str">
        <f t="array" ref="P8">IFERROR(IF(XLOOKUP(CONCAT(M8,N8),'PROCESOS PRD'!$J:$J,'PROCESOS PRD'!$H:$H,0,0)=0,"",XLOOKUP(CONCAT(M8,N8),'PROCESOS PRD'!$J:$J,'PROCESOS PRD'!$H:$H,0,0)),"")</f>
        <v/>
      </c>
      <c r="Q8" s="71"/>
      <c r="R8" s="32"/>
      <c r="S8" s="72" t="str">
        <f t="array" ref="S8">IFERROR(IF(XLOOKUP(CONCAT(Q8,R8),'MASTER PLAN'!$AB:$AB,'MASTER PLAN'!$J:$J,0,0)=0,"",XLOOKUP(CONCAT(Q8,R8),'MASTER PLAN'!$AB:$AB,'MASTER PLAN'!$J:$J,0,0)),"")</f>
        <v/>
      </c>
      <c r="T8" s="73" t="str">
        <f t="array" ref="T8">IFERROR(IF(XLOOKUP(CONCAT(Q8,R8),'PROCESOS PRD'!$J:$J,'PROCESOS PRD'!$H:$H,0,0)=0,"",XLOOKUP(CONCAT(Q8,R8),'PROCESOS PRD'!$J:$J,'PROCESOS PRD'!$H:$H,0,0)),"")</f>
        <v/>
      </c>
      <c r="U8" s="70"/>
      <c r="V8" s="71"/>
      <c r="W8" s="32"/>
      <c r="X8" s="72" t="str">
        <f t="array" ref="X8">IFERROR(IF(XLOOKUP(CONCAT(V8,W8),'MASTER PLAN'!$AB:$AB,'MASTER PLAN'!$J:$J,0,0)=0,"",XLOOKUP(CONCAT(V8,W8),'MASTER PLAN'!$AB:$AB,'MASTER PLAN'!$J:$J,0,0)),"")</f>
        <v/>
      </c>
      <c r="Y8" s="73" t="str">
        <f t="array" ref="Y8">IFERROR(IF(XLOOKUP(CONCAT(V8,W8),'PROCESOS PRD'!$J:$J,'PROCESOS PRD'!$H:$H,0,0)=0,"",XLOOKUP(CONCAT(V8,W8),'PROCESOS PRD'!$J:$J,'PROCESOS PRD'!$H:$H,0,0)),"")</f>
        <v/>
      </c>
      <c r="Z8" s="71"/>
      <c r="AA8" s="32"/>
      <c r="AB8" s="72" t="str">
        <f t="array" ref="AB8">IFERROR(IF(XLOOKUP(CONCAT(Z8,AA8),'MASTER PLAN'!$AB:$AB,'MASTER PLAN'!$J:$J,0,0)=0,"",XLOOKUP(CONCAT(Z8,AA8),'MASTER PLAN'!$AB:$AB,'MASTER PLAN'!$J:$J,0,0)),"")</f>
        <v/>
      </c>
      <c r="AC8" s="73" t="str">
        <f t="array" ref="AC8">IFERROR(IF(XLOOKUP(CONCAT(Z8,AA8),'PROCESOS PRD'!$J:$J,'PROCESOS PRD'!$H:$H,0,0)=0,"",XLOOKUP(CONCAT(Z8,AA8),'PROCESOS PRD'!$J:$J,'PROCESOS PRD'!$H:$H,0,0)),"")</f>
        <v/>
      </c>
      <c r="AD8" s="71"/>
      <c r="AE8" s="32"/>
      <c r="AF8" s="72" t="str">
        <f t="array" ref="AF8">IFERROR(IF(XLOOKUP(CONCAT(AD8,AE8),'MASTER PLAN'!$AB:$AB,'MASTER PLAN'!$J:$J,0,0)=0,"",XLOOKUP(CONCAT(AD8,AE8),'MASTER PLAN'!$AB:$AB,'MASTER PLAN'!$J:$J,0,0)),"")</f>
        <v/>
      </c>
      <c r="AG8" s="73" t="str">
        <f t="array" ref="AG8">IFERROR(IF(XLOOKUP(CONCAT(AD8,AE8),'PROCESOS PRD'!$J:$J,'PROCESOS PRD'!$H:$H,0,0)=0,"",XLOOKUP(CONCAT(AD8,AE8),'PROCESOS PRD'!$J:$J,'PROCESOS PRD'!$H:$H,0,0)),"")</f>
        <v/>
      </c>
      <c r="AH8" s="71"/>
      <c r="AI8" s="32"/>
      <c r="AJ8" s="72" t="str">
        <f t="array" ref="AJ8">IFERROR(IF(XLOOKUP(CONCAT(AH8,AI8),'MASTER PLAN'!$AB:$AB,'MASTER PLAN'!$J:$J,0,0)=0,"",XLOOKUP(CONCAT(AH8,AI8),'MASTER PLAN'!$AB:$AB,'MASTER PLAN'!$J:$J,0,0)),"")</f>
        <v/>
      </c>
      <c r="AK8" s="73" t="str">
        <f t="array" ref="AK8">IFERROR(IF(XLOOKUP(CONCAT(AH8,AI8),'PROCESOS PRD'!$J:$J,'PROCESOS PRD'!$H:$H,0,0)=0,"",XLOOKUP(CONCAT(AH8,AI8),'PROCESOS PRD'!$J:$J,'PROCESOS PRD'!$H:$H,0,0)),"")</f>
        <v/>
      </c>
      <c r="AL8" s="71">
        <v>1.40204949E9</v>
      </c>
      <c r="AM8" s="32">
        <v>10.0</v>
      </c>
      <c r="AN8" s="72" t="str">
        <f t="array" ref="AN8">IFERROR(IF(XLOOKUP(CONCAT(AL8,AM8),'MASTER PLAN'!$AB:$AB,'MASTER PLAN'!$J:$J,0,0)=0,"",XLOOKUP(CONCAT(AL8,AM8),'MASTER PLAN'!$AB:$AB,'MASTER PLAN'!$J:$J,0,0)),"")</f>
        <v>BOLSA MAZZARESE 6-5"X3-5X6-5"</v>
      </c>
      <c r="AO8" s="73">
        <f t="array" ref="AO8">IFERROR(IF(XLOOKUP(CONCAT(AL8,AM8),'PROCESOS PRD'!$J:$J,'PROCESOS PRD'!$H:$H,0,0)=0,"",XLOOKUP(CONCAT(AL8,AM8),'PROCESOS PRD'!$J:$J,'PROCESOS PRD'!$H:$H,0,0)),"")</f>
        <v>1800</v>
      </c>
      <c r="AP8" s="71"/>
      <c r="AQ8" s="32"/>
      <c r="AR8" s="72" t="str">
        <f t="array" ref="AR8">IFERROR(IF(XLOOKUP(CONCAT(AP8,AQ8),'MASTER PLAN'!$AB:$AB,'MASTER PLAN'!$J:$J,0,0)=0,"",XLOOKUP(CONCAT(AP8,AQ8),'MASTER PLAN'!$AB:$AB,'MASTER PLAN'!$J:$J,0,0)),"")</f>
        <v/>
      </c>
      <c r="AS8" s="73" t="str">
        <f t="array" ref="AS8">IFERROR(IF(XLOOKUP(CONCAT(AP8,AQ8),'PROCESOS PRD'!$J:$J,'PROCESOS PRD'!$H:$H,0,0)=0,"",XLOOKUP(CONCAT(AP8,AQ8),'PROCESOS PRD'!$J:$J,'PROCESOS PRD'!$H:$H,0,0)),"")</f>
        <v/>
      </c>
      <c r="AT8" s="70"/>
      <c r="AU8" s="71"/>
      <c r="AV8" s="32"/>
      <c r="AW8" s="72" t="str">
        <f t="array" ref="AW8">IFERROR(IF(XLOOKUP(CONCAT(AU8,AV8),'MASTER PLAN'!$AB:$AB,'MASTER PLAN'!$J:$J,0,0)=0,"",XLOOKUP(CONCAT(AU8,AV8),'MASTER PLAN'!$AB:$AB,'MASTER PLAN'!$J:$J,0,0)),"")</f>
        <v/>
      </c>
      <c r="AX8" s="73" t="str">
        <f t="array" ref="AX8">IFERROR(IF(XLOOKUP(CONCAT(AU8,AV8),'PROCESOS PRD'!$J:$J,'PROCESOS PRD'!$H:$H,0,0)=0,"",XLOOKUP(CONCAT(AU8,AV8),'PROCESOS PRD'!$J:$J,'PROCESOS PRD'!$H:$H,0,0)),"")</f>
        <v/>
      </c>
      <c r="AY8" s="71"/>
      <c r="AZ8" s="32"/>
      <c r="BA8" s="72" t="str">
        <f t="array" ref="BA8">IFERROR(IF(XLOOKUP(CONCAT(AY8,AZ8),'MASTER PLAN'!$AB:$AB,'MASTER PLAN'!$J:$J,0,0)=0,"",XLOOKUP(CONCAT(AY8,AZ8),'MASTER PLAN'!$AB:$AB,'MASTER PLAN'!$J:$J,0,0)),"")</f>
        <v/>
      </c>
      <c r="BB8" s="73" t="str">
        <f t="array" ref="BB8">IFERROR(IF(XLOOKUP(CONCAT(AY8,AZ8),'PROCESOS PRD'!$J:$J,'PROCESOS PRD'!$H:$H,0,0)=0,"",XLOOKUP(CONCAT(AY8,AZ8),'PROCESOS PRD'!$J:$J,'PROCESOS PRD'!$H:$H,0,0)),"")</f>
        <v/>
      </c>
      <c r="BC8" s="71"/>
      <c r="BD8" s="32"/>
      <c r="BE8" s="72" t="str">
        <f t="array" ref="BE8">IFERROR(IF(XLOOKUP(CONCAT(BC8,BD8),'MASTER PLAN'!$AB:$AB,'MASTER PLAN'!$J:$J,0,0)=0,"",XLOOKUP(CONCAT(BC8,BD8),'MASTER PLAN'!$AB:$AB,'MASTER PLAN'!$J:$J,0,0)),"")</f>
        <v/>
      </c>
      <c r="BF8" s="73" t="str">
        <f t="array" ref="BF8">IFERROR(IF(XLOOKUP(CONCAT(BC8,BD8),'PROCESOS PRD'!$J:$J,'PROCESOS PRD'!$H:$H,0,0)=0,"",XLOOKUP(CONCAT(BC8,BD8),'PROCESOS PRD'!$J:$J,'PROCESOS PRD'!$H:$H,0,0)),"")</f>
        <v/>
      </c>
      <c r="BG8" s="71"/>
      <c r="BH8" s="32"/>
      <c r="BI8" s="72" t="str">
        <f t="array" ref="BI8">IFERROR(IF(XLOOKUP(CONCAT(BG8,BH8),'MASTER PLAN'!$AB:$AB,'MASTER PLAN'!$J:$J,0,0)=0,"",XLOOKUP(CONCAT(BG8,BH8),'MASTER PLAN'!$AB:$AB,'MASTER PLAN'!$J:$J,0,0)),"")</f>
        <v/>
      </c>
      <c r="BJ8" s="73" t="str">
        <f t="array" ref="BJ8">IFERROR(IF(XLOOKUP(CONCAT(BG8,BH8),'PROCESOS PRD'!$J:$J,'PROCESOS PRD'!$H:$H,0,0)=0,"",XLOOKUP(CONCAT(BG8,BH8),'PROCESOS PRD'!$J:$J,'PROCESOS PRD'!$H:$H,0,0)),"")</f>
        <v/>
      </c>
      <c r="BK8" s="71"/>
      <c r="BL8" s="32"/>
      <c r="BM8" s="72" t="str">
        <f t="array" ref="BM8">IFERROR(IF(XLOOKUP(CONCAT(BK8,BL8),'MASTER PLAN'!$AB:$AB,'MASTER PLAN'!$J:$J,0,0)=0,"",XLOOKUP(CONCAT(BK8,BL8),'MASTER PLAN'!$AB:$AB,'MASTER PLAN'!$J:$J,0,0)),"")</f>
        <v/>
      </c>
      <c r="BN8" s="73" t="str">
        <f t="array" ref="BN8">IFERROR(IF(XLOOKUP(CONCAT(BK8,BL8),'PROCESOS PRD'!$J:$J,'PROCESOS PRD'!$H:$H,0,0)=0,"",XLOOKUP(CONCAT(BK8,BL8),'PROCESOS PRD'!$J:$J,'PROCESOS PRD'!$H:$H,0,0)),"")</f>
        <v/>
      </c>
      <c r="BO8" s="71"/>
      <c r="BP8" s="32"/>
      <c r="BQ8" s="72" t="str">
        <f t="array" ref="BQ8">IFERROR(IF(XLOOKUP(CONCAT(BO8,BP8),'MASTER PLAN'!$AB:$AB,'MASTER PLAN'!$J:$J,0,0)=0,"",XLOOKUP(CONCAT(BO8,BP8),'MASTER PLAN'!$AB:$AB,'MASTER PLAN'!$J:$J,0,0)),"")</f>
        <v/>
      </c>
      <c r="BR8" s="73" t="str">
        <f t="array" ref="BR8">IFERROR(IF(XLOOKUP(CONCAT(BO8,BP8),'PROCESOS PRD'!$J:$J,'PROCESOS PRD'!$H:$H,0,0)=0,"",XLOOKUP(CONCAT(BO8,BP8),'PROCESOS PRD'!$J:$J,'PROCESOS PRD'!$H:$H,0,0)),"")</f>
        <v/>
      </c>
      <c r="BS8" s="70"/>
      <c r="BT8" s="71"/>
      <c r="BU8" s="32"/>
      <c r="BV8" s="72" t="str">
        <f t="array" ref="BV8">IFERROR(IF(XLOOKUP(CONCAT(BT8,BU8),'MASTER PLAN'!$AB:$AB,'MASTER PLAN'!$J:$J,0,0)=0,"",XLOOKUP(CONCAT(BT8,BU8),'MASTER PLAN'!$AB:$AB,'MASTER PLAN'!$J:$J,0,0)),"")</f>
        <v/>
      </c>
      <c r="BW8" s="73" t="str">
        <f t="array" ref="BW8">IFERROR(IF(XLOOKUP(CONCAT(BT8,BU8),'PROCESOS PRD'!$J:$J,'PROCESOS PRD'!$H:$H,0,0)=0,"",XLOOKUP(CONCAT(BT8,BU8),'PROCESOS PRD'!$J:$J,'PROCESOS PRD'!$H:$H,0,0)),"")</f>
        <v/>
      </c>
      <c r="BX8" s="71"/>
      <c r="BY8" s="32"/>
      <c r="BZ8" s="72" t="str">
        <f t="array" ref="BZ8">IFERROR(IF(XLOOKUP(CONCAT(BX8,BY8),'MASTER PLAN'!$AB:$AB,'MASTER PLAN'!$J:$J,0,0)=0,"",XLOOKUP(CONCAT(BX8,BY8),'MASTER PLAN'!$AB:$AB,'MASTER PLAN'!$J:$J,0,0)),"")</f>
        <v/>
      </c>
      <c r="CA8" s="73" t="str">
        <f t="array" ref="CA8">IFERROR(IF(XLOOKUP(CONCAT(BX8,BY8),'PROCESOS PRD'!$J:$J,'PROCESOS PRD'!$H:$H,0,0)=0,"",XLOOKUP(CONCAT(BX8,BY8),'PROCESOS PRD'!$J:$J,'PROCESOS PRD'!$H:$H,0,0)),"")</f>
        <v/>
      </c>
      <c r="CB8" s="71"/>
      <c r="CC8" s="32"/>
      <c r="CD8" s="72" t="str">
        <f t="array" ref="CD8">IFERROR(IF(XLOOKUP(CONCAT(CB8,CC8),'MASTER PLAN'!$AB:$AB,'MASTER PLAN'!$J:$J,0,0)=0,"",XLOOKUP(CONCAT(CB8,CC8),'MASTER PLAN'!$AB:$AB,'MASTER PLAN'!$J:$J,0,0)),"")</f>
        <v/>
      </c>
      <c r="CE8" s="73" t="str">
        <f t="array" ref="CE8">IFERROR(IF(XLOOKUP(CONCAT(CB8,CC8),'PROCESOS PRD'!$J:$J,'PROCESOS PRD'!$H:$H,0,0)=0,"",XLOOKUP(CONCAT(CB8,CC8),'PROCESOS PRD'!$J:$J,'PROCESOS PRD'!$H:$H,0,0)),"")</f>
        <v/>
      </c>
      <c r="CF8" s="71"/>
      <c r="CG8" s="32"/>
      <c r="CH8" s="72" t="str">
        <f t="array" ref="CH8">IFERROR(IF(XLOOKUP(CONCAT(CF8,CG8),'MASTER PLAN'!$AB:$AB,'MASTER PLAN'!$J:$J,0,0)=0,"",XLOOKUP(CONCAT(CF8,CG8),'MASTER PLAN'!$AB:$AB,'MASTER PLAN'!$J:$J,0,0)),"")</f>
        <v/>
      </c>
      <c r="CI8" s="73" t="str">
        <f t="array" ref="CI8">IFERROR(IF(XLOOKUP(CONCAT(CF8,CG8),'PROCESOS PRD'!$J:$J,'PROCESOS PRD'!$H:$H,0,0)=0,"",XLOOKUP(CONCAT(CF8,CG8),'PROCESOS PRD'!$J:$J,'PROCESOS PRD'!$H:$H,0,0)),"")</f>
        <v/>
      </c>
      <c r="CJ8" s="71"/>
      <c r="CK8" s="32"/>
      <c r="CL8" s="72" t="str">
        <f t="array" ref="CL8">IFERROR(IF(XLOOKUP(CONCAT(CJ8,CK8),'MASTER PLAN'!$AB:$AB,'MASTER PLAN'!$J:$J,0,0)=0,"",XLOOKUP(CONCAT(CJ8,CK8),'MASTER PLAN'!$AB:$AB,'MASTER PLAN'!$J:$J,0,0)),"")</f>
        <v/>
      </c>
      <c r="CM8" s="73" t="str">
        <f t="array" ref="CM8">IFERROR(IF(XLOOKUP(CONCAT(CJ8,CK8),'PROCESOS PRD'!$J:$J,'PROCESOS PRD'!$H:$H,0,0)=0,"",XLOOKUP(CONCAT(CJ8,CK8),'PROCESOS PRD'!$J:$J,'PROCESOS PRD'!$H:$H,0,0)),"")</f>
        <v/>
      </c>
      <c r="CN8" s="71"/>
      <c r="CO8" s="32"/>
      <c r="CP8" s="72" t="str">
        <f t="array" ref="CP8">IFERROR(IF(XLOOKUP(CONCAT(CN8,CO8),'MASTER PLAN'!$AB:$AB,'MASTER PLAN'!$J:$J,0,0)=0,"",XLOOKUP(CONCAT(CN8,CO8),'MASTER PLAN'!$AB:$AB,'MASTER PLAN'!$J:$J,0,0)),"")</f>
        <v/>
      </c>
      <c r="CQ8" s="73" t="str">
        <f t="array" ref="CQ8">IFERROR(IF(XLOOKUP(CONCAT(CN8,CO8),'PROCESOS PRD'!$J:$J,'PROCESOS PRD'!$H:$H,0,0)=0,"",XLOOKUP(CONCAT(CN8,CO8),'PROCESOS PRD'!$J:$J,'PROCESOS PRD'!$H:$H,0,0)),"")</f>
        <v/>
      </c>
      <c r="CR8" s="70"/>
      <c r="CS8" s="71"/>
      <c r="CT8" s="32"/>
      <c r="CU8" s="72" t="str">
        <f t="array" ref="CU8">IFERROR(IF(XLOOKUP(CONCAT(CS8,CT8),'MASTER PLAN'!$AB:$AB,'MASTER PLAN'!$J:$J,0,0)=0,"",XLOOKUP(CONCAT(CS8,CT8),'MASTER PLAN'!$AB:$AB,'MASTER PLAN'!$J:$J,0,0)),"")</f>
        <v/>
      </c>
      <c r="CV8" s="73" t="str">
        <f t="array" ref="CV8">IFERROR(IF(XLOOKUP(CONCAT(CS8,CT8),'PROCESOS PRD'!$J:$J,'PROCESOS PRD'!$H:$H,0,0)=0,"",XLOOKUP(CONCAT(CS8,CT8),'PROCESOS PRD'!$J:$J,'PROCESOS PRD'!$H:$H,0,0)),"")</f>
        <v/>
      </c>
      <c r="CW8" s="71"/>
      <c r="CX8" s="32"/>
      <c r="CY8" s="72" t="str">
        <f t="array" ref="CY8">IFERROR(IF(XLOOKUP(CONCAT(CW8,CX8),'MASTER PLAN'!$AB:$AB,'MASTER PLAN'!$J:$J,0,0)=0,"",XLOOKUP(CONCAT(CW8,CX8),'MASTER PLAN'!$AB:$AB,'MASTER PLAN'!$J:$J,0,0)),"")</f>
        <v/>
      </c>
      <c r="CZ8" s="73" t="str">
        <f t="array" ref="CZ8">IFERROR(IF(XLOOKUP(CONCAT(CW8,CX8),'PROCESOS PRD'!$J:$J,'PROCESOS PRD'!$H:$H,0,0)=0,"",XLOOKUP(CONCAT(CW8,CX8),'PROCESOS PRD'!$J:$J,'PROCESOS PRD'!$H:$H,0,0)),"")</f>
        <v/>
      </c>
      <c r="DA8" s="71"/>
      <c r="DB8" s="32"/>
      <c r="DC8" s="72" t="str">
        <f t="array" ref="DC8">IFERROR(IF(XLOOKUP(CONCAT(DA8,DB8),'MASTER PLAN'!$AB:$AB,'MASTER PLAN'!$J:$J,0,0)=0,"",XLOOKUP(CONCAT(DA8,DB8),'MASTER PLAN'!$AB:$AB,'MASTER PLAN'!$J:$J,0,0)),"")</f>
        <v/>
      </c>
      <c r="DD8" s="73" t="str">
        <f t="array" ref="DD8">IFERROR(IF(XLOOKUP(CONCAT(DA8,DB8),'PROCESOS PRD'!$J:$J,'PROCESOS PRD'!$H:$H,0,0)=0,"",XLOOKUP(CONCAT(DA8,DB8),'PROCESOS PRD'!$J:$J,'PROCESOS PRD'!$H:$H,0,0)),"")</f>
        <v/>
      </c>
      <c r="DE8" s="71"/>
      <c r="DF8" s="32"/>
      <c r="DG8" s="72" t="str">
        <f t="array" ref="DG8">IFERROR(IF(XLOOKUP(CONCAT(DE8,DF8),'MASTER PLAN'!$AB:$AB,'MASTER PLAN'!$J:$J,0,0)=0,"",XLOOKUP(CONCAT(DE8,DF8),'MASTER PLAN'!$AB:$AB,'MASTER PLAN'!$J:$J,0,0)),"")</f>
        <v/>
      </c>
      <c r="DH8" s="73" t="str">
        <f t="array" ref="DH8">IFERROR(IF(XLOOKUP(CONCAT(DE8,DF8),'PROCESOS PRD'!$J:$J,'PROCESOS PRD'!$H:$H,0,0)=0,"",XLOOKUP(CONCAT(DE8,DF8),'PROCESOS PRD'!$J:$J,'PROCESOS PRD'!$H:$H,0,0)),"")</f>
        <v/>
      </c>
      <c r="DI8" s="71"/>
      <c r="DJ8" s="32"/>
      <c r="DK8" s="72" t="str">
        <f t="array" ref="DK8">IFERROR(IF(XLOOKUP(CONCAT(DI8,DJ8),'MASTER PLAN'!$AB:$AB,'MASTER PLAN'!$J:$J,0,0)=0,"",XLOOKUP(CONCAT(DI8,DJ8),'MASTER PLAN'!$AB:$AB,'MASTER PLAN'!$J:$J,0,0)),"")</f>
        <v/>
      </c>
      <c r="DL8" s="73" t="str">
        <f t="array" ref="DL8">IFERROR(IF(XLOOKUP(CONCAT(DI8,DJ8),'PROCESOS PRD'!$J:$J,'PROCESOS PRD'!$H:$H,0,0)=0,"",XLOOKUP(CONCAT(DI8,DJ8),'PROCESOS PRD'!$J:$J,'PROCESOS PRD'!$H:$H,0,0)),"")</f>
        <v/>
      </c>
      <c r="DM8" s="71"/>
      <c r="DN8" s="32"/>
      <c r="DO8" s="72" t="str">
        <f t="array" ref="DO8">IFERROR(IF(XLOOKUP(CONCAT(DM8,DN8),'MASTER PLAN'!$AB:$AB,'MASTER PLAN'!$J:$J,0,0)=0,"",XLOOKUP(CONCAT(DM8,DN8),'MASTER PLAN'!$AB:$AB,'MASTER PLAN'!$J:$J,0,0)),"")</f>
        <v/>
      </c>
      <c r="DP8" s="73" t="str">
        <f t="array" ref="DP8">IFERROR(IF(XLOOKUP(CONCAT(DM8,DN8),'PROCESOS PRD'!$J:$J,'PROCESOS PRD'!$H:$H,0,0)=0,"",XLOOKUP(CONCAT(DM8,DN8),'PROCESOS PRD'!$J:$J,'PROCESOS PRD'!$H:$H,0,0)),"")</f>
        <v/>
      </c>
      <c r="DQ8" s="70"/>
      <c r="DR8" s="71"/>
      <c r="DS8" s="32"/>
      <c r="DT8" s="72" t="str">
        <f t="array" ref="DT8">IFERROR(IF(XLOOKUP(CONCAT(DR8,DS8),'MASTER PLAN'!$AB:$AB,'MASTER PLAN'!$J:$J,0,0)=0,"",XLOOKUP(CONCAT(DR8,DS8),'MASTER PLAN'!$AB:$AB,'MASTER PLAN'!$J:$J,0,0)),"")</f>
        <v/>
      </c>
      <c r="DU8" s="73" t="str">
        <f t="array" ref="DU8">IFERROR(IF(XLOOKUP(CONCAT(DR8,DS8),'PROCESOS PRD'!$J:$J,'PROCESOS PRD'!$H:$H,0,0)=0,"",XLOOKUP(CONCAT(DR8,DS8),'PROCESOS PRD'!$J:$J,'PROCESOS PRD'!$H:$H,0,0)),"")</f>
        <v/>
      </c>
      <c r="DV8" s="71"/>
      <c r="DW8" s="32"/>
      <c r="DX8" s="72" t="str">
        <f t="array" ref="DX8">IFERROR(IF(XLOOKUP(CONCAT(DV8,DW8),'MASTER PLAN'!$AB:$AB,'MASTER PLAN'!$J:$J,0,0)=0,"",XLOOKUP(CONCAT(DV8,DW8),'MASTER PLAN'!$AB:$AB,'MASTER PLAN'!$J:$J,0,0)),"")</f>
        <v/>
      </c>
      <c r="DY8" s="73" t="str">
        <f t="array" ref="DY8">IFERROR(IF(XLOOKUP(CONCAT(DV8,DW8),'PROCESOS PRD'!$J:$J,'PROCESOS PRD'!$H:$H,0,0)=0,"",XLOOKUP(CONCAT(DV8,DW8),'PROCESOS PRD'!$J:$J,'PROCESOS PRD'!$H:$H,0,0)),"")</f>
        <v/>
      </c>
      <c r="DZ8" s="71"/>
      <c r="EA8" s="32"/>
      <c r="EB8" s="72" t="str">
        <f t="array" ref="EB8">IFERROR(IF(XLOOKUP(CONCAT(DZ8,EA8),'MASTER PLAN'!$AB:$AB,'MASTER PLAN'!$J:$J,0,0)=0,"",XLOOKUP(CONCAT(DZ8,EA8),'MASTER PLAN'!$AB:$AB,'MASTER PLAN'!$J:$J,0,0)),"")</f>
        <v/>
      </c>
      <c r="EC8" s="73" t="str">
        <f t="array" ref="EC8">IFERROR(IF(XLOOKUP(CONCAT(DZ8,EA8),'PROCESOS PRD'!$J:$J,'PROCESOS PRD'!$H:$H,0,0)=0,"",XLOOKUP(CONCAT(DZ8,EA8),'PROCESOS PRD'!$J:$J,'PROCESOS PRD'!$H:$H,0,0)),"")</f>
        <v/>
      </c>
      <c r="ED8" s="71"/>
      <c r="EE8" s="32"/>
      <c r="EF8" s="72" t="str">
        <f t="array" ref="EF8">IFERROR(IF(XLOOKUP(CONCAT(ED8,EE8),'MASTER PLAN'!$AB:$AB,'MASTER PLAN'!$J:$J,0,0)=0,"",XLOOKUP(CONCAT(ED8,EE8),'MASTER PLAN'!$AB:$AB,'MASTER PLAN'!$J:$J,0,0)),"")</f>
        <v/>
      </c>
      <c r="EG8" s="73" t="str">
        <f t="array" ref="EG8">IFERROR(IF(XLOOKUP(CONCAT(ED8,EE8),'PROCESOS PRD'!$J:$J,'PROCESOS PRD'!$H:$H,0,0)=0,"",XLOOKUP(CONCAT(ED8,EE8),'PROCESOS PRD'!$J:$J,'PROCESOS PRD'!$H:$H,0,0)),"")</f>
        <v/>
      </c>
      <c r="EH8" s="71"/>
      <c r="EI8" s="32"/>
      <c r="EJ8" s="72" t="str">
        <f t="array" ref="EJ8">IFERROR(IF(XLOOKUP(CONCAT(EH8,EI8),'MASTER PLAN'!$AB:$AB,'MASTER PLAN'!$J:$J,0,0)=0,"",XLOOKUP(CONCAT(EH8,EI8),'MASTER PLAN'!$AB:$AB,'MASTER PLAN'!$J:$J,0,0)),"")</f>
        <v/>
      </c>
      <c r="EK8" s="73" t="str">
        <f t="array" ref="EK8">IFERROR(IF(XLOOKUP(CONCAT(EH8,EI8),'PROCESOS PRD'!$J:$J,'PROCESOS PRD'!$H:$H,0,0)=0,"",XLOOKUP(CONCAT(EH8,EI8),'PROCESOS PRD'!$J:$J,'PROCESOS PRD'!$H:$H,0,0)),"")</f>
        <v/>
      </c>
      <c r="EL8" s="71"/>
      <c r="EM8" s="32"/>
      <c r="EN8" s="72" t="str">
        <f t="array" ref="EN8">IFERROR(IF(XLOOKUP(CONCAT(EL8,EM8),'MASTER PLAN'!$AB:$AB,'MASTER PLAN'!$J:$J,0,0)=0,"",XLOOKUP(CONCAT(EL8,EM8),'MASTER PLAN'!$AB:$AB,'MASTER PLAN'!$J:$J,0,0)),"")</f>
        <v/>
      </c>
      <c r="EO8" s="73" t="str">
        <f t="array" ref="EO8">IFERROR(IF(XLOOKUP(CONCAT(EL8,EM8),'PROCESOS PRD'!$J:$J,'PROCESOS PRD'!$H:$H,0,0)=0,"",XLOOKUP(CONCAT(EL8,EM8),'PROCESOS PRD'!$J:$J,'PROCESOS PRD'!$H:$H,0,0)),"")</f>
        <v/>
      </c>
      <c r="EP8" s="70"/>
      <c r="EQ8" s="71"/>
      <c r="ER8" s="32"/>
      <c r="ES8" s="72" t="str">
        <f t="array" ref="ES8">IFERROR(IF(XLOOKUP(CONCAT(EQ8,ER8),'MASTER PLAN'!$AB:$AB,'MASTER PLAN'!$J:$J,0,0)=0,"",XLOOKUP(CONCAT(EQ8,ER8),'MASTER PLAN'!$AB:$AB,'MASTER PLAN'!$J:$J,0,0)),"")</f>
        <v/>
      </c>
      <c r="ET8" s="73" t="str">
        <f t="array" ref="ET8">IFERROR(IF(XLOOKUP(CONCAT(EQ8,ER8),'PROCESOS PRD'!$J:$J,'PROCESOS PRD'!$H:$H,0,0)=0,"",XLOOKUP(CONCAT(EQ8,ER8),'PROCESOS PRD'!$J:$J,'PROCESOS PRD'!$H:$H,0,0)),"")</f>
        <v/>
      </c>
      <c r="EU8" s="71"/>
      <c r="EV8" s="32"/>
      <c r="EW8" s="72" t="str">
        <f t="array" ref="EW8">IFERROR(IF(XLOOKUP(CONCAT(EU8,EV8),'MASTER PLAN'!$AB:$AB,'MASTER PLAN'!$J:$J,0,0)=0,"",XLOOKUP(CONCAT(EU8,EV8),'MASTER PLAN'!$AB:$AB,'MASTER PLAN'!$J:$J,0,0)),"")</f>
        <v/>
      </c>
      <c r="EX8" s="73" t="str">
        <f t="array" ref="EX8">IFERROR(IF(XLOOKUP(CONCAT(EU8,EV8),'PROCESOS PRD'!$J:$J,'PROCESOS PRD'!$H:$H,0,0)=0,"",XLOOKUP(CONCAT(EU8,EV8),'PROCESOS PRD'!$J:$J,'PROCESOS PRD'!$H:$H,0,0)),"")</f>
        <v/>
      </c>
      <c r="EY8" s="71"/>
      <c r="EZ8" s="32"/>
      <c r="FA8" s="72" t="str">
        <f t="array" ref="FA8">IFERROR(IF(XLOOKUP(CONCAT(EY8,EZ8),'MASTER PLAN'!$AB:$AB,'MASTER PLAN'!$J:$J,0,0)=0,"",XLOOKUP(CONCAT(EY8,EZ8),'MASTER PLAN'!$AB:$AB,'MASTER PLAN'!$J:$J,0,0)),"")</f>
        <v/>
      </c>
      <c r="FB8" s="73" t="str">
        <f t="array" ref="FB8">IFERROR(IF(XLOOKUP(CONCAT(EY8,EZ8),'PROCESOS PRD'!$J:$J,'PROCESOS PRD'!$H:$H,0,0)=0,"",XLOOKUP(CONCAT(EY8,EZ8),'PROCESOS PRD'!$J:$J,'PROCESOS PRD'!$H:$H,0,0)),"")</f>
        <v/>
      </c>
      <c r="FC8" s="71"/>
      <c r="FD8" s="32"/>
      <c r="FE8" s="72" t="str">
        <f t="array" ref="FE8">IFERROR(IF(XLOOKUP(CONCAT(FC8,FD8),'MASTER PLAN'!$AB:$AB,'MASTER PLAN'!$J:$J,0,0)=0,"",XLOOKUP(CONCAT(FC8,FD8),'MASTER PLAN'!$AB:$AB,'MASTER PLAN'!$J:$J,0,0)),"")</f>
        <v/>
      </c>
      <c r="FF8" s="73" t="str">
        <f t="array" ref="FF8">IFERROR(IF(XLOOKUP(CONCAT(FC8,FD8),'PROCESOS PRD'!$J:$J,'PROCESOS PRD'!$H:$H,0,0)=0,"",XLOOKUP(CONCAT(FC8,FD8),'PROCESOS PRD'!$J:$J,'PROCESOS PRD'!$H:$H,0,0)),"")</f>
        <v/>
      </c>
      <c r="FG8" s="71"/>
      <c r="FH8" s="32"/>
      <c r="FI8" s="72" t="str">
        <f t="array" ref="FI8">IFERROR(IF(XLOOKUP(CONCAT(FG8,FH8),'MASTER PLAN'!$AB:$AB,'MASTER PLAN'!$J:$J,0,0)=0,"",XLOOKUP(CONCAT(FG8,FH8),'MASTER PLAN'!$AB:$AB,'MASTER PLAN'!$J:$J,0,0)),"")</f>
        <v/>
      </c>
      <c r="FJ8" s="73" t="str">
        <f t="array" ref="FJ8">IFERROR(IF(XLOOKUP(CONCAT(FG8,FH8),'PROCESOS PRD'!$J:$J,'PROCESOS PRD'!$H:$H,0,0)=0,"",XLOOKUP(CONCAT(FG8,FH8),'PROCESOS PRD'!$J:$J,'PROCESOS PRD'!$H:$H,0,0)),"")</f>
        <v/>
      </c>
      <c r="FK8" s="71"/>
      <c r="FL8" s="32"/>
      <c r="FM8" s="72" t="str">
        <f t="array" ref="FM8">IFERROR(IF(XLOOKUP(CONCAT(FK8,FL8),'MASTER PLAN'!$AB:$AB,'MASTER PLAN'!$J:$J,0,0)=0,"",XLOOKUP(CONCAT(FK8,FL8),'MASTER PLAN'!$AB:$AB,'MASTER PLAN'!$J:$J,0,0)),"")</f>
        <v/>
      </c>
      <c r="FN8" s="73" t="str">
        <f t="array" ref="FN8">IFERROR(IF(XLOOKUP(CONCAT(FK8,FL8),'PROCESOS PRD'!$J:$J,'PROCESOS PRD'!$H:$H,0,0)=0,"",XLOOKUP(CONCAT(FK8,FL8),'PROCESOS PRD'!$J:$J,'PROCESOS PRD'!$H:$H,0,0)),"")</f>
        <v/>
      </c>
      <c r="FO8" s="70"/>
      <c r="FP8" s="71"/>
      <c r="FQ8" s="32"/>
      <c r="FR8" s="72" t="str">
        <f t="array" ref="FR8">IFERROR(IF(XLOOKUP(CONCAT(FP8,FQ8),'MASTER PLAN'!$AB:$AB,'MASTER PLAN'!$J:$J,0,0)=0,"",XLOOKUP(CONCAT(FP8,FQ8),'MASTER PLAN'!$AB:$AB,'MASTER PLAN'!$J:$J,0,0)),"")</f>
        <v/>
      </c>
      <c r="FS8" s="73" t="str">
        <f t="array" ref="FS8">IFERROR(IF(XLOOKUP(CONCAT(FP8,FQ8),'PROCESOS PRD'!$J:$J,'PROCESOS PRD'!$H:$H,0,0)=0,"",XLOOKUP(CONCAT(FP8,FQ8),'PROCESOS PRD'!$J:$J,'PROCESOS PRD'!$H:$H,0,0)),"")</f>
        <v/>
      </c>
      <c r="FT8" s="71"/>
      <c r="FU8" s="32"/>
      <c r="FV8" s="72" t="str">
        <f t="array" ref="FV8">IFERROR(IF(XLOOKUP(CONCAT(FT8,FU8),'MASTER PLAN'!$AB:$AB,'MASTER PLAN'!$J:$J,0,0)=0,"",XLOOKUP(CONCAT(FT8,FU8),'MASTER PLAN'!$AB:$AB,'MASTER PLAN'!$J:$J,0,0)),"")</f>
        <v/>
      </c>
      <c r="FW8" s="73" t="str">
        <f t="array" ref="FW8">IFERROR(IF(XLOOKUP(CONCAT(FT8,FU8),'PROCESOS PRD'!$J:$J,'PROCESOS PRD'!$H:$H,0,0)=0,"",XLOOKUP(CONCAT(FT8,FU8),'PROCESOS PRD'!$J:$J,'PROCESOS PRD'!$H:$H,0,0)),"")</f>
        <v/>
      </c>
      <c r="FX8" s="71"/>
      <c r="FY8" s="32"/>
      <c r="FZ8" s="72" t="str">
        <f t="array" ref="FZ8">IFERROR(IF(XLOOKUP(CONCAT(FX8,FY8),'MASTER PLAN'!$AB:$AB,'MASTER PLAN'!$J:$J,0,0)=0,"",XLOOKUP(CONCAT(FX8,FY8),'MASTER PLAN'!$AB:$AB,'MASTER PLAN'!$J:$J,0,0)),"")</f>
        <v/>
      </c>
      <c r="GA8" s="73" t="str">
        <f t="array" ref="GA8">IFERROR(IF(XLOOKUP(CONCAT(FX8,FY8),'PROCESOS PRD'!$J:$J,'PROCESOS PRD'!$H:$H,0,0)=0,"",XLOOKUP(CONCAT(FX8,FY8),'PROCESOS PRD'!$J:$J,'PROCESOS PRD'!$H:$H,0,0)),"")</f>
        <v/>
      </c>
      <c r="GB8" s="71"/>
      <c r="GC8" s="32"/>
      <c r="GD8" s="72" t="str">
        <f t="array" ref="GD8">IFERROR(IF(XLOOKUP(CONCAT(GB8,GC8),'MASTER PLAN'!$AB:$AB,'MASTER PLAN'!$J:$J,0,0)=0,"",XLOOKUP(CONCAT(GB8,GC8),'MASTER PLAN'!$AB:$AB,'MASTER PLAN'!$J:$J,0,0)),"")</f>
        <v/>
      </c>
      <c r="GE8" s="73" t="str">
        <f t="array" ref="GE8">IFERROR(IF(XLOOKUP(CONCAT(GB8,GC8),'PROCESOS PRD'!$J:$J,'PROCESOS PRD'!$H:$H,0,0)=0,"",XLOOKUP(CONCAT(GB8,GC8),'PROCESOS PRD'!$J:$J,'PROCESOS PRD'!$H:$H,0,0)),"")</f>
        <v/>
      </c>
      <c r="GF8" s="71"/>
      <c r="GG8" s="32"/>
      <c r="GH8" s="72" t="str">
        <f t="array" ref="GH8">IFERROR(IF(XLOOKUP(CONCAT(GF8,GG8),'MASTER PLAN'!$AB:$AB,'MASTER PLAN'!$J:$J,0,0)=0,"",XLOOKUP(CONCAT(GF8,GG8),'MASTER PLAN'!$AB:$AB,'MASTER PLAN'!$J:$J,0,0)),"")</f>
        <v/>
      </c>
      <c r="GI8" s="73" t="str">
        <f t="array" ref="GI8">IFERROR(IF(XLOOKUP(CONCAT(GF8,GG8),'PROCESOS PRD'!$J:$J,'PROCESOS PRD'!$H:$H,0,0)=0,"",XLOOKUP(CONCAT(GF8,GG8),'PROCESOS PRD'!$J:$J,'PROCESOS PRD'!$H:$H,0,0)),"")</f>
        <v/>
      </c>
      <c r="GJ8" s="71"/>
      <c r="GK8" s="32"/>
      <c r="GL8" s="72" t="str">
        <f t="array" ref="GL8">IFERROR(IF(XLOOKUP(CONCAT(GJ8,GK8),'MASTER PLAN'!$AB:$AB,'MASTER PLAN'!$J:$J,0,0)=0,"",XLOOKUP(CONCAT(GJ8,GK8),'MASTER PLAN'!$AB:$AB,'MASTER PLAN'!$J:$J,0,0)),"")</f>
        <v/>
      </c>
      <c r="GM8" s="73" t="str">
        <f t="array" ref="GM8">IFERROR(IF(XLOOKUP(CONCAT(GJ8,GK8),'PROCESOS PRD'!$J:$J,'PROCESOS PRD'!$H:$H,0,0)=0,"",XLOOKUP(CONCAT(GJ8,GK8),'PROCESOS PRD'!$J:$J,'PROCESOS PRD'!$H:$H,0,0)),"")</f>
        <v/>
      </c>
      <c r="GN8" s="70"/>
      <c r="GO8" s="71"/>
      <c r="GP8" s="32"/>
      <c r="GQ8" s="72" t="str">
        <f t="array" ref="GQ8">IFERROR(IF(XLOOKUP(CONCAT(GO8,GP8),'MASTER PLAN'!$AB:$AB,'MASTER PLAN'!$J:$J,0,0)=0,"",XLOOKUP(CONCAT(GO8,GP8),'MASTER PLAN'!$AB:$AB,'MASTER PLAN'!$J:$J,0,0)),"")</f>
        <v/>
      </c>
      <c r="GR8" s="73" t="str">
        <f t="array" ref="GR8">IFERROR(IF(XLOOKUP(CONCAT(GO8,GP8),'PROCESOS PRD'!$J:$J,'PROCESOS PRD'!$H:$H,0,0)=0,"",XLOOKUP(CONCAT(GO8,GP8),'PROCESOS PRD'!$J:$J,'PROCESOS PRD'!$H:$H,0,0)),"")</f>
        <v/>
      </c>
      <c r="GS8" s="71"/>
      <c r="GT8" s="32"/>
      <c r="GU8" s="72" t="str">
        <f t="array" ref="GU8">IFERROR(IF(XLOOKUP(CONCAT(GS8,GT8),'MASTER PLAN'!$AB:$AB,'MASTER PLAN'!$J:$J,0,0)=0,"",XLOOKUP(CONCAT(GS8,GT8),'MASTER PLAN'!$AB:$AB,'MASTER PLAN'!$J:$J,0,0)),"")</f>
        <v/>
      </c>
      <c r="GV8" s="73" t="str">
        <f t="array" ref="GV8">IFERROR(IF(XLOOKUP(CONCAT(GS8,GT8),'PROCESOS PRD'!$J:$J,'PROCESOS PRD'!$H:$H,0,0)=0,"",XLOOKUP(CONCAT(GS8,GT8),'PROCESOS PRD'!$J:$J,'PROCESOS PRD'!$H:$H,0,0)),"")</f>
        <v/>
      </c>
      <c r="GW8" s="71"/>
      <c r="GX8" s="32"/>
      <c r="GY8" s="72" t="str">
        <f t="array" ref="GY8">IFERROR(IF(XLOOKUP(CONCAT(GW8,GX8),'MASTER PLAN'!$AB:$AB,'MASTER PLAN'!$J:$J,0,0)=0,"",XLOOKUP(CONCAT(GW8,GX8),'MASTER PLAN'!$AB:$AB,'MASTER PLAN'!$J:$J,0,0)),"")</f>
        <v/>
      </c>
      <c r="GZ8" s="73" t="str">
        <f t="array" ref="GZ8">IFERROR(IF(XLOOKUP(CONCAT(GW8,GX8),'PROCESOS PRD'!$J:$J,'PROCESOS PRD'!$H:$H,0,0)=0,"",XLOOKUP(CONCAT(GW8,GX8),'PROCESOS PRD'!$J:$J,'PROCESOS PRD'!$H:$H,0,0)),"")</f>
        <v/>
      </c>
      <c r="HA8" s="71"/>
      <c r="HB8" s="32"/>
      <c r="HC8" s="72" t="str">
        <f t="array" ref="HC8">IFERROR(IF(XLOOKUP(CONCAT(HA8,HB8),'MASTER PLAN'!$AB:$AB,'MASTER PLAN'!$J:$J,0,0)=0,"",XLOOKUP(CONCAT(HA8,HB8),'MASTER PLAN'!$AB:$AB,'MASTER PLAN'!$J:$J,0,0)),"")</f>
        <v/>
      </c>
      <c r="HD8" s="73" t="str">
        <f t="array" ref="HD8">IFERROR(IF(XLOOKUP(CONCAT(HA8,HB8),'PROCESOS PRD'!$J:$J,'PROCESOS PRD'!$H:$H,0,0)=0,"",XLOOKUP(CONCAT(HA8,HB8),'PROCESOS PRD'!$J:$J,'PROCESOS PRD'!$H:$H,0,0)),"")</f>
        <v/>
      </c>
      <c r="HE8" s="71"/>
      <c r="HF8" s="32"/>
      <c r="HG8" s="72" t="str">
        <f t="array" ref="HG8">IFERROR(IF(XLOOKUP(CONCAT(HE8,HF8),'MASTER PLAN'!$AB:$AB,'MASTER PLAN'!$J:$J,0,0)=0,"",XLOOKUP(CONCAT(HE8,HF8),'MASTER PLAN'!$AB:$AB,'MASTER PLAN'!$J:$J,0,0)),"")</f>
        <v/>
      </c>
      <c r="HH8" s="73" t="str">
        <f t="array" ref="HH8">IFERROR(IF(XLOOKUP(CONCAT(HE8,HF8),'PROCESOS PRD'!$J:$J,'PROCESOS PRD'!$H:$H,0,0)=0,"",XLOOKUP(CONCAT(HE8,HF8),'PROCESOS PRD'!$J:$J,'PROCESOS PRD'!$H:$H,0,0)),"")</f>
        <v/>
      </c>
      <c r="HI8" s="71"/>
      <c r="HJ8" s="32"/>
      <c r="HK8" s="72" t="str">
        <f t="array" ref="HK8">IFERROR(IF(XLOOKUP(CONCAT(HI8,HJ8),'MASTER PLAN'!$AB:$AB,'MASTER PLAN'!$J:$J,0,0)=0,"",XLOOKUP(CONCAT(HI8,HJ8),'MASTER PLAN'!$AB:$AB,'MASTER PLAN'!$J:$J,0,0)),"")</f>
        <v/>
      </c>
      <c r="HL8" s="73" t="str">
        <f t="array" ref="HL8">IFERROR(IF(XLOOKUP(CONCAT(HI8,HJ8),'PROCESOS PRD'!$J:$J,'PROCESOS PRD'!$H:$H,0,0)=0,"",XLOOKUP(CONCAT(HI8,HJ8),'PROCESOS PRD'!$J:$J,'PROCESOS PRD'!$H:$H,0,0)),"")</f>
        <v/>
      </c>
      <c r="HM8" s="70"/>
      <c r="HN8" s="71"/>
      <c r="HO8" s="32"/>
      <c r="HP8" s="72" t="str">
        <f t="array" ref="HP8">IFERROR(IF(XLOOKUP(CONCAT(HN8,HO8),'MASTER PLAN'!$AB:$AB,'MASTER PLAN'!$J:$J,0,0)=0,"",XLOOKUP(CONCAT(HN8,HO8),'MASTER PLAN'!$AB:$AB,'MASTER PLAN'!$J:$J,0,0)),"")</f>
        <v/>
      </c>
      <c r="HQ8" s="73" t="str">
        <f t="array" ref="HQ8">IFERROR(IF(XLOOKUP(CONCAT(HN8,HO8),'PROCESOS PRD'!$J:$J,'PROCESOS PRD'!$H:$H,0,0)=0,"",XLOOKUP(CONCAT(HN8,HO8),'PROCESOS PRD'!$J:$J,'PROCESOS PRD'!$H:$H,0,0)),"")</f>
        <v/>
      </c>
      <c r="HR8" s="71"/>
      <c r="HS8" s="32"/>
      <c r="HT8" s="72" t="str">
        <f t="array" ref="HT8">IFERROR(IF(XLOOKUP(CONCAT(HR8,HS8),'MASTER PLAN'!$AB:$AB,'MASTER PLAN'!$J:$J,0,0)=0,"",XLOOKUP(CONCAT(HR8,HS8),'MASTER PLAN'!$AB:$AB,'MASTER PLAN'!$J:$J,0,0)),"")</f>
        <v/>
      </c>
      <c r="HU8" s="73" t="str">
        <f t="array" ref="HU8">IFERROR(IF(XLOOKUP(CONCAT(HR8,HS8),'PROCESOS PRD'!$J:$J,'PROCESOS PRD'!$H:$H,0,0)=0,"",XLOOKUP(CONCAT(HR8,HS8),'PROCESOS PRD'!$J:$J,'PROCESOS PRD'!$H:$H,0,0)),"")</f>
        <v/>
      </c>
      <c r="HV8" s="71"/>
      <c r="HW8" s="32"/>
      <c r="HX8" s="72" t="str">
        <f t="array" ref="HX8">IFERROR(IF(XLOOKUP(CONCAT(HV8,HW8),'MASTER PLAN'!$AB:$AB,'MASTER PLAN'!$J:$J,0,0)=0,"",XLOOKUP(CONCAT(HV8,HW8),'MASTER PLAN'!$AB:$AB,'MASTER PLAN'!$J:$J,0,0)),"")</f>
        <v/>
      </c>
      <c r="HY8" s="73" t="str">
        <f t="array" ref="HY8">IFERROR(IF(XLOOKUP(CONCAT(HV8,HW8),'PROCESOS PRD'!$J:$J,'PROCESOS PRD'!$H:$H,0,0)=0,"",XLOOKUP(CONCAT(HV8,HW8),'PROCESOS PRD'!$J:$J,'PROCESOS PRD'!$H:$H,0,0)),"")</f>
        <v/>
      </c>
      <c r="HZ8" s="71"/>
      <c r="IA8" s="32"/>
      <c r="IB8" s="72" t="str">
        <f t="array" ref="IB8">IFERROR(IF(XLOOKUP(CONCAT(HZ8,IA8),'MASTER PLAN'!$AB:$AB,'MASTER PLAN'!$J:$J,0,0)=0,"",XLOOKUP(CONCAT(HZ8,IA8),'MASTER PLAN'!$AB:$AB,'MASTER PLAN'!$J:$J,0,0)),"")</f>
        <v/>
      </c>
      <c r="IC8" s="73" t="str">
        <f t="array" ref="IC8">IFERROR(IF(XLOOKUP(CONCAT(HZ8,IA8),'PROCESOS PRD'!$J:$J,'PROCESOS PRD'!$H:$H,0,0)=0,"",XLOOKUP(CONCAT(HZ8,IA8),'PROCESOS PRD'!$J:$J,'PROCESOS PRD'!$H:$H,0,0)),"")</f>
        <v/>
      </c>
      <c r="ID8" s="71"/>
      <c r="IE8" s="32"/>
      <c r="IF8" s="72" t="str">
        <f t="array" ref="IF8">IFERROR(IF(XLOOKUP(CONCAT(ID8,IE8),'MASTER PLAN'!$AB:$AB,'MASTER PLAN'!$J:$J,0,0)=0,"",XLOOKUP(CONCAT(ID8,IE8),'MASTER PLAN'!$AB:$AB,'MASTER PLAN'!$J:$J,0,0)),"")</f>
        <v/>
      </c>
      <c r="IG8" s="73" t="str">
        <f t="array" ref="IG8">IFERROR(IF(XLOOKUP(CONCAT(ID8,IE8),'PROCESOS PRD'!$J:$J,'PROCESOS PRD'!$H:$H,0,0)=0,"",XLOOKUP(CONCAT(ID8,IE8),'PROCESOS PRD'!$J:$J,'PROCESOS PRD'!$H:$H,0,0)),"")</f>
        <v/>
      </c>
      <c r="IH8" s="71"/>
      <c r="II8" s="32"/>
      <c r="IJ8" s="72" t="str">
        <f t="array" ref="IJ8">IFERROR(IF(XLOOKUP(CONCAT(IH8,II8),'MASTER PLAN'!$AB:$AB,'MASTER PLAN'!$J:$J,0,0)=0,"",XLOOKUP(CONCAT(IH8,II8),'MASTER PLAN'!$AB:$AB,'MASTER PLAN'!$J:$J,0,0)),"")</f>
        <v/>
      </c>
      <c r="IK8" s="73" t="str">
        <f t="array" ref="IK8">IFERROR(IF(XLOOKUP(CONCAT(IH8,II8),'PROCESOS PRD'!$J:$J,'PROCESOS PRD'!$H:$H,0,0)=0,"",XLOOKUP(CONCAT(IH8,II8),'PROCESOS PRD'!$J:$J,'PROCESOS PRD'!$H:$H,0,0)),"")</f>
        <v/>
      </c>
      <c r="IL8" s="70"/>
      <c r="IM8" s="71"/>
      <c r="IN8" s="32"/>
      <c r="IO8" s="72" t="str">
        <f t="array" ref="IO8">IFERROR(IF(XLOOKUP(CONCAT(IM8,IN8),'MASTER PLAN'!$AB:$AB,'MASTER PLAN'!$J:$J,0,0)=0,"",XLOOKUP(CONCAT(IM8,IN8),'MASTER PLAN'!$AB:$AB,'MASTER PLAN'!$J:$J,0,0)),"")</f>
        <v/>
      </c>
      <c r="IP8" s="73" t="str">
        <f t="array" ref="IP8">IFERROR(IF(XLOOKUP(CONCAT(IM8,IN8),'PROCESOS PRD'!$J:$J,'PROCESOS PRD'!$H:$H,0,0)=0,"",XLOOKUP(CONCAT(IM8,IN8),'PROCESOS PRD'!$J:$J,'PROCESOS PRD'!$H:$H,0,0)),"")</f>
        <v/>
      </c>
      <c r="IQ8" s="71"/>
      <c r="IR8" s="32"/>
      <c r="IS8" s="72" t="str">
        <f t="array" ref="IS8">IFERROR(IF(XLOOKUP(CONCAT(IQ8,IR8),'MASTER PLAN'!$AB:$AB,'MASTER PLAN'!$J:$J,0,0)=0,"",XLOOKUP(CONCAT(IQ8,IR8),'MASTER PLAN'!$AB:$AB,'MASTER PLAN'!$J:$J,0,0)),"")</f>
        <v/>
      </c>
      <c r="IT8" s="73" t="str">
        <f t="array" ref="IT8">IFERROR(IF(XLOOKUP(CONCAT(IQ8,IR8),'PROCESOS PRD'!$J:$J,'PROCESOS PRD'!$H:$H,0,0)=0,"",XLOOKUP(CONCAT(IQ8,IR8),'PROCESOS PRD'!$J:$J,'PROCESOS PRD'!$H:$H,0,0)),"")</f>
        <v/>
      </c>
      <c r="IU8" s="71"/>
      <c r="IV8" s="32"/>
      <c r="IW8" s="72" t="str">
        <f t="array" ref="IW8">IFERROR(IF(XLOOKUP(CONCAT(IU8,IV8),'MASTER PLAN'!$AB:$AB,'MASTER PLAN'!$J:$J,0,0)=0,"",XLOOKUP(CONCAT(IU8,IV8),'MASTER PLAN'!$AB:$AB,'MASTER PLAN'!$J:$J,0,0)),"")</f>
        <v/>
      </c>
      <c r="IX8" s="73" t="str">
        <f t="array" ref="IX8">IFERROR(IF(XLOOKUP(CONCAT(IU8,IV8),'PROCESOS PRD'!$J:$J,'PROCESOS PRD'!$H:$H,0,0)=0,"",XLOOKUP(CONCAT(IU8,IV8),'PROCESOS PRD'!$J:$J,'PROCESOS PRD'!$H:$H,0,0)),"")</f>
        <v/>
      </c>
      <c r="IY8" s="71"/>
      <c r="IZ8" s="32"/>
      <c r="JA8" s="72" t="str">
        <f t="array" ref="JA8">IFERROR(IF(XLOOKUP(CONCAT(IY8,IZ8),'MASTER PLAN'!$AB:$AB,'MASTER PLAN'!$J:$J,0,0)=0,"",XLOOKUP(CONCAT(IY8,IZ8),'MASTER PLAN'!$AB:$AB,'MASTER PLAN'!$J:$J,0,0)),"")</f>
        <v/>
      </c>
      <c r="JB8" s="73" t="str">
        <f t="array" ref="JB8">IFERROR(IF(XLOOKUP(CONCAT(IY8,IZ8),'PROCESOS PRD'!$J:$J,'PROCESOS PRD'!$H:$H,0,0)=0,"",XLOOKUP(CONCAT(IY8,IZ8),'PROCESOS PRD'!$J:$J,'PROCESOS PRD'!$H:$H,0,0)),"")</f>
        <v/>
      </c>
      <c r="JC8" s="71"/>
      <c r="JD8" s="32"/>
      <c r="JE8" s="72" t="str">
        <f t="array" ref="JE8">IFERROR(IF(XLOOKUP(CONCAT(JC8,JD8),'MASTER PLAN'!$AB:$AB,'MASTER PLAN'!$J:$J,0,0)=0,"",XLOOKUP(CONCAT(JC8,JD8),'MASTER PLAN'!$AB:$AB,'MASTER PLAN'!$J:$J,0,0)),"")</f>
        <v/>
      </c>
      <c r="JF8" s="73" t="str">
        <f t="array" ref="JF8">IFERROR(IF(XLOOKUP(CONCAT(JC8,JD8),'PROCESOS PRD'!$J:$J,'PROCESOS PRD'!$H:$H,0,0)=0,"",XLOOKUP(CONCAT(JC8,JD8),'PROCESOS PRD'!$J:$J,'PROCESOS PRD'!$H:$H,0,0)),"")</f>
        <v/>
      </c>
      <c r="JG8" s="71"/>
      <c r="JH8" s="32"/>
      <c r="JI8" s="72" t="str">
        <f t="array" ref="JI8">IFERROR(IF(XLOOKUP(CONCAT(JG8,JH8),'MASTER PLAN'!$AB:$AB,'MASTER PLAN'!$J:$J,0,0)=0,"",XLOOKUP(CONCAT(JG8,JH8),'MASTER PLAN'!$AB:$AB,'MASTER PLAN'!$J:$J,0,0)),"")</f>
        <v/>
      </c>
      <c r="JJ8" s="73" t="str">
        <f t="array" ref="JJ8">IFERROR(IF(XLOOKUP(CONCAT(JG8,JH8),'PROCESOS PRD'!$J:$J,'PROCESOS PRD'!$H:$H,0,0)=0,"",XLOOKUP(CONCAT(JG8,JH8),'PROCESOS PRD'!$J:$J,'PROCESOS PRD'!$H:$H,0,0)),"")</f>
        <v/>
      </c>
      <c r="JK8" s="70"/>
      <c r="JL8" s="71"/>
      <c r="JM8" s="32"/>
      <c r="JN8" s="72" t="str">
        <f t="array" ref="JN8">IFERROR(IF(XLOOKUP(CONCAT(JL8,JM8),'MASTER PLAN'!$AB:$AB,'MASTER PLAN'!$J:$J,0,0)=0,"",XLOOKUP(CONCAT(JL8,JM8),'MASTER PLAN'!$AB:$AB,'MASTER PLAN'!$J:$J,0,0)),"")</f>
        <v/>
      </c>
      <c r="JO8" s="73" t="str">
        <f t="array" ref="JO8">IFERROR(IF(XLOOKUP(CONCAT(JL8,JM8),'PROCESOS PRD'!$J:$J,'PROCESOS PRD'!$H:$H,0,0)=0,"",XLOOKUP(CONCAT(JL8,JM8),'PROCESOS PRD'!$J:$J,'PROCESOS PRD'!$H:$H,0,0)),"")</f>
        <v/>
      </c>
      <c r="JP8" s="71"/>
      <c r="JQ8" s="32"/>
      <c r="JR8" s="72" t="str">
        <f t="array" ref="JR8">IFERROR(IF(XLOOKUP(CONCAT(JP8,JQ8),'MASTER PLAN'!$AB:$AB,'MASTER PLAN'!$J:$J,0,0)=0,"",XLOOKUP(CONCAT(JP8,JQ8),'MASTER PLAN'!$AB:$AB,'MASTER PLAN'!$J:$J,0,0)),"")</f>
        <v/>
      </c>
      <c r="JS8" s="73" t="str">
        <f t="array" ref="JS8">IFERROR(IF(XLOOKUP(CONCAT(JP8,JQ8),'PROCESOS PRD'!$J:$J,'PROCESOS PRD'!$H:$H,0,0)=0,"",XLOOKUP(CONCAT(JP8,JQ8),'PROCESOS PRD'!$J:$J,'PROCESOS PRD'!$H:$H,0,0)),"")</f>
        <v/>
      </c>
      <c r="JT8" s="71"/>
      <c r="JU8" s="32"/>
      <c r="JV8" s="72" t="str">
        <f t="array" ref="JV8">IFERROR(IF(XLOOKUP(CONCAT(JT8,JU8),'MASTER PLAN'!$AB:$AB,'MASTER PLAN'!$J:$J,0,0)=0,"",XLOOKUP(CONCAT(JT8,JU8),'MASTER PLAN'!$AB:$AB,'MASTER PLAN'!$J:$J,0,0)),"")</f>
        <v/>
      </c>
      <c r="JW8" s="73" t="str">
        <f t="array" ref="JW8">IFERROR(IF(XLOOKUP(CONCAT(JT8,JU8),'PROCESOS PRD'!$J:$J,'PROCESOS PRD'!$H:$H,0,0)=0,"",XLOOKUP(CONCAT(JT8,JU8),'PROCESOS PRD'!$J:$J,'PROCESOS PRD'!$H:$H,0,0)),"")</f>
        <v/>
      </c>
      <c r="JX8" s="71"/>
      <c r="JY8" s="32"/>
      <c r="JZ8" s="72" t="str">
        <f t="array" ref="JZ8">IFERROR(IF(XLOOKUP(CONCAT(JX8,JY8),'MASTER PLAN'!$AB:$AB,'MASTER PLAN'!$J:$J,0,0)=0,"",XLOOKUP(CONCAT(JX8,JY8),'MASTER PLAN'!$AB:$AB,'MASTER PLAN'!$J:$J,0,0)),"")</f>
        <v/>
      </c>
      <c r="KA8" s="73" t="str">
        <f t="array" ref="KA8">IFERROR(IF(XLOOKUP(CONCAT(JX8,JY8),'PROCESOS PRD'!$J:$J,'PROCESOS PRD'!$H:$H,0,0)=0,"",XLOOKUP(CONCAT(JX8,JY8),'PROCESOS PRD'!$J:$J,'PROCESOS PRD'!$H:$H,0,0)),"")</f>
        <v/>
      </c>
      <c r="KB8" s="71"/>
      <c r="KC8" s="32"/>
      <c r="KD8" s="72" t="str">
        <f t="array" ref="KD8">IFERROR(IF(XLOOKUP(CONCAT(KB8,KC8),'MASTER PLAN'!$AB:$AB,'MASTER PLAN'!$J:$J,0,0)=0,"",XLOOKUP(CONCAT(KB8,KC8),'MASTER PLAN'!$AB:$AB,'MASTER PLAN'!$J:$J,0,0)),"")</f>
        <v/>
      </c>
      <c r="KE8" s="73" t="str">
        <f t="array" ref="KE8">IFERROR(IF(XLOOKUP(CONCAT(KB8,KC8),'PROCESOS PRD'!$J:$J,'PROCESOS PRD'!$H:$H,0,0)=0,"",XLOOKUP(CONCAT(KB8,KC8),'PROCESOS PRD'!$J:$J,'PROCESOS PRD'!$H:$H,0,0)),"")</f>
        <v/>
      </c>
      <c r="KF8" s="71"/>
      <c r="KG8" s="32"/>
      <c r="KH8" s="72" t="str">
        <f t="array" ref="KH8">IFERROR(IF(XLOOKUP(CONCAT(KF8,KG8),'MASTER PLAN'!$AB:$AB,'MASTER PLAN'!$J:$J,0,0)=0,"",XLOOKUP(CONCAT(KF8,KG8),'MASTER PLAN'!$AB:$AB,'MASTER PLAN'!$J:$J,0,0)),"")</f>
        <v/>
      </c>
      <c r="KI8" s="73" t="str">
        <f t="array" ref="KI8">IFERROR(IF(XLOOKUP(CONCAT(KF8,KG8),'PROCESOS PRD'!$J:$J,'PROCESOS PRD'!$H:$H,0,0)=0,"",XLOOKUP(CONCAT(KF8,KG8),'PROCESOS PRD'!$J:$J,'PROCESOS PRD'!$H:$H,0,0)),"")</f>
        <v/>
      </c>
      <c r="KJ8" s="70"/>
      <c r="KK8" s="70"/>
      <c r="KL8" s="70"/>
      <c r="KM8" s="70"/>
      <c r="KN8" s="70"/>
      <c r="KO8" s="70"/>
      <c r="KP8" s="70"/>
      <c r="KQ8" s="70"/>
      <c r="KR8" s="70"/>
      <c r="KS8" s="70"/>
      <c r="KT8" s="70"/>
      <c r="KU8" s="70"/>
      <c r="KV8" s="70"/>
      <c r="KW8" s="70"/>
      <c r="KX8" s="70"/>
      <c r="KY8" s="70"/>
      <c r="KZ8" s="70"/>
      <c r="LA8" s="70"/>
      <c r="LB8" s="70"/>
      <c r="LC8" s="70"/>
    </row>
    <row r="9">
      <c r="A9" s="42"/>
      <c r="B9" s="74"/>
      <c r="C9" s="69"/>
      <c r="D9" s="70"/>
      <c r="E9" s="71"/>
      <c r="F9" s="32"/>
      <c r="G9" s="72" t="str">
        <f t="array" ref="G9">IFERROR(IF(XLOOKUP(CONCAT(E9,F9),'MASTER PLAN'!$AB:$AB,'MASTER PLAN'!$J:$J,0,0)=0,"",XLOOKUP(CONCAT(E9,F9),'MASTER PLAN'!$AB:$AB,'MASTER PLAN'!$J:$J,0,0)),"")</f>
        <v/>
      </c>
      <c r="H9" s="73" t="str">
        <f t="array" ref="H9">IFERROR(IF(XLOOKUP(CONCAT(E9,F9),'PROCESOS PRD'!$J:$J,'PROCESOS PRD'!$H:$H,0,0)=0,"",XLOOKUP(CONCAT(E9,F9),'PROCESOS PRD'!$J:$J,'PROCESOS PRD'!$H:$H,0,0)),"")</f>
        <v/>
      </c>
      <c r="I9" s="71"/>
      <c r="J9" s="32"/>
      <c r="K9" s="72" t="str">
        <f t="array" ref="K9">IFERROR(IF(XLOOKUP(CONCAT(I9,J9),'MASTER PLAN'!$AB:$AB,'MASTER PLAN'!$J:$J,0,0)=0,"",XLOOKUP(CONCAT(I9,J9),'MASTER PLAN'!$AB:$AB,'MASTER PLAN'!$J:$J,0,0)),"")</f>
        <v/>
      </c>
      <c r="L9" s="73" t="str">
        <f t="array" ref="L9">IFERROR(IF(XLOOKUP(CONCAT(I9,J9),'PROCESOS PRD'!$J:$J,'PROCESOS PRD'!$H:$H,0,0)=0,"",XLOOKUP(CONCAT(I9,J9),'PROCESOS PRD'!$J:$J,'PROCESOS PRD'!$H:$H,0,0)),"")</f>
        <v/>
      </c>
      <c r="M9" s="71"/>
      <c r="N9" s="32"/>
      <c r="O9" s="72" t="str">
        <f t="array" ref="O9">IFERROR(IF(XLOOKUP(CONCAT(M9,N9),'MASTER PLAN'!$AB:$AB,'MASTER PLAN'!$J:$J,0,0)=0,"",XLOOKUP(CONCAT(M9,N9),'MASTER PLAN'!$AB:$AB,'MASTER PLAN'!$J:$J,0,0)),"")</f>
        <v/>
      </c>
      <c r="P9" s="73" t="str">
        <f t="array" ref="P9">IFERROR(IF(XLOOKUP(CONCAT(M9,N9),'PROCESOS PRD'!$J:$J,'PROCESOS PRD'!$H:$H,0,0)=0,"",XLOOKUP(CONCAT(M9,N9),'PROCESOS PRD'!$J:$J,'PROCESOS PRD'!$H:$H,0,0)),"")</f>
        <v/>
      </c>
      <c r="Q9" s="71"/>
      <c r="R9" s="32"/>
      <c r="S9" s="72" t="str">
        <f t="array" ref="S9">IFERROR(IF(XLOOKUP(CONCAT(Q9,R9),'MASTER PLAN'!$AB:$AB,'MASTER PLAN'!$J:$J,0,0)=0,"",XLOOKUP(CONCAT(Q9,R9),'MASTER PLAN'!$AB:$AB,'MASTER PLAN'!$J:$J,0,0)),"")</f>
        <v/>
      </c>
      <c r="T9" s="73" t="str">
        <f t="array" ref="T9">IFERROR(IF(XLOOKUP(CONCAT(Q9,R9),'PROCESOS PRD'!$J:$J,'PROCESOS PRD'!$H:$H,0,0)=0,"",XLOOKUP(CONCAT(Q9,R9),'PROCESOS PRD'!$J:$J,'PROCESOS PRD'!$H:$H,0,0)),"")</f>
        <v/>
      </c>
      <c r="U9" s="70"/>
      <c r="V9" s="71"/>
      <c r="W9" s="32"/>
      <c r="X9" s="72" t="str">
        <f t="array" ref="X9">IFERROR(IF(XLOOKUP(CONCAT(V9,W9),'MASTER PLAN'!$AB:$AB,'MASTER PLAN'!$J:$J,0,0)=0,"",XLOOKUP(CONCAT(V9,W9),'MASTER PLAN'!$AB:$AB,'MASTER PLAN'!$J:$J,0,0)),"")</f>
        <v/>
      </c>
      <c r="Y9" s="73" t="str">
        <f t="array" ref="Y9">IFERROR(IF(XLOOKUP(CONCAT(V9,W9),'PROCESOS PRD'!$J:$J,'PROCESOS PRD'!$H:$H,0,0)=0,"",XLOOKUP(CONCAT(V9,W9),'PROCESOS PRD'!$J:$J,'PROCESOS PRD'!$H:$H,0,0)),"")</f>
        <v/>
      </c>
      <c r="Z9" s="71"/>
      <c r="AA9" s="32"/>
      <c r="AB9" s="72" t="str">
        <f t="array" ref="AB9">IFERROR(IF(XLOOKUP(CONCAT(Z9,AA9),'MASTER PLAN'!$AB:$AB,'MASTER PLAN'!$J:$J,0,0)=0,"",XLOOKUP(CONCAT(Z9,AA9),'MASTER PLAN'!$AB:$AB,'MASTER PLAN'!$J:$J,0,0)),"")</f>
        <v/>
      </c>
      <c r="AC9" s="73" t="str">
        <f t="array" ref="AC9">IFERROR(IF(XLOOKUP(CONCAT(Z9,AA9),'PROCESOS PRD'!$J:$J,'PROCESOS PRD'!$H:$H,0,0)=0,"",XLOOKUP(CONCAT(Z9,AA9),'PROCESOS PRD'!$J:$J,'PROCESOS PRD'!$H:$H,0,0)),"")</f>
        <v/>
      </c>
      <c r="AD9" s="71"/>
      <c r="AE9" s="32"/>
      <c r="AF9" s="72" t="str">
        <f t="array" ref="AF9">IFERROR(IF(XLOOKUP(CONCAT(AD9,AE9),'MASTER PLAN'!$AB:$AB,'MASTER PLAN'!$J:$J,0,0)=0,"",XLOOKUP(CONCAT(AD9,AE9),'MASTER PLAN'!$AB:$AB,'MASTER PLAN'!$J:$J,0,0)),"")</f>
        <v/>
      </c>
      <c r="AG9" s="73" t="str">
        <f t="array" ref="AG9">IFERROR(IF(XLOOKUP(CONCAT(AD9,AE9),'PROCESOS PRD'!$J:$J,'PROCESOS PRD'!$H:$H,0,0)=0,"",XLOOKUP(CONCAT(AD9,AE9),'PROCESOS PRD'!$J:$J,'PROCESOS PRD'!$H:$H,0,0)),"")</f>
        <v/>
      </c>
      <c r="AH9" s="71"/>
      <c r="AI9" s="32"/>
      <c r="AJ9" s="72" t="str">
        <f t="array" ref="AJ9">IFERROR(IF(XLOOKUP(CONCAT(AH9,AI9),'MASTER PLAN'!$AB:$AB,'MASTER PLAN'!$J:$J,0,0)=0,"",XLOOKUP(CONCAT(AH9,AI9),'MASTER PLAN'!$AB:$AB,'MASTER PLAN'!$J:$J,0,0)),"")</f>
        <v/>
      </c>
      <c r="AK9" s="73" t="str">
        <f t="array" ref="AK9">IFERROR(IF(XLOOKUP(CONCAT(AH9,AI9),'PROCESOS PRD'!$J:$J,'PROCESOS PRD'!$H:$H,0,0)=0,"",XLOOKUP(CONCAT(AH9,AI9),'PROCESOS PRD'!$J:$J,'PROCESOS PRD'!$H:$H,0,0)),"")</f>
        <v/>
      </c>
      <c r="AL9" s="71">
        <v>1.402049321E9</v>
      </c>
      <c r="AM9" s="32">
        <v>10.0</v>
      </c>
      <c r="AN9" s="72" t="str">
        <f t="array" ref="AN9">IFERROR(IF(XLOOKUP(CONCAT(AL9,AM9),'MASTER PLAN'!$AB:$AB,'MASTER PLAN'!$J:$J,0,0)=0,"",XLOOKUP(CONCAT(AL9,AM9),'MASTER PLAN'!$AB:$AB,'MASTER PLAN'!$J:$J,0,0)),"")</f>
        <v>BOLSA BRILLANTI 6-5"X3-5"X6-5"</v>
      </c>
      <c r="AO9" s="73">
        <f t="array" ref="AO9">IFERROR(IF(XLOOKUP(CONCAT(AL9,AM9),'PROCESOS PRD'!$J:$J,'PROCESOS PRD'!$H:$H,0,0)=0,"",XLOOKUP(CONCAT(AL9,AM9),'PROCESOS PRD'!$J:$J,'PROCESOS PRD'!$H:$H,0,0)),"")</f>
        <v>3000</v>
      </c>
      <c r="AP9" s="71"/>
      <c r="AQ9" s="32"/>
      <c r="AR9" s="72" t="str">
        <f t="array" ref="AR9">IFERROR(IF(XLOOKUP(CONCAT(AP9,AQ9),'MASTER PLAN'!$AB:$AB,'MASTER PLAN'!$J:$J,0,0)=0,"",XLOOKUP(CONCAT(AP9,AQ9),'MASTER PLAN'!$AB:$AB,'MASTER PLAN'!$J:$J,0,0)),"")</f>
        <v/>
      </c>
      <c r="AS9" s="73" t="str">
        <f t="array" ref="AS9">IFERROR(IF(XLOOKUP(CONCAT(AP9,AQ9),'PROCESOS PRD'!$J:$J,'PROCESOS PRD'!$H:$H,0,0)=0,"",XLOOKUP(CONCAT(AP9,AQ9),'PROCESOS PRD'!$J:$J,'PROCESOS PRD'!$H:$H,0,0)),"")</f>
        <v/>
      </c>
      <c r="AT9" s="70"/>
      <c r="AU9" s="71"/>
      <c r="AV9" s="32"/>
      <c r="AW9" s="72" t="str">
        <f t="array" ref="AW9">IFERROR(IF(XLOOKUP(CONCAT(AU9,AV9),'MASTER PLAN'!$AB:$AB,'MASTER PLAN'!$J:$J,0,0)=0,"",XLOOKUP(CONCAT(AU9,AV9),'MASTER PLAN'!$AB:$AB,'MASTER PLAN'!$J:$J,0,0)),"")</f>
        <v/>
      </c>
      <c r="AX9" s="73" t="str">
        <f t="array" ref="AX9">IFERROR(IF(XLOOKUP(CONCAT(AU9,AV9),'PROCESOS PRD'!$J:$J,'PROCESOS PRD'!$H:$H,0,0)=0,"",XLOOKUP(CONCAT(AU9,AV9),'PROCESOS PRD'!$J:$J,'PROCESOS PRD'!$H:$H,0,0)),"")</f>
        <v/>
      </c>
      <c r="AY9" s="71"/>
      <c r="AZ9" s="32"/>
      <c r="BA9" s="72" t="str">
        <f t="array" ref="BA9">IFERROR(IF(XLOOKUP(CONCAT(AY9,AZ9),'MASTER PLAN'!$AB:$AB,'MASTER PLAN'!$J:$J,0,0)=0,"",XLOOKUP(CONCAT(AY9,AZ9),'MASTER PLAN'!$AB:$AB,'MASTER PLAN'!$J:$J,0,0)),"")</f>
        <v/>
      </c>
      <c r="BB9" s="73" t="str">
        <f t="array" ref="BB9">IFERROR(IF(XLOOKUP(CONCAT(AY9,AZ9),'PROCESOS PRD'!$J:$J,'PROCESOS PRD'!$H:$H,0,0)=0,"",XLOOKUP(CONCAT(AY9,AZ9),'PROCESOS PRD'!$J:$J,'PROCESOS PRD'!$H:$H,0,0)),"")</f>
        <v/>
      </c>
      <c r="BC9" s="71"/>
      <c r="BD9" s="32"/>
      <c r="BE9" s="72" t="str">
        <f t="array" ref="BE9">IFERROR(IF(XLOOKUP(CONCAT(BC9,BD9),'MASTER PLAN'!$AB:$AB,'MASTER PLAN'!$J:$J,0,0)=0,"",XLOOKUP(CONCAT(BC9,BD9),'MASTER PLAN'!$AB:$AB,'MASTER PLAN'!$J:$J,0,0)),"")</f>
        <v/>
      </c>
      <c r="BF9" s="73" t="str">
        <f t="array" ref="BF9">IFERROR(IF(XLOOKUP(CONCAT(BC9,BD9),'PROCESOS PRD'!$J:$J,'PROCESOS PRD'!$H:$H,0,0)=0,"",XLOOKUP(CONCAT(BC9,BD9),'PROCESOS PRD'!$J:$J,'PROCESOS PRD'!$H:$H,0,0)),"")</f>
        <v/>
      </c>
      <c r="BG9" s="71"/>
      <c r="BH9" s="32"/>
      <c r="BI9" s="72" t="str">
        <f t="array" ref="BI9">IFERROR(IF(XLOOKUP(CONCAT(BG9,BH9),'MASTER PLAN'!$AB:$AB,'MASTER PLAN'!$J:$J,0,0)=0,"",XLOOKUP(CONCAT(BG9,BH9),'MASTER PLAN'!$AB:$AB,'MASTER PLAN'!$J:$J,0,0)),"")</f>
        <v/>
      </c>
      <c r="BJ9" s="73" t="str">
        <f t="array" ref="BJ9">IFERROR(IF(XLOOKUP(CONCAT(BG9,BH9),'PROCESOS PRD'!$J:$J,'PROCESOS PRD'!$H:$H,0,0)=0,"",XLOOKUP(CONCAT(BG9,BH9),'PROCESOS PRD'!$J:$J,'PROCESOS PRD'!$H:$H,0,0)),"")</f>
        <v/>
      </c>
      <c r="BK9" s="71"/>
      <c r="BL9" s="32"/>
      <c r="BM9" s="72" t="str">
        <f t="array" ref="BM9">IFERROR(IF(XLOOKUP(CONCAT(BK9,BL9),'MASTER PLAN'!$AB:$AB,'MASTER PLAN'!$J:$J,0,0)=0,"",XLOOKUP(CONCAT(BK9,BL9),'MASTER PLAN'!$AB:$AB,'MASTER PLAN'!$J:$J,0,0)),"")</f>
        <v/>
      </c>
      <c r="BN9" s="73" t="str">
        <f t="array" ref="BN9">IFERROR(IF(XLOOKUP(CONCAT(BK9,BL9),'PROCESOS PRD'!$J:$J,'PROCESOS PRD'!$H:$H,0,0)=0,"",XLOOKUP(CONCAT(BK9,BL9),'PROCESOS PRD'!$J:$J,'PROCESOS PRD'!$H:$H,0,0)),"")</f>
        <v/>
      </c>
      <c r="BO9" s="71"/>
      <c r="BP9" s="32"/>
      <c r="BQ9" s="72" t="str">
        <f t="array" ref="BQ9">IFERROR(IF(XLOOKUP(CONCAT(BO9,BP9),'MASTER PLAN'!$AB:$AB,'MASTER PLAN'!$J:$J,0,0)=0,"",XLOOKUP(CONCAT(BO9,BP9),'MASTER PLAN'!$AB:$AB,'MASTER PLAN'!$J:$J,0,0)),"")</f>
        <v/>
      </c>
      <c r="BR9" s="73" t="str">
        <f t="array" ref="BR9">IFERROR(IF(XLOOKUP(CONCAT(BO9,BP9),'PROCESOS PRD'!$J:$J,'PROCESOS PRD'!$H:$H,0,0)=0,"",XLOOKUP(CONCAT(BO9,BP9),'PROCESOS PRD'!$J:$J,'PROCESOS PRD'!$H:$H,0,0)),"")</f>
        <v/>
      </c>
      <c r="BS9" s="70"/>
      <c r="BT9" s="71"/>
      <c r="BU9" s="32"/>
      <c r="BV9" s="72" t="str">
        <f t="array" ref="BV9">IFERROR(IF(XLOOKUP(CONCAT(BT9,BU9),'MASTER PLAN'!$AB:$AB,'MASTER PLAN'!$J:$J,0,0)=0,"",XLOOKUP(CONCAT(BT9,BU9),'MASTER PLAN'!$AB:$AB,'MASTER PLAN'!$J:$J,0,0)),"")</f>
        <v/>
      </c>
      <c r="BW9" s="73" t="str">
        <f t="array" ref="BW9">IFERROR(IF(XLOOKUP(CONCAT(BT9,BU9),'PROCESOS PRD'!$J:$J,'PROCESOS PRD'!$H:$H,0,0)=0,"",XLOOKUP(CONCAT(BT9,BU9),'PROCESOS PRD'!$J:$J,'PROCESOS PRD'!$H:$H,0,0)),"")</f>
        <v/>
      </c>
      <c r="BX9" s="71"/>
      <c r="BY9" s="32"/>
      <c r="BZ9" s="72" t="str">
        <f t="array" ref="BZ9">IFERROR(IF(XLOOKUP(CONCAT(BX9,BY9),'MASTER PLAN'!$AB:$AB,'MASTER PLAN'!$J:$J,0,0)=0,"",XLOOKUP(CONCAT(BX9,BY9),'MASTER PLAN'!$AB:$AB,'MASTER PLAN'!$J:$J,0,0)),"")</f>
        <v/>
      </c>
      <c r="CA9" s="73" t="str">
        <f t="array" ref="CA9">IFERROR(IF(XLOOKUP(CONCAT(BX9,BY9),'PROCESOS PRD'!$J:$J,'PROCESOS PRD'!$H:$H,0,0)=0,"",XLOOKUP(CONCAT(BX9,BY9),'PROCESOS PRD'!$J:$J,'PROCESOS PRD'!$H:$H,0,0)),"")</f>
        <v/>
      </c>
      <c r="CB9" s="71"/>
      <c r="CC9" s="32"/>
      <c r="CD9" s="72" t="str">
        <f t="array" ref="CD9">IFERROR(IF(XLOOKUP(CONCAT(CB9,CC9),'MASTER PLAN'!$AB:$AB,'MASTER PLAN'!$J:$J,0,0)=0,"",XLOOKUP(CONCAT(CB9,CC9),'MASTER PLAN'!$AB:$AB,'MASTER PLAN'!$J:$J,0,0)),"")</f>
        <v/>
      </c>
      <c r="CE9" s="73" t="str">
        <f t="array" ref="CE9">IFERROR(IF(XLOOKUP(CONCAT(CB9,CC9),'PROCESOS PRD'!$J:$J,'PROCESOS PRD'!$H:$H,0,0)=0,"",XLOOKUP(CONCAT(CB9,CC9),'PROCESOS PRD'!$J:$J,'PROCESOS PRD'!$H:$H,0,0)),"")</f>
        <v/>
      </c>
      <c r="CF9" s="71"/>
      <c r="CG9" s="32"/>
      <c r="CH9" s="72" t="str">
        <f t="array" ref="CH9">IFERROR(IF(XLOOKUP(CONCAT(CF9,CG9),'MASTER PLAN'!$AB:$AB,'MASTER PLAN'!$J:$J,0,0)=0,"",XLOOKUP(CONCAT(CF9,CG9),'MASTER PLAN'!$AB:$AB,'MASTER PLAN'!$J:$J,0,0)),"")</f>
        <v/>
      </c>
      <c r="CI9" s="73" t="str">
        <f t="array" ref="CI9">IFERROR(IF(XLOOKUP(CONCAT(CF9,CG9),'PROCESOS PRD'!$J:$J,'PROCESOS PRD'!$H:$H,0,0)=0,"",XLOOKUP(CONCAT(CF9,CG9),'PROCESOS PRD'!$J:$J,'PROCESOS PRD'!$H:$H,0,0)),"")</f>
        <v/>
      </c>
      <c r="CJ9" s="71"/>
      <c r="CK9" s="32"/>
      <c r="CL9" s="72" t="str">
        <f t="array" ref="CL9">IFERROR(IF(XLOOKUP(CONCAT(CJ9,CK9),'MASTER PLAN'!$AB:$AB,'MASTER PLAN'!$J:$J,0,0)=0,"",XLOOKUP(CONCAT(CJ9,CK9),'MASTER PLAN'!$AB:$AB,'MASTER PLAN'!$J:$J,0,0)),"")</f>
        <v/>
      </c>
      <c r="CM9" s="73" t="str">
        <f t="array" ref="CM9">IFERROR(IF(XLOOKUP(CONCAT(CJ9,CK9),'PROCESOS PRD'!$J:$J,'PROCESOS PRD'!$H:$H,0,0)=0,"",XLOOKUP(CONCAT(CJ9,CK9),'PROCESOS PRD'!$J:$J,'PROCESOS PRD'!$H:$H,0,0)),"")</f>
        <v/>
      </c>
      <c r="CN9" s="71"/>
      <c r="CO9" s="32"/>
      <c r="CP9" s="72" t="str">
        <f t="array" ref="CP9">IFERROR(IF(XLOOKUP(CONCAT(CN9,CO9),'MASTER PLAN'!$AB:$AB,'MASTER PLAN'!$J:$J,0,0)=0,"",XLOOKUP(CONCAT(CN9,CO9),'MASTER PLAN'!$AB:$AB,'MASTER PLAN'!$J:$J,0,0)),"")</f>
        <v/>
      </c>
      <c r="CQ9" s="73" t="str">
        <f t="array" ref="CQ9">IFERROR(IF(XLOOKUP(CONCAT(CN9,CO9),'PROCESOS PRD'!$J:$J,'PROCESOS PRD'!$H:$H,0,0)=0,"",XLOOKUP(CONCAT(CN9,CO9),'PROCESOS PRD'!$J:$J,'PROCESOS PRD'!$H:$H,0,0)),"")</f>
        <v/>
      </c>
      <c r="CR9" s="70"/>
      <c r="CS9" s="71"/>
      <c r="CT9" s="32"/>
      <c r="CU9" s="72" t="str">
        <f t="array" ref="CU9">IFERROR(IF(XLOOKUP(CONCAT(CS9,CT9),'MASTER PLAN'!$AB:$AB,'MASTER PLAN'!$J:$J,0,0)=0,"",XLOOKUP(CONCAT(CS9,CT9),'MASTER PLAN'!$AB:$AB,'MASTER PLAN'!$J:$J,0,0)),"")</f>
        <v/>
      </c>
      <c r="CV9" s="73" t="str">
        <f t="array" ref="CV9">IFERROR(IF(XLOOKUP(CONCAT(CS9,CT9),'PROCESOS PRD'!$J:$J,'PROCESOS PRD'!$H:$H,0,0)=0,"",XLOOKUP(CONCAT(CS9,CT9),'PROCESOS PRD'!$J:$J,'PROCESOS PRD'!$H:$H,0,0)),"")</f>
        <v/>
      </c>
      <c r="CW9" s="71"/>
      <c r="CX9" s="32"/>
      <c r="CY9" s="72" t="str">
        <f t="array" ref="CY9">IFERROR(IF(XLOOKUP(CONCAT(CW9,CX9),'MASTER PLAN'!$AB:$AB,'MASTER PLAN'!$J:$J,0,0)=0,"",XLOOKUP(CONCAT(CW9,CX9),'MASTER PLAN'!$AB:$AB,'MASTER PLAN'!$J:$J,0,0)),"")</f>
        <v/>
      </c>
      <c r="CZ9" s="73" t="str">
        <f t="array" ref="CZ9">IFERROR(IF(XLOOKUP(CONCAT(CW9,CX9),'PROCESOS PRD'!$J:$J,'PROCESOS PRD'!$H:$H,0,0)=0,"",XLOOKUP(CONCAT(CW9,CX9),'PROCESOS PRD'!$J:$J,'PROCESOS PRD'!$H:$H,0,0)),"")</f>
        <v/>
      </c>
      <c r="DA9" s="71"/>
      <c r="DB9" s="32"/>
      <c r="DC9" s="72" t="str">
        <f t="array" ref="DC9">IFERROR(IF(XLOOKUP(CONCAT(DA9,DB9),'MASTER PLAN'!$AB:$AB,'MASTER PLAN'!$J:$J,0,0)=0,"",XLOOKUP(CONCAT(DA9,DB9),'MASTER PLAN'!$AB:$AB,'MASTER PLAN'!$J:$J,0,0)),"")</f>
        <v/>
      </c>
      <c r="DD9" s="73" t="str">
        <f t="array" ref="DD9">IFERROR(IF(XLOOKUP(CONCAT(DA9,DB9),'PROCESOS PRD'!$J:$J,'PROCESOS PRD'!$H:$H,0,0)=0,"",XLOOKUP(CONCAT(DA9,DB9),'PROCESOS PRD'!$J:$J,'PROCESOS PRD'!$H:$H,0,0)),"")</f>
        <v/>
      </c>
      <c r="DE9" s="71"/>
      <c r="DF9" s="32"/>
      <c r="DG9" s="72" t="str">
        <f t="array" ref="DG9">IFERROR(IF(XLOOKUP(CONCAT(DE9,DF9),'MASTER PLAN'!$AB:$AB,'MASTER PLAN'!$J:$J,0,0)=0,"",XLOOKUP(CONCAT(DE9,DF9),'MASTER PLAN'!$AB:$AB,'MASTER PLAN'!$J:$J,0,0)),"")</f>
        <v/>
      </c>
      <c r="DH9" s="73" t="str">
        <f t="array" ref="DH9">IFERROR(IF(XLOOKUP(CONCAT(DE9,DF9),'PROCESOS PRD'!$J:$J,'PROCESOS PRD'!$H:$H,0,0)=0,"",XLOOKUP(CONCAT(DE9,DF9),'PROCESOS PRD'!$J:$J,'PROCESOS PRD'!$H:$H,0,0)),"")</f>
        <v/>
      </c>
      <c r="DI9" s="71"/>
      <c r="DJ9" s="32"/>
      <c r="DK9" s="72" t="str">
        <f t="array" ref="DK9">IFERROR(IF(XLOOKUP(CONCAT(DI9,DJ9),'MASTER PLAN'!$AB:$AB,'MASTER PLAN'!$J:$J,0,0)=0,"",XLOOKUP(CONCAT(DI9,DJ9),'MASTER PLAN'!$AB:$AB,'MASTER PLAN'!$J:$J,0,0)),"")</f>
        <v/>
      </c>
      <c r="DL9" s="73" t="str">
        <f t="array" ref="DL9">IFERROR(IF(XLOOKUP(CONCAT(DI9,DJ9),'PROCESOS PRD'!$J:$J,'PROCESOS PRD'!$H:$H,0,0)=0,"",XLOOKUP(CONCAT(DI9,DJ9),'PROCESOS PRD'!$J:$J,'PROCESOS PRD'!$H:$H,0,0)),"")</f>
        <v/>
      </c>
      <c r="DM9" s="71"/>
      <c r="DN9" s="32"/>
      <c r="DO9" s="72" t="str">
        <f t="array" ref="DO9">IFERROR(IF(XLOOKUP(CONCAT(DM9,DN9),'MASTER PLAN'!$AB:$AB,'MASTER PLAN'!$J:$J,0,0)=0,"",XLOOKUP(CONCAT(DM9,DN9),'MASTER PLAN'!$AB:$AB,'MASTER PLAN'!$J:$J,0,0)),"")</f>
        <v/>
      </c>
      <c r="DP9" s="73" t="str">
        <f t="array" ref="DP9">IFERROR(IF(XLOOKUP(CONCAT(DM9,DN9),'PROCESOS PRD'!$J:$J,'PROCESOS PRD'!$H:$H,0,0)=0,"",XLOOKUP(CONCAT(DM9,DN9),'PROCESOS PRD'!$J:$J,'PROCESOS PRD'!$H:$H,0,0)),"")</f>
        <v/>
      </c>
      <c r="DQ9" s="70"/>
      <c r="DR9" s="71"/>
      <c r="DS9" s="32"/>
      <c r="DT9" s="72" t="str">
        <f t="array" ref="DT9">IFERROR(IF(XLOOKUP(CONCAT(DR9,DS9),'MASTER PLAN'!$AB:$AB,'MASTER PLAN'!$J:$J,0,0)=0,"",XLOOKUP(CONCAT(DR9,DS9),'MASTER PLAN'!$AB:$AB,'MASTER PLAN'!$J:$J,0,0)),"")</f>
        <v/>
      </c>
      <c r="DU9" s="73" t="str">
        <f t="array" ref="DU9">IFERROR(IF(XLOOKUP(CONCAT(DR9,DS9),'PROCESOS PRD'!$J:$J,'PROCESOS PRD'!$H:$H,0,0)=0,"",XLOOKUP(CONCAT(DR9,DS9),'PROCESOS PRD'!$J:$J,'PROCESOS PRD'!$H:$H,0,0)),"")</f>
        <v/>
      </c>
      <c r="DV9" s="71"/>
      <c r="DW9" s="32"/>
      <c r="DX9" s="72" t="str">
        <f t="array" ref="DX9">IFERROR(IF(XLOOKUP(CONCAT(DV9,DW9),'MASTER PLAN'!$AB:$AB,'MASTER PLAN'!$J:$J,0,0)=0,"",XLOOKUP(CONCAT(DV9,DW9),'MASTER PLAN'!$AB:$AB,'MASTER PLAN'!$J:$J,0,0)),"")</f>
        <v/>
      </c>
      <c r="DY9" s="73" t="str">
        <f t="array" ref="DY9">IFERROR(IF(XLOOKUP(CONCAT(DV9,DW9),'PROCESOS PRD'!$J:$J,'PROCESOS PRD'!$H:$H,0,0)=0,"",XLOOKUP(CONCAT(DV9,DW9),'PROCESOS PRD'!$J:$J,'PROCESOS PRD'!$H:$H,0,0)),"")</f>
        <v/>
      </c>
      <c r="DZ9" s="71"/>
      <c r="EA9" s="32"/>
      <c r="EB9" s="72" t="str">
        <f t="array" ref="EB9">IFERROR(IF(XLOOKUP(CONCAT(DZ9,EA9),'MASTER PLAN'!$AB:$AB,'MASTER PLAN'!$J:$J,0,0)=0,"",XLOOKUP(CONCAT(DZ9,EA9),'MASTER PLAN'!$AB:$AB,'MASTER PLAN'!$J:$J,0,0)),"")</f>
        <v/>
      </c>
      <c r="EC9" s="73" t="str">
        <f t="array" ref="EC9">IFERROR(IF(XLOOKUP(CONCAT(DZ9,EA9),'PROCESOS PRD'!$J:$J,'PROCESOS PRD'!$H:$H,0,0)=0,"",XLOOKUP(CONCAT(DZ9,EA9),'PROCESOS PRD'!$J:$J,'PROCESOS PRD'!$H:$H,0,0)),"")</f>
        <v/>
      </c>
      <c r="ED9" s="71"/>
      <c r="EE9" s="32"/>
      <c r="EF9" s="72" t="str">
        <f t="array" ref="EF9">IFERROR(IF(XLOOKUP(CONCAT(ED9,EE9),'MASTER PLAN'!$AB:$AB,'MASTER PLAN'!$J:$J,0,0)=0,"",XLOOKUP(CONCAT(ED9,EE9),'MASTER PLAN'!$AB:$AB,'MASTER PLAN'!$J:$J,0,0)),"")</f>
        <v/>
      </c>
      <c r="EG9" s="73" t="str">
        <f t="array" ref="EG9">IFERROR(IF(XLOOKUP(CONCAT(ED9,EE9),'PROCESOS PRD'!$J:$J,'PROCESOS PRD'!$H:$H,0,0)=0,"",XLOOKUP(CONCAT(ED9,EE9),'PROCESOS PRD'!$J:$J,'PROCESOS PRD'!$H:$H,0,0)),"")</f>
        <v/>
      </c>
      <c r="EH9" s="71"/>
      <c r="EI9" s="32"/>
      <c r="EJ9" s="72" t="str">
        <f t="array" ref="EJ9">IFERROR(IF(XLOOKUP(CONCAT(EH9,EI9),'MASTER PLAN'!$AB:$AB,'MASTER PLAN'!$J:$J,0,0)=0,"",XLOOKUP(CONCAT(EH9,EI9),'MASTER PLAN'!$AB:$AB,'MASTER PLAN'!$J:$J,0,0)),"")</f>
        <v/>
      </c>
      <c r="EK9" s="73" t="str">
        <f t="array" ref="EK9">IFERROR(IF(XLOOKUP(CONCAT(EH9,EI9),'PROCESOS PRD'!$J:$J,'PROCESOS PRD'!$H:$H,0,0)=0,"",XLOOKUP(CONCAT(EH9,EI9),'PROCESOS PRD'!$J:$J,'PROCESOS PRD'!$H:$H,0,0)),"")</f>
        <v/>
      </c>
      <c r="EL9" s="71"/>
      <c r="EM9" s="32"/>
      <c r="EN9" s="72" t="str">
        <f t="array" ref="EN9">IFERROR(IF(XLOOKUP(CONCAT(EL9,EM9),'MASTER PLAN'!$AB:$AB,'MASTER PLAN'!$J:$J,0,0)=0,"",XLOOKUP(CONCAT(EL9,EM9),'MASTER PLAN'!$AB:$AB,'MASTER PLAN'!$J:$J,0,0)),"")</f>
        <v/>
      </c>
      <c r="EO9" s="73" t="str">
        <f t="array" ref="EO9">IFERROR(IF(XLOOKUP(CONCAT(EL9,EM9),'PROCESOS PRD'!$J:$J,'PROCESOS PRD'!$H:$H,0,0)=0,"",XLOOKUP(CONCAT(EL9,EM9),'PROCESOS PRD'!$J:$J,'PROCESOS PRD'!$H:$H,0,0)),"")</f>
        <v/>
      </c>
      <c r="EP9" s="70"/>
      <c r="EQ9" s="71"/>
      <c r="ER9" s="32"/>
      <c r="ES9" s="72" t="str">
        <f t="array" ref="ES9">IFERROR(IF(XLOOKUP(CONCAT(EQ9,ER9),'MASTER PLAN'!$AB:$AB,'MASTER PLAN'!$J:$J,0,0)=0,"",XLOOKUP(CONCAT(EQ9,ER9),'MASTER PLAN'!$AB:$AB,'MASTER PLAN'!$J:$J,0,0)),"")</f>
        <v/>
      </c>
      <c r="ET9" s="73" t="str">
        <f t="array" ref="ET9">IFERROR(IF(XLOOKUP(CONCAT(EQ9,ER9),'PROCESOS PRD'!$J:$J,'PROCESOS PRD'!$H:$H,0,0)=0,"",XLOOKUP(CONCAT(EQ9,ER9),'PROCESOS PRD'!$J:$J,'PROCESOS PRD'!$H:$H,0,0)),"")</f>
        <v/>
      </c>
      <c r="EU9" s="71"/>
      <c r="EV9" s="32"/>
      <c r="EW9" s="72" t="str">
        <f t="array" ref="EW9">IFERROR(IF(XLOOKUP(CONCAT(EU9,EV9),'MASTER PLAN'!$AB:$AB,'MASTER PLAN'!$J:$J,0,0)=0,"",XLOOKUP(CONCAT(EU9,EV9),'MASTER PLAN'!$AB:$AB,'MASTER PLAN'!$J:$J,0,0)),"")</f>
        <v/>
      </c>
      <c r="EX9" s="73" t="str">
        <f t="array" ref="EX9">IFERROR(IF(XLOOKUP(CONCAT(EU9,EV9),'PROCESOS PRD'!$J:$J,'PROCESOS PRD'!$H:$H,0,0)=0,"",XLOOKUP(CONCAT(EU9,EV9),'PROCESOS PRD'!$J:$J,'PROCESOS PRD'!$H:$H,0,0)),"")</f>
        <v/>
      </c>
      <c r="EY9" s="71"/>
      <c r="EZ9" s="32"/>
      <c r="FA9" s="72" t="str">
        <f t="array" ref="FA9">IFERROR(IF(XLOOKUP(CONCAT(EY9,EZ9),'MASTER PLAN'!$AB:$AB,'MASTER PLAN'!$J:$J,0,0)=0,"",XLOOKUP(CONCAT(EY9,EZ9),'MASTER PLAN'!$AB:$AB,'MASTER PLAN'!$J:$J,0,0)),"")</f>
        <v/>
      </c>
      <c r="FB9" s="73" t="str">
        <f t="array" ref="FB9">IFERROR(IF(XLOOKUP(CONCAT(EY9,EZ9),'PROCESOS PRD'!$J:$J,'PROCESOS PRD'!$H:$H,0,0)=0,"",XLOOKUP(CONCAT(EY9,EZ9),'PROCESOS PRD'!$J:$J,'PROCESOS PRD'!$H:$H,0,0)),"")</f>
        <v/>
      </c>
      <c r="FC9" s="71"/>
      <c r="FD9" s="32"/>
      <c r="FE9" s="72" t="str">
        <f t="array" ref="FE9">IFERROR(IF(XLOOKUP(CONCAT(FC9,FD9),'MASTER PLAN'!$AB:$AB,'MASTER PLAN'!$J:$J,0,0)=0,"",XLOOKUP(CONCAT(FC9,FD9),'MASTER PLAN'!$AB:$AB,'MASTER PLAN'!$J:$J,0,0)),"")</f>
        <v/>
      </c>
      <c r="FF9" s="73" t="str">
        <f t="array" ref="FF9">IFERROR(IF(XLOOKUP(CONCAT(FC9,FD9),'PROCESOS PRD'!$J:$J,'PROCESOS PRD'!$H:$H,0,0)=0,"",XLOOKUP(CONCAT(FC9,FD9),'PROCESOS PRD'!$J:$J,'PROCESOS PRD'!$H:$H,0,0)),"")</f>
        <v/>
      </c>
      <c r="FG9" s="71"/>
      <c r="FH9" s="32"/>
      <c r="FI9" s="72" t="str">
        <f t="array" ref="FI9">IFERROR(IF(XLOOKUP(CONCAT(FG9,FH9),'MASTER PLAN'!$AB:$AB,'MASTER PLAN'!$J:$J,0,0)=0,"",XLOOKUP(CONCAT(FG9,FH9),'MASTER PLAN'!$AB:$AB,'MASTER PLAN'!$J:$J,0,0)),"")</f>
        <v/>
      </c>
      <c r="FJ9" s="73" t="str">
        <f t="array" ref="FJ9">IFERROR(IF(XLOOKUP(CONCAT(FG9,FH9),'PROCESOS PRD'!$J:$J,'PROCESOS PRD'!$H:$H,0,0)=0,"",XLOOKUP(CONCAT(FG9,FH9),'PROCESOS PRD'!$J:$J,'PROCESOS PRD'!$H:$H,0,0)),"")</f>
        <v/>
      </c>
      <c r="FK9" s="71"/>
      <c r="FL9" s="32"/>
      <c r="FM9" s="72" t="str">
        <f t="array" ref="FM9">IFERROR(IF(XLOOKUP(CONCAT(FK9,FL9),'MASTER PLAN'!$AB:$AB,'MASTER PLAN'!$J:$J,0,0)=0,"",XLOOKUP(CONCAT(FK9,FL9),'MASTER PLAN'!$AB:$AB,'MASTER PLAN'!$J:$J,0,0)),"")</f>
        <v/>
      </c>
      <c r="FN9" s="73" t="str">
        <f t="array" ref="FN9">IFERROR(IF(XLOOKUP(CONCAT(FK9,FL9),'PROCESOS PRD'!$J:$J,'PROCESOS PRD'!$H:$H,0,0)=0,"",XLOOKUP(CONCAT(FK9,FL9),'PROCESOS PRD'!$J:$J,'PROCESOS PRD'!$H:$H,0,0)),"")</f>
        <v/>
      </c>
      <c r="FO9" s="70"/>
      <c r="FP9" s="71"/>
      <c r="FQ9" s="32"/>
      <c r="FR9" s="72" t="str">
        <f t="array" ref="FR9">IFERROR(IF(XLOOKUP(CONCAT(FP9,FQ9),'MASTER PLAN'!$AB:$AB,'MASTER PLAN'!$J:$J,0,0)=0,"",XLOOKUP(CONCAT(FP9,FQ9),'MASTER PLAN'!$AB:$AB,'MASTER PLAN'!$J:$J,0,0)),"")</f>
        <v/>
      </c>
      <c r="FS9" s="73" t="str">
        <f t="array" ref="FS9">IFERROR(IF(XLOOKUP(CONCAT(FP9,FQ9),'PROCESOS PRD'!$J:$J,'PROCESOS PRD'!$H:$H,0,0)=0,"",XLOOKUP(CONCAT(FP9,FQ9),'PROCESOS PRD'!$J:$J,'PROCESOS PRD'!$H:$H,0,0)),"")</f>
        <v/>
      </c>
      <c r="FT9" s="71"/>
      <c r="FU9" s="32"/>
      <c r="FV9" s="72" t="str">
        <f t="array" ref="FV9">IFERROR(IF(XLOOKUP(CONCAT(FT9,FU9),'MASTER PLAN'!$AB:$AB,'MASTER PLAN'!$J:$J,0,0)=0,"",XLOOKUP(CONCAT(FT9,FU9),'MASTER PLAN'!$AB:$AB,'MASTER PLAN'!$J:$J,0,0)),"")</f>
        <v/>
      </c>
      <c r="FW9" s="73" t="str">
        <f t="array" ref="FW9">IFERROR(IF(XLOOKUP(CONCAT(FT9,FU9),'PROCESOS PRD'!$J:$J,'PROCESOS PRD'!$H:$H,0,0)=0,"",XLOOKUP(CONCAT(FT9,FU9),'PROCESOS PRD'!$J:$J,'PROCESOS PRD'!$H:$H,0,0)),"")</f>
        <v/>
      </c>
      <c r="FX9" s="71"/>
      <c r="FY9" s="32"/>
      <c r="FZ9" s="72" t="str">
        <f t="array" ref="FZ9">IFERROR(IF(XLOOKUP(CONCAT(FX9,FY9),'MASTER PLAN'!$AB:$AB,'MASTER PLAN'!$J:$J,0,0)=0,"",XLOOKUP(CONCAT(FX9,FY9),'MASTER PLAN'!$AB:$AB,'MASTER PLAN'!$J:$J,0,0)),"")</f>
        <v/>
      </c>
      <c r="GA9" s="73" t="str">
        <f t="array" ref="GA9">IFERROR(IF(XLOOKUP(CONCAT(FX9,FY9),'PROCESOS PRD'!$J:$J,'PROCESOS PRD'!$H:$H,0,0)=0,"",XLOOKUP(CONCAT(FX9,FY9),'PROCESOS PRD'!$J:$J,'PROCESOS PRD'!$H:$H,0,0)),"")</f>
        <v/>
      </c>
      <c r="GB9" s="71"/>
      <c r="GC9" s="32"/>
      <c r="GD9" s="72" t="str">
        <f t="array" ref="GD9">IFERROR(IF(XLOOKUP(CONCAT(GB9,GC9),'MASTER PLAN'!$AB:$AB,'MASTER PLAN'!$J:$J,0,0)=0,"",XLOOKUP(CONCAT(GB9,GC9),'MASTER PLAN'!$AB:$AB,'MASTER PLAN'!$J:$J,0,0)),"")</f>
        <v/>
      </c>
      <c r="GE9" s="73" t="str">
        <f t="array" ref="GE9">IFERROR(IF(XLOOKUP(CONCAT(GB9,GC9),'PROCESOS PRD'!$J:$J,'PROCESOS PRD'!$H:$H,0,0)=0,"",XLOOKUP(CONCAT(GB9,GC9),'PROCESOS PRD'!$J:$J,'PROCESOS PRD'!$H:$H,0,0)),"")</f>
        <v/>
      </c>
      <c r="GF9" s="71"/>
      <c r="GG9" s="32"/>
      <c r="GH9" s="72" t="str">
        <f t="array" ref="GH9">IFERROR(IF(XLOOKUP(CONCAT(GF9,GG9),'MASTER PLAN'!$AB:$AB,'MASTER PLAN'!$J:$J,0,0)=0,"",XLOOKUP(CONCAT(GF9,GG9),'MASTER PLAN'!$AB:$AB,'MASTER PLAN'!$J:$J,0,0)),"")</f>
        <v/>
      </c>
      <c r="GI9" s="73" t="str">
        <f t="array" ref="GI9">IFERROR(IF(XLOOKUP(CONCAT(GF9,GG9),'PROCESOS PRD'!$J:$J,'PROCESOS PRD'!$H:$H,0,0)=0,"",XLOOKUP(CONCAT(GF9,GG9),'PROCESOS PRD'!$J:$J,'PROCESOS PRD'!$H:$H,0,0)),"")</f>
        <v/>
      </c>
      <c r="GJ9" s="71"/>
      <c r="GK9" s="32"/>
      <c r="GL9" s="72" t="str">
        <f t="array" ref="GL9">IFERROR(IF(XLOOKUP(CONCAT(GJ9,GK9),'MASTER PLAN'!$AB:$AB,'MASTER PLAN'!$J:$J,0,0)=0,"",XLOOKUP(CONCAT(GJ9,GK9),'MASTER PLAN'!$AB:$AB,'MASTER PLAN'!$J:$J,0,0)),"")</f>
        <v/>
      </c>
      <c r="GM9" s="73" t="str">
        <f t="array" ref="GM9">IFERROR(IF(XLOOKUP(CONCAT(GJ9,GK9),'PROCESOS PRD'!$J:$J,'PROCESOS PRD'!$H:$H,0,0)=0,"",XLOOKUP(CONCAT(GJ9,GK9),'PROCESOS PRD'!$J:$J,'PROCESOS PRD'!$H:$H,0,0)),"")</f>
        <v/>
      </c>
      <c r="GN9" s="70"/>
      <c r="GO9" s="71"/>
      <c r="GP9" s="32"/>
      <c r="GQ9" s="72" t="str">
        <f t="array" ref="GQ9">IFERROR(IF(XLOOKUP(CONCAT(GO9,GP9),'MASTER PLAN'!$AB:$AB,'MASTER PLAN'!$J:$J,0,0)=0,"",XLOOKUP(CONCAT(GO9,GP9),'MASTER PLAN'!$AB:$AB,'MASTER PLAN'!$J:$J,0,0)),"")</f>
        <v/>
      </c>
      <c r="GR9" s="73" t="str">
        <f t="array" ref="GR9">IFERROR(IF(XLOOKUP(CONCAT(GO9,GP9),'PROCESOS PRD'!$J:$J,'PROCESOS PRD'!$H:$H,0,0)=0,"",XLOOKUP(CONCAT(GO9,GP9),'PROCESOS PRD'!$J:$J,'PROCESOS PRD'!$H:$H,0,0)),"")</f>
        <v/>
      </c>
      <c r="GS9" s="71"/>
      <c r="GT9" s="32"/>
      <c r="GU9" s="72" t="str">
        <f t="array" ref="GU9">IFERROR(IF(XLOOKUP(CONCAT(GS9,GT9),'MASTER PLAN'!$AB:$AB,'MASTER PLAN'!$J:$J,0,0)=0,"",XLOOKUP(CONCAT(GS9,GT9),'MASTER PLAN'!$AB:$AB,'MASTER PLAN'!$J:$J,0,0)),"")</f>
        <v/>
      </c>
      <c r="GV9" s="73" t="str">
        <f t="array" ref="GV9">IFERROR(IF(XLOOKUP(CONCAT(GS9,GT9),'PROCESOS PRD'!$J:$J,'PROCESOS PRD'!$H:$H,0,0)=0,"",XLOOKUP(CONCAT(GS9,GT9),'PROCESOS PRD'!$J:$J,'PROCESOS PRD'!$H:$H,0,0)),"")</f>
        <v/>
      </c>
      <c r="GW9" s="71"/>
      <c r="GX9" s="32"/>
      <c r="GY9" s="72" t="str">
        <f t="array" ref="GY9">IFERROR(IF(XLOOKUP(CONCAT(GW9,GX9),'MASTER PLAN'!$AB:$AB,'MASTER PLAN'!$J:$J,0,0)=0,"",XLOOKUP(CONCAT(GW9,GX9),'MASTER PLAN'!$AB:$AB,'MASTER PLAN'!$J:$J,0,0)),"")</f>
        <v/>
      </c>
      <c r="GZ9" s="73" t="str">
        <f t="array" ref="GZ9">IFERROR(IF(XLOOKUP(CONCAT(GW9,GX9),'PROCESOS PRD'!$J:$J,'PROCESOS PRD'!$H:$H,0,0)=0,"",XLOOKUP(CONCAT(GW9,GX9),'PROCESOS PRD'!$J:$J,'PROCESOS PRD'!$H:$H,0,0)),"")</f>
        <v/>
      </c>
      <c r="HA9" s="71"/>
      <c r="HB9" s="32"/>
      <c r="HC9" s="72" t="str">
        <f t="array" ref="HC9">IFERROR(IF(XLOOKUP(CONCAT(HA9,HB9),'MASTER PLAN'!$AB:$AB,'MASTER PLAN'!$J:$J,0,0)=0,"",XLOOKUP(CONCAT(HA9,HB9),'MASTER PLAN'!$AB:$AB,'MASTER PLAN'!$J:$J,0,0)),"")</f>
        <v/>
      </c>
      <c r="HD9" s="73" t="str">
        <f t="array" ref="HD9">IFERROR(IF(XLOOKUP(CONCAT(HA9,HB9),'PROCESOS PRD'!$J:$J,'PROCESOS PRD'!$H:$H,0,0)=0,"",XLOOKUP(CONCAT(HA9,HB9),'PROCESOS PRD'!$J:$J,'PROCESOS PRD'!$H:$H,0,0)),"")</f>
        <v/>
      </c>
      <c r="HE9" s="71"/>
      <c r="HF9" s="32"/>
      <c r="HG9" s="72" t="str">
        <f t="array" ref="HG9">IFERROR(IF(XLOOKUP(CONCAT(HE9,HF9),'MASTER PLAN'!$AB:$AB,'MASTER PLAN'!$J:$J,0,0)=0,"",XLOOKUP(CONCAT(HE9,HF9),'MASTER PLAN'!$AB:$AB,'MASTER PLAN'!$J:$J,0,0)),"")</f>
        <v/>
      </c>
      <c r="HH9" s="73" t="str">
        <f t="array" ref="HH9">IFERROR(IF(XLOOKUP(CONCAT(HE9,HF9),'PROCESOS PRD'!$J:$J,'PROCESOS PRD'!$H:$H,0,0)=0,"",XLOOKUP(CONCAT(HE9,HF9),'PROCESOS PRD'!$J:$J,'PROCESOS PRD'!$H:$H,0,0)),"")</f>
        <v/>
      </c>
      <c r="HI9" s="71"/>
      <c r="HJ9" s="32"/>
      <c r="HK9" s="72" t="str">
        <f t="array" ref="HK9">IFERROR(IF(XLOOKUP(CONCAT(HI9,HJ9),'MASTER PLAN'!$AB:$AB,'MASTER PLAN'!$J:$J,0,0)=0,"",XLOOKUP(CONCAT(HI9,HJ9),'MASTER PLAN'!$AB:$AB,'MASTER PLAN'!$J:$J,0,0)),"")</f>
        <v/>
      </c>
      <c r="HL9" s="73" t="str">
        <f t="array" ref="HL9">IFERROR(IF(XLOOKUP(CONCAT(HI9,HJ9),'PROCESOS PRD'!$J:$J,'PROCESOS PRD'!$H:$H,0,0)=0,"",XLOOKUP(CONCAT(HI9,HJ9),'PROCESOS PRD'!$J:$J,'PROCESOS PRD'!$H:$H,0,0)),"")</f>
        <v/>
      </c>
      <c r="HM9" s="70"/>
      <c r="HN9" s="71"/>
      <c r="HO9" s="32"/>
      <c r="HP9" s="72" t="str">
        <f t="array" ref="HP9">IFERROR(IF(XLOOKUP(CONCAT(HN9,HO9),'MASTER PLAN'!$AB:$AB,'MASTER PLAN'!$J:$J,0,0)=0,"",XLOOKUP(CONCAT(HN9,HO9),'MASTER PLAN'!$AB:$AB,'MASTER PLAN'!$J:$J,0,0)),"")</f>
        <v/>
      </c>
      <c r="HQ9" s="73" t="str">
        <f t="array" ref="HQ9">IFERROR(IF(XLOOKUP(CONCAT(HN9,HO9),'PROCESOS PRD'!$J:$J,'PROCESOS PRD'!$H:$H,0,0)=0,"",XLOOKUP(CONCAT(HN9,HO9),'PROCESOS PRD'!$J:$J,'PROCESOS PRD'!$H:$H,0,0)),"")</f>
        <v/>
      </c>
      <c r="HR9" s="71"/>
      <c r="HS9" s="32"/>
      <c r="HT9" s="72" t="str">
        <f t="array" ref="HT9">IFERROR(IF(XLOOKUP(CONCAT(HR9,HS9),'MASTER PLAN'!$AB:$AB,'MASTER PLAN'!$J:$J,0,0)=0,"",XLOOKUP(CONCAT(HR9,HS9),'MASTER PLAN'!$AB:$AB,'MASTER PLAN'!$J:$J,0,0)),"")</f>
        <v/>
      </c>
      <c r="HU9" s="73" t="str">
        <f t="array" ref="HU9">IFERROR(IF(XLOOKUP(CONCAT(HR9,HS9),'PROCESOS PRD'!$J:$J,'PROCESOS PRD'!$H:$H,0,0)=0,"",XLOOKUP(CONCAT(HR9,HS9),'PROCESOS PRD'!$J:$J,'PROCESOS PRD'!$H:$H,0,0)),"")</f>
        <v/>
      </c>
      <c r="HV9" s="71"/>
      <c r="HW9" s="32"/>
      <c r="HX9" s="72" t="str">
        <f t="array" ref="HX9">IFERROR(IF(XLOOKUP(CONCAT(HV9,HW9),'MASTER PLAN'!$AB:$AB,'MASTER PLAN'!$J:$J,0,0)=0,"",XLOOKUP(CONCAT(HV9,HW9),'MASTER PLAN'!$AB:$AB,'MASTER PLAN'!$J:$J,0,0)),"")</f>
        <v/>
      </c>
      <c r="HY9" s="73" t="str">
        <f t="array" ref="HY9">IFERROR(IF(XLOOKUP(CONCAT(HV9,HW9),'PROCESOS PRD'!$J:$J,'PROCESOS PRD'!$H:$H,0,0)=0,"",XLOOKUP(CONCAT(HV9,HW9),'PROCESOS PRD'!$J:$J,'PROCESOS PRD'!$H:$H,0,0)),"")</f>
        <v/>
      </c>
      <c r="HZ9" s="71"/>
      <c r="IA9" s="32"/>
      <c r="IB9" s="72" t="str">
        <f t="array" ref="IB9">IFERROR(IF(XLOOKUP(CONCAT(HZ9,IA9),'MASTER PLAN'!$AB:$AB,'MASTER PLAN'!$J:$J,0,0)=0,"",XLOOKUP(CONCAT(HZ9,IA9),'MASTER PLAN'!$AB:$AB,'MASTER PLAN'!$J:$J,0,0)),"")</f>
        <v/>
      </c>
      <c r="IC9" s="73" t="str">
        <f t="array" ref="IC9">IFERROR(IF(XLOOKUP(CONCAT(HZ9,IA9),'PROCESOS PRD'!$J:$J,'PROCESOS PRD'!$H:$H,0,0)=0,"",XLOOKUP(CONCAT(HZ9,IA9),'PROCESOS PRD'!$J:$J,'PROCESOS PRD'!$H:$H,0,0)),"")</f>
        <v/>
      </c>
      <c r="ID9" s="71"/>
      <c r="IE9" s="32"/>
      <c r="IF9" s="72" t="str">
        <f t="array" ref="IF9">IFERROR(IF(XLOOKUP(CONCAT(ID9,IE9),'MASTER PLAN'!$AB:$AB,'MASTER PLAN'!$J:$J,0,0)=0,"",XLOOKUP(CONCAT(ID9,IE9),'MASTER PLAN'!$AB:$AB,'MASTER PLAN'!$J:$J,0,0)),"")</f>
        <v/>
      </c>
      <c r="IG9" s="73" t="str">
        <f t="array" ref="IG9">IFERROR(IF(XLOOKUP(CONCAT(ID9,IE9),'PROCESOS PRD'!$J:$J,'PROCESOS PRD'!$H:$H,0,0)=0,"",XLOOKUP(CONCAT(ID9,IE9),'PROCESOS PRD'!$J:$J,'PROCESOS PRD'!$H:$H,0,0)),"")</f>
        <v/>
      </c>
      <c r="IH9" s="71"/>
      <c r="II9" s="32"/>
      <c r="IJ9" s="72" t="str">
        <f t="array" ref="IJ9">IFERROR(IF(XLOOKUP(CONCAT(IH9,II9),'MASTER PLAN'!$AB:$AB,'MASTER PLAN'!$J:$J,0,0)=0,"",XLOOKUP(CONCAT(IH9,II9),'MASTER PLAN'!$AB:$AB,'MASTER PLAN'!$J:$J,0,0)),"")</f>
        <v/>
      </c>
      <c r="IK9" s="73" t="str">
        <f t="array" ref="IK9">IFERROR(IF(XLOOKUP(CONCAT(IH9,II9),'PROCESOS PRD'!$J:$J,'PROCESOS PRD'!$H:$H,0,0)=0,"",XLOOKUP(CONCAT(IH9,II9),'PROCESOS PRD'!$J:$J,'PROCESOS PRD'!$H:$H,0,0)),"")</f>
        <v/>
      </c>
      <c r="IL9" s="70"/>
      <c r="IM9" s="71"/>
      <c r="IN9" s="32"/>
      <c r="IO9" s="72" t="str">
        <f t="array" ref="IO9">IFERROR(IF(XLOOKUP(CONCAT(IM9,IN9),'MASTER PLAN'!$AB:$AB,'MASTER PLAN'!$J:$J,0,0)=0,"",XLOOKUP(CONCAT(IM9,IN9),'MASTER PLAN'!$AB:$AB,'MASTER PLAN'!$J:$J,0,0)),"")</f>
        <v/>
      </c>
      <c r="IP9" s="73" t="str">
        <f t="array" ref="IP9">IFERROR(IF(XLOOKUP(CONCAT(IM9,IN9),'PROCESOS PRD'!$J:$J,'PROCESOS PRD'!$H:$H,0,0)=0,"",XLOOKUP(CONCAT(IM9,IN9),'PROCESOS PRD'!$J:$J,'PROCESOS PRD'!$H:$H,0,0)),"")</f>
        <v/>
      </c>
      <c r="IQ9" s="71"/>
      <c r="IR9" s="32"/>
      <c r="IS9" s="72" t="str">
        <f t="array" ref="IS9">IFERROR(IF(XLOOKUP(CONCAT(IQ9,IR9),'MASTER PLAN'!$AB:$AB,'MASTER PLAN'!$J:$J,0,0)=0,"",XLOOKUP(CONCAT(IQ9,IR9),'MASTER PLAN'!$AB:$AB,'MASTER PLAN'!$J:$J,0,0)),"")</f>
        <v/>
      </c>
      <c r="IT9" s="73" t="str">
        <f t="array" ref="IT9">IFERROR(IF(XLOOKUP(CONCAT(IQ9,IR9),'PROCESOS PRD'!$J:$J,'PROCESOS PRD'!$H:$H,0,0)=0,"",XLOOKUP(CONCAT(IQ9,IR9),'PROCESOS PRD'!$J:$J,'PROCESOS PRD'!$H:$H,0,0)),"")</f>
        <v/>
      </c>
      <c r="IU9" s="71"/>
      <c r="IV9" s="32"/>
      <c r="IW9" s="72" t="str">
        <f t="array" ref="IW9">IFERROR(IF(XLOOKUP(CONCAT(IU9,IV9),'MASTER PLAN'!$AB:$AB,'MASTER PLAN'!$J:$J,0,0)=0,"",XLOOKUP(CONCAT(IU9,IV9),'MASTER PLAN'!$AB:$AB,'MASTER PLAN'!$J:$J,0,0)),"")</f>
        <v/>
      </c>
      <c r="IX9" s="73" t="str">
        <f t="array" ref="IX9">IFERROR(IF(XLOOKUP(CONCAT(IU9,IV9),'PROCESOS PRD'!$J:$J,'PROCESOS PRD'!$H:$H,0,0)=0,"",XLOOKUP(CONCAT(IU9,IV9),'PROCESOS PRD'!$J:$J,'PROCESOS PRD'!$H:$H,0,0)),"")</f>
        <v/>
      </c>
      <c r="IY9" s="71"/>
      <c r="IZ9" s="32"/>
      <c r="JA9" s="72" t="str">
        <f t="array" ref="JA9">IFERROR(IF(XLOOKUP(CONCAT(IY9,IZ9),'MASTER PLAN'!$AB:$AB,'MASTER PLAN'!$J:$J,0,0)=0,"",XLOOKUP(CONCAT(IY9,IZ9),'MASTER PLAN'!$AB:$AB,'MASTER PLAN'!$J:$J,0,0)),"")</f>
        <v/>
      </c>
      <c r="JB9" s="73" t="str">
        <f t="array" ref="JB9">IFERROR(IF(XLOOKUP(CONCAT(IY9,IZ9),'PROCESOS PRD'!$J:$J,'PROCESOS PRD'!$H:$H,0,0)=0,"",XLOOKUP(CONCAT(IY9,IZ9),'PROCESOS PRD'!$J:$J,'PROCESOS PRD'!$H:$H,0,0)),"")</f>
        <v/>
      </c>
      <c r="JC9" s="71"/>
      <c r="JD9" s="32"/>
      <c r="JE9" s="72" t="str">
        <f t="array" ref="JE9">IFERROR(IF(XLOOKUP(CONCAT(JC9,JD9),'MASTER PLAN'!$AB:$AB,'MASTER PLAN'!$J:$J,0,0)=0,"",XLOOKUP(CONCAT(JC9,JD9),'MASTER PLAN'!$AB:$AB,'MASTER PLAN'!$J:$J,0,0)),"")</f>
        <v/>
      </c>
      <c r="JF9" s="73" t="str">
        <f t="array" ref="JF9">IFERROR(IF(XLOOKUP(CONCAT(JC9,JD9),'PROCESOS PRD'!$J:$J,'PROCESOS PRD'!$H:$H,0,0)=0,"",XLOOKUP(CONCAT(JC9,JD9),'PROCESOS PRD'!$J:$J,'PROCESOS PRD'!$H:$H,0,0)),"")</f>
        <v/>
      </c>
      <c r="JG9" s="71"/>
      <c r="JH9" s="32"/>
      <c r="JI9" s="72" t="str">
        <f t="array" ref="JI9">IFERROR(IF(XLOOKUP(CONCAT(JG9,JH9),'MASTER PLAN'!$AB:$AB,'MASTER PLAN'!$J:$J,0,0)=0,"",XLOOKUP(CONCAT(JG9,JH9),'MASTER PLAN'!$AB:$AB,'MASTER PLAN'!$J:$J,0,0)),"")</f>
        <v/>
      </c>
      <c r="JJ9" s="73" t="str">
        <f t="array" ref="JJ9">IFERROR(IF(XLOOKUP(CONCAT(JG9,JH9),'PROCESOS PRD'!$J:$J,'PROCESOS PRD'!$H:$H,0,0)=0,"",XLOOKUP(CONCAT(JG9,JH9),'PROCESOS PRD'!$J:$J,'PROCESOS PRD'!$H:$H,0,0)),"")</f>
        <v/>
      </c>
      <c r="JK9" s="70"/>
      <c r="JL9" s="71"/>
      <c r="JM9" s="32"/>
      <c r="JN9" s="72" t="str">
        <f t="array" ref="JN9">IFERROR(IF(XLOOKUP(CONCAT(JL9,JM9),'MASTER PLAN'!$AB:$AB,'MASTER PLAN'!$J:$J,0,0)=0,"",XLOOKUP(CONCAT(JL9,JM9),'MASTER PLAN'!$AB:$AB,'MASTER PLAN'!$J:$J,0,0)),"")</f>
        <v/>
      </c>
      <c r="JO9" s="73" t="str">
        <f t="array" ref="JO9">IFERROR(IF(XLOOKUP(CONCAT(JL9,JM9),'PROCESOS PRD'!$J:$J,'PROCESOS PRD'!$H:$H,0,0)=0,"",XLOOKUP(CONCAT(JL9,JM9),'PROCESOS PRD'!$J:$J,'PROCESOS PRD'!$H:$H,0,0)),"")</f>
        <v/>
      </c>
      <c r="JP9" s="71"/>
      <c r="JQ9" s="32"/>
      <c r="JR9" s="72" t="str">
        <f t="array" ref="JR9">IFERROR(IF(XLOOKUP(CONCAT(JP9,JQ9),'MASTER PLAN'!$AB:$AB,'MASTER PLAN'!$J:$J,0,0)=0,"",XLOOKUP(CONCAT(JP9,JQ9),'MASTER PLAN'!$AB:$AB,'MASTER PLAN'!$J:$J,0,0)),"")</f>
        <v/>
      </c>
      <c r="JS9" s="73" t="str">
        <f t="array" ref="JS9">IFERROR(IF(XLOOKUP(CONCAT(JP9,JQ9),'PROCESOS PRD'!$J:$J,'PROCESOS PRD'!$H:$H,0,0)=0,"",XLOOKUP(CONCAT(JP9,JQ9),'PROCESOS PRD'!$J:$J,'PROCESOS PRD'!$H:$H,0,0)),"")</f>
        <v/>
      </c>
      <c r="JT9" s="71"/>
      <c r="JU9" s="32"/>
      <c r="JV9" s="72" t="str">
        <f t="array" ref="JV9">IFERROR(IF(XLOOKUP(CONCAT(JT9,JU9),'MASTER PLAN'!$AB:$AB,'MASTER PLAN'!$J:$J,0,0)=0,"",XLOOKUP(CONCAT(JT9,JU9),'MASTER PLAN'!$AB:$AB,'MASTER PLAN'!$J:$J,0,0)),"")</f>
        <v/>
      </c>
      <c r="JW9" s="73" t="str">
        <f t="array" ref="JW9">IFERROR(IF(XLOOKUP(CONCAT(JT9,JU9),'PROCESOS PRD'!$J:$J,'PROCESOS PRD'!$H:$H,0,0)=0,"",XLOOKUP(CONCAT(JT9,JU9),'PROCESOS PRD'!$J:$J,'PROCESOS PRD'!$H:$H,0,0)),"")</f>
        <v/>
      </c>
      <c r="JX9" s="71"/>
      <c r="JY9" s="32"/>
      <c r="JZ9" s="72" t="str">
        <f t="array" ref="JZ9">IFERROR(IF(XLOOKUP(CONCAT(JX9,JY9),'MASTER PLAN'!$AB:$AB,'MASTER PLAN'!$J:$J,0,0)=0,"",XLOOKUP(CONCAT(JX9,JY9),'MASTER PLAN'!$AB:$AB,'MASTER PLAN'!$J:$J,0,0)),"")</f>
        <v/>
      </c>
      <c r="KA9" s="73" t="str">
        <f t="array" ref="KA9">IFERROR(IF(XLOOKUP(CONCAT(JX9,JY9),'PROCESOS PRD'!$J:$J,'PROCESOS PRD'!$H:$H,0,0)=0,"",XLOOKUP(CONCAT(JX9,JY9),'PROCESOS PRD'!$J:$J,'PROCESOS PRD'!$H:$H,0,0)),"")</f>
        <v/>
      </c>
      <c r="KB9" s="71"/>
      <c r="KC9" s="32"/>
      <c r="KD9" s="72" t="str">
        <f t="array" ref="KD9">IFERROR(IF(XLOOKUP(CONCAT(KB9,KC9),'MASTER PLAN'!$AB:$AB,'MASTER PLAN'!$J:$J,0,0)=0,"",XLOOKUP(CONCAT(KB9,KC9),'MASTER PLAN'!$AB:$AB,'MASTER PLAN'!$J:$J,0,0)),"")</f>
        <v/>
      </c>
      <c r="KE9" s="73" t="str">
        <f t="array" ref="KE9">IFERROR(IF(XLOOKUP(CONCAT(KB9,KC9),'PROCESOS PRD'!$J:$J,'PROCESOS PRD'!$H:$H,0,0)=0,"",XLOOKUP(CONCAT(KB9,KC9),'PROCESOS PRD'!$J:$J,'PROCESOS PRD'!$H:$H,0,0)),"")</f>
        <v/>
      </c>
      <c r="KF9" s="71"/>
      <c r="KG9" s="32"/>
      <c r="KH9" s="72" t="str">
        <f t="array" ref="KH9">IFERROR(IF(XLOOKUP(CONCAT(KF9,KG9),'MASTER PLAN'!$AB:$AB,'MASTER PLAN'!$J:$J,0,0)=0,"",XLOOKUP(CONCAT(KF9,KG9),'MASTER PLAN'!$AB:$AB,'MASTER PLAN'!$J:$J,0,0)),"")</f>
        <v/>
      </c>
      <c r="KI9" s="73" t="str">
        <f t="array" ref="KI9">IFERROR(IF(XLOOKUP(CONCAT(KF9,KG9),'PROCESOS PRD'!$J:$J,'PROCESOS PRD'!$H:$H,0,0)=0,"",XLOOKUP(CONCAT(KF9,KG9),'PROCESOS PRD'!$J:$J,'PROCESOS PRD'!$H:$H,0,0)),"")</f>
        <v/>
      </c>
      <c r="KJ9" s="70"/>
      <c r="KK9" s="70"/>
      <c r="KL9" s="70"/>
      <c r="KM9" s="70"/>
      <c r="KN9" s="70"/>
      <c r="KO9" s="70"/>
      <c r="KP9" s="70"/>
      <c r="KQ9" s="70"/>
      <c r="KR9" s="70"/>
      <c r="KS9" s="70"/>
      <c r="KT9" s="70"/>
      <c r="KU9" s="70"/>
      <c r="KV9" s="70"/>
      <c r="KW9" s="70"/>
      <c r="KX9" s="70"/>
      <c r="KY9" s="70"/>
      <c r="KZ9" s="70"/>
      <c r="LA9" s="70"/>
      <c r="LB9" s="70"/>
      <c r="LC9" s="70"/>
    </row>
    <row r="10">
      <c r="A10" s="42"/>
      <c r="B10" s="74"/>
      <c r="C10" s="69"/>
      <c r="D10" s="70"/>
      <c r="E10" s="71"/>
      <c r="F10" s="32"/>
      <c r="G10" s="72" t="str">
        <f t="array" ref="G10">IFERROR(IF(XLOOKUP(CONCAT(E10,F10),'MASTER PLAN'!$AB:$AB,'MASTER PLAN'!$J:$J,0,0)=0,"",XLOOKUP(CONCAT(E10,F10),'MASTER PLAN'!$AB:$AB,'MASTER PLAN'!$J:$J,0,0)),"")</f>
        <v/>
      </c>
      <c r="H10" s="73" t="str">
        <f t="array" ref="H10">IFERROR(IF(XLOOKUP(CONCAT(E10,F10),'PROCESOS PRD'!$J:$J,'PROCESOS PRD'!$H:$H,0,0)=0,"",XLOOKUP(CONCAT(E10,F10),'PROCESOS PRD'!$J:$J,'PROCESOS PRD'!$H:$H,0,0)),"")</f>
        <v/>
      </c>
      <c r="I10" s="71"/>
      <c r="J10" s="32"/>
      <c r="K10" s="72" t="str">
        <f t="array" ref="K10">IFERROR(IF(XLOOKUP(CONCAT(I10,J10),'MASTER PLAN'!$AB:$AB,'MASTER PLAN'!$J:$J,0,0)=0,"",XLOOKUP(CONCAT(I10,J10),'MASTER PLAN'!$AB:$AB,'MASTER PLAN'!$J:$J,0,0)),"")</f>
        <v/>
      </c>
      <c r="L10" s="73" t="str">
        <f t="array" ref="L10">IFERROR(IF(XLOOKUP(CONCAT(I10,J10),'PROCESOS PRD'!$J:$J,'PROCESOS PRD'!$H:$H,0,0)=0,"",XLOOKUP(CONCAT(I10,J10),'PROCESOS PRD'!$J:$J,'PROCESOS PRD'!$H:$H,0,0)),"")</f>
        <v/>
      </c>
      <c r="M10" s="71"/>
      <c r="N10" s="32"/>
      <c r="O10" s="72" t="str">
        <f t="array" ref="O10">IFERROR(IF(XLOOKUP(CONCAT(M10,N10),'MASTER PLAN'!$AB:$AB,'MASTER PLAN'!$J:$J,0,0)=0,"",XLOOKUP(CONCAT(M10,N10),'MASTER PLAN'!$AB:$AB,'MASTER PLAN'!$J:$J,0,0)),"")</f>
        <v/>
      </c>
      <c r="P10" s="73" t="str">
        <f t="array" ref="P10">IFERROR(IF(XLOOKUP(CONCAT(M10,N10),'PROCESOS PRD'!$J:$J,'PROCESOS PRD'!$H:$H,0,0)=0,"",XLOOKUP(CONCAT(M10,N10),'PROCESOS PRD'!$J:$J,'PROCESOS PRD'!$H:$H,0,0)),"")</f>
        <v/>
      </c>
      <c r="Q10" s="71"/>
      <c r="R10" s="32"/>
      <c r="S10" s="72" t="str">
        <f t="array" ref="S10">IFERROR(IF(XLOOKUP(CONCAT(Q10,R10),'MASTER PLAN'!$AB:$AB,'MASTER PLAN'!$J:$J,0,0)=0,"",XLOOKUP(CONCAT(Q10,R10),'MASTER PLAN'!$AB:$AB,'MASTER PLAN'!$J:$J,0,0)),"")</f>
        <v/>
      </c>
      <c r="T10" s="73" t="str">
        <f t="array" ref="T10">IFERROR(IF(XLOOKUP(CONCAT(Q10,R10),'PROCESOS PRD'!$J:$J,'PROCESOS PRD'!$H:$H,0,0)=0,"",XLOOKUP(CONCAT(Q10,R10),'PROCESOS PRD'!$J:$J,'PROCESOS PRD'!$H:$H,0,0)),"")</f>
        <v/>
      </c>
      <c r="U10" s="70"/>
      <c r="V10" s="71"/>
      <c r="W10" s="32"/>
      <c r="X10" s="72" t="str">
        <f t="array" ref="X10">IFERROR(IF(XLOOKUP(CONCAT(V10,W10),'MASTER PLAN'!$AB:$AB,'MASTER PLAN'!$J:$J,0,0)=0,"",XLOOKUP(CONCAT(V10,W10),'MASTER PLAN'!$AB:$AB,'MASTER PLAN'!$J:$J,0,0)),"")</f>
        <v/>
      </c>
      <c r="Y10" s="73" t="str">
        <f t="array" ref="Y10">IFERROR(IF(XLOOKUP(CONCAT(V10,W10),'PROCESOS PRD'!$J:$J,'PROCESOS PRD'!$H:$H,0,0)=0,"",XLOOKUP(CONCAT(V10,W10),'PROCESOS PRD'!$J:$J,'PROCESOS PRD'!$H:$H,0,0)),"")</f>
        <v/>
      </c>
      <c r="Z10" s="71"/>
      <c r="AA10" s="32"/>
      <c r="AB10" s="72" t="str">
        <f t="array" ref="AB10">IFERROR(IF(XLOOKUP(CONCAT(Z10,AA10),'MASTER PLAN'!$AB:$AB,'MASTER PLAN'!$J:$J,0,0)=0,"",XLOOKUP(CONCAT(Z10,AA10),'MASTER PLAN'!$AB:$AB,'MASTER PLAN'!$J:$J,0,0)),"")</f>
        <v/>
      </c>
      <c r="AC10" s="73" t="str">
        <f t="array" ref="AC10">IFERROR(IF(XLOOKUP(CONCAT(Z10,AA10),'PROCESOS PRD'!$J:$J,'PROCESOS PRD'!$H:$H,0,0)=0,"",XLOOKUP(CONCAT(Z10,AA10),'PROCESOS PRD'!$J:$J,'PROCESOS PRD'!$H:$H,0,0)),"")</f>
        <v/>
      </c>
      <c r="AD10" s="71"/>
      <c r="AE10" s="32"/>
      <c r="AF10" s="72" t="str">
        <f t="array" ref="AF10">IFERROR(IF(XLOOKUP(CONCAT(AD10,AE10),'MASTER PLAN'!$AB:$AB,'MASTER PLAN'!$J:$J,0,0)=0,"",XLOOKUP(CONCAT(AD10,AE10),'MASTER PLAN'!$AB:$AB,'MASTER PLAN'!$J:$J,0,0)),"")</f>
        <v/>
      </c>
      <c r="AG10" s="73" t="str">
        <f t="array" ref="AG10">IFERROR(IF(XLOOKUP(CONCAT(AD10,AE10),'PROCESOS PRD'!$J:$J,'PROCESOS PRD'!$H:$H,0,0)=0,"",XLOOKUP(CONCAT(AD10,AE10),'PROCESOS PRD'!$J:$J,'PROCESOS PRD'!$H:$H,0,0)),"")</f>
        <v/>
      </c>
      <c r="AH10" s="71"/>
      <c r="AI10" s="32"/>
      <c r="AJ10" s="72" t="str">
        <f t="array" ref="AJ10">IFERROR(IF(XLOOKUP(CONCAT(AH10,AI10),'MASTER PLAN'!$AB:$AB,'MASTER PLAN'!$J:$J,0,0)=0,"",XLOOKUP(CONCAT(AH10,AI10),'MASTER PLAN'!$AB:$AB,'MASTER PLAN'!$J:$J,0,0)),"")</f>
        <v/>
      </c>
      <c r="AK10" s="73" t="str">
        <f t="array" ref="AK10">IFERROR(IF(XLOOKUP(CONCAT(AH10,AI10),'PROCESOS PRD'!$J:$J,'PROCESOS PRD'!$H:$H,0,0)=0,"",XLOOKUP(CONCAT(AH10,AI10),'PROCESOS PRD'!$J:$J,'PROCESOS PRD'!$H:$H,0,0)),"")</f>
        <v/>
      </c>
      <c r="AL10" s="71"/>
      <c r="AM10" s="32"/>
      <c r="AN10" s="72" t="str">
        <f t="array" ref="AN10">IFERROR(IF(XLOOKUP(CONCAT(AL10,AM10),'MASTER PLAN'!$AB:$AB,'MASTER PLAN'!$J:$J,0,0)=0,"",XLOOKUP(CONCAT(AL10,AM10),'MASTER PLAN'!$AB:$AB,'MASTER PLAN'!$J:$J,0,0)),"")</f>
        <v/>
      </c>
      <c r="AO10" s="73" t="str">
        <f t="array" ref="AO10">IFERROR(IF(XLOOKUP(CONCAT(AL10,AM10),'PROCESOS PRD'!$J:$J,'PROCESOS PRD'!$H:$H,0,0)=0,"",XLOOKUP(CONCAT(AL10,AM10),'PROCESOS PRD'!$J:$J,'PROCESOS PRD'!$H:$H,0,0)),"")</f>
        <v/>
      </c>
      <c r="AP10" s="71"/>
      <c r="AQ10" s="32"/>
      <c r="AR10" s="72" t="str">
        <f t="array" ref="AR10">IFERROR(IF(XLOOKUP(CONCAT(AP10,AQ10),'MASTER PLAN'!$AB:$AB,'MASTER PLAN'!$J:$J,0,0)=0,"",XLOOKUP(CONCAT(AP10,AQ10),'MASTER PLAN'!$AB:$AB,'MASTER PLAN'!$J:$J,0,0)),"")</f>
        <v/>
      </c>
      <c r="AS10" s="73" t="str">
        <f t="array" ref="AS10">IFERROR(IF(XLOOKUP(CONCAT(AP10,AQ10),'PROCESOS PRD'!$J:$J,'PROCESOS PRD'!$H:$H,0,0)=0,"",XLOOKUP(CONCAT(AP10,AQ10),'PROCESOS PRD'!$J:$J,'PROCESOS PRD'!$H:$H,0,0)),"")</f>
        <v/>
      </c>
      <c r="AT10" s="70"/>
      <c r="AU10" s="71"/>
      <c r="AV10" s="32"/>
      <c r="AW10" s="72" t="str">
        <f t="array" ref="AW10">IFERROR(IF(XLOOKUP(CONCAT(AU10,AV10),'MASTER PLAN'!$AB:$AB,'MASTER PLAN'!$J:$J,0,0)=0,"",XLOOKUP(CONCAT(AU10,AV10),'MASTER PLAN'!$AB:$AB,'MASTER PLAN'!$J:$J,0,0)),"")</f>
        <v/>
      </c>
      <c r="AX10" s="73" t="str">
        <f t="array" ref="AX10">IFERROR(IF(XLOOKUP(CONCAT(AU10,AV10),'PROCESOS PRD'!$J:$J,'PROCESOS PRD'!$H:$H,0,0)=0,"",XLOOKUP(CONCAT(AU10,AV10),'PROCESOS PRD'!$J:$J,'PROCESOS PRD'!$H:$H,0,0)),"")</f>
        <v/>
      </c>
      <c r="AY10" s="71"/>
      <c r="AZ10" s="32"/>
      <c r="BA10" s="72" t="str">
        <f t="array" ref="BA10">IFERROR(IF(XLOOKUP(CONCAT(AY10,AZ10),'MASTER PLAN'!$AB:$AB,'MASTER PLAN'!$J:$J,0,0)=0,"",XLOOKUP(CONCAT(AY10,AZ10),'MASTER PLAN'!$AB:$AB,'MASTER PLAN'!$J:$J,0,0)),"")</f>
        <v/>
      </c>
      <c r="BB10" s="73" t="str">
        <f t="array" ref="BB10">IFERROR(IF(XLOOKUP(CONCAT(AY10,AZ10),'PROCESOS PRD'!$J:$J,'PROCESOS PRD'!$H:$H,0,0)=0,"",XLOOKUP(CONCAT(AY10,AZ10),'PROCESOS PRD'!$J:$J,'PROCESOS PRD'!$H:$H,0,0)),"")</f>
        <v/>
      </c>
      <c r="BC10" s="71"/>
      <c r="BD10" s="32"/>
      <c r="BE10" s="72" t="str">
        <f t="array" ref="BE10">IFERROR(IF(XLOOKUP(CONCAT(BC10,BD10),'MASTER PLAN'!$AB:$AB,'MASTER PLAN'!$J:$J,0,0)=0,"",XLOOKUP(CONCAT(BC10,BD10),'MASTER PLAN'!$AB:$AB,'MASTER PLAN'!$J:$J,0,0)),"")</f>
        <v/>
      </c>
      <c r="BF10" s="73" t="str">
        <f t="array" ref="BF10">IFERROR(IF(XLOOKUP(CONCAT(BC10,BD10),'PROCESOS PRD'!$J:$J,'PROCESOS PRD'!$H:$H,0,0)=0,"",XLOOKUP(CONCAT(BC10,BD10),'PROCESOS PRD'!$J:$J,'PROCESOS PRD'!$H:$H,0,0)),"")</f>
        <v/>
      </c>
      <c r="BG10" s="71"/>
      <c r="BH10" s="32"/>
      <c r="BI10" s="72" t="str">
        <f t="array" ref="BI10">IFERROR(IF(XLOOKUP(CONCAT(BG10,BH10),'MASTER PLAN'!$AB:$AB,'MASTER PLAN'!$J:$J,0,0)=0,"",XLOOKUP(CONCAT(BG10,BH10),'MASTER PLAN'!$AB:$AB,'MASTER PLAN'!$J:$J,0,0)),"")</f>
        <v/>
      </c>
      <c r="BJ10" s="73" t="str">
        <f t="array" ref="BJ10">IFERROR(IF(XLOOKUP(CONCAT(BG10,BH10),'PROCESOS PRD'!$J:$J,'PROCESOS PRD'!$H:$H,0,0)=0,"",XLOOKUP(CONCAT(BG10,BH10),'PROCESOS PRD'!$J:$J,'PROCESOS PRD'!$H:$H,0,0)),"")</f>
        <v/>
      </c>
      <c r="BK10" s="71"/>
      <c r="BL10" s="32"/>
      <c r="BM10" s="72" t="str">
        <f t="array" ref="BM10">IFERROR(IF(XLOOKUP(CONCAT(BK10,BL10),'MASTER PLAN'!$AB:$AB,'MASTER PLAN'!$J:$J,0,0)=0,"",XLOOKUP(CONCAT(BK10,BL10),'MASTER PLAN'!$AB:$AB,'MASTER PLAN'!$J:$J,0,0)),"")</f>
        <v/>
      </c>
      <c r="BN10" s="73" t="str">
        <f t="array" ref="BN10">IFERROR(IF(XLOOKUP(CONCAT(BK10,BL10),'PROCESOS PRD'!$J:$J,'PROCESOS PRD'!$H:$H,0,0)=0,"",XLOOKUP(CONCAT(BK10,BL10),'PROCESOS PRD'!$J:$J,'PROCESOS PRD'!$H:$H,0,0)),"")</f>
        <v/>
      </c>
      <c r="BO10" s="71"/>
      <c r="BP10" s="32"/>
      <c r="BQ10" s="72" t="str">
        <f t="array" ref="BQ10">IFERROR(IF(XLOOKUP(CONCAT(BO10,BP10),'MASTER PLAN'!$AB:$AB,'MASTER PLAN'!$J:$J,0,0)=0,"",XLOOKUP(CONCAT(BO10,BP10),'MASTER PLAN'!$AB:$AB,'MASTER PLAN'!$J:$J,0,0)),"")</f>
        <v/>
      </c>
      <c r="BR10" s="73" t="str">
        <f t="array" ref="BR10">IFERROR(IF(XLOOKUP(CONCAT(BO10,BP10),'PROCESOS PRD'!$J:$J,'PROCESOS PRD'!$H:$H,0,0)=0,"",XLOOKUP(CONCAT(BO10,BP10),'PROCESOS PRD'!$J:$J,'PROCESOS PRD'!$H:$H,0,0)),"")</f>
        <v/>
      </c>
      <c r="BS10" s="70"/>
      <c r="BT10" s="71"/>
      <c r="BU10" s="32"/>
      <c r="BV10" s="72" t="str">
        <f t="array" ref="BV10">IFERROR(IF(XLOOKUP(CONCAT(BT10,BU10),'MASTER PLAN'!$AB:$AB,'MASTER PLAN'!$J:$J,0,0)=0,"",XLOOKUP(CONCAT(BT10,BU10),'MASTER PLAN'!$AB:$AB,'MASTER PLAN'!$J:$J,0,0)),"")</f>
        <v/>
      </c>
      <c r="BW10" s="73" t="str">
        <f t="array" ref="BW10">IFERROR(IF(XLOOKUP(CONCAT(BT10,BU10),'PROCESOS PRD'!$J:$J,'PROCESOS PRD'!$H:$H,0,0)=0,"",XLOOKUP(CONCAT(BT10,BU10),'PROCESOS PRD'!$J:$J,'PROCESOS PRD'!$H:$H,0,0)),"")</f>
        <v/>
      </c>
      <c r="BX10" s="71"/>
      <c r="BY10" s="32"/>
      <c r="BZ10" s="72" t="str">
        <f t="array" ref="BZ10">IFERROR(IF(XLOOKUP(CONCAT(BX10,BY10),'MASTER PLAN'!$AB:$AB,'MASTER PLAN'!$J:$J,0,0)=0,"",XLOOKUP(CONCAT(BX10,BY10),'MASTER PLAN'!$AB:$AB,'MASTER PLAN'!$J:$J,0,0)),"")</f>
        <v/>
      </c>
      <c r="CA10" s="73" t="str">
        <f t="array" ref="CA10">IFERROR(IF(XLOOKUP(CONCAT(BX10,BY10),'PROCESOS PRD'!$J:$J,'PROCESOS PRD'!$H:$H,0,0)=0,"",XLOOKUP(CONCAT(BX10,BY10),'PROCESOS PRD'!$J:$J,'PROCESOS PRD'!$H:$H,0,0)),"")</f>
        <v/>
      </c>
      <c r="CB10" s="71"/>
      <c r="CC10" s="32"/>
      <c r="CD10" s="72" t="str">
        <f t="array" ref="CD10">IFERROR(IF(XLOOKUP(CONCAT(CB10,CC10),'MASTER PLAN'!$AB:$AB,'MASTER PLAN'!$J:$J,0,0)=0,"",XLOOKUP(CONCAT(CB10,CC10),'MASTER PLAN'!$AB:$AB,'MASTER PLAN'!$J:$J,0,0)),"")</f>
        <v/>
      </c>
      <c r="CE10" s="73" t="str">
        <f t="array" ref="CE10">IFERROR(IF(XLOOKUP(CONCAT(CB10,CC10),'PROCESOS PRD'!$J:$J,'PROCESOS PRD'!$H:$H,0,0)=0,"",XLOOKUP(CONCAT(CB10,CC10),'PROCESOS PRD'!$J:$J,'PROCESOS PRD'!$H:$H,0,0)),"")</f>
        <v/>
      </c>
      <c r="CF10" s="71"/>
      <c r="CG10" s="32"/>
      <c r="CH10" s="72" t="str">
        <f t="array" ref="CH10">IFERROR(IF(XLOOKUP(CONCAT(CF10,CG10),'MASTER PLAN'!$AB:$AB,'MASTER PLAN'!$J:$J,0,0)=0,"",XLOOKUP(CONCAT(CF10,CG10),'MASTER PLAN'!$AB:$AB,'MASTER PLAN'!$J:$J,0,0)),"")</f>
        <v/>
      </c>
      <c r="CI10" s="73" t="str">
        <f t="array" ref="CI10">IFERROR(IF(XLOOKUP(CONCAT(CF10,CG10),'PROCESOS PRD'!$J:$J,'PROCESOS PRD'!$H:$H,0,0)=0,"",XLOOKUP(CONCAT(CF10,CG10),'PROCESOS PRD'!$J:$J,'PROCESOS PRD'!$H:$H,0,0)),"")</f>
        <v/>
      </c>
      <c r="CJ10" s="71"/>
      <c r="CK10" s="32"/>
      <c r="CL10" s="72" t="str">
        <f t="array" ref="CL10">IFERROR(IF(XLOOKUP(CONCAT(CJ10,CK10),'MASTER PLAN'!$AB:$AB,'MASTER PLAN'!$J:$J,0,0)=0,"",XLOOKUP(CONCAT(CJ10,CK10),'MASTER PLAN'!$AB:$AB,'MASTER PLAN'!$J:$J,0,0)),"")</f>
        <v/>
      </c>
      <c r="CM10" s="73" t="str">
        <f t="array" ref="CM10">IFERROR(IF(XLOOKUP(CONCAT(CJ10,CK10),'PROCESOS PRD'!$J:$J,'PROCESOS PRD'!$H:$H,0,0)=0,"",XLOOKUP(CONCAT(CJ10,CK10),'PROCESOS PRD'!$J:$J,'PROCESOS PRD'!$H:$H,0,0)),"")</f>
        <v/>
      </c>
      <c r="CN10" s="71"/>
      <c r="CO10" s="32"/>
      <c r="CP10" s="72" t="str">
        <f t="array" ref="CP10">IFERROR(IF(XLOOKUP(CONCAT(CN10,CO10),'MASTER PLAN'!$AB:$AB,'MASTER PLAN'!$J:$J,0,0)=0,"",XLOOKUP(CONCAT(CN10,CO10),'MASTER PLAN'!$AB:$AB,'MASTER PLAN'!$J:$J,0,0)),"")</f>
        <v/>
      </c>
      <c r="CQ10" s="73" t="str">
        <f t="array" ref="CQ10">IFERROR(IF(XLOOKUP(CONCAT(CN10,CO10),'PROCESOS PRD'!$J:$J,'PROCESOS PRD'!$H:$H,0,0)=0,"",XLOOKUP(CONCAT(CN10,CO10),'PROCESOS PRD'!$J:$J,'PROCESOS PRD'!$H:$H,0,0)),"")</f>
        <v/>
      </c>
      <c r="CR10" s="70"/>
      <c r="CS10" s="71"/>
      <c r="CT10" s="32"/>
      <c r="CU10" s="72" t="str">
        <f t="array" ref="CU10">IFERROR(IF(XLOOKUP(CONCAT(CS10,CT10),'MASTER PLAN'!$AB:$AB,'MASTER PLAN'!$J:$J,0,0)=0,"",XLOOKUP(CONCAT(CS10,CT10),'MASTER PLAN'!$AB:$AB,'MASTER PLAN'!$J:$J,0,0)),"")</f>
        <v/>
      </c>
      <c r="CV10" s="73" t="str">
        <f t="array" ref="CV10">IFERROR(IF(XLOOKUP(CONCAT(CS10,CT10),'PROCESOS PRD'!$J:$J,'PROCESOS PRD'!$H:$H,0,0)=0,"",XLOOKUP(CONCAT(CS10,CT10),'PROCESOS PRD'!$J:$J,'PROCESOS PRD'!$H:$H,0,0)),"")</f>
        <v/>
      </c>
      <c r="CW10" s="71"/>
      <c r="CX10" s="32"/>
      <c r="CY10" s="72" t="str">
        <f t="array" ref="CY10">IFERROR(IF(XLOOKUP(CONCAT(CW10,CX10),'MASTER PLAN'!$AB:$AB,'MASTER PLAN'!$J:$J,0,0)=0,"",XLOOKUP(CONCAT(CW10,CX10),'MASTER PLAN'!$AB:$AB,'MASTER PLAN'!$J:$J,0,0)),"")</f>
        <v/>
      </c>
      <c r="CZ10" s="73" t="str">
        <f t="array" ref="CZ10">IFERROR(IF(XLOOKUP(CONCAT(CW10,CX10),'PROCESOS PRD'!$J:$J,'PROCESOS PRD'!$H:$H,0,0)=0,"",XLOOKUP(CONCAT(CW10,CX10),'PROCESOS PRD'!$J:$J,'PROCESOS PRD'!$H:$H,0,0)),"")</f>
        <v/>
      </c>
      <c r="DA10" s="71"/>
      <c r="DB10" s="32"/>
      <c r="DC10" s="72" t="str">
        <f t="array" ref="DC10">IFERROR(IF(XLOOKUP(CONCAT(DA10,DB10),'MASTER PLAN'!$AB:$AB,'MASTER PLAN'!$J:$J,0,0)=0,"",XLOOKUP(CONCAT(DA10,DB10),'MASTER PLAN'!$AB:$AB,'MASTER PLAN'!$J:$J,0,0)),"")</f>
        <v/>
      </c>
      <c r="DD10" s="73" t="str">
        <f t="array" ref="DD10">IFERROR(IF(XLOOKUP(CONCAT(DA10,DB10),'PROCESOS PRD'!$J:$J,'PROCESOS PRD'!$H:$H,0,0)=0,"",XLOOKUP(CONCAT(DA10,DB10),'PROCESOS PRD'!$J:$J,'PROCESOS PRD'!$H:$H,0,0)),"")</f>
        <v/>
      </c>
      <c r="DE10" s="71"/>
      <c r="DF10" s="32"/>
      <c r="DG10" s="72" t="str">
        <f t="array" ref="DG10">IFERROR(IF(XLOOKUP(CONCAT(DE10,DF10),'MASTER PLAN'!$AB:$AB,'MASTER PLAN'!$J:$J,0,0)=0,"",XLOOKUP(CONCAT(DE10,DF10),'MASTER PLAN'!$AB:$AB,'MASTER PLAN'!$J:$J,0,0)),"")</f>
        <v/>
      </c>
      <c r="DH10" s="73" t="str">
        <f t="array" ref="DH10">IFERROR(IF(XLOOKUP(CONCAT(DE10,DF10),'PROCESOS PRD'!$J:$J,'PROCESOS PRD'!$H:$H,0,0)=0,"",XLOOKUP(CONCAT(DE10,DF10),'PROCESOS PRD'!$J:$J,'PROCESOS PRD'!$H:$H,0,0)),"")</f>
        <v/>
      </c>
      <c r="DI10" s="71"/>
      <c r="DJ10" s="32"/>
      <c r="DK10" s="72" t="str">
        <f t="array" ref="DK10">IFERROR(IF(XLOOKUP(CONCAT(DI10,DJ10),'MASTER PLAN'!$AB:$AB,'MASTER PLAN'!$J:$J,0,0)=0,"",XLOOKUP(CONCAT(DI10,DJ10),'MASTER PLAN'!$AB:$AB,'MASTER PLAN'!$J:$J,0,0)),"")</f>
        <v/>
      </c>
      <c r="DL10" s="73" t="str">
        <f t="array" ref="DL10">IFERROR(IF(XLOOKUP(CONCAT(DI10,DJ10),'PROCESOS PRD'!$J:$J,'PROCESOS PRD'!$H:$H,0,0)=0,"",XLOOKUP(CONCAT(DI10,DJ10),'PROCESOS PRD'!$J:$J,'PROCESOS PRD'!$H:$H,0,0)),"")</f>
        <v/>
      </c>
      <c r="DM10" s="71"/>
      <c r="DN10" s="32"/>
      <c r="DO10" s="72" t="str">
        <f t="array" ref="DO10">IFERROR(IF(XLOOKUP(CONCAT(DM10,DN10),'MASTER PLAN'!$AB:$AB,'MASTER PLAN'!$J:$J,0,0)=0,"",XLOOKUP(CONCAT(DM10,DN10),'MASTER PLAN'!$AB:$AB,'MASTER PLAN'!$J:$J,0,0)),"")</f>
        <v/>
      </c>
      <c r="DP10" s="73" t="str">
        <f t="array" ref="DP10">IFERROR(IF(XLOOKUP(CONCAT(DM10,DN10),'PROCESOS PRD'!$J:$J,'PROCESOS PRD'!$H:$H,0,0)=0,"",XLOOKUP(CONCAT(DM10,DN10),'PROCESOS PRD'!$J:$J,'PROCESOS PRD'!$H:$H,0,0)),"")</f>
        <v/>
      </c>
      <c r="DQ10" s="70"/>
      <c r="DR10" s="71"/>
      <c r="DS10" s="32"/>
      <c r="DT10" s="72" t="str">
        <f t="array" ref="DT10">IFERROR(IF(XLOOKUP(CONCAT(DR10,DS10),'MASTER PLAN'!$AB:$AB,'MASTER PLAN'!$J:$J,0,0)=0,"",XLOOKUP(CONCAT(DR10,DS10),'MASTER PLAN'!$AB:$AB,'MASTER PLAN'!$J:$J,0,0)),"")</f>
        <v/>
      </c>
      <c r="DU10" s="73" t="str">
        <f t="array" ref="DU10">IFERROR(IF(XLOOKUP(CONCAT(DR10,DS10),'PROCESOS PRD'!$J:$J,'PROCESOS PRD'!$H:$H,0,0)=0,"",XLOOKUP(CONCAT(DR10,DS10),'PROCESOS PRD'!$J:$J,'PROCESOS PRD'!$H:$H,0,0)),"")</f>
        <v/>
      </c>
      <c r="DV10" s="71"/>
      <c r="DW10" s="32"/>
      <c r="DX10" s="72" t="str">
        <f t="array" ref="DX10">IFERROR(IF(XLOOKUP(CONCAT(DV10,DW10),'MASTER PLAN'!$AB:$AB,'MASTER PLAN'!$J:$J,0,0)=0,"",XLOOKUP(CONCAT(DV10,DW10),'MASTER PLAN'!$AB:$AB,'MASTER PLAN'!$J:$J,0,0)),"")</f>
        <v/>
      </c>
      <c r="DY10" s="73" t="str">
        <f t="array" ref="DY10">IFERROR(IF(XLOOKUP(CONCAT(DV10,DW10),'PROCESOS PRD'!$J:$J,'PROCESOS PRD'!$H:$H,0,0)=0,"",XLOOKUP(CONCAT(DV10,DW10),'PROCESOS PRD'!$J:$J,'PROCESOS PRD'!$H:$H,0,0)),"")</f>
        <v/>
      </c>
      <c r="DZ10" s="71"/>
      <c r="EA10" s="32"/>
      <c r="EB10" s="72" t="str">
        <f t="array" ref="EB10">IFERROR(IF(XLOOKUP(CONCAT(DZ10,EA10),'MASTER PLAN'!$AB:$AB,'MASTER PLAN'!$J:$J,0,0)=0,"",XLOOKUP(CONCAT(DZ10,EA10),'MASTER PLAN'!$AB:$AB,'MASTER PLAN'!$J:$J,0,0)),"")</f>
        <v/>
      </c>
      <c r="EC10" s="73" t="str">
        <f t="array" ref="EC10">IFERROR(IF(XLOOKUP(CONCAT(DZ10,EA10),'PROCESOS PRD'!$J:$J,'PROCESOS PRD'!$H:$H,0,0)=0,"",XLOOKUP(CONCAT(DZ10,EA10),'PROCESOS PRD'!$J:$J,'PROCESOS PRD'!$H:$H,0,0)),"")</f>
        <v/>
      </c>
      <c r="ED10" s="71"/>
      <c r="EE10" s="32"/>
      <c r="EF10" s="72" t="str">
        <f t="array" ref="EF10">IFERROR(IF(XLOOKUP(CONCAT(ED10,EE10),'MASTER PLAN'!$AB:$AB,'MASTER PLAN'!$J:$J,0,0)=0,"",XLOOKUP(CONCAT(ED10,EE10),'MASTER PLAN'!$AB:$AB,'MASTER PLAN'!$J:$J,0,0)),"")</f>
        <v/>
      </c>
      <c r="EG10" s="73" t="str">
        <f t="array" ref="EG10">IFERROR(IF(XLOOKUP(CONCAT(ED10,EE10),'PROCESOS PRD'!$J:$J,'PROCESOS PRD'!$H:$H,0,0)=0,"",XLOOKUP(CONCAT(ED10,EE10),'PROCESOS PRD'!$J:$J,'PROCESOS PRD'!$H:$H,0,0)),"")</f>
        <v/>
      </c>
      <c r="EH10" s="71"/>
      <c r="EI10" s="32"/>
      <c r="EJ10" s="72" t="str">
        <f t="array" ref="EJ10">IFERROR(IF(XLOOKUP(CONCAT(EH10,EI10),'MASTER PLAN'!$AB:$AB,'MASTER PLAN'!$J:$J,0,0)=0,"",XLOOKUP(CONCAT(EH10,EI10),'MASTER PLAN'!$AB:$AB,'MASTER PLAN'!$J:$J,0,0)),"")</f>
        <v/>
      </c>
      <c r="EK10" s="73" t="str">
        <f t="array" ref="EK10">IFERROR(IF(XLOOKUP(CONCAT(EH10,EI10),'PROCESOS PRD'!$J:$J,'PROCESOS PRD'!$H:$H,0,0)=0,"",XLOOKUP(CONCAT(EH10,EI10),'PROCESOS PRD'!$J:$J,'PROCESOS PRD'!$H:$H,0,0)),"")</f>
        <v/>
      </c>
      <c r="EL10" s="71"/>
      <c r="EM10" s="32"/>
      <c r="EN10" s="72" t="str">
        <f t="array" ref="EN10">IFERROR(IF(XLOOKUP(CONCAT(EL10,EM10),'MASTER PLAN'!$AB:$AB,'MASTER PLAN'!$J:$J,0,0)=0,"",XLOOKUP(CONCAT(EL10,EM10),'MASTER PLAN'!$AB:$AB,'MASTER PLAN'!$J:$J,0,0)),"")</f>
        <v/>
      </c>
      <c r="EO10" s="73" t="str">
        <f t="array" ref="EO10">IFERROR(IF(XLOOKUP(CONCAT(EL10,EM10),'PROCESOS PRD'!$J:$J,'PROCESOS PRD'!$H:$H,0,0)=0,"",XLOOKUP(CONCAT(EL10,EM10),'PROCESOS PRD'!$J:$J,'PROCESOS PRD'!$H:$H,0,0)),"")</f>
        <v/>
      </c>
      <c r="EP10" s="70"/>
      <c r="EQ10" s="71"/>
      <c r="ER10" s="32"/>
      <c r="ES10" s="72" t="str">
        <f t="array" ref="ES10">IFERROR(IF(XLOOKUP(CONCAT(EQ10,ER10),'MASTER PLAN'!$AB:$AB,'MASTER PLAN'!$J:$J,0,0)=0,"",XLOOKUP(CONCAT(EQ10,ER10),'MASTER PLAN'!$AB:$AB,'MASTER PLAN'!$J:$J,0,0)),"")</f>
        <v/>
      </c>
      <c r="ET10" s="73" t="str">
        <f t="array" ref="ET10">IFERROR(IF(XLOOKUP(CONCAT(EQ10,ER10),'PROCESOS PRD'!$J:$J,'PROCESOS PRD'!$H:$H,0,0)=0,"",XLOOKUP(CONCAT(EQ10,ER10),'PROCESOS PRD'!$J:$J,'PROCESOS PRD'!$H:$H,0,0)),"")</f>
        <v/>
      </c>
      <c r="EU10" s="71"/>
      <c r="EV10" s="32"/>
      <c r="EW10" s="72" t="str">
        <f t="array" ref="EW10">IFERROR(IF(XLOOKUP(CONCAT(EU10,EV10),'MASTER PLAN'!$AB:$AB,'MASTER PLAN'!$J:$J,0,0)=0,"",XLOOKUP(CONCAT(EU10,EV10),'MASTER PLAN'!$AB:$AB,'MASTER PLAN'!$J:$J,0,0)),"")</f>
        <v/>
      </c>
      <c r="EX10" s="73" t="str">
        <f t="array" ref="EX10">IFERROR(IF(XLOOKUP(CONCAT(EU10,EV10),'PROCESOS PRD'!$J:$J,'PROCESOS PRD'!$H:$H,0,0)=0,"",XLOOKUP(CONCAT(EU10,EV10),'PROCESOS PRD'!$J:$J,'PROCESOS PRD'!$H:$H,0,0)),"")</f>
        <v/>
      </c>
      <c r="EY10" s="71"/>
      <c r="EZ10" s="32"/>
      <c r="FA10" s="72" t="str">
        <f t="array" ref="FA10">IFERROR(IF(XLOOKUP(CONCAT(EY10,EZ10),'MASTER PLAN'!$AB:$AB,'MASTER PLAN'!$J:$J,0,0)=0,"",XLOOKUP(CONCAT(EY10,EZ10),'MASTER PLAN'!$AB:$AB,'MASTER PLAN'!$J:$J,0,0)),"")</f>
        <v/>
      </c>
      <c r="FB10" s="73" t="str">
        <f t="array" ref="FB10">IFERROR(IF(XLOOKUP(CONCAT(EY10,EZ10),'PROCESOS PRD'!$J:$J,'PROCESOS PRD'!$H:$H,0,0)=0,"",XLOOKUP(CONCAT(EY10,EZ10),'PROCESOS PRD'!$J:$J,'PROCESOS PRD'!$H:$H,0,0)),"")</f>
        <v/>
      </c>
      <c r="FC10" s="71"/>
      <c r="FD10" s="32"/>
      <c r="FE10" s="72" t="str">
        <f t="array" ref="FE10">IFERROR(IF(XLOOKUP(CONCAT(FC10,FD10),'MASTER PLAN'!$AB:$AB,'MASTER PLAN'!$J:$J,0,0)=0,"",XLOOKUP(CONCAT(FC10,FD10),'MASTER PLAN'!$AB:$AB,'MASTER PLAN'!$J:$J,0,0)),"")</f>
        <v/>
      </c>
      <c r="FF10" s="73" t="str">
        <f t="array" ref="FF10">IFERROR(IF(XLOOKUP(CONCAT(FC10,FD10),'PROCESOS PRD'!$J:$J,'PROCESOS PRD'!$H:$H,0,0)=0,"",XLOOKUP(CONCAT(FC10,FD10),'PROCESOS PRD'!$J:$J,'PROCESOS PRD'!$H:$H,0,0)),"")</f>
        <v/>
      </c>
      <c r="FG10" s="71"/>
      <c r="FH10" s="32"/>
      <c r="FI10" s="72" t="str">
        <f t="array" ref="FI10">IFERROR(IF(XLOOKUP(CONCAT(FG10,FH10),'MASTER PLAN'!$AB:$AB,'MASTER PLAN'!$J:$J,0,0)=0,"",XLOOKUP(CONCAT(FG10,FH10),'MASTER PLAN'!$AB:$AB,'MASTER PLAN'!$J:$J,0,0)),"")</f>
        <v/>
      </c>
      <c r="FJ10" s="73" t="str">
        <f t="array" ref="FJ10">IFERROR(IF(XLOOKUP(CONCAT(FG10,FH10),'PROCESOS PRD'!$J:$J,'PROCESOS PRD'!$H:$H,0,0)=0,"",XLOOKUP(CONCAT(FG10,FH10),'PROCESOS PRD'!$J:$J,'PROCESOS PRD'!$H:$H,0,0)),"")</f>
        <v/>
      </c>
      <c r="FK10" s="71"/>
      <c r="FL10" s="32"/>
      <c r="FM10" s="72" t="str">
        <f t="array" ref="FM10">IFERROR(IF(XLOOKUP(CONCAT(FK10,FL10),'MASTER PLAN'!$AB:$AB,'MASTER PLAN'!$J:$J,0,0)=0,"",XLOOKUP(CONCAT(FK10,FL10),'MASTER PLAN'!$AB:$AB,'MASTER PLAN'!$J:$J,0,0)),"")</f>
        <v/>
      </c>
      <c r="FN10" s="73" t="str">
        <f t="array" ref="FN10">IFERROR(IF(XLOOKUP(CONCAT(FK10,FL10),'PROCESOS PRD'!$J:$J,'PROCESOS PRD'!$H:$H,0,0)=0,"",XLOOKUP(CONCAT(FK10,FL10),'PROCESOS PRD'!$J:$J,'PROCESOS PRD'!$H:$H,0,0)),"")</f>
        <v/>
      </c>
      <c r="FO10" s="70"/>
      <c r="FP10" s="71"/>
      <c r="FQ10" s="32"/>
      <c r="FR10" s="72" t="str">
        <f t="array" ref="FR10">IFERROR(IF(XLOOKUP(CONCAT(FP10,FQ10),'MASTER PLAN'!$AB:$AB,'MASTER PLAN'!$J:$J,0,0)=0,"",XLOOKUP(CONCAT(FP10,FQ10),'MASTER PLAN'!$AB:$AB,'MASTER PLAN'!$J:$J,0,0)),"")</f>
        <v/>
      </c>
      <c r="FS10" s="73" t="str">
        <f t="array" ref="FS10">IFERROR(IF(XLOOKUP(CONCAT(FP10,FQ10),'PROCESOS PRD'!$J:$J,'PROCESOS PRD'!$H:$H,0,0)=0,"",XLOOKUP(CONCAT(FP10,FQ10),'PROCESOS PRD'!$J:$J,'PROCESOS PRD'!$H:$H,0,0)),"")</f>
        <v/>
      </c>
      <c r="FT10" s="71"/>
      <c r="FU10" s="32"/>
      <c r="FV10" s="72" t="str">
        <f t="array" ref="FV10">IFERROR(IF(XLOOKUP(CONCAT(FT10,FU10),'MASTER PLAN'!$AB:$AB,'MASTER PLAN'!$J:$J,0,0)=0,"",XLOOKUP(CONCAT(FT10,FU10),'MASTER PLAN'!$AB:$AB,'MASTER PLAN'!$J:$J,0,0)),"")</f>
        <v/>
      </c>
      <c r="FW10" s="73" t="str">
        <f t="array" ref="FW10">IFERROR(IF(XLOOKUP(CONCAT(FT10,FU10),'PROCESOS PRD'!$J:$J,'PROCESOS PRD'!$H:$H,0,0)=0,"",XLOOKUP(CONCAT(FT10,FU10),'PROCESOS PRD'!$J:$J,'PROCESOS PRD'!$H:$H,0,0)),"")</f>
        <v/>
      </c>
      <c r="FX10" s="71"/>
      <c r="FY10" s="32"/>
      <c r="FZ10" s="72" t="str">
        <f t="array" ref="FZ10">IFERROR(IF(XLOOKUP(CONCAT(FX10,FY10),'MASTER PLAN'!$AB:$AB,'MASTER PLAN'!$J:$J,0,0)=0,"",XLOOKUP(CONCAT(FX10,FY10),'MASTER PLAN'!$AB:$AB,'MASTER PLAN'!$J:$J,0,0)),"")</f>
        <v/>
      </c>
      <c r="GA10" s="73" t="str">
        <f t="array" ref="GA10">IFERROR(IF(XLOOKUP(CONCAT(FX10,FY10),'PROCESOS PRD'!$J:$J,'PROCESOS PRD'!$H:$H,0,0)=0,"",XLOOKUP(CONCAT(FX10,FY10),'PROCESOS PRD'!$J:$J,'PROCESOS PRD'!$H:$H,0,0)),"")</f>
        <v/>
      </c>
      <c r="GB10" s="71"/>
      <c r="GC10" s="32"/>
      <c r="GD10" s="72" t="str">
        <f t="array" ref="GD10">IFERROR(IF(XLOOKUP(CONCAT(GB10,GC10),'MASTER PLAN'!$AB:$AB,'MASTER PLAN'!$J:$J,0,0)=0,"",XLOOKUP(CONCAT(GB10,GC10),'MASTER PLAN'!$AB:$AB,'MASTER PLAN'!$J:$J,0,0)),"")</f>
        <v/>
      </c>
      <c r="GE10" s="73" t="str">
        <f t="array" ref="GE10">IFERROR(IF(XLOOKUP(CONCAT(GB10,GC10),'PROCESOS PRD'!$J:$J,'PROCESOS PRD'!$H:$H,0,0)=0,"",XLOOKUP(CONCAT(GB10,GC10),'PROCESOS PRD'!$J:$J,'PROCESOS PRD'!$H:$H,0,0)),"")</f>
        <v/>
      </c>
      <c r="GF10" s="71"/>
      <c r="GG10" s="32"/>
      <c r="GH10" s="72" t="str">
        <f t="array" ref="GH10">IFERROR(IF(XLOOKUP(CONCAT(GF10,GG10),'MASTER PLAN'!$AB:$AB,'MASTER PLAN'!$J:$J,0,0)=0,"",XLOOKUP(CONCAT(GF10,GG10),'MASTER PLAN'!$AB:$AB,'MASTER PLAN'!$J:$J,0,0)),"")</f>
        <v/>
      </c>
      <c r="GI10" s="73" t="str">
        <f t="array" ref="GI10">IFERROR(IF(XLOOKUP(CONCAT(GF10,GG10),'PROCESOS PRD'!$J:$J,'PROCESOS PRD'!$H:$H,0,0)=0,"",XLOOKUP(CONCAT(GF10,GG10),'PROCESOS PRD'!$J:$J,'PROCESOS PRD'!$H:$H,0,0)),"")</f>
        <v/>
      </c>
      <c r="GJ10" s="71"/>
      <c r="GK10" s="32"/>
      <c r="GL10" s="72" t="str">
        <f t="array" ref="GL10">IFERROR(IF(XLOOKUP(CONCAT(GJ10,GK10),'MASTER PLAN'!$AB:$AB,'MASTER PLAN'!$J:$J,0,0)=0,"",XLOOKUP(CONCAT(GJ10,GK10),'MASTER PLAN'!$AB:$AB,'MASTER PLAN'!$J:$J,0,0)),"")</f>
        <v/>
      </c>
      <c r="GM10" s="73" t="str">
        <f t="array" ref="GM10">IFERROR(IF(XLOOKUP(CONCAT(GJ10,GK10),'PROCESOS PRD'!$J:$J,'PROCESOS PRD'!$H:$H,0,0)=0,"",XLOOKUP(CONCAT(GJ10,GK10),'PROCESOS PRD'!$J:$J,'PROCESOS PRD'!$H:$H,0,0)),"")</f>
        <v/>
      </c>
      <c r="GN10" s="70"/>
      <c r="GO10" s="71"/>
      <c r="GP10" s="32"/>
      <c r="GQ10" s="72" t="str">
        <f t="array" ref="GQ10">IFERROR(IF(XLOOKUP(CONCAT(GO10,GP10),'MASTER PLAN'!$AB:$AB,'MASTER PLAN'!$J:$J,0,0)=0,"",XLOOKUP(CONCAT(GO10,GP10),'MASTER PLAN'!$AB:$AB,'MASTER PLAN'!$J:$J,0,0)),"")</f>
        <v/>
      </c>
      <c r="GR10" s="73" t="str">
        <f t="array" ref="GR10">IFERROR(IF(XLOOKUP(CONCAT(GO10,GP10),'PROCESOS PRD'!$J:$J,'PROCESOS PRD'!$H:$H,0,0)=0,"",XLOOKUP(CONCAT(GO10,GP10),'PROCESOS PRD'!$J:$J,'PROCESOS PRD'!$H:$H,0,0)),"")</f>
        <v/>
      </c>
      <c r="GS10" s="71"/>
      <c r="GT10" s="32"/>
      <c r="GU10" s="72" t="str">
        <f t="array" ref="GU10">IFERROR(IF(XLOOKUP(CONCAT(GS10,GT10),'MASTER PLAN'!$AB:$AB,'MASTER PLAN'!$J:$J,0,0)=0,"",XLOOKUP(CONCAT(GS10,GT10),'MASTER PLAN'!$AB:$AB,'MASTER PLAN'!$J:$J,0,0)),"")</f>
        <v/>
      </c>
      <c r="GV10" s="73" t="str">
        <f t="array" ref="GV10">IFERROR(IF(XLOOKUP(CONCAT(GS10,GT10),'PROCESOS PRD'!$J:$J,'PROCESOS PRD'!$H:$H,0,0)=0,"",XLOOKUP(CONCAT(GS10,GT10),'PROCESOS PRD'!$J:$J,'PROCESOS PRD'!$H:$H,0,0)),"")</f>
        <v/>
      </c>
      <c r="GW10" s="71"/>
      <c r="GX10" s="32"/>
      <c r="GY10" s="72" t="str">
        <f t="array" ref="GY10">IFERROR(IF(XLOOKUP(CONCAT(GW10,GX10),'MASTER PLAN'!$AB:$AB,'MASTER PLAN'!$J:$J,0,0)=0,"",XLOOKUP(CONCAT(GW10,GX10),'MASTER PLAN'!$AB:$AB,'MASTER PLAN'!$J:$J,0,0)),"")</f>
        <v/>
      </c>
      <c r="GZ10" s="73" t="str">
        <f t="array" ref="GZ10">IFERROR(IF(XLOOKUP(CONCAT(GW10,GX10),'PROCESOS PRD'!$J:$J,'PROCESOS PRD'!$H:$H,0,0)=0,"",XLOOKUP(CONCAT(GW10,GX10),'PROCESOS PRD'!$J:$J,'PROCESOS PRD'!$H:$H,0,0)),"")</f>
        <v/>
      </c>
      <c r="HA10" s="71"/>
      <c r="HB10" s="32"/>
      <c r="HC10" s="72" t="str">
        <f t="array" ref="HC10">IFERROR(IF(XLOOKUP(CONCAT(HA10,HB10),'MASTER PLAN'!$AB:$AB,'MASTER PLAN'!$J:$J,0,0)=0,"",XLOOKUP(CONCAT(HA10,HB10),'MASTER PLAN'!$AB:$AB,'MASTER PLAN'!$J:$J,0,0)),"")</f>
        <v/>
      </c>
      <c r="HD10" s="73" t="str">
        <f t="array" ref="HD10">IFERROR(IF(XLOOKUP(CONCAT(HA10,HB10),'PROCESOS PRD'!$J:$J,'PROCESOS PRD'!$H:$H,0,0)=0,"",XLOOKUP(CONCAT(HA10,HB10),'PROCESOS PRD'!$J:$J,'PROCESOS PRD'!$H:$H,0,0)),"")</f>
        <v/>
      </c>
      <c r="HE10" s="71"/>
      <c r="HF10" s="32"/>
      <c r="HG10" s="72" t="str">
        <f t="array" ref="HG10">IFERROR(IF(XLOOKUP(CONCAT(HE10,HF10),'MASTER PLAN'!$AB:$AB,'MASTER PLAN'!$J:$J,0,0)=0,"",XLOOKUP(CONCAT(HE10,HF10),'MASTER PLAN'!$AB:$AB,'MASTER PLAN'!$J:$J,0,0)),"")</f>
        <v/>
      </c>
      <c r="HH10" s="73" t="str">
        <f t="array" ref="HH10">IFERROR(IF(XLOOKUP(CONCAT(HE10,HF10),'PROCESOS PRD'!$J:$J,'PROCESOS PRD'!$H:$H,0,0)=0,"",XLOOKUP(CONCAT(HE10,HF10),'PROCESOS PRD'!$J:$J,'PROCESOS PRD'!$H:$H,0,0)),"")</f>
        <v/>
      </c>
      <c r="HI10" s="71"/>
      <c r="HJ10" s="32"/>
      <c r="HK10" s="72" t="str">
        <f t="array" ref="HK10">IFERROR(IF(XLOOKUP(CONCAT(HI10,HJ10),'MASTER PLAN'!$AB:$AB,'MASTER PLAN'!$J:$J,0,0)=0,"",XLOOKUP(CONCAT(HI10,HJ10),'MASTER PLAN'!$AB:$AB,'MASTER PLAN'!$J:$J,0,0)),"")</f>
        <v/>
      </c>
      <c r="HL10" s="73" t="str">
        <f t="array" ref="HL10">IFERROR(IF(XLOOKUP(CONCAT(HI10,HJ10),'PROCESOS PRD'!$J:$J,'PROCESOS PRD'!$H:$H,0,0)=0,"",XLOOKUP(CONCAT(HI10,HJ10),'PROCESOS PRD'!$J:$J,'PROCESOS PRD'!$H:$H,0,0)),"")</f>
        <v/>
      </c>
      <c r="HM10" s="70"/>
      <c r="HN10" s="71"/>
      <c r="HO10" s="32"/>
      <c r="HP10" s="72" t="str">
        <f t="array" ref="HP10">IFERROR(IF(XLOOKUP(CONCAT(HN10,HO10),'MASTER PLAN'!$AB:$AB,'MASTER PLAN'!$J:$J,0,0)=0,"",XLOOKUP(CONCAT(HN10,HO10),'MASTER PLAN'!$AB:$AB,'MASTER PLAN'!$J:$J,0,0)),"")</f>
        <v/>
      </c>
      <c r="HQ10" s="73" t="str">
        <f t="array" ref="HQ10">IFERROR(IF(XLOOKUP(CONCAT(HN10,HO10),'PROCESOS PRD'!$J:$J,'PROCESOS PRD'!$H:$H,0,0)=0,"",XLOOKUP(CONCAT(HN10,HO10),'PROCESOS PRD'!$J:$J,'PROCESOS PRD'!$H:$H,0,0)),"")</f>
        <v/>
      </c>
      <c r="HR10" s="71"/>
      <c r="HS10" s="32"/>
      <c r="HT10" s="72" t="str">
        <f t="array" ref="HT10">IFERROR(IF(XLOOKUP(CONCAT(HR10,HS10),'MASTER PLAN'!$AB:$AB,'MASTER PLAN'!$J:$J,0,0)=0,"",XLOOKUP(CONCAT(HR10,HS10),'MASTER PLAN'!$AB:$AB,'MASTER PLAN'!$J:$J,0,0)),"")</f>
        <v/>
      </c>
      <c r="HU10" s="73" t="str">
        <f t="array" ref="HU10">IFERROR(IF(XLOOKUP(CONCAT(HR10,HS10),'PROCESOS PRD'!$J:$J,'PROCESOS PRD'!$H:$H,0,0)=0,"",XLOOKUP(CONCAT(HR10,HS10),'PROCESOS PRD'!$J:$J,'PROCESOS PRD'!$H:$H,0,0)),"")</f>
        <v/>
      </c>
      <c r="HV10" s="71"/>
      <c r="HW10" s="32"/>
      <c r="HX10" s="72" t="str">
        <f t="array" ref="HX10">IFERROR(IF(XLOOKUP(CONCAT(HV10,HW10),'MASTER PLAN'!$AB:$AB,'MASTER PLAN'!$J:$J,0,0)=0,"",XLOOKUP(CONCAT(HV10,HW10),'MASTER PLAN'!$AB:$AB,'MASTER PLAN'!$J:$J,0,0)),"")</f>
        <v/>
      </c>
      <c r="HY10" s="73" t="str">
        <f t="array" ref="HY10">IFERROR(IF(XLOOKUP(CONCAT(HV10,HW10),'PROCESOS PRD'!$J:$J,'PROCESOS PRD'!$H:$H,0,0)=0,"",XLOOKUP(CONCAT(HV10,HW10),'PROCESOS PRD'!$J:$J,'PROCESOS PRD'!$H:$H,0,0)),"")</f>
        <v/>
      </c>
      <c r="HZ10" s="71"/>
      <c r="IA10" s="32"/>
      <c r="IB10" s="72" t="str">
        <f t="array" ref="IB10">IFERROR(IF(XLOOKUP(CONCAT(HZ10,IA10),'MASTER PLAN'!$AB:$AB,'MASTER PLAN'!$J:$J,0,0)=0,"",XLOOKUP(CONCAT(HZ10,IA10),'MASTER PLAN'!$AB:$AB,'MASTER PLAN'!$J:$J,0,0)),"")</f>
        <v/>
      </c>
      <c r="IC10" s="73" t="str">
        <f t="array" ref="IC10">IFERROR(IF(XLOOKUP(CONCAT(HZ10,IA10),'PROCESOS PRD'!$J:$J,'PROCESOS PRD'!$H:$H,0,0)=0,"",XLOOKUP(CONCAT(HZ10,IA10),'PROCESOS PRD'!$J:$J,'PROCESOS PRD'!$H:$H,0,0)),"")</f>
        <v/>
      </c>
      <c r="ID10" s="71"/>
      <c r="IE10" s="32"/>
      <c r="IF10" s="72" t="str">
        <f t="array" ref="IF10">IFERROR(IF(XLOOKUP(CONCAT(ID10,IE10),'MASTER PLAN'!$AB:$AB,'MASTER PLAN'!$J:$J,0,0)=0,"",XLOOKUP(CONCAT(ID10,IE10),'MASTER PLAN'!$AB:$AB,'MASTER PLAN'!$J:$J,0,0)),"")</f>
        <v/>
      </c>
      <c r="IG10" s="73" t="str">
        <f t="array" ref="IG10">IFERROR(IF(XLOOKUP(CONCAT(ID10,IE10),'PROCESOS PRD'!$J:$J,'PROCESOS PRD'!$H:$H,0,0)=0,"",XLOOKUP(CONCAT(ID10,IE10),'PROCESOS PRD'!$J:$J,'PROCESOS PRD'!$H:$H,0,0)),"")</f>
        <v/>
      </c>
      <c r="IH10" s="71"/>
      <c r="II10" s="32"/>
      <c r="IJ10" s="72" t="str">
        <f t="array" ref="IJ10">IFERROR(IF(XLOOKUP(CONCAT(IH10,II10),'MASTER PLAN'!$AB:$AB,'MASTER PLAN'!$J:$J,0,0)=0,"",XLOOKUP(CONCAT(IH10,II10),'MASTER PLAN'!$AB:$AB,'MASTER PLAN'!$J:$J,0,0)),"")</f>
        <v/>
      </c>
      <c r="IK10" s="73" t="str">
        <f t="array" ref="IK10">IFERROR(IF(XLOOKUP(CONCAT(IH10,II10),'PROCESOS PRD'!$J:$J,'PROCESOS PRD'!$H:$H,0,0)=0,"",XLOOKUP(CONCAT(IH10,II10),'PROCESOS PRD'!$J:$J,'PROCESOS PRD'!$H:$H,0,0)),"")</f>
        <v/>
      </c>
      <c r="IL10" s="70"/>
      <c r="IM10" s="71"/>
      <c r="IN10" s="32"/>
      <c r="IO10" s="72" t="str">
        <f t="array" ref="IO10">IFERROR(IF(XLOOKUP(CONCAT(IM10,IN10),'MASTER PLAN'!$AB:$AB,'MASTER PLAN'!$J:$J,0,0)=0,"",XLOOKUP(CONCAT(IM10,IN10),'MASTER PLAN'!$AB:$AB,'MASTER PLAN'!$J:$J,0,0)),"")</f>
        <v/>
      </c>
      <c r="IP10" s="73" t="str">
        <f t="array" ref="IP10">IFERROR(IF(XLOOKUP(CONCAT(IM10,IN10),'PROCESOS PRD'!$J:$J,'PROCESOS PRD'!$H:$H,0,0)=0,"",XLOOKUP(CONCAT(IM10,IN10),'PROCESOS PRD'!$J:$J,'PROCESOS PRD'!$H:$H,0,0)),"")</f>
        <v/>
      </c>
      <c r="IQ10" s="71"/>
      <c r="IR10" s="32"/>
      <c r="IS10" s="72" t="str">
        <f t="array" ref="IS10">IFERROR(IF(XLOOKUP(CONCAT(IQ10,IR10),'MASTER PLAN'!$AB:$AB,'MASTER PLAN'!$J:$J,0,0)=0,"",XLOOKUP(CONCAT(IQ10,IR10),'MASTER PLAN'!$AB:$AB,'MASTER PLAN'!$J:$J,0,0)),"")</f>
        <v/>
      </c>
      <c r="IT10" s="73" t="str">
        <f t="array" ref="IT10">IFERROR(IF(XLOOKUP(CONCAT(IQ10,IR10),'PROCESOS PRD'!$J:$J,'PROCESOS PRD'!$H:$H,0,0)=0,"",XLOOKUP(CONCAT(IQ10,IR10),'PROCESOS PRD'!$J:$J,'PROCESOS PRD'!$H:$H,0,0)),"")</f>
        <v/>
      </c>
      <c r="IU10" s="71"/>
      <c r="IV10" s="32"/>
      <c r="IW10" s="72" t="str">
        <f t="array" ref="IW10">IFERROR(IF(XLOOKUP(CONCAT(IU10,IV10),'MASTER PLAN'!$AB:$AB,'MASTER PLAN'!$J:$J,0,0)=0,"",XLOOKUP(CONCAT(IU10,IV10),'MASTER PLAN'!$AB:$AB,'MASTER PLAN'!$J:$J,0,0)),"")</f>
        <v/>
      </c>
      <c r="IX10" s="73" t="str">
        <f t="array" ref="IX10">IFERROR(IF(XLOOKUP(CONCAT(IU10,IV10),'PROCESOS PRD'!$J:$J,'PROCESOS PRD'!$H:$H,0,0)=0,"",XLOOKUP(CONCAT(IU10,IV10),'PROCESOS PRD'!$J:$J,'PROCESOS PRD'!$H:$H,0,0)),"")</f>
        <v/>
      </c>
      <c r="IY10" s="71"/>
      <c r="IZ10" s="32"/>
      <c r="JA10" s="72" t="str">
        <f t="array" ref="JA10">IFERROR(IF(XLOOKUP(CONCAT(IY10,IZ10),'MASTER PLAN'!$AB:$AB,'MASTER PLAN'!$J:$J,0,0)=0,"",XLOOKUP(CONCAT(IY10,IZ10),'MASTER PLAN'!$AB:$AB,'MASTER PLAN'!$J:$J,0,0)),"")</f>
        <v/>
      </c>
      <c r="JB10" s="73" t="str">
        <f t="array" ref="JB10">IFERROR(IF(XLOOKUP(CONCAT(IY10,IZ10),'PROCESOS PRD'!$J:$J,'PROCESOS PRD'!$H:$H,0,0)=0,"",XLOOKUP(CONCAT(IY10,IZ10),'PROCESOS PRD'!$J:$J,'PROCESOS PRD'!$H:$H,0,0)),"")</f>
        <v/>
      </c>
      <c r="JC10" s="71"/>
      <c r="JD10" s="32"/>
      <c r="JE10" s="72" t="str">
        <f t="array" ref="JE10">IFERROR(IF(XLOOKUP(CONCAT(JC10,JD10),'MASTER PLAN'!$AB:$AB,'MASTER PLAN'!$J:$J,0,0)=0,"",XLOOKUP(CONCAT(JC10,JD10),'MASTER PLAN'!$AB:$AB,'MASTER PLAN'!$J:$J,0,0)),"")</f>
        <v/>
      </c>
      <c r="JF10" s="73" t="str">
        <f t="array" ref="JF10">IFERROR(IF(XLOOKUP(CONCAT(JC10,JD10),'PROCESOS PRD'!$J:$J,'PROCESOS PRD'!$H:$H,0,0)=0,"",XLOOKUP(CONCAT(JC10,JD10),'PROCESOS PRD'!$J:$J,'PROCESOS PRD'!$H:$H,0,0)),"")</f>
        <v/>
      </c>
      <c r="JG10" s="71"/>
      <c r="JH10" s="32"/>
      <c r="JI10" s="72" t="str">
        <f t="array" ref="JI10">IFERROR(IF(XLOOKUP(CONCAT(JG10,JH10),'MASTER PLAN'!$AB:$AB,'MASTER PLAN'!$J:$J,0,0)=0,"",XLOOKUP(CONCAT(JG10,JH10),'MASTER PLAN'!$AB:$AB,'MASTER PLAN'!$J:$J,0,0)),"")</f>
        <v/>
      </c>
      <c r="JJ10" s="73" t="str">
        <f t="array" ref="JJ10">IFERROR(IF(XLOOKUP(CONCAT(JG10,JH10),'PROCESOS PRD'!$J:$J,'PROCESOS PRD'!$H:$H,0,0)=0,"",XLOOKUP(CONCAT(JG10,JH10),'PROCESOS PRD'!$J:$J,'PROCESOS PRD'!$H:$H,0,0)),"")</f>
        <v/>
      </c>
      <c r="JK10" s="70"/>
      <c r="JL10" s="71"/>
      <c r="JM10" s="32"/>
      <c r="JN10" s="72" t="str">
        <f t="array" ref="JN10">IFERROR(IF(XLOOKUP(CONCAT(JL10,JM10),'MASTER PLAN'!$AB:$AB,'MASTER PLAN'!$J:$J,0,0)=0,"",XLOOKUP(CONCAT(JL10,JM10),'MASTER PLAN'!$AB:$AB,'MASTER PLAN'!$J:$J,0,0)),"")</f>
        <v/>
      </c>
      <c r="JO10" s="73" t="str">
        <f t="array" ref="JO10">IFERROR(IF(XLOOKUP(CONCAT(JL10,JM10),'PROCESOS PRD'!$J:$J,'PROCESOS PRD'!$H:$H,0,0)=0,"",XLOOKUP(CONCAT(JL10,JM10),'PROCESOS PRD'!$J:$J,'PROCESOS PRD'!$H:$H,0,0)),"")</f>
        <v/>
      </c>
      <c r="JP10" s="71"/>
      <c r="JQ10" s="32"/>
      <c r="JR10" s="72" t="str">
        <f t="array" ref="JR10">IFERROR(IF(XLOOKUP(CONCAT(JP10,JQ10),'MASTER PLAN'!$AB:$AB,'MASTER PLAN'!$J:$J,0,0)=0,"",XLOOKUP(CONCAT(JP10,JQ10),'MASTER PLAN'!$AB:$AB,'MASTER PLAN'!$J:$J,0,0)),"")</f>
        <v/>
      </c>
      <c r="JS10" s="73" t="str">
        <f t="array" ref="JS10">IFERROR(IF(XLOOKUP(CONCAT(JP10,JQ10),'PROCESOS PRD'!$J:$J,'PROCESOS PRD'!$H:$H,0,0)=0,"",XLOOKUP(CONCAT(JP10,JQ10),'PROCESOS PRD'!$J:$J,'PROCESOS PRD'!$H:$H,0,0)),"")</f>
        <v/>
      </c>
      <c r="JT10" s="71"/>
      <c r="JU10" s="32"/>
      <c r="JV10" s="72" t="str">
        <f t="array" ref="JV10">IFERROR(IF(XLOOKUP(CONCAT(JT10,JU10),'MASTER PLAN'!$AB:$AB,'MASTER PLAN'!$J:$J,0,0)=0,"",XLOOKUP(CONCAT(JT10,JU10),'MASTER PLAN'!$AB:$AB,'MASTER PLAN'!$J:$J,0,0)),"")</f>
        <v/>
      </c>
      <c r="JW10" s="73" t="str">
        <f t="array" ref="JW10">IFERROR(IF(XLOOKUP(CONCAT(JT10,JU10),'PROCESOS PRD'!$J:$J,'PROCESOS PRD'!$H:$H,0,0)=0,"",XLOOKUP(CONCAT(JT10,JU10),'PROCESOS PRD'!$J:$J,'PROCESOS PRD'!$H:$H,0,0)),"")</f>
        <v/>
      </c>
      <c r="JX10" s="71"/>
      <c r="JY10" s="32"/>
      <c r="JZ10" s="72" t="str">
        <f t="array" ref="JZ10">IFERROR(IF(XLOOKUP(CONCAT(JX10,JY10),'MASTER PLAN'!$AB:$AB,'MASTER PLAN'!$J:$J,0,0)=0,"",XLOOKUP(CONCAT(JX10,JY10),'MASTER PLAN'!$AB:$AB,'MASTER PLAN'!$J:$J,0,0)),"")</f>
        <v/>
      </c>
      <c r="KA10" s="73" t="str">
        <f t="array" ref="KA10">IFERROR(IF(XLOOKUP(CONCAT(JX10,JY10),'PROCESOS PRD'!$J:$J,'PROCESOS PRD'!$H:$H,0,0)=0,"",XLOOKUP(CONCAT(JX10,JY10),'PROCESOS PRD'!$J:$J,'PROCESOS PRD'!$H:$H,0,0)),"")</f>
        <v/>
      </c>
      <c r="KB10" s="71"/>
      <c r="KC10" s="32"/>
      <c r="KD10" s="72" t="str">
        <f t="array" ref="KD10">IFERROR(IF(XLOOKUP(CONCAT(KB10,KC10),'MASTER PLAN'!$AB:$AB,'MASTER PLAN'!$J:$J,0,0)=0,"",XLOOKUP(CONCAT(KB10,KC10),'MASTER PLAN'!$AB:$AB,'MASTER PLAN'!$J:$J,0,0)),"")</f>
        <v/>
      </c>
      <c r="KE10" s="73" t="str">
        <f t="array" ref="KE10">IFERROR(IF(XLOOKUP(CONCAT(KB10,KC10),'PROCESOS PRD'!$J:$J,'PROCESOS PRD'!$H:$H,0,0)=0,"",XLOOKUP(CONCAT(KB10,KC10),'PROCESOS PRD'!$J:$J,'PROCESOS PRD'!$H:$H,0,0)),"")</f>
        <v/>
      </c>
      <c r="KF10" s="71"/>
      <c r="KG10" s="32"/>
      <c r="KH10" s="72" t="str">
        <f t="array" ref="KH10">IFERROR(IF(XLOOKUP(CONCAT(KF10,KG10),'MASTER PLAN'!$AB:$AB,'MASTER PLAN'!$J:$J,0,0)=0,"",XLOOKUP(CONCAT(KF10,KG10),'MASTER PLAN'!$AB:$AB,'MASTER PLAN'!$J:$J,0,0)),"")</f>
        <v/>
      </c>
      <c r="KI10" s="73" t="str">
        <f t="array" ref="KI10">IFERROR(IF(XLOOKUP(CONCAT(KF10,KG10),'PROCESOS PRD'!$J:$J,'PROCESOS PRD'!$H:$H,0,0)=0,"",XLOOKUP(CONCAT(KF10,KG10),'PROCESOS PRD'!$J:$J,'PROCESOS PRD'!$H:$H,0,0)),"")</f>
        <v/>
      </c>
      <c r="KJ10" s="70"/>
      <c r="KK10" s="70"/>
      <c r="KL10" s="70"/>
      <c r="KM10" s="70"/>
      <c r="KN10" s="70"/>
      <c r="KO10" s="70"/>
      <c r="KP10" s="70"/>
      <c r="KQ10" s="70"/>
      <c r="KR10" s="70"/>
      <c r="KS10" s="70"/>
      <c r="KT10" s="70"/>
      <c r="KU10" s="70"/>
      <c r="KV10" s="70"/>
      <c r="KW10" s="70"/>
      <c r="KX10" s="70"/>
      <c r="KY10" s="70"/>
      <c r="KZ10" s="70"/>
      <c r="LA10" s="70"/>
      <c r="LB10" s="70"/>
      <c r="LC10" s="70"/>
    </row>
    <row r="11">
      <c r="A11" s="42"/>
      <c r="B11" s="74"/>
      <c r="C11" s="69"/>
      <c r="D11" s="70"/>
      <c r="E11" s="71"/>
      <c r="F11" s="32"/>
      <c r="G11" s="72" t="str">
        <f t="array" ref="G11">IFERROR(IF(XLOOKUP(CONCAT(E11,F11),'MASTER PLAN'!$AB:$AB,'MASTER PLAN'!$J:$J,0,0)=0,"",XLOOKUP(CONCAT(E11,F11),'MASTER PLAN'!$AB:$AB,'MASTER PLAN'!$J:$J,0,0)),"")</f>
        <v/>
      </c>
      <c r="H11" s="73" t="str">
        <f t="array" ref="H11">IFERROR(IF(XLOOKUP(CONCAT(E11,F11),'PROCESOS PRD'!$J:$J,'PROCESOS PRD'!$H:$H,0,0)=0,"",XLOOKUP(CONCAT(E11,F11),'PROCESOS PRD'!$J:$J,'PROCESOS PRD'!$H:$H,0,0)),"")</f>
        <v/>
      </c>
      <c r="I11" s="71"/>
      <c r="J11" s="32"/>
      <c r="K11" s="72" t="str">
        <f t="array" ref="K11">IFERROR(IF(XLOOKUP(CONCAT(I11,J11),'MASTER PLAN'!$AB:$AB,'MASTER PLAN'!$J:$J,0,0)=0,"",XLOOKUP(CONCAT(I11,J11),'MASTER PLAN'!$AB:$AB,'MASTER PLAN'!$J:$J,0,0)),"")</f>
        <v/>
      </c>
      <c r="L11" s="73" t="str">
        <f t="array" ref="L11">IFERROR(IF(XLOOKUP(CONCAT(I11,J11),'PROCESOS PRD'!$J:$J,'PROCESOS PRD'!$H:$H,0,0)=0,"",XLOOKUP(CONCAT(I11,J11),'PROCESOS PRD'!$J:$J,'PROCESOS PRD'!$H:$H,0,0)),"")</f>
        <v/>
      </c>
      <c r="M11" s="71"/>
      <c r="N11" s="32"/>
      <c r="O11" s="72" t="str">
        <f t="array" ref="O11">IFERROR(IF(XLOOKUP(CONCAT(M11,N11),'MASTER PLAN'!$AB:$AB,'MASTER PLAN'!$J:$J,0,0)=0,"",XLOOKUP(CONCAT(M11,N11),'MASTER PLAN'!$AB:$AB,'MASTER PLAN'!$J:$J,0,0)),"")</f>
        <v/>
      </c>
      <c r="P11" s="73" t="str">
        <f t="array" ref="P11">IFERROR(IF(XLOOKUP(CONCAT(M11,N11),'PROCESOS PRD'!$J:$J,'PROCESOS PRD'!$H:$H,0,0)=0,"",XLOOKUP(CONCAT(M11,N11),'PROCESOS PRD'!$J:$J,'PROCESOS PRD'!$H:$H,0,0)),"")</f>
        <v/>
      </c>
      <c r="Q11" s="71"/>
      <c r="R11" s="32"/>
      <c r="S11" s="72" t="str">
        <f t="array" ref="S11">IFERROR(IF(XLOOKUP(CONCAT(Q11,R11),'MASTER PLAN'!$AB:$AB,'MASTER PLAN'!$J:$J,0,0)=0,"",XLOOKUP(CONCAT(Q11,R11),'MASTER PLAN'!$AB:$AB,'MASTER PLAN'!$J:$J,0,0)),"")</f>
        <v/>
      </c>
      <c r="T11" s="73" t="str">
        <f t="array" ref="T11">IFERROR(IF(XLOOKUP(CONCAT(Q11,R11),'PROCESOS PRD'!$J:$J,'PROCESOS PRD'!$H:$H,0,0)=0,"",XLOOKUP(CONCAT(Q11,R11),'PROCESOS PRD'!$J:$J,'PROCESOS PRD'!$H:$H,0,0)),"")</f>
        <v/>
      </c>
      <c r="U11" s="70"/>
      <c r="V11" s="71"/>
      <c r="W11" s="32"/>
      <c r="X11" s="72" t="str">
        <f t="array" ref="X11">IFERROR(IF(XLOOKUP(CONCAT(V11,W11),'MASTER PLAN'!$AB:$AB,'MASTER PLAN'!$J:$J,0,0)=0,"",XLOOKUP(CONCAT(V11,W11),'MASTER PLAN'!$AB:$AB,'MASTER PLAN'!$J:$J,0,0)),"")</f>
        <v/>
      </c>
      <c r="Y11" s="73" t="str">
        <f t="array" ref="Y11">IFERROR(IF(XLOOKUP(CONCAT(V11,W11),'PROCESOS PRD'!$J:$J,'PROCESOS PRD'!$H:$H,0,0)=0,"",XLOOKUP(CONCAT(V11,W11),'PROCESOS PRD'!$J:$J,'PROCESOS PRD'!$H:$H,0,0)),"")</f>
        <v/>
      </c>
      <c r="Z11" s="71"/>
      <c r="AA11" s="32"/>
      <c r="AB11" s="72" t="str">
        <f t="array" ref="AB11">IFERROR(IF(XLOOKUP(CONCAT(Z11,AA11),'MASTER PLAN'!$AB:$AB,'MASTER PLAN'!$J:$J,0,0)=0,"",XLOOKUP(CONCAT(Z11,AA11),'MASTER PLAN'!$AB:$AB,'MASTER PLAN'!$J:$J,0,0)),"")</f>
        <v/>
      </c>
      <c r="AC11" s="73" t="str">
        <f t="array" ref="AC11">IFERROR(IF(XLOOKUP(CONCAT(Z11,AA11),'PROCESOS PRD'!$J:$J,'PROCESOS PRD'!$H:$H,0,0)=0,"",XLOOKUP(CONCAT(Z11,AA11),'PROCESOS PRD'!$J:$J,'PROCESOS PRD'!$H:$H,0,0)),"")</f>
        <v/>
      </c>
      <c r="AD11" s="71"/>
      <c r="AE11" s="32"/>
      <c r="AF11" s="72" t="str">
        <f t="array" ref="AF11">IFERROR(IF(XLOOKUP(CONCAT(AD11,AE11),'MASTER PLAN'!$AB:$AB,'MASTER PLAN'!$J:$J,0,0)=0,"",XLOOKUP(CONCAT(AD11,AE11),'MASTER PLAN'!$AB:$AB,'MASTER PLAN'!$J:$J,0,0)),"")</f>
        <v/>
      </c>
      <c r="AG11" s="73" t="str">
        <f t="array" ref="AG11">IFERROR(IF(XLOOKUP(CONCAT(AD11,AE11),'PROCESOS PRD'!$J:$J,'PROCESOS PRD'!$H:$H,0,0)=0,"",XLOOKUP(CONCAT(AD11,AE11),'PROCESOS PRD'!$J:$J,'PROCESOS PRD'!$H:$H,0,0)),"")</f>
        <v/>
      </c>
      <c r="AH11" s="71"/>
      <c r="AI11" s="32"/>
      <c r="AJ11" s="72" t="str">
        <f t="array" ref="AJ11">IFERROR(IF(XLOOKUP(CONCAT(AH11,AI11),'MASTER PLAN'!$AB:$AB,'MASTER PLAN'!$J:$J,0,0)=0,"",XLOOKUP(CONCAT(AH11,AI11),'MASTER PLAN'!$AB:$AB,'MASTER PLAN'!$J:$J,0,0)),"")</f>
        <v/>
      </c>
      <c r="AK11" s="73" t="str">
        <f t="array" ref="AK11">IFERROR(IF(XLOOKUP(CONCAT(AH11,AI11),'PROCESOS PRD'!$J:$J,'PROCESOS PRD'!$H:$H,0,0)=0,"",XLOOKUP(CONCAT(AH11,AI11),'PROCESOS PRD'!$J:$J,'PROCESOS PRD'!$H:$H,0,0)),"")</f>
        <v/>
      </c>
      <c r="AL11" s="71"/>
      <c r="AM11" s="32"/>
      <c r="AN11" s="72" t="str">
        <f t="array" ref="AN11">IFERROR(IF(XLOOKUP(CONCAT(AL11,AM11),'MASTER PLAN'!$AB:$AB,'MASTER PLAN'!$J:$J,0,0)=0,"",XLOOKUP(CONCAT(AL11,AM11),'MASTER PLAN'!$AB:$AB,'MASTER PLAN'!$J:$J,0,0)),"")</f>
        <v/>
      </c>
      <c r="AO11" s="73" t="str">
        <f t="array" ref="AO11">IFERROR(IF(XLOOKUP(CONCAT(AL11,AM11),'PROCESOS PRD'!$J:$J,'PROCESOS PRD'!$H:$H,0,0)=0,"",XLOOKUP(CONCAT(AL11,AM11),'PROCESOS PRD'!$J:$J,'PROCESOS PRD'!$H:$H,0,0)),"")</f>
        <v/>
      </c>
      <c r="AP11" s="71"/>
      <c r="AQ11" s="32"/>
      <c r="AR11" s="72" t="str">
        <f t="array" ref="AR11">IFERROR(IF(XLOOKUP(CONCAT(AP11,AQ11),'MASTER PLAN'!$AB:$AB,'MASTER PLAN'!$J:$J,0,0)=0,"",XLOOKUP(CONCAT(AP11,AQ11),'MASTER PLAN'!$AB:$AB,'MASTER PLAN'!$J:$J,0,0)),"")</f>
        <v/>
      </c>
      <c r="AS11" s="73" t="str">
        <f t="array" ref="AS11">IFERROR(IF(XLOOKUP(CONCAT(AP11,AQ11),'PROCESOS PRD'!$J:$J,'PROCESOS PRD'!$H:$H,0,0)=0,"",XLOOKUP(CONCAT(AP11,AQ11),'PROCESOS PRD'!$J:$J,'PROCESOS PRD'!$H:$H,0,0)),"")</f>
        <v/>
      </c>
      <c r="AT11" s="70"/>
      <c r="AU11" s="71"/>
      <c r="AV11" s="32"/>
      <c r="AW11" s="72" t="str">
        <f t="array" ref="AW11">IFERROR(IF(XLOOKUP(CONCAT(AU11,AV11),'MASTER PLAN'!$AB:$AB,'MASTER PLAN'!$J:$J,0,0)=0,"",XLOOKUP(CONCAT(AU11,AV11),'MASTER PLAN'!$AB:$AB,'MASTER PLAN'!$J:$J,0,0)),"")</f>
        <v/>
      </c>
      <c r="AX11" s="73" t="str">
        <f t="array" ref="AX11">IFERROR(IF(XLOOKUP(CONCAT(AU11,AV11),'PROCESOS PRD'!$J:$J,'PROCESOS PRD'!$H:$H,0,0)=0,"",XLOOKUP(CONCAT(AU11,AV11),'PROCESOS PRD'!$J:$J,'PROCESOS PRD'!$H:$H,0,0)),"")</f>
        <v/>
      </c>
      <c r="AY11" s="71"/>
      <c r="AZ11" s="32"/>
      <c r="BA11" s="72" t="str">
        <f t="array" ref="BA11">IFERROR(IF(XLOOKUP(CONCAT(AY11,AZ11),'MASTER PLAN'!$AB:$AB,'MASTER PLAN'!$J:$J,0,0)=0,"",XLOOKUP(CONCAT(AY11,AZ11),'MASTER PLAN'!$AB:$AB,'MASTER PLAN'!$J:$J,0,0)),"")</f>
        <v/>
      </c>
      <c r="BB11" s="73" t="str">
        <f t="array" ref="BB11">IFERROR(IF(XLOOKUP(CONCAT(AY11,AZ11),'PROCESOS PRD'!$J:$J,'PROCESOS PRD'!$H:$H,0,0)=0,"",XLOOKUP(CONCAT(AY11,AZ11),'PROCESOS PRD'!$J:$J,'PROCESOS PRD'!$H:$H,0,0)),"")</f>
        <v/>
      </c>
      <c r="BC11" s="71"/>
      <c r="BD11" s="32"/>
      <c r="BE11" s="72" t="str">
        <f t="array" ref="BE11">IFERROR(IF(XLOOKUP(CONCAT(BC11,BD11),'MASTER PLAN'!$AB:$AB,'MASTER PLAN'!$J:$J,0,0)=0,"",XLOOKUP(CONCAT(BC11,BD11),'MASTER PLAN'!$AB:$AB,'MASTER PLAN'!$J:$J,0,0)),"")</f>
        <v/>
      </c>
      <c r="BF11" s="73" t="str">
        <f t="array" ref="BF11">IFERROR(IF(XLOOKUP(CONCAT(BC11,BD11),'PROCESOS PRD'!$J:$J,'PROCESOS PRD'!$H:$H,0,0)=0,"",XLOOKUP(CONCAT(BC11,BD11),'PROCESOS PRD'!$J:$J,'PROCESOS PRD'!$H:$H,0,0)),"")</f>
        <v/>
      </c>
      <c r="BG11" s="71"/>
      <c r="BH11" s="32"/>
      <c r="BI11" s="72" t="str">
        <f t="array" ref="BI11">IFERROR(IF(XLOOKUP(CONCAT(BG11,BH11),'MASTER PLAN'!$AB:$AB,'MASTER PLAN'!$J:$J,0,0)=0,"",XLOOKUP(CONCAT(BG11,BH11),'MASTER PLAN'!$AB:$AB,'MASTER PLAN'!$J:$J,0,0)),"")</f>
        <v/>
      </c>
      <c r="BJ11" s="73" t="str">
        <f t="array" ref="BJ11">IFERROR(IF(XLOOKUP(CONCAT(BG11,BH11),'PROCESOS PRD'!$J:$J,'PROCESOS PRD'!$H:$H,0,0)=0,"",XLOOKUP(CONCAT(BG11,BH11),'PROCESOS PRD'!$J:$J,'PROCESOS PRD'!$H:$H,0,0)),"")</f>
        <v/>
      </c>
      <c r="BK11" s="71"/>
      <c r="BL11" s="32"/>
      <c r="BM11" s="72" t="str">
        <f t="array" ref="BM11">IFERROR(IF(XLOOKUP(CONCAT(BK11,BL11),'MASTER PLAN'!$AB:$AB,'MASTER PLAN'!$J:$J,0,0)=0,"",XLOOKUP(CONCAT(BK11,BL11),'MASTER PLAN'!$AB:$AB,'MASTER PLAN'!$J:$J,0,0)),"")</f>
        <v/>
      </c>
      <c r="BN11" s="73" t="str">
        <f t="array" ref="BN11">IFERROR(IF(XLOOKUP(CONCAT(BK11,BL11),'PROCESOS PRD'!$J:$J,'PROCESOS PRD'!$H:$H,0,0)=0,"",XLOOKUP(CONCAT(BK11,BL11),'PROCESOS PRD'!$J:$J,'PROCESOS PRD'!$H:$H,0,0)),"")</f>
        <v/>
      </c>
      <c r="BO11" s="71"/>
      <c r="BP11" s="32"/>
      <c r="BQ11" s="72" t="str">
        <f t="array" ref="BQ11">IFERROR(IF(XLOOKUP(CONCAT(BO11,BP11),'MASTER PLAN'!$AB:$AB,'MASTER PLAN'!$J:$J,0,0)=0,"",XLOOKUP(CONCAT(BO11,BP11),'MASTER PLAN'!$AB:$AB,'MASTER PLAN'!$J:$J,0,0)),"")</f>
        <v/>
      </c>
      <c r="BR11" s="73" t="str">
        <f t="array" ref="BR11">IFERROR(IF(XLOOKUP(CONCAT(BO11,BP11),'PROCESOS PRD'!$J:$J,'PROCESOS PRD'!$H:$H,0,0)=0,"",XLOOKUP(CONCAT(BO11,BP11),'PROCESOS PRD'!$J:$J,'PROCESOS PRD'!$H:$H,0,0)),"")</f>
        <v/>
      </c>
      <c r="BS11" s="70"/>
      <c r="BT11" s="71"/>
      <c r="BU11" s="32"/>
      <c r="BV11" s="72" t="str">
        <f t="array" ref="BV11">IFERROR(IF(XLOOKUP(CONCAT(BT11,BU11),'MASTER PLAN'!$AB:$AB,'MASTER PLAN'!$J:$J,0,0)=0,"",XLOOKUP(CONCAT(BT11,BU11),'MASTER PLAN'!$AB:$AB,'MASTER PLAN'!$J:$J,0,0)),"")</f>
        <v/>
      </c>
      <c r="BW11" s="73" t="str">
        <f t="array" ref="BW11">IFERROR(IF(XLOOKUP(CONCAT(BT11,BU11),'PROCESOS PRD'!$J:$J,'PROCESOS PRD'!$H:$H,0,0)=0,"",XLOOKUP(CONCAT(BT11,BU11),'PROCESOS PRD'!$J:$J,'PROCESOS PRD'!$H:$H,0,0)),"")</f>
        <v/>
      </c>
      <c r="BX11" s="71"/>
      <c r="BY11" s="32"/>
      <c r="BZ11" s="72" t="str">
        <f t="array" ref="BZ11">IFERROR(IF(XLOOKUP(CONCAT(BX11,BY11),'MASTER PLAN'!$AB:$AB,'MASTER PLAN'!$J:$J,0,0)=0,"",XLOOKUP(CONCAT(BX11,BY11),'MASTER PLAN'!$AB:$AB,'MASTER PLAN'!$J:$J,0,0)),"")</f>
        <v/>
      </c>
      <c r="CA11" s="73" t="str">
        <f t="array" ref="CA11">IFERROR(IF(XLOOKUP(CONCAT(BX11,BY11),'PROCESOS PRD'!$J:$J,'PROCESOS PRD'!$H:$H,0,0)=0,"",XLOOKUP(CONCAT(BX11,BY11),'PROCESOS PRD'!$J:$J,'PROCESOS PRD'!$H:$H,0,0)),"")</f>
        <v/>
      </c>
      <c r="CB11" s="71"/>
      <c r="CC11" s="32"/>
      <c r="CD11" s="72" t="str">
        <f t="array" ref="CD11">IFERROR(IF(XLOOKUP(CONCAT(CB11,CC11),'MASTER PLAN'!$AB:$AB,'MASTER PLAN'!$J:$J,0,0)=0,"",XLOOKUP(CONCAT(CB11,CC11),'MASTER PLAN'!$AB:$AB,'MASTER PLAN'!$J:$J,0,0)),"")</f>
        <v/>
      </c>
      <c r="CE11" s="73" t="str">
        <f t="array" ref="CE11">IFERROR(IF(XLOOKUP(CONCAT(CB11,CC11),'PROCESOS PRD'!$J:$J,'PROCESOS PRD'!$H:$H,0,0)=0,"",XLOOKUP(CONCAT(CB11,CC11),'PROCESOS PRD'!$J:$J,'PROCESOS PRD'!$H:$H,0,0)),"")</f>
        <v/>
      </c>
      <c r="CF11" s="71"/>
      <c r="CG11" s="32"/>
      <c r="CH11" s="72" t="str">
        <f t="array" ref="CH11">IFERROR(IF(XLOOKUP(CONCAT(CF11,CG11),'MASTER PLAN'!$AB:$AB,'MASTER PLAN'!$J:$J,0,0)=0,"",XLOOKUP(CONCAT(CF11,CG11),'MASTER PLAN'!$AB:$AB,'MASTER PLAN'!$J:$J,0,0)),"")</f>
        <v/>
      </c>
      <c r="CI11" s="73" t="str">
        <f t="array" ref="CI11">IFERROR(IF(XLOOKUP(CONCAT(CF11,CG11),'PROCESOS PRD'!$J:$J,'PROCESOS PRD'!$H:$H,0,0)=0,"",XLOOKUP(CONCAT(CF11,CG11),'PROCESOS PRD'!$J:$J,'PROCESOS PRD'!$H:$H,0,0)),"")</f>
        <v/>
      </c>
      <c r="CJ11" s="71"/>
      <c r="CK11" s="32"/>
      <c r="CL11" s="72" t="str">
        <f t="array" ref="CL11">IFERROR(IF(XLOOKUP(CONCAT(CJ11,CK11),'MASTER PLAN'!$AB:$AB,'MASTER PLAN'!$J:$J,0,0)=0,"",XLOOKUP(CONCAT(CJ11,CK11),'MASTER PLAN'!$AB:$AB,'MASTER PLAN'!$J:$J,0,0)),"")</f>
        <v/>
      </c>
      <c r="CM11" s="73" t="str">
        <f t="array" ref="CM11">IFERROR(IF(XLOOKUP(CONCAT(CJ11,CK11),'PROCESOS PRD'!$J:$J,'PROCESOS PRD'!$H:$H,0,0)=0,"",XLOOKUP(CONCAT(CJ11,CK11),'PROCESOS PRD'!$J:$J,'PROCESOS PRD'!$H:$H,0,0)),"")</f>
        <v/>
      </c>
      <c r="CN11" s="71"/>
      <c r="CO11" s="32"/>
      <c r="CP11" s="72" t="str">
        <f t="array" ref="CP11">IFERROR(IF(XLOOKUP(CONCAT(CN11,CO11),'MASTER PLAN'!$AB:$AB,'MASTER PLAN'!$J:$J,0,0)=0,"",XLOOKUP(CONCAT(CN11,CO11),'MASTER PLAN'!$AB:$AB,'MASTER PLAN'!$J:$J,0,0)),"")</f>
        <v/>
      </c>
      <c r="CQ11" s="73" t="str">
        <f t="array" ref="CQ11">IFERROR(IF(XLOOKUP(CONCAT(CN11,CO11),'PROCESOS PRD'!$J:$J,'PROCESOS PRD'!$H:$H,0,0)=0,"",XLOOKUP(CONCAT(CN11,CO11),'PROCESOS PRD'!$J:$J,'PROCESOS PRD'!$H:$H,0,0)),"")</f>
        <v/>
      </c>
      <c r="CR11" s="70"/>
      <c r="CS11" s="71"/>
      <c r="CT11" s="32"/>
      <c r="CU11" s="72" t="str">
        <f t="array" ref="CU11">IFERROR(IF(XLOOKUP(CONCAT(CS11,CT11),'MASTER PLAN'!$AB:$AB,'MASTER PLAN'!$J:$J,0,0)=0,"",XLOOKUP(CONCAT(CS11,CT11),'MASTER PLAN'!$AB:$AB,'MASTER PLAN'!$J:$J,0,0)),"")</f>
        <v/>
      </c>
      <c r="CV11" s="73" t="str">
        <f t="array" ref="CV11">IFERROR(IF(XLOOKUP(CONCAT(CS11,CT11),'PROCESOS PRD'!$J:$J,'PROCESOS PRD'!$H:$H,0,0)=0,"",XLOOKUP(CONCAT(CS11,CT11),'PROCESOS PRD'!$J:$J,'PROCESOS PRD'!$H:$H,0,0)),"")</f>
        <v/>
      </c>
      <c r="CW11" s="71"/>
      <c r="CX11" s="32"/>
      <c r="CY11" s="72" t="str">
        <f t="array" ref="CY11">IFERROR(IF(XLOOKUP(CONCAT(CW11,CX11),'MASTER PLAN'!$AB:$AB,'MASTER PLAN'!$J:$J,0,0)=0,"",XLOOKUP(CONCAT(CW11,CX11),'MASTER PLAN'!$AB:$AB,'MASTER PLAN'!$J:$J,0,0)),"")</f>
        <v/>
      </c>
      <c r="CZ11" s="73" t="str">
        <f t="array" ref="CZ11">IFERROR(IF(XLOOKUP(CONCAT(CW11,CX11),'PROCESOS PRD'!$J:$J,'PROCESOS PRD'!$H:$H,0,0)=0,"",XLOOKUP(CONCAT(CW11,CX11),'PROCESOS PRD'!$J:$J,'PROCESOS PRD'!$H:$H,0,0)),"")</f>
        <v/>
      </c>
      <c r="DA11" s="71"/>
      <c r="DB11" s="32"/>
      <c r="DC11" s="72" t="str">
        <f t="array" ref="DC11">IFERROR(IF(XLOOKUP(CONCAT(DA11,DB11),'MASTER PLAN'!$AB:$AB,'MASTER PLAN'!$J:$J,0,0)=0,"",XLOOKUP(CONCAT(DA11,DB11),'MASTER PLAN'!$AB:$AB,'MASTER PLAN'!$J:$J,0,0)),"")</f>
        <v/>
      </c>
      <c r="DD11" s="73" t="str">
        <f t="array" ref="DD11">IFERROR(IF(XLOOKUP(CONCAT(DA11,DB11),'PROCESOS PRD'!$J:$J,'PROCESOS PRD'!$H:$H,0,0)=0,"",XLOOKUP(CONCAT(DA11,DB11),'PROCESOS PRD'!$J:$J,'PROCESOS PRD'!$H:$H,0,0)),"")</f>
        <v/>
      </c>
      <c r="DE11" s="71"/>
      <c r="DF11" s="32"/>
      <c r="DG11" s="72" t="str">
        <f t="array" ref="DG11">IFERROR(IF(XLOOKUP(CONCAT(DE11,DF11),'MASTER PLAN'!$AB:$AB,'MASTER PLAN'!$J:$J,0,0)=0,"",XLOOKUP(CONCAT(DE11,DF11),'MASTER PLAN'!$AB:$AB,'MASTER PLAN'!$J:$J,0,0)),"")</f>
        <v/>
      </c>
      <c r="DH11" s="73" t="str">
        <f t="array" ref="DH11">IFERROR(IF(XLOOKUP(CONCAT(DE11,DF11),'PROCESOS PRD'!$J:$J,'PROCESOS PRD'!$H:$H,0,0)=0,"",XLOOKUP(CONCAT(DE11,DF11),'PROCESOS PRD'!$J:$J,'PROCESOS PRD'!$H:$H,0,0)),"")</f>
        <v/>
      </c>
      <c r="DI11" s="71"/>
      <c r="DJ11" s="32"/>
      <c r="DK11" s="72" t="str">
        <f t="array" ref="DK11">IFERROR(IF(XLOOKUP(CONCAT(DI11,DJ11),'MASTER PLAN'!$AB:$AB,'MASTER PLAN'!$J:$J,0,0)=0,"",XLOOKUP(CONCAT(DI11,DJ11),'MASTER PLAN'!$AB:$AB,'MASTER PLAN'!$J:$J,0,0)),"")</f>
        <v/>
      </c>
      <c r="DL11" s="73" t="str">
        <f t="array" ref="DL11">IFERROR(IF(XLOOKUP(CONCAT(DI11,DJ11),'PROCESOS PRD'!$J:$J,'PROCESOS PRD'!$H:$H,0,0)=0,"",XLOOKUP(CONCAT(DI11,DJ11),'PROCESOS PRD'!$J:$J,'PROCESOS PRD'!$H:$H,0,0)),"")</f>
        <v/>
      </c>
      <c r="DM11" s="71"/>
      <c r="DN11" s="32"/>
      <c r="DO11" s="72" t="str">
        <f t="array" ref="DO11">IFERROR(IF(XLOOKUP(CONCAT(DM11,DN11),'MASTER PLAN'!$AB:$AB,'MASTER PLAN'!$J:$J,0,0)=0,"",XLOOKUP(CONCAT(DM11,DN11),'MASTER PLAN'!$AB:$AB,'MASTER PLAN'!$J:$J,0,0)),"")</f>
        <v/>
      </c>
      <c r="DP11" s="73" t="str">
        <f t="array" ref="DP11">IFERROR(IF(XLOOKUP(CONCAT(DM11,DN11),'PROCESOS PRD'!$J:$J,'PROCESOS PRD'!$H:$H,0,0)=0,"",XLOOKUP(CONCAT(DM11,DN11),'PROCESOS PRD'!$J:$J,'PROCESOS PRD'!$H:$H,0,0)),"")</f>
        <v/>
      </c>
      <c r="DQ11" s="70"/>
      <c r="DR11" s="71"/>
      <c r="DS11" s="32"/>
      <c r="DT11" s="72" t="str">
        <f t="array" ref="DT11">IFERROR(IF(XLOOKUP(CONCAT(DR11,DS11),'MASTER PLAN'!$AB:$AB,'MASTER PLAN'!$J:$J,0,0)=0,"",XLOOKUP(CONCAT(DR11,DS11),'MASTER PLAN'!$AB:$AB,'MASTER PLAN'!$J:$J,0,0)),"")</f>
        <v/>
      </c>
      <c r="DU11" s="73" t="str">
        <f t="array" ref="DU11">IFERROR(IF(XLOOKUP(CONCAT(DR11,DS11),'PROCESOS PRD'!$J:$J,'PROCESOS PRD'!$H:$H,0,0)=0,"",XLOOKUP(CONCAT(DR11,DS11),'PROCESOS PRD'!$J:$J,'PROCESOS PRD'!$H:$H,0,0)),"")</f>
        <v/>
      </c>
      <c r="DV11" s="71"/>
      <c r="DW11" s="32"/>
      <c r="DX11" s="72" t="str">
        <f t="array" ref="DX11">IFERROR(IF(XLOOKUP(CONCAT(DV11,DW11),'MASTER PLAN'!$AB:$AB,'MASTER PLAN'!$J:$J,0,0)=0,"",XLOOKUP(CONCAT(DV11,DW11),'MASTER PLAN'!$AB:$AB,'MASTER PLAN'!$J:$J,0,0)),"")</f>
        <v/>
      </c>
      <c r="DY11" s="73" t="str">
        <f t="array" ref="DY11">IFERROR(IF(XLOOKUP(CONCAT(DV11,DW11),'PROCESOS PRD'!$J:$J,'PROCESOS PRD'!$H:$H,0,0)=0,"",XLOOKUP(CONCAT(DV11,DW11),'PROCESOS PRD'!$J:$J,'PROCESOS PRD'!$H:$H,0,0)),"")</f>
        <v/>
      </c>
      <c r="DZ11" s="71"/>
      <c r="EA11" s="32"/>
      <c r="EB11" s="72" t="str">
        <f t="array" ref="EB11">IFERROR(IF(XLOOKUP(CONCAT(DZ11,EA11),'MASTER PLAN'!$AB:$AB,'MASTER PLAN'!$J:$J,0,0)=0,"",XLOOKUP(CONCAT(DZ11,EA11),'MASTER PLAN'!$AB:$AB,'MASTER PLAN'!$J:$J,0,0)),"")</f>
        <v/>
      </c>
      <c r="EC11" s="73" t="str">
        <f t="array" ref="EC11">IFERROR(IF(XLOOKUP(CONCAT(DZ11,EA11),'PROCESOS PRD'!$J:$J,'PROCESOS PRD'!$H:$H,0,0)=0,"",XLOOKUP(CONCAT(DZ11,EA11),'PROCESOS PRD'!$J:$J,'PROCESOS PRD'!$H:$H,0,0)),"")</f>
        <v/>
      </c>
      <c r="ED11" s="71"/>
      <c r="EE11" s="32"/>
      <c r="EF11" s="72" t="str">
        <f t="array" ref="EF11">IFERROR(IF(XLOOKUP(CONCAT(ED11,EE11),'MASTER PLAN'!$AB:$AB,'MASTER PLAN'!$J:$J,0,0)=0,"",XLOOKUP(CONCAT(ED11,EE11),'MASTER PLAN'!$AB:$AB,'MASTER PLAN'!$J:$J,0,0)),"")</f>
        <v/>
      </c>
      <c r="EG11" s="73" t="str">
        <f t="array" ref="EG11">IFERROR(IF(XLOOKUP(CONCAT(ED11,EE11),'PROCESOS PRD'!$J:$J,'PROCESOS PRD'!$H:$H,0,0)=0,"",XLOOKUP(CONCAT(ED11,EE11),'PROCESOS PRD'!$J:$J,'PROCESOS PRD'!$H:$H,0,0)),"")</f>
        <v/>
      </c>
      <c r="EH11" s="71"/>
      <c r="EI11" s="32"/>
      <c r="EJ11" s="72" t="str">
        <f t="array" ref="EJ11">IFERROR(IF(XLOOKUP(CONCAT(EH11,EI11),'MASTER PLAN'!$AB:$AB,'MASTER PLAN'!$J:$J,0,0)=0,"",XLOOKUP(CONCAT(EH11,EI11),'MASTER PLAN'!$AB:$AB,'MASTER PLAN'!$J:$J,0,0)),"")</f>
        <v/>
      </c>
      <c r="EK11" s="73" t="str">
        <f t="array" ref="EK11">IFERROR(IF(XLOOKUP(CONCAT(EH11,EI11),'PROCESOS PRD'!$J:$J,'PROCESOS PRD'!$H:$H,0,0)=0,"",XLOOKUP(CONCAT(EH11,EI11),'PROCESOS PRD'!$J:$J,'PROCESOS PRD'!$H:$H,0,0)),"")</f>
        <v/>
      </c>
      <c r="EL11" s="71"/>
      <c r="EM11" s="32"/>
      <c r="EN11" s="72" t="str">
        <f t="array" ref="EN11">IFERROR(IF(XLOOKUP(CONCAT(EL11,EM11),'MASTER PLAN'!$AB:$AB,'MASTER PLAN'!$J:$J,0,0)=0,"",XLOOKUP(CONCAT(EL11,EM11),'MASTER PLAN'!$AB:$AB,'MASTER PLAN'!$J:$J,0,0)),"")</f>
        <v/>
      </c>
      <c r="EO11" s="73" t="str">
        <f t="array" ref="EO11">IFERROR(IF(XLOOKUP(CONCAT(EL11,EM11),'PROCESOS PRD'!$J:$J,'PROCESOS PRD'!$H:$H,0,0)=0,"",XLOOKUP(CONCAT(EL11,EM11),'PROCESOS PRD'!$J:$J,'PROCESOS PRD'!$H:$H,0,0)),"")</f>
        <v/>
      </c>
      <c r="EP11" s="70"/>
      <c r="EQ11" s="71"/>
      <c r="ER11" s="32"/>
      <c r="ES11" s="72" t="str">
        <f t="array" ref="ES11">IFERROR(IF(XLOOKUP(CONCAT(EQ11,ER11),'MASTER PLAN'!$AB:$AB,'MASTER PLAN'!$J:$J,0,0)=0,"",XLOOKUP(CONCAT(EQ11,ER11),'MASTER PLAN'!$AB:$AB,'MASTER PLAN'!$J:$J,0,0)),"")</f>
        <v/>
      </c>
      <c r="ET11" s="73" t="str">
        <f t="array" ref="ET11">IFERROR(IF(XLOOKUP(CONCAT(EQ11,ER11),'PROCESOS PRD'!$J:$J,'PROCESOS PRD'!$H:$H,0,0)=0,"",XLOOKUP(CONCAT(EQ11,ER11),'PROCESOS PRD'!$J:$J,'PROCESOS PRD'!$H:$H,0,0)),"")</f>
        <v/>
      </c>
      <c r="EU11" s="71"/>
      <c r="EV11" s="32"/>
      <c r="EW11" s="72" t="str">
        <f t="array" ref="EW11">IFERROR(IF(XLOOKUP(CONCAT(EU11,EV11),'MASTER PLAN'!$AB:$AB,'MASTER PLAN'!$J:$J,0,0)=0,"",XLOOKUP(CONCAT(EU11,EV11),'MASTER PLAN'!$AB:$AB,'MASTER PLAN'!$J:$J,0,0)),"")</f>
        <v/>
      </c>
      <c r="EX11" s="73" t="str">
        <f t="array" ref="EX11">IFERROR(IF(XLOOKUP(CONCAT(EU11,EV11),'PROCESOS PRD'!$J:$J,'PROCESOS PRD'!$H:$H,0,0)=0,"",XLOOKUP(CONCAT(EU11,EV11),'PROCESOS PRD'!$J:$J,'PROCESOS PRD'!$H:$H,0,0)),"")</f>
        <v/>
      </c>
      <c r="EY11" s="71"/>
      <c r="EZ11" s="32"/>
      <c r="FA11" s="72" t="str">
        <f t="array" ref="FA11">IFERROR(IF(XLOOKUP(CONCAT(EY11,EZ11),'MASTER PLAN'!$AB:$AB,'MASTER PLAN'!$J:$J,0,0)=0,"",XLOOKUP(CONCAT(EY11,EZ11),'MASTER PLAN'!$AB:$AB,'MASTER PLAN'!$J:$J,0,0)),"")</f>
        <v/>
      </c>
      <c r="FB11" s="73" t="str">
        <f t="array" ref="FB11">IFERROR(IF(XLOOKUP(CONCAT(EY11,EZ11),'PROCESOS PRD'!$J:$J,'PROCESOS PRD'!$H:$H,0,0)=0,"",XLOOKUP(CONCAT(EY11,EZ11),'PROCESOS PRD'!$J:$J,'PROCESOS PRD'!$H:$H,0,0)),"")</f>
        <v/>
      </c>
      <c r="FC11" s="71"/>
      <c r="FD11" s="32"/>
      <c r="FE11" s="72" t="str">
        <f t="array" ref="FE11">IFERROR(IF(XLOOKUP(CONCAT(FC11,FD11),'MASTER PLAN'!$AB:$AB,'MASTER PLAN'!$J:$J,0,0)=0,"",XLOOKUP(CONCAT(FC11,FD11),'MASTER PLAN'!$AB:$AB,'MASTER PLAN'!$J:$J,0,0)),"")</f>
        <v/>
      </c>
      <c r="FF11" s="73" t="str">
        <f t="array" ref="FF11">IFERROR(IF(XLOOKUP(CONCAT(FC11,FD11),'PROCESOS PRD'!$J:$J,'PROCESOS PRD'!$H:$H,0,0)=0,"",XLOOKUP(CONCAT(FC11,FD11),'PROCESOS PRD'!$J:$J,'PROCESOS PRD'!$H:$H,0,0)),"")</f>
        <v/>
      </c>
      <c r="FG11" s="71"/>
      <c r="FH11" s="32"/>
      <c r="FI11" s="72" t="str">
        <f t="array" ref="FI11">IFERROR(IF(XLOOKUP(CONCAT(FG11,FH11),'MASTER PLAN'!$AB:$AB,'MASTER PLAN'!$J:$J,0,0)=0,"",XLOOKUP(CONCAT(FG11,FH11),'MASTER PLAN'!$AB:$AB,'MASTER PLAN'!$J:$J,0,0)),"")</f>
        <v/>
      </c>
      <c r="FJ11" s="73" t="str">
        <f t="array" ref="FJ11">IFERROR(IF(XLOOKUP(CONCAT(FG11,FH11),'PROCESOS PRD'!$J:$J,'PROCESOS PRD'!$H:$H,0,0)=0,"",XLOOKUP(CONCAT(FG11,FH11),'PROCESOS PRD'!$J:$J,'PROCESOS PRD'!$H:$H,0,0)),"")</f>
        <v/>
      </c>
      <c r="FK11" s="71"/>
      <c r="FL11" s="32"/>
      <c r="FM11" s="72" t="str">
        <f t="array" ref="FM11">IFERROR(IF(XLOOKUP(CONCAT(FK11,FL11),'MASTER PLAN'!$AB:$AB,'MASTER PLAN'!$J:$J,0,0)=0,"",XLOOKUP(CONCAT(FK11,FL11),'MASTER PLAN'!$AB:$AB,'MASTER PLAN'!$J:$J,0,0)),"")</f>
        <v/>
      </c>
      <c r="FN11" s="73" t="str">
        <f t="array" ref="FN11">IFERROR(IF(XLOOKUP(CONCAT(FK11,FL11),'PROCESOS PRD'!$J:$J,'PROCESOS PRD'!$H:$H,0,0)=0,"",XLOOKUP(CONCAT(FK11,FL11),'PROCESOS PRD'!$J:$J,'PROCESOS PRD'!$H:$H,0,0)),"")</f>
        <v/>
      </c>
      <c r="FO11" s="70"/>
      <c r="FP11" s="71"/>
      <c r="FQ11" s="32"/>
      <c r="FR11" s="72" t="str">
        <f t="array" ref="FR11">IFERROR(IF(XLOOKUP(CONCAT(FP11,FQ11),'MASTER PLAN'!$AB:$AB,'MASTER PLAN'!$J:$J,0,0)=0,"",XLOOKUP(CONCAT(FP11,FQ11),'MASTER PLAN'!$AB:$AB,'MASTER PLAN'!$J:$J,0,0)),"")</f>
        <v/>
      </c>
      <c r="FS11" s="73" t="str">
        <f t="array" ref="FS11">IFERROR(IF(XLOOKUP(CONCAT(FP11,FQ11),'PROCESOS PRD'!$J:$J,'PROCESOS PRD'!$H:$H,0,0)=0,"",XLOOKUP(CONCAT(FP11,FQ11),'PROCESOS PRD'!$J:$J,'PROCESOS PRD'!$H:$H,0,0)),"")</f>
        <v/>
      </c>
      <c r="FT11" s="71"/>
      <c r="FU11" s="32"/>
      <c r="FV11" s="72" t="str">
        <f t="array" ref="FV11">IFERROR(IF(XLOOKUP(CONCAT(FT11,FU11),'MASTER PLAN'!$AB:$AB,'MASTER PLAN'!$J:$J,0,0)=0,"",XLOOKUP(CONCAT(FT11,FU11),'MASTER PLAN'!$AB:$AB,'MASTER PLAN'!$J:$J,0,0)),"")</f>
        <v/>
      </c>
      <c r="FW11" s="73" t="str">
        <f t="array" ref="FW11">IFERROR(IF(XLOOKUP(CONCAT(FT11,FU11),'PROCESOS PRD'!$J:$J,'PROCESOS PRD'!$H:$H,0,0)=0,"",XLOOKUP(CONCAT(FT11,FU11),'PROCESOS PRD'!$J:$J,'PROCESOS PRD'!$H:$H,0,0)),"")</f>
        <v/>
      </c>
      <c r="FX11" s="71"/>
      <c r="FY11" s="32"/>
      <c r="FZ11" s="72" t="str">
        <f t="array" ref="FZ11">IFERROR(IF(XLOOKUP(CONCAT(FX11,FY11),'MASTER PLAN'!$AB:$AB,'MASTER PLAN'!$J:$J,0,0)=0,"",XLOOKUP(CONCAT(FX11,FY11),'MASTER PLAN'!$AB:$AB,'MASTER PLAN'!$J:$J,0,0)),"")</f>
        <v/>
      </c>
      <c r="GA11" s="73" t="str">
        <f t="array" ref="GA11">IFERROR(IF(XLOOKUP(CONCAT(FX11,FY11),'PROCESOS PRD'!$J:$J,'PROCESOS PRD'!$H:$H,0,0)=0,"",XLOOKUP(CONCAT(FX11,FY11),'PROCESOS PRD'!$J:$J,'PROCESOS PRD'!$H:$H,0,0)),"")</f>
        <v/>
      </c>
      <c r="GB11" s="71"/>
      <c r="GC11" s="32"/>
      <c r="GD11" s="72" t="str">
        <f t="array" ref="GD11">IFERROR(IF(XLOOKUP(CONCAT(GB11,GC11),'MASTER PLAN'!$AB:$AB,'MASTER PLAN'!$J:$J,0,0)=0,"",XLOOKUP(CONCAT(GB11,GC11),'MASTER PLAN'!$AB:$AB,'MASTER PLAN'!$J:$J,0,0)),"")</f>
        <v/>
      </c>
      <c r="GE11" s="73" t="str">
        <f t="array" ref="GE11">IFERROR(IF(XLOOKUP(CONCAT(GB11,GC11),'PROCESOS PRD'!$J:$J,'PROCESOS PRD'!$H:$H,0,0)=0,"",XLOOKUP(CONCAT(GB11,GC11),'PROCESOS PRD'!$J:$J,'PROCESOS PRD'!$H:$H,0,0)),"")</f>
        <v/>
      </c>
      <c r="GF11" s="71"/>
      <c r="GG11" s="32"/>
      <c r="GH11" s="72" t="str">
        <f t="array" ref="GH11">IFERROR(IF(XLOOKUP(CONCAT(GF11,GG11),'MASTER PLAN'!$AB:$AB,'MASTER PLAN'!$J:$J,0,0)=0,"",XLOOKUP(CONCAT(GF11,GG11),'MASTER PLAN'!$AB:$AB,'MASTER PLAN'!$J:$J,0,0)),"")</f>
        <v/>
      </c>
      <c r="GI11" s="73" t="str">
        <f t="array" ref="GI11">IFERROR(IF(XLOOKUP(CONCAT(GF11,GG11),'PROCESOS PRD'!$J:$J,'PROCESOS PRD'!$H:$H,0,0)=0,"",XLOOKUP(CONCAT(GF11,GG11),'PROCESOS PRD'!$J:$J,'PROCESOS PRD'!$H:$H,0,0)),"")</f>
        <v/>
      </c>
      <c r="GJ11" s="71"/>
      <c r="GK11" s="32"/>
      <c r="GL11" s="72" t="str">
        <f t="array" ref="GL11">IFERROR(IF(XLOOKUP(CONCAT(GJ11,GK11),'MASTER PLAN'!$AB:$AB,'MASTER PLAN'!$J:$J,0,0)=0,"",XLOOKUP(CONCAT(GJ11,GK11),'MASTER PLAN'!$AB:$AB,'MASTER PLAN'!$J:$J,0,0)),"")</f>
        <v/>
      </c>
      <c r="GM11" s="73" t="str">
        <f t="array" ref="GM11">IFERROR(IF(XLOOKUP(CONCAT(GJ11,GK11),'PROCESOS PRD'!$J:$J,'PROCESOS PRD'!$H:$H,0,0)=0,"",XLOOKUP(CONCAT(GJ11,GK11),'PROCESOS PRD'!$J:$J,'PROCESOS PRD'!$H:$H,0,0)),"")</f>
        <v/>
      </c>
      <c r="GN11" s="70"/>
      <c r="GO11" s="71"/>
      <c r="GP11" s="32"/>
      <c r="GQ11" s="72" t="str">
        <f t="array" ref="GQ11">IFERROR(IF(XLOOKUP(CONCAT(GO11,GP11),'MASTER PLAN'!$AB:$AB,'MASTER PLAN'!$J:$J,0,0)=0,"",XLOOKUP(CONCAT(GO11,GP11),'MASTER PLAN'!$AB:$AB,'MASTER PLAN'!$J:$J,0,0)),"")</f>
        <v/>
      </c>
      <c r="GR11" s="73" t="str">
        <f t="array" ref="GR11">IFERROR(IF(XLOOKUP(CONCAT(GO11,GP11),'PROCESOS PRD'!$J:$J,'PROCESOS PRD'!$H:$H,0,0)=0,"",XLOOKUP(CONCAT(GO11,GP11),'PROCESOS PRD'!$J:$J,'PROCESOS PRD'!$H:$H,0,0)),"")</f>
        <v/>
      </c>
      <c r="GS11" s="71"/>
      <c r="GT11" s="32"/>
      <c r="GU11" s="72" t="str">
        <f t="array" ref="GU11">IFERROR(IF(XLOOKUP(CONCAT(GS11,GT11),'MASTER PLAN'!$AB:$AB,'MASTER PLAN'!$J:$J,0,0)=0,"",XLOOKUP(CONCAT(GS11,GT11),'MASTER PLAN'!$AB:$AB,'MASTER PLAN'!$J:$J,0,0)),"")</f>
        <v/>
      </c>
      <c r="GV11" s="73" t="str">
        <f t="array" ref="GV11">IFERROR(IF(XLOOKUP(CONCAT(GS11,GT11),'PROCESOS PRD'!$J:$J,'PROCESOS PRD'!$H:$H,0,0)=0,"",XLOOKUP(CONCAT(GS11,GT11),'PROCESOS PRD'!$J:$J,'PROCESOS PRD'!$H:$H,0,0)),"")</f>
        <v/>
      </c>
      <c r="GW11" s="71"/>
      <c r="GX11" s="32"/>
      <c r="GY11" s="72" t="str">
        <f t="array" ref="GY11">IFERROR(IF(XLOOKUP(CONCAT(GW11,GX11),'MASTER PLAN'!$AB:$AB,'MASTER PLAN'!$J:$J,0,0)=0,"",XLOOKUP(CONCAT(GW11,GX11),'MASTER PLAN'!$AB:$AB,'MASTER PLAN'!$J:$J,0,0)),"")</f>
        <v/>
      </c>
      <c r="GZ11" s="73" t="str">
        <f t="array" ref="GZ11">IFERROR(IF(XLOOKUP(CONCAT(GW11,GX11),'PROCESOS PRD'!$J:$J,'PROCESOS PRD'!$H:$H,0,0)=0,"",XLOOKUP(CONCAT(GW11,GX11),'PROCESOS PRD'!$J:$J,'PROCESOS PRD'!$H:$H,0,0)),"")</f>
        <v/>
      </c>
      <c r="HA11" s="71"/>
      <c r="HB11" s="32"/>
      <c r="HC11" s="72" t="str">
        <f t="array" ref="HC11">IFERROR(IF(XLOOKUP(CONCAT(HA11,HB11),'MASTER PLAN'!$AB:$AB,'MASTER PLAN'!$J:$J,0,0)=0,"",XLOOKUP(CONCAT(HA11,HB11),'MASTER PLAN'!$AB:$AB,'MASTER PLAN'!$J:$J,0,0)),"")</f>
        <v/>
      </c>
      <c r="HD11" s="73" t="str">
        <f t="array" ref="HD11">IFERROR(IF(XLOOKUP(CONCAT(HA11,HB11),'PROCESOS PRD'!$J:$J,'PROCESOS PRD'!$H:$H,0,0)=0,"",XLOOKUP(CONCAT(HA11,HB11),'PROCESOS PRD'!$J:$J,'PROCESOS PRD'!$H:$H,0,0)),"")</f>
        <v/>
      </c>
      <c r="HE11" s="71"/>
      <c r="HF11" s="32"/>
      <c r="HG11" s="72" t="str">
        <f t="array" ref="HG11">IFERROR(IF(XLOOKUP(CONCAT(HE11,HF11),'MASTER PLAN'!$AB:$AB,'MASTER PLAN'!$J:$J,0,0)=0,"",XLOOKUP(CONCAT(HE11,HF11),'MASTER PLAN'!$AB:$AB,'MASTER PLAN'!$J:$J,0,0)),"")</f>
        <v/>
      </c>
      <c r="HH11" s="73" t="str">
        <f t="array" ref="HH11">IFERROR(IF(XLOOKUP(CONCAT(HE11,HF11),'PROCESOS PRD'!$J:$J,'PROCESOS PRD'!$H:$H,0,0)=0,"",XLOOKUP(CONCAT(HE11,HF11),'PROCESOS PRD'!$J:$J,'PROCESOS PRD'!$H:$H,0,0)),"")</f>
        <v/>
      </c>
      <c r="HI11" s="71"/>
      <c r="HJ11" s="32"/>
      <c r="HK11" s="72" t="str">
        <f t="array" ref="HK11">IFERROR(IF(XLOOKUP(CONCAT(HI11,HJ11),'MASTER PLAN'!$AB:$AB,'MASTER PLAN'!$J:$J,0,0)=0,"",XLOOKUP(CONCAT(HI11,HJ11),'MASTER PLAN'!$AB:$AB,'MASTER PLAN'!$J:$J,0,0)),"")</f>
        <v/>
      </c>
      <c r="HL11" s="73" t="str">
        <f t="array" ref="HL11">IFERROR(IF(XLOOKUP(CONCAT(HI11,HJ11),'PROCESOS PRD'!$J:$J,'PROCESOS PRD'!$H:$H,0,0)=0,"",XLOOKUP(CONCAT(HI11,HJ11),'PROCESOS PRD'!$J:$J,'PROCESOS PRD'!$H:$H,0,0)),"")</f>
        <v/>
      </c>
      <c r="HM11" s="70"/>
      <c r="HN11" s="71"/>
      <c r="HO11" s="32"/>
      <c r="HP11" s="72" t="str">
        <f t="array" ref="HP11">IFERROR(IF(XLOOKUP(CONCAT(HN11,HO11),'MASTER PLAN'!$AB:$AB,'MASTER PLAN'!$J:$J,0,0)=0,"",XLOOKUP(CONCAT(HN11,HO11),'MASTER PLAN'!$AB:$AB,'MASTER PLAN'!$J:$J,0,0)),"")</f>
        <v/>
      </c>
      <c r="HQ11" s="73" t="str">
        <f t="array" ref="HQ11">IFERROR(IF(XLOOKUP(CONCAT(HN11,HO11),'PROCESOS PRD'!$J:$J,'PROCESOS PRD'!$H:$H,0,0)=0,"",XLOOKUP(CONCAT(HN11,HO11),'PROCESOS PRD'!$J:$J,'PROCESOS PRD'!$H:$H,0,0)),"")</f>
        <v/>
      </c>
      <c r="HR11" s="71"/>
      <c r="HS11" s="32"/>
      <c r="HT11" s="72" t="str">
        <f t="array" ref="HT11">IFERROR(IF(XLOOKUP(CONCAT(HR11,HS11),'MASTER PLAN'!$AB:$AB,'MASTER PLAN'!$J:$J,0,0)=0,"",XLOOKUP(CONCAT(HR11,HS11),'MASTER PLAN'!$AB:$AB,'MASTER PLAN'!$J:$J,0,0)),"")</f>
        <v/>
      </c>
      <c r="HU11" s="73" t="str">
        <f t="array" ref="HU11">IFERROR(IF(XLOOKUP(CONCAT(HR11,HS11),'PROCESOS PRD'!$J:$J,'PROCESOS PRD'!$H:$H,0,0)=0,"",XLOOKUP(CONCAT(HR11,HS11),'PROCESOS PRD'!$J:$J,'PROCESOS PRD'!$H:$H,0,0)),"")</f>
        <v/>
      </c>
      <c r="HV11" s="71"/>
      <c r="HW11" s="32"/>
      <c r="HX11" s="72" t="str">
        <f t="array" ref="HX11">IFERROR(IF(XLOOKUP(CONCAT(HV11,HW11),'MASTER PLAN'!$AB:$AB,'MASTER PLAN'!$J:$J,0,0)=0,"",XLOOKUP(CONCAT(HV11,HW11),'MASTER PLAN'!$AB:$AB,'MASTER PLAN'!$J:$J,0,0)),"")</f>
        <v/>
      </c>
      <c r="HY11" s="73" t="str">
        <f t="array" ref="HY11">IFERROR(IF(XLOOKUP(CONCAT(HV11,HW11),'PROCESOS PRD'!$J:$J,'PROCESOS PRD'!$H:$H,0,0)=0,"",XLOOKUP(CONCAT(HV11,HW11),'PROCESOS PRD'!$J:$J,'PROCESOS PRD'!$H:$H,0,0)),"")</f>
        <v/>
      </c>
      <c r="HZ11" s="71"/>
      <c r="IA11" s="32"/>
      <c r="IB11" s="72" t="str">
        <f t="array" ref="IB11">IFERROR(IF(XLOOKUP(CONCAT(HZ11,IA11),'MASTER PLAN'!$AB:$AB,'MASTER PLAN'!$J:$J,0,0)=0,"",XLOOKUP(CONCAT(HZ11,IA11),'MASTER PLAN'!$AB:$AB,'MASTER PLAN'!$J:$J,0,0)),"")</f>
        <v/>
      </c>
      <c r="IC11" s="73" t="str">
        <f t="array" ref="IC11">IFERROR(IF(XLOOKUP(CONCAT(HZ11,IA11),'PROCESOS PRD'!$J:$J,'PROCESOS PRD'!$H:$H,0,0)=0,"",XLOOKUP(CONCAT(HZ11,IA11),'PROCESOS PRD'!$J:$J,'PROCESOS PRD'!$H:$H,0,0)),"")</f>
        <v/>
      </c>
      <c r="ID11" s="71"/>
      <c r="IE11" s="32"/>
      <c r="IF11" s="72" t="str">
        <f t="array" ref="IF11">IFERROR(IF(XLOOKUP(CONCAT(ID11,IE11),'MASTER PLAN'!$AB:$AB,'MASTER PLAN'!$J:$J,0,0)=0,"",XLOOKUP(CONCAT(ID11,IE11),'MASTER PLAN'!$AB:$AB,'MASTER PLAN'!$J:$J,0,0)),"")</f>
        <v/>
      </c>
      <c r="IG11" s="73" t="str">
        <f t="array" ref="IG11">IFERROR(IF(XLOOKUP(CONCAT(ID11,IE11),'PROCESOS PRD'!$J:$J,'PROCESOS PRD'!$H:$H,0,0)=0,"",XLOOKUP(CONCAT(ID11,IE11),'PROCESOS PRD'!$J:$J,'PROCESOS PRD'!$H:$H,0,0)),"")</f>
        <v/>
      </c>
      <c r="IH11" s="71"/>
      <c r="II11" s="32"/>
      <c r="IJ11" s="72" t="str">
        <f t="array" ref="IJ11">IFERROR(IF(XLOOKUP(CONCAT(IH11,II11),'MASTER PLAN'!$AB:$AB,'MASTER PLAN'!$J:$J,0,0)=0,"",XLOOKUP(CONCAT(IH11,II11),'MASTER PLAN'!$AB:$AB,'MASTER PLAN'!$J:$J,0,0)),"")</f>
        <v/>
      </c>
      <c r="IK11" s="73" t="str">
        <f t="array" ref="IK11">IFERROR(IF(XLOOKUP(CONCAT(IH11,II11),'PROCESOS PRD'!$J:$J,'PROCESOS PRD'!$H:$H,0,0)=0,"",XLOOKUP(CONCAT(IH11,II11),'PROCESOS PRD'!$J:$J,'PROCESOS PRD'!$H:$H,0,0)),"")</f>
        <v/>
      </c>
      <c r="IL11" s="70"/>
      <c r="IM11" s="71"/>
      <c r="IN11" s="32"/>
      <c r="IO11" s="72" t="str">
        <f t="array" ref="IO11">IFERROR(IF(XLOOKUP(CONCAT(IM11,IN11),'MASTER PLAN'!$AB:$AB,'MASTER PLAN'!$J:$J,0,0)=0,"",XLOOKUP(CONCAT(IM11,IN11),'MASTER PLAN'!$AB:$AB,'MASTER PLAN'!$J:$J,0,0)),"")</f>
        <v/>
      </c>
      <c r="IP11" s="73" t="str">
        <f t="array" ref="IP11">IFERROR(IF(XLOOKUP(CONCAT(IM11,IN11),'PROCESOS PRD'!$J:$J,'PROCESOS PRD'!$H:$H,0,0)=0,"",XLOOKUP(CONCAT(IM11,IN11),'PROCESOS PRD'!$J:$J,'PROCESOS PRD'!$H:$H,0,0)),"")</f>
        <v/>
      </c>
      <c r="IQ11" s="71"/>
      <c r="IR11" s="32"/>
      <c r="IS11" s="72" t="str">
        <f t="array" ref="IS11">IFERROR(IF(XLOOKUP(CONCAT(IQ11,IR11),'MASTER PLAN'!$AB:$AB,'MASTER PLAN'!$J:$J,0,0)=0,"",XLOOKUP(CONCAT(IQ11,IR11),'MASTER PLAN'!$AB:$AB,'MASTER PLAN'!$J:$J,0,0)),"")</f>
        <v/>
      </c>
      <c r="IT11" s="73" t="str">
        <f t="array" ref="IT11">IFERROR(IF(XLOOKUP(CONCAT(IQ11,IR11),'PROCESOS PRD'!$J:$J,'PROCESOS PRD'!$H:$H,0,0)=0,"",XLOOKUP(CONCAT(IQ11,IR11),'PROCESOS PRD'!$J:$J,'PROCESOS PRD'!$H:$H,0,0)),"")</f>
        <v/>
      </c>
      <c r="IU11" s="71"/>
      <c r="IV11" s="32"/>
      <c r="IW11" s="72" t="str">
        <f t="array" ref="IW11">IFERROR(IF(XLOOKUP(CONCAT(IU11,IV11),'MASTER PLAN'!$AB:$AB,'MASTER PLAN'!$J:$J,0,0)=0,"",XLOOKUP(CONCAT(IU11,IV11),'MASTER PLAN'!$AB:$AB,'MASTER PLAN'!$J:$J,0,0)),"")</f>
        <v/>
      </c>
      <c r="IX11" s="73" t="str">
        <f t="array" ref="IX11">IFERROR(IF(XLOOKUP(CONCAT(IU11,IV11),'PROCESOS PRD'!$J:$J,'PROCESOS PRD'!$H:$H,0,0)=0,"",XLOOKUP(CONCAT(IU11,IV11),'PROCESOS PRD'!$J:$J,'PROCESOS PRD'!$H:$H,0,0)),"")</f>
        <v/>
      </c>
      <c r="IY11" s="71"/>
      <c r="IZ11" s="32"/>
      <c r="JA11" s="72" t="str">
        <f t="array" ref="JA11">IFERROR(IF(XLOOKUP(CONCAT(IY11,IZ11),'MASTER PLAN'!$AB:$AB,'MASTER PLAN'!$J:$J,0,0)=0,"",XLOOKUP(CONCAT(IY11,IZ11),'MASTER PLAN'!$AB:$AB,'MASTER PLAN'!$J:$J,0,0)),"")</f>
        <v/>
      </c>
      <c r="JB11" s="73" t="str">
        <f t="array" ref="JB11">IFERROR(IF(XLOOKUP(CONCAT(IY11,IZ11),'PROCESOS PRD'!$J:$J,'PROCESOS PRD'!$H:$H,0,0)=0,"",XLOOKUP(CONCAT(IY11,IZ11),'PROCESOS PRD'!$J:$J,'PROCESOS PRD'!$H:$H,0,0)),"")</f>
        <v/>
      </c>
      <c r="JC11" s="71"/>
      <c r="JD11" s="32"/>
      <c r="JE11" s="72" t="str">
        <f t="array" ref="JE11">IFERROR(IF(XLOOKUP(CONCAT(JC11,JD11),'MASTER PLAN'!$AB:$AB,'MASTER PLAN'!$J:$J,0,0)=0,"",XLOOKUP(CONCAT(JC11,JD11),'MASTER PLAN'!$AB:$AB,'MASTER PLAN'!$J:$J,0,0)),"")</f>
        <v/>
      </c>
      <c r="JF11" s="73" t="str">
        <f t="array" ref="JF11">IFERROR(IF(XLOOKUP(CONCAT(JC11,JD11),'PROCESOS PRD'!$J:$J,'PROCESOS PRD'!$H:$H,0,0)=0,"",XLOOKUP(CONCAT(JC11,JD11),'PROCESOS PRD'!$J:$J,'PROCESOS PRD'!$H:$H,0,0)),"")</f>
        <v/>
      </c>
      <c r="JG11" s="71"/>
      <c r="JH11" s="32"/>
      <c r="JI11" s="72" t="str">
        <f t="array" ref="JI11">IFERROR(IF(XLOOKUP(CONCAT(JG11,JH11),'MASTER PLAN'!$AB:$AB,'MASTER PLAN'!$J:$J,0,0)=0,"",XLOOKUP(CONCAT(JG11,JH11),'MASTER PLAN'!$AB:$AB,'MASTER PLAN'!$J:$J,0,0)),"")</f>
        <v/>
      </c>
      <c r="JJ11" s="73" t="str">
        <f t="array" ref="JJ11">IFERROR(IF(XLOOKUP(CONCAT(JG11,JH11),'PROCESOS PRD'!$J:$J,'PROCESOS PRD'!$H:$H,0,0)=0,"",XLOOKUP(CONCAT(JG11,JH11),'PROCESOS PRD'!$J:$J,'PROCESOS PRD'!$H:$H,0,0)),"")</f>
        <v/>
      </c>
      <c r="JK11" s="70"/>
      <c r="JL11" s="71"/>
      <c r="JM11" s="32"/>
      <c r="JN11" s="72" t="str">
        <f t="array" ref="JN11">IFERROR(IF(XLOOKUP(CONCAT(JL11,JM11),'MASTER PLAN'!$AB:$AB,'MASTER PLAN'!$J:$J,0,0)=0,"",XLOOKUP(CONCAT(JL11,JM11),'MASTER PLAN'!$AB:$AB,'MASTER PLAN'!$J:$J,0,0)),"")</f>
        <v/>
      </c>
      <c r="JO11" s="73" t="str">
        <f t="array" ref="JO11">IFERROR(IF(XLOOKUP(CONCAT(JL11,JM11),'PROCESOS PRD'!$J:$J,'PROCESOS PRD'!$H:$H,0,0)=0,"",XLOOKUP(CONCAT(JL11,JM11),'PROCESOS PRD'!$J:$J,'PROCESOS PRD'!$H:$H,0,0)),"")</f>
        <v/>
      </c>
      <c r="JP11" s="71"/>
      <c r="JQ11" s="32"/>
      <c r="JR11" s="72" t="str">
        <f t="array" ref="JR11">IFERROR(IF(XLOOKUP(CONCAT(JP11,JQ11),'MASTER PLAN'!$AB:$AB,'MASTER PLAN'!$J:$J,0,0)=0,"",XLOOKUP(CONCAT(JP11,JQ11),'MASTER PLAN'!$AB:$AB,'MASTER PLAN'!$J:$J,0,0)),"")</f>
        <v/>
      </c>
      <c r="JS11" s="73" t="str">
        <f t="array" ref="JS11">IFERROR(IF(XLOOKUP(CONCAT(JP11,JQ11),'PROCESOS PRD'!$J:$J,'PROCESOS PRD'!$H:$H,0,0)=0,"",XLOOKUP(CONCAT(JP11,JQ11),'PROCESOS PRD'!$J:$J,'PROCESOS PRD'!$H:$H,0,0)),"")</f>
        <v/>
      </c>
      <c r="JT11" s="71"/>
      <c r="JU11" s="32"/>
      <c r="JV11" s="72" t="str">
        <f t="array" ref="JV11">IFERROR(IF(XLOOKUP(CONCAT(JT11,JU11),'MASTER PLAN'!$AB:$AB,'MASTER PLAN'!$J:$J,0,0)=0,"",XLOOKUP(CONCAT(JT11,JU11),'MASTER PLAN'!$AB:$AB,'MASTER PLAN'!$J:$J,0,0)),"")</f>
        <v/>
      </c>
      <c r="JW11" s="73" t="str">
        <f t="array" ref="JW11">IFERROR(IF(XLOOKUP(CONCAT(JT11,JU11),'PROCESOS PRD'!$J:$J,'PROCESOS PRD'!$H:$H,0,0)=0,"",XLOOKUP(CONCAT(JT11,JU11),'PROCESOS PRD'!$J:$J,'PROCESOS PRD'!$H:$H,0,0)),"")</f>
        <v/>
      </c>
      <c r="JX11" s="71"/>
      <c r="JY11" s="32"/>
      <c r="JZ11" s="72" t="str">
        <f t="array" ref="JZ11">IFERROR(IF(XLOOKUP(CONCAT(JX11,JY11),'MASTER PLAN'!$AB:$AB,'MASTER PLAN'!$J:$J,0,0)=0,"",XLOOKUP(CONCAT(JX11,JY11),'MASTER PLAN'!$AB:$AB,'MASTER PLAN'!$J:$J,0,0)),"")</f>
        <v/>
      </c>
      <c r="KA11" s="73" t="str">
        <f t="array" ref="KA11">IFERROR(IF(XLOOKUP(CONCAT(JX11,JY11),'PROCESOS PRD'!$J:$J,'PROCESOS PRD'!$H:$H,0,0)=0,"",XLOOKUP(CONCAT(JX11,JY11),'PROCESOS PRD'!$J:$J,'PROCESOS PRD'!$H:$H,0,0)),"")</f>
        <v/>
      </c>
      <c r="KB11" s="71"/>
      <c r="KC11" s="32"/>
      <c r="KD11" s="72" t="str">
        <f t="array" ref="KD11">IFERROR(IF(XLOOKUP(CONCAT(KB11,KC11),'MASTER PLAN'!$AB:$AB,'MASTER PLAN'!$J:$J,0,0)=0,"",XLOOKUP(CONCAT(KB11,KC11),'MASTER PLAN'!$AB:$AB,'MASTER PLAN'!$J:$J,0,0)),"")</f>
        <v/>
      </c>
      <c r="KE11" s="73" t="str">
        <f t="array" ref="KE11">IFERROR(IF(XLOOKUP(CONCAT(KB11,KC11),'PROCESOS PRD'!$J:$J,'PROCESOS PRD'!$H:$H,0,0)=0,"",XLOOKUP(CONCAT(KB11,KC11),'PROCESOS PRD'!$J:$J,'PROCESOS PRD'!$H:$H,0,0)),"")</f>
        <v/>
      </c>
      <c r="KF11" s="71"/>
      <c r="KG11" s="32"/>
      <c r="KH11" s="72" t="str">
        <f t="array" ref="KH11">IFERROR(IF(XLOOKUP(CONCAT(KF11,KG11),'MASTER PLAN'!$AB:$AB,'MASTER PLAN'!$J:$J,0,0)=0,"",XLOOKUP(CONCAT(KF11,KG11),'MASTER PLAN'!$AB:$AB,'MASTER PLAN'!$J:$J,0,0)),"")</f>
        <v/>
      </c>
      <c r="KI11" s="73" t="str">
        <f t="array" ref="KI11">IFERROR(IF(XLOOKUP(CONCAT(KF11,KG11),'PROCESOS PRD'!$J:$J,'PROCESOS PRD'!$H:$H,0,0)=0,"",XLOOKUP(CONCAT(KF11,KG11),'PROCESOS PRD'!$J:$J,'PROCESOS PRD'!$H:$H,0,0)),"")</f>
        <v/>
      </c>
      <c r="KJ11" s="70"/>
      <c r="KK11" s="70"/>
      <c r="KL11" s="70"/>
      <c r="KM11" s="70"/>
      <c r="KN11" s="70"/>
      <c r="KO11" s="70"/>
      <c r="KP11" s="70"/>
      <c r="KQ11" s="70"/>
      <c r="KR11" s="70"/>
      <c r="KS11" s="70"/>
      <c r="KT11" s="70"/>
      <c r="KU11" s="70"/>
      <c r="KV11" s="70"/>
      <c r="KW11" s="70"/>
      <c r="KX11" s="70"/>
      <c r="KY11" s="70"/>
      <c r="KZ11" s="70"/>
      <c r="LA11" s="70"/>
      <c r="LB11" s="70"/>
      <c r="LC11" s="70"/>
    </row>
    <row r="12">
      <c r="A12" s="42"/>
      <c r="B12" s="75"/>
      <c r="C12" s="76"/>
      <c r="D12" s="70"/>
      <c r="E12" s="77"/>
      <c r="F12" s="78"/>
      <c r="G12" s="79" t="str">
        <f t="array" ref="G12">IFERROR(IF(XLOOKUP(CONCAT(E12,F12),'MASTER PLAN'!$AB:$AB,'MASTER PLAN'!$J:$J,0,0)=0,"",XLOOKUP(CONCAT(E12,F12),'MASTER PLAN'!$AB:$AB,'MASTER PLAN'!$J:$J,0,0)),"")</f>
        <v/>
      </c>
      <c r="H12" s="80" t="str">
        <f t="array" ref="H12">IFERROR(IF(XLOOKUP(CONCAT(E12,F12),'PROCESOS PRD'!$J:$J,'PROCESOS PRD'!$H:$H,0,0)=0,"",XLOOKUP(CONCAT(E12,F12),'PROCESOS PRD'!$J:$J,'PROCESOS PRD'!$H:$H,0,0)),"")</f>
        <v/>
      </c>
      <c r="I12" s="77"/>
      <c r="J12" s="78"/>
      <c r="K12" s="79" t="str">
        <f t="array" ref="K12">IFERROR(IF(XLOOKUP(CONCAT(I12,J12),'MASTER PLAN'!$AB:$AB,'MASTER PLAN'!$J:$J,0,0)=0,"",XLOOKUP(CONCAT(I12,J12),'MASTER PLAN'!$AB:$AB,'MASTER PLAN'!$J:$J,0,0)),"")</f>
        <v/>
      </c>
      <c r="L12" s="80" t="str">
        <f t="array" ref="L12">IFERROR(IF(XLOOKUP(CONCAT(I12,J12),'PROCESOS PRD'!$J:$J,'PROCESOS PRD'!$H:$H,0,0)=0,"",XLOOKUP(CONCAT(I12,J12),'PROCESOS PRD'!$J:$J,'PROCESOS PRD'!$H:$H,0,0)),"")</f>
        <v/>
      </c>
      <c r="M12" s="77"/>
      <c r="N12" s="78"/>
      <c r="O12" s="79" t="str">
        <f t="array" ref="O12">IFERROR(IF(XLOOKUP(CONCAT(M12,N12),'MASTER PLAN'!$AB:$AB,'MASTER PLAN'!$J:$J,0,0)=0,"",XLOOKUP(CONCAT(M12,N12),'MASTER PLAN'!$AB:$AB,'MASTER PLAN'!$J:$J,0,0)),"")</f>
        <v/>
      </c>
      <c r="P12" s="80" t="str">
        <f t="array" ref="P12">IFERROR(IF(XLOOKUP(CONCAT(M12,N12),'PROCESOS PRD'!$J:$J,'PROCESOS PRD'!$H:$H,0,0)=0,"",XLOOKUP(CONCAT(M12,N12),'PROCESOS PRD'!$J:$J,'PROCESOS PRD'!$H:$H,0,0)),"")</f>
        <v/>
      </c>
      <c r="Q12" s="77"/>
      <c r="R12" s="78"/>
      <c r="S12" s="79" t="str">
        <f t="array" ref="S12">IFERROR(IF(XLOOKUP(CONCAT(Q12,R12),'MASTER PLAN'!$AB:$AB,'MASTER PLAN'!$J:$J,0,0)=0,"",XLOOKUP(CONCAT(Q12,R12),'MASTER PLAN'!$AB:$AB,'MASTER PLAN'!$J:$J,0,0)),"")</f>
        <v/>
      </c>
      <c r="T12" s="80" t="str">
        <f t="array" ref="T12">IFERROR(IF(XLOOKUP(CONCAT(Q12,R12),'PROCESOS PRD'!$J:$J,'PROCESOS PRD'!$H:$H,0,0)=0,"",XLOOKUP(CONCAT(Q12,R12),'PROCESOS PRD'!$J:$J,'PROCESOS PRD'!$H:$H,0,0)),"")</f>
        <v/>
      </c>
      <c r="U12" s="70"/>
      <c r="V12" s="77"/>
      <c r="W12" s="78"/>
      <c r="X12" s="79" t="str">
        <f t="array" ref="X12">IFERROR(IF(XLOOKUP(CONCAT(V12,W12),'MASTER PLAN'!$AB:$AB,'MASTER PLAN'!$J:$J,0,0)=0,"",XLOOKUP(CONCAT(V12,W12),'MASTER PLAN'!$AB:$AB,'MASTER PLAN'!$J:$J,0,0)),"")</f>
        <v/>
      </c>
      <c r="Y12" s="80" t="str">
        <f t="array" ref="Y12">IFERROR(IF(XLOOKUP(CONCAT(V12,W12),'PROCESOS PRD'!$J:$J,'PROCESOS PRD'!$H:$H,0,0)=0,"",XLOOKUP(CONCAT(V12,W12),'PROCESOS PRD'!$J:$J,'PROCESOS PRD'!$H:$H,0,0)),"")</f>
        <v/>
      </c>
      <c r="Z12" s="77"/>
      <c r="AA12" s="78"/>
      <c r="AB12" s="79" t="str">
        <f t="array" ref="AB12">IFERROR(IF(XLOOKUP(CONCAT(Z12,AA12),'MASTER PLAN'!$AB:$AB,'MASTER PLAN'!$J:$J,0,0)=0,"",XLOOKUP(CONCAT(Z12,AA12),'MASTER PLAN'!$AB:$AB,'MASTER PLAN'!$J:$J,0,0)),"")</f>
        <v/>
      </c>
      <c r="AC12" s="80" t="str">
        <f t="array" ref="AC12">IFERROR(IF(XLOOKUP(CONCAT(Z12,AA12),'PROCESOS PRD'!$J:$J,'PROCESOS PRD'!$H:$H,0,0)=0,"",XLOOKUP(CONCAT(Z12,AA12),'PROCESOS PRD'!$J:$J,'PROCESOS PRD'!$H:$H,0,0)),"")</f>
        <v/>
      </c>
      <c r="AD12" s="77"/>
      <c r="AE12" s="78"/>
      <c r="AF12" s="79" t="str">
        <f t="array" ref="AF12">IFERROR(IF(XLOOKUP(CONCAT(AD12,AE12),'MASTER PLAN'!$AB:$AB,'MASTER PLAN'!$J:$J,0,0)=0,"",XLOOKUP(CONCAT(AD12,AE12),'MASTER PLAN'!$AB:$AB,'MASTER PLAN'!$J:$J,0,0)),"")</f>
        <v/>
      </c>
      <c r="AG12" s="80" t="str">
        <f t="array" ref="AG12">IFERROR(IF(XLOOKUP(CONCAT(AD12,AE12),'PROCESOS PRD'!$J:$J,'PROCESOS PRD'!$H:$H,0,0)=0,"",XLOOKUP(CONCAT(AD12,AE12),'PROCESOS PRD'!$J:$J,'PROCESOS PRD'!$H:$H,0,0)),"")</f>
        <v/>
      </c>
      <c r="AH12" s="77"/>
      <c r="AI12" s="78"/>
      <c r="AJ12" s="79" t="str">
        <f t="array" ref="AJ12">IFERROR(IF(XLOOKUP(CONCAT(AH12,AI12),'MASTER PLAN'!$AB:$AB,'MASTER PLAN'!$J:$J,0,0)=0,"",XLOOKUP(CONCAT(AH12,AI12),'MASTER PLAN'!$AB:$AB,'MASTER PLAN'!$J:$J,0,0)),"")</f>
        <v/>
      </c>
      <c r="AK12" s="80" t="str">
        <f t="array" ref="AK12">IFERROR(IF(XLOOKUP(CONCAT(AH12,AI12),'PROCESOS PRD'!$J:$J,'PROCESOS PRD'!$H:$H,0,0)=0,"",XLOOKUP(CONCAT(AH12,AI12),'PROCESOS PRD'!$J:$J,'PROCESOS PRD'!$H:$H,0,0)),"")</f>
        <v/>
      </c>
      <c r="AL12" s="77"/>
      <c r="AM12" s="78"/>
      <c r="AN12" s="79" t="str">
        <f t="array" ref="AN12">IFERROR(IF(XLOOKUP(CONCAT(AL12,AM12),'MASTER PLAN'!$AB:$AB,'MASTER PLAN'!$J:$J,0,0)=0,"",XLOOKUP(CONCAT(AL12,AM12),'MASTER PLAN'!$AB:$AB,'MASTER PLAN'!$J:$J,0,0)),"")</f>
        <v/>
      </c>
      <c r="AO12" s="80" t="str">
        <f t="array" ref="AO12">IFERROR(IF(XLOOKUP(CONCAT(AL12,AM12),'PROCESOS PRD'!$J:$J,'PROCESOS PRD'!$H:$H,0,0)=0,"",XLOOKUP(CONCAT(AL12,AM12),'PROCESOS PRD'!$J:$J,'PROCESOS PRD'!$H:$H,0,0)),"")</f>
        <v/>
      </c>
      <c r="AP12" s="77"/>
      <c r="AQ12" s="78"/>
      <c r="AR12" s="79" t="str">
        <f t="array" ref="AR12">IFERROR(IF(XLOOKUP(CONCAT(AP12,AQ12),'MASTER PLAN'!$AB:$AB,'MASTER PLAN'!$J:$J,0,0)=0,"",XLOOKUP(CONCAT(AP12,AQ12),'MASTER PLAN'!$AB:$AB,'MASTER PLAN'!$J:$J,0,0)),"")</f>
        <v/>
      </c>
      <c r="AS12" s="80" t="str">
        <f t="array" ref="AS12">IFERROR(IF(XLOOKUP(CONCAT(AP12,AQ12),'PROCESOS PRD'!$J:$J,'PROCESOS PRD'!$H:$H,0,0)=0,"",XLOOKUP(CONCAT(AP12,AQ12),'PROCESOS PRD'!$J:$J,'PROCESOS PRD'!$H:$H,0,0)),"")</f>
        <v/>
      </c>
      <c r="AT12" s="70"/>
      <c r="AU12" s="77"/>
      <c r="AV12" s="78"/>
      <c r="AW12" s="79" t="str">
        <f t="array" ref="AW12">IFERROR(IF(XLOOKUP(CONCAT(AU12,AV12),'MASTER PLAN'!$AB:$AB,'MASTER PLAN'!$J:$J,0,0)=0,"",XLOOKUP(CONCAT(AU12,AV12),'MASTER PLAN'!$AB:$AB,'MASTER PLAN'!$J:$J,0,0)),"")</f>
        <v/>
      </c>
      <c r="AX12" s="80" t="str">
        <f t="array" ref="AX12">IFERROR(IF(XLOOKUP(CONCAT(AU12,AV12),'PROCESOS PRD'!$J:$J,'PROCESOS PRD'!$H:$H,0,0)=0,"",XLOOKUP(CONCAT(AU12,AV12),'PROCESOS PRD'!$J:$J,'PROCESOS PRD'!$H:$H,0,0)),"")</f>
        <v/>
      </c>
      <c r="AY12" s="77"/>
      <c r="AZ12" s="78"/>
      <c r="BA12" s="79" t="str">
        <f t="array" ref="BA12">IFERROR(IF(XLOOKUP(CONCAT(AY12,AZ12),'MASTER PLAN'!$AB:$AB,'MASTER PLAN'!$J:$J,0,0)=0,"",XLOOKUP(CONCAT(AY12,AZ12),'MASTER PLAN'!$AB:$AB,'MASTER PLAN'!$J:$J,0,0)),"")</f>
        <v/>
      </c>
      <c r="BB12" s="80" t="str">
        <f t="array" ref="BB12">IFERROR(IF(XLOOKUP(CONCAT(AY12,AZ12),'PROCESOS PRD'!$J:$J,'PROCESOS PRD'!$H:$H,0,0)=0,"",XLOOKUP(CONCAT(AY12,AZ12),'PROCESOS PRD'!$J:$J,'PROCESOS PRD'!$H:$H,0,0)),"")</f>
        <v/>
      </c>
      <c r="BC12" s="77"/>
      <c r="BD12" s="78"/>
      <c r="BE12" s="79" t="str">
        <f t="array" ref="BE12">IFERROR(IF(XLOOKUP(CONCAT(BC12,BD12),'MASTER PLAN'!$AB:$AB,'MASTER PLAN'!$J:$J,0,0)=0,"",XLOOKUP(CONCAT(BC12,BD12),'MASTER PLAN'!$AB:$AB,'MASTER PLAN'!$J:$J,0,0)),"")</f>
        <v/>
      </c>
      <c r="BF12" s="80" t="str">
        <f t="array" ref="BF12">IFERROR(IF(XLOOKUP(CONCAT(BC12,BD12),'PROCESOS PRD'!$J:$J,'PROCESOS PRD'!$H:$H,0,0)=0,"",XLOOKUP(CONCAT(BC12,BD12),'PROCESOS PRD'!$J:$J,'PROCESOS PRD'!$H:$H,0,0)),"")</f>
        <v/>
      </c>
      <c r="BG12" s="77"/>
      <c r="BH12" s="78"/>
      <c r="BI12" s="79" t="str">
        <f t="array" ref="BI12">IFERROR(IF(XLOOKUP(CONCAT(BG12,BH12),'MASTER PLAN'!$AB:$AB,'MASTER PLAN'!$J:$J,0,0)=0,"",XLOOKUP(CONCAT(BG12,BH12),'MASTER PLAN'!$AB:$AB,'MASTER PLAN'!$J:$J,0,0)),"")</f>
        <v/>
      </c>
      <c r="BJ12" s="80" t="str">
        <f t="array" ref="BJ12">IFERROR(IF(XLOOKUP(CONCAT(BG12,BH12),'PROCESOS PRD'!$J:$J,'PROCESOS PRD'!$H:$H,0,0)=0,"",XLOOKUP(CONCAT(BG12,BH12),'PROCESOS PRD'!$J:$J,'PROCESOS PRD'!$H:$H,0,0)),"")</f>
        <v/>
      </c>
      <c r="BK12" s="77"/>
      <c r="BL12" s="78"/>
      <c r="BM12" s="79" t="str">
        <f t="array" ref="BM12">IFERROR(IF(XLOOKUP(CONCAT(BK12,BL12),'MASTER PLAN'!$AB:$AB,'MASTER PLAN'!$J:$J,0,0)=0,"",XLOOKUP(CONCAT(BK12,BL12),'MASTER PLAN'!$AB:$AB,'MASTER PLAN'!$J:$J,0,0)),"")</f>
        <v/>
      </c>
      <c r="BN12" s="80" t="str">
        <f t="array" ref="BN12">IFERROR(IF(XLOOKUP(CONCAT(BK12,BL12),'PROCESOS PRD'!$J:$J,'PROCESOS PRD'!$H:$H,0,0)=0,"",XLOOKUP(CONCAT(BK12,BL12),'PROCESOS PRD'!$J:$J,'PROCESOS PRD'!$H:$H,0,0)),"")</f>
        <v/>
      </c>
      <c r="BO12" s="77"/>
      <c r="BP12" s="78"/>
      <c r="BQ12" s="79" t="str">
        <f t="array" ref="BQ12">IFERROR(IF(XLOOKUP(CONCAT(BO12,BP12),'MASTER PLAN'!$AB:$AB,'MASTER PLAN'!$J:$J,0,0)=0,"",XLOOKUP(CONCAT(BO12,BP12),'MASTER PLAN'!$AB:$AB,'MASTER PLAN'!$J:$J,0,0)),"")</f>
        <v/>
      </c>
      <c r="BR12" s="80" t="str">
        <f t="array" ref="BR12">IFERROR(IF(XLOOKUP(CONCAT(BO12,BP12),'PROCESOS PRD'!$J:$J,'PROCESOS PRD'!$H:$H,0,0)=0,"",XLOOKUP(CONCAT(BO12,BP12),'PROCESOS PRD'!$J:$J,'PROCESOS PRD'!$H:$H,0,0)),"")</f>
        <v/>
      </c>
      <c r="BS12" s="70"/>
      <c r="BT12" s="77"/>
      <c r="BU12" s="78"/>
      <c r="BV12" s="79" t="str">
        <f t="array" ref="BV12">IFERROR(IF(XLOOKUP(CONCAT(BT12,BU12),'MASTER PLAN'!$AB:$AB,'MASTER PLAN'!$J:$J,0,0)=0,"",XLOOKUP(CONCAT(BT12,BU12),'MASTER PLAN'!$AB:$AB,'MASTER PLAN'!$J:$J,0,0)),"")</f>
        <v/>
      </c>
      <c r="BW12" s="80" t="str">
        <f t="array" ref="BW12">IFERROR(IF(XLOOKUP(CONCAT(BT12,BU12),'PROCESOS PRD'!$J:$J,'PROCESOS PRD'!$H:$H,0,0)=0,"",XLOOKUP(CONCAT(BT12,BU12),'PROCESOS PRD'!$J:$J,'PROCESOS PRD'!$H:$H,0,0)),"")</f>
        <v/>
      </c>
      <c r="BX12" s="77"/>
      <c r="BY12" s="78"/>
      <c r="BZ12" s="79" t="str">
        <f t="array" ref="BZ12">IFERROR(IF(XLOOKUP(CONCAT(BX12,BY12),'MASTER PLAN'!$AB:$AB,'MASTER PLAN'!$J:$J,0,0)=0,"",XLOOKUP(CONCAT(BX12,BY12),'MASTER PLAN'!$AB:$AB,'MASTER PLAN'!$J:$J,0,0)),"")</f>
        <v/>
      </c>
      <c r="CA12" s="80" t="str">
        <f t="array" ref="CA12">IFERROR(IF(XLOOKUP(CONCAT(BX12,BY12),'PROCESOS PRD'!$J:$J,'PROCESOS PRD'!$H:$H,0,0)=0,"",XLOOKUP(CONCAT(BX12,BY12),'PROCESOS PRD'!$J:$J,'PROCESOS PRD'!$H:$H,0,0)),"")</f>
        <v/>
      </c>
      <c r="CB12" s="77"/>
      <c r="CC12" s="78"/>
      <c r="CD12" s="79" t="str">
        <f t="array" ref="CD12">IFERROR(IF(XLOOKUP(CONCAT(CB12,CC12),'MASTER PLAN'!$AB:$AB,'MASTER PLAN'!$J:$J,0,0)=0,"",XLOOKUP(CONCAT(CB12,CC12),'MASTER PLAN'!$AB:$AB,'MASTER PLAN'!$J:$J,0,0)),"")</f>
        <v/>
      </c>
      <c r="CE12" s="80" t="str">
        <f t="array" ref="CE12">IFERROR(IF(XLOOKUP(CONCAT(CB12,CC12),'PROCESOS PRD'!$J:$J,'PROCESOS PRD'!$H:$H,0,0)=0,"",XLOOKUP(CONCAT(CB12,CC12),'PROCESOS PRD'!$J:$J,'PROCESOS PRD'!$H:$H,0,0)),"")</f>
        <v/>
      </c>
      <c r="CF12" s="77"/>
      <c r="CG12" s="78"/>
      <c r="CH12" s="79" t="str">
        <f t="array" ref="CH12">IFERROR(IF(XLOOKUP(CONCAT(CF12,CG12),'MASTER PLAN'!$AB:$AB,'MASTER PLAN'!$J:$J,0,0)=0,"",XLOOKUP(CONCAT(CF12,CG12),'MASTER PLAN'!$AB:$AB,'MASTER PLAN'!$J:$J,0,0)),"")</f>
        <v/>
      </c>
      <c r="CI12" s="80" t="str">
        <f t="array" ref="CI12">IFERROR(IF(XLOOKUP(CONCAT(CF12,CG12),'PROCESOS PRD'!$J:$J,'PROCESOS PRD'!$H:$H,0,0)=0,"",XLOOKUP(CONCAT(CF12,CG12),'PROCESOS PRD'!$J:$J,'PROCESOS PRD'!$H:$H,0,0)),"")</f>
        <v/>
      </c>
      <c r="CJ12" s="77"/>
      <c r="CK12" s="78"/>
      <c r="CL12" s="79" t="str">
        <f t="array" ref="CL12">IFERROR(IF(XLOOKUP(CONCAT(CJ12,CK12),'MASTER PLAN'!$AB:$AB,'MASTER PLAN'!$J:$J,0,0)=0,"",XLOOKUP(CONCAT(CJ12,CK12),'MASTER PLAN'!$AB:$AB,'MASTER PLAN'!$J:$J,0,0)),"")</f>
        <v/>
      </c>
      <c r="CM12" s="80" t="str">
        <f t="array" ref="CM12">IFERROR(IF(XLOOKUP(CONCAT(CJ12,CK12),'PROCESOS PRD'!$J:$J,'PROCESOS PRD'!$H:$H,0,0)=0,"",XLOOKUP(CONCAT(CJ12,CK12),'PROCESOS PRD'!$J:$J,'PROCESOS PRD'!$H:$H,0,0)),"")</f>
        <v/>
      </c>
      <c r="CN12" s="77"/>
      <c r="CO12" s="78"/>
      <c r="CP12" s="79" t="str">
        <f t="array" ref="CP12">IFERROR(IF(XLOOKUP(CONCAT(CN12,CO12),'MASTER PLAN'!$AB:$AB,'MASTER PLAN'!$J:$J,0,0)=0,"",XLOOKUP(CONCAT(CN12,CO12),'MASTER PLAN'!$AB:$AB,'MASTER PLAN'!$J:$J,0,0)),"")</f>
        <v/>
      </c>
      <c r="CQ12" s="80" t="str">
        <f t="array" ref="CQ12">IFERROR(IF(XLOOKUP(CONCAT(CN12,CO12),'PROCESOS PRD'!$J:$J,'PROCESOS PRD'!$H:$H,0,0)=0,"",XLOOKUP(CONCAT(CN12,CO12),'PROCESOS PRD'!$J:$J,'PROCESOS PRD'!$H:$H,0,0)),"")</f>
        <v/>
      </c>
      <c r="CR12" s="70"/>
      <c r="CS12" s="77"/>
      <c r="CT12" s="78"/>
      <c r="CU12" s="79" t="str">
        <f t="array" ref="CU12">IFERROR(IF(XLOOKUP(CONCAT(CS12,CT12),'MASTER PLAN'!$AB:$AB,'MASTER PLAN'!$J:$J,0,0)=0,"",XLOOKUP(CONCAT(CS12,CT12),'MASTER PLAN'!$AB:$AB,'MASTER PLAN'!$J:$J,0,0)),"")</f>
        <v/>
      </c>
      <c r="CV12" s="80" t="str">
        <f t="array" ref="CV12">IFERROR(IF(XLOOKUP(CONCAT(CS12,CT12),'PROCESOS PRD'!$J:$J,'PROCESOS PRD'!$H:$H,0,0)=0,"",XLOOKUP(CONCAT(CS12,CT12),'PROCESOS PRD'!$J:$J,'PROCESOS PRD'!$H:$H,0,0)),"")</f>
        <v/>
      </c>
      <c r="CW12" s="77"/>
      <c r="CX12" s="78"/>
      <c r="CY12" s="79" t="str">
        <f t="array" ref="CY12">IFERROR(IF(XLOOKUP(CONCAT(CW12,CX12),'MASTER PLAN'!$AB:$AB,'MASTER PLAN'!$J:$J,0,0)=0,"",XLOOKUP(CONCAT(CW12,CX12),'MASTER PLAN'!$AB:$AB,'MASTER PLAN'!$J:$J,0,0)),"")</f>
        <v/>
      </c>
      <c r="CZ12" s="80" t="str">
        <f t="array" ref="CZ12">IFERROR(IF(XLOOKUP(CONCAT(CW12,CX12),'PROCESOS PRD'!$J:$J,'PROCESOS PRD'!$H:$H,0,0)=0,"",XLOOKUP(CONCAT(CW12,CX12),'PROCESOS PRD'!$J:$J,'PROCESOS PRD'!$H:$H,0,0)),"")</f>
        <v/>
      </c>
      <c r="DA12" s="77"/>
      <c r="DB12" s="78"/>
      <c r="DC12" s="79" t="str">
        <f t="array" ref="DC12">IFERROR(IF(XLOOKUP(CONCAT(DA12,DB12),'MASTER PLAN'!$AB:$AB,'MASTER PLAN'!$J:$J,0,0)=0,"",XLOOKUP(CONCAT(DA12,DB12),'MASTER PLAN'!$AB:$AB,'MASTER PLAN'!$J:$J,0,0)),"")</f>
        <v/>
      </c>
      <c r="DD12" s="80" t="str">
        <f t="array" ref="DD12">IFERROR(IF(XLOOKUP(CONCAT(DA12,DB12),'PROCESOS PRD'!$J:$J,'PROCESOS PRD'!$H:$H,0,0)=0,"",XLOOKUP(CONCAT(DA12,DB12),'PROCESOS PRD'!$J:$J,'PROCESOS PRD'!$H:$H,0,0)),"")</f>
        <v/>
      </c>
      <c r="DE12" s="77"/>
      <c r="DF12" s="78"/>
      <c r="DG12" s="79" t="str">
        <f t="array" ref="DG12">IFERROR(IF(XLOOKUP(CONCAT(DE12,DF12),'MASTER PLAN'!$AB:$AB,'MASTER PLAN'!$J:$J,0,0)=0,"",XLOOKUP(CONCAT(DE12,DF12),'MASTER PLAN'!$AB:$AB,'MASTER PLAN'!$J:$J,0,0)),"")</f>
        <v/>
      </c>
      <c r="DH12" s="80" t="str">
        <f t="array" ref="DH12">IFERROR(IF(XLOOKUP(CONCAT(DE12,DF12),'PROCESOS PRD'!$J:$J,'PROCESOS PRD'!$H:$H,0,0)=0,"",XLOOKUP(CONCAT(DE12,DF12),'PROCESOS PRD'!$J:$J,'PROCESOS PRD'!$H:$H,0,0)),"")</f>
        <v/>
      </c>
      <c r="DI12" s="77"/>
      <c r="DJ12" s="78"/>
      <c r="DK12" s="79" t="str">
        <f t="array" ref="DK12">IFERROR(IF(XLOOKUP(CONCAT(DI12,DJ12),'MASTER PLAN'!$AB:$AB,'MASTER PLAN'!$J:$J,0,0)=0,"",XLOOKUP(CONCAT(DI12,DJ12),'MASTER PLAN'!$AB:$AB,'MASTER PLAN'!$J:$J,0,0)),"")</f>
        <v/>
      </c>
      <c r="DL12" s="80" t="str">
        <f t="array" ref="DL12">IFERROR(IF(XLOOKUP(CONCAT(DI12,DJ12),'PROCESOS PRD'!$J:$J,'PROCESOS PRD'!$H:$H,0,0)=0,"",XLOOKUP(CONCAT(DI12,DJ12),'PROCESOS PRD'!$J:$J,'PROCESOS PRD'!$H:$H,0,0)),"")</f>
        <v/>
      </c>
      <c r="DM12" s="77"/>
      <c r="DN12" s="78"/>
      <c r="DO12" s="79" t="str">
        <f t="array" ref="DO12">IFERROR(IF(XLOOKUP(CONCAT(DM12,DN12),'MASTER PLAN'!$AB:$AB,'MASTER PLAN'!$J:$J,0,0)=0,"",XLOOKUP(CONCAT(DM12,DN12),'MASTER PLAN'!$AB:$AB,'MASTER PLAN'!$J:$J,0,0)),"")</f>
        <v/>
      </c>
      <c r="DP12" s="80" t="str">
        <f t="array" ref="DP12">IFERROR(IF(XLOOKUP(CONCAT(DM12,DN12),'PROCESOS PRD'!$J:$J,'PROCESOS PRD'!$H:$H,0,0)=0,"",XLOOKUP(CONCAT(DM12,DN12),'PROCESOS PRD'!$J:$J,'PROCESOS PRD'!$H:$H,0,0)),"")</f>
        <v/>
      </c>
      <c r="DQ12" s="70"/>
      <c r="DR12" s="77"/>
      <c r="DS12" s="78"/>
      <c r="DT12" s="79" t="str">
        <f t="array" ref="DT12">IFERROR(IF(XLOOKUP(CONCAT(DR12,DS12),'MASTER PLAN'!$AB:$AB,'MASTER PLAN'!$J:$J,0,0)=0,"",XLOOKUP(CONCAT(DR12,DS12),'MASTER PLAN'!$AB:$AB,'MASTER PLAN'!$J:$J,0,0)),"")</f>
        <v/>
      </c>
      <c r="DU12" s="80" t="str">
        <f t="array" ref="DU12">IFERROR(IF(XLOOKUP(CONCAT(DR12,DS12),'PROCESOS PRD'!$J:$J,'PROCESOS PRD'!$H:$H,0,0)=0,"",XLOOKUP(CONCAT(DR12,DS12),'PROCESOS PRD'!$J:$J,'PROCESOS PRD'!$H:$H,0,0)),"")</f>
        <v/>
      </c>
      <c r="DV12" s="77"/>
      <c r="DW12" s="78"/>
      <c r="DX12" s="79" t="str">
        <f t="array" ref="DX12">IFERROR(IF(XLOOKUP(CONCAT(DV12,DW12),'MASTER PLAN'!$AB:$AB,'MASTER PLAN'!$J:$J,0,0)=0,"",XLOOKUP(CONCAT(DV12,DW12),'MASTER PLAN'!$AB:$AB,'MASTER PLAN'!$J:$J,0,0)),"")</f>
        <v/>
      </c>
      <c r="DY12" s="80" t="str">
        <f t="array" ref="DY12">IFERROR(IF(XLOOKUP(CONCAT(DV12,DW12),'PROCESOS PRD'!$J:$J,'PROCESOS PRD'!$H:$H,0,0)=0,"",XLOOKUP(CONCAT(DV12,DW12),'PROCESOS PRD'!$J:$J,'PROCESOS PRD'!$H:$H,0,0)),"")</f>
        <v/>
      </c>
      <c r="DZ12" s="77"/>
      <c r="EA12" s="78"/>
      <c r="EB12" s="79" t="str">
        <f t="array" ref="EB12">IFERROR(IF(XLOOKUP(CONCAT(DZ12,EA12),'MASTER PLAN'!$AB:$AB,'MASTER PLAN'!$J:$J,0,0)=0,"",XLOOKUP(CONCAT(DZ12,EA12),'MASTER PLAN'!$AB:$AB,'MASTER PLAN'!$J:$J,0,0)),"")</f>
        <v/>
      </c>
      <c r="EC12" s="80" t="str">
        <f t="array" ref="EC12">IFERROR(IF(XLOOKUP(CONCAT(DZ12,EA12),'PROCESOS PRD'!$J:$J,'PROCESOS PRD'!$H:$H,0,0)=0,"",XLOOKUP(CONCAT(DZ12,EA12),'PROCESOS PRD'!$J:$J,'PROCESOS PRD'!$H:$H,0,0)),"")</f>
        <v/>
      </c>
      <c r="ED12" s="77"/>
      <c r="EE12" s="78"/>
      <c r="EF12" s="79" t="str">
        <f t="array" ref="EF12">IFERROR(IF(XLOOKUP(CONCAT(ED12,EE12),'MASTER PLAN'!$AB:$AB,'MASTER PLAN'!$J:$J,0,0)=0,"",XLOOKUP(CONCAT(ED12,EE12),'MASTER PLAN'!$AB:$AB,'MASTER PLAN'!$J:$J,0,0)),"")</f>
        <v/>
      </c>
      <c r="EG12" s="80" t="str">
        <f t="array" ref="EG12">IFERROR(IF(XLOOKUP(CONCAT(ED12,EE12),'PROCESOS PRD'!$J:$J,'PROCESOS PRD'!$H:$H,0,0)=0,"",XLOOKUP(CONCAT(ED12,EE12),'PROCESOS PRD'!$J:$J,'PROCESOS PRD'!$H:$H,0,0)),"")</f>
        <v/>
      </c>
      <c r="EH12" s="77"/>
      <c r="EI12" s="78"/>
      <c r="EJ12" s="79" t="str">
        <f t="array" ref="EJ12">IFERROR(IF(XLOOKUP(CONCAT(EH12,EI12),'MASTER PLAN'!$AB:$AB,'MASTER PLAN'!$J:$J,0,0)=0,"",XLOOKUP(CONCAT(EH12,EI12),'MASTER PLAN'!$AB:$AB,'MASTER PLAN'!$J:$J,0,0)),"")</f>
        <v/>
      </c>
      <c r="EK12" s="80" t="str">
        <f t="array" ref="EK12">IFERROR(IF(XLOOKUP(CONCAT(EH12,EI12),'PROCESOS PRD'!$J:$J,'PROCESOS PRD'!$H:$H,0,0)=0,"",XLOOKUP(CONCAT(EH12,EI12),'PROCESOS PRD'!$J:$J,'PROCESOS PRD'!$H:$H,0,0)),"")</f>
        <v/>
      </c>
      <c r="EL12" s="77"/>
      <c r="EM12" s="78"/>
      <c r="EN12" s="79" t="str">
        <f t="array" ref="EN12">IFERROR(IF(XLOOKUP(CONCAT(EL12,EM12),'MASTER PLAN'!$AB:$AB,'MASTER PLAN'!$J:$J,0,0)=0,"",XLOOKUP(CONCAT(EL12,EM12),'MASTER PLAN'!$AB:$AB,'MASTER PLAN'!$J:$J,0,0)),"")</f>
        <v/>
      </c>
      <c r="EO12" s="80" t="str">
        <f t="array" ref="EO12">IFERROR(IF(XLOOKUP(CONCAT(EL12,EM12),'PROCESOS PRD'!$J:$J,'PROCESOS PRD'!$H:$H,0,0)=0,"",XLOOKUP(CONCAT(EL12,EM12),'PROCESOS PRD'!$J:$J,'PROCESOS PRD'!$H:$H,0,0)),"")</f>
        <v/>
      </c>
      <c r="EP12" s="70"/>
      <c r="EQ12" s="77"/>
      <c r="ER12" s="78"/>
      <c r="ES12" s="79" t="str">
        <f t="array" ref="ES12">IFERROR(IF(XLOOKUP(CONCAT(EQ12,ER12),'MASTER PLAN'!$AB:$AB,'MASTER PLAN'!$J:$J,0,0)=0,"",XLOOKUP(CONCAT(EQ12,ER12),'MASTER PLAN'!$AB:$AB,'MASTER PLAN'!$J:$J,0,0)),"")</f>
        <v/>
      </c>
      <c r="ET12" s="80" t="str">
        <f t="array" ref="ET12">IFERROR(IF(XLOOKUP(CONCAT(EQ12,ER12),'PROCESOS PRD'!$J:$J,'PROCESOS PRD'!$H:$H,0,0)=0,"",XLOOKUP(CONCAT(EQ12,ER12),'PROCESOS PRD'!$J:$J,'PROCESOS PRD'!$H:$H,0,0)),"")</f>
        <v/>
      </c>
      <c r="EU12" s="77"/>
      <c r="EV12" s="78"/>
      <c r="EW12" s="79" t="str">
        <f t="array" ref="EW12">IFERROR(IF(XLOOKUP(CONCAT(EU12,EV12),'MASTER PLAN'!$AB:$AB,'MASTER PLAN'!$J:$J,0,0)=0,"",XLOOKUP(CONCAT(EU12,EV12),'MASTER PLAN'!$AB:$AB,'MASTER PLAN'!$J:$J,0,0)),"")</f>
        <v/>
      </c>
      <c r="EX12" s="80" t="str">
        <f t="array" ref="EX12">IFERROR(IF(XLOOKUP(CONCAT(EU12,EV12),'PROCESOS PRD'!$J:$J,'PROCESOS PRD'!$H:$H,0,0)=0,"",XLOOKUP(CONCAT(EU12,EV12),'PROCESOS PRD'!$J:$J,'PROCESOS PRD'!$H:$H,0,0)),"")</f>
        <v/>
      </c>
      <c r="EY12" s="77"/>
      <c r="EZ12" s="78"/>
      <c r="FA12" s="79" t="str">
        <f t="array" ref="FA12">IFERROR(IF(XLOOKUP(CONCAT(EY12,EZ12),'MASTER PLAN'!$AB:$AB,'MASTER PLAN'!$J:$J,0,0)=0,"",XLOOKUP(CONCAT(EY12,EZ12),'MASTER PLAN'!$AB:$AB,'MASTER PLAN'!$J:$J,0,0)),"")</f>
        <v/>
      </c>
      <c r="FB12" s="80" t="str">
        <f t="array" ref="FB12">IFERROR(IF(XLOOKUP(CONCAT(EY12,EZ12),'PROCESOS PRD'!$J:$J,'PROCESOS PRD'!$H:$H,0,0)=0,"",XLOOKUP(CONCAT(EY12,EZ12),'PROCESOS PRD'!$J:$J,'PROCESOS PRD'!$H:$H,0,0)),"")</f>
        <v/>
      </c>
      <c r="FC12" s="77"/>
      <c r="FD12" s="78"/>
      <c r="FE12" s="79" t="str">
        <f t="array" ref="FE12">IFERROR(IF(XLOOKUP(CONCAT(FC12,FD12),'MASTER PLAN'!$AB:$AB,'MASTER PLAN'!$J:$J,0,0)=0,"",XLOOKUP(CONCAT(FC12,FD12),'MASTER PLAN'!$AB:$AB,'MASTER PLAN'!$J:$J,0,0)),"")</f>
        <v/>
      </c>
      <c r="FF12" s="80" t="str">
        <f t="array" ref="FF12">IFERROR(IF(XLOOKUP(CONCAT(FC12,FD12),'PROCESOS PRD'!$J:$J,'PROCESOS PRD'!$H:$H,0,0)=0,"",XLOOKUP(CONCAT(FC12,FD12),'PROCESOS PRD'!$J:$J,'PROCESOS PRD'!$H:$H,0,0)),"")</f>
        <v/>
      </c>
      <c r="FG12" s="77"/>
      <c r="FH12" s="78"/>
      <c r="FI12" s="79" t="str">
        <f t="array" ref="FI12">IFERROR(IF(XLOOKUP(CONCAT(FG12,FH12),'MASTER PLAN'!$AB:$AB,'MASTER PLAN'!$J:$J,0,0)=0,"",XLOOKUP(CONCAT(FG12,FH12),'MASTER PLAN'!$AB:$AB,'MASTER PLAN'!$J:$J,0,0)),"")</f>
        <v/>
      </c>
      <c r="FJ12" s="80" t="str">
        <f t="array" ref="FJ12">IFERROR(IF(XLOOKUP(CONCAT(FG12,FH12),'PROCESOS PRD'!$J:$J,'PROCESOS PRD'!$H:$H,0,0)=0,"",XLOOKUP(CONCAT(FG12,FH12),'PROCESOS PRD'!$J:$J,'PROCESOS PRD'!$H:$H,0,0)),"")</f>
        <v/>
      </c>
      <c r="FK12" s="77"/>
      <c r="FL12" s="78"/>
      <c r="FM12" s="79" t="str">
        <f t="array" ref="FM12">IFERROR(IF(XLOOKUP(CONCAT(FK12,FL12),'MASTER PLAN'!$AB:$AB,'MASTER PLAN'!$J:$J,0,0)=0,"",XLOOKUP(CONCAT(FK12,FL12),'MASTER PLAN'!$AB:$AB,'MASTER PLAN'!$J:$J,0,0)),"")</f>
        <v/>
      </c>
      <c r="FN12" s="80" t="str">
        <f t="array" ref="FN12">IFERROR(IF(XLOOKUP(CONCAT(FK12,FL12),'PROCESOS PRD'!$J:$J,'PROCESOS PRD'!$H:$H,0,0)=0,"",XLOOKUP(CONCAT(FK12,FL12),'PROCESOS PRD'!$J:$J,'PROCESOS PRD'!$H:$H,0,0)),"")</f>
        <v/>
      </c>
      <c r="FO12" s="70"/>
      <c r="FP12" s="77"/>
      <c r="FQ12" s="78"/>
      <c r="FR12" s="79" t="str">
        <f t="array" ref="FR12">IFERROR(IF(XLOOKUP(CONCAT(FP12,FQ12),'MASTER PLAN'!$AB:$AB,'MASTER PLAN'!$J:$J,0,0)=0,"",XLOOKUP(CONCAT(FP12,FQ12),'MASTER PLAN'!$AB:$AB,'MASTER PLAN'!$J:$J,0,0)),"")</f>
        <v/>
      </c>
      <c r="FS12" s="80" t="str">
        <f t="array" ref="FS12">IFERROR(IF(XLOOKUP(CONCAT(FP12,FQ12),'PROCESOS PRD'!$J:$J,'PROCESOS PRD'!$H:$H,0,0)=0,"",XLOOKUP(CONCAT(FP12,FQ12),'PROCESOS PRD'!$J:$J,'PROCESOS PRD'!$H:$H,0,0)),"")</f>
        <v/>
      </c>
      <c r="FT12" s="77"/>
      <c r="FU12" s="78"/>
      <c r="FV12" s="79" t="str">
        <f t="array" ref="FV12">IFERROR(IF(XLOOKUP(CONCAT(FT12,FU12),'MASTER PLAN'!$AB:$AB,'MASTER PLAN'!$J:$J,0,0)=0,"",XLOOKUP(CONCAT(FT12,FU12),'MASTER PLAN'!$AB:$AB,'MASTER PLAN'!$J:$J,0,0)),"")</f>
        <v/>
      </c>
      <c r="FW12" s="80" t="str">
        <f t="array" ref="FW12">IFERROR(IF(XLOOKUP(CONCAT(FT12,FU12),'PROCESOS PRD'!$J:$J,'PROCESOS PRD'!$H:$H,0,0)=0,"",XLOOKUP(CONCAT(FT12,FU12),'PROCESOS PRD'!$J:$J,'PROCESOS PRD'!$H:$H,0,0)),"")</f>
        <v/>
      </c>
      <c r="FX12" s="77"/>
      <c r="FY12" s="78"/>
      <c r="FZ12" s="79" t="str">
        <f t="array" ref="FZ12">IFERROR(IF(XLOOKUP(CONCAT(FX12,FY12),'MASTER PLAN'!$AB:$AB,'MASTER PLAN'!$J:$J,0,0)=0,"",XLOOKUP(CONCAT(FX12,FY12),'MASTER PLAN'!$AB:$AB,'MASTER PLAN'!$J:$J,0,0)),"")</f>
        <v/>
      </c>
      <c r="GA12" s="80" t="str">
        <f t="array" ref="GA12">IFERROR(IF(XLOOKUP(CONCAT(FX12,FY12),'PROCESOS PRD'!$J:$J,'PROCESOS PRD'!$H:$H,0,0)=0,"",XLOOKUP(CONCAT(FX12,FY12),'PROCESOS PRD'!$J:$J,'PROCESOS PRD'!$H:$H,0,0)),"")</f>
        <v/>
      </c>
      <c r="GB12" s="77"/>
      <c r="GC12" s="78"/>
      <c r="GD12" s="79" t="str">
        <f t="array" ref="GD12">IFERROR(IF(XLOOKUP(CONCAT(GB12,GC12),'MASTER PLAN'!$AB:$AB,'MASTER PLAN'!$J:$J,0,0)=0,"",XLOOKUP(CONCAT(GB12,GC12),'MASTER PLAN'!$AB:$AB,'MASTER PLAN'!$J:$J,0,0)),"")</f>
        <v/>
      </c>
      <c r="GE12" s="80" t="str">
        <f t="array" ref="GE12">IFERROR(IF(XLOOKUP(CONCAT(GB12,GC12),'PROCESOS PRD'!$J:$J,'PROCESOS PRD'!$H:$H,0,0)=0,"",XLOOKUP(CONCAT(GB12,GC12),'PROCESOS PRD'!$J:$J,'PROCESOS PRD'!$H:$H,0,0)),"")</f>
        <v/>
      </c>
      <c r="GF12" s="77"/>
      <c r="GG12" s="78"/>
      <c r="GH12" s="79" t="str">
        <f t="array" ref="GH12">IFERROR(IF(XLOOKUP(CONCAT(GF12,GG12),'MASTER PLAN'!$AB:$AB,'MASTER PLAN'!$J:$J,0,0)=0,"",XLOOKUP(CONCAT(GF12,GG12),'MASTER PLAN'!$AB:$AB,'MASTER PLAN'!$J:$J,0,0)),"")</f>
        <v/>
      </c>
      <c r="GI12" s="80" t="str">
        <f t="array" ref="GI12">IFERROR(IF(XLOOKUP(CONCAT(GF12,GG12),'PROCESOS PRD'!$J:$J,'PROCESOS PRD'!$H:$H,0,0)=0,"",XLOOKUP(CONCAT(GF12,GG12),'PROCESOS PRD'!$J:$J,'PROCESOS PRD'!$H:$H,0,0)),"")</f>
        <v/>
      </c>
      <c r="GJ12" s="77"/>
      <c r="GK12" s="78"/>
      <c r="GL12" s="79" t="str">
        <f t="array" ref="GL12">IFERROR(IF(XLOOKUP(CONCAT(GJ12,GK12),'MASTER PLAN'!$AB:$AB,'MASTER PLAN'!$J:$J,0,0)=0,"",XLOOKUP(CONCAT(GJ12,GK12),'MASTER PLAN'!$AB:$AB,'MASTER PLAN'!$J:$J,0,0)),"")</f>
        <v/>
      </c>
      <c r="GM12" s="80" t="str">
        <f t="array" ref="GM12">IFERROR(IF(XLOOKUP(CONCAT(GJ12,GK12),'PROCESOS PRD'!$J:$J,'PROCESOS PRD'!$H:$H,0,0)=0,"",XLOOKUP(CONCAT(GJ12,GK12),'PROCESOS PRD'!$J:$J,'PROCESOS PRD'!$H:$H,0,0)),"")</f>
        <v/>
      </c>
      <c r="GN12" s="70"/>
      <c r="GO12" s="77"/>
      <c r="GP12" s="78"/>
      <c r="GQ12" s="79" t="str">
        <f t="array" ref="GQ12">IFERROR(IF(XLOOKUP(CONCAT(GO12,GP12),'MASTER PLAN'!$AB:$AB,'MASTER PLAN'!$J:$J,0,0)=0,"",XLOOKUP(CONCAT(GO12,GP12),'MASTER PLAN'!$AB:$AB,'MASTER PLAN'!$J:$J,0,0)),"")</f>
        <v/>
      </c>
      <c r="GR12" s="80" t="str">
        <f t="array" ref="GR12">IFERROR(IF(XLOOKUP(CONCAT(GO12,GP12),'PROCESOS PRD'!$J:$J,'PROCESOS PRD'!$H:$H,0,0)=0,"",XLOOKUP(CONCAT(GO12,GP12),'PROCESOS PRD'!$J:$J,'PROCESOS PRD'!$H:$H,0,0)),"")</f>
        <v/>
      </c>
      <c r="GS12" s="77"/>
      <c r="GT12" s="78"/>
      <c r="GU12" s="79" t="str">
        <f t="array" ref="GU12">IFERROR(IF(XLOOKUP(CONCAT(GS12,GT12),'MASTER PLAN'!$AB:$AB,'MASTER PLAN'!$J:$J,0,0)=0,"",XLOOKUP(CONCAT(GS12,GT12),'MASTER PLAN'!$AB:$AB,'MASTER PLAN'!$J:$J,0,0)),"")</f>
        <v/>
      </c>
      <c r="GV12" s="80" t="str">
        <f t="array" ref="GV12">IFERROR(IF(XLOOKUP(CONCAT(GS12,GT12),'PROCESOS PRD'!$J:$J,'PROCESOS PRD'!$H:$H,0,0)=0,"",XLOOKUP(CONCAT(GS12,GT12),'PROCESOS PRD'!$J:$J,'PROCESOS PRD'!$H:$H,0,0)),"")</f>
        <v/>
      </c>
      <c r="GW12" s="77"/>
      <c r="GX12" s="78"/>
      <c r="GY12" s="79" t="str">
        <f t="array" ref="GY12">IFERROR(IF(XLOOKUP(CONCAT(GW12,GX12),'MASTER PLAN'!$AB:$AB,'MASTER PLAN'!$J:$J,0,0)=0,"",XLOOKUP(CONCAT(GW12,GX12),'MASTER PLAN'!$AB:$AB,'MASTER PLAN'!$J:$J,0,0)),"")</f>
        <v/>
      </c>
      <c r="GZ12" s="80" t="str">
        <f t="array" ref="GZ12">IFERROR(IF(XLOOKUP(CONCAT(GW12,GX12),'PROCESOS PRD'!$J:$J,'PROCESOS PRD'!$H:$H,0,0)=0,"",XLOOKUP(CONCAT(GW12,GX12),'PROCESOS PRD'!$J:$J,'PROCESOS PRD'!$H:$H,0,0)),"")</f>
        <v/>
      </c>
      <c r="HA12" s="77"/>
      <c r="HB12" s="78"/>
      <c r="HC12" s="79" t="str">
        <f t="array" ref="HC12">IFERROR(IF(XLOOKUP(CONCAT(HA12,HB12),'MASTER PLAN'!$AB:$AB,'MASTER PLAN'!$J:$J,0,0)=0,"",XLOOKUP(CONCAT(HA12,HB12),'MASTER PLAN'!$AB:$AB,'MASTER PLAN'!$J:$J,0,0)),"")</f>
        <v/>
      </c>
      <c r="HD12" s="80" t="str">
        <f t="array" ref="HD12">IFERROR(IF(XLOOKUP(CONCAT(HA12,HB12),'PROCESOS PRD'!$J:$J,'PROCESOS PRD'!$H:$H,0,0)=0,"",XLOOKUP(CONCAT(HA12,HB12),'PROCESOS PRD'!$J:$J,'PROCESOS PRD'!$H:$H,0,0)),"")</f>
        <v/>
      </c>
      <c r="HE12" s="77"/>
      <c r="HF12" s="78"/>
      <c r="HG12" s="79" t="str">
        <f t="array" ref="HG12">IFERROR(IF(XLOOKUP(CONCAT(HE12,HF12),'MASTER PLAN'!$AB:$AB,'MASTER PLAN'!$J:$J,0,0)=0,"",XLOOKUP(CONCAT(HE12,HF12),'MASTER PLAN'!$AB:$AB,'MASTER PLAN'!$J:$J,0,0)),"")</f>
        <v/>
      </c>
      <c r="HH12" s="80" t="str">
        <f t="array" ref="HH12">IFERROR(IF(XLOOKUP(CONCAT(HE12,HF12),'PROCESOS PRD'!$J:$J,'PROCESOS PRD'!$H:$H,0,0)=0,"",XLOOKUP(CONCAT(HE12,HF12),'PROCESOS PRD'!$J:$J,'PROCESOS PRD'!$H:$H,0,0)),"")</f>
        <v/>
      </c>
      <c r="HI12" s="77"/>
      <c r="HJ12" s="78"/>
      <c r="HK12" s="79" t="str">
        <f t="array" ref="HK12">IFERROR(IF(XLOOKUP(CONCAT(HI12,HJ12),'MASTER PLAN'!$AB:$AB,'MASTER PLAN'!$J:$J,0,0)=0,"",XLOOKUP(CONCAT(HI12,HJ12),'MASTER PLAN'!$AB:$AB,'MASTER PLAN'!$J:$J,0,0)),"")</f>
        <v/>
      </c>
      <c r="HL12" s="80" t="str">
        <f t="array" ref="HL12">IFERROR(IF(XLOOKUP(CONCAT(HI12,HJ12),'PROCESOS PRD'!$J:$J,'PROCESOS PRD'!$H:$H,0,0)=0,"",XLOOKUP(CONCAT(HI12,HJ12),'PROCESOS PRD'!$J:$J,'PROCESOS PRD'!$H:$H,0,0)),"")</f>
        <v/>
      </c>
      <c r="HM12" s="70"/>
      <c r="HN12" s="77"/>
      <c r="HO12" s="78"/>
      <c r="HP12" s="79" t="str">
        <f t="array" ref="HP12">IFERROR(IF(XLOOKUP(CONCAT(HN12,HO12),'MASTER PLAN'!$AB:$AB,'MASTER PLAN'!$J:$J,0,0)=0,"",XLOOKUP(CONCAT(HN12,HO12),'MASTER PLAN'!$AB:$AB,'MASTER PLAN'!$J:$J,0,0)),"")</f>
        <v/>
      </c>
      <c r="HQ12" s="80" t="str">
        <f t="array" ref="HQ12">IFERROR(IF(XLOOKUP(CONCAT(HN12,HO12),'PROCESOS PRD'!$J:$J,'PROCESOS PRD'!$H:$H,0,0)=0,"",XLOOKUP(CONCAT(HN12,HO12),'PROCESOS PRD'!$J:$J,'PROCESOS PRD'!$H:$H,0,0)),"")</f>
        <v/>
      </c>
      <c r="HR12" s="77"/>
      <c r="HS12" s="78"/>
      <c r="HT12" s="79" t="str">
        <f t="array" ref="HT12">IFERROR(IF(XLOOKUP(CONCAT(HR12,HS12),'MASTER PLAN'!$AB:$AB,'MASTER PLAN'!$J:$J,0,0)=0,"",XLOOKUP(CONCAT(HR12,HS12),'MASTER PLAN'!$AB:$AB,'MASTER PLAN'!$J:$J,0,0)),"")</f>
        <v/>
      </c>
      <c r="HU12" s="80" t="str">
        <f t="array" ref="HU12">IFERROR(IF(XLOOKUP(CONCAT(HR12,HS12),'PROCESOS PRD'!$J:$J,'PROCESOS PRD'!$H:$H,0,0)=0,"",XLOOKUP(CONCAT(HR12,HS12),'PROCESOS PRD'!$J:$J,'PROCESOS PRD'!$H:$H,0,0)),"")</f>
        <v/>
      </c>
      <c r="HV12" s="77"/>
      <c r="HW12" s="78"/>
      <c r="HX12" s="79" t="str">
        <f t="array" ref="HX12">IFERROR(IF(XLOOKUP(CONCAT(HV12,HW12),'MASTER PLAN'!$AB:$AB,'MASTER PLAN'!$J:$J,0,0)=0,"",XLOOKUP(CONCAT(HV12,HW12),'MASTER PLAN'!$AB:$AB,'MASTER PLAN'!$J:$J,0,0)),"")</f>
        <v/>
      </c>
      <c r="HY12" s="80" t="str">
        <f t="array" ref="HY12">IFERROR(IF(XLOOKUP(CONCAT(HV12,HW12),'PROCESOS PRD'!$J:$J,'PROCESOS PRD'!$H:$H,0,0)=0,"",XLOOKUP(CONCAT(HV12,HW12),'PROCESOS PRD'!$J:$J,'PROCESOS PRD'!$H:$H,0,0)),"")</f>
        <v/>
      </c>
      <c r="HZ12" s="77"/>
      <c r="IA12" s="78"/>
      <c r="IB12" s="79" t="str">
        <f t="array" ref="IB12">IFERROR(IF(XLOOKUP(CONCAT(HZ12,IA12),'MASTER PLAN'!$AB:$AB,'MASTER PLAN'!$J:$J,0,0)=0,"",XLOOKUP(CONCAT(HZ12,IA12),'MASTER PLAN'!$AB:$AB,'MASTER PLAN'!$J:$J,0,0)),"")</f>
        <v/>
      </c>
      <c r="IC12" s="80" t="str">
        <f t="array" ref="IC12">IFERROR(IF(XLOOKUP(CONCAT(HZ12,IA12),'PROCESOS PRD'!$J:$J,'PROCESOS PRD'!$H:$H,0,0)=0,"",XLOOKUP(CONCAT(HZ12,IA12),'PROCESOS PRD'!$J:$J,'PROCESOS PRD'!$H:$H,0,0)),"")</f>
        <v/>
      </c>
      <c r="ID12" s="77"/>
      <c r="IE12" s="78"/>
      <c r="IF12" s="79" t="str">
        <f t="array" ref="IF12">IFERROR(IF(XLOOKUP(CONCAT(ID12,IE12),'MASTER PLAN'!$AB:$AB,'MASTER PLAN'!$J:$J,0,0)=0,"",XLOOKUP(CONCAT(ID12,IE12),'MASTER PLAN'!$AB:$AB,'MASTER PLAN'!$J:$J,0,0)),"")</f>
        <v/>
      </c>
      <c r="IG12" s="80" t="str">
        <f t="array" ref="IG12">IFERROR(IF(XLOOKUP(CONCAT(ID12,IE12),'PROCESOS PRD'!$J:$J,'PROCESOS PRD'!$H:$H,0,0)=0,"",XLOOKUP(CONCAT(ID12,IE12),'PROCESOS PRD'!$J:$J,'PROCESOS PRD'!$H:$H,0,0)),"")</f>
        <v/>
      </c>
      <c r="IH12" s="77"/>
      <c r="II12" s="78"/>
      <c r="IJ12" s="79" t="str">
        <f t="array" ref="IJ12">IFERROR(IF(XLOOKUP(CONCAT(IH12,II12),'MASTER PLAN'!$AB:$AB,'MASTER PLAN'!$J:$J,0,0)=0,"",XLOOKUP(CONCAT(IH12,II12),'MASTER PLAN'!$AB:$AB,'MASTER PLAN'!$J:$J,0,0)),"")</f>
        <v/>
      </c>
      <c r="IK12" s="80" t="str">
        <f t="array" ref="IK12">IFERROR(IF(XLOOKUP(CONCAT(IH12,II12),'PROCESOS PRD'!$J:$J,'PROCESOS PRD'!$H:$H,0,0)=0,"",XLOOKUP(CONCAT(IH12,II12),'PROCESOS PRD'!$J:$J,'PROCESOS PRD'!$H:$H,0,0)),"")</f>
        <v/>
      </c>
      <c r="IL12" s="70"/>
      <c r="IM12" s="77"/>
      <c r="IN12" s="78"/>
      <c r="IO12" s="79" t="str">
        <f t="array" ref="IO12">IFERROR(IF(XLOOKUP(CONCAT(IM12,IN12),'MASTER PLAN'!$AB:$AB,'MASTER PLAN'!$J:$J,0,0)=0,"",XLOOKUP(CONCAT(IM12,IN12),'MASTER PLAN'!$AB:$AB,'MASTER PLAN'!$J:$J,0,0)),"")</f>
        <v/>
      </c>
      <c r="IP12" s="80" t="str">
        <f t="array" ref="IP12">IFERROR(IF(XLOOKUP(CONCAT(IM12,IN12),'PROCESOS PRD'!$J:$J,'PROCESOS PRD'!$H:$H,0,0)=0,"",XLOOKUP(CONCAT(IM12,IN12),'PROCESOS PRD'!$J:$J,'PROCESOS PRD'!$H:$H,0,0)),"")</f>
        <v/>
      </c>
      <c r="IQ12" s="77"/>
      <c r="IR12" s="78"/>
      <c r="IS12" s="79" t="str">
        <f t="array" ref="IS12">IFERROR(IF(XLOOKUP(CONCAT(IQ12,IR12),'MASTER PLAN'!$AB:$AB,'MASTER PLAN'!$J:$J,0,0)=0,"",XLOOKUP(CONCAT(IQ12,IR12),'MASTER PLAN'!$AB:$AB,'MASTER PLAN'!$J:$J,0,0)),"")</f>
        <v/>
      </c>
      <c r="IT12" s="80" t="str">
        <f t="array" ref="IT12">IFERROR(IF(XLOOKUP(CONCAT(IQ12,IR12),'PROCESOS PRD'!$J:$J,'PROCESOS PRD'!$H:$H,0,0)=0,"",XLOOKUP(CONCAT(IQ12,IR12),'PROCESOS PRD'!$J:$J,'PROCESOS PRD'!$H:$H,0,0)),"")</f>
        <v/>
      </c>
      <c r="IU12" s="77"/>
      <c r="IV12" s="78"/>
      <c r="IW12" s="79" t="str">
        <f t="array" ref="IW12">IFERROR(IF(XLOOKUP(CONCAT(IU12,IV12),'MASTER PLAN'!$AB:$AB,'MASTER PLAN'!$J:$J,0,0)=0,"",XLOOKUP(CONCAT(IU12,IV12),'MASTER PLAN'!$AB:$AB,'MASTER PLAN'!$J:$J,0,0)),"")</f>
        <v/>
      </c>
      <c r="IX12" s="80" t="str">
        <f t="array" ref="IX12">IFERROR(IF(XLOOKUP(CONCAT(IU12,IV12),'PROCESOS PRD'!$J:$J,'PROCESOS PRD'!$H:$H,0,0)=0,"",XLOOKUP(CONCAT(IU12,IV12),'PROCESOS PRD'!$J:$J,'PROCESOS PRD'!$H:$H,0,0)),"")</f>
        <v/>
      </c>
      <c r="IY12" s="77"/>
      <c r="IZ12" s="78"/>
      <c r="JA12" s="79" t="str">
        <f t="array" ref="JA12">IFERROR(IF(XLOOKUP(CONCAT(IY12,IZ12),'MASTER PLAN'!$AB:$AB,'MASTER PLAN'!$J:$J,0,0)=0,"",XLOOKUP(CONCAT(IY12,IZ12),'MASTER PLAN'!$AB:$AB,'MASTER PLAN'!$J:$J,0,0)),"")</f>
        <v/>
      </c>
      <c r="JB12" s="80" t="str">
        <f t="array" ref="JB12">IFERROR(IF(XLOOKUP(CONCAT(IY12,IZ12),'PROCESOS PRD'!$J:$J,'PROCESOS PRD'!$H:$H,0,0)=0,"",XLOOKUP(CONCAT(IY12,IZ12),'PROCESOS PRD'!$J:$J,'PROCESOS PRD'!$H:$H,0,0)),"")</f>
        <v/>
      </c>
      <c r="JC12" s="77"/>
      <c r="JD12" s="78"/>
      <c r="JE12" s="79" t="str">
        <f t="array" ref="JE12">IFERROR(IF(XLOOKUP(CONCAT(JC12,JD12),'MASTER PLAN'!$AB:$AB,'MASTER PLAN'!$J:$J,0,0)=0,"",XLOOKUP(CONCAT(JC12,JD12),'MASTER PLAN'!$AB:$AB,'MASTER PLAN'!$J:$J,0,0)),"")</f>
        <v/>
      </c>
      <c r="JF12" s="80" t="str">
        <f t="array" ref="JF12">IFERROR(IF(XLOOKUP(CONCAT(JC12,JD12),'PROCESOS PRD'!$J:$J,'PROCESOS PRD'!$H:$H,0,0)=0,"",XLOOKUP(CONCAT(JC12,JD12),'PROCESOS PRD'!$J:$J,'PROCESOS PRD'!$H:$H,0,0)),"")</f>
        <v/>
      </c>
      <c r="JG12" s="77"/>
      <c r="JH12" s="78"/>
      <c r="JI12" s="79" t="str">
        <f t="array" ref="JI12">IFERROR(IF(XLOOKUP(CONCAT(JG12,JH12),'MASTER PLAN'!$AB:$AB,'MASTER PLAN'!$J:$J,0,0)=0,"",XLOOKUP(CONCAT(JG12,JH12),'MASTER PLAN'!$AB:$AB,'MASTER PLAN'!$J:$J,0,0)),"")</f>
        <v/>
      </c>
      <c r="JJ12" s="80" t="str">
        <f t="array" ref="JJ12">IFERROR(IF(XLOOKUP(CONCAT(JG12,JH12),'PROCESOS PRD'!$J:$J,'PROCESOS PRD'!$H:$H,0,0)=0,"",XLOOKUP(CONCAT(JG12,JH12),'PROCESOS PRD'!$J:$J,'PROCESOS PRD'!$H:$H,0,0)),"")</f>
        <v/>
      </c>
      <c r="JK12" s="70"/>
      <c r="JL12" s="77"/>
      <c r="JM12" s="78"/>
      <c r="JN12" s="79" t="str">
        <f t="array" ref="JN12">IFERROR(IF(XLOOKUP(CONCAT(JL12,JM12),'MASTER PLAN'!$AB:$AB,'MASTER PLAN'!$J:$J,0,0)=0,"",XLOOKUP(CONCAT(JL12,JM12),'MASTER PLAN'!$AB:$AB,'MASTER PLAN'!$J:$J,0,0)),"")</f>
        <v/>
      </c>
      <c r="JO12" s="80" t="str">
        <f t="array" ref="JO12">IFERROR(IF(XLOOKUP(CONCAT(JL12,JM12),'PROCESOS PRD'!$J:$J,'PROCESOS PRD'!$H:$H,0,0)=0,"",XLOOKUP(CONCAT(JL12,JM12),'PROCESOS PRD'!$J:$J,'PROCESOS PRD'!$H:$H,0,0)),"")</f>
        <v/>
      </c>
      <c r="JP12" s="77"/>
      <c r="JQ12" s="78"/>
      <c r="JR12" s="79" t="str">
        <f t="array" ref="JR12">IFERROR(IF(XLOOKUP(CONCAT(JP12,JQ12),'MASTER PLAN'!$AB:$AB,'MASTER PLAN'!$J:$J,0,0)=0,"",XLOOKUP(CONCAT(JP12,JQ12),'MASTER PLAN'!$AB:$AB,'MASTER PLAN'!$J:$J,0,0)),"")</f>
        <v/>
      </c>
      <c r="JS12" s="80" t="str">
        <f t="array" ref="JS12">IFERROR(IF(XLOOKUP(CONCAT(JP12,JQ12),'PROCESOS PRD'!$J:$J,'PROCESOS PRD'!$H:$H,0,0)=0,"",XLOOKUP(CONCAT(JP12,JQ12),'PROCESOS PRD'!$J:$J,'PROCESOS PRD'!$H:$H,0,0)),"")</f>
        <v/>
      </c>
      <c r="JT12" s="77"/>
      <c r="JU12" s="78"/>
      <c r="JV12" s="79" t="str">
        <f t="array" ref="JV12">IFERROR(IF(XLOOKUP(CONCAT(JT12,JU12),'MASTER PLAN'!$AB:$AB,'MASTER PLAN'!$J:$J,0,0)=0,"",XLOOKUP(CONCAT(JT12,JU12),'MASTER PLAN'!$AB:$AB,'MASTER PLAN'!$J:$J,0,0)),"")</f>
        <v/>
      </c>
      <c r="JW12" s="80" t="str">
        <f t="array" ref="JW12">IFERROR(IF(XLOOKUP(CONCAT(JT12,JU12),'PROCESOS PRD'!$J:$J,'PROCESOS PRD'!$H:$H,0,0)=0,"",XLOOKUP(CONCAT(JT12,JU12),'PROCESOS PRD'!$J:$J,'PROCESOS PRD'!$H:$H,0,0)),"")</f>
        <v/>
      </c>
      <c r="JX12" s="77"/>
      <c r="JY12" s="78"/>
      <c r="JZ12" s="79" t="str">
        <f t="array" ref="JZ12">IFERROR(IF(XLOOKUP(CONCAT(JX12,JY12),'MASTER PLAN'!$AB:$AB,'MASTER PLAN'!$J:$J,0,0)=0,"",XLOOKUP(CONCAT(JX12,JY12),'MASTER PLAN'!$AB:$AB,'MASTER PLAN'!$J:$J,0,0)),"")</f>
        <v/>
      </c>
      <c r="KA12" s="80" t="str">
        <f t="array" ref="KA12">IFERROR(IF(XLOOKUP(CONCAT(JX12,JY12),'PROCESOS PRD'!$J:$J,'PROCESOS PRD'!$H:$H,0,0)=0,"",XLOOKUP(CONCAT(JX12,JY12),'PROCESOS PRD'!$J:$J,'PROCESOS PRD'!$H:$H,0,0)),"")</f>
        <v/>
      </c>
      <c r="KB12" s="77"/>
      <c r="KC12" s="78"/>
      <c r="KD12" s="79" t="str">
        <f t="array" ref="KD12">IFERROR(IF(XLOOKUP(CONCAT(KB12,KC12),'MASTER PLAN'!$AB:$AB,'MASTER PLAN'!$J:$J,0,0)=0,"",XLOOKUP(CONCAT(KB12,KC12),'MASTER PLAN'!$AB:$AB,'MASTER PLAN'!$J:$J,0,0)),"")</f>
        <v/>
      </c>
      <c r="KE12" s="80" t="str">
        <f t="array" ref="KE12">IFERROR(IF(XLOOKUP(CONCAT(KB12,KC12),'PROCESOS PRD'!$J:$J,'PROCESOS PRD'!$H:$H,0,0)=0,"",XLOOKUP(CONCAT(KB12,KC12),'PROCESOS PRD'!$J:$J,'PROCESOS PRD'!$H:$H,0,0)),"")</f>
        <v/>
      </c>
      <c r="KF12" s="77"/>
      <c r="KG12" s="78"/>
      <c r="KH12" s="79" t="str">
        <f t="array" ref="KH12">IFERROR(IF(XLOOKUP(CONCAT(KF12,KG12),'MASTER PLAN'!$AB:$AB,'MASTER PLAN'!$J:$J,0,0)=0,"",XLOOKUP(CONCAT(KF12,KG12),'MASTER PLAN'!$AB:$AB,'MASTER PLAN'!$J:$J,0,0)),"")</f>
        <v/>
      </c>
      <c r="KI12" s="80" t="str">
        <f t="array" ref="KI12">IFERROR(IF(XLOOKUP(CONCAT(KF12,KG12),'PROCESOS PRD'!$J:$J,'PROCESOS PRD'!$H:$H,0,0)=0,"",XLOOKUP(CONCAT(KF12,KG12),'PROCESOS PRD'!$J:$J,'PROCESOS PRD'!$H:$H,0,0)),"")</f>
        <v/>
      </c>
      <c r="KJ12" s="70"/>
      <c r="KK12" s="70"/>
      <c r="KL12" s="70"/>
      <c r="KM12" s="70"/>
      <c r="KN12" s="70"/>
      <c r="KO12" s="70"/>
      <c r="KP12" s="70"/>
      <c r="KQ12" s="70"/>
      <c r="KR12" s="70"/>
      <c r="KS12" s="70"/>
      <c r="KT12" s="70"/>
      <c r="KU12" s="70"/>
      <c r="KV12" s="70"/>
      <c r="KW12" s="70"/>
      <c r="KX12" s="70"/>
      <c r="KY12" s="70"/>
      <c r="KZ12" s="70"/>
      <c r="LA12" s="70"/>
      <c r="LB12" s="70"/>
      <c r="LC12" s="70"/>
    </row>
    <row r="13">
      <c r="A13" s="81"/>
      <c r="B13" s="82">
        <v>17000.0</v>
      </c>
      <c r="C13" s="83" t="s">
        <v>240</v>
      </c>
      <c r="D13" s="42"/>
      <c r="E13" s="84"/>
      <c r="F13" s="85"/>
      <c r="G13" s="85"/>
      <c r="H13" s="86">
        <f>SUM(H4:H12)</f>
        <v>0</v>
      </c>
      <c r="I13" s="84"/>
      <c r="J13" s="85"/>
      <c r="K13" s="85"/>
      <c r="L13" s="86">
        <f>SUM(L4:L12)</f>
        <v>0</v>
      </c>
      <c r="M13" s="84"/>
      <c r="N13" s="85"/>
      <c r="O13" s="85"/>
      <c r="P13" s="86">
        <f>SUM(P4:P12)</f>
        <v>0</v>
      </c>
      <c r="Q13" s="84"/>
      <c r="R13" s="85"/>
      <c r="S13" s="85"/>
      <c r="T13" s="86">
        <f>SUM(T4:T12)</f>
        <v>0</v>
      </c>
      <c r="U13" s="42"/>
      <c r="V13" s="84"/>
      <c r="W13" s="85"/>
      <c r="X13" s="85"/>
      <c r="Y13" s="86">
        <f>SUM(Y4:Y12)</f>
        <v>0</v>
      </c>
      <c r="Z13" s="84"/>
      <c r="AA13" s="85"/>
      <c r="AB13" s="85"/>
      <c r="AC13" s="86">
        <f>SUM(AC4:AC12)</f>
        <v>0</v>
      </c>
      <c r="AD13" s="84"/>
      <c r="AE13" s="85"/>
      <c r="AF13" s="85"/>
      <c r="AG13" s="86">
        <f>SUM(AG4:AG12)</f>
        <v>0</v>
      </c>
      <c r="AH13" s="84"/>
      <c r="AI13" s="85"/>
      <c r="AJ13" s="85"/>
      <c r="AK13" s="86">
        <f>SUM(AK4:AK12)</f>
        <v>11160</v>
      </c>
      <c r="AL13" s="84"/>
      <c r="AM13" s="85"/>
      <c r="AN13" s="85"/>
      <c r="AO13" s="86">
        <f>SUM(AO4:AO12)</f>
        <v>13800</v>
      </c>
      <c r="AP13" s="84"/>
      <c r="AQ13" s="85"/>
      <c r="AR13" s="85"/>
      <c r="AS13" s="86">
        <f>SUM(AS4:AS12)</f>
        <v>0</v>
      </c>
      <c r="AT13" s="42"/>
      <c r="AU13" s="84"/>
      <c r="AV13" s="85"/>
      <c r="AW13" s="85"/>
      <c r="AX13" s="86">
        <f>SUM(AX4:AX12)</f>
        <v>0</v>
      </c>
      <c r="AY13" s="84"/>
      <c r="AZ13" s="85"/>
      <c r="BA13" s="85"/>
      <c r="BB13" s="86">
        <f>SUM(BB4:BB12)</f>
        <v>0</v>
      </c>
      <c r="BC13" s="84"/>
      <c r="BD13" s="85"/>
      <c r="BE13" s="85"/>
      <c r="BF13" s="86">
        <f>SUM(BF4:BF12)</f>
        <v>0</v>
      </c>
      <c r="BG13" s="84"/>
      <c r="BH13" s="85"/>
      <c r="BI13" s="85"/>
      <c r="BJ13" s="86">
        <f>SUM(BJ4:BJ12)</f>
        <v>12000</v>
      </c>
      <c r="BK13" s="84"/>
      <c r="BL13" s="85"/>
      <c r="BM13" s="85"/>
      <c r="BN13" s="86">
        <f>SUM(BN4:BN12)</f>
        <v>7200</v>
      </c>
      <c r="BO13" s="84"/>
      <c r="BP13" s="85"/>
      <c r="BQ13" s="85"/>
      <c r="BR13" s="86">
        <f>SUM(BR4:BR12)</f>
        <v>0</v>
      </c>
      <c r="BS13" s="42"/>
      <c r="BT13" s="84"/>
      <c r="BU13" s="85"/>
      <c r="BV13" s="85"/>
      <c r="BW13" s="86">
        <f>SUM(BW4:BW12)</f>
        <v>7200</v>
      </c>
      <c r="BX13" s="84"/>
      <c r="BY13" s="85"/>
      <c r="BZ13" s="85"/>
      <c r="CA13" s="86">
        <f>SUM(CA4:CA12)</f>
        <v>2400</v>
      </c>
      <c r="CB13" s="84"/>
      <c r="CC13" s="85"/>
      <c r="CD13" s="85"/>
      <c r="CE13" s="86">
        <f>SUM(CE4:CE12)</f>
        <v>0</v>
      </c>
      <c r="CF13" s="84"/>
      <c r="CG13" s="85"/>
      <c r="CH13" s="85"/>
      <c r="CI13" s="86">
        <f>SUM(CI4:CI12)</f>
        <v>0</v>
      </c>
      <c r="CJ13" s="84"/>
      <c r="CK13" s="85"/>
      <c r="CL13" s="85"/>
      <c r="CM13" s="86">
        <f>SUM(CM4:CM12)</f>
        <v>0</v>
      </c>
      <c r="CN13" s="84"/>
      <c r="CO13" s="85"/>
      <c r="CP13" s="85"/>
      <c r="CQ13" s="86">
        <f>SUM(CQ4:CQ12)</f>
        <v>0</v>
      </c>
      <c r="CR13" s="42"/>
      <c r="CS13" s="84"/>
      <c r="CT13" s="85"/>
      <c r="CU13" s="85"/>
      <c r="CV13" s="86">
        <f>SUM(CV4:CV12)</f>
        <v>0</v>
      </c>
      <c r="CW13" s="84"/>
      <c r="CX13" s="85"/>
      <c r="CY13" s="85"/>
      <c r="CZ13" s="86">
        <f>SUM(CZ4:CZ12)</f>
        <v>0</v>
      </c>
      <c r="DA13" s="84"/>
      <c r="DB13" s="85"/>
      <c r="DC13" s="85"/>
      <c r="DD13" s="86">
        <f>SUM(DD4:DD12)</f>
        <v>0</v>
      </c>
      <c r="DE13" s="84"/>
      <c r="DF13" s="85"/>
      <c r="DG13" s="85"/>
      <c r="DH13" s="86">
        <f>SUM(DH4:DH12)</f>
        <v>0</v>
      </c>
      <c r="DI13" s="84"/>
      <c r="DJ13" s="85"/>
      <c r="DK13" s="85"/>
      <c r="DL13" s="86">
        <f>SUM(DL4:DL12)</f>
        <v>0</v>
      </c>
      <c r="DM13" s="84"/>
      <c r="DN13" s="85"/>
      <c r="DO13" s="85"/>
      <c r="DP13" s="86">
        <f>SUM(DP4:DP12)</f>
        <v>0</v>
      </c>
      <c r="DQ13" s="42"/>
      <c r="DR13" s="84"/>
      <c r="DS13" s="85"/>
      <c r="DT13" s="85"/>
      <c r="DU13" s="86">
        <f>SUM(DU4:DU12)</f>
        <v>0</v>
      </c>
      <c r="DV13" s="84"/>
      <c r="DW13" s="85"/>
      <c r="DX13" s="85"/>
      <c r="DY13" s="86">
        <f>SUM(DY4:DY12)</f>
        <v>0</v>
      </c>
      <c r="DZ13" s="84"/>
      <c r="EA13" s="85"/>
      <c r="EB13" s="85"/>
      <c r="EC13" s="86">
        <f>SUM(EC4:EC12)</f>
        <v>0</v>
      </c>
      <c r="ED13" s="84"/>
      <c r="EE13" s="85"/>
      <c r="EF13" s="85"/>
      <c r="EG13" s="86">
        <f>SUM(EG4:EG12)</f>
        <v>0</v>
      </c>
      <c r="EH13" s="84"/>
      <c r="EI13" s="85"/>
      <c r="EJ13" s="85"/>
      <c r="EK13" s="86">
        <f>SUM(EK4:EK12)</f>
        <v>0</v>
      </c>
      <c r="EL13" s="84"/>
      <c r="EM13" s="85"/>
      <c r="EN13" s="85"/>
      <c r="EO13" s="86">
        <f>SUM(EO4:EO12)</f>
        <v>0</v>
      </c>
      <c r="EP13" s="42"/>
      <c r="EQ13" s="84"/>
      <c r="ER13" s="85"/>
      <c r="ES13" s="85"/>
      <c r="ET13" s="86">
        <f>SUM(ET4:ET12)</f>
        <v>0</v>
      </c>
      <c r="EU13" s="84"/>
      <c r="EV13" s="85"/>
      <c r="EW13" s="85"/>
      <c r="EX13" s="86">
        <f>SUM(EX4:EX12)</f>
        <v>0</v>
      </c>
      <c r="EY13" s="84"/>
      <c r="EZ13" s="85"/>
      <c r="FA13" s="85"/>
      <c r="FB13" s="86">
        <f>SUM(FB4:FB12)</f>
        <v>0</v>
      </c>
      <c r="FC13" s="84"/>
      <c r="FD13" s="85"/>
      <c r="FE13" s="85"/>
      <c r="FF13" s="86">
        <f>SUM(FF4:FF12)</f>
        <v>0</v>
      </c>
      <c r="FG13" s="84"/>
      <c r="FH13" s="85"/>
      <c r="FI13" s="85"/>
      <c r="FJ13" s="86">
        <f>SUM(FJ4:FJ12)</f>
        <v>0</v>
      </c>
      <c r="FK13" s="84"/>
      <c r="FL13" s="85"/>
      <c r="FM13" s="85"/>
      <c r="FN13" s="86">
        <f>SUM(FN4:FN12)</f>
        <v>0</v>
      </c>
      <c r="FO13" s="42"/>
      <c r="FP13" s="84"/>
      <c r="FQ13" s="85"/>
      <c r="FR13" s="85"/>
      <c r="FS13" s="86">
        <f>SUM(FS4:FS12)</f>
        <v>0</v>
      </c>
      <c r="FT13" s="84"/>
      <c r="FU13" s="85"/>
      <c r="FV13" s="85"/>
      <c r="FW13" s="86">
        <f>SUM(FW4:FW12)</f>
        <v>0</v>
      </c>
      <c r="FX13" s="84"/>
      <c r="FY13" s="85"/>
      <c r="FZ13" s="85"/>
      <c r="GA13" s="86">
        <f>SUM(GA4:GA12)</f>
        <v>0</v>
      </c>
      <c r="GB13" s="84"/>
      <c r="GC13" s="85"/>
      <c r="GD13" s="85"/>
      <c r="GE13" s="86">
        <f>SUM(GE4:GE12)</f>
        <v>0</v>
      </c>
      <c r="GF13" s="84"/>
      <c r="GG13" s="85"/>
      <c r="GH13" s="85"/>
      <c r="GI13" s="86">
        <f>SUM(GI4:GI12)</f>
        <v>1800</v>
      </c>
      <c r="GJ13" s="84"/>
      <c r="GK13" s="85"/>
      <c r="GL13" s="85"/>
      <c r="GM13" s="86">
        <f>SUM(GM4:GM12)</f>
        <v>0</v>
      </c>
      <c r="GN13" s="42"/>
      <c r="GO13" s="84"/>
      <c r="GP13" s="85"/>
      <c r="GQ13" s="85"/>
      <c r="GR13" s="86">
        <f>SUM(GR4:GR12)</f>
        <v>0</v>
      </c>
      <c r="GS13" s="84"/>
      <c r="GT13" s="85"/>
      <c r="GU13" s="85"/>
      <c r="GV13" s="86">
        <f>SUM(GV4:GV12)</f>
        <v>0</v>
      </c>
      <c r="GW13" s="84"/>
      <c r="GX13" s="85"/>
      <c r="GY13" s="85"/>
      <c r="GZ13" s="86">
        <f>SUM(GZ4:GZ12)</f>
        <v>0</v>
      </c>
      <c r="HA13" s="84"/>
      <c r="HB13" s="85"/>
      <c r="HC13" s="85"/>
      <c r="HD13" s="86">
        <f>SUM(HD4:HD12)</f>
        <v>0</v>
      </c>
      <c r="HE13" s="84"/>
      <c r="HF13" s="85"/>
      <c r="HG13" s="85"/>
      <c r="HH13" s="86">
        <f>SUM(HH4:HH12)</f>
        <v>0</v>
      </c>
      <c r="HI13" s="84"/>
      <c r="HJ13" s="85"/>
      <c r="HK13" s="85"/>
      <c r="HL13" s="86">
        <f>SUM(HL4:HL12)</f>
        <v>0</v>
      </c>
      <c r="HM13" s="42"/>
      <c r="HN13" s="84"/>
      <c r="HO13" s="85"/>
      <c r="HP13" s="85"/>
      <c r="HQ13" s="86">
        <f>SUM(HQ4:HQ12)</f>
        <v>0</v>
      </c>
      <c r="HR13" s="84"/>
      <c r="HS13" s="85"/>
      <c r="HT13" s="85"/>
      <c r="HU13" s="86">
        <f>SUM(HU4:HU12)</f>
        <v>0</v>
      </c>
      <c r="HV13" s="84"/>
      <c r="HW13" s="85"/>
      <c r="HX13" s="85"/>
      <c r="HY13" s="86">
        <f>SUM(HY4:HY12)</f>
        <v>0</v>
      </c>
      <c r="HZ13" s="84"/>
      <c r="IA13" s="85"/>
      <c r="IB13" s="85"/>
      <c r="IC13" s="86">
        <f>SUM(IC4:IC12)</f>
        <v>0</v>
      </c>
      <c r="ID13" s="84"/>
      <c r="IE13" s="85"/>
      <c r="IF13" s="85"/>
      <c r="IG13" s="86">
        <f>SUM(IG4:IG12)</f>
        <v>0</v>
      </c>
      <c r="IH13" s="84"/>
      <c r="II13" s="85"/>
      <c r="IJ13" s="85"/>
      <c r="IK13" s="86">
        <f>SUM(IK4:IK12)</f>
        <v>0</v>
      </c>
      <c r="IL13" s="42"/>
      <c r="IM13" s="84"/>
      <c r="IN13" s="85"/>
      <c r="IO13" s="85"/>
      <c r="IP13" s="86">
        <f>SUM(IP4:IP12)</f>
        <v>0</v>
      </c>
      <c r="IQ13" s="84"/>
      <c r="IR13" s="85"/>
      <c r="IS13" s="85"/>
      <c r="IT13" s="86">
        <f>SUM(IT4:IT12)</f>
        <v>0</v>
      </c>
      <c r="IU13" s="84"/>
      <c r="IV13" s="85"/>
      <c r="IW13" s="85"/>
      <c r="IX13" s="86">
        <f>SUM(IX4:IX12)</f>
        <v>0</v>
      </c>
      <c r="IY13" s="84"/>
      <c r="IZ13" s="85"/>
      <c r="JA13" s="85"/>
      <c r="JB13" s="86">
        <f>SUM(JB4:JB12)</f>
        <v>0</v>
      </c>
      <c r="JC13" s="84"/>
      <c r="JD13" s="85"/>
      <c r="JE13" s="85"/>
      <c r="JF13" s="86">
        <f>SUM(JF4:JF12)</f>
        <v>0</v>
      </c>
      <c r="JG13" s="84"/>
      <c r="JH13" s="85"/>
      <c r="JI13" s="85"/>
      <c r="JJ13" s="86">
        <f>SUM(JJ4:JJ12)</f>
        <v>0</v>
      </c>
      <c r="JK13" s="42"/>
      <c r="JL13" s="84"/>
      <c r="JM13" s="85"/>
      <c r="JN13" s="85"/>
      <c r="JO13" s="86">
        <f>SUM(JO4:JO12)</f>
        <v>0</v>
      </c>
      <c r="JP13" s="84"/>
      <c r="JQ13" s="85"/>
      <c r="JR13" s="85"/>
      <c r="JS13" s="86">
        <f>SUM(JS4:JS12)</f>
        <v>0</v>
      </c>
      <c r="JT13" s="84"/>
      <c r="JU13" s="85"/>
      <c r="JV13" s="85"/>
      <c r="JW13" s="86">
        <f>SUM(JW4:JW12)</f>
        <v>0</v>
      </c>
      <c r="JX13" s="84"/>
      <c r="JY13" s="85"/>
      <c r="JZ13" s="85"/>
      <c r="KA13" s="86">
        <f>SUM(KA4:KA12)</f>
        <v>0</v>
      </c>
      <c r="KB13" s="84"/>
      <c r="KC13" s="85"/>
      <c r="KD13" s="85"/>
      <c r="KE13" s="86">
        <f>SUM(KE4:KE12)</f>
        <v>0</v>
      </c>
      <c r="KF13" s="84"/>
      <c r="KG13" s="85"/>
      <c r="KH13" s="85"/>
      <c r="KI13" s="86">
        <f>SUM(KI4:KI12)</f>
        <v>0</v>
      </c>
      <c r="KJ13" s="42"/>
      <c r="KK13" s="42"/>
      <c r="KL13" s="42"/>
      <c r="KM13" s="42"/>
      <c r="KN13" s="42"/>
      <c r="KO13" s="42"/>
      <c r="KP13" s="42"/>
      <c r="KQ13" s="42"/>
      <c r="KR13" s="42"/>
      <c r="KS13" s="42"/>
      <c r="KT13" s="42"/>
      <c r="KU13" s="42"/>
      <c r="KV13" s="42"/>
      <c r="KW13" s="42"/>
      <c r="KX13" s="42"/>
      <c r="KY13" s="42"/>
      <c r="KZ13" s="42"/>
      <c r="LA13" s="42"/>
      <c r="LB13" s="42"/>
      <c r="LC13" s="42"/>
    </row>
    <row r="14">
      <c r="A14" s="42"/>
      <c r="B14" s="67"/>
      <c r="C14" s="67"/>
      <c r="D14" s="67"/>
      <c r="E14" s="67"/>
      <c r="F14" s="67"/>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c r="BE14" s="67"/>
      <c r="BF14" s="67"/>
      <c r="BG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c r="CT14" s="67"/>
      <c r="CU14" s="67"/>
      <c r="CV14" s="67"/>
      <c r="CW14" s="67"/>
      <c r="CX14" s="67"/>
      <c r="CY14" s="67"/>
      <c r="CZ14" s="67"/>
      <c r="DA14" s="67"/>
      <c r="DB14" s="67"/>
      <c r="DC14" s="67"/>
      <c r="DD14" s="67"/>
      <c r="DE14" s="67"/>
      <c r="DF14" s="67"/>
      <c r="DG14" s="67"/>
      <c r="DH14" s="67"/>
      <c r="DI14" s="67"/>
      <c r="DJ14" s="67"/>
      <c r="DK14" s="67"/>
      <c r="DL14" s="67"/>
      <c r="DM14" s="67"/>
      <c r="DN14" s="67"/>
      <c r="DO14" s="67"/>
      <c r="DP14" s="67"/>
      <c r="DQ14" s="67"/>
      <c r="DR14" s="67"/>
      <c r="DS14" s="67"/>
      <c r="DT14" s="67"/>
      <c r="DU14" s="67"/>
      <c r="DV14" s="67"/>
      <c r="DW14" s="67"/>
      <c r="DX14" s="67"/>
      <c r="DY14" s="67"/>
      <c r="DZ14" s="67"/>
      <c r="EA14" s="67"/>
      <c r="EB14" s="67"/>
      <c r="EC14" s="67"/>
      <c r="ED14" s="67"/>
      <c r="EE14" s="67"/>
      <c r="EF14" s="67"/>
      <c r="EG14" s="67"/>
      <c r="EH14" s="67"/>
      <c r="EI14" s="67"/>
      <c r="EJ14" s="67"/>
      <c r="EK14" s="67"/>
      <c r="EL14" s="67"/>
      <c r="EM14" s="67"/>
      <c r="EN14" s="67"/>
      <c r="EO14" s="67"/>
      <c r="EP14" s="67"/>
      <c r="EQ14" s="67"/>
      <c r="ER14" s="67"/>
      <c r="ES14" s="67"/>
      <c r="ET14" s="67"/>
      <c r="EU14" s="67"/>
      <c r="EV14" s="67"/>
      <c r="EW14" s="67"/>
      <c r="EX14" s="67"/>
      <c r="EY14" s="67"/>
      <c r="EZ14" s="67"/>
      <c r="FA14" s="67"/>
      <c r="FB14" s="67"/>
      <c r="FC14" s="67"/>
      <c r="FD14" s="67"/>
      <c r="FE14" s="67"/>
      <c r="FF14" s="67"/>
      <c r="FG14" s="67"/>
      <c r="FH14" s="67"/>
      <c r="FI14" s="67"/>
      <c r="FJ14" s="67"/>
      <c r="FK14" s="67"/>
      <c r="FL14" s="67"/>
      <c r="FM14" s="67"/>
      <c r="FN14" s="67"/>
      <c r="FO14" s="67"/>
      <c r="FP14" s="67"/>
      <c r="FQ14" s="67"/>
      <c r="FR14" s="67"/>
      <c r="FS14" s="67"/>
      <c r="FT14" s="67"/>
      <c r="FU14" s="67"/>
      <c r="FV14" s="67"/>
      <c r="FW14" s="67"/>
      <c r="FX14" s="67"/>
      <c r="FY14" s="67"/>
      <c r="FZ14" s="67"/>
      <c r="GA14" s="67"/>
      <c r="GB14" s="67"/>
      <c r="GC14" s="67"/>
      <c r="GD14" s="67"/>
      <c r="GE14" s="67"/>
      <c r="GF14" s="67"/>
      <c r="GG14" s="67"/>
      <c r="GH14" s="67"/>
      <c r="GI14" s="67"/>
      <c r="GJ14" s="67"/>
      <c r="GK14" s="67"/>
      <c r="GL14" s="67"/>
      <c r="GM14" s="67"/>
      <c r="GN14" s="67"/>
      <c r="GO14" s="67"/>
      <c r="GP14" s="67"/>
      <c r="GQ14" s="67"/>
      <c r="GR14" s="67"/>
      <c r="GS14" s="67"/>
      <c r="GT14" s="67"/>
      <c r="GU14" s="67"/>
      <c r="GV14" s="67"/>
      <c r="GW14" s="67"/>
      <c r="GX14" s="67"/>
      <c r="GY14" s="67"/>
      <c r="GZ14" s="67"/>
      <c r="HA14" s="67"/>
      <c r="HB14" s="67"/>
      <c r="HC14" s="67"/>
      <c r="HD14" s="67"/>
      <c r="HE14" s="67"/>
      <c r="HF14" s="67"/>
      <c r="HG14" s="67"/>
      <c r="HH14" s="67"/>
      <c r="HI14" s="67"/>
      <c r="HJ14" s="67"/>
      <c r="HK14" s="67"/>
      <c r="HL14" s="67"/>
      <c r="HM14" s="67"/>
      <c r="HN14" s="67"/>
      <c r="HO14" s="67"/>
      <c r="HP14" s="67"/>
      <c r="HQ14" s="67"/>
      <c r="HR14" s="67"/>
      <c r="HS14" s="67"/>
      <c r="HT14" s="67"/>
      <c r="HU14" s="67"/>
      <c r="HV14" s="67"/>
      <c r="HW14" s="67"/>
      <c r="HX14" s="67"/>
      <c r="HY14" s="67"/>
      <c r="HZ14" s="67"/>
      <c r="IA14" s="67"/>
      <c r="IB14" s="67"/>
      <c r="IC14" s="67"/>
      <c r="ID14" s="67"/>
      <c r="IE14" s="67"/>
      <c r="IF14" s="67"/>
      <c r="IG14" s="67"/>
      <c r="IH14" s="67"/>
      <c r="II14" s="67"/>
      <c r="IJ14" s="67"/>
      <c r="IK14" s="67"/>
      <c r="IL14" s="67"/>
      <c r="IM14" s="67"/>
      <c r="IN14" s="67"/>
      <c r="IO14" s="67"/>
      <c r="IP14" s="67"/>
      <c r="IQ14" s="67"/>
      <c r="IR14" s="67"/>
      <c r="IS14" s="67"/>
      <c r="IT14" s="67"/>
      <c r="IU14" s="67"/>
      <c r="IV14" s="67"/>
      <c r="IW14" s="67"/>
      <c r="IX14" s="67"/>
      <c r="IY14" s="67"/>
      <c r="IZ14" s="67"/>
      <c r="JA14" s="67"/>
      <c r="JB14" s="67"/>
      <c r="JC14" s="67"/>
      <c r="JD14" s="67"/>
      <c r="JE14" s="67"/>
      <c r="JF14" s="67"/>
      <c r="JG14" s="67"/>
      <c r="JH14" s="67"/>
      <c r="JI14" s="67"/>
      <c r="JJ14" s="67"/>
      <c r="JK14" s="67"/>
      <c r="JL14" s="67"/>
      <c r="JM14" s="67"/>
      <c r="JN14" s="67"/>
      <c r="JO14" s="67"/>
      <c r="JP14" s="67"/>
      <c r="JQ14" s="67"/>
      <c r="JR14" s="67"/>
      <c r="JS14" s="67"/>
      <c r="JT14" s="67"/>
      <c r="JU14" s="67"/>
      <c r="JV14" s="67"/>
      <c r="JW14" s="67"/>
      <c r="JX14" s="67"/>
      <c r="JY14" s="67"/>
      <c r="JZ14" s="67"/>
      <c r="KA14" s="67"/>
      <c r="KB14" s="67"/>
      <c r="KC14" s="67"/>
      <c r="KD14" s="67"/>
      <c r="KE14" s="67"/>
      <c r="KF14" s="67"/>
      <c r="KG14" s="67"/>
      <c r="KH14" s="67"/>
      <c r="KI14" s="67"/>
      <c r="KJ14" s="67"/>
      <c r="KK14" s="67"/>
      <c r="KL14" s="67"/>
      <c r="KM14" s="67"/>
      <c r="KN14" s="67"/>
      <c r="KO14" s="67"/>
      <c r="KP14" s="67"/>
      <c r="KQ14" s="67"/>
      <c r="KR14" s="67"/>
      <c r="KS14" s="67"/>
      <c r="KT14" s="67"/>
      <c r="KU14" s="67"/>
      <c r="KV14" s="67"/>
      <c r="KW14" s="67"/>
      <c r="KX14" s="67"/>
      <c r="KY14" s="67"/>
      <c r="KZ14" s="67"/>
      <c r="LA14" s="67"/>
      <c r="LB14" s="67"/>
      <c r="LC14" s="67"/>
    </row>
    <row r="15">
      <c r="A15" s="42"/>
      <c r="B15" s="87" t="s">
        <v>238</v>
      </c>
      <c r="C15" s="69"/>
      <c r="D15" s="67"/>
      <c r="E15" s="87" t="s">
        <v>239</v>
      </c>
      <c r="F15" s="88" t="s">
        <v>188</v>
      </c>
      <c r="G15" s="88" t="s">
        <v>4</v>
      </c>
      <c r="H15" s="89" t="s">
        <v>190</v>
      </c>
      <c r="I15" s="87" t="s">
        <v>239</v>
      </c>
      <c r="J15" s="88" t="s">
        <v>188</v>
      </c>
      <c r="K15" s="88" t="s">
        <v>4</v>
      </c>
      <c r="L15" s="89" t="s">
        <v>190</v>
      </c>
      <c r="M15" s="87" t="s">
        <v>239</v>
      </c>
      <c r="N15" s="88" t="s">
        <v>188</v>
      </c>
      <c r="O15" s="88" t="s">
        <v>4</v>
      </c>
      <c r="P15" s="89" t="s">
        <v>190</v>
      </c>
      <c r="Q15" s="87" t="s">
        <v>239</v>
      </c>
      <c r="R15" s="88" t="s">
        <v>188</v>
      </c>
      <c r="S15" s="88" t="s">
        <v>4</v>
      </c>
      <c r="T15" s="89" t="s">
        <v>190</v>
      </c>
      <c r="U15" s="67"/>
      <c r="V15" s="87" t="s">
        <v>239</v>
      </c>
      <c r="W15" s="88" t="s">
        <v>188</v>
      </c>
      <c r="X15" s="88" t="s">
        <v>4</v>
      </c>
      <c r="Y15" s="89" t="s">
        <v>190</v>
      </c>
      <c r="Z15" s="87" t="s">
        <v>239</v>
      </c>
      <c r="AA15" s="88" t="s">
        <v>188</v>
      </c>
      <c r="AB15" s="88" t="s">
        <v>4</v>
      </c>
      <c r="AC15" s="89" t="s">
        <v>190</v>
      </c>
      <c r="AD15" s="87" t="s">
        <v>239</v>
      </c>
      <c r="AE15" s="88" t="s">
        <v>188</v>
      </c>
      <c r="AF15" s="88" t="s">
        <v>4</v>
      </c>
      <c r="AG15" s="89" t="s">
        <v>190</v>
      </c>
      <c r="AH15" s="87" t="s">
        <v>239</v>
      </c>
      <c r="AI15" s="88" t="s">
        <v>188</v>
      </c>
      <c r="AJ15" s="88" t="s">
        <v>4</v>
      </c>
      <c r="AK15" s="89" t="s">
        <v>190</v>
      </c>
      <c r="AL15" s="87" t="s">
        <v>239</v>
      </c>
      <c r="AM15" s="88" t="s">
        <v>188</v>
      </c>
      <c r="AN15" s="88" t="s">
        <v>4</v>
      </c>
      <c r="AO15" s="89" t="s">
        <v>190</v>
      </c>
      <c r="AP15" s="87" t="s">
        <v>239</v>
      </c>
      <c r="AQ15" s="88" t="s">
        <v>188</v>
      </c>
      <c r="AR15" s="88" t="s">
        <v>4</v>
      </c>
      <c r="AS15" s="89" t="s">
        <v>190</v>
      </c>
      <c r="AT15" s="67"/>
      <c r="AU15" s="87" t="s">
        <v>239</v>
      </c>
      <c r="AV15" s="88" t="s">
        <v>188</v>
      </c>
      <c r="AW15" s="88" t="s">
        <v>4</v>
      </c>
      <c r="AX15" s="89" t="s">
        <v>190</v>
      </c>
      <c r="AY15" s="87" t="s">
        <v>239</v>
      </c>
      <c r="AZ15" s="88" t="s">
        <v>188</v>
      </c>
      <c r="BA15" s="88" t="s">
        <v>4</v>
      </c>
      <c r="BB15" s="89" t="s">
        <v>190</v>
      </c>
      <c r="BC15" s="87" t="s">
        <v>239</v>
      </c>
      <c r="BD15" s="88" t="s">
        <v>188</v>
      </c>
      <c r="BE15" s="88" t="s">
        <v>4</v>
      </c>
      <c r="BF15" s="89" t="s">
        <v>190</v>
      </c>
      <c r="BG15" s="87" t="s">
        <v>239</v>
      </c>
      <c r="BH15" s="88" t="s">
        <v>188</v>
      </c>
      <c r="BI15" s="88" t="s">
        <v>4</v>
      </c>
      <c r="BJ15" s="89" t="s">
        <v>190</v>
      </c>
      <c r="BK15" s="87" t="s">
        <v>239</v>
      </c>
      <c r="BL15" s="88" t="s">
        <v>188</v>
      </c>
      <c r="BM15" s="88" t="s">
        <v>4</v>
      </c>
      <c r="BN15" s="89" t="s">
        <v>190</v>
      </c>
      <c r="BO15" s="87" t="s">
        <v>239</v>
      </c>
      <c r="BP15" s="88" t="s">
        <v>188</v>
      </c>
      <c r="BQ15" s="88" t="s">
        <v>4</v>
      </c>
      <c r="BR15" s="89" t="s">
        <v>190</v>
      </c>
      <c r="BS15" s="67"/>
      <c r="BT15" s="87" t="s">
        <v>239</v>
      </c>
      <c r="BU15" s="88" t="s">
        <v>188</v>
      </c>
      <c r="BV15" s="88" t="s">
        <v>4</v>
      </c>
      <c r="BW15" s="89" t="s">
        <v>190</v>
      </c>
      <c r="BX15" s="87" t="s">
        <v>239</v>
      </c>
      <c r="BY15" s="88" t="s">
        <v>188</v>
      </c>
      <c r="BZ15" s="88" t="s">
        <v>4</v>
      </c>
      <c r="CA15" s="89" t="s">
        <v>190</v>
      </c>
      <c r="CB15" s="87" t="s">
        <v>239</v>
      </c>
      <c r="CC15" s="88" t="s">
        <v>188</v>
      </c>
      <c r="CD15" s="88" t="s">
        <v>4</v>
      </c>
      <c r="CE15" s="89" t="s">
        <v>190</v>
      </c>
      <c r="CF15" s="87" t="s">
        <v>239</v>
      </c>
      <c r="CG15" s="88" t="s">
        <v>188</v>
      </c>
      <c r="CH15" s="88" t="s">
        <v>4</v>
      </c>
      <c r="CI15" s="89" t="s">
        <v>190</v>
      </c>
      <c r="CJ15" s="87" t="s">
        <v>239</v>
      </c>
      <c r="CK15" s="88" t="s">
        <v>188</v>
      </c>
      <c r="CL15" s="88" t="s">
        <v>4</v>
      </c>
      <c r="CM15" s="89" t="s">
        <v>190</v>
      </c>
      <c r="CN15" s="87" t="s">
        <v>239</v>
      </c>
      <c r="CO15" s="88" t="s">
        <v>188</v>
      </c>
      <c r="CP15" s="88" t="s">
        <v>4</v>
      </c>
      <c r="CQ15" s="89" t="s">
        <v>190</v>
      </c>
      <c r="CR15" s="67"/>
      <c r="CS15" s="87" t="s">
        <v>239</v>
      </c>
      <c r="CT15" s="88" t="s">
        <v>188</v>
      </c>
      <c r="CU15" s="88" t="s">
        <v>4</v>
      </c>
      <c r="CV15" s="89" t="s">
        <v>190</v>
      </c>
      <c r="CW15" s="87" t="s">
        <v>239</v>
      </c>
      <c r="CX15" s="88" t="s">
        <v>188</v>
      </c>
      <c r="CY15" s="88" t="s">
        <v>4</v>
      </c>
      <c r="CZ15" s="89" t="s">
        <v>190</v>
      </c>
      <c r="DA15" s="87" t="s">
        <v>239</v>
      </c>
      <c r="DB15" s="88" t="s">
        <v>188</v>
      </c>
      <c r="DC15" s="88" t="s">
        <v>4</v>
      </c>
      <c r="DD15" s="89" t="s">
        <v>190</v>
      </c>
      <c r="DE15" s="87" t="s">
        <v>239</v>
      </c>
      <c r="DF15" s="88" t="s">
        <v>188</v>
      </c>
      <c r="DG15" s="88" t="s">
        <v>4</v>
      </c>
      <c r="DH15" s="89" t="s">
        <v>190</v>
      </c>
      <c r="DI15" s="87" t="s">
        <v>239</v>
      </c>
      <c r="DJ15" s="88" t="s">
        <v>188</v>
      </c>
      <c r="DK15" s="88" t="s">
        <v>4</v>
      </c>
      <c r="DL15" s="89" t="s">
        <v>190</v>
      </c>
      <c r="DM15" s="87" t="s">
        <v>239</v>
      </c>
      <c r="DN15" s="88" t="s">
        <v>188</v>
      </c>
      <c r="DO15" s="88" t="s">
        <v>4</v>
      </c>
      <c r="DP15" s="89" t="s">
        <v>190</v>
      </c>
      <c r="DQ15" s="67"/>
      <c r="DR15" s="87" t="s">
        <v>239</v>
      </c>
      <c r="DS15" s="88" t="s">
        <v>188</v>
      </c>
      <c r="DT15" s="88" t="s">
        <v>4</v>
      </c>
      <c r="DU15" s="89" t="s">
        <v>190</v>
      </c>
      <c r="DV15" s="87" t="s">
        <v>239</v>
      </c>
      <c r="DW15" s="88" t="s">
        <v>188</v>
      </c>
      <c r="DX15" s="88" t="s">
        <v>4</v>
      </c>
      <c r="DY15" s="89" t="s">
        <v>190</v>
      </c>
      <c r="DZ15" s="87" t="s">
        <v>239</v>
      </c>
      <c r="EA15" s="88" t="s">
        <v>188</v>
      </c>
      <c r="EB15" s="88" t="s">
        <v>4</v>
      </c>
      <c r="EC15" s="89" t="s">
        <v>190</v>
      </c>
      <c r="ED15" s="87" t="s">
        <v>239</v>
      </c>
      <c r="EE15" s="88" t="s">
        <v>188</v>
      </c>
      <c r="EF15" s="88" t="s">
        <v>4</v>
      </c>
      <c r="EG15" s="89" t="s">
        <v>190</v>
      </c>
      <c r="EH15" s="87" t="s">
        <v>239</v>
      </c>
      <c r="EI15" s="88" t="s">
        <v>188</v>
      </c>
      <c r="EJ15" s="88" t="s">
        <v>4</v>
      </c>
      <c r="EK15" s="89" t="s">
        <v>190</v>
      </c>
      <c r="EL15" s="87" t="s">
        <v>239</v>
      </c>
      <c r="EM15" s="88" t="s">
        <v>188</v>
      </c>
      <c r="EN15" s="88" t="s">
        <v>4</v>
      </c>
      <c r="EO15" s="89" t="s">
        <v>190</v>
      </c>
      <c r="EP15" s="67"/>
      <c r="EQ15" s="87" t="s">
        <v>239</v>
      </c>
      <c r="ER15" s="88" t="s">
        <v>188</v>
      </c>
      <c r="ES15" s="88" t="s">
        <v>4</v>
      </c>
      <c r="ET15" s="89" t="s">
        <v>190</v>
      </c>
      <c r="EU15" s="87" t="s">
        <v>239</v>
      </c>
      <c r="EV15" s="88" t="s">
        <v>188</v>
      </c>
      <c r="EW15" s="88" t="s">
        <v>4</v>
      </c>
      <c r="EX15" s="89" t="s">
        <v>190</v>
      </c>
      <c r="EY15" s="87" t="s">
        <v>239</v>
      </c>
      <c r="EZ15" s="88" t="s">
        <v>188</v>
      </c>
      <c r="FA15" s="88" t="s">
        <v>4</v>
      </c>
      <c r="FB15" s="89" t="s">
        <v>190</v>
      </c>
      <c r="FC15" s="87" t="s">
        <v>239</v>
      </c>
      <c r="FD15" s="88" t="s">
        <v>188</v>
      </c>
      <c r="FE15" s="88" t="s">
        <v>4</v>
      </c>
      <c r="FF15" s="89" t="s">
        <v>190</v>
      </c>
      <c r="FG15" s="87" t="s">
        <v>239</v>
      </c>
      <c r="FH15" s="88" t="s">
        <v>188</v>
      </c>
      <c r="FI15" s="88" t="s">
        <v>4</v>
      </c>
      <c r="FJ15" s="89" t="s">
        <v>190</v>
      </c>
      <c r="FK15" s="87" t="s">
        <v>239</v>
      </c>
      <c r="FL15" s="88" t="s">
        <v>188</v>
      </c>
      <c r="FM15" s="88" t="s">
        <v>4</v>
      </c>
      <c r="FN15" s="89" t="s">
        <v>190</v>
      </c>
      <c r="FO15" s="67"/>
      <c r="FP15" s="87" t="s">
        <v>239</v>
      </c>
      <c r="FQ15" s="88" t="s">
        <v>188</v>
      </c>
      <c r="FR15" s="88" t="s">
        <v>4</v>
      </c>
      <c r="FS15" s="89" t="s">
        <v>190</v>
      </c>
      <c r="FT15" s="87" t="s">
        <v>239</v>
      </c>
      <c r="FU15" s="88" t="s">
        <v>188</v>
      </c>
      <c r="FV15" s="88" t="s">
        <v>4</v>
      </c>
      <c r="FW15" s="89" t="s">
        <v>190</v>
      </c>
      <c r="FX15" s="87" t="s">
        <v>239</v>
      </c>
      <c r="FY15" s="88" t="s">
        <v>188</v>
      </c>
      <c r="FZ15" s="88" t="s">
        <v>4</v>
      </c>
      <c r="GA15" s="89" t="s">
        <v>190</v>
      </c>
      <c r="GB15" s="87" t="s">
        <v>239</v>
      </c>
      <c r="GC15" s="88" t="s">
        <v>188</v>
      </c>
      <c r="GD15" s="88" t="s">
        <v>4</v>
      </c>
      <c r="GE15" s="89" t="s">
        <v>190</v>
      </c>
      <c r="GF15" s="87" t="s">
        <v>239</v>
      </c>
      <c r="GG15" s="88" t="s">
        <v>188</v>
      </c>
      <c r="GH15" s="88" t="s">
        <v>4</v>
      </c>
      <c r="GI15" s="89" t="s">
        <v>190</v>
      </c>
      <c r="GJ15" s="87" t="s">
        <v>239</v>
      </c>
      <c r="GK15" s="88" t="s">
        <v>188</v>
      </c>
      <c r="GL15" s="88" t="s">
        <v>4</v>
      </c>
      <c r="GM15" s="89" t="s">
        <v>190</v>
      </c>
      <c r="GN15" s="67"/>
      <c r="GO15" s="87" t="s">
        <v>239</v>
      </c>
      <c r="GP15" s="88" t="s">
        <v>188</v>
      </c>
      <c r="GQ15" s="88" t="s">
        <v>4</v>
      </c>
      <c r="GR15" s="89" t="s">
        <v>190</v>
      </c>
      <c r="GS15" s="87" t="s">
        <v>239</v>
      </c>
      <c r="GT15" s="88" t="s">
        <v>188</v>
      </c>
      <c r="GU15" s="88" t="s">
        <v>4</v>
      </c>
      <c r="GV15" s="89" t="s">
        <v>190</v>
      </c>
      <c r="GW15" s="87" t="s">
        <v>239</v>
      </c>
      <c r="GX15" s="88" t="s">
        <v>188</v>
      </c>
      <c r="GY15" s="88" t="s">
        <v>4</v>
      </c>
      <c r="GZ15" s="89" t="s">
        <v>190</v>
      </c>
      <c r="HA15" s="87" t="s">
        <v>239</v>
      </c>
      <c r="HB15" s="88" t="s">
        <v>188</v>
      </c>
      <c r="HC15" s="88" t="s">
        <v>4</v>
      </c>
      <c r="HD15" s="89" t="s">
        <v>190</v>
      </c>
      <c r="HE15" s="87" t="s">
        <v>239</v>
      </c>
      <c r="HF15" s="88" t="s">
        <v>188</v>
      </c>
      <c r="HG15" s="88" t="s">
        <v>4</v>
      </c>
      <c r="HH15" s="89" t="s">
        <v>190</v>
      </c>
      <c r="HI15" s="87" t="s">
        <v>239</v>
      </c>
      <c r="HJ15" s="88" t="s">
        <v>188</v>
      </c>
      <c r="HK15" s="88" t="s">
        <v>4</v>
      </c>
      <c r="HL15" s="89" t="s">
        <v>190</v>
      </c>
      <c r="HM15" s="67"/>
      <c r="HN15" s="87" t="s">
        <v>239</v>
      </c>
      <c r="HO15" s="88" t="s">
        <v>188</v>
      </c>
      <c r="HP15" s="88" t="s">
        <v>4</v>
      </c>
      <c r="HQ15" s="89" t="s">
        <v>190</v>
      </c>
      <c r="HR15" s="87" t="s">
        <v>239</v>
      </c>
      <c r="HS15" s="88" t="s">
        <v>188</v>
      </c>
      <c r="HT15" s="88" t="s">
        <v>4</v>
      </c>
      <c r="HU15" s="89" t="s">
        <v>190</v>
      </c>
      <c r="HV15" s="87" t="s">
        <v>239</v>
      </c>
      <c r="HW15" s="88" t="s">
        <v>188</v>
      </c>
      <c r="HX15" s="88" t="s">
        <v>4</v>
      </c>
      <c r="HY15" s="89" t="s">
        <v>190</v>
      </c>
      <c r="HZ15" s="87" t="s">
        <v>239</v>
      </c>
      <c r="IA15" s="88" t="s">
        <v>188</v>
      </c>
      <c r="IB15" s="88" t="s">
        <v>4</v>
      </c>
      <c r="IC15" s="89" t="s">
        <v>190</v>
      </c>
      <c r="ID15" s="87" t="s">
        <v>239</v>
      </c>
      <c r="IE15" s="88" t="s">
        <v>188</v>
      </c>
      <c r="IF15" s="88" t="s">
        <v>4</v>
      </c>
      <c r="IG15" s="89" t="s">
        <v>190</v>
      </c>
      <c r="IH15" s="87" t="s">
        <v>239</v>
      </c>
      <c r="II15" s="88" t="s">
        <v>188</v>
      </c>
      <c r="IJ15" s="88" t="s">
        <v>4</v>
      </c>
      <c r="IK15" s="89" t="s">
        <v>190</v>
      </c>
      <c r="IL15" s="67"/>
      <c r="IM15" s="87" t="s">
        <v>239</v>
      </c>
      <c r="IN15" s="88" t="s">
        <v>188</v>
      </c>
      <c r="IO15" s="88" t="s">
        <v>4</v>
      </c>
      <c r="IP15" s="89" t="s">
        <v>190</v>
      </c>
      <c r="IQ15" s="87" t="s">
        <v>239</v>
      </c>
      <c r="IR15" s="88" t="s">
        <v>188</v>
      </c>
      <c r="IS15" s="88" t="s">
        <v>4</v>
      </c>
      <c r="IT15" s="89" t="s">
        <v>190</v>
      </c>
      <c r="IU15" s="87" t="s">
        <v>239</v>
      </c>
      <c r="IV15" s="88" t="s">
        <v>188</v>
      </c>
      <c r="IW15" s="88" t="s">
        <v>4</v>
      </c>
      <c r="IX15" s="89" t="s">
        <v>190</v>
      </c>
      <c r="IY15" s="87" t="s">
        <v>239</v>
      </c>
      <c r="IZ15" s="88" t="s">
        <v>188</v>
      </c>
      <c r="JA15" s="88" t="s">
        <v>4</v>
      </c>
      <c r="JB15" s="89" t="s">
        <v>190</v>
      </c>
      <c r="JC15" s="87" t="s">
        <v>239</v>
      </c>
      <c r="JD15" s="88" t="s">
        <v>188</v>
      </c>
      <c r="JE15" s="88" t="s">
        <v>4</v>
      </c>
      <c r="JF15" s="89" t="s">
        <v>190</v>
      </c>
      <c r="JG15" s="87" t="s">
        <v>239</v>
      </c>
      <c r="JH15" s="88" t="s">
        <v>188</v>
      </c>
      <c r="JI15" s="88" t="s">
        <v>4</v>
      </c>
      <c r="JJ15" s="89" t="s">
        <v>190</v>
      </c>
      <c r="JK15" s="67"/>
      <c r="JL15" s="87" t="s">
        <v>239</v>
      </c>
      <c r="JM15" s="88" t="s">
        <v>188</v>
      </c>
      <c r="JN15" s="88" t="s">
        <v>4</v>
      </c>
      <c r="JO15" s="89" t="s">
        <v>190</v>
      </c>
      <c r="JP15" s="87" t="s">
        <v>239</v>
      </c>
      <c r="JQ15" s="88" t="s">
        <v>188</v>
      </c>
      <c r="JR15" s="88" t="s">
        <v>4</v>
      </c>
      <c r="JS15" s="89" t="s">
        <v>190</v>
      </c>
      <c r="JT15" s="87" t="s">
        <v>239</v>
      </c>
      <c r="JU15" s="88" t="s">
        <v>188</v>
      </c>
      <c r="JV15" s="88" t="s">
        <v>4</v>
      </c>
      <c r="JW15" s="89" t="s">
        <v>190</v>
      </c>
      <c r="JX15" s="87" t="s">
        <v>239</v>
      </c>
      <c r="JY15" s="88" t="s">
        <v>188</v>
      </c>
      <c r="JZ15" s="88" t="s">
        <v>4</v>
      </c>
      <c r="KA15" s="89" t="s">
        <v>190</v>
      </c>
      <c r="KB15" s="87" t="s">
        <v>239</v>
      </c>
      <c r="KC15" s="88" t="s">
        <v>188</v>
      </c>
      <c r="KD15" s="88" t="s">
        <v>4</v>
      </c>
      <c r="KE15" s="89" t="s">
        <v>190</v>
      </c>
      <c r="KF15" s="87" t="s">
        <v>239</v>
      </c>
      <c r="KG15" s="88" t="s">
        <v>188</v>
      </c>
      <c r="KH15" s="88" t="s">
        <v>4</v>
      </c>
      <c r="KI15" s="89" t="s">
        <v>190</v>
      </c>
      <c r="KJ15" s="67"/>
      <c r="KK15" s="67"/>
      <c r="KL15" s="67"/>
      <c r="KM15" s="67"/>
      <c r="KN15" s="67"/>
      <c r="KO15" s="67"/>
      <c r="KP15" s="67"/>
      <c r="KQ15" s="67"/>
      <c r="KR15" s="67"/>
      <c r="KS15" s="67"/>
      <c r="KT15" s="67"/>
      <c r="KU15" s="67"/>
      <c r="KV15" s="67"/>
      <c r="KW15" s="67"/>
      <c r="KX15" s="67"/>
      <c r="KY15" s="67"/>
      <c r="KZ15" s="67"/>
      <c r="LA15" s="67"/>
      <c r="LB15" s="67"/>
      <c r="LC15" s="67"/>
    </row>
    <row r="16">
      <c r="A16" s="42"/>
      <c r="B16" s="68" t="s">
        <v>192</v>
      </c>
      <c r="C16" s="69"/>
      <c r="D16" s="70"/>
      <c r="E16" s="71"/>
      <c r="F16" s="32"/>
      <c r="G16" s="72" t="str">
        <f t="array" ref="G16">IFERROR(IF(XLOOKUP(CONCAT(E16,F16),'MASTER PLAN'!$AB:$AB,'MASTER PLAN'!$J:$J,0,0)=0,"",XLOOKUP(CONCAT(E16,F16),'MASTER PLAN'!$AB:$AB,'MASTER PLAN'!$J:$J,0,0)),"")</f>
        <v/>
      </c>
      <c r="H16" s="73" t="str">
        <f t="array" ref="H16">IFERROR(IF(XLOOKUP(CONCAT(E16,F16),'PROCESOS PRD'!$J:$J,'PROCESOS PRD'!$H:$H,0,0)=0,"",XLOOKUP(CONCAT(E16,F16),'PROCESOS PRD'!$J:$J,'PROCESOS PRD'!$H:$H,0,0)),"")</f>
        <v/>
      </c>
      <c r="I16" s="71"/>
      <c r="J16" s="32"/>
      <c r="K16" s="72" t="str">
        <f t="array" ref="K16">IFERROR(IF(XLOOKUP(CONCAT(I16,J16),'MASTER PLAN'!$AB:$AB,'MASTER PLAN'!$J:$J,0,0)=0,"",XLOOKUP(CONCAT(I16,J16),'MASTER PLAN'!$AB:$AB,'MASTER PLAN'!$J:$J,0,0)),"")</f>
        <v/>
      </c>
      <c r="L16" s="73" t="str">
        <f t="array" ref="L16">IFERROR(IF(XLOOKUP(CONCAT(I16,J16),'PROCESOS PRD'!$J:$J,'PROCESOS PRD'!$H:$H,0,0)=0,"",XLOOKUP(CONCAT(I16,J16),'PROCESOS PRD'!$J:$J,'PROCESOS PRD'!$H:$H,0,0)),"")</f>
        <v/>
      </c>
      <c r="M16" s="71"/>
      <c r="N16" s="32"/>
      <c r="O16" s="72" t="str">
        <f t="array" ref="O16">IFERROR(IF(XLOOKUP(CONCAT(M16,N16),'MASTER PLAN'!$AB:$AB,'MASTER PLAN'!$J:$J,0,0)=0,"",XLOOKUP(CONCAT(M16,N16),'MASTER PLAN'!$AB:$AB,'MASTER PLAN'!$J:$J,0,0)),"")</f>
        <v/>
      </c>
      <c r="P16" s="73" t="str">
        <f t="array" ref="P16">IFERROR(IF(XLOOKUP(CONCAT(M16,N16),'PROCESOS PRD'!$J:$J,'PROCESOS PRD'!$H:$H,0,0)=0,"",XLOOKUP(CONCAT(M16,N16),'PROCESOS PRD'!$J:$J,'PROCESOS PRD'!$H:$H,0,0)),"")</f>
        <v/>
      </c>
      <c r="Q16" s="71"/>
      <c r="R16" s="32"/>
      <c r="S16" s="72" t="str">
        <f t="array" ref="S16">IFERROR(IF(XLOOKUP(CONCAT(Q16,R16),'MASTER PLAN'!$AB:$AB,'MASTER PLAN'!$J:$J,0,0)=0,"",XLOOKUP(CONCAT(Q16,R16),'MASTER PLAN'!$AB:$AB,'MASTER PLAN'!$J:$J,0,0)),"")</f>
        <v/>
      </c>
      <c r="T16" s="73" t="str">
        <f t="array" ref="T16">IFERROR(IF(XLOOKUP(CONCAT(Q16,R16),'PROCESOS PRD'!$J:$J,'PROCESOS PRD'!$H:$H,0,0)=0,"",XLOOKUP(CONCAT(Q16,R16),'PROCESOS PRD'!$J:$J,'PROCESOS PRD'!$H:$H,0,0)),"")</f>
        <v/>
      </c>
      <c r="U16" s="70"/>
      <c r="V16" s="71"/>
      <c r="W16" s="32"/>
      <c r="X16" s="72" t="str">
        <f t="array" ref="X16">IFERROR(IF(XLOOKUP(CONCAT(V16,W16),'MASTER PLAN'!$AB:$AB,'MASTER PLAN'!$J:$J,0,0)=0,"",XLOOKUP(CONCAT(V16,W16),'MASTER PLAN'!$AB:$AB,'MASTER PLAN'!$J:$J,0,0)),"")</f>
        <v/>
      </c>
      <c r="Y16" s="73" t="str">
        <f t="array" ref="Y16">IFERROR(IF(XLOOKUP(CONCAT(V16,W16),'PROCESOS PRD'!$J:$J,'PROCESOS PRD'!$H:$H,0,0)=0,"",XLOOKUP(CONCAT(V16,W16),'PROCESOS PRD'!$J:$J,'PROCESOS PRD'!$H:$H,0,0)),"")</f>
        <v/>
      </c>
      <c r="Z16" s="71"/>
      <c r="AA16" s="32"/>
      <c r="AB16" s="72" t="str">
        <f t="array" ref="AB16">IFERROR(IF(XLOOKUP(CONCAT(Z16,AA16),'MASTER PLAN'!$AB:$AB,'MASTER PLAN'!$J:$J,0,0)=0,"",XLOOKUP(CONCAT(Z16,AA16),'MASTER PLAN'!$AB:$AB,'MASTER PLAN'!$J:$J,0,0)),"")</f>
        <v/>
      </c>
      <c r="AC16" s="73" t="str">
        <f t="array" ref="AC16">IFERROR(IF(XLOOKUP(CONCAT(Z16,AA16),'PROCESOS PRD'!$J:$J,'PROCESOS PRD'!$H:$H,0,0)=0,"",XLOOKUP(CONCAT(Z16,AA16),'PROCESOS PRD'!$J:$J,'PROCESOS PRD'!$H:$H,0,0)),"")</f>
        <v/>
      </c>
      <c r="AD16" s="71"/>
      <c r="AE16" s="32"/>
      <c r="AF16" s="72" t="str">
        <f t="array" ref="AF16">IFERROR(IF(XLOOKUP(CONCAT(AD16,AE16),'MASTER PLAN'!$AB:$AB,'MASTER PLAN'!$J:$J,0,0)=0,"",XLOOKUP(CONCAT(AD16,AE16),'MASTER PLAN'!$AB:$AB,'MASTER PLAN'!$J:$J,0,0)),"")</f>
        <v/>
      </c>
      <c r="AG16" s="73" t="str">
        <f t="array" ref="AG16">IFERROR(IF(XLOOKUP(CONCAT(AD16,AE16),'PROCESOS PRD'!$J:$J,'PROCESOS PRD'!$H:$H,0,0)=0,"",XLOOKUP(CONCAT(AD16,AE16),'PROCESOS PRD'!$J:$J,'PROCESOS PRD'!$H:$H,0,0)),"")</f>
        <v/>
      </c>
      <c r="AH16" s="71">
        <v>1.402049362E9</v>
      </c>
      <c r="AI16" s="32">
        <v>10.0</v>
      </c>
      <c r="AJ16" s="72" t="str">
        <f t="array" ref="AJ16">IFERROR(IF(XLOOKUP(CONCAT(AH16,AI16),'MASTER PLAN'!$AB:$AB,'MASTER PLAN'!$J:$J,0,0)=0,"",XLOOKUP(CONCAT(AH16,AI16),'MASTER PLAN'!$AB:$AB,'MASTER PLAN'!$J:$J,0,0)),"")</f>
        <v>BOLSA SCHWANKE KASTEN CO 10"X6"X8"</v>
      </c>
      <c r="AK16" s="73">
        <f t="array" ref="AK16">IFERROR(IF(XLOOKUP(CONCAT(AH16,AI16),'PROCESOS PRD'!$J:$J,'PROCESOS PRD'!$H:$H,0,0)=0,"",XLOOKUP(CONCAT(AH16,AI16),'PROCESOS PRD'!$J:$J,'PROCESOS PRD'!$H:$H,0,0)),"")</f>
        <v>2400</v>
      </c>
      <c r="AL16" s="90"/>
      <c r="AM16" s="91"/>
      <c r="AN16" s="72" t="str">
        <f t="array" ref="AN16">IFERROR(IF(XLOOKUP(CONCAT(AL16,AM16),'MASTER PLAN'!$AB:$AB,'MASTER PLAN'!$J:$J,0,0)=0,"",XLOOKUP(CONCAT(AL16,AM16),'MASTER PLAN'!$AB:$AB,'MASTER PLAN'!$J:$J,0,0)),"")</f>
        <v/>
      </c>
      <c r="AO16" s="73" t="str">
        <f t="array" ref="AO16">IFERROR(IF(XLOOKUP(CONCAT(AL16,AM16),'PROCESOS PRD'!$J:$J,'PROCESOS PRD'!$H:$H,0,0)=0,"",XLOOKUP(CONCAT(AL16,AM16),'PROCESOS PRD'!$J:$J,'PROCESOS PRD'!$H:$H,0,0)),"")</f>
        <v/>
      </c>
      <c r="AP16" s="71">
        <v>1.402049349E9</v>
      </c>
      <c r="AQ16" s="32">
        <v>10.0</v>
      </c>
      <c r="AR16" s="72" t="str">
        <f t="array" ref="AR16">IFERROR(IF(XLOOKUP(CONCAT(AP16,AQ16),'MASTER PLAN'!$AB:$AB,'MASTER PLAN'!$J:$J,0,0)=0,"",XLOOKUP(CONCAT(AP16,AQ16),'MASTER PLAN'!$AB:$AB,'MASTER PLAN'!$J:$J,0,0)),"")</f>
        <v>BOLSA WSHM WOS 10"X6"X10" FA</v>
      </c>
      <c r="AS16" s="73">
        <f t="array" ref="AS16">IFERROR(IF(XLOOKUP(CONCAT(AP16,AQ16),'PROCESOS PRD'!$J:$J,'PROCESOS PRD'!$H:$H,0,0)=0,"",XLOOKUP(CONCAT(AP16,AQ16),'PROCESOS PRD'!$J:$J,'PROCESOS PRD'!$H:$H,0,0)),"")</f>
        <v>18000</v>
      </c>
      <c r="AT16" s="70"/>
      <c r="AU16" s="71">
        <v>1.402049349E9</v>
      </c>
      <c r="AV16" s="32">
        <v>10.0</v>
      </c>
      <c r="AW16" s="72" t="str">
        <f t="array" ref="AW16">IFERROR(IF(XLOOKUP(CONCAT(AU16,AV16),'MASTER PLAN'!$AB:$AB,'MASTER PLAN'!$J:$J,0,0)=0,"",XLOOKUP(CONCAT(AU16,AV16),'MASTER PLAN'!$AB:$AB,'MASTER PLAN'!$J:$J,0,0)),"")</f>
        <v>BOLSA WSHM WOS 10"X6"X10" FA</v>
      </c>
      <c r="AX16" s="73">
        <f t="array" ref="AX16">IFERROR(IF(XLOOKUP(CONCAT(AU16,AV16),'PROCESOS PRD'!$J:$J,'PROCESOS PRD'!$H:$H,0,0)=0,"",XLOOKUP(CONCAT(AU16,AV16),'PROCESOS PRD'!$J:$J,'PROCESOS PRD'!$H:$H,0,0)),"")</f>
        <v>18000</v>
      </c>
      <c r="AY16" s="90"/>
      <c r="AZ16" s="91"/>
      <c r="BA16" s="72" t="str">
        <f t="array" ref="BA16">IFERROR(IF(XLOOKUP(CONCAT(AY16,AZ16),'MASTER PLAN'!$AB:$AB,'MASTER PLAN'!$J:$J,0,0)=0,"",XLOOKUP(CONCAT(AY16,AZ16),'MASTER PLAN'!$AB:$AB,'MASTER PLAN'!$J:$J,0,0)),"")</f>
        <v/>
      </c>
      <c r="BB16" s="73" t="str">
        <f t="array" ref="BB16">IFERROR(IF(XLOOKUP(CONCAT(AY16,AZ16),'PROCESOS PRD'!$J:$J,'PROCESOS PRD'!$H:$H,0,0)=0,"",XLOOKUP(CONCAT(AY16,AZ16),'PROCESOS PRD'!$J:$J,'PROCESOS PRD'!$H:$H,0,0)),"")</f>
        <v/>
      </c>
      <c r="BC16" s="71">
        <v>1.402048632E9</v>
      </c>
      <c r="BD16" s="32">
        <v>10.0</v>
      </c>
      <c r="BE16" s="72" t="str">
        <f t="array" ref="BE16">IFERROR(IF(XLOOKUP(CONCAT(BC16,BD16),'MASTER PLAN'!$AB:$AB,'MASTER PLAN'!$J:$J,0,0)=0,"",XLOOKUP(CONCAT(BC16,BD16),'MASTER PLAN'!$AB:$AB,'MASTER PLAN'!$J:$J,0,0)),"")</f>
        <v>BOLSA ROGERS ENTERPRISES 10"X4"X7-75"</v>
      </c>
      <c r="BF16" s="73">
        <f t="array" ref="BF16">IFERROR(IF(XLOOKUP(CONCAT(BC16,BD16),'PROCESOS PRD'!$J:$J,'PROCESOS PRD'!$H:$H,0,0)=0,"",XLOOKUP(CONCAT(BC16,BD16),'PROCESOS PRD'!$J:$J,'PROCESOS PRD'!$H:$H,0,0)),"")</f>
        <v>10500</v>
      </c>
      <c r="BG16" s="71">
        <v>1.402049402E9</v>
      </c>
      <c r="BH16" s="32">
        <v>10.0</v>
      </c>
      <c r="BI16" s="72" t="str">
        <f t="array" ref="BI16">IFERROR(IF(XLOOKUP(CONCAT(BG16,BH16),'MASTER PLAN'!$AB:$AB,'MASTER PLAN'!$J:$J,0,0)=0,"",XLOOKUP(CONCAT(BG16,BH16),'MASTER PLAN'!$AB:$AB,'MASTER PLAN'!$J:$J,0,0)),"")</f>
        <v>BOLSA LAWRENCE(GOLD CASTER)10-5"X5X8-25"</v>
      </c>
      <c r="BJ16" s="73">
        <f t="array" ref="BJ16">IFERROR(IF(XLOOKUP(CONCAT(BG16,BH16),'PROCESOS PRD'!$J:$J,'PROCESOS PRD'!$H:$H,0,0)=0,"",XLOOKUP(CONCAT(BG16,BH16),'PROCESOS PRD'!$J:$J,'PROCESOS PRD'!$H:$H,0,0)),"")</f>
        <v>3600</v>
      </c>
      <c r="BK16" s="71">
        <v>1.40204949E9</v>
      </c>
      <c r="BL16" s="32">
        <v>10.0</v>
      </c>
      <c r="BM16" s="72" t="str">
        <f t="array" ref="BM16">IFERROR(IF(XLOOKUP(CONCAT(BK16,BL16),'MASTER PLAN'!$AB:$AB,'MASTER PLAN'!$J:$J,0,0)=0,"",XLOOKUP(CONCAT(BK16,BL16),'MASTER PLAN'!$AB:$AB,'MASTER PLAN'!$J:$J,0,0)),"")</f>
        <v>BOLSA MAZZARESE 6-5"X3-5X6-5"</v>
      </c>
      <c r="BN16" s="73">
        <f t="array" ref="BN16">IFERROR(IF(XLOOKUP(CONCAT(BK16,BL16),'PROCESOS PRD'!$J:$J,'PROCESOS PRD'!$H:$H,0,0)=0,"",XLOOKUP(CONCAT(BK16,BL16),'PROCESOS PRD'!$J:$J,'PROCESOS PRD'!$H:$H,0,0)),"")</f>
        <v>1800</v>
      </c>
      <c r="BO16" s="71"/>
      <c r="BP16" s="32"/>
      <c r="BQ16" s="72" t="str">
        <f t="array" ref="BQ16">IFERROR(IF(XLOOKUP(CONCAT(BO16,BP16),'MASTER PLAN'!$AB:$AB,'MASTER PLAN'!$J:$J,0,0)=0,"",XLOOKUP(CONCAT(BO16,BP16),'MASTER PLAN'!$AB:$AB,'MASTER PLAN'!$J:$J,0,0)),"")</f>
        <v/>
      </c>
      <c r="BR16" s="73" t="str">
        <f t="array" ref="BR16">IFERROR(IF(XLOOKUP(CONCAT(BO16,BP16),'PROCESOS PRD'!$J:$J,'PROCESOS PRD'!$H:$H,0,0)=0,"",XLOOKUP(CONCAT(BO16,BP16),'PROCESOS PRD'!$J:$J,'PROCESOS PRD'!$H:$H,0,0)),"")</f>
        <v/>
      </c>
      <c r="BS16" s="70"/>
      <c r="BT16" s="71"/>
      <c r="BU16" s="32"/>
      <c r="BV16" s="72" t="str">
        <f t="array" ref="BV16">IFERROR(IF(XLOOKUP(CONCAT(BT16,BU16),'MASTER PLAN'!$AB:$AB,'MASTER PLAN'!$J:$J,0,0)=0,"",XLOOKUP(CONCAT(BT16,BU16),'MASTER PLAN'!$AB:$AB,'MASTER PLAN'!$J:$J,0,0)),"")</f>
        <v/>
      </c>
      <c r="BW16" s="73" t="str">
        <f t="array" ref="BW16">IFERROR(IF(XLOOKUP(CONCAT(BT16,BU16),'PROCESOS PRD'!$J:$J,'PROCESOS PRD'!$H:$H,0,0)=0,"",XLOOKUP(CONCAT(BT16,BU16),'PROCESOS PRD'!$J:$J,'PROCESOS PRD'!$H:$H,0,0)),"")</f>
        <v/>
      </c>
      <c r="BX16" s="71"/>
      <c r="BY16" s="32"/>
      <c r="BZ16" s="72" t="str">
        <f t="array" ref="BZ16">IFERROR(IF(XLOOKUP(CONCAT(BX16,BY16),'MASTER PLAN'!$AB:$AB,'MASTER PLAN'!$J:$J,0,0)=0,"",XLOOKUP(CONCAT(BX16,BY16),'MASTER PLAN'!$AB:$AB,'MASTER PLAN'!$J:$J,0,0)),"")</f>
        <v/>
      </c>
      <c r="CA16" s="73" t="str">
        <f t="array" ref="CA16">IFERROR(IF(XLOOKUP(CONCAT(BX16,BY16),'PROCESOS PRD'!$J:$J,'PROCESOS PRD'!$H:$H,0,0)=0,"",XLOOKUP(CONCAT(BX16,BY16),'PROCESOS PRD'!$J:$J,'PROCESOS PRD'!$H:$H,0,0)),"")</f>
        <v/>
      </c>
      <c r="CB16" s="71"/>
      <c r="CC16" s="32"/>
      <c r="CD16" s="72" t="str">
        <f t="array" ref="CD16">IFERROR(IF(XLOOKUP(CONCAT(CB16,CC16),'MASTER PLAN'!$AB:$AB,'MASTER PLAN'!$J:$J,0,0)=0,"",XLOOKUP(CONCAT(CB16,CC16),'MASTER PLAN'!$AB:$AB,'MASTER PLAN'!$J:$J,0,0)),"")</f>
        <v/>
      </c>
      <c r="CE16" s="73" t="str">
        <f t="array" ref="CE16">IFERROR(IF(XLOOKUP(CONCAT(CB16,CC16),'PROCESOS PRD'!$J:$J,'PROCESOS PRD'!$H:$H,0,0)=0,"",XLOOKUP(CONCAT(CB16,CC16),'PROCESOS PRD'!$J:$J,'PROCESOS PRD'!$H:$H,0,0)),"")</f>
        <v/>
      </c>
      <c r="CF16" s="71">
        <v>1.402049498E9</v>
      </c>
      <c r="CG16" s="32">
        <v>10.0</v>
      </c>
      <c r="CH16" s="72" t="str">
        <f t="array" ref="CH16">IFERROR(IF(XLOOKUP(CONCAT(CF16,CG16),'MASTER PLAN'!$AB:$AB,'MASTER PLAN'!$J:$J,0,0)=0,"",XLOOKUP(CONCAT(CF16,CG16),'MASTER PLAN'!$AB:$AB,'MASTER PLAN'!$J:$J,0,0)),"")</f>
        <v>BOLSA ALBERTS JEWELERS 6-5"X3-5"X6-5"</v>
      </c>
      <c r="CI16" s="73">
        <f t="array" ref="CI16">IFERROR(IF(XLOOKUP(CONCAT(CF16,CG16),'PROCESOS PRD'!$J:$J,'PROCESOS PRD'!$H:$H,0,0)=0,"",XLOOKUP(CONCAT(CF16,CG16),'PROCESOS PRD'!$J:$J,'PROCESOS PRD'!$H:$H,0,0)),"")</f>
        <v>8400</v>
      </c>
      <c r="CJ16" s="71">
        <v>1.402049448E9</v>
      </c>
      <c r="CK16" s="32">
        <v>10.0</v>
      </c>
      <c r="CL16" s="72" t="str">
        <f t="array" ref="CL16">IFERROR(IF(XLOOKUP(CONCAT(CJ16,CK16),'MASTER PLAN'!$AB:$AB,'MASTER PLAN'!$J:$J,0,0)=0,"",XLOOKUP(CONCAT(CJ16,CK16),'MASTER PLAN'!$AB:$AB,'MASTER PLAN'!$J:$J,0,0)),"")</f>
        <v>BOLSA CALDANI 6-5"X2-5"X5-5"</v>
      </c>
      <c r="CM16" s="73">
        <f t="array" ref="CM16">IFERROR(IF(XLOOKUP(CONCAT(CJ16,CK16),'PROCESOS PRD'!$J:$J,'PROCESOS PRD'!$H:$H,0,0)=0,"",XLOOKUP(CONCAT(CJ16,CK16),'PROCESOS PRD'!$J:$J,'PROCESOS PRD'!$H:$H,0,0)),"")</f>
        <v>1200</v>
      </c>
      <c r="CN16" s="71"/>
      <c r="CO16" s="32"/>
      <c r="CP16" s="72" t="str">
        <f t="array" ref="CP16">IFERROR(IF(XLOOKUP(CONCAT(CN16,CO16),'MASTER PLAN'!$AB:$AB,'MASTER PLAN'!$J:$J,0,0)=0,"",XLOOKUP(CONCAT(CN16,CO16),'MASTER PLAN'!$AB:$AB,'MASTER PLAN'!$J:$J,0,0)),"")</f>
        <v/>
      </c>
      <c r="CQ16" s="73" t="str">
        <f t="array" ref="CQ16">IFERROR(IF(XLOOKUP(CONCAT(CN16,CO16),'PROCESOS PRD'!$J:$J,'PROCESOS PRD'!$H:$H,0,0)=0,"",XLOOKUP(CONCAT(CN16,CO16),'PROCESOS PRD'!$J:$J,'PROCESOS PRD'!$H:$H,0,0)),"")</f>
        <v/>
      </c>
      <c r="CR16" s="70"/>
      <c r="CS16" s="71">
        <v>1.402049421E9</v>
      </c>
      <c r="CT16" s="32">
        <v>10.0</v>
      </c>
      <c r="CU16" s="72" t="str">
        <f t="array" ref="CU16">IFERROR(IF(XLOOKUP(CONCAT(CS16,CT16),'MASTER PLAN'!$AB:$AB,'MASTER PLAN'!$J:$J,0,0)=0,"",XLOOKUP(CONCAT(CS16,CT16),'MASTER PLAN'!$AB:$AB,'MASTER PLAN'!$J:$J,0,0)),"")</f>
        <v>BOLSA WEDDING RING SHOP 9-75X4X6-5 IN FL</v>
      </c>
      <c r="CV16" s="73">
        <f t="array" ref="CV16">IFERROR(IF(XLOOKUP(CONCAT(CS16,CT16),'PROCESOS PRD'!$J:$J,'PROCESOS PRD'!$H:$H,0,0)=0,"",XLOOKUP(CONCAT(CS16,CT16),'PROCESOS PRD'!$J:$J,'PROCESOS PRD'!$H:$H,0,0)),"")</f>
        <v>2400</v>
      </c>
      <c r="CW16" s="71">
        <v>1.402049568E9</v>
      </c>
      <c r="CX16" s="32">
        <v>10.0</v>
      </c>
      <c r="CY16" s="72" t="str">
        <f t="array" ref="CY16">IFERROR(IF(XLOOKUP(CONCAT(CW16,CX16),'MASTER PLAN'!$AB:$AB,'MASTER PLAN'!$J:$J,0,0)=0,"",XLOOKUP(CONCAT(CW16,CX16),'MASTER PLAN'!$AB:$AB,'MASTER PLAN'!$J:$J,0,0)),"")</f>
        <v>BOLSA SILEO 10X4X8 IN</v>
      </c>
      <c r="CZ16" s="73">
        <f t="array" ref="CZ16">IFERROR(IF(XLOOKUP(CONCAT(CW16,CX16),'PROCESOS PRD'!$J:$J,'PROCESOS PRD'!$H:$H,0,0)=0,"",XLOOKUP(CONCAT(CW16,CX16),'PROCESOS PRD'!$J:$J,'PROCESOS PRD'!$H:$H,0,0)),"")</f>
        <v>2400</v>
      </c>
      <c r="DA16" s="71"/>
      <c r="DB16" s="32"/>
      <c r="DC16" s="72" t="str">
        <f t="array" ref="DC16">IFERROR(IF(XLOOKUP(CONCAT(DA16,DB16),'MASTER PLAN'!$AB:$AB,'MASTER PLAN'!$J:$J,0,0)=0,"",XLOOKUP(CONCAT(DA16,DB16),'MASTER PLAN'!$AB:$AB,'MASTER PLAN'!$J:$J,0,0)),"")</f>
        <v/>
      </c>
      <c r="DD16" s="73" t="str">
        <f t="array" ref="DD16">IFERROR(IF(XLOOKUP(CONCAT(DA16,DB16),'PROCESOS PRD'!$J:$J,'PROCESOS PRD'!$H:$H,0,0)=0,"",XLOOKUP(CONCAT(DA16,DB16),'PROCESOS PRD'!$J:$J,'PROCESOS PRD'!$H:$H,0,0)),"")</f>
        <v/>
      </c>
      <c r="DE16" s="71"/>
      <c r="DF16" s="32"/>
      <c r="DG16" s="72" t="str">
        <f t="array" ref="DG16">IFERROR(IF(XLOOKUP(CONCAT(DE16,DF16),'MASTER PLAN'!$AB:$AB,'MASTER PLAN'!$J:$J,0,0)=0,"",XLOOKUP(CONCAT(DE16,DF16),'MASTER PLAN'!$AB:$AB,'MASTER PLAN'!$J:$J,0,0)),"")</f>
        <v/>
      </c>
      <c r="DH16" s="73" t="str">
        <f t="array" ref="DH16">IFERROR(IF(XLOOKUP(CONCAT(DE16,DF16),'PROCESOS PRD'!$J:$J,'PROCESOS PRD'!$H:$H,0,0)=0,"",XLOOKUP(CONCAT(DE16,DF16),'PROCESOS PRD'!$J:$J,'PROCESOS PRD'!$H:$H,0,0)),"")</f>
        <v/>
      </c>
      <c r="DI16" s="71"/>
      <c r="DJ16" s="32"/>
      <c r="DK16" s="72" t="str">
        <f t="array" ref="DK16">IFERROR(IF(XLOOKUP(CONCAT(DI16,DJ16),'MASTER PLAN'!$AB:$AB,'MASTER PLAN'!$J:$J,0,0)=0,"",XLOOKUP(CONCAT(DI16,DJ16),'MASTER PLAN'!$AB:$AB,'MASTER PLAN'!$J:$J,0,0)),"")</f>
        <v/>
      </c>
      <c r="DL16" s="73" t="str">
        <f t="array" ref="DL16">IFERROR(IF(XLOOKUP(CONCAT(DI16,DJ16),'PROCESOS PRD'!$J:$J,'PROCESOS PRD'!$H:$H,0,0)=0,"",XLOOKUP(CONCAT(DI16,DJ16),'PROCESOS PRD'!$J:$J,'PROCESOS PRD'!$H:$H,0,0)),"")</f>
        <v/>
      </c>
      <c r="DM16" s="71"/>
      <c r="DN16" s="32"/>
      <c r="DO16" s="72" t="str">
        <f t="array" ref="DO16">IFERROR(IF(XLOOKUP(CONCAT(DM16,DN16),'MASTER PLAN'!$AB:$AB,'MASTER PLAN'!$J:$J,0,0)=0,"",XLOOKUP(CONCAT(DM16,DN16),'MASTER PLAN'!$AB:$AB,'MASTER PLAN'!$J:$J,0,0)),"")</f>
        <v/>
      </c>
      <c r="DP16" s="73" t="str">
        <f t="array" ref="DP16">IFERROR(IF(XLOOKUP(CONCAT(DM16,DN16),'PROCESOS PRD'!$J:$J,'PROCESOS PRD'!$H:$H,0,0)=0,"",XLOOKUP(CONCAT(DM16,DN16),'PROCESOS PRD'!$J:$J,'PROCESOS PRD'!$H:$H,0,0)),"")</f>
        <v/>
      </c>
      <c r="DQ16" s="70"/>
      <c r="DR16" s="71"/>
      <c r="DS16" s="32"/>
      <c r="DT16" s="72" t="str">
        <f t="array" ref="DT16">IFERROR(IF(XLOOKUP(CONCAT(DR16,DS16),'MASTER PLAN'!$AB:$AB,'MASTER PLAN'!$J:$J,0,0)=0,"",XLOOKUP(CONCAT(DR16,DS16),'MASTER PLAN'!$AB:$AB,'MASTER PLAN'!$J:$J,0,0)),"")</f>
        <v/>
      </c>
      <c r="DU16" s="73" t="str">
        <f t="array" ref="DU16">IFERROR(IF(XLOOKUP(CONCAT(DR16,DS16),'PROCESOS PRD'!$J:$J,'PROCESOS PRD'!$H:$H,0,0)=0,"",XLOOKUP(CONCAT(DR16,DS16),'PROCESOS PRD'!$J:$J,'PROCESOS PRD'!$H:$H,0,0)),"")</f>
        <v/>
      </c>
      <c r="DV16" s="71"/>
      <c r="DW16" s="32"/>
      <c r="DX16" s="72" t="str">
        <f t="array" ref="DX16">IFERROR(IF(XLOOKUP(CONCAT(DV16,DW16),'MASTER PLAN'!$AB:$AB,'MASTER PLAN'!$J:$J,0,0)=0,"",XLOOKUP(CONCAT(DV16,DW16),'MASTER PLAN'!$AB:$AB,'MASTER PLAN'!$J:$J,0,0)),"")</f>
        <v/>
      </c>
      <c r="DY16" s="73" t="str">
        <f t="array" ref="DY16">IFERROR(IF(XLOOKUP(CONCAT(DV16,DW16),'PROCESOS PRD'!$J:$J,'PROCESOS PRD'!$H:$H,0,0)=0,"",XLOOKUP(CONCAT(DV16,DW16),'PROCESOS PRD'!$J:$J,'PROCESOS PRD'!$H:$H,0,0)),"")</f>
        <v/>
      </c>
      <c r="DZ16" s="71"/>
      <c r="EA16" s="32"/>
      <c r="EB16" s="72" t="str">
        <f t="array" ref="EB16">IFERROR(IF(XLOOKUP(CONCAT(DZ16,EA16),'MASTER PLAN'!$AB:$AB,'MASTER PLAN'!$J:$J,0,0)=0,"",XLOOKUP(CONCAT(DZ16,EA16),'MASTER PLAN'!$AB:$AB,'MASTER PLAN'!$J:$J,0,0)),"")</f>
        <v/>
      </c>
      <c r="EC16" s="73" t="str">
        <f t="array" ref="EC16">IFERROR(IF(XLOOKUP(CONCAT(DZ16,EA16),'PROCESOS PRD'!$J:$J,'PROCESOS PRD'!$H:$H,0,0)=0,"",XLOOKUP(CONCAT(DZ16,EA16),'PROCESOS PRD'!$J:$J,'PROCESOS PRD'!$H:$H,0,0)),"")</f>
        <v/>
      </c>
      <c r="ED16" s="71"/>
      <c r="EE16" s="32"/>
      <c r="EF16" s="72" t="str">
        <f t="array" ref="EF16">IFERROR(IF(XLOOKUP(CONCAT(ED16,EE16),'MASTER PLAN'!$AB:$AB,'MASTER PLAN'!$J:$J,0,0)=0,"",XLOOKUP(CONCAT(ED16,EE16),'MASTER PLAN'!$AB:$AB,'MASTER PLAN'!$J:$J,0,0)),"")</f>
        <v/>
      </c>
      <c r="EG16" s="73" t="str">
        <f t="array" ref="EG16">IFERROR(IF(XLOOKUP(CONCAT(ED16,EE16),'PROCESOS PRD'!$J:$J,'PROCESOS PRD'!$H:$H,0,0)=0,"",XLOOKUP(CONCAT(ED16,EE16),'PROCESOS PRD'!$J:$J,'PROCESOS PRD'!$H:$H,0,0)),"")</f>
        <v/>
      </c>
      <c r="EH16" s="71"/>
      <c r="EI16" s="32"/>
      <c r="EJ16" s="72" t="str">
        <f t="array" ref="EJ16">IFERROR(IF(XLOOKUP(CONCAT(EH16,EI16),'MASTER PLAN'!$AB:$AB,'MASTER PLAN'!$J:$J,0,0)=0,"",XLOOKUP(CONCAT(EH16,EI16),'MASTER PLAN'!$AB:$AB,'MASTER PLAN'!$J:$J,0,0)),"")</f>
        <v/>
      </c>
      <c r="EK16" s="73" t="str">
        <f t="array" ref="EK16">IFERROR(IF(XLOOKUP(CONCAT(EH16,EI16),'PROCESOS PRD'!$J:$J,'PROCESOS PRD'!$H:$H,0,0)=0,"",XLOOKUP(CONCAT(EH16,EI16),'PROCESOS PRD'!$J:$J,'PROCESOS PRD'!$H:$H,0,0)),"")</f>
        <v/>
      </c>
      <c r="EL16" s="71"/>
      <c r="EM16" s="32"/>
      <c r="EN16" s="72" t="str">
        <f t="array" ref="EN16">IFERROR(IF(XLOOKUP(CONCAT(EL16,EM16),'MASTER PLAN'!$AB:$AB,'MASTER PLAN'!$J:$J,0,0)=0,"",XLOOKUP(CONCAT(EL16,EM16),'MASTER PLAN'!$AB:$AB,'MASTER PLAN'!$J:$J,0,0)),"")</f>
        <v/>
      </c>
      <c r="EO16" s="73" t="str">
        <f t="array" ref="EO16">IFERROR(IF(XLOOKUP(CONCAT(EL16,EM16),'PROCESOS PRD'!$J:$J,'PROCESOS PRD'!$H:$H,0,0)=0,"",XLOOKUP(CONCAT(EL16,EM16),'PROCESOS PRD'!$J:$J,'PROCESOS PRD'!$H:$H,0,0)),"")</f>
        <v/>
      </c>
      <c r="EP16" s="70"/>
      <c r="EQ16" s="71"/>
      <c r="ER16" s="32"/>
      <c r="ES16" s="72" t="str">
        <f t="array" ref="ES16">IFERROR(IF(XLOOKUP(CONCAT(EQ16,ER16),'MASTER PLAN'!$AB:$AB,'MASTER PLAN'!$J:$J,0,0)=0,"",XLOOKUP(CONCAT(EQ16,ER16),'MASTER PLAN'!$AB:$AB,'MASTER PLAN'!$J:$J,0,0)),"")</f>
        <v/>
      </c>
      <c r="ET16" s="73" t="str">
        <f t="array" ref="ET16">IFERROR(IF(XLOOKUP(CONCAT(EQ16,ER16),'PROCESOS PRD'!$J:$J,'PROCESOS PRD'!$H:$H,0,0)=0,"",XLOOKUP(CONCAT(EQ16,ER16),'PROCESOS PRD'!$J:$J,'PROCESOS PRD'!$H:$H,0,0)),"")</f>
        <v/>
      </c>
      <c r="EU16" s="71"/>
      <c r="EV16" s="32"/>
      <c r="EW16" s="72" t="str">
        <f t="array" ref="EW16">IFERROR(IF(XLOOKUP(CONCAT(EU16,EV16),'MASTER PLAN'!$AB:$AB,'MASTER PLAN'!$J:$J,0,0)=0,"",XLOOKUP(CONCAT(EU16,EV16),'MASTER PLAN'!$AB:$AB,'MASTER PLAN'!$J:$J,0,0)),"")</f>
        <v/>
      </c>
      <c r="EX16" s="73" t="str">
        <f t="array" ref="EX16">IFERROR(IF(XLOOKUP(CONCAT(EU16,EV16),'PROCESOS PRD'!$J:$J,'PROCESOS PRD'!$H:$H,0,0)=0,"",XLOOKUP(CONCAT(EU16,EV16),'PROCESOS PRD'!$J:$J,'PROCESOS PRD'!$H:$H,0,0)),"")</f>
        <v/>
      </c>
      <c r="EY16" s="71"/>
      <c r="EZ16" s="32"/>
      <c r="FA16" s="72" t="str">
        <f t="array" ref="FA16">IFERROR(IF(XLOOKUP(CONCAT(EY16,EZ16),'MASTER PLAN'!$AB:$AB,'MASTER PLAN'!$J:$J,0,0)=0,"",XLOOKUP(CONCAT(EY16,EZ16),'MASTER PLAN'!$AB:$AB,'MASTER PLAN'!$J:$J,0,0)),"")</f>
        <v/>
      </c>
      <c r="FB16" s="73" t="str">
        <f t="array" ref="FB16">IFERROR(IF(XLOOKUP(CONCAT(EY16,EZ16),'PROCESOS PRD'!$J:$J,'PROCESOS PRD'!$H:$H,0,0)=0,"",XLOOKUP(CONCAT(EY16,EZ16),'PROCESOS PRD'!$J:$J,'PROCESOS PRD'!$H:$H,0,0)),"")</f>
        <v/>
      </c>
      <c r="FC16" s="71"/>
      <c r="FD16" s="32"/>
      <c r="FE16" s="72" t="str">
        <f t="array" ref="FE16">IFERROR(IF(XLOOKUP(CONCAT(FC16,FD16),'MASTER PLAN'!$AB:$AB,'MASTER PLAN'!$J:$J,0,0)=0,"",XLOOKUP(CONCAT(FC16,FD16),'MASTER PLAN'!$AB:$AB,'MASTER PLAN'!$J:$J,0,0)),"")</f>
        <v/>
      </c>
      <c r="FF16" s="73" t="str">
        <f t="array" ref="FF16">IFERROR(IF(XLOOKUP(CONCAT(FC16,FD16),'PROCESOS PRD'!$J:$J,'PROCESOS PRD'!$H:$H,0,0)=0,"",XLOOKUP(CONCAT(FC16,FD16),'PROCESOS PRD'!$J:$J,'PROCESOS PRD'!$H:$H,0,0)),"")</f>
        <v/>
      </c>
      <c r="FG16" s="71">
        <v>1.402049466E9</v>
      </c>
      <c r="FH16" s="32">
        <v>10.0</v>
      </c>
      <c r="FI16" s="72" t="str">
        <f t="array" ref="FI16">IFERROR(IF(XLOOKUP(CONCAT(FG16,FH16),'MASTER PLAN'!$AB:$AB,'MASTER PLAN'!$J:$J,0,0)=0,"",XLOOKUP(CONCAT(FG16,FH16),'MASTER PLAN'!$AB:$AB,'MASTER PLAN'!$J:$J,0,0)),"")</f>
        <v>BOLSA ROGERS ENTERPRISES 10"X4"X7-75"</v>
      </c>
      <c r="FJ16" s="73">
        <f t="array" ref="FJ16">IFERROR(IF(XLOOKUP(CONCAT(FG16,FH16),'PROCESOS PRD'!$J:$J,'PROCESOS PRD'!$H:$H,0,0)=0,"",XLOOKUP(CONCAT(FG16,FH16),'PROCESOS PRD'!$J:$J,'PROCESOS PRD'!$H:$H,0,0)),"")</f>
        <v>36000</v>
      </c>
      <c r="FK16" s="71"/>
      <c r="FL16" s="32"/>
      <c r="FM16" s="72" t="str">
        <f t="array" ref="FM16">IFERROR(IF(XLOOKUP(CONCAT(FK16,FL16),'MASTER PLAN'!$AB:$AB,'MASTER PLAN'!$J:$J,0,0)=0,"",XLOOKUP(CONCAT(FK16,FL16),'MASTER PLAN'!$AB:$AB,'MASTER PLAN'!$J:$J,0,0)),"")</f>
        <v/>
      </c>
      <c r="FN16" s="73" t="str">
        <f t="array" ref="FN16">IFERROR(IF(XLOOKUP(CONCAT(FK16,FL16),'PROCESOS PRD'!$J:$J,'PROCESOS PRD'!$H:$H,0,0)=0,"",XLOOKUP(CONCAT(FK16,FL16),'PROCESOS PRD'!$J:$J,'PROCESOS PRD'!$H:$H,0,0)),"")</f>
        <v/>
      </c>
      <c r="FO16" s="70"/>
      <c r="FP16" s="71">
        <v>1.402049466E9</v>
      </c>
      <c r="FQ16" s="32">
        <v>10.0</v>
      </c>
      <c r="FR16" s="72" t="str">
        <f t="array" ref="FR16">IFERROR(IF(XLOOKUP(CONCAT(FP16,FQ16),'MASTER PLAN'!$AB:$AB,'MASTER PLAN'!$J:$J,0,0)=0,"",XLOOKUP(CONCAT(FP16,FQ16),'MASTER PLAN'!$AB:$AB,'MASTER PLAN'!$J:$J,0,0)),"")</f>
        <v>BOLSA ROGERS ENTERPRISES 10"X4"X7-75"</v>
      </c>
      <c r="FS16" s="73">
        <f t="array" ref="FS16">IFERROR(IF(XLOOKUP(CONCAT(FP16,FQ16),'PROCESOS PRD'!$J:$J,'PROCESOS PRD'!$H:$H,0,0)=0,"",XLOOKUP(CONCAT(FP16,FQ16),'PROCESOS PRD'!$J:$J,'PROCESOS PRD'!$H:$H,0,0)),"")</f>
        <v>36000</v>
      </c>
      <c r="FT16" s="71"/>
      <c r="FU16" s="32"/>
      <c r="FV16" s="72" t="str">
        <f t="array" ref="FV16">IFERROR(IF(XLOOKUP(CONCAT(FT16,FU16),'MASTER PLAN'!$AB:$AB,'MASTER PLAN'!$J:$J,0,0)=0,"",XLOOKUP(CONCAT(FT16,FU16),'MASTER PLAN'!$AB:$AB,'MASTER PLAN'!$J:$J,0,0)),"")</f>
        <v/>
      </c>
      <c r="FW16" s="73" t="str">
        <f t="array" ref="FW16">IFERROR(IF(XLOOKUP(CONCAT(FT16,FU16),'PROCESOS PRD'!$J:$J,'PROCESOS PRD'!$H:$H,0,0)=0,"",XLOOKUP(CONCAT(FT16,FU16),'PROCESOS PRD'!$J:$J,'PROCESOS PRD'!$H:$H,0,0)),"")</f>
        <v/>
      </c>
      <c r="FX16" s="71"/>
      <c r="FY16" s="32"/>
      <c r="FZ16" s="72" t="str">
        <f t="array" ref="FZ16">IFERROR(IF(XLOOKUP(CONCAT(FX16,FY16),'MASTER PLAN'!$AB:$AB,'MASTER PLAN'!$J:$J,0,0)=0,"",XLOOKUP(CONCAT(FX16,FY16),'MASTER PLAN'!$AB:$AB,'MASTER PLAN'!$J:$J,0,0)),"")</f>
        <v/>
      </c>
      <c r="GA16" s="73" t="str">
        <f t="array" ref="GA16">IFERROR(IF(XLOOKUP(CONCAT(FX16,FY16),'PROCESOS PRD'!$J:$J,'PROCESOS PRD'!$H:$H,0,0)=0,"",XLOOKUP(CONCAT(FX16,FY16),'PROCESOS PRD'!$J:$J,'PROCESOS PRD'!$H:$H,0,0)),"")</f>
        <v/>
      </c>
      <c r="GB16" s="71"/>
      <c r="GC16" s="32"/>
      <c r="GD16" s="72" t="str">
        <f t="array" ref="GD16">IFERROR(IF(XLOOKUP(CONCAT(GB16,GC16),'MASTER PLAN'!$AB:$AB,'MASTER PLAN'!$J:$J,0,0)=0,"",XLOOKUP(CONCAT(GB16,GC16),'MASTER PLAN'!$AB:$AB,'MASTER PLAN'!$J:$J,0,0)),"")</f>
        <v/>
      </c>
      <c r="GE16" s="73" t="str">
        <f t="array" ref="GE16">IFERROR(IF(XLOOKUP(CONCAT(GB16,GC16),'PROCESOS PRD'!$J:$J,'PROCESOS PRD'!$H:$H,0,0)=0,"",XLOOKUP(CONCAT(GB16,GC16),'PROCESOS PRD'!$J:$J,'PROCESOS PRD'!$H:$H,0,0)),"")</f>
        <v/>
      </c>
      <c r="GF16" s="71"/>
      <c r="GG16" s="32"/>
      <c r="GH16" s="72" t="str">
        <f t="array" ref="GH16">IFERROR(IF(XLOOKUP(CONCAT(GF16,GG16),'MASTER PLAN'!$AB:$AB,'MASTER PLAN'!$J:$J,0,0)=0,"",XLOOKUP(CONCAT(GF16,GG16),'MASTER PLAN'!$AB:$AB,'MASTER PLAN'!$J:$J,0,0)),"")</f>
        <v/>
      </c>
      <c r="GI16" s="73" t="str">
        <f t="array" ref="GI16">IFERROR(IF(XLOOKUP(CONCAT(GF16,GG16),'PROCESOS PRD'!$J:$J,'PROCESOS PRD'!$H:$H,0,0)=0,"",XLOOKUP(CONCAT(GF16,GG16),'PROCESOS PRD'!$J:$J,'PROCESOS PRD'!$H:$H,0,0)),"")</f>
        <v/>
      </c>
      <c r="GJ16" s="71"/>
      <c r="GK16" s="32"/>
      <c r="GL16" s="72" t="str">
        <f t="array" ref="GL16">IFERROR(IF(XLOOKUP(CONCAT(GJ16,GK16),'MASTER PLAN'!$AB:$AB,'MASTER PLAN'!$J:$J,0,0)=0,"",XLOOKUP(CONCAT(GJ16,GK16),'MASTER PLAN'!$AB:$AB,'MASTER PLAN'!$J:$J,0,0)),"")</f>
        <v/>
      </c>
      <c r="GM16" s="73" t="str">
        <f t="array" ref="GM16">IFERROR(IF(XLOOKUP(CONCAT(GJ16,GK16),'PROCESOS PRD'!$J:$J,'PROCESOS PRD'!$H:$H,0,0)=0,"",XLOOKUP(CONCAT(GJ16,GK16),'PROCESOS PRD'!$J:$J,'PROCESOS PRD'!$H:$H,0,0)),"")</f>
        <v/>
      </c>
      <c r="GN16" s="70"/>
      <c r="GO16" s="71"/>
      <c r="GP16" s="32"/>
      <c r="GQ16" s="72" t="str">
        <f t="array" ref="GQ16">IFERROR(IF(XLOOKUP(CONCAT(GO16,GP16),'MASTER PLAN'!$AB:$AB,'MASTER PLAN'!$J:$J,0,0)=0,"",XLOOKUP(CONCAT(GO16,GP16),'MASTER PLAN'!$AB:$AB,'MASTER PLAN'!$J:$J,0,0)),"")</f>
        <v/>
      </c>
      <c r="GR16" s="73" t="str">
        <f t="array" ref="GR16">IFERROR(IF(XLOOKUP(CONCAT(GO16,GP16),'PROCESOS PRD'!$J:$J,'PROCESOS PRD'!$H:$H,0,0)=0,"",XLOOKUP(CONCAT(GO16,GP16),'PROCESOS PRD'!$J:$J,'PROCESOS PRD'!$H:$H,0,0)),"")</f>
        <v/>
      </c>
      <c r="GS16" s="71"/>
      <c r="GT16" s="32"/>
      <c r="GU16" s="72" t="str">
        <f t="array" ref="GU16">IFERROR(IF(XLOOKUP(CONCAT(GS16,GT16),'MASTER PLAN'!$AB:$AB,'MASTER PLAN'!$J:$J,0,0)=0,"",XLOOKUP(CONCAT(GS16,GT16),'MASTER PLAN'!$AB:$AB,'MASTER PLAN'!$J:$J,0,0)),"")</f>
        <v/>
      </c>
      <c r="GV16" s="73" t="str">
        <f t="array" ref="GV16">IFERROR(IF(XLOOKUP(CONCAT(GS16,GT16),'PROCESOS PRD'!$J:$J,'PROCESOS PRD'!$H:$H,0,0)=0,"",XLOOKUP(CONCAT(GS16,GT16),'PROCESOS PRD'!$J:$J,'PROCESOS PRD'!$H:$H,0,0)),"")</f>
        <v/>
      </c>
      <c r="GW16" s="71"/>
      <c r="GX16" s="32"/>
      <c r="GY16" s="72" t="str">
        <f t="array" ref="GY16">IFERROR(IF(XLOOKUP(CONCAT(GW16,GX16),'MASTER PLAN'!$AB:$AB,'MASTER PLAN'!$J:$J,0,0)=0,"",XLOOKUP(CONCAT(GW16,GX16),'MASTER PLAN'!$AB:$AB,'MASTER PLAN'!$J:$J,0,0)),"")</f>
        <v/>
      </c>
      <c r="GZ16" s="73" t="str">
        <f t="array" ref="GZ16">IFERROR(IF(XLOOKUP(CONCAT(GW16,GX16),'PROCESOS PRD'!$J:$J,'PROCESOS PRD'!$H:$H,0,0)=0,"",XLOOKUP(CONCAT(GW16,GX16),'PROCESOS PRD'!$J:$J,'PROCESOS PRD'!$H:$H,0,0)),"")</f>
        <v/>
      </c>
      <c r="HA16" s="71"/>
      <c r="HB16" s="32"/>
      <c r="HC16" s="72" t="str">
        <f t="array" ref="HC16">IFERROR(IF(XLOOKUP(CONCAT(HA16,HB16),'MASTER PLAN'!$AB:$AB,'MASTER PLAN'!$J:$J,0,0)=0,"",XLOOKUP(CONCAT(HA16,HB16),'MASTER PLAN'!$AB:$AB,'MASTER PLAN'!$J:$J,0,0)),"")</f>
        <v/>
      </c>
      <c r="HD16" s="73" t="str">
        <f t="array" ref="HD16">IFERROR(IF(XLOOKUP(CONCAT(HA16,HB16),'PROCESOS PRD'!$J:$J,'PROCESOS PRD'!$H:$H,0,0)=0,"",XLOOKUP(CONCAT(HA16,HB16),'PROCESOS PRD'!$J:$J,'PROCESOS PRD'!$H:$H,0,0)),"")</f>
        <v/>
      </c>
      <c r="HE16" s="71"/>
      <c r="HF16" s="32"/>
      <c r="HG16" s="72" t="str">
        <f t="array" ref="HG16">IFERROR(IF(XLOOKUP(CONCAT(HE16,HF16),'MASTER PLAN'!$AB:$AB,'MASTER PLAN'!$J:$J,0,0)=0,"",XLOOKUP(CONCAT(HE16,HF16),'MASTER PLAN'!$AB:$AB,'MASTER PLAN'!$J:$J,0,0)),"")</f>
        <v/>
      </c>
      <c r="HH16" s="73" t="str">
        <f t="array" ref="HH16">IFERROR(IF(XLOOKUP(CONCAT(HE16,HF16),'PROCESOS PRD'!$J:$J,'PROCESOS PRD'!$H:$H,0,0)=0,"",XLOOKUP(CONCAT(HE16,HF16),'PROCESOS PRD'!$J:$J,'PROCESOS PRD'!$H:$H,0,0)),"")</f>
        <v/>
      </c>
      <c r="HI16" s="71"/>
      <c r="HJ16" s="32"/>
      <c r="HK16" s="72" t="str">
        <f t="array" ref="HK16">IFERROR(IF(XLOOKUP(CONCAT(HI16,HJ16),'MASTER PLAN'!$AB:$AB,'MASTER PLAN'!$J:$J,0,0)=0,"",XLOOKUP(CONCAT(HI16,HJ16),'MASTER PLAN'!$AB:$AB,'MASTER PLAN'!$J:$J,0,0)),"")</f>
        <v/>
      </c>
      <c r="HL16" s="73" t="str">
        <f t="array" ref="HL16">IFERROR(IF(XLOOKUP(CONCAT(HI16,HJ16),'PROCESOS PRD'!$J:$J,'PROCESOS PRD'!$H:$H,0,0)=0,"",XLOOKUP(CONCAT(HI16,HJ16),'PROCESOS PRD'!$J:$J,'PROCESOS PRD'!$H:$H,0,0)),"")</f>
        <v/>
      </c>
      <c r="HM16" s="70"/>
      <c r="HN16" s="71"/>
      <c r="HO16" s="32"/>
      <c r="HP16" s="72" t="str">
        <f t="array" ref="HP16">IFERROR(IF(XLOOKUP(CONCAT(HN16,HO16),'MASTER PLAN'!$AB:$AB,'MASTER PLAN'!$J:$J,0,0)=0,"",XLOOKUP(CONCAT(HN16,HO16),'MASTER PLAN'!$AB:$AB,'MASTER PLAN'!$J:$J,0,0)),"")</f>
        <v/>
      </c>
      <c r="HQ16" s="73" t="str">
        <f t="array" ref="HQ16">IFERROR(IF(XLOOKUP(CONCAT(HN16,HO16),'PROCESOS PRD'!$J:$J,'PROCESOS PRD'!$H:$H,0,0)=0,"",XLOOKUP(CONCAT(HN16,HO16),'PROCESOS PRD'!$J:$J,'PROCESOS PRD'!$H:$H,0,0)),"")</f>
        <v/>
      </c>
      <c r="HR16" s="71"/>
      <c r="HS16" s="32"/>
      <c r="HT16" s="72" t="str">
        <f t="array" ref="HT16">IFERROR(IF(XLOOKUP(CONCAT(HR16,HS16),'MASTER PLAN'!$AB:$AB,'MASTER PLAN'!$J:$J,0,0)=0,"",XLOOKUP(CONCAT(HR16,HS16),'MASTER PLAN'!$AB:$AB,'MASTER PLAN'!$J:$J,0,0)),"")</f>
        <v/>
      </c>
      <c r="HU16" s="73" t="str">
        <f t="array" ref="HU16">IFERROR(IF(XLOOKUP(CONCAT(HR16,HS16),'PROCESOS PRD'!$J:$J,'PROCESOS PRD'!$H:$H,0,0)=0,"",XLOOKUP(CONCAT(HR16,HS16),'PROCESOS PRD'!$J:$J,'PROCESOS PRD'!$H:$H,0,0)),"")</f>
        <v/>
      </c>
      <c r="HV16" s="71"/>
      <c r="HW16" s="32"/>
      <c r="HX16" s="72" t="str">
        <f t="array" ref="HX16">IFERROR(IF(XLOOKUP(CONCAT(HV16,HW16),'MASTER PLAN'!$AB:$AB,'MASTER PLAN'!$J:$J,0,0)=0,"",XLOOKUP(CONCAT(HV16,HW16),'MASTER PLAN'!$AB:$AB,'MASTER PLAN'!$J:$J,0,0)),"")</f>
        <v/>
      </c>
      <c r="HY16" s="73" t="str">
        <f t="array" ref="HY16">IFERROR(IF(XLOOKUP(CONCAT(HV16,HW16),'PROCESOS PRD'!$J:$J,'PROCESOS PRD'!$H:$H,0,0)=0,"",XLOOKUP(CONCAT(HV16,HW16),'PROCESOS PRD'!$J:$J,'PROCESOS PRD'!$H:$H,0,0)),"")</f>
        <v/>
      </c>
      <c r="HZ16" s="71"/>
      <c r="IA16" s="32"/>
      <c r="IB16" s="72" t="str">
        <f t="array" ref="IB16">IFERROR(IF(XLOOKUP(CONCAT(HZ16,IA16),'MASTER PLAN'!$AB:$AB,'MASTER PLAN'!$J:$J,0,0)=0,"",XLOOKUP(CONCAT(HZ16,IA16),'MASTER PLAN'!$AB:$AB,'MASTER PLAN'!$J:$J,0,0)),"")</f>
        <v/>
      </c>
      <c r="IC16" s="73" t="str">
        <f t="array" ref="IC16">IFERROR(IF(XLOOKUP(CONCAT(HZ16,IA16),'PROCESOS PRD'!$J:$J,'PROCESOS PRD'!$H:$H,0,0)=0,"",XLOOKUP(CONCAT(HZ16,IA16),'PROCESOS PRD'!$J:$J,'PROCESOS PRD'!$H:$H,0,0)),"")</f>
        <v/>
      </c>
      <c r="ID16" s="71"/>
      <c r="IE16" s="32"/>
      <c r="IF16" s="72" t="str">
        <f t="array" ref="IF16">IFERROR(IF(XLOOKUP(CONCAT(ID16,IE16),'MASTER PLAN'!$AB:$AB,'MASTER PLAN'!$J:$J,0,0)=0,"",XLOOKUP(CONCAT(ID16,IE16),'MASTER PLAN'!$AB:$AB,'MASTER PLAN'!$J:$J,0,0)),"")</f>
        <v/>
      </c>
      <c r="IG16" s="73" t="str">
        <f t="array" ref="IG16">IFERROR(IF(XLOOKUP(CONCAT(ID16,IE16),'PROCESOS PRD'!$J:$J,'PROCESOS PRD'!$H:$H,0,0)=0,"",XLOOKUP(CONCAT(ID16,IE16),'PROCESOS PRD'!$J:$J,'PROCESOS PRD'!$H:$H,0,0)),"")</f>
        <v/>
      </c>
      <c r="IH16" s="71"/>
      <c r="II16" s="32"/>
      <c r="IJ16" s="72" t="str">
        <f t="array" ref="IJ16">IFERROR(IF(XLOOKUP(CONCAT(IH16,II16),'MASTER PLAN'!$AB:$AB,'MASTER PLAN'!$J:$J,0,0)=0,"",XLOOKUP(CONCAT(IH16,II16),'MASTER PLAN'!$AB:$AB,'MASTER PLAN'!$J:$J,0,0)),"")</f>
        <v/>
      </c>
      <c r="IK16" s="73" t="str">
        <f t="array" ref="IK16">IFERROR(IF(XLOOKUP(CONCAT(IH16,II16),'PROCESOS PRD'!$J:$J,'PROCESOS PRD'!$H:$H,0,0)=0,"",XLOOKUP(CONCAT(IH16,II16),'PROCESOS PRD'!$J:$J,'PROCESOS PRD'!$H:$H,0,0)),"")</f>
        <v/>
      </c>
      <c r="IL16" s="70"/>
      <c r="IM16" s="71"/>
      <c r="IN16" s="32"/>
      <c r="IO16" s="72" t="str">
        <f t="array" ref="IO16">IFERROR(IF(XLOOKUP(CONCAT(IM16,IN16),'MASTER PLAN'!$AB:$AB,'MASTER PLAN'!$J:$J,0,0)=0,"",XLOOKUP(CONCAT(IM16,IN16),'MASTER PLAN'!$AB:$AB,'MASTER PLAN'!$J:$J,0,0)),"")</f>
        <v/>
      </c>
      <c r="IP16" s="73" t="str">
        <f t="array" ref="IP16">IFERROR(IF(XLOOKUP(CONCAT(IM16,IN16),'PROCESOS PRD'!$J:$J,'PROCESOS PRD'!$H:$H,0,0)=0,"",XLOOKUP(CONCAT(IM16,IN16),'PROCESOS PRD'!$J:$J,'PROCESOS PRD'!$H:$H,0,0)),"")</f>
        <v/>
      </c>
      <c r="IQ16" s="71"/>
      <c r="IR16" s="32"/>
      <c r="IS16" s="72" t="str">
        <f t="array" ref="IS16">IFERROR(IF(XLOOKUP(CONCAT(IQ16,IR16),'MASTER PLAN'!$AB:$AB,'MASTER PLAN'!$J:$J,0,0)=0,"",XLOOKUP(CONCAT(IQ16,IR16),'MASTER PLAN'!$AB:$AB,'MASTER PLAN'!$J:$J,0,0)),"")</f>
        <v/>
      </c>
      <c r="IT16" s="73" t="str">
        <f t="array" ref="IT16">IFERROR(IF(XLOOKUP(CONCAT(IQ16,IR16),'PROCESOS PRD'!$J:$J,'PROCESOS PRD'!$H:$H,0,0)=0,"",XLOOKUP(CONCAT(IQ16,IR16),'PROCESOS PRD'!$J:$J,'PROCESOS PRD'!$H:$H,0,0)),"")</f>
        <v/>
      </c>
      <c r="IU16" s="71"/>
      <c r="IV16" s="32"/>
      <c r="IW16" s="72" t="str">
        <f t="array" ref="IW16">IFERROR(IF(XLOOKUP(CONCAT(IU16,IV16),'MASTER PLAN'!$AB:$AB,'MASTER PLAN'!$J:$J,0,0)=0,"",XLOOKUP(CONCAT(IU16,IV16),'MASTER PLAN'!$AB:$AB,'MASTER PLAN'!$J:$J,0,0)),"")</f>
        <v/>
      </c>
      <c r="IX16" s="73" t="str">
        <f t="array" ref="IX16">IFERROR(IF(XLOOKUP(CONCAT(IU16,IV16),'PROCESOS PRD'!$J:$J,'PROCESOS PRD'!$H:$H,0,0)=0,"",XLOOKUP(CONCAT(IU16,IV16),'PROCESOS PRD'!$J:$J,'PROCESOS PRD'!$H:$H,0,0)),"")</f>
        <v/>
      </c>
      <c r="IY16" s="71"/>
      <c r="IZ16" s="32"/>
      <c r="JA16" s="72" t="str">
        <f t="array" ref="JA16">IFERROR(IF(XLOOKUP(CONCAT(IY16,IZ16),'MASTER PLAN'!$AB:$AB,'MASTER PLAN'!$J:$J,0,0)=0,"",XLOOKUP(CONCAT(IY16,IZ16),'MASTER PLAN'!$AB:$AB,'MASTER PLAN'!$J:$J,0,0)),"")</f>
        <v/>
      </c>
      <c r="JB16" s="73" t="str">
        <f t="array" ref="JB16">IFERROR(IF(XLOOKUP(CONCAT(IY16,IZ16),'PROCESOS PRD'!$J:$J,'PROCESOS PRD'!$H:$H,0,0)=0,"",XLOOKUP(CONCAT(IY16,IZ16),'PROCESOS PRD'!$J:$J,'PROCESOS PRD'!$H:$H,0,0)),"")</f>
        <v/>
      </c>
      <c r="JC16" s="71"/>
      <c r="JD16" s="32"/>
      <c r="JE16" s="72" t="str">
        <f t="array" ref="JE16">IFERROR(IF(XLOOKUP(CONCAT(JC16,JD16),'MASTER PLAN'!$AB:$AB,'MASTER PLAN'!$J:$J,0,0)=0,"",XLOOKUP(CONCAT(JC16,JD16),'MASTER PLAN'!$AB:$AB,'MASTER PLAN'!$J:$J,0,0)),"")</f>
        <v/>
      </c>
      <c r="JF16" s="73" t="str">
        <f t="array" ref="JF16">IFERROR(IF(XLOOKUP(CONCAT(JC16,JD16),'PROCESOS PRD'!$J:$J,'PROCESOS PRD'!$H:$H,0,0)=0,"",XLOOKUP(CONCAT(JC16,JD16),'PROCESOS PRD'!$J:$J,'PROCESOS PRD'!$H:$H,0,0)),"")</f>
        <v/>
      </c>
      <c r="JG16" s="71"/>
      <c r="JH16" s="32"/>
      <c r="JI16" s="72" t="str">
        <f t="array" ref="JI16">IFERROR(IF(XLOOKUP(CONCAT(JG16,JH16),'MASTER PLAN'!$AB:$AB,'MASTER PLAN'!$J:$J,0,0)=0,"",XLOOKUP(CONCAT(JG16,JH16),'MASTER PLAN'!$AB:$AB,'MASTER PLAN'!$J:$J,0,0)),"")</f>
        <v/>
      </c>
      <c r="JJ16" s="73" t="str">
        <f t="array" ref="JJ16">IFERROR(IF(XLOOKUP(CONCAT(JG16,JH16),'PROCESOS PRD'!$J:$J,'PROCESOS PRD'!$H:$H,0,0)=0,"",XLOOKUP(CONCAT(JG16,JH16),'PROCESOS PRD'!$J:$J,'PROCESOS PRD'!$H:$H,0,0)),"")</f>
        <v/>
      </c>
      <c r="JK16" s="70"/>
      <c r="JL16" s="71"/>
      <c r="JM16" s="32"/>
      <c r="JN16" s="72" t="str">
        <f t="array" ref="JN16">IFERROR(IF(XLOOKUP(CONCAT(JL16,JM16),'MASTER PLAN'!$AB:$AB,'MASTER PLAN'!$J:$J,0,0)=0,"",XLOOKUP(CONCAT(JL16,JM16),'MASTER PLAN'!$AB:$AB,'MASTER PLAN'!$J:$J,0,0)),"")</f>
        <v/>
      </c>
      <c r="JO16" s="73" t="str">
        <f t="array" ref="JO16">IFERROR(IF(XLOOKUP(CONCAT(JL16,JM16),'PROCESOS PRD'!$J:$J,'PROCESOS PRD'!$H:$H,0,0)=0,"",XLOOKUP(CONCAT(JL16,JM16),'PROCESOS PRD'!$J:$J,'PROCESOS PRD'!$H:$H,0,0)),"")</f>
        <v/>
      </c>
      <c r="JP16" s="71"/>
      <c r="JQ16" s="32"/>
      <c r="JR16" s="72" t="str">
        <f t="array" ref="JR16">IFERROR(IF(XLOOKUP(CONCAT(JP16,JQ16),'MASTER PLAN'!$AB:$AB,'MASTER PLAN'!$J:$J,0,0)=0,"",XLOOKUP(CONCAT(JP16,JQ16),'MASTER PLAN'!$AB:$AB,'MASTER PLAN'!$J:$J,0,0)),"")</f>
        <v/>
      </c>
      <c r="JS16" s="73" t="str">
        <f t="array" ref="JS16">IFERROR(IF(XLOOKUP(CONCAT(JP16,JQ16),'PROCESOS PRD'!$J:$J,'PROCESOS PRD'!$H:$H,0,0)=0,"",XLOOKUP(CONCAT(JP16,JQ16),'PROCESOS PRD'!$J:$J,'PROCESOS PRD'!$H:$H,0,0)),"")</f>
        <v/>
      </c>
      <c r="JT16" s="71"/>
      <c r="JU16" s="32"/>
      <c r="JV16" s="72" t="str">
        <f t="array" ref="JV16">IFERROR(IF(XLOOKUP(CONCAT(JT16,JU16),'MASTER PLAN'!$AB:$AB,'MASTER PLAN'!$J:$J,0,0)=0,"",XLOOKUP(CONCAT(JT16,JU16),'MASTER PLAN'!$AB:$AB,'MASTER PLAN'!$J:$J,0,0)),"")</f>
        <v/>
      </c>
      <c r="JW16" s="73" t="str">
        <f t="array" ref="JW16">IFERROR(IF(XLOOKUP(CONCAT(JT16,JU16),'PROCESOS PRD'!$J:$J,'PROCESOS PRD'!$H:$H,0,0)=0,"",XLOOKUP(CONCAT(JT16,JU16),'PROCESOS PRD'!$J:$J,'PROCESOS PRD'!$H:$H,0,0)),"")</f>
        <v/>
      </c>
      <c r="JX16" s="71"/>
      <c r="JY16" s="32"/>
      <c r="JZ16" s="72" t="str">
        <f t="array" ref="JZ16">IFERROR(IF(XLOOKUP(CONCAT(JX16,JY16),'MASTER PLAN'!$AB:$AB,'MASTER PLAN'!$J:$J,0,0)=0,"",XLOOKUP(CONCAT(JX16,JY16),'MASTER PLAN'!$AB:$AB,'MASTER PLAN'!$J:$J,0,0)),"")</f>
        <v/>
      </c>
      <c r="KA16" s="73" t="str">
        <f t="array" ref="KA16">IFERROR(IF(XLOOKUP(CONCAT(JX16,JY16),'PROCESOS PRD'!$J:$J,'PROCESOS PRD'!$H:$H,0,0)=0,"",XLOOKUP(CONCAT(JX16,JY16),'PROCESOS PRD'!$J:$J,'PROCESOS PRD'!$H:$H,0,0)),"")</f>
        <v/>
      </c>
      <c r="KB16" s="71"/>
      <c r="KC16" s="32"/>
      <c r="KD16" s="72" t="str">
        <f t="array" ref="KD16">IFERROR(IF(XLOOKUP(CONCAT(KB16,KC16),'MASTER PLAN'!$AB:$AB,'MASTER PLAN'!$J:$J,0,0)=0,"",XLOOKUP(CONCAT(KB16,KC16),'MASTER PLAN'!$AB:$AB,'MASTER PLAN'!$J:$J,0,0)),"")</f>
        <v/>
      </c>
      <c r="KE16" s="73" t="str">
        <f t="array" ref="KE16">IFERROR(IF(XLOOKUP(CONCAT(KB16,KC16),'PROCESOS PRD'!$J:$J,'PROCESOS PRD'!$H:$H,0,0)=0,"",XLOOKUP(CONCAT(KB16,KC16),'PROCESOS PRD'!$J:$J,'PROCESOS PRD'!$H:$H,0,0)),"")</f>
        <v/>
      </c>
      <c r="KF16" s="71"/>
      <c r="KG16" s="32"/>
      <c r="KH16" s="72" t="str">
        <f t="array" ref="KH16">IFERROR(IF(XLOOKUP(CONCAT(KF16,KG16),'MASTER PLAN'!$AB:$AB,'MASTER PLAN'!$J:$J,0,0)=0,"",XLOOKUP(CONCAT(KF16,KG16),'MASTER PLAN'!$AB:$AB,'MASTER PLAN'!$J:$J,0,0)),"")</f>
        <v/>
      </c>
      <c r="KI16" s="73" t="str">
        <f t="array" ref="KI16">IFERROR(IF(XLOOKUP(CONCAT(KF16,KG16),'PROCESOS PRD'!$J:$J,'PROCESOS PRD'!$H:$H,0,0)=0,"",XLOOKUP(CONCAT(KF16,KG16),'PROCESOS PRD'!$J:$J,'PROCESOS PRD'!$H:$H,0,0)),"")</f>
        <v/>
      </c>
      <c r="KJ16" s="70"/>
      <c r="KK16" s="70"/>
      <c r="KL16" s="70"/>
      <c r="KM16" s="70"/>
      <c r="KN16" s="70"/>
      <c r="KO16" s="70"/>
      <c r="KP16" s="70"/>
      <c r="KQ16" s="70"/>
      <c r="KR16" s="70"/>
      <c r="KS16" s="70"/>
      <c r="KT16" s="70"/>
      <c r="KU16" s="70"/>
      <c r="KV16" s="70"/>
      <c r="KW16" s="70"/>
      <c r="KX16" s="70"/>
      <c r="KY16" s="70"/>
      <c r="KZ16" s="70"/>
      <c r="LA16" s="70"/>
      <c r="LB16" s="70"/>
      <c r="LC16" s="70"/>
    </row>
    <row r="17">
      <c r="A17" s="42"/>
      <c r="B17" s="74"/>
      <c r="C17" s="69"/>
      <c r="D17" s="70"/>
      <c r="E17" s="71"/>
      <c r="F17" s="32"/>
      <c r="G17" s="72" t="str">
        <f t="array" ref="G17">IFERROR(IF(XLOOKUP(CONCAT(E17,F17),'MASTER PLAN'!$AB:$AB,'MASTER PLAN'!$J:$J,0,0)=0,"",XLOOKUP(CONCAT(E17,F17),'MASTER PLAN'!$AB:$AB,'MASTER PLAN'!$J:$J,0,0)),"")</f>
        <v/>
      </c>
      <c r="H17" s="73" t="str">
        <f t="array" ref="H17">IFERROR(IF(XLOOKUP(CONCAT(E17,F17),'PROCESOS PRD'!$J:$J,'PROCESOS PRD'!$H:$H,0,0)=0,"",XLOOKUP(CONCAT(E17,F17),'PROCESOS PRD'!$J:$J,'PROCESOS PRD'!$H:$H,0,0)),"")</f>
        <v/>
      </c>
      <c r="I17" s="71"/>
      <c r="J17" s="32"/>
      <c r="K17" s="72" t="str">
        <f t="array" ref="K17">IFERROR(IF(XLOOKUP(CONCAT(I17,J17),'MASTER PLAN'!$AB:$AB,'MASTER PLAN'!$J:$J,0,0)=0,"",XLOOKUP(CONCAT(I17,J17),'MASTER PLAN'!$AB:$AB,'MASTER PLAN'!$J:$J,0,0)),"")</f>
        <v/>
      </c>
      <c r="L17" s="73" t="str">
        <f t="array" ref="L17">IFERROR(IF(XLOOKUP(CONCAT(I17,J17),'PROCESOS PRD'!$J:$J,'PROCESOS PRD'!$H:$H,0,0)=0,"",XLOOKUP(CONCAT(I17,J17),'PROCESOS PRD'!$J:$J,'PROCESOS PRD'!$H:$H,0,0)),"")</f>
        <v/>
      </c>
      <c r="M17" s="71"/>
      <c r="N17" s="32"/>
      <c r="O17" s="72" t="str">
        <f t="array" ref="O17">IFERROR(IF(XLOOKUP(CONCAT(M17,N17),'MASTER PLAN'!$AB:$AB,'MASTER PLAN'!$J:$J,0,0)=0,"",XLOOKUP(CONCAT(M17,N17),'MASTER PLAN'!$AB:$AB,'MASTER PLAN'!$J:$J,0,0)),"")</f>
        <v/>
      </c>
      <c r="P17" s="73" t="str">
        <f t="array" ref="P17">IFERROR(IF(XLOOKUP(CONCAT(M17,N17),'PROCESOS PRD'!$J:$J,'PROCESOS PRD'!$H:$H,0,0)=0,"",XLOOKUP(CONCAT(M17,N17),'PROCESOS PRD'!$J:$J,'PROCESOS PRD'!$H:$H,0,0)),"")</f>
        <v/>
      </c>
      <c r="Q17" s="71"/>
      <c r="R17" s="32"/>
      <c r="S17" s="72" t="str">
        <f t="array" ref="S17">IFERROR(IF(XLOOKUP(CONCAT(Q17,R17),'MASTER PLAN'!$AB:$AB,'MASTER PLAN'!$J:$J,0,0)=0,"",XLOOKUP(CONCAT(Q17,R17),'MASTER PLAN'!$AB:$AB,'MASTER PLAN'!$J:$J,0,0)),"")</f>
        <v/>
      </c>
      <c r="T17" s="73" t="str">
        <f t="array" ref="T17">IFERROR(IF(XLOOKUP(CONCAT(Q17,R17),'PROCESOS PRD'!$J:$J,'PROCESOS PRD'!$H:$H,0,0)=0,"",XLOOKUP(CONCAT(Q17,R17),'PROCESOS PRD'!$J:$J,'PROCESOS PRD'!$H:$H,0,0)),"")</f>
        <v/>
      </c>
      <c r="U17" s="70"/>
      <c r="V17" s="71"/>
      <c r="W17" s="32"/>
      <c r="X17" s="72" t="str">
        <f t="array" ref="X17">IFERROR(IF(XLOOKUP(CONCAT(V17,W17),'MASTER PLAN'!$AB:$AB,'MASTER PLAN'!$J:$J,0,0)=0,"",XLOOKUP(CONCAT(V17,W17),'MASTER PLAN'!$AB:$AB,'MASTER PLAN'!$J:$J,0,0)),"")</f>
        <v/>
      </c>
      <c r="Y17" s="73" t="str">
        <f t="array" ref="Y17">IFERROR(IF(XLOOKUP(CONCAT(V17,W17),'PROCESOS PRD'!$J:$J,'PROCESOS PRD'!$H:$H,0,0)=0,"",XLOOKUP(CONCAT(V17,W17),'PROCESOS PRD'!$J:$J,'PROCESOS PRD'!$H:$H,0,0)),"")</f>
        <v/>
      </c>
      <c r="Z17" s="71"/>
      <c r="AA17" s="32"/>
      <c r="AB17" s="72" t="str">
        <f t="array" ref="AB17">IFERROR(IF(XLOOKUP(CONCAT(Z17,AA17),'MASTER PLAN'!$AB:$AB,'MASTER PLAN'!$J:$J,0,0)=0,"",XLOOKUP(CONCAT(Z17,AA17),'MASTER PLAN'!$AB:$AB,'MASTER PLAN'!$J:$J,0,0)),"")</f>
        <v/>
      </c>
      <c r="AC17" s="73" t="str">
        <f t="array" ref="AC17">IFERROR(IF(XLOOKUP(CONCAT(Z17,AA17),'PROCESOS PRD'!$J:$J,'PROCESOS PRD'!$H:$H,0,0)=0,"",XLOOKUP(CONCAT(Z17,AA17),'PROCESOS PRD'!$J:$J,'PROCESOS PRD'!$H:$H,0,0)),"")</f>
        <v/>
      </c>
      <c r="AD17" s="71"/>
      <c r="AE17" s="32"/>
      <c r="AF17" s="72" t="str">
        <f t="array" ref="AF17">IFERROR(IF(XLOOKUP(CONCAT(AD17,AE17),'MASTER PLAN'!$AB:$AB,'MASTER PLAN'!$J:$J,0,0)=0,"",XLOOKUP(CONCAT(AD17,AE17),'MASTER PLAN'!$AB:$AB,'MASTER PLAN'!$J:$J,0,0)),"")</f>
        <v/>
      </c>
      <c r="AG17" s="73" t="str">
        <f t="array" ref="AG17">IFERROR(IF(XLOOKUP(CONCAT(AD17,AE17),'PROCESOS PRD'!$J:$J,'PROCESOS PRD'!$H:$H,0,0)=0,"",XLOOKUP(CONCAT(AD17,AE17),'PROCESOS PRD'!$J:$J,'PROCESOS PRD'!$H:$H,0,0)),"")</f>
        <v/>
      </c>
      <c r="AH17" s="71"/>
      <c r="AI17" s="32"/>
      <c r="AJ17" s="72" t="str">
        <f t="array" ref="AJ17">IFERROR(IF(XLOOKUP(CONCAT(AH17,AI17),'MASTER PLAN'!$AB:$AB,'MASTER PLAN'!$J:$J,0,0)=0,"",XLOOKUP(CONCAT(AH17,AI17),'MASTER PLAN'!$AB:$AB,'MASTER PLAN'!$J:$J,0,0)),"")</f>
        <v/>
      </c>
      <c r="AK17" s="73" t="str">
        <f t="array" ref="AK17">IFERROR(IF(XLOOKUP(CONCAT(AH17,AI17),'PROCESOS PRD'!$J:$J,'PROCESOS PRD'!$H:$H,0,0)=0,"",XLOOKUP(CONCAT(AH17,AI17),'PROCESOS PRD'!$J:$J,'PROCESOS PRD'!$H:$H,0,0)),"")</f>
        <v/>
      </c>
      <c r="AL17" s="90"/>
      <c r="AM17" s="91"/>
      <c r="AN17" s="72" t="str">
        <f t="array" ref="AN17">IFERROR(IF(XLOOKUP(CONCAT(AL17,AM17),'MASTER PLAN'!$AB:$AB,'MASTER PLAN'!$J:$J,0,0)=0,"",XLOOKUP(CONCAT(AL17,AM17),'MASTER PLAN'!$AB:$AB,'MASTER PLAN'!$J:$J,0,0)),"")</f>
        <v/>
      </c>
      <c r="AO17" s="73" t="str">
        <f t="array" ref="AO17">IFERROR(IF(XLOOKUP(CONCAT(AL17,AM17),'PROCESOS PRD'!$J:$J,'PROCESOS PRD'!$H:$H,0,0)=0,"",XLOOKUP(CONCAT(AL17,AM17),'PROCESOS PRD'!$J:$J,'PROCESOS PRD'!$H:$H,0,0)),"")</f>
        <v/>
      </c>
      <c r="AP17" s="71">
        <v>1.402049349E9</v>
      </c>
      <c r="AQ17" s="32">
        <v>20.0</v>
      </c>
      <c r="AR17" s="72" t="str">
        <f t="array" ref="AR17">IFERROR(IF(XLOOKUP(CONCAT(AP17,AQ17),'MASTER PLAN'!$AB:$AB,'MASTER PLAN'!$J:$J,0,0)=0,"",XLOOKUP(CONCAT(AP17,AQ17),'MASTER PLAN'!$AB:$AB,'MASTER PLAN'!$J:$J,0,0)),"")</f>
        <v>BOLSA WSHN WOS 17"X7"X14" FA</v>
      </c>
      <c r="AS17" s="73">
        <f t="array" ref="AS17">IFERROR(IF(XLOOKUP(CONCAT(AP17,AQ17),'PROCESOS PRD'!$J:$J,'PROCESOS PRD'!$H:$H,0,0)=0,"",XLOOKUP(CONCAT(AP17,AQ17),'PROCESOS PRD'!$J:$J,'PROCESOS PRD'!$H:$H,0,0)),"")</f>
        <v>9600</v>
      </c>
      <c r="AT17" s="70"/>
      <c r="AU17" s="71">
        <v>1.402049349E9</v>
      </c>
      <c r="AV17" s="32">
        <v>20.0</v>
      </c>
      <c r="AW17" s="72" t="str">
        <f t="array" ref="AW17">IFERROR(IF(XLOOKUP(CONCAT(AU17,AV17),'MASTER PLAN'!$AB:$AB,'MASTER PLAN'!$J:$J,0,0)=0,"",XLOOKUP(CONCAT(AU17,AV17),'MASTER PLAN'!$AB:$AB,'MASTER PLAN'!$J:$J,0,0)),"")</f>
        <v>BOLSA WSHN WOS 17"X7"X14" FA</v>
      </c>
      <c r="AX17" s="73">
        <f t="array" ref="AX17">IFERROR(IF(XLOOKUP(CONCAT(AU17,AV17),'PROCESOS PRD'!$J:$J,'PROCESOS PRD'!$H:$H,0,0)=0,"",XLOOKUP(CONCAT(AU17,AV17),'PROCESOS PRD'!$J:$J,'PROCESOS PRD'!$H:$H,0,0)),"")</f>
        <v>9600</v>
      </c>
      <c r="AY17" s="90"/>
      <c r="AZ17" s="91"/>
      <c r="BA17" s="72" t="str">
        <f t="array" ref="BA17">IFERROR(IF(XLOOKUP(CONCAT(AY17,AZ17),'MASTER PLAN'!$AB:$AB,'MASTER PLAN'!$J:$J,0,0)=0,"",XLOOKUP(CONCAT(AY17,AZ17),'MASTER PLAN'!$AB:$AB,'MASTER PLAN'!$J:$J,0,0)),"")</f>
        <v/>
      </c>
      <c r="BB17" s="73" t="str">
        <f t="array" ref="BB17">IFERROR(IF(XLOOKUP(CONCAT(AY17,AZ17),'PROCESOS PRD'!$J:$J,'PROCESOS PRD'!$H:$H,0,0)=0,"",XLOOKUP(CONCAT(AY17,AZ17),'PROCESOS PRD'!$J:$J,'PROCESOS PRD'!$H:$H,0,0)),"")</f>
        <v/>
      </c>
      <c r="BC17" s="71"/>
      <c r="BD17" s="32"/>
      <c r="BE17" s="72" t="str">
        <f t="array" ref="BE17">IFERROR(IF(XLOOKUP(CONCAT(BC17,BD17),'MASTER PLAN'!$AB:$AB,'MASTER PLAN'!$J:$J,0,0)=0,"",XLOOKUP(CONCAT(BC17,BD17),'MASTER PLAN'!$AB:$AB,'MASTER PLAN'!$J:$J,0,0)),"")</f>
        <v/>
      </c>
      <c r="BF17" s="73" t="str">
        <f t="array" ref="BF17">IFERROR(IF(XLOOKUP(CONCAT(BC17,BD17),'PROCESOS PRD'!$J:$J,'PROCESOS PRD'!$H:$H,0,0)=0,"",XLOOKUP(CONCAT(BC17,BD17),'PROCESOS PRD'!$J:$J,'PROCESOS PRD'!$H:$H,0,0)),"")</f>
        <v/>
      </c>
      <c r="BG17" s="71">
        <v>1.402049444E9</v>
      </c>
      <c r="BH17" s="32">
        <v>10.0</v>
      </c>
      <c r="BI17" s="72" t="str">
        <f t="array" ref="BI17">IFERROR(IF(XLOOKUP(CONCAT(BG17,BH17),'MASTER PLAN'!$AB:$AB,'MASTER PLAN'!$J:$J,0,0)=0,"",XLOOKUP(CONCAT(BG17,BH17),'MASTER PLAN'!$AB:$AB,'MASTER PLAN'!$J:$J,0,0)),"")</f>
        <v>BOLSA AMERICUS DIAMOND 6-5X3-5X6-5</v>
      </c>
      <c r="BJ17" s="73">
        <f t="array" ref="BJ17">IFERROR(IF(XLOOKUP(CONCAT(BG17,BH17),'PROCESOS PRD'!$J:$J,'PROCESOS PRD'!$H:$H,0,0)=0,"",XLOOKUP(CONCAT(BG17,BH17),'PROCESOS PRD'!$J:$J,'PROCESOS PRD'!$H:$H,0,0)),"")</f>
        <v>3600</v>
      </c>
      <c r="BK17" s="71">
        <v>1.40204948E9</v>
      </c>
      <c r="BL17" s="32">
        <v>10.0</v>
      </c>
      <c r="BM17" s="72" t="str">
        <f t="array" ref="BM17">IFERROR(IF(XLOOKUP(CONCAT(BK17,BL17),'MASTER PLAN'!$AB:$AB,'MASTER PLAN'!$J:$J,0,0)=0,"",XLOOKUP(CONCAT(BK17,BL17),'MASTER PLAN'!$AB:$AB,'MASTER PLAN'!$J:$J,0,0)),"")</f>
        <v>BOLSA LEE BRANT  8"X4"X10"</v>
      </c>
      <c r="BN17" s="73">
        <f t="array" ref="BN17">IFERROR(IF(XLOOKUP(CONCAT(BK17,BL17),'PROCESOS PRD'!$J:$J,'PROCESOS PRD'!$H:$H,0,0)=0,"",XLOOKUP(CONCAT(BK17,BL17),'PROCESOS PRD'!$J:$J,'PROCESOS PRD'!$H:$H,0,0)),"")</f>
        <v>1200</v>
      </c>
      <c r="BO17" s="71"/>
      <c r="BP17" s="32"/>
      <c r="BQ17" s="72" t="str">
        <f t="array" ref="BQ17">IFERROR(IF(XLOOKUP(CONCAT(BO17,BP17),'MASTER PLAN'!$AB:$AB,'MASTER PLAN'!$J:$J,0,0)=0,"",XLOOKUP(CONCAT(BO17,BP17),'MASTER PLAN'!$AB:$AB,'MASTER PLAN'!$J:$J,0,0)),"")</f>
        <v/>
      </c>
      <c r="BR17" s="73" t="str">
        <f t="array" ref="BR17">IFERROR(IF(XLOOKUP(CONCAT(BO17,BP17),'PROCESOS PRD'!$J:$J,'PROCESOS PRD'!$H:$H,0,0)=0,"",XLOOKUP(CONCAT(BO17,BP17),'PROCESOS PRD'!$J:$J,'PROCESOS PRD'!$H:$H,0,0)),"")</f>
        <v/>
      </c>
      <c r="BS17" s="70"/>
      <c r="BT17" s="71"/>
      <c r="BU17" s="32"/>
      <c r="BV17" s="72" t="str">
        <f t="array" ref="BV17">IFERROR(IF(XLOOKUP(CONCAT(BT17,BU17),'MASTER PLAN'!$AB:$AB,'MASTER PLAN'!$J:$J,0,0)=0,"",XLOOKUP(CONCAT(BT17,BU17),'MASTER PLAN'!$AB:$AB,'MASTER PLAN'!$J:$J,0,0)),"")</f>
        <v/>
      </c>
      <c r="BW17" s="73" t="str">
        <f t="array" ref="BW17">IFERROR(IF(XLOOKUP(CONCAT(BT17,BU17),'PROCESOS PRD'!$J:$J,'PROCESOS PRD'!$H:$H,0,0)=0,"",XLOOKUP(CONCAT(BT17,BU17),'PROCESOS PRD'!$J:$J,'PROCESOS PRD'!$H:$H,0,0)),"")</f>
        <v/>
      </c>
      <c r="BX17" s="71"/>
      <c r="BY17" s="32"/>
      <c r="BZ17" s="72" t="str">
        <f t="array" ref="BZ17">IFERROR(IF(XLOOKUP(CONCAT(BX17,BY17),'MASTER PLAN'!$AB:$AB,'MASTER PLAN'!$J:$J,0,0)=0,"",XLOOKUP(CONCAT(BX17,BY17),'MASTER PLAN'!$AB:$AB,'MASTER PLAN'!$J:$J,0,0)),"")</f>
        <v/>
      </c>
      <c r="CA17" s="73" t="str">
        <f t="array" ref="CA17">IFERROR(IF(XLOOKUP(CONCAT(BX17,BY17),'PROCESOS PRD'!$J:$J,'PROCESOS PRD'!$H:$H,0,0)=0,"",XLOOKUP(CONCAT(BX17,BY17),'PROCESOS PRD'!$J:$J,'PROCESOS PRD'!$H:$H,0,0)),"")</f>
        <v/>
      </c>
      <c r="CB17" s="71"/>
      <c r="CC17" s="32"/>
      <c r="CD17" s="72" t="str">
        <f t="array" ref="CD17">IFERROR(IF(XLOOKUP(CONCAT(CB17,CC17),'MASTER PLAN'!$AB:$AB,'MASTER PLAN'!$J:$J,0,0)=0,"",XLOOKUP(CONCAT(CB17,CC17),'MASTER PLAN'!$AB:$AB,'MASTER PLAN'!$J:$J,0,0)),"")</f>
        <v/>
      </c>
      <c r="CE17" s="73" t="str">
        <f t="array" ref="CE17">IFERROR(IF(XLOOKUP(CONCAT(CB17,CC17),'PROCESOS PRD'!$J:$J,'PROCESOS PRD'!$H:$H,0,0)=0,"",XLOOKUP(CONCAT(CB17,CC17),'PROCESOS PRD'!$J:$J,'PROCESOS PRD'!$H:$H,0,0)),"")</f>
        <v/>
      </c>
      <c r="CF17" s="71">
        <v>1.402049507E9</v>
      </c>
      <c r="CG17" s="32">
        <v>10.0</v>
      </c>
      <c r="CH17" s="72" t="str">
        <f t="array" ref="CH17">IFERROR(IF(XLOOKUP(CONCAT(CF17,CG17),'MASTER PLAN'!$AB:$AB,'MASTER PLAN'!$J:$J,0,0)=0,"",XLOOKUP(CONCAT(CF17,CG17),'MASTER PLAN'!$AB:$AB,'MASTER PLAN'!$J:$J,0,0)),"")</f>
        <v>BOLSA NA HOKU 159X90X210MM</v>
      </c>
      <c r="CI17" s="73">
        <f t="array" ref="CI17">IFERROR(IF(XLOOKUP(CONCAT(CF17,CG17),'PROCESOS PRD'!$J:$J,'PROCESOS PRD'!$H:$H,0,0)=0,"",XLOOKUP(CONCAT(CF17,CG17),'PROCESOS PRD'!$J:$J,'PROCESOS PRD'!$H:$H,0,0)),"")</f>
        <v>12000</v>
      </c>
      <c r="CJ17" s="71">
        <v>1.402049507E9</v>
      </c>
      <c r="CK17" s="32">
        <v>20.0</v>
      </c>
      <c r="CL17" s="72" t="str">
        <f t="array" ref="CL17">IFERROR(IF(XLOOKUP(CONCAT(CJ17,CK17),'MASTER PLAN'!$AB:$AB,'MASTER PLAN'!$J:$J,0,0)=0,"",XLOOKUP(CONCAT(CJ17,CK17),'MASTER PLAN'!$AB:$AB,'MASTER PLAN'!$J:$J,0,0)),"")</f>
        <v>BOLSA PEARL FACTORY 159X90X210MM</v>
      </c>
      <c r="CM17" s="73">
        <f t="array" ref="CM17">IFERROR(IF(XLOOKUP(CONCAT(CJ17,CK17),'PROCESOS PRD'!$J:$J,'PROCESOS PRD'!$H:$H,0,0)=0,"",XLOOKUP(CONCAT(CJ17,CK17),'PROCESOS PRD'!$J:$J,'PROCESOS PRD'!$H:$H,0,0)),"")</f>
        <v>12000</v>
      </c>
      <c r="CN17" s="71"/>
      <c r="CO17" s="32"/>
      <c r="CP17" s="72" t="str">
        <f t="array" ref="CP17">IFERROR(IF(XLOOKUP(CONCAT(CN17,CO17),'MASTER PLAN'!$AB:$AB,'MASTER PLAN'!$J:$J,0,0)=0,"",XLOOKUP(CONCAT(CN17,CO17),'MASTER PLAN'!$AB:$AB,'MASTER PLAN'!$J:$J,0,0)),"")</f>
        <v/>
      </c>
      <c r="CQ17" s="73" t="str">
        <f t="array" ref="CQ17">IFERROR(IF(XLOOKUP(CONCAT(CN17,CO17),'PROCESOS PRD'!$J:$J,'PROCESOS PRD'!$H:$H,0,0)=0,"",XLOOKUP(CONCAT(CN17,CO17),'PROCESOS PRD'!$J:$J,'PROCESOS PRD'!$H:$H,0,0)),"")</f>
        <v/>
      </c>
      <c r="CR17" s="70"/>
      <c r="CS17" s="71">
        <v>1.402049521E9</v>
      </c>
      <c r="CT17" s="32">
        <v>10.0</v>
      </c>
      <c r="CU17" s="72" t="str">
        <f t="array" ref="CU17">IFERROR(IF(XLOOKUP(CONCAT(CS17,CT17),'MASTER PLAN'!$AB:$AB,'MASTER PLAN'!$J:$J,0,0)=0,"",XLOOKUP(CONCAT(CS17,CT17),'MASTER PLAN'!$AB:$AB,'MASTER PLAN'!$J:$J,0,0)),"")</f>
        <v>BOLSA THE GEM LAB 6-5X3-5X6-5</v>
      </c>
      <c r="CV17" s="73">
        <f t="array" ref="CV17">IFERROR(IF(XLOOKUP(CONCAT(CS17,CT17),'PROCESOS PRD'!$J:$J,'PROCESOS PRD'!$H:$H,0,0)=0,"",XLOOKUP(CONCAT(CS17,CT17),'PROCESOS PRD'!$J:$J,'PROCESOS PRD'!$H:$H,0,0)),"")</f>
        <v>3000</v>
      </c>
      <c r="CW17" s="71"/>
      <c r="CX17" s="32"/>
      <c r="CY17" s="72" t="str">
        <f t="array" ref="CY17">IFERROR(IF(XLOOKUP(CONCAT(CW17,CX17),'MASTER PLAN'!$AB:$AB,'MASTER PLAN'!$J:$J,0,0)=0,"",XLOOKUP(CONCAT(CW17,CX17),'MASTER PLAN'!$AB:$AB,'MASTER PLAN'!$J:$J,0,0)),"")</f>
        <v/>
      </c>
      <c r="CZ17" s="73" t="str">
        <f t="array" ref="CZ17">IFERROR(IF(XLOOKUP(CONCAT(CW17,CX17),'PROCESOS PRD'!$J:$J,'PROCESOS PRD'!$H:$H,0,0)=0,"",XLOOKUP(CONCAT(CW17,CX17),'PROCESOS PRD'!$J:$J,'PROCESOS PRD'!$H:$H,0,0)),"")</f>
        <v/>
      </c>
      <c r="DA17" s="71"/>
      <c r="DB17" s="32"/>
      <c r="DC17" s="72" t="str">
        <f t="array" ref="DC17">IFERROR(IF(XLOOKUP(CONCAT(DA17,DB17),'MASTER PLAN'!$AB:$AB,'MASTER PLAN'!$J:$J,0,0)=0,"",XLOOKUP(CONCAT(DA17,DB17),'MASTER PLAN'!$AB:$AB,'MASTER PLAN'!$J:$J,0,0)),"")</f>
        <v/>
      </c>
      <c r="DD17" s="73" t="str">
        <f t="array" ref="DD17">IFERROR(IF(XLOOKUP(CONCAT(DA17,DB17),'PROCESOS PRD'!$J:$J,'PROCESOS PRD'!$H:$H,0,0)=0,"",XLOOKUP(CONCAT(DA17,DB17),'PROCESOS PRD'!$J:$J,'PROCESOS PRD'!$H:$H,0,0)),"")</f>
        <v/>
      </c>
      <c r="DE17" s="71"/>
      <c r="DF17" s="32"/>
      <c r="DG17" s="72" t="str">
        <f t="array" ref="DG17">IFERROR(IF(XLOOKUP(CONCAT(DE17,DF17),'MASTER PLAN'!$AB:$AB,'MASTER PLAN'!$J:$J,0,0)=0,"",XLOOKUP(CONCAT(DE17,DF17),'MASTER PLAN'!$AB:$AB,'MASTER PLAN'!$J:$J,0,0)),"")</f>
        <v/>
      </c>
      <c r="DH17" s="73" t="str">
        <f t="array" ref="DH17">IFERROR(IF(XLOOKUP(CONCAT(DE17,DF17),'PROCESOS PRD'!$J:$J,'PROCESOS PRD'!$H:$H,0,0)=0,"",XLOOKUP(CONCAT(DE17,DF17),'PROCESOS PRD'!$J:$J,'PROCESOS PRD'!$H:$H,0,0)),"")</f>
        <v/>
      </c>
      <c r="DI17" s="71"/>
      <c r="DJ17" s="32"/>
      <c r="DK17" s="72" t="str">
        <f t="array" ref="DK17">IFERROR(IF(XLOOKUP(CONCAT(DI17,DJ17),'MASTER PLAN'!$AB:$AB,'MASTER PLAN'!$J:$J,0,0)=0,"",XLOOKUP(CONCAT(DI17,DJ17),'MASTER PLAN'!$AB:$AB,'MASTER PLAN'!$J:$J,0,0)),"")</f>
        <v/>
      </c>
      <c r="DL17" s="73" t="str">
        <f t="array" ref="DL17">IFERROR(IF(XLOOKUP(CONCAT(DI17,DJ17),'PROCESOS PRD'!$J:$J,'PROCESOS PRD'!$H:$H,0,0)=0,"",XLOOKUP(CONCAT(DI17,DJ17),'PROCESOS PRD'!$J:$J,'PROCESOS PRD'!$H:$H,0,0)),"")</f>
        <v/>
      </c>
      <c r="DM17" s="71"/>
      <c r="DN17" s="32"/>
      <c r="DO17" s="72" t="str">
        <f t="array" ref="DO17">IFERROR(IF(XLOOKUP(CONCAT(DM17,DN17),'MASTER PLAN'!$AB:$AB,'MASTER PLAN'!$J:$J,0,0)=0,"",XLOOKUP(CONCAT(DM17,DN17),'MASTER PLAN'!$AB:$AB,'MASTER PLAN'!$J:$J,0,0)),"")</f>
        <v/>
      </c>
      <c r="DP17" s="73" t="str">
        <f t="array" ref="DP17">IFERROR(IF(XLOOKUP(CONCAT(DM17,DN17),'PROCESOS PRD'!$J:$J,'PROCESOS PRD'!$H:$H,0,0)=0,"",XLOOKUP(CONCAT(DM17,DN17),'PROCESOS PRD'!$J:$J,'PROCESOS PRD'!$H:$H,0,0)),"")</f>
        <v/>
      </c>
      <c r="DQ17" s="70"/>
      <c r="DR17" s="71"/>
      <c r="DS17" s="32"/>
      <c r="DT17" s="72" t="str">
        <f t="array" ref="DT17">IFERROR(IF(XLOOKUP(CONCAT(DR17,DS17),'MASTER PLAN'!$AB:$AB,'MASTER PLAN'!$J:$J,0,0)=0,"",XLOOKUP(CONCAT(DR17,DS17),'MASTER PLAN'!$AB:$AB,'MASTER PLAN'!$J:$J,0,0)),"")</f>
        <v/>
      </c>
      <c r="DU17" s="73" t="str">
        <f t="array" ref="DU17">IFERROR(IF(XLOOKUP(CONCAT(DR17,DS17),'PROCESOS PRD'!$J:$J,'PROCESOS PRD'!$H:$H,0,0)=0,"",XLOOKUP(CONCAT(DR17,DS17),'PROCESOS PRD'!$J:$J,'PROCESOS PRD'!$H:$H,0,0)),"")</f>
        <v/>
      </c>
      <c r="DV17" s="71"/>
      <c r="DW17" s="32"/>
      <c r="DX17" s="72" t="str">
        <f t="array" ref="DX17">IFERROR(IF(XLOOKUP(CONCAT(DV17,DW17),'MASTER PLAN'!$AB:$AB,'MASTER PLAN'!$J:$J,0,0)=0,"",XLOOKUP(CONCAT(DV17,DW17),'MASTER PLAN'!$AB:$AB,'MASTER PLAN'!$J:$J,0,0)),"")</f>
        <v/>
      </c>
      <c r="DY17" s="73" t="str">
        <f t="array" ref="DY17">IFERROR(IF(XLOOKUP(CONCAT(DV17,DW17),'PROCESOS PRD'!$J:$J,'PROCESOS PRD'!$H:$H,0,0)=0,"",XLOOKUP(CONCAT(DV17,DW17),'PROCESOS PRD'!$J:$J,'PROCESOS PRD'!$H:$H,0,0)),"")</f>
        <v/>
      </c>
      <c r="DZ17" s="71"/>
      <c r="EA17" s="32"/>
      <c r="EB17" s="72" t="str">
        <f t="array" ref="EB17">IFERROR(IF(XLOOKUP(CONCAT(DZ17,EA17),'MASTER PLAN'!$AB:$AB,'MASTER PLAN'!$J:$J,0,0)=0,"",XLOOKUP(CONCAT(DZ17,EA17),'MASTER PLAN'!$AB:$AB,'MASTER PLAN'!$J:$J,0,0)),"")</f>
        <v/>
      </c>
      <c r="EC17" s="73" t="str">
        <f t="array" ref="EC17">IFERROR(IF(XLOOKUP(CONCAT(DZ17,EA17),'PROCESOS PRD'!$J:$J,'PROCESOS PRD'!$H:$H,0,0)=0,"",XLOOKUP(CONCAT(DZ17,EA17),'PROCESOS PRD'!$J:$J,'PROCESOS PRD'!$H:$H,0,0)),"")</f>
        <v/>
      </c>
      <c r="ED17" s="71"/>
      <c r="EE17" s="32"/>
      <c r="EF17" s="72" t="str">
        <f t="array" ref="EF17">IFERROR(IF(XLOOKUP(CONCAT(ED17,EE17),'MASTER PLAN'!$AB:$AB,'MASTER PLAN'!$J:$J,0,0)=0,"",XLOOKUP(CONCAT(ED17,EE17),'MASTER PLAN'!$AB:$AB,'MASTER PLAN'!$J:$J,0,0)),"")</f>
        <v/>
      </c>
      <c r="EG17" s="73" t="str">
        <f t="array" ref="EG17">IFERROR(IF(XLOOKUP(CONCAT(ED17,EE17),'PROCESOS PRD'!$J:$J,'PROCESOS PRD'!$H:$H,0,0)=0,"",XLOOKUP(CONCAT(ED17,EE17),'PROCESOS PRD'!$J:$J,'PROCESOS PRD'!$H:$H,0,0)),"")</f>
        <v/>
      </c>
      <c r="EH17" s="71"/>
      <c r="EI17" s="32"/>
      <c r="EJ17" s="72" t="str">
        <f t="array" ref="EJ17">IFERROR(IF(XLOOKUP(CONCAT(EH17,EI17),'MASTER PLAN'!$AB:$AB,'MASTER PLAN'!$J:$J,0,0)=0,"",XLOOKUP(CONCAT(EH17,EI17),'MASTER PLAN'!$AB:$AB,'MASTER PLAN'!$J:$J,0,0)),"")</f>
        <v/>
      </c>
      <c r="EK17" s="73" t="str">
        <f t="array" ref="EK17">IFERROR(IF(XLOOKUP(CONCAT(EH17,EI17),'PROCESOS PRD'!$J:$J,'PROCESOS PRD'!$H:$H,0,0)=0,"",XLOOKUP(CONCAT(EH17,EI17),'PROCESOS PRD'!$J:$J,'PROCESOS PRD'!$H:$H,0,0)),"")</f>
        <v/>
      </c>
      <c r="EL17" s="71"/>
      <c r="EM17" s="32"/>
      <c r="EN17" s="72" t="str">
        <f t="array" ref="EN17">IFERROR(IF(XLOOKUP(CONCAT(EL17,EM17),'MASTER PLAN'!$AB:$AB,'MASTER PLAN'!$J:$J,0,0)=0,"",XLOOKUP(CONCAT(EL17,EM17),'MASTER PLAN'!$AB:$AB,'MASTER PLAN'!$J:$J,0,0)),"")</f>
        <v/>
      </c>
      <c r="EO17" s="73" t="str">
        <f t="array" ref="EO17">IFERROR(IF(XLOOKUP(CONCAT(EL17,EM17),'PROCESOS PRD'!$J:$J,'PROCESOS PRD'!$H:$H,0,0)=0,"",XLOOKUP(CONCAT(EL17,EM17),'PROCESOS PRD'!$J:$J,'PROCESOS PRD'!$H:$H,0,0)),"")</f>
        <v/>
      </c>
      <c r="EP17" s="70"/>
      <c r="EQ17" s="71"/>
      <c r="ER17" s="32"/>
      <c r="ES17" s="72" t="str">
        <f t="array" ref="ES17">IFERROR(IF(XLOOKUP(CONCAT(EQ17,ER17),'MASTER PLAN'!$AB:$AB,'MASTER PLAN'!$J:$J,0,0)=0,"",XLOOKUP(CONCAT(EQ17,ER17),'MASTER PLAN'!$AB:$AB,'MASTER PLAN'!$J:$J,0,0)),"")</f>
        <v/>
      </c>
      <c r="ET17" s="73" t="str">
        <f t="array" ref="ET17">IFERROR(IF(XLOOKUP(CONCAT(EQ17,ER17),'PROCESOS PRD'!$J:$J,'PROCESOS PRD'!$H:$H,0,0)=0,"",XLOOKUP(CONCAT(EQ17,ER17),'PROCESOS PRD'!$J:$J,'PROCESOS PRD'!$H:$H,0,0)),"")</f>
        <v/>
      </c>
      <c r="EU17" s="71"/>
      <c r="EV17" s="32"/>
      <c r="EW17" s="72" t="str">
        <f t="array" ref="EW17">IFERROR(IF(XLOOKUP(CONCAT(EU17,EV17),'MASTER PLAN'!$AB:$AB,'MASTER PLAN'!$J:$J,0,0)=0,"",XLOOKUP(CONCAT(EU17,EV17),'MASTER PLAN'!$AB:$AB,'MASTER PLAN'!$J:$J,0,0)),"")</f>
        <v/>
      </c>
      <c r="EX17" s="73" t="str">
        <f t="array" ref="EX17">IFERROR(IF(XLOOKUP(CONCAT(EU17,EV17),'PROCESOS PRD'!$J:$J,'PROCESOS PRD'!$H:$H,0,0)=0,"",XLOOKUP(CONCAT(EU17,EV17),'PROCESOS PRD'!$J:$J,'PROCESOS PRD'!$H:$H,0,0)),"")</f>
        <v/>
      </c>
      <c r="EY17" s="71"/>
      <c r="EZ17" s="32"/>
      <c r="FA17" s="72" t="str">
        <f t="array" ref="FA17">IFERROR(IF(XLOOKUP(CONCAT(EY17,EZ17),'MASTER PLAN'!$AB:$AB,'MASTER PLAN'!$J:$J,0,0)=0,"",XLOOKUP(CONCAT(EY17,EZ17),'MASTER PLAN'!$AB:$AB,'MASTER PLAN'!$J:$J,0,0)),"")</f>
        <v/>
      </c>
      <c r="FB17" s="73" t="str">
        <f t="array" ref="FB17">IFERROR(IF(XLOOKUP(CONCAT(EY17,EZ17),'PROCESOS PRD'!$J:$J,'PROCESOS PRD'!$H:$H,0,0)=0,"",XLOOKUP(CONCAT(EY17,EZ17),'PROCESOS PRD'!$J:$J,'PROCESOS PRD'!$H:$H,0,0)),"")</f>
        <v/>
      </c>
      <c r="FC17" s="71"/>
      <c r="FD17" s="32"/>
      <c r="FE17" s="72" t="str">
        <f t="array" ref="FE17">IFERROR(IF(XLOOKUP(CONCAT(FC17,FD17),'MASTER PLAN'!$AB:$AB,'MASTER PLAN'!$J:$J,0,0)=0,"",XLOOKUP(CONCAT(FC17,FD17),'MASTER PLAN'!$AB:$AB,'MASTER PLAN'!$J:$J,0,0)),"")</f>
        <v/>
      </c>
      <c r="FF17" s="73" t="str">
        <f t="array" ref="FF17">IFERROR(IF(XLOOKUP(CONCAT(FC17,FD17),'PROCESOS PRD'!$J:$J,'PROCESOS PRD'!$H:$H,0,0)=0,"",XLOOKUP(CONCAT(FC17,FD17),'PROCESOS PRD'!$J:$J,'PROCESOS PRD'!$H:$H,0,0)),"")</f>
        <v/>
      </c>
      <c r="FG17" s="71"/>
      <c r="FH17" s="32"/>
      <c r="FI17" s="72" t="str">
        <f t="array" ref="FI17">IFERROR(IF(XLOOKUP(CONCAT(FG17,FH17),'MASTER PLAN'!$AB:$AB,'MASTER PLAN'!$J:$J,0,0)=0,"",XLOOKUP(CONCAT(FG17,FH17),'MASTER PLAN'!$AB:$AB,'MASTER PLAN'!$J:$J,0,0)),"")</f>
        <v/>
      </c>
      <c r="FJ17" s="73" t="str">
        <f t="array" ref="FJ17">IFERROR(IF(XLOOKUP(CONCAT(FG17,FH17),'PROCESOS PRD'!$J:$J,'PROCESOS PRD'!$H:$H,0,0)=0,"",XLOOKUP(CONCAT(FG17,FH17),'PROCESOS PRD'!$J:$J,'PROCESOS PRD'!$H:$H,0,0)),"")</f>
        <v/>
      </c>
      <c r="FK17" s="71"/>
      <c r="FL17" s="32"/>
      <c r="FM17" s="72" t="str">
        <f t="array" ref="FM17">IFERROR(IF(XLOOKUP(CONCAT(FK17,FL17),'MASTER PLAN'!$AB:$AB,'MASTER PLAN'!$J:$J,0,0)=0,"",XLOOKUP(CONCAT(FK17,FL17),'MASTER PLAN'!$AB:$AB,'MASTER PLAN'!$J:$J,0,0)),"")</f>
        <v/>
      </c>
      <c r="FN17" s="73" t="str">
        <f t="array" ref="FN17">IFERROR(IF(XLOOKUP(CONCAT(FK17,FL17),'PROCESOS PRD'!$J:$J,'PROCESOS PRD'!$H:$H,0,0)=0,"",XLOOKUP(CONCAT(FK17,FL17),'PROCESOS PRD'!$J:$J,'PROCESOS PRD'!$H:$H,0,0)),"")</f>
        <v/>
      </c>
      <c r="FO17" s="70"/>
      <c r="FP17" s="71"/>
      <c r="FQ17" s="32"/>
      <c r="FR17" s="72" t="str">
        <f t="array" ref="FR17">IFERROR(IF(XLOOKUP(CONCAT(FP17,FQ17),'MASTER PLAN'!$AB:$AB,'MASTER PLAN'!$J:$J,0,0)=0,"",XLOOKUP(CONCAT(FP17,FQ17),'MASTER PLAN'!$AB:$AB,'MASTER PLAN'!$J:$J,0,0)),"")</f>
        <v/>
      </c>
      <c r="FS17" s="73" t="str">
        <f t="array" ref="FS17">IFERROR(IF(XLOOKUP(CONCAT(FP17,FQ17),'PROCESOS PRD'!$J:$J,'PROCESOS PRD'!$H:$H,0,0)=0,"",XLOOKUP(CONCAT(FP17,FQ17),'PROCESOS PRD'!$J:$J,'PROCESOS PRD'!$H:$H,0,0)),"")</f>
        <v/>
      </c>
      <c r="FT17" s="71"/>
      <c r="FU17" s="32"/>
      <c r="FV17" s="72" t="str">
        <f t="array" ref="FV17">IFERROR(IF(XLOOKUP(CONCAT(FT17,FU17),'MASTER PLAN'!$AB:$AB,'MASTER PLAN'!$J:$J,0,0)=0,"",XLOOKUP(CONCAT(FT17,FU17),'MASTER PLAN'!$AB:$AB,'MASTER PLAN'!$J:$J,0,0)),"")</f>
        <v/>
      </c>
      <c r="FW17" s="73" t="str">
        <f t="array" ref="FW17">IFERROR(IF(XLOOKUP(CONCAT(FT17,FU17),'PROCESOS PRD'!$J:$J,'PROCESOS PRD'!$H:$H,0,0)=0,"",XLOOKUP(CONCAT(FT17,FU17),'PROCESOS PRD'!$J:$J,'PROCESOS PRD'!$H:$H,0,0)),"")</f>
        <v/>
      </c>
      <c r="FX17" s="71"/>
      <c r="FY17" s="32"/>
      <c r="FZ17" s="72" t="str">
        <f t="array" ref="FZ17">IFERROR(IF(XLOOKUP(CONCAT(FX17,FY17),'MASTER PLAN'!$AB:$AB,'MASTER PLAN'!$J:$J,0,0)=0,"",XLOOKUP(CONCAT(FX17,FY17),'MASTER PLAN'!$AB:$AB,'MASTER PLAN'!$J:$J,0,0)),"")</f>
        <v/>
      </c>
      <c r="GA17" s="73" t="str">
        <f t="array" ref="GA17">IFERROR(IF(XLOOKUP(CONCAT(FX17,FY17),'PROCESOS PRD'!$J:$J,'PROCESOS PRD'!$H:$H,0,0)=0,"",XLOOKUP(CONCAT(FX17,FY17),'PROCESOS PRD'!$J:$J,'PROCESOS PRD'!$H:$H,0,0)),"")</f>
        <v/>
      </c>
      <c r="GB17" s="71"/>
      <c r="GC17" s="32"/>
      <c r="GD17" s="72" t="str">
        <f t="array" ref="GD17">IFERROR(IF(XLOOKUP(CONCAT(GB17,GC17),'MASTER PLAN'!$AB:$AB,'MASTER PLAN'!$J:$J,0,0)=0,"",XLOOKUP(CONCAT(GB17,GC17),'MASTER PLAN'!$AB:$AB,'MASTER PLAN'!$J:$J,0,0)),"")</f>
        <v/>
      </c>
      <c r="GE17" s="73" t="str">
        <f t="array" ref="GE17">IFERROR(IF(XLOOKUP(CONCAT(GB17,GC17),'PROCESOS PRD'!$J:$J,'PROCESOS PRD'!$H:$H,0,0)=0,"",XLOOKUP(CONCAT(GB17,GC17),'PROCESOS PRD'!$J:$J,'PROCESOS PRD'!$H:$H,0,0)),"")</f>
        <v/>
      </c>
      <c r="GF17" s="71"/>
      <c r="GG17" s="32"/>
      <c r="GH17" s="72" t="str">
        <f t="array" ref="GH17">IFERROR(IF(XLOOKUP(CONCAT(GF17,GG17),'MASTER PLAN'!$AB:$AB,'MASTER PLAN'!$J:$J,0,0)=0,"",XLOOKUP(CONCAT(GF17,GG17),'MASTER PLAN'!$AB:$AB,'MASTER PLAN'!$J:$J,0,0)),"")</f>
        <v/>
      </c>
      <c r="GI17" s="73" t="str">
        <f t="array" ref="GI17">IFERROR(IF(XLOOKUP(CONCAT(GF17,GG17),'PROCESOS PRD'!$J:$J,'PROCESOS PRD'!$H:$H,0,0)=0,"",XLOOKUP(CONCAT(GF17,GG17),'PROCESOS PRD'!$J:$J,'PROCESOS PRD'!$H:$H,0,0)),"")</f>
        <v/>
      </c>
      <c r="GJ17" s="71"/>
      <c r="GK17" s="32"/>
      <c r="GL17" s="72" t="str">
        <f t="array" ref="GL17">IFERROR(IF(XLOOKUP(CONCAT(GJ17,GK17),'MASTER PLAN'!$AB:$AB,'MASTER PLAN'!$J:$J,0,0)=0,"",XLOOKUP(CONCAT(GJ17,GK17),'MASTER PLAN'!$AB:$AB,'MASTER PLAN'!$J:$J,0,0)),"")</f>
        <v/>
      </c>
      <c r="GM17" s="73" t="str">
        <f t="array" ref="GM17">IFERROR(IF(XLOOKUP(CONCAT(GJ17,GK17),'PROCESOS PRD'!$J:$J,'PROCESOS PRD'!$H:$H,0,0)=0,"",XLOOKUP(CONCAT(GJ17,GK17),'PROCESOS PRD'!$J:$J,'PROCESOS PRD'!$H:$H,0,0)),"")</f>
        <v/>
      </c>
      <c r="GN17" s="70"/>
      <c r="GO17" s="71"/>
      <c r="GP17" s="32"/>
      <c r="GQ17" s="72" t="str">
        <f t="array" ref="GQ17">IFERROR(IF(XLOOKUP(CONCAT(GO17,GP17),'MASTER PLAN'!$AB:$AB,'MASTER PLAN'!$J:$J,0,0)=0,"",XLOOKUP(CONCAT(GO17,GP17),'MASTER PLAN'!$AB:$AB,'MASTER PLAN'!$J:$J,0,0)),"")</f>
        <v/>
      </c>
      <c r="GR17" s="73" t="str">
        <f t="array" ref="GR17">IFERROR(IF(XLOOKUP(CONCAT(GO17,GP17),'PROCESOS PRD'!$J:$J,'PROCESOS PRD'!$H:$H,0,0)=0,"",XLOOKUP(CONCAT(GO17,GP17),'PROCESOS PRD'!$J:$J,'PROCESOS PRD'!$H:$H,0,0)),"")</f>
        <v/>
      </c>
      <c r="GS17" s="71"/>
      <c r="GT17" s="32"/>
      <c r="GU17" s="72" t="str">
        <f t="array" ref="GU17">IFERROR(IF(XLOOKUP(CONCAT(GS17,GT17),'MASTER PLAN'!$AB:$AB,'MASTER PLAN'!$J:$J,0,0)=0,"",XLOOKUP(CONCAT(GS17,GT17),'MASTER PLAN'!$AB:$AB,'MASTER PLAN'!$J:$J,0,0)),"")</f>
        <v/>
      </c>
      <c r="GV17" s="73" t="str">
        <f t="array" ref="GV17">IFERROR(IF(XLOOKUP(CONCAT(GS17,GT17),'PROCESOS PRD'!$J:$J,'PROCESOS PRD'!$H:$H,0,0)=0,"",XLOOKUP(CONCAT(GS17,GT17),'PROCESOS PRD'!$J:$J,'PROCESOS PRD'!$H:$H,0,0)),"")</f>
        <v/>
      </c>
      <c r="GW17" s="71"/>
      <c r="GX17" s="32"/>
      <c r="GY17" s="72" t="str">
        <f t="array" ref="GY17">IFERROR(IF(XLOOKUP(CONCAT(GW17,GX17),'MASTER PLAN'!$AB:$AB,'MASTER PLAN'!$J:$J,0,0)=0,"",XLOOKUP(CONCAT(GW17,GX17),'MASTER PLAN'!$AB:$AB,'MASTER PLAN'!$J:$J,0,0)),"")</f>
        <v/>
      </c>
      <c r="GZ17" s="73" t="str">
        <f t="array" ref="GZ17">IFERROR(IF(XLOOKUP(CONCAT(GW17,GX17),'PROCESOS PRD'!$J:$J,'PROCESOS PRD'!$H:$H,0,0)=0,"",XLOOKUP(CONCAT(GW17,GX17),'PROCESOS PRD'!$J:$J,'PROCESOS PRD'!$H:$H,0,0)),"")</f>
        <v/>
      </c>
      <c r="HA17" s="71"/>
      <c r="HB17" s="32"/>
      <c r="HC17" s="72" t="str">
        <f t="array" ref="HC17">IFERROR(IF(XLOOKUP(CONCAT(HA17,HB17),'MASTER PLAN'!$AB:$AB,'MASTER PLAN'!$J:$J,0,0)=0,"",XLOOKUP(CONCAT(HA17,HB17),'MASTER PLAN'!$AB:$AB,'MASTER PLAN'!$J:$J,0,0)),"")</f>
        <v/>
      </c>
      <c r="HD17" s="73" t="str">
        <f t="array" ref="HD17">IFERROR(IF(XLOOKUP(CONCAT(HA17,HB17),'PROCESOS PRD'!$J:$J,'PROCESOS PRD'!$H:$H,0,0)=0,"",XLOOKUP(CONCAT(HA17,HB17),'PROCESOS PRD'!$J:$J,'PROCESOS PRD'!$H:$H,0,0)),"")</f>
        <v/>
      </c>
      <c r="HE17" s="71"/>
      <c r="HF17" s="32"/>
      <c r="HG17" s="72" t="str">
        <f t="array" ref="HG17">IFERROR(IF(XLOOKUP(CONCAT(HE17,HF17),'MASTER PLAN'!$AB:$AB,'MASTER PLAN'!$J:$J,0,0)=0,"",XLOOKUP(CONCAT(HE17,HF17),'MASTER PLAN'!$AB:$AB,'MASTER PLAN'!$J:$J,0,0)),"")</f>
        <v/>
      </c>
      <c r="HH17" s="73" t="str">
        <f t="array" ref="HH17">IFERROR(IF(XLOOKUP(CONCAT(HE17,HF17),'PROCESOS PRD'!$J:$J,'PROCESOS PRD'!$H:$H,0,0)=0,"",XLOOKUP(CONCAT(HE17,HF17),'PROCESOS PRD'!$J:$J,'PROCESOS PRD'!$H:$H,0,0)),"")</f>
        <v/>
      </c>
      <c r="HI17" s="71"/>
      <c r="HJ17" s="32"/>
      <c r="HK17" s="72" t="str">
        <f t="array" ref="HK17">IFERROR(IF(XLOOKUP(CONCAT(HI17,HJ17),'MASTER PLAN'!$AB:$AB,'MASTER PLAN'!$J:$J,0,0)=0,"",XLOOKUP(CONCAT(HI17,HJ17),'MASTER PLAN'!$AB:$AB,'MASTER PLAN'!$J:$J,0,0)),"")</f>
        <v/>
      </c>
      <c r="HL17" s="73" t="str">
        <f t="array" ref="HL17">IFERROR(IF(XLOOKUP(CONCAT(HI17,HJ17),'PROCESOS PRD'!$J:$J,'PROCESOS PRD'!$H:$H,0,0)=0,"",XLOOKUP(CONCAT(HI17,HJ17),'PROCESOS PRD'!$J:$J,'PROCESOS PRD'!$H:$H,0,0)),"")</f>
        <v/>
      </c>
      <c r="HM17" s="70"/>
      <c r="HN17" s="71"/>
      <c r="HO17" s="32"/>
      <c r="HP17" s="72" t="str">
        <f t="array" ref="HP17">IFERROR(IF(XLOOKUP(CONCAT(HN17,HO17),'MASTER PLAN'!$AB:$AB,'MASTER PLAN'!$J:$J,0,0)=0,"",XLOOKUP(CONCAT(HN17,HO17),'MASTER PLAN'!$AB:$AB,'MASTER PLAN'!$J:$J,0,0)),"")</f>
        <v/>
      </c>
      <c r="HQ17" s="73" t="str">
        <f t="array" ref="HQ17">IFERROR(IF(XLOOKUP(CONCAT(HN17,HO17),'PROCESOS PRD'!$J:$J,'PROCESOS PRD'!$H:$H,0,0)=0,"",XLOOKUP(CONCAT(HN17,HO17),'PROCESOS PRD'!$J:$J,'PROCESOS PRD'!$H:$H,0,0)),"")</f>
        <v/>
      </c>
      <c r="HR17" s="71"/>
      <c r="HS17" s="32"/>
      <c r="HT17" s="72" t="str">
        <f t="array" ref="HT17">IFERROR(IF(XLOOKUP(CONCAT(HR17,HS17),'MASTER PLAN'!$AB:$AB,'MASTER PLAN'!$J:$J,0,0)=0,"",XLOOKUP(CONCAT(HR17,HS17),'MASTER PLAN'!$AB:$AB,'MASTER PLAN'!$J:$J,0,0)),"")</f>
        <v/>
      </c>
      <c r="HU17" s="73" t="str">
        <f t="array" ref="HU17">IFERROR(IF(XLOOKUP(CONCAT(HR17,HS17),'PROCESOS PRD'!$J:$J,'PROCESOS PRD'!$H:$H,0,0)=0,"",XLOOKUP(CONCAT(HR17,HS17),'PROCESOS PRD'!$J:$J,'PROCESOS PRD'!$H:$H,0,0)),"")</f>
        <v/>
      </c>
      <c r="HV17" s="71"/>
      <c r="HW17" s="32"/>
      <c r="HX17" s="72" t="str">
        <f t="array" ref="HX17">IFERROR(IF(XLOOKUP(CONCAT(HV17,HW17),'MASTER PLAN'!$AB:$AB,'MASTER PLAN'!$J:$J,0,0)=0,"",XLOOKUP(CONCAT(HV17,HW17),'MASTER PLAN'!$AB:$AB,'MASTER PLAN'!$J:$J,0,0)),"")</f>
        <v/>
      </c>
      <c r="HY17" s="73" t="str">
        <f t="array" ref="HY17">IFERROR(IF(XLOOKUP(CONCAT(HV17,HW17),'PROCESOS PRD'!$J:$J,'PROCESOS PRD'!$H:$H,0,0)=0,"",XLOOKUP(CONCAT(HV17,HW17),'PROCESOS PRD'!$J:$J,'PROCESOS PRD'!$H:$H,0,0)),"")</f>
        <v/>
      </c>
      <c r="HZ17" s="71"/>
      <c r="IA17" s="32"/>
      <c r="IB17" s="72" t="str">
        <f t="array" ref="IB17">IFERROR(IF(XLOOKUP(CONCAT(HZ17,IA17),'MASTER PLAN'!$AB:$AB,'MASTER PLAN'!$J:$J,0,0)=0,"",XLOOKUP(CONCAT(HZ17,IA17),'MASTER PLAN'!$AB:$AB,'MASTER PLAN'!$J:$J,0,0)),"")</f>
        <v/>
      </c>
      <c r="IC17" s="73" t="str">
        <f t="array" ref="IC17">IFERROR(IF(XLOOKUP(CONCAT(HZ17,IA17),'PROCESOS PRD'!$J:$J,'PROCESOS PRD'!$H:$H,0,0)=0,"",XLOOKUP(CONCAT(HZ17,IA17),'PROCESOS PRD'!$J:$J,'PROCESOS PRD'!$H:$H,0,0)),"")</f>
        <v/>
      </c>
      <c r="ID17" s="71"/>
      <c r="IE17" s="32"/>
      <c r="IF17" s="72" t="str">
        <f t="array" ref="IF17">IFERROR(IF(XLOOKUP(CONCAT(ID17,IE17),'MASTER PLAN'!$AB:$AB,'MASTER PLAN'!$J:$J,0,0)=0,"",XLOOKUP(CONCAT(ID17,IE17),'MASTER PLAN'!$AB:$AB,'MASTER PLAN'!$J:$J,0,0)),"")</f>
        <v/>
      </c>
      <c r="IG17" s="73" t="str">
        <f t="array" ref="IG17">IFERROR(IF(XLOOKUP(CONCAT(ID17,IE17),'PROCESOS PRD'!$J:$J,'PROCESOS PRD'!$H:$H,0,0)=0,"",XLOOKUP(CONCAT(ID17,IE17),'PROCESOS PRD'!$J:$J,'PROCESOS PRD'!$H:$H,0,0)),"")</f>
        <v/>
      </c>
      <c r="IH17" s="71"/>
      <c r="II17" s="32"/>
      <c r="IJ17" s="72" t="str">
        <f t="array" ref="IJ17">IFERROR(IF(XLOOKUP(CONCAT(IH17,II17),'MASTER PLAN'!$AB:$AB,'MASTER PLAN'!$J:$J,0,0)=0,"",XLOOKUP(CONCAT(IH17,II17),'MASTER PLAN'!$AB:$AB,'MASTER PLAN'!$J:$J,0,0)),"")</f>
        <v/>
      </c>
      <c r="IK17" s="73" t="str">
        <f t="array" ref="IK17">IFERROR(IF(XLOOKUP(CONCAT(IH17,II17),'PROCESOS PRD'!$J:$J,'PROCESOS PRD'!$H:$H,0,0)=0,"",XLOOKUP(CONCAT(IH17,II17),'PROCESOS PRD'!$J:$J,'PROCESOS PRD'!$H:$H,0,0)),"")</f>
        <v/>
      </c>
      <c r="IL17" s="70"/>
      <c r="IM17" s="71"/>
      <c r="IN17" s="32"/>
      <c r="IO17" s="72" t="str">
        <f t="array" ref="IO17">IFERROR(IF(XLOOKUP(CONCAT(IM17,IN17),'MASTER PLAN'!$AB:$AB,'MASTER PLAN'!$J:$J,0,0)=0,"",XLOOKUP(CONCAT(IM17,IN17),'MASTER PLAN'!$AB:$AB,'MASTER PLAN'!$J:$J,0,0)),"")</f>
        <v/>
      </c>
      <c r="IP17" s="73" t="str">
        <f t="array" ref="IP17">IFERROR(IF(XLOOKUP(CONCAT(IM17,IN17),'PROCESOS PRD'!$J:$J,'PROCESOS PRD'!$H:$H,0,0)=0,"",XLOOKUP(CONCAT(IM17,IN17),'PROCESOS PRD'!$J:$J,'PROCESOS PRD'!$H:$H,0,0)),"")</f>
        <v/>
      </c>
      <c r="IQ17" s="71"/>
      <c r="IR17" s="32"/>
      <c r="IS17" s="72" t="str">
        <f t="array" ref="IS17">IFERROR(IF(XLOOKUP(CONCAT(IQ17,IR17),'MASTER PLAN'!$AB:$AB,'MASTER PLAN'!$J:$J,0,0)=0,"",XLOOKUP(CONCAT(IQ17,IR17),'MASTER PLAN'!$AB:$AB,'MASTER PLAN'!$J:$J,0,0)),"")</f>
        <v/>
      </c>
      <c r="IT17" s="73" t="str">
        <f t="array" ref="IT17">IFERROR(IF(XLOOKUP(CONCAT(IQ17,IR17),'PROCESOS PRD'!$J:$J,'PROCESOS PRD'!$H:$H,0,0)=0,"",XLOOKUP(CONCAT(IQ17,IR17),'PROCESOS PRD'!$J:$J,'PROCESOS PRD'!$H:$H,0,0)),"")</f>
        <v/>
      </c>
      <c r="IU17" s="71"/>
      <c r="IV17" s="32"/>
      <c r="IW17" s="72" t="str">
        <f t="array" ref="IW17">IFERROR(IF(XLOOKUP(CONCAT(IU17,IV17),'MASTER PLAN'!$AB:$AB,'MASTER PLAN'!$J:$J,0,0)=0,"",XLOOKUP(CONCAT(IU17,IV17),'MASTER PLAN'!$AB:$AB,'MASTER PLAN'!$J:$J,0,0)),"")</f>
        <v/>
      </c>
      <c r="IX17" s="73" t="str">
        <f t="array" ref="IX17">IFERROR(IF(XLOOKUP(CONCAT(IU17,IV17),'PROCESOS PRD'!$J:$J,'PROCESOS PRD'!$H:$H,0,0)=0,"",XLOOKUP(CONCAT(IU17,IV17),'PROCESOS PRD'!$J:$J,'PROCESOS PRD'!$H:$H,0,0)),"")</f>
        <v/>
      </c>
      <c r="IY17" s="71"/>
      <c r="IZ17" s="32"/>
      <c r="JA17" s="72" t="str">
        <f t="array" ref="JA17">IFERROR(IF(XLOOKUP(CONCAT(IY17,IZ17),'MASTER PLAN'!$AB:$AB,'MASTER PLAN'!$J:$J,0,0)=0,"",XLOOKUP(CONCAT(IY17,IZ17),'MASTER PLAN'!$AB:$AB,'MASTER PLAN'!$J:$J,0,0)),"")</f>
        <v/>
      </c>
      <c r="JB17" s="73" t="str">
        <f t="array" ref="JB17">IFERROR(IF(XLOOKUP(CONCAT(IY17,IZ17),'PROCESOS PRD'!$J:$J,'PROCESOS PRD'!$H:$H,0,0)=0,"",XLOOKUP(CONCAT(IY17,IZ17),'PROCESOS PRD'!$J:$J,'PROCESOS PRD'!$H:$H,0,0)),"")</f>
        <v/>
      </c>
      <c r="JC17" s="71"/>
      <c r="JD17" s="32"/>
      <c r="JE17" s="72" t="str">
        <f t="array" ref="JE17">IFERROR(IF(XLOOKUP(CONCAT(JC17,JD17),'MASTER PLAN'!$AB:$AB,'MASTER PLAN'!$J:$J,0,0)=0,"",XLOOKUP(CONCAT(JC17,JD17),'MASTER PLAN'!$AB:$AB,'MASTER PLAN'!$J:$J,0,0)),"")</f>
        <v/>
      </c>
      <c r="JF17" s="73" t="str">
        <f t="array" ref="JF17">IFERROR(IF(XLOOKUP(CONCAT(JC17,JD17),'PROCESOS PRD'!$J:$J,'PROCESOS PRD'!$H:$H,0,0)=0,"",XLOOKUP(CONCAT(JC17,JD17),'PROCESOS PRD'!$J:$J,'PROCESOS PRD'!$H:$H,0,0)),"")</f>
        <v/>
      </c>
      <c r="JG17" s="71"/>
      <c r="JH17" s="32"/>
      <c r="JI17" s="72" t="str">
        <f t="array" ref="JI17">IFERROR(IF(XLOOKUP(CONCAT(JG17,JH17),'MASTER PLAN'!$AB:$AB,'MASTER PLAN'!$J:$J,0,0)=0,"",XLOOKUP(CONCAT(JG17,JH17),'MASTER PLAN'!$AB:$AB,'MASTER PLAN'!$J:$J,0,0)),"")</f>
        <v/>
      </c>
      <c r="JJ17" s="73" t="str">
        <f t="array" ref="JJ17">IFERROR(IF(XLOOKUP(CONCAT(JG17,JH17),'PROCESOS PRD'!$J:$J,'PROCESOS PRD'!$H:$H,0,0)=0,"",XLOOKUP(CONCAT(JG17,JH17),'PROCESOS PRD'!$J:$J,'PROCESOS PRD'!$H:$H,0,0)),"")</f>
        <v/>
      </c>
      <c r="JK17" s="70"/>
      <c r="JL17" s="71"/>
      <c r="JM17" s="32"/>
      <c r="JN17" s="72" t="str">
        <f t="array" ref="JN17">IFERROR(IF(XLOOKUP(CONCAT(JL17,JM17),'MASTER PLAN'!$AB:$AB,'MASTER PLAN'!$J:$J,0,0)=0,"",XLOOKUP(CONCAT(JL17,JM17),'MASTER PLAN'!$AB:$AB,'MASTER PLAN'!$J:$J,0,0)),"")</f>
        <v/>
      </c>
      <c r="JO17" s="73" t="str">
        <f t="array" ref="JO17">IFERROR(IF(XLOOKUP(CONCAT(JL17,JM17),'PROCESOS PRD'!$J:$J,'PROCESOS PRD'!$H:$H,0,0)=0,"",XLOOKUP(CONCAT(JL17,JM17),'PROCESOS PRD'!$J:$J,'PROCESOS PRD'!$H:$H,0,0)),"")</f>
        <v/>
      </c>
      <c r="JP17" s="71"/>
      <c r="JQ17" s="32"/>
      <c r="JR17" s="72" t="str">
        <f t="array" ref="JR17">IFERROR(IF(XLOOKUP(CONCAT(JP17,JQ17),'MASTER PLAN'!$AB:$AB,'MASTER PLAN'!$J:$J,0,0)=0,"",XLOOKUP(CONCAT(JP17,JQ17),'MASTER PLAN'!$AB:$AB,'MASTER PLAN'!$J:$J,0,0)),"")</f>
        <v/>
      </c>
      <c r="JS17" s="73" t="str">
        <f t="array" ref="JS17">IFERROR(IF(XLOOKUP(CONCAT(JP17,JQ17),'PROCESOS PRD'!$J:$J,'PROCESOS PRD'!$H:$H,0,0)=0,"",XLOOKUP(CONCAT(JP17,JQ17),'PROCESOS PRD'!$J:$J,'PROCESOS PRD'!$H:$H,0,0)),"")</f>
        <v/>
      </c>
      <c r="JT17" s="71"/>
      <c r="JU17" s="32"/>
      <c r="JV17" s="72" t="str">
        <f t="array" ref="JV17">IFERROR(IF(XLOOKUP(CONCAT(JT17,JU17),'MASTER PLAN'!$AB:$AB,'MASTER PLAN'!$J:$J,0,0)=0,"",XLOOKUP(CONCAT(JT17,JU17),'MASTER PLAN'!$AB:$AB,'MASTER PLAN'!$J:$J,0,0)),"")</f>
        <v/>
      </c>
      <c r="JW17" s="73" t="str">
        <f t="array" ref="JW17">IFERROR(IF(XLOOKUP(CONCAT(JT17,JU17),'PROCESOS PRD'!$J:$J,'PROCESOS PRD'!$H:$H,0,0)=0,"",XLOOKUP(CONCAT(JT17,JU17),'PROCESOS PRD'!$J:$J,'PROCESOS PRD'!$H:$H,0,0)),"")</f>
        <v/>
      </c>
      <c r="JX17" s="71"/>
      <c r="JY17" s="32"/>
      <c r="JZ17" s="72" t="str">
        <f t="array" ref="JZ17">IFERROR(IF(XLOOKUP(CONCAT(JX17,JY17),'MASTER PLAN'!$AB:$AB,'MASTER PLAN'!$J:$J,0,0)=0,"",XLOOKUP(CONCAT(JX17,JY17),'MASTER PLAN'!$AB:$AB,'MASTER PLAN'!$J:$J,0,0)),"")</f>
        <v/>
      </c>
      <c r="KA17" s="73" t="str">
        <f t="array" ref="KA17">IFERROR(IF(XLOOKUP(CONCAT(JX17,JY17),'PROCESOS PRD'!$J:$J,'PROCESOS PRD'!$H:$H,0,0)=0,"",XLOOKUP(CONCAT(JX17,JY17),'PROCESOS PRD'!$J:$J,'PROCESOS PRD'!$H:$H,0,0)),"")</f>
        <v/>
      </c>
      <c r="KB17" s="71"/>
      <c r="KC17" s="32"/>
      <c r="KD17" s="72" t="str">
        <f t="array" ref="KD17">IFERROR(IF(XLOOKUP(CONCAT(KB17,KC17),'MASTER PLAN'!$AB:$AB,'MASTER PLAN'!$J:$J,0,0)=0,"",XLOOKUP(CONCAT(KB17,KC17),'MASTER PLAN'!$AB:$AB,'MASTER PLAN'!$J:$J,0,0)),"")</f>
        <v/>
      </c>
      <c r="KE17" s="73" t="str">
        <f t="array" ref="KE17">IFERROR(IF(XLOOKUP(CONCAT(KB17,KC17),'PROCESOS PRD'!$J:$J,'PROCESOS PRD'!$H:$H,0,0)=0,"",XLOOKUP(CONCAT(KB17,KC17),'PROCESOS PRD'!$J:$J,'PROCESOS PRD'!$H:$H,0,0)),"")</f>
        <v/>
      </c>
      <c r="KF17" s="71"/>
      <c r="KG17" s="32"/>
      <c r="KH17" s="72" t="str">
        <f t="array" ref="KH17">IFERROR(IF(XLOOKUP(CONCAT(KF17,KG17),'MASTER PLAN'!$AB:$AB,'MASTER PLAN'!$J:$J,0,0)=0,"",XLOOKUP(CONCAT(KF17,KG17),'MASTER PLAN'!$AB:$AB,'MASTER PLAN'!$J:$J,0,0)),"")</f>
        <v/>
      </c>
      <c r="KI17" s="73" t="str">
        <f t="array" ref="KI17">IFERROR(IF(XLOOKUP(CONCAT(KF17,KG17),'PROCESOS PRD'!$J:$J,'PROCESOS PRD'!$H:$H,0,0)=0,"",XLOOKUP(CONCAT(KF17,KG17),'PROCESOS PRD'!$J:$J,'PROCESOS PRD'!$H:$H,0,0)),"")</f>
        <v/>
      </c>
      <c r="KJ17" s="70"/>
      <c r="KK17" s="70"/>
      <c r="KL17" s="70"/>
      <c r="KM17" s="70"/>
      <c r="KN17" s="70"/>
      <c r="KO17" s="70"/>
      <c r="KP17" s="70"/>
      <c r="KQ17" s="70"/>
      <c r="KR17" s="70"/>
      <c r="KS17" s="70"/>
      <c r="KT17" s="70"/>
      <c r="KU17" s="70"/>
      <c r="KV17" s="70"/>
      <c r="KW17" s="70"/>
      <c r="KX17" s="70"/>
      <c r="KY17" s="70"/>
      <c r="KZ17" s="70"/>
      <c r="LA17" s="70"/>
      <c r="LB17" s="70"/>
      <c r="LC17" s="70"/>
    </row>
    <row r="18">
      <c r="A18" s="42"/>
      <c r="B18" s="74"/>
      <c r="C18" s="69"/>
      <c r="D18" s="70"/>
      <c r="E18" s="71"/>
      <c r="F18" s="32"/>
      <c r="G18" s="72" t="str">
        <f t="array" ref="G18">IFERROR(IF(XLOOKUP(CONCAT(E18,F18),'MASTER PLAN'!$AB:$AB,'MASTER PLAN'!$J:$J,0,0)=0,"",XLOOKUP(CONCAT(E18,F18),'MASTER PLAN'!$AB:$AB,'MASTER PLAN'!$J:$J,0,0)),"")</f>
        <v/>
      </c>
      <c r="H18" s="73" t="str">
        <f t="array" ref="H18">IFERROR(IF(XLOOKUP(CONCAT(E18,F18),'PROCESOS PRD'!$J:$J,'PROCESOS PRD'!$H:$H,0,0)=0,"",XLOOKUP(CONCAT(E18,F18),'PROCESOS PRD'!$J:$J,'PROCESOS PRD'!$H:$H,0,0)),"")</f>
        <v/>
      </c>
      <c r="I18" s="71"/>
      <c r="J18" s="32"/>
      <c r="K18" s="72" t="str">
        <f t="array" ref="K18">IFERROR(IF(XLOOKUP(CONCAT(I18,J18),'MASTER PLAN'!$AB:$AB,'MASTER PLAN'!$J:$J,0,0)=0,"",XLOOKUP(CONCAT(I18,J18),'MASTER PLAN'!$AB:$AB,'MASTER PLAN'!$J:$J,0,0)),"")</f>
        <v/>
      </c>
      <c r="L18" s="73" t="str">
        <f t="array" ref="L18">IFERROR(IF(XLOOKUP(CONCAT(I18,J18),'PROCESOS PRD'!$J:$J,'PROCESOS PRD'!$H:$H,0,0)=0,"",XLOOKUP(CONCAT(I18,J18),'PROCESOS PRD'!$J:$J,'PROCESOS PRD'!$H:$H,0,0)),"")</f>
        <v/>
      </c>
      <c r="M18" s="71"/>
      <c r="N18" s="32"/>
      <c r="O18" s="72" t="str">
        <f t="array" ref="O18">IFERROR(IF(XLOOKUP(CONCAT(M18,N18),'MASTER PLAN'!$AB:$AB,'MASTER PLAN'!$J:$J,0,0)=0,"",XLOOKUP(CONCAT(M18,N18),'MASTER PLAN'!$AB:$AB,'MASTER PLAN'!$J:$J,0,0)),"")</f>
        <v/>
      </c>
      <c r="P18" s="73" t="str">
        <f t="array" ref="P18">IFERROR(IF(XLOOKUP(CONCAT(M18,N18),'PROCESOS PRD'!$J:$J,'PROCESOS PRD'!$H:$H,0,0)=0,"",XLOOKUP(CONCAT(M18,N18),'PROCESOS PRD'!$J:$J,'PROCESOS PRD'!$H:$H,0,0)),"")</f>
        <v/>
      </c>
      <c r="Q18" s="71"/>
      <c r="R18" s="32"/>
      <c r="S18" s="72" t="str">
        <f t="array" ref="S18">IFERROR(IF(XLOOKUP(CONCAT(Q18,R18),'MASTER PLAN'!$AB:$AB,'MASTER PLAN'!$J:$J,0,0)=0,"",XLOOKUP(CONCAT(Q18,R18),'MASTER PLAN'!$AB:$AB,'MASTER PLAN'!$J:$J,0,0)),"")</f>
        <v/>
      </c>
      <c r="T18" s="73" t="str">
        <f t="array" ref="T18">IFERROR(IF(XLOOKUP(CONCAT(Q18,R18),'PROCESOS PRD'!$J:$J,'PROCESOS PRD'!$H:$H,0,0)=0,"",XLOOKUP(CONCAT(Q18,R18),'PROCESOS PRD'!$J:$J,'PROCESOS PRD'!$H:$H,0,0)),"")</f>
        <v/>
      </c>
      <c r="U18" s="70"/>
      <c r="V18" s="71"/>
      <c r="W18" s="32"/>
      <c r="X18" s="72" t="str">
        <f t="array" ref="X18">IFERROR(IF(XLOOKUP(CONCAT(V18,W18),'MASTER PLAN'!$AB:$AB,'MASTER PLAN'!$J:$J,0,0)=0,"",XLOOKUP(CONCAT(V18,W18),'MASTER PLAN'!$AB:$AB,'MASTER PLAN'!$J:$J,0,0)),"")</f>
        <v/>
      </c>
      <c r="Y18" s="73" t="str">
        <f t="array" ref="Y18">IFERROR(IF(XLOOKUP(CONCAT(V18,W18),'PROCESOS PRD'!$J:$J,'PROCESOS PRD'!$H:$H,0,0)=0,"",XLOOKUP(CONCAT(V18,W18),'PROCESOS PRD'!$J:$J,'PROCESOS PRD'!$H:$H,0,0)),"")</f>
        <v/>
      </c>
      <c r="Z18" s="71"/>
      <c r="AA18" s="32"/>
      <c r="AB18" s="72" t="str">
        <f t="array" ref="AB18">IFERROR(IF(XLOOKUP(CONCAT(Z18,AA18),'MASTER PLAN'!$AB:$AB,'MASTER PLAN'!$J:$J,0,0)=0,"",XLOOKUP(CONCAT(Z18,AA18),'MASTER PLAN'!$AB:$AB,'MASTER PLAN'!$J:$J,0,0)),"")</f>
        <v/>
      </c>
      <c r="AC18" s="73" t="str">
        <f t="array" ref="AC18">IFERROR(IF(XLOOKUP(CONCAT(Z18,AA18),'PROCESOS PRD'!$J:$J,'PROCESOS PRD'!$H:$H,0,0)=0,"",XLOOKUP(CONCAT(Z18,AA18),'PROCESOS PRD'!$J:$J,'PROCESOS PRD'!$H:$H,0,0)),"")</f>
        <v/>
      </c>
      <c r="AD18" s="71"/>
      <c r="AE18" s="32"/>
      <c r="AF18" s="72" t="str">
        <f t="array" ref="AF18">IFERROR(IF(XLOOKUP(CONCAT(AD18,AE18),'MASTER PLAN'!$AB:$AB,'MASTER PLAN'!$J:$J,0,0)=0,"",XLOOKUP(CONCAT(AD18,AE18),'MASTER PLAN'!$AB:$AB,'MASTER PLAN'!$J:$J,0,0)),"")</f>
        <v/>
      </c>
      <c r="AG18" s="73" t="str">
        <f t="array" ref="AG18">IFERROR(IF(XLOOKUP(CONCAT(AD18,AE18),'PROCESOS PRD'!$J:$J,'PROCESOS PRD'!$H:$H,0,0)=0,"",XLOOKUP(CONCAT(AD18,AE18),'PROCESOS PRD'!$J:$J,'PROCESOS PRD'!$H:$H,0,0)),"")</f>
        <v/>
      </c>
      <c r="AH18" s="71"/>
      <c r="AI18" s="32"/>
      <c r="AJ18" s="72" t="str">
        <f t="array" ref="AJ18">IFERROR(IF(XLOOKUP(CONCAT(AH18,AI18),'MASTER PLAN'!$AB:$AB,'MASTER PLAN'!$J:$J,0,0)=0,"",XLOOKUP(CONCAT(AH18,AI18),'MASTER PLAN'!$AB:$AB,'MASTER PLAN'!$J:$J,0,0)),"")</f>
        <v/>
      </c>
      <c r="AK18" s="73" t="str">
        <f t="array" ref="AK18">IFERROR(IF(XLOOKUP(CONCAT(AH18,AI18),'PROCESOS PRD'!$J:$J,'PROCESOS PRD'!$H:$H,0,0)=0,"",XLOOKUP(CONCAT(AH18,AI18),'PROCESOS PRD'!$J:$J,'PROCESOS PRD'!$H:$H,0,0)),"")</f>
        <v/>
      </c>
      <c r="AL18" s="90"/>
      <c r="AM18" s="91"/>
      <c r="AN18" s="72" t="str">
        <f t="array" ref="AN18">IFERROR(IF(XLOOKUP(CONCAT(AL18,AM18),'MASTER PLAN'!$AB:$AB,'MASTER PLAN'!$J:$J,0,0)=0,"",XLOOKUP(CONCAT(AL18,AM18),'MASTER PLAN'!$AB:$AB,'MASTER PLAN'!$J:$J,0,0)),"")</f>
        <v/>
      </c>
      <c r="AO18" s="73" t="str">
        <f t="array" ref="AO18">IFERROR(IF(XLOOKUP(CONCAT(AL18,AM18),'PROCESOS PRD'!$J:$J,'PROCESOS PRD'!$H:$H,0,0)=0,"",XLOOKUP(CONCAT(AL18,AM18),'PROCESOS PRD'!$J:$J,'PROCESOS PRD'!$H:$H,0,0)),"")</f>
        <v/>
      </c>
      <c r="AP18" s="71">
        <v>1.40204935E9</v>
      </c>
      <c r="AQ18" s="32">
        <v>10.0</v>
      </c>
      <c r="AR18" s="72" t="str">
        <f t="array" ref="AR18">IFERROR(IF(XLOOKUP(CONCAT(AP18,AQ18),'MASTER PLAN'!$AB:$AB,'MASTER PLAN'!$J:$J,0,0)=0,"",XLOOKUP(CONCAT(AP18,AQ18),'MASTER PLAN'!$AB:$AB,'MASTER PLAN'!$J:$J,0,0)),"")</f>
        <v>BOLSA WSMJ MAYORS WOS 6-5"X3-5"X6-5" FA</v>
      </c>
      <c r="AS18" s="73">
        <f t="array" ref="AS18">IFERROR(IF(XLOOKUP(CONCAT(AP18,AQ18),'PROCESOS PRD'!$J:$J,'PROCESOS PRD'!$H:$H,0,0)=0,"",XLOOKUP(CONCAT(AP18,AQ18),'PROCESOS PRD'!$J:$J,'PROCESOS PRD'!$H:$H,0,0)),"")</f>
        <v>4800</v>
      </c>
      <c r="AT18" s="70"/>
      <c r="AU18" s="71">
        <v>1.40204935E9</v>
      </c>
      <c r="AV18" s="32">
        <v>10.0</v>
      </c>
      <c r="AW18" s="72" t="str">
        <f t="array" ref="AW18">IFERROR(IF(XLOOKUP(CONCAT(AU18,AV18),'MASTER PLAN'!$AB:$AB,'MASTER PLAN'!$J:$J,0,0)=0,"",XLOOKUP(CONCAT(AU18,AV18),'MASTER PLAN'!$AB:$AB,'MASTER PLAN'!$J:$J,0,0)),"")</f>
        <v>BOLSA WSMJ MAYORS WOS 6-5"X3-5"X6-5" FA</v>
      </c>
      <c r="AX18" s="73">
        <f t="array" ref="AX18">IFERROR(IF(XLOOKUP(CONCAT(AU18,AV18),'PROCESOS PRD'!$J:$J,'PROCESOS PRD'!$H:$H,0,0)=0,"",XLOOKUP(CONCAT(AU18,AV18),'PROCESOS PRD'!$J:$J,'PROCESOS PRD'!$H:$H,0,0)),"")</f>
        <v>4800</v>
      </c>
      <c r="AY18" s="90"/>
      <c r="AZ18" s="91"/>
      <c r="BA18" s="72" t="str">
        <f t="array" ref="BA18">IFERROR(IF(XLOOKUP(CONCAT(AY18,AZ18),'MASTER PLAN'!$AB:$AB,'MASTER PLAN'!$J:$J,0,0)=0,"",XLOOKUP(CONCAT(AY18,AZ18),'MASTER PLAN'!$AB:$AB,'MASTER PLAN'!$J:$J,0,0)),"")</f>
        <v/>
      </c>
      <c r="BB18" s="73" t="str">
        <f t="array" ref="BB18">IFERROR(IF(XLOOKUP(CONCAT(AY18,AZ18),'PROCESOS PRD'!$J:$J,'PROCESOS PRD'!$H:$H,0,0)=0,"",XLOOKUP(CONCAT(AY18,AZ18),'PROCESOS PRD'!$J:$J,'PROCESOS PRD'!$H:$H,0,0)),"")</f>
        <v/>
      </c>
      <c r="BC18" s="71"/>
      <c r="BD18" s="32"/>
      <c r="BE18" s="72" t="str">
        <f t="array" ref="BE18">IFERROR(IF(XLOOKUP(CONCAT(BC18,BD18),'MASTER PLAN'!$AB:$AB,'MASTER PLAN'!$J:$J,0,0)=0,"",XLOOKUP(CONCAT(BC18,BD18),'MASTER PLAN'!$AB:$AB,'MASTER PLAN'!$J:$J,0,0)),"")</f>
        <v/>
      </c>
      <c r="BF18" s="73" t="str">
        <f t="array" ref="BF18">IFERROR(IF(XLOOKUP(CONCAT(BC18,BD18),'PROCESOS PRD'!$J:$J,'PROCESOS PRD'!$H:$H,0,0)=0,"",XLOOKUP(CONCAT(BC18,BD18),'PROCESOS PRD'!$J:$J,'PROCESOS PRD'!$H:$H,0,0)),"")</f>
        <v/>
      </c>
      <c r="BG18" s="71">
        <v>1.402049419E9</v>
      </c>
      <c r="BH18" s="32">
        <v>10.0</v>
      </c>
      <c r="BI18" s="72" t="str">
        <f t="array" ref="BI18">IFERROR(IF(XLOOKUP(CONCAT(BG18,BH18),'MASTER PLAN'!$AB:$AB,'MASTER PLAN'!$J:$J,0,0)=0,"",XLOOKUP(CONCAT(BG18,BH18),'MASTER PLAN'!$AB:$AB,'MASTER PLAN'!$J:$J,0,0)),"")</f>
        <v>BOLSA COMERCIAL SORIA 10X4X8 IN FC</v>
      </c>
      <c r="BJ18" s="73">
        <f t="array" ref="BJ18">IFERROR(IF(XLOOKUP(CONCAT(BG18,BH18),'PROCESOS PRD'!$J:$J,'PROCESOS PRD'!$H:$H,0,0)=0,"",XLOOKUP(CONCAT(BG18,BH18),'PROCESOS PRD'!$J:$J,'PROCESOS PRD'!$H:$H,0,0)),"")</f>
        <v>1800</v>
      </c>
      <c r="BK18" s="71">
        <v>1.40204948E9</v>
      </c>
      <c r="BL18" s="32">
        <v>20.0</v>
      </c>
      <c r="BM18" s="72" t="str">
        <f t="array" ref="BM18">IFERROR(IF(XLOOKUP(CONCAT(BK18,BL18),'MASTER PLAN'!$AB:$AB,'MASTER PLAN'!$J:$J,0,0)=0,"",XLOOKUP(CONCAT(BK18,BL18),'MASTER PLAN'!$AB:$AB,'MASTER PLAN'!$J:$J,0,0)),"")</f>
        <v>BOLSA LEE BRANT  8"X4"X10"</v>
      </c>
      <c r="BN18" s="73">
        <f t="array" ref="BN18">IFERROR(IF(XLOOKUP(CONCAT(BK18,BL18),'PROCESOS PRD'!$J:$J,'PROCESOS PRD'!$H:$H,0,0)=0,"",XLOOKUP(CONCAT(BK18,BL18),'PROCESOS PRD'!$J:$J,'PROCESOS PRD'!$H:$H,0,0)),"")</f>
        <v>1200</v>
      </c>
      <c r="BO18" s="71"/>
      <c r="BP18" s="32"/>
      <c r="BQ18" s="72" t="str">
        <f t="array" ref="BQ18">IFERROR(IF(XLOOKUP(CONCAT(BO18,BP18),'MASTER PLAN'!$AB:$AB,'MASTER PLAN'!$J:$J,0,0)=0,"",XLOOKUP(CONCAT(BO18,BP18),'MASTER PLAN'!$AB:$AB,'MASTER PLAN'!$J:$J,0,0)),"")</f>
        <v/>
      </c>
      <c r="BR18" s="73" t="str">
        <f t="array" ref="BR18">IFERROR(IF(XLOOKUP(CONCAT(BO18,BP18),'PROCESOS PRD'!$J:$J,'PROCESOS PRD'!$H:$H,0,0)=0,"",XLOOKUP(CONCAT(BO18,BP18),'PROCESOS PRD'!$J:$J,'PROCESOS PRD'!$H:$H,0,0)),"")</f>
        <v/>
      </c>
      <c r="BS18" s="70"/>
      <c r="BT18" s="71"/>
      <c r="BU18" s="32"/>
      <c r="BV18" s="72" t="str">
        <f t="array" ref="BV18">IFERROR(IF(XLOOKUP(CONCAT(BT18,BU18),'MASTER PLAN'!$AB:$AB,'MASTER PLAN'!$J:$J,0,0)=0,"",XLOOKUP(CONCAT(BT18,BU18),'MASTER PLAN'!$AB:$AB,'MASTER PLAN'!$J:$J,0,0)),"")</f>
        <v/>
      </c>
      <c r="BW18" s="73" t="str">
        <f t="array" ref="BW18">IFERROR(IF(XLOOKUP(CONCAT(BT18,BU18),'PROCESOS PRD'!$J:$J,'PROCESOS PRD'!$H:$H,0,0)=0,"",XLOOKUP(CONCAT(BT18,BU18),'PROCESOS PRD'!$J:$J,'PROCESOS PRD'!$H:$H,0,0)),"")</f>
        <v/>
      </c>
      <c r="BX18" s="71"/>
      <c r="BY18" s="32"/>
      <c r="BZ18" s="72" t="str">
        <f t="array" ref="BZ18">IFERROR(IF(XLOOKUP(CONCAT(BX18,BY18),'MASTER PLAN'!$AB:$AB,'MASTER PLAN'!$J:$J,0,0)=0,"",XLOOKUP(CONCAT(BX18,BY18),'MASTER PLAN'!$AB:$AB,'MASTER PLAN'!$J:$J,0,0)),"")</f>
        <v/>
      </c>
      <c r="CA18" s="73" t="str">
        <f t="array" ref="CA18">IFERROR(IF(XLOOKUP(CONCAT(BX18,BY18),'PROCESOS PRD'!$J:$J,'PROCESOS PRD'!$H:$H,0,0)=0,"",XLOOKUP(CONCAT(BX18,BY18),'PROCESOS PRD'!$J:$J,'PROCESOS PRD'!$H:$H,0,0)),"")</f>
        <v/>
      </c>
      <c r="CB18" s="71"/>
      <c r="CC18" s="32"/>
      <c r="CD18" s="72" t="str">
        <f t="array" ref="CD18">IFERROR(IF(XLOOKUP(CONCAT(CB18,CC18),'MASTER PLAN'!$AB:$AB,'MASTER PLAN'!$J:$J,0,0)=0,"",XLOOKUP(CONCAT(CB18,CC18),'MASTER PLAN'!$AB:$AB,'MASTER PLAN'!$J:$J,0,0)),"")</f>
        <v/>
      </c>
      <c r="CE18" s="73" t="str">
        <f t="array" ref="CE18">IFERROR(IF(XLOOKUP(CONCAT(CB18,CC18),'PROCESOS PRD'!$J:$J,'PROCESOS PRD'!$H:$H,0,0)=0,"",XLOOKUP(CONCAT(CB18,CC18),'PROCESOS PRD'!$J:$J,'PROCESOS PRD'!$H:$H,0,0)),"")</f>
        <v/>
      </c>
      <c r="CF18" s="71"/>
      <c r="CG18" s="32"/>
      <c r="CH18" s="72" t="str">
        <f t="array" ref="CH18">IFERROR(IF(XLOOKUP(CONCAT(CF18,CG18),'MASTER PLAN'!$AB:$AB,'MASTER PLAN'!$J:$J,0,0)=0,"",XLOOKUP(CONCAT(CF18,CG18),'MASTER PLAN'!$AB:$AB,'MASTER PLAN'!$J:$J,0,0)),"")</f>
        <v/>
      </c>
      <c r="CI18" s="73" t="str">
        <f t="array" ref="CI18">IFERROR(IF(XLOOKUP(CONCAT(CF18,CG18),'PROCESOS PRD'!$J:$J,'PROCESOS PRD'!$H:$H,0,0)=0,"",XLOOKUP(CONCAT(CF18,CG18),'PROCESOS PRD'!$J:$J,'PROCESOS PRD'!$H:$H,0,0)),"")</f>
        <v/>
      </c>
      <c r="CJ18" s="71">
        <v>1.402049437E9</v>
      </c>
      <c r="CK18" s="32">
        <v>10.0</v>
      </c>
      <c r="CL18" s="72" t="str">
        <f t="array" ref="CL18">IFERROR(IF(XLOOKUP(CONCAT(CJ18,CK18),'MASTER PLAN'!$AB:$AB,'MASTER PLAN'!$J:$J,0,0)=0,"",XLOOKUP(CONCAT(CJ18,CK18),'MASTER PLAN'!$AB:$AB,'MASTER PLAN'!$J:$J,0,0)),"")</f>
        <v>BOLSA FINKS JWLS 10X5X10"</v>
      </c>
      <c r="CM18" s="73">
        <f t="array" ref="CM18">IFERROR(IF(XLOOKUP(CONCAT(CJ18,CK18),'PROCESOS PRD'!$J:$J,'PROCESOS PRD'!$H:$H,0,0)=0,"",XLOOKUP(CONCAT(CJ18,CK18),'PROCESOS PRD'!$J:$J,'PROCESOS PRD'!$H:$H,0,0)),"")</f>
        <v>3600</v>
      </c>
      <c r="CN18" s="71"/>
      <c r="CO18" s="32"/>
      <c r="CP18" s="72" t="str">
        <f t="array" ref="CP18">IFERROR(IF(XLOOKUP(CONCAT(CN18,CO18),'MASTER PLAN'!$AB:$AB,'MASTER PLAN'!$J:$J,0,0)=0,"",XLOOKUP(CONCAT(CN18,CO18),'MASTER PLAN'!$AB:$AB,'MASTER PLAN'!$J:$J,0,0)),"")</f>
        <v/>
      </c>
      <c r="CQ18" s="73" t="str">
        <f t="array" ref="CQ18">IFERROR(IF(XLOOKUP(CONCAT(CN18,CO18),'PROCESOS PRD'!$J:$J,'PROCESOS PRD'!$H:$H,0,0)=0,"",XLOOKUP(CONCAT(CN18,CO18),'PROCESOS PRD'!$J:$J,'PROCESOS PRD'!$H:$H,0,0)),"")</f>
        <v/>
      </c>
      <c r="CR18" s="70"/>
      <c r="CS18" s="71">
        <v>1.402049532E9</v>
      </c>
      <c r="CT18" s="32">
        <v>10.0</v>
      </c>
      <c r="CU18" s="72" t="str">
        <f t="array" ref="CU18">IFERROR(IF(XLOOKUP(CONCAT(CS18,CT18),'MASTER PLAN'!$AB:$AB,'MASTER PLAN'!$J:$J,0,0)=0,"",XLOOKUP(CONCAT(CS18,CT18),'MASTER PLAN'!$AB:$AB,'MASTER PLAN'!$J:$J,0,0)),"")</f>
        <v>BOLSA CHARISMA JEWELERS 10"X 4"X 8"</v>
      </c>
      <c r="CV18" s="73">
        <f t="array" ref="CV18">IFERROR(IF(XLOOKUP(CONCAT(CS18,CT18),'PROCESOS PRD'!$J:$J,'PROCESOS PRD'!$H:$H,0,0)=0,"",XLOOKUP(CONCAT(CS18,CT18),'PROCESOS PRD'!$J:$J,'PROCESOS PRD'!$H:$H,0,0)),"")</f>
        <v>2400</v>
      </c>
      <c r="CW18" s="71"/>
      <c r="CX18" s="32"/>
      <c r="CY18" s="72" t="str">
        <f t="array" ref="CY18">IFERROR(IF(XLOOKUP(CONCAT(CW18,CX18),'MASTER PLAN'!$AB:$AB,'MASTER PLAN'!$J:$J,0,0)=0,"",XLOOKUP(CONCAT(CW18,CX18),'MASTER PLAN'!$AB:$AB,'MASTER PLAN'!$J:$J,0,0)),"")</f>
        <v/>
      </c>
      <c r="CZ18" s="73" t="str">
        <f t="array" ref="CZ18">IFERROR(IF(XLOOKUP(CONCAT(CW18,CX18),'PROCESOS PRD'!$J:$J,'PROCESOS PRD'!$H:$H,0,0)=0,"",XLOOKUP(CONCAT(CW18,CX18),'PROCESOS PRD'!$J:$J,'PROCESOS PRD'!$H:$H,0,0)),"")</f>
        <v/>
      </c>
      <c r="DA18" s="71"/>
      <c r="DB18" s="32"/>
      <c r="DC18" s="72" t="str">
        <f t="array" ref="DC18">IFERROR(IF(XLOOKUP(CONCAT(DA18,DB18),'MASTER PLAN'!$AB:$AB,'MASTER PLAN'!$J:$J,0,0)=0,"",XLOOKUP(CONCAT(DA18,DB18),'MASTER PLAN'!$AB:$AB,'MASTER PLAN'!$J:$J,0,0)),"")</f>
        <v/>
      </c>
      <c r="DD18" s="73" t="str">
        <f t="array" ref="DD18">IFERROR(IF(XLOOKUP(CONCAT(DA18,DB18),'PROCESOS PRD'!$J:$J,'PROCESOS PRD'!$H:$H,0,0)=0,"",XLOOKUP(CONCAT(DA18,DB18),'PROCESOS PRD'!$J:$J,'PROCESOS PRD'!$H:$H,0,0)),"")</f>
        <v/>
      </c>
      <c r="DE18" s="71"/>
      <c r="DF18" s="32"/>
      <c r="DG18" s="72" t="str">
        <f t="array" ref="DG18">IFERROR(IF(XLOOKUP(CONCAT(DE18,DF18),'MASTER PLAN'!$AB:$AB,'MASTER PLAN'!$J:$J,0,0)=0,"",XLOOKUP(CONCAT(DE18,DF18),'MASTER PLAN'!$AB:$AB,'MASTER PLAN'!$J:$J,0,0)),"")</f>
        <v/>
      </c>
      <c r="DH18" s="73" t="str">
        <f t="array" ref="DH18">IFERROR(IF(XLOOKUP(CONCAT(DE18,DF18),'PROCESOS PRD'!$J:$J,'PROCESOS PRD'!$H:$H,0,0)=0,"",XLOOKUP(CONCAT(DE18,DF18),'PROCESOS PRD'!$J:$J,'PROCESOS PRD'!$H:$H,0,0)),"")</f>
        <v/>
      </c>
      <c r="DI18" s="71"/>
      <c r="DJ18" s="32"/>
      <c r="DK18" s="72" t="str">
        <f t="array" ref="DK18">IFERROR(IF(XLOOKUP(CONCAT(DI18,DJ18),'MASTER PLAN'!$AB:$AB,'MASTER PLAN'!$J:$J,0,0)=0,"",XLOOKUP(CONCAT(DI18,DJ18),'MASTER PLAN'!$AB:$AB,'MASTER PLAN'!$J:$J,0,0)),"")</f>
        <v/>
      </c>
      <c r="DL18" s="73" t="str">
        <f t="array" ref="DL18">IFERROR(IF(XLOOKUP(CONCAT(DI18,DJ18),'PROCESOS PRD'!$J:$J,'PROCESOS PRD'!$H:$H,0,0)=0,"",XLOOKUP(CONCAT(DI18,DJ18),'PROCESOS PRD'!$J:$J,'PROCESOS PRD'!$H:$H,0,0)),"")</f>
        <v/>
      </c>
      <c r="DM18" s="71"/>
      <c r="DN18" s="32"/>
      <c r="DO18" s="72" t="str">
        <f t="array" ref="DO18">IFERROR(IF(XLOOKUP(CONCAT(DM18,DN18),'MASTER PLAN'!$AB:$AB,'MASTER PLAN'!$J:$J,0,0)=0,"",XLOOKUP(CONCAT(DM18,DN18),'MASTER PLAN'!$AB:$AB,'MASTER PLAN'!$J:$J,0,0)),"")</f>
        <v/>
      </c>
      <c r="DP18" s="73" t="str">
        <f t="array" ref="DP18">IFERROR(IF(XLOOKUP(CONCAT(DM18,DN18),'PROCESOS PRD'!$J:$J,'PROCESOS PRD'!$H:$H,0,0)=0,"",XLOOKUP(CONCAT(DM18,DN18),'PROCESOS PRD'!$J:$J,'PROCESOS PRD'!$H:$H,0,0)),"")</f>
        <v/>
      </c>
      <c r="DQ18" s="70"/>
      <c r="DR18" s="71"/>
      <c r="DS18" s="32"/>
      <c r="DT18" s="72" t="str">
        <f t="array" ref="DT18">IFERROR(IF(XLOOKUP(CONCAT(DR18,DS18),'MASTER PLAN'!$AB:$AB,'MASTER PLAN'!$J:$J,0,0)=0,"",XLOOKUP(CONCAT(DR18,DS18),'MASTER PLAN'!$AB:$AB,'MASTER PLAN'!$J:$J,0,0)),"")</f>
        <v/>
      </c>
      <c r="DU18" s="73" t="str">
        <f t="array" ref="DU18">IFERROR(IF(XLOOKUP(CONCAT(DR18,DS18),'PROCESOS PRD'!$J:$J,'PROCESOS PRD'!$H:$H,0,0)=0,"",XLOOKUP(CONCAT(DR18,DS18),'PROCESOS PRD'!$J:$J,'PROCESOS PRD'!$H:$H,0,0)),"")</f>
        <v/>
      </c>
      <c r="DV18" s="71"/>
      <c r="DW18" s="32"/>
      <c r="DX18" s="72" t="str">
        <f t="array" ref="DX18">IFERROR(IF(XLOOKUP(CONCAT(DV18,DW18),'MASTER PLAN'!$AB:$AB,'MASTER PLAN'!$J:$J,0,0)=0,"",XLOOKUP(CONCAT(DV18,DW18),'MASTER PLAN'!$AB:$AB,'MASTER PLAN'!$J:$J,0,0)),"")</f>
        <v/>
      </c>
      <c r="DY18" s="73" t="str">
        <f t="array" ref="DY18">IFERROR(IF(XLOOKUP(CONCAT(DV18,DW18),'PROCESOS PRD'!$J:$J,'PROCESOS PRD'!$H:$H,0,0)=0,"",XLOOKUP(CONCAT(DV18,DW18),'PROCESOS PRD'!$J:$J,'PROCESOS PRD'!$H:$H,0,0)),"")</f>
        <v/>
      </c>
      <c r="DZ18" s="71"/>
      <c r="EA18" s="32"/>
      <c r="EB18" s="72" t="str">
        <f t="array" ref="EB18">IFERROR(IF(XLOOKUP(CONCAT(DZ18,EA18),'MASTER PLAN'!$AB:$AB,'MASTER PLAN'!$J:$J,0,0)=0,"",XLOOKUP(CONCAT(DZ18,EA18),'MASTER PLAN'!$AB:$AB,'MASTER PLAN'!$J:$J,0,0)),"")</f>
        <v/>
      </c>
      <c r="EC18" s="73" t="str">
        <f t="array" ref="EC18">IFERROR(IF(XLOOKUP(CONCAT(DZ18,EA18),'PROCESOS PRD'!$J:$J,'PROCESOS PRD'!$H:$H,0,0)=0,"",XLOOKUP(CONCAT(DZ18,EA18),'PROCESOS PRD'!$J:$J,'PROCESOS PRD'!$H:$H,0,0)),"")</f>
        <v/>
      </c>
      <c r="ED18" s="71"/>
      <c r="EE18" s="32"/>
      <c r="EF18" s="72" t="str">
        <f t="array" ref="EF18">IFERROR(IF(XLOOKUP(CONCAT(ED18,EE18),'MASTER PLAN'!$AB:$AB,'MASTER PLAN'!$J:$J,0,0)=0,"",XLOOKUP(CONCAT(ED18,EE18),'MASTER PLAN'!$AB:$AB,'MASTER PLAN'!$J:$J,0,0)),"")</f>
        <v/>
      </c>
      <c r="EG18" s="73" t="str">
        <f t="array" ref="EG18">IFERROR(IF(XLOOKUP(CONCAT(ED18,EE18),'PROCESOS PRD'!$J:$J,'PROCESOS PRD'!$H:$H,0,0)=0,"",XLOOKUP(CONCAT(ED18,EE18),'PROCESOS PRD'!$J:$J,'PROCESOS PRD'!$H:$H,0,0)),"")</f>
        <v/>
      </c>
      <c r="EH18" s="71"/>
      <c r="EI18" s="32"/>
      <c r="EJ18" s="72" t="str">
        <f t="array" ref="EJ18">IFERROR(IF(XLOOKUP(CONCAT(EH18,EI18),'MASTER PLAN'!$AB:$AB,'MASTER PLAN'!$J:$J,0,0)=0,"",XLOOKUP(CONCAT(EH18,EI18),'MASTER PLAN'!$AB:$AB,'MASTER PLAN'!$J:$J,0,0)),"")</f>
        <v/>
      </c>
      <c r="EK18" s="73" t="str">
        <f t="array" ref="EK18">IFERROR(IF(XLOOKUP(CONCAT(EH18,EI18),'PROCESOS PRD'!$J:$J,'PROCESOS PRD'!$H:$H,0,0)=0,"",XLOOKUP(CONCAT(EH18,EI18),'PROCESOS PRD'!$J:$J,'PROCESOS PRD'!$H:$H,0,0)),"")</f>
        <v/>
      </c>
      <c r="EL18" s="71"/>
      <c r="EM18" s="32"/>
      <c r="EN18" s="72" t="str">
        <f t="array" ref="EN18">IFERROR(IF(XLOOKUP(CONCAT(EL18,EM18),'MASTER PLAN'!$AB:$AB,'MASTER PLAN'!$J:$J,0,0)=0,"",XLOOKUP(CONCAT(EL18,EM18),'MASTER PLAN'!$AB:$AB,'MASTER PLAN'!$J:$J,0,0)),"")</f>
        <v/>
      </c>
      <c r="EO18" s="73" t="str">
        <f t="array" ref="EO18">IFERROR(IF(XLOOKUP(CONCAT(EL18,EM18),'PROCESOS PRD'!$J:$J,'PROCESOS PRD'!$H:$H,0,0)=0,"",XLOOKUP(CONCAT(EL18,EM18),'PROCESOS PRD'!$J:$J,'PROCESOS PRD'!$H:$H,0,0)),"")</f>
        <v/>
      </c>
      <c r="EP18" s="70"/>
      <c r="EQ18" s="71"/>
      <c r="ER18" s="32"/>
      <c r="ES18" s="72" t="str">
        <f t="array" ref="ES18">IFERROR(IF(XLOOKUP(CONCAT(EQ18,ER18),'MASTER PLAN'!$AB:$AB,'MASTER PLAN'!$J:$J,0,0)=0,"",XLOOKUP(CONCAT(EQ18,ER18),'MASTER PLAN'!$AB:$AB,'MASTER PLAN'!$J:$J,0,0)),"")</f>
        <v/>
      </c>
      <c r="ET18" s="73" t="str">
        <f t="array" ref="ET18">IFERROR(IF(XLOOKUP(CONCAT(EQ18,ER18),'PROCESOS PRD'!$J:$J,'PROCESOS PRD'!$H:$H,0,0)=0,"",XLOOKUP(CONCAT(EQ18,ER18),'PROCESOS PRD'!$J:$J,'PROCESOS PRD'!$H:$H,0,0)),"")</f>
        <v/>
      </c>
      <c r="EU18" s="71"/>
      <c r="EV18" s="32"/>
      <c r="EW18" s="72" t="str">
        <f t="array" ref="EW18">IFERROR(IF(XLOOKUP(CONCAT(EU18,EV18),'MASTER PLAN'!$AB:$AB,'MASTER PLAN'!$J:$J,0,0)=0,"",XLOOKUP(CONCAT(EU18,EV18),'MASTER PLAN'!$AB:$AB,'MASTER PLAN'!$J:$J,0,0)),"")</f>
        <v/>
      </c>
      <c r="EX18" s="73" t="str">
        <f t="array" ref="EX18">IFERROR(IF(XLOOKUP(CONCAT(EU18,EV18),'PROCESOS PRD'!$J:$J,'PROCESOS PRD'!$H:$H,0,0)=0,"",XLOOKUP(CONCAT(EU18,EV18),'PROCESOS PRD'!$J:$J,'PROCESOS PRD'!$H:$H,0,0)),"")</f>
        <v/>
      </c>
      <c r="EY18" s="71"/>
      <c r="EZ18" s="32"/>
      <c r="FA18" s="72" t="str">
        <f t="array" ref="FA18">IFERROR(IF(XLOOKUP(CONCAT(EY18,EZ18),'MASTER PLAN'!$AB:$AB,'MASTER PLAN'!$J:$J,0,0)=0,"",XLOOKUP(CONCAT(EY18,EZ18),'MASTER PLAN'!$AB:$AB,'MASTER PLAN'!$J:$J,0,0)),"")</f>
        <v/>
      </c>
      <c r="FB18" s="73" t="str">
        <f t="array" ref="FB18">IFERROR(IF(XLOOKUP(CONCAT(EY18,EZ18),'PROCESOS PRD'!$J:$J,'PROCESOS PRD'!$H:$H,0,0)=0,"",XLOOKUP(CONCAT(EY18,EZ18),'PROCESOS PRD'!$J:$J,'PROCESOS PRD'!$H:$H,0,0)),"")</f>
        <v/>
      </c>
      <c r="FC18" s="71"/>
      <c r="FD18" s="32"/>
      <c r="FE18" s="72" t="str">
        <f t="array" ref="FE18">IFERROR(IF(XLOOKUP(CONCAT(FC18,FD18),'MASTER PLAN'!$AB:$AB,'MASTER PLAN'!$J:$J,0,0)=0,"",XLOOKUP(CONCAT(FC18,FD18),'MASTER PLAN'!$AB:$AB,'MASTER PLAN'!$J:$J,0,0)),"")</f>
        <v/>
      </c>
      <c r="FF18" s="73" t="str">
        <f t="array" ref="FF18">IFERROR(IF(XLOOKUP(CONCAT(FC18,FD18),'PROCESOS PRD'!$J:$J,'PROCESOS PRD'!$H:$H,0,0)=0,"",XLOOKUP(CONCAT(FC18,FD18),'PROCESOS PRD'!$J:$J,'PROCESOS PRD'!$H:$H,0,0)),"")</f>
        <v/>
      </c>
      <c r="FG18" s="71"/>
      <c r="FH18" s="32"/>
      <c r="FI18" s="72" t="str">
        <f t="array" ref="FI18">IFERROR(IF(XLOOKUP(CONCAT(FG18,FH18),'MASTER PLAN'!$AB:$AB,'MASTER PLAN'!$J:$J,0,0)=0,"",XLOOKUP(CONCAT(FG18,FH18),'MASTER PLAN'!$AB:$AB,'MASTER PLAN'!$J:$J,0,0)),"")</f>
        <v/>
      </c>
      <c r="FJ18" s="73" t="str">
        <f t="array" ref="FJ18">IFERROR(IF(XLOOKUP(CONCAT(FG18,FH18),'PROCESOS PRD'!$J:$J,'PROCESOS PRD'!$H:$H,0,0)=0,"",XLOOKUP(CONCAT(FG18,FH18),'PROCESOS PRD'!$J:$J,'PROCESOS PRD'!$H:$H,0,0)),"")</f>
        <v/>
      </c>
      <c r="FK18" s="71"/>
      <c r="FL18" s="32"/>
      <c r="FM18" s="72" t="str">
        <f t="array" ref="FM18">IFERROR(IF(XLOOKUP(CONCAT(FK18,FL18),'MASTER PLAN'!$AB:$AB,'MASTER PLAN'!$J:$J,0,0)=0,"",XLOOKUP(CONCAT(FK18,FL18),'MASTER PLAN'!$AB:$AB,'MASTER PLAN'!$J:$J,0,0)),"")</f>
        <v/>
      </c>
      <c r="FN18" s="73" t="str">
        <f t="array" ref="FN18">IFERROR(IF(XLOOKUP(CONCAT(FK18,FL18),'PROCESOS PRD'!$J:$J,'PROCESOS PRD'!$H:$H,0,0)=0,"",XLOOKUP(CONCAT(FK18,FL18),'PROCESOS PRD'!$J:$J,'PROCESOS PRD'!$H:$H,0,0)),"")</f>
        <v/>
      </c>
      <c r="FO18" s="70"/>
      <c r="FP18" s="71"/>
      <c r="FQ18" s="32"/>
      <c r="FR18" s="72" t="str">
        <f t="array" ref="FR18">IFERROR(IF(XLOOKUP(CONCAT(FP18,FQ18),'MASTER PLAN'!$AB:$AB,'MASTER PLAN'!$J:$J,0,0)=0,"",XLOOKUP(CONCAT(FP18,FQ18),'MASTER PLAN'!$AB:$AB,'MASTER PLAN'!$J:$J,0,0)),"")</f>
        <v/>
      </c>
      <c r="FS18" s="73" t="str">
        <f t="array" ref="FS18">IFERROR(IF(XLOOKUP(CONCAT(FP18,FQ18),'PROCESOS PRD'!$J:$J,'PROCESOS PRD'!$H:$H,0,0)=0,"",XLOOKUP(CONCAT(FP18,FQ18),'PROCESOS PRD'!$J:$J,'PROCESOS PRD'!$H:$H,0,0)),"")</f>
        <v/>
      </c>
      <c r="FT18" s="71"/>
      <c r="FU18" s="32"/>
      <c r="FV18" s="72" t="str">
        <f t="array" ref="FV18">IFERROR(IF(XLOOKUP(CONCAT(FT18,FU18),'MASTER PLAN'!$AB:$AB,'MASTER PLAN'!$J:$J,0,0)=0,"",XLOOKUP(CONCAT(FT18,FU18),'MASTER PLAN'!$AB:$AB,'MASTER PLAN'!$J:$J,0,0)),"")</f>
        <v/>
      </c>
      <c r="FW18" s="73" t="str">
        <f t="array" ref="FW18">IFERROR(IF(XLOOKUP(CONCAT(FT18,FU18),'PROCESOS PRD'!$J:$J,'PROCESOS PRD'!$H:$H,0,0)=0,"",XLOOKUP(CONCAT(FT18,FU18),'PROCESOS PRD'!$J:$J,'PROCESOS PRD'!$H:$H,0,0)),"")</f>
        <v/>
      </c>
      <c r="FX18" s="71"/>
      <c r="FY18" s="32"/>
      <c r="FZ18" s="72" t="str">
        <f t="array" ref="FZ18">IFERROR(IF(XLOOKUP(CONCAT(FX18,FY18),'MASTER PLAN'!$AB:$AB,'MASTER PLAN'!$J:$J,0,0)=0,"",XLOOKUP(CONCAT(FX18,FY18),'MASTER PLAN'!$AB:$AB,'MASTER PLAN'!$J:$J,0,0)),"")</f>
        <v/>
      </c>
      <c r="GA18" s="73" t="str">
        <f t="array" ref="GA18">IFERROR(IF(XLOOKUP(CONCAT(FX18,FY18),'PROCESOS PRD'!$J:$J,'PROCESOS PRD'!$H:$H,0,0)=0,"",XLOOKUP(CONCAT(FX18,FY18),'PROCESOS PRD'!$J:$J,'PROCESOS PRD'!$H:$H,0,0)),"")</f>
        <v/>
      </c>
      <c r="GB18" s="71"/>
      <c r="GC18" s="32"/>
      <c r="GD18" s="72" t="str">
        <f t="array" ref="GD18">IFERROR(IF(XLOOKUP(CONCAT(GB18,GC18),'MASTER PLAN'!$AB:$AB,'MASTER PLAN'!$J:$J,0,0)=0,"",XLOOKUP(CONCAT(GB18,GC18),'MASTER PLAN'!$AB:$AB,'MASTER PLAN'!$J:$J,0,0)),"")</f>
        <v/>
      </c>
      <c r="GE18" s="73" t="str">
        <f t="array" ref="GE18">IFERROR(IF(XLOOKUP(CONCAT(GB18,GC18),'PROCESOS PRD'!$J:$J,'PROCESOS PRD'!$H:$H,0,0)=0,"",XLOOKUP(CONCAT(GB18,GC18),'PROCESOS PRD'!$J:$J,'PROCESOS PRD'!$H:$H,0,0)),"")</f>
        <v/>
      </c>
      <c r="GF18" s="71"/>
      <c r="GG18" s="32"/>
      <c r="GH18" s="72" t="str">
        <f t="array" ref="GH18">IFERROR(IF(XLOOKUP(CONCAT(GF18,GG18),'MASTER PLAN'!$AB:$AB,'MASTER PLAN'!$J:$J,0,0)=0,"",XLOOKUP(CONCAT(GF18,GG18),'MASTER PLAN'!$AB:$AB,'MASTER PLAN'!$J:$J,0,0)),"")</f>
        <v/>
      </c>
      <c r="GI18" s="73" t="str">
        <f t="array" ref="GI18">IFERROR(IF(XLOOKUP(CONCAT(GF18,GG18),'PROCESOS PRD'!$J:$J,'PROCESOS PRD'!$H:$H,0,0)=0,"",XLOOKUP(CONCAT(GF18,GG18),'PROCESOS PRD'!$J:$J,'PROCESOS PRD'!$H:$H,0,0)),"")</f>
        <v/>
      </c>
      <c r="GJ18" s="71"/>
      <c r="GK18" s="32"/>
      <c r="GL18" s="72" t="str">
        <f t="array" ref="GL18">IFERROR(IF(XLOOKUP(CONCAT(GJ18,GK18),'MASTER PLAN'!$AB:$AB,'MASTER PLAN'!$J:$J,0,0)=0,"",XLOOKUP(CONCAT(GJ18,GK18),'MASTER PLAN'!$AB:$AB,'MASTER PLAN'!$J:$J,0,0)),"")</f>
        <v/>
      </c>
      <c r="GM18" s="73" t="str">
        <f t="array" ref="GM18">IFERROR(IF(XLOOKUP(CONCAT(GJ18,GK18),'PROCESOS PRD'!$J:$J,'PROCESOS PRD'!$H:$H,0,0)=0,"",XLOOKUP(CONCAT(GJ18,GK18),'PROCESOS PRD'!$J:$J,'PROCESOS PRD'!$H:$H,0,0)),"")</f>
        <v/>
      </c>
      <c r="GN18" s="70"/>
      <c r="GO18" s="71"/>
      <c r="GP18" s="32"/>
      <c r="GQ18" s="72" t="str">
        <f t="array" ref="GQ18">IFERROR(IF(XLOOKUP(CONCAT(GO18,GP18),'MASTER PLAN'!$AB:$AB,'MASTER PLAN'!$J:$J,0,0)=0,"",XLOOKUP(CONCAT(GO18,GP18),'MASTER PLAN'!$AB:$AB,'MASTER PLAN'!$J:$J,0,0)),"")</f>
        <v/>
      </c>
      <c r="GR18" s="73" t="str">
        <f t="array" ref="GR18">IFERROR(IF(XLOOKUP(CONCAT(GO18,GP18),'PROCESOS PRD'!$J:$J,'PROCESOS PRD'!$H:$H,0,0)=0,"",XLOOKUP(CONCAT(GO18,GP18),'PROCESOS PRD'!$J:$J,'PROCESOS PRD'!$H:$H,0,0)),"")</f>
        <v/>
      </c>
      <c r="GS18" s="71"/>
      <c r="GT18" s="32"/>
      <c r="GU18" s="72" t="str">
        <f t="array" ref="GU18">IFERROR(IF(XLOOKUP(CONCAT(GS18,GT18),'MASTER PLAN'!$AB:$AB,'MASTER PLAN'!$J:$J,0,0)=0,"",XLOOKUP(CONCAT(GS18,GT18),'MASTER PLAN'!$AB:$AB,'MASTER PLAN'!$J:$J,0,0)),"")</f>
        <v/>
      </c>
      <c r="GV18" s="73" t="str">
        <f t="array" ref="GV18">IFERROR(IF(XLOOKUP(CONCAT(GS18,GT18),'PROCESOS PRD'!$J:$J,'PROCESOS PRD'!$H:$H,0,0)=0,"",XLOOKUP(CONCAT(GS18,GT18),'PROCESOS PRD'!$J:$J,'PROCESOS PRD'!$H:$H,0,0)),"")</f>
        <v/>
      </c>
      <c r="GW18" s="71"/>
      <c r="GX18" s="32"/>
      <c r="GY18" s="72" t="str">
        <f t="array" ref="GY18">IFERROR(IF(XLOOKUP(CONCAT(GW18,GX18),'MASTER PLAN'!$AB:$AB,'MASTER PLAN'!$J:$J,0,0)=0,"",XLOOKUP(CONCAT(GW18,GX18),'MASTER PLAN'!$AB:$AB,'MASTER PLAN'!$J:$J,0,0)),"")</f>
        <v/>
      </c>
      <c r="GZ18" s="73" t="str">
        <f t="array" ref="GZ18">IFERROR(IF(XLOOKUP(CONCAT(GW18,GX18),'PROCESOS PRD'!$J:$J,'PROCESOS PRD'!$H:$H,0,0)=0,"",XLOOKUP(CONCAT(GW18,GX18),'PROCESOS PRD'!$J:$J,'PROCESOS PRD'!$H:$H,0,0)),"")</f>
        <v/>
      </c>
      <c r="HA18" s="71"/>
      <c r="HB18" s="32"/>
      <c r="HC18" s="72" t="str">
        <f t="array" ref="HC18">IFERROR(IF(XLOOKUP(CONCAT(HA18,HB18),'MASTER PLAN'!$AB:$AB,'MASTER PLAN'!$J:$J,0,0)=0,"",XLOOKUP(CONCAT(HA18,HB18),'MASTER PLAN'!$AB:$AB,'MASTER PLAN'!$J:$J,0,0)),"")</f>
        <v/>
      </c>
      <c r="HD18" s="73" t="str">
        <f t="array" ref="HD18">IFERROR(IF(XLOOKUP(CONCAT(HA18,HB18),'PROCESOS PRD'!$J:$J,'PROCESOS PRD'!$H:$H,0,0)=0,"",XLOOKUP(CONCAT(HA18,HB18),'PROCESOS PRD'!$J:$J,'PROCESOS PRD'!$H:$H,0,0)),"")</f>
        <v/>
      </c>
      <c r="HE18" s="71"/>
      <c r="HF18" s="32"/>
      <c r="HG18" s="72" t="str">
        <f t="array" ref="HG18">IFERROR(IF(XLOOKUP(CONCAT(HE18,HF18),'MASTER PLAN'!$AB:$AB,'MASTER PLAN'!$J:$J,0,0)=0,"",XLOOKUP(CONCAT(HE18,HF18),'MASTER PLAN'!$AB:$AB,'MASTER PLAN'!$J:$J,0,0)),"")</f>
        <v/>
      </c>
      <c r="HH18" s="73" t="str">
        <f t="array" ref="HH18">IFERROR(IF(XLOOKUP(CONCAT(HE18,HF18),'PROCESOS PRD'!$J:$J,'PROCESOS PRD'!$H:$H,0,0)=0,"",XLOOKUP(CONCAT(HE18,HF18),'PROCESOS PRD'!$J:$J,'PROCESOS PRD'!$H:$H,0,0)),"")</f>
        <v/>
      </c>
      <c r="HI18" s="71"/>
      <c r="HJ18" s="32"/>
      <c r="HK18" s="72" t="str">
        <f t="array" ref="HK18">IFERROR(IF(XLOOKUP(CONCAT(HI18,HJ18),'MASTER PLAN'!$AB:$AB,'MASTER PLAN'!$J:$J,0,0)=0,"",XLOOKUP(CONCAT(HI18,HJ18),'MASTER PLAN'!$AB:$AB,'MASTER PLAN'!$J:$J,0,0)),"")</f>
        <v/>
      </c>
      <c r="HL18" s="73" t="str">
        <f t="array" ref="HL18">IFERROR(IF(XLOOKUP(CONCAT(HI18,HJ18),'PROCESOS PRD'!$J:$J,'PROCESOS PRD'!$H:$H,0,0)=0,"",XLOOKUP(CONCAT(HI18,HJ18),'PROCESOS PRD'!$J:$J,'PROCESOS PRD'!$H:$H,0,0)),"")</f>
        <v/>
      </c>
      <c r="HM18" s="70"/>
      <c r="HN18" s="71"/>
      <c r="HO18" s="32"/>
      <c r="HP18" s="72" t="str">
        <f t="array" ref="HP18">IFERROR(IF(XLOOKUP(CONCAT(HN18,HO18),'MASTER PLAN'!$AB:$AB,'MASTER PLAN'!$J:$J,0,0)=0,"",XLOOKUP(CONCAT(HN18,HO18),'MASTER PLAN'!$AB:$AB,'MASTER PLAN'!$J:$J,0,0)),"")</f>
        <v/>
      </c>
      <c r="HQ18" s="73" t="str">
        <f t="array" ref="HQ18">IFERROR(IF(XLOOKUP(CONCAT(HN18,HO18),'PROCESOS PRD'!$J:$J,'PROCESOS PRD'!$H:$H,0,0)=0,"",XLOOKUP(CONCAT(HN18,HO18),'PROCESOS PRD'!$J:$J,'PROCESOS PRD'!$H:$H,0,0)),"")</f>
        <v/>
      </c>
      <c r="HR18" s="71"/>
      <c r="HS18" s="32"/>
      <c r="HT18" s="72" t="str">
        <f t="array" ref="HT18">IFERROR(IF(XLOOKUP(CONCAT(HR18,HS18),'MASTER PLAN'!$AB:$AB,'MASTER PLAN'!$J:$J,0,0)=0,"",XLOOKUP(CONCAT(HR18,HS18),'MASTER PLAN'!$AB:$AB,'MASTER PLAN'!$J:$J,0,0)),"")</f>
        <v/>
      </c>
      <c r="HU18" s="73" t="str">
        <f t="array" ref="HU18">IFERROR(IF(XLOOKUP(CONCAT(HR18,HS18),'PROCESOS PRD'!$J:$J,'PROCESOS PRD'!$H:$H,0,0)=0,"",XLOOKUP(CONCAT(HR18,HS18),'PROCESOS PRD'!$J:$J,'PROCESOS PRD'!$H:$H,0,0)),"")</f>
        <v/>
      </c>
      <c r="HV18" s="71"/>
      <c r="HW18" s="32"/>
      <c r="HX18" s="72" t="str">
        <f t="array" ref="HX18">IFERROR(IF(XLOOKUP(CONCAT(HV18,HW18),'MASTER PLAN'!$AB:$AB,'MASTER PLAN'!$J:$J,0,0)=0,"",XLOOKUP(CONCAT(HV18,HW18),'MASTER PLAN'!$AB:$AB,'MASTER PLAN'!$J:$J,0,0)),"")</f>
        <v/>
      </c>
      <c r="HY18" s="73" t="str">
        <f t="array" ref="HY18">IFERROR(IF(XLOOKUP(CONCAT(HV18,HW18),'PROCESOS PRD'!$J:$J,'PROCESOS PRD'!$H:$H,0,0)=0,"",XLOOKUP(CONCAT(HV18,HW18),'PROCESOS PRD'!$J:$J,'PROCESOS PRD'!$H:$H,0,0)),"")</f>
        <v/>
      </c>
      <c r="HZ18" s="71"/>
      <c r="IA18" s="32"/>
      <c r="IB18" s="72" t="str">
        <f t="array" ref="IB18">IFERROR(IF(XLOOKUP(CONCAT(HZ18,IA18),'MASTER PLAN'!$AB:$AB,'MASTER PLAN'!$J:$J,0,0)=0,"",XLOOKUP(CONCAT(HZ18,IA18),'MASTER PLAN'!$AB:$AB,'MASTER PLAN'!$J:$J,0,0)),"")</f>
        <v/>
      </c>
      <c r="IC18" s="73" t="str">
        <f t="array" ref="IC18">IFERROR(IF(XLOOKUP(CONCAT(HZ18,IA18),'PROCESOS PRD'!$J:$J,'PROCESOS PRD'!$H:$H,0,0)=0,"",XLOOKUP(CONCAT(HZ18,IA18),'PROCESOS PRD'!$J:$J,'PROCESOS PRD'!$H:$H,0,0)),"")</f>
        <v/>
      </c>
      <c r="ID18" s="71"/>
      <c r="IE18" s="32"/>
      <c r="IF18" s="72" t="str">
        <f t="array" ref="IF18">IFERROR(IF(XLOOKUP(CONCAT(ID18,IE18),'MASTER PLAN'!$AB:$AB,'MASTER PLAN'!$J:$J,0,0)=0,"",XLOOKUP(CONCAT(ID18,IE18),'MASTER PLAN'!$AB:$AB,'MASTER PLAN'!$J:$J,0,0)),"")</f>
        <v/>
      </c>
      <c r="IG18" s="73" t="str">
        <f t="array" ref="IG18">IFERROR(IF(XLOOKUP(CONCAT(ID18,IE18),'PROCESOS PRD'!$J:$J,'PROCESOS PRD'!$H:$H,0,0)=0,"",XLOOKUP(CONCAT(ID18,IE18),'PROCESOS PRD'!$J:$J,'PROCESOS PRD'!$H:$H,0,0)),"")</f>
        <v/>
      </c>
      <c r="IH18" s="71"/>
      <c r="II18" s="32"/>
      <c r="IJ18" s="72" t="str">
        <f t="array" ref="IJ18">IFERROR(IF(XLOOKUP(CONCAT(IH18,II18),'MASTER PLAN'!$AB:$AB,'MASTER PLAN'!$J:$J,0,0)=0,"",XLOOKUP(CONCAT(IH18,II18),'MASTER PLAN'!$AB:$AB,'MASTER PLAN'!$J:$J,0,0)),"")</f>
        <v/>
      </c>
      <c r="IK18" s="73" t="str">
        <f t="array" ref="IK18">IFERROR(IF(XLOOKUP(CONCAT(IH18,II18),'PROCESOS PRD'!$J:$J,'PROCESOS PRD'!$H:$H,0,0)=0,"",XLOOKUP(CONCAT(IH18,II18),'PROCESOS PRD'!$J:$J,'PROCESOS PRD'!$H:$H,0,0)),"")</f>
        <v/>
      </c>
      <c r="IL18" s="70"/>
      <c r="IM18" s="71"/>
      <c r="IN18" s="32"/>
      <c r="IO18" s="72" t="str">
        <f t="array" ref="IO18">IFERROR(IF(XLOOKUP(CONCAT(IM18,IN18),'MASTER PLAN'!$AB:$AB,'MASTER PLAN'!$J:$J,0,0)=0,"",XLOOKUP(CONCAT(IM18,IN18),'MASTER PLAN'!$AB:$AB,'MASTER PLAN'!$J:$J,0,0)),"")</f>
        <v/>
      </c>
      <c r="IP18" s="73" t="str">
        <f t="array" ref="IP18">IFERROR(IF(XLOOKUP(CONCAT(IM18,IN18),'PROCESOS PRD'!$J:$J,'PROCESOS PRD'!$H:$H,0,0)=0,"",XLOOKUP(CONCAT(IM18,IN18),'PROCESOS PRD'!$J:$J,'PROCESOS PRD'!$H:$H,0,0)),"")</f>
        <v/>
      </c>
      <c r="IQ18" s="71"/>
      <c r="IR18" s="32"/>
      <c r="IS18" s="72" t="str">
        <f t="array" ref="IS18">IFERROR(IF(XLOOKUP(CONCAT(IQ18,IR18),'MASTER PLAN'!$AB:$AB,'MASTER PLAN'!$J:$J,0,0)=0,"",XLOOKUP(CONCAT(IQ18,IR18),'MASTER PLAN'!$AB:$AB,'MASTER PLAN'!$J:$J,0,0)),"")</f>
        <v/>
      </c>
      <c r="IT18" s="73" t="str">
        <f t="array" ref="IT18">IFERROR(IF(XLOOKUP(CONCAT(IQ18,IR18),'PROCESOS PRD'!$J:$J,'PROCESOS PRD'!$H:$H,0,0)=0,"",XLOOKUP(CONCAT(IQ18,IR18),'PROCESOS PRD'!$J:$J,'PROCESOS PRD'!$H:$H,0,0)),"")</f>
        <v/>
      </c>
      <c r="IU18" s="71"/>
      <c r="IV18" s="32"/>
      <c r="IW18" s="72" t="str">
        <f t="array" ref="IW18">IFERROR(IF(XLOOKUP(CONCAT(IU18,IV18),'MASTER PLAN'!$AB:$AB,'MASTER PLAN'!$J:$J,0,0)=0,"",XLOOKUP(CONCAT(IU18,IV18),'MASTER PLAN'!$AB:$AB,'MASTER PLAN'!$J:$J,0,0)),"")</f>
        <v/>
      </c>
      <c r="IX18" s="73" t="str">
        <f t="array" ref="IX18">IFERROR(IF(XLOOKUP(CONCAT(IU18,IV18),'PROCESOS PRD'!$J:$J,'PROCESOS PRD'!$H:$H,0,0)=0,"",XLOOKUP(CONCAT(IU18,IV18),'PROCESOS PRD'!$J:$J,'PROCESOS PRD'!$H:$H,0,0)),"")</f>
        <v/>
      </c>
      <c r="IY18" s="71"/>
      <c r="IZ18" s="32"/>
      <c r="JA18" s="72" t="str">
        <f t="array" ref="JA18">IFERROR(IF(XLOOKUP(CONCAT(IY18,IZ18),'MASTER PLAN'!$AB:$AB,'MASTER PLAN'!$J:$J,0,0)=0,"",XLOOKUP(CONCAT(IY18,IZ18),'MASTER PLAN'!$AB:$AB,'MASTER PLAN'!$J:$J,0,0)),"")</f>
        <v/>
      </c>
      <c r="JB18" s="73" t="str">
        <f t="array" ref="JB18">IFERROR(IF(XLOOKUP(CONCAT(IY18,IZ18),'PROCESOS PRD'!$J:$J,'PROCESOS PRD'!$H:$H,0,0)=0,"",XLOOKUP(CONCAT(IY18,IZ18),'PROCESOS PRD'!$J:$J,'PROCESOS PRD'!$H:$H,0,0)),"")</f>
        <v/>
      </c>
      <c r="JC18" s="71"/>
      <c r="JD18" s="32"/>
      <c r="JE18" s="72" t="str">
        <f t="array" ref="JE18">IFERROR(IF(XLOOKUP(CONCAT(JC18,JD18),'MASTER PLAN'!$AB:$AB,'MASTER PLAN'!$J:$J,0,0)=0,"",XLOOKUP(CONCAT(JC18,JD18),'MASTER PLAN'!$AB:$AB,'MASTER PLAN'!$J:$J,0,0)),"")</f>
        <v/>
      </c>
      <c r="JF18" s="73" t="str">
        <f t="array" ref="JF18">IFERROR(IF(XLOOKUP(CONCAT(JC18,JD18),'PROCESOS PRD'!$J:$J,'PROCESOS PRD'!$H:$H,0,0)=0,"",XLOOKUP(CONCAT(JC18,JD18),'PROCESOS PRD'!$J:$J,'PROCESOS PRD'!$H:$H,0,0)),"")</f>
        <v/>
      </c>
      <c r="JG18" s="71"/>
      <c r="JH18" s="32"/>
      <c r="JI18" s="72" t="str">
        <f t="array" ref="JI18">IFERROR(IF(XLOOKUP(CONCAT(JG18,JH18),'MASTER PLAN'!$AB:$AB,'MASTER PLAN'!$J:$J,0,0)=0,"",XLOOKUP(CONCAT(JG18,JH18),'MASTER PLAN'!$AB:$AB,'MASTER PLAN'!$J:$J,0,0)),"")</f>
        <v/>
      </c>
      <c r="JJ18" s="73" t="str">
        <f t="array" ref="JJ18">IFERROR(IF(XLOOKUP(CONCAT(JG18,JH18),'PROCESOS PRD'!$J:$J,'PROCESOS PRD'!$H:$H,0,0)=0,"",XLOOKUP(CONCAT(JG18,JH18),'PROCESOS PRD'!$J:$J,'PROCESOS PRD'!$H:$H,0,0)),"")</f>
        <v/>
      </c>
      <c r="JK18" s="70"/>
      <c r="JL18" s="71"/>
      <c r="JM18" s="32"/>
      <c r="JN18" s="72" t="str">
        <f t="array" ref="JN18">IFERROR(IF(XLOOKUP(CONCAT(JL18,JM18),'MASTER PLAN'!$AB:$AB,'MASTER PLAN'!$J:$J,0,0)=0,"",XLOOKUP(CONCAT(JL18,JM18),'MASTER PLAN'!$AB:$AB,'MASTER PLAN'!$J:$J,0,0)),"")</f>
        <v/>
      </c>
      <c r="JO18" s="73" t="str">
        <f t="array" ref="JO18">IFERROR(IF(XLOOKUP(CONCAT(JL18,JM18),'PROCESOS PRD'!$J:$J,'PROCESOS PRD'!$H:$H,0,0)=0,"",XLOOKUP(CONCAT(JL18,JM18),'PROCESOS PRD'!$J:$J,'PROCESOS PRD'!$H:$H,0,0)),"")</f>
        <v/>
      </c>
      <c r="JP18" s="71"/>
      <c r="JQ18" s="32"/>
      <c r="JR18" s="72" t="str">
        <f t="array" ref="JR18">IFERROR(IF(XLOOKUP(CONCAT(JP18,JQ18),'MASTER PLAN'!$AB:$AB,'MASTER PLAN'!$J:$J,0,0)=0,"",XLOOKUP(CONCAT(JP18,JQ18),'MASTER PLAN'!$AB:$AB,'MASTER PLAN'!$J:$J,0,0)),"")</f>
        <v/>
      </c>
      <c r="JS18" s="73" t="str">
        <f t="array" ref="JS18">IFERROR(IF(XLOOKUP(CONCAT(JP18,JQ18),'PROCESOS PRD'!$J:$J,'PROCESOS PRD'!$H:$H,0,0)=0,"",XLOOKUP(CONCAT(JP18,JQ18),'PROCESOS PRD'!$J:$J,'PROCESOS PRD'!$H:$H,0,0)),"")</f>
        <v/>
      </c>
      <c r="JT18" s="71"/>
      <c r="JU18" s="32"/>
      <c r="JV18" s="72" t="str">
        <f t="array" ref="JV18">IFERROR(IF(XLOOKUP(CONCAT(JT18,JU18),'MASTER PLAN'!$AB:$AB,'MASTER PLAN'!$J:$J,0,0)=0,"",XLOOKUP(CONCAT(JT18,JU18),'MASTER PLAN'!$AB:$AB,'MASTER PLAN'!$J:$J,0,0)),"")</f>
        <v/>
      </c>
      <c r="JW18" s="73" t="str">
        <f t="array" ref="JW18">IFERROR(IF(XLOOKUP(CONCAT(JT18,JU18),'PROCESOS PRD'!$J:$J,'PROCESOS PRD'!$H:$H,0,0)=0,"",XLOOKUP(CONCAT(JT18,JU18),'PROCESOS PRD'!$J:$J,'PROCESOS PRD'!$H:$H,0,0)),"")</f>
        <v/>
      </c>
      <c r="JX18" s="71"/>
      <c r="JY18" s="32"/>
      <c r="JZ18" s="72" t="str">
        <f t="array" ref="JZ18">IFERROR(IF(XLOOKUP(CONCAT(JX18,JY18),'MASTER PLAN'!$AB:$AB,'MASTER PLAN'!$J:$J,0,0)=0,"",XLOOKUP(CONCAT(JX18,JY18),'MASTER PLAN'!$AB:$AB,'MASTER PLAN'!$J:$J,0,0)),"")</f>
        <v/>
      </c>
      <c r="KA18" s="73" t="str">
        <f t="array" ref="KA18">IFERROR(IF(XLOOKUP(CONCAT(JX18,JY18),'PROCESOS PRD'!$J:$J,'PROCESOS PRD'!$H:$H,0,0)=0,"",XLOOKUP(CONCAT(JX18,JY18),'PROCESOS PRD'!$J:$J,'PROCESOS PRD'!$H:$H,0,0)),"")</f>
        <v/>
      </c>
      <c r="KB18" s="71"/>
      <c r="KC18" s="32"/>
      <c r="KD18" s="72" t="str">
        <f t="array" ref="KD18">IFERROR(IF(XLOOKUP(CONCAT(KB18,KC18),'MASTER PLAN'!$AB:$AB,'MASTER PLAN'!$J:$J,0,0)=0,"",XLOOKUP(CONCAT(KB18,KC18),'MASTER PLAN'!$AB:$AB,'MASTER PLAN'!$J:$J,0,0)),"")</f>
        <v/>
      </c>
      <c r="KE18" s="73" t="str">
        <f t="array" ref="KE18">IFERROR(IF(XLOOKUP(CONCAT(KB18,KC18),'PROCESOS PRD'!$J:$J,'PROCESOS PRD'!$H:$H,0,0)=0,"",XLOOKUP(CONCAT(KB18,KC18),'PROCESOS PRD'!$J:$J,'PROCESOS PRD'!$H:$H,0,0)),"")</f>
        <v/>
      </c>
      <c r="KF18" s="71"/>
      <c r="KG18" s="32"/>
      <c r="KH18" s="72" t="str">
        <f t="array" ref="KH18">IFERROR(IF(XLOOKUP(CONCAT(KF18,KG18),'MASTER PLAN'!$AB:$AB,'MASTER PLAN'!$J:$J,0,0)=0,"",XLOOKUP(CONCAT(KF18,KG18),'MASTER PLAN'!$AB:$AB,'MASTER PLAN'!$J:$J,0,0)),"")</f>
        <v/>
      </c>
      <c r="KI18" s="73" t="str">
        <f t="array" ref="KI18">IFERROR(IF(XLOOKUP(CONCAT(KF18,KG18),'PROCESOS PRD'!$J:$J,'PROCESOS PRD'!$H:$H,0,0)=0,"",XLOOKUP(CONCAT(KF18,KG18),'PROCESOS PRD'!$J:$J,'PROCESOS PRD'!$H:$H,0,0)),"")</f>
        <v/>
      </c>
      <c r="KJ18" s="70"/>
      <c r="KK18" s="70"/>
      <c r="KL18" s="70"/>
      <c r="KM18" s="70"/>
      <c r="KN18" s="70"/>
      <c r="KO18" s="70"/>
      <c r="KP18" s="70"/>
      <c r="KQ18" s="70"/>
      <c r="KR18" s="70"/>
      <c r="KS18" s="70"/>
      <c r="KT18" s="70"/>
      <c r="KU18" s="70"/>
      <c r="KV18" s="70"/>
      <c r="KW18" s="70"/>
      <c r="KX18" s="70"/>
      <c r="KY18" s="70"/>
      <c r="KZ18" s="70"/>
      <c r="LA18" s="70"/>
      <c r="LB18" s="70"/>
      <c r="LC18" s="70"/>
    </row>
    <row r="19">
      <c r="A19" s="42"/>
      <c r="B19" s="74"/>
      <c r="C19" s="69"/>
      <c r="D19" s="70"/>
      <c r="E19" s="71"/>
      <c r="F19" s="32"/>
      <c r="G19" s="72" t="str">
        <f t="array" ref="G19">IFERROR(IF(XLOOKUP(CONCAT(E19,F19),'MASTER PLAN'!$AB:$AB,'MASTER PLAN'!$J:$J,0,0)=0,"",XLOOKUP(CONCAT(E19,F19),'MASTER PLAN'!$AB:$AB,'MASTER PLAN'!$J:$J,0,0)),"")</f>
        <v/>
      </c>
      <c r="H19" s="73" t="str">
        <f t="array" ref="H19">IFERROR(IF(XLOOKUP(CONCAT(E19,F19),'PROCESOS PRD'!$J:$J,'PROCESOS PRD'!$H:$H,0,0)=0,"",XLOOKUP(CONCAT(E19,F19),'PROCESOS PRD'!$J:$J,'PROCESOS PRD'!$H:$H,0,0)),"")</f>
        <v/>
      </c>
      <c r="I19" s="71"/>
      <c r="J19" s="32"/>
      <c r="K19" s="72" t="str">
        <f t="array" ref="K19">IFERROR(IF(XLOOKUP(CONCAT(I19,J19),'MASTER PLAN'!$AB:$AB,'MASTER PLAN'!$J:$J,0,0)=0,"",XLOOKUP(CONCAT(I19,J19),'MASTER PLAN'!$AB:$AB,'MASTER PLAN'!$J:$J,0,0)),"")</f>
        <v/>
      </c>
      <c r="L19" s="73" t="str">
        <f t="array" ref="L19">IFERROR(IF(XLOOKUP(CONCAT(I19,J19),'PROCESOS PRD'!$J:$J,'PROCESOS PRD'!$H:$H,0,0)=0,"",XLOOKUP(CONCAT(I19,J19),'PROCESOS PRD'!$J:$J,'PROCESOS PRD'!$H:$H,0,0)),"")</f>
        <v/>
      </c>
      <c r="M19" s="71"/>
      <c r="N19" s="32"/>
      <c r="O19" s="72" t="str">
        <f t="array" ref="O19">IFERROR(IF(XLOOKUP(CONCAT(M19,N19),'MASTER PLAN'!$AB:$AB,'MASTER PLAN'!$J:$J,0,0)=0,"",XLOOKUP(CONCAT(M19,N19),'MASTER PLAN'!$AB:$AB,'MASTER PLAN'!$J:$J,0,0)),"")</f>
        <v/>
      </c>
      <c r="P19" s="73" t="str">
        <f t="array" ref="P19">IFERROR(IF(XLOOKUP(CONCAT(M19,N19),'PROCESOS PRD'!$J:$J,'PROCESOS PRD'!$H:$H,0,0)=0,"",XLOOKUP(CONCAT(M19,N19),'PROCESOS PRD'!$J:$J,'PROCESOS PRD'!$H:$H,0,0)),"")</f>
        <v/>
      </c>
      <c r="Q19" s="71"/>
      <c r="R19" s="32"/>
      <c r="S19" s="72" t="str">
        <f t="array" ref="S19">IFERROR(IF(XLOOKUP(CONCAT(Q19,R19),'MASTER PLAN'!$AB:$AB,'MASTER PLAN'!$J:$J,0,0)=0,"",XLOOKUP(CONCAT(Q19,R19),'MASTER PLAN'!$AB:$AB,'MASTER PLAN'!$J:$J,0,0)),"")</f>
        <v/>
      </c>
      <c r="T19" s="73" t="str">
        <f t="array" ref="T19">IFERROR(IF(XLOOKUP(CONCAT(Q19,R19),'PROCESOS PRD'!$J:$J,'PROCESOS PRD'!$H:$H,0,0)=0,"",XLOOKUP(CONCAT(Q19,R19),'PROCESOS PRD'!$J:$J,'PROCESOS PRD'!$H:$H,0,0)),"")</f>
        <v/>
      </c>
      <c r="U19" s="70"/>
      <c r="V19" s="71"/>
      <c r="W19" s="32"/>
      <c r="X19" s="72" t="str">
        <f t="array" ref="X19">IFERROR(IF(XLOOKUP(CONCAT(V19,W19),'MASTER PLAN'!$AB:$AB,'MASTER PLAN'!$J:$J,0,0)=0,"",XLOOKUP(CONCAT(V19,W19),'MASTER PLAN'!$AB:$AB,'MASTER PLAN'!$J:$J,0,0)),"")</f>
        <v/>
      </c>
      <c r="Y19" s="73" t="str">
        <f t="array" ref="Y19">IFERROR(IF(XLOOKUP(CONCAT(V19,W19),'PROCESOS PRD'!$J:$J,'PROCESOS PRD'!$H:$H,0,0)=0,"",XLOOKUP(CONCAT(V19,W19),'PROCESOS PRD'!$J:$J,'PROCESOS PRD'!$H:$H,0,0)),"")</f>
        <v/>
      </c>
      <c r="Z19" s="71"/>
      <c r="AA19" s="32"/>
      <c r="AB19" s="72" t="str">
        <f t="array" ref="AB19">IFERROR(IF(XLOOKUP(CONCAT(Z19,AA19),'MASTER PLAN'!$AB:$AB,'MASTER PLAN'!$J:$J,0,0)=0,"",XLOOKUP(CONCAT(Z19,AA19),'MASTER PLAN'!$AB:$AB,'MASTER PLAN'!$J:$J,0,0)),"")</f>
        <v/>
      </c>
      <c r="AC19" s="73" t="str">
        <f t="array" ref="AC19">IFERROR(IF(XLOOKUP(CONCAT(Z19,AA19),'PROCESOS PRD'!$J:$J,'PROCESOS PRD'!$H:$H,0,0)=0,"",XLOOKUP(CONCAT(Z19,AA19),'PROCESOS PRD'!$J:$J,'PROCESOS PRD'!$H:$H,0,0)),"")</f>
        <v/>
      </c>
      <c r="AD19" s="71"/>
      <c r="AE19" s="32"/>
      <c r="AF19" s="72" t="str">
        <f t="array" ref="AF19">IFERROR(IF(XLOOKUP(CONCAT(AD19,AE19),'MASTER PLAN'!$AB:$AB,'MASTER PLAN'!$J:$J,0,0)=0,"",XLOOKUP(CONCAT(AD19,AE19),'MASTER PLAN'!$AB:$AB,'MASTER PLAN'!$J:$J,0,0)),"")</f>
        <v/>
      </c>
      <c r="AG19" s="73" t="str">
        <f t="array" ref="AG19">IFERROR(IF(XLOOKUP(CONCAT(AD19,AE19),'PROCESOS PRD'!$J:$J,'PROCESOS PRD'!$H:$H,0,0)=0,"",XLOOKUP(CONCAT(AD19,AE19),'PROCESOS PRD'!$J:$J,'PROCESOS PRD'!$H:$H,0,0)),"")</f>
        <v/>
      </c>
      <c r="AH19" s="71"/>
      <c r="AI19" s="32"/>
      <c r="AJ19" s="72" t="str">
        <f t="array" ref="AJ19">IFERROR(IF(XLOOKUP(CONCAT(AH19,AI19),'MASTER PLAN'!$AB:$AB,'MASTER PLAN'!$J:$J,0,0)=0,"",XLOOKUP(CONCAT(AH19,AI19),'MASTER PLAN'!$AB:$AB,'MASTER PLAN'!$J:$J,0,0)),"")</f>
        <v/>
      </c>
      <c r="AK19" s="73" t="str">
        <f t="array" ref="AK19">IFERROR(IF(XLOOKUP(CONCAT(AH19,AI19),'PROCESOS PRD'!$J:$J,'PROCESOS PRD'!$H:$H,0,0)=0,"",XLOOKUP(CONCAT(AH19,AI19),'PROCESOS PRD'!$J:$J,'PROCESOS PRD'!$H:$H,0,0)),"")</f>
        <v/>
      </c>
      <c r="AL19" s="90"/>
      <c r="AM19" s="91"/>
      <c r="AN19" s="72" t="str">
        <f t="array" ref="AN19">IFERROR(IF(XLOOKUP(CONCAT(AL19,AM19),'MASTER PLAN'!$AB:$AB,'MASTER PLAN'!$J:$J,0,0)=0,"",XLOOKUP(CONCAT(AL19,AM19),'MASTER PLAN'!$AB:$AB,'MASTER PLAN'!$J:$J,0,0)),"")</f>
        <v/>
      </c>
      <c r="AO19" s="73" t="str">
        <f t="array" ref="AO19">IFERROR(IF(XLOOKUP(CONCAT(AL19,AM19),'PROCESOS PRD'!$J:$J,'PROCESOS PRD'!$H:$H,0,0)=0,"",XLOOKUP(CONCAT(AL19,AM19),'PROCESOS PRD'!$J:$J,'PROCESOS PRD'!$H:$H,0,0)),"")</f>
        <v/>
      </c>
      <c r="AP19" s="71">
        <v>1.40204935E9</v>
      </c>
      <c r="AQ19" s="32">
        <v>20.0</v>
      </c>
      <c r="AR19" s="72" t="str">
        <f t="array" ref="AR19">IFERROR(IF(XLOOKUP(CONCAT(AP19,AQ19),'MASTER PLAN'!$AB:$AB,'MASTER PLAN'!$J:$J,0,0)=0,"",XLOOKUP(CONCAT(AP19,AQ19),'MASTER PLAN'!$AB:$AB,'MASTER PLAN'!$J:$J,0,0)),"")</f>
        <v>BOLSA WSMJ MAYORS WOS 10"X6"X10" FA</v>
      </c>
      <c r="AS19" s="73">
        <f t="array" ref="AS19">IFERROR(IF(XLOOKUP(CONCAT(AP19,AQ19),'PROCESOS PRD'!$J:$J,'PROCESOS PRD'!$H:$H,0,0)=0,"",XLOOKUP(CONCAT(AP19,AQ19),'PROCESOS PRD'!$J:$J,'PROCESOS PRD'!$H:$H,0,0)),"")</f>
        <v>14400</v>
      </c>
      <c r="AT19" s="70"/>
      <c r="AU19" s="71">
        <v>1.40204935E9</v>
      </c>
      <c r="AV19" s="32">
        <v>20.0</v>
      </c>
      <c r="AW19" s="72" t="str">
        <f t="array" ref="AW19">IFERROR(IF(XLOOKUP(CONCAT(AU19,AV19),'MASTER PLAN'!$AB:$AB,'MASTER PLAN'!$J:$J,0,0)=0,"",XLOOKUP(CONCAT(AU19,AV19),'MASTER PLAN'!$AB:$AB,'MASTER PLAN'!$J:$J,0,0)),"")</f>
        <v>BOLSA WSMJ MAYORS WOS 10"X6"X10" FA</v>
      </c>
      <c r="AX19" s="73">
        <f t="array" ref="AX19">IFERROR(IF(XLOOKUP(CONCAT(AU19,AV19),'PROCESOS PRD'!$J:$J,'PROCESOS PRD'!$H:$H,0,0)=0,"",XLOOKUP(CONCAT(AU19,AV19),'PROCESOS PRD'!$J:$J,'PROCESOS PRD'!$H:$H,0,0)),"")</f>
        <v>14400</v>
      </c>
      <c r="AY19" s="90"/>
      <c r="AZ19" s="91"/>
      <c r="BA19" s="72" t="str">
        <f t="array" ref="BA19">IFERROR(IF(XLOOKUP(CONCAT(AY19,AZ19),'MASTER PLAN'!$AB:$AB,'MASTER PLAN'!$J:$J,0,0)=0,"",XLOOKUP(CONCAT(AY19,AZ19),'MASTER PLAN'!$AB:$AB,'MASTER PLAN'!$J:$J,0,0)),"")</f>
        <v/>
      </c>
      <c r="BB19" s="73" t="str">
        <f t="array" ref="BB19">IFERROR(IF(XLOOKUP(CONCAT(AY19,AZ19),'PROCESOS PRD'!$J:$J,'PROCESOS PRD'!$H:$H,0,0)=0,"",XLOOKUP(CONCAT(AY19,AZ19),'PROCESOS PRD'!$J:$J,'PROCESOS PRD'!$H:$H,0,0)),"")</f>
        <v/>
      </c>
      <c r="BC19" s="71"/>
      <c r="BD19" s="32"/>
      <c r="BE19" s="72" t="str">
        <f t="array" ref="BE19">IFERROR(IF(XLOOKUP(CONCAT(BC19,BD19),'MASTER PLAN'!$AB:$AB,'MASTER PLAN'!$J:$J,0,0)=0,"",XLOOKUP(CONCAT(BC19,BD19),'MASTER PLAN'!$AB:$AB,'MASTER PLAN'!$J:$J,0,0)),"")</f>
        <v/>
      </c>
      <c r="BF19" s="73" t="str">
        <f t="array" ref="BF19">IFERROR(IF(XLOOKUP(CONCAT(BC19,BD19),'PROCESOS PRD'!$J:$J,'PROCESOS PRD'!$H:$H,0,0)=0,"",XLOOKUP(CONCAT(BC19,BD19),'PROCESOS PRD'!$J:$J,'PROCESOS PRD'!$H:$H,0,0)),"")</f>
        <v/>
      </c>
      <c r="BG19" s="71">
        <v>1.402049419E9</v>
      </c>
      <c r="BH19" s="32">
        <v>20.0</v>
      </c>
      <c r="BI19" s="72" t="str">
        <f t="array" ref="BI19">IFERROR(IF(XLOOKUP(CONCAT(BG19,BH19),'MASTER PLAN'!$AB:$AB,'MASTER PLAN'!$J:$J,0,0)=0,"",XLOOKUP(CONCAT(BG19,BH19),'MASTER PLAN'!$AB:$AB,'MASTER PLAN'!$J:$J,0,0)),"")</f>
        <v>BOLSA COMERCIAL SORIA 6-5X3-5X6-5 IN FC</v>
      </c>
      <c r="BJ19" s="73">
        <f t="array" ref="BJ19">IFERROR(IF(XLOOKUP(CONCAT(BG19,BH19),'PROCESOS PRD'!$J:$J,'PROCESOS PRD'!$H:$H,0,0)=0,"",XLOOKUP(CONCAT(BG19,BH19),'PROCESOS PRD'!$J:$J,'PROCESOS PRD'!$H:$H,0,0)),"")</f>
        <v>1800</v>
      </c>
      <c r="BK19" s="71">
        <v>1.402049358E9</v>
      </c>
      <c r="BL19" s="32">
        <v>10.0</v>
      </c>
      <c r="BM19" s="72" t="str">
        <f t="array" ref="BM19">IFERROR(IF(XLOOKUP(CONCAT(BK19,BL19),'MASTER PLAN'!$AB:$AB,'MASTER PLAN'!$J:$J,0,0)=0,"",XLOOKUP(CONCAT(BK19,BL19),'MASTER PLAN'!$AB:$AB,'MASTER PLAN'!$J:$J,0,0)),"")</f>
        <v>BOLSA JON'S FINE JEWELRY 5"X4"X7"</v>
      </c>
      <c r="BN19" s="73">
        <f t="array" ref="BN19">IFERROR(IF(XLOOKUP(CONCAT(BK19,BL19),'PROCESOS PRD'!$J:$J,'PROCESOS PRD'!$H:$H,0,0)=0,"",XLOOKUP(CONCAT(BK19,BL19),'PROCESOS PRD'!$J:$J,'PROCESOS PRD'!$H:$H,0,0)),"")</f>
        <v>1200</v>
      </c>
      <c r="BO19" s="71"/>
      <c r="BP19" s="32"/>
      <c r="BQ19" s="72" t="str">
        <f t="array" ref="BQ19">IFERROR(IF(XLOOKUP(CONCAT(BO19,BP19),'MASTER PLAN'!$AB:$AB,'MASTER PLAN'!$J:$J,0,0)=0,"",XLOOKUP(CONCAT(BO19,BP19),'MASTER PLAN'!$AB:$AB,'MASTER PLAN'!$J:$J,0,0)),"")</f>
        <v/>
      </c>
      <c r="BR19" s="73" t="str">
        <f t="array" ref="BR19">IFERROR(IF(XLOOKUP(CONCAT(BO19,BP19),'PROCESOS PRD'!$J:$J,'PROCESOS PRD'!$H:$H,0,0)=0,"",XLOOKUP(CONCAT(BO19,BP19),'PROCESOS PRD'!$J:$J,'PROCESOS PRD'!$H:$H,0,0)),"")</f>
        <v/>
      </c>
      <c r="BS19" s="70"/>
      <c r="BT19" s="71"/>
      <c r="BU19" s="32"/>
      <c r="BV19" s="72" t="str">
        <f t="array" ref="BV19">IFERROR(IF(XLOOKUP(CONCAT(BT19,BU19),'MASTER PLAN'!$AB:$AB,'MASTER PLAN'!$J:$J,0,0)=0,"",XLOOKUP(CONCAT(BT19,BU19),'MASTER PLAN'!$AB:$AB,'MASTER PLAN'!$J:$J,0,0)),"")</f>
        <v/>
      </c>
      <c r="BW19" s="73" t="str">
        <f t="array" ref="BW19">IFERROR(IF(XLOOKUP(CONCAT(BT19,BU19),'PROCESOS PRD'!$J:$J,'PROCESOS PRD'!$H:$H,0,0)=0,"",XLOOKUP(CONCAT(BT19,BU19),'PROCESOS PRD'!$J:$J,'PROCESOS PRD'!$H:$H,0,0)),"")</f>
        <v/>
      </c>
      <c r="BX19" s="71"/>
      <c r="BY19" s="32"/>
      <c r="BZ19" s="72" t="str">
        <f t="array" ref="BZ19">IFERROR(IF(XLOOKUP(CONCAT(BX19,BY19),'MASTER PLAN'!$AB:$AB,'MASTER PLAN'!$J:$J,0,0)=0,"",XLOOKUP(CONCAT(BX19,BY19),'MASTER PLAN'!$AB:$AB,'MASTER PLAN'!$J:$J,0,0)),"")</f>
        <v/>
      </c>
      <c r="CA19" s="73" t="str">
        <f t="array" ref="CA19">IFERROR(IF(XLOOKUP(CONCAT(BX19,BY19),'PROCESOS PRD'!$J:$J,'PROCESOS PRD'!$H:$H,0,0)=0,"",XLOOKUP(CONCAT(BX19,BY19),'PROCESOS PRD'!$J:$J,'PROCESOS PRD'!$H:$H,0,0)),"")</f>
        <v/>
      </c>
      <c r="CB19" s="71"/>
      <c r="CC19" s="32"/>
      <c r="CD19" s="72" t="str">
        <f t="array" ref="CD19">IFERROR(IF(XLOOKUP(CONCAT(CB19,CC19),'MASTER PLAN'!$AB:$AB,'MASTER PLAN'!$J:$J,0,0)=0,"",XLOOKUP(CONCAT(CB19,CC19),'MASTER PLAN'!$AB:$AB,'MASTER PLAN'!$J:$J,0,0)),"")</f>
        <v/>
      </c>
      <c r="CE19" s="73" t="str">
        <f t="array" ref="CE19">IFERROR(IF(XLOOKUP(CONCAT(CB19,CC19),'PROCESOS PRD'!$J:$J,'PROCESOS PRD'!$H:$H,0,0)=0,"",XLOOKUP(CONCAT(CB19,CC19),'PROCESOS PRD'!$J:$J,'PROCESOS PRD'!$H:$H,0,0)),"")</f>
        <v/>
      </c>
      <c r="CF19" s="71"/>
      <c r="CG19" s="32"/>
      <c r="CH19" s="72" t="str">
        <f t="array" ref="CH19">IFERROR(IF(XLOOKUP(CONCAT(CF19,CG19),'MASTER PLAN'!$AB:$AB,'MASTER PLAN'!$J:$J,0,0)=0,"",XLOOKUP(CONCAT(CF19,CG19),'MASTER PLAN'!$AB:$AB,'MASTER PLAN'!$J:$J,0,0)),"")</f>
        <v/>
      </c>
      <c r="CI19" s="73" t="str">
        <f t="array" ref="CI19">IFERROR(IF(XLOOKUP(CONCAT(CF19,CG19),'PROCESOS PRD'!$J:$J,'PROCESOS PRD'!$H:$H,0,0)=0,"",XLOOKUP(CONCAT(CF19,CG19),'PROCESOS PRD'!$J:$J,'PROCESOS PRD'!$H:$H,0,0)),"")</f>
        <v/>
      </c>
      <c r="CJ19" s="71"/>
      <c r="CK19" s="32"/>
      <c r="CL19" s="72" t="str">
        <f t="array" ref="CL19">IFERROR(IF(XLOOKUP(CONCAT(CJ19,CK19),'MASTER PLAN'!$AB:$AB,'MASTER PLAN'!$J:$J,0,0)=0,"",XLOOKUP(CONCAT(CJ19,CK19),'MASTER PLAN'!$AB:$AB,'MASTER PLAN'!$J:$J,0,0)),"")</f>
        <v/>
      </c>
      <c r="CM19" s="73" t="str">
        <f t="array" ref="CM19">IFERROR(IF(XLOOKUP(CONCAT(CJ19,CK19),'PROCESOS PRD'!$J:$J,'PROCESOS PRD'!$H:$H,0,0)=0,"",XLOOKUP(CONCAT(CJ19,CK19),'PROCESOS PRD'!$J:$J,'PROCESOS PRD'!$H:$H,0,0)),"")</f>
        <v/>
      </c>
      <c r="CN19" s="71"/>
      <c r="CO19" s="32"/>
      <c r="CP19" s="72" t="str">
        <f t="array" ref="CP19">IFERROR(IF(XLOOKUP(CONCAT(CN19,CO19),'MASTER PLAN'!$AB:$AB,'MASTER PLAN'!$J:$J,0,0)=0,"",XLOOKUP(CONCAT(CN19,CO19),'MASTER PLAN'!$AB:$AB,'MASTER PLAN'!$J:$J,0,0)),"")</f>
        <v/>
      </c>
      <c r="CQ19" s="73" t="str">
        <f t="array" ref="CQ19">IFERROR(IF(XLOOKUP(CONCAT(CN19,CO19),'PROCESOS PRD'!$J:$J,'PROCESOS PRD'!$H:$H,0,0)=0,"",XLOOKUP(CONCAT(CN19,CO19),'PROCESOS PRD'!$J:$J,'PROCESOS PRD'!$H:$H,0,0)),"")</f>
        <v/>
      </c>
      <c r="CR19" s="70"/>
      <c r="CS19" s="71"/>
      <c r="CT19" s="32"/>
      <c r="CU19" s="72" t="str">
        <f t="array" ref="CU19">IFERROR(IF(XLOOKUP(CONCAT(CS19,CT19),'MASTER PLAN'!$AB:$AB,'MASTER PLAN'!$J:$J,0,0)=0,"",XLOOKUP(CONCAT(CS19,CT19),'MASTER PLAN'!$AB:$AB,'MASTER PLAN'!$J:$J,0,0)),"")</f>
        <v/>
      </c>
      <c r="CV19" s="73" t="str">
        <f t="array" ref="CV19">IFERROR(IF(XLOOKUP(CONCAT(CS19,CT19),'PROCESOS PRD'!$J:$J,'PROCESOS PRD'!$H:$H,0,0)=0,"",XLOOKUP(CONCAT(CS19,CT19),'PROCESOS PRD'!$J:$J,'PROCESOS PRD'!$H:$H,0,0)),"")</f>
        <v/>
      </c>
      <c r="CW19" s="71"/>
      <c r="CX19" s="32"/>
      <c r="CY19" s="72" t="str">
        <f t="array" ref="CY19">IFERROR(IF(XLOOKUP(CONCAT(CW19,CX19),'MASTER PLAN'!$AB:$AB,'MASTER PLAN'!$J:$J,0,0)=0,"",XLOOKUP(CONCAT(CW19,CX19),'MASTER PLAN'!$AB:$AB,'MASTER PLAN'!$J:$J,0,0)),"")</f>
        <v/>
      </c>
      <c r="CZ19" s="73" t="str">
        <f t="array" ref="CZ19">IFERROR(IF(XLOOKUP(CONCAT(CW19,CX19),'PROCESOS PRD'!$J:$J,'PROCESOS PRD'!$H:$H,0,0)=0,"",XLOOKUP(CONCAT(CW19,CX19),'PROCESOS PRD'!$J:$J,'PROCESOS PRD'!$H:$H,0,0)),"")</f>
        <v/>
      </c>
      <c r="DA19" s="71"/>
      <c r="DB19" s="32"/>
      <c r="DC19" s="72" t="str">
        <f t="array" ref="DC19">IFERROR(IF(XLOOKUP(CONCAT(DA19,DB19),'MASTER PLAN'!$AB:$AB,'MASTER PLAN'!$J:$J,0,0)=0,"",XLOOKUP(CONCAT(DA19,DB19),'MASTER PLAN'!$AB:$AB,'MASTER PLAN'!$J:$J,0,0)),"")</f>
        <v/>
      </c>
      <c r="DD19" s="73" t="str">
        <f t="array" ref="DD19">IFERROR(IF(XLOOKUP(CONCAT(DA19,DB19),'PROCESOS PRD'!$J:$J,'PROCESOS PRD'!$H:$H,0,0)=0,"",XLOOKUP(CONCAT(DA19,DB19),'PROCESOS PRD'!$J:$J,'PROCESOS PRD'!$H:$H,0,0)),"")</f>
        <v/>
      </c>
      <c r="DE19" s="71"/>
      <c r="DF19" s="32"/>
      <c r="DG19" s="72" t="str">
        <f t="array" ref="DG19">IFERROR(IF(XLOOKUP(CONCAT(DE19,DF19),'MASTER PLAN'!$AB:$AB,'MASTER PLAN'!$J:$J,0,0)=0,"",XLOOKUP(CONCAT(DE19,DF19),'MASTER PLAN'!$AB:$AB,'MASTER PLAN'!$J:$J,0,0)),"")</f>
        <v/>
      </c>
      <c r="DH19" s="73" t="str">
        <f t="array" ref="DH19">IFERROR(IF(XLOOKUP(CONCAT(DE19,DF19),'PROCESOS PRD'!$J:$J,'PROCESOS PRD'!$H:$H,0,0)=0,"",XLOOKUP(CONCAT(DE19,DF19),'PROCESOS PRD'!$J:$J,'PROCESOS PRD'!$H:$H,0,0)),"")</f>
        <v/>
      </c>
      <c r="DI19" s="71"/>
      <c r="DJ19" s="32"/>
      <c r="DK19" s="72" t="str">
        <f t="array" ref="DK19">IFERROR(IF(XLOOKUP(CONCAT(DI19,DJ19),'MASTER PLAN'!$AB:$AB,'MASTER PLAN'!$J:$J,0,0)=0,"",XLOOKUP(CONCAT(DI19,DJ19),'MASTER PLAN'!$AB:$AB,'MASTER PLAN'!$J:$J,0,0)),"")</f>
        <v/>
      </c>
      <c r="DL19" s="73" t="str">
        <f t="array" ref="DL19">IFERROR(IF(XLOOKUP(CONCAT(DI19,DJ19),'PROCESOS PRD'!$J:$J,'PROCESOS PRD'!$H:$H,0,0)=0,"",XLOOKUP(CONCAT(DI19,DJ19),'PROCESOS PRD'!$J:$J,'PROCESOS PRD'!$H:$H,0,0)),"")</f>
        <v/>
      </c>
      <c r="DM19" s="71"/>
      <c r="DN19" s="32"/>
      <c r="DO19" s="72" t="str">
        <f t="array" ref="DO19">IFERROR(IF(XLOOKUP(CONCAT(DM19,DN19),'MASTER PLAN'!$AB:$AB,'MASTER PLAN'!$J:$J,0,0)=0,"",XLOOKUP(CONCAT(DM19,DN19),'MASTER PLAN'!$AB:$AB,'MASTER PLAN'!$J:$J,0,0)),"")</f>
        <v/>
      </c>
      <c r="DP19" s="73" t="str">
        <f t="array" ref="DP19">IFERROR(IF(XLOOKUP(CONCAT(DM19,DN19),'PROCESOS PRD'!$J:$J,'PROCESOS PRD'!$H:$H,0,0)=0,"",XLOOKUP(CONCAT(DM19,DN19),'PROCESOS PRD'!$J:$J,'PROCESOS PRD'!$H:$H,0,0)),"")</f>
        <v/>
      </c>
      <c r="DQ19" s="70"/>
      <c r="DR19" s="71"/>
      <c r="DS19" s="32"/>
      <c r="DT19" s="72" t="str">
        <f t="array" ref="DT19">IFERROR(IF(XLOOKUP(CONCAT(DR19,DS19),'MASTER PLAN'!$AB:$AB,'MASTER PLAN'!$J:$J,0,0)=0,"",XLOOKUP(CONCAT(DR19,DS19),'MASTER PLAN'!$AB:$AB,'MASTER PLAN'!$J:$J,0,0)),"")</f>
        <v/>
      </c>
      <c r="DU19" s="73" t="str">
        <f t="array" ref="DU19">IFERROR(IF(XLOOKUP(CONCAT(DR19,DS19),'PROCESOS PRD'!$J:$J,'PROCESOS PRD'!$H:$H,0,0)=0,"",XLOOKUP(CONCAT(DR19,DS19),'PROCESOS PRD'!$J:$J,'PROCESOS PRD'!$H:$H,0,0)),"")</f>
        <v/>
      </c>
      <c r="DV19" s="71"/>
      <c r="DW19" s="32"/>
      <c r="DX19" s="72" t="str">
        <f t="array" ref="DX19">IFERROR(IF(XLOOKUP(CONCAT(DV19,DW19),'MASTER PLAN'!$AB:$AB,'MASTER PLAN'!$J:$J,0,0)=0,"",XLOOKUP(CONCAT(DV19,DW19),'MASTER PLAN'!$AB:$AB,'MASTER PLAN'!$J:$J,0,0)),"")</f>
        <v/>
      </c>
      <c r="DY19" s="73" t="str">
        <f t="array" ref="DY19">IFERROR(IF(XLOOKUP(CONCAT(DV19,DW19),'PROCESOS PRD'!$J:$J,'PROCESOS PRD'!$H:$H,0,0)=0,"",XLOOKUP(CONCAT(DV19,DW19),'PROCESOS PRD'!$J:$J,'PROCESOS PRD'!$H:$H,0,0)),"")</f>
        <v/>
      </c>
      <c r="DZ19" s="71"/>
      <c r="EA19" s="32"/>
      <c r="EB19" s="72" t="str">
        <f t="array" ref="EB19">IFERROR(IF(XLOOKUP(CONCAT(DZ19,EA19),'MASTER PLAN'!$AB:$AB,'MASTER PLAN'!$J:$J,0,0)=0,"",XLOOKUP(CONCAT(DZ19,EA19),'MASTER PLAN'!$AB:$AB,'MASTER PLAN'!$J:$J,0,0)),"")</f>
        <v/>
      </c>
      <c r="EC19" s="73" t="str">
        <f t="array" ref="EC19">IFERROR(IF(XLOOKUP(CONCAT(DZ19,EA19),'PROCESOS PRD'!$J:$J,'PROCESOS PRD'!$H:$H,0,0)=0,"",XLOOKUP(CONCAT(DZ19,EA19),'PROCESOS PRD'!$J:$J,'PROCESOS PRD'!$H:$H,0,0)),"")</f>
        <v/>
      </c>
      <c r="ED19" s="71"/>
      <c r="EE19" s="32"/>
      <c r="EF19" s="72" t="str">
        <f t="array" ref="EF19">IFERROR(IF(XLOOKUP(CONCAT(ED19,EE19),'MASTER PLAN'!$AB:$AB,'MASTER PLAN'!$J:$J,0,0)=0,"",XLOOKUP(CONCAT(ED19,EE19),'MASTER PLAN'!$AB:$AB,'MASTER PLAN'!$J:$J,0,0)),"")</f>
        <v/>
      </c>
      <c r="EG19" s="73" t="str">
        <f t="array" ref="EG19">IFERROR(IF(XLOOKUP(CONCAT(ED19,EE19),'PROCESOS PRD'!$J:$J,'PROCESOS PRD'!$H:$H,0,0)=0,"",XLOOKUP(CONCAT(ED19,EE19),'PROCESOS PRD'!$J:$J,'PROCESOS PRD'!$H:$H,0,0)),"")</f>
        <v/>
      </c>
      <c r="EH19" s="71"/>
      <c r="EI19" s="32"/>
      <c r="EJ19" s="72" t="str">
        <f t="array" ref="EJ19">IFERROR(IF(XLOOKUP(CONCAT(EH19,EI19),'MASTER PLAN'!$AB:$AB,'MASTER PLAN'!$J:$J,0,0)=0,"",XLOOKUP(CONCAT(EH19,EI19),'MASTER PLAN'!$AB:$AB,'MASTER PLAN'!$J:$J,0,0)),"")</f>
        <v/>
      </c>
      <c r="EK19" s="73" t="str">
        <f t="array" ref="EK19">IFERROR(IF(XLOOKUP(CONCAT(EH19,EI19),'PROCESOS PRD'!$J:$J,'PROCESOS PRD'!$H:$H,0,0)=0,"",XLOOKUP(CONCAT(EH19,EI19),'PROCESOS PRD'!$J:$J,'PROCESOS PRD'!$H:$H,0,0)),"")</f>
        <v/>
      </c>
      <c r="EL19" s="71"/>
      <c r="EM19" s="32"/>
      <c r="EN19" s="72" t="str">
        <f t="array" ref="EN19">IFERROR(IF(XLOOKUP(CONCAT(EL19,EM19),'MASTER PLAN'!$AB:$AB,'MASTER PLAN'!$J:$J,0,0)=0,"",XLOOKUP(CONCAT(EL19,EM19),'MASTER PLAN'!$AB:$AB,'MASTER PLAN'!$J:$J,0,0)),"")</f>
        <v/>
      </c>
      <c r="EO19" s="73" t="str">
        <f t="array" ref="EO19">IFERROR(IF(XLOOKUP(CONCAT(EL19,EM19),'PROCESOS PRD'!$J:$J,'PROCESOS PRD'!$H:$H,0,0)=0,"",XLOOKUP(CONCAT(EL19,EM19),'PROCESOS PRD'!$J:$J,'PROCESOS PRD'!$H:$H,0,0)),"")</f>
        <v/>
      </c>
      <c r="EP19" s="70"/>
      <c r="EQ19" s="71"/>
      <c r="ER19" s="32"/>
      <c r="ES19" s="72" t="str">
        <f t="array" ref="ES19">IFERROR(IF(XLOOKUP(CONCAT(EQ19,ER19),'MASTER PLAN'!$AB:$AB,'MASTER PLAN'!$J:$J,0,0)=0,"",XLOOKUP(CONCAT(EQ19,ER19),'MASTER PLAN'!$AB:$AB,'MASTER PLAN'!$J:$J,0,0)),"")</f>
        <v/>
      </c>
      <c r="ET19" s="73" t="str">
        <f t="array" ref="ET19">IFERROR(IF(XLOOKUP(CONCAT(EQ19,ER19),'PROCESOS PRD'!$J:$J,'PROCESOS PRD'!$H:$H,0,0)=0,"",XLOOKUP(CONCAT(EQ19,ER19),'PROCESOS PRD'!$J:$J,'PROCESOS PRD'!$H:$H,0,0)),"")</f>
        <v/>
      </c>
      <c r="EU19" s="71"/>
      <c r="EV19" s="32"/>
      <c r="EW19" s="72" t="str">
        <f t="array" ref="EW19">IFERROR(IF(XLOOKUP(CONCAT(EU19,EV19),'MASTER PLAN'!$AB:$AB,'MASTER PLAN'!$J:$J,0,0)=0,"",XLOOKUP(CONCAT(EU19,EV19),'MASTER PLAN'!$AB:$AB,'MASTER PLAN'!$J:$J,0,0)),"")</f>
        <v/>
      </c>
      <c r="EX19" s="73" t="str">
        <f t="array" ref="EX19">IFERROR(IF(XLOOKUP(CONCAT(EU19,EV19),'PROCESOS PRD'!$J:$J,'PROCESOS PRD'!$H:$H,0,0)=0,"",XLOOKUP(CONCAT(EU19,EV19),'PROCESOS PRD'!$J:$J,'PROCESOS PRD'!$H:$H,0,0)),"")</f>
        <v/>
      </c>
      <c r="EY19" s="71"/>
      <c r="EZ19" s="32"/>
      <c r="FA19" s="72" t="str">
        <f t="array" ref="FA19">IFERROR(IF(XLOOKUP(CONCAT(EY19,EZ19),'MASTER PLAN'!$AB:$AB,'MASTER PLAN'!$J:$J,0,0)=0,"",XLOOKUP(CONCAT(EY19,EZ19),'MASTER PLAN'!$AB:$AB,'MASTER PLAN'!$J:$J,0,0)),"")</f>
        <v/>
      </c>
      <c r="FB19" s="73" t="str">
        <f t="array" ref="FB19">IFERROR(IF(XLOOKUP(CONCAT(EY19,EZ19),'PROCESOS PRD'!$J:$J,'PROCESOS PRD'!$H:$H,0,0)=0,"",XLOOKUP(CONCAT(EY19,EZ19),'PROCESOS PRD'!$J:$J,'PROCESOS PRD'!$H:$H,0,0)),"")</f>
        <v/>
      </c>
      <c r="FC19" s="71"/>
      <c r="FD19" s="32"/>
      <c r="FE19" s="72" t="str">
        <f t="array" ref="FE19">IFERROR(IF(XLOOKUP(CONCAT(FC19,FD19),'MASTER PLAN'!$AB:$AB,'MASTER PLAN'!$J:$J,0,0)=0,"",XLOOKUP(CONCAT(FC19,FD19),'MASTER PLAN'!$AB:$AB,'MASTER PLAN'!$J:$J,0,0)),"")</f>
        <v/>
      </c>
      <c r="FF19" s="73" t="str">
        <f t="array" ref="FF19">IFERROR(IF(XLOOKUP(CONCAT(FC19,FD19),'PROCESOS PRD'!$J:$J,'PROCESOS PRD'!$H:$H,0,0)=0,"",XLOOKUP(CONCAT(FC19,FD19),'PROCESOS PRD'!$J:$J,'PROCESOS PRD'!$H:$H,0,0)),"")</f>
        <v/>
      </c>
      <c r="FG19" s="71"/>
      <c r="FH19" s="32"/>
      <c r="FI19" s="72" t="str">
        <f t="array" ref="FI19">IFERROR(IF(XLOOKUP(CONCAT(FG19,FH19),'MASTER PLAN'!$AB:$AB,'MASTER PLAN'!$J:$J,0,0)=0,"",XLOOKUP(CONCAT(FG19,FH19),'MASTER PLAN'!$AB:$AB,'MASTER PLAN'!$J:$J,0,0)),"")</f>
        <v/>
      </c>
      <c r="FJ19" s="73" t="str">
        <f t="array" ref="FJ19">IFERROR(IF(XLOOKUP(CONCAT(FG19,FH19),'PROCESOS PRD'!$J:$J,'PROCESOS PRD'!$H:$H,0,0)=0,"",XLOOKUP(CONCAT(FG19,FH19),'PROCESOS PRD'!$J:$J,'PROCESOS PRD'!$H:$H,0,0)),"")</f>
        <v/>
      </c>
      <c r="FK19" s="71"/>
      <c r="FL19" s="32"/>
      <c r="FM19" s="72" t="str">
        <f t="array" ref="FM19">IFERROR(IF(XLOOKUP(CONCAT(FK19,FL19),'MASTER PLAN'!$AB:$AB,'MASTER PLAN'!$J:$J,0,0)=0,"",XLOOKUP(CONCAT(FK19,FL19),'MASTER PLAN'!$AB:$AB,'MASTER PLAN'!$J:$J,0,0)),"")</f>
        <v/>
      </c>
      <c r="FN19" s="73" t="str">
        <f t="array" ref="FN19">IFERROR(IF(XLOOKUP(CONCAT(FK19,FL19),'PROCESOS PRD'!$J:$J,'PROCESOS PRD'!$H:$H,0,0)=0,"",XLOOKUP(CONCAT(FK19,FL19),'PROCESOS PRD'!$J:$J,'PROCESOS PRD'!$H:$H,0,0)),"")</f>
        <v/>
      </c>
      <c r="FO19" s="70"/>
      <c r="FP19" s="71"/>
      <c r="FQ19" s="32"/>
      <c r="FR19" s="72" t="str">
        <f t="array" ref="FR19">IFERROR(IF(XLOOKUP(CONCAT(FP19,FQ19),'MASTER PLAN'!$AB:$AB,'MASTER PLAN'!$J:$J,0,0)=0,"",XLOOKUP(CONCAT(FP19,FQ19),'MASTER PLAN'!$AB:$AB,'MASTER PLAN'!$J:$J,0,0)),"")</f>
        <v/>
      </c>
      <c r="FS19" s="73" t="str">
        <f t="array" ref="FS19">IFERROR(IF(XLOOKUP(CONCAT(FP19,FQ19),'PROCESOS PRD'!$J:$J,'PROCESOS PRD'!$H:$H,0,0)=0,"",XLOOKUP(CONCAT(FP19,FQ19),'PROCESOS PRD'!$J:$J,'PROCESOS PRD'!$H:$H,0,0)),"")</f>
        <v/>
      </c>
      <c r="FT19" s="71"/>
      <c r="FU19" s="32"/>
      <c r="FV19" s="72" t="str">
        <f t="array" ref="FV19">IFERROR(IF(XLOOKUP(CONCAT(FT19,FU19),'MASTER PLAN'!$AB:$AB,'MASTER PLAN'!$J:$J,0,0)=0,"",XLOOKUP(CONCAT(FT19,FU19),'MASTER PLAN'!$AB:$AB,'MASTER PLAN'!$J:$J,0,0)),"")</f>
        <v/>
      </c>
      <c r="FW19" s="73" t="str">
        <f t="array" ref="FW19">IFERROR(IF(XLOOKUP(CONCAT(FT19,FU19),'PROCESOS PRD'!$J:$J,'PROCESOS PRD'!$H:$H,0,0)=0,"",XLOOKUP(CONCAT(FT19,FU19),'PROCESOS PRD'!$J:$J,'PROCESOS PRD'!$H:$H,0,0)),"")</f>
        <v/>
      </c>
      <c r="FX19" s="71"/>
      <c r="FY19" s="32"/>
      <c r="FZ19" s="72" t="str">
        <f t="array" ref="FZ19">IFERROR(IF(XLOOKUP(CONCAT(FX19,FY19),'MASTER PLAN'!$AB:$AB,'MASTER PLAN'!$J:$J,0,0)=0,"",XLOOKUP(CONCAT(FX19,FY19),'MASTER PLAN'!$AB:$AB,'MASTER PLAN'!$J:$J,0,0)),"")</f>
        <v/>
      </c>
      <c r="GA19" s="73" t="str">
        <f t="array" ref="GA19">IFERROR(IF(XLOOKUP(CONCAT(FX19,FY19),'PROCESOS PRD'!$J:$J,'PROCESOS PRD'!$H:$H,0,0)=0,"",XLOOKUP(CONCAT(FX19,FY19),'PROCESOS PRD'!$J:$J,'PROCESOS PRD'!$H:$H,0,0)),"")</f>
        <v/>
      </c>
      <c r="GB19" s="71"/>
      <c r="GC19" s="32"/>
      <c r="GD19" s="72" t="str">
        <f t="array" ref="GD19">IFERROR(IF(XLOOKUP(CONCAT(GB19,GC19),'MASTER PLAN'!$AB:$AB,'MASTER PLAN'!$J:$J,0,0)=0,"",XLOOKUP(CONCAT(GB19,GC19),'MASTER PLAN'!$AB:$AB,'MASTER PLAN'!$J:$J,0,0)),"")</f>
        <v/>
      </c>
      <c r="GE19" s="73" t="str">
        <f t="array" ref="GE19">IFERROR(IF(XLOOKUP(CONCAT(GB19,GC19),'PROCESOS PRD'!$J:$J,'PROCESOS PRD'!$H:$H,0,0)=0,"",XLOOKUP(CONCAT(GB19,GC19),'PROCESOS PRD'!$J:$J,'PROCESOS PRD'!$H:$H,0,0)),"")</f>
        <v/>
      </c>
      <c r="GF19" s="71"/>
      <c r="GG19" s="32"/>
      <c r="GH19" s="72" t="str">
        <f t="array" ref="GH19">IFERROR(IF(XLOOKUP(CONCAT(GF19,GG19),'MASTER PLAN'!$AB:$AB,'MASTER PLAN'!$J:$J,0,0)=0,"",XLOOKUP(CONCAT(GF19,GG19),'MASTER PLAN'!$AB:$AB,'MASTER PLAN'!$J:$J,0,0)),"")</f>
        <v/>
      </c>
      <c r="GI19" s="73" t="str">
        <f t="array" ref="GI19">IFERROR(IF(XLOOKUP(CONCAT(GF19,GG19),'PROCESOS PRD'!$J:$J,'PROCESOS PRD'!$H:$H,0,0)=0,"",XLOOKUP(CONCAT(GF19,GG19),'PROCESOS PRD'!$J:$J,'PROCESOS PRD'!$H:$H,0,0)),"")</f>
        <v/>
      </c>
      <c r="GJ19" s="71"/>
      <c r="GK19" s="32"/>
      <c r="GL19" s="72" t="str">
        <f t="array" ref="GL19">IFERROR(IF(XLOOKUP(CONCAT(GJ19,GK19),'MASTER PLAN'!$AB:$AB,'MASTER PLAN'!$J:$J,0,0)=0,"",XLOOKUP(CONCAT(GJ19,GK19),'MASTER PLAN'!$AB:$AB,'MASTER PLAN'!$J:$J,0,0)),"")</f>
        <v/>
      </c>
      <c r="GM19" s="73" t="str">
        <f t="array" ref="GM19">IFERROR(IF(XLOOKUP(CONCAT(GJ19,GK19),'PROCESOS PRD'!$J:$J,'PROCESOS PRD'!$H:$H,0,0)=0,"",XLOOKUP(CONCAT(GJ19,GK19),'PROCESOS PRD'!$J:$J,'PROCESOS PRD'!$H:$H,0,0)),"")</f>
        <v/>
      </c>
      <c r="GN19" s="70"/>
      <c r="GO19" s="71"/>
      <c r="GP19" s="32"/>
      <c r="GQ19" s="72" t="str">
        <f t="array" ref="GQ19">IFERROR(IF(XLOOKUP(CONCAT(GO19,GP19),'MASTER PLAN'!$AB:$AB,'MASTER PLAN'!$J:$J,0,0)=0,"",XLOOKUP(CONCAT(GO19,GP19),'MASTER PLAN'!$AB:$AB,'MASTER PLAN'!$J:$J,0,0)),"")</f>
        <v/>
      </c>
      <c r="GR19" s="73" t="str">
        <f t="array" ref="GR19">IFERROR(IF(XLOOKUP(CONCAT(GO19,GP19),'PROCESOS PRD'!$J:$J,'PROCESOS PRD'!$H:$H,0,0)=0,"",XLOOKUP(CONCAT(GO19,GP19),'PROCESOS PRD'!$J:$J,'PROCESOS PRD'!$H:$H,0,0)),"")</f>
        <v/>
      </c>
      <c r="GS19" s="71"/>
      <c r="GT19" s="32"/>
      <c r="GU19" s="72" t="str">
        <f t="array" ref="GU19">IFERROR(IF(XLOOKUP(CONCAT(GS19,GT19),'MASTER PLAN'!$AB:$AB,'MASTER PLAN'!$J:$J,0,0)=0,"",XLOOKUP(CONCAT(GS19,GT19),'MASTER PLAN'!$AB:$AB,'MASTER PLAN'!$J:$J,0,0)),"")</f>
        <v/>
      </c>
      <c r="GV19" s="73" t="str">
        <f t="array" ref="GV19">IFERROR(IF(XLOOKUP(CONCAT(GS19,GT19),'PROCESOS PRD'!$J:$J,'PROCESOS PRD'!$H:$H,0,0)=0,"",XLOOKUP(CONCAT(GS19,GT19),'PROCESOS PRD'!$J:$J,'PROCESOS PRD'!$H:$H,0,0)),"")</f>
        <v/>
      </c>
      <c r="GW19" s="71"/>
      <c r="GX19" s="32"/>
      <c r="GY19" s="72" t="str">
        <f t="array" ref="GY19">IFERROR(IF(XLOOKUP(CONCAT(GW19,GX19),'MASTER PLAN'!$AB:$AB,'MASTER PLAN'!$J:$J,0,0)=0,"",XLOOKUP(CONCAT(GW19,GX19),'MASTER PLAN'!$AB:$AB,'MASTER PLAN'!$J:$J,0,0)),"")</f>
        <v/>
      </c>
      <c r="GZ19" s="73" t="str">
        <f t="array" ref="GZ19">IFERROR(IF(XLOOKUP(CONCAT(GW19,GX19),'PROCESOS PRD'!$J:$J,'PROCESOS PRD'!$H:$H,0,0)=0,"",XLOOKUP(CONCAT(GW19,GX19),'PROCESOS PRD'!$J:$J,'PROCESOS PRD'!$H:$H,0,0)),"")</f>
        <v/>
      </c>
      <c r="HA19" s="71"/>
      <c r="HB19" s="32"/>
      <c r="HC19" s="72" t="str">
        <f t="array" ref="HC19">IFERROR(IF(XLOOKUP(CONCAT(HA19,HB19),'MASTER PLAN'!$AB:$AB,'MASTER PLAN'!$J:$J,0,0)=0,"",XLOOKUP(CONCAT(HA19,HB19),'MASTER PLAN'!$AB:$AB,'MASTER PLAN'!$J:$J,0,0)),"")</f>
        <v/>
      </c>
      <c r="HD19" s="73" t="str">
        <f t="array" ref="HD19">IFERROR(IF(XLOOKUP(CONCAT(HA19,HB19),'PROCESOS PRD'!$J:$J,'PROCESOS PRD'!$H:$H,0,0)=0,"",XLOOKUP(CONCAT(HA19,HB19),'PROCESOS PRD'!$J:$J,'PROCESOS PRD'!$H:$H,0,0)),"")</f>
        <v/>
      </c>
      <c r="HE19" s="71"/>
      <c r="HF19" s="32"/>
      <c r="HG19" s="72" t="str">
        <f t="array" ref="HG19">IFERROR(IF(XLOOKUP(CONCAT(HE19,HF19),'MASTER PLAN'!$AB:$AB,'MASTER PLAN'!$J:$J,0,0)=0,"",XLOOKUP(CONCAT(HE19,HF19),'MASTER PLAN'!$AB:$AB,'MASTER PLAN'!$J:$J,0,0)),"")</f>
        <v/>
      </c>
      <c r="HH19" s="73" t="str">
        <f t="array" ref="HH19">IFERROR(IF(XLOOKUP(CONCAT(HE19,HF19),'PROCESOS PRD'!$J:$J,'PROCESOS PRD'!$H:$H,0,0)=0,"",XLOOKUP(CONCAT(HE19,HF19),'PROCESOS PRD'!$J:$J,'PROCESOS PRD'!$H:$H,0,0)),"")</f>
        <v/>
      </c>
      <c r="HI19" s="71"/>
      <c r="HJ19" s="32"/>
      <c r="HK19" s="72" t="str">
        <f t="array" ref="HK19">IFERROR(IF(XLOOKUP(CONCAT(HI19,HJ19),'MASTER PLAN'!$AB:$AB,'MASTER PLAN'!$J:$J,0,0)=0,"",XLOOKUP(CONCAT(HI19,HJ19),'MASTER PLAN'!$AB:$AB,'MASTER PLAN'!$J:$J,0,0)),"")</f>
        <v/>
      </c>
      <c r="HL19" s="73" t="str">
        <f t="array" ref="HL19">IFERROR(IF(XLOOKUP(CONCAT(HI19,HJ19),'PROCESOS PRD'!$J:$J,'PROCESOS PRD'!$H:$H,0,0)=0,"",XLOOKUP(CONCAT(HI19,HJ19),'PROCESOS PRD'!$J:$J,'PROCESOS PRD'!$H:$H,0,0)),"")</f>
        <v/>
      </c>
      <c r="HM19" s="70"/>
      <c r="HN19" s="71"/>
      <c r="HO19" s="32"/>
      <c r="HP19" s="72" t="str">
        <f t="array" ref="HP19">IFERROR(IF(XLOOKUP(CONCAT(HN19,HO19),'MASTER PLAN'!$AB:$AB,'MASTER PLAN'!$J:$J,0,0)=0,"",XLOOKUP(CONCAT(HN19,HO19),'MASTER PLAN'!$AB:$AB,'MASTER PLAN'!$J:$J,0,0)),"")</f>
        <v/>
      </c>
      <c r="HQ19" s="73" t="str">
        <f t="array" ref="HQ19">IFERROR(IF(XLOOKUP(CONCAT(HN19,HO19),'PROCESOS PRD'!$J:$J,'PROCESOS PRD'!$H:$H,0,0)=0,"",XLOOKUP(CONCAT(HN19,HO19),'PROCESOS PRD'!$J:$J,'PROCESOS PRD'!$H:$H,0,0)),"")</f>
        <v/>
      </c>
      <c r="HR19" s="71"/>
      <c r="HS19" s="32"/>
      <c r="HT19" s="72" t="str">
        <f t="array" ref="HT19">IFERROR(IF(XLOOKUP(CONCAT(HR19,HS19),'MASTER PLAN'!$AB:$AB,'MASTER PLAN'!$J:$J,0,0)=0,"",XLOOKUP(CONCAT(HR19,HS19),'MASTER PLAN'!$AB:$AB,'MASTER PLAN'!$J:$J,0,0)),"")</f>
        <v/>
      </c>
      <c r="HU19" s="73" t="str">
        <f t="array" ref="HU19">IFERROR(IF(XLOOKUP(CONCAT(HR19,HS19),'PROCESOS PRD'!$J:$J,'PROCESOS PRD'!$H:$H,0,0)=0,"",XLOOKUP(CONCAT(HR19,HS19),'PROCESOS PRD'!$J:$J,'PROCESOS PRD'!$H:$H,0,0)),"")</f>
        <v/>
      </c>
      <c r="HV19" s="71"/>
      <c r="HW19" s="32"/>
      <c r="HX19" s="72" t="str">
        <f t="array" ref="HX19">IFERROR(IF(XLOOKUP(CONCAT(HV19,HW19),'MASTER PLAN'!$AB:$AB,'MASTER PLAN'!$J:$J,0,0)=0,"",XLOOKUP(CONCAT(HV19,HW19),'MASTER PLAN'!$AB:$AB,'MASTER PLAN'!$J:$J,0,0)),"")</f>
        <v/>
      </c>
      <c r="HY19" s="73" t="str">
        <f t="array" ref="HY19">IFERROR(IF(XLOOKUP(CONCAT(HV19,HW19),'PROCESOS PRD'!$J:$J,'PROCESOS PRD'!$H:$H,0,0)=0,"",XLOOKUP(CONCAT(HV19,HW19),'PROCESOS PRD'!$J:$J,'PROCESOS PRD'!$H:$H,0,0)),"")</f>
        <v/>
      </c>
      <c r="HZ19" s="71"/>
      <c r="IA19" s="32"/>
      <c r="IB19" s="72" t="str">
        <f t="array" ref="IB19">IFERROR(IF(XLOOKUP(CONCAT(HZ19,IA19),'MASTER PLAN'!$AB:$AB,'MASTER PLAN'!$J:$J,0,0)=0,"",XLOOKUP(CONCAT(HZ19,IA19),'MASTER PLAN'!$AB:$AB,'MASTER PLAN'!$J:$J,0,0)),"")</f>
        <v/>
      </c>
      <c r="IC19" s="73" t="str">
        <f t="array" ref="IC19">IFERROR(IF(XLOOKUP(CONCAT(HZ19,IA19),'PROCESOS PRD'!$J:$J,'PROCESOS PRD'!$H:$H,0,0)=0,"",XLOOKUP(CONCAT(HZ19,IA19),'PROCESOS PRD'!$J:$J,'PROCESOS PRD'!$H:$H,0,0)),"")</f>
        <v/>
      </c>
      <c r="ID19" s="71"/>
      <c r="IE19" s="32"/>
      <c r="IF19" s="72" t="str">
        <f t="array" ref="IF19">IFERROR(IF(XLOOKUP(CONCAT(ID19,IE19),'MASTER PLAN'!$AB:$AB,'MASTER PLAN'!$J:$J,0,0)=0,"",XLOOKUP(CONCAT(ID19,IE19),'MASTER PLAN'!$AB:$AB,'MASTER PLAN'!$J:$J,0,0)),"")</f>
        <v/>
      </c>
      <c r="IG19" s="73" t="str">
        <f t="array" ref="IG19">IFERROR(IF(XLOOKUP(CONCAT(ID19,IE19),'PROCESOS PRD'!$J:$J,'PROCESOS PRD'!$H:$H,0,0)=0,"",XLOOKUP(CONCAT(ID19,IE19),'PROCESOS PRD'!$J:$J,'PROCESOS PRD'!$H:$H,0,0)),"")</f>
        <v/>
      </c>
      <c r="IH19" s="71"/>
      <c r="II19" s="32"/>
      <c r="IJ19" s="72" t="str">
        <f t="array" ref="IJ19">IFERROR(IF(XLOOKUP(CONCAT(IH19,II19),'MASTER PLAN'!$AB:$AB,'MASTER PLAN'!$J:$J,0,0)=0,"",XLOOKUP(CONCAT(IH19,II19),'MASTER PLAN'!$AB:$AB,'MASTER PLAN'!$J:$J,0,0)),"")</f>
        <v/>
      </c>
      <c r="IK19" s="73" t="str">
        <f t="array" ref="IK19">IFERROR(IF(XLOOKUP(CONCAT(IH19,II19),'PROCESOS PRD'!$J:$J,'PROCESOS PRD'!$H:$H,0,0)=0,"",XLOOKUP(CONCAT(IH19,II19),'PROCESOS PRD'!$J:$J,'PROCESOS PRD'!$H:$H,0,0)),"")</f>
        <v/>
      </c>
      <c r="IL19" s="70"/>
      <c r="IM19" s="71"/>
      <c r="IN19" s="32"/>
      <c r="IO19" s="72" t="str">
        <f t="array" ref="IO19">IFERROR(IF(XLOOKUP(CONCAT(IM19,IN19),'MASTER PLAN'!$AB:$AB,'MASTER PLAN'!$J:$J,0,0)=0,"",XLOOKUP(CONCAT(IM19,IN19),'MASTER PLAN'!$AB:$AB,'MASTER PLAN'!$J:$J,0,0)),"")</f>
        <v/>
      </c>
      <c r="IP19" s="73" t="str">
        <f t="array" ref="IP19">IFERROR(IF(XLOOKUP(CONCAT(IM19,IN19),'PROCESOS PRD'!$J:$J,'PROCESOS PRD'!$H:$H,0,0)=0,"",XLOOKUP(CONCAT(IM19,IN19),'PROCESOS PRD'!$J:$J,'PROCESOS PRD'!$H:$H,0,0)),"")</f>
        <v/>
      </c>
      <c r="IQ19" s="71"/>
      <c r="IR19" s="32"/>
      <c r="IS19" s="72" t="str">
        <f t="array" ref="IS19">IFERROR(IF(XLOOKUP(CONCAT(IQ19,IR19),'MASTER PLAN'!$AB:$AB,'MASTER PLAN'!$J:$J,0,0)=0,"",XLOOKUP(CONCAT(IQ19,IR19),'MASTER PLAN'!$AB:$AB,'MASTER PLAN'!$J:$J,0,0)),"")</f>
        <v/>
      </c>
      <c r="IT19" s="73" t="str">
        <f t="array" ref="IT19">IFERROR(IF(XLOOKUP(CONCAT(IQ19,IR19),'PROCESOS PRD'!$J:$J,'PROCESOS PRD'!$H:$H,0,0)=0,"",XLOOKUP(CONCAT(IQ19,IR19),'PROCESOS PRD'!$J:$J,'PROCESOS PRD'!$H:$H,0,0)),"")</f>
        <v/>
      </c>
      <c r="IU19" s="71"/>
      <c r="IV19" s="32"/>
      <c r="IW19" s="72" t="str">
        <f t="array" ref="IW19">IFERROR(IF(XLOOKUP(CONCAT(IU19,IV19),'MASTER PLAN'!$AB:$AB,'MASTER PLAN'!$J:$J,0,0)=0,"",XLOOKUP(CONCAT(IU19,IV19),'MASTER PLAN'!$AB:$AB,'MASTER PLAN'!$J:$J,0,0)),"")</f>
        <v/>
      </c>
      <c r="IX19" s="73" t="str">
        <f t="array" ref="IX19">IFERROR(IF(XLOOKUP(CONCAT(IU19,IV19),'PROCESOS PRD'!$J:$J,'PROCESOS PRD'!$H:$H,0,0)=0,"",XLOOKUP(CONCAT(IU19,IV19),'PROCESOS PRD'!$J:$J,'PROCESOS PRD'!$H:$H,0,0)),"")</f>
        <v/>
      </c>
      <c r="IY19" s="71"/>
      <c r="IZ19" s="32"/>
      <c r="JA19" s="72" t="str">
        <f t="array" ref="JA19">IFERROR(IF(XLOOKUP(CONCAT(IY19,IZ19),'MASTER PLAN'!$AB:$AB,'MASTER PLAN'!$J:$J,0,0)=0,"",XLOOKUP(CONCAT(IY19,IZ19),'MASTER PLAN'!$AB:$AB,'MASTER PLAN'!$J:$J,0,0)),"")</f>
        <v/>
      </c>
      <c r="JB19" s="73" t="str">
        <f t="array" ref="JB19">IFERROR(IF(XLOOKUP(CONCAT(IY19,IZ19),'PROCESOS PRD'!$J:$J,'PROCESOS PRD'!$H:$H,0,0)=0,"",XLOOKUP(CONCAT(IY19,IZ19),'PROCESOS PRD'!$J:$J,'PROCESOS PRD'!$H:$H,0,0)),"")</f>
        <v/>
      </c>
      <c r="JC19" s="71"/>
      <c r="JD19" s="32"/>
      <c r="JE19" s="72" t="str">
        <f t="array" ref="JE19">IFERROR(IF(XLOOKUP(CONCAT(JC19,JD19),'MASTER PLAN'!$AB:$AB,'MASTER PLAN'!$J:$J,0,0)=0,"",XLOOKUP(CONCAT(JC19,JD19),'MASTER PLAN'!$AB:$AB,'MASTER PLAN'!$J:$J,0,0)),"")</f>
        <v/>
      </c>
      <c r="JF19" s="73" t="str">
        <f t="array" ref="JF19">IFERROR(IF(XLOOKUP(CONCAT(JC19,JD19),'PROCESOS PRD'!$J:$J,'PROCESOS PRD'!$H:$H,0,0)=0,"",XLOOKUP(CONCAT(JC19,JD19),'PROCESOS PRD'!$J:$J,'PROCESOS PRD'!$H:$H,0,0)),"")</f>
        <v/>
      </c>
      <c r="JG19" s="71"/>
      <c r="JH19" s="32"/>
      <c r="JI19" s="72" t="str">
        <f t="array" ref="JI19">IFERROR(IF(XLOOKUP(CONCAT(JG19,JH19),'MASTER PLAN'!$AB:$AB,'MASTER PLAN'!$J:$J,0,0)=0,"",XLOOKUP(CONCAT(JG19,JH19),'MASTER PLAN'!$AB:$AB,'MASTER PLAN'!$J:$J,0,0)),"")</f>
        <v/>
      </c>
      <c r="JJ19" s="73" t="str">
        <f t="array" ref="JJ19">IFERROR(IF(XLOOKUP(CONCAT(JG19,JH19),'PROCESOS PRD'!$J:$J,'PROCESOS PRD'!$H:$H,0,0)=0,"",XLOOKUP(CONCAT(JG19,JH19),'PROCESOS PRD'!$J:$J,'PROCESOS PRD'!$H:$H,0,0)),"")</f>
        <v/>
      </c>
      <c r="JK19" s="70"/>
      <c r="JL19" s="71"/>
      <c r="JM19" s="32"/>
      <c r="JN19" s="72" t="str">
        <f t="array" ref="JN19">IFERROR(IF(XLOOKUP(CONCAT(JL19,JM19),'MASTER PLAN'!$AB:$AB,'MASTER PLAN'!$J:$J,0,0)=0,"",XLOOKUP(CONCAT(JL19,JM19),'MASTER PLAN'!$AB:$AB,'MASTER PLAN'!$J:$J,0,0)),"")</f>
        <v/>
      </c>
      <c r="JO19" s="73" t="str">
        <f t="array" ref="JO19">IFERROR(IF(XLOOKUP(CONCAT(JL19,JM19),'PROCESOS PRD'!$J:$J,'PROCESOS PRD'!$H:$H,0,0)=0,"",XLOOKUP(CONCAT(JL19,JM19),'PROCESOS PRD'!$J:$J,'PROCESOS PRD'!$H:$H,0,0)),"")</f>
        <v/>
      </c>
      <c r="JP19" s="71"/>
      <c r="JQ19" s="32"/>
      <c r="JR19" s="72" t="str">
        <f t="array" ref="JR19">IFERROR(IF(XLOOKUP(CONCAT(JP19,JQ19),'MASTER PLAN'!$AB:$AB,'MASTER PLAN'!$J:$J,0,0)=0,"",XLOOKUP(CONCAT(JP19,JQ19),'MASTER PLAN'!$AB:$AB,'MASTER PLAN'!$J:$J,0,0)),"")</f>
        <v/>
      </c>
      <c r="JS19" s="73" t="str">
        <f t="array" ref="JS19">IFERROR(IF(XLOOKUP(CONCAT(JP19,JQ19),'PROCESOS PRD'!$J:$J,'PROCESOS PRD'!$H:$H,0,0)=0,"",XLOOKUP(CONCAT(JP19,JQ19),'PROCESOS PRD'!$J:$J,'PROCESOS PRD'!$H:$H,0,0)),"")</f>
        <v/>
      </c>
      <c r="JT19" s="71"/>
      <c r="JU19" s="32"/>
      <c r="JV19" s="72" t="str">
        <f t="array" ref="JV19">IFERROR(IF(XLOOKUP(CONCAT(JT19,JU19),'MASTER PLAN'!$AB:$AB,'MASTER PLAN'!$J:$J,0,0)=0,"",XLOOKUP(CONCAT(JT19,JU19),'MASTER PLAN'!$AB:$AB,'MASTER PLAN'!$J:$J,0,0)),"")</f>
        <v/>
      </c>
      <c r="JW19" s="73" t="str">
        <f t="array" ref="JW19">IFERROR(IF(XLOOKUP(CONCAT(JT19,JU19),'PROCESOS PRD'!$J:$J,'PROCESOS PRD'!$H:$H,0,0)=0,"",XLOOKUP(CONCAT(JT19,JU19),'PROCESOS PRD'!$J:$J,'PROCESOS PRD'!$H:$H,0,0)),"")</f>
        <v/>
      </c>
      <c r="JX19" s="71"/>
      <c r="JY19" s="32"/>
      <c r="JZ19" s="72" t="str">
        <f t="array" ref="JZ19">IFERROR(IF(XLOOKUP(CONCAT(JX19,JY19),'MASTER PLAN'!$AB:$AB,'MASTER PLAN'!$J:$J,0,0)=0,"",XLOOKUP(CONCAT(JX19,JY19),'MASTER PLAN'!$AB:$AB,'MASTER PLAN'!$J:$J,0,0)),"")</f>
        <v/>
      </c>
      <c r="KA19" s="73" t="str">
        <f t="array" ref="KA19">IFERROR(IF(XLOOKUP(CONCAT(JX19,JY19),'PROCESOS PRD'!$J:$J,'PROCESOS PRD'!$H:$H,0,0)=0,"",XLOOKUP(CONCAT(JX19,JY19),'PROCESOS PRD'!$J:$J,'PROCESOS PRD'!$H:$H,0,0)),"")</f>
        <v/>
      </c>
      <c r="KB19" s="71"/>
      <c r="KC19" s="32"/>
      <c r="KD19" s="72" t="str">
        <f t="array" ref="KD19">IFERROR(IF(XLOOKUP(CONCAT(KB19,KC19),'MASTER PLAN'!$AB:$AB,'MASTER PLAN'!$J:$J,0,0)=0,"",XLOOKUP(CONCAT(KB19,KC19),'MASTER PLAN'!$AB:$AB,'MASTER PLAN'!$J:$J,0,0)),"")</f>
        <v/>
      </c>
      <c r="KE19" s="73" t="str">
        <f t="array" ref="KE19">IFERROR(IF(XLOOKUP(CONCAT(KB19,KC19),'PROCESOS PRD'!$J:$J,'PROCESOS PRD'!$H:$H,0,0)=0,"",XLOOKUP(CONCAT(KB19,KC19),'PROCESOS PRD'!$J:$J,'PROCESOS PRD'!$H:$H,0,0)),"")</f>
        <v/>
      </c>
      <c r="KF19" s="71"/>
      <c r="KG19" s="32"/>
      <c r="KH19" s="72" t="str">
        <f t="array" ref="KH19">IFERROR(IF(XLOOKUP(CONCAT(KF19,KG19),'MASTER PLAN'!$AB:$AB,'MASTER PLAN'!$J:$J,0,0)=0,"",XLOOKUP(CONCAT(KF19,KG19),'MASTER PLAN'!$AB:$AB,'MASTER PLAN'!$J:$J,0,0)),"")</f>
        <v/>
      </c>
      <c r="KI19" s="73" t="str">
        <f t="array" ref="KI19">IFERROR(IF(XLOOKUP(CONCAT(KF19,KG19),'PROCESOS PRD'!$J:$J,'PROCESOS PRD'!$H:$H,0,0)=0,"",XLOOKUP(CONCAT(KF19,KG19),'PROCESOS PRD'!$J:$J,'PROCESOS PRD'!$H:$H,0,0)),"")</f>
        <v/>
      </c>
      <c r="KJ19" s="70"/>
      <c r="KK19" s="70"/>
      <c r="KL19" s="70"/>
      <c r="KM19" s="70"/>
      <c r="KN19" s="70"/>
      <c r="KO19" s="70"/>
      <c r="KP19" s="70"/>
      <c r="KQ19" s="70"/>
      <c r="KR19" s="70"/>
      <c r="KS19" s="70"/>
      <c r="KT19" s="70"/>
      <c r="KU19" s="70"/>
      <c r="KV19" s="70"/>
      <c r="KW19" s="70"/>
      <c r="KX19" s="70"/>
      <c r="KY19" s="70"/>
      <c r="KZ19" s="70"/>
      <c r="LA19" s="70"/>
      <c r="LB19" s="70"/>
      <c r="LC19" s="70"/>
    </row>
    <row r="20">
      <c r="A20" s="42"/>
      <c r="B20" s="74"/>
      <c r="C20" s="69"/>
      <c r="D20" s="70"/>
      <c r="E20" s="71"/>
      <c r="F20" s="32"/>
      <c r="G20" s="72" t="str">
        <f t="array" ref="G20">IFERROR(IF(XLOOKUP(CONCAT(E20,F20),'MASTER PLAN'!$AB:$AB,'MASTER PLAN'!$J:$J,0,0)=0,"",XLOOKUP(CONCAT(E20,F20),'MASTER PLAN'!$AB:$AB,'MASTER PLAN'!$J:$J,0,0)),"")</f>
        <v/>
      </c>
      <c r="H20" s="73" t="str">
        <f t="array" ref="H20">IFERROR(IF(XLOOKUP(CONCAT(E20,F20),'PROCESOS PRD'!$J:$J,'PROCESOS PRD'!$H:$H,0,0)=0,"",XLOOKUP(CONCAT(E20,F20),'PROCESOS PRD'!$J:$J,'PROCESOS PRD'!$H:$H,0,0)),"")</f>
        <v/>
      </c>
      <c r="I20" s="71"/>
      <c r="J20" s="32"/>
      <c r="K20" s="72" t="str">
        <f t="array" ref="K20">IFERROR(IF(XLOOKUP(CONCAT(I20,J20),'MASTER PLAN'!$AB:$AB,'MASTER PLAN'!$J:$J,0,0)=0,"",XLOOKUP(CONCAT(I20,J20),'MASTER PLAN'!$AB:$AB,'MASTER PLAN'!$J:$J,0,0)),"")</f>
        <v/>
      </c>
      <c r="L20" s="73" t="str">
        <f t="array" ref="L20">IFERROR(IF(XLOOKUP(CONCAT(I20,J20),'PROCESOS PRD'!$J:$J,'PROCESOS PRD'!$H:$H,0,0)=0,"",XLOOKUP(CONCAT(I20,J20),'PROCESOS PRD'!$J:$J,'PROCESOS PRD'!$H:$H,0,0)),"")</f>
        <v/>
      </c>
      <c r="M20" s="71"/>
      <c r="N20" s="32"/>
      <c r="O20" s="72" t="str">
        <f t="array" ref="O20">IFERROR(IF(XLOOKUP(CONCAT(M20,N20),'MASTER PLAN'!$AB:$AB,'MASTER PLAN'!$J:$J,0,0)=0,"",XLOOKUP(CONCAT(M20,N20),'MASTER PLAN'!$AB:$AB,'MASTER PLAN'!$J:$J,0,0)),"")</f>
        <v/>
      </c>
      <c r="P20" s="73" t="str">
        <f t="array" ref="P20">IFERROR(IF(XLOOKUP(CONCAT(M20,N20),'PROCESOS PRD'!$J:$J,'PROCESOS PRD'!$H:$H,0,0)=0,"",XLOOKUP(CONCAT(M20,N20),'PROCESOS PRD'!$J:$J,'PROCESOS PRD'!$H:$H,0,0)),"")</f>
        <v/>
      </c>
      <c r="Q20" s="71"/>
      <c r="R20" s="32"/>
      <c r="S20" s="72" t="str">
        <f t="array" ref="S20">IFERROR(IF(XLOOKUP(CONCAT(Q20,R20),'MASTER PLAN'!$AB:$AB,'MASTER PLAN'!$J:$J,0,0)=0,"",XLOOKUP(CONCAT(Q20,R20),'MASTER PLAN'!$AB:$AB,'MASTER PLAN'!$J:$J,0,0)),"")</f>
        <v/>
      </c>
      <c r="T20" s="73" t="str">
        <f t="array" ref="T20">IFERROR(IF(XLOOKUP(CONCAT(Q20,R20),'PROCESOS PRD'!$J:$J,'PROCESOS PRD'!$H:$H,0,0)=0,"",XLOOKUP(CONCAT(Q20,R20),'PROCESOS PRD'!$J:$J,'PROCESOS PRD'!$H:$H,0,0)),"")</f>
        <v/>
      </c>
      <c r="U20" s="70"/>
      <c r="V20" s="71"/>
      <c r="W20" s="32"/>
      <c r="X20" s="72" t="str">
        <f t="array" ref="X20">IFERROR(IF(XLOOKUP(CONCAT(V20,W20),'MASTER PLAN'!$AB:$AB,'MASTER PLAN'!$J:$J,0,0)=0,"",XLOOKUP(CONCAT(V20,W20),'MASTER PLAN'!$AB:$AB,'MASTER PLAN'!$J:$J,0,0)),"")</f>
        <v/>
      </c>
      <c r="Y20" s="73" t="str">
        <f t="array" ref="Y20">IFERROR(IF(XLOOKUP(CONCAT(V20,W20),'PROCESOS PRD'!$J:$J,'PROCESOS PRD'!$H:$H,0,0)=0,"",XLOOKUP(CONCAT(V20,W20),'PROCESOS PRD'!$J:$J,'PROCESOS PRD'!$H:$H,0,0)),"")</f>
        <v/>
      </c>
      <c r="Z20" s="71"/>
      <c r="AA20" s="32"/>
      <c r="AB20" s="72" t="str">
        <f t="array" ref="AB20">IFERROR(IF(XLOOKUP(CONCAT(Z20,AA20),'MASTER PLAN'!$AB:$AB,'MASTER PLAN'!$J:$J,0,0)=0,"",XLOOKUP(CONCAT(Z20,AA20),'MASTER PLAN'!$AB:$AB,'MASTER PLAN'!$J:$J,0,0)),"")</f>
        <v/>
      </c>
      <c r="AC20" s="73" t="str">
        <f t="array" ref="AC20">IFERROR(IF(XLOOKUP(CONCAT(Z20,AA20),'PROCESOS PRD'!$J:$J,'PROCESOS PRD'!$H:$H,0,0)=0,"",XLOOKUP(CONCAT(Z20,AA20),'PROCESOS PRD'!$J:$J,'PROCESOS PRD'!$H:$H,0,0)),"")</f>
        <v/>
      </c>
      <c r="AD20" s="71"/>
      <c r="AE20" s="32"/>
      <c r="AF20" s="72" t="str">
        <f t="array" ref="AF20">IFERROR(IF(XLOOKUP(CONCAT(AD20,AE20),'MASTER PLAN'!$AB:$AB,'MASTER PLAN'!$J:$J,0,0)=0,"",XLOOKUP(CONCAT(AD20,AE20),'MASTER PLAN'!$AB:$AB,'MASTER PLAN'!$J:$J,0,0)),"")</f>
        <v/>
      </c>
      <c r="AG20" s="73" t="str">
        <f t="array" ref="AG20">IFERROR(IF(XLOOKUP(CONCAT(AD20,AE20),'PROCESOS PRD'!$J:$J,'PROCESOS PRD'!$H:$H,0,0)=0,"",XLOOKUP(CONCAT(AD20,AE20),'PROCESOS PRD'!$J:$J,'PROCESOS PRD'!$H:$H,0,0)),"")</f>
        <v/>
      </c>
      <c r="AH20" s="71"/>
      <c r="AI20" s="32"/>
      <c r="AJ20" s="72" t="str">
        <f t="array" ref="AJ20">IFERROR(IF(XLOOKUP(CONCAT(AH20,AI20),'MASTER PLAN'!$AB:$AB,'MASTER PLAN'!$J:$J,0,0)=0,"",XLOOKUP(CONCAT(AH20,AI20),'MASTER PLAN'!$AB:$AB,'MASTER PLAN'!$J:$J,0,0)),"")</f>
        <v/>
      </c>
      <c r="AK20" s="73" t="str">
        <f t="array" ref="AK20">IFERROR(IF(XLOOKUP(CONCAT(AH20,AI20),'PROCESOS PRD'!$J:$J,'PROCESOS PRD'!$H:$H,0,0)=0,"",XLOOKUP(CONCAT(AH20,AI20),'PROCESOS PRD'!$J:$J,'PROCESOS PRD'!$H:$H,0,0)),"")</f>
        <v/>
      </c>
      <c r="AL20" s="90"/>
      <c r="AM20" s="91"/>
      <c r="AN20" s="72" t="str">
        <f t="array" ref="AN20">IFERROR(IF(XLOOKUP(CONCAT(AL20,AM20),'MASTER PLAN'!$AB:$AB,'MASTER PLAN'!$J:$J,0,0)=0,"",XLOOKUP(CONCAT(AL20,AM20),'MASTER PLAN'!$AB:$AB,'MASTER PLAN'!$J:$J,0,0)),"")</f>
        <v/>
      </c>
      <c r="AO20" s="73" t="str">
        <f t="array" ref="AO20">IFERROR(IF(XLOOKUP(CONCAT(AL20,AM20),'PROCESOS PRD'!$J:$J,'PROCESOS PRD'!$H:$H,0,0)=0,"",XLOOKUP(CONCAT(AL20,AM20),'PROCESOS PRD'!$J:$J,'PROCESOS PRD'!$H:$H,0,0)),"")</f>
        <v/>
      </c>
      <c r="AP20" s="71">
        <v>1.40204935E9</v>
      </c>
      <c r="AQ20" s="32">
        <v>30.0</v>
      </c>
      <c r="AR20" s="72" t="str">
        <f t="array" ref="AR20">IFERROR(IF(XLOOKUP(CONCAT(AP20,AQ20),'MASTER PLAN'!$AB:$AB,'MASTER PLAN'!$J:$J,0,0)=0,"",XLOOKUP(CONCAT(AP20,AQ20),'MASTER PLAN'!$AB:$AB,'MASTER PLAN'!$J:$J,0,0)),"")</f>
        <v>BOLSA WSMJ MAYORS WOS 17"X7"X14" FA</v>
      </c>
      <c r="AS20" s="73">
        <f t="array" ref="AS20">IFERROR(IF(XLOOKUP(CONCAT(AP20,AQ20),'PROCESOS PRD'!$J:$J,'PROCESOS PRD'!$H:$H,0,0)=0,"",XLOOKUP(CONCAT(AP20,AQ20),'PROCESOS PRD'!$J:$J,'PROCESOS PRD'!$H:$H,0,0)),"")</f>
        <v>9600</v>
      </c>
      <c r="AT20" s="70"/>
      <c r="AU20" s="71">
        <v>1.40204935E9</v>
      </c>
      <c r="AV20" s="32">
        <v>30.0</v>
      </c>
      <c r="AW20" s="72" t="str">
        <f t="array" ref="AW20">IFERROR(IF(XLOOKUP(CONCAT(AU20,AV20),'MASTER PLAN'!$AB:$AB,'MASTER PLAN'!$J:$J,0,0)=0,"",XLOOKUP(CONCAT(AU20,AV20),'MASTER PLAN'!$AB:$AB,'MASTER PLAN'!$J:$J,0,0)),"")</f>
        <v>BOLSA WSMJ MAYORS WOS 17"X7"X14" FA</v>
      </c>
      <c r="AX20" s="73">
        <f t="array" ref="AX20">IFERROR(IF(XLOOKUP(CONCAT(AU20,AV20),'PROCESOS PRD'!$J:$J,'PROCESOS PRD'!$H:$H,0,0)=0,"",XLOOKUP(CONCAT(AU20,AV20),'PROCESOS PRD'!$J:$J,'PROCESOS PRD'!$H:$H,0,0)),"")</f>
        <v>9600</v>
      </c>
      <c r="AY20" s="90"/>
      <c r="AZ20" s="91"/>
      <c r="BA20" s="72" t="str">
        <f t="array" ref="BA20">IFERROR(IF(XLOOKUP(CONCAT(AY20,AZ20),'MASTER PLAN'!$AB:$AB,'MASTER PLAN'!$J:$J,0,0)=0,"",XLOOKUP(CONCAT(AY20,AZ20),'MASTER PLAN'!$AB:$AB,'MASTER PLAN'!$J:$J,0,0)),"")</f>
        <v/>
      </c>
      <c r="BB20" s="73" t="str">
        <f t="array" ref="BB20">IFERROR(IF(XLOOKUP(CONCAT(AY20,AZ20),'PROCESOS PRD'!$J:$J,'PROCESOS PRD'!$H:$H,0,0)=0,"",XLOOKUP(CONCAT(AY20,AZ20),'PROCESOS PRD'!$J:$J,'PROCESOS PRD'!$H:$H,0,0)),"")</f>
        <v/>
      </c>
      <c r="BC20" s="71"/>
      <c r="BD20" s="32"/>
      <c r="BE20" s="72" t="str">
        <f t="array" ref="BE20">IFERROR(IF(XLOOKUP(CONCAT(BC20,BD20),'MASTER PLAN'!$AB:$AB,'MASTER PLAN'!$J:$J,0,0)=0,"",XLOOKUP(CONCAT(BC20,BD20),'MASTER PLAN'!$AB:$AB,'MASTER PLAN'!$J:$J,0,0)),"")</f>
        <v/>
      </c>
      <c r="BF20" s="73" t="str">
        <f t="array" ref="BF20">IFERROR(IF(XLOOKUP(CONCAT(BC20,BD20),'PROCESOS PRD'!$J:$J,'PROCESOS PRD'!$H:$H,0,0)=0,"",XLOOKUP(CONCAT(BC20,BD20),'PROCESOS PRD'!$J:$J,'PROCESOS PRD'!$H:$H,0,0)),"")</f>
        <v/>
      </c>
      <c r="BG20" s="71"/>
      <c r="BH20" s="32"/>
      <c r="BI20" s="72" t="str">
        <f t="array" ref="BI20">IFERROR(IF(XLOOKUP(CONCAT(BG20,BH20),'MASTER PLAN'!$AB:$AB,'MASTER PLAN'!$J:$J,0,0)=0,"",XLOOKUP(CONCAT(BG20,BH20),'MASTER PLAN'!$AB:$AB,'MASTER PLAN'!$J:$J,0,0)),"")</f>
        <v/>
      </c>
      <c r="BJ20" s="73" t="str">
        <f t="array" ref="BJ20">IFERROR(IF(XLOOKUP(CONCAT(BG20,BH20),'PROCESOS PRD'!$J:$J,'PROCESOS PRD'!$H:$H,0,0)=0,"",XLOOKUP(CONCAT(BG20,BH20),'PROCESOS PRD'!$J:$J,'PROCESOS PRD'!$H:$H,0,0)),"")</f>
        <v/>
      </c>
      <c r="BK20" s="71">
        <v>1.402049321E9</v>
      </c>
      <c r="BL20" s="32">
        <v>10.0</v>
      </c>
      <c r="BM20" s="72" t="str">
        <f t="array" ref="BM20">IFERROR(IF(XLOOKUP(CONCAT(BK20,BL20),'MASTER PLAN'!$AB:$AB,'MASTER PLAN'!$J:$J,0,0)=0,"",XLOOKUP(CONCAT(BK20,BL20),'MASTER PLAN'!$AB:$AB,'MASTER PLAN'!$J:$J,0,0)),"")</f>
        <v>BOLSA BRILLANTI 6-5"X3-5"X6-5"</v>
      </c>
      <c r="BN20" s="73">
        <f t="array" ref="BN20">IFERROR(IF(XLOOKUP(CONCAT(BK20,BL20),'PROCESOS PRD'!$J:$J,'PROCESOS PRD'!$H:$H,0,0)=0,"",XLOOKUP(CONCAT(BK20,BL20),'PROCESOS PRD'!$J:$J,'PROCESOS PRD'!$H:$H,0,0)),"")</f>
        <v>3000</v>
      </c>
      <c r="BO20" s="71"/>
      <c r="BP20" s="32"/>
      <c r="BQ20" s="72" t="str">
        <f t="array" ref="BQ20">IFERROR(IF(XLOOKUP(CONCAT(BO20,BP20),'MASTER PLAN'!$AB:$AB,'MASTER PLAN'!$J:$J,0,0)=0,"",XLOOKUP(CONCAT(BO20,BP20),'MASTER PLAN'!$AB:$AB,'MASTER PLAN'!$J:$J,0,0)),"")</f>
        <v/>
      </c>
      <c r="BR20" s="73" t="str">
        <f t="array" ref="BR20">IFERROR(IF(XLOOKUP(CONCAT(BO20,BP20),'PROCESOS PRD'!$J:$J,'PROCESOS PRD'!$H:$H,0,0)=0,"",XLOOKUP(CONCAT(BO20,BP20),'PROCESOS PRD'!$J:$J,'PROCESOS PRD'!$H:$H,0,0)),"")</f>
        <v/>
      </c>
      <c r="BS20" s="70"/>
      <c r="BT20" s="71"/>
      <c r="BU20" s="32"/>
      <c r="BV20" s="72" t="str">
        <f t="array" ref="BV20">IFERROR(IF(XLOOKUP(CONCAT(BT20,BU20),'MASTER PLAN'!$AB:$AB,'MASTER PLAN'!$J:$J,0,0)=0,"",XLOOKUP(CONCAT(BT20,BU20),'MASTER PLAN'!$AB:$AB,'MASTER PLAN'!$J:$J,0,0)),"")</f>
        <v/>
      </c>
      <c r="BW20" s="73" t="str">
        <f t="array" ref="BW20">IFERROR(IF(XLOOKUP(CONCAT(BT20,BU20),'PROCESOS PRD'!$J:$J,'PROCESOS PRD'!$H:$H,0,0)=0,"",XLOOKUP(CONCAT(BT20,BU20),'PROCESOS PRD'!$J:$J,'PROCESOS PRD'!$H:$H,0,0)),"")</f>
        <v/>
      </c>
      <c r="BX20" s="71"/>
      <c r="BY20" s="32"/>
      <c r="BZ20" s="72" t="str">
        <f t="array" ref="BZ20">IFERROR(IF(XLOOKUP(CONCAT(BX20,BY20),'MASTER PLAN'!$AB:$AB,'MASTER PLAN'!$J:$J,0,0)=0,"",XLOOKUP(CONCAT(BX20,BY20),'MASTER PLAN'!$AB:$AB,'MASTER PLAN'!$J:$J,0,0)),"")</f>
        <v/>
      </c>
      <c r="CA20" s="73" t="str">
        <f t="array" ref="CA20">IFERROR(IF(XLOOKUP(CONCAT(BX20,BY20),'PROCESOS PRD'!$J:$J,'PROCESOS PRD'!$H:$H,0,0)=0,"",XLOOKUP(CONCAT(BX20,BY20),'PROCESOS PRD'!$J:$J,'PROCESOS PRD'!$H:$H,0,0)),"")</f>
        <v/>
      </c>
      <c r="CB20" s="71"/>
      <c r="CC20" s="32"/>
      <c r="CD20" s="72" t="str">
        <f t="array" ref="CD20">IFERROR(IF(XLOOKUP(CONCAT(CB20,CC20),'MASTER PLAN'!$AB:$AB,'MASTER PLAN'!$J:$J,0,0)=0,"",XLOOKUP(CONCAT(CB20,CC20),'MASTER PLAN'!$AB:$AB,'MASTER PLAN'!$J:$J,0,0)),"")</f>
        <v/>
      </c>
      <c r="CE20" s="73" t="str">
        <f t="array" ref="CE20">IFERROR(IF(XLOOKUP(CONCAT(CB20,CC20),'PROCESOS PRD'!$J:$J,'PROCESOS PRD'!$H:$H,0,0)=0,"",XLOOKUP(CONCAT(CB20,CC20),'PROCESOS PRD'!$J:$J,'PROCESOS PRD'!$H:$H,0,0)),"")</f>
        <v/>
      </c>
      <c r="CF20" s="71"/>
      <c r="CG20" s="32"/>
      <c r="CH20" s="72" t="str">
        <f t="array" ref="CH20">IFERROR(IF(XLOOKUP(CONCAT(CF20,CG20),'MASTER PLAN'!$AB:$AB,'MASTER PLAN'!$J:$J,0,0)=0,"",XLOOKUP(CONCAT(CF20,CG20),'MASTER PLAN'!$AB:$AB,'MASTER PLAN'!$J:$J,0,0)),"")</f>
        <v/>
      </c>
      <c r="CI20" s="73" t="str">
        <f t="array" ref="CI20">IFERROR(IF(XLOOKUP(CONCAT(CF20,CG20),'PROCESOS PRD'!$J:$J,'PROCESOS PRD'!$H:$H,0,0)=0,"",XLOOKUP(CONCAT(CF20,CG20),'PROCESOS PRD'!$J:$J,'PROCESOS PRD'!$H:$H,0,0)),"")</f>
        <v/>
      </c>
      <c r="CJ20" s="71"/>
      <c r="CK20" s="32"/>
      <c r="CL20" s="72" t="str">
        <f t="array" ref="CL20">IFERROR(IF(XLOOKUP(CONCAT(CJ20,CK20),'MASTER PLAN'!$AB:$AB,'MASTER PLAN'!$J:$J,0,0)=0,"",XLOOKUP(CONCAT(CJ20,CK20),'MASTER PLAN'!$AB:$AB,'MASTER PLAN'!$J:$J,0,0)),"")</f>
        <v/>
      </c>
      <c r="CM20" s="73" t="str">
        <f t="array" ref="CM20">IFERROR(IF(XLOOKUP(CONCAT(CJ20,CK20),'PROCESOS PRD'!$J:$J,'PROCESOS PRD'!$H:$H,0,0)=0,"",XLOOKUP(CONCAT(CJ20,CK20),'PROCESOS PRD'!$J:$J,'PROCESOS PRD'!$H:$H,0,0)),"")</f>
        <v/>
      </c>
      <c r="CN20" s="71"/>
      <c r="CO20" s="32"/>
      <c r="CP20" s="72" t="str">
        <f t="array" ref="CP20">IFERROR(IF(XLOOKUP(CONCAT(CN20,CO20),'MASTER PLAN'!$AB:$AB,'MASTER PLAN'!$J:$J,0,0)=0,"",XLOOKUP(CONCAT(CN20,CO20),'MASTER PLAN'!$AB:$AB,'MASTER PLAN'!$J:$J,0,0)),"")</f>
        <v/>
      </c>
      <c r="CQ20" s="73" t="str">
        <f t="array" ref="CQ20">IFERROR(IF(XLOOKUP(CONCAT(CN20,CO20),'PROCESOS PRD'!$J:$J,'PROCESOS PRD'!$H:$H,0,0)=0,"",XLOOKUP(CONCAT(CN20,CO20),'PROCESOS PRD'!$J:$J,'PROCESOS PRD'!$H:$H,0,0)),"")</f>
        <v/>
      </c>
      <c r="CR20" s="70"/>
      <c r="CS20" s="71"/>
      <c r="CT20" s="32"/>
      <c r="CU20" s="72" t="str">
        <f t="array" ref="CU20">IFERROR(IF(XLOOKUP(CONCAT(CS20,CT20),'MASTER PLAN'!$AB:$AB,'MASTER PLAN'!$J:$J,0,0)=0,"",XLOOKUP(CONCAT(CS20,CT20),'MASTER PLAN'!$AB:$AB,'MASTER PLAN'!$J:$J,0,0)),"")</f>
        <v/>
      </c>
      <c r="CV20" s="73" t="str">
        <f t="array" ref="CV20">IFERROR(IF(XLOOKUP(CONCAT(CS20,CT20),'PROCESOS PRD'!$J:$J,'PROCESOS PRD'!$H:$H,0,0)=0,"",XLOOKUP(CONCAT(CS20,CT20),'PROCESOS PRD'!$J:$J,'PROCESOS PRD'!$H:$H,0,0)),"")</f>
        <v/>
      </c>
      <c r="CW20" s="71"/>
      <c r="CX20" s="32"/>
      <c r="CY20" s="72" t="str">
        <f t="array" ref="CY20">IFERROR(IF(XLOOKUP(CONCAT(CW20,CX20),'MASTER PLAN'!$AB:$AB,'MASTER PLAN'!$J:$J,0,0)=0,"",XLOOKUP(CONCAT(CW20,CX20),'MASTER PLAN'!$AB:$AB,'MASTER PLAN'!$J:$J,0,0)),"")</f>
        <v/>
      </c>
      <c r="CZ20" s="73" t="str">
        <f t="array" ref="CZ20">IFERROR(IF(XLOOKUP(CONCAT(CW20,CX20),'PROCESOS PRD'!$J:$J,'PROCESOS PRD'!$H:$H,0,0)=0,"",XLOOKUP(CONCAT(CW20,CX20),'PROCESOS PRD'!$J:$J,'PROCESOS PRD'!$H:$H,0,0)),"")</f>
        <v/>
      </c>
      <c r="DA20" s="71"/>
      <c r="DB20" s="32"/>
      <c r="DC20" s="72" t="str">
        <f t="array" ref="DC20">IFERROR(IF(XLOOKUP(CONCAT(DA20,DB20),'MASTER PLAN'!$AB:$AB,'MASTER PLAN'!$J:$J,0,0)=0,"",XLOOKUP(CONCAT(DA20,DB20),'MASTER PLAN'!$AB:$AB,'MASTER PLAN'!$J:$J,0,0)),"")</f>
        <v/>
      </c>
      <c r="DD20" s="73" t="str">
        <f t="array" ref="DD20">IFERROR(IF(XLOOKUP(CONCAT(DA20,DB20),'PROCESOS PRD'!$J:$J,'PROCESOS PRD'!$H:$H,0,0)=0,"",XLOOKUP(CONCAT(DA20,DB20),'PROCESOS PRD'!$J:$J,'PROCESOS PRD'!$H:$H,0,0)),"")</f>
        <v/>
      </c>
      <c r="DE20" s="71"/>
      <c r="DF20" s="32"/>
      <c r="DG20" s="72" t="str">
        <f t="array" ref="DG20">IFERROR(IF(XLOOKUP(CONCAT(DE20,DF20),'MASTER PLAN'!$AB:$AB,'MASTER PLAN'!$J:$J,0,0)=0,"",XLOOKUP(CONCAT(DE20,DF20),'MASTER PLAN'!$AB:$AB,'MASTER PLAN'!$J:$J,0,0)),"")</f>
        <v/>
      </c>
      <c r="DH20" s="73" t="str">
        <f t="array" ref="DH20">IFERROR(IF(XLOOKUP(CONCAT(DE20,DF20),'PROCESOS PRD'!$J:$J,'PROCESOS PRD'!$H:$H,0,0)=0,"",XLOOKUP(CONCAT(DE20,DF20),'PROCESOS PRD'!$J:$J,'PROCESOS PRD'!$H:$H,0,0)),"")</f>
        <v/>
      </c>
      <c r="DI20" s="71"/>
      <c r="DJ20" s="32"/>
      <c r="DK20" s="72" t="str">
        <f t="array" ref="DK20">IFERROR(IF(XLOOKUP(CONCAT(DI20,DJ20),'MASTER PLAN'!$AB:$AB,'MASTER PLAN'!$J:$J,0,0)=0,"",XLOOKUP(CONCAT(DI20,DJ20),'MASTER PLAN'!$AB:$AB,'MASTER PLAN'!$J:$J,0,0)),"")</f>
        <v/>
      </c>
      <c r="DL20" s="73" t="str">
        <f t="array" ref="DL20">IFERROR(IF(XLOOKUP(CONCAT(DI20,DJ20),'PROCESOS PRD'!$J:$J,'PROCESOS PRD'!$H:$H,0,0)=0,"",XLOOKUP(CONCAT(DI20,DJ20),'PROCESOS PRD'!$J:$J,'PROCESOS PRD'!$H:$H,0,0)),"")</f>
        <v/>
      </c>
      <c r="DM20" s="71"/>
      <c r="DN20" s="32"/>
      <c r="DO20" s="72" t="str">
        <f t="array" ref="DO20">IFERROR(IF(XLOOKUP(CONCAT(DM20,DN20),'MASTER PLAN'!$AB:$AB,'MASTER PLAN'!$J:$J,0,0)=0,"",XLOOKUP(CONCAT(DM20,DN20),'MASTER PLAN'!$AB:$AB,'MASTER PLAN'!$J:$J,0,0)),"")</f>
        <v/>
      </c>
      <c r="DP20" s="73" t="str">
        <f t="array" ref="DP20">IFERROR(IF(XLOOKUP(CONCAT(DM20,DN20),'PROCESOS PRD'!$J:$J,'PROCESOS PRD'!$H:$H,0,0)=0,"",XLOOKUP(CONCAT(DM20,DN20),'PROCESOS PRD'!$J:$J,'PROCESOS PRD'!$H:$H,0,0)),"")</f>
        <v/>
      </c>
      <c r="DQ20" s="70"/>
      <c r="DR20" s="71"/>
      <c r="DS20" s="32"/>
      <c r="DT20" s="72" t="str">
        <f t="array" ref="DT20">IFERROR(IF(XLOOKUP(CONCAT(DR20,DS20),'MASTER PLAN'!$AB:$AB,'MASTER PLAN'!$J:$J,0,0)=0,"",XLOOKUP(CONCAT(DR20,DS20),'MASTER PLAN'!$AB:$AB,'MASTER PLAN'!$J:$J,0,0)),"")</f>
        <v/>
      </c>
      <c r="DU20" s="73" t="str">
        <f t="array" ref="DU20">IFERROR(IF(XLOOKUP(CONCAT(DR20,DS20),'PROCESOS PRD'!$J:$J,'PROCESOS PRD'!$H:$H,0,0)=0,"",XLOOKUP(CONCAT(DR20,DS20),'PROCESOS PRD'!$J:$J,'PROCESOS PRD'!$H:$H,0,0)),"")</f>
        <v/>
      </c>
      <c r="DV20" s="71"/>
      <c r="DW20" s="32"/>
      <c r="DX20" s="72" t="str">
        <f t="array" ref="DX20">IFERROR(IF(XLOOKUP(CONCAT(DV20,DW20),'MASTER PLAN'!$AB:$AB,'MASTER PLAN'!$J:$J,0,0)=0,"",XLOOKUP(CONCAT(DV20,DW20),'MASTER PLAN'!$AB:$AB,'MASTER PLAN'!$J:$J,0,0)),"")</f>
        <v/>
      </c>
      <c r="DY20" s="73" t="str">
        <f t="array" ref="DY20">IFERROR(IF(XLOOKUP(CONCAT(DV20,DW20),'PROCESOS PRD'!$J:$J,'PROCESOS PRD'!$H:$H,0,0)=0,"",XLOOKUP(CONCAT(DV20,DW20),'PROCESOS PRD'!$J:$J,'PROCESOS PRD'!$H:$H,0,0)),"")</f>
        <v/>
      </c>
      <c r="DZ20" s="71"/>
      <c r="EA20" s="32"/>
      <c r="EB20" s="72" t="str">
        <f t="array" ref="EB20">IFERROR(IF(XLOOKUP(CONCAT(DZ20,EA20),'MASTER PLAN'!$AB:$AB,'MASTER PLAN'!$J:$J,0,0)=0,"",XLOOKUP(CONCAT(DZ20,EA20),'MASTER PLAN'!$AB:$AB,'MASTER PLAN'!$J:$J,0,0)),"")</f>
        <v/>
      </c>
      <c r="EC20" s="73" t="str">
        <f t="array" ref="EC20">IFERROR(IF(XLOOKUP(CONCAT(DZ20,EA20),'PROCESOS PRD'!$J:$J,'PROCESOS PRD'!$H:$H,0,0)=0,"",XLOOKUP(CONCAT(DZ20,EA20),'PROCESOS PRD'!$J:$J,'PROCESOS PRD'!$H:$H,0,0)),"")</f>
        <v/>
      </c>
      <c r="ED20" s="71"/>
      <c r="EE20" s="32"/>
      <c r="EF20" s="72" t="str">
        <f t="array" ref="EF20">IFERROR(IF(XLOOKUP(CONCAT(ED20,EE20),'MASTER PLAN'!$AB:$AB,'MASTER PLAN'!$J:$J,0,0)=0,"",XLOOKUP(CONCAT(ED20,EE20),'MASTER PLAN'!$AB:$AB,'MASTER PLAN'!$J:$J,0,0)),"")</f>
        <v/>
      </c>
      <c r="EG20" s="73" t="str">
        <f t="array" ref="EG20">IFERROR(IF(XLOOKUP(CONCAT(ED20,EE20),'PROCESOS PRD'!$J:$J,'PROCESOS PRD'!$H:$H,0,0)=0,"",XLOOKUP(CONCAT(ED20,EE20),'PROCESOS PRD'!$J:$J,'PROCESOS PRD'!$H:$H,0,0)),"")</f>
        <v/>
      </c>
      <c r="EH20" s="71"/>
      <c r="EI20" s="32"/>
      <c r="EJ20" s="72" t="str">
        <f t="array" ref="EJ20">IFERROR(IF(XLOOKUP(CONCAT(EH20,EI20),'MASTER PLAN'!$AB:$AB,'MASTER PLAN'!$J:$J,0,0)=0,"",XLOOKUP(CONCAT(EH20,EI20),'MASTER PLAN'!$AB:$AB,'MASTER PLAN'!$J:$J,0,0)),"")</f>
        <v/>
      </c>
      <c r="EK20" s="73" t="str">
        <f t="array" ref="EK20">IFERROR(IF(XLOOKUP(CONCAT(EH20,EI20),'PROCESOS PRD'!$J:$J,'PROCESOS PRD'!$H:$H,0,0)=0,"",XLOOKUP(CONCAT(EH20,EI20),'PROCESOS PRD'!$J:$J,'PROCESOS PRD'!$H:$H,0,0)),"")</f>
        <v/>
      </c>
      <c r="EL20" s="71"/>
      <c r="EM20" s="32"/>
      <c r="EN20" s="72" t="str">
        <f t="array" ref="EN20">IFERROR(IF(XLOOKUP(CONCAT(EL20,EM20),'MASTER PLAN'!$AB:$AB,'MASTER PLAN'!$J:$J,0,0)=0,"",XLOOKUP(CONCAT(EL20,EM20),'MASTER PLAN'!$AB:$AB,'MASTER PLAN'!$J:$J,0,0)),"")</f>
        <v/>
      </c>
      <c r="EO20" s="73" t="str">
        <f t="array" ref="EO20">IFERROR(IF(XLOOKUP(CONCAT(EL20,EM20),'PROCESOS PRD'!$J:$J,'PROCESOS PRD'!$H:$H,0,0)=0,"",XLOOKUP(CONCAT(EL20,EM20),'PROCESOS PRD'!$J:$J,'PROCESOS PRD'!$H:$H,0,0)),"")</f>
        <v/>
      </c>
      <c r="EP20" s="70"/>
      <c r="EQ20" s="71"/>
      <c r="ER20" s="32"/>
      <c r="ES20" s="72" t="str">
        <f t="array" ref="ES20">IFERROR(IF(XLOOKUP(CONCAT(EQ20,ER20),'MASTER PLAN'!$AB:$AB,'MASTER PLAN'!$J:$J,0,0)=0,"",XLOOKUP(CONCAT(EQ20,ER20),'MASTER PLAN'!$AB:$AB,'MASTER PLAN'!$J:$J,0,0)),"")</f>
        <v/>
      </c>
      <c r="ET20" s="73" t="str">
        <f t="array" ref="ET20">IFERROR(IF(XLOOKUP(CONCAT(EQ20,ER20),'PROCESOS PRD'!$J:$J,'PROCESOS PRD'!$H:$H,0,0)=0,"",XLOOKUP(CONCAT(EQ20,ER20),'PROCESOS PRD'!$J:$J,'PROCESOS PRD'!$H:$H,0,0)),"")</f>
        <v/>
      </c>
      <c r="EU20" s="71"/>
      <c r="EV20" s="32"/>
      <c r="EW20" s="72" t="str">
        <f t="array" ref="EW20">IFERROR(IF(XLOOKUP(CONCAT(EU20,EV20),'MASTER PLAN'!$AB:$AB,'MASTER PLAN'!$J:$J,0,0)=0,"",XLOOKUP(CONCAT(EU20,EV20),'MASTER PLAN'!$AB:$AB,'MASTER PLAN'!$J:$J,0,0)),"")</f>
        <v/>
      </c>
      <c r="EX20" s="73" t="str">
        <f t="array" ref="EX20">IFERROR(IF(XLOOKUP(CONCAT(EU20,EV20),'PROCESOS PRD'!$J:$J,'PROCESOS PRD'!$H:$H,0,0)=0,"",XLOOKUP(CONCAT(EU20,EV20),'PROCESOS PRD'!$J:$J,'PROCESOS PRD'!$H:$H,0,0)),"")</f>
        <v/>
      </c>
      <c r="EY20" s="71"/>
      <c r="EZ20" s="32"/>
      <c r="FA20" s="72" t="str">
        <f t="array" ref="FA20">IFERROR(IF(XLOOKUP(CONCAT(EY20,EZ20),'MASTER PLAN'!$AB:$AB,'MASTER PLAN'!$J:$J,0,0)=0,"",XLOOKUP(CONCAT(EY20,EZ20),'MASTER PLAN'!$AB:$AB,'MASTER PLAN'!$J:$J,0,0)),"")</f>
        <v/>
      </c>
      <c r="FB20" s="73" t="str">
        <f t="array" ref="FB20">IFERROR(IF(XLOOKUP(CONCAT(EY20,EZ20),'PROCESOS PRD'!$J:$J,'PROCESOS PRD'!$H:$H,0,0)=0,"",XLOOKUP(CONCAT(EY20,EZ20),'PROCESOS PRD'!$J:$J,'PROCESOS PRD'!$H:$H,0,0)),"")</f>
        <v/>
      </c>
      <c r="FC20" s="71"/>
      <c r="FD20" s="32"/>
      <c r="FE20" s="72" t="str">
        <f t="array" ref="FE20">IFERROR(IF(XLOOKUP(CONCAT(FC20,FD20),'MASTER PLAN'!$AB:$AB,'MASTER PLAN'!$J:$J,0,0)=0,"",XLOOKUP(CONCAT(FC20,FD20),'MASTER PLAN'!$AB:$AB,'MASTER PLAN'!$J:$J,0,0)),"")</f>
        <v/>
      </c>
      <c r="FF20" s="73" t="str">
        <f t="array" ref="FF20">IFERROR(IF(XLOOKUP(CONCAT(FC20,FD20),'PROCESOS PRD'!$J:$J,'PROCESOS PRD'!$H:$H,0,0)=0,"",XLOOKUP(CONCAT(FC20,FD20),'PROCESOS PRD'!$J:$J,'PROCESOS PRD'!$H:$H,0,0)),"")</f>
        <v/>
      </c>
      <c r="FG20" s="71"/>
      <c r="FH20" s="32"/>
      <c r="FI20" s="72" t="str">
        <f t="array" ref="FI20">IFERROR(IF(XLOOKUP(CONCAT(FG20,FH20),'MASTER PLAN'!$AB:$AB,'MASTER PLAN'!$J:$J,0,0)=0,"",XLOOKUP(CONCAT(FG20,FH20),'MASTER PLAN'!$AB:$AB,'MASTER PLAN'!$J:$J,0,0)),"")</f>
        <v/>
      </c>
      <c r="FJ20" s="73" t="str">
        <f t="array" ref="FJ20">IFERROR(IF(XLOOKUP(CONCAT(FG20,FH20),'PROCESOS PRD'!$J:$J,'PROCESOS PRD'!$H:$H,0,0)=0,"",XLOOKUP(CONCAT(FG20,FH20),'PROCESOS PRD'!$J:$J,'PROCESOS PRD'!$H:$H,0,0)),"")</f>
        <v/>
      </c>
      <c r="FK20" s="71"/>
      <c r="FL20" s="32"/>
      <c r="FM20" s="72" t="str">
        <f t="array" ref="FM20">IFERROR(IF(XLOOKUP(CONCAT(FK20,FL20),'MASTER PLAN'!$AB:$AB,'MASTER PLAN'!$J:$J,0,0)=0,"",XLOOKUP(CONCAT(FK20,FL20),'MASTER PLAN'!$AB:$AB,'MASTER PLAN'!$J:$J,0,0)),"")</f>
        <v/>
      </c>
      <c r="FN20" s="73" t="str">
        <f t="array" ref="FN20">IFERROR(IF(XLOOKUP(CONCAT(FK20,FL20),'PROCESOS PRD'!$J:$J,'PROCESOS PRD'!$H:$H,0,0)=0,"",XLOOKUP(CONCAT(FK20,FL20),'PROCESOS PRD'!$J:$J,'PROCESOS PRD'!$H:$H,0,0)),"")</f>
        <v/>
      </c>
      <c r="FO20" s="70"/>
      <c r="FP20" s="71"/>
      <c r="FQ20" s="32"/>
      <c r="FR20" s="72" t="str">
        <f t="array" ref="FR20">IFERROR(IF(XLOOKUP(CONCAT(FP20,FQ20),'MASTER PLAN'!$AB:$AB,'MASTER PLAN'!$J:$J,0,0)=0,"",XLOOKUP(CONCAT(FP20,FQ20),'MASTER PLAN'!$AB:$AB,'MASTER PLAN'!$J:$J,0,0)),"")</f>
        <v/>
      </c>
      <c r="FS20" s="73" t="str">
        <f t="array" ref="FS20">IFERROR(IF(XLOOKUP(CONCAT(FP20,FQ20),'PROCESOS PRD'!$J:$J,'PROCESOS PRD'!$H:$H,0,0)=0,"",XLOOKUP(CONCAT(FP20,FQ20),'PROCESOS PRD'!$J:$J,'PROCESOS PRD'!$H:$H,0,0)),"")</f>
        <v/>
      </c>
      <c r="FT20" s="71"/>
      <c r="FU20" s="32"/>
      <c r="FV20" s="72" t="str">
        <f t="array" ref="FV20">IFERROR(IF(XLOOKUP(CONCAT(FT20,FU20),'MASTER PLAN'!$AB:$AB,'MASTER PLAN'!$J:$J,0,0)=0,"",XLOOKUP(CONCAT(FT20,FU20),'MASTER PLAN'!$AB:$AB,'MASTER PLAN'!$J:$J,0,0)),"")</f>
        <v/>
      </c>
      <c r="FW20" s="73" t="str">
        <f t="array" ref="FW20">IFERROR(IF(XLOOKUP(CONCAT(FT20,FU20),'PROCESOS PRD'!$J:$J,'PROCESOS PRD'!$H:$H,0,0)=0,"",XLOOKUP(CONCAT(FT20,FU20),'PROCESOS PRD'!$J:$J,'PROCESOS PRD'!$H:$H,0,0)),"")</f>
        <v/>
      </c>
      <c r="FX20" s="71"/>
      <c r="FY20" s="32"/>
      <c r="FZ20" s="72" t="str">
        <f t="array" ref="FZ20">IFERROR(IF(XLOOKUP(CONCAT(FX20,FY20),'MASTER PLAN'!$AB:$AB,'MASTER PLAN'!$J:$J,0,0)=0,"",XLOOKUP(CONCAT(FX20,FY20),'MASTER PLAN'!$AB:$AB,'MASTER PLAN'!$J:$J,0,0)),"")</f>
        <v/>
      </c>
      <c r="GA20" s="73" t="str">
        <f t="array" ref="GA20">IFERROR(IF(XLOOKUP(CONCAT(FX20,FY20),'PROCESOS PRD'!$J:$J,'PROCESOS PRD'!$H:$H,0,0)=0,"",XLOOKUP(CONCAT(FX20,FY20),'PROCESOS PRD'!$J:$J,'PROCESOS PRD'!$H:$H,0,0)),"")</f>
        <v/>
      </c>
      <c r="GB20" s="71"/>
      <c r="GC20" s="32"/>
      <c r="GD20" s="72" t="str">
        <f t="array" ref="GD20">IFERROR(IF(XLOOKUP(CONCAT(GB20,GC20),'MASTER PLAN'!$AB:$AB,'MASTER PLAN'!$J:$J,0,0)=0,"",XLOOKUP(CONCAT(GB20,GC20),'MASTER PLAN'!$AB:$AB,'MASTER PLAN'!$J:$J,0,0)),"")</f>
        <v/>
      </c>
      <c r="GE20" s="73" t="str">
        <f t="array" ref="GE20">IFERROR(IF(XLOOKUP(CONCAT(GB20,GC20),'PROCESOS PRD'!$J:$J,'PROCESOS PRD'!$H:$H,0,0)=0,"",XLOOKUP(CONCAT(GB20,GC20),'PROCESOS PRD'!$J:$J,'PROCESOS PRD'!$H:$H,0,0)),"")</f>
        <v/>
      </c>
      <c r="GF20" s="71"/>
      <c r="GG20" s="32"/>
      <c r="GH20" s="72" t="str">
        <f t="array" ref="GH20">IFERROR(IF(XLOOKUP(CONCAT(GF20,GG20),'MASTER PLAN'!$AB:$AB,'MASTER PLAN'!$J:$J,0,0)=0,"",XLOOKUP(CONCAT(GF20,GG20),'MASTER PLAN'!$AB:$AB,'MASTER PLAN'!$J:$J,0,0)),"")</f>
        <v/>
      </c>
      <c r="GI20" s="73" t="str">
        <f t="array" ref="GI20">IFERROR(IF(XLOOKUP(CONCAT(GF20,GG20),'PROCESOS PRD'!$J:$J,'PROCESOS PRD'!$H:$H,0,0)=0,"",XLOOKUP(CONCAT(GF20,GG20),'PROCESOS PRD'!$J:$J,'PROCESOS PRD'!$H:$H,0,0)),"")</f>
        <v/>
      </c>
      <c r="GJ20" s="71"/>
      <c r="GK20" s="32"/>
      <c r="GL20" s="72" t="str">
        <f t="array" ref="GL20">IFERROR(IF(XLOOKUP(CONCAT(GJ20,GK20),'MASTER PLAN'!$AB:$AB,'MASTER PLAN'!$J:$J,0,0)=0,"",XLOOKUP(CONCAT(GJ20,GK20),'MASTER PLAN'!$AB:$AB,'MASTER PLAN'!$J:$J,0,0)),"")</f>
        <v/>
      </c>
      <c r="GM20" s="73" t="str">
        <f t="array" ref="GM20">IFERROR(IF(XLOOKUP(CONCAT(GJ20,GK20),'PROCESOS PRD'!$J:$J,'PROCESOS PRD'!$H:$H,0,0)=0,"",XLOOKUP(CONCAT(GJ20,GK20),'PROCESOS PRD'!$J:$J,'PROCESOS PRD'!$H:$H,0,0)),"")</f>
        <v/>
      </c>
      <c r="GN20" s="70"/>
      <c r="GO20" s="71"/>
      <c r="GP20" s="32"/>
      <c r="GQ20" s="72" t="str">
        <f t="array" ref="GQ20">IFERROR(IF(XLOOKUP(CONCAT(GO20,GP20),'MASTER PLAN'!$AB:$AB,'MASTER PLAN'!$J:$J,0,0)=0,"",XLOOKUP(CONCAT(GO20,GP20),'MASTER PLAN'!$AB:$AB,'MASTER PLAN'!$J:$J,0,0)),"")</f>
        <v/>
      </c>
      <c r="GR20" s="73" t="str">
        <f t="array" ref="GR20">IFERROR(IF(XLOOKUP(CONCAT(GO20,GP20),'PROCESOS PRD'!$J:$J,'PROCESOS PRD'!$H:$H,0,0)=0,"",XLOOKUP(CONCAT(GO20,GP20),'PROCESOS PRD'!$J:$J,'PROCESOS PRD'!$H:$H,0,0)),"")</f>
        <v/>
      </c>
      <c r="GS20" s="71"/>
      <c r="GT20" s="32"/>
      <c r="GU20" s="72" t="str">
        <f t="array" ref="GU20">IFERROR(IF(XLOOKUP(CONCAT(GS20,GT20),'MASTER PLAN'!$AB:$AB,'MASTER PLAN'!$J:$J,0,0)=0,"",XLOOKUP(CONCAT(GS20,GT20),'MASTER PLAN'!$AB:$AB,'MASTER PLAN'!$J:$J,0,0)),"")</f>
        <v/>
      </c>
      <c r="GV20" s="73" t="str">
        <f t="array" ref="GV20">IFERROR(IF(XLOOKUP(CONCAT(GS20,GT20),'PROCESOS PRD'!$J:$J,'PROCESOS PRD'!$H:$H,0,0)=0,"",XLOOKUP(CONCAT(GS20,GT20),'PROCESOS PRD'!$J:$J,'PROCESOS PRD'!$H:$H,0,0)),"")</f>
        <v/>
      </c>
      <c r="GW20" s="71"/>
      <c r="GX20" s="32"/>
      <c r="GY20" s="72" t="str">
        <f t="array" ref="GY20">IFERROR(IF(XLOOKUP(CONCAT(GW20,GX20),'MASTER PLAN'!$AB:$AB,'MASTER PLAN'!$J:$J,0,0)=0,"",XLOOKUP(CONCAT(GW20,GX20),'MASTER PLAN'!$AB:$AB,'MASTER PLAN'!$J:$J,0,0)),"")</f>
        <v/>
      </c>
      <c r="GZ20" s="73" t="str">
        <f t="array" ref="GZ20">IFERROR(IF(XLOOKUP(CONCAT(GW20,GX20),'PROCESOS PRD'!$J:$J,'PROCESOS PRD'!$H:$H,0,0)=0,"",XLOOKUP(CONCAT(GW20,GX20),'PROCESOS PRD'!$J:$J,'PROCESOS PRD'!$H:$H,0,0)),"")</f>
        <v/>
      </c>
      <c r="HA20" s="71"/>
      <c r="HB20" s="32"/>
      <c r="HC20" s="72" t="str">
        <f t="array" ref="HC20">IFERROR(IF(XLOOKUP(CONCAT(HA20,HB20),'MASTER PLAN'!$AB:$AB,'MASTER PLAN'!$J:$J,0,0)=0,"",XLOOKUP(CONCAT(HA20,HB20),'MASTER PLAN'!$AB:$AB,'MASTER PLAN'!$J:$J,0,0)),"")</f>
        <v/>
      </c>
      <c r="HD20" s="73" t="str">
        <f t="array" ref="HD20">IFERROR(IF(XLOOKUP(CONCAT(HA20,HB20),'PROCESOS PRD'!$J:$J,'PROCESOS PRD'!$H:$H,0,0)=0,"",XLOOKUP(CONCAT(HA20,HB20),'PROCESOS PRD'!$J:$J,'PROCESOS PRD'!$H:$H,0,0)),"")</f>
        <v/>
      </c>
      <c r="HE20" s="71"/>
      <c r="HF20" s="32"/>
      <c r="HG20" s="72" t="str">
        <f t="array" ref="HG20">IFERROR(IF(XLOOKUP(CONCAT(HE20,HF20),'MASTER PLAN'!$AB:$AB,'MASTER PLAN'!$J:$J,0,0)=0,"",XLOOKUP(CONCAT(HE20,HF20),'MASTER PLAN'!$AB:$AB,'MASTER PLAN'!$J:$J,0,0)),"")</f>
        <v/>
      </c>
      <c r="HH20" s="73" t="str">
        <f t="array" ref="HH20">IFERROR(IF(XLOOKUP(CONCAT(HE20,HF20),'PROCESOS PRD'!$J:$J,'PROCESOS PRD'!$H:$H,0,0)=0,"",XLOOKUP(CONCAT(HE20,HF20),'PROCESOS PRD'!$J:$J,'PROCESOS PRD'!$H:$H,0,0)),"")</f>
        <v/>
      </c>
      <c r="HI20" s="71"/>
      <c r="HJ20" s="32"/>
      <c r="HK20" s="72" t="str">
        <f t="array" ref="HK20">IFERROR(IF(XLOOKUP(CONCAT(HI20,HJ20),'MASTER PLAN'!$AB:$AB,'MASTER PLAN'!$J:$J,0,0)=0,"",XLOOKUP(CONCAT(HI20,HJ20),'MASTER PLAN'!$AB:$AB,'MASTER PLAN'!$J:$J,0,0)),"")</f>
        <v/>
      </c>
      <c r="HL20" s="73" t="str">
        <f t="array" ref="HL20">IFERROR(IF(XLOOKUP(CONCAT(HI20,HJ20),'PROCESOS PRD'!$J:$J,'PROCESOS PRD'!$H:$H,0,0)=0,"",XLOOKUP(CONCAT(HI20,HJ20),'PROCESOS PRD'!$J:$J,'PROCESOS PRD'!$H:$H,0,0)),"")</f>
        <v/>
      </c>
      <c r="HM20" s="70"/>
      <c r="HN20" s="71"/>
      <c r="HO20" s="32"/>
      <c r="HP20" s="72" t="str">
        <f t="array" ref="HP20">IFERROR(IF(XLOOKUP(CONCAT(HN20,HO20),'MASTER PLAN'!$AB:$AB,'MASTER PLAN'!$J:$J,0,0)=0,"",XLOOKUP(CONCAT(HN20,HO20),'MASTER PLAN'!$AB:$AB,'MASTER PLAN'!$J:$J,0,0)),"")</f>
        <v/>
      </c>
      <c r="HQ20" s="73" t="str">
        <f t="array" ref="HQ20">IFERROR(IF(XLOOKUP(CONCAT(HN20,HO20),'PROCESOS PRD'!$J:$J,'PROCESOS PRD'!$H:$H,0,0)=0,"",XLOOKUP(CONCAT(HN20,HO20),'PROCESOS PRD'!$J:$J,'PROCESOS PRD'!$H:$H,0,0)),"")</f>
        <v/>
      </c>
      <c r="HR20" s="71"/>
      <c r="HS20" s="32"/>
      <c r="HT20" s="72" t="str">
        <f t="array" ref="HT20">IFERROR(IF(XLOOKUP(CONCAT(HR20,HS20),'MASTER PLAN'!$AB:$AB,'MASTER PLAN'!$J:$J,0,0)=0,"",XLOOKUP(CONCAT(HR20,HS20),'MASTER PLAN'!$AB:$AB,'MASTER PLAN'!$J:$J,0,0)),"")</f>
        <v/>
      </c>
      <c r="HU20" s="73" t="str">
        <f t="array" ref="HU20">IFERROR(IF(XLOOKUP(CONCAT(HR20,HS20),'PROCESOS PRD'!$J:$J,'PROCESOS PRD'!$H:$H,0,0)=0,"",XLOOKUP(CONCAT(HR20,HS20),'PROCESOS PRD'!$J:$J,'PROCESOS PRD'!$H:$H,0,0)),"")</f>
        <v/>
      </c>
      <c r="HV20" s="71"/>
      <c r="HW20" s="32"/>
      <c r="HX20" s="72" t="str">
        <f t="array" ref="HX20">IFERROR(IF(XLOOKUP(CONCAT(HV20,HW20),'MASTER PLAN'!$AB:$AB,'MASTER PLAN'!$J:$J,0,0)=0,"",XLOOKUP(CONCAT(HV20,HW20),'MASTER PLAN'!$AB:$AB,'MASTER PLAN'!$J:$J,0,0)),"")</f>
        <v/>
      </c>
      <c r="HY20" s="73" t="str">
        <f t="array" ref="HY20">IFERROR(IF(XLOOKUP(CONCAT(HV20,HW20),'PROCESOS PRD'!$J:$J,'PROCESOS PRD'!$H:$H,0,0)=0,"",XLOOKUP(CONCAT(HV20,HW20),'PROCESOS PRD'!$J:$J,'PROCESOS PRD'!$H:$H,0,0)),"")</f>
        <v/>
      </c>
      <c r="HZ20" s="71"/>
      <c r="IA20" s="32"/>
      <c r="IB20" s="72" t="str">
        <f t="array" ref="IB20">IFERROR(IF(XLOOKUP(CONCAT(HZ20,IA20),'MASTER PLAN'!$AB:$AB,'MASTER PLAN'!$J:$J,0,0)=0,"",XLOOKUP(CONCAT(HZ20,IA20),'MASTER PLAN'!$AB:$AB,'MASTER PLAN'!$J:$J,0,0)),"")</f>
        <v/>
      </c>
      <c r="IC20" s="73" t="str">
        <f t="array" ref="IC20">IFERROR(IF(XLOOKUP(CONCAT(HZ20,IA20),'PROCESOS PRD'!$J:$J,'PROCESOS PRD'!$H:$H,0,0)=0,"",XLOOKUP(CONCAT(HZ20,IA20),'PROCESOS PRD'!$J:$J,'PROCESOS PRD'!$H:$H,0,0)),"")</f>
        <v/>
      </c>
      <c r="ID20" s="71"/>
      <c r="IE20" s="32"/>
      <c r="IF20" s="72" t="str">
        <f t="array" ref="IF20">IFERROR(IF(XLOOKUP(CONCAT(ID20,IE20),'MASTER PLAN'!$AB:$AB,'MASTER PLAN'!$J:$J,0,0)=0,"",XLOOKUP(CONCAT(ID20,IE20),'MASTER PLAN'!$AB:$AB,'MASTER PLAN'!$J:$J,0,0)),"")</f>
        <v/>
      </c>
      <c r="IG20" s="73" t="str">
        <f t="array" ref="IG20">IFERROR(IF(XLOOKUP(CONCAT(ID20,IE20),'PROCESOS PRD'!$J:$J,'PROCESOS PRD'!$H:$H,0,0)=0,"",XLOOKUP(CONCAT(ID20,IE20),'PROCESOS PRD'!$J:$J,'PROCESOS PRD'!$H:$H,0,0)),"")</f>
        <v/>
      </c>
      <c r="IH20" s="71"/>
      <c r="II20" s="32"/>
      <c r="IJ20" s="72" t="str">
        <f t="array" ref="IJ20">IFERROR(IF(XLOOKUP(CONCAT(IH20,II20),'MASTER PLAN'!$AB:$AB,'MASTER PLAN'!$J:$J,0,0)=0,"",XLOOKUP(CONCAT(IH20,II20),'MASTER PLAN'!$AB:$AB,'MASTER PLAN'!$J:$J,0,0)),"")</f>
        <v/>
      </c>
      <c r="IK20" s="73" t="str">
        <f t="array" ref="IK20">IFERROR(IF(XLOOKUP(CONCAT(IH20,II20),'PROCESOS PRD'!$J:$J,'PROCESOS PRD'!$H:$H,0,0)=0,"",XLOOKUP(CONCAT(IH20,II20),'PROCESOS PRD'!$J:$J,'PROCESOS PRD'!$H:$H,0,0)),"")</f>
        <v/>
      </c>
      <c r="IL20" s="70"/>
      <c r="IM20" s="71"/>
      <c r="IN20" s="32"/>
      <c r="IO20" s="72" t="str">
        <f t="array" ref="IO20">IFERROR(IF(XLOOKUP(CONCAT(IM20,IN20),'MASTER PLAN'!$AB:$AB,'MASTER PLAN'!$J:$J,0,0)=0,"",XLOOKUP(CONCAT(IM20,IN20),'MASTER PLAN'!$AB:$AB,'MASTER PLAN'!$J:$J,0,0)),"")</f>
        <v/>
      </c>
      <c r="IP20" s="73" t="str">
        <f t="array" ref="IP20">IFERROR(IF(XLOOKUP(CONCAT(IM20,IN20),'PROCESOS PRD'!$J:$J,'PROCESOS PRD'!$H:$H,0,0)=0,"",XLOOKUP(CONCAT(IM20,IN20),'PROCESOS PRD'!$J:$J,'PROCESOS PRD'!$H:$H,0,0)),"")</f>
        <v/>
      </c>
      <c r="IQ20" s="71"/>
      <c r="IR20" s="32"/>
      <c r="IS20" s="72" t="str">
        <f t="array" ref="IS20">IFERROR(IF(XLOOKUP(CONCAT(IQ20,IR20),'MASTER PLAN'!$AB:$AB,'MASTER PLAN'!$J:$J,0,0)=0,"",XLOOKUP(CONCAT(IQ20,IR20),'MASTER PLAN'!$AB:$AB,'MASTER PLAN'!$J:$J,0,0)),"")</f>
        <v/>
      </c>
      <c r="IT20" s="73" t="str">
        <f t="array" ref="IT20">IFERROR(IF(XLOOKUP(CONCAT(IQ20,IR20),'PROCESOS PRD'!$J:$J,'PROCESOS PRD'!$H:$H,0,0)=0,"",XLOOKUP(CONCAT(IQ20,IR20),'PROCESOS PRD'!$J:$J,'PROCESOS PRD'!$H:$H,0,0)),"")</f>
        <v/>
      </c>
      <c r="IU20" s="71"/>
      <c r="IV20" s="32"/>
      <c r="IW20" s="72" t="str">
        <f t="array" ref="IW20">IFERROR(IF(XLOOKUP(CONCAT(IU20,IV20),'MASTER PLAN'!$AB:$AB,'MASTER PLAN'!$J:$J,0,0)=0,"",XLOOKUP(CONCAT(IU20,IV20),'MASTER PLAN'!$AB:$AB,'MASTER PLAN'!$J:$J,0,0)),"")</f>
        <v/>
      </c>
      <c r="IX20" s="73" t="str">
        <f t="array" ref="IX20">IFERROR(IF(XLOOKUP(CONCAT(IU20,IV20),'PROCESOS PRD'!$J:$J,'PROCESOS PRD'!$H:$H,0,0)=0,"",XLOOKUP(CONCAT(IU20,IV20),'PROCESOS PRD'!$J:$J,'PROCESOS PRD'!$H:$H,0,0)),"")</f>
        <v/>
      </c>
      <c r="IY20" s="71"/>
      <c r="IZ20" s="32"/>
      <c r="JA20" s="72" t="str">
        <f t="array" ref="JA20">IFERROR(IF(XLOOKUP(CONCAT(IY20,IZ20),'MASTER PLAN'!$AB:$AB,'MASTER PLAN'!$J:$J,0,0)=0,"",XLOOKUP(CONCAT(IY20,IZ20),'MASTER PLAN'!$AB:$AB,'MASTER PLAN'!$J:$J,0,0)),"")</f>
        <v/>
      </c>
      <c r="JB20" s="73" t="str">
        <f t="array" ref="JB20">IFERROR(IF(XLOOKUP(CONCAT(IY20,IZ20),'PROCESOS PRD'!$J:$J,'PROCESOS PRD'!$H:$H,0,0)=0,"",XLOOKUP(CONCAT(IY20,IZ20),'PROCESOS PRD'!$J:$J,'PROCESOS PRD'!$H:$H,0,0)),"")</f>
        <v/>
      </c>
      <c r="JC20" s="71"/>
      <c r="JD20" s="32"/>
      <c r="JE20" s="72" t="str">
        <f t="array" ref="JE20">IFERROR(IF(XLOOKUP(CONCAT(JC20,JD20),'MASTER PLAN'!$AB:$AB,'MASTER PLAN'!$J:$J,0,0)=0,"",XLOOKUP(CONCAT(JC20,JD20),'MASTER PLAN'!$AB:$AB,'MASTER PLAN'!$J:$J,0,0)),"")</f>
        <v/>
      </c>
      <c r="JF20" s="73" t="str">
        <f t="array" ref="JF20">IFERROR(IF(XLOOKUP(CONCAT(JC20,JD20),'PROCESOS PRD'!$J:$J,'PROCESOS PRD'!$H:$H,0,0)=0,"",XLOOKUP(CONCAT(JC20,JD20),'PROCESOS PRD'!$J:$J,'PROCESOS PRD'!$H:$H,0,0)),"")</f>
        <v/>
      </c>
      <c r="JG20" s="71"/>
      <c r="JH20" s="32"/>
      <c r="JI20" s="72" t="str">
        <f t="array" ref="JI20">IFERROR(IF(XLOOKUP(CONCAT(JG20,JH20),'MASTER PLAN'!$AB:$AB,'MASTER PLAN'!$J:$J,0,0)=0,"",XLOOKUP(CONCAT(JG20,JH20),'MASTER PLAN'!$AB:$AB,'MASTER PLAN'!$J:$J,0,0)),"")</f>
        <v/>
      </c>
      <c r="JJ20" s="73" t="str">
        <f t="array" ref="JJ20">IFERROR(IF(XLOOKUP(CONCAT(JG20,JH20),'PROCESOS PRD'!$J:$J,'PROCESOS PRD'!$H:$H,0,0)=0,"",XLOOKUP(CONCAT(JG20,JH20),'PROCESOS PRD'!$J:$J,'PROCESOS PRD'!$H:$H,0,0)),"")</f>
        <v/>
      </c>
      <c r="JK20" s="70"/>
      <c r="JL20" s="71"/>
      <c r="JM20" s="32"/>
      <c r="JN20" s="72" t="str">
        <f t="array" ref="JN20">IFERROR(IF(XLOOKUP(CONCAT(JL20,JM20),'MASTER PLAN'!$AB:$AB,'MASTER PLAN'!$J:$J,0,0)=0,"",XLOOKUP(CONCAT(JL20,JM20),'MASTER PLAN'!$AB:$AB,'MASTER PLAN'!$J:$J,0,0)),"")</f>
        <v/>
      </c>
      <c r="JO20" s="73" t="str">
        <f t="array" ref="JO20">IFERROR(IF(XLOOKUP(CONCAT(JL20,JM20),'PROCESOS PRD'!$J:$J,'PROCESOS PRD'!$H:$H,0,0)=0,"",XLOOKUP(CONCAT(JL20,JM20),'PROCESOS PRD'!$J:$J,'PROCESOS PRD'!$H:$H,0,0)),"")</f>
        <v/>
      </c>
      <c r="JP20" s="71"/>
      <c r="JQ20" s="32"/>
      <c r="JR20" s="72" t="str">
        <f t="array" ref="JR20">IFERROR(IF(XLOOKUP(CONCAT(JP20,JQ20),'MASTER PLAN'!$AB:$AB,'MASTER PLAN'!$J:$J,0,0)=0,"",XLOOKUP(CONCAT(JP20,JQ20),'MASTER PLAN'!$AB:$AB,'MASTER PLAN'!$J:$J,0,0)),"")</f>
        <v/>
      </c>
      <c r="JS20" s="73" t="str">
        <f t="array" ref="JS20">IFERROR(IF(XLOOKUP(CONCAT(JP20,JQ20),'PROCESOS PRD'!$J:$J,'PROCESOS PRD'!$H:$H,0,0)=0,"",XLOOKUP(CONCAT(JP20,JQ20),'PROCESOS PRD'!$J:$J,'PROCESOS PRD'!$H:$H,0,0)),"")</f>
        <v/>
      </c>
      <c r="JT20" s="71"/>
      <c r="JU20" s="32"/>
      <c r="JV20" s="72" t="str">
        <f t="array" ref="JV20">IFERROR(IF(XLOOKUP(CONCAT(JT20,JU20),'MASTER PLAN'!$AB:$AB,'MASTER PLAN'!$J:$J,0,0)=0,"",XLOOKUP(CONCAT(JT20,JU20),'MASTER PLAN'!$AB:$AB,'MASTER PLAN'!$J:$J,0,0)),"")</f>
        <v/>
      </c>
      <c r="JW20" s="73" t="str">
        <f t="array" ref="JW20">IFERROR(IF(XLOOKUP(CONCAT(JT20,JU20),'PROCESOS PRD'!$J:$J,'PROCESOS PRD'!$H:$H,0,0)=0,"",XLOOKUP(CONCAT(JT20,JU20),'PROCESOS PRD'!$J:$J,'PROCESOS PRD'!$H:$H,0,0)),"")</f>
        <v/>
      </c>
      <c r="JX20" s="71"/>
      <c r="JY20" s="32"/>
      <c r="JZ20" s="72" t="str">
        <f t="array" ref="JZ20">IFERROR(IF(XLOOKUP(CONCAT(JX20,JY20),'MASTER PLAN'!$AB:$AB,'MASTER PLAN'!$J:$J,0,0)=0,"",XLOOKUP(CONCAT(JX20,JY20),'MASTER PLAN'!$AB:$AB,'MASTER PLAN'!$J:$J,0,0)),"")</f>
        <v/>
      </c>
      <c r="KA20" s="73" t="str">
        <f t="array" ref="KA20">IFERROR(IF(XLOOKUP(CONCAT(JX20,JY20),'PROCESOS PRD'!$J:$J,'PROCESOS PRD'!$H:$H,0,0)=0,"",XLOOKUP(CONCAT(JX20,JY20),'PROCESOS PRD'!$J:$J,'PROCESOS PRD'!$H:$H,0,0)),"")</f>
        <v/>
      </c>
      <c r="KB20" s="71"/>
      <c r="KC20" s="32"/>
      <c r="KD20" s="72" t="str">
        <f t="array" ref="KD20">IFERROR(IF(XLOOKUP(CONCAT(KB20,KC20),'MASTER PLAN'!$AB:$AB,'MASTER PLAN'!$J:$J,0,0)=0,"",XLOOKUP(CONCAT(KB20,KC20),'MASTER PLAN'!$AB:$AB,'MASTER PLAN'!$J:$J,0,0)),"")</f>
        <v/>
      </c>
      <c r="KE20" s="73" t="str">
        <f t="array" ref="KE20">IFERROR(IF(XLOOKUP(CONCAT(KB20,KC20),'PROCESOS PRD'!$J:$J,'PROCESOS PRD'!$H:$H,0,0)=0,"",XLOOKUP(CONCAT(KB20,KC20),'PROCESOS PRD'!$J:$J,'PROCESOS PRD'!$H:$H,0,0)),"")</f>
        <v/>
      </c>
      <c r="KF20" s="71"/>
      <c r="KG20" s="32"/>
      <c r="KH20" s="72" t="str">
        <f t="array" ref="KH20">IFERROR(IF(XLOOKUP(CONCAT(KF20,KG20),'MASTER PLAN'!$AB:$AB,'MASTER PLAN'!$J:$J,0,0)=0,"",XLOOKUP(CONCAT(KF20,KG20),'MASTER PLAN'!$AB:$AB,'MASTER PLAN'!$J:$J,0,0)),"")</f>
        <v/>
      </c>
      <c r="KI20" s="73" t="str">
        <f t="array" ref="KI20">IFERROR(IF(XLOOKUP(CONCAT(KF20,KG20),'PROCESOS PRD'!$J:$J,'PROCESOS PRD'!$H:$H,0,0)=0,"",XLOOKUP(CONCAT(KF20,KG20),'PROCESOS PRD'!$J:$J,'PROCESOS PRD'!$H:$H,0,0)),"")</f>
        <v/>
      </c>
      <c r="KJ20" s="70"/>
      <c r="KK20" s="70"/>
      <c r="KL20" s="70"/>
      <c r="KM20" s="70"/>
      <c r="KN20" s="70"/>
      <c r="KO20" s="70"/>
      <c r="KP20" s="70"/>
      <c r="KQ20" s="70"/>
      <c r="KR20" s="70"/>
      <c r="KS20" s="70"/>
      <c r="KT20" s="70"/>
      <c r="KU20" s="70"/>
      <c r="KV20" s="70"/>
      <c r="KW20" s="70"/>
      <c r="KX20" s="70"/>
      <c r="KY20" s="70"/>
      <c r="KZ20" s="70"/>
      <c r="LA20" s="70"/>
      <c r="LB20" s="70"/>
      <c r="LC20" s="70"/>
    </row>
    <row r="21" ht="15.75" customHeight="1">
      <c r="A21" s="42"/>
      <c r="B21" s="74"/>
      <c r="C21" s="69"/>
      <c r="D21" s="70"/>
      <c r="E21" s="71"/>
      <c r="F21" s="32"/>
      <c r="G21" s="72" t="str">
        <f t="array" ref="G21">IFERROR(IF(XLOOKUP(CONCAT(E21,F21),'MASTER PLAN'!$AB:$AB,'MASTER PLAN'!$J:$J,0,0)=0,"",XLOOKUP(CONCAT(E21,F21),'MASTER PLAN'!$AB:$AB,'MASTER PLAN'!$J:$J,0,0)),"")</f>
        <v/>
      </c>
      <c r="H21" s="73" t="str">
        <f t="array" ref="H21">IFERROR(IF(XLOOKUP(CONCAT(E21,F21),'PROCESOS PRD'!$J:$J,'PROCESOS PRD'!$H:$H,0,0)=0,"",XLOOKUP(CONCAT(E21,F21),'PROCESOS PRD'!$J:$J,'PROCESOS PRD'!$H:$H,0,0)),"")</f>
        <v/>
      </c>
      <c r="I21" s="71"/>
      <c r="J21" s="32"/>
      <c r="K21" s="72" t="str">
        <f t="array" ref="K21">IFERROR(IF(XLOOKUP(CONCAT(I21,J21),'MASTER PLAN'!$AB:$AB,'MASTER PLAN'!$J:$J,0,0)=0,"",XLOOKUP(CONCAT(I21,J21),'MASTER PLAN'!$AB:$AB,'MASTER PLAN'!$J:$J,0,0)),"")</f>
        <v/>
      </c>
      <c r="L21" s="73" t="str">
        <f t="array" ref="L21">IFERROR(IF(XLOOKUP(CONCAT(I21,J21),'PROCESOS PRD'!$J:$J,'PROCESOS PRD'!$H:$H,0,0)=0,"",XLOOKUP(CONCAT(I21,J21),'PROCESOS PRD'!$J:$J,'PROCESOS PRD'!$H:$H,0,0)),"")</f>
        <v/>
      </c>
      <c r="M21" s="71"/>
      <c r="N21" s="32"/>
      <c r="O21" s="72" t="str">
        <f t="array" ref="O21">IFERROR(IF(XLOOKUP(CONCAT(M21,N21),'MASTER PLAN'!$AB:$AB,'MASTER PLAN'!$J:$J,0,0)=0,"",XLOOKUP(CONCAT(M21,N21),'MASTER PLAN'!$AB:$AB,'MASTER PLAN'!$J:$J,0,0)),"")</f>
        <v/>
      </c>
      <c r="P21" s="73" t="str">
        <f t="array" ref="P21">IFERROR(IF(XLOOKUP(CONCAT(M21,N21),'PROCESOS PRD'!$J:$J,'PROCESOS PRD'!$H:$H,0,0)=0,"",XLOOKUP(CONCAT(M21,N21),'PROCESOS PRD'!$J:$J,'PROCESOS PRD'!$H:$H,0,0)),"")</f>
        <v/>
      </c>
      <c r="Q21" s="71"/>
      <c r="R21" s="32"/>
      <c r="S21" s="72" t="str">
        <f t="array" ref="S21">IFERROR(IF(XLOOKUP(CONCAT(Q21,R21),'MASTER PLAN'!$AB:$AB,'MASTER PLAN'!$J:$J,0,0)=0,"",XLOOKUP(CONCAT(Q21,R21),'MASTER PLAN'!$AB:$AB,'MASTER PLAN'!$J:$J,0,0)),"")</f>
        <v/>
      </c>
      <c r="T21" s="73" t="str">
        <f t="array" ref="T21">IFERROR(IF(XLOOKUP(CONCAT(Q21,R21),'PROCESOS PRD'!$J:$J,'PROCESOS PRD'!$H:$H,0,0)=0,"",XLOOKUP(CONCAT(Q21,R21),'PROCESOS PRD'!$J:$J,'PROCESOS PRD'!$H:$H,0,0)),"")</f>
        <v/>
      </c>
      <c r="U21" s="70"/>
      <c r="V21" s="71"/>
      <c r="W21" s="32"/>
      <c r="X21" s="72" t="str">
        <f t="array" ref="X21">IFERROR(IF(XLOOKUP(CONCAT(V21,W21),'MASTER PLAN'!$AB:$AB,'MASTER PLAN'!$J:$J,0,0)=0,"",XLOOKUP(CONCAT(V21,W21),'MASTER PLAN'!$AB:$AB,'MASTER PLAN'!$J:$J,0,0)),"")</f>
        <v/>
      </c>
      <c r="Y21" s="73" t="str">
        <f t="array" ref="Y21">IFERROR(IF(XLOOKUP(CONCAT(V21,W21),'PROCESOS PRD'!$J:$J,'PROCESOS PRD'!$H:$H,0,0)=0,"",XLOOKUP(CONCAT(V21,W21),'PROCESOS PRD'!$J:$J,'PROCESOS PRD'!$H:$H,0,0)),"")</f>
        <v/>
      </c>
      <c r="Z21" s="71"/>
      <c r="AA21" s="32"/>
      <c r="AB21" s="72" t="str">
        <f t="array" ref="AB21">IFERROR(IF(XLOOKUP(CONCAT(Z21,AA21),'MASTER PLAN'!$AB:$AB,'MASTER PLAN'!$J:$J,0,0)=0,"",XLOOKUP(CONCAT(Z21,AA21),'MASTER PLAN'!$AB:$AB,'MASTER PLAN'!$J:$J,0,0)),"")</f>
        <v/>
      </c>
      <c r="AC21" s="73" t="str">
        <f t="array" ref="AC21">IFERROR(IF(XLOOKUP(CONCAT(Z21,AA21),'PROCESOS PRD'!$J:$J,'PROCESOS PRD'!$H:$H,0,0)=0,"",XLOOKUP(CONCAT(Z21,AA21),'PROCESOS PRD'!$J:$J,'PROCESOS PRD'!$H:$H,0,0)),"")</f>
        <v/>
      </c>
      <c r="AD21" s="71"/>
      <c r="AE21" s="32"/>
      <c r="AF21" s="72" t="str">
        <f t="array" ref="AF21">IFERROR(IF(XLOOKUP(CONCAT(AD21,AE21),'MASTER PLAN'!$AB:$AB,'MASTER PLAN'!$J:$J,0,0)=0,"",XLOOKUP(CONCAT(AD21,AE21),'MASTER PLAN'!$AB:$AB,'MASTER PLAN'!$J:$J,0,0)),"")</f>
        <v/>
      </c>
      <c r="AG21" s="73" t="str">
        <f t="array" ref="AG21">IFERROR(IF(XLOOKUP(CONCAT(AD21,AE21),'PROCESOS PRD'!$J:$J,'PROCESOS PRD'!$H:$H,0,0)=0,"",XLOOKUP(CONCAT(AD21,AE21),'PROCESOS PRD'!$J:$J,'PROCESOS PRD'!$H:$H,0,0)),"")</f>
        <v/>
      </c>
      <c r="AH21" s="71"/>
      <c r="AI21" s="32"/>
      <c r="AJ21" s="72" t="str">
        <f t="array" ref="AJ21">IFERROR(IF(XLOOKUP(CONCAT(AH21,AI21),'MASTER PLAN'!$AB:$AB,'MASTER PLAN'!$J:$J,0,0)=0,"",XLOOKUP(CONCAT(AH21,AI21),'MASTER PLAN'!$AB:$AB,'MASTER PLAN'!$J:$J,0,0)),"")</f>
        <v/>
      </c>
      <c r="AK21" s="73" t="str">
        <f t="array" ref="AK21">IFERROR(IF(XLOOKUP(CONCAT(AH21,AI21),'PROCESOS PRD'!$J:$J,'PROCESOS PRD'!$H:$H,0,0)=0,"",XLOOKUP(CONCAT(AH21,AI21),'PROCESOS PRD'!$J:$J,'PROCESOS PRD'!$H:$H,0,0)),"")</f>
        <v/>
      </c>
      <c r="AL21" s="90"/>
      <c r="AM21" s="91"/>
      <c r="AN21" s="72" t="str">
        <f t="array" ref="AN21">IFERROR(IF(XLOOKUP(CONCAT(AL21,AM21),'MASTER PLAN'!$AB:$AB,'MASTER PLAN'!$J:$J,0,0)=0,"",XLOOKUP(CONCAT(AL21,AM21),'MASTER PLAN'!$AB:$AB,'MASTER PLAN'!$J:$J,0,0)),"")</f>
        <v/>
      </c>
      <c r="AO21" s="73" t="str">
        <f t="array" ref="AO21">IFERROR(IF(XLOOKUP(CONCAT(AL21,AM21),'PROCESOS PRD'!$J:$J,'PROCESOS PRD'!$H:$H,0,0)=0,"",XLOOKUP(CONCAT(AL21,AM21),'PROCESOS PRD'!$J:$J,'PROCESOS PRD'!$H:$H,0,0)),"")</f>
        <v/>
      </c>
      <c r="AP21" s="71"/>
      <c r="AQ21" s="32"/>
      <c r="AR21" s="72" t="str">
        <f t="array" ref="AR21">IFERROR(IF(XLOOKUP(CONCAT(AP21,AQ21),'MASTER PLAN'!$AB:$AB,'MASTER PLAN'!$J:$J,0,0)=0,"",XLOOKUP(CONCAT(AP21,AQ21),'MASTER PLAN'!$AB:$AB,'MASTER PLAN'!$J:$J,0,0)),"")</f>
        <v/>
      </c>
      <c r="AS21" s="73" t="str">
        <f t="array" ref="AS21">IFERROR(IF(XLOOKUP(CONCAT(AP21,AQ21),'PROCESOS PRD'!$J:$J,'PROCESOS PRD'!$H:$H,0,0)=0,"",XLOOKUP(CONCAT(AP21,AQ21),'PROCESOS PRD'!$J:$J,'PROCESOS PRD'!$H:$H,0,0)),"")</f>
        <v/>
      </c>
      <c r="AT21" s="70"/>
      <c r="AU21" s="71"/>
      <c r="AV21" s="32"/>
      <c r="AW21" s="72" t="str">
        <f t="array" ref="AW21">IFERROR(IF(XLOOKUP(CONCAT(AU21,AV21),'MASTER PLAN'!$AB:$AB,'MASTER PLAN'!$J:$J,0,0)=0,"",XLOOKUP(CONCAT(AU21,AV21),'MASTER PLAN'!$AB:$AB,'MASTER PLAN'!$J:$J,0,0)),"")</f>
        <v/>
      </c>
      <c r="AX21" s="73" t="str">
        <f t="array" ref="AX21">IFERROR(IF(XLOOKUP(CONCAT(AU21,AV21),'PROCESOS PRD'!$J:$J,'PROCESOS PRD'!$H:$H,0,0)=0,"",XLOOKUP(CONCAT(AU21,AV21),'PROCESOS PRD'!$J:$J,'PROCESOS PRD'!$H:$H,0,0)),"")</f>
        <v/>
      </c>
      <c r="AY21" s="90"/>
      <c r="AZ21" s="91"/>
      <c r="BA21" s="72" t="str">
        <f t="array" ref="BA21">IFERROR(IF(XLOOKUP(CONCAT(AY21,AZ21),'MASTER PLAN'!$AB:$AB,'MASTER PLAN'!$J:$J,0,0)=0,"",XLOOKUP(CONCAT(AY21,AZ21),'MASTER PLAN'!$AB:$AB,'MASTER PLAN'!$J:$J,0,0)),"")</f>
        <v/>
      </c>
      <c r="BB21" s="73" t="str">
        <f t="array" ref="BB21">IFERROR(IF(XLOOKUP(CONCAT(AY21,AZ21),'PROCESOS PRD'!$J:$J,'PROCESOS PRD'!$H:$H,0,0)=0,"",XLOOKUP(CONCAT(AY21,AZ21),'PROCESOS PRD'!$J:$J,'PROCESOS PRD'!$H:$H,0,0)),"")</f>
        <v/>
      </c>
      <c r="BC21" s="71"/>
      <c r="BD21" s="32"/>
      <c r="BE21" s="72" t="str">
        <f t="array" ref="BE21">IFERROR(IF(XLOOKUP(CONCAT(BC21,BD21),'MASTER PLAN'!$AB:$AB,'MASTER PLAN'!$J:$J,0,0)=0,"",XLOOKUP(CONCAT(BC21,BD21),'MASTER PLAN'!$AB:$AB,'MASTER PLAN'!$J:$J,0,0)),"")</f>
        <v/>
      </c>
      <c r="BF21" s="73" t="str">
        <f t="array" ref="BF21">IFERROR(IF(XLOOKUP(CONCAT(BC21,BD21),'PROCESOS PRD'!$J:$J,'PROCESOS PRD'!$H:$H,0,0)=0,"",XLOOKUP(CONCAT(BC21,BD21),'PROCESOS PRD'!$J:$J,'PROCESOS PRD'!$H:$H,0,0)),"")</f>
        <v/>
      </c>
      <c r="BG21" s="71"/>
      <c r="BH21" s="32"/>
      <c r="BI21" s="72" t="str">
        <f t="array" ref="BI21">IFERROR(IF(XLOOKUP(CONCAT(BG21,BH21),'MASTER PLAN'!$AB:$AB,'MASTER PLAN'!$J:$J,0,0)=0,"",XLOOKUP(CONCAT(BG21,BH21),'MASTER PLAN'!$AB:$AB,'MASTER PLAN'!$J:$J,0,0)),"")</f>
        <v/>
      </c>
      <c r="BJ21" s="73" t="str">
        <f t="array" ref="BJ21">IFERROR(IF(XLOOKUP(CONCAT(BG21,BH21),'PROCESOS PRD'!$J:$J,'PROCESOS PRD'!$H:$H,0,0)=0,"",XLOOKUP(CONCAT(BG21,BH21),'PROCESOS PRD'!$J:$J,'PROCESOS PRD'!$H:$H,0,0)),"")</f>
        <v/>
      </c>
      <c r="BK21" s="71"/>
      <c r="BL21" s="32"/>
      <c r="BM21" s="72" t="str">
        <f t="array" ref="BM21">IFERROR(IF(XLOOKUP(CONCAT(BK21,BL21),'MASTER PLAN'!$AB:$AB,'MASTER PLAN'!$J:$J,0,0)=0,"",XLOOKUP(CONCAT(BK21,BL21),'MASTER PLAN'!$AB:$AB,'MASTER PLAN'!$J:$J,0,0)),"")</f>
        <v/>
      </c>
      <c r="BN21" s="73" t="str">
        <f t="array" ref="BN21">IFERROR(IF(XLOOKUP(CONCAT(BK21,BL21),'PROCESOS PRD'!$J:$J,'PROCESOS PRD'!$H:$H,0,0)=0,"",XLOOKUP(CONCAT(BK21,BL21),'PROCESOS PRD'!$J:$J,'PROCESOS PRD'!$H:$H,0,0)),"")</f>
        <v/>
      </c>
      <c r="BO21" s="71"/>
      <c r="BP21" s="32"/>
      <c r="BQ21" s="72" t="str">
        <f t="array" ref="BQ21">IFERROR(IF(XLOOKUP(CONCAT(BO21,BP21),'MASTER PLAN'!$AB:$AB,'MASTER PLAN'!$J:$J,0,0)=0,"",XLOOKUP(CONCAT(BO21,BP21),'MASTER PLAN'!$AB:$AB,'MASTER PLAN'!$J:$J,0,0)),"")</f>
        <v/>
      </c>
      <c r="BR21" s="73" t="str">
        <f t="array" ref="BR21">IFERROR(IF(XLOOKUP(CONCAT(BO21,BP21),'PROCESOS PRD'!$J:$J,'PROCESOS PRD'!$H:$H,0,0)=0,"",XLOOKUP(CONCAT(BO21,BP21),'PROCESOS PRD'!$J:$J,'PROCESOS PRD'!$H:$H,0,0)),"")</f>
        <v/>
      </c>
      <c r="BS21" s="70"/>
      <c r="BT21" s="71"/>
      <c r="BU21" s="32"/>
      <c r="BV21" s="72" t="str">
        <f t="array" ref="BV21">IFERROR(IF(XLOOKUP(CONCAT(BT21,BU21),'MASTER PLAN'!$AB:$AB,'MASTER PLAN'!$J:$J,0,0)=0,"",XLOOKUP(CONCAT(BT21,BU21),'MASTER PLAN'!$AB:$AB,'MASTER PLAN'!$J:$J,0,0)),"")</f>
        <v/>
      </c>
      <c r="BW21" s="73" t="str">
        <f t="array" ref="BW21">IFERROR(IF(XLOOKUP(CONCAT(BT21,BU21),'PROCESOS PRD'!$J:$J,'PROCESOS PRD'!$H:$H,0,0)=0,"",XLOOKUP(CONCAT(BT21,BU21),'PROCESOS PRD'!$J:$J,'PROCESOS PRD'!$H:$H,0,0)),"")</f>
        <v/>
      </c>
      <c r="BX21" s="71"/>
      <c r="BY21" s="32"/>
      <c r="BZ21" s="72" t="str">
        <f t="array" ref="BZ21">IFERROR(IF(XLOOKUP(CONCAT(BX21,BY21),'MASTER PLAN'!$AB:$AB,'MASTER PLAN'!$J:$J,0,0)=0,"",XLOOKUP(CONCAT(BX21,BY21),'MASTER PLAN'!$AB:$AB,'MASTER PLAN'!$J:$J,0,0)),"")</f>
        <v/>
      </c>
      <c r="CA21" s="73" t="str">
        <f t="array" ref="CA21">IFERROR(IF(XLOOKUP(CONCAT(BX21,BY21),'PROCESOS PRD'!$J:$J,'PROCESOS PRD'!$H:$H,0,0)=0,"",XLOOKUP(CONCAT(BX21,BY21),'PROCESOS PRD'!$J:$J,'PROCESOS PRD'!$H:$H,0,0)),"")</f>
        <v/>
      </c>
      <c r="CB21" s="71"/>
      <c r="CC21" s="32"/>
      <c r="CD21" s="72" t="str">
        <f t="array" ref="CD21">IFERROR(IF(XLOOKUP(CONCAT(CB21,CC21),'MASTER PLAN'!$AB:$AB,'MASTER PLAN'!$J:$J,0,0)=0,"",XLOOKUP(CONCAT(CB21,CC21),'MASTER PLAN'!$AB:$AB,'MASTER PLAN'!$J:$J,0,0)),"")</f>
        <v/>
      </c>
      <c r="CE21" s="73" t="str">
        <f t="array" ref="CE21">IFERROR(IF(XLOOKUP(CONCAT(CB21,CC21),'PROCESOS PRD'!$J:$J,'PROCESOS PRD'!$H:$H,0,0)=0,"",XLOOKUP(CONCAT(CB21,CC21),'PROCESOS PRD'!$J:$J,'PROCESOS PRD'!$H:$H,0,0)),"")</f>
        <v/>
      </c>
      <c r="CF21" s="71"/>
      <c r="CG21" s="32"/>
      <c r="CH21" s="72" t="str">
        <f t="array" ref="CH21">IFERROR(IF(XLOOKUP(CONCAT(CF21,CG21),'MASTER PLAN'!$AB:$AB,'MASTER PLAN'!$J:$J,0,0)=0,"",XLOOKUP(CONCAT(CF21,CG21),'MASTER PLAN'!$AB:$AB,'MASTER PLAN'!$J:$J,0,0)),"")</f>
        <v/>
      </c>
      <c r="CI21" s="73" t="str">
        <f t="array" ref="CI21">IFERROR(IF(XLOOKUP(CONCAT(CF21,CG21),'PROCESOS PRD'!$J:$J,'PROCESOS PRD'!$H:$H,0,0)=0,"",XLOOKUP(CONCAT(CF21,CG21),'PROCESOS PRD'!$J:$J,'PROCESOS PRD'!$H:$H,0,0)),"")</f>
        <v/>
      </c>
      <c r="CJ21" s="71"/>
      <c r="CK21" s="32"/>
      <c r="CL21" s="72" t="str">
        <f t="array" ref="CL21">IFERROR(IF(XLOOKUP(CONCAT(CJ21,CK21),'MASTER PLAN'!$AB:$AB,'MASTER PLAN'!$J:$J,0,0)=0,"",XLOOKUP(CONCAT(CJ21,CK21),'MASTER PLAN'!$AB:$AB,'MASTER PLAN'!$J:$J,0,0)),"")</f>
        <v/>
      </c>
      <c r="CM21" s="73" t="str">
        <f t="array" ref="CM21">IFERROR(IF(XLOOKUP(CONCAT(CJ21,CK21),'PROCESOS PRD'!$J:$J,'PROCESOS PRD'!$H:$H,0,0)=0,"",XLOOKUP(CONCAT(CJ21,CK21),'PROCESOS PRD'!$J:$J,'PROCESOS PRD'!$H:$H,0,0)),"")</f>
        <v/>
      </c>
      <c r="CN21" s="71"/>
      <c r="CO21" s="32"/>
      <c r="CP21" s="72" t="str">
        <f t="array" ref="CP21">IFERROR(IF(XLOOKUP(CONCAT(CN21,CO21),'MASTER PLAN'!$AB:$AB,'MASTER PLAN'!$J:$J,0,0)=0,"",XLOOKUP(CONCAT(CN21,CO21),'MASTER PLAN'!$AB:$AB,'MASTER PLAN'!$J:$J,0,0)),"")</f>
        <v/>
      </c>
      <c r="CQ21" s="73" t="str">
        <f t="array" ref="CQ21">IFERROR(IF(XLOOKUP(CONCAT(CN21,CO21),'PROCESOS PRD'!$J:$J,'PROCESOS PRD'!$H:$H,0,0)=0,"",XLOOKUP(CONCAT(CN21,CO21),'PROCESOS PRD'!$J:$J,'PROCESOS PRD'!$H:$H,0,0)),"")</f>
        <v/>
      </c>
      <c r="CR21" s="70"/>
      <c r="CS21" s="71"/>
      <c r="CT21" s="32"/>
      <c r="CU21" s="72" t="str">
        <f t="array" ref="CU21">IFERROR(IF(XLOOKUP(CONCAT(CS21,CT21),'MASTER PLAN'!$AB:$AB,'MASTER PLAN'!$J:$J,0,0)=0,"",XLOOKUP(CONCAT(CS21,CT21),'MASTER PLAN'!$AB:$AB,'MASTER PLAN'!$J:$J,0,0)),"")</f>
        <v/>
      </c>
      <c r="CV21" s="73" t="str">
        <f t="array" ref="CV21">IFERROR(IF(XLOOKUP(CONCAT(CS21,CT21),'PROCESOS PRD'!$J:$J,'PROCESOS PRD'!$H:$H,0,0)=0,"",XLOOKUP(CONCAT(CS21,CT21),'PROCESOS PRD'!$J:$J,'PROCESOS PRD'!$H:$H,0,0)),"")</f>
        <v/>
      </c>
      <c r="CW21" s="71"/>
      <c r="CX21" s="32"/>
      <c r="CY21" s="72" t="str">
        <f t="array" ref="CY21">IFERROR(IF(XLOOKUP(CONCAT(CW21,CX21),'MASTER PLAN'!$AB:$AB,'MASTER PLAN'!$J:$J,0,0)=0,"",XLOOKUP(CONCAT(CW21,CX21),'MASTER PLAN'!$AB:$AB,'MASTER PLAN'!$J:$J,0,0)),"")</f>
        <v/>
      </c>
      <c r="CZ21" s="73" t="str">
        <f t="array" ref="CZ21">IFERROR(IF(XLOOKUP(CONCAT(CW21,CX21),'PROCESOS PRD'!$J:$J,'PROCESOS PRD'!$H:$H,0,0)=0,"",XLOOKUP(CONCAT(CW21,CX21),'PROCESOS PRD'!$J:$J,'PROCESOS PRD'!$H:$H,0,0)),"")</f>
        <v/>
      </c>
      <c r="DA21" s="71"/>
      <c r="DB21" s="32"/>
      <c r="DC21" s="72" t="str">
        <f t="array" ref="DC21">IFERROR(IF(XLOOKUP(CONCAT(DA21,DB21),'MASTER PLAN'!$AB:$AB,'MASTER PLAN'!$J:$J,0,0)=0,"",XLOOKUP(CONCAT(DA21,DB21),'MASTER PLAN'!$AB:$AB,'MASTER PLAN'!$J:$J,0,0)),"")</f>
        <v/>
      </c>
      <c r="DD21" s="73" t="str">
        <f t="array" ref="DD21">IFERROR(IF(XLOOKUP(CONCAT(DA21,DB21),'PROCESOS PRD'!$J:$J,'PROCESOS PRD'!$H:$H,0,0)=0,"",XLOOKUP(CONCAT(DA21,DB21),'PROCESOS PRD'!$J:$J,'PROCESOS PRD'!$H:$H,0,0)),"")</f>
        <v/>
      </c>
      <c r="DE21" s="71"/>
      <c r="DF21" s="32"/>
      <c r="DG21" s="72" t="str">
        <f t="array" ref="DG21">IFERROR(IF(XLOOKUP(CONCAT(DE21,DF21),'MASTER PLAN'!$AB:$AB,'MASTER PLAN'!$J:$J,0,0)=0,"",XLOOKUP(CONCAT(DE21,DF21),'MASTER PLAN'!$AB:$AB,'MASTER PLAN'!$J:$J,0,0)),"")</f>
        <v/>
      </c>
      <c r="DH21" s="73" t="str">
        <f t="array" ref="DH21">IFERROR(IF(XLOOKUP(CONCAT(DE21,DF21),'PROCESOS PRD'!$J:$J,'PROCESOS PRD'!$H:$H,0,0)=0,"",XLOOKUP(CONCAT(DE21,DF21),'PROCESOS PRD'!$J:$J,'PROCESOS PRD'!$H:$H,0,0)),"")</f>
        <v/>
      </c>
      <c r="DI21" s="71"/>
      <c r="DJ21" s="32"/>
      <c r="DK21" s="72" t="str">
        <f t="array" ref="DK21">IFERROR(IF(XLOOKUP(CONCAT(DI21,DJ21),'MASTER PLAN'!$AB:$AB,'MASTER PLAN'!$J:$J,0,0)=0,"",XLOOKUP(CONCAT(DI21,DJ21),'MASTER PLAN'!$AB:$AB,'MASTER PLAN'!$J:$J,0,0)),"")</f>
        <v/>
      </c>
      <c r="DL21" s="73" t="str">
        <f t="array" ref="DL21">IFERROR(IF(XLOOKUP(CONCAT(DI21,DJ21),'PROCESOS PRD'!$J:$J,'PROCESOS PRD'!$H:$H,0,0)=0,"",XLOOKUP(CONCAT(DI21,DJ21),'PROCESOS PRD'!$J:$J,'PROCESOS PRD'!$H:$H,0,0)),"")</f>
        <v/>
      </c>
      <c r="DM21" s="71"/>
      <c r="DN21" s="32"/>
      <c r="DO21" s="72" t="str">
        <f t="array" ref="DO21">IFERROR(IF(XLOOKUP(CONCAT(DM21,DN21),'MASTER PLAN'!$AB:$AB,'MASTER PLAN'!$J:$J,0,0)=0,"",XLOOKUP(CONCAT(DM21,DN21),'MASTER PLAN'!$AB:$AB,'MASTER PLAN'!$J:$J,0,0)),"")</f>
        <v/>
      </c>
      <c r="DP21" s="73" t="str">
        <f t="array" ref="DP21">IFERROR(IF(XLOOKUP(CONCAT(DM21,DN21),'PROCESOS PRD'!$J:$J,'PROCESOS PRD'!$H:$H,0,0)=0,"",XLOOKUP(CONCAT(DM21,DN21),'PROCESOS PRD'!$J:$J,'PROCESOS PRD'!$H:$H,0,0)),"")</f>
        <v/>
      </c>
      <c r="DQ21" s="70"/>
      <c r="DR21" s="71"/>
      <c r="DS21" s="32"/>
      <c r="DT21" s="72" t="str">
        <f t="array" ref="DT21">IFERROR(IF(XLOOKUP(CONCAT(DR21,DS21),'MASTER PLAN'!$AB:$AB,'MASTER PLAN'!$J:$J,0,0)=0,"",XLOOKUP(CONCAT(DR21,DS21),'MASTER PLAN'!$AB:$AB,'MASTER PLAN'!$J:$J,0,0)),"")</f>
        <v/>
      </c>
      <c r="DU21" s="73" t="str">
        <f t="array" ref="DU21">IFERROR(IF(XLOOKUP(CONCAT(DR21,DS21),'PROCESOS PRD'!$J:$J,'PROCESOS PRD'!$H:$H,0,0)=0,"",XLOOKUP(CONCAT(DR21,DS21),'PROCESOS PRD'!$J:$J,'PROCESOS PRD'!$H:$H,0,0)),"")</f>
        <v/>
      </c>
      <c r="DV21" s="71"/>
      <c r="DW21" s="32"/>
      <c r="DX21" s="72" t="str">
        <f t="array" ref="DX21">IFERROR(IF(XLOOKUP(CONCAT(DV21,DW21),'MASTER PLAN'!$AB:$AB,'MASTER PLAN'!$J:$J,0,0)=0,"",XLOOKUP(CONCAT(DV21,DW21),'MASTER PLAN'!$AB:$AB,'MASTER PLAN'!$J:$J,0,0)),"")</f>
        <v/>
      </c>
      <c r="DY21" s="73" t="str">
        <f t="array" ref="DY21">IFERROR(IF(XLOOKUP(CONCAT(DV21,DW21),'PROCESOS PRD'!$J:$J,'PROCESOS PRD'!$H:$H,0,0)=0,"",XLOOKUP(CONCAT(DV21,DW21),'PROCESOS PRD'!$J:$J,'PROCESOS PRD'!$H:$H,0,0)),"")</f>
        <v/>
      </c>
      <c r="DZ21" s="71"/>
      <c r="EA21" s="32"/>
      <c r="EB21" s="72" t="str">
        <f t="array" ref="EB21">IFERROR(IF(XLOOKUP(CONCAT(DZ21,EA21),'MASTER PLAN'!$AB:$AB,'MASTER PLAN'!$J:$J,0,0)=0,"",XLOOKUP(CONCAT(DZ21,EA21),'MASTER PLAN'!$AB:$AB,'MASTER PLAN'!$J:$J,0,0)),"")</f>
        <v/>
      </c>
      <c r="EC21" s="73" t="str">
        <f t="array" ref="EC21">IFERROR(IF(XLOOKUP(CONCAT(DZ21,EA21),'PROCESOS PRD'!$J:$J,'PROCESOS PRD'!$H:$H,0,0)=0,"",XLOOKUP(CONCAT(DZ21,EA21),'PROCESOS PRD'!$J:$J,'PROCESOS PRD'!$H:$H,0,0)),"")</f>
        <v/>
      </c>
      <c r="ED21" s="71"/>
      <c r="EE21" s="32"/>
      <c r="EF21" s="72" t="str">
        <f t="array" ref="EF21">IFERROR(IF(XLOOKUP(CONCAT(ED21,EE21),'MASTER PLAN'!$AB:$AB,'MASTER PLAN'!$J:$J,0,0)=0,"",XLOOKUP(CONCAT(ED21,EE21),'MASTER PLAN'!$AB:$AB,'MASTER PLAN'!$J:$J,0,0)),"")</f>
        <v/>
      </c>
      <c r="EG21" s="73" t="str">
        <f t="array" ref="EG21">IFERROR(IF(XLOOKUP(CONCAT(ED21,EE21),'PROCESOS PRD'!$J:$J,'PROCESOS PRD'!$H:$H,0,0)=0,"",XLOOKUP(CONCAT(ED21,EE21),'PROCESOS PRD'!$J:$J,'PROCESOS PRD'!$H:$H,0,0)),"")</f>
        <v/>
      </c>
      <c r="EH21" s="71"/>
      <c r="EI21" s="32"/>
      <c r="EJ21" s="72" t="str">
        <f t="array" ref="EJ21">IFERROR(IF(XLOOKUP(CONCAT(EH21,EI21),'MASTER PLAN'!$AB:$AB,'MASTER PLAN'!$J:$J,0,0)=0,"",XLOOKUP(CONCAT(EH21,EI21),'MASTER PLAN'!$AB:$AB,'MASTER PLAN'!$J:$J,0,0)),"")</f>
        <v/>
      </c>
      <c r="EK21" s="73" t="str">
        <f t="array" ref="EK21">IFERROR(IF(XLOOKUP(CONCAT(EH21,EI21),'PROCESOS PRD'!$J:$J,'PROCESOS PRD'!$H:$H,0,0)=0,"",XLOOKUP(CONCAT(EH21,EI21),'PROCESOS PRD'!$J:$J,'PROCESOS PRD'!$H:$H,0,0)),"")</f>
        <v/>
      </c>
      <c r="EL21" s="71"/>
      <c r="EM21" s="32"/>
      <c r="EN21" s="72" t="str">
        <f t="array" ref="EN21">IFERROR(IF(XLOOKUP(CONCAT(EL21,EM21),'MASTER PLAN'!$AB:$AB,'MASTER PLAN'!$J:$J,0,0)=0,"",XLOOKUP(CONCAT(EL21,EM21),'MASTER PLAN'!$AB:$AB,'MASTER PLAN'!$J:$J,0,0)),"")</f>
        <v/>
      </c>
      <c r="EO21" s="73" t="str">
        <f t="array" ref="EO21">IFERROR(IF(XLOOKUP(CONCAT(EL21,EM21),'PROCESOS PRD'!$J:$J,'PROCESOS PRD'!$H:$H,0,0)=0,"",XLOOKUP(CONCAT(EL21,EM21),'PROCESOS PRD'!$J:$J,'PROCESOS PRD'!$H:$H,0,0)),"")</f>
        <v/>
      </c>
      <c r="EP21" s="70"/>
      <c r="EQ21" s="71"/>
      <c r="ER21" s="32"/>
      <c r="ES21" s="72" t="str">
        <f t="array" ref="ES21">IFERROR(IF(XLOOKUP(CONCAT(EQ21,ER21),'MASTER PLAN'!$AB:$AB,'MASTER PLAN'!$J:$J,0,0)=0,"",XLOOKUP(CONCAT(EQ21,ER21),'MASTER PLAN'!$AB:$AB,'MASTER PLAN'!$J:$J,0,0)),"")</f>
        <v/>
      </c>
      <c r="ET21" s="73" t="str">
        <f t="array" ref="ET21">IFERROR(IF(XLOOKUP(CONCAT(EQ21,ER21),'PROCESOS PRD'!$J:$J,'PROCESOS PRD'!$H:$H,0,0)=0,"",XLOOKUP(CONCAT(EQ21,ER21),'PROCESOS PRD'!$J:$J,'PROCESOS PRD'!$H:$H,0,0)),"")</f>
        <v/>
      </c>
      <c r="EU21" s="71"/>
      <c r="EV21" s="32"/>
      <c r="EW21" s="72" t="str">
        <f t="array" ref="EW21">IFERROR(IF(XLOOKUP(CONCAT(EU21,EV21),'MASTER PLAN'!$AB:$AB,'MASTER PLAN'!$J:$J,0,0)=0,"",XLOOKUP(CONCAT(EU21,EV21),'MASTER PLAN'!$AB:$AB,'MASTER PLAN'!$J:$J,0,0)),"")</f>
        <v/>
      </c>
      <c r="EX21" s="73" t="str">
        <f t="array" ref="EX21">IFERROR(IF(XLOOKUP(CONCAT(EU21,EV21),'PROCESOS PRD'!$J:$J,'PROCESOS PRD'!$H:$H,0,0)=0,"",XLOOKUP(CONCAT(EU21,EV21),'PROCESOS PRD'!$J:$J,'PROCESOS PRD'!$H:$H,0,0)),"")</f>
        <v/>
      </c>
      <c r="EY21" s="71"/>
      <c r="EZ21" s="32"/>
      <c r="FA21" s="72" t="str">
        <f t="array" ref="FA21">IFERROR(IF(XLOOKUP(CONCAT(EY21,EZ21),'MASTER PLAN'!$AB:$AB,'MASTER PLAN'!$J:$J,0,0)=0,"",XLOOKUP(CONCAT(EY21,EZ21),'MASTER PLAN'!$AB:$AB,'MASTER PLAN'!$J:$J,0,0)),"")</f>
        <v/>
      </c>
      <c r="FB21" s="73" t="str">
        <f t="array" ref="FB21">IFERROR(IF(XLOOKUP(CONCAT(EY21,EZ21),'PROCESOS PRD'!$J:$J,'PROCESOS PRD'!$H:$H,0,0)=0,"",XLOOKUP(CONCAT(EY21,EZ21),'PROCESOS PRD'!$J:$J,'PROCESOS PRD'!$H:$H,0,0)),"")</f>
        <v/>
      </c>
      <c r="FC21" s="71"/>
      <c r="FD21" s="32"/>
      <c r="FE21" s="72" t="str">
        <f t="array" ref="FE21">IFERROR(IF(XLOOKUP(CONCAT(FC21,FD21),'MASTER PLAN'!$AB:$AB,'MASTER PLAN'!$J:$J,0,0)=0,"",XLOOKUP(CONCAT(FC21,FD21),'MASTER PLAN'!$AB:$AB,'MASTER PLAN'!$J:$J,0,0)),"")</f>
        <v/>
      </c>
      <c r="FF21" s="73" t="str">
        <f t="array" ref="FF21">IFERROR(IF(XLOOKUP(CONCAT(FC21,FD21),'PROCESOS PRD'!$J:$J,'PROCESOS PRD'!$H:$H,0,0)=0,"",XLOOKUP(CONCAT(FC21,FD21),'PROCESOS PRD'!$J:$J,'PROCESOS PRD'!$H:$H,0,0)),"")</f>
        <v/>
      </c>
      <c r="FG21" s="71"/>
      <c r="FH21" s="32"/>
      <c r="FI21" s="72" t="str">
        <f t="array" ref="FI21">IFERROR(IF(XLOOKUP(CONCAT(FG21,FH21),'MASTER PLAN'!$AB:$AB,'MASTER PLAN'!$J:$J,0,0)=0,"",XLOOKUP(CONCAT(FG21,FH21),'MASTER PLAN'!$AB:$AB,'MASTER PLAN'!$J:$J,0,0)),"")</f>
        <v/>
      </c>
      <c r="FJ21" s="73" t="str">
        <f t="array" ref="FJ21">IFERROR(IF(XLOOKUP(CONCAT(FG21,FH21),'PROCESOS PRD'!$J:$J,'PROCESOS PRD'!$H:$H,0,0)=0,"",XLOOKUP(CONCAT(FG21,FH21),'PROCESOS PRD'!$J:$J,'PROCESOS PRD'!$H:$H,0,0)),"")</f>
        <v/>
      </c>
      <c r="FK21" s="71"/>
      <c r="FL21" s="32"/>
      <c r="FM21" s="72" t="str">
        <f t="array" ref="FM21">IFERROR(IF(XLOOKUP(CONCAT(FK21,FL21),'MASTER PLAN'!$AB:$AB,'MASTER PLAN'!$J:$J,0,0)=0,"",XLOOKUP(CONCAT(FK21,FL21),'MASTER PLAN'!$AB:$AB,'MASTER PLAN'!$J:$J,0,0)),"")</f>
        <v/>
      </c>
      <c r="FN21" s="73" t="str">
        <f t="array" ref="FN21">IFERROR(IF(XLOOKUP(CONCAT(FK21,FL21),'PROCESOS PRD'!$J:$J,'PROCESOS PRD'!$H:$H,0,0)=0,"",XLOOKUP(CONCAT(FK21,FL21),'PROCESOS PRD'!$J:$J,'PROCESOS PRD'!$H:$H,0,0)),"")</f>
        <v/>
      </c>
      <c r="FO21" s="70"/>
      <c r="FP21" s="71"/>
      <c r="FQ21" s="32"/>
      <c r="FR21" s="72" t="str">
        <f t="array" ref="FR21">IFERROR(IF(XLOOKUP(CONCAT(FP21,FQ21),'MASTER PLAN'!$AB:$AB,'MASTER PLAN'!$J:$J,0,0)=0,"",XLOOKUP(CONCAT(FP21,FQ21),'MASTER PLAN'!$AB:$AB,'MASTER PLAN'!$J:$J,0,0)),"")</f>
        <v/>
      </c>
      <c r="FS21" s="73" t="str">
        <f t="array" ref="FS21">IFERROR(IF(XLOOKUP(CONCAT(FP21,FQ21),'PROCESOS PRD'!$J:$J,'PROCESOS PRD'!$H:$H,0,0)=0,"",XLOOKUP(CONCAT(FP21,FQ21),'PROCESOS PRD'!$J:$J,'PROCESOS PRD'!$H:$H,0,0)),"")</f>
        <v/>
      </c>
      <c r="FT21" s="71"/>
      <c r="FU21" s="32"/>
      <c r="FV21" s="72" t="str">
        <f t="array" ref="FV21">IFERROR(IF(XLOOKUP(CONCAT(FT21,FU21),'MASTER PLAN'!$AB:$AB,'MASTER PLAN'!$J:$J,0,0)=0,"",XLOOKUP(CONCAT(FT21,FU21),'MASTER PLAN'!$AB:$AB,'MASTER PLAN'!$J:$J,0,0)),"")</f>
        <v/>
      </c>
      <c r="FW21" s="73" t="str">
        <f t="array" ref="FW21">IFERROR(IF(XLOOKUP(CONCAT(FT21,FU21),'PROCESOS PRD'!$J:$J,'PROCESOS PRD'!$H:$H,0,0)=0,"",XLOOKUP(CONCAT(FT21,FU21),'PROCESOS PRD'!$J:$J,'PROCESOS PRD'!$H:$H,0,0)),"")</f>
        <v/>
      </c>
      <c r="FX21" s="71"/>
      <c r="FY21" s="32"/>
      <c r="FZ21" s="72" t="str">
        <f t="array" ref="FZ21">IFERROR(IF(XLOOKUP(CONCAT(FX21,FY21),'MASTER PLAN'!$AB:$AB,'MASTER PLAN'!$J:$J,0,0)=0,"",XLOOKUP(CONCAT(FX21,FY21),'MASTER PLAN'!$AB:$AB,'MASTER PLAN'!$J:$J,0,0)),"")</f>
        <v/>
      </c>
      <c r="GA21" s="73" t="str">
        <f t="array" ref="GA21">IFERROR(IF(XLOOKUP(CONCAT(FX21,FY21),'PROCESOS PRD'!$J:$J,'PROCESOS PRD'!$H:$H,0,0)=0,"",XLOOKUP(CONCAT(FX21,FY21),'PROCESOS PRD'!$J:$J,'PROCESOS PRD'!$H:$H,0,0)),"")</f>
        <v/>
      </c>
      <c r="GB21" s="71"/>
      <c r="GC21" s="32"/>
      <c r="GD21" s="72" t="str">
        <f t="array" ref="GD21">IFERROR(IF(XLOOKUP(CONCAT(GB21,GC21),'MASTER PLAN'!$AB:$AB,'MASTER PLAN'!$J:$J,0,0)=0,"",XLOOKUP(CONCAT(GB21,GC21),'MASTER PLAN'!$AB:$AB,'MASTER PLAN'!$J:$J,0,0)),"")</f>
        <v/>
      </c>
      <c r="GE21" s="73" t="str">
        <f t="array" ref="GE21">IFERROR(IF(XLOOKUP(CONCAT(GB21,GC21),'PROCESOS PRD'!$J:$J,'PROCESOS PRD'!$H:$H,0,0)=0,"",XLOOKUP(CONCAT(GB21,GC21),'PROCESOS PRD'!$J:$J,'PROCESOS PRD'!$H:$H,0,0)),"")</f>
        <v/>
      </c>
      <c r="GF21" s="71"/>
      <c r="GG21" s="32"/>
      <c r="GH21" s="72" t="str">
        <f t="array" ref="GH21">IFERROR(IF(XLOOKUP(CONCAT(GF21,GG21),'MASTER PLAN'!$AB:$AB,'MASTER PLAN'!$J:$J,0,0)=0,"",XLOOKUP(CONCAT(GF21,GG21),'MASTER PLAN'!$AB:$AB,'MASTER PLAN'!$J:$J,0,0)),"")</f>
        <v/>
      </c>
      <c r="GI21" s="73" t="str">
        <f t="array" ref="GI21">IFERROR(IF(XLOOKUP(CONCAT(GF21,GG21),'PROCESOS PRD'!$J:$J,'PROCESOS PRD'!$H:$H,0,0)=0,"",XLOOKUP(CONCAT(GF21,GG21),'PROCESOS PRD'!$J:$J,'PROCESOS PRD'!$H:$H,0,0)),"")</f>
        <v/>
      </c>
      <c r="GJ21" s="71"/>
      <c r="GK21" s="32"/>
      <c r="GL21" s="72" t="str">
        <f t="array" ref="GL21">IFERROR(IF(XLOOKUP(CONCAT(GJ21,GK21),'MASTER PLAN'!$AB:$AB,'MASTER PLAN'!$J:$J,0,0)=0,"",XLOOKUP(CONCAT(GJ21,GK21),'MASTER PLAN'!$AB:$AB,'MASTER PLAN'!$J:$J,0,0)),"")</f>
        <v/>
      </c>
      <c r="GM21" s="73" t="str">
        <f t="array" ref="GM21">IFERROR(IF(XLOOKUP(CONCAT(GJ21,GK21),'PROCESOS PRD'!$J:$J,'PROCESOS PRD'!$H:$H,0,0)=0,"",XLOOKUP(CONCAT(GJ21,GK21),'PROCESOS PRD'!$J:$J,'PROCESOS PRD'!$H:$H,0,0)),"")</f>
        <v/>
      </c>
      <c r="GN21" s="70"/>
      <c r="GO21" s="71"/>
      <c r="GP21" s="32"/>
      <c r="GQ21" s="72" t="str">
        <f t="array" ref="GQ21">IFERROR(IF(XLOOKUP(CONCAT(GO21,GP21),'MASTER PLAN'!$AB:$AB,'MASTER PLAN'!$J:$J,0,0)=0,"",XLOOKUP(CONCAT(GO21,GP21),'MASTER PLAN'!$AB:$AB,'MASTER PLAN'!$J:$J,0,0)),"")</f>
        <v/>
      </c>
      <c r="GR21" s="73" t="str">
        <f t="array" ref="GR21">IFERROR(IF(XLOOKUP(CONCAT(GO21,GP21),'PROCESOS PRD'!$J:$J,'PROCESOS PRD'!$H:$H,0,0)=0,"",XLOOKUP(CONCAT(GO21,GP21),'PROCESOS PRD'!$J:$J,'PROCESOS PRD'!$H:$H,0,0)),"")</f>
        <v/>
      </c>
      <c r="GS21" s="71"/>
      <c r="GT21" s="32"/>
      <c r="GU21" s="72" t="str">
        <f t="array" ref="GU21">IFERROR(IF(XLOOKUP(CONCAT(GS21,GT21),'MASTER PLAN'!$AB:$AB,'MASTER PLAN'!$J:$J,0,0)=0,"",XLOOKUP(CONCAT(GS21,GT21),'MASTER PLAN'!$AB:$AB,'MASTER PLAN'!$J:$J,0,0)),"")</f>
        <v/>
      </c>
      <c r="GV21" s="73" t="str">
        <f t="array" ref="GV21">IFERROR(IF(XLOOKUP(CONCAT(GS21,GT21),'PROCESOS PRD'!$J:$J,'PROCESOS PRD'!$H:$H,0,0)=0,"",XLOOKUP(CONCAT(GS21,GT21),'PROCESOS PRD'!$J:$J,'PROCESOS PRD'!$H:$H,0,0)),"")</f>
        <v/>
      </c>
      <c r="GW21" s="71"/>
      <c r="GX21" s="32"/>
      <c r="GY21" s="72" t="str">
        <f t="array" ref="GY21">IFERROR(IF(XLOOKUP(CONCAT(GW21,GX21),'MASTER PLAN'!$AB:$AB,'MASTER PLAN'!$J:$J,0,0)=0,"",XLOOKUP(CONCAT(GW21,GX21),'MASTER PLAN'!$AB:$AB,'MASTER PLAN'!$J:$J,0,0)),"")</f>
        <v/>
      </c>
      <c r="GZ21" s="73" t="str">
        <f t="array" ref="GZ21">IFERROR(IF(XLOOKUP(CONCAT(GW21,GX21),'PROCESOS PRD'!$J:$J,'PROCESOS PRD'!$H:$H,0,0)=0,"",XLOOKUP(CONCAT(GW21,GX21),'PROCESOS PRD'!$J:$J,'PROCESOS PRD'!$H:$H,0,0)),"")</f>
        <v/>
      </c>
      <c r="HA21" s="71"/>
      <c r="HB21" s="32"/>
      <c r="HC21" s="72" t="str">
        <f t="array" ref="HC21">IFERROR(IF(XLOOKUP(CONCAT(HA21,HB21),'MASTER PLAN'!$AB:$AB,'MASTER PLAN'!$J:$J,0,0)=0,"",XLOOKUP(CONCAT(HA21,HB21),'MASTER PLAN'!$AB:$AB,'MASTER PLAN'!$J:$J,0,0)),"")</f>
        <v/>
      </c>
      <c r="HD21" s="73" t="str">
        <f t="array" ref="HD21">IFERROR(IF(XLOOKUP(CONCAT(HA21,HB21),'PROCESOS PRD'!$J:$J,'PROCESOS PRD'!$H:$H,0,0)=0,"",XLOOKUP(CONCAT(HA21,HB21),'PROCESOS PRD'!$J:$J,'PROCESOS PRD'!$H:$H,0,0)),"")</f>
        <v/>
      </c>
      <c r="HE21" s="71"/>
      <c r="HF21" s="32"/>
      <c r="HG21" s="72" t="str">
        <f t="array" ref="HG21">IFERROR(IF(XLOOKUP(CONCAT(HE21,HF21),'MASTER PLAN'!$AB:$AB,'MASTER PLAN'!$J:$J,0,0)=0,"",XLOOKUP(CONCAT(HE21,HF21),'MASTER PLAN'!$AB:$AB,'MASTER PLAN'!$J:$J,0,0)),"")</f>
        <v/>
      </c>
      <c r="HH21" s="73" t="str">
        <f t="array" ref="HH21">IFERROR(IF(XLOOKUP(CONCAT(HE21,HF21),'PROCESOS PRD'!$J:$J,'PROCESOS PRD'!$H:$H,0,0)=0,"",XLOOKUP(CONCAT(HE21,HF21),'PROCESOS PRD'!$J:$J,'PROCESOS PRD'!$H:$H,0,0)),"")</f>
        <v/>
      </c>
      <c r="HI21" s="71"/>
      <c r="HJ21" s="32"/>
      <c r="HK21" s="72" t="str">
        <f t="array" ref="HK21">IFERROR(IF(XLOOKUP(CONCAT(HI21,HJ21),'MASTER PLAN'!$AB:$AB,'MASTER PLAN'!$J:$J,0,0)=0,"",XLOOKUP(CONCAT(HI21,HJ21),'MASTER PLAN'!$AB:$AB,'MASTER PLAN'!$J:$J,0,0)),"")</f>
        <v/>
      </c>
      <c r="HL21" s="73" t="str">
        <f t="array" ref="HL21">IFERROR(IF(XLOOKUP(CONCAT(HI21,HJ21),'PROCESOS PRD'!$J:$J,'PROCESOS PRD'!$H:$H,0,0)=0,"",XLOOKUP(CONCAT(HI21,HJ21),'PROCESOS PRD'!$J:$J,'PROCESOS PRD'!$H:$H,0,0)),"")</f>
        <v/>
      </c>
      <c r="HM21" s="70"/>
      <c r="HN21" s="71"/>
      <c r="HO21" s="32"/>
      <c r="HP21" s="72" t="str">
        <f t="array" ref="HP21">IFERROR(IF(XLOOKUP(CONCAT(HN21,HO21),'MASTER PLAN'!$AB:$AB,'MASTER PLAN'!$J:$J,0,0)=0,"",XLOOKUP(CONCAT(HN21,HO21),'MASTER PLAN'!$AB:$AB,'MASTER PLAN'!$J:$J,0,0)),"")</f>
        <v/>
      </c>
      <c r="HQ21" s="73" t="str">
        <f t="array" ref="HQ21">IFERROR(IF(XLOOKUP(CONCAT(HN21,HO21),'PROCESOS PRD'!$J:$J,'PROCESOS PRD'!$H:$H,0,0)=0,"",XLOOKUP(CONCAT(HN21,HO21),'PROCESOS PRD'!$J:$J,'PROCESOS PRD'!$H:$H,0,0)),"")</f>
        <v/>
      </c>
      <c r="HR21" s="71"/>
      <c r="HS21" s="32"/>
      <c r="HT21" s="72" t="str">
        <f t="array" ref="HT21">IFERROR(IF(XLOOKUP(CONCAT(HR21,HS21),'MASTER PLAN'!$AB:$AB,'MASTER PLAN'!$J:$J,0,0)=0,"",XLOOKUP(CONCAT(HR21,HS21),'MASTER PLAN'!$AB:$AB,'MASTER PLAN'!$J:$J,0,0)),"")</f>
        <v/>
      </c>
      <c r="HU21" s="73" t="str">
        <f t="array" ref="HU21">IFERROR(IF(XLOOKUP(CONCAT(HR21,HS21),'PROCESOS PRD'!$J:$J,'PROCESOS PRD'!$H:$H,0,0)=0,"",XLOOKUP(CONCAT(HR21,HS21),'PROCESOS PRD'!$J:$J,'PROCESOS PRD'!$H:$H,0,0)),"")</f>
        <v/>
      </c>
      <c r="HV21" s="71"/>
      <c r="HW21" s="32"/>
      <c r="HX21" s="72" t="str">
        <f t="array" ref="HX21">IFERROR(IF(XLOOKUP(CONCAT(HV21,HW21),'MASTER PLAN'!$AB:$AB,'MASTER PLAN'!$J:$J,0,0)=0,"",XLOOKUP(CONCAT(HV21,HW21),'MASTER PLAN'!$AB:$AB,'MASTER PLAN'!$J:$J,0,0)),"")</f>
        <v/>
      </c>
      <c r="HY21" s="73" t="str">
        <f t="array" ref="HY21">IFERROR(IF(XLOOKUP(CONCAT(HV21,HW21),'PROCESOS PRD'!$J:$J,'PROCESOS PRD'!$H:$H,0,0)=0,"",XLOOKUP(CONCAT(HV21,HW21),'PROCESOS PRD'!$J:$J,'PROCESOS PRD'!$H:$H,0,0)),"")</f>
        <v/>
      </c>
      <c r="HZ21" s="71"/>
      <c r="IA21" s="32"/>
      <c r="IB21" s="72" t="str">
        <f t="array" ref="IB21">IFERROR(IF(XLOOKUP(CONCAT(HZ21,IA21),'MASTER PLAN'!$AB:$AB,'MASTER PLAN'!$J:$J,0,0)=0,"",XLOOKUP(CONCAT(HZ21,IA21),'MASTER PLAN'!$AB:$AB,'MASTER PLAN'!$J:$J,0,0)),"")</f>
        <v/>
      </c>
      <c r="IC21" s="73" t="str">
        <f t="array" ref="IC21">IFERROR(IF(XLOOKUP(CONCAT(HZ21,IA21),'PROCESOS PRD'!$J:$J,'PROCESOS PRD'!$H:$H,0,0)=0,"",XLOOKUP(CONCAT(HZ21,IA21),'PROCESOS PRD'!$J:$J,'PROCESOS PRD'!$H:$H,0,0)),"")</f>
        <v/>
      </c>
      <c r="ID21" s="71"/>
      <c r="IE21" s="32"/>
      <c r="IF21" s="72" t="str">
        <f t="array" ref="IF21">IFERROR(IF(XLOOKUP(CONCAT(ID21,IE21),'MASTER PLAN'!$AB:$AB,'MASTER PLAN'!$J:$J,0,0)=0,"",XLOOKUP(CONCAT(ID21,IE21),'MASTER PLAN'!$AB:$AB,'MASTER PLAN'!$J:$J,0,0)),"")</f>
        <v/>
      </c>
      <c r="IG21" s="73" t="str">
        <f t="array" ref="IG21">IFERROR(IF(XLOOKUP(CONCAT(ID21,IE21),'PROCESOS PRD'!$J:$J,'PROCESOS PRD'!$H:$H,0,0)=0,"",XLOOKUP(CONCAT(ID21,IE21),'PROCESOS PRD'!$J:$J,'PROCESOS PRD'!$H:$H,0,0)),"")</f>
        <v/>
      </c>
      <c r="IH21" s="71"/>
      <c r="II21" s="32"/>
      <c r="IJ21" s="72" t="str">
        <f t="array" ref="IJ21">IFERROR(IF(XLOOKUP(CONCAT(IH21,II21),'MASTER PLAN'!$AB:$AB,'MASTER PLAN'!$J:$J,0,0)=0,"",XLOOKUP(CONCAT(IH21,II21),'MASTER PLAN'!$AB:$AB,'MASTER PLAN'!$J:$J,0,0)),"")</f>
        <v/>
      </c>
      <c r="IK21" s="73" t="str">
        <f t="array" ref="IK21">IFERROR(IF(XLOOKUP(CONCAT(IH21,II21),'PROCESOS PRD'!$J:$J,'PROCESOS PRD'!$H:$H,0,0)=0,"",XLOOKUP(CONCAT(IH21,II21),'PROCESOS PRD'!$J:$J,'PROCESOS PRD'!$H:$H,0,0)),"")</f>
        <v/>
      </c>
      <c r="IL21" s="70"/>
      <c r="IM21" s="71"/>
      <c r="IN21" s="32"/>
      <c r="IO21" s="72" t="str">
        <f t="array" ref="IO21">IFERROR(IF(XLOOKUP(CONCAT(IM21,IN21),'MASTER PLAN'!$AB:$AB,'MASTER PLAN'!$J:$J,0,0)=0,"",XLOOKUP(CONCAT(IM21,IN21),'MASTER PLAN'!$AB:$AB,'MASTER PLAN'!$J:$J,0,0)),"")</f>
        <v/>
      </c>
      <c r="IP21" s="73" t="str">
        <f t="array" ref="IP21">IFERROR(IF(XLOOKUP(CONCAT(IM21,IN21),'PROCESOS PRD'!$J:$J,'PROCESOS PRD'!$H:$H,0,0)=0,"",XLOOKUP(CONCAT(IM21,IN21),'PROCESOS PRD'!$J:$J,'PROCESOS PRD'!$H:$H,0,0)),"")</f>
        <v/>
      </c>
      <c r="IQ21" s="71"/>
      <c r="IR21" s="32"/>
      <c r="IS21" s="72" t="str">
        <f t="array" ref="IS21">IFERROR(IF(XLOOKUP(CONCAT(IQ21,IR21),'MASTER PLAN'!$AB:$AB,'MASTER PLAN'!$J:$J,0,0)=0,"",XLOOKUP(CONCAT(IQ21,IR21),'MASTER PLAN'!$AB:$AB,'MASTER PLAN'!$J:$J,0,0)),"")</f>
        <v/>
      </c>
      <c r="IT21" s="73" t="str">
        <f t="array" ref="IT21">IFERROR(IF(XLOOKUP(CONCAT(IQ21,IR21),'PROCESOS PRD'!$J:$J,'PROCESOS PRD'!$H:$H,0,0)=0,"",XLOOKUP(CONCAT(IQ21,IR21),'PROCESOS PRD'!$J:$J,'PROCESOS PRD'!$H:$H,0,0)),"")</f>
        <v/>
      </c>
      <c r="IU21" s="71"/>
      <c r="IV21" s="32"/>
      <c r="IW21" s="72" t="str">
        <f t="array" ref="IW21">IFERROR(IF(XLOOKUP(CONCAT(IU21,IV21),'MASTER PLAN'!$AB:$AB,'MASTER PLAN'!$J:$J,0,0)=0,"",XLOOKUP(CONCAT(IU21,IV21),'MASTER PLAN'!$AB:$AB,'MASTER PLAN'!$J:$J,0,0)),"")</f>
        <v/>
      </c>
      <c r="IX21" s="73" t="str">
        <f t="array" ref="IX21">IFERROR(IF(XLOOKUP(CONCAT(IU21,IV21),'PROCESOS PRD'!$J:$J,'PROCESOS PRD'!$H:$H,0,0)=0,"",XLOOKUP(CONCAT(IU21,IV21),'PROCESOS PRD'!$J:$J,'PROCESOS PRD'!$H:$H,0,0)),"")</f>
        <v/>
      </c>
      <c r="IY21" s="71"/>
      <c r="IZ21" s="32"/>
      <c r="JA21" s="72" t="str">
        <f t="array" ref="JA21">IFERROR(IF(XLOOKUP(CONCAT(IY21,IZ21),'MASTER PLAN'!$AB:$AB,'MASTER PLAN'!$J:$J,0,0)=0,"",XLOOKUP(CONCAT(IY21,IZ21),'MASTER PLAN'!$AB:$AB,'MASTER PLAN'!$J:$J,0,0)),"")</f>
        <v/>
      </c>
      <c r="JB21" s="73" t="str">
        <f t="array" ref="JB21">IFERROR(IF(XLOOKUP(CONCAT(IY21,IZ21),'PROCESOS PRD'!$J:$J,'PROCESOS PRD'!$H:$H,0,0)=0,"",XLOOKUP(CONCAT(IY21,IZ21),'PROCESOS PRD'!$J:$J,'PROCESOS PRD'!$H:$H,0,0)),"")</f>
        <v/>
      </c>
      <c r="JC21" s="71"/>
      <c r="JD21" s="32"/>
      <c r="JE21" s="72" t="str">
        <f t="array" ref="JE21">IFERROR(IF(XLOOKUP(CONCAT(JC21,JD21),'MASTER PLAN'!$AB:$AB,'MASTER PLAN'!$J:$J,0,0)=0,"",XLOOKUP(CONCAT(JC21,JD21),'MASTER PLAN'!$AB:$AB,'MASTER PLAN'!$J:$J,0,0)),"")</f>
        <v/>
      </c>
      <c r="JF21" s="73" t="str">
        <f t="array" ref="JF21">IFERROR(IF(XLOOKUP(CONCAT(JC21,JD21),'PROCESOS PRD'!$J:$J,'PROCESOS PRD'!$H:$H,0,0)=0,"",XLOOKUP(CONCAT(JC21,JD21),'PROCESOS PRD'!$J:$J,'PROCESOS PRD'!$H:$H,0,0)),"")</f>
        <v/>
      </c>
      <c r="JG21" s="71"/>
      <c r="JH21" s="32"/>
      <c r="JI21" s="72" t="str">
        <f t="array" ref="JI21">IFERROR(IF(XLOOKUP(CONCAT(JG21,JH21),'MASTER PLAN'!$AB:$AB,'MASTER PLAN'!$J:$J,0,0)=0,"",XLOOKUP(CONCAT(JG21,JH21),'MASTER PLAN'!$AB:$AB,'MASTER PLAN'!$J:$J,0,0)),"")</f>
        <v/>
      </c>
      <c r="JJ21" s="73" t="str">
        <f t="array" ref="JJ21">IFERROR(IF(XLOOKUP(CONCAT(JG21,JH21),'PROCESOS PRD'!$J:$J,'PROCESOS PRD'!$H:$H,0,0)=0,"",XLOOKUP(CONCAT(JG21,JH21),'PROCESOS PRD'!$J:$J,'PROCESOS PRD'!$H:$H,0,0)),"")</f>
        <v/>
      </c>
      <c r="JK21" s="70"/>
      <c r="JL21" s="71"/>
      <c r="JM21" s="32"/>
      <c r="JN21" s="72" t="str">
        <f t="array" ref="JN21">IFERROR(IF(XLOOKUP(CONCAT(JL21,JM21),'MASTER PLAN'!$AB:$AB,'MASTER PLAN'!$J:$J,0,0)=0,"",XLOOKUP(CONCAT(JL21,JM21),'MASTER PLAN'!$AB:$AB,'MASTER PLAN'!$J:$J,0,0)),"")</f>
        <v/>
      </c>
      <c r="JO21" s="73" t="str">
        <f t="array" ref="JO21">IFERROR(IF(XLOOKUP(CONCAT(JL21,JM21),'PROCESOS PRD'!$J:$J,'PROCESOS PRD'!$H:$H,0,0)=0,"",XLOOKUP(CONCAT(JL21,JM21),'PROCESOS PRD'!$J:$J,'PROCESOS PRD'!$H:$H,0,0)),"")</f>
        <v/>
      </c>
      <c r="JP21" s="71"/>
      <c r="JQ21" s="32"/>
      <c r="JR21" s="72" t="str">
        <f t="array" ref="JR21">IFERROR(IF(XLOOKUP(CONCAT(JP21,JQ21),'MASTER PLAN'!$AB:$AB,'MASTER PLAN'!$J:$J,0,0)=0,"",XLOOKUP(CONCAT(JP21,JQ21),'MASTER PLAN'!$AB:$AB,'MASTER PLAN'!$J:$J,0,0)),"")</f>
        <v/>
      </c>
      <c r="JS21" s="73" t="str">
        <f t="array" ref="JS21">IFERROR(IF(XLOOKUP(CONCAT(JP21,JQ21),'PROCESOS PRD'!$J:$J,'PROCESOS PRD'!$H:$H,0,0)=0,"",XLOOKUP(CONCAT(JP21,JQ21),'PROCESOS PRD'!$J:$J,'PROCESOS PRD'!$H:$H,0,0)),"")</f>
        <v/>
      </c>
      <c r="JT21" s="71"/>
      <c r="JU21" s="32"/>
      <c r="JV21" s="72" t="str">
        <f t="array" ref="JV21">IFERROR(IF(XLOOKUP(CONCAT(JT21,JU21),'MASTER PLAN'!$AB:$AB,'MASTER PLAN'!$J:$J,0,0)=0,"",XLOOKUP(CONCAT(JT21,JU21),'MASTER PLAN'!$AB:$AB,'MASTER PLAN'!$J:$J,0,0)),"")</f>
        <v/>
      </c>
      <c r="JW21" s="73" t="str">
        <f t="array" ref="JW21">IFERROR(IF(XLOOKUP(CONCAT(JT21,JU21),'PROCESOS PRD'!$J:$J,'PROCESOS PRD'!$H:$H,0,0)=0,"",XLOOKUP(CONCAT(JT21,JU21),'PROCESOS PRD'!$J:$J,'PROCESOS PRD'!$H:$H,0,0)),"")</f>
        <v/>
      </c>
      <c r="JX21" s="71"/>
      <c r="JY21" s="32"/>
      <c r="JZ21" s="72" t="str">
        <f t="array" ref="JZ21">IFERROR(IF(XLOOKUP(CONCAT(JX21,JY21),'MASTER PLAN'!$AB:$AB,'MASTER PLAN'!$J:$J,0,0)=0,"",XLOOKUP(CONCAT(JX21,JY21),'MASTER PLAN'!$AB:$AB,'MASTER PLAN'!$J:$J,0,0)),"")</f>
        <v/>
      </c>
      <c r="KA21" s="73" t="str">
        <f t="array" ref="KA21">IFERROR(IF(XLOOKUP(CONCAT(JX21,JY21),'PROCESOS PRD'!$J:$J,'PROCESOS PRD'!$H:$H,0,0)=0,"",XLOOKUP(CONCAT(JX21,JY21),'PROCESOS PRD'!$J:$J,'PROCESOS PRD'!$H:$H,0,0)),"")</f>
        <v/>
      </c>
      <c r="KB21" s="71"/>
      <c r="KC21" s="32"/>
      <c r="KD21" s="72" t="str">
        <f t="array" ref="KD21">IFERROR(IF(XLOOKUP(CONCAT(KB21,KC21),'MASTER PLAN'!$AB:$AB,'MASTER PLAN'!$J:$J,0,0)=0,"",XLOOKUP(CONCAT(KB21,KC21),'MASTER PLAN'!$AB:$AB,'MASTER PLAN'!$J:$J,0,0)),"")</f>
        <v/>
      </c>
      <c r="KE21" s="73" t="str">
        <f t="array" ref="KE21">IFERROR(IF(XLOOKUP(CONCAT(KB21,KC21),'PROCESOS PRD'!$J:$J,'PROCESOS PRD'!$H:$H,0,0)=0,"",XLOOKUP(CONCAT(KB21,KC21),'PROCESOS PRD'!$J:$J,'PROCESOS PRD'!$H:$H,0,0)),"")</f>
        <v/>
      </c>
      <c r="KF21" s="71"/>
      <c r="KG21" s="32"/>
      <c r="KH21" s="72" t="str">
        <f t="array" ref="KH21">IFERROR(IF(XLOOKUP(CONCAT(KF21,KG21),'MASTER PLAN'!$AB:$AB,'MASTER PLAN'!$J:$J,0,0)=0,"",XLOOKUP(CONCAT(KF21,KG21),'MASTER PLAN'!$AB:$AB,'MASTER PLAN'!$J:$J,0,0)),"")</f>
        <v/>
      </c>
      <c r="KI21" s="73" t="str">
        <f t="array" ref="KI21">IFERROR(IF(XLOOKUP(CONCAT(KF21,KG21),'PROCESOS PRD'!$J:$J,'PROCESOS PRD'!$H:$H,0,0)=0,"",XLOOKUP(CONCAT(KF21,KG21),'PROCESOS PRD'!$J:$J,'PROCESOS PRD'!$H:$H,0,0)),"")</f>
        <v/>
      </c>
      <c r="KJ21" s="70"/>
      <c r="KK21" s="70"/>
      <c r="KL21" s="70"/>
      <c r="KM21" s="70"/>
      <c r="KN21" s="70"/>
      <c r="KO21" s="70"/>
      <c r="KP21" s="70"/>
      <c r="KQ21" s="70"/>
      <c r="KR21" s="70"/>
      <c r="KS21" s="70"/>
      <c r="KT21" s="70"/>
      <c r="KU21" s="70"/>
      <c r="KV21" s="70"/>
      <c r="KW21" s="70"/>
      <c r="KX21" s="70"/>
      <c r="KY21" s="70"/>
      <c r="KZ21" s="70"/>
      <c r="LA21" s="70"/>
      <c r="LB21" s="70"/>
      <c r="LC21" s="70"/>
    </row>
    <row r="22" ht="15.75" customHeight="1">
      <c r="A22" s="42"/>
      <c r="B22" s="74"/>
      <c r="C22" s="69"/>
      <c r="D22" s="70"/>
      <c r="E22" s="71"/>
      <c r="F22" s="32"/>
      <c r="G22" s="72" t="str">
        <f t="array" ref="G22">IFERROR(IF(XLOOKUP(CONCAT(E22,F22),'MASTER PLAN'!$AB:$AB,'MASTER PLAN'!$J:$J,0,0)=0,"",XLOOKUP(CONCAT(E22,F22),'MASTER PLAN'!$AB:$AB,'MASTER PLAN'!$J:$J,0,0)),"")</f>
        <v/>
      </c>
      <c r="H22" s="73" t="str">
        <f t="array" ref="H22">IFERROR(IF(XLOOKUP(CONCAT(E22,F22),'PROCESOS PRD'!$J:$J,'PROCESOS PRD'!$H:$H,0,0)=0,"",XLOOKUP(CONCAT(E22,F22),'PROCESOS PRD'!$J:$J,'PROCESOS PRD'!$H:$H,0,0)),"")</f>
        <v/>
      </c>
      <c r="I22" s="71"/>
      <c r="J22" s="32"/>
      <c r="K22" s="72" t="str">
        <f t="array" ref="K22">IFERROR(IF(XLOOKUP(CONCAT(I22,J22),'MASTER PLAN'!$AB:$AB,'MASTER PLAN'!$J:$J,0,0)=0,"",XLOOKUP(CONCAT(I22,J22),'MASTER PLAN'!$AB:$AB,'MASTER PLAN'!$J:$J,0,0)),"")</f>
        <v/>
      </c>
      <c r="L22" s="73" t="str">
        <f t="array" ref="L22">IFERROR(IF(XLOOKUP(CONCAT(I22,J22),'PROCESOS PRD'!$J:$J,'PROCESOS PRD'!$H:$H,0,0)=0,"",XLOOKUP(CONCAT(I22,J22),'PROCESOS PRD'!$J:$J,'PROCESOS PRD'!$H:$H,0,0)),"")</f>
        <v/>
      </c>
      <c r="M22" s="71"/>
      <c r="N22" s="32"/>
      <c r="O22" s="72" t="str">
        <f t="array" ref="O22">IFERROR(IF(XLOOKUP(CONCAT(M22,N22),'MASTER PLAN'!$AB:$AB,'MASTER PLAN'!$J:$J,0,0)=0,"",XLOOKUP(CONCAT(M22,N22),'MASTER PLAN'!$AB:$AB,'MASTER PLAN'!$J:$J,0,0)),"")</f>
        <v/>
      </c>
      <c r="P22" s="73" t="str">
        <f t="array" ref="P22">IFERROR(IF(XLOOKUP(CONCAT(M22,N22),'PROCESOS PRD'!$J:$J,'PROCESOS PRD'!$H:$H,0,0)=0,"",XLOOKUP(CONCAT(M22,N22),'PROCESOS PRD'!$J:$J,'PROCESOS PRD'!$H:$H,0,0)),"")</f>
        <v/>
      </c>
      <c r="Q22" s="71"/>
      <c r="R22" s="32"/>
      <c r="S22" s="72" t="str">
        <f t="array" ref="S22">IFERROR(IF(XLOOKUP(CONCAT(Q22,R22),'MASTER PLAN'!$AB:$AB,'MASTER PLAN'!$J:$J,0,0)=0,"",XLOOKUP(CONCAT(Q22,R22),'MASTER PLAN'!$AB:$AB,'MASTER PLAN'!$J:$J,0,0)),"")</f>
        <v/>
      </c>
      <c r="T22" s="73" t="str">
        <f t="array" ref="T22">IFERROR(IF(XLOOKUP(CONCAT(Q22,R22),'PROCESOS PRD'!$J:$J,'PROCESOS PRD'!$H:$H,0,0)=0,"",XLOOKUP(CONCAT(Q22,R22),'PROCESOS PRD'!$J:$J,'PROCESOS PRD'!$H:$H,0,0)),"")</f>
        <v/>
      </c>
      <c r="U22" s="70"/>
      <c r="V22" s="71"/>
      <c r="W22" s="32"/>
      <c r="X22" s="72" t="str">
        <f t="array" ref="X22">IFERROR(IF(XLOOKUP(CONCAT(V22,W22),'MASTER PLAN'!$AB:$AB,'MASTER PLAN'!$J:$J,0,0)=0,"",XLOOKUP(CONCAT(V22,W22),'MASTER PLAN'!$AB:$AB,'MASTER PLAN'!$J:$J,0,0)),"")</f>
        <v/>
      </c>
      <c r="Y22" s="73" t="str">
        <f t="array" ref="Y22">IFERROR(IF(XLOOKUP(CONCAT(V22,W22),'PROCESOS PRD'!$J:$J,'PROCESOS PRD'!$H:$H,0,0)=0,"",XLOOKUP(CONCAT(V22,W22),'PROCESOS PRD'!$J:$J,'PROCESOS PRD'!$H:$H,0,0)),"")</f>
        <v/>
      </c>
      <c r="Z22" s="71"/>
      <c r="AA22" s="32"/>
      <c r="AB22" s="72" t="str">
        <f t="array" ref="AB22">IFERROR(IF(XLOOKUP(CONCAT(Z22,AA22),'MASTER PLAN'!$AB:$AB,'MASTER PLAN'!$J:$J,0,0)=0,"",XLOOKUP(CONCAT(Z22,AA22),'MASTER PLAN'!$AB:$AB,'MASTER PLAN'!$J:$J,0,0)),"")</f>
        <v/>
      </c>
      <c r="AC22" s="73" t="str">
        <f t="array" ref="AC22">IFERROR(IF(XLOOKUP(CONCAT(Z22,AA22),'PROCESOS PRD'!$J:$J,'PROCESOS PRD'!$H:$H,0,0)=0,"",XLOOKUP(CONCAT(Z22,AA22),'PROCESOS PRD'!$J:$J,'PROCESOS PRD'!$H:$H,0,0)),"")</f>
        <v/>
      </c>
      <c r="AD22" s="71"/>
      <c r="AE22" s="32"/>
      <c r="AF22" s="72" t="str">
        <f t="array" ref="AF22">IFERROR(IF(XLOOKUP(CONCAT(AD22,AE22),'MASTER PLAN'!$AB:$AB,'MASTER PLAN'!$J:$J,0,0)=0,"",XLOOKUP(CONCAT(AD22,AE22),'MASTER PLAN'!$AB:$AB,'MASTER PLAN'!$J:$J,0,0)),"")</f>
        <v/>
      </c>
      <c r="AG22" s="73" t="str">
        <f t="array" ref="AG22">IFERROR(IF(XLOOKUP(CONCAT(AD22,AE22),'PROCESOS PRD'!$J:$J,'PROCESOS PRD'!$H:$H,0,0)=0,"",XLOOKUP(CONCAT(AD22,AE22),'PROCESOS PRD'!$J:$J,'PROCESOS PRD'!$H:$H,0,0)),"")</f>
        <v/>
      </c>
      <c r="AH22" s="71"/>
      <c r="AI22" s="32"/>
      <c r="AJ22" s="72" t="str">
        <f t="array" ref="AJ22">IFERROR(IF(XLOOKUP(CONCAT(AH22,AI22),'MASTER PLAN'!$AB:$AB,'MASTER PLAN'!$J:$J,0,0)=0,"",XLOOKUP(CONCAT(AH22,AI22),'MASTER PLAN'!$AB:$AB,'MASTER PLAN'!$J:$J,0,0)),"")</f>
        <v/>
      </c>
      <c r="AK22" s="73" t="str">
        <f t="array" ref="AK22">IFERROR(IF(XLOOKUP(CONCAT(AH22,AI22),'PROCESOS PRD'!$J:$J,'PROCESOS PRD'!$H:$H,0,0)=0,"",XLOOKUP(CONCAT(AH22,AI22),'PROCESOS PRD'!$J:$J,'PROCESOS PRD'!$H:$H,0,0)),"")</f>
        <v/>
      </c>
      <c r="AL22" s="90"/>
      <c r="AM22" s="91"/>
      <c r="AN22" s="72" t="str">
        <f t="array" ref="AN22">IFERROR(IF(XLOOKUP(CONCAT(AL22,AM22),'MASTER PLAN'!$AB:$AB,'MASTER PLAN'!$J:$J,0,0)=0,"",XLOOKUP(CONCAT(AL22,AM22),'MASTER PLAN'!$AB:$AB,'MASTER PLAN'!$J:$J,0,0)),"")</f>
        <v/>
      </c>
      <c r="AO22" s="73" t="str">
        <f t="array" ref="AO22">IFERROR(IF(XLOOKUP(CONCAT(AL22,AM22),'PROCESOS PRD'!$J:$J,'PROCESOS PRD'!$H:$H,0,0)=0,"",XLOOKUP(CONCAT(AL22,AM22),'PROCESOS PRD'!$J:$J,'PROCESOS PRD'!$H:$H,0,0)),"")</f>
        <v/>
      </c>
      <c r="AP22" s="71"/>
      <c r="AQ22" s="32"/>
      <c r="AR22" s="72" t="str">
        <f t="array" ref="AR22">IFERROR(IF(XLOOKUP(CONCAT(AP22,AQ22),'MASTER PLAN'!$AB:$AB,'MASTER PLAN'!$J:$J,0,0)=0,"",XLOOKUP(CONCAT(AP22,AQ22),'MASTER PLAN'!$AB:$AB,'MASTER PLAN'!$J:$J,0,0)),"")</f>
        <v/>
      </c>
      <c r="AS22" s="73" t="str">
        <f t="array" ref="AS22">IFERROR(IF(XLOOKUP(CONCAT(AP22,AQ22),'PROCESOS PRD'!$J:$J,'PROCESOS PRD'!$H:$H,0,0)=0,"",XLOOKUP(CONCAT(AP22,AQ22),'PROCESOS PRD'!$J:$J,'PROCESOS PRD'!$H:$H,0,0)),"")</f>
        <v/>
      </c>
      <c r="AT22" s="70"/>
      <c r="AU22" s="71"/>
      <c r="AV22" s="32"/>
      <c r="AW22" s="72" t="str">
        <f t="array" ref="AW22">IFERROR(IF(XLOOKUP(CONCAT(AU22,AV22),'MASTER PLAN'!$AB:$AB,'MASTER PLAN'!$J:$J,0,0)=0,"",XLOOKUP(CONCAT(AU22,AV22),'MASTER PLAN'!$AB:$AB,'MASTER PLAN'!$J:$J,0,0)),"")</f>
        <v/>
      </c>
      <c r="AX22" s="73" t="str">
        <f t="array" ref="AX22">IFERROR(IF(XLOOKUP(CONCAT(AU22,AV22),'PROCESOS PRD'!$J:$J,'PROCESOS PRD'!$H:$H,0,0)=0,"",XLOOKUP(CONCAT(AU22,AV22),'PROCESOS PRD'!$J:$J,'PROCESOS PRD'!$H:$H,0,0)),"")</f>
        <v/>
      </c>
      <c r="AY22" s="90"/>
      <c r="AZ22" s="91"/>
      <c r="BA22" s="72" t="str">
        <f t="array" ref="BA22">IFERROR(IF(XLOOKUP(CONCAT(AY22,AZ22),'MASTER PLAN'!$AB:$AB,'MASTER PLAN'!$J:$J,0,0)=0,"",XLOOKUP(CONCAT(AY22,AZ22),'MASTER PLAN'!$AB:$AB,'MASTER PLAN'!$J:$J,0,0)),"")</f>
        <v/>
      </c>
      <c r="BB22" s="73" t="str">
        <f t="array" ref="BB22">IFERROR(IF(XLOOKUP(CONCAT(AY22,AZ22),'PROCESOS PRD'!$J:$J,'PROCESOS PRD'!$H:$H,0,0)=0,"",XLOOKUP(CONCAT(AY22,AZ22),'PROCESOS PRD'!$J:$J,'PROCESOS PRD'!$H:$H,0,0)),"")</f>
        <v/>
      </c>
      <c r="BC22" s="71"/>
      <c r="BD22" s="32"/>
      <c r="BE22" s="72" t="str">
        <f t="array" ref="BE22">IFERROR(IF(XLOOKUP(CONCAT(BC22,BD22),'MASTER PLAN'!$AB:$AB,'MASTER PLAN'!$J:$J,0,0)=0,"",XLOOKUP(CONCAT(BC22,BD22),'MASTER PLAN'!$AB:$AB,'MASTER PLAN'!$J:$J,0,0)),"")</f>
        <v/>
      </c>
      <c r="BF22" s="73" t="str">
        <f t="array" ref="BF22">IFERROR(IF(XLOOKUP(CONCAT(BC22,BD22),'PROCESOS PRD'!$J:$J,'PROCESOS PRD'!$H:$H,0,0)=0,"",XLOOKUP(CONCAT(BC22,BD22),'PROCESOS PRD'!$J:$J,'PROCESOS PRD'!$H:$H,0,0)),"")</f>
        <v/>
      </c>
      <c r="BG22" s="71"/>
      <c r="BH22" s="32"/>
      <c r="BI22" s="72" t="str">
        <f t="array" ref="BI22">IFERROR(IF(XLOOKUP(CONCAT(BG22,BH22),'MASTER PLAN'!$AB:$AB,'MASTER PLAN'!$J:$J,0,0)=0,"",XLOOKUP(CONCAT(BG22,BH22),'MASTER PLAN'!$AB:$AB,'MASTER PLAN'!$J:$J,0,0)),"")</f>
        <v/>
      </c>
      <c r="BJ22" s="73" t="str">
        <f t="array" ref="BJ22">IFERROR(IF(XLOOKUP(CONCAT(BG22,BH22),'PROCESOS PRD'!$J:$J,'PROCESOS PRD'!$H:$H,0,0)=0,"",XLOOKUP(CONCAT(BG22,BH22),'PROCESOS PRD'!$J:$J,'PROCESOS PRD'!$H:$H,0,0)),"")</f>
        <v/>
      </c>
      <c r="BK22" s="71"/>
      <c r="BL22" s="32"/>
      <c r="BM22" s="72" t="str">
        <f t="array" ref="BM22">IFERROR(IF(XLOOKUP(CONCAT(BK22,BL22),'MASTER PLAN'!$AB:$AB,'MASTER PLAN'!$J:$J,0,0)=0,"",XLOOKUP(CONCAT(BK22,BL22),'MASTER PLAN'!$AB:$AB,'MASTER PLAN'!$J:$J,0,0)),"")</f>
        <v/>
      </c>
      <c r="BN22" s="73" t="str">
        <f t="array" ref="BN22">IFERROR(IF(XLOOKUP(CONCAT(BK22,BL22),'PROCESOS PRD'!$J:$J,'PROCESOS PRD'!$H:$H,0,0)=0,"",XLOOKUP(CONCAT(BK22,BL22),'PROCESOS PRD'!$J:$J,'PROCESOS PRD'!$H:$H,0,0)),"")</f>
        <v/>
      </c>
      <c r="BO22" s="71"/>
      <c r="BP22" s="32"/>
      <c r="BQ22" s="72" t="str">
        <f t="array" ref="BQ22">IFERROR(IF(XLOOKUP(CONCAT(BO22,BP22),'MASTER PLAN'!$AB:$AB,'MASTER PLAN'!$J:$J,0,0)=0,"",XLOOKUP(CONCAT(BO22,BP22),'MASTER PLAN'!$AB:$AB,'MASTER PLAN'!$J:$J,0,0)),"")</f>
        <v/>
      </c>
      <c r="BR22" s="73" t="str">
        <f t="array" ref="BR22">IFERROR(IF(XLOOKUP(CONCAT(BO22,BP22),'PROCESOS PRD'!$J:$J,'PROCESOS PRD'!$H:$H,0,0)=0,"",XLOOKUP(CONCAT(BO22,BP22),'PROCESOS PRD'!$J:$J,'PROCESOS PRD'!$H:$H,0,0)),"")</f>
        <v/>
      </c>
      <c r="BS22" s="70"/>
      <c r="BT22" s="71"/>
      <c r="BU22" s="32"/>
      <c r="BV22" s="72" t="str">
        <f t="array" ref="BV22">IFERROR(IF(XLOOKUP(CONCAT(BT22,BU22),'MASTER PLAN'!$AB:$AB,'MASTER PLAN'!$J:$J,0,0)=0,"",XLOOKUP(CONCAT(BT22,BU22),'MASTER PLAN'!$AB:$AB,'MASTER PLAN'!$J:$J,0,0)),"")</f>
        <v/>
      </c>
      <c r="BW22" s="73" t="str">
        <f t="array" ref="BW22">IFERROR(IF(XLOOKUP(CONCAT(BT22,BU22),'PROCESOS PRD'!$J:$J,'PROCESOS PRD'!$H:$H,0,0)=0,"",XLOOKUP(CONCAT(BT22,BU22),'PROCESOS PRD'!$J:$J,'PROCESOS PRD'!$H:$H,0,0)),"")</f>
        <v/>
      </c>
      <c r="BX22" s="71"/>
      <c r="BY22" s="32"/>
      <c r="BZ22" s="72" t="str">
        <f t="array" ref="BZ22">IFERROR(IF(XLOOKUP(CONCAT(BX22,BY22),'MASTER PLAN'!$AB:$AB,'MASTER PLAN'!$J:$J,0,0)=0,"",XLOOKUP(CONCAT(BX22,BY22),'MASTER PLAN'!$AB:$AB,'MASTER PLAN'!$J:$J,0,0)),"")</f>
        <v/>
      </c>
      <c r="CA22" s="73" t="str">
        <f t="array" ref="CA22">IFERROR(IF(XLOOKUP(CONCAT(BX22,BY22),'PROCESOS PRD'!$J:$J,'PROCESOS PRD'!$H:$H,0,0)=0,"",XLOOKUP(CONCAT(BX22,BY22),'PROCESOS PRD'!$J:$J,'PROCESOS PRD'!$H:$H,0,0)),"")</f>
        <v/>
      </c>
      <c r="CB22" s="71"/>
      <c r="CC22" s="32"/>
      <c r="CD22" s="72" t="str">
        <f t="array" ref="CD22">IFERROR(IF(XLOOKUP(CONCAT(CB22,CC22),'MASTER PLAN'!$AB:$AB,'MASTER PLAN'!$J:$J,0,0)=0,"",XLOOKUP(CONCAT(CB22,CC22),'MASTER PLAN'!$AB:$AB,'MASTER PLAN'!$J:$J,0,0)),"")</f>
        <v/>
      </c>
      <c r="CE22" s="73" t="str">
        <f t="array" ref="CE22">IFERROR(IF(XLOOKUP(CONCAT(CB22,CC22),'PROCESOS PRD'!$J:$J,'PROCESOS PRD'!$H:$H,0,0)=0,"",XLOOKUP(CONCAT(CB22,CC22),'PROCESOS PRD'!$J:$J,'PROCESOS PRD'!$H:$H,0,0)),"")</f>
        <v/>
      </c>
      <c r="CF22" s="71"/>
      <c r="CG22" s="32"/>
      <c r="CH22" s="72" t="str">
        <f t="array" ref="CH22">IFERROR(IF(XLOOKUP(CONCAT(CF22,CG22),'MASTER PLAN'!$AB:$AB,'MASTER PLAN'!$J:$J,0,0)=0,"",XLOOKUP(CONCAT(CF22,CG22),'MASTER PLAN'!$AB:$AB,'MASTER PLAN'!$J:$J,0,0)),"")</f>
        <v/>
      </c>
      <c r="CI22" s="73" t="str">
        <f t="array" ref="CI22">IFERROR(IF(XLOOKUP(CONCAT(CF22,CG22),'PROCESOS PRD'!$J:$J,'PROCESOS PRD'!$H:$H,0,0)=0,"",XLOOKUP(CONCAT(CF22,CG22),'PROCESOS PRD'!$J:$J,'PROCESOS PRD'!$H:$H,0,0)),"")</f>
        <v/>
      </c>
      <c r="CJ22" s="71"/>
      <c r="CK22" s="32"/>
      <c r="CL22" s="72" t="str">
        <f t="array" ref="CL22">IFERROR(IF(XLOOKUP(CONCAT(CJ22,CK22),'MASTER PLAN'!$AB:$AB,'MASTER PLAN'!$J:$J,0,0)=0,"",XLOOKUP(CONCAT(CJ22,CK22),'MASTER PLAN'!$AB:$AB,'MASTER PLAN'!$J:$J,0,0)),"")</f>
        <v/>
      </c>
      <c r="CM22" s="73" t="str">
        <f t="array" ref="CM22">IFERROR(IF(XLOOKUP(CONCAT(CJ22,CK22),'PROCESOS PRD'!$J:$J,'PROCESOS PRD'!$H:$H,0,0)=0,"",XLOOKUP(CONCAT(CJ22,CK22),'PROCESOS PRD'!$J:$J,'PROCESOS PRD'!$H:$H,0,0)),"")</f>
        <v/>
      </c>
      <c r="CN22" s="71"/>
      <c r="CO22" s="32"/>
      <c r="CP22" s="72" t="str">
        <f t="array" ref="CP22">IFERROR(IF(XLOOKUP(CONCAT(CN22,CO22),'MASTER PLAN'!$AB:$AB,'MASTER PLAN'!$J:$J,0,0)=0,"",XLOOKUP(CONCAT(CN22,CO22),'MASTER PLAN'!$AB:$AB,'MASTER PLAN'!$J:$J,0,0)),"")</f>
        <v/>
      </c>
      <c r="CQ22" s="73" t="str">
        <f t="array" ref="CQ22">IFERROR(IF(XLOOKUP(CONCAT(CN22,CO22),'PROCESOS PRD'!$J:$J,'PROCESOS PRD'!$H:$H,0,0)=0,"",XLOOKUP(CONCAT(CN22,CO22),'PROCESOS PRD'!$J:$J,'PROCESOS PRD'!$H:$H,0,0)),"")</f>
        <v/>
      </c>
      <c r="CR22" s="70"/>
      <c r="CS22" s="71"/>
      <c r="CT22" s="32"/>
      <c r="CU22" s="72" t="str">
        <f t="array" ref="CU22">IFERROR(IF(XLOOKUP(CONCAT(CS22,CT22),'MASTER PLAN'!$AB:$AB,'MASTER PLAN'!$J:$J,0,0)=0,"",XLOOKUP(CONCAT(CS22,CT22),'MASTER PLAN'!$AB:$AB,'MASTER PLAN'!$J:$J,0,0)),"")</f>
        <v/>
      </c>
      <c r="CV22" s="73" t="str">
        <f t="array" ref="CV22">IFERROR(IF(XLOOKUP(CONCAT(CS22,CT22),'PROCESOS PRD'!$J:$J,'PROCESOS PRD'!$H:$H,0,0)=0,"",XLOOKUP(CONCAT(CS22,CT22),'PROCESOS PRD'!$J:$J,'PROCESOS PRD'!$H:$H,0,0)),"")</f>
        <v/>
      </c>
      <c r="CW22" s="71"/>
      <c r="CX22" s="32"/>
      <c r="CY22" s="72" t="str">
        <f t="array" ref="CY22">IFERROR(IF(XLOOKUP(CONCAT(CW22,CX22),'MASTER PLAN'!$AB:$AB,'MASTER PLAN'!$J:$J,0,0)=0,"",XLOOKUP(CONCAT(CW22,CX22),'MASTER PLAN'!$AB:$AB,'MASTER PLAN'!$J:$J,0,0)),"")</f>
        <v/>
      </c>
      <c r="CZ22" s="73" t="str">
        <f t="array" ref="CZ22">IFERROR(IF(XLOOKUP(CONCAT(CW22,CX22),'PROCESOS PRD'!$J:$J,'PROCESOS PRD'!$H:$H,0,0)=0,"",XLOOKUP(CONCAT(CW22,CX22),'PROCESOS PRD'!$J:$J,'PROCESOS PRD'!$H:$H,0,0)),"")</f>
        <v/>
      </c>
      <c r="DA22" s="71"/>
      <c r="DB22" s="32"/>
      <c r="DC22" s="72" t="str">
        <f t="array" ref="DC22">IFERROR(IF(XLOOKUP(CONCAT(DA22,DB22),'MASTER PLAN'!$AB:$AB,'MASTER PLAN'!$J:$J,0,0)=0,"",XLOOKUP(CONCAT(DA22,DB22),'MASTER PLAN'!$AB:$AB,'MASTER PLAN'!$J:$J,0,0)),"")</f>
        <v/>
      </c>
      <c r="DD22" s="73" t="str">
        <f t="array" ref="DD22">IFERROR(IF(XLOOKUP(CONCAT(DA22,DB22),'PROCESOS PRD'!$J:$J,'PROCESOS PRD'!$H:$H,0,0)=0,"",XLOOKUP(CONCAT(DA22,DB22),'PROCESOS PRD'!$J:$J,'PROCESOS PRD'!$H:$H,0,0)),"")</f>
        <v/>
      </c>
      <c r="DE22" s="71"/>
      <c r="DF22" s="32"/>
      <c r="DG22" s="72" t="str">
        <f t="array" ref="DG22">IFERROR(IF(XLOOKUP(CONCAT(DE22,DF22),'MASTER PLAN'!$AB:$AB,'MASTER PLAN'!$J:$J,0,0)=0,"",XLOOKUP(CONCAT(DE22,DF22),'MASTER PLAN'!$AB:$AB,'MASTER PLAN'!$J:$J,0,0)),"")</f>
        <v/>
      </c>
      <c r="DH22" s="73" t="str">
        <f t="array" ref="DH22">IFERROR(IF(XLOOKUP(CONCAT(DE22,DF22),'PROCESOS PRD'!$J:$J,'PROCESOS PRD'!$H:$H,0,0)=0,"",XLOOKUP(CONCAT(DE22,DF22),'PROCESOS PRD'!$J:$J,'PROCESOS PRD'!$H:$H,0,0)),"")</f>
        <v/>
      </c>
      <c r="DI22" s="71"/>
      <c r="DJ22" s="32"/>
      <c r="DK22" s="72" t="str">
        <f t="array" ref="DK22">IFERROR(IF(XLOOKUP(CONCAT(DI22,DJ22),'MASTER PLAN'!$AB:$AB,'MASTER PLAN'!$J:$J,0,0)=0,"",XLOOKUP(CONCAT(DI22,DJ22),'MASTER PLAN'!$AB:$AB,'MASTER PLAN'!$J:$J,0,0)),"")</f>
        <v/>
      </c>
      <c r="DL22" s="73" t="str">
        <f t="array" ref="DL22">IFERROR(IF(XLOOKUP(CONCAT(DI22,DJ22),'PROCESOS PRD'!$J:$J,'PROCESOS PRD'!$H:$H,0,0)=0,"",XLOOKUP(CONCAT(DI22,DJ22),'PROCESOS PRD'!$J:$J,'PROCESOS PRD'!$H:$H,0,0)),"")</f>
        <v/>
      </c>
      <c r="DM22" s="71"/>
      <c r="DN22" s="32"/>
      <c r="DO22" s="72" t="str">
        <f t="array" ref="DO22">IFERROR(IF(XLOOKUP(CONCAT(DM22,DN22),'MASTER PLAN'!$AB:$AB,'MASTER PLAN'!$J:$J,0,0)=0,"",XLOOKUP(CONCAT(DM22,DN22),'MASTER PLAN'!$AB:$AB,'MASTER PLAN'!$J:$J,0,0)),"")</f>
        <v/>
      </c>
      <c r="DP22" s="73" t="str">
        <f t="array" ref="DP22">IFERROR(IF(XLOOKUP(CONCAT(DM22,DN22),'PROCESOS PRD'!$J:$J,'PROCESOS PRD'!$H:$H,0,0)=0,"",XLOOKUP(CONCAT(DM22,DN22),'PROCESOS PRD'!$J:$J,'PROCESOS PRD'!$H:$H,0,0)),"")</f>
        <v/>
      </c>
      <c r="DQ22" s="70"/>
      <c r="DR22" s="71"/>
      <c r="DS22" s="32"/>
      <c r="DT22" s="72" t="str">
        <f t="array" ref="DT22">IFERROR(IF(XLOOKUP(CONCAT(DR22,DS22),'MASTER PLAN'!$AB:$AB,'MASTER PLAN'!$J:$J,0,0)=0,"",XLOOKUP(CONCAT(DR22,DS22),'MASTER PLAN'!$AB:$AB,'MASTER PLAN'!$J:$J,0,0)),"")</f>
        <v/>
      </c>
      <c r="DU22" s="73" t="str">
        <f t="array" ref="DU22">IFERROR(IF(XLOOKUP(CONCAT(DR22,DS22),'PROCESOS PRD'!$J:$J,'PROCESOS PRD'!$H:$H,0,0)=0,"",XLOOKUP(CONCAT(DR22,DS22),'PROCESOS PRD'!$J:$J,'PROCESOS PRD'!$H:$H,0,0)),"")</f>
        <v/>
      </c>
      <c r="DV22" s="71"/>
      <c r="DW22" s="32"/>
      <c r="DX22" s="72" t="str">
        <f t="array" ref="DX22">IFERROR(IF(XLOOKUP(CONCAT(DV22,DW22),'MASTER PLAN'!$AB:$AB,'MASTER PLAN'!$J:$J,0,0)=0,"",XLOOKUP(CONCAT(DV22,DW22),'MASTER PLAN'!$AB:$AB,'MASTER PLAN'!$J:$J,0,0)),"")</f>
        <v/>
      </c>
      <c r="DY22" s="73" t="str">
        <f t="array" ref="DY22">IFERROR(IF(XLOOKUP(CONCAT(DV22,DW22),'PROCESOS PRD'!$J:$J,'PROCESOS PRD'!$H:$H,0,0)=0,"",XLOOKUP(CONCAT(DV22,DW22),'PROCESOS PRD'!$J:$J,'PROCESOS PRD'!$H:$H,0,0)),"")</f>
        <v/>
      </c>
      <c r="DZ22" s="71"/>
      <c r="EA22" s="32"/>
      <c r="EB22" s="72" t="str">
        <f t="array" ref="EB22">IFERROR(IF(XLOOKUP(CONCAT(DZ22,EA22),'MASTER PLAN'!$AB:$AB,'MASTER PLAN'!$J:$J,0,0)=0,"",XLOOKUP(CONCAT(DZ22,EA22),'MASTER PLAN'!$AB:$AB,'MASTER PLAN'!$J:$J,0,0)),"")</f>
        <v/>
      </c>
      <c r="EC22" s="73" t="str">
        <f t="array" ref="EC22">IFERROR(IF(XLOOKUP(CONCAT(DZ22,EA22),'PROCESOS PRD'!$J:$J,'PROCESOS PRD'!$H:$H,0,0)=0,"",XLOOKUP(CONCAT(DZ22,EA22),'PROCESOS PRD'!$J:$J,'PROCESOS PRD'!$H:$H,0,0)),"")</f>
        <v/>
      </c>
      <c r="ED22" s="71"/>
      <c r="EE22" s="32"/>
      <c r="EF22" s="72" t="str">
        <f t="array" ref="EF22">IFERROR(IF(XLOOKUP(CONCAT(ED22,EE22),'MASTER PLAN'!$AB:$AB,'MASTER PLAN'!$J:$J,0,0)=0,"",XLOOKUP(CONCAT(ED22,EE22),'MASTER PLAN'!$AB:$AB,'MASTER PLAN'!$J:$J,0,0)),"")</f>
        <v/>
      </c>
      <c r="EG22" s="73" t="str">
        <f t="array" ref="EG22">IFERROR(IF(XLOOKUP(CONCAT(ED22,EE22),'PROCESOS PRD'!$J:$J,'PROCESOS PRD'!$H:$H,0,0)=0,"",XLOOKUP(CONCAT(ED22,EE22),'PROCESOS PRD'!$J:$J,'PROCESOS PRD'!$H:$H,0,0)),"")</f>
        <v/>
      </c>
      <c r="EH22" s="71"/>
      <c r="EI22" s="32"/>
      <c r="EJ22" s="72" t="str">
        <f t="array" ref="EJ22">IFERROR(IF(XLOOKUP(CONCAT(EH22,EI22),'MASTER PLAN'!$AB:$AB,'MASTER PLAN'!$J:$J,0,0)=0,"",XLOOKUP(CONCAT(EH22,EI22),'MASTER PLAN'!$AB:$AB,'MASTER PLAN'!$J:$J,0,0)),"")</f>
        <v/>
      </c>
      <c r="EK22" s="73" t="str">
        <f t="array" ref="EK22">IFERROR(IF(XLOOKUP(CONCAT(EH22,EI22),'PROCESOS PRD'!$J:$J,'PROCESOS PRD'!$H:$H,0,0)=0,"",XLOOKUP(CONCAT(EH22,EI22),'PROCESOS PRD'!$J:$J,'PROCESOS PRD'!$H:$H,0,0)),"")</f>
        <v/>
      </c>
      <c r="EL22" s="71"/>
      <c r="EM22" s="32"/>
      <c r="EN22" s="72" t="str">
        <f t="array" ref="EN22">IFERROR(IF(XLOOKUP(CONCAT(EL22,EM22),'MASTER PLAN'!$AB:$AB,'MASTER PLAN'!$J:$J,0,0)=0,"",XLOOKUP(CONCAT(EL22,EM22),'MASTER PLAN'!$AB:$AB,'MASTER PLAN'!$J:$J,0,0)),"")</f>
        <v/>
      </c>
      <c r="EO22" s="73" t="str">
        <f t="array" ref="EO22">IFERROR(IF(XLOOKUP(CONCAT(EL22,EM22),'PROCESOS PRD'!$J:$J,'PROCESOS PRD'!$H:$H,0,0)=0,"",XLOOKUP(CONCAT(EL22,EM22),'PROCESOS PRD'!$J:$J,'PROCESOS PRD'!$H:$H,0,0)),"")</f>
        <v/>
      </c>
      <c r="EP22" s="70"/>
      <c r="EQ22" s="71"/>
      <c r="ER22" s="32"/>
      <c r="ES22" s="72" t="str">
        <f t="array" ref="ES22">IFERROR(IF(XLOOKUP(CONCAT(EQ22,ER22),'MASTER PLAN'!$AB:$AB,'MASTER PLAN'!$J:$J,0,0)=0,"",XLOOKUP(CONCAT(EQ22,ER22),'MASTER PLAN'!$AB:$AB,'MASTER PLAN'!$J:$J,0,0)),"")</f>
        <v/>
      </c>
      <c r="ET22" s="73" t="str">
        <f t="array" ref="ET22">IFERROR(IF(XLOOKUP(CONCAT(EQ22,ER22),'PROCESOS PRD'!$J:$J,'PROCESOS PRD'!$H:$H,0,0)=0,"",XLOOKUP(CONCAT(EQ22,ER22),'PROCESOS PRD'!$J:$J,'PROCESOS PRD'!$H:$H,0,0)),"")</f>
        <v/>
      </c>
      <c r="EU22" s="71"/>
      <c r="EV22" s="32"/>
      <c r="EW22" s="72" t="str">
        <f t="array" ref="EW22">IFERROR(IF(XLOOKUP(CONCAT(EU22,EV22),'MASTER PLAN'!$AB:$AB,'MASTER PLAN'!$J:$J,0,0)=0,"",XLOOKUP(CONCAT(EU22,EV22),'MASTER PLAN'!$AB:$AB,'MASTER PLAN'!$J:$J,0,0)),"")</f>
        <v/>
      </c>
      <c r="EX22" s="73" t="str">
        <f t="array" ref="EX22">IFERROR(IF(XLOOKUP(CONCAT(EU22,EV22),'PROCESOS PRD'!$J:$J,'PROCESOS PRD'!$H:$H,0,0)=0,"",XLOOKUP(CONCAT(EU22,EV22),'PROCESOS PRD'!$J:$J,'PROCESOS PRD'!$H:$H,0,0)),"")</f>
        <v/>
      </c>
      <c r="EY22" s="71"/>
      <c r="EZ22" s="32"/>
      <c r="FA22" s="72" t="str">
        <f t="array" ref="FA22">IFERROR(IF(XLOOKUP(CONCAT(EY22,EZ22),'MASTER PLAN'!$AB:$AB,'MASTER PLAN'!$J:$J,0,0)=0,"",XLOOKUP(CONCAT(EY22,EZ22),'MASTER PLAN'!$AB:$AB,'MASTER PLAN'!$J:$J,0,0)),"")</f>
        <v/>
      </c>
      <c r="FB22" s="73" t="str">
        <f t="array" ref="FB22">IFERROR(IF(XLOOKUP(CONCAT(EY22,EZ22),'PROCESOS PRD'!$J:$J,'PROCESOS PRD'!$H:$H,0,0)=0,"",XLOOKUP(CONCAT(EY22,EZ22),'PROCESOS PRD'!$J:$J,'PROCESOS PRD'!$H:$H,0,0)),"")</f>
        <v/>
      </c>
      <c r="FC22" s="71"/>
      <c r="FD22" s="32"/>
      <c r="FE22" s="72" t="str">
        <f t="array" ref="FE22">IFERROR(IF(XLOOKUP(CONCAT(FC22,FD22),'MASTER PLAN'!$AB:$AB,'MASTER PLAN'!$J:$J,0,0)=0,"",XLOOKUP(CONCAT(FC22,FD22),'MASTER PLAN'!$AB:$AB,'MASTER PLAN'!$J:$J,0,0)),"")</f>
        <v/>
      </c>
      <c r="FF22" s="73" t="str">
        <f t="array" ref="FF22">IFERROR(IF(XLOOKUP(CONCAT(FC22,FD22),'PROCESOS PRD'!$J:$J,'PROCESOS PRD'!$H:$H,0,0)=0,"",XLOOKUP(CONCAT(FC22,FD22),'PROCESOS PRD'!$J:$J,'PROCESOS PRD'!$H:$H,0,0)),"")</f>
        <v/>
      </c>
      <c r="FG22" s="71"/>
      <c r="FH22" s="32"/>
      <c r="FI22" s="72" t="str">
        <f t="array" ref="FI22">IFERROR(IF(XLOOKUP(CONCAT(FG22,FH22),'MASTER PLAN'!$AB:$AB,'MASTER PLAN'!$J:$J,0,0)=0,"",XLOOKUP(CONCAT(FG22,FH22),'MASTER PLAN'!$AB:$AB,'MASTER PLAN'!$J:$J,0,0)),"")</f>
        <v/>
      </c>
      <c r="FJ22" s="73" t="str">
        <f t="array" ref="FJ22">IFERROR(IF(XLOOKUP(CONCAT(FG22,FH22),'PROCESOS PRD'!$J:$J,'PROCESOS PRD'!$H:$H,0,0)=0,"",XLOOKUP(CONCAT(FG22,FH22),'PROCESOS PRD'!$J:$J,'PROCESOS PRD'!$H:$H,0,0)),"")</f>
        <v/>
      </c>
      <c r="FK22" s="71"/>
      <c r="FL22" s="32"/>
      <c r="FM22" s="72" t="str">
        <f t="array" ref="FM22">IFERROR(IF(XLOOKUP(CONCAT(FK22,FL22),'MASTER PLAN'!$AB:$AB,'MASTER PLAN'!$J:$J,0,0)=0,"",XLOOKUP(CONCAT(FK22,FL22),'MASTER PLAN'!$AB:$AB,'MASTER PLAN'!$J:$J,0,0)),"")</f>
        <v/>
      </c>
      <c r="FN22" s="73" t="str">
        <f t="array" ref="FN22">IFERROR(IF(XLOOKUP(CONCAT(FK22,FL22),'PROCESOS PRD'!$J:$J,'PROCESOS PRD'!$H:$H,0,0)=0,"",XLOOKUP(CONCAT(FK22,FL22),'PROCESOS PRD'!$J:$J,'PROCESOS PRD'!$H:$H,0,0)),"")</f>
        <v/>
      </c>
      <c r="FO22" s="70"/>
      <c r="FP22" s="71"/>
      <c r="FQ22" s="32"/>
      <c r="FR22" s="72" t="str">
        <f t="array" ref="FR22">IFERROR(IF(XLOOKUP(CONCAT(FP22,FQ22),'MASTER PLAN'!$AB:$AB,'MASTER PLAN'!$J:$J,0,0)=0,"",XLOOKUP(CONCAT(FP22,FQ22),'MASTER PLAN'!$AB:$AB,'MASTER PLAN'!$J:$J,0,0)),"")</f>
        <v/>
      </c>
      <c r="FS22" s="73" t="str">
        <f t="array" ref="FS22">IFERROR(IF(XLOOKUP(CONCAT(FP22,FQ22),'PROCESOS PRD'!$J:$J,'PROCESOS PRD'!$H:$H,0,0)=0,"",XLOOKUP(CONCAT(FP22,FQ22),'PROCESOS PRD'!$J:$J,'PROCESOS PRD'!$H:$H,0,0)),"")</f>
        <v/>
      </c>
      <c r="FT22" s="71"/>
      <c r="FU22" s="32"/>
      <c r="FV22" s="72" t="str">
        <f t="array" ref="FV22">IFERROR(IF(XLOOKUP(CONCAT(FT22,FU22),'MASTER PLAN'!$AB:$AB,'MASTER PLAN'!$J:$J,0,0)=0,"",XLOOKUP(CONCAT(FT22,FU22),'MASTER PLAN'!$AB:$AB,'MASTER PLAN'!$J:$J,0,0)),"")</f>
        <v/>
      </c>
      <c r="FW22" s="73" t="str">
        <f t="array" ref="FW22">IFERROR(IF(XLOOKUP(CONCAT(FT22,FU22),'PROCESOS PRD'!$J:$J,'PROCESOS PRD'!$H:$H,0,0)=0,"",XLOOKUP(CONCAT(FT22,FU22),'PROCESOS PRD'!$J:$J,'PROCESOS PRD'!$H:$H,0,0)),"")</f>
        <v/>
      </c>
      <c r="FX22" s="71"/>
      <c r="FY22" s="32"/>
      <c r="FZ22" s="72" t="str">
        <f t="array" ref="FZ22">IFERROR(IF(XLOOKUP(CONCAT(FX22,FY22),'MASTER PLAN'!$AB:$AB,'MASTER PLAN'!$J:$J,0,0)=0,"",XLOOKUP(CONCAT(FX22,FY22),'MASTER PLAN'!$AB:$AB,'MASTER PLAN'!$J:$J,0,0)),"")</f>
        <v/>
      </c>
      <c r="GA22" s="73" t="str">
        <f t="array" ref="GA22">IFERROR(IF(XLOOKUP(CONCAT(FX22,FY22),'PROCESOS PRD'!$J:$J,'PROCESOS PRD'!$H:$H,0,0)=0,"",XLOOKUP(CONCAT(FX22,FY22),'PROCESOS PRD'!$J:$J,'PROCESOS PRD'!$H:$H,0,0)),"")</f>
        <v/>
      </c>
      <c r="GB22" s="71"/>
      <c r="GC22" s="32"/>
      <c r="GD22" s="72" t="str">
        <f t="array" ref="GD22">IFERROR(IF(XLOOKUP(CONCAT(GB22,GC22),'MASTER PLAN'!$AB:$AB,'MASTER PLAN'!$J:$J,0,0)=0,"",XLOOKUP(CONCAT(GB22,GC22),'MASTER PLAN'!$AB:$AB,'MASTER PLAN'!$J:$J,0,0)),"")</f>
        <v/>
      </c>
      <c r="GE22" s="73" t="str">
        <f t="array" ref="GE22">IFERROR(IF(XLOOKUP(CONCAT(GB22,GC22),'PROCESOS PRD'!$J:$J,'PROCESOS PRD'!$H:$H,0,0)=0,"",XLOOKUP(CONCAT(GB22,GC22),'PROCESOS PRD'!$J:$J,'PROCESOS PRD'!$H:$H,0,0)),"")</f>
        <v/>
      </c>
      <c r="GF22" s="71"/>
      <c r="GG22" s="32"/>
      <c r="GH22" s="72" t="str">
        <f t="array" ref="GH22">IFERROR(IF(XLOOKUP(CONCAT(GF22,GG22),'MASTER PLAN'!$AB:$AB,'MASTER PLAN'!$J:$J,0,0)=0,"",XLOOKUP(CONCAT(GF22,GG22),'MASTER PLAN'!$AB:$AB,'MASTER PLAN'!$J:$J,0,0)),"")</f>
        <v/>
      </c>
      <c r="GI22" s="73" t="str">
        <f t="array" ref="GI22">IFERROR(IF(XLOOKUP(CONCAT(GF22,GG22),'PROCESOS PRD'!$J:$J,'PROCESOS PRD'!$H:$H,0,0)=0,"",XLOOKUP(CONCAT(GF22,GG22),'PROCESOS PRD'!$J:$J,'PROCESOS PRD'!$H:$H,0,0)),"")</f>
        <v/>
      </c>
      <c r="GJ22" s="71"/>
      <c r="GK22" s="32"/>
      <c r="GL22" s="72" t="str">
        <f t="array" ref="GL22">IFERROR(IF(XLOOKUP(CONCAT(GJ22,GK22),'MASTER PLAN'!$AB:$AB,'MASTER PLAN'!$J:$J,0,0)=0,"",XLOOKUP(CONCAT(GJ22,GK22),'MASTER PLAN'!$AB:$AB,'MASTER PLAN'!$J:$J,0,0)),"")</f>
        <v/>
      </c>
      <c r="GM22" s="73" t="str">
        <f t="array" ref="GM22">IFERROR(IF(XLOOKUP(CONCAT(GJ22,GK22),'PROCESOS PRD'!$J:$J,'PROCESOS PRD'!$H:$H,0,0)=0,"",XLOOKUP(CONCAT(GJ22,GK22),'PROCESOS PRD'!$J:$J,'PROCESOS PRD'!$H:$H,0,0)),"")</f>
        <v/>
      </c>
      <c r="GN22" s="70"/>
      <c r="GO22" s="71"/>
      <c r="GP22" s="32"/>
      <c r="GQ22" s="72" t="str">
        <f t="array" ref="GQ22">IFERROR(IF(XLOOKUP(CONCAT(GO22,GP22),'MASTER PLAN'!$AB:$AB,'MASTER PLAN'!$J:$J,0,0)=0,"",XLOOKUP(CONCAT(GO22,GP22),'MASTER PLAN'!$AB:$AB,'MASTER PLAN'!$J:$J,0,0)),"")</f>
        <v/>
      </c>
      <c r="GR22" s="73" t="str">
        <f t="array" ref="GR22">IFERROR(IF(XLOOKUP(CONCAT(GO22,GP22),'PROCESOS PRD'!$J:$J,'PROCESOS PRD'!$H:$H,0,0)=0,"",XLOOKUP(CONCAT(GO22,GP22),'PROCESOS PRD'!$J:$J,'PROCESOS PRD'!$H:$H,0,0)),"")</f>
        <v/>
      </c>
      <c r="GS22" s="71"/>
      <c r="GT22" s="32"/>
      <c r="GU22" s="72" t="str">
        <f t="array" ref="GU22">IFERROR(IF(XLOOKUP(CONCAT(GS22,GT22),'MASTER PLAN'!$AB:$AB,'MASTER PLAN'!$J:$J,0,0)=0,"",XLOOKUP(CONCAT(GS22,GT22),'MASTER PLAN'!$AB:$AB,'MASTER PLAN'!$J:$J,0,0)),"")</f>
        <v/>
      </c>
      <c r="GV22" s="73" t="str">
        <f t="array" ref="GV22">IFERROR(IF(XLOOKUP(CONCAT(GS22,GT22),'PROCESOS PRD'!$J:$J,'PROCESOS PRD'!$H:$H,0,0)=0,"",XLOOKUP(CONCAT(GS22,GT22),'PROCESOS PRD'!$J:$J,'PROCESOS PRD'!$H:$H,0,0)),"")</f>
        <v/>
      </c>
      <c r="GW22" s="71"/>
      <c r="GX22" s="32"/>
      <c r="GY22" s="72" t="str">
        <f t="array" ref="GY22">IFERROR(IF(XLOOKUP(CONCAT(GW22,GX22),'MASTER PLAN'!$AB:$AB,'MASTER PLAN'!$J:$J,0,0)=0,"",XLOOKUP(CONCAT(GW22,GX22),'MASTER PLAN'!$AB:$AB,'MASTER PLAN'!$J:$J,0,0)),"")</f>
        <v/>
      </c>
      <c r="GZ22" s="73" t="str">
        <f t="array" ref="GZ22">IFERROR(IF(XLOOKUP(CONCAT(GW22,GX22),'PROCESOS PRD'!$J:$J,'PROCESOS PRD'!$H:$H,0,0)=0,"",XLOOKUP(CONCAT(GW22,GX22),'PROCESOS PRD'!$J:$J,'PROCESOS PRD'!$H:$H,0,0)),"")</f>
        <v/>
      </c>
      <c r="HA22" s="71"/>
      <c r="HB22" s="32"/>
      <c r="HC22" s="72" t="str">
        <f t="array" ref="HC22">IFERROR(IF(XLOOKUP(CONCAT(HA22,HB22),'MASTER PLAN'!$AB:$AB,'MASTER PLAN'!$J:$J,0,0)=0,"",XLOOKUP(CONCAT(HA22,HB22),'MASTER PLAN'!$AB:$AB,'MASTER PLAN'!$J:$J,0,0)),"")</f>
        <v/>
      </c>
      <c r="HD22" s="73" t="str">
        <f t="array" ref="HD22">IFERROR(IF(XLOOKUP(CONCAT(HA22,HB22),'PROCESOS PRD'!$J:$J,'PROCESOS PRD'!$H:$H,0,0)=0,"",XLOOKUP(CONCAT(HA22,HB22),'PROCESOS PRD'!$J:$J,'PROCESOS PRD'!$H:$H,0,0)),"")</f>
        <v/>
      </c>
      <c r="HE22" s="71"/>
      <c r="HF22" s="32"/>
      <c r="HG22" s="72" t="str">
        <f t="array" ref="HG22">IFERROR(IF(XLOOKUP(CONCAT(HE22,HF22),'MASTER PLAN'!$AB:$AB,'MASTER PLAN'!$J:$J,0,0)=0,"",XLOOKUP(CONCAT(HE22,HF22),'MASTER PLAN'!$AB:$AB,'MASTER PLAN'!$J:$J,0,0)),"")</f>
        <v/>
      </c>
      <c r="HH22" s="73" t="str">
        <f t="array" ref="HH22">IFERROR(IF(XLOOKUP(CONCAT(HE22,HF22),'PROCESOS PRD'!$J:$J,'PROCESOS PRD'!$H:$H,0,0)=0,"",XLOOKUP(CONCAT(HE22,HF22),'PROCESOS PRD'!$J:$J,'PROCESOS PRD'!$H:$H,0,0)),"")</f>
        <v/>
      </c>
      <c r="HI22" s="71"/>
      <c r="HJ22" s="32"/>
      <c r="HK22" s="72" t="str">
        <f t="array" ref="HK22">IFERROR(IF(XLOOKUP(CONCAT(HI22,HJ22),'MASTER PLAN'!$AB:$AB,'MASTER PLAN'!$J:$J,0,0)=0,"",XLOOKUP(CONCAT(HI22,HJ22),'MASTER PLAN'!$AB:$AB,'MASTER PLAN'!$J:$J,0,0)),"")</f>
        <v/>
      </c>
      <c r="HL22" s="73" t="str">
        <f t="array" ref="HL22">IFERROR(IF(XLOOKUP(CONCAT(HI22,HJ22),'PROCESOS PRD'!$J:$J,'PROCESOS PRD'!$H:$H,0,0)=0,"",XLOOKUP(CONCAT(HI22,HJ22),'PROCESOS PRD'!$J:$J,'PROCESOS PRD'!$H:$H,0,0)),"")</f>
        <v/>
      </c>
      <c r="HM22" s="70"/>
      <c r="HN22" s="71"/>
      <c r="HO22" s="32"/>
      <c r="HP22" s="72" t="str">
        <f t="array" ref="HP22">IFERROR(IF(XLOOKUP(CONCAT(HN22,HO22),'MASTER PLAN'!$AB:$AB,'MASTER PLAN'!$J:$J,0,0)=0,"",XLOOKUP(CONCAT(HN22,HO22),'MASTER PLAN'!$AB:$AB,'MASTER PLAN'!$J:$J,0,0)),"")</f>
        <v/>
      </c>
      <c r="HQ22" s="73" t="str">
        <f t="array" ref="HQ22">IFERROR(IF(XLOOKUP(CONCAT(HN22,HO22),'PROCESOS PRD'!$J:$J,'PROCESOS PRD'!$H:$H,0,0)=0,"",XLOOKUP(CONCAT(HN22,HO22),'PROCESOS PRD'!$J:$J,'PROCESOS PRD'!$H:$H,0,0)),"")</f>
        <v/>
      </c>
      <c r="HR22" s="71"/>
      <c r="HS22" s="32"/>
      <c r="HT22" s="72" t="str">
        <f t="array" ref="HT22">IFERROR(IF(XLOOKUP(CONCAT(HR22,HS22),'MASTER PLAN'!$AB:$AB,'MASTER PLAN'!$J:$J,0,0)=0,"",XLOOKUP(CONCAT(HR22,HS22),'MASTER PLAN'!$AB:$AB,'MASTER PLAN'!$J:$J,0,0)),"")</f>
        <v/>
      </c>
      <c r="HU22" s="73" t="str">
        <f t="array" ref="HU22">IFERROR(IF(XLOOKUP(CONCAT(HR22,HS22),'PROCESOS PRD'!$J:$J,'PROCESOS PRD'!$H:$H,0,0)=0,"",XLOOKUP(CONCAT(HR22,HS22),'PROCESOS PRD'!$J:$J,'PROCESOS PRD'!$H:$H,0,0)),"")</f>
        <v/>
      </c>
      <c r="HV22" s="71"/>
      <c r="HW22" s="32"/>
      <c r="HX22" s="72" t="str">
        <f t="array" ref="HX22">IFERROR(IF(XLOOKUP(CONCAT(HV22,HW22),'MASTER PLAN'!$AB:$AB,'MASTER PLAN'!$J:$J,0,0)=0,"",XLOOKUP(CONCAT(HV22,HW22),'MASTER PLAN'!$AB:$AB,'MASTER PLAN'!$J:$J,0,0)),"")</f>
        <v/>
      </c>
      <c r="HY22" s="73" t="str">
        <f t="array" ref="HY22">IFERROR(IF(XLOOKUP(CONCAT(HV22,HW22),'PROCESOS PRD'!$J:$J,'PROCESOS PRD'!$H:$H,0,0)=0,"",XLOOKUP(CONCAT(HV22,HW22),'PROCESOS PRD'!$J:$J,'PROCESOS PRD'!$H:$H,0,0)),"")</f>
        <v/>
      </c>
      <c r="HZ22" s="71"/>
      <c r="IA22" s="32"/>
      <c r="IB22" s="72" t="str">
        <f t="array" ref="IB22">IFERROR(IF(XLOOKUP(CONCAT(HZ22,IA22),'MASTER PLAN'!$AB:$AB,'MASTER PLAN'!$J:$J,0,0)=0,"",XLOOKUP(CONCAT(HZ22,IA22),'MASTER PLAN'!$AB:$AB,'MASTER PLAN'!$J:$J,0,0)),"")</f>
        <v/>
      </c>
      <c r="IC22" s="73" t="str">
        <f t="array" ref="IC22">IFERROR(IF(XLOOKUP(CONCAT(HZ22,IA22),'PROCESOS PRD'!$J:$J,'PROCESOS PRD'!$H:$H,0,0)=0,"",XLOOKUP(CONCAT(HZ22,IA22),'PROCESOS PRD'!$J:$J,'PROCESOS PRD'!$H:$H,0,0)),"")</f>
        <v/>
      </c>
      <c r="ID22" s="71"/>
      <c r="IE22" s="32"/>
      <c r="IF22" s="72" t="str">
        <f t="array" ref="IF22">IFERROR(IF(XLOOKUP(CONCAT(ID22,IE22),'MASTER PLAN'!$AB:$AB,'MASTER PLAN'!$J:$J,0,0)=0,"",XLOOKUP(CONCAT(ID22,IE22),'MASTER PLAN'!$AB:$AB,'MASTER PLAN'!$J:$J,0,0)),"")</f>
        <v/>
      </c>
      <c r="IG22" s="73" t="str">
        <f t="array" ref="IG22">IFERROR(IF(XLOOKUP(CONCAT(ID22,IE22),'PROCESOS PRD'!$J:$J,'PROCESOS PRD'!$H:$H,0,0)=0,"",XLOOKUP(CONCAT(ID22,IE22),'PROCESOS PRD'!$J:$J,'PROCESOS PRD'!$H:$H,0,0)),"")</f>
        <v/>
      </c>
      <c r="IH22" s="71"/>
      <c r="II22" s="32"/>
      <c r="IJ22" s="72" t="str">
        <f t="array" ref="IJ22">IFERROR(IF(XLOOKUP(CONCAT(IH22,II22),'MASTER PLAN'!$AB:$AB,'MASTER PLAN'!$J:$J,0,0)=0,"",XLOOKUP(CONCAT(IH22,II22),'MASTER PLAN'!$AB:$AB,'MASTER PLAN'!$J:$J,0,0)),"")</f>
        <v/>
      </c>
      <c r="IK22" s="73" t="str">
        <f t="array" ref="IK22">IFERROR(IF(XLOOKUP(CONCAT(IH22,II22),'PROCESOS PRD'!$J:$J,'PROCESOS PRD'!$H:$H,0,0)=0,"",XLOOKUP(CONCAT(IH22,II22),'PROCESOS PRD'!$J:$J,'PROCESOS PRD'!$H:$H,0,0)),"")</f>
        <v/>
      </c>
      <c r="IL22" s="70"/>
      <c r="IM22" s="71"/>
      <c r="IN22" s="32"/>
      <c r="IO22" s="72" t="str">
        <f t="array" ref="IO22">IFERROR(IF(XLOOKUP(CONCAT(IM22,IN22),'MASTER PLAN'!$AB:$AB,'MASTER PLAN'!$J:$J,0,0)=0,"",XLOOKUP(CONCAT(IM22,IN22),'MASTER PLAN'!$AB:$AB,'MASTER PLAN'!$J:$J,0,0)),"")</f>
        <v/>
      </c>
      <c r="IP22" s="73" t="str">
        <f t="array" ref="IP22">IFERROR(IF(XLOOKUP(CONCAT(IM22,IN22),'PROCESOS PRD'!$J:$J,'PROCESOS PRD'!$H:$H,0,0)=0,"",XLOOKUP(CONCAT(IM22,IN22),'PROCESOS PRD'!$J:$J,'PROCESOS PRD'!$H:$H,0,0)),"")</f>
        <v/>
      </c>
      <c r="IQ22" s="71"/>
      <c r="IR22" s="32"/>
      <c r="IS22" s="72" t="str">
        <f t="array" ref="IS22">IFERROR(IF(XLOOKUP(CONCAT(IQ22,IR22),'MASTER PLAN'!$AB:$AB,'MASTER PLAN'!$J:$J,0,0)=0,"",XLOOKUP(CONCAT(IQ22,IR22),'MASTER PLAN'!$AB:$AB,'MASTER PLAN'!$J:$J,0,0)),"")</f>
        <v/>
      </c>
      <c r="IT22" s="73" t="str">
        <f t="array" ref="IT22">IFERROR(IF(XLOOKUP(CONCAT(IQ22,IR22),'PROCESOS PRD'!$J:$J,'PROCESOS PRD'!$H:$H,0,0)=0,"",XLOOKUP(CONCAT(IQ22,IR22),'PROCESOS PRD'!$J:$J,'PROCESOS PRD'!$H:$H,0,0)),"")</f>
        <v/>
      </c>
      <c r="IU22" s="71"/>
      <c r="IV22" s="32"/>
      <c r="IW22" s="72" t="str">
        <f t="array" ref="IW22">IFERROR(IF(XLOOKUP(CONCAT(IU22,IV22),'MASTER PLAN'!$AB:$AB,'MASTER PLAN'!$J:$J,0,0)=0,"",XLOOKUP(CONCAT(IU22,IV22),'MASTER PLAN'!$AB:$AB,'MASTER PLAN'!$J:$J,0,0)),"")</f>
        <v/>
      </c>
      <c r="IX22" s="73" t="str">
        <f t="array" ref="IX22">IFERROR(IF(XLOOKUP(CONCAT(IU22,IV22),'PROCESOS PRD'!$J:$J,'PROCESOS PRD'!$H:$H,0,0)=0,"",XLOOKUP(CONCAT(IU22,IV22),'PROCESOS PRD'!$J:$J,'PROCESOS PRD'!$H:$H,0,0)),"")</f>
        <v/>
      </c>
      <c r="IY22" s="71"/>
      <c r="IZ22" s="32"/>
      <c r="JA22" s="72" t="str">
        <f t="array" ref="JA22">IFERROR(IF(XLOOKUP(CONCAT(IY22,IZ22),'MASTER PLAN'!$AB:$AB,'MASTER PLAN'!$J:$J,0,0)=0,"",XLOOKUP(CONCAT(IY22,IZ22),'MASTER PLAN'!$AB:$AB,'MASTER PLAN'!$J:$J,0,0)),"")</f>
        <v/>
      </c>
      <c r="JB22" s="73" t="str">
        <f t="array" ref="JB22">IFERROR(IF(XLOOKUP(CONCAT(IY22,IZ22),'PROCESOS PRD'!$J:$J,'PROCESOS PRD'!$H:$H,0,0)=0,"",XLOOKUP(CONCAT(IY22,IZ22),'PROCESOS PRD'!$J:$J,'PROCESOS PRD'!$H:$H,0,0)),"")</f>
        <v/>
      </c>
      <c r="JC22" s="71"/>
      <c r="JD22" s="32"/>
      <c r="JE22" s="72" t="str">
        <f t="array" ref="JE22">IFERROR(IF(XLOOKUP(CONCAT(JC22,JD22),'MASTER PLAN'!$AB:$AB,'MASTER PLAN'!$J:$J,0,0)=0,"",XLOOKUP(CONCAT(JC22,JD22),'MASTER PLAN'!$AB:$AB,'MASTER PLAN'!$J:$J,0,0)),"")</f>
        <v/>
      </c>
      <c r="JF22" s="73" t="str">
        <f t="array" ref="JF22">IFERROR(IF(XLOOKUP(CONCAT(JC22,JD22),'PROCESOS PRD'!$J:$J,'PROCESOS PRD'!$H:$H,0,0)=0,"",XLOOKUP(CONCAT(JC22,JD22),'PROCESOS PRD'!$J:$J,'PROCESOS PRD'!$H:$H,0,0)),"")</f>
        <v/>
      </c>
      <c r="JG22" s="71"/>
      <c r="JH22" s="32"/>
      <c r="JI22" s="72" t="str">
        <f t="array" ref="JI22">IFERROR(IF(XLOOKUP(CONCAT(JG22,JH22),'MASTER PLAN'!$AB:$AB,'MASTER PLAN'!$J:$J,0,0)=0,"",XLOOKUP(CONCAT(JG22,JH22),'MASTER PLAN'!$AB:$AB,'MASTER PLAN'!$J:$J,0,0)),"")</f>
        <v/>
      </c>
      <c r="JJ22" s="73" t="str">
        <f t="array" ref="JJ22">IFERROR(IF(XLOOKUP(CONCAT(JG22,JH22),'PROCESOS PRD'!$J:$J,'PROCESOS PRD'!$H:$H,0,0)=0,"",XLOOKUP(CONCAT(JG22,JH22),'PROCESOS PRD'!$J:$J,'PROCESOS PRD'!$H:$H,0,0)),"")</f>
        <v/>
      </c>
      <c r="JK22" s="70"/>
      <c r="JL22" s="71"/>
      <c r="JM22" s="32"/>
      <c r="JN22" s="72" t="str">
        <f t="array" ref="JN22">IFERROR(IF(XLOOKUP(CONCAT(JL22,JM22),'MASTER PLAN'!$AB:$AB,'MASTER PLAN'!$J:$J,0,0)=0,"",XLOOKUP(CONCAT(JL22,JM22),'MASTER PLAN'!$AB:$AB,'MASTER PLAN'!$J:$J,0,0)),"")</f>
        <v/>
      </c>
      <c r="JO22" s="73" t="str">
        <f t="array" ref="JO22">IFERROR(IF(XLOOKUP(CONCAT(JL22,JM22),'PROCESOS PRD'!$J:$J,'PROCESOS PRD'!$H:$H,0,0)=0,"",XLOOKUP(CONCAT(JL22,JM22),'PROCESOS PRD'!$J:$J,'PROCESOS PRD'!$H:$H,0,0)),"")</f>
        <v/>
      </c>
      <c r="JP22" s="71"/>
      <c r="JQ22" s="32"/>
      <c r="JR22" s="72" t="str">
        <f t="array" ref="JR22">IFERROR(IF(XLOOKUP(CONCAT(JP22,JQ22),'MASTER PLAN'!$AB:$AB,'MASTER PLAN'!$J:$J,0,0)=0,"",XLOOKUP(CONCAT(JP22,JQ22),'MASTER PLAN'!$AB:$AB,'MASTER PLAN'!$J:$J,0,0)),"")</f>
        <v/>
      </c>
      <c r="JS22" s="73" t="str">
        <f t="array" ref="JS22">IFERROR(IF(XLOOKUP(CONCAT(JP22,JQ22),'PROCESOS PRD'!$J:$J,'PROCESOS PRD'!$H:$H,0,0)=0,"",XLOOKUP(CONCAT(JP22,JQ22),'PROCESOS PRD'!$J:$J,'PROCESOS PRD'!$H:$H,0,0)),"")</f>
        <v/>
      </c>
      <c r="JT22" s="71"/>
      <c r="JU22" s="32"/>
      <c r="JV22" s="72" t="str">
        <f t="array" ref="JV22">IFERROR(IF(XLOOKUP(CONCAT(JT22,JU22),'MASTER PLAN'!$AB:$AB,'MASTER PLAN'!$J:$J,0,0)=0,"",XLOOKUP(CONCAT(JT22,JU22),'MASTER PLAN'!$AB:$AB,'MASTER PLAN'!$J:$J,0,0)),"")</f>
        <v/>
      </c>
      <c r="JW22" s="73" t="str">
        <f t="array" ref="JW22">IFERROR(IF(XLOOKUP(CONCAT(JT22,JU22),'PROCESOS PRD'!$J:$J,'PROCESOS PRD'!$H:$H,0,0)=0,"",XLOOKUP(CONCAT(JT22,JU22),'PROCESOS PRD'!$J:$J,'PROCESOS PRD'!$H:$H,0,0)),"")</f>
        <v/>
      </c>
      <c r="JX22" s="71"/>
      <c r="JY22" s="32"/>
      <c r="JZ22" s="72" t="str">
        <f t="array" ref="JZ22">IFERROR(IF(XLOOKUP(CONCAT(JX22,JY22),'MASTER PLAN'!$AB:$AB,'MASTER PLAN'!$J:$J,0,0)=0,"",XLOOKUP(CONCAT(JX22,JY22),'MASTER PLAN'!$AB:$AB,'MASTER PLAN'!$J:$J,0,0)),"")</f>
        <v/>
      </c>
      <c r="KA22" s="73" t="str">
        <f t="array" ref="KA22">IFERROR(IF(XLOOKUP(CONCAT(JX22,JY22),'PROCESOS PRD'!$J:$J,'PROCESOS PRD'!$H:$H,0,0)=0,"",XLOOKUP(CONCAT(JX22,JY22),'PROCESOS PRD'!$J:$J,'PROCESOS PRD'!$H:$H,0,0)),"")</f>
        <v/>
      </c>
      <c r="KB22" s="71"/>
      <c r="KC22" s="32"/>
      <c r="KD22" s="72" t="str">
        <f t="array" ref="KD22">IFERROR(IF(XLOOKUP(CONCAT(KB22,KC22),'MASTER PLAN'!$AB:$AB,'MASTER PLAN'!$J:$J,0,0)=0,"",XLOOKUP(CONCAT(KB22,KC22),'MASTER PLAN'!$AB:$AB,'MASTER PLAN'!$J:$J,0,0)),"")</f>
        <v/>
      </c>
      <c r="KE22" s="73" t="str">
        <f t="array" ref="KE22">IFERROR(IF(XLOOKUP(CONCAT(KB22,KC22),'PROCESOS PRD'!$J:$J,'PROCESOS PRD'!$H:$H,0,0)=0,"",XLOOKUP(CONCAT(KB22,KC22),'PROCESOS PRD'!$J:$J,'PROCESOS PRD'!$H:$H,0,0)),"")</f>
        <v/>
      </c>
      <c r="KF22" s="71"/>
      <c r="KG22" s="32"/>
      <c r="KH22" s="72" t="str">
        <f t="array" ref="KH22">IFERROR(IF(XLOOKUP(CONCAT(KF22,KG22),'MASTER PLAN'!$AB:$AB,'MASTER PLAN'!$J:$J,0,0)=0,"",XLOOKUP(CONCAT(KF22,KG22),'MASTER PLAN'!$AB:$AB,'MASTER PLAN'!$J:$J,0,0)),"")</f>
        <v/>
      </c>
      <c r="KI22" s="73" t="str">
        <f t="array" ref="KI22">IFERROR(IF(XLOOKUP(CONCAT(KF22,KG22),'PROCESOS PRD'!$J:$J,'PROCESOS PRD'!$H:$H,0,0)=0,"",XLOOKUP(CONCAT(KF22,KG22),'PROCESOS PRD'!$J:$J,'PROCESOS PRD'!$H:$H,0,0)),"")</f>
        <v/>
      </c>
      <c r="KJ22" s="70"/>
      <c r="KK22" s="70"/>
      <c r="KL22" s="70"/>
      <c r="KM22" s="70"/>
      <c r="KN22" s="70"/>
      <c r="KO22" s="70"/>
      <c r="KP22" s="70"/>
      <c r="KQ22" s="70"/>
      <c r="KR22" s="70"/>
      <c r="KS22" s="70"/>
      <c r="KT22" s="70"/>
      <c r="KU22" s="70"/>
      <c r="KV22" s="70"/>
      <c r="KW22" s="70"/>
      <c r="KX22" s="70"/>
      <c r="KY22" s="70"/>
      <c r="KZ22" s="70"/>
      <c r="LA22" s="70"/>
      <c r="LB22" s="70"/>
      <c r="LC22" s="70"/>
    </row>
    <row r="23" ht="15.75" customHeight="1">
      <c r="A23" s="42"/>
      <c r="B23" s="74"/>
      <c r="C23" s="69"/>
      <c r="D23" s="70"/>
      <c r="E23" s="71"/>
      <c r="F23" s="32"/>
      <c r="G23" s="72" t="str">
        <f t="array" ref="G23">IFERROR(IF(XLOOKUP(CONCAT(E23,F23),'MASTER PLAN'!$AB:$AB,'MASTER PLAN'!$J:$J,0,0)=0,"",XLOOKUP(CONCAT(E23,F23),'MASTER PLAN'!$AB:$AB,'MASTER PLAN'!$J:$J,0,0)),"")</f>
        <v/>
      </c>
      <c r="H23" s="73" t="str">
        <f t="array" ref="H23">IFERROR(IF(XLOOKUP(CONCAT(E23,F23),'PROCESOS PRD'!$J:$J,'PROCESOS PRD'!$H:$H,0,0)=0,"",XLOOKUP(CONCAT(E23,F23),'PROCESOS PRD'!$J:$J,'PROCESOS PRD'!$H:$H,0,0)),"")</f>
        <v/>
      </c>
      <c r="I23" s="71"/>
      <c r="J23" s="32"/>
      <c r="K23" s="72" t="str">
        <f t="array" ref="K23">IFERROR(IF(XLOOKUP(CONCAT(I23,J23),'MASTER PLAN'!$AB:$AB,'MASTER PLAN'!$J:$J,0,0)=0,"",XLOOKUP(CONCAT(I23,J23),'MASTER PLAN'!$AB:$AB,'MASTER PLAN'!$J:$J,0,0)),"")</f>
        <v/>
      </c>
      <c r="L23" s="73" t="str">
        <f t="array" ref="L23">IFERROR(IF(XLOOKUP(CONCAT(I23,J23),'PROCESOS PRD'!$J:$J,'PROCESOS PRD'!$H:$H,0,0)=0,"",XLOOKUP(CONCAT(I23,J23),'PROCESOS PRD'!$J:$J,'PROCESOS PRD'!$H:$H,0,0)),"")</f>
        <v/>
      </c>
      <c r="M23" s="71"/>
      <c r="N23" s="32"/>
      <c r="O23" s="72" t="str">
        <f t="array" ref="O23">IFERROR(IF(XLOOKUP(CONCAT(M23,N23),'MASTER PLAN'!$AB:$AB,'MASTER PLAN'!$J:$J,0,0)=0,"",XLOOKUP(CONCAT(M23,N23),'MASTER PLAN'!$AB:$AB,'MASTER PLAN'!$J:$J,0,0)),"")</f>
        <v/>
      </c>
      <c r="P23" s="73" t="str">
        <f t="array" ref="P23">IFERROR(IF(XLOOKUP(CONCAT(M23,N23),'PROCESOS PRD'!$J:$J,'PROCESOS PRD'!$H:$H,0,0)=0,"",XLOOKUP(CONCAT(M23,N23),'PROCESOS PRD'!$J:$J,'PROCESOS PRD'!$H:$H,0,0)),"")</f>
        <v/>
      </c>
      <c r="Q23" s="71"/>
      <c r="R23" s="32"/>
      <c r="S23" s="72" t="str">
        <f t="array" ref="S23">IFERROR(IF(XLOOKUP(CONCAT(Q23,R23),'MASTER PLAN'!$AB:$AB,'MASTER PLAN'!$J:$J,0,0)=0,"",XLOOKUP(CONCAT(Q23,R23),'MASTER PLAN'!$AB:$AB,'MASTER PLAN'!$J:$J,0,0)),"")</f>
        <v/>
      </c>
      <c r="T23" s="73" t="str">
        <f t="array" ref="T23">IFERROR(IF(XLOOKUP(CONCAT(Q23,R23),'PROCESOS PRD'!$J:$J,'PROCESOS PRD'!$H:$H,0,0)=0,"",XLOOKUP(CONCAT(Q23,R23),'PROCESOS PRD'!$J:$J,'PROCESOS PRD'!$H:$H,0,0)),"")</f>
        <v/>
      </c>
      <c r="U23" s="70"/>
      <c r="V23" s="71"/>
      <c r="W23" s="32"/>
      <c r="X23" s="72" t="str">
        <f t="array" ref="X23">IFERROR(IF(XLOOKUP(CONCAT(V23,W23),'MASTER PLAN'!$AB:$AB,'MASTER PLAN'!$J:$J,0,0)=0,"",XLOOKUP(CONCAT(V23,W23),'MASTER PLAN'!$AB:$AB,'MASTER PLAN'!$J:$J,0,0)),"")</f>
        <v/>
      </c>
      <c r="Y23" s="73" t="str">
        <f t="array" ref="Y23">IFERROR(IF(XLOOKUP(CONCAT(V23,W23),'PROCESOS PRD'!$J:$J,'PROCESOS PRD'!$H:$H,0,0)=0,"",XLOOKUP(CONCAT(V23,W23),'PROCESOS PRD'!$J:$J,'PROCESOS PRD'!$H:$H,0,0)),"")</f>
        <v/>
      </c>
      <c r="Z23" s="71"/>
      <c r="AA23" s="32"/>
      <c r="AB23" s="72" t="str">
        <f t="array" ref="AB23">IFERROR(IF(XLOOKUP(CONCAT(Z23,AA23),'MASTER PLAN'!$AB:$AB,'MASTER PLAN'!$J:$J,0,0)=0,"",XLOOKUP(CONCAT(Z23,AA23),'MASTER PLAN'!$AB:$AB,'MASTER PLAN'!$J:$J,0,0)),"")</f>
        <v/>
      </c>
      <c r="AC23" s="73" t="str">
        <f t="array" ref="AC23">IFERROR(IF(XLOOKUP(CONCAT(Z23,AA23),'PROCESOS PRD'!$J:$J,'PROCESOS PRD'!$H:$H,0,0)=0,"",XLOOKUP(CONCAT(Z23,AA23),'PROCESOS PRD'!$J:$J,'PROCESOS PRD'!$H:$H,0,0)),"")</f>
        <v/>
      </c>
      <c r="AD23" s="71"/>
      <c r="AE23" s="32"/>
      <c r="AF23" s="72" t="str">
        <f t="array" ref="AF23">IFERROR(IF(XLOOKUP(CONCAT(AD23,AE23),'MASTER PLAN'!$AB:$AB,'MASTER PLAN'!$J:$J,0,0)=0,"",XLOOKUP(CONCAT(AD23,AE23),'MASTER PLAN'!$AB:$AB,'MASTER PLAN'!$J:$J,0,0)),"")</f>
        <v/>
      </c>
      <c r="AG23" s="73" t="str">
        <f t="array" ref="AG23">IFERROR(IF(XLOOKUP(CONCAT(AD23,AE23),'PROCESOS PRD'!$J:$J,'PROCESOS PRD'!$H:$H,0,0)=0,"",XLOOKUP(CONCAT(AD23,AE23),'PROCESOS PRD'!$J:$J,'PROCESOS PRD'!$H:$H,0,0)),"")</f>
        <v/>
      </c>
      <c r="AH23" s="71"/>
      <c r="AI23" s="32"/>
      <c r="AJ23" s="72" t="str">
        <f t="array" ref="AJ23">IFERROR(IF(XLOOKUP(CONCAT(AH23,AI23),'MASTER PLAN'!$AB:$AB,'MASTER PLAN'!$J:$J,0,0)=0,"",XLOOKUP(CONCAT(AH23,AI23),'MASTER PLAN'!$AB:$AB,'MASTER PLAN'!$J:$J,0,0)),"")</f>
        <v/>
      </c>
      <c r="AK23" s="73" t="str">
        <f t="array" ref="AK23">IFERROR(IF(XLOOKUP(CONCAT(AH23,AI23),'PROCESOS PRD'!$J:$J,'PROCESOS PRD'!$H:$H,0,0)=0,"",XLOOKUP(CONCAT(AH23,AI23),'PROCESOS PRD'!$J:$J,'PROCESOS PRD'!$H:$H,0,0)),"")</f>
        <v/>
      </c>
      <c r="AL23" s="90"/>
      <c r="AM23" s="91"/>
      <c r="AN23" s="72" t="str">
        <f t="array" ref="AN23">IFERROR(IF(XLOOKUP(CONCAT(AL23,AM23),'MASTER PLAN'!$AB:$AB,'MASTER PLAN'!$J:$J,0,0)=0,"",XLOOKUP(CONCAT(AL23,AM23),'MASTER PLAN'!$AB:$AB,'MASTER PLAN'!$J:$J,0,0)),"")</f>
        <v/>
      </c>
      <c r="AO23" s="73" t="str">
        <f t="array" ref="AO23">IFERROR(IF(XLOOKUP(CONCAT(AL23,AM23),'PROCESOS PRD'!$J:$J,'PROCESOS PRD'!$H:$H,0,0)=0,"",XLOOKUP(CONCAT(AL23,AM23),'PROCESOS PRD'!$J:$J,'PROCESOS PRD'!$H:$H,0,0)),"")</f>
        <v/>
      </c>
      <c r="AP23" s="71"/>
      <c r="AQ23" s="32"/>
      <c r="AR23" s="72" t="str">
        <f t="array" ref="AR23">IFERROR(IF(XLOOKUP(CONCAT(AP23,AQ23),'MASTER PLAN'!$AB:$AB,'MASTER PLAN'!$J:$J,0,0)=0,"",XLOOKUP(CONCAT(AP23,AQ23),'MASTER PLAN'!$AB:$AB,'MASTER PLAN'!$J:$J,0,0)),"")</f>
        <v/>
      </c>
      <c r="AS23" s="73" t="str">
        <f t="array" ref="AS23">IFERROR(IF(XLOOKUP(CONCAT(AP23,AQ23),'PROCESOS PRD'!$J:$J,'PROCESOS PRD'!$H:$H,0,0)=0,"",XLOOKUP(CONCAT(AP23,AQ23),'PROCESOS PRD'!$J:$J,'PROCESOS PRD'!$H:$H,0,0)),"")</f>
        <v/>
      </c>
      <c r="AT23" s="70"/>
      <c r="AU23" s="71"/>
      <c r="AV23" s="32"/>
      <c r="AW23" s="72" t="str">
        <f t="array" ref="AW23">IFERROR(IF(XLOOKUP(CONCAT(AU23,AV23),'MASTER PLAN'!$AB:$AB,'MASTER PLAN'!$J:$J,0,0)=0,"",XLOOKUP(CONCAT(AU23,AV23),'MASTER PLAN'!$AB:$AB,'MASTER PLAN'!$J:$J,0,0)),"")</f>
        <v/>
      </c>
      <c r="AX23" s="73" t="str">
        <f t="array" ref="AX23">IFERROR(IF(XLOOKUP(CONCAT(AU23,AV23),'PROCESOS PRD'!$J:$J,'PROCESOS PRD'!$H:$H,0,0)=0,"",XLOOKUP(CONCAT(AU23,AV23),'PROCESOS PRD'!$J:$J,'PROCESOS PRD'!$H:$H,0,0)),"")</f>
        <v/>
      </c>
      <c r="AY23" s="90"/>
      <c r="AZ23" s="91"/>
      <c r="BA23" s="72" t="str">
        <f t="array" ref="BA23">IFERROR(IF(XLOOKUP(CONCAT(AY23,AZ23),'MASTER PLAN'!$AB:$AB,'MASTER PLAN'!$J:$J,0,0)=0,"",XLOOKUP(CONCAT(AY23,AZ23),'MASTER PLAN'!$AB:$AB,'MASTER PLAN'!$J:$J,0,0)),"")</f>
        <v/>
      </c>
      <c r="BB23" s="73" t="str">
        <f t="array" ref="BB23">IFERROR(IF(XLOOKUP(CONCAT(AY23,AZ23),'PROCESOS PRD'!$J:$J,'PROCESOS PRD'!$H:$H,0,0)=0,"",XLOOKUP(CONCAT(AY23,AZ23),'PROCESOS PRD'!$J:$J,'PROCESOS PRD'!$H:$H,0,0)),"")</f>
        <v/>
      </c>
      <c r="BC23" s="71"/>
      <c r="BD23" s="32"/>
      <c r="BE23" s="72" t="str">
        <f t="array" ref="BE23">IFERROR(IF(XLOOKUP(CONCAT(BC23,BD23),'MASTER PLAN'!$AB:$AB,'MASTER PLAN'!$J:$J,0,0)=0,"",XLOOKUP(CONCAT(BC23,BD23),'MASTER PLAN'!$AB:$AB,'MASTER PLAN'!$J:$J,0,0)),"")</f>
        <v/>
      </c>
      <c r="BF23" s="73" t="str">
        <f t="array" ref="BF23">IFERROR(IF(XLOOKUP(CONCAT(BC23,BD23),'PROCESOS PRD'!$J:$J,'PROCESOS PRD'!$H:$H,0,0)=0,"",XLOOKUP(CONCAT(BC23,BD23),'PROCESOS PRD'!$J:$J,'PROCESOS PRD'!$H:$H,0,0)),"")</f>
        <v/>
      </c>
      <c r="BG23" s="71"/>
      <c r="BH23" s="32"/>
      <c r="BI23" s="72" t="str">
        <f t="array" ref="BI23">IFERROR(IF(XLOOKUP(CONCAT(BG23,BH23),'MASTER PLAN'!$AB:$AB,'MASTER PLAN'!$J:$J,0,0)=0,"",XLOOKUP(CONCAT(BG23,BH23),'MASTER PLAN'!$AB:$AB,'MASTER PLAN'!$J:$J,0,0)),"")</f>
        <v/>
      </c>
      <c r="BJ23" s="73" t="str">
        <f t="array" ref="BJ23">IFERROR(IF(XLOOKUP(CONCAT(BG23,BH23),'PROCESOS PRD'!$J:$J,'PROCESOS PRD'!$H:$H,0,0)=0,"",XLOOKUP(CONCAT(BG23,BH23),'PROCESOS PRD'!$J:$J,'PROCESOS PRD'!$H:$H,0,0)),"")</f>
        <v/>
      </c>
      <c r="BK23" s="71"/>
      <c r="BL23" s="32"/>
      <c r="BM23" s="72" t="str">
        <f t="array" ref="BM23">IFERROR(IF(XLOOKUP(CONCAT(BK23,BL23),'MASTER PLAN'!$AB:$AB,'MASTER PLAN'!$J:$J,0,0)=0,"",XLOOKUP(CONCAT(BK23,BL23),'MASTER PLAN'!$AB:$AB,'MASTER PLAN'!$J:$J,0,0)),"")</f>
        <v/>
      </c>
      <c r="BN23" s="73" t="str">
        <f t="array" ref="BN23">IFERROR(IF(XLOOKUP(CONCAT(BK23,BL23),'PROCESOS PRD'!$J:$J,'PROCESOS PRD'!$H:$H,0,0)=0,"",XLOOKUP(CONCAT(BK23,BL23),'PROCESOS PRD'!$J:$J,'PROCESOS PRD'!$H:$H,0,0)),"")</f>
        <v/>
      </c>
      <c r="BO23" s="71"/>
      <c r="BP23" s="32"/>
      <c r="BQ23" s="72" t="str">
        <f t="array" ref="BQ23">IFERROR(IF(XLOOKUP(CONCAT(BO23,BP23),'MASTER PLAN'!$AB:$AB,'MASTER PLAN'!$J:$J,0,0)=0,"",XLOOKUP(CONCAT(BO23,BP23),'MASTER PLAN'!$AB:$AB,'MASTER PLAN'!$J:$J,0,0)),"")</f>
        <v/>
      </c>
      <c r="BR23" s="73" t="str">
        <f t="array" ref="BR23">IFERROR(IF(XLOOKUP(CONCAT(BO23,BP23),'PROCESOS PRD'!$J:$J,'PROCESOS PRD'!$H:$H,0,0)=0,"",XLOOKUP(CONCAT(BO23,BP23),'PROCESOS PRD'!$J:$J,'PROCESOS PRD'!$H:$H,0,0)),"")</f>
        <v/>
      </c>
      <c r="BS23" s="70"/>
      <c r="BT23" s="71"/>
      <c r="BU23" s="32"/>
      <c r="BV23" s="72" t="str">
        <f t="array" ref="BV23">IFERROR(IF(XLOOKUP(CONCAT(BT23,BU23),'MASTER PLAN'!$AB:$AB,'MASTER PLAN'!$J:$J,0,0)=0,"",XLOOKUP(CONCAT(BT23,BU23),'MASTER PLAN'!$AB:$AB,'MASTER PLAN'!$J:$J,0,0)),"")</f>
        <v/>
      </c>
      <c r="BW23" s="73" t="str">
        <f t="array" ref="BW23">IFERROR(IF(XLOOKUP(CONCAT(BT23,BU23),'PROCESOS PRD'!$J:$J,'PROCESOS PRD'!$H:$H,0,0)=0,"",XLOOKUP(CONCAT(BT23,BU23),'PROCESOS PRD'!$J:$J,'PROCESOS PRD'!$H:$H,0,0)),"")</f>
        <v/>
      </c>
      <c r="BX23" s="71"/>
      <c r="BY23" s="32"/>
      <c r="BZ23" s="72" t="str">
        <f t="array" ref="BZ23">IFERROR(IF(XLOOKUP(CONCAT(BX23,BY23),'MASTER PLAN'!$AB:$AB,'MASTER PLAN'!$J:$J,0,0)=0,"",XLOOKUP(CONCAT(BX23,BY23),'MASTER PLAN'!$AB:$AB,'MASTER PLAN'!$J:$J,0,0)),"")</f>
        <v/>
      </c>
      <c r="CA23" s="73" t="str">
        <f t="array" ref="CA23">IFERROR(IF(XLOOKUP(CONCAT(BX23,BY23),'PROCESOS PRD'!$J:$J,'PROCESOS PRD'!$H:$H,0,0)=0,"",XLOOKUP(CONCAT(BX23,BY23),'PROCESOS PRD'!$J:$J,'PROCESOS PRD'!$H:$H,0,0)),"")</f>
        <v/>
      </c>
      <c r="CB23" s="71"/>
      <c r="CC23" s="32"/>
      <c r="CD23" s="72" t="str">
        <f t="array" ref="CD23">IFERROR(IF(XLOOKUP(CONCAT(CB23,CC23),'MASTER PLAN'!$AB:$AB,'MASTER PLAN'!$J:$J,0,0)=0,"",XLOOKUP(CONCAT(CB23,CC23),'MASTER PLAN'!$AB:$AB,'MASTER PLAN'!$J:$J,0,0)),"")</f>
        <v/>
      </c>
      <c r="CE23" s="73" t="str">
        <f t="array" ref="CE23">IFERROR(IF(XLOOKUP(CONCAT(CB23,CC23),'PROCESOS PRD'!$J:$J,'PROCESOS PRD'!$H:$H,0,0)=0,"",XLOOKUP(CONCAT(CB23,CC23),'PROCESOS PRD'!$J:$J,'PROCESOS PRD'!$H:$H,0,0)),"")</f>
        <v/>
      </c>
      <c r="CF23" s="71"/>
      <c r="CG23" s="32"/>
      <c r="CH23" s="72" t="str">
        <f t="array" ref="CH23">IFERROR(IF(XLOOKUP(CONCAT(CF23,CG23),'MASTER PLAN'!$AB:$AB,'MASTER PLAN'!$J:$J,0,0)=0,"",XLOOKUP(CONCAT(CF23,CG23),'MASTER PLAN'!$AB:$AB,'MASTER PLAN'!$J:$J,0,0)),"")</f>
        <v/>
      </c>
      <c r="CI23" s="73" t="str">
        <f t="array" ref="CI23">IFERROR(IF(XLOOKUP(CONCAT(CF23,CG23),'PROCESOS PRD'!$J:$J,'PROCESOS PRD'!$H:$H,0,0)=0,"",XLOOKUP(CONCAT(CF23,CG23),'PROCESOS PRD'!$J:$J,'PROCESOS PRD'!$H:$H,0,0)),"")</f>
        <v/>
      </c>
      <c r="CJ23" s="71"/>
      <c r="CK23" s="32"/>
      <c r="CL23" s="72" t="str">
        <f t="array" ref="CL23">IFERROR(IF(XLOOKUP(CONCAT(CJ23,CK23),'MASTER PLAN'!$AB:$AB,'MASTER PLAN'!$J:$J,0,0)=0,"",XLOOKUP(CONCAT(CJ23,CK23),'MASTER PLAN'!$AB:$AB,'MASTER PLAN'!$J:$J,0,0)),"")</f>
        <v/>
      </c>
      <c r="CM23" s="73" t="str">
        <f t="array" ref="CM23">IFERROR(IF(XLOOKUP(CONCAT(CJ23,CK23),'PROCESOS PRD'!$J:$J,'PROCESOS PRD'!$H:$H,0,0)=0,"",XLOOKUP(CONCAT(CJ23,CK23),'PROCESOS PRD'!$J:$J,'PROCESOS PRD'!$H:$H,0,0)),"")</f>
        <v/>
      </c>
      <c r="CN23" s="71"/>
      <c r="CO23" s="32"/>
      <c r="CP23" s="72" t="str">
        <f t="array" ref="CP23">IFERROR(IF(XLOOKUP(CONCAT(CN23,CO23),'MASTER PLAN'!$AB:$AB,'MASTER PLAN'!$J:$J,0,0)=0,"",XLOOKUP(CONCAT(CN23,CO23),'MASTER PLAN'!$AB:$AB,'MASTER PLAN'!$J:$J,0,0)),"")</f>
        <v/>
      </c>
      <c r="CQ23" s="73" t="str">
        <f t="array" ref="CQ23">IFERROR(IF(XLOOKUP(CONCAT(CN23,CO23),'PROCESOS PRD'!$J:$J,'PROCESOS PRD'!$H:$H,0,0)=0,"",XLOOKUP(CONCAT(CN23,CO23),'PROCESOS PRD'!$J:$J,'PROCESOS PRD'!$H:$H,0,0)),"")</f>
        <v/>
      </c>
      <c r="CR23" s="70"/>
      <c r="CS23" s="71"/>
      <c r="CT23" s="32"/>
      <c r="CU23" s="72" t="str">
        <f t="array" ref="CU23">IFERROR(IF(XLOOKUP(CONCAT(CS23,CT23),'MASTER PLAN'!$AB:$AB,'MASTER PLAN'!$J:$J,0,0)=0,"",XLOOKUP(CONCAT(CS23,CT23),'MASTER PLAN'!$AB:$AB,'MASTER PLAN'!$J:$J,0,0)),"")</f>
        <v/>
      </c>
      <c r="CV23" s="73" t="str">
        <f t="array" ref="CV23">IFERROR(IF(XLOOKUP(CONCAT(CS23,CT23),'PROCESOS PRD'!$J:$J,'PROCESOS PRD'!$H:$H,0,0)=0,"",XLOOKUP(CONCAT(CS23,CT23),'PROCESOS PRD'!$J:$J,'PROCESOS PRD'!$H:$H,0,0)),"")</f>
        <v/>
      </c>
      <c r="CW23" s="71"/>
      <c r="CX23" s="32"/>
      <c r="CY23" s="72" t="str">
        <f t="array" ref="CY23">IFERROR(IF(XLOOKUP(CONCAT(CW23,CX23),'MASTER PLAN'!$AB:$AB,'MASTER PLAN'!$J:$J,0,0)=0,"",XLOOKUP(CONCAT(CW23,CX23),'MASTER PLAN'!$AB:$AB,'MASTER PLAN'!$J:$J,0,0)),"")</f>
        <v/>
      </c>
      <c r="CZ23" s="73" t="str">
        <f t="array" ref="CZ23">IFERROR(IF(XLOOKUP(CONCAT(CW23,CX23),'PROCESOS PRD'!$J:$J,'PROCESOS PRD'!$H:$H,0,0)=0,"",XLOOKUP(CONCAT(CW23,CX23),'PROCESOS PRD'!$J:$J,'PROCESOS PRD'!$H:$H,0,0)),"")</f>
        <v/>
      </c>
      <c r="DA23" s="71"/>
      <c r="DB23" s="32"/>
      <c r="DC23" s="72" t="str">
        <f t="array" ref="DC23">IFERROR(IF(XLOOKUP(CONCAT(DA23,DB23),'MASTER PLAN'!$AB:$AB,'MASTER PLAN'!$J:$J,0,0)=0,"",XLOOKUP(CONCAT(DA23,DB23),'MASTER PLAN'!$AB:$AB,'MASTER PLAN'!$J:$J,0,0)),"")</f>
        <v/>
      </c>
      <c r="DD23" s="73" t="str">
        <f t="array" ref="DD23">IFERROR(IF(XLOOKUP(CONCAT(DA23,DB23),'PROCESOS PRD'!$J:$J,'PROCESOS PRD'!$H:$H,0,0)=0,"",XLOOKUP(CONCAT(DA23,DB23),'PROCESOS PRD'!$J:$J,'PROCESOS PRD'!$H:$H,0,0)),"")</f>
        <v/>
      </c>
      <c r="DE23" s="71"/>
      <c r="DF23" s="32"/>
      <c r="DG23" s="72" t="str">
        <f t="array" ref="DG23">IFERROR(IF(XLOOKUP(CONCAT(DE23,DF23),'MASTER PLAN'!$AB:$AB,'MASTER PLAN'!$J:$J,0,0)=0,"",XLOOKUP(CONCAT(DE23,DF23),'MASTER PLAN'!$AB:$AB,'MASTER PLAN'!$J:$J,0,0)),"")</f>
        <v/>
      </c>
      <c r="DH23" s="73" t="str">
        <f t="array" ref="DH23">IFERROR(IF(XLOOKUP(CONCAT(DE23,DF23),'PROCESOS PRD'!$J:$J,'PROCESOS PRD'!$H:$H,0,0)=0,"",XLOOKUP(CONCAT(DE23,DF23),'PROCESOS PRD'!$J:$J,'PROCESOS PRD'!$H:$H,0,0)),"")</f>
        <v/>
      </c>
      <c r="DI23" s="71"/>
      <c r="DJ23" s="32"/>
      <c r="DK23" s="72" t="str">
        <f t="array" ref="DK23">IFERROR(IF(XLOOKUP(CONCAT(DI23,DJ23),'MASTER PLAN'!$AB:$AB,'MASTER PLAN'!$J:$J,0,0)=0,"",XLOOKUP(CONCAT(DI23,DJ23),'MASTER PLAN'!$AB:$AB,'MASTER PLAN'!$J:$J,0,0)),"")</f>
        <v/>
      </c>
      <c r="DL23" s="73" t="str">
        <f t="array" ref="DL23">IFERROR(IF(XLOOKUP(CONCAT(DI23,DJ23),'PROCESOS PRD'!$J:$J,'PROCESOS PRD'!$H:$H,0,0)=0,"",XLOOKUP(CONCAT(DI23,DJ23),'PROCESOS PRD'!$J:$J,'PROCESOS PRD'!$H:$H,0,0)),"")</f>
        <v/>
      </c>
      <c r="DM23" s="71"/>
      <c r="DN23" s="32"/>
      <c r="DO23" s="72" t="str">
        <f t="array" ref="DO23">IFERROR(IF(XLOOKUP(CONCAT(DM23,DN23),'MASTER PLAN'!$AB:$AB,'MASTER PLAN'!$J:$J,0,0)=0,"",XLOOKUP(CONCAT(DM23,DN23),'MASTER PLAN'!$AB:$AB,'MASTER PLAN'!$J:$J,0,0)),"")</f>
        <v/>
      </c>
      <c r="DP23" s="73" t="str">
        <f t="array" ref="DP23">IFERROR(IF(XLOOKUP(CONCAT(DM23,DN23),'PROCESOS PRD'!$J:$J,'PROCESOS PRD'!$H:$H,0,0)=0,"",XLOOKUP(CONCAT(DM23,DN23),'PROCESOS PRD'!$J:$J,'PROCESOS PRD'!$H:$H,0,0)),"")</f>
        <v/>
      </c>
      <c r="DQ23" s="70"/>
      <c r="DR23" s="71"/>
      <c r="DS23" s="32"/>
      <c r="DT23" s="72" t="str">
        <f t="array" ref="DT23">IFERROR(IF(XLOOKUP(CONCAT(DR23,DS23),'MASTER PLAN'!$AB:$AB,'MASTER PLAN'!$J:$J,0,0)=0,"",XLOOKUP(CONCAT(DR23,DS23),'MASTER PLAN'!$AB:$AB,'MASTER PLAN'!$J:$J,0,0)),"")</f>
        <v/>
      </c>
      <c r="DU23" s="73" t="str">
        <f t="array" ref="DU23">IFERROR(IF(XLOOKUP(CONCAT(DR23,DS23),'PROCESOS PRD'!$J:$J,'PROCESOS PRD'!$H:$H,0,0)=0,"",XLOOKUP(CONCAT(DR23,DS23),'PROCESOS PRD'!$J:$J,'PROCESOS PRD'!$H:$H,0,0)),"")</f>
        <v/>
      </c>
      <c r="DV23" s="71"/>
      <c r="DW23" s="32"/>
      <c r="DX23" s="72" t="str">
        <f t="array" ref="DX23">IFERROR(IF(XLOOKUP(CONCAT(DV23,DW23),'MASTER PLAN'!$AB:$AB,'MASTER PLAN'!$J:$J,0,0)=0,"",XLOOKUP(CONCAT(DV23,DW23),'MASTER PLAN'!$AB:$AB,'MASTER PLAN'!$J:$J,0,0)),"")</f>
        <v/>
      </c>
      <c r="DY23" s="73" t="str">
        <f t="array" ref="DY23">IFERROR(IF(XLOOKUP(CONCAT(DV23,DW23),'PROCESOS PRD'!$J:$J,'PROCESOS PRD'!$H:$H,0,0)=0,"",XLOOKUP(CONCAT(DV23,DW23),'PROCESOS PRD'!$J:$J,'PROCESOS PRD'!$H:$H,0,0)),"")</f>
        <v/>
      </c>
      <c r="DZ23" s="71"/>
      <c r="EA23" s="32"/>
      <c r="EB23" s="72" t="str">
        <f t="array" ref="EB23">IFERROR(IF(XLOOKUP(CONCAT(DZ23,EA23),'MASTER PLAN'!$AB:$AB,'MASTER PLAN'!$J:$J,0,0)=0,"",XLOOKUP(CONCAT(DZ23,EA23),'MASTER PLAN'!$AB:$AB,'MASTER PLAN'!$J:$J,0,0)),"")</f>
        <v/>
      </c>
      <c r="EC23" s="73" t="str">
        <f t="array" ref="EC23">IFERROR(IF(XLOOKUP(CONCAT(DZ23,EA23),'PROCESOS PRD'!$J:$J,'PROCESOS PRD'!$H:$H,0,0)=0,"",XLOOKUP(CONCAT(DZ23,EA23),'PROCESOS PRD'!$J:$J,'PROCESOS PRD'!$H:$H,0,0)),"")</f>
        <v/>
      </c>
      <c r="ED23" s="71"/>
      <c r="EE23" s="32"/>
      <c r="EF23" s="72" t="str">
        <f t="array" ref="EF23">IFERROR(IF(XLOOKUP(CONCAT(ED23,EE23),'MASTER PLAN'!$AB:$AB,'MASTER PLAN'!$J:$J,0,0)=0,"",XLOOKUP(CONCAT(ED23,EE23),'MASTER PLAN'!$AB:$AB,'MASTER PLAN'!$J:$J,0,0)),"")</f>
        <v/>
      </c>
      <c r="EG23" s="73" t="str">
        <f t="array" ref="EG23">IFERROR(IF(XLOOKUP(CONCAT(ED23,EE23),'PROCESOS PRD'!$J:$J,'PROCESOS PRD'!$H:$H,0,0)=0,"",XLOOKUP(CONCAT(ED23,EE23),'PROCESOS PRD'!$J:$J,'PROCESOS PRD'!$H:$H,0,0)),"")</f>
        <v/>
      </c>
      <c r="EH23" s="71"/>
      <c r="EI23" s="32"/>
      <c r="EJ23" s="72" t="str">
        <f t="array" ref="EJ23">IFERROR(IF(XLOOKUP(CONCAT(EH23,EI23),'MASTER PLAN'!$AB:$AB,'MASTER PLAN'!$J:$J,0,0)=0,"",XLOOKUP(CONCAT(EH23,EI23),'MASTER PLAN'!$AB:$AB,'MASTER PLAN'!$J:$J,0,0)),"")</f>
        <v/>
      </c>
      <c r="EK23" s="73" t="str">
        <f t="array" ref="EK23">IFERROR(IF(XLOOKUP(CONCAT(EH23,EI23),'PROCESOS PRD'!$J:$J,'PROCESOS PRD'!$H:$H,0,0)=0,"",XLOOKUP(CONCAT(EH23,EI23),'PROCESOS PRD'!$J:$J,'PROCESOS PRD'!$H:$H,0,0)),"")</f>
        <v/>
      </c>
      <c r="EL23" s="71"/>
      <c r="EM23" s="32"/>
      <c r="EN23" s="72" t="str">
        <f t="array" ref="EN23">IFERROR(IF(XLOOKUP(CONCAT(EL23,EM23),'MASTER PLAN'!$AB:$AB,'MASTER PLAN'!$J:$J,0,0)=0,"",XLOOKUP(CONCAT(EL23,EM23),'MASTER PLAN'!$AB:$AB,'MASTER PLAN'!$J:$J,0,0)),"")</f>
        <v/>
      </c>
      <c r="EO23" s="73" t="str">
        <f t="array" ref="EO23">IFERROR(IF(XLOOKUP(CONCAT(EL23,EM23),'PROCESOS PRD'!$J:$J,'PROCESOS PRD'!$H:$H,0,0)=0,"",XLOOKUP(CONCAT(EL23,EM23),'PROCESOS PRD'!$J:$J,'PROCESOS PRD'!$H:$H,0,0)),"")</f>
        <v/>
      </c>
      <c r="EP23" s="70"/>
      <c r="EQ23" s="71"/>
      <c r="ER23" s="32"/>
      <c r="ES23" s="72" t="str">
        <f t="array" ref="ES23">IFERROR(IF(XLOOKUP(CONCAT(EQ23,ER23),'MASTER PLAN'!$AB:$AB,'MASTER PLAN'!$J:$J,0,0)=0,"",XLOOKUP(CONCAT(EQ23,ER23),'MASTER PLAN'!$AB:$AB,'MASTER PLAN'!$J:$J,0,0)),"")</f>
        <v/>
      </c>
      <c r="ET23" s="73" t="str">
        <f t="array" ref="ET23">IFERROR(IF(XLOOKUP(CONCAT(EQ23,ER23),'PROCESOS PRD'!$J:$J,'PROCESOS PRD'!$H:$H,0,0)=0,"",XLOOKUP(CONCAT(EQ23,ER23),'PROCESOS PRD'!$J:$J,'PROCESOS PRD'!$H:$H,0,0)),"")</f>
        <v/>
      </c>
      <c r="EU23" s="71"/>
      <c r="EV23" s="32"/>
      <c r="EW23" s="72" t="str">
        <f t="array" ref="EW23">IFERROR(IF(XLOOKUP(CONCAT(EU23,EV23),'MASTER PLAN'!$AB:$AB,'MASTER PLAN'!$J:$J,0,0)=0,"",XLOOKUP(CONCAT(EU23,EV23),'MASTER PLAN'!$AB:$AB,'MASTER PLAN'!$J:$J,0,0)),"")</f>
        <v/>
      </c>
      <c r="EX23" s="73" t="str">
        <f t="array" ref="EX23">IFERROR(IF(XLOOKUP(CONCAT(EU23,EV23),'PROCESOS PRD'!$J:$J,'PROCESOS PRD'!$H:$H,0,0)=0,"",XLOOKUP(CONCAT(EU23,EV23),'PROCESOS PRD'!$J:$J,'PROCESOS PRD'!$H:$H,0,0)),"")</f>
        <v/>
      </c>
      <c r="EY23" s="71"/>
      <c r="EZ23" s="32"/>
      <c r="FA23" s="72" t="str">
        <f t="array" ref="FA23">IFERROR(IF(XLOOKUP(CONCAT(EY23,EZ23),'MASTER PLAN'!$AB:$AB,'MASTER PLAN'!$J:$J,0,0)=0,"",XLOOKUP(CONCAT(EY23,EZ23),'MASTER PLAN'!$AB:$AB,'MASTER PLAN'!$J:$J,0,0)),"")</f>
        <v/>
      </c>
      <c r="FB23" s="73" t="str">
        <f t="array" ref="FB23">IFERROR(IF(XLOOKUP(CONCAT(EY23,EZ23),'PROCESOS PRD'!$J:$J,'PROCESOS PRD'!$H:$H,0,0)=0,"",XLOOKUP(CONCAT(EY23,EZ23),'PROCESOS PRD'!$J:$J,'PROCESOS PRD'!$H:$H,0,0)),"")</f>
        <v/>
      </c>
      <c r="FC23" s="71"/>
      <c r="FD23" s="32"/>
      <c r="FE23" s="72" t="str">
        <f t="array" ref="FE23">IFERROR(IF(XLOOKUP(CONCAT(FC23,FD23),'MASTER PLAN'!$AB:$AB,'MASTER PLAN'!$J:$J,0,0)=0,"",XLOOKUP(CONCAT(FC23,FD23),'MASTER PLAN'!$AB:$AB,'MASTER PLAN'!$J:$J,0,0)),"")</f>
        <v/>
      </c>
      <c r="FF23" s="73" t="str">
        <f t="array" ref="FF23">IFERROR(IF(XLOOKUP(CONCAT(FC23,FD23),'PROCESOS PRD'!$J:$J,'PROCESOS PRD'!$H:$H,0,0)=0,"",XLOOKUP(CONCAT(FC23,FD23),'PROCESOS PRD'!$J:$J,'PROCESOS PRD'!$H:$H,0,0)),"")</f>
        <v/>
      </c>
      <c r="FG23" s="71"/>
      <c r="FH23" s="32"/>
      <c r="FI23" s="72" t="str">
        <f t="array" ref="FI23">IFERROR(IF(XLOOKUP(CONCAT(FG23,FH23),'MASTER PLAN'!$AB:$AB,'MASTER PLAN'!$J:$J,0,0)=0,"",XLOOKUP(CONCAT(FG23,FH23),'MASTER PLAN'!$AB:$AB,'MASTER PLAN'!$J:$J,0,0)),"")</f>
        <v/>
      </c>
      <c r="FJ23" s="73" t="str">
        <f t="array" ref="FJ23">IFERROR(IF(XLOOKUP(CONCAT(FG23,FH23),'PROCESOS PRD'!$J:$J,'PROCESOS PRD'!$H:$H,0,0)=0,"",XLOOKUP(CONCAT(FG23,FH23),'PROCESOS PRD'!$J:$J,'PROCESOS PRD'!$H:$H,0,0)),"")</f>
        <v/>
      </c>
      <c r="FK23" s="71"/>
      <c r="FL23" s="32"/>
      <c r="FM23" s="72" t="str">
        <f t="array" ref="FM23">IFERROR(IF(XLOOKUP(CONCAT(FK23,FL23),'MASTER PLAN'!$AB:$AB,'MASTER PLAN'!$J:$J,0,0)=0,"",XLOOKUP(CONCAT(FK23,FL23),'MASTER PLAN'!$AB:$AB,'MASTER PLAN'!$J:$J,0,0)),"")</f>
        <v/>
      </c>
      <c r="FN23" s="73" t="str">
        <f t="array" ref="FN23">IFERROR(IF(XLOOKUP(CONCAT(FK23,FL23),'PROCESOS PRD'!$J:$J,'PROCESOS PRD'!$H:$H,0,0)=0,"",XLOOKUP(CONCAT(FK23,FL23),'PROCESOS PRD'!$J:$J,'PROCESOS PRD'!$H:$H,0,0)),"")</f>
        <v/>
      </c>
      <c r="FO23" s="70"/>
      <c r="FP23" s="71"/>
      <c r="FQ23" s="32"/>
      <c r="FR23" s="72" t="str">
        <f t="array" ref="FR23">IFERROR(IF(XLOOKUP(CONCAT(FP23,FQ23),'MASTER PLAN'!$AB:$AB,'MASTER PLAN'!$J:$J,0,0)=0,"",XLOOKUP(CONCAT(FP23,FQ23),'MASTER PLAN'!$AB:$AB,'MASTER PLAN'!$J:$J,0,0)),"")</f>
        <v/>
      </c>
      <c r="FS23" s="73" t="str">
        <f t="array" ref="FS23">IFERROR(IF(XLOOKUP(CONCAT(FP23,FQ23),'PROCESOS PRD'!$J:$J,'PROCESOS PRD'!$H:$H,0,0)=0,"",XLOOKUP(CONCAT(FP23,FQ23),'PROCESOS PRD'!$J:$J,'PROCESOS PRD'!$H:$H,0,0)),"")</f>
        <v/>
      </c>
      <c r="FT23" s="71"/>
      <c r="FU23" s="32"/>
      <c r="FV23" s="72" t="str">
        <f t="array" ref="FV23">IFERROR(IF(XLOOKUP(CONCAT(FT23,FU23),'MASTER PLAN'!$AB:$AB,'MASTER PLAN'!$J:$J,0,0)=0,"",XLOOKUP(CONCAT(FT23,FU23),'MASTER PLAN'!$AB:$AB,'MASTER PLAN'!$J:$J,0,0)),"")</f>
        <v/>
      </c>
      <c r="FW23" s="73" t="str">
        <f t="array" ref="FW23">IFERROR(IF(XLOOKUP(CONCAT(FT23,FU23),'PROCESOS PRD'!$J:$J,'PROCESOS PRD'!$H:$H,0,0)=0,"",XLOOKUP(CONCAT(FT23,FU23),'PROCESOS PRD'!$J:$J,'PROCESOS PRD'!$H:$H,0,0)),"")</f>
        <v/>
      </c>
      <c r="FX23" s="71"/>
      <c r="FY23" s="32"/>
      <c r="FZ23" s="72" t="str">
        <f t="array" ref="FZ23">IFERROR(IF(XLOOKUP(CONCAT(FX23,FY23),'MASTER PLAN'!$AB:$AB,'MASTER PLAN'!$J:$J,0,0)=0,"",XLOOKUP(CONCAT(FX23,FY23),'MASTER PLAN'!$AB:$AB,'MASTER PLAN'!$J:$J,0,0)),"")</f>
        <v/>
      </c>
      <c r="GA23" s="73" t="str">
        <f t="array" ref="GA23">IFERROR(IF(XLOOKUP(CONCAT(FX23,FY23),'PROCESOS PRD'!$J:$J,'PROCESOS PRD'!$H:$H,0,0)=0,"",XLOOKUP(CONCAT(FX23,FY23),'PROCESOS PRD'!$J:$J,'PROCESOS PRD'!$H:$H,0,0)),"")</f>
        <v/>
      </c>
      <c r="GB23" s="71"/>
      <c r="GC23" s="32"/>
      <c r="GD23" s="72" t="str">
        <f t="array" ref="GD23">IFERROR(IF(XLOOKUP(CONCAT(GB23,GC23),'MASTER PLAN'!$AB:$AB,'MASTER PLAN'!$J:$J,0,0)=0,"",XLOOKUP(CONCAT(GB23,GC23),'MASTER PLAN'!$AB:$AB,'MASTER PLAN'!$J:$J,0,0)),"")</f>
        <v/>
      </c>
      <c r="GE23" s="73" t="str">
        <f t="array" ref="GE23">IFERROR(IF(XLOOKUP(CONCAT(GB23,GC23),'PROCESOS PRD'!$J:$J,'PROCESOS PRD'!$H:$H,0,0)=0,"",XLOOKUP(CONCAT(GB23,GC23),'PROCESOS PRD'!$J:$J,'PROCESOS PRD'!$H:$H,0,0)),"")</f>
        <v/>
      </c>
      <c r="GF23" s="71"/>
      <c r="GG23" s="32"/>
      <c r="GH23" s="72" t="str">
        <f t="array" ref="GH23">IFERROR(IF(XLOOKUP(CONCAT(GF23,GG23),'MASTER PLAN'!$AB:$AB,'MASTER PLAN'!$J:$J,0,0)=0,"",XLOOKUP(CONCAT(GF23,GG23),'MASTER PLAN'!$AB:$AB,'MASTER PLAN'!$J:$J,0,0)),"")</f>
        <v/>
      </c>
      <c r="GI23" s="73" t="str">
        <f t="array" ref="GI23">IFERROR(IF(XLOOKUP(CONCAT(GF23,GG23),'PROCESOS PRD'!$J:$J,'PROCESOS PRD'!$H:$H,0,0)=0,"",XLOOKUP(CONCAT(GF23,GG23),'PROCESOS PRD'!$J:$J,'PROCESOS PRD'!$H:$H,0,0)),"")</f>
        <v/>
      </c>
      <c r="GJ23" s="71"/>
      <c r="GK23" s="32"/>
      <c r="GL23" s="72" t="str">
        <f t="array" ref="GL23">IFERROR(IF(XLOOKUP(CONCAT(GJ23,GK23),'MASTER PLAN'!$AB:$AB,'MASTER PLAN'!$J:$J,0,0)=0,"",XLOOKUP(CONCAT(GJ23,GK23),'MASTER PLAN'!$AB:$AB,'MASTER PLAN'!$J:$J,0,0)),"")</f>
        <v/>
      </c>
      <c r="GM23" s="73" t="str">
        <f t="array" ref="GM23">IFERROR(IF(XLOOKUP(CONCAT(GJ23,GK23),'PROCESOS PRD'!$J:$J,'PROCESOS PRD'!$H:$H,0,0)=0,"",XLOOKUP(CONCAT(GJ23,GK23),'PROCESOS PRD'!$J:$J,'PROCESOS PRD'!$H:$H,0,0)),"")</f>
        <v/>
      </c>
      <c r="GN23" s="70"/>
      <c r="GO23" s="71"/>
      <c r="GP23" s="32"/>
      <c r="GQ23" s="72" t="str">
        <f t="array" ref="GQ23">IFERROR(IF(XLOOKUP(CONCAT(GO23,GP23),'MASTER PLAN'!$AB:$AB,'MASTER PLAN'!$J:$J,0,0)=0,"",XLOOKUP(CONCAT(GO23,GP23),'MASTER PLAN'!$AB:$AB,'MASTER PLAN'!$J:$J,0,0)),"")</f>
        <v/>
      </c>
      <c r="GR23" s="73" t="str">
        <f t="array" ref="GR23">IFERROR(IF(XLOOKUP(CONCAT(GO23,GP23),'PROCESOS PRD'!$J:$J,'PROCESOS PRD'!$H:$H,0,0)=0,"",XLOOKUP(CONCAT(GO23,GP23),'PROCESOS PRD'!$J:$J,'PROCESOS PRD'!$H:$H,0,0)),"")</f>
        <v/>
      </c>
      <c r="GS23" s="71"/>
      <c r="GT23" s="32"/>
      <c r="GU23" s="72" t="str">
        <f t="array" ref="GU23">IFERROR(IF(XLOOKUP(CONCAT(GS23,GT23),'MASTER PLAN'!$AB:$AB,'MASTER PLAN'!$J:$J,0,0)=0,"",XLOOKUP(CONCAT(GS23,GT23),'MASTER PLAN'!$AB:$AB,'MASTER PLAN'!$J:$J,0,0)),"")</f>
        <v/>
      </c>
      <c r="GV23" s="73" t="str">
        <f t="array" ref="GV23">IFERROR(IF(XLOOKUP(CONCAT(GS23,GT23),'PROCESOS PRD'!$J:$J,'PROCESOS PRD'!$H:$H,0,0)=0,"",XLOOKUP(CONCAT(GS23,GT23),'PROCESOS PRD'!$J:$J,'PROCESOS PRD'!$H:$H,0,0)),"")</f>
        <v/>
      </c>
      <c r="GW23" s="71"/>
      <c r="GX23" s="32"/>
      <c r="GY23" s="72" t="str">
        <f t="array" ref="GY23">IFERROR(IF(XLOOKUP(CONCAT(GW23,GX23),'MASTER PLAN'!$AB:$AB,'MASTER PLAN'!$J:$J,0,0)=0,"",XLOOKUP(CONCAT(GW23,GX23),'MASTER PLAN'!$AB:$AB,'MASTER PLAN'!$J:$J,0,0)),"")</f>
        <v/>
      </c>
      <c r="GZ23" s="73" t="str">
        <f t="array" ref="GZ23">IFERROR(IF(XLOOKUP(CONCAT(GW23,GX23),'PROCESOS PRD'!$J:$J,'PROCESOS PRD'!$H:$H,0,0)=0,"",XLOOKUP(CONCAT(GW23,GX23),'PROCESOS PRD'!$J:$J,'PROCESOS PRD'!$H:$H,0,0)),"")</f>
        <v/>
      </c>
      <c r="HA23" s="71"/>
      <c r="HB23" s="32"/>
      <c r="HC23" s="72" t="str">
        <f t="array" ref="HC23">IFERROR(IF(XLOOKUP(CONCAT(HA23,HB23),'MASTER PLAN'!$AB:$AB,'MASTER PLAN'!$J:$J,0,0)=0,"",XLOOKUP(CONCAT(HA23,HB23),'MASTER PLAN'!$AB:$AB,'MASTER PLAN'!$J:$J,0,0)),"")</f>
        <v/>
      </c>
      <c r="HD23" s="73" t="str">
        <f t="array" ref="HD23">IFERROR(IF(XLOOKUP(CONCAT(HA23,HB23),'PROCESOS PRD'!$J:$J,'PROCESOS PRD'!$H:$H,0,0)=0,"",XLOOKUP(CONCAT(HA23,HB23),'PROCESOS PRD'!$J:$J,'PROCESOS PRD'!$H:$H,0,0)),"")</f>
        <v/>
      </c>
      <c r="HE23" s="71"/>
      <c r="HF23" s="32"/>
      <c r="HG23" s="72" t="str">
        <f t="array" ref="HG23">IFERROR(IF(XLOOKUP(CONCAT(HE23,HF23),'MASTER PLAN'!$AB:$AB,'MASTER PLAN'!$J:$J,0,0)=0,"",XLOOKUP(CONCAT(HE23,HF23),'MASTER PLAN'!$AB:$AB,'MASTER PLAN'!$J:$J,0,0)),"")</f>
        <v/>
      </c>
      <c r="HH23" s="73" t="str">
        <f t="array" ref="HH23">IFERROR(IF(XLOOKUP(CONCAT(HE23,HF23),'PROCESOS PRD'!$J:$J,'PROCESOS PRD'!$H:$H,0,0)=0,"",XLOOKUP(CONCAT(HE23,HF23),'PROCESOS PRD'!$J:$J,'PROCESOS PRD'!$H:$H,0,0)),"")</f>
        <v/>
      </c>
      <c r="HI23" s="71"/>
      <c r="HJ23" s="32"/>
      <c r="HK23" s="72" t="str">
        <f t="array" ref="HK23">IFERROR(IF(XLOOKUP(CONCAT(HI23,HJ23),'MASTER PLAN'!$AB:$AB,'MASTER PLAN'!$J:$J,0,0)=0,"",XLOOKUP(CONCAT(HI23,HJ23),'MASTER PLAN'!$AB:$AB,'MASTER PLAN'!$J:$J,0,0)),"")</f>
        <v/>
      </c>
      <c r="HL23" s="73" t="str">
        <f t="array" ref="HL23">IFERROR(IF(XLOOKUP(CONCAT(HI23,HJ23),'PROCESOS PRD'!$J:$J,'PROCESOS PRD'!$H:$H,0,0)=0,"",XLOOKUP(CONCAT(HI23,HJ23),'PROCESOS PRD'!$J:$J,'PROCESOS PRD'!$H:$H,0,0)),"")</f>
        <v/>
      </c>
      <c r="HM23" s="70"/>
      <c r="HN23" s="71"/>
      <c r="HO23" s="32"/>
      <c r="HP23" s="72" t="str">
        <f t="array" ref="HP23">IFERROR(IF(XLOOKUP(CONCAT(HN23,HO23),'MASTER PLAN'!$AB:$AB,'MASTER PLAN'!$J:$J,0,0)=0,"",XLOOKUP(CONCAT(HN23,HO23),'MASTER PLAN'!$AB:$AB,'MASTER PLAN'!$J:$J,0,0)),"")</f>
        <v/>
      </c>
      <c r="HQ23" s="73" t="str">
        <f t="array" ref="HQ23">IFERROR(IF(XLOOKUP(CONCAT(HN23,HO23),'PROCESOS PRD'!$J:$J,'PROCESOS PRD'!$H:$H,0,0)=0,"",XLOOKUP(CONCAT(HN23,HO23),'PROCESOS PRD'!$J:$J,'PROCESOS PRD'!$H:$H,0,0)),"")</f>
        <v/>
      </c>
      <c r="HR23" s="71"/>
      <c r="HS23" s="32"/>
      <c r="HT23" s="72" t="str">
        <f t="array" ref="HT23">IFERROR(IF(XLOOKUP(CONCAT(HR23,HS23),'MASTER PLAN'!$AB:$AB,'MASTER PLAN'!$J:$J,0,0)=0,"",XLOOKUP(CONCAT(HR23,HS23),'MASTER PLAN'!$AB:$AB,'MASTER PLAN'!$J:$J,0,0)),"")</f>
        <v/>
      </c>
      <c r="HU23" s="73" t="str">
        <f t="array" ref="HU23">IFERROR(IF(XLOOKUP(CONCAT(HR23,HS23),'PROCESOS PRD'!$J:$J,'PROCESOS PRD'!$H:$H,0,0)=0,"",XLOOKUP(CONCAT(HR23,HS23),'PROCESOS PRD'!$J:$J,'PROCESOS PRD'!$H:$H,0,0)),"")</f>
        <v/>
      </c>
      <c r="HV23" s="71"/>
      <c r="HW23" s="32"/>
      <c r="HX23" s="72" t="str">
        <f t="array" ref="HX23">IFERROR(IF(XLOOKUP(CONCAT(HV23,HW23),'MASTER PLAN'!$AB:$AB,'MASTER PLAN'!$J:$J,0,0)=0,"",XLOOKUP(CONCAT(HV23,HW23),'MASTER PLAN'!$AB:$AB,'MASTER PLAN'!$J:$J,0,0)),"")</f>
        <v/>
      </c>
      <c r="HY23" s="73" t="str">
        <f t="array" ref="HY23">IFERROR(IF(XLOOKUP(CONCAT(HV23,HW23),'PROCESOS PRD'!$J:$J,'PROCESOS PRD'!$H:$H,0,0)=0,"",XLOOKUP(CONCAT(HV23,HW23),'PROCESOS PRD'!$J:$J,'PROCESOS PRD'!$H:$H,0,0)),"")</f>
        <v/>
      </c>
      <c r="HZ23" s="71"/>
      <c r="IA23" s="32"/>
      <c r="IB23" s="72" t="str">
        <f t="array" ref="IB23">IFERROR(IF(XLOOKUP(CONCAT(HZ23,IA23),'MASTER PLAN'!$AB:$AB,'MASTER PLAN'!$J:$J,0,0)=0,"",XLOOKUP(CONCAT(HZ23,IA23),'MASTER PLAN'!$AB:$AB,'MASTER PLAN'!$J:$J,0,0)),"")</f>
        <v/>
      </c>
      <c r="IC23" s="73" t="str">
        <f t="array" ref="IC23">IFERROR(IF(XLOOKUP(CONCAT(HZ23,IA23),'PROCESOS PRD'!$J:$J,'PROCESOS PRD'!$H:$H,0,0)=0,"",XLOOKUP(CONCAT(HZ23,IA23),'PROCESOS PRD'!$J:$J,'PROCESOS PRD'!$H:$H,0,0)),"")</f>
        <v/>
      </c>
      <c r="ID23" s="71"/>
      <c r="IE23" s="32"/>
      <c r="IF23" s="72" t="str">
        <f t="array" ref="IF23">IFERROR(IF(XLOOKUP(CONCAT(ID23,IE23),'MASTER PLAN'!$AB:$AB,'MASTER PLAN'!$J:$J,0,0)=0,"",XLOOKUP(CONCAT(ID23,IE23),'MASTER PLAN'!$AB:$AB,'MASTER PLAN'!$J:$J,0,0)),"")</f>
        <v/>
      </c>
      <c r="IG23" s="73" t="str">
        <f t="array" ref="IG23">IFERROR(IF(XLOOKUP(CONCAT(ID23,IE23),'PROCESOS PRD'!$J:$J,'PROCESOS PRD'!$H:$H,0,0)=0,"",XLOOKUP(CONCAT(ID23,IE23),'PROCESOS PRD'!$J:$J,'PROCESOS PRD'!$H:$H,0,0)),"")</f>
        <v/>
      </c>
      <c r="IH23" s="71"/>
      <c r="II23" s="32"/>
      <c r="IJ23" s="72" t="str">
        <f t="array" ref="IJ23">IFERROR(IF(XLOOKUP(CONCAT(IH23,II23),'MASTER PLAN'!$AB:$AB,'MASTER PLAN'!$J:$J,0,0)=0,"",XLOOKUP(CONCAT(IH23,II23),'MASTER PLAN'!$AB:$AB,'MASTER PLAN'!$J:$J,0,0)),"")</f>
        <v/>
      </c>
      <c r="IK23" s="73" t="str">
        <f t="array" ref="IK23">IFERROR(IF(XLOOKUP(CONCAT(IH23,II23),'PROCESOS PRD'!$J:$J,'PROCESOS PRD'!$H:$H,0,0)=0,"",XLOOKUP(CONCAT(IH23,II23),'PROCESOS PRD'!$J:$J,'PROCESOS PRD'!$H:$H,0,0)),"")</f>
        <v/>
      </c>
      <c r="IL23" s="70"/>
      <c r="IM23" s="71"/>
      <c r="IN23" s="32"/>
      <c r="IO23" s="72" t="str">
        <f t="array" ref="IO23">IFERROR(IF(XLOOKUP(CONCAT(IM23,IN23),'MASTER PLAN'!$AB:$AB,'MASTER PLAN'!$J:$J,0,0)=0,"",XLOOKUP(CONCAT(IM23,IN23),'MASTER PLAN'!$AB:$AB,'MASTER PLAN'!$J:$J,0,0)),"")</f>
        <v/>
      </c>
      <c r="IP23" s="73" t="str">
        <f t="array" ref="IP23">IFERROR(IF(XLOOKUP(CONCAT(IM23,IN23),'PROCESOS PRD'!$J:$J,'PROCESOS PRD'!$H:$H,0,0)=0,"",XLOOKUP(CONCAT(IM23,IN23),'PROCESOS PRD'!$J:$J,'PROCESOS PRD'!$H:$H,0,0)),"")</f>
        <v/>
      </c>
      <c r="IQ23" s="71"/>
      <c r="IR23" s="32"/>
      <c r="IS23" s="72" t="str">
        <f t="array" ref="IS23">IFERROR(IF(XLOOKUP(CONCAT(IQ23,IR23),'MASTER PLAN'!$AB:$AB,'MASTER PLAN'!$J:$J,0,0)=0,"",XLOOKUP(CONCAT(IQ23,IR23),'MASTER PLAN'!$AB:$AB,'MASTER PLAN'!$J:$J,0,0)),"")</f>
        <v/>
      </c>
      <c r="IT23" s="73" t="str">
        <f t="array" ref="IT23">IFERROR(IF(XLOOKUP(CONCAT(IQ23,IR23),'PROCESOS PRD'!$J:$J,'PROCESOS PRD'!$H:$H,0,0)=0,"",XLOOKUP(CONCAT(IQ23,IR23),'PROCESOS PRD'!$J:$J,'PROCESOS PRD'!$H:$H,0,0)),"")</f>
        <v/>
      </c>
      <c r="IU23" s="71"/>
      <c r="IV23" s="32"/>
      <c r="IW23" s="72" t="str">
        <f t="array" ref="IW23">IFERROR(IF(XLOOKUP(CONCAT(IU23,IV23),'MASTER PLAN'!$AB:$AB,'MASTER PLAN'!$J:$J,0,0)=0,"",XLOOKUP(CONCAT(IU23,IV23),'MASTER PLAN'!$AB:$AB,'MASTER PLAN'!$J:$J,0,0)),"")</f>
        <v/>
      </c>
      <c r="IX23" s="73" t="str">
        <f t="array" ref="IX23">IFERROR(IF(XLOOKUP(CONCAT(IU23,IV23),'PROCESOS PRD'!$J:$J,'PROCESOS PRD'!$H:$H,0,0)=0,"",XLOOKUP(CONCAT(IU23,IV23),'PROCESOS PRD'!$J:$J,'PROCESOS PRD'!$H:$H,0,0)),"")</f>
        <v/>
      </c>
      <c r="IY23" s="71"/>
      <c r="IZ23" s="32"/>
      <c r="JA23" s="72" t="str">
        <f t="array" ref="JA23">IFERROR(IF(XLOOKUP(CONCAT(IY23,IZ23),'MASTER PLAN'!$AB:$AB,'MASTER PLAN'!$J:$J,0,0)=0,"",XLOOKUP(CONCAT(IY23,IZ23),'MASTER PLAN'!$AB:$AB,'MASTER PLAN'!$J:$J,0,0)),"")</f>
        <v/>
      </c>
      <c r="JB23" s="73" t="str">
        <f t="array" ref="JB23">IFERROR(IF(XLOOKUP(CONCAT(IY23,IZ23),'PROCESOS PRD'!$J:$J,'PROCESOS PRD'!$H:$H,0,0)=0,"",XLOOKUP(CONCAT(IY23,IZ23),'PROCESOS PRD'!$J:$J,'PROCESOS PRD'!$H:$H,0,0)),"")</f>
        <v/>
      </c>
      <c r="JC23" s="71"/>
      <c r="JD23" s="32"/>
      <c r="JE23" s="72" t="str">
        <f t="array" ref="JE23">IFERROR(IF(XLOOKUP(CONCAT(JC23,JD23),'MASTER PLAN'!$AB:$AB,'MASTER PLAN'!$J:$J,0,0)=0,"",XLOOKUP(CONCAT(JC23,JD23),'MASTER PLAN'!$AB:$AB,'MASTER PLAN'!$J:$J,0,0)),"")</f>
        <v/>
      </c>
      <c r="JF23" s="73" t="str">
        <f t="array" ref="JF23">IFERROR(IF(XLOOKUP(CONCAT(JC23,JD23),'PROCESOS PRD'!$J:$J,'PROCESOS PRD'!$H:$H,0,0)=0,"",XLOOKUP(CONCAT(JC23,JD23),'PROCESOS PRD'!$J:$J,'PROCESOS PRD'!$H:$H,0,0)),"")</f>
        <v/>
      </c>
      <c r="JG23" s="71"/>
      <c r="JH23" s="32"/>
      <c r="JI23" s="72" t="str">
        <f t="array" ref="JI23">IFERROR(IF(XLOOKUP(CONCAT(JG23,JH23),'MASTER PLAN'!$AB:$AB,'MASTER PLAN'!$J:$J,0,0)=0,"",XLOOKUP(CONCAT(JG23,JH23),'MASTER PLAN'!$AB:$AB,'MASTER PLAN'!$J:$J,0,0)),"")</f>
        <v/>
      </c>
      <c r="JJ23" s="73" t="str">
        <f t="array" ref="JJ23">IFERROR(IF(XLOOKUP(CONCAT(JG23,JH23),'PROCESOS PRD'!$J:$J,'PROCESOS PRD'!$H:$H,0,0)=0,"",XLOOKUP(CONCAT(JG23,JH23),'PROCESOS PRD'!$J:$J,'PROCESOS PRD'!$H:$H,0,0)),"")</f>
        <v/>
      </c>
      <c r="JK23" s="70"/>
      <c r="JL23" s="71"/>
      <c r="JM23" s="32"/>
      <c r="JN23" s="72" t="str">
        <f t="array" ref="JN23">IFERROR(IF(XLOOKUP(CONCAT(JL23,JM23),'MASTER PLAN'!$AB:$AB,'MASTER PLAN'!$J:$J,0,0)=0,"",XLOOKUP(CONCAT(JL23,JM23),'MASTER PLAN'!$AB:$AB,'MASTER PLAN'!$J:$J,0,0)),"")</f>
        <v/>
      </c>
      <c r="JO23" s="73" t="str">
        <f t="array" ref="JO23">IFERROR(IF(XLOOKUP(CONCAT(JL23,JM23),'PROCESOS PRD'!$J:$J,'PROCESOS PRD'!$H:$H,0,0)=0,"",XLOOKUP(CONCAT(JL23,JM23),'PROCESOS PRD'!$J:$J,'PROCESOS PRD'!$H:$H,0,0)),"")</f>
        <v/>
      </c>
      <c r="JP23" s="71"/>
      <c r="JQ23" s="32"/>
      <c r="JR23" s="72" t="str">
        <f t="array" ref="JR23">IFERROR(IF(XLOOKUP(CONCAT(JP23,JQ23),'MASTER PLAN'!$AB:$AB,'MASTER PLAN'!$J:$J,0,0)=0,"",XLOOKUP(CONCAT(JP23,JQ23),'MASTER PLAN'!$AB:$AB,'MASTER PLAN'!$J:$J,0,0)),"")</f>
        <v/>
      </c>
      <c r="JS23" s="73" t="str">
        <f t="array" ref="JS23">IFERROR(IF(XLOOKUP(CONCAT(JP23,JQ23),'PROCESOS PRD'!$J:$J,'PROCESOS PRD'!$H:$H,0,0)=0,"",XLOOKUP(CONCAT(JP23,JQ23),'PROCESOS PRD'!$J:$J,'PROCESOS PRD'!$H:$H,0,0)),"")</f>
        <v/>
      </c>
      <c r="JT23" s="71"/>
      <c r="JU23" s="32"/>
      <c r="JV23" s="72" t="str">
        <f t="array" ref="JV23">IFERROR(IF(XLOOKUP(CONCAT(JT23,JU23),'MASTER PLAN'!$AB:$AB,'MASTER PLAN'!$J:$J,0,0)=0,"",XLOOKUP(CONCAT(JT23,JU23),'MASTER PLAN'!$AB:$AB,'MASTER PLAN'!$J:$J,0,0)),"")</f>
        <v/>
      </c>
      <c r="JW23" s="73" t="str">
        <f t="array" ref="JW23">IFERROR(IF(XLOOKUP(CONCAT(JT23,JU23),'PROCESOS PRD'!$J:$J,'PROCESOS PRD'!$H:$H,0,0)=0,"",XLOOKUP(CONCAT(JT23,JU23),'PROCESOS PRD'!$J:$J,'PROCESOS PRD'!$H:$H,0,0)),"")</f>
        <v/>
      </c>
      <c r="JX23" s="71"/>
      <c r="JY23" s="32"/>
      <c r="JZ23" s="72" t="str">
        <f t="array" ref="JZ23">IFERROR(IF(XLOOKUP(CONCAT(JX23,JY23),'MASTER PLAN'!$AB:$AB,'MASTER PLAN'!$J:$J,0,0)=0,"",XLOOKUP(CONCAT(JX23,JY23),'MASTER PLAN'!$AB:$AB,'MASTER PLAN'!$J:$J,0,0)),"")</f>
        <v/>
      </c>
      <c r="KA23" s="73" t="str">
        <f t="array" ref="KA23">IFERROR(IF(XLOOKUP(CONCAT(JX23,JY23),'PROCESOS PRD'!$J:$J,'PROCESOS PRD'!$H:$H,0,0)=0,"",XLOOKUP(CONCAT(JX23,JY23),'PROCESOS PRD'!$J:$J,'PROCESOS PRD'!$H:$H,0,0)),"")</f>
        <v/>
      </c>
      <c r="KB23" s="71"/>
      <c r="KC23" s="32"/>
      <c r="KD23" s="72" t="str">
        <f t="array" ref="KD23">IFERROR(IF(XLOOKUP(CONCAT(KB23,KC23),'MASTER PLAN'!$AB:$AB,'MASTER PLAN'!$J:$J,0,0)=0,"",XLOOKUP(CONCAT(KB23,KC23),'MASTER PLAN'!$AB:$AB,'MASTER PLAN'!$J:$J,0,0)),"")</f>
        <v/>
      </c>
      <c r="KE23" s="73" t="str">
        <f t="array" ref="KE23">IFERROR(IF(XLOOKUP(CONCAT(KB23,KC23),'PROCESOS PRD'!$J:$J,'PROCESOS PRD'!$H:$H,0,0)=0,"",XLOOKUP(CONCAT(KB23,KC23),'PROCESOS PRD'!$J:$J,'PROCESOS PRD'!$H:$H,0,0)),"")</f>
        <v/>
      </c>
      <c r="KF23" s="71"/>
      <c r="KG23" s="32"/>
      <c r="KH23" s="72" t="str">
        <f t="array" ref="KH23">IFERROR(IF(XLOOKUP(CONCAT(KF23,KG23),'MASTER PLAN'!$AB:$AB,'MASTER PLAN'!$J:$J,0,0)=0,"",XLOOKUP(CONCAT(KF23,KG23),'MASTER PLAN'!$AB:$AB,'MASTER PLAN'!$J:$J,0,0)),"")</f>
        <v/>
      </c>
      <c r="KI23" s="73" t="str">
        <f t="array" ref="KI23">IFERROR(IF(XLOOKUP(CONCAT(KF23,KG23),'PROCESOS PRD'!$J:$J,'PROCESOS PRD'!$H:$H,0,0)=0,"",XLOOKUP(CONCAT(KF23,KG23),'PROCESOS PRD'!$J:$J,'PROCESOS PRD'!$H:$H,0,0)),"")</f>
        <v/>
      </c>
      <c r="KJ23" s="70"/>
      <c r="KK23" s="70"/>
      <c r="KL23" s="70"/>
      <c r="KM23" s="70"/>
      <c r="KN23" s="70"/>
      <c r="KO23" s="70"/>
      <c r="KP23" s="70"/>
      <c r="KQ23" s="70"/>
      <c r="KR23" s="70"/>
      <c r="KS23" s="70"/>
      <c r="KT23" s="70"/>
      <c r="KU23" s="70"/>
      <c r="KV23" s="70"/>
      <c r="KW23" s="70"/>
      <c r="KX23" s="70"/>
      <c r="KY23" s="70"/>
      <c r="KZ23" s="70"/>
      <c r="LA23" s="70"/>
      <c r="LB23" s="70"/>
      <c r="LC23" s="70"/>
    </row>
    <row r="24" ht="15.75" customHeight="1">
      <c r="A24" s="42"/>
      <c r="B24" s="75"/>
      <c r="C24" s="76"/>
      <c r="D24" s="70"/>
      <c r="E24" s="77"/>
      <c r="F24" s="78"/>
      <c r="G24" s="79" t="str">
        <f t="array" ref="G24">IFERROR(IF(XLOOKUP(CONCAT(E24,F24),'MASTER PLAN'!$AB:$AB,'MASTER PLAN'!$J:$J,0,0)=0,"",XLOOKUP(CONCAT(E24,F24),'MASTER PLAN'!$AB:$AB,'MASTER PLAN'!$J:$J,0,0)),"")</f>
        <v/>
      </c>
      <c r="H24" s="80" t="str">
        <f t="array" ref="H24">IFERROR(IF(XLOOKUP(CONCAT(E24,F24),'PROCESOS PRD'!$J:$J,'PROCESOS PRD'!$H:$H,0,0)=0,"",XLOOKUP(CONCAT(E24,F24),'PROCESOS PRD'!$J:$J,'PROCESOS PRD'!$H:$H,0,0)),"")</f>
        <v/>
      </c>
      <c r="I24" s="77"/>
      <c r="J24" s="78"/>
      <c r="K24" s="79" t="str">
        <f t="array" ref="K24">IFERROR(IF(XLOOKUP(CONCAT(I24,J24),'MASTER PLAN'!$AB:$AB,'MASTER PLAN'!$J:$J,0,0)=0,"",XLOOKUP(CONCAT(I24,J24),'MASTER PLAN'!$AB:$AB,'MASTER PLAN'!$J:$J,0,0)),"")</f>
        <v/>
      </c>
      <c r="L24" s="80" t="str">
        <f t="array" ref="L24">IFERROR(IF(XLOOKUP(CONCAT(I24,J24),'PROCESOS PRD'!$J:$J,'PROCESOS PRD'!$H:$H,0,0)=0,"",XLOOKUP(CONCAT(I24,J24),'PROCESOS PRD'!$J:$J,'PROCESOS PRD'!$H:$H,0,0)),"")</f>
        <v/>
      </c>
      <c r="M24" s="77"/>
      <c r="N24" s="78"/>
      <c r="O24" s="79" t="str">
        <f t="array" ref="O24">IFERROR(IF(XLOOKUP(CONCAT(M24,N24),'MASTER PLAN'!$AB:$AB,'MASTER PLAN'!$J:$J,0,0)=0,"",XLOOKUP(CONCAT(M24,N24),'MASTER PLAN'!$AB:$AB,'MASTER PLAN'!$J:$J,0,0)),"")</f>
        <v/>
      </c>
      <c r="P24" s="80" t="str">
        <f t="array" ref="P24">IFERROR(IF(XLOOKUP(CONCAT(M24,N24),'PROCESOS PRD'!$J:$J,'PROCESOS PRD'!$H:$H,0,0)=0,"",XLOOKUP(CONCAT(M24,N24),'PROCESOS PRD'!$J:$J,'PROCESOS PRD'!$H:$H,0,0)),"")</f>
        <v/>
      </c>
      <c r="Q24" s="77"/>
      <c r="R24" s="78"/>
      <c r="S24" s="79" t="str">
        <f t="array" ref="S24">IFERROR(IF(XLOOKUP(CONCAT(Q24,R24),'MASTER PLAN'!$AB:$AB,'MASTER PLAN'!$J:$J,0,0)=0,"",XLOOKUP(CONCAT(Q24,R24),'MASTER PLAN'!$AB:$AB,'MASTER PLAN'!$J:$J,0,0)),"")</f>
        <v/>
      </c>
      <c r="T24" s="80" t="str">
        <f t="array" ref="T24">IFERROR(IF(XLOOKUP(CONCAT(Q24,R24),'PROCESOS PRD'!$J:$J,'PROCESOS PRD'!$H:$H,0,0)=0,"",XLOOKUP(CONCAT(Q24,R24),'PROCESOS PRD'!$J:$J,'PROCESOS PRD'!$H:$H,0,0)),"")</f>
        <v/>
      </c>
      <c r="U24" s="70"/>
      <c r="V24" s="77"/>
      <c r="W24" s="78"/>
      <c r="X24" s="79" t="str">
        <f t="array" ref="X24">IFERROR(IF(XLOOKUP(CONCAT(V24,W24),'MASTER PLAN'!$AB:$AB,'MASTER PLAN'!$J:$J,0,0)=0,"",XLOOKUP(CONCAT(V24,W24),'MASTER PLAN'!$AB:$AB,'MASTER PLAN'!$J:$J,0,0)),"")</f>
        <v/>
      </c>
      <c r="Y24" s="80" t="str">
        <f t="array" ref="Y24">IFERROR(IF(XLOOKUP(CONCAT(V24,W24),'PROCESOS PRD'!$J:$J,'PROCESOS PRD'!$H:$H,0,0)=0,"",XLOOKUP(CONCAT(V24,W24),'PROCESOS PRD'!$J:$J,'PROCESOS PRD'!$H:$H,0,0)),"")</f>
        <v/>
      </c>
      <c r="Z24" s="77"/>
      <c r="AA24" s="78"/>
      <c r="AB24" s="79" t="str">
        <f t="array" ref="AB24">IFERROR(IF(XLOOKUP(CONCAT(Z24,AA24),'MASTER PLAN'!$AB:$AB,'MASTER PLAN'!$J:$J,0,0)=0,"",XLOOKUP(CONCAT(Z24,AA24),'MASTER PLAN'!$AB:$AB,'MASTER PLAN'!$J:$J,0,0)),"")</f>
        <v/>
      </c>
      <c r="AC24" s="80" t="str">
        <f t="array" ref="AC24">IFERROR(IF(XLOOKUP(CONCAT(Z24,AA24),'PROCESOS PRD'!$J:$J,'PROCESOS PRD'!$H:$H,0,0)=0,"",XLOOKUP(CONCAT(Z24,AA24),'PROCESOS PRD'!$J:$J,'PROCESOS PRD'!$H:$H,0,0)),"")</f>
        <v/>
      </c>
      <c r="AD24" s="77"/>
      <c r="AE24" s="78"/>
      <c r="AF24" s="79" t="str">
        <f t="array" ref="AF24">IFERROR(IF(XLOOKUP(CONCAT(AD24,AE24),'MASTER PLAN'!$AB:$AB,'MASTER PLAN'!$J:$J,0,0)=0,"",XLOOKUP(CONCAT(AD24,AE24),'MASTER PLAN'!$AB:$AB,'MASTER PLAN'!$J:$J,0,0)),"")</f>
        <v/>
      </c>
      <c r="AG24" s="80" t="str">
        <f t="array" ref="AG24">IFERROR(IF(XLOOKUP(CONCAT(AD24,AE24),'PROCESOS PRD'!$J:$J,'PROCESOS PRD'!$H:$H,0,0)=0,"",XLOOKUP(CONCAT(AD24,AE24),'PROCESOS PRD'!$J:$J,'PROCESOS PRD'!$H:$H,0,0)),"")</f>
        <v/>
      </c>
      <c r="AH24" s="77"/>
      <c r="AI24" s="78"/>
      <c r="AJ24" s="79" t="str">
        <f t="array" ref="AJ24">IFERROR(IF(XLOOKUP(CONCAT(AH24,AI24),'MASTER PLAN'!$AB:$AB,'MASTER PLAN'!$J:$J,0,0)=0,"",XLOOKUP(CONCAT(AH24,AI24),'MASTER PLAN'!$AB:$AB,'MASTER PLAN'!$J:$J,0,0)),"")</f>
        <v/>
      </c>
      <c r="AK24" s="80" t="str">
        <f t="array" ref="AK24">IFERROR(IF(XLOOKUP(CONCAT(AH24,AI24),'PROCESOS PRD'!$J:$J,'PROCESOS PRD'!$H:$H,0,0)=0,"",XLOOKUP(CONCAT(AH24,AI24),'PROCESOS PRD'!$J:$J,'PROCESOS PRD'!$H:$H,0,0)),"")</f>
        <v/>
      </c>
      <c r="AL24" s="92"/>
      <c r="AM24" s="93"/>
      <c r="AN24" s="79" t="str">
        <f t="array" ref="AN24">IFERROR(IF(XLOOKUP(CONCAT(AL24,AM24),'MASTER PLAN'!$AB:$AB,'MASTER PLAN'!$J:$J,0,0)=0,"",XLOOKUP(CONCAT(AL24,AM24),'MASTER PLAN'!$AB:$AB,'MASTER PLAN'!$J:$J,0,0)),"")</f>
        <v/>
      </c>
      <c r="AO24" s="80" t="str">
        <f t="array" ref="AO24">IFERROR(IF(XLOOKUP(CONCAT(AL24,AM24),'PROCESOS PRD'!$J:$J,'PROCESOS PRD'!$H:$H,0,0)=0,"",XLOOKUP(CONCAT(AL24,AM24),'PROCESOS PRD'!$J:$J,'PROCESOS PRD'!$H:$H,0,0)),"")</f>
        <v/>
      </c>
      <c r="AP24" s="77"/>
      <c r="AQ24" s="78"/>
      <c r="AR24" s="79" t="str">
        <f t="array" ref="AR24">IFERROR(IF(XLOOKUP(CONCAT(AP24,AQ24),'MASTER PLAN'!$AB:$AB,'MASTER PLAN'!$J:$J,0,0)=0,"",XLOOKUP(CONCAT(AP24,AQ24),'MASTER PLAN'!$AB:$AB,'MASTER PLAN'!$J:$J,0,0)),"")</f>
        <v/>
      </c>
      <c r="AS24" s="80" t="str">
        <f t="array" ref="AS24">IFERROR(IF(XLOOKUP(CONCAT(AP24,AQ24),'PROCESOS PRD'!$J:$J,'PROCESOS PRD'!$H:$H,0,0)=0,"",XLOOKUP(CONCAT(AP24,AQ24),'PROCESOS PRD'!$J:$J,'PROCESOS PRD'!$H:$H,0,0)),"")</f>
        <v/>
      </c>
      <c r="AT24" s="70"/>
      <c r="AU24" s="77"/>
      <c r="AV24" s="78"/>
      <c r="AW24" s="79" t="str">
        <f t="array" ref="AW24">IFERROR(IF(XLOOKUP(CONCAT(AU24,AV24),'MASTER PLAN'!$AB:$AB,'MASTER PLAN'!$J:$J,0,0)=0,"",XLOOKUP(CONCAT(AU24,AV24),'MASTER PLAN'!$AB:$AB,'MASTER PLAN'!$J:$J,0,0)),"")</f>
        <v/>
      </c>
      <c r="AX24" s="80" t="str">
        <f t="array" ref="AX24">IFERROR(IF(XLOOKUP(CONCAT(AU24,AV24),'PROCESOS PRD'!$J:$J,'PROCESOS PRD'!$H:$H,0,0)=0,"",XLOOKUP(CONCAT(AU24,AV24),'PROCESOS PRD'!$J:$J,'PROCESOS PRD'!$H:$H,0,0)),"")</f>
        <v/>
      </c>
      <c r="AY24" s="92"/>
      <c r="AZ24" s="93"/>
      <c r="BA24" s="79" t="str">
        <f t="array" ref="BA24">IFERROR(IF(XLOOKUP(CONCAT(AY24,AZ24),'MASTER PLAN'!$AB:$AB,'MASTER PLAN'!$J:$J,0,0)=0,"",XLOOKUP(CONCAT(AY24,AZ24),'MASTER PLAN'!$AB:$AB,'MASTER PLAN'!$J:$J,0,0)),"")</f>
        <v/>
      </c>
      <c r="BB24" s="80" t="str">
        <f t="array" ref="BB24">IFERROR(IF(XLOOKUP(CONCAT(AY24,AZ24),'PROCESOS PRD'!$J:$J,'PROCESOS PRD'!$H:$H,0,0)=0,"",XLOOKUP(CONCAT(AY24,AZ24),'PROCESOS PRD'!$J:$J,'PROCESOS PRD'!$H:$H,0,0)),"")</f>
        <v/>
      </c>
      <c r="BC24" s="77"/>
      <c r="BD24" s="78"/>
      <c r="BE24" s="79" t="str">
        <f t="array" ref="BE24">IFERROR(IF(XLOOKUP(CONCAT(BC24,BD24),'MASTER PLAN'!$AB:$AB,'MASTER PLAN'!$J:$J,0,0)=0,"",XLOOKUP(CONCAT(BC24,BD24),'MASTER PLAN'!$AB:$AB,'MASTER PLAN'!$J:$J,0,0)),"")</f>
        <v/>
      </c>
      <c r="BF24" s="80" t="str">
        <f t="array" ref="BF24">IFERROR(IF(XLOOKUP(CONCAT(BC24,BD24),'PROCESOS PRD'!$J:$J,'PROCESOS PRD'!$H:$H,0,0)=0,"",XLOOKUP(CONCAT(BC24,BD24),'PROCESOS PRD'!$J:$J,'PROCESOS PRD'!$H:$H,0,0)),"")</f>
        <v/>
      </c>
      <c r="BG24" s="77"/>
      <c r="BH24" s="78"/>
      <c r="BI24" s="79" t="str">
        <f t="array" ref="BI24">IFERROR(IF(XLOOKUP(CONCAT(BG24,BH24),'MASTER PLAN'!$AB:$AB,'MASTER PLAN'!$J:$J,0,0)=0,"",XLOOKUP(CONCAT(BG24,BH24),'MASTER PLAN'!$AB:$AB,'MASTER PLAN'!$J:$J,0,0)),"")</f>
        <v/>
      </c>
      <c r="BJ24" s="80" t="str">
        <f t="array" ref="BJ24">IFERROR(IF(XLOOKUP(CONCAT(BG24,BH24),'PROCESOS PRD'!$J:$J,'PROCESOS PRD'!$H:$H,0,0)=0,"",XLOOKUP(CONCAT(BG24,BH24),'PROCESOS PRD'!$J:$J,'PROCESOS PRD'!$H:$H,0,0)),"")</f>
        <v/>
      </c>
      <c r="BK24" s="77"/>
      <c r="BL24" s="78"/>
      <c r="BM24" s="79" t="str">
        <f t="array" ref="BM24">IFERROR(IF(XLOOKUP(CONCAT(BK24,BL24),'MASTER PLAN'!$AB:$AB,'MASTER PLAN'!$J:$J,0,0)=0,"",XLOOKUP(CONCAT(BK24,BL24),'MASTER PLAN'!$AB:$AB,'MASTER PLAN'!$J:$J,0,0)),"")</f>
        <v/>
      </c>
      <c r="BN24" s="80" t="str">
        <f t="array" ref="BN24">IFERROR(IF(XLOOKUP(CONCAT(BK24,BL24),'PROCESOS PRD'!$J:$J,'PROCESOS PRD'!$H:$H,0,0)=0,"",XLOOKUP(CONCAT(BK24,BL24),'PROCESOS PRD'!$J:$J,'PROCESOS PRD'!$H:$H,0,0)),"")</f>
        <v/>
      </c>
      <c r="BO24" s="77"/>
      <c r="BP24" s="78"/>
      <c r="BQ24" s="79" t="str">
        <f t="array" ref="BQ24">IFERROR(IF(XLOOKUP(CONCAT(BO24,BP24),'MASTER PLAN'!$AB:$AB,'MASTER PLAN'!$J:$J,0,0)=0,"",XLOOKUP(CONCAT(BO24,BP24),'MASTER PLAN'!$AB:$AB,'MASTER PLAN'!$J:$J,0,0)),"")</f>
        <v/>
      </c>
      <c r="BR24" s="80" t="str">
        <f t="array" ref="BR24">IFERROR(IF(XLOOKUP(CONCAT(BO24,BP24),'PROCESOS PRD'!$J:$J,'PROCESOS PRD'!$H:$H,0,0)=0,"",XLOOKUP(CONCAT(BO24,BP24),'PROCESOS PRD'!$J:$J,'PROCESOS PRD'!$H:$H,0,0)),"")</f>
        <v/>
      </c>
      <c r="BS24" s="70"/>
      <c r="BT24" s="77"/>
      <c r="BU24" s="78"/>
      <c r="BV24" s="79" t="str">
        <f t="array" ref="BV24">IFERROR(IF(XLOOKUP(CONCAT(BT24,BU24),'MASTER PLAN'!$AB:$AB,'MASTER PLAN'!$J:$J,0,0)=0,"",XLOOKUP(CONCAT(BT24,BU24),'MASTER PLAN'!$AB:$AB,'MASTER PLAN'!$J:$J,0,0)),"")</f>
        <v/>
      </c>
      <c r="BW24" s="80" t="str">
        <f t="array" ref="BW24">IFERROR(IF(XLOOKUP(CONCAT(BT24,BU24),'PROCESOS PRD'!$J:$J,'PROCESOS PRD'!$H:$H,0,0)=0,"",XLOOKUP(CONCAT(BT24,BU24),'PROCESOS PRD'!$J:$J,'PROCESOS PRD'!$H:$H,0,0)),"")</f>
        <v/>
      </c>
      <c r="BX24" s="77"/>
      <c r="BY24" s="78"/>
      <c r="BZ24" s="79" t="str">
        <f t="array" ref="BZ24">IFERROR(IF(XLOOKUP(CONCAT(BX24,BY24),'MASTER PLAN'!$AB:$AB,'MASTER PLAN'!$J:$J,0,0)=0,"",XLOOKUP(CONCAT(BX24,BY24),'MASTER PLAN'!$AB:$AB,'MASTER PLAN'!$J:$J,0,0)),"")</f>
        <v/>
      </c>
      <c r="CA24" s="80" t="str">
        <f t="array" ref="CA24">IFERROR(IF(XLOOKUP(CONCAT(BX24,BY24),'PROCESOS PRD'!$J:$J,'PROCESOS PRD'!$H:$H,0,0)=0,"",XLOOKUP(CONCAT(BX24,BY24),'PROCESOS PRD'!$J:$J,'PROCESOS PRD'!$H:$H,0,0)),"")</f>
        <v/>
      </c>
      <c r="CB24" s="77"/>
      <c r="CC24" s="78"/>
      <c r="CD24" s="79" t="str">
        <f t="array" ref="CD24">IFERROR(IF(XLOOKUP(CONCAT(CB24,CC24),'MASTER PLAN'!$AB:$AB,'MASTER PLAN'!$J:$J,0,0)=0,"",XLOOKUP(CONCAT(CB24,CC24),'MASTER PLAN'!$AB:$AB,'MASTER PLAN'!$J:$J,0,0)),"")</f>
        <v/>
      </c>
      <c r="CE24" s="80" t="str">
        <f t="array" ref="CE24">IFERROR(IF(XLOOKUP(CONCAT(CB24,CC24),'PROCESOS PRD'!$J:$J,'PROCESOS PRD'!$H:$H,0,0)=0,"",XLOOKUP(CONCAT(CB24,CC24),'PROCESOS PRD'!$J:$J,'PROCESOS PRD'!$H:$H,0,0)),"")</f>
        <v/>
      </c>
      <c r="CF24" s="77"/>
      <c r="CG24" s="78"/>
      <c r="CH24" s="79" t="str">
        <f t="array" ref="CH24">IFERROR(IF(XLOOKUP(CONCAT(CF24,CG24),'MASTER PLAN'!$AB:$AB,'MASTER PLAN'!$J:$J,0,0)=0,"",XLOOKUP(CONCAT(CF24,CG24),'MASTER PLAN'!$AB:$AB,'MASTER PLAN'!$J:$J,0,0)),"")</f>
        <v/>
      </c>
      <c r="CI24" s="80" t="str">
        <f t="array" ref="CI24">IFERROR(IF(XLOOKUP(CONCAT(CF24,CG24),'PROCESOS PRD'!$J:$J,'PROCESOS PRD'!$H:$H,0,0)=0,"",XLOOKUP(CONCAT(CF24,CG24),'PROCESOS PRD'!$J:$J,'PROCESOS PRD'!$H:$H,0,0)),"")</f>
        <v/>
      </c>
      <c r="CJ24" s="77"/>
      <c r="CK24" s="78"/>
      <c r="CL24" s="79" t="str">
        <f t="array" ref="CL24">IFERROR(IF(XLOOKUP(CONCAT(CJ24,CK24),'MASTER PLAN'!$AB:$AB,'MASTER PLAN'!$J:$J,0,0)=0,"",XLOOKUP(CONCAT(CJ24,CK24),'MASTER PLAN'!$AB:$AB,'MASTER PLAN'!$J:$J,0,0)),"")</f>
        <v/>
      </c>
      <c r="CM24" s="80" t="str">
        <f t="array" ref="CM24">IFERROR(IF(XLOOKUP(CONCAT(CJ24,CK24),'PROCESOS PRD'!$J:$J,'PROCESOS PRD'!$H:$H,0,0)=0,"",XLOOKUP(CONCAT(CJ24,CK24),'PROCESOS PRD'!$J:$J,'PROCESOS PRD'!$H:$H,0,0)),"")</f>
        <v/>
      </c>
      <c r="CN24" s="77"/>
      <c r="CO24" s="78"/>
      <c r="CP24" s="79" t="str">
        <f t="array" ref="CP24">IFERROR(IF(XLOOKUP(CONCAT(CN24,CO24),'MASTER PLAN'!$AB:$AB,'MASTER PLAN'!$J:$J,0,0)=0,"",XLOOKUP(CONCAT(CN24,CO24),'MASTER PLAN'!$AB:$AB,'MASTER PLAN'!$J:$J,0,0)),"")</f>
        <v/>
      </c>
      <c r="CQ24" s="80" t="str">
        <f t="array" ref="CQ24">IFERROR(IF(XLOOKUP(CONCAT(CN24,CO24),'PROCESOS PRD'!$J:$J,'PROCESOS PRD'!$H:$H,0,0)=0,"",XLOOKUP(CONCAT(CN24,CO24),'PROCESOS PRD'!$J:$J,'PROCESOS PRD'!$H:$H,0,0)),"")</f>
        <v/>
      </c>
      <c r="CR24" s="70"/>
      <c r="CS24" s="77"/>
      <c r="CT24" s="78"/>
      <c r="CU24" s="79" t="str">
        <f t="array" ref="CU24">IFERROR(IF(XLOOKUP(CONCAT(CS24,CT24),'MASTER PLAN'!$AB:$AB,'MASTER PLAN'!$J:$J,0,0)=0,"",XLOOKUP(CONCAT(CS24,CT24),'MASTER PLAN'!$AB:$AB,'MASTER PLAN'!$J:$J,0,0)),"")</f>
        <v/>
      </c>
      <c r="CV24" s="80" t="str">
        <f t="array" ref="CV24">IFERROR(IF(XLOOKUP(CONCAT(CS24,CT24),'PROCESOS PRD'!$J:$J,'PROCESOS PRD'!$H:$H,0,0)=0,"",XLOOKUP(CONCAT(CS24,CT24),'PROCESOS PRD'!$J:$J,'PROCESOS PRD'!$H:$H,0,0)),"")</f>
        <v/>
      </c>
      <c r="CW24" s="77"/>
      <c r="CX24" s="78"/>
      <c r="CY24" s="79" t="str">
        <f t="array" ref="CY24">IFERROR(IF(XLOOKUP(CONCAT(CW24,CX24),'MASTER PLAN'!$AB:$AB,'MASTER PLAN'!$J:$J,0,0)=0,"",XLOOKUP(CONCAT(CW24,CX24),'MASTER PLAN'!$AB:$AB,'MASTER PLAN'!$J:$J,0,0)),"")</f>
        <v/>
      </c>
      <c r="CZ24" s="80" t="str">
        <f t="array" ref="CZ24">IFERROR(IF(XLOOKUP(CONCAT(CW24,CX24),'PROCESOS PRD'!$J:$J,'PROCESOS PRD'!$H:$H,0,0)=0,"",XLOOKUP(CONCAT(CW24,CX24),'PROCESOS PRD'!$J:$J,'PROCESOS PRD'!$H:$H,0,0)),"")</f>
        <v/>
      </c>
      <c r="DA24" s="77"/>
      <c r="DB24" s="78"/>
      <c r="DC24" s="79" t="str">
        <f t="array" ref="DC24">IFERROR(IF(XLOOKUP(CONCAT(DA24,DB24),'MASTER PLAN'!$AB:$AB,'MASTER PLAN'!$J:$J,0,0)=0,"",XLOOKUP(CONCAT(DA24,DB24),'MASTER PLAN'!$AB:$AB,'MASTER PLAN'!$J:$J,0,0)),"")</f>
        <v/>
      </c>
      <c r="DD24" s="80" t="str">
        <f t="array" ref="DD24">IFERROR(IF(XLOOKUP(CONCAT(DA24,DB24),'PROCESOS PRD'!$J:$J,'PROCESOS PRD'!$H:$H,0,0)=0,"",XLOOKUP(CONCAT(DA24,DB24),'PROCESOS PRD'!$J:$J,'PROCESOS PRD'!$H:$H,0,0)),"")</f>
        <v/>
      </c>
      <c r="DE24" s="77"/>
      <c r="DF24" s="78"/>
      <c r="DG24" s="79" t="str">
        <f t="array" ref="DG24">IFERROR(IF(XLOOKUP(CONCAT(DE24,DF24),'MASTER PLAN'!$AB:$AB,'MASTER PLAN'!$J:$J,0,0)=0,"",XLOOKUP(CONCAT(DE24,DF24),'MASTER PLAN'!$AB:$AB,'MASTER PLAN'!$J:$J,0,0)),"")</f>
        <v/>
      </c>
      <c r="DH24" s="80" t="str">
        <f t="array" ref="DH24">IFERROR(IF(XLOOKUP(CONCAT(DE24,DF24),'PROCESOS PRD'!$J:$J,'PROCESOS PRD'!$H:$H,0,0)=0,"",XLOOKUP(CONCAT(DE24,DF24),'PROCESOS PRD'!$J:$J,'PROCESOS PRD'!$H:$H,0,0)),"")</f>
        <v/>
      </c>
      <c r="DI24" s="77"/>
      <c r="DJ24" s="78"/>
      <c r="DK24" s="79" t="str">
        <f t="array" ref="DK24">IFERROR(IF(XLOOKUP(CONCAT(DI24,DJ24),'MASTER PLAN'!$AB:$AB,'MASTER PLAN'!$J:$J,0,0)=0,"",XLOOKUP(CONCAT(DI24,DJ24),'MASTER PLAN'!$AB:$AB,'MASTER PLAN'!$J:$J,0,0)),"")</f>
        <v/>
      </c>
      <c r="DL24" s="80" t="str">
        <f t="array" ref="DL24">IFERROR(IF(XLOOKUP(CONCAT(DI24,DJ24),'PROCESOS PRD'!$J:$J,'PROCESOS PRD'!$H:$H,0,0)=0,"",XLOOKUP(CONCAT(DI24,DJ24),'PROCESOS PRD'!$J:$J,'PROCESOS PRD'!$H:$H,0,0)),"")</f>
        <v/>
      </c>
      <c r="DM24" s="77"/>
      <c r="DN24" s="78"/>
      <c r="DO24" s="79" t="str">
        <f t="array" ref="DO24">IFERROR(IF(XLOOKUP(CONCAT(DM24,DN24),'MASTER PLAN'!$AB:$AB,'MASTER PLAN'!$J:$J,0,0)=0,"",XLOOKUP(CONCAT(DM24,DN24),'MASTER PLAN'!$AB:$AB,'MASTER PLAN'!$J:$J,0,0)),"")</f>
        <v/>
      </c>
      <c r="DP24" s="80" t="str">
        <f t="array" ref="DP24">IFERROR(IF(XLOOKUP(CONCAT(DM24,DN24),'PROCESOS PRD'!$J:$J,'PROCESOS PRD'!$H:$H,0,0)=0,"",XLOOKUP(CONCAT(DM24,DN24),'PROCESOS PRD'!$J:$J,'PROCESOS PRD'!$H:$H,0,0)),"")</f>
        <v/>
      </c>
      <c r="DQ24" s="70"/>
      <c r="DR24" s="77"/>
      <c r="DS24" s="78"/>
      <c r="DT24" s="79" t="str">
        <f t="array" ref="DT24">IFERROR(IF(XLOOKUP(CONCAT(DR24,DS24),'MASTER PLAN'!$AB:$AB,'MASTER PLAN'!$J:$J,0,0)=0,"",XLOOKUP(CONCAT(DR24,DS24),'MASTER PLAN'!$AB:$AB,'MASTER PLAN'!$J:$J,0,0)),"")</f>
        <v/>
      </c>
      <c r="DU24" s="80" t="str">
        <f t="array" ref="DU24">IFERROR(IF(XLOOKUP(CONCAT(DR24,DS24),'PROCESOS PRD'!$J:$J,'PROCESOS PRD'!$H:$H,0,0)=0,"",XLOOKUP(CONCAT(DR24,DS24),'PROCESOS PRD'!$J:$J,'PROCESOS PRD'!$H:$H,0,0)),"")</f>
        <v/>
      </c>
      <c r="DV24" s="77"/>
      <c r="DW24" s="78"/>
      <c r="DX24" s="79" t="str">
        <f t="array" ref="DX24">IFERROR(IF(XLOOKUP(CONCAT(DV24,DW24),'MASTER PLAN'!$AB:$AB,'MASTER PLAN'!$J:$J,0,0)=0,"",XLOOKUP(CONCAT(DV24,DW24),'MASTER PLAN'!$AB:$AB,'MASTER PLAN'!$J:$J,0,0)),"")</f>
        <v/>
      </c>
      <c r="DY24" s="80" t="str">
        <f t="array" ref="DY24">IFERROR(IF(XLOOKUP(CONCAT(DV24,DW24),'PROCESOS PRD'!$J:$J,'PROCESOS PRD'!$H:$H,0,0)=0,"",XLOOKUP(CONCAT(DV24,DW24),'PROCESOS PRD'!$J:$J,'PROCESOS PRD'!$H:$H,0,0)),"")</f>
        <v/>
      </c>
      <c r="DZ24" s="77"/>
      <c r="EA24" s="78"/>
      <c r="EB24" s="79" t="str">
        <f t="array" ref="EB24">IFERROR(IF(XLOOKUP(CONCAT(DZ24,EA24),'MASTER PLAN'!$AB:$AB,'MASTER PLAN'!$J:$J,0,0)=0,"",XLOOKUP(CONCAT(DZ24,EA24),'MASTER PLAN'!$AB:$AB,'MASTER PLAN'!$J:$J,0,0)),"")</f>
        <v/>
      </c>
      <c r="EC24" s="80" t="str">
        <f t="array" ref="EC24">IFERROR(IF(XLOOKUP(CONCAT(DZ24,EA24),'PROCESOS PRD'!$J:$J,'PROCESOS PRD'!$H:$H,0,0)=0,"",XLOOKUP(CONCAT(DZ24,EA24),'PROCESOS PRD'!$J:$J,'PROCESOS PRD'!$H:$H,0,0)),"")</f>
        <v/>
      </c>
      <c r="ED24" s="77"/>
      <c r="EE24" s="78"/>
      <c r="EF24" s="79" t="str">
        <f t="array" ref="EF24">IFERROR(IF(XLOOKUP(CONCAT(ED24,EE24),'MASTER PLAN'!$AB:$AB,'MASTER PLAN'!$J:$J,0,0)=0,"",XLOOKUP(CONCAT(ED24,EE24),'MASTER PLAN'!$AB:$AB,'MASTER PLAN'!$J:$J,0,0)),"")</f>
        <v/>
      </c>
      <c r="EG24" s="80" t="str">
        <f t="array" ref="EG24">IFERROR(IF(XLOOKUP(CONCAT(ED24,EE24),'PROCESOS PRD'!$J:$J,'PROCESOS PRD'!$H:$H,0,0)=0,"",XLOOKUP(CONCAT(ED24,EE24),'PROCESOS PRD'!$J:$J,'PROCESOS PRD'!$H:$H,0,0)),"")</f>
        <v/>
      </c>
      <c r="EH24" s="77"/>
      <c r="EI24" s="78"/>
      <c r="EJ24" s="79" t="str">
        <f t="array" ref="EJ24">IFERROR(IF(XLOOKUP(CONCAT(EH24,EI24),'MASTER PLAN'!$AB:$AB,'MASTER PLAN'!$J:$J,0,0)=0,"",XLOOKUP(CONCAT(EH24,EI24),'MASTER PLAN'!$AB:$AB,'MASTER PLAN'!$J:$J,0,0)),"")</f>
        <v/>
      </c>
      <c r="EK24" s="80" t="str">
        <f t="array" ref="EK24">IFERROR(IF(XLOOKUP(CONCAT(EH24,EI24),'PROCESOS PRD'!$J:$J,'PROCESOS PRD'!$H:$H,0,0)=0,"",XLOOKUP(CONCAT(EH24,EI24),'PROCESOS PRD'!$J:$J,'PROCESOS PRD'!$H:$H,0,0)),"")</f>
        <v/>
      </c>
      <c r="EL24" s="77"/>
      <c r="EM24" s="78"/>
      <c r="EN24" s="79" t="str">
        <f t="array" ref="EN24">IFERROR(IF(XLOOKUP(CONCAT(EL24,EM24),'MASTER PLAN'!$AB:$AB,'MASTER PLAN'!$J:$J,0,0)=0,"",XLOOKUP(CONCAT(EL24,EM24),'MASTER PLAN'!$AB:$AB,'MASTER PLAN'!$J:$J,0,0)),"")</f>
        <v/>
      </c>
      <c r="EO24" s="80" t="str">
        <f t="array" ref="EO24">IFERROR(IF(XLOOKUP(CONCAT(EL24,EM24),'PROCESOS PRD'!$J:$J,'PROCESOS PRD'!$H:$H,0,0)=0,"",XLOOKUP(CONCAT(EL24,EM24),'PROCESOS PRD'!$J:$J,'PROCESOS PRD'!$H:$H,0,0)),"")</f>
        <v/>
      </c>
      <c r="EP24" s="70"/>
      <c r="EQ24" s="77"/>
      <c r="ER24" s="78"/>
      <c r="ES24" s="79" t="str">
        <f t="array" ref="ES24">IFERROR(IF(XLOOKUP(CONCAT(EQ24,ER24),'MASTER PLAN'!$AB:$AB,'MASTER PLAN'!$J:$J,0,0)=0,"",XLOOKUP(CONCAT(EQ24,ER24),'MASTER PLAN'!$AB:$AB,'MASTER PLAN'!$J:$J,0,0)),"")</f>
        <v/>
      </c>
      <c r="ET24" s="80" t="str">
        <f t="array" ref="ET24">IFERROR(IF(XLOOKUP(CONCAT(EQ24,ER24),'PROCESOS PRD'!$J:$J,'PROCESOS PRD'!$H:$H,0,0)=0,"",XLOOKUP(CONCAT(EQ24,ER24),'PROCESOS PRD'!$J:$J,'PROCESOS PRD'!$H:$H,0,0)),"")</f>
        <v/>
      </c>
      <c r="EU24" s="77"/>
      <c r="EV24" s="78"/>
      <c r="EW24" s="79" t="str">
        <f t="array" ref="EW24">IFERROR(IF(XLOOKUP(CONCAT(EU24,EV24),'MASTER PLAN'!$AB:$AB,'MASTER PLAN'!$J:$J,0,0)=0,"",XLOOKUP(CONCAT(EU24,EV24),'MASTER PLAN'!$AB:$AB,'MASTER PLAN'!$J:$J,0,0)),"")</f>
        <v/>
      </c>
      <c r="EX24" s="80" t="str">
        <f t="array" ref="EX24">IFERROR(IF(XLOOKUP(CONCAT(EU24,EV24),'PROCESOS PRD'!$J:$J,'PROCESOS PRD'!$H:$H,0,0)=0,"",XLOOKUP(CONCAT(EU24,EV24),'PROCESOS PRD'!$J:$J,'PROCESOS PRD'!$H:$H,0,0)),"")</f>
        <v/>
      </c>
      <c r="EY24" s="77"/>
      <c r="EZ24" s="78"/>
      <c r="FA24" s="79" t="str">
        <f t="array" ref="FA24">IFERROR(IF(XLOOKUP(CONCAT(EY24,EZ24),'MASTER PLAN'!$AB:$AB,'MASTER PLAN'!$J:$J,0,0)=0,"",XLOOKUP(CONCAT(EY24,EZ24),'MASTER PLAN'!$AB:$AB,'MASTER PLAN'!$J:$J,0,0)),"")</f>
        <v/>
      </c>
      <c r="FB24" s="80" t="str">
        <f t="array" ref="FB24">IFERROR(IF(XLOOKUP(CONCAT(EY24,EZ24),'PROCESOS PRD'!$J:$J,'PROCESOS PRD'!$H:$H,0,0)=0,"",XLOOKUP(CONCAT(EY24,EZ24),'PROCESOS PRD'!$J:$J,'PROCESOS PRD'!$H:$H,0,0)),"")</f>
        <v/>
      </c>
      <c r="FC24" s="77"/>
      <c r="FD24" s="78"/>
      <c r="FE24" s="79" t="str">
        <f t="array" ref="FE24">IFERROR(IF(XLOOKUP(CONCAT(FC24,FD24),'MASTER PLAN'!$AB:$AB,'MASTER PLAN'!$J:$J,0,0)=0,"",XLOOKUP(CONCAT(FC24,FD24),'MASTER PLAN'!$AB:$AB,'MASTER PLAN'!$J:$J,0,0)),"")</f>
        <v/>
      </c>
      <c r="FF24" s="80" t="str">
        <f t="array" ref="FF24">IFERROR(IF(XLOOKUP(CONCAT(FC24,FD24),'PROCESOS PRD'!$J:$J,'PROCESOS PRD'!$H:$H,0,0)=0,"",XLOOKUP(CONCAT(FC24,FD24),'PROCESOS PRD'!$J:$J,'PROCESOS PRD'!$H:$H,0,0)),"")</f>
        <v/>
      </c>
      <c r="FG24" s="77"/>
      <c r="FH24" s="78"/>
      <c r="FI24" s="79" t="str">
        <f t="array" ref="FI24">IFERROR(IF(XLOOKUP(CONCAT(FG24,FH24),'MASTER PLAN'!$AB:$AB,'MASTER PLAN'!$J:$J,0,0)=0,"",XLOOKUP(CONCAT(FG24,FH24),'MASTER PLAN'!$AB:$AB,'MASTER PLAN'!$J:$J,0,0)),"")</f>
        <v/>
      </c>
      <c r="FJ24" s="80" t="str">
        <f t="array" ref="FJ24">IFERROR(IF(XLOOKUP(CONCAT(FG24,FH24),'PROCESOS PRD'!$J:$J,'PROCESOS PRD'!$H:$H,0,0)=0,"",XLOOKUP(CONCAT(FG24,FH24),'PROCESOS PRD'!$J:$J,'PROCESOS PRD'!$H:$H,0,0)),"")</f>
        <v/>
      </c>
      <c r="FK24" s="77"/>
      <c r="FL24" s="78"/>
      <c r="FM24" s="79" t="str">
        <f t="array" ref="FM24">IFERROR(IF(XLOOKUP(CONCAT(FK24,FL24),'MASTER PLAN'!$AB:$AB,'MASTER PLAN'!$J:$J,0,0)=0,"",XLOOKUP(CONCAT(FK24,FL24),'MASTER PLAN'!$AB:$AB,'MASTER PLAN'!$J:$J,0,0)),"")</f>
        <v/>
      </c>
      <c r="FN24" s="80" t="str">
        <f t="array" ref="FN24">IFERROR(IF(XLOOKUP(CONCAT(FK24,FL24),'PROCESOS PRD'!$J:$J,'PROCESOS PRD'!$H:$H,0,0)=0,"",XLOOKUP(CONCAT(FK24,FL24),'PROCESOS PRD'!$J:$J,'PROCESOS PRD'!$H:$H,0,0)),"")</f>
        <v/>
      </c>
      <c r="FO24" s="70"/>
      <c r="FP24" s="77"/>
      <c r="FQ24" s="78"/>
      <c r="FR24" s="79" t="str">
        <f t="array" ref="FR24">IFERROR(IF(XLOOKUP(CONCAT(FP24,FQ24),'MASTER PLAN'!$AB:$AB,'MASTER PLAN'!$J:$J,0,0)=0,"",XLOOKUP(CONCAT(FP24,FQ24),'MASTER PLAN'!$AB:$AB,'MASTER PLAN'!$J:$J,0,0)),"")</f>
        <v/>
      </c>
      <c r="FS24" s="80" t="str">
        <f t="array" ref="FS24">IFERROR(IF(XLOOKUP(CONCAT(FP24,FQ24),'PROCESOS PRD'!$J:$J,'PROCESOS PRD'!$H:$H,0,0)=0,"",XLOOKUP(CONCAT(FP24,FQ24),'PROCESOS PRD'!$J:$J,'PROCESOS PRD'!$H:$H,0,0)),"")</f>
        <v/>
      </c>
      <c r="FT24" s="77"/>
      <c r="FU24" s="78"/>
      <c r="FV24" s="79" t="str">
        <f t="array" ref="FV24">IFERROR(IF(XLOOKUP(CONCAT(FT24,FU24),'MASTER PLAN'!$AB:$AB,'MASTER PLAN'!$J:$J,0,0)=0,"",XLOOKUP(CONCAT(FT24,FU24),'MASTER PLAN'!$AB:$AB,'MASTER PLAN'!$J:$J,0,0)),"")</f>
        <v/>
      </c>
      <c r="FW24" s="80" t="str">
        <f t="array" ref="FW24">IFERROR(IF(XLOOKUP(CONCAT(FT24,FU24),'PROCESOS PRD'!$J:$J,'PROCESOS PRD'!$H:$H,0,0)=0,"",XLOOKUP(CONCAT(FT24,FU24),'PROCESOS PRD'!$J:$J,'PROCESOS PRD'!$H:$H,0,0)),"")</f>
        <v/>
      </c>
      <c r="FX24" s="77"/>
      <c r="FY24" s="78"/>
      <c r="FZ24" s="79" t="str">
        <f t="array" ref="FZ24">IFERROR(IF(XLOOKUP(CONCAT(FX24,FY24),'MASTER PLAN'!$AB:$AB,'MASTER PLAN'!$J:$J,0,0)=0,"",XLOOKUP(CONCAT(FX24,FY24),'MASTER PLAN'!$AB:$AB,'MASTER PLAN'!$J:$J,0,0)),"")</f>
        <v/>
      </c>
      <c r="GA24" s="80" t="str">
        <f t="array" ref="GA24">IFERROR(IF(XLOOKUP(CONCAT(FX24,FY24),'PROCESOS PRD'!$J:$J,'PROCESOS PRD'!$H:$H,0,0)=0,"",XLOOKUP(CONCAT(FX24,FY24),'PROCESOS PRD'!$J:$J,'PROCESOS PRD'!$H:$H,0,0)),"")</f>
        <v/>
      </c>
      <c r="GB24" s="77"/>
      <c r="GC24" s="78"/>
      <c r="GD24" s="79" t="str">
        <f t="array" ref="GD24">IFERROR(IF(XLOOKUP(CONCAT(GB24,GC24),'MASTER PLAN'!$AB:$AB,'MASTER PLAN'!$J:$J,0,0)=0,"",XLOOKUP(CONCAT(GB24,GC24),'MASTER PLAN'!$AB:$AB,'MASTER PLAN'!$J:$J,0,0)),"")</f>
        <v/>
      </c>
      <c r="GE24" s="80" t="str">
        <f t="array" ref="GE24">IFERROR(IF(XLOOKUP(CONCAT(GB24,GC24),'PROCESOS PRD'!$J:$J,'PROCESOS PRD'!$H:$H,0,0)=0,"",XLOOKUP(CONCAT(GB24,GC24),'PROCESOS PRD'!$J:$J,'PROCESOS PRD'!$H:$H,0,0)),"")</f>
        <v/>
      </c>
      <c r="GF24" s="77"/>
      <c r="GG24" s="78"/>
      <c r="GH24" s="79" t="str">
        <f t="array" ref="GH24">IFERROR(IF(XLOOKUP(CONCAT(GF24,GG24),'MASTER PLAN'!$AB:$AB,'MASTER PLAN'!$J:$J,0,0)=0,"",XLOOKUP(CONCAT(GF24,GG24),'MASTER PLAN'!$AB:$AB,'MASTER PLAN'!$J:$J,0,0)),"")</f>
        <v/>
      </c>
      <c r="GI24" s="80" t="str">
        <f t="array" ref="GI24">IFERROR(IF(XLOOKUP(CONCAT(GF24,GG24),'PROCESOS PRD'!$J:$J,'PROCESOS PRD'!$H:$H,0,0)=0,"",XLOOKUP(CONCAT(GF24,GG24),'PROCESOS PRD'!$J:$J,'PROCESOS PRD'!$H:$H,0,0)),"")</f>
        <v/>
      </c>
      <c r="GJ24" s="77"/>
      <c r="GK24" s="78"/>
      <c r="GL24" s="79" t="str">
        <f t="array" ref="GL24">IFERROR(IF(XLOOKUP(CONCAT(GJ24,GK24),'MASTER PLAN'!$AB:$AB,'MASTER PLAN'!$J:$J,0,0)=0,"",XLOOKUP(CONCAT(GJ24,GK24),'MASTER PLAN'!$AB:$AB,'MASTER PLAN'!$J:$J,0,0)),"")</f>
        <v/>
      </c>
      <c r="GM24" s="80" t="str">
        <f t="array" ref="GM24">IFERROR(IF(XLOOKUP(CONCAT(GJ24,GK24),'PROCESOS PRD'!$J:$J,'PROCESOS PRD'!$H:$H,0,0)=0,"",XLOOKUP(CONCAT(GJ24,GK24),'PROCESOS PRD'!$J:$J,'PROCESOS PRD'!$H:$H,0,0)),"")</f>
        <v/>
      </c>
      <c r="GN24" s="70"/>
      <c r="GO24" s="77"/>
      <c r="GP24" s="78"/>
      <c r="GQ24" s="79" t="str">
        <f t="array" ref="GQ24">IFERROR(IF(XLOOKUP(CONCAT(GO24,GP24),'MASTER PLAN'!$AB:$AB,'MASTER PLAN'!$J:$J,0,0)=0,"",XLOOKUP(CONCAT(GO24,GP24),'MASTER PLAN'!$AB:$AB,'MASTER PLAN'!$J:$J,0,0)),"")</f>
        <v/>
      </c>
      <c r="GR24" s="80" t="str">
        <f t="array" ref="GR24">IFERROR(IF(XLOOKUP(CONCAT(GO24,GP24),'PROCESOS PRD'!$J:$J,'PROCESOS PRD'!$H:$H,0,0)=0,"",XLOOKUP(CONCAT(GO24,GP24),'PROCESOS PRD'!$J:$J,'PROCESOS PRD'!$H:$H,0,0)),"")</f>
        <v/>
      </c>
      <c r="GS24" s="77"/>
      <c r="GT24" s="78"/>
      <c r="GU24" s="79" t="str">
        <f t="array" ref="GU24">IFERROR(IF(XLOOKUP(CONCAT(GS24,GT24),'MASTER PLAN'!$AB:$AB,'MASTER PLAN'!$J:$J,0,0)=0,"",XLOOKUP(CONCAT(GS24,GT24),'MASTER PLAN'!$AB:$AB,'MASTER PLAN'!$J:$J,0,0)),"")</f>
        <v/>
      </c>
      <c r="GV24" s="80" t="str">
        <f t="array" ref="GV24">IFERROR(IF(XLOOKUP(CONCAT(GS24,GT24),'PROCESOS PRD'!$J:$J,'PROCESOS PRD'!$H:$H,0,0)=0,"",XLOOKUP(CONCAT(GS24,GT24),'PROCESOS PRD'!$J:$J,'PROCESOS PRD'!$H:$H,0,0)),"")</f>
        <v/>
      </c>
      <c r="GW24" s="77"/>
      <c r="GX24" s="78"/>
      <c r="GY24" s="79" t="str">
        <f t="array" ref="GY24">IFERROR(IF(XLOOKUP(CONCAT(GW24,GX24),'MASTER PLAN'!$AB:$AB,'MASTER PLAN'!$J:$J,0,0)=0,"",XLOOKUP(CONCAT(GW24,GX24),'MASTER PLAN'!$AB:$AB,'MASTER PLAN'!$J:$J,0,0)),"")</f>
        <v/>
      </c>
      <c r="GZ24" s="80" t="str">
        <f t="array" ref="GZ24">IFERROR(IF(XLOOKUP(CONCAT(GW24,GX24),'PROCESOS PRD'!$J:$J,'PROCESOS PRD'!$H:$H,0,0)=0,"",XLOOKUP(CONCAT(GW24,GX24),'PROCESOS PRD'!$J:$J,'PROCESOS PRD'!$H:$H,0,0)),"")</f>
        <v/>
      </c>
      <c r="HA24" s="77"/>
      <c r="HB24" s="78"/>
      <c r="HC24" s="79" t="str">
        <f t="array" ref="HC24">IFERROR(IF(XLOOKUP(CONCAT(HA24,HB24),'MASTER PLAN'!$AB:$AB,'MASTER PLAN'!$J:$J,0,0)=0,"",XLOOKUP(CONCAT(HA24,HB24),'MASTER PLAN'!$AB:$AB,'MASTER PLAN'!$J:$J,0,0)),"")</f>
        <v/>
      </c>
      <c r="HD24" s="80" t="str">
        <f t="array" ref="HD24">IFERROR(IF(XLOOKUP(CONCAT(HA24,HB24),'PROCESOS PRD'!$J:$J,'PROCESOS PRD'!$H:$H,0,0)=0,"",XLOOKUP(CONCAT(HA24,HB24),'PROCESOS PRD'!$J:$J,'PROCESOS PRD'!$H:$H,0,0)),"")</f>
        <v/>
      </c>
      <c r="HE24" s="77"/>
      <c r="HF24" s="78"/>
      <c r="HG24" s="79" t="str">
        <f t="array" ref="HG24">IFERROR(IF(XLOOKUP(CONCAT(HE24,HF24),'MASTER PLAN'!$AB:$AB,'MASTER PLAN'!$J:$J,0,0)=0,"",XLOOKUP(CONCAT(HE24,HF24),'MASTER PLAN'!$AB:$AB,'MASTER PLAN'!$J:$J,0,0)),"")</f>
        <v/>
      </c>
      <c r="HH24" s="80" t="str">
        <f t="array" ref="HH24">IFERROR(IF(XLOOKUP(CONCAT(HE24,HF24),'PROCESOS PRD'!$J:$J,'PROCESOS PRD'!$H:$H,0,0)=0,"",XLOOKUP(CONCAT(HE24,HF24),'PROCESOS PRD'!$J:$J,'PROCESOS PRD'!$H:$H,0,0)),"")</f>
        <v/>
      </c>
      <c r="HI24" s="77"/>
      <c r="HJ24" s="78"/>
      <c r="HK24" s="79" t="str">
        <f t="array" ref="HK24">IFERROR(IF(XLOOKUP(CONCAT(HI24,HJ24),'MASTER PLAN'!$AB:$AB,'MASTER PLAN'!$J:$J,0,0)=0,"",XLOOKUP(CONCAT(HI24,HJ24),'MASTER PLAN'!$AB:$AB,'MASTER PLAN'!$J:$J,0,0)),"")</f>
        <v/>
      </c>
      <c r="HL24" s="80" t="str">
        <f t="array" ref="HL24">IFERROR(IF(XLOOKUP(CONCAT(HI24,HJ24),'PROCESOS PRD'!$J:$J,'PROCESOS PRD'!$H:$H,0,0)=0,"",XLOOKUP(CONCAT(HI24,HJ24),'PROCESOS PRD'!$J:$J,'PROCESOS PRD'!$H:$H,0,0)),"")</f>
        <v/>
      </c>
      <c r="HM24" s="70"/>
      <c r="HN24" s="77"/>
      <c r="HO24" s="78"/>
      <c r="HP24" s="79" t="str">
        <f t="array" ref="HP24">IFERROR(IF(XLOOKUP(CONCAT(HN24,HO24),'MASTER PLAN'!$AB:$AB,'MASTER PLAN'!$J:$J,0,0)=0,"",XLOOKUP(CONCAT(HN24,HO24),'MASTER PLAN'!$AB:$AB,'MASTER PLAN'!$J:$J,0,0)),"")</f>
        <v/>
      </c>
      <c r="HQ24" s="80" t="str">
        <f t="array" ref="HQ24">IFERROR(IF(XLOOKUP(CONCAT(HN24,HO24),'PROCESOS PRD'!$J:$J,'PROCESOS PRD'!$H:$H,0,0)=0,"",XLOOKUP(CONCAT(HN24,HO24),'PROCESOS PRD'!$J:$J,'PROCESOS PRD'!$H:$H,0,0)),"")</f>
        <v/>
      </c>
      <c r="HR24" s="77"/>
      <c r="HS24" s="78"/>
      <c r="HT24" s="79" t="str">
        <f t="array" ref="HT24">IFERROR(IF(XLOOKUP(CONCAT(HR24,HS24),'MASTER PLAN'!$AB:$AB,'MASTER PLAN'!$J:$J,0,0)=0,"",XLOOKUP(CONCAT(HR24,HS24),'MASTER PLAN'!$AB:$AB,'MASTER PLAN'!$J:$J,0,0)),"")</f>
        <v/>
      </c>
      <c r="HU24" s="80" t="str">
        <f t="array" ref="HU24">IFERROR(IF(XLOOKUP(CONCAT(HR24,HS24),'PROCESOS PRD'!$J:$J,'PROCESOS PRD'!$H:$H,0,0)=0,"",XLOOKUP(CONCAT(HR24,HS24),'PROCESOS PRD'!$J:$J,'PROCESOS PRD'!$H:$H,0,0)),"")</f>
        <v/>
      </c>
      <c r="HV24" s="77"/>
      <c r="HW24" s="78"/>
      <c r="HX24" s="79" t="str">
        <f t="array" ref="HX24">IFERROR(IF(XLOOKUP(CONCAT(HV24,HW24),'MASTER PLAN'!$AB:$AB,'MASTER PLAN'!$J:$J,0,0)=0,"",XLOOKUP(CONCAT(HV24,HW24),'MASTER PLAN'!$AB:$AB,'MASTER PLAN'!$J:$J,0,0)),"")</f>
        <v/>
      </c>
      <c r="HY24" s="80" t="str">
        <f t="array" ref="HY24">IFERROR(IF(XLOOKUP(CONCAT(HV24,HW24),'PROCESOS PRD'!$J:$J,'PROCESOS PRD'!$H:$H,0,0)=0,"",XLOOKUP(CONCAT(HV24,HW24),'PROCESOS PRD'!$J:$J,'PROCESOS PRD'!$H:$H,0,0)),"")</f>
        <v/>
      </c>
      <c r="HZ24" s="77"/>
      <c r="IA24" s="78"/>
      <c r="IB24" s="79" t="str">
        <f t="array" ref="IB24">IFERROR(IF(XLOOKUP(CONCAT(HZ24,IA24),'MASTER PLAN'!$AB:$AB,'MASTER PLAN'!$J:$J,0,0)=0,"",XLOOKUP(CONCAT(HZ24,IA24),'MASTER PLAN'!$AB:$AB,'MASTER PLAN'!$J:$J,0,0)),"")</f>
        <v/>
      </c>
      <c r="IC24" s="80" t="str">
        <f t="array" ref="IC24">IFERROR(IF(XLOOKUP(CONCAT(HZ24,IA24),'PROCESOS PRD'!$J:$J,'PROCESOS PRD'!$H:$H,0,0)=0,"",XLOOKUP(CONCAT(HZ24,IA24),'PROCESOS PRD'!$J:$J,'PROCESOS PRD'!$H:$H,0,0)),"")</f>
        <v/>
      </c>
      <c r="ID24" s="77"/>
      <c r="IE24" s="78"/>
      <c r="IF24" s="79" t="str">
        <f t="array" ref="IF24">IFERROR(IF(XLOOKUP(CONCAT(ID24,IE24),'MASTER PLAN'!$AB:$AB,'MASTER PLAN'!$J:$J,0,0)=0,"",XLOOKUP(CONCAT(ID24,IE24),'MASTER PLAN'!$AB:$AB,'MASTER PLAN'!$J:$J,0,0)),"")</f>
        <v/>
      </c>
      <c r="IG24" s="80" t="str">
        <f t="array" ref="IG24">IFERROR(IF(XLOOKUP(CONCAT(ID24,IE24),'PROCESOS PRD'!$J:$J,'PROCESOS PRD'!$H:$H,0,0)=0,"",XLOOKUP(CONCAT(ID24,IE24),'PROCESOS PRD'!$J:$J,'PROCESOS PRD'!$H:$H,0,0)),"")</f>
        <v/>
      </c>
      <c r="IH24" s="77"/>
      <c r="II24" s="78"/>
      <c r="IJ24" s="79" t="str">
        <f t="array" ref="IJ24">IFERROR(IF(XLOOKUP(CONCAT(IH24,II24),'MASTER PLAN'!$AB:$AB,'MASTER PLAN'!$J:$J,0,0)=0,"",XLOOKUP(CONCAT(IH24,II24),'MASTER PLAN'!$AB:$AB,'MASTER PLAN'!$J:$J,0,0)),"")</f>
        <v/>
      </c>
      <c r="IK24" s="80" t="str">
        <f t="array" ref="IK24">IFERROR(IF(XLOOKUP(CONCAT(IH24,II24),'PROCESOS PRD'!$J:$J,'PROCESOS PRD'!$H:$H,0,0)=0,"",XLOOKUP(CONCAT(IH24,II24),'PROCESOS PRD'!$J:$J,'PROCESOS PRD'!$H:$H,0,0)),"")</f>
        <v/>
      </c>
      <c r="IL24" s="70"/>
      <c r="IM24" s="77"/>
      <c r="IN24" s="78"/>
      <c r="IO24" s="79" t="str">
        <f t="array" ref="IO24">IFERROR(IF(XLOOKUP(CONCAT(IM24,IN24),'MASTER PLAN'!$AB:$AB,'MASTER PLAN'!$J:$J,0,0)=0,"",XLOOKUP(CONCAT(IM24,IN24),'MASTER PLAN'!$AB:$AB,'MASTER PLAN'!$J:$J,0,0)),"")</f>
        <v/>
      </c>
      <c r="IP24" s="80" t="str">
        <f t="array" ref="IP24">IFERROR(IF(XLOOKUP(CONCAT(IM24,IN24),'PROCESOS PRD'!$J:$J,'PROCESOS PRD'!$H:$H,0,0)=0,"",XLOOKUP(CONCAT(IM24,IN24),'PROCESOS PRD'!$J:$J,'PROCESOS PRD'!$H:$H,0,0)),"")</f>
        <v/>
      </c>
      <c r="IQ24" s="77"/>
      <c r="IR24" s="78"/>
      <c r="IS24" s="79" t="str">
        <f t="array" ref="IS24">IFERROR(IF(XLOOKUP(CONCAT(IQ24,IR24),'MASTER PLAN'!$AB:$AB,'MASTER PLAN'!$J:$J,0,0)=0,"",XLOOKUP(CONCAT(IQ24,IR24),'MASTER PLAN'!$AB:$AB,'MASTER PLAN'!$J:$J,0,0)),"")</f>
        <v/>
      </c>
      <c r="IT24" s="80" t="str">
        <f t="array" ref="IT24">IFERROR(IF(XLOOKUP(CONCAT(IQ24,IR24),'PROCESOS PRD'!$J:$J,'PROCESOS PRD'!$H:$H,0,0)=0,"",XLOOKUP(CONCAT(IQ24,IR24),'PROCESOS PRD'!$J:$J,'PROCESOS PRD'!$H:$H,0,0)),"")</f>
        <v/>
      </c>
      <c r="IU24" s="77"/>
      <c r="IV24" s="78"/>
      <c r="IW24" s="79" t="str">
        <f t="array" ref="IW24">IFERROR(IF(XLOOKUP(CONCAT(IU24,IV24),'MASTER PLAN'!$AB:$AB,'MASTER PLAN'!$J:$J,0,0)=0,"",XLOOKUP(CONCAT(IU24,IV24),'MASTER PLAN'!$AB:$AB,'MASTER PLAN'!$J:$J,0,0)),"")</f>
        <v/>
      </c>
      <c r="IX24" s="80" t="str">
        <f t="array" ref="IX24">IFERROR(IF(XLOOKUP(CONCAT(IU24,IV24),'PROCESOS PRD'!$J:$J,'PROCESOS PRD'!$H:$H,0,0)=0,"",XLOOKUP(CONCAT(IU24,IV24),'PROCESOS PRD'!$J:$J,'PROCESOS PRD'!$H:$H,0,0)),"")</f>
        <v/>
      </c>
      <c r="IY24" s="77"/>
      <c r="IZ24" s="78"/>
      <c r="JA24" s="79" t="str">
        <f t="array" ref="JA24">IFERROR(IF(XLOOKUP(CONCAT(IY24,IZ24),'MASTER PLAN'!$AB:$AB,'MASTER PLAN'!$J:$J,0,0)=0,"",XLOOKUP(CONCAT(IY24,IZ24),'MASTER PLAN'!$AB:$AB,'MASTER PLAN'!$J:$J,0,0)),"")</f>
        <v/>
      </c>
      <c r="JB24" s="80" t="str">
        <f t="array" ref="JB24">IFERROR(IF(XLOOKUP(CONCAT(IY24,IZ24),'PROCESOS PRD'!$J:$J,'PROCESOS PRD'!$H:$H,0,0)=0,"",XLOOKUP(CONCAT(IY24,IZ24),'PROCESOS PRD'!$J:$J,'PROCESOS PRD'!$H:$H,0,0)),"")</f>
        <v/>
      </c>
      <c r="JC24" s="77"/>
      <c r="JD24" s="78"/>
      <c r="JE24" s="79" t="str">
        <f t="array" ref="JE24">IFERROR(IF(XLOOKUP(CONCAT(JC24,JD24),'MASTER PLAN'!$AB:$AB,'MASTER PLAN'!$J:$J,0,0)=0,"",XLOOKUP(CONCAT(JC24,JD24),'MASTER PLAN'!$AB:$AB,'MASTER PLAN'!$J:$J,0,0)),"")</f>
        <v/>
      </c>
      <c r="JF24" s="80" t="str">
        <f t="array" ref="JF24">IFERROR(IF(XLOOKUP(CONCAT(JC24,JD24),'PROCESOS PRD'!$J:$J,'PROCESOS PRD'!$H:$H,0,0)=0,"",XLOOKUP(CONCAT(JC24,JD24),'PROCESOS PRD'!$J:$J,'PROCESOS PRD'!$H:$H,0,0)),"")</f>
        <v/>
      </c>
      <c r="JG24" s="77"/>
      <c r="JH24" s="78"/>
      <c r="JI24" s="79" t="str">
        <f t="array" ref="JI24">IFERROR(IF(XLOOKUP(CONCAT(JG24,JH24),'MASTER PLAN'!$AB:$AB,'MASTER PLAN'!$J:$J,0,0)=0,"",XLOOKUP(CONCAT(JG24,JH24),'MASTER PLAN'!$AB:$AB,'MASTER PLAN'!$J:$J,0,0)),"")</f>
        <v/>
      </c>
      <c r="JJ24" s="80" t="str">
        <f t="array" ref="JJ24">IFERROR(IF(XLOOKUP(CONCAT(JG24,JH24),'PROCESOS PRD'!$J:$J,'PROCESOS PRD'!$H:$H,0,0)=0,"",XLOOKUP(CONCAT(JG24,JH24),'PROCESOS PRD'!$J:$J,'PROCESOS PRD'!$H:$H,0,0)),"")</f>
        <v/>
      </c>
      <c r="JK24" s="70"/>
      <c r="JL24" s="77"/>
      <c r="JM24" s="78"/>
      <c r="JN24" s="79" t="str">
        <f t="array" ref="JN24">IFERROR(IF(XLOOKUP(CONCAT(JL24,JM24),'MASTER PLAN'!$AB:$AB,'MASTER PLAN'!$J:$J,0,0)=0,"",XLOOKUP(CONCAT(JL24,JM24),'MASTER PLAN'!$AB:$AB,'MASTER PLAN'!$J:$J,0,0)),"")</f>
        <v/>
      </c>
      <c r="JO24" s="80" t="str">
        <f t="array" ref="JO24">IFERROR(IF(XLOOKUP(CONCAT(JL24,JM24),'PROCESOS PRD'!$J:$J,'PROCESOS PRD'!$H:$H,0,0)=0,"",XLOOKUP(CONCAT(JL24,JM24),'PROCESOS PRD'!$J:$J,'PROCESOS PRD'!$H:$H,0,0)),"")</f>
        <v/>
      </c>
      <c r="JP24" s="77"/>
      <c r="JQ24" s="78"/>
      <c r="JR24" s="79" t="str">
        <f t="array" ref="JR24">IFERROR(IF(XLOOKUP(CONCAT(JP24,JQ24),'MASTER PLAN'!$AB:$AB,'MASTER PLAN'!$J:$J,0,0)=0,"",XLOOKUP(CONCAT(JP24,JQ24),'MASTER PLAN'!$AB:$AB,'MASTER PLAN'!$J:$J,0,0)),"")</f>
        <v/>
      </c>
      <c r="JS24" s="80" t="str">
        <f t="array" ref="JS24">IFERROR(IF(XLOOKUP(CONCAT(JP24,JQ24),'PROCESOS PRD'!$J:$J,'PROCESOS PRD'!$H:$H,0,0)=0,"",XLOOKUP(CONCAT(JP24,JQ24),'PROCESOS PRD'!$J:$J,'PROCESOS PRD'!$H:$H,0,0)),"")</f>
        <v/>
      </c>
      <c r="JT24" s="77"/>
      <c r="JU24" s="78"/>
      <c r="JV24" s="79" t="str">
        <f t="array" ref="JV24">IFERROR(IF(XLOOKUP(CONCAT(JT24,JU24),'MASTER PLAN'!$AB:$AB,'MASTER PLAN'!$J:$J,0,0)=0,"",XLOOKUP(CONCAT(JT24,JU24),'MASTER PLAN'!$AB:$AB,'MASTER PLAN'!$J:$J,0,0)),"")</f>
        <v/>
      </c>
      <c r="JW24" s="80" t="str">
        <f t="array" ref="JW24">IFERROR(IF(XLOOKUP(CONCAT(JT24,JU24),'PROCESOS PRD'!$J:$J,'PROCESOS PRD'!$H:$H,0,0)=0,"",XLOOKUP(CONCAT(JT24,JU24),'PROCESOS PRD'!$J:$J,'PROCESOS PRD'!$H:$H,0,0)),"")</f>
        <v/>
      </c>
      <c r="JX24" s="77"/>
      <c r="JY24" s="78"/>
      <c r="JZ24" s="79" t="str">
        <f t="array" ref="JZ24">IFERROR(IF(XLOOKUP(CONCAT(JX24,JY24),'MASTER PLAN'!$AB:$AB,'MASTER PLAN'!$J:$J,0,0)=0,"",XLOOKUP(CONCAT(JX24,JY24),'MASTER PLAN'!$AB:$AB,'MASTER PLAN'!$J:$J,0,0)),"")</f>
        <v/>
      </c>
      <c r="KA24" s="80" t="str">
        <f t="array" ref="KA24">IFERROR(IF(XLOOKUP(CONCAT(JX24,JY24),'PROCESOS PRD'!$J:$J,'PROCESOS PRD'!$H:$H,0,0)=0,"",XLOOKUP(CONCAT(JX24,JY24),'PROCESOS PRD'!$J:$J,'PROCESOS PRD'!$H:$H,0,0)),"")</f>
        <v/>
      </c>
      <c r="KB24" s="77"/>
      <c r="KC24" s="78"/>
      <c r="KD24" s="79" t="str">
        <f t="array" ref="KD24">IFERROR(IF(XLOOKUP(CONCAT(KB24,KC24),'MASTER PLAN'!$AB:$AB,'MASTER PLAN'!$J:$J,0,0)=0,"",XLOOKUP(CONCAT(KB24,KC24),'MASTER PLAN'!$AB:$AB,'MASTER PLAN'!$J:$J,0,0)),"")</f>
        <v/>
      </c>
      <c r="KE24" s="80" t="str">
        <f t="array" ref="KE24">IFERROR(IF(XLOOKUP(CONCAT(KB24,KC24),'PROCESOS PRD'!$J:$J,'PROCESOS PRD'!$H:$H,0,0)=0,"",XLOOKUP(CONCAT(KB24,KC24),'PROCESOS PRD'!$J:$J,'PROCESOS PRD'!$H:$H,0,0)),"")</f>
        <v/>
      </c>
      <c r="KF24" s="77"/>
      <c r="KG24" s="78"/>
      <c r="KH24" s="79" t="str">
        <f t="array" ref="KH24">IFERROR(IF(XLOOKUP(CONCAT(KF24,KG24),'MASTER PLAN'!$AB:$AB,'MASTER PLAN'!$J:$J,0,0)=0,"",XLOOKUP(CONCAT(KF24,KG24),'MASTER PLAN'!$AB:$AB,'MASTER PLAN'!$J:$J,0,0)),"")</f>
        <v/>
      </c>
      <c r="KI24" s="80" t="str">
        <f t="array" ref="KI24">IFERROR(IF(XLOOKUP(CONCAT(KF24,KG24),'PROCESOS PRD'!$J:$J,'PROCESOS PRD'!$H:$H,0,0)=0,"",XLOOKUP(CONCAT(KF24,KG24),'PROCESOS PRD'!$J:$J,'PROCESOS PRD'!$H:$H,0,0)),"")</f>
        <v/>
      </c>
      <c r="KJ24" s="70"/>
      <c r="KK24" s="70"/>
      <c r="KL24" s="70"/>
      <c r="KM24" s="70"/>
      <c r="KN24" s="70"/>
      <c r="KO24" s="70"/>
      <c r="KP24" s="70"/>
      <c r="KQ24" s="70"/>
      <c r="KR24" s="70"/>
      <c r="KS24" s="70"/>
      <c r="KT24" s="70"/>
      <c r="KU24" s="70"/>
      <c r="KV24" s="70"/>
      <c r="KW24" s="70"/>
      <c r="KX24" s="70"/>
      <c r="KY24" s="70"/>
      <c r="KZ24" s="70"/>
      <c r="LA24" s="70"/>
      <c r="LB24" s="70"/>
      <c r="LC24" s="70"/>
    </row>
    <row r="25" ht="15.75" customHeight="1">
      <c r="A25" s="42"/>
      <c r="B25" s="82">
        <v>16000.0</v>
      </c>
      <c r="C25" s="83" t="s">
        <v>240</v>
      </c>
      <c r="D25" s="42"/>
      <c r="E25" s="84"/>
      <c r="F25" s="85"/>
      <c r="G25" s="85"/>
      <c r="H25" s="86">
        <f>SUM(H16:H24)</f>
        <v>0</v>
      </c>
      <c r="I25" s="84"/>
      <c r="J25" s="85"/>
      <c r="K25" s="85"/>
      <c r="L25" s="86">
        <f>SUM(L16:L24)</f>
        <v>0</v>
      </c>
      <c r="M25" s="84"/>
      <c r="N25" s="85"/>
      <c r="O25" s="85"/>
      <c r="P25" s="86">
        <f>SUM(P16:P24)</f>
        <v>0</v>
      </c>
      <c r="Q25" s="84"/>
      <c r="R25" s="85"/>
      <c r="S25" s="85"/>
      <c r="T25" s="86">
        <f>SUM(T16:T24)</f>
        <v>0</v>
      </c>
      <c r="U25" s="42"/>
      <c r="V25" s="84"/>
      <c r="W25" s="85"/>
      <c r="X25" s="85"/>
      <c r="Y25" s="86">
        <f>SUM(Y16:Y24)</f>
        <v>0</v>
      </c>
      <c r="Z25" s="84"/>
      <c r="AA25" s="85"/>
      <c r="AB25" s="85"/>
      <c r="AC25" s="86">
        <f>SUM(AC16:AC24)</f>
        <v>0</v>
      </c>
      <c r="AD25" s="84"/>
      <c r="AE25" s="85"/>
      <c r="AF25" s="85"/>
      <c r="AG25" s="86">
        <f>SUM(AG16:AG24)</f>
        <v>0</v>
      </c>
      <c r="AH25" s="84"/>
      <c r="AI25" s="85"/>
      <c r="AJ25" s="85"/>
      <c r="AK25" s="86">
        <f>SUM(AK16:AK24)</f>
        <v>2400</v>
      </c>
      <c r="AL25" s="84"/>
      <c r="AM25" s="85"/>
      <c r="AN25" s="85"/>
      <c r="AO25" s="86">
        <f>SUM(AO16:AO24)</f>
        <v>0</v>
      </c>
      <c r="AP25" s="84"/>
      <c r="AQ25" s="85"/>
      <c r="AR25" s="85"/>
      <c r="AS25" s="86">
        <f>SUM(AS16:AS24)</f>
        <v>56400</v>
      </c>
      <c r="AT25" s="42"/>
      <c r="AU25" s="84"/>
      <c r="AV25" s="85"/>
      <c r="AW25" s="85"/>
      <c r="AX25" s="86">
        <f>SUM(AX16:AX24)</f>
        <v>56400</v>
      </c>
      <c r="AY25" s="84"/>
      <c r="AZ25" s="85"/>
      <c r="BA25" s="85"/>
      <c r="BB25" s="86">
        <f>SUM(BB16:BB24)</f>
        <v>0</v>
      </c>
      <c r="BC25" s="84"/>
      <c r="BD25" s="85"/>
      <c r="BE25" s="85"/>
      <c r="BF25" s="86">
        <f>SUM(BF16:BF24)</f>
        <v>10500</v>
      </c>
      <c r="BG25" s="84"/>
      <c r="BH25" s="85"/>
      <c r="BI25" s="85"/>
      <c r="BJ25" s="86">
        <f>SUM(BJ16:BJ24)</f>
        <v>10800</v>
      </c>
      <c r="BK25" s="84"/>
      <c r="BL25" s="85"/>
      <c r="BM25" s="85"/>
      <c r="BN25" s="86">
        <f>SUM(BN16:BN24)</f>
        <v>8400</v>
      </c>
      <c r="BO25" s="84"/>
      <c r="BP25" s="85"/>
      <c r="BQ25" s="85"/>
      <c r="BR25" s="86">
        <f>SUM(BR16:BR24)</f>
        <v>0</v>
      </c>
      <c r="BS25" s="42"/>
      <c r="BT25" s="84"/>
      <c r="BU25" s="85"/>
      <c r="BV25" s="85"/>
      <c r="BW25" s="86">
        <f>SUM(BW16:BW24)</f>
        <v>0</v>
      </c>
      <c r="BX25" s="84"/>
      <c r="BY25" s="85"/>
      <c r="BZ25" s="85"/>
      <c r="CA25" s="86">
        <f>SUM(CA16:CA24)</f>
        <v>0</v>
      </c>
      <c r="CB25" s="84"/>
      <c r="CC25" s="85"/>
      <c r="CD25" s="85"/>
      <c r="CE25" s="86">
        <f>SUM(CE16:CE24)</f>
        <v>0</v>
      </c>
      <c r="CF25" s="84"/>
      <c r="CG25" s="85"/>
      <c r="CH25" s="85"/>
      <c r="CI25" s="86">
        <f>SUM(CI16:CI24)</f>
        <v>20400</v>
      </c>
      <c r="CJ25" s="84"/>
      <c r="CK25" s="85"/>
      <c r="CL25" s="85"/>
      <c r="CM25" s="86">
        <f>SUM(CM16:CM24)</f>
        <v>16800</v>
      </c>
      <c r="CN25" s="84"/>
      <c r="CO25" s="85"/>
      <c r="CP25" s="85"/>
      <c r="CQ25" s="86">
        <f>SUM(CQ16:CQ24)</f>
        <v>0</v>
      </c>
      <c r="CR25" s="42"/>
      <c r="CS25" s="84"/>
      <c r="CT25" s="85"/>
      <c r="CU25" s="85"/>
      <c r="CV25" s="86">
        <f>SUM(CV16:CV24)</f>
        <v>7800</v>
      </c>
      <c r="CW25" s="84"/>
      <c r="CX25" s="85"/>
      <c r="CY25" s="85"/>
      <c r="CZ25" s="86">
        <f>SUM(CZ16:CZ24)</f>
        <v>2400</v>
      </c>
      <c r="DA25" s="84"/>
      <c r="DB25" s="85"/>
      <c r="DC25" s="85"/>
      <c r="DD25" s="86">
        <f>SUM(DD16:DD24)</f>
        <v>0</v>
      </c>
      <c r="DE25" s="84"/>
      <c r="DF25" s="85"/>
      <c r="DG25" s="85"/>
      <c r="DH25" s="86">
        <f>SUM(DH16:DH24)</f>
        <v>0</v>
      </c>
      <c r="DI25" s="84"/>
      <c r="DJ25" s="85"/>
      <c r="DK25" s="85"/>
      <c r="DL25" s="86">
        <f>SUM(DL16:DL24)</f>
        <v>0</v>
      </c>
      <c r="DM25" s="84"/>
      <c r="DN25" s="85"/>
      <c r="DO25" s="85"/>
      <c r="DP25" s="86">
        <f>SUM(DP16:DP24)</f>
        <v>0</v>
      </c>
      <c r="DQ25" s="42"/>
      <c r="DR25" s="84"/>
      <c r="DS25" s="85"/>
      <c r="DT25" s="85"/>
      <c r="DU25" s="86">
        <f>SUM(DU16:DU24)</f>
        <v>0</v>
      </c>
      <c r="DV25" s="84"/>
      <c r="DW25" s="85"/>
      <c r="DX25" s="85"/>
      <c r="DY25" s="86">
        <f>SUM(DY16:DY24)</f>
        <v>0</v>
      </c>
      <c r="DZ25" s="84"/>
      <c r="EA25" s="85"/>
      <c r="EB25" s="85"/>
      <c r="EC25" s="86">
        <f>SUM(EC16:EC24)</f>
        <v>0</v>
      </c>
      <c r="ED25" s="84"/>
      <c r="EE25" s="85"/>
      <c r="EF25" s="85"/>
      <c r="EG25" s="86">
        <f>SUM(EG16:EG24)</f>
        <v>0</v>
      </c>
      <c r="EH25" s="84"/>
      <c r="EI25" s="85"/>
      <c r="EJ25" s="85"/>
      <c r="EK25" s="86">
        <f>SUM(EK16:EK24)</f>
        <v>0</v>
      </c>
      <c r="EL25" s="84"/>
      <c r="EM25" s="85"/>
      <c r="EN25" s="85"/>
      <c r="EO25" s="86">
        <f>SUM(EO16:EO24)</f>
        <v>0</v>
      </c>
      <c r="EP25" s="42"/>
      <c r="EQ25" s="84"/>
      <c r="ER25" s="85"/>
      <c r="ES25" s="85"/>
      <c r="ET25" s="86">
        <f>SUM(ET16:ET24)</f>
        <v>0</v>
      </c>
      <c r="EU25" s="84"/>
      <c r="EV25" s="85"/>
      <c r="EW25" s="85"/>
      <c r="EX25" s="86">
        <f>SUM(EX16:EX24)</f>
        <v>0</v>
      </c>
      <c r="EY25" s="84"/>
      <c r="EZ25" s="85"/>
      <c r="FA25" s="85"/>
      <c r="FB25" s="86">
        <f>SUM(FB16:FB24)</f>
        <v>0</v>
      </c>
      <c r="FC25" s="84"/>
      <c r="FD25" s="85"/>
      <c r="FE25" s="85"/>
      <c r="FF25" s="86">
        <f>SUM(FF16:FF24)</f>
        <v>0</v>
      </c>
      <c r="FG25" s="84"/>
      <c r="FH25" s="85"/>
      <c r="FI25" s="85"/>
      <c r="FJ25" s="86">
        <f>SUM(FJ16:FJ24)</f>
        <v>36000</v>
      </c>
      <c r="FK25" s="84"/>
      <c r="FL25" s="85"/>
      <c r="FM25" s="85"/>
      <c r="FN25" s="86">
        <f>SUM(FN16:FN24)</f>
        <v>0</v>
      </c>
      <c r="FO25" s="42"/>
      <c r="FP25" s="84"/>
      <c r="FQ25" s="85"/>
      <c r="FR25" s="85"/>
      <c r="FS25" s="86">
        <f>SUM(FS16:FS24)</f>
        <v>36000</v>
      </c>
      <c r="FT25" s="84"/>
      <c r="FU25" s="85"/>
      <c r="FV25" s="85"/>
      <c r="FW25" s="86">
        <f>SUM(FW16:FW24)</f>
        <v>0</v>
      </c>
      <c r="FX25" s="84"/>
      <c r="FY25" s="85"/>
      <c r="FZ25" s="85"/>
      <c r="GA25" s="86">
        <f>SUM(GA16:GA24)</f>
        <v>0</v>
      </c>
      <c r="GB25" s="84"/>
      <c r="GC25" s="85"/>
      <c r="GD25" s="85"/>
      <c r="GE25" s="86">
        <f>SUM(GE16:GE24)</f>
        <v>0</v>
      </c>
      <c r="GF25" s="84"/>
      <c r="GG25" s="85"/>
      <c r="GH25" s="85"/>
      <c r="GI25" s="86">
        <f>SUM(GI16:GI24)</f>
        <v>0</v>
      </c>
      <c r="GJ25" s="84"/>
      <c r="GK25" s="85"/>
      <c r="GL25" s="85"/>
      <c r="GM25" s="86">
        <f>SUM(GM16:GM24)</f>
        <v>0</v>
      </c>
      <c r="GN25" s="42"/>
      <c r="GO25" s="84"/>
      <c r="GP25" s="85"/>
      <c r="GQ25" s="85"/>
      <c r="GR25" s="86">
        <f>SUM(GR16:GR24)</f>
        <v>0</v>
      </c>
      <c r="GS25" s="84"/>
      <c r="GT25" s="85"/>
      <c r="GU25" s="85"/>
      <c r="GV25" s="86">
        <f>SUM(GV16:GV24)</f>
        <v>0</v>
      </c>
      <c r="GW25" s="84"/>
      <c r="GX25" s="85"/>
      <c r="GY25" s="85"/>
      <c r="GZ25" s="86">
        <f>SUM(GZ16:GZ24)</f>
        <v>0</v>
      </c>
      <c r="HA25" s="84"/>
      <c r="HB25" s="85"/>
      <c r="HC25" s="85"/>
      <c r="HD25" s="86">
        <f>SUM(HD16:HD24)</f>
        <v>0</v>
      </c>
      <c r="HE25" s="84"/>
      <c r="HF25" s="85"/>
      <c r="HG25" s="85"/>
      <c r="HH25" s="86">
        <f>SUM(HH16:HH24)</f>
        <v>0</v>
      </c>
      <c r="HI25" s="84"/>
      <c r="HJ25" s="85"/>
      <c r="HK25" s="85"/>
      <c r="HL25" s="86">
        <f>SUM(HL16:HL24)</f>
        <v>0</v>
      </c>
      <c r="HM25" s="42"/>
      <c r="HN25" s="84"/>
      <c r="HO25" s="85"/>
      <c r="HP25" s="85"/>
      <c r="HQ25" s="86">
        <f>SUM(HQ16:HQ24)</f>
        <v>0</v>
      </c>
      <c r="HR25" s="84"/>
      <c r="HS25" s="85"/>
      <c r="HT25" s="85"/>
      <c r="HU25" s="86">
        <f>SUM(HU16:HU24)</f>
        <v>0</v>
      </c>
      <c r="HV25" s="84"/>
      <c r="HW25" s="85"/>
      <c r="HX25" s="85"/>
      <c r="HY25" s="86">
        <f>SUM(HY16:HY24)</f>
        <v>0</v>
      </c>
      <c r="HZ25" s="84"/>
      <c r="IA25" s="85"/>
      <c r="IB25" s="85"/>
      <c r="IC25" s="86">
        <f>SUM(IC16:IC24)</f>
        <v>0</v>
      </c>
      <c r="ID25" s="84"/>
      <c r="IE25" s="85"/>
      <c r="IF25" s="85"/>
      <c r="IG25" s="86">
        <f>SUM(IG16:IG24)</f>
        <v>0</v>
      </c>
      <c r="IH25" s="84"/>
      <c r="II25" s="85"/>
      <c r="IJ25" s="85"/>
      <c r="IK25" s="86">
        <f>SUM(IK16:IK24)</f>
        <v>0</v>
      </c>
      <c r="IL25" s="42"/>
      <c r="IM25" s="84"/>
      <c r="IN25" s="85"/>
      <c r="IO25" s="85"/>
      <c r="IP25" s="86">
        <f>SUM(IP16:IP24)</f>
        <v>0</v>
      </c>
      <c r="IQ25" s="84"/>
      <c r="IR25" s="85"/>
      <c r="IS25" s="85"/>
      <c r="IT25" s="86">
        <f>SUM(IT16:IT24)</f>
        <v>0</v>
      </c>
      <c r="IU25" s="84"/>
      <c r="IV25" s="85"/>
      <c r="IW25" s="85"/>
      <c r="IX25" s="86">
        <f>SUM(IX16:IX24)</f>
        <v>0</v>
      </c>
      <c r="IY25" s="84"/>
      <c r="IZ25" s="85"/>
      <c r="JA25" s="85"/>
      <c r="JB25" s="86">
        <f>SUM(JB16:JB24)</f>
        <v>0</v>
      </c>
      <c r="JC25" s="84"/>
      <c r="JD25" s="85"/>
      <c r="JE25" s="85"/>
      <c r="JF25" s="86">
        <f>SUM(JF16:JF24)</f>
        <v>0</v>
      </c>
      <c r="JG25" s="84"/>
      <c r="JH25" s="85"/>
      <c r="JI25" s="85"/>
      <c r="JJ25" s="86">
        <f>SUM(JJ16:JJ24)</f>
        <v>0</v>
      </c>
      <c r="JK25" s="42"/>
      <c r="JL25" s="84"/>
      <c r="JM25" s="85"/>
      <c r="JN25" s="85"/>
      <c r="JO25" s="86">
        <f>SUM(JO16:JO24)</f>
        <v>0</v>
      </c>
      <c r="JP25" s="84"/>
      <c r="JQ25" s="85"/>
      <c r="JR25" s="85"/>
      <c r="JS25" s="86">
        <f>SUM(JS16:JS24)</f>
        <v>0</v>
      </c>
      <c r="JT25" s="84"/>
      <c r="JU25" s="85"/>
      <c r="JV25" s="85"/>
      <c r="JW25" s="86">
        <f>SUM(JW16:JW24)</f>
        <v>0</v>
      </c>
      <c r="JX25" s="84"/>
      <c r="JY25" s="85"/>
      <c r="JZ25" s="85"/>
      <c r="KA25" s="86">
        <f>SUM(KA16:KA24)</f>
        <v>0</v>
      </c>
      <c r="KB25" s="84"/>
      <c r="KC25" s="85"/>
      <c r="KD25" s="85"/>
      <c r="KE25" s="86">
        <f>SUM(KE16:KE24)</f>
        <v>0</v>
      </c>
      <c r="KF25" s="84"/>
      <c r="KG25" s="85"/>
      <c r="KH25" s="85"/>
      <c r="KI25" s="86">
        <f>SUM(KI16:KI24)</f>
        <v>0</v>
      </c>
      <c r="KJ25" s="42"/>
      <c r="KK25" s="42"/>
      <c r="KL25" s="42"/>
      <c r="KM25" s="42"/>
      <c r="KN25" s="42"/>
      <c r="KO25" s="42"/>
      <c r="KP25" s="42"/>
      <c r="KQ25" s="42"/>
      <c r="KR25" s="42"/>
      <c r="KS25" s="42"/>
      <c r="KT25" s="42"/>
      <c r="KU25" s="42"/>
      <c r="KV25" s="42"/>
      <c r="KW25" s="42"/>
      <c r="KX25" s="42"/>
      <c r="KY25" s="42"/>
      <c r="KZ25" s="42"/>
      <c r="LA25" s="42"/>
      <c r="LB25" s="42"/>
      <c r="LC25" s="42"/>
    </row>
    <row r="26" ht="15.75"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c r="BT26" s="42"/>
      <c r="BU26" s="42"/>
      <c r="BV26" s="42"/>
      <c r="BW26" s="42"/>
      <c r="BX26" s="42"/>
      <c r="BY26" s="42"/>
      <c r="BZ26" s="42"/>
      <c r="CA26" s="42"/>
      <c r="CB26" s="42"/>
      <c r="CC26" s="42"/>
      <c r="CD26" s="42"/>
      <c r="CE26" s="42"/>
      <c r="CF26" s="42"/>
      <c r="CG26" s="42"/>
      <c r="CH26" s="42"/>
      <c r="CI26" s="42"/>
      <c r="CJ26" s="42"/>
      <c r="CK26" s="42"/>
      <c r="CL26" s="42"/>
      <c r="CM26" s="42"/>
      <c r="CN26" s="42"/>
      <c r="CO26" s="42"/>
      <c r="CP26" s="42"/>
      <c r="CQ26" s="42"/>
      <c r="CR26" s="42"/>
      <c r="CS26" s="42"/>
      <c r="CT26" s="42"/>
      <c r="CU26" s="42"/>
      <c r="CV26" s="42"/>
      <c r="CW26" s="42"/>
      <c r="CX26" s="42"/>
      <c r="CY26" s="42"/>
      <c r="CZ26" s="42"/>
      <c r="DA26" s="42"/>
      <c r="DB26" s="42"/>
      <c r="DC26" s="42"/>
      <c r="DD26" s="42"/>
      <c r="DE26" s="42"/>
      <c r="DF26" s="42"/>
      <c r="DG26" s="42"/>
      <c r="DH26" s="42"/>
      <c r="DI26" s="42"/>
      <c r="DJ26" s="42"/>
      <c r="DK26" s="42"/>
      <c r="DL26" s="42"/>
      <c r="DM26" s="42"/>
      <c r="DN26" s="42"/>
      <c r="DO26" s="42"/>
      <c r="DP26" s="42"/>
      <c r="DQ26" s="42"/>
      <c r="DR26" s="42"/>
      <c r="DS26" s="42"/>
      <c r="DT26" s="42"/>
      <c r="DU26" s="42"/>
      <c r="DV26" s="42"/>
      <c r="DW26" s="42"/>
      <c r="DX26" s="42"/>
      <c r="DY26" s="42"/>
      <c r="DZ26" s="42"/>
      <c r="EA26" s="42"/>
      <c r="EB26" s="42"/>
      <c r="EC26" s="42"/>
      <c r="ED26" s="42"/>
      <c r="EE26" s="42"/>
      <c r="EF26" s="42"/>
      <c r="EG26" s="42"/>
      <c r="EH26" s="42"/>
      <c r="EI26" s="42"/>
      <c r="EJ26" s="42"/>
      <c r="EK26" s="42"/>
      <c r="EL26" s="42"/>
      <c r="EM26" s="42"/>
      <c r="EN26" s="42"/>
      <c r="EO26" s="42"/>
      <c r="EP26" s="42"/>
      <c r="EQ26" s="42"/>
      <c r="ER26" s="42"/>
      <c r="ES26" s="42"/>
      <c r="ET26" s="42"/>
      <c r="EU26" s="42"/>
      <c r="EV26" s="42"/>
      <c r="EW26" s="42"/>
      <c r="EX26" s="42"/>
      <c r="EY26" s="42"/>
      <c r="EZ26" s="42"/>
      <c r="FA26" s="42"/>
      <c r="FB26" s="42"/>
      <c r="FC26" s="42"/>
      <c r="FD26" s="42"/>
      <c r="FE26" s="42"/>
      <c r="FF26" s="42"/>
      <c r="FG26" s="42"/>
      <c r="FH26" s="42"/>
      <c r="FI26" s="42"/>
      <c r="FJ26" s="42"/>
      <c r="FK26" s="42"/>
      <c r="FL26" s="42"/>
      <c r="FM26" s="42"/>
      <c r="FN26" s="42"/>
      <c r="FO26" s="42"/>
      <c r="FP26" s="42"/>
      <c r="FQ26" s="42"/>
      <c r="FR26" s="42"/>
      <c r="FS26" s="42"/>
      <c r="FT26" s="42"/>
      <c r="FU26" s="42"/>
      <c r="FV26" s="42"/>
      <c r="FW26" s="42"/>
      <c r="FX26" s="42"/>
      <c r="FY26" s="42"/>
      <c r="FZ26" s="42"/>
      <c r="GA26" s="42"/>
      <c r="GB26" s="42"/>
      <c r="GC26" s="42"/>
      <c r="GD26" s="42"/>
      <c r="GE26" s="42"/>
      <c r="GF26" s="42"/>
      <c r="GG26" s="42"/>
      <c r="GH26" s="42"/>
      <c r="GI26" s="42"/>
      <c r="GJ26" s="42"/>
      <c r="GK26" s="42"/>
      <c r="GL26" s="42"/>
      <c r="GM26" s="42"/>
      <c r="GN26" s="42"/>
      <c r="GO26" s="42"/>
      <c r="GP26" s="42"/>
      <c r="GQ26" s="42"/>
      <c r="GR26" s="42"/>
      <c r="GS26" s="42"/>
      <c r="GT26" s="42"/>
      <c r="GU26" s="42"/>
      <c r="GV26" s="42"/>
      <c r="GW26" s="42"/>
      <c r="GX26" s="42"/>
      <c r="GY26" s="42"/>
      <c r="GZ26" s="42"/>
      <c r="HA26" s="42"/>
      <c r="HB26" s="42"/>
      <c r="HC26" s="42"/>
      <c r="HD26" s="42"/>
      <c r="HE26" s="42"/>
      <c r="HF26" s="42"/>
      <c r="HG26" s="42"/>
      <c r="HH26" s="42"/>
      <c r="HI26" s="42"/>
      <c r="HJ26" s="42"/>
      <c r="HK26" s="42"/>
      <c r="HL26" s="42"/>
      <c r="HM26" s="42"/>
      <c r="HN26" s="42"/>
      <c r="HO26" s="42"/>
      <c r="HP26" s="42"/>
      <c r="HQ26" s="42"/>
      <c r="HR26" s="42"/>
      <c r="HS26" s="42"/>
      <c r="HT26" s="42"/>
      <c r="HU26" s="42"/>
      <c r="HV26" s="42"/>
      <c r="HW26" s="42"/>
      <c r="HX26" s="42"/>
      <c r="HY26" s="42"/>
      <c r="HZ26" s="42"/>
      <c r="IA26" s="42"/>
      <c r="IB26" s="42"/>
      <c r="IC26" s="42"/>
      <c r="ID26" s="42"/>
      <c r="IE26" s="42"/>
      <c r="IF26" s="42"/>
      <c r="IG26" s="42"/>
      <c r="IH26" s="42"/>
      <c r="II26" s="42"/>
      <c r="IJ26" s="42"/>
      <c r="IK26" s="42"/>
      <c r="IL26" s="42"/>
      <c r="IM26" s="42"/>
      <c r="IN26" s="42"/>
      <c r="IO26" s="42"/>
      <c r="IP26" s="42"/>
      <c r="IQ26" s="42"/>
      <c r="IR26" s="42"/>
      <c r="IS26" s="42"/>
      <c r="IT26" s="42"/>
      <c r="IU26" s="42"/>
      <c r="IV26" s="42"/>
      <c r="IW26" s="42"/>
      <c r="IX26" s="42"/>
      <c r="IY26" s="42"/>
      <c r="IZ26" s="42"/>
      <c r="JA26" s="42"/>
      <c r="JB26" s="42"/>
      <c r="JC26" s="42"/>
      <c r="JD26" s="42"/>
      <c r="JE26" s="42"/>
      <c r="JF26" s="42"/>
      <c r="JG26" s="42"/>
      <c r="JH26" s="42"/>
      <c r="JI26" s="42"/>
      <c r="JJ26" s="42"/>
      <c r="JK26" s="42"/>
      <c r="JL26" s="42"/>
      <c r="JM26" s="42"/>
      <c r="JN26" s="42"/>
      <c r="JO26" s="42"/>
      <c r="JP26" s="42"/>
      <c r="JQ26" s="42"/>
      <c r="JR26" s="42"/>
      <c r="JS26" s="42"/>
      <c r="JT26" s="42"/>
      <c r="JU26" s="42"/>
      <c r="JV26" s="42"/>
      <c r="JW26" s="42"/>
      <c r="JX26" s="42"/>
      <c r="JY26" s="42"/>
      <c r="JZ26" s="42"/>
      <c r="KA26" s="42"/>
      <c r="KB26" s="42"/>
      <c r="KC26" s="42"/>
      <c r="KD26" s="42"/>
      <c r="KE26" s="42"/>
      <c r="KF26" s="42"/>
      <c r="KG26" s="42"/>
      <c r="KH26" s="42"/>
      <c r="KI26" s="42"/>
      <c r="KJ26" s="42"/>
      <c r="KK26" s="42"/>
      <c r="KL26" s="42"/>
      <c r="KM26" s="42"/>
      <c r="KN26" s="42"/>
      <c r="KO26" s="42"/>
      <c r="KP26" s="42"/>
      <c r="KQ26" s="42"/>
      <c r="KR26" s="42"/>
      <c r="KS26" s="42"/>
      <c r="KT26" s="42"/>
      <c r="KU26" s="42"/>
      <c r="KV26" s="42"/>
      <c r="KW26" s="42"/>
      <c r="KX26" s="42"/>
      <c r="KY26" s="42"/>
      <c r="KZ26" s="42"/>
      <c r="LA26" s="42"/>
      <c r="LB26" s="42"/>
      <c r="LC26" s="42"/>
    </row>
    <row r="27" ht="15.75" customHeight="1">
      <c r="A27" s="42"/>
      <c r="B27" s="87" t="s">
        <v>238</v>
      </c>
      <c r="C27" s="69"/>
      <c r="D27" s="67"/>
      <c r="E27" s="87" t="s">
        <v>239</v>
      </c>
      <c r="F27" s="88" t="s">
        <v>188</v>
      </c>
      <c r="G27" s="88" t="s">
        <v>4</v>
      </c>
      <c r="H27" s="89" t="s">
        <v>190</v>
      </c>
      <c r="I27" s="87" t="s">
        <v>239</v>
      </c>
      <c r="J27" s="88" t="s">
        <v>188</v>
      </c>
      <c r="K27" s="88" t="s">
        <v>4</v>
      </c>
      <c r="L27" s="89" t="s">
        <v>190</v>
      </c>
      <c r="M27" s="87" t="s">
        <v>239</v>
      </c>
      <c r="N27" s="88" t="s">
        <v>188</v>
      </c>
      <c r="O27" s="88" t="s">
        <v>4</v>
      </c>
      <c r="P27" s="89" t="s">
        <v>190</v>
      </c>
      <c r="Q27" s="87" t="s">
        <v>239</v>
      </c>
      <c r="R27" s="88" t="s">
        <v>188</v>
      </c>
      <c r="S27" s="88" t="s">
        <v>4</v>
      </c>
      <c r="T27" s="89" t="s">
        <v>190</v>
      </c>
      <c r="U27" s="67"/>
      <c r="V27" s="87" t="s">
        <v>239</v>
      </c>
      <c r="W27" s="88" t="s">
        <v>188</v>
      </c>
      <c r="X27" s="88" t="s">
        <v>4</v>
      </c>
      <c r="Y27" s="89" t="s">
        <v>190</v>
      </c>
      <c r="Z27" s="87" t="s">
        <v>239</v>
      </c>
      <c r="AA27" s="88" t="s">
        <v>188</v>
      </c>
      <c r="AB27" s="88" t="s">
        <v>4</v>
      </c>
      <c r="AC27" s="89" t="s">
        <v>190</v>
      </c>
      <c r="AD27" s="87" t="s">
        <v>239</v>
      </c>
      <c r="AE27" s="88" t="s">
        <v>188</v>
      </c>
      <c r="AF27" s="88" t="s">
        <v>4</v>
      </c>
      <c r="AG27" s="89" t="s">
        <v>190</v>
      </c>
      <c r="AH27" s="87" t="s">
        <v>239</v>
      </c>
      <c r="AI27" s="88" t="s">
        <v>188</v>
      </c>
      <c r="AJ27" s="88" t="s">
        <v>4</v>
      </c>
      <c r="AK27" s="89" t="s">
        <v>190</v>
      </c>
      <c r="AL27" s="87" t="s">
        <v>239</v>
      </c>
      <c r="AM27" s="88" t="s">
        <v>188</v>
      </c>
      <c r="AN27" s="88" t="s">
        <v>4</v>
      </c>
      <c r="AO27" s="89" t="s">
        <v>190</v>
      </c>
      <c r="AP27" s="87" t="s">
        <v>239</v>
      </c>
      <c r="AQ27" s="88" t="s">
        <v>188</v>
      </c>
      <c r="AR27" s="88" t="s">
        <v>4</v>
      </c>
      <c r="AS27" s="89" t="s">
        <v>190</v>
      </c>
      <c r="AT27" s="67"/>
      <c r="AU27" s="87" t="s">
        <v>239</v>
      </c>
      <c r="AV27" s="88" t="s">
        <v>188</v>
      </c>
      <c r="AW27" s="88" t="s">
        <v>4</v>
      </c>
      <c r="AX27" s="89" t="s">
        <v>190</v>
      </c>
      <c r="AY27" s="87" t="s">
        <v>239</v>
      </c>
      <c r="AZ27" s="88" t="s">
        <v>188</v>
      </c>
      <c r="BA27" s="88" t="s">
        <v>4</v>
      </c>
      <c r="BB27" s="89" t="s">
        <v>190</v>
      </c>
      <c r="BC27" s="87" t="s">
        <v>239</v>
      </c>
      <c r="BD27" s="88" t="s">
        <v>188</v>
      </c>
      <c r="BE27" s="88" t="s">
        <v>4</v>
      </c>
      <c r="BF27" s="89" t="s">
        <v>190</v>
      </c>
      <c r="BG27" s="87" t="s">
        <v>239</v>
      </c>
      <c r="BH27" s="88" t="s">
        <v>188</v>
      </c>
      <c r="BI27" s="88" t="s">
        <v>4</v>
      </c>
      <c r="BJ27" s="89" t="s">
        <v>190</v>
      </c>
      <c r="BK27" s="87" t="s">
        <v>239</v>
      </c>
      <c r="BL27" s="88" t="s">
        <v>188</v>
      </c>
      <c r="BM27" s="88" t="s">
        <v>4</v>
      </c>
      <c r="BN27" s="89" t="s">
        <v>190</v>
      </c>
      <c r="BO27" s="87" t="s">
        <v>239</v>
      </c>
      <c r="BP27" s="88" t="s">
        <v>188</v>
      </c>
      <c r="BQ27" s="88" t="s">
        <v>4</v>
      </c>
      <c r="BR27" s="89" t="s">
        <v>190</v>
      </c>
      <c r="BS27" s="67"/>
      <c r="BT27" s="87" t="s">
        <v>239</v>
      </c>
      <c r="BU27" s="88" t="s">
        <v>188</v>
      </c>
      <c r="BV27" s="88" t="s">
        <v>4</v>
      </c>
      <c r="BW27" s="89" t="s">
        <v>190</v>
      </c>
      <c r="BX27" s="87" t="s">
        <v>239</v>
      </c>
      <c r="BY27" s="88" t="s">
        <v>188</v>
      </c>
      <c r="BZ27" s="88" t="s">
        <v>4</v>
      </c>
      <c r="CA27" s="89" t="s">
        <v>190</v>
      </c>
      <c r="CB27" s="87" t="s">
        <v>239</v>
      </c>
      <c r="CC27" s="88" t="s">
        <v>188</v>
      </c>
      <c r="CD27" s="88" t="s">
        <v>4</v>
      </c>
      <c r="CE27" s="89" t="s">
        <v>190</v>
      </c>
      <c r="CF27" s="87" t="s">
        <v>239</v>
      </c>
      <c r="CG27" s="88" t="s">
        <v>188</v>
      </c>
      <c r="CH27" s="88" t="s">
        <v>4</v>
      </c>
      <c r="CI27" s="89" t="s">
        <v>190</v>
      </c>
      <c r="CJ27" s="87" t="s">
        <v>239</v>
      </c>
      <c r="CK27" s="88" t="s">
        <v>188</v>
      </c>
      <c r="CL27" s="88" t="s">
        <v>4</v>
      </c>
      <c r="CM27" s="89" t="s">
        <v>190</v>
      </c>
      <c r="CN27" s="87" t="s">
        <v>239</v>
      </c>
      <c r="CO27" s="88" t="s">
        <v>188</v>
      </c>
      <c r="CP27" s="88" t="s">
        <v>4</v>
      </c>
      <c r="CQ27" s="89" t="s">
        <v>190</v>
      </c>
      <c r="CR27" s="67"/>
      <c r="CS27" s="87" t="s">
        <v>239</v>
      </c>
      <c r="CT27" s="88" t="s">
        <v>188</v>
      </c>
      <c r="CU27" s="88" t="s">
        <v>4</v>
      </c>
      <c r="CV27" s="89" t="s">
        <v>190</v>
      </c>
      <c r="CW27" s="87" t="s">
        <v>239</v>
      </c>
      <c r="CX27" s="88" t="s">
        <v>188</v>
      </c>
      <c r="CY27" s="88" t="s">
        <v>4</v>
      </c>
      <c r="CZ27" s="89" t="s">
        <v>190</v>
      </c>
      <c r="DA27" s="87" t="s">
        <v>239</v>
      </c>
      <c r="DB27" s="88" t="s">
        <v>188</v>
      </c>
      <c r="DC27" s="88" t="s">
        <v>4</v>
      </c>
      <c r="DD27" s="89" t="s">
        <v>190</v>
      </c>
      <c r="DE27" s="87" t="s">
        <v>239</v>
      </c>
      <c r="DF27" s="88" t="s">
        <v>188</v>
      </c>
      <c r="DG27" s="88" t="s">
        <v>4</v>
      </c>
      <c r="DH27" s="89" t="s">
        <v>190</v>
      </c>
      <c r="DI27" s="87" t="s">
        <v>239</v>
      </c>
      <c r="DJ27" s="88" t="s">
        <v>188</v>
      </c>
      <c r="DK27" s="88" t="s">
        <v>4</v>
      </c>
      <c r="DL27" s="89" t="s">
        <v>190</v>
      </c>
      <c r="DM27" s="87" t="s">
        <v>239</v>
      </c>
      <c r="DN27" s="88" t="s">
        <v>188</v>
      </c>
      <c r="DO27" s="88" t="s">
        <v>4</v>
      </c>
      <c r="DP27" s="89" t="s">
        <v>190</v>
      </c>
      <c r="DQ27" s="67"/>
      <c r="DR27" s="87" t="s">
        <v>239</v>
      </c>
      <c r="DS27" s="88" t="s">
        <v>188</v>
      </c>
      <c r="DT27" s="88" t="s">
        <v>4</v>
      </c>
      <c r="DU27" s="89" t="s">
        <v>190</v>
      </c>
      <c r="DV27" s="87" t="s">
        <v>239</v>
      </c>
      <c r="DW27" s="88" t="s">
        <v>188</v>
      </c>
      <c r="DX27" s="88" t="s">
        <v>4</v>
      </c>
      <c r="DY27" s="89" t="s">
        <v>190</v>
      </c>
      <c r="DZ27" s="87" t="s">
        <v>239</v>
      </c>
      <c r="EA27" s="88" t="s">
        <v>188</v>
      </c>
      <c r="EB27" s="88" t="s">
        <v>4</v>
      </c>
      <c r="EC27" s="89" t="s">
        <v>190</v>
      </c>
      <c r="ED27" s="87" t="s">
        <v>239</v>
      </c>
      <c r="EE27" s="88" t="s">
        <v>188</v>
      </c>
      <c r="EF27" s="88" t="s">
        <v>4</v>
      </c>
      <c r="EG27" s="89" t="s">
        <v>190</v>
      </c>
      <c r="EH27" s="87" t="s">
        <v>239</v>
      </c>
      <c r="EI27" s="88" t="s">
        <v>188</v>
      </c>
      <c r="EJ27" s="88" t="s">
        <v>4</v>
      </c>
      <c r="EK27" s="89" t="s">
        <v>190</v>
      </c>
      <c r="EL27" s="87" t="s">
        <v>239</v>
      </c>
      <c r="EM27" s="88" t="s">
        <v>188</v>
      </c>
      <c r="EN27" s="88" t="s">
        <v>4</v>
      </c>
      <c r="EO27" s="89" t="s">
        <v>190</v>
      </c>
      <c r="EP27" s="67"/>
      <c r="EQ27" s="87" t="s">
        <v>239</v>
      </c>
      <c r="ER27" s="88" t="s">
        <v>188</v>
      </c>
      <c r="ES27" s="88" t="s">
        <v>4</v>
      </c>
      <c r="ET27" s="89" t="s">
        <v>190</v>
      </c>
      <c r="EU27" s="87" t="s">
        <v>239</v>
      </c>
      <c r="EV27" s="88" t="s">
        <v>188</v>
      </c>
      <c r="EW27" s="88" t="s">
        <v>4</v>
      </c>
      <c r="EX27" s="89" t="s">
        <v>190</v>
      </c>
      <c r="EY27" s="87" t="s">
        <v>239</v>
      </c>
      <c r="EZ27" s="88" t="s">
        <v>188</v>
      </c>
      <c r="FA27" s="88" t="s">
        <v>4</v>
      </c>
      <c r="FB27" s="89" t="s">
        <v>190</v>
      </c>
      <c r="FC27" s="87" t="s">
        <v>239</v>
      </c>
      <c r="FD27" s="88" t="s">
        <v>188</v>
      </c>
      <c r="FE27" s="88" t="s">
        <v>4</v>
      </c>
      <c r="FF27" s="89" t="s">
        <v>190</v>
      </c>
      <c r="FG27" s="87" t="s">
        <v>239</v>
      </c>
      <c r="FH27" s="88" t="s">
        <v>188</v>
      </c>
      <c r="FI27" s="88" t="s">
        <v>4</v>
      </c>
      <c r="FJ27" s="89" t="s">
        <v>190</v>
      </c>
      <c r="FK27" s="87" t="s">
        <v>239</v>
      </c>
      <c r="FL27" s="88" t="s">
        <v>188</v>
      </c>
      <c r="FM27" s="88" t="s">
        <v>4</v>
      </c>
      <c r="FN27" s="89" t="s">
        <v>190</v>
      </c>
      <c r="FO27" s="67"/>
      <c r="FP27" s="87" t="s">
        <v>239</v>
      </c>
      <c r="FQ27" s="88" t="s">
        <v>188</v>
      </c>
      <c r="FR27" s="88" t="s">
        <v>4</v>
      </c>
      <c r="FS27" s="89" t="s">
        <v>190</v>
      </c>
      <c r="FT27" s="87" t="s">
        <v>239</v>
      </c>
      <c r="FU27" s="88" t="s">
        <v>188</v>
      </c>
      <c r="FV27" s="88" t="s">
        <v>4</v>
      </c>
      <c r="FW27" s="89" t="s">
        <v>190</v>
      </c>
      <c r="FX27" s="87" t="s">
        <v>239</v>
      </c>
      <c r="FY27" s="88" t="s">
        <v>188</v>
      </c>
      <c r="FZ27" s="88" t="s">
        <v>4</v>
      </c>
      <c r="GA27" s="89" t="s">
        <v>190</v>
      </c>
      <c r="GB27" s="87" t="s">
        <v>239</v>
      </c>
      <c r="GC27" s="88" t="s">
        <v>188</v>
      </c>
      <c r="GD27" s="88" t="s">
        <v>4</v>
      </c>
      <c r="GE27" s="89" t="s">
        <v>190</v>
      </c>
      <c r="GF27" s="87" t="s">
        <v>239</v>
      </c>
      <c r="GG27" s="88" t="s">
        <v>188</v>
      </c>
      <c r="GH27" s="88" t="s">
        <v>4</v>
      </c>
      <c r="GI27" s="89" t="s">
        <v>190</v>
      </c>
      <c r="GJ27" s="87" t="s">
        <v>239</v>
      </c>
      <c r="GK27" s="88" t="s">
        <v>188</v>
      </c>
      <c r="GL27" s="88" t="s">
        <v>4</v>
      </c>
      <c r="GM27" s="89" t="s">
        <v>190</v>
      </c>
      <c r="GN27" s="67"/>
      <c r="GO27" s="87" t="s">
        <v>239</v>
      </c>
      <c r="GP27" s="88" t="s">
        <v>188</v>
      </c>
      <c r="GQ27" s="88" t="s">
        <v>4</v>
      </c>
      <c r="GR27" s="89" t="s">
        <v>190</v>
      </c>
      <c r="GS27" s="87" t="s">
        <v>239</v>
      </c>
      <c r="GT27" s="88" t="s">
        <v>188</v>
      </c>
      <c r="GU27" s="88" t="s">
        <v>4</v>
      </c>
      <c r="GV27" s="89" t="s">
        <v>190</v>
      </c>
      <c r="GW27" s="87" t="s">
        <v>239</v>
      </c>
      <c r="GX27" s="88" t="s">
        <v>188</v>
      </c>
      <c r="GY27" s="88" t="s">
        <v>4</v>
      </c>
      <c r="GZ27" s="89" t="s">
        <v>190</v>
      </c>
      <c r="HA27" s="87" t="s">
        <v>239</v>
      </c>
      <c r="HB27" s="88" t="s">
        <v>188</v>
      </c>
      <c r="HC27" s="88" t="s">
        <v>4</v>
      </c>
      <c r="HD27" s="89" t="s">
        <v>190</v>
      </c>
      <c r="HE27" s="87" t="s">
        <v>239</v>
      </c>
      <c r="HF27" s="88" t="s">
        <v>188</v>
      </c>
      <c r="HG27" s="88" t="s">
        <v>4</v>
      </c>
      <c r="HH27" s="89" t="s">
        <v>190</v>
      </c>
      <c r="HI27" s="87" t="s">
        <v>239</v>
      </c>
      <c r="HJ27" s="88" t="s">
        <v>188</v>
      </c>
      <c r="HK27" s="88" t="s">
        <v>4</v>
      </c>
      <c r="HL27" s="89" t="s">
        <v>190</v>
      </c>
      <c r="HM27" s="67"/>
      <c r="HN27" s="87" t="s">
        <v>239</v>
      </c>
      <c r="HO27" s="88" t="s">
        <v>188</v>
      </c>
      <c r="HP27" s="88" t="s">
        <v>4</v>
      </c>
      <c r="HQ27" s="89" t="s">
        <v>190</v>
      </c>
      <c r="HR27" s="87" t="s">
        <v>239</v>
      </c>
      <c r="HS27" s="88" t="s">
        <v>188</v>
      </c>
      <c r="HT27" s="88" t="s">
        <v>4</v>
      </c>
      <c r="HU27" s="89" t="s">
        <v>190</v>
      </c>
      <c r="HV27" s="87" t="s">
        <v>239</v>
      </c>
      <c r="HW27" s="88" t="s">
        <v>188</v>
      </c>
      <c r="HX27" s="88" t="s">
        <v>4</v>
      </c>
      <c r="HY27" s="89" t="s">
        <v>190</v>
      </c>
      <c r="HZ27" s="87" t="s">
        <v>239</v>
      </c>
      <c r="IA27" s="88" t="s">
        <v>188</v>
      </c>
      <c r="IB27" s="88" t="s">
        <v>4</v>
      </c>
      <c r="IC27" s="89" t="s">
        <v>190</v>
      </c>
      <c r="ID27" s="87" t="s">
        <v>239</v>
      </c>
      <c r="IE27" s="88" t="s">
        <v>188</v>
      </c>
      <c r="IF27" s="88" t="s">
        <v>4</v>
      </c>
      <c r="IG27" s="89" t="s">
        <v>190</v>
      </c>
      <c r="IH27" s="87" t="s">
        <v>239</v>
      </c>
      <c r="II27" s="88" t="s">
        <v>188</v>
      </c>
      <c r="IJ27" s="88" t="s">
        <v>4</v>
      </c>
      <c r="IK27" s="89" t="s">
        <v>190</v>
      </c>
      <c r="IL27" s="67"/>
      <c r="IM27" s="87" t="s">
        <v>239</v>
      </c>
      <c r="IN27" s="88" t="s">
        <v>188</v>
      </c>
      <c r="IO27" s="88" t="s">
        <v>4</v>
      </c>
      <c r="IP27" s="89" t="s">
        <v>190</v>
      </c>
      <c r="IQ27" s="87" t="s">
        <v>239</v>
      </c>
      <c r="IR27" s="88" t="s">
        <v>188</v>
      </c>
      <c r="IS27" s="88" t="s">
        <v>4</v>
      </c>
      <c r="IT27" s="89" t="s">
        <v>190</v>
      </c>
      <c r="IU27" s="87" t="s">
        <v>239</v>
      </c>
      <c r="IV27" s="88" t="s">
        <v>188</v>
      </c>
      <c r="IW27" s="88" t="s">
        <v>4</v>
      </c>
      <c r="IX27" s="89" t="s">
        <v>190</v>
      </c>
      <c r="IY27" s="87" t="s">
        <v>239</v>
      </c>
      <c r="IZ27" s="88" t="s">
        <v>188</v>
      </c>
      <c r="JA27" s="88" t="s">
        <v>4</v>
      </c>
      <c r="JB27" s="89" t="s">
        <v>190</v>
      </c>
      <c r="JC27" s="87" t="s">
        <v>239</v>
      </c>
      <c r="JD27" s="88" t="s">
        <v>188</v>
      </c>
      <c r="JE27" s="88" t="s">
        <v>4</v>
      </c>
      <c r="JF27" s="89" t="s">
        <v>190</v>
      </c>
      <c r="JG27" s="87" t="s">
        <v>239</v>
      </c>
      <c r="JH27" s="88" t="s">
        <v>188</v>
      </c>
      <c r="JI27" s="88" t="s">
        <v>4</v>
      </c>
      <c r="JJ27" s="89" t="s">
        <v>190</v>
      </c>
      <c r="JK27" s="67"/>
      <c r="JL27" s="87" t="s">
        <v>239</v>
      </c>
      <c r="JM27" s="88" t="s">
        <v>188</v>
      </c>
      <c r="JN27" s="88" t="s">
        <v>4</v>
      </c>
      <c r="JO27" s="89" t="s">
        <v>190</v>
      </c>
      <c r="JP27" s="87" t="s">
        <v>239</v>
      </c>
      <c r="JQ27" s="88" t="s">
        <v>188</v>
      </c>
      <c r="JR27" s="88" t="s">
        <v>4</v>
      </c>
      <c r="JS27" s="89" t="s">
        <v>190</v>
      </c>
      <c r="JT27" s="87" t="s">
        <v>239</v>
      </c>
      <c r="JU27" s="88" t="s">
        <v>188</v>
      </c>
      <c r="JV27" s="88" t="s">
        <v>4</v>
      </c>
      <c r="JW27" s="89" t="s">
        <v>190</v>
      </c>
      <c r="JX27" s="87" t="s">
        <v>239</v>
      </c>
      <c r="JY27" s="88" t="s">
        <v>188</v>
      </c>
      <c r="JZ27" s="88" t="s">
        <v>4</v>
      </c>
      <c r="KA27" s="89" t="s">
        <v>190</v>
      </c>
      <c r="KB27" s="87" t="s">
        <v>239</v>
      </c>
      <c r="KC27" s="88" t="s">
        <v>188</v>
      </c>
      <c r="KD27" s="88" t="s">
        <v>4</v>
      </c>
      <c r="KE27" s="89" t="s">
        <v>190</v>
      </c>
      <c r="KF27" s="87" t="s">
        <v>239</v>
      </c>
      <c r="KG27" s="88" t="s">
        <v>188</v>
      </c>
      <c r="KH27" s="88" t="s">
        <v>4</v>
      </c>
      <c r="KI27" s="89" t="s">
        <v>190</v>
      </c>
      <c r="KJ27" s="67"/>
      <c r="KK27" s="67"/>
      <c r="KL27" s="67"/>
      <c r="KM27" s="67"/>
      <c r="KN27" s="67"/>
      <c r="KO27" s="67"/>
      <c r="KP27" s="67"/>
      <c r="KQ27" s="67"/>
      <c r="KR27" s="67"/>
      <c r="KS27" s="67"/>
      <c r="KT27" s="67"/>
      <c r="KU27" s="67"/>
      <c r="KV27" s="67"/>
      <c r="KW27" s="67"/>
      <c r="KX27" s="67"/>
      <c r="KY27" s="67"/>
      <c r="KZ27" s="67"/>
      <c r="LA27" s="67"/>
      <c r="LB27" s="67"/>
      <c r="LC27" s="67"/>
    </row>
    <row r="28" ht="15.75" customHeight="1">
      <c r="A28" s="42"/>
      <c r="B28" s="68" t="s">
        <v>194</v>
      </c>
      <c r="C28" s="69"/>
      <c r="D28" s="70"/>
      <c r="E28" s="71"/>
      <c r="F28" s="32"/>
      <c r="G28" s="72" t="str">
        <f t="array" ref="G28">IFERROR(IF(XLOOKUP(CONCAT(E28,F28),'MASTER PLAN'!$AB:$AB,'MASTER PLAN'!$J:$J,0,0)=0,"",XLOOKUP(CONCAT(E28,F28),'MASTER PLAN'!$AB:$AB,'MASTER PLAN'!$J:$J,0,0)),"")</f>
        <v/>
      </c>
      <c r="H28" s="73" t="str">
        <f t="array" ref="H28">IFERROR(IF(XLOOKUP(CONCAT(E28,F28),'PROCESOS PRD'!$J:$J,'PROCESOS PRD'!$H:$H,0,0)=0,"",XLOOKUP(CONCAT(E28,F28),'PROCESOS PRD'!$J:$J,'PROCESOS PRD'!$H:$H,0,0)),"")</f>
        <v/>
      </c>
      <c r="I28" s="71"/>
      <c r="J28" s="32"/>
      <c r="K28" s="72" t="str">
        <f t="array" ref="K28">IFERROR(IF(XLOOKUP(CONCAT(I28,J28),'MASTER PLAN'!$AB:$AB,'MASTER PLAN'!$J:$J,0,0)=0,"",XLOOKUP(CONCAT(I28,J28),'MASTER PLAN'!$AB:$AB,'MASTER PLAN'!$J:$J,0,0)),"")</f>
        <v/>
      </c>
      <c r="L28" s="73" t="str">
        <f t="array" ref="L28">IFERROR(IF(XLOOKUP(CONCAT(I28,J28),'PROCESOS PRD'!$J:$J,'PROCESOS PRD'!$H:$H,0,0)=0,"",XLOOKUP(CONCAT(I28,J28),'PROCESOS PRD'!$J:$J,'PROCESOS PRD'!$H:$H,0,0)),"")</f>
        <v/>
      </c>
      <c r="M28" s="71"/>
      <c r="N28" s="32"/>
      <c r="O28" s="72" t="str">
        <f t="array" ref="O28">IFERROR(IF(XLOOKUP(CONCAT(M28,N28),'MASTER PLAN'!$AB:$AB,'MASTER PLAN'!$J:$J,0,0)=0,"",XLOOKUP(CONCAT(M28,N28),'MASTER PLAN'!$AB:$AB,'MASTER PLAN'!$J:$J,0,0)),"")</f>
        <v/>
      </c>
      <c r="P28" s="73" t="str">
        <f t="array" ref="P28">IFERROR(IF(XLOOKUP(CONCAT(M28,N28),'PROCESOS PRD'!$J:$J,'PROCESOS PRD'!$H:$H,0,0)=0,"",XLOOKUP(CONCAT(M28,N28),'PROCESOS PRD'!$J:$J,'PROCESOS PRD'!$H:$H,0,0)),"")</f>
        <v/>
      </c>
      <c r="Q28" s="71"/>
      <c r="R28" s="32"/>
      <c r="S28" s="72" t="str">
        <f t="array" ref="S28">IFERROR(IF(XLOOKUP(CONCAT(Q28,R28),'MASTER PLAN'!$AB:$AB,'MASTER PLAN'!$J:$J,0,0)=0,"",XLOOKUP(CONCAT(Q28,R28),'MASTER PLAN'!$AB:$AB,'MASTER PLAN'!$J:$J,0,0)),"")</f>
        <v/>
      </c>
      <c r="T28" s="73" t="str">
        <f t="array" ref="T28">IFERROR(IF(XLOOKUP(CONCAT(Q28,R28),'PROCESOS PRD'!$J:$J,'PROCESOS PRD'!$H:$H,0,0)=0,"",XLOOKUP(CONCAT(Q28,R28),'PROCESOS PRD'!$J:$J,'PROCESOS PRD'!$H:$H,0,0)),"")</f>
        <v/>
      </c>
      <c r="U28" s="70"/>
      <c r="V28" s="71"/>
      <c r="W28" s="32"/>
      <c r="X28" s="72" t="str">
        <f t="array" ref="X28">IFERROR(IF(XLOOKUP(CONCAT(V28,W28),'MASTER PLAN'!$AB:$AB,'MASTER PLAN'!$J:$J,0,0)=0,"",XLOOKUP(CONCAT(V28,W28),'MASTER PLAN'!$AB:$AB,'MASTER PLAN'!$J:$J,0,0)),"")</f>
        <v/>
      </c>
      <c r="Y28" s="73" t="str">
        <f t="array" ref="Y28">IFERROR(IF(XLOOKUP(CONCAT(V28,W28),'PROCESOS PRD'!$J:$J,'PROCESOS PRD'!$H:$H,0,0)=0,"",XLOOKUP(CONCAT(V28,W28),'PROCESOS PRD'!$J:$J,'PROCESOS PRD'!$H:$H,0,0)),"")</f>
        <v/>
      </c>
      <c r="Z28" s="71"/>
      <c r="AA28" s="32"/>
      <c r="AB28" s="72" t="str">
        <f t="array" ref="AB28">IFERROR(IF(XLOOKUP(CONCAT(Z28,AA28),'MASTER PLAN'!$AB:$AB,'MASTER PLAN'!$J:$J,0,0)=0,"",XLOOKUP(CONCAT(Z28,AA28),'MASTER PLAN'!$AB:$AB,'MASTER PLAN'!$J:$J,0,0)),"")</f>
        <v/>
      </c>
      <c r="AC28" s="73" t="str">
        <f t="array" ref="AC28">IFERROR(IF(XLOOKUP(CONCAT(Z28,AA28),'PROCESOS PRD'!$J:$J,'PROCESOS PRD'!$H:$H,0,0)=0,"",XLOOKUP(CONCAT(Z28,AA28),'PROCESOS PRD'!$J:$J,'PROCESOS PRD'!$H:$H,0,0)),"")</f>
        <v/>
      </c>
      <c r="AD28" s="71"/>
      <c r="AE28" s="32"/>
      <c r="AF28" s="72" t="str">
        <f t="array" ref="AF28">IFERROR(IF(XLOOKUP(CONCAT(AD28,AE28),'MASTER PLAN'!$AB:$AB,'MASTER PLAN'!$J:$J,0,0)=0,"",XLOOKUP(CONCAT(AD28,AE28),'MASTER PLAN'!$AB:$AB,'MASTER PLAN'!$J:$J,0,0)),"")</f>
        <v/>
      </c>
      <c r="AG28" s="73" t="str">
        <f t="array" ref="AG28">IFERROR(IF(XLOOKUP(CONCAT(AD28,AE28),'PROCESOS PRD'!$J:$J,'PROCESOS PRD'!$H:$H,0,0)=0,"",XLOOKUP(CONCAT(AD28,AE28),'PROCESOS PRD'!$J:$J,'PROCESOS PRD'!$H:$H,0,0)),"")</f>
        <v/>
      </c>
      <c r="AH28" s="71"/>
      <c r="AI28" s="32"/>
      <c r="AJ28" s="72" t="str">
        <f t="array" ref="AJ28">IFERROR(IF(XLOOKUP(CONCAT(AH28,AI28),'MASTER PLAN'!$AB:$AB,'MASTER PLAN'!$J:$J,0,0)=0,"",XLOOKUP(CONCAT(AH28,AI28),'MASTER PLAN'!$AB:$AB,'MASTER PLAN'!$J:$J,0,0)),"")</f>
        <v/>
      </c>
      <c r="AK28" s="73" t="str">
        <f t="array" ref="AK28">IFERROR(IF(XLOOKUP(CONCAT(AH28,AI28),'PROCESOS PRD'!$J:$J,'PROCESOS PRD'!$H:$H,0,0)=0,"",XLOOKUP(CONCAT(AH28,AI28),'PROCESOS PRD'!$J:$J,'PROCESOS PRD'!$H:$H,0,0)),"")</f>
        <v/>
      </c>
      <c r="AL28" s="71"/>
      <c r="AM28" s="32"/>
      <c r="AN28" s="72" t="str">
        <f t="array" ref="AN28">IFERROR(IF(XLOOKUP(CONCAT(AL28,AM28),'MASTER PLAN'!$AB:$AB,'MASTER PLAN'!$J:$J,0,0)=0,"",XLOOKUP(CONCAT(AL28,AM28),'MASTER PLAN'!$AB:$AB,'MASTER PLAN'!$J:$J,0,0)),"")</f>
        <v/>
      </c>
      <c r="AO28" s="73" t="str">
        <f t="array" ref="AO28">IFERROR(IF(XLOOKUP(CONCAT(AL28,AM28),'PROCESOS PRD'!$J:$J,'PROCESOS PRD'!$H:$H,0,0)=0,"",XLOOKUP(CONCAT(AL28,AM28),'PROCESOS PRD'!$J:$J,'PROCESOS PRD'!$H:$H,0,0)),"")</f>
        <v/>
      </c>
      <c r="AP28" s="71">
        <v>1.402049362E9</v>
      </c>
      <c r="AQ28" s="32">
        <v>10.0</v>
      </c>
      <c r="AR28" s="72" t="str">
        <f t="array" ref="AR28">IFERROR(IF(XLOOKUP(CONCAT(AP28,AQ28),'MASTER PLAN'!$AB:$AB,'MASTER PLAN'!$J:$J,0,0)=0,"",XLOOKUP(CONCAT(AP28,AQ28),'MASTER PLAN'!$AB:$AB,'MASTER PLAN'!$J:$J,0,0)),"")</f>
        <v>BOLSA SCHWANKE KASTEN CO 10"X6"X8"</v>
      </c>
      <c r="AS28" s="73">
        <f t="array" ref="AS28">IFERROR(IF(XLOOKUP(CONCAT(AP28,AQ28),'PROCESOS PRD'!$J:$J,'PROCESOS PRD'!$H:$H,0,0)=0,"",XLOOKUP(CONCAT(AP28,AQ28),'PROCESOS PRD'!$J:$J,'PROCESOS PRD'!$H:$H,0,0)),"")</f>
        <v>2400</v>
      </c>
      <c r="AT28" s="70"/>
      <c r="AU28" s="71"/>
      <c r="AV28" s="32"/>
      <c r="AW28" s="72" t="str">
        <f t="array" ref="AW28">IFERROR(IF(XLOOKUP(CONCAT(AU28,AV28),'MASTER PLAN'!$AB:$AB,'MASTER PLAN'!$J:$J,0,0)=0,"",XLOOKUP(CONCAT(AU28,AV28),'MASTER PLAN'!$AB:$AB,'MASTER PLAN'!$J:$J,0,0)),"")</f>
        <v/>
      </c>
      <c r="AX28" s="73" t="str">
        <f t="array" ref="AX28">IFERROR(IF(XLOOKUP(CONCAT(AU28,AV28),'PROCESOS PRD'!$J:$J,'PROCESOS PRD'!$H:$H,0,0)=0,"",XLOOKUP(CONCAT(AU28,AV28),'PROCESOS PRD'!$J:$J,'PROCESOS PRD'!$H:$H,0,0)),"")</f>
        <v/>
      </c>
      <c r="AY28" s="71"/>
      <c r="AZ28" s="32"/>
      <c r="BA28" s="72" t="str">
        <f t="array" ref="BA28">IFERROR(IF(XLOOKUP(CONCAT(AY28,AZ28),'MASTER PLAN'!$AB:$AB,'MASTER PLAN'!$J:$J,0,0)=0,"",XLOOKUP(CONCAT(AY28,AZ28),'MASTER PLAN'!$AB:$AB,'MASTER PLAN'!$J:$J,0,0)),"")</f>
        <v/>
      </c>
      <c r="BB28" s="73" t="str">
        <f t="array" ref="BB28">IFERROR(IF(XLOOKUP(CONCAT(AY28,AZ28),'PROCESOS PRD'!$J:$J,'PROCESOS PRD'!$H:$H,0,0)=0,"",XLOOKUP(CONCAT(AY28,AZ28),'PROCESOS PRD'!$J:$J,'PROCESOS PRD'!$H:$H,0,0)),"")</f>
        <v/>
      </c>
      <c r="BC28" s="71">
        <v>1.402049349E9</v>
      </c>
      <c r="BD28" s="32">
        <v>10.0</v>
      </c>
      <c r="BE28" s="72" t="str">
        <f t="array" ref="BE28">IFERROR(IF(XLOOKUP(CONCAT(BC28,BD28),'MASTER PLAN'!$AB:$AB,'MASTER PLAN'!$J:$J,0,0)=0,"",XLOOKUP(CONCAT(BC28,BD28),'MASTER PLAN'!$AB:$AB,'MASTER PLAN'!$J:$J,0,0)),"")</f>
        <v>BOLSA WSHM WOS 10"X6"X10" FA</v>
      </c>
      <c r="BF28" s="73">
        <f t="array" ref="BF28">IFERROR(IF(XLOOKUP(CONCAT(BC28,BD28),'PROCESOS PRD'!$J:$J,'PROCESOS PRD'!$H:$H,0,0)=0,"",XLOOKUP(CONCAT(BC28,BD28),'PROCESOS PRD'!$J:$J,'PROCESOS PRD'!$H:$H,0,0)),"")</f>
        <v>18000</v>
      </c>
      <c r="BG28" s="71"/>
      <c r="BH28" s="32"/>
      <c r="BI28" s="72" t="str">
        <f t="array" ref="BI28">IFERROR(IF(XLOOKUP(CONCAT(BG28,BH28),'MASTER PLAN'!$AB:$AB,'MASTER PLAN'!$J:$J,0,0)=0,"",XLOOKUP(CONCAT(BG28,BH28),'MASTER PLAN'!$AB:$AB,'MASTER PLAN'!$J:$J,0,0)),"")</f>
        <v/>
      </c>
      <c r="BJ28" s="73" t="str">
        <f t="array" ref="BJ28">IFERROR(IF(XLOOKUP(CONCAT(BG28,BH28),'PROCESOS PRD'!$J:$J,'PROCESOS PRD'!$H:$H,0,0)=0,"",XLOOKUP(CONCAT(BG28,BH28),'PROCESOS PRD'!$J:$J,'PROCESOS PRD'!$H:$H,0,0)),"")</f>
        <v/>
      </c>
      <c r="BK28" s="71"/>
      <c r="BL28" s="32"/>
      <c r="BM28" s="72" t="str">
        <f t="array" ref="BM28">IFERROR(IF(XLOOKUP(CONCAT(BK28,BL28),'MASTER PLAN'!$AB:$AB,'MASTER PLAN'!$J:$J,0,0)=0,"",XLOOKUP(CONCAT(BK28,BL28),'MASTER PLAN'!$AB:$AB,'MASTER PLAN'!$J:$J,0,0)),"")</f>
        <v/>
      </c>
      <c r="BN28" s="73" t="str">
        <f t="array" ref="BN28">IFERROR(IF(XLOOKUP(CONCAT(BK28,BL28),'PROCESOS PRD'!$J:$J,'PROCESOS PRD'!$H:$H,0,0)=0,"",XLOOKUP(CONCAT(BK28,BL28),'PROCESOS PRD'!$J:$J,'PROCESOS PRD'!$H:$H,0,0)),"")</f>
        <v/>
      </c>
      <c r="BO28" s="71"/>
      <c r="BP28" s="32"/>
      <c r="BQ28" s="72" t="str">
        <f t="array" ref="BQ28">IFERROR(IF(XLOOKUP(CONCAT(BO28,BP28),'MASTER PLAN'!$AB:$AB,'MASTER PLAN'!$J:$J,0,0)=0,"",XLOOKUP(CONCAT(BO28,BP28),'MASTER PLAN'!$AB:$AB,'MASTER PLAN'!$J:$J,0,0)),"")</f>
        <v/>
      </c>
      <c r="BR28" s="73" t="str">
        <f t="array" ref="BR28">IFERROR(IF(XLOOKUP(CONCAT(BO28,BP28),'PROCESOS PRD'!$J:$J,'PROCESOS PRD'!$H:$H,0,0)=0,"",XLOOKUP(CONCAT(BO28,BP28),'PROCESOS PRD'!$J:$J,'PROCESOS PRD'!$H:$H,0,0)),"")</f>
        <v/>
      </c>
      <c r="BS28" s="70"/>
      <c r="BT28" s="71">
        <v>1.402049444E9</v>
      </c>
      <c r="BU28" s="32">
        <v>10.0</v>
      </c>
      <c r="BV28" s="72" t="str">
        <f t="array" ref="BV28">IFERROR(IF(XLOOKUP(CONCAT(BT28,BU28),'MASTER PLAN'!$AB:$AB,'MASTER PLAN'!$J:$J,0,0)=0,"",XLOOKUP(CONCAT(BT28,BU28),'MASTER PLAN'!$AB:$AB,'MASTER PLAN'!$J:$J,0,0)),"")</f>
        <v>BOLSA AMERICUS DIAMOND 6-5X3-5X6-5</v>
      </c>
      <c r="BW28" s="73">
        <f t="array" ref="BW28">IFERROR(IF(XLOOKUP(CONCAT(BT28,BU28),'PROCESOS PRD'!$J:$J,'PROCESOS PRD'!$H:$H,0,0)=0,"",XLOOKUP(CONCAT(BT28,BU28),'PROCESOS PRD'!$J:$J,'PROCESOS PRD'!$H:$H,0,0)),"")</f>
        <v>3600</v>
      </c>
      <c r="BX28" s="71">
        <v>1.40204948E9</v>
      </c>
      <c r="BY28" s="32">
        <v>10.0</v>
      </c>
      <c r="BZ28" s="72" t="str">
        <f t="array" ref="BZ28">IFERROR(IF(XLOOKUP(CONCAT(BX28,BY28),'MASTER PLAN'!$AB:$AB,'MASTER PLAN'!$J:$J,0,0)=0,"",XLOOKUP(CONCAT(BX28,BY28),'MASTER PLAN'!$AB:$AB,'MASTER PLAN'!$J:$J,0,0)),"")</f>
        <v>BOLSA LEE BRANT  8"X4"X10"</v>
      </c>
      <c r="CA28" s="73">
        <f t="array" ref="CA28">IFERROR(IF(XLOOKUP(CONCAT(BX28,BY28),'PROCESOS PRD'!$J:$J,'PROCESOS PRD'!$H:$H,0,0)=0,"",XLOOKUP(CONCAT(BX28,BY28),'PROCESOS PRD'!$J:$J,'PROCESOS PRD'!$H:$H,0,0)),"")</f>
        <v>1200</v>
      </c>
      <c r="CB28" s="71">
        <v>1.402049559E9</v>
      </c>
      <c r="CC28" s="32">
        <v>10.0</v>
      </c>
      <c r="CD28" s="72" t="str">
        <f t="array" ref="CD28">IFERROR(IF(XLOOKUP(CONCAT(CB28,CC28),'MASTER PLAN'!$AB:$AB,'MASTER PLAN'!$J:$J,0,0)=0,"",XLOOKUP(CONCAT(CB28,CC28),'MASTER PLAN'!$AB:$AB,'MASTER PLAN'!$J:$J,0,0)),"")</f>
        <v>BOLSA JOYERIA GARZON 4.75"X3.5"X6"</v>
      </c>
      <c r="CE28" s="73">
        <f t="array" ref="CE28">IFERROR(IF(XLOOKUP(CONCAT(CB28,CC28),'PROCESOS PRD'!$J:$J,'PROCESOS PRD'!$H:$H,0,0)=0,"",XLOOKUP(CONCAT(CB28,CC28),'PROCESOS PRD'!$J:$J,'PROCESOS PRD'!$H:$H,0,0)),"")</f>
        <v>2400</v>
      </c>
      <c r="CF28" s="71"/>
      <c r="CG28" s="32"/>
      <c r="CH28" s="72" t="str">
        <f t="array" ref="CH28">IFERROR(IF(XLOOKUP(CONCAT(CF28,CG28),'MASTER PLAN'!$AB:$AB,'MASTER PLAN'!$J:$J,0,0)=0,"",XLOOKUP(CONCAT(CF28,CG28),'MASTER PLAN'!$AB:$AB,'MASTER PLAN'!$J:$J,0,0)),"")</f>
        <v/>
      </c>
      <c r="CI28" s="73" t="str">
        <f t="array" ref="CI28">IFERROR(IF(XLOOKUP(CONCAT(CF28,CG28),'PROCESOS PRD'!$J:$J,'PROCESOS PRD'!$H:$H,0,0)=0,"",XLOOKUP(CONCAT(CF28,CG28),'PROCESOS PRD'!$J:$J,'PROCESOS PRD'!$H:$H,0,0)),"")</f>
        <v/>
      </c>
      <c r="CJ28" s="71"/>
      <c r="CK28" s="32"/>
      <c r="CL28" s="72" t="str">
        <f t="array" ref="CL28">IFERROR(IF(XLOOKUP(CONCAT(CJ28,CK28),'MASTER PLAN'!$AB:$AB,'MASTER PLAN'!$J:$J,0,0)=0,"",XLOOKUP(CONCAT(CJ28,CK28),'MASTER PLAN'!$AB:$AB,'MASTER PLAN'!$J:$J,0,0)),"")</f>
        <v/>
      </c>
      <c r="CM28" s="73" t="str">
        <f t="array" ref="CM28">IFERROR(IF(XLOOKUP(CONCAT(CJ28,CK28),'PROCESOS PRD'!$J:$J,'PROCESOS PRD'!$H:$H,0,0)=0,"",XLOOKUP(CONCAT(CJ28,CK28),'PROCESOS PRD'!$J:$J,'PROCESOS PRD'!$H:$H,0,0)),"")</f>
        <v/>
      </c>
      <c r="CN28" s="71"/>
      <c r="CO28" s="32"/>
      <c r="CP28" s="72" t="str">
        <f t="array" ref="CP28">IFERROR(IF(XLOOKUP(CONCAT(CN28,CO28),'MASTER PLAN'!$AB:$AB,'MASTER PLAN'!$J:$J,0,0)=0,"",XLOOKUP(CONCAT(CN28,CO28),'MASTER PLAN'!$AB:$AB,'MASTER PLAN'!$J:$J,0,0)),"")</f>
        <v/>
      </c>
      <c r="CQ28" s="73" t="str">
        <f t="array" ref="CQ28">IFERROR(IF(XLOOKUP(CONCAT(CN28,CO28),'PROCESOS PRD'!$J:$J,'PROCESOS PRD'!$H:$H,0,0)=0,"",XLOOKUP(CONCAT(CN28,CO28),'PROCESOS PRD'!$J:$J,'PROCESOS PRD'!$H:$H,0,0)),"")</f>
        <v/>
      </c>
      <c r="CR28" s="70"/>
      <c r="CS28" s="71">
        <v>1.402049498E9</v>
      </c>
      <c r="CT28" s="32">
        <v>10.0</v>
      </c>
      <c r="CU28" s="72" t="str">
        <f t="array" ref="CU28">IFERROR(IF(XLOOKUP(CONCAT(CS28,CT28),'MASTER PLAN'!$AB:$AB,'MASTER PLAN'!$J:$J,0,0)=0,"",XLOOKUP(CONCAT(CS28,CT28),'MASTER PLAN'!$AB:$AB,'MASTER PLAN'!$J:$J,0,0)),"")</f>
        <v>BOLSA ALBERTS JEWELERS 6-5"X3-5"X6-5"</v>
      </c>
      <c r="CV28" s="73">
        <f t="array" ref="CV28">IFERROR(IF(XLOOKUP(CONCAT(CS28,CT28),'PROCESOS PRD'!$J:$J,'PROCESOS PRD'!$H:$H,0,0)=0,"",XLOOKUP(CONCAT(CS28,CT28),'PROCESOS PRD'!$J:$J,'PROCESOS PRD'!$H:$H,0,0)),"")</f>
        <v>8400</v>
      </c>
      <c r="CW28" s="71">
        <v>1.402049507E9</v>
      </c>
      <c r="CX28" s="32">
        <v>20.0</v>
      </c>
      <c r="CY28" s="72" t="str">
        <f t="array" ref="CY28">IFERROR(IF(XLOOKUP(CONCAT(CW28,CX28),'MASTER PLAN'!$AB:$AB,'MASTER PLAN'!$J:$J,0,0)=0,"",XLOOKUP(CONCAT(CW28,CX28),'MASTER PLAN'!$AB:$AB,'MASTER PLAN'!$J:$J,0,0)),"")</f>
        <v>BOLSA PEARL FACTORY 159X90X210MM</v>
      </c>
      <c r="CZ28" s="73">
        <f t="array" ref="CZ28">IFERROR(IF(XLOOKUP(CONCAT(CW28,CX28),'PROCESOS PRD'!$J:$J,'PROCESOS PRD'!$H:$H,0,0)=0,"",XLOOKUP(CONCAT(CW28,CX28),'PROCESOS PRD'!$J:$J,'PROCESOS PRD'!$H:$H,0,0)),"")</f>
        <v>12000</v>
      </c>
      <c r="DA28" s="71">
        <v>1.402049437E9</v>
      </c>
      <c r="DB28" s="32">
        <v>10.0</v>
      </c>
      <c r="DC28" s="72" t="str">
        <f t="array" ref="DC28">IFERROR(IF(XLOOKUP(CONCAT(DA28,DB28),'MASTER PLAN'!$AB:$AB,'MASTER PLAN'!$J:$J,0,0)=0,"",XLOOKUP(CONCAT(DA28,DB28),'MASTER PLAN'!$AB:$AB,'MASTER PLAN'!$J:$J,0,0)),"")</f>
        <v>BOLSA FINKS JWLS 10X5X10"</v>
      </c>
      <c r="DD28" s="73">
        <f t="array" ref="DD28">IFERROR(IF(XLOOKUP(CONCAT(DA28,DB28),'PROCESOS PRD'!$J:$J,'PROCESOS PRD'!$H:$H,0,0)=0,"",XLOOKUP(CONCAT(DA28,DB28),'PROCESOS PRD'!$J:$J,'PROCESOS PRD'!$H:$H,0,0)),"")</f>
        <v>3600</v>
      </c>
      <c r="DE28" s="71">
        <v>1.402049568E9</v>
      </c>
      <c r="DF28" s="32">
        <v>10.0</v>
      </c>
      <c r="DG28" s="72" t="str">
        <f t="array" ref="DG28">IFERROR(IF(XLOOKUP(CONCAT(DE28,DF28),'MASTER PLAN'!$AB:$AB,'MASTER PLAN'!$J:$J,0,0)=0,"",XLOOKUP(CONCAT(DE28,DF28),'MASTER PLAN'!$AB:$AB,'MASTER PLAN'!$J:$J,0,0)),"")</f>
        <v>BOLSA SILEO 10X4X8 IN</v>
      </c>
      <c r="DH28" s="73">
        <f t="array" ref="DH28">IFERROR(IF(XLOOKUP(CONCAT(DE28,DF28),'PROCESOS PRD'!$J:$J,'PROCESOS PRD'!$H:$H,0,0)=0,"",XLOOKUP(CONCAT(DE28,DF28),'PROCESOS PRD'!$J:$J,'PROCESOS PRD'!$H:$H,0,0)),"")</f>
        <v>2400</v>
      </c>
      <c r="DI28" s="71"/>
      <c r="DJ28" s="32"/>
      <c r="DK28" s="72" t="str">
        <f t="array" ref="DK28">IFERROR(IF(XLOOKUP(CONCAT(DI28,DJ28),'MASTER PLAN'!$AB:$AB,'MASTER PLAN'!$J:$J,0,0)=0,"",XLOOKUP(CONCAT(DI28,DJ28),'MASTER PLAN'!$AB:$AB,'MASTER PLAN'!$J:$J,0,0)),"")</f>
        <v/>
      </c>
      <c r="DL28" s="73" t="str">
        <f t="array" ref="DL28">IFERROR(IF(XLOOKUP(CONCAT(DI28,DJ28),'PROCESOS PRD'!$J:$J,'PROCESOS PRD'!$H:$H,0,0)=0,"",XLOOKUP(CONCAT(DI28,DJ28),'PROCESOS PRD'!$J:$J,'PROCESOS PRD'!$H:$H,0,0)),"")</f>
        <v/>
      </c>
      <c r="DM28" s="71"/>
      <c r="DN28" s="32"/>
      <c r="DO28" s="72" t="str">
        <f t="array" ref="DO28">IFERROR(IF(XLOOKUP(CONCAT(DM28,DN28),'MASTER PLAN'!$AB:$AB,'MASTER PLAN'!$J:$J,0,0)=0,"",XLOOKUP(CONCAT(DM28,DN28),'MASTER PLAN'!$AB:$AB,'MASTER PLAN'!$J:$J,0,0)),"")</f>
        <v/>
      </c>
      <c r="DP28" s="73" t="str">
        <f t="array" ref="DP28">IFERROR(IF(XLOOKUP(CONCAT(DM28,DN28),'PROCESOS PRD'!$J:$J,'PROCESOS PRD'!$H:$H,0,0)=0,"",XLOOKUP(CONCAT(DM28,DN28),'PROCESOS PRD'!$J:$J,'PROCESOS PRD'!$H:$H,0,0)),"")</f>
        <v/>
      </c>
      <c r="DQ28" s="70"/>
      <c r="DR28" s="71"/>
      <c r="DS28" s="32"/>
      <c r="DT28" s="72" t="str">
        <f t="array" ref="DT28">IFERROR(IF(XLOOKUP(CONCAT(DR28,DS28),'MASTER PLAN'!$AB:$AB,'MASTER PLAN'!$J:$J,0,0)=0,"",XLOOKUP(CONCAT(DR28,DS28),'MASTER PLAN'!$AB:$AB,'MASTER PLAN'!$J:$J,0,0)),"")</f>
        <v/>
      </c>
      <c r="DU28" s="73" t="str">
        <f t="array" ref="DU28">IFERROR(IF(XLOOKUP(CONCAT(DR28,DS28),'PROCESOS PRD'!$J:$J,'PROCESOS PRD'!$H:$H,0,0)=0,"",XLOOKUP(CONCAT(DR28,DS28),'PROCESOS PRD'!$J:$J,'PROCESOS PRD'!$H:$H,0,0)),"")</f>
        <v/>
      </c>
      <c r="DV28" s="71"/>
      <c r="DW28" s="32"/>
      <c r="DX28" s="72" t="str">
        <f t="array" ref="DX28">IFERROR(IF(XLOOKUP(CONCAT(DV28,DW28),'MASTER PLAN'!$AB:$AB,'MASTER PLAN'!$J:$J,0,0)=0,"",XLOOKUP(CONCAT(DV28,DW28),'MASTER PLAN'!$AB:$AB,'MASTER PLAN'!$J:$J,0,0)),"")</f>
        <v/>
      </c>
      <c r="DY28" s="73" t="str">
        <f t="array" ref="DY28">IFERROR(IF(XLOOKUP(CONCAT(DV28,DW28),'PROCESOS PRD'!$J:$J,'PROCESOS PRD'!$H:$H,0,0)=0,"",XLOOKUP(CONCAT(DV28,DW28),'PROCESOS PRD'!$J:$J,'PROCESOS PRD'!$H:$H,0,0)),"")</f>
        <v/>
      </c>
      <c r="DZ28" s="71"/>
      <c r="EA28" s="32"/>
      <c r="EB28" s="72" t="str">
        <f t="array" ref="EB28">IFERROR(IF(XLOOKUP(CONCAT(DZ28,EA28),'MASTER PLAN'!$AB:$AB,'MASTER PLAN'!$J:$J,0,0)=0,"",XLOOKUP(CONCAT(DZ28,EA28),'MASTER PLAN'!$AB:$AB,'MASTER PLAN'!$J:$J,0,0)),"")</f>
        <v/>
      </c>
      <c r="EC28" s="73" t="str">
        <f t="array" ref="EC28">IFERROR(IF(XLOOKUP(CONCAT(DZ28,EA28),'PROCESOS PRD'!$J:$J,'PROCESOS PRD'!$H:$H,0,0)=0,"",XLOOKUP(CONCAT(DZ28,EA28),'PROCESOS PRD'!$J:$J,'PROCESOS PRD'!$H:$H,0,0)),"")</f>
        <v/>
      </c>
      <c r="ED28" s="71"/>
      <c r="EE28" s="32"/>
      <c r="EF28" s="72" t="str">
        <f t="array" ref="EF28">IFERROR(IF(XLOOKUP(CONCAT(ED28,EE28),'MASTER PLAN'!$AB:$AB,'MASTER PLAN'!$J:$J,0,0)=0,"",XLOOKUP(CONCAT(ED28,EE28),'MASTER PLAN'!$AB:$AB,'MASTER PLAN'!$J:$J,0,0)),"")</f>
        <v/>
      </c>
      <c r="EG28" s="73" t="str">
        <f t="array" ref="EG28">IFERROR(IF(XLOOKUP(CONCAT(ED28,EE28),'PROCESOS PRD'!$J:$J,'PROCESOS PRD'!$H:$H,0,0)=0,"",XLOOKUP(CONCAT(ED28,EE28),'PROCESOS PRD'!$J:$J,'PROCESOS PRD'!$H:$H,0,0)),"")</f>
        <v/>
      </c>
      <c r="EH28" s="71"/>
      <c r="EI28" s="32"/>
      <c r="EJ28" s="72" t="str">
        <f t="array" ref="EJ28">IFERROR(IF(XLOOKUP(CONCAT(EH28,EI28),'MASTER PLAN'!$AB:$AB,'MASTER PLAN'!$J:$J,0,0)=0,"",XLOOKUP(CONCAT(EH28,EI28),'MASTER PLAN'!$AB:$AB,'MASTER PLAN'!$J:$J,0,0)),"")</f>
        <v/>
      </c>
      <c r="EK28" s="73" t="str">
        <f t="array" ref="EK28">IFERROR(IF(XLOOKUP(CONCAT(EH28,EI28),'PROCESOS PRD'!$J:$J,'PROCESOS PRD'!$H:$H,0,0)=0,"",XLOOKUP(CONCAT(EH28,EI28),'PROCESOS PRD'!$J:$J,'PROCESOS PRD'!$H:$H,0,0)),"")</f>
        <v/>
      </c>
      <c r="EL28" s="71"/>
      <c r="EM28" s="32"/>
      <c r="EN28" s="72" t="str">
        <f t="array" ref="EN28">IFERROR(IF(XLOOKUP(CONCAT(EL28,EM28),'MASTER PLAN'!$AB:$AB,'MASTER PLAN'!$J:$J,0,0)=0,"",XLOOKUP(CONCAT(EL28,EM28),'MASTER PLAN'!$AB:$AB,'MASTER PLAN'!$J:$J,0,0)),"")</f>
        <v/>
      </c>
      <c r="EO28" s="73" t="str">
        <f t="array" ref="EO28">IFERROR(IF(XLOOKUP(CONCAT(EL28,EM28),'PROCESOS PRD'!$J:$J,'PROCESOS PRD'!$H:$H,0,0)=0,"",XLOOKUP(CONCAT(EL28,EM28),'PROCESOS PRD'!$J:$J,'PROCESOS PRD'!$H:$H,0,0)),"")</f>
        <v/>
      </c>
      <c r="EP28" s="70"/>
      <c r="EQ28" s="71"/>
      <c r="ER28" s="32"/>
      <c r="ES28" s="72" t="str">
        <f t="array" ref="ES28">IFERROR(IF(XLOOKUP(CONCAT(EQ28,ER28),'MASTER PLAN'!$AB:$AB,'MASTER PLAN'!$J:$J,0,0)=0,"",XLOOKUP(CONCAT(EQ28,ER28),'MASTER PLAN'!$AB:$AB,'MASTER PLAN'!$J:$J,0,0)),"")</f>
        <v/>
      </c>
      <c r="ET28" s="73" t="str">
        <f t="array" ref="ET28">IFERROR(IF(XLOOKUP(CONCAT(EQ28,ER28),'PROCESOS PRD'!$J:$J,'PROCESOS PRD'!$H:$H,0,0)=0,"",XLOOKUP(CONCAT(EQ28,ER28),'PROCESOS PRD'!$J:$J,'PROCESOS PRD'!$H:$H,0,0)),"")</f>
        <v/>
      </c>
      <c r="EU28" s="71"/>
      <c r="EV28" s="32"/>
      <c r="EW28" s="72" t="str">
        <f t="array" ref="EW28">IFERROR(IF(XLOOKUP(CONCAT(EU28,EV28),'MASTER PLAN'!$AB:$AB,'MASTER PLAN'!$J:$J,0,0)=0,"",XLOOKUP(CONCAT(EU28,EV28),'MASTER PLAN'!$AB:$AB,'MASTER PLAN'!$J:$J,0,0)),"")</f>
        <v/>
      </c>
      <c r="EX28" s="73" t="str">
        <f t="array" ref="EX28">IFERROR(IF(XLOOKUP(CONCAT(EU28,EV28),'PROCESOS PRD'!$J:$J,'PROCESOS PRD'!$H:$H,0,0)=0,"",XLOOKUP(CONCAT(EU28,EV28),'PROCESOS PRD'!$J:$J,'PROCESOS PRD'!$H:$H,0,0)),"")</f>
        <v/>
      </c>
      <c r="EY28" s="71"/>
      <c r="EZ28" s="32"/>
      <c r="FA28" s="72" t="str">
        <f t="array" ref="FA28">IFERROR(IF(XLOOKUP(CONCAT(EY28,EZ28),'MASTER PLAN'!$AB:$AB,'MASTER PLAN'!$J:$J,0,0)=0,"",XLOOKUP(CONCAT(EY28,EZ28),'MASTER PLAN'!$AB:$AB,'MASTER PLAN'!$J:$J,0,0)),"")</f>
        <v/>
      </c>
      <c r="FB28" s="73" t="str">
        <f t="array" ref="FB28">IFERROR(IF(XLOOKUP(CONCAT(EY28,EZ28),'PROCESOS PRD'!$J:$J,'PROCESOS PRD'!$H:$H,0,0)=0,"",XLOOKUP(CONCAT(EY28,EZ28),'PROCESOS PRD'!$J:$J,'PROCESOS PRD'!$H:$H,0,0)),"")</f>
        <v/>
      </c>
      <c r="FC28" s="71"/>
      <c r="FD28" s="32"/>
      <c r="FE28" s="72" t="str">
        <f t="array" ref="FE28">IFERROR(IF(XLOOKUP(CONCAT(FC28,FD28),'MASTER PLAN'!$AB:$AB,'MASTER PLAN'!$J:$J,0,0)=0,"",XLOOKUP(CONCAT(FC28,FD28),'MASTER PLAN'!$AB:$AB,'MASTER PLAN'!$J:$J,0,0)),"")</f>
        <v/>
      </c>
      <c r="FF28" s="73" t="str">
        <f t="array" ref="FF28">IFERROR(IF(XLOOKUP(CONCAT(FC28,FD28),'PROCESOS PRD'!$J:$J,'PROCESOS PRD'!$H:$H,0,0)=0,"",XLOOKUP(CONCAT(FC28,FD28),'PROCESOS PRD'!$J:$J,'PROCESOS PRD'!$H:$H,0,0)),"")</f>
        <v/>
      </c>
      <c r="FG28" s="71"/>
      <c r="FH28" s="32"/>
      <c r="FI28" s="72" t="str">
        <f t="array" ref="FI28">IFERROR(IF(XLOOKUP(CONCAT(FG28,FH28),'MASTER PLAN'!$AB:$AB,'MASTER PLAN'!$J:$J,0,0)=0,"",XLOOKUP(CONCAT(FG28,FH28),'MASTER PLAN'!$AB:$AB,'MASTER PLAN'!$J:$J,0,0)),"")</f>
        <v/>
      </c>
      <c r="FJ28" s="73" t="str">
        <f t="array" ref="FJ28">IFERROR(IF(XLOOKUP(CONCAT(FG28,FH28),'PROCESOS PRD'!$J:$J,'PROCESOS PRD'!$H:$H,0,0)=0,"",XLOOKUP(CONCAT(FG28,FH28),'PROCESOS PRD'!$J:$J,'PROCESOS PRD'!$H:$H,0,0)),"")</f>
        <v/>
      </c>
      <c r="FK28" s="71"/>
      <c r="FL28" s="32"/>
      <c r="FM28" s="72" t="str">
        <f t="array" ref="FM28">IFERROR(IF(XLOOKUP(CONCAT(FK28,FL28),'MASTER PLAN'!$AB:$AB,'MASTER PLAN'!$J:$J,0,0)=0,"",XLOOKUP(CONCAT(FK28,FL28),'MASTER PLAN'!$AB:$AB,'MASTER PLAN'!$J:$J,0,0)),"")</f>
        <v/>
      </c>
      <c r="FN28" s="73" t="str">
        <f t="array" ref="FN28">IFERROR(IF(XLOOKUP(CONCAT(FK28,FL28),'PROCESOS PRD'!$J:$J,'PROCESOS PRD'!$H:$H,0,0)=0,"",XLOOKUP(CONCAT(FK28,FL28),'PROCESOS PRD'!$J:$J,'PROCESOS PRD'!$H:$H,0,0)),"")</f>
        <v/>
      </c>
      <c r="FO28" s="70"/>
      <c r="FP28" s="71"/>
      <c r="FQ28" s="32"/>
      <c r="FR28" s="72" t="str">
        <f t="array" ref="FR28">IFERROR(IF(XLOOKUP(CONCAT(FP28,FQ28),'MASTER PLAN'!$AB:$AB,'MASTER PLAN'!$J:$J,0,0)=0,"",XLOOKUP(CONCAT(FP28,FQ28),'MASTER PLAN'!$AB:$AB,'MASTER PLAN'!$J:$J,0,0)),"")</f>
        <v/>
      </c>
      <c r="FS28" s="73" t="str">
        <f t="array" ref="FS28">IFERROR(IF(XLOOKUP(CONCAT(FP28,FQ28),'PROCESOS PRD'!$J:$J,'PROCESOS PRD'!$H:$H,0,0)=0,"",XLOOKUP(CONCAT(FP28,FQ28),'PROCESOS PRD'!$J:$J,'PROCESOS PRD'!$H:$H,0,0)),"")</f>
        <v/>
      </c>
      <c r="FT28" s="71"/>
      <c r="FU28" s="32"/>
      <c r="FV28" s="72" t="str">
        <f t="array" ref="FV28">IFERROR(IF(XLOOKUP(CONCAT(FT28,FU28),'MASTER PLAN'!$AB:$AB,'MASTER PLAN'!$J:$J,0,0)=0,"",XLOOKUP(CONCAT(FT28,FU28),'MASTER PLAN'!$AB:$AB,'MASTER PLAN'!$J:$J,0,0)),"")</f>
        <v/>
      </c>
      <c r="FW28" s="73" t="str">
        <f t="array" ref="FW28">IFERROR(IF(XLOOKUP(CONCAT(FT28,FU28),'PROCESOS PRD'!$J:$J,'PROCESOS PRD'!$H:$H,0,0)=0,"",XLOOKUP(CONCAT(FT28,FU28),'PROCESOS PRD'!$J:$J,'PROCESOS PRD'!$H:$H,0,0)),"")</f>
        <v/>
      </c>
      <c r="FX28" s="71"/>
      <c r="FY28" s="32"/>
      <c r="FZ28" s="72" t="str">
        <f t="array" ref="FZ28">IFERROR(IF(XLOOKUP(CONCAT(FX28,FY28),'MASTER PLAN'!$AB:$AB,'MASTER PLAN'!$J:$J,0,0)=0,"",XLOOKUP(CONCAT(FX28,FY28),'MASTER PLAN'!$AB:$AB,'MASTER PLAN'!$J:$J,0,0)),"")</f>
        <v/>
      </c>
      <c r="GA28" s="73" t="str">
        <f t="array" ref="GA28">IFERROR(IF(XLOOKUP(CONCAT(FX28,FY28),'PROCESOS PRD'!$J:$J,'PROCESOS PRD'!$H:$H,0,0)=0,"",XLOOKUP(CONCAT(FX28,FY28),'PROCESOS PRD'!$J:$J,'PROCESOS PRD'!$H:$H,0,0)),"")</f>
        <v/>
      </c>
      <c r="GB28" s="71"/>
      <c r="GC28" s="32"/>
      <c r="GD28" s="72" t="str">
        <f t="array" ref="GD28">IFERROR(IF(XLOOKUP(CONCAT(GB28,GC28),'MASTER PLAN'!$AB:$AB,'MASTER PLAN'!$J:$J,0,0)=0,"",XLOOKUP(CONCAT(GB28,GC28),'MASTER PLAN'!$AB:$AB,'MASTER PLAN'!$J:$J,0,0)),"")</f>
        <v/>
      </c>
      <c r="GE28" s="73" t="str">
        <f t="array" ref="GE28">IFERROR(IF(XLOOKUP(CONCAT(GB28,GC28),'PROCESOS PRD'!$J:$J,'PROCESOS PRD'!$H:$H,0,0)=0,"",XLOOKUP(CONCAT(GB28,GC28),'PROCESOS PRD'!$J:$J,'PROCESOS PRD'!$H:$H,0,0)),"")</f>
        <v/>
      </c>
      <c r="GF28" s="71"/>
      <c r="GG28" s="32"/>
      <c r="GH28" s="72" t="str">
        <f t="array" ref="GH28">IFERROR(IF(XLOOKUP(CONCAT(GF28,GG28),'MASTER PLAN'!$AB:$AB,'MASTER PLAN'!$J:$J,0,0)=0,"",XLOOKUP(CONCAT(GF28,GG28),'MASTER PLAN'!$AB:$AB,'MASTER PLAN'!$J:$J,0,0)),"")</f>
        <v/>
      </c>
      <c r="GI28" s="73" t="str">
        <f t="array" ref="GI28">IFERROR(IF(XLOOKUP(CONCAT(GF28,GG28),'PROCESOS PRD'!$J:$J,'PROCESOS PRD'!$H:$H,0,0)=0,"",XLOOKUP(CONCAT(GF28,GG28),'PROCESOS PRD'!$J:$J,'PROCESOS PRD'!$H:$H,0,0)),"")</f>
        <v/>
      </c>
      <c r="GJ28" s="71"/>
      <c r="GK28" s="32"/>
      <c r="GL28" s="72" t="str">
        <f t="array" ref="GL28">IFERROR(IF(XLOOKUP(CONCAT(GJ28,GK28),'MASTER PLAN'!$AB:$AB,'MASTER PLAN'!$J:$J,0,0)=0,"",XLOOKUP(CONCAT(GJ28,GK28),'MASTER PLAN'!$AB:$AB,'MASTER PLAN'!$J:$J,0,0)),"")</f>
        <v/>
      </c>
      <c r="GM28" s="73" t="str">
        <f t="array" ref="GM28">IFERROR(IF(XLOOKUP(CONCAT(GJ28,GK28),'PROCESOS PRD'!$J:$J,'PROCESOS PRD'!$H:$H,0,0)=0,"",XLOOKUP(CONCAT(GJ28,GK28),'PROCESOS PRD'!$J:$J,'PROCESOS PRD'!$H:$H,0,0)),"")</f>
        <v/>
      </c>
      <c r="GN28" s="70"/>
      <c r="GO28" s="71"/>
      <c r="GP28" s="32"/>
      <c r="GQ28" s="72" t="str">
        <f t="array" ref="GQ28">IFERROR(IF(XLOOKUP(CONCAT(GO28,GP28),'MASTER PLAN'!$AB:$AB,'MASTER PLAN'!$J:$J,0,0)=0,"",XLOOKUP(CONCAT(GO28,GP28),'MASTER PLAN'!$AB:$AB,'MASTER PLAN'!$J:$J,0,0)),"")</f>
        <v/>
      </c>
      <c r="GR28" s="73" t="str">
        <f t="array" ref="GR28">IFERROR(IF(XLOOKUP(CONCAT(GO28,GP28),'PROCESOS PRD'!$J:$J,'PROCESOS PRD'!$H:$H,0,0)=0,"",XLOOKUP(CONCAT(GO28,GP28),'PROCESOS PRD'!$J:$J,'PROCESOS PRD'!$H:$H,0,0)),"")</f>
        <v/>
      </c>
      <c r="GS28" s="71"/>
      <c r="GT28" s="32"/>
      <c r="GU28" s="72" t="str">
        <f t="array" ref="GU28">IFERROR(IF(XLOOKUP(CONCAT(GS28,GT28),'MASTER PLAN'!$AB:$AB,'MASTER PLAN'!$J:$J,0,0)=0,"",XLOOKUP(CONCAT(GS28,GT28),'MASTER PLAN'!$AB:$AB,'MASTER PLAN'!$J:$J,0,0)),"")</f>
        <v/>
      </c>
      <c r="GV28" s="73" t="str">
        <f t="array" ref="GV28">IFERROR(IF(XLOOKUP(CONCAT(GS28,GT28),'PROCESOS PRD'!$J:$J,'PROCESOS PRD'!$H:$H,0,0)=0,"",XLOOKUP(CONCAT(GS28,GT28),'PROCESOS PRD'!$J:$J,'PROCESOS PRD'!$H:$H,0,0)),"")</f>
        <v/>
      </c>
      <c r="GW28" s="71"/>
      <c r="GX28" s="32"/>
      <c r="GY28" s="72" t="str">
        <f t="array" ref="GY28">IFERROR(IF(XLOOKUP(CONCAT(GW28,GX28),'MASTER PLAN'!$AB:$AB,'MASTER PLAN'!$J:$J,0,0)=0,"",XLOOKUP(CONCAT(GW28,GX28),'MASTER PLAN'!$AB:$AB,'MASTER PLAN'!$J:$J,0,0)),"")</f>
        <v/>
      </c>
      <c r="GZ28" s="73" t="str">
        <f t="array" ref="GZ28">IFERROR(IF(XLOOKUP(CONCAT(GW28,GX28),'PROCESOS PRD'!$J:$J,'PROCESOS PRD'!$H:$H,0,0)=0,"",XLOOKUP(CONCAT(GW28,GX28),'PROCESOS PRD'!$J:$J,'PROCESOS PRD'!$H:$H,0,0)),"")</f>
        <v/>
      </c>
      <c r="HA28" s="71"/>
      <c r="HB28" s="32"/>
      <c r="HC28" s="72" t="str">
        <f t="array" ref="HC28">IFERROR(IF(XLOOKUP(CONCAT(HA28,HB28),'MASTER PLAN'!$AB:$AB,'MASTER PLAN'!$J:$J,0,0)=0,"",XLOOKUP(CONCAT(HA28,HB28),'MASTER PLAN'!$AB:$AB,'MASTER PLAN'!$J:$J,0,0)),"")</f>
        <v/>
      </c>
      <c r="HD28" s="73" t="str">
        <f t="array" ref="HD28">IFERROR(IF(XLOOKUP(CONCAT(HA28,HB28),'PROCESOS PRD'!$J:$J,'PROCESOS PRD'!$H:$H,0,0)=0,"",XLOOKUP(CONCAT(HA28,HB28),'PROCESOS PRD'!$J:$J,'PROCESOS PRD'!$H:$H,0,0)),"")</f>
        <v/>
      </c>
      <c r="HE28" s="71"/>
      <c r="HF28" s="32"/>
      <c r="HG28" s="72" t="str">
        <f t="array" ref="HG28">IFERROR(IF(XLOOKUP(CONCAT(HE28,HF28),'MASTER PLAN'!$AB:$AB,'MASTER PLAN'!$J:$J,0,0)=0,"",XLOOKUP(CONCAT(HE28,HF28),'MASTER PLAN'!$AB:$AB,'MASTER PLAN'!$J:$J,0,0)),"")</f>
        <v/>
      </c>
      <c r="HH28" s="73" t="str">
        <f t="array" ref="HH28">IFERROR(IF(XLOOKUP(CONCAT(HE28,HF28),'PROCESOS PRD'!$J:$J,'PROCESOS PRD'!$H:$H,0,0)=0,"",XLOOKUP(CONCAT(HE28,HF28),'PROCESOS PRD'!$J:$J,'PROCESOS PRD'!$H:$H,0,0)),"")</f>
        <v/>
      </c>
      <c r="HI28" s="71"/>
      <c r="HJ28" s="32"/>
      <c r="HK28" s="72" t="str">
        <f t="array" ref="HK28">IFERROR(IF(XLOOKUP(CONCAT(HI28,HJ28),'MASTER PLAN'!$AB:$AB,'MASTER PLAN'!$J:$J,0,0)=0,"",XLOOKUP(CONCAT(HI28,HJ28),'MASTER PLAN'!$AB:$AB,'MASTER PLAN'!$J:$J,0,0)),"")</f>
        <v/>
      </c>
      <c r="HL28" s="73" t="str">
        <f t="array" ref="HL28">IFERROR(IF(XLOOKUP(CONCAT(HI28,HJ28),'PROCESOS PRD'!$J:$J,'PROCESOS PRD'!$H:$H,0,0)=0,"",XLOOKUP(CONCAT(HI28,HJ28),'PROCESOS PRD'!$J:$J,'PROCESOS PRD'!$H:$H,0,0)),"")</f>
        <v/>
      </c>
      <c r="HM28" s="70"/>
      <c r="HN28" s="71"/>
      <c r="HO28" s="32"/>
      <c r="HP28" s="72" t="str">
        <f t="array" ref="HP28">IFERROR(IF(XLOOKUP(CONCAT(HN28,HO28),'MASTER PLAN'!$AB:$AB,'MASTER PLAN'!$J:$J,0,0)=0,"",XLOOKUP(CONCAT(HN28,HO28),'MASTER PLAN'!$AB:$AB,'MASTER PLAN'!$J:$J,0,0)),"")</f>
        <v/>
      </c>
      <c r="HQ28" s="73" t="str">
        <f t="array" ref="HQ28">IFERROR(IF(XLOOKUP(CONCAT(HN28,HO28),'PROCESOS PRD'!$J:$J,'PROCESOS PRD'!$H:$H,0,0)=0,"",XLOOKUP(CONCAT(HN28,HO28),'PROCESOS PRD'!$J:$J,'PROCESOS PRD'!$H:$H,0,0)),"")</f>
        <v/>
      </c>
      <c r="HR28" s="71"/>
      <c r="HS28" s="32"/>
      <c r="HT28" s="72" t="str">
        <f t="array" ref="HT28">IFERROR(IF(XLOOKUP(CONCAT(HR28,HS28),'MASTER PLAN'!$AB:$AB,'MASTER PLAN'!$J:$J,0,0)=0,"",XLOOKUP(CONCAT(HR28,HS28),'MASTER PLAN'!$AB:$AB,'MASTER PLAN'!$J:$J,0,0)),"")</f>
        <v/>
      </c>
      <c r="HU28" s="73" t="str">
        <f t="array" ref="HU28">IFERROR(IF(XLOOKUP(CONCAT(HR28,HS28),'PROCESOS PRD'!$J:$J,'PROCESOS PRD'!$H:$H,0,0)=0,"",XLOOKUP(CONCAT(HR28,HS28),'PROCESOS PRD'!$J:$J,'PROCESOS PRD'!$H:$H,0,0)),"")</f>
        <v/>
      </c>
      <c r="HV28" s="71"/>
      <c r="HW28" s="32"/>
      <c r="HX28" s="72" t="str">
        <f t="array" ref="HX28">IFERROR(IF(XLOOKUP(CONCAT(HV28,HW28),'MASTER PLAN'!$AB:$AB,'MASTER PLAN'!$J:$J,0,0)=0,"",XLOOKUP(CONCAT(HV28,HW28),'MASTER PLAN'!$AB:$AB,'MASTER PLAN'!$J:$J,0,0)),"")</f>
        <v/>
      </c>
      <c r="HY28" s="73" t="str">
        <f t="array" ref="HY28">IFERROR(IF(XLOOKUP(CONCAT(HV28,HW28),'PROCESOS PRD'!$J:$J,'PROCESOS PRD'!$H:$H,0,0)=0,"",XLOOKUP(CONCAT(HV28,HW28),'PROCESOS PRD'!$J:$J,'PROCESOS PRD'!$H:$H,0,0)),"")</f>
        <v/>
      </c>
      <c r="HZ28" s="71"/>
      <c r="IA28" s="32"/>
      <c r="IB28" s="72" t="str">
        <f t="array" ref="IB28">IFERROR(IF(XLOOKUP(CONCAT(HZ28,IA28),'MASTER PLAN'!$AB:$AB,'MASTER PLAN'!$J:$J,0,0)=0,"",XLOOKUP(CONCAT(HZ28,IA28),'MASTER PLAN'!$AB:$AB,'MASTER PLAN'!$J:$J,0,0)),"")</f>
        <v/>
      </c>
      <c r="IC28" s="73" t="str">
        <f t="array" ref="IC28">IFERROR(IF(XLOOKUP(CONCAT(HZ28,IA28),'PROCESOS PRD'!$J:$J,'PROCESOS PRD'!$H:$H,0,0)=0,"",XLOOKUP(CONCAT(HZ28,IA28),'PROCESOS PRD'!$J:$J,'PROCESOS PRD'!$H:$H,0,0)),"")</f>
        <v/>
      </c>
      <c r="ID28" s="71"/>
      <c r="IE28" s="32"/>
      <c r="IF28" s="72" t="str">
        <f t="array" ref="IF28">IFERROR(IF(XLOOKUP(CONCAT(ID28,IE28),'MASTER PLAN'!$AB:$AB,'MASTER PLAN'!$J:$J,0,0)=0,"",XLOOKUP(CONCAT(ID28,IE28),'MASTER PLAN'!$AB:$AB,'MASTER PLAN'!$J:$J,0,0)),"")</f>
        <v/>
      </c>
      <c r="IG28" s="73" t="str">
        <f t="array" ref="IG28">IFERROR(IF(XLOOKUP(CONCAT(ID28,IE28),'PROCESOS PRD'!$J:$J,'PROCESOS PRD'!$H:$H,0,0)=0,"",XLOOKUP(CONCAT(ID28,IE28),'PROCESOS PRD'!$J:$J,'PROCESOS PRD'!$H:$H,0,0)),"")</f>
        <v/>
      </c>
      <c r="IH28" s="71"/>
      <c r="II28" s="32"/>
      <c r="IJ28" s="72" t="str">
        <f t="array" ref="IJ28">IFERROR(IF(XLOOKUP(CONCAT(IH28,II28),'MASTER PLAN'!$AB:$AB,'MASTER PLAN'!$J:$J,0,0)=0,"",XLOOKUP(CONCAT(IH28,II28),'MASTER PLAN'!$AB:$AB,'MASTER PLAN'!$J:$J,0,0)),"")</f>
        <v/>
      </c>
      <c r="IK28" s="73" t="str">
        <f t="array" ref="IK28">IFERROR(IF(XLOOKUP(CONCAT(IH28,II28),'PROCESOS PRD'!$J:$J,'PROCESOS PRD'!$H:$H,0,0)=0,"",XLOOKUP(CONCAT(IH28,II28),'PROCESOS PRD'!$J:$J,'PROCESOS PRD'!$H:$H,0,0)),"")</f>
        <v/>
      </c>
      <c r="IL28" s="70"/>
      <c r="IM28" s="71"/>
      <c r="IN28" s="32"/>
      <c r="IO28" s="72" t="str">
        <f t="array" ref="IO28">IFERROR(IF(XLOOKUP(CONCAT(IM28,IN28),'MASTER PLAN'!$AB:$AB,'MASTER PLAN'!$J:$J,0,0)=0,"",XLOOKUP(CONCAT(IM28,IN28),'MASTER PLAN'!$AB:$AB,'MASTER PLAN'!$J:$J,0,0)),"")</f>
        <v/>
      </c>
      <c r="IP28" s="73" t="str">
        <f t="array" ref="IP28">IFERROR(IF(XLOOKUP(CONCAT(IM28,IN28),'PROCESOS PRD'!$J:$J,'PROCESOS PRD'!$H:$H,0,0)=0,"",XLOOKUP(CONCAT(IM28,IN28),'PROCESOS PRD'!$J:$J,'PROCESOS PRD'!$H:$H,0,0)),"")</f>
        <v/>
      </c>
      <c r="IQ28" s="71"/>
      <c r="IR28" s="32"/>
      <c r="IS28" s="72" t="str">
        <f t="array" ref="IS28">IFERROR(IF(XLOOKUP(CONCAT(IQ28,IR28),'MASTER PLAN'!$AB:$AB,'MASTER PLAN'!$J:$J,0,0)=0,"",XLOOKUP(CONCAT(IQ28,IR28),'MASTER PLAN'!$AB:$AB,'MASTER PLAN'!$J:$J,0,0)),"")</f>
        <v/>
      </c>
      <c r="IT28" s="73" t="str">
        <f t="array" ref="IT28">IFERROR(IF(XLOOKUP(CONCAT(IQ28,IR28),'PROCESOS PRD'!$J:$J,'PROCESOS PRD'!$H:$H,0,0)=0,"",XLOOKUP(CONCAT(IQ28,IR28),'PROCESOS PRD'!$J:$J,'PROCESOS PRD'!$H:$H,0,0)),"")</f>
        <v/>
      </c>
      <c r="IU28" s="71"/>
      <c r="IV28" s="32"/>
      <c r="IW28" s="72" t="str">
        <f t="array" ref="IW28">IFERROR(IF(XLOOKUP(CONCAT(IU28,IV28),'MASTER PLAN'!$AB:$AB,'MASTER PLAN'!$J:$J,0,0)=0,"",XLOOKUP(CONCAT(IU28,IV28),'MASTER PLAN'!$AB:$AB,'MASTER PLAN'!$J:$J,0,0)),"")</f>
        <v/>
      </c>
      <c r="IX28" s="73" t="str">
        <f t="array" ref="IX28">IFERROR(IF(XLOOKUP(CONCAT(IU28,IV28),'PROCESOS PRD'!$J:$J,'PROCESOS PRD'!$H:$H,0,0)=0,"",XLOOKUP(CONCAT(IU28,IV28),'PROCESOS PRD'!$J:$J,'PROCESOS PRD'!$H:$H,0,0)),"")</f>
        <v/>
      </c>
      <c r="IY28" s="71"/>
      <c r="IZ28" s="32"/>
      <c r="JA28" s="72" t="str">
        <f t="array" ref="JA28">IFERROR(IF(XLOOKUP(CONCAT(IY28,IZ28),'MASTER PLAN'!$AB:$AB,'MASTER PLAN'!$J:$J,0,0)=0,"",XLOOKUP(CONCAT(IY28,IZ28),'MASTER PLAN'!$AB:$AB,'MASTER PLAN'!$J:$J,0,0)),"")</f>
        <v/>
      </c>
      <c r="JB28" s="73" t="str">
        <f t="array" ref="JB28">IFERROR(IF(XLOOKUP(CONCAT(IY28,IZ28),'PROCESOS PRD'!$J:$J,'PROCESOS PRD'!$H:$H,0,0)=0,"",XLOOKUP(CONCAT(IY28,IZ28),'PROCESOS PRD'!$J:$J,'PROCESOS PRD'!$H:$H,0,0)),"")</f>
        <v/>
      </c>
      <c r="JC28" s="71"/>
      <c r="JD28" s="32"/>
      <c r="JE28" s="72" t="str">
        <f t="array" ref="JE28">IFERROR(IF(XLOOKUP(CONCAT(JC28,JD28),'MASTER PLAN'!$AB:$AB,'MASTER PLAN'!$J:$J,0,0)=0,"",XLOOKUP(CONCAT(JC28,JD28),'MASTER PLAN'!$AB:$AB,'MASTER PLAN'!$J:$J,0,0)),"")</f>
        <v/>
      </c>
      <c r="JF28" s="73" t="str">
        <f t="array" ref="JF28">IFERROR(IF(XLOOKUP(CONCAT(JC28,JD28),'PROCESOS PRD'!$J:$J,'PROCESOS PRD'!$H:$H,0,0)=0,"",XLOOKUP(CONCAT(JC28,JD28),'PROCESOS PRD'!$J:$J,'PROCESOS PRD'!$H:$H,0,0)),"")</f>
        <v/>
      </c>
      <c r="JG28" s="71"/>
      <c r="JH28" s="32"/>
      <c r="JI28" s="72" t="str">
        <f t="array" ref="JI28">IFERROR(IF(XLOOKUP(CONCAT(JG28,JH28),'MASTER PLAN'!$AB:$AB,'MASTER PLAN'!$J:$J,0,0)=0,"",XLOOKUP(CONCAT(JG28,JH28),'MASTER PLAN'!$AB:$AB,'MASTER PLAN'!$J:$J,0,0)),"")</f>
        <v/>
      </c>
      <c r="JJ28" s="73" t="str">
        <f t="array" ref="JJ28">IFERROR(IF(XLOOKUP(CONCAT(JG28,JH28),'PROCESOS PRD'!$J:$J,'PROCESOS PRD'!$H:$H,0,0)=0,"",XLOOKUP(CONCAT(JG28,JH28),'PROCESOS PRD'!$J:$J,'PROCESOS PRD'!$H:$H,0,0)),"")</f>
        <v/>
      </c>
      <c r="JK28" s="70"/>
      <c r="JL28" s="71"/>
      <c r="JM28" s="32"/>
      <c r="JN28" s="72" t="str">
        <f t="array" ref="JN28">IFERROR(IF(XLOOKUP(CONCAT(JL28,JM28),'MASTER PLAN'!$AB:$AB,'MASTER PLAN'!$J:$J,0,0)=0,"",XLOOKUP(CONCAT(JL28,JM28),'MASTER PLAN'!$AB:$AB,'MASTER PLAN'!$J:$J,0,0)),"")</f>
        <v/>
      </c>
      <c r="JO28" s="73" t="str">
        <f t="array" ref="JO28">IFERROR(IF(XLOOKUP(CONCAT(JL28,JM28),'PROCESOS PRD'!$J:$J,'PROCESOS PRD'!$H:$H,0,0)=0,"",XLOOKUP(CONCAT(JL28,JM28),'PROCESOS PRD'!$J:$J,'PROCESOS PRD'!$H:$H,0,0)),"")</f>
        <v/>
      </c>
      <c r="JP28" s="71"/>
      <c r="JQ28" s="32"/>
      <c r="JR28" s="72" t="str">
        <f t="array" ref="JR28">IFERROR(IF(XLOOKUP(CONCAT(JP28,JQ28),'MASTER PLAN'!$AB:$AB,'MASTER PLAN'!$J:$J,0,0)=0,"",XLOOKUP(CONCAT(JP28,JQ28),'MASTER PLAN'!$AB:$AB,'MASTER PLAN'!$J:$J,0,0)),"")</f>
        <v/>
      </c>
      <c r="JS28" s="73" t="str">
        <f t="array" ref="JS28">IFERROR(IF(XLOOKUP(CONCAT(JP28,JQ28),'PROCESOS PRD'!$J:$J,'PROCESOS PRD'!$H:$H,0,0)=0,"",XLOOKUP(CONCAT(JP28,JQ28),'PROCESOS PRD'!$J:$J,'PROCESOS PRD'!$H:$H,0,0)),"")</f>
        <v/>
      </c>
      <c r="JT28" s="71"/>
      <c r="JU28" s="32"/>
      <c r="JV28" s="72" t="str">
        <f t="array" ref="JV28">IFERROR(IF(XLOOKUP(CONCAT(JT28,JU28),'MASTER PLAN'!$AB:$AB,'MASTER PLAN'!$J:$J,0,0)=0,"",XLOOKUP(CONCAT(JT28,JU28),'MASTER PLAN'!$AB:$AB,'MASTER PLAN'!$J:$J,0,0)),"")</f>
        <v/>
      </c>
      <c r="JW28" s="73" t="str">
        <f t="array" ref="JW28">IFERROR(IF(XLOOKUP(CONCAT(JT28,JU28),'PROCESOS PRD'!$J:$J,'PROCESOS PRD'!$H:$H,0,0)=0,"",XLOOKUP(CONCAT(JT28,JU28),'PROCESOS PRD'!$J:$J,'PROCESOS PRD'!$H:$H,0,0)),"")</f>
        <v/>
      </c>
      <c r="JX28" s="71"/>
      <c r="JY28" s="32"/>
      <c r="JZ28" s="72" t="str">
        <f t="array" ref="JZ28">IFERROR(IF(XLOOKUP(CONCAT(JX28,JY28),'MASTER PLAN'!$AB:$AB,'MASTER PLAN'!$J:$J,0,0)=0,"",XLOOKUP(CONCAT(JX28,JY28),'MASTER PLAN'!$AB:$AB,'MASTER PLAN'!$J:$J,0,0)),"")</f>
        <v/>
      </c>
      <c r="KA28" s="73" t="str">
        <f t="array" ref="KA28">IFERROR(IF(XLOOKUP(CONCAT(JX28,JY28),'PROCESOS PRD'!$J:$J,'PROCESOS PRD'!$H:$H,0,0)=0,"",XLOOKUP(CONCAT(JX28,JY28),'PROCESOS PRD'!$J:$J,'PROCESOS PRD'!$H:$H,0,0)),"")</f>
        <v/>
      </c>
      <c r="KB28" s="71"/>
      <c r="KC28" s="32"/>
      <c r="KD28" s="72" t="str">
        <f t="array" ref="KD28">IFERROR(IF(XLOOKUP(CONCAT(KB28,KC28),'MASTER PLAN'!$AB:$AB,'MASTER PLAN'!$J:$J,0,0)=0,"",XLOOKUP(CONCAT(KB28,KC28),'MASTER PLAN'!$AB:$AB,'MASTER PLAN'!$J:$J,0,0)),"")</f>
        <v/>
      </c>
      <c r="KE28" s="73" t="str">
        <f t="array" ref="KE28">IFERROR(IF(XLOOKUP(CONCAT(KB28,KC28),'PROCESOS PRD'!$J:$J,'PROCESOS PRD'!$H:$H,0,0)=0,"",XLOOKUP(CONCAT(KB28,KC28),'PROCESOS PRD'!$J:$J,'PROCESOS PRD'!$H:$H,0,0)),"")</f>
        <v/>
      </c>
      <c r="KF28" s="71"/>
      <c r="KG28" s="32"/>
      <c r="KH28" s="72" t="str">
        <f t="array" ref="KH28">IFERROR(IF(XLOOKUP(CONCAT(KF28,KG28),'MASTER PLAN'!$AB:$AB,'MASTER PLAN'!$J:$J,0,0)=0,"",XLOOKUP(CONCAT(KF28,KG28),'MASTER PLAN'!$AB:$AB,'MASTER PLAN'!$J:$J,0,0)),"")</f>
        <v/>
      </c>
      <c r="KI28" s="73" t="str">
        <f t="array" ref="KI28">IFERROR(IF(XLOOKUP(CONCAT(KF28,KG28),'PROCESOS PRD'!$J:$J,'PROCESOS PRD'!$H:$H,0,0)=0,"",XLOOKUP(CONCAT(KF28,KG28),'PROCESOS PRD'!$J:$J,'PROCESOS PRD'!$H:$H,0,0)),"")</f>
        <v/>
      </c>
      <c r="KJ28" s="70"/>
      <c r="KK28" s="70"/>
      <c r="KL28" s="70"/>
      <c r="KM28" s="70"/>
      <c r="KN28" s="70"/>
      <c r="KO28" s="70"/>
      <c r="KP28" s="70"/>
      <c r="KQ28" s="70"/>
      <c r="KR28" s="70"/>
      <c r="KS28" s="70"/>
      <c r="KT28" s="70"/>
      <c r="KU28" s="70"/>
      <c r="KV28" s="70"/>
      <c r="KW28" s="70"/>
      <c r="KX28" s="70"/>
      <c r="KY28" s="70"/>
      <c r="KZ28" s="70"/>
      <c r="LA28" s="70"/>
      <c r="LB28" s="70"/>
      <c r="LC28" s="70"/>
    </row>
    <row r="29" ht="15.75" customHeight="1">
      <c r="A29" s="42"/>
      <c r="B29" s="74"/>
      <c r="C29" s="69"/>
      <c r="D29" s="70"/>
      <c r="E29" s="71"/>
      <c r="F29" s="32"/>
      <c r="G29" s="72" t="str">
        <f t="array" ref="G29">IFERROR(IF(XLOOKUP(CONCAT(E29,F29),'MASTER PLAN'!$AB:$AB,'MASTER PLAN'!$J:$J,0,0)=0,"",XLOOKUP(CONCAT(E29,F29),'MASTER PLAN'!$AB:$AB,'MASTER PLAN'!$J:$J,0,0)),"")</f>
        <v/>
      </c>
      <c r="H29" s="73" t="str">
        <f t="array" ref="H29">IFERROR(IF(XLOOKUP(CONCAT(E29,F29),'PROCESOS PRD'!$J:$J,'PROCESOS PRD'!$H:$H,0,0)=0,"",XLOOKUP(CONCAT(E29,F29),'PROCESOS PRD'!$J:$J,'PROCESOS PRD'!$H:$H,0,0)),"")</f>
        <v/>
      </c>
      <c r="I29" s="71"/>
      <c r="J29" s="32"/>
      <c r="K29" s="72" t="str">
        <f t="array" ref="K29">IFERROR(IF(XLOOKUP(CONCAT(I29,J29),'MASTER PLAN'!$AB:$AB,'MASTER PLAN'!$J:$J,0,0)=0,"",XLOOKUP(CONCAT(I29,J29),'MASTER PLAN'!$AB:$AB,'MASTER PLAN'!$J:$J,0,0)),"")</f>
        <v/>
      </c>
      <c r="L29" s="73" t="str">
        <f t="array" ref="L29">IFERROR(IF(XLOOKUP(CONCAT(I29,J29),'PROCESOS PRD'!$J:$J,'PROCESOS PRD'!$H:$H,0,0)=0,"",XLOOKUP(CONCAT(I29,J29),'PROCESOS PRD'!$J:$J,'PROCESOS PRD'!$H:$H,0,0)),"")</f>
        <v/>
      </c>
      <c r="M29" s="71"/>
      <c r="N29" s="32"/>
      <c r="O29" s="72" t="str">
        <f t="array" ref="O29">IFERROR(IF(XLOOKUP(CONCAT(M29,N29),'MASTER PLAN'!$AB:$AB,'MASTER PLAN'!$J:$J,0,0)=0,"",XLOOKUP(CONCAT(M29,N29),'MASTER PLAN'!$AB:$AB,'MASTER PLAN'!$J:$J,0,0)),"")</f>
        <v/>
      </c>
      <c r="P29" s="73" t="str">
        <f t="array" ref="P29">IFERROR(IF(XLOOKUP(CONCAT(M29,N29),'PROCESOS PRD'!$J:$J,'PROCESOS PRD'!$H:$H,0,0)=0,"",XLOOKUP(CONCAT(M29,N29),'PROCESOS PRD'!$J:$J,'PROCESOS PRD'!$H:$H,0,0)),"")</f>
        <v/>
      </c>
      <c r="Q29" s="71"/>
      <c r="R29" s="32"/>
      <c r="S29" s="72" t="str">
        <f t="array" ref="S29">IFERROR(IF(XLOOKUP(CONCAT(Q29,R29),'MASTER PLAN'!$AB:$AB,'MASTER PLAN'!$J:$J,0,0)=0,"",XLOOKUP(CONCAT(Q29,R29),'MASTER PLAN'!$AB:$AB,'MASTER PLAN'!$J:$J,0,0)),"")</f>
        <v/>
      </c>
      <c r="T29" s="73" t="str">
        <f t="array" ref="T29">IFERROR(IF(XLOOKUP(CONCAT(Q29,R29),'PROCESOS PRD'!$J:$J,'PROCESOS PRD'!$H:$H,0,0)=0,"",XLOOKUP(CONCAT(Q29,R29),'PROCESOS PRD'!$J:$J,'PROCESOS PRD'!$H:$H,0,0)),"")</f>
        <v/>
      </c>
      <c r="U29" s="70"/>
      <c r="V29" s="71"/>
      <c r="W29" s="32"/>
      <c r="X29" s="72" t="str">
        <f t="array" ref="X29">IFERROR(IF(XLOOKUP(CONCAT(V29,W29),'MASTER PLAN'!$AB:$AB,'MASTER PLAN'!$J:$J,0,0)=0,"",XLOOKUP(CONCAT(V29,W29),'MASTER PLAN'!$AB:$AB,'MASTER PLAN'!$J:$J,0,0)),"")</f>
        <v/>
      </c>
      <c r="Y29" s="73" t="str">
        <f t="array" ref="Y29">IFERROR(IF(XLOOKUP(CONCAT(V29,W29),'PROCESOS PRD'!$J:$J,'PROCESOS PRD'!$H:$H,0,0)=0,"",XLOOKUP(CONCAT(V29,W29),'PROCESOS PRD'!$J:$J,'PROCESOS PRD'!$H:$H,0,0)),"")</f>
        <v/>
      </c>
      <c r="Z29" s="71"/>
      <c r="AA29" s="32"/>
      <c r="AB29" s="72" t="str">
        <f t="array" ref="AB29">IFERROR(IF(XLOOKUP(CONCAT(Z29,AA29),'MASTER PLAN'!$AB:$AB,'MASTER PLAN'!$J:$J,0,0)=0,"",XLOOKUP(CONCAT(Z29,AA29),'MASTER PLAN'!$AB:$AB,'MASTER PLAN'!$J:$J,0,0)),"")</f>
        <v/>
      </c>
      <c r="AC29" s="73" t="str">
        <f t="array" ref="AC29">IFERROR(IF(XLOOKUP(CONCAT(Z29,AA29),'PROCESOS PRD'!$J:$J,'PROCESOS PRD'!$H:$H,0,0)=0,"",XLOOKUP(CONCAT(Z29,AA29),'PROCESOS PRD'!$J:$J,'PROCESOS PRD'!$H:$H,0,0)),"")</f>
        <v/>
      </c>
      <c r="AD29" s="71"/>
      <c r="AE29" s="32"/>
      <c r="AF29" s="72" t="str">
        <f t="array" ref="AF29">IFERROR(IF(XLOOKUP(CONCAT(AD29,AE29),'MASTER PLAN'!$AB:$AB,'MASTER PLAN'!$J:$J,0,0)=0,"",XLOOKUP(CONCAT(AD29,AE29),'MASTER PLAN'!$AB:$AB,'MASTER PLAN'!$J:$J,0,0)),"")</f>
        <v/>
      </c>
      <c r="AG29" s="73" t="str">
        <f t="array" ref="AG29">IFERROR(IF(XLOOKUP(CONCAT(AD29,AE29),'PROCESOS PRD'!$J:$J,'PROCESOS PRD'!$H:$H,0,0)=0,"",XLOOKUP(CONCAT(AD29,AE29),'PROCESOS PRD'!$J:$J,'PROCESOS PRD'!$H:$H,0,0)),"")</f>
        <v/>
      </c>
      <c r="AH29" s="71"/>
      <c r="AI29" s="32"/>
      <c r="AJ29" s="72" t="str">
        <f t="array" ref="AJ29">IFERROR(IF(XLOOKUP(CONCAT(AH29,AI29),'MASTER PLAN'!$AB:$AB,'MASTER PLAN'!$J:$J,0,0)=0,"",XLOOKUP(CONCAT(AH29,AI29),'MASTER PLAN'!$AB:$AB,'MASTER PLAN'!$J:$J,0,0)),"")</f>
        <v/>
      </c>
      <c r="AK29" s="73" t="str">
        <f t="array" ref="AK29">IFERROR(IF(XLOOKUP(CONCAT(AH29,AI29),'PROCESOS PRD'!$J:$J,'PROCESOS PRD'!$H:$H,0,0)=0,"",XLOOKUP(CONCAT(AH29,AI29),'PROCESOS PRD'!$J:$J,'PROCESOS PRD'!$H:$H,0,0)),"")</f>
        <v/>
      </c>
      <c r="AL29" s="71"/>
      <c r="AM29" s="32"/>
      <c r="AN29" s="72" t="str">
        <f t="array" ref="AN29">IFERROR(IF(XLOOKUP(CONCAT(AL29,AM29),'MASTER PLAN'!$AB:$AB,'MASTER PLAN'!$J:$J,0,0)=0,"",XLOOKUP(CONCAT(AL29,AM29),'MASTER PLAN'!$AB:$AB,'MASTER PLAN'!$J:$J,0,0)),"")</f>
        <v/>
      </c>
      <c r="AO29" s="73" t="str">
        <f t="array" ref="AO29">IFERROR(IF(XLOOKUP(CONCAT(AL29,AM29),'PROCESOS PRD'!$J:$J,'PROCESOS PRD'!$H:$H,0,0)=0,"",XLOOKUP(CONCAT(AL29,AM29),'PROCESOS PRD'!$J:$J,'PROCESOS PRD'!$H:$H,0,0)),"")</f>
        <v/>
      </c>
      <c r="AP29" s="71"/>
      <c r="AQ29" s="32"/>
      <c r="AR29" s="72" t="str">
        <f t="array" ref="AR29">IFERROR(IF(XLOOKUP(CONCAT(AP29,AQ29),'MASTER PLAN'!$AB:$AB,'MASTER PLAN'!$J:$J,0,0)=0,"",XLOOKUP(CONCAT(AP29,AQ29),'MASTER PLAN'!$AB:$AB,'MASTER PLAN'!$J:$J,0,0)),"")</f>
        <v/>
      </c>
      <c r="AS29" s="73" t="str">
        <f t="array" ref="AS29">IFERROR(IF(XLOOKUP(CONCAT(AP29,AQ29),'PROCESOS PRD'!$J:$J,'PROCESOS PRD'!$H:$H,0,0)=0,"",XLOOKUP(CONCAT(AP29,AQ29),'PROCESOS PRD'!$J:$J,'PROCESOS PRD'!$H:$H,0,0)),"")</f>
        <v/>
      </c>
      <c r="AT29" s="70"/>
      <c r="AU29" s="71"/>
      <c r="AV29" s="32"/>
      <c r="AW29" s="72" t="str">
        <f t="array" ref="AW29">IFERROR(IF(XLOOKUP(CONCAT(AU29,AV29),'MASTER PLAN'!$AB:$AB,'MASTER PLAN'!$J:$J,0,0)=0,"",XLOOKUP(CONCAT(AU29,AV29),'MASTER PLAN'!$AB:$AB,'MASTER PLAN'!$J:$J,0,0)),"")</f>
        <v/>
      </c>
      <c r="AX29" s="73" t="str">
        <f t="array" ref="AX29">IFERROR(IF(XLOOKUP(CONCAT(AU29,AV29),'PROCESOS PRD'!$J:$J,'PROCESOS PRD'!$H:$H,0,0)=0,"",XLOOKUP(CONCAT(AU29,AV29),'PROCESOS PRD'!$J:$J,'PROCESOS PRD'!$H:$H,0,0)),"")</f>
        <v/>
      </c>
      <c r="AY29" s="71"/>
      <c r="AZ29" s="32"/>
      <c r="BA29" s="72" t="str">
        <f t="array" ref="BA29">IFERROR(IF(XLOOKUP(CONCAT(AY29,AZ29),'MASTER PLAN'!$AB:$AB,'MASTER PLAN'!$J:$J,0,0)=0,"",XLOOKUP(CONCAT(AY29,AZ29),'MASTER PLAN'!$AB:$AB,'MASTER PLAN'!$J:$J,0,0)),"")</f>
        <v/>
      </c>
      <c r="BB29" s="73" t="str">
        <f t="array" ref="BB29">IFERROR(IF(XLOOKUP(CONCAT(AY29,AZ29),'PROCESOS PRD'!$J:$J,'PROCESOS PRD'!$H:$H,0,0)=0,"",XLOOKUP(CONCAT(AY29,AZ29),'PROCESOS PRD'!$J:$J,'PROCESOS PRD'!$H:$H,0,0)),"")</f>
        <v/>
      </c>
      <c r="BC29" s="71">
        <v>1.402049349E9</v>
      </c>
      <c r="BD29" s="32">
        <v>20.0</v>
      </c>
      <c r="BE29" s="72" t="str">
        <f t="array" ref="BE29">IFERROR(IF(XLOOKUP(CONCAT(BC29,BD29),'MASTER PLAN'!$AB:$AB,'MASTER PLAN'!$J:$J,0,0)=0,"",XLOOKUP(CONCAT(BC29,BD29),'MASTER PLAN'!$AB:$AB,'MASTER PLAN'!$J:$J,0,0)),"")</f>
        <v>BOLSA WSHN WOS 17"X7"X14" FA</v>
      </c>
      <c r="BF29" s="73">
        <f t="array" ref="BF29">IFERROR(IF(XLOOKUP(CONCAT(BC29,BD29),'PROCESOS PRD'!$J:$J,'PROCESOS PRD'!$H:$H,0,0)=0,"",XLOOKUP(CONCAT(BC29,BD29),'PROCESOS PRD'!$J:$J,'PROCESOS PRD'!$H:$H,0,0)),"")</f>
        <v>9600</v>
      </c>
      <c r="BG29" s="71"/>
      <c r="BH29" s="32"/>
      <c r="BI29" s="72" t="str">
        <f t="array" ref="BI29">IFERROR(IF(XLOOKUP(CONCAT(BG29,BH29),'MASTER PLAN'!$AB:$AB,'MASTER PLAN'!$J:$J,0,0)=0,"",XLOOKUP(CONCAT(BG29,BH29),'MASTER PLAN'!$AB:$AB,'MASTER PLAN'!$J:$J,0,0)),"")</f>
        <v/>
      </c>
      <c r="BJ29" s="73" t="str">
        <f t="array" ref="BJ29">IFERROR(IF(XLOOKUP(CONCAT(BG29,BH29),'PROCESOS PRD'!$J:$J,'PROCESOS PRD'!$H:$H,0,0)=0,"",XLOOKUP(CONCAT(BG29,BH29),'PROCESOS PRD'!$J:$J,'PROCESOS PRD'!$H:$H,0,0)),"")</f>
        <v/>
      </c>
      <c r="BK29" s="71"/>
      <c r="BL29" s="32"/>
      <c r="BM29" s="72" t="str">
        <f t="array" ref="BM29">IFERROR(IF(XLOOKUP(CONCAT(BK29,BL29),'MASTER PLAN'!$AB:$AB,'MASTER PLAN'!$J:$J,0,0)=0,"",XLOOKUP(CONCAT(BK29,BL29),'MASTER PLAN'!$AB:$AB,'MASTER PLAN'!$J:$J,0,0)),"")</f>
        <v/>
      </c>
      <c r="BN29" s="73" t="str">
        <f t="array" ref="BN29">IFERROR(IF(XLOOKUP(CONCAT(BK29,BL29),'PROCESOS PRD'!$J:$J,'PROCESOS PRD'!$H:$H,0,0)=0,"",XLOOKUP(CONCAT(BK29,BL29),'PROCESOS PRD'!$J:$J,'PROCESOS PRD'!$H:$H,0,0)),"")</f>
        <v/>
      </c>
      <c r="BO29" s="71"/>
      <c r="BP29" s="32"/>
      <c r="BQ29" s="72" t="str">
        <f t="array" ref="BQ29">IFERROR(IF(XLOOKUP(CONCAT(BO29,BP29),'MASTER PLAN'!$AB:$AB,'MASTER PLAN'!$J:$J,0,0)=0,"",XLOOKUP(CONCAT(BO29,BP29),'MASTER PLAN'!$AB:$AB,'MASTER PLAN'!$J:$J,0,0)),"")</f>
        <v/>
      </c>
      <c r="BR29" s="73" t="str">
        <f t="array" ref="BR29">IFERROR(IF(XLOOKUP(CONCAT(BO29,BP29),'PROCESOS PRD'!$J:$J,'PROCESOS PRD'!$H:$H,0,0)=0,"",XLOOKUP(CONCAT(BO29,BP29),'PROCESOS PRD'!$J:$J,'PROCESOS PRD'!$H:$H,0,0)),"")</f>
        <v/>
      </c>
      <c r="BS29" s="70"/>
      <c r="BT29" s="71">
        <v>1.402049419E9</v>
      </c>
      <c r="BU29" s="32">
        <v>10.0</v>
      </c>
      <c r="BV29" s="72" t="str">
        <f t="array" ref="BV29">IFERROR(IF(XLOOKUP(CONCAT(BT29,BU29),'MASTER PLAN'!$AB:$AB,'MASTER PLAN'!$J:$J,0,0)=0,"",XLOOKUP(CONCAT(BT29,BU29),'MASTER PLAN'!$AB:$AB,'MASTER PLAN'!$J:$J,0,0)),"")</f>
        <v>BOLSA COMERCIAL SORIA 10X4X8 IN FC</v>
      </c>
      <c r="BW29" s="73">
        <f t="array" ref="BW29">IFERROR(IF(XLOOKUP(CONCAT(BT29,BU29),'PROCESOS PRD'!$J:$J,'PROCESOS PRD'!$H:$H,0,0)=0,"",XLOOKUP(CONCAT(BT29,BU29),'PROCESOS PRD'!$J:$J,'PROCESOS PRD'!$H:$H,0,0)),"")</f>
        <v>1800</v>
      </c>
      <c r="BX29" s="71">
        <v>1.40204948E9</v>
      </c>
      <c r="BY29" s="32">
        <v>20.0</v>
      </c>
      <c r="BZ29" s="72" t="str">
        <f t="array" ref="BZ29">IFERROR(IF(XLOOKUP(CONCAT(BX29,BY29),'MASTER PLAN'!$AB:$AB,'MASTER PLAN'!$J:$J,0,0)=0,"",XLOOKUP(CONCAT(BX29,BY29),'MASTER PLAN'!$AB:$AB,'MASTER PLAN'!$J:$J,0,0)),"")</f>
        <v>BOLSA LEE BRANT  8"X4"X10"</v>
      </c>
      <c r="CA29" s="73">
        <f t="array" ref="CA29">IFERROR(IF(XLOOKUP(CONCAT(BX29,BY29),'PROCESOS PRD'!$J:$J,'PROCESOS PRD'!$H:$H,0,0)=0,"",XLOOKUP(CONCAT(BX29,BY29),'PROCESOS PRD'!$J:$J,'PROCESOS PRD'!$H:$H,0,0)),"")</f>
        <v>1200</v>
      </c>
      <c r="CB29" s="71"/>
      <c r="CC29" s="32"/>
      <c r="CD29" s="72" t="str">
        <f t="array" ref="CD29">IFERROR(IF(XLOOKUP(CONCAT(CB29,CC29),'MASTER PLAN'!$AB:$AB,'MASTER PLAN'!$J:$J,0,0)=0,"",XLOOKUP(CONCAT(CB29,CC29),'MASTER PLAN'!$AB:$AB,'MASTER PLAN'!$J:$J,0,0)),"")</f>
        <v/>
      </c>
      <c r="CE29" s="73" t="str">
        <f t="array" ref="CE29">IFERROR(IF(XLOOKUP(CONCAT(CB29,CC29),'PROCESOS PRD'!$J:$J,'PROCESOS PRD'!$H:$H,0,0)=0,"",XLOOKUP(CONCAT(CB29,CC29),'PROCESOS PRD'!$J:$J,'PROCESOS PRD'!$H:$H,0,0)),"")</f>
        <v/>
      </c>
      <c r="CF29" s="71"/>
      <c r="CG29" s="32"/>
      <c r="CH29" s="72" t="str">
        <f t="array" ref="CH29">IFERROR(IF(XLOOKUP(CONCAT(CF29,CG29),'MASTER PLAN'!$AB:$AB,'MASTER PLAN'!$J:$J,0,0)=0,"",XLOOKUP(CONCAT(CF29,CG29),'MASTER PLAN'!$AB:$AB,'MASTER PLAN'!$J:$J,0,0)),"")</f>
        <v/>
      </c>
      <c r="CI29" s="73" t="str">
        <f t="array" ref="CI29">IFERROR(IF(XLOOKUP(CONCAT(CF29,CG29),'PROCESOS PRD'!$J:$J,'PROCESOS PRD'!$H:$H,0,0)=0,"",XLOOKUP(CONCAT(CF29,CG29),'PROCESOS PRD'!$J:$J,'PROCESOS PRD'!$H:$H,0,0)),"")</f>
        <v/>
      </c>
      <c r="CJ29" s="71"/>
      <c r="CK29" s="32"/>
      <c r="CL29" s="72" t="str">
        <f t="array" ref="CL29">IFERROR(IF(XLOOKUP(CONCAT(CJ29,CK29),'MASTER PLAN'!$AB:$AB,'MASTER PLAN'!$J:$J,0,0)=0,"",XLOOKUP(CONCAT(CJ29,CK29),'MASTER PLAN'!$AB:$AB,'MASTER PLAN'!$J:$J,0,0)),"")</f>
        <v/>
      </c>
      <c r="CM29" s="73" t="str">
        <f t="array" ref="CM29">IFERROR(IF(XLOOKUP(CONCAT(CJ29,CK29),'PROCESOS PRD'!$J:$J,'PROCESOS PRD'!$H:$H,0,0)=0,"",XLOOKUP(CONCAT(CJ29,CK29),'PROCESOS PRD'!$J:$J,'PROCESOS PRD'!$H:$H,0,0)),"")</f>
        <v/>
      </c>
      <c r="CN29" s="71"/>
      <c r="CO29" s="32"/>
      <c r="CP29" s="72" t="str">
        <f t="array" ref="CP29">IFERROR(IF(XLOOKUP(CONCAT(CN29,CO29),'MASTER PLAN'!$AB:$AB,'MASTER PLAN'!$J:$J,0,0)=0,"",XLOOKUP(CONCAT(CN29,CO29),'MASTER PLAN'!$AB:$AB,'MASTER PLAN'!$J:$J,0,0)),"")</f>
        <v/>
      </c>
      <c r="CQ29" s="73" t="str">
        <f t="array" ref="CQ29">IFERROR(IF(XLOOKUP(CONCAT(CN29,CO29),'PROCESOS PRD'!$J:$J,'PROCESOS PRD'!$H:$H,0,0)=0,"",XLOOKUP(CONCAT(CN29,CO29),'PROCESOS PRD'!$J:$J,'PROCESOS PRD'!$H:$H,0,0)),"")</f>
        <v/>
      </c>
      <c r="CR29" s="70"/>
      <c r="CS29" s="71">
        <v>1.402049507E9</v>
      </c>
      <c r="CT29" s="32">
        <v>10.0</v>
      </c>
      <c r="CU29" s="72" t="str">
        <f t="array" ref="CU29">IFERROR(IF(XLOOKUP(CONCAT(CS29,CT29),'MASTER PLAN'!$AB:$AB,'MASTER PLAN'!$J:$J,0,0)=0,"",XLOOKUP(CONCAT(CS29,CT29),'MASTER PLAN'!$AB:$AB,'MASTER PLAN'!$J:$J,0,0)),"")</f>
        <v>BOLSA NA HOKU 159X90X210MM</v>
      </c>
      <c r="CV29" s="73">
        <f t="array" ref="CV29">IFERROR(IF(XLOOKUP(CONCAT(CS29,CT29),'PROCESOS PRD'!$J:$J,'PROCESOS PRD'!$H:$H,0,0)=0,"",XLOOKUP(CONCAT(CS29,CT29),'PROCESOS PRD'!$J:$J,'PROCESOS PRD'!$H:$H,0,0)),"")</f>
        <v>12000</v>
      </c>
      <c r="CW29" s="71"/>
      <c r="CX29" s="32"/>
      <c r="CY29" s="72" t="str">
        <f t="array" ref="CY29">IFERROR(IF(XLOOKUP(CONCAT(CW29,CX29),'MASTER PLAN'!$AB:$AB,'MASTER PLAN'!$J:$J,0,0)=0,"",XLOOKUP(CONCAT(CW29,CX29),'MASTER PLAN'!$AB:$AB,'MASTER PLAN'!$J:$J,0,0)),"")</f>
        <v/>
      </c>
      <c r="CZ29" s="73" t="str">
        <f t="array" ref="CZ29">IFERROR(IF(XLOOKUP(CONCAT(CW29,CX29),'PROCESOS PRD'!$J:$J,'PROCESOS PRD'!$H:$H,0,0)=0,"",XLOOKUP(CONCAT(CW29,CX29),'PROCESOS PRD'!$J:$J,'PROCESOS PRD'!$H:$H,0,0)),"")</f>
        <v/>
      </c>
      <c r="DA29" s="71">
        <v>1.402049421E9</v>
      </c>
      <c r="DB29" s="32">
        <v>10.0</v>
      </c>
      <c r="DC29" s="72" t="str">
        <f t="array" ref="DC29">IFERROR(IF(XLOOKUP(CONCAT(DA29,DB29),'MASTER PLAN'!$AB:$AB,'MASTER PLAN'!$J:$J,0,0)=0,"",XLOOKUP(CONCAT(DA29,DB29),'MASTER PLAN'!$AB:$AB,'MASTER PLAN'!$J:$J,0,0)),"")</f>
        <v>BOLSA WEDDING RING SHOP 9-75X4X6-5 IN FL</v>
      </c>
      <c r="DD29" s="73">
        <f t="array" ref="DD29">IFERROR(IF(XLOOKUP(CONCAT(DA29,DB29),'PROCESOS PRD'!$J:$J,'PROCESOS PRD'!$H:$H,0,0)=0,"",XLOOKUP(CONCAT(DA29,DB29),'PROCESOS PRD'!$J:$J,'PROCESOS PRD'!$H:$H,0,0)),"")</f>
        <v>2400</v>
      </c>
      <c r="DE29" s="71"/>
      <c r="DF29" s="32"/>
      <c r="DG29" s="72" t="str">
        <f t="array" ref="DG29">IFERROR(IF(XLOOKUP(CONCAT(DE29,DF29),'MASTER PLAN'!$AB:$AB,'MASTER PLAN'!$J:$J,0,0)=0,"",XLOOKUP(CONCAT(DE29,DF29),'MASTER PLAN'!$AB:$AB,'MASTER PLAN'!$J:$J,0,0)),"")</f>
        <v/>
      </c>
      <c r="DH29" s="73" t="str">
        <f t="array" ref="DH29">IFERROR(IF(XLOOKUP(CONCAT(DE29,DF29),'PROCESOS PRD'!$J:$J,'PROCESOS PRD'!$H:$H,0,0)=0,"",XLOOKUP(CONCAT(DE29,DF29),'PROCESOS PRD'!$J:$J,'PROCESOS PRD'!$H:$H,0,0)),"")</f>
        <v/>
      </c>
      <c r="DI29" s="71"/>
      <c r="DJ29" s="32"/>
      <c r="DK29" s="72" t="str">
        <f t="array" ref="DK29">IFERROR(IF(XLOOKUP(CONCAT(DI29,DJ29),'MASTER PLAN'!$AB:$AB,'MASTER PLAN'!$J:$J,0,0)=0,"",XLOOKUP(CONCAT(DI29,DJ29),'MASTER PLAN'!$AB:$AB,'MASTER PLAN'!$J:$J,0,0)),"")</f>
        <v/>
      </c>
      <c r="DL29" s="73" t="str">
        <f t="array" ref="DL29">IFERROR(IF(XLOOKUP(CONCAT(DI29,DJ29),'PROCESOS PRD'!$J:$J,'PROCESOS PRD'!$H:$H,0,0)=0,"",XLOOKUP(CONCAT(DI29,DJ29),'PROCESOS PRD'!$J:$J,'PROCESOS PRD'!$H:$H,0,0)),"")</f>
        <v/>
      </c>
      <c r="DM29" s="71"/>
      <c r="DN29" s="32"/>
      <c r="DO29" s="72" t="str">
        <f t="array" ref="DO29">IFERROR(IF(XLOOKUP(CONCAT(DM29,DN29),'MASTER PLAN'!$AB:$AB,'MASTER PLAN'!$J:$J,0,0)=0,"",XLOOKUP(CONCAT(DM29,DN29),'MASTER PLAN'!$AB:$AB,'MASTER PLAN'!$J:$J,0,0)),"")</f>
        <v/>
      </c>
      <c r="DP29" s="73" t="str">
        <f t="array" ref="DP29">IFERROR(IF(XLOOKUP(CONCAT(DM29,DN29),'PROCESOS PRD'!$J:$J,'PROCESOS PRD'!$H:$H,0,0)=0,"",XLOOKUP(CONCAT(DM29,DN29),'PROCESOS PRD'!$J:$J,'PROCESOS PRD'!$H:$H,0,0)),"")</f>
        <v/>
      </c>
      <c r="DQ29" s="70"/>
      <c r="DR29" s="71"/>
      <c r="DS29" s="32"/>
      <c r="DT29" s="72" t="str">
        <f t="array" ref="DT29">IFERROR(IF(XLOOKUP(CONCAT(DR29,DS29),'MASTER PLAN'!$AB:$AB,'MASTER PLAN'!$J:$J,0,0)=0,"",XLOOKUP(CONCAT(DR29,DS29),'MASTER PLAN'!$AB:$AB,'MASTER PLAN'!$J:$J,0,0)),"")</f>
        <v/>
      </c>
      <c r="DU29" s="73" t="str">
        <f t="array" ref="DU29">IFERROR(IF(XLOOKUP(CONCAT(DR29,DS29),'PROCESOS PRD'!$J:$J,'PROCESOS PRD'!$H:$H,0,0)=0,"",XLOOKUP(CONCAT(DR29,DS29),'PROCESOS PRD'!$J:$J,'PROCESOS PRD'!$H:$H,0,0)),"")</f>
        <v/>
      </c>
      <c r="DV29" s="71"/>
      <c r="DW29" s="32"/>
      <c r="DX29" s="72" t="str">
        <f t="array" ref="DX29">IFERROR(IF(XLOOKUP(CONCAT(DV29,DW29),'MASTER PLAN'!$AB:$AB,'MASTER PLAN'!$J:$J,0,0)=0,"",XLOOKUP(CONCAT(DV29,DW29),'MASTER PLAN'!$AB:$AB,'MASTER PLAN'!$J:$J,0,0)),"")</f>
        <v/>
      </c>
      <c r="DY29" s="73" t="str">
        <f t="array" ref="DY29">IFERROR(IF(XLOOKUP(CONCAT(DV29,DW29),'PROCESOS PRD'!$J:$J,'PROCESOS PRD'!$H:$H,0,0)=0,"",XLOOKUP(CONCAT(DV29,DW29),'PROCESOS PRD'!$J:$J,'PROCESOS PRD'!$H:$H,0,0)),"")</f>
        <v/>
      </c>
      <c r="DZ29" s="71"/>
      <c r="EA29" s="32"/>
      <c r="EB29" s="72" t="str">
        <f t="array" ref="EB29">IFERROR(IF(XLOOKUP(CONCAT(DZ29,EA29),'MASTER PLAN'!$AB:$AB,'MASTER PLAN'!$J:$J,0,0)=0,"",XLOOKUP(CONCAT(DZ29,EA29),'MASTER PLAN'!$AB:$AB,'MASTER PLAN'!$J:$J,0,0)),"")</f>
        <v/>
      </c>
      <c r="EC29" s="73" t="str">
        <f t="array" ref="EC29">IFERROR(IF(XLOOKUP(CONCAT(DZ29,EA29),'PROCESOS PRD'!$J:$J,'PROCESOS PRD'!$H:$H,0,0)=0,"",XLOOKUP(CONCAT(DZ29,EA29),'PROCESOS PRD'!$J:$J,'PROCESOS PRD'!$H:$H,0,0)),"")</f>
        <v/>
      </c>
      <c r="ED29" s="71"/>
      <c r="EE29" s="32"/>
      <c r="EF29" s="72" t="str">
        <f t="array" ref="EF29">IFERROR(IF(XLOOKUP(CONCAT(ED29,EE29),'MASTER PLAN'!$AB:$AB,'MASTER PLAN'!$J:$J,0,0)=0,"",XLOOKUP(CONCAT(ED29,EE29),'MASTER PLAN'!$AB:$AB,'MASTER PLAN'!$J:$J,0,0)),"")</f>
        <v/>
      </c>
      <c r="EG29" s="73" t="str">
        <f t="array" ref="EG29">IFERROR(IF(XLOOKUP(CONCAT(ED29,EE29),'PROCESOS PRD'!$J:$J,'PROCESOS PRD'!$H:$H,0,0)=0,"",XLOOKUP(CONCAT(ED29,EE29),'PROCESOS PRD'!$J:$J,'PROCESOS PRD'!$H:$H,0,0)),"")</f>
        <v/>
      </c>
      <c r="EH29" s="71"/>
      <c r="EI29" s="32"/>
      <c r="EJ29" s="72" t="str">
        <f t="array" ref="EJ29">IFERROR(IF(XLOOKUP(CONCAT(EH29,EI29),'MASTER PLAN'!$AB:$AB,'MASTER PLAN'!$J:$J,0,0)=0,"",XLOOKUP(CONCAT(EH29,EI29),'MASTER PLAN'!$AB:$AB,'MASTER PLAN'!$J:$J,0,0)),"")</f>
        <v/>
      </c>
      <c r="EK29" s="73" t="str">
        <f t="array" ref="EK29">IFERROR(IF(XLOOKUP(CONCAT(EH29,EI29),'PROCESOS PRD'!$J:$J,'PROCESOS PRD'!$H:$H,0,0)=0,"",XLOOKUP(CONCAT(EH29,EI29),'PROCESOS PRD'!$J:$J,'PROCESOS PRD'!$H:$H,0,0)),"")</f>
        <v/>
      </c>
      <c r="EL29" s="71"/>
      <c r="EM29" s="32"/>
      <c r="EN29" s="72" t="str">
        <f t="array" ref="EN29">IFERROR(IF(XLOOKUP(CONCAT(EL29,EM29),'MASTER PLAN'!$AB:$AB,'MASTER PLAN'!$J:$J,0,0)=0,"",XLOOKUP(CONCAT(EL29,EM29),'MASTER PLAN'!$AB:$AB,'MASTER PLAN'!$J:$J,0,0)),"")</f>
        <v/>
      </c>
      <c r="EO29" s="73" t="str">
        <f t="array" ref="EO29">IFERROR(IF(XLOOKUP(CONCAT(EL29,EM29),'PROCESOS PRD'!$J:$J,'PROCESOS PRD'!$H:$H,0,0)=0,"",XLOOKUP(CONCAT(EL29,EM29),'PROCESOS PRD'!$J:$J,'PROCESOS PRD'!$H:$H,0,0)),"")</f>
        <v/>
      </c>
      <c r="EP29" s="70"/>
      <c r="EQ29" s="71"/>
      <c r="ER29" s="32"/>
      <c r="ES29" s="72" t="str">
        <f t="array" ref="ES29">IFERROR(IF(XLOOKUP(CONCAT(EQ29,ER29),'MASTER PLAN'!$AB:$AB,'MASTER PLAN'!$J:$J,0,0)=0,"",XLOOKUP(CONCAT(EQ29,ER29),'MASTER PLAN'!$AB:$AB,'MASTER PLAN'!$J:$J,0,0)),"")</f>
        <v/>
      </c>
      <c r="ET29" s="73" t="str">
        <f t="array" ref="ET29">IFERROR(IF(XLOOKUP(CONCAT(EQ29,ER29),'PROCESOS PRD'!$J:$J,'PROCESOS PRD'!$H:$H,0,0)=0,"",XLOOKUP(CONCAT(EQ29,ER29),'PROCESOS PRD'!$J:$J,'PROCESOS PRD'!$H:$H,0,0)),"")</f>
        <v/>
      </c>
      <c r="EU29" s="71"/>
      <c r="EV29" s="32"/>
      <c r="EW29" s="72" t="str">
        <f t="array" ref="EW29">IFERROR(IF(XLOOKUP(CONCAT(EU29,EV29),'MASTER PLAN'!$AB:$AB,'MASTER PLAN'!$J:$J,0,0)=0,"",XLOOKUP(CONCAT(EU29,EV29),'MASTER PLAN'!$AB:$AB,'MASTER PLAN'!$J:$J,0,0)),"")</f>
        <v/>
      </c>
      <c r="EX29" s="73" t="str">
        <f t="array" ref="EX29">IFERROR(IF(XLOOKUP(CONCAT(EU29,EV29),'PROCESOS PRD'!$J:$J,'PROCESOS PRD'!$H:$H,0,0)=0,"",XLOOKUP(CONCAT(EU29,EV29),'PROCESOS PRD'!$J:$J,'PROCESOS PRD'!$H:$H,0,0)),"")</f>
        <v/>
      </c>
      <c r="EY29" s="71"/>
      <c r="EZ29" s="32"/>
      <c r="FA29" s="72" t="str">
        <f t="array" ref="FA29">IFERROR(IF(XLOOKUP(CONCAT(EY29,EZ29),'MASTER PLAN'!$AB:$AB,'MASTER PLAN'!$J:$J,0,0)=0,"",XLOOKUP(CONCAT(EY29,EZ29),'MASTER PLAN'!$AB:$AB,'MASTER PLAN'!$J:$J,0,0)),"")</f>
        <v/>
      </c>
      <c r="FB29" s="73" t="str">
        <f t="array" ref="FB29">IFERROR(IF(XLOOKUP(CONCAT(EY29,EZ29),'PROCESOS PRD'!$J:$J,'PROCESOS PRD'!$H:$H,0,0)=0,"",XLOOKUP(CONCAT(EY29,EZ29),'PROCESOS PRD'!$J:$J,'PROCESOS PRD'!$H:$H,0,0)),"")</f>
        <v/>
      </c>
      <c r="FC29" s="71"/>
      <c r="FD29" s="32"/>
      <c r="FE29" s="72" t="str">
        <f t="array" ref="FE29">IFERROR(IF(XLOOKUP(CONCAT(FC29,FD29),'MASTER PLAN'!$AB:$AB,'MASTER PLAN'!$J:$J,0,0)=0,"",XLOOKUP(CONCAT(FC29,FD29),'MASTER PLAN'!$AB:$AB,'MASTER PLAN'!$J:$J,0,0)),"")</f>
        <v/>
      </c>
      <c r="FF29" s="73" t="str">
        <f t="array" ref="FF29">IFERROR(IF(XLOOKUP(CONCAT(FC29,FD29),'PROCESOS PRD'!$J:$J,'PROCESOS PRD'!$H:$H,0,0)=0,"",XLOOKUP(CONCAT(FC29,FD29),'PROCESOS PRD'!$J:$J,'PROCESOS PRD'!$H:$H,0,0)),"")</f>
        <v/>
      </c>
      <c r="FG29" s="71"/>
      <c r="FH29" s="32"/>
      <c r="FI29" s="72" t="str">
        <f t="array" ref="FI29">IFERROR(IF(XLOOKUP(CONCAT(FG29,FH29),'MASTER PLAN'!$AB:$AB,'MASTER PLAN'!$J:$J,0,0)=0,"",XLOOKUP(CONCAT(FG29,FH29),'MASTER PLAN'!$AB:$AB,'MASTER PLAN'!$J:$J,0,0)),"")</f>
        <v/>
      </c>
      <c r="FJ29" s="73" t="str">
        <f t="array" ref="FJ29">IFERROR(IF(XLOOKUP(CONCAT(FG29,FH29),'PROCESOS PRD'!$J:$J,'PROCESOS PRD'!$H:$H,0,0)=0,"",XLOOKUP(CONCAT(FG29,FH29),'PROCESOS PRD'!$J:$J,'PROCESOS PRD'!$H:$H,0,0)),"")</f>
        <v/>
      </c>
      <c r="FK29" s="71"/>
      <c r="FL29" s="32"/>
      <c r="FM29" s="72" t="str">
        <f t="array" ref="FM29">IFERROR(IF(XLOOKUP(CONCAT(FK29,FL29),'MASTER PLAN'!$AB:$AB,'MASTER PLAN'!$J:$J,0,0)=0,"",XLOOKUP(CONCAT(FK29,FL29),'MASTER PLAN'!$AB:$AB,'MASTER PLAN'!$J:$J,0,0)),"")</f>
        <v/>
      </c>
      <c r="FN29" s="73" t="str">
        <f t="array" ref="FN29">IFERROR(IF(XLOOKUP(CONCAT(FK29,FL29),'PROCESOS PRD'!$J:$J,'PROCESOS PRD'!$H:$H,0,0)=0,"",XLOOKUP(CONCAT(FK29,FL29),'PROCESOS PRD'!$J:$J,'PROCESOS PRD'!$H:$H,0,0)),"")</f>
        <v/>
      </c>
      <c r="FO29" s="70"/>
      <c r="FP29" s="71"/>
      <c r="FQ29" s="32"/>
      <c r="FR29" s="72" t="str">
        <f t="array" ref="FR29">IFERROR(IF(XLOOKUP(CONCAT(FP29,FQ29),'MASTER PLAN'!$AB:$AB,'MASTER PLAN'!$J:$J,0,0)=0,"",XLOOKUP(CONCAT(FP29,FQ29),'MASTER PLAN'!$AB:$AB,'MASTER PLAN'!$J:$J,0,0)),"")</f>
        <v/>
      </c>
      <c r="FS29" s="73" t="str">
        <f t="array" ref="FS29">IFERROR(IF(XLOOKUP(CONCAT(FP29,FQ29),'PROCESOS PRD'!$J:$J,'PROCESOS PRD'!$H:$H,0,0)=0,"",XLOOKUP(CONCAT(FP29,FQ29),'PROCESOS PRD'!$J:$J,'PROCESOS PRD'!$H:$H,0,0)),"")</f>
        <v/>
      </c>
      <c r="FT29" s="71"/>
      <c r="FU29" s="32"/>
      <c r="FV29" s="72" t="str">
        <f t="array" ref="FV29">IFERROR(IF(XLOOKUP(CONCAT(FT29,FU29),'MASTER PLAN'!$AB:$AB,'MASTER PLAN'!$J:$J,0,0)=0,"",XLOOKUP(CONCAT(FT29,FU29),'MASTER PLAN'!$AB:$AB,'MASTER PLAN'!$J:$J,0,0)),"")</f>
        <v/>
      </c>
      <c r="FW29" s="73" t="str">
        <f t="array" ref="FW29">IFERROR(IF(XLOOKUP(CONCAT(FT29,FU29),'PROCESOS PRD'!$J:$J,'PROCESOS PRD'!$H:$H,0,0)=0,"",XLOOKUP(CONCAT(FT29,FU29),'PROCESOS PRD'!$J:$J,'PROCESOS PRD'!$H:$H,0,0)),"")</f>
        <v/>
      </c>
      <c r="FX29" s="71"/>
      <c r="FY29" s="32"/>
      <c r="FZ29" s="72" t="str">
        <f t="array" ref="FZ29">IFERROR(IF(XLOOKUP(CONCAT(FX29,FY29),'MASTER PLAN'!$AB:$AB,'MASTER PLAN'!$J:$J,0,0)=0,"",XLOOKUP(CONCAT(FX29,FY29),'MASTER PLAN'!$AB:$AB,'MASTER PLAN'!$J:$J,0,0)),"")</f>
        <v/>
      </c>
      <c r="GA29" s="73" t="str">
        <f t="array" ref="GA29">IFERROR(IF(XLOOKUP(CONCAT(FX29,FY29),'PROCESOS PRD'!$J:$J,'PROCESOS PRD'!$H:$H,0,0)=0,"",XLOOKUP(CONCAT(FX29,FY29),'PROCESOS PRD'!$J:$J,'PROCESOS PRD'!$H:$H,0,0)),"")</f>
        <v/>
      </c>
      <c r="GB29" s="71"/>
      <c r="GC29" s="32"/>
      <c r="GD29" s="72" t="str">
        <f t="array" ref="GD29">IFERROR(IF(XLOOKUP(CONCAT(GB29,GC29),'MASTER PLAN'!$AB:$AB,'MASTER PLAN'!$J:$J,0,0)=0,"",XLOOKUP(CONCAT(GB29,GC29),'MASTER PLAN'!$AB:$AB,'MASTER PLAN'!$J:$J,0,0)),"")</f>
        <v/>
      </c>
      <c r="GE29" s="73" t="str">
        <f t="array" ref="GE29">IFERROR(IF(XLOOKUP(CONCAT(GB29,GC29),'PROCESOS PRD'!$J:$J,'PROCESOS PRD'!$H:$H,0,0)=0,"",XLOOKUP(CONCAT(GB29,GC29),'PROCESOS PRD'!$J:$J,'PROCESOS PRD'!$H:$H,0,0)),"")</f>
        <v/>
      </c>
      <c r="GF29" s="71"/>
      <c r="GG29" s="32"/>
      <c r="GH29" s="72" t="str">
        <f t="array" ref="GH29">IFERROR(IF(XLOOKUP(CONCAT(GF29,GG29),'MASTER PLAN'!$AB:$AB,'MASTER PLAN'!$J:$J,0,0)=0,"",XLOOKUP(CONCAT(GF29,GG29),'MASTER PLAN'!$AB:$AB,'MASTER PLAN'!$J:$J,0,0)),"")</f>
        <v/>
      </c>
      <c r="GI29" s="73" t="str">
        <f t="array" ref="GI29">IFERROR(IF(XLOOKUP(CONCAT(GF29,GG29),'PROCESOS PRD'!$J:$J,'PROCESOS PRD'!$H:$H,0,0)=0,"",XLOOKUP(CONCAT(GF29,GG29),'PROCESOS PRD'!$J:$J,'PROCESOS PRD'!$H:$H,0,0)),"")</f>
        <v/>
      </c>
      <c r="GJ29" s="71"/>
      <c r="GK29" s="32"/>
      <c r="GL29" s="72" t="str">
        <f t="array" ref="GL29">IFERROR(IF(XLOOKUP(CONCAT(GJ29,GK29),'MASTER PLAN'!$AB:$AB,'MASTER PLAN'!$J:$J,0,0)=0,"",XLOOKUP(CONCAT(GJ29,GK29),'MASTER PLAN'!$AB:$AB,'MASTER PLAN'!$J:$J,0,0)),"")</f>
        <v/>
      </c>
      <c r="GM29" s="73" t="str">
        <f t="array" ref="GM29">IFERROR(IF(XLOOKUP(CONCAT(GJ29,GK29),'PROCESOS PRD'!$J:$J,'PROCESOS PRD'!$H:$H,0,0)=0,"",XLOOKUP(CONCAT(GJ29,GK29),'PROCESOS PRD'!$J:$J,'PROCESOS PRD'!$H:$H,0,0)),"")</f>
        <v/>
      </c>
      <c r="GN29" s="70"/>
      <c r="GO29" s="71"/>
      <c r="GP29" s="32"/>
      <c r="GQ29" s="72" t="str">
        <f t="array" ref="GQ29">IFERROR(IF(XLOOKUP(CONCAT(GO29,GP29),'MASTER PLAN'!$AB:$AB,'MASTER PLAN'!$J:$J,0,0)=0,"",XLOOKUP(CONCAT(GO29,GP29),'MASTER PLAN'!$AB:$AB,'MASTER PLAN'!$J:$J,0,0)),"")</f>
        <v/>
      </c>
      <c r="GR29" s="73" t="str">
        <f t="array" ref="GR29">IFERROR(IF(XLOOKUP(CONCAT(GO29,GP29),'PROCESOS PRD'!$J:$J,'PROCESOS PRD'!$H:$H,0,0)=0,"",XLOOKUP(CONCAT(GO29,GP29),'PROCESOS PRD'!$J:$J,'PROCESOS PRD'!$H:$H,0,0)),"")</f>
        <v/>
      </c>
      <c r="GS29" s="71"/>
      <c r="GT29" s="32"/>
      <c r="GU29" s="72" t="str">
        <f t="array" ref="GU29">IFERROR(IF(XLOOKUP(CONCAT(GS29,GT29),'MASTER PLAN'!$AB:$AB,'MASTER PLAN'!$J:$J,0,0)=0,"",XLOOKUP(CONCAT(GS29,GT29),'MASTER PLAN'!$AB:$AB,'MASTER PLAN'!$J:$J,0,0)),"")</f>
        <v/>
      </c>
      <c r="GV29" s="73" t="str">
        <f t="array" ref="GV29">IFERROR(IF(XLOOKUP(CONCAT(GS29,GT29),'PROCESOS PRD'!$J:$J,'PROCESOS PRD'!$H:$H,0,0)=0,"",XLOOKUP(CONCAT(GS29,GT29),'PROCESOS PRD'!$J:$J,'PROCESOS PRD'!$H:$H,0,0)),"")</f>
        <v/>
      </c>
      <c r="GW29" s="71"/>
      <c r="GX29" s="32"/>
      <c r="GY29" s="72" t="str">
        <f t="array" ref="GY29">IFERROR(IF(XLOOKUP(CONCAT(GW29,GX29),'MASTER PLAN'!$AB:$AB,'MASTER PLAN'!$J:$J,0,0)=0,"",XLOOKUP(CONCAT(GW29,GX29),'MASTER PLAN'!$AB:$AB,'MASTER PLAN'!$J:$J,0,0)),"")</f>
        <v/>
      </c>
      <c r="GZ29" s="73" t="str">
        <f t="array" ref="GZ29">IFERROR(IF(XLOOKUP(CONCAT(GW29,GX29),'PROCESOS PRD'!$J:$J,'PROCESOS PRD'!$H:$H,0,0)=0,"",XLOOKUP(CONCAT(GW29,GX29),'PROCESOS PRD'!$J:$J,'PROCESOS PRD'!$H:$H,0,0)),"")</f>
        <v/>
      </c>
      <c r="HA29" s="71"/>
      <c r="HB29" s="32"/>
      <c r="HC29" s="72" t="str">
        <f t="array" ref="HC29">IFERROR(IF(XLOOKUP(CONCAT(HA29,HB29),'MASTER PLAN'!$AB:$AB,'MASTER PLAN'!$J:$J,0,0)=0,"",XLOOKUP(CONCAT(HA29,HB29),'MASTER PLAN'!$AB:$AB,'MASTER PLAN'!$J:$J,0,0)),"")</f>
        <v/>
      </c>
      <c r="HD29" s="73" t="str">
        <f t="array" ref="HD29">IFERROR(IF(XLOOKUP(CONCAT(HA29,HB29),'PROCESOS PRD'!$J:$J,'PROCESOS PRD'!$H:$H,0,0)=0,"",XLOOKUP(CONCAT(HA29,HB29),'PROCESOS PRD'!$J:$J,'PROCESOS PRD'!$H:$H,0,0)),"")</f>
        <v/>
      </c>
      <c r="HE29" s="71"/>
      <c r="HF29" s="32"/>
      <c r="HG29" s="72" t="str">
        <f t="array" ref="HG29">IFERROR(IF(XLOOKUP(CONCAT(HE29,HF29),'MASTER PLAN'!$AB:$AB,'MASTER PLAN'!$J:$J,0,0)=0,"",XLOOKUP(CONCAT(HE29,HF29),'MASTER PLAN'!$AB:$AB,'MASTER PLAN'!$J:$J,0,0)),"")</f>
        <v/>
      </c>
      <c r="HH29" s="73" t="str">
        <f t="array" ref="HH29">IFERROR(IF(XLOOKUP(CONCAT(HE29,HF29),'PROCESOS PRD'!$J:$J,'PROCESOS PRD'!$H:$H,0,0)=0,"",XLOOKUP(CONCAT(HE29,HF29),'PROCESOS PRD'!$J:$J,'PROCESOS PRD'!$H:$H,0,0)),"")</f>
        <v/>
      </c>
      <c r="HI29" s="71"/>
      <c r="HJ29" s="32"/>
      <c r="HK29" s="72" t="str">
        <f t="array" ref="HK29">IFERROR(IF(XLOOKUP(CONCAT(HI29,HJ29),'MASTER PLAN'!$AB:$AB,'MASTER PLAN'!$J:$J,0,0)=0,"",XLOOKUP(CONCAT(HI29,HJ29),'MASTER PLAN'!$AB:$AB,'MASTER PLAN'!$J:$J,0,0)),"")</f>
        <v/>
      </c>
      <c r="HL29" s="73" t="str">
        <f t="array" ref="HL29">IFERROR(IF(XLOOKUP(CONCAT(HI29,HJ29),'PROCESOS PRD'!$J:$J,'PROCESOS PRD'!$H:$H,0,0)=0,"",XLOOKUP(CONCAT(HI29,HJ29),'PROCESOS PRD'!$J:$J,'PROCESOS PRD'!$H:$H,0,0)),"")</f>
        <v/>
      </c>
      <c r="HM29" s="70"/>
      <c r="HN29" s="71"/>
      <c r="HO29" s="32"/>
      <c r="HP29" s="72" t="str">
        <f t="array" ref="HP29">IFERROR(IF(XLOOKUP(CONCAT(HN29,HO29),'MASTER PLAN'!$AB:$AB,'MASTER PLAN'!$J:$J,0,0)=0,"",XLOOKUP(CONCAT(HN29,HO29),'MASTER PLAN'!$AB:$AB,'MASTER PLAN'!$J:$J,0,0)),"")</f>
        <v/>
      </c>
      <c r="HQ29" s="73" t="str">
        <f t="array" ref="HQ29">IFERROR(IF(XLOOKUP(CONCAT(HN29,HO29),'PROCESOS PRD'!$J:$J,'PROCESOS PRD'!$H:$H,0,0)=0,"",XLOOKUP(CONCAT(HN29,HO29),'PROCESOS PRD'!$J:$J,'PROCESOS PRD'!$H:$H,0,0)),"")</f>
        <v/>
      </c>
      <c r="HR29" s="71"/>
      <c r="HS29" s="32"/>
      <c r="HT29" s="72" t="str">
        <f t="array" ref="HT29">IFERROR(IF(XLOOKUP(CONCAT(HR29,HS29),'MASTER PLAN'!$AB:$AB,'MASTER PLAN'!$J:$J,0,0)=0,"",XLOOKUP(CONCAT(HR29,HS29),'MASTER PLAN'!$AB:$AB,'MASTER PLAN'!$J:$J,0,0)),"")</f>
        <v/>
      </c>
      <c r="HU29" s="73" t="str">
        <f t="array" ref="HU29">IFERROR(IF(XLOOKUP(CONCAT(HR29,HS29),'PROCESOS PRD'!$J:$J,'PROCESOS PRD'!$H:$H,0,0)=0,"",XLOOKUP(CONCAT(HR29,HS29),'PROCESOS PRD'!$J:$J,'PROCESOS PRD'!$H:$H,0,0)),"")</f>
        <v/>
      </c>
      <c r="HV29" s="71"/>
      <c r="HW29" s="32"/>
      <c r="HX29" s="72" t="str">
        <f t="array" ref="HX29">IFERROR(IF(XLOOKUP(CONCAT(HV29,HW29),'MASTER PLAN'!$AB:$AB,'MASTER PLAN'!$J:$J,0,0)=0,"",XLOOKUP(CONCAT(HV29,HW29),'MASTER PLAN'!$AB:$AB,'MASTER PLAN'!$J:$J,0,0)),"")</f>
        <v/>
      </c>
      <c r="HY29" s="73" t="str">
        <f t="array" ref="HY29">IFERROR(IF(XLOOKUP(CONCAT(HV29,HW29),'PROCESOS PRD'!$J:$J,'PROCESOS PRD'!$H:$H,0,0)=0,"",XLOOKUP(CONCAT(HV29,HW29),'PROCESOS PRD'!$J:$J,'PROCESOS PRD'!$H:$H,0,0)),"")</f>
        <v/>
      </c>
      <c r="HZ29" s="71"/>
      <c r="IA29" s="32"/>
      <c r="IB29" s="72" t="str">
        <f t="array" ref="IB29">IFERROR(IF(XLOOKUP(CONCAT(HZ29,IA29),'MASTER PLAN'!$AB:$AB,'MASTER PLAN'!$J:$J,0,0)=0,"",XLOOKUP(CONCAT(HZ29,IA29),'MASTER PLAN'!$AB:$AB,'MASTER PLAN'!$J:$J,0,0)),"")</f>
        <v/>
      </c>
      <c r="IC29" s="73" t="str">
        <f t="array" ref="IC29">IFERROR(IF(XLOOKUP(CONCAT(HZ29,IA29),'PROCESOS PRD'!$J:$J,'PROCESOS PRD'!$H:$H,0,0)=0,"",XLOOKUP(CONCAT(HZ29,IA29),'PROCESOS PRD'!$J:$J,'PROCESOS PRD'!$H:$H,0,0)),"")</f>
        <v/>
      </c>
      <c r="ID29" s="71"/>
      <c r="IE29" s="32"/>
      <c r="IF29" s="72" t="str">
        <f t="array" ref="IF29">IFERROR(IF(XLOOKUP(CONCAT(ID29,IE29),'MASTER PLAN'!$AB:$AB,'MASTER PLAN'!$J:$J,0,0)=0,"",XLOOKUP(CONCAT(ID29,IE29),'MASTER PLAN'!$AB:$AB,'MASTER PLAN'!$J:$J,0,0)),"")</f>
        <v/>
      </c>
      <c r="IG29" s="73" t="str">
        <f t="array" ref="IG29">IFERROR(IF(XLOOKUP(CONCAT(ID29,IE29),'PROCESOS PRD'!$J:$J,'PROCESOS PRD'!$H:$H,0,0)=0,"",XLOOKUP(CONCAT(ID29,IE29),'PROCESOS PRD'!$J:$J,'PROCESOS PRD'!$H:$H,0,0)),"")</f>
        <v/>
      </c>
      <c r="IH29" s="71"/>
      <c r="II29" s="32"/>
      <c r="IJ29" s="72" t="str">
        <f t="array" ref="IJ29">IFERROR(IF(XLOOKUP(CONCAT(IH29,II29),'MASTER PLAN'!$AB:$AB,'MASTER PLAN'!$J:$J,0,0)=0,"",XLOOKUP(CONCAT(IH29,II29),'MASTER PLAN'!$AB:$AB,'MASTER PLAN'!$J:$J,0,0)),"")</f>
        <v/>
      </c>
      <c r="IK29" s="73" t="str">
        <f t="array" ref="IK29">IFERROR(IF(XLOOKUP(CONCAT(IH29,II29),'PROCESOS PRD'!$J:$J,'PROCESOS PRD'!$H:$H,0,0)=0,"",XLOOKUP(CONCAT(IH29,II29),'PROCESOS PRD'!$J:$J,'PROCESOS PRD'!$H:$H,0,0)),"")</f>
        <v/>
      </c>
      <c r="IL29" s="70"/>
      <c r="IM29" s="71"/>
      <c r="IN29" s="32"/>
      <c r="IO29" s="72" t="str">
        <f t="array" ref="IO29">IFERROR(IF(XLOOKUP(CONCAT(IM29,IN29),'MASTER PLAN'!$AB:$AB,'MASTER PLAN'!$J:$J,0,0)=0,"",XLOOKUP(CONCAT(IM29,IN29),'MASTER PLAN'!$AB:$AB,'MASTER PLAN'!$J:$J,0,0)),"")</f>
        <v/>
      </c>
      <c r="IP29" s="73" t="str">
        <f t="array" ref="IP29">IFERROR(IF(XLOOKUP(CONCAT(IM29,IN29),'PROCESOS PRD'!$J:$J,'PROCESOS PRD'!$H:$H,0,0)=0,"",XLOOKUP(CONCAT(IM29,IN29),'PROCESOS PRD'!$J:$J,'PROCESOS PRD'!$H:$H,0,0)),"")</f>
        <v/>
      </c>
      <c r="IQ29" s="71"/>
      <c r="IR29" s="32"/>
      <c r="IS29" s="72" t="str">
        <f t="array" ref="IS29">IFERROR(IF(XLOOKUP(CONCAT(IQ29,IR29),'MASTER PLAN'!$AB:$AB,'MASTER PLAN'!$J:$J,0,0)=0,"",XLOOKUP(CONCAT(IQ29,IR29),'MASTER PLAN'!$AB:$AB,'MASTER PLAN'!$J:$J,0,0)),"")</f>
        <v/>
      </c>
      <c r="IT29" s="73" t="str">
        <f t="array" ref="IT29">IFERROR(IF(XLOOKUP(CONCAT(IQ29,IR29),'PROCESOS PRD'!$J:$J,'PROCESOS PRD'!$H:$H,0,0)=0,"",XLOOKUP(CONCAT(IQ29,IR29),'PROCESOS PRD'!$J:$J,'PROCESOS PRD'!$H:$H,0,0)),"")</f>
        <v/>
      </c>
      <c r="IU29" s="71"/>
      <c r="IV29" s="32"/>
      <c r="IW29" s="72" t="str">
        <f t="array" ref="IW29">IFERROR(IF(XLOOKUP(CONCAT(IU29,IV29),'MASTER PLAN'!$AB:$AB,'MASTER PLAN'!$J:$J,0,0)=0,"",XLOOKUP(CONCAT(IU29,IV29),'MASTER PLAN'!$AB:$AB,'MASTER PLAN'!$J:$J,0,0)),"")</f>
        <v/>
      </c>
      <c r="IX29" s="73" t="str">
        <f t="array" ref="IX29">IFERROR(IF(XLOOKUP(CONCAT(IU29,IV29),'PROCESOS PRD'!$J:$J,'PROCESOS PRD'!$H:$H,0,0)=0,"",XLOOKUP(CONCAT(IU29,IV29),'PROCESOS PRD'!$J:$J,'PROCESOS PRD'!$H:$H,0,0)),"")</f>
        <v/>
      </c>
      <c r="IY29" s="71"/>
      <c r="IZ29" s="32"/>
      <c r="JA29" s="72" t="str">
        <f t="array" ref="JA29">IFERROR(IF(XLOOKUP(CONCAT(IY29,IZ29),'MASTER PLAN'!$AB:$AB,'MASTER PLAN'!$J:$J,0,0)=0,"",XLOOKUP(CONCAT(IY29,IZ29),'MASTER PLAN'!$AB:$AB,'MASTER PLAN'!$J:$J,0,0)),"")</f>
        <v/>
      </c>
      <c r="JB29" s="73" t="str">
        <f t="array" ref="JB29">IFERROR(IF(XLOOKUP(CONCAT(IY29,IZ29),'PROCESOS PRD'!$J:$J,'PROCESOS PRD'!$H:$H,0,0)=0,"",XLOOKUP(CONCAT(IY29,IZ29),'PROCESOS PRD'!$J:$J,'PROCESOS PRD'!$H:$H,0,0)),"")</f>
        <v/>
      </c>
      <c r="JC29" s="71"/>
      <c r="JD29" s="32"/>
      <c r="JE29" s="72" t="str">
        <f t="array" ref="JE29">IFERROR(IF(XLOOKUP(CONCAT(JC29,JD29),'MASTER PLAN'!$AB:$AB,'MASTER PLAN'!$J:$J,0,0)=0,"",XLOOKUP(CONCAT(JC29,JD29),'MASTER PLAN'!$AB:$AB,'MASTER PLAN'!$J:$J,0,0)),"")</f>
        <v/>
      </c>
      <c r="JF29" s="73" t="str">
        <f t="array" ref="JF29">IFERROR(IF(XLOOKUP(CONCAT(JC29,JD29),'PROCESOS PRD'!$J:$J,'PROCESOS PRD'!$H:$H,0,0)=0,"",XLOOKUP(CONCAT(JC29,JD29),'PROCESOS PRD'!$J:$J,'PROCESOS PRD'!$H:$H,0,0)),"")</f>
        <v/>
      </c>
      <c r="JG29" s="71"/>
      <c r="JH29" s="32"/>
      <c r="JI29" s="72" t="str">
        <f t="array" ref="JI29">IFERROR(IF(XLOOKUP(CONCAT(JG29,JH29),'MASTER PLAN'!$AB:$AB,'MASTER PLAN'!$J:$J,0,0)=0,"",XLOOKUP(CONCAT(JG29,JH29),'MASTER PLAN'!$AB:$AB,'MASTER PLAN'!$J:$J,0,0)),"")</f>
        <v/>
      </c>
      <c r="JJ29" s="73" t="str">
        <f t="array" ref="JJ29">IFERROR(IF(XLOOKUP(CONCAT(JG29,JH29),'PROCESOS PRD'!$J:$J,'PROCESOS PRD'!$H:$H,0,0)=0,"",XLOOKUP(CONCAT(JG29,JH29),'PROCESOS PRD'!$J:$J,'PROCESOS PRD'!$H:$H,0,0)),"")</f>
        <v/>
      </c>
      <c r="JK29" s="70"/>
      <c r="JL29" s="71"/>
      <c r="JM29" s="32"/>
      <c r="JN29" s="72" t="str">
        <f t="array" ref="JN29">IFERROR(IF(XLOOKUP(CONCAT(JL29,JM29),'MASTER PLAN'!$AB:$AB,'MASTER PLAN'!$J:$J,0,0)=0,"",XLOOKUP(CONCAT(JL29,JM29),'MASTER PLAN'!$AB:$AB,'MASTER PLAN'!$J:$J,0,0)),"")</f>
        <v/>
      </c>
      <c r="JO29" s="73" t="str">
        <f t="array" ref="JO29">IFERROR(IF(XLOOKUP(CONCAT(JL29,JM29),'PROCESOS PRD'!$J:$J,'PROCESOS PRD'!$H:$H,0,0)=0,"",XLOOKUP(CONCAT(JL29,JM29),'PROCESOS PRD'!$J:$J,'PROCESOS PRD'!$H:$H,0,0)),"")</f>
        <v/>
      </c>
      <c r="JP29" s="71"/>
      <c r="JQ29" s="32"/>
      <c r="JR29" s="72" t="str">
        <f t="array" ref="JR29">IFERROR(IF(XLOOKUP(CONCAT(JP29,JQ29),'MASTER PLAN'!$AB:$AB,'MASTER PLAN'!$J:$J,0,0)=0,"",XLOOKUP(CONCAT(JP29,JQ29),'MASTER PLAN'!$AB:$AB,'MASTER PLAN'!$J:$J,0,0)),"")</f>
        <v/>
      </c>
      <c r="JS29" s="73" t="str">
        <f t="array" ref="JS29">IFERROR(IF(XLOOKUP(CONCAT(JP29,JQ29),'PROCESOS PRD'!$J:$J,'PROCESOS PRD'!$H:$H,0,0)=0,"",XLOOKUP(CONCAT(JP29,JQ29),'PROCESOS PRD'!$J:$J,'PROCESOS PRD'!$H:$H,0,0)),"")</f>
        <v/>
      </c>
      <c r="JT29" s="71"/>
      <c r="JU29" s="32"/>
      <c r="JV29" s="72" t="str">
        <f t="array" ref="JV29">IFERROR(IF(XLOOKUP(CONCAT(JT29,JU29),'MASTER PLAN'!$AB:$AB,'MASTER PLAN'!$J:$J,0,0)=0,"",XLOOKUP(CONCAT(JT29,JU29),'MASTER PLAN'!$AB:$AB,'MASTER PLAN'!$J:$J,0,0)),"")</f>
        <v/>
      </c>
      <c r="JW29" s="73" t="str">
        <f t="array" ref="JW29">IFERROR(IF(XLOOKUP(CONCAT(JT29,JU29),'PROCESOS PRD'!$J:$J,'PROCESOS PRD'!$H:$H,0,0)=0,"",XLOOKUP(CONCAT(JT29,JU29),'PROCESOS PRD'!$J:$J,'PROCESOS PRD'!$H:$H,0,0)),"")</f>
        <v/>
      </c>
      <c r="JX29" s="71"/>
      <c r="JY29" s="32"/>
      <c r="JZ29" s="72" t="str">
        <f t="array" ref="JZ29">IFERROR(IF(XLOOKUP(CONCAT(JX29,JY29),'MASTER PLAN'!$AB:$AB,'MASTER PLAN'!$J:$J,0,0)=0,"",XLOOKUP(CONCAT(JX29,JY29),'MASTER PLAN'!$AB:$AB,'MASTER PLAN'!$J:$J,0,0)),"")</f>
        <v/>
      </c>
      <c r="KA29" s="73" t="str">
        <f t="array" ref="KA29">IFERROR(IF(XLOOKUP(CONCAT(JX29,JY29),'PROCESOS PRD'!$J:$J,'PROCESOS PRD'!$H:$H,0,0)=0,"",XLOOKUP(CONCAT(JX29,JY29),'PROCESOS PRD'!$J:$J,'PROCESOS PRD'!$H:$H,0,0)),"")</f>
        <v/>
      </c>
      <c r="KB29" s="71"/>
      <c r="KC29" s="32"/>
      <c r="KD29" s="72" t="str">
        <f t="array" ref="KD29">IFERROR(IF(XLOOKUP(CONCAT(KB29,KC29),'MASTER PLAN'!$AB:$AB,'MASTER PLAN'!$J:$J,0,0)=0,"",XLOOKUP(CONCAT(KB29,KC29),'MASTER PLAN'!$AB:$AB,'MASTER PLAN'!$J:$J,0,0)),"")</f>
        <v/>
      </c>
      <c r="KE29" s="73" t="str">
        <f t="array" ref="KE29">IFERROR(IF(XLOOKUP(CONCAT(KB29,KC29),'PROCESOS PRD'!$J:$J,'PROCESOS PRD'!$H:$H,0,0)=0,"",XLOOKUP(CONCAT(KB29,KC29),'PROCESOS PRD'!$J:$J,'PROCESOS PRD'!$H:$H,0,0)),"")</f>
        <v/>
      </c>
      <c r="KF29" s="71"/>
      <c r="KG29" s="32"/>
      <c r="KH29" s="72" t="str">
        <f t="array" ref="KH29">IFERROR(IF(XLOOKUP(CONCAT(KF29,KG29),'MASTER PLAN'!$AB:$AB,'MASTER PLAN'!$J:$J,0,0)=0,"",XLOOKUP(CONCAT(KF29,KG29),'MASTER PLAN'!$AB:$AB,'MASTER PLAN'!$J:$J,0,0)),"")</f>
        <v/>
      </c>
      <c r="KI29" s="73" t="str">
        <f t="array" ref="KI29">IFERROR(IF(XLOOKUP(CONCAT(KF29,KG29),'PROCESOS PRD'!$J:$J,'PROCESOS PRD'!$H:$H,0,0)=0,"",XLOOKUP(CONCAT(KF29,KG29),'PROCESOS PRD'!$J:$J,'PROCESOS PRD'!$H:$H,0,0)),"")</f>
        <v/>
      </c>
      <c r="KJ29" s="70"/>
      <c r="KK29" s="70"/>
      <c r="KL29" s="70"/>
      <c r="KM29" s="70"/>
      <c r="KN29" s="70"/>
      <c r="KO29" s="70"/>
      <c r="KP29" s="70"/>
      <c r="KQ29" s="70"/>
      <c r="KR29" s="70"/>
      <c r="KS29" s="70"/>
      <c r="KT29" s="70"/>
      <c r="KU29" s="70"/>
      <c r="KV29" s="70"/>
      <c r="KW29" s="70"/>
      <c r="KX29" s="70"/>
      <c r="KY29" s="70"/>
      <c r="KZ29" s="70"/>
      <c r="LA29" s="70"/>
      <c r="LB29" s="70"/>
      <c r="LC29" s="70"/>
    </row>
    <row r="30" ht="15.75" customHeight="1">
      <c r="A30" s="42"/>
      <c r="B30" s="74"/>
      <c r="C30" s="69"/>
      <c r="D30" s="70"/>
      <c r="E30" s="71"/>
      <c r="F30" s="32"/>
      <c r="G30" s="72" t="str">
        <f t="array" ref="G30">IFERROR(IF(XLOOKUP(CONCAT(E30,F30),'MASTER PLAN'!$AB:$AB,'MASTER PLAN'!$J:$J,0,0)=0,"",XLOOKUP(CONCAT(E30,F30),'MASTER PLAN'!$AB:$AB,'MASTER PLAN'!$J:$J,0,0)),"")</f>
        <v/>
      </c>
      <c r="H30" s="73" t="str">
        <f t="array" ref="H30">IFERROR(IF(XLOOKUP(CONCAT(E30,F30),'PROCESOS PRD'!$J:$J,'PROCESOS PRD'!$H:$H,0,0)=0,"",XLOOKUP(CONCAT(E30,F30),'PROCESOS PRD'!$J:$J,'PROCESOS PRD'!$H:$H,0,0)),"")</f>
        <v/>
      </c>
      <c r="I30" s="71"/>
      <c r="J30" s="32"/>
      <c r="K30" s="72" t="str">
        <f t="array" ref="K30">IFERROR(IF(XLOOKUP(CONCAT(I30,J30),'MASTER PLAN'!$AB:$AB,'MASTER PLAN'!$J:$J,0,0)=0,"",XLOOKUP(CONCAT(I30,J30),'MASTER PLAN'!$AB:$AB,'MASTER PLAN'!$J:$J,0,0)),"")</f>
        <v/>
      </c>
      <c r="L30" s="73" t="str">
        <f t="array" ref="L30">IFERROR(IF(XLOOKUP(CONCAT(I30,J30),'PROCESOS PRD'!$J:$J,'PROCESOS PRD'!$H:$H,0,0)=0,"",XLOOKUP(CONCAT(I30,J30),'PROCESOS PRD'!$J:$J,'PROCESOS PRD'!$H:$H,0,0)),"")</f>
        <v/>
      </c>
      <c r="M30" s="71"/>
      <c r="N30" s="32"/>
      <c r="O30" s="72" t="str">
        <f t="array" ref="O30">IFERROR(IF(XLOOKUP(CONCAT(M30,N30),'MASTER PLAN'!$AB:$AB,'MASTER PLAN'!$J:$J,0,0)=0,"",XLOOKUP(CONCAT(M30,N30),'MASTER PLAN'!$AB:$AB,'MASTER PLAN'!$J:$J,0,0)),"")</f>
        <v/>
      </c>
      <c r="P30" s="73" t="str">
        <f t="array" ref="P30">IFERROR(IF(XLOOKUP(CONCAT(M30,N30),'PROCESOS PRD'!$J:$J,'PROCESOS PRD'!$H:$H,0,0)=0,"",XLOOKUP(CONCAT(M30,N30),'PROCESOS PRD'!$J:$J,'PROCESOS PRD'!$H:$H,0,0)),"")</f>
        <v/>
      </c>
      <c r="Q30" s="71"/>
      <c r="R30" s="32"/>
      <c r="S30" s="72" t="str">
        <f t="array" ref="S30">IFERROR(IF(XLOOKUP(CONCAT(Q30,R30),'MASTER PLAN'!$AB:$AB,'MASTER PLAN'!$J:$J,0,0)=0,"",XLOOKUP(CONCAT(Q30,R30),'MASTER PLAN'!$AB:$AB,'MASTER PLAN'!$J:$J,0,0)),"")</f>
        <v/>
      </c>
      <c r="T30" s="73" t="str">
        <f t="array" ref="T30">IFERROR(IF(XLOOKUP(CONCAT(Q30,R30),'PROCESOS PRD'!$J:$J,'PROCESOS PRD'!$H:$H,0,0)=0,"",XLOOKUP(CONCAT(Q30,R30),'PROCESOS PRD'!$J:$J,'PROCESOS PRD'!$H:$H,0,0)),"")</f>
        <v/>
      </c>
      <c r="U30" s="70"/>
      <c r="V30" s="71"/>
      <c r="W30" s="32"/>
      <c r="X30" s="72" t="str">
        <f t="array" ref="X30">IFERROR(IF(XLOOKUP(CONCAT(V30,W30),'MASTER PLAN'!$AB:$AB,'MASTER PLAN'!$J:$J,0,0)=0,"",XLOOKUP(CONCAT(V30,W30),'MASTER PLAN'!$AB:$AB,'MASTER PLAN'!$J:$J,0,0)),"")</f>
        <v/>
      </c>
      <c r="Y30" s="73" t="str">
        <f t="array" ref="Y30">IFERROR(IF(XLOOKUP(CONCAT(V30,W30),'PROCESOS PRD'!$J:$J,'PROCESOS PRD'!$H:$H,0,0)=0,"",XLOOKUP(CONCAT(V30,W30),'PROCESOS PRD'!$J:$J,'PROCESOS PRD'!$H:$H,0,0)),"")</f>
        <v/>
      </c>
      <c r="Z30" s="71"/>
      <c r="AA30" s="32"/>
      <c r="AB30" s="72" t="str">
        <f t="array" ref="AB30">IFERROR(IF(XLOOKUP(CONCAT(Z30,AA30),'MASTER PLAN'!$AB:$AB,'MASTER PLAN'!$J:$J,0,0)=0,"",XLOOKUP(CONCAT(Z30,AA30),'MASTER PLAN'!$AB:$AB,'MASTER PLAN'!$J:$J,0,0)),"")</f>
        <v/>
      </c>
      <c r="AC30" s="73" t="str">
        <f t="array" ref="AC30">IFERROR(IF(XLOOKUP(CONCAT(Z30,AA30),'PROCESOS PRD'!$J:$J,'PROCESOS PRD'!$H:$H,0,0)=0,"",XLOOKUP(CONCAT(Z30,AA30),'PROCESOS PRD'!$J:$J,'PROCESOS PRD'!$H:$H,0,0)),"")</f>
        <v/>
      </c>
      <c r="AD30" s="71"/>
      <c r="AE30" s="32"/>
      <c r="AF30" s="72" t="str">
        <f t="array" ref="AF30">IFERROR(IF(XLOOKUP(CONCAT(AD30,AE30),'MASTER PLAN'!$AB:$AB,'MASTER PLAN'!$J:$J,0,0)=0,"",XLOOKUP(CONCAT(AD30,AE30),'MASTER PLAN'!$AB:$AB,'MASTER PLAN'!$J:$J,0,0)),"")</f>
        <v/>
      </c>
      <c r="AG30" s="73" t="str">
        <f t="array" ref="AG30">IFERROR(IF(XLOOKUP(CONCAT(AD30,AE30),'PROCESOS PRD'!$J:$J,'PROCESOS PRD'!$H:$H,0,0)=0,"",XLOOKUP(CONCAT(AD30,AE30),'PROCESOS PRD'!$J:$J,'PROCESOS PRD'!$H:$H,0,0)),"")</f>
        <v/>
      </c>
      <c r="AH30" s="71"/>
      <c r="AI30" s="32"/>
      <c r="AJ30" s="72" t="str">
        <f t="array" ref="AJ30">IFERROR(IF(XLOOKUP(CONCAT(AH30,AI30),'MASTER PLAN'!$AB:$AB,'MASTER PLAN'!$J:$J,0,0)=0,"",XLOOKUP(CONCAT(AH30,AI30),'MASTER PLAN'!$AB:$AB,'MASTER PLAN'!$J:$J,0,0)),"")</f>
        <v/>
      </c>
      <c r="AK30" s="73" t="str">
        <f t="array" ref="AK30">IFERROR(IF(XLOOKUP(CONCAT(AH30,AI30),'PROCESOS PRD'!$J:$J,'PROCESOS PRD'!$H:$H,0,0)=0,"",XLOOKUP(CONCAT(AH30,AI30),'PROCESOS PRD'!$J:$J,'PROCESOS PRD'!$H:$H,0,0)),"")</f>
        <v/>
      </c>
      <c r="AL30" s="71"/>
      <c r="AM30" s="32"/>
      <c r="AN30" s="72" t="str">
        <f t="array" ref="AN30">IFERROR(IF(XLOOKUP(CONCAT(AL30,AM30),'MASTER PLAN'!$AB:$AB,'MASTER PLAN'!$J:$J,0,0)=0,"",XLOOKUP(CONCAT(AL30,AM30),'MASTER PLAN'!$AB:$AB,'MASTER PLAN'!$J:$J,0,0)),"")</f>
        <v/>
      </c>
      <c r="AO30" s="73" t="str">
        <f t="array" ref="AO30">IFERROR(IF(XLOOKUP(CONCAT(AL30,AM30),'PROCESOS PRD'!$J:$J,'PROCESOS PRD'!$H:$H,0,0)=0,"",XLOOKUP(CONCAT(AL30,AM30),'PROCESOS PRD'!$J:$J,'PROCESOS PRD'!$H:$H,0,0)),"")</f>
        <v/>
      </c>
      <c r="AP30" s="71"/>
      <c r="AQ30" s="32"/>
      <c r="AR30" s="72" t="str">
        <f t="array" ref="AR30">IFERROR(IF(XLOOKUP(CONCAT(AP30,AQ30),'MASTER PLAN'!$AB:$AB,'MASTER PLAN'!$J:$J,0,0)=0,"",XLOOKUP(CONCAT(AP30,AQ30),'MASTER PLAN'!$AB:$AB,'MASTER PLAN'!$J:$J,0,0)),"")</f>
        <v/>
      </c>
      <c r="AS30" s="73" t="str">
        <f t="array" ref="AS30">IFERROR(IF(XLOOKUP(CONCAT(AP30,AQ30),'PROCESOS PRD'!$J:$J,'PROCESOS PRD'!$H:$H,0,0)=0,"",XLOOKUP(CONCAT(AP30,AQ30),'PROCESOS PRD'!$J:$J,'PROCESOS PRD'!$H:$H,0,0)),"")</f>
        <v/>
      </c>
      <c r="AT30" s="70"/>
      <c r="AU30" s="71"/>
      <c r="AV30" s="32"/>
      <c r="AW30" s="72" t="str">
        <f t="array" ref="AW30">IFERROR(IF(XLOOKUP(CONCAT(AU30,AV30),'MASTER PLAN'!$AB:$AB,'MASTER PLAN'!$J:$J,0,0)=0,"",XLOOKUP(CONCAT(AU30,AV30),'MASTER PLAN'!$AB:$AB,'MASTER PLAN'!$J:$J,0,0)),"")</f>
        <v/>
      </c>
      <c r="AX30" s="73" t="str">
        <f t="array" ref="AX30">IFERROR(IF(XLOOKUP(CONCAT(AU30,AV30),'PROCESOS PRD'!$J:$J,'PROCESOS PRD'!$H:$H,0,0)=0,"",XLOOKUP(CONCAT(AU30,AV30),'PROCESOS PRD'!$J:$J,'PROCESOS PRD'!$H:$H,0,0)),"")</f>
        <v/>
      </c>
      <c r="AY30" s="71"/>
      <c r="AZ30" s="32"/>
      <c r="BA30" s="72" t="str">
        <f t="array" ref="BA30">IFERROR(IF(XLOOKUP(CONCAT(AY30,AZ30),'MASTER PLAN'!$AB:$AB,'MASTER PLAN'!$J:$J,0,0)=0,"",XLOOKUP(CONCAT(AY30,AZ30),'MASTER PLAN'!$AB:$AB,'MASTER PLAN'!$J:$J,0,0)),"")</f>
        <v/>
      </c>
      <c r="BB30" s="73" t="str">
        <f t="array" ref="BB30">IFERROR(IF(XLOOKUP(CONCAT(AY30,AZ30),'PROCESOS PRD'!$J:$J,'PROCESOS PRD'!$H:$H,0,0)=0,"",XLOOKUP(CONCAT(AY30,AZ30),'PROCESOS PRD'!$J:$J,'PROCESOS PRD'!$H:$H,0,0)),"")</f>
        <v/>
      </c>
      <c r="BC30" s="71">
        <v>1.40204935E9</v>
      </c>
      <c r="BD30" s="32">
        <v>10.0</v>
      </c>
      <c r="BE30" s="72" t="str">
        <f t="array" ref="BE30">IFERROR(IF(XLOOKUP(CONCAT(BC30,BD30),'MASTER PLAN'!$AB:$AB,'MASTER PLAN'!$J:$J,0,0)=0,"",XLOOKUP(CONCAT(BC30,BD30),'MASTER PLAN'!$AB:$AB,'MASTER PLAN'!$J:$J,0,0)),"")</f>
        <v>BOLSA WSMJ MAYORS WOS 6-5"X3-5"X6-5" FA</v>
      </c>
      <c r="BF30" s="73">
        <f t="array" ref="BF30">IFERROR(IF(XLOOKUP(CONCAT(BC30,BD30),'PROCESOS PRD'!$J:$J,'PROCESOS PRD'!$H:$H,0,0)=0,"",XLOOKUP(CONCAT(BC30,BD30),'PROCESOS PRD'!$J:$J,'PROCESOS PRD'!$H:$H,0,0)),"")</f>
        <v>4800</v>
      </c>
      <c r="BG30" s="71"/>
      <c r="BH30" s="32"/>
      <c r="BI30" s="72" t="str">
        <f t="array" ref="BI30">IFERROR(IF(XLOOKUP(CONCAT(BG30,BH30),'MASTER PLAN'!$AB:$AB,'MASTER PLAN'!$J:$J,0,0)=0,"",XLOOKUP(CONCAT(BG30,BH30),'MASTER PLAN'!$AB:$AB,'MASTER PLAN'!$J:$J,0,0)),"")</f>
        <v/>
      </c>
      <c r="BJ30" s="73" t="str">
        <f t="array" ref="BJ30">IFERROR(IF(XLOOKUP(CONCAT(BG30,BH30),'PROCESOS PRD'!$J:$J,'PROCESOS PRD'!$H:$H,0,0)=0,"",XLOOKUP(CONCAT(BG30,BH30),'PROCESOS PRD'!$J:$J,'PROCESOS PRD'!$H:$H,0,0)),"")</f>
        <v/>
      </c>
      <c r="BK30" s="71"/>
      <c r="BL30" s="32"/>
      <c r="BM30" s="72" t="str">
        <f t="array" ref="BM30">IFERROR(IF(XLOOKUP(CONCAT(BK30,BL30),'MASTER PLAN'!$AB:$AB,'MASTER PLAN'!$J:$J,0,0)=0,"",XLOOKUP(CONCAT(BK30,BL30),'MASTER PLAN'!$AB:$AB,'MASTER PLAN'!$J:$J,0,0)),"")</f>
        <v/>
      </c>
      <c r="BN30" s="73" t="str">
        <f t="array" ref="BN30">IFERROR(IF(XLOOKUP(CONCAT(BK30,BL30),'PROCESOS PRD'!$J:$J,'PROCESOS PRD'!$H:$H,0,0)=0,"",XLOOKUP(CONCAT(BK30,BL30),'PROCESOS PRD'!$J:$J,'PROCESOS PRD'!$H:$H,0,0)),"")</f>
        <v/>
      </c>
      <c r="BO30" s="71"/>
      <c r="BP30" s="32"/>
      <c r="BQ30" s="72" t="str">
        <f t="array" ref="BQ30">IFERROR(IF(XLOOKUP(CONCAT(BO30,BP30),'MASTER PLAN'!$AB:$AB,'MASTER PLAN'!$J:$J,0,0)=0,"",XLOOKUP(CONCAT(BO30,BP30),'MASTER PLAN'!$AB:$AB,'MASTER PLAN'!$J:$J,0,0)),"")</f>
        <v/>
      </c>
      <c r="BR30" s="73" t="str">
        <f t="array" ref="BR30">IFERROR(IF(XLOOKUP(CONCAT(BO30,BP30),'PROCESOS PRD'!$J:$J,'PROCESOS PRD'!$H:$H,0,0)=0,"",XLOOKUP(CONCAT(BO30,BP30),'PROCESOS PRD'!$J:$J,'PROCESOS PRD'!$H:$H,0,0)),"")</f>
        <v/>
      </c>
      <c r="BS30" s="70"/>
      <c r="BT30" s="71">
        <v>1.402049419E9</v>
      </c>
      <c r="BU30" s="32">
        <v>20.0</v>
      </c>
      <c r="BV30" s="72" t="str">
        <f t="array" ref="BV30">IFERROR(IF(XLOOKUP(CONCAT(BT30,BU30),'MASTER PLAN'!$AB:$AB,'MASTER PLAN'!$J:$J,0,0)=0,"",XLOOKUP(CONCAT(BT30,BU30),'MASTER PLAN'!$AB:$AB,'MASTER PLAN'!$J:$J,0,0)),"")</f>
        <v>BOLSA COMERCIAL SORIA 6-5X3-5X6-5 IN FC</v>
      </c>
      <c r="BW30" s="73">
        <f t="array" ref="BW30">IFERROR(IF(XLOOKUP(CONCAT(BT30,BU30),'PROCESOS PRD'!$J:$J,'PROCESOS PRD'!$H:$H,0,0)=0,"",XLOOKUP(CONCAT(BT30,BU30),'PROCESOS PRD'!$J:$J,'PROCESOS PRD'!$H:$H,0,0)),"")</f>
        <v>1800</v>
      </c>
      <c r="BX30" s="71">
        <v>1.402049321E9</v>
      </c>
      <c r="BY30" s="32">
        <v>10.0</v>
      </c>
      <c r="BZ30" s="72" t="str">
        <f t="array" ref="BZ30">IFERROR(IF(XLOOKUP(CONCAT(BX30,BY30),'MASTER PLAN'!$AB:$AB,'MASTER PLAN'!$J:$J,0,0)=0,"",XLOOKUP(CONCAT(BX30,BY30),'MASTER PLAN'!$AB:$AB,'MASTER PLAN'!$J:$J,0,0)),"")</f>
        <v>BOLSA BRILLANTI 6-5"X3-5"X6-5"</v>
      </c>
      <c r="CA30" s="73">
        <f t="array" ref="CA30">IFERROR(IF(XLOOKUP(CONCAT(BX30,BY30),'PROCESOS PRD'!$J:$J,'PROCESOS PRD'!$H:$H,0,0)=0,"",XLOOKUP(CONCAT(BX30,BY30),'PROCESOS PRD'!$J:$J,'PROCESOS PRD'!$H:$H,0,0)),"")</f>
        <v>3000</v>
      </c>
      <c r="CB30" s="71"/>
      <c r="CC30" s="32"/>
      <c r="CD30" s="72" t="str">
        <f t="array" ref="CD30">IFERROR(IF(XLOOKUP(CONCAT(CB30,CC30),'MASTER PLAN'!$AB:$AB,'MASTER PLAN'!$J:$J,0,0)=0,"",XLOOKUP(CONCAT(CB30,CC30),'MASTER PLAN'!$AB:$AB,'MASTER PLAN'!$J:$J,0,0)),"")</f>
        <v/>
      </c>
      <c r="CE30" s="73" t="str">
        <f t="array" ref="CE30">IFERROR(IF(XLOOKUP(CONCAT(CB30,CC30),'PROCESOS PRD'!$J:$J,'PROCESOS PRD'!$H:$H,0,0)=0,"",XLOOKUP(CONCAT(CB30,CC30),'PROCESOS PRD'!$J:$J,'PROCESOS PRD'!$H:$H,0,0)),"")</f>
        <v/>
      </c>
      <c r="CF30" s="71"/>
      <c r="CG30" s="32"/>
      <c r="CH30" s="72" t="str">
        <f t="array" ref="CH30">IFERROR(IF(XLOOKUP(CONCAT(CF30,CG30),'MASTER PLAN'!$AB:$AB,'MASTER PLAN'!$J:$J,0,0)=0,"",XLOOKUP(CONCAT(CF30,CG30),'MASTER PLAN'!$AB:$AB,'MASTER PLAN'!$J:$J,0,0)),"")</f>
        <v/>
      </c>
      <c r="CI30" s="73" t="str">
        <f t="array" ref="CI30">IFERROR(IF(XLOOKUP(CONCAT(CF30,CG30),'PROCESOS PRD'!$J:$J,'PROCESOS PRD'!$H:$H,0,0)=0,"",XLOOKUP(CONCAT(CF30,CG30),'PROCESOS PRD'!$J:$J,'PROCESOS PRD'!$H:$H,0,0)),"")</f>
        <v/>
      </c>
      <c r="CJ30" s="71"/>
      <c r="CK30" s="32"/>
      <c r="CL30" s="72" t="str">
        <f t="array" ref="CL30">IFERROR(IF(XLOOKUP(CONCAT(CJ30,CK30),'MASTER PLAN'!$AB:$AB,'MASTER PLAN'!$J:$J,0,0)=0,"",XLOOKUP(CONCAT(CJ30,CK30),'MASTER PLAN'!$AB:$AB,'MASTER PLAN'!$J:$J,0,0)),"")</f>
        <v/>
      </c>
      <c r="CM30" s="73" t="str">
        <f t="array" ref="CM30">IFERROR(IF(XLOOKUP(CONCAT(CJ30,CK30),'PROCESOS PRD'!$J:$J,'PROCESOS PRD'!$H:$H,0,0)=0,"",XLOOKUP(CONCAT(CJ30,CK30),'PROCESOS PRD'!$J:$J,'PROCESOS PRD'!$H:$H,0,0)),"")</f>
        <v/>
      </c>
      <c r="CN30" s="71"/>
      <c r="CO30" s="32"/>
      <c r="CP30" s="72" t="str">
        <f t="array" ref="CP30">IFERROR(IF(XLOOKUP(CONCAT(CN30,CO30),'MASTER PLAN'!$AB:$AB,'MASTER PLAN'!$J:$J,0,0)=0,"",XLOOKUP(CONCAT(CN30,CO30),'MASTER PLAN'!$AB:$AB,'MASTER PLAN'!$J:$J,0,0)),"")</f>
        <v/>
      </c>
      <c r="CQ30" s="73" t="str">
        <f t="array" ref="CQ30">IFERROR(IF(XLOOKUP(CONCAT(CN30,CO30),'PROCESOS PRD'!$J:$J,'PROCESOS PRD'!$H:$H,0,0)=0,"",XLOOKUP(CONCAT(CN30,CO30),'PROCESOS PRD'!$J:$J,'PROCESOS PRD'!$H:$H,0,0)),"")</f>
        <v/>
      </c>
      <c r="CR30" s="70"/>
      <c r="CS30" s="71"/>
      <c r="CT30" s="32"/>
      <c r="CU30" s="72" t="str">
        <f t="array" ref="CU30">IFERROR(IF(XLOOKUP(CONCAT(CS30,CT30),'MASTER PLAN'!$AB:$AB,'MASTER PLAN'!$J:$J,0,0)=0,"",XLOOKUP(CONCAT(CS30,CT30),'MASTER PLAN'!$AB:$AB,'MASTER PLAN'!$J:$J,0,0)),"")</f>
        <v/>
      </c>
      <c r="CV30" s="73" t="str">
        <f t="array" ref="CV30">IFERROR(IF(XLOOKUP(CONCAT(CS30,CT30),'PROCESOS PRD'!$J:$J,'PROCESOS PRD'!$H:$H,0,0)=0,"",XLOOKUP(CONCAT(CS30,CT30),'PROCESOS PRD'!$J:$J,'PROCESOS PRD'!$H:$H,0,0)),"")</f>
        <v/>
      </c>
      <c r="CW30" s="71"/>
      <c r="CX30" s="32"/>
      <c r="CY30" s="72" t="str">
        <f t="array" ref="CY30">IFERROR(IF(XLOOKUP(CONCAT(CW30,CX30),'MASTER PLAN'!$AB:$AB,'MASTER PLAN'!$J:$J,0,0)=0,"",XLOOKUP(CONCAT(CW30,CX30),'MASTER PLAN'!$AB:$AB,'MASTER PLAN'!$J:$J,0,0)),"")</f>
        <v/>
      </c>
      <c r="CZ30" s="73" t="str">
        <f t="array" ref="CZ30">IFERROR(IF(XLOOKUP(CONCAT(CW30,CX30),'PROCESOS PRD'!$J:$J,'PROCESOS PRD'!$H:$H,0,0)=0,"",XLOOKUP(CONCAT(CW30,CX30),'PROCESOS PRD'!$J:$J,'PROCESOS PRD'!$H:$H,0,0)),"")</f>
        <v/>
      </c>
      <c r="DA30" s="71">
        <v>1.402049532E9</v>
      </c>
      <c r="DB30" s="32">
        <v>10.0</v>
      </c>
      <c r="DC30" s="72" t="str">
        <f t="array" ref="DC30">IFERROR(IF(XLOOKUP(CONCAT(DA30,DB30),'MASTER PLAN'!$AB:$AB,'MASTER PLAN'!$J:$J,0,0)=0,"",XLOOKUP(CONCAT(DA30,DB30),'MASTER PLAN'!$AB:$AB,'MASTER PLAN'!$J:$J,0,0)),"")</f>
        <v>BOLSA CHARISMA JEWELERS 10"X 4"X 8"</v>
      </c>
      <c r="DD30" s="73">
        <f t="array" ref="DD30">IFERROR(IF(XLOOKUP(CONCAT(DA30,DB30),'PROCESOS PRD'!$J:$J,'PROCESOS PRD'!$H:$H,0,0)=0,"",XLOOKUP(CONCAT(DA30,DB30),'PROCESOS PRD'!$J:$J,'PROCESOS PRD'!$H:$H,0,0)),"")</f>
        <v>2400</v>
      </c>
      <c r="DE30" s="71"/>
      <c r="DF30" s="32"/>
      <c r="DG30" s="72" t="str">
        <f t="array" ref="DG30">IFERROR(IF(XLOOKUP(CONCAT(DE30,DF30),'MASTER PLAN'!$AB:$AB,'MASTER PLAN'!$J:$J,0,0)=0,"",XLOOKUP(CONCAT(DE30,DF30),'MASTER PLAN'!$AB:$AB,'MASTER PLAN'!$J:$J,0,0)),"")</f>
        <v/>
      </c>
      <c r="DH30" s="73" t="str">
        <f t="array" ref="DH30">IFERROR(IF(XLOOKUP(CONCAT(DE30,DF30),'PROCESOS PRD'!$J:$J,'PROCESOS PRD'!$H:$H,0,0)=0,"",XLOOKUP(CONCAT(DE30,DF30),'PROCESOS PRD'!$J:$J,'PROCESOS PRD'!$H:$H,0,0)),"")</f>
        <v/>
      </c>
      <c r="DI30" s="71"/>
      <c r="DJ30" s="32"/>
      <c r="DK30" s="72" t="str">
        <f t="array" ref="DK30">IFERROR(IF(XLOOKUP(CONCAT(DI30,DJ30),'MASTER PLAN'!$AB:$AB,'MASTER PLAN'!$J:$J,0,0)=0,"",XLOOKUP(CONCAT(DI30,DJ30),'MASTER PLAN'!$AB:$AB,'MASTER PLAN'!$J:$J,0,0)),"")</f>
        <v/>
      </c>
      <c r="DL30" s="73" t="str">
        <f t="array" ref="DL30">IFERROR(IF(XLOOKUP(CONCAT(DI30,DJ30),'PROCESOS PRD'!$J:$J,'PROCESOS PRD'!$H:$H,0,0)=0,"",XLOOKUP(CONCAT(DI30,DJ30),'PROCESOS PRD'!$J:$J,'PROCESOS PRD'!$H:$H,0,0)),"")</f>
        <v/>
      </c>
      <c r="DM30" s="71"/>
      <c r="DN30" s="32"/>
      <c r="DO30" s="72" t="str">
        <f t="array" ref="DO30">IFERROR(IF(XLOOKUP(CONCAT(DM30,DN30),'MASTER PLAN'!$AB:$AB,'MASTER PLAN'!$J:$J,0,0)=0,"",XLOOKUP(CONCAT(DM30,DN30),'MASTER PLAN'!$AB:$AB,'MASTER PLAN'!$J:$J,0,0)),"")</f>
        <v/>
      </c>
      <c r="DP30" s="73" t="str">
        <f t="array" ref="DP30">IFERROR(IF(XLOOKUP(CONCAT(DM30,DN30),'PROCESOS PRD'!$J:$J,'PROCESOS PRD'!$H:$H,0,0)=0,"",XLOOKUP(CONCAT(DM30,DN30),'PROCESOS PRD'!$J:$J,'PROCESOS PRD'!$H:$H,0,0)),"")</f>
        <v/>
      </c>
      <c r="DQ30" s="70"/>
      <c r="DR30" s="71"/>
      <c r="DS30" s="32"/>
      <c r="DT30" s="72" t="str">
        <f t="array" ref="DT30">IFERROR(IF(XLOOKUP(CONCAT(DR30,DS30),'MASTER PLAN'!$AB:$AB,'MASTER PLAN'!$J:$J,0,0)=0,"",XLOOKUP(CONCAT(DR30,DS30),'MASTER PLAN'!$AB:$AB,'MASTER PLAN'!$J:$J,0,0)),"")</f>
        <v/>
      </c>
      <c r="DU30" s="73" t="str">
        <f t="array" ref="DU30">IFERROR(IF(XLOOKUP(CONCAT(DR30,DS30),'PROCESOS PRD'!$J:$J,'PROCESOS PRD'!$H:$H,0,0)=0,"",XLOOKUP(CONCAT(DR30,DS30),'PROCESOS PRD'!$J:$J,'PROCESOS PRD'!$H:$H,0,0)),"")</f>
        <v/>
      </c>
      <c r="DV30" s="71"/>
      <c r="DW30" s="32"/>
      <c r="DX30" s="72" t="str">
        <f t="array" ref="DX30">IFERROR(IF(XLOOKUP(CONCAT(DV30,DW30),'MASTER PLAN'!$AB:$AB,'MASTER PLAN'!$J:$J,0,0)=0,"",XLOOKUP(CONCAT(DV30,DW30),'MASTER PLAN'!$AB:$AB,'MASTER PLAN'!$J:$J,0,0)),"")</f>
        <v/>
      </c>
      <c r="DY30" s="73" t="str">
        <f t="array" ref="DY30">IFERROR(IF(XLOOKUP(CONCAT(DV30,DW30),'PROCESOS PRD'!$J:$J,'PROCESOS PRD'!$H:$H,0,0)=0,"",XLOOKUP(CONCAT(DV30,DW30),'PROCESOS PRD'!$J:$J,'PROCESOS PRD'!$H:$H,0,0)),"")</f>
        <v/>
      </c>
      <c r="DZ30" s="71"/>
      <c r="EA30" s="32"/>
      <c r="EB30" s="72" t="str">
        <f t="array" ref="EB30">IFERROR(IF(XLOOKUP(CONCAT(DZ30,EA30),'MASTER PLAN'!$AB:$AB,'MASTER PLAN'!$J:$J,0,0)=0,"",XLOOKUP(CONCAT(DZ30,EA30),'MASTER PLAN'!$AB:$AB,'MASTER PLAN'!$J:$J,0,0)),"")</f>
        <v/>
      </c>
      <c r="EC30" s="73" t="str">
        <f t="array" ref="EC30">IFERROR(IF(XLOOKUP(CONCAT(DZ30,EA30),'PROCESOS PRD'!$J:$J,'PROCESOS PRD'!$H:$H,0,0)=0,"",XLOOKUP(CONCAT(DZ30,EA30),'PROCESOS PRD'!$J:$J,'PROCESOS PRD'!$H:$H,0,0)),"")</f>
        <v/>
      </c>
      <c r="ED30" s="71"/>
      <c r="EE30" s="32"/>
      <c r="EF30" s="72" t="str">
        <f t="array" ref="EF30">IFERROR(IF(XLOOKUP(CONCAT(ED30,EE30),'MASTER PLAN'!$AB:$AB,'MASTER PLAN'!$J:$J,0,0)=0,"",XLOOKUP(CONCAT(ED30,EE30),'MASTER PLAN'!$AB:$AB,'MASTER PLAN'!$J:$J,0,0)),"")</f>
        <v/>
      </c>
      <c r="EG30" s="73" t="str">
        <f t="array" ref="EG30">IFERROR(IF(XLOOKUP(CONCAT(ED30,EE30),'PROCESOS PRD'!$J:$J,'PROCESOS PRD'!$H:$H,0,0)=0,"",XLOOKUP(CONCAT(ED30,EE30),'PROCESOS PRD'!$J:$J,'PROCESOS PRD'!$H:$H,0,0)),"")</f>
        <v/>
      </c>
      <c r="EH30" s="71"/>
      <c r="EI30" s="32"/>
      <c r="EJ30" s="72" t="str">
        <f t="array" ref="EJ30">IFERROR(IF(XLOOKUP(CONCAT(EH30,EI30),'MASTER PLAN'!$AB:$AB,'MASTER PLAN'!$J:$J,0,0)=0,"",XLOOKUP(CONCAT(EH30,EI30),'MASTER PLAN'!$AB:$AB,'MASTER PLAN'!$J:$J,0,0)),"")</f>
        <v/>
      </c>
      <c r="EK30" s="73" t="str">
        <f t="array" ref="EK30">IFERROR(IF(XLOOKUP(CONCAT(EH30,EI30),'PROCESOS PRD'!$J:$J,'PROCESOS PRD'!$H:$H,0,0)=0,"",XLOOKUP(CONCAT(EH30,EI30),'PROCESOS PRD'!$J:$J,'PROCESOS PRD'!$H:$H,0,0)),"")</f>
        <v/>
      </c>
      <c r="EL30" s="71"/>
      <c r="EM30" s="32"/>
      <c r="EN30" s="72" t="str">
        <f t="array" ref="EN30">IFERROR(IF(XLOOKUP(CONCAT(EL30,EM30),'MASTER PLAN'!$AB:$AB,'MASTER PLAN'!$J:$J,0,0)=0,"",XLOOKUP(CONCAT(EL30,EM30),'MASTER PLAN'!$AB:$AB,'MASTER PLAN'!$J:$J,0,0)),"")</f>
        <v/>
      </c>
      <c r="EO30" s="73" t="str">
        <f t="array" ref="EO30">IFERROR(IF(XLOOKUP(CONCAT(EL30,EM30),'PROCESOS PRD'!$J:$J,'PROCESOS PRD'!$H:$H,0,0)=0,"",XLOOKUP(CONCAT(EL30,EM30),'PROCESOS PRD'!$J:$J,'PROCESOS PRD'!$H:$H,0,0)),"")</f>
        <v/>
      </c>
      <c r="EP30" s="70"/>
      <c r="EQ30" s="71"/>
      <c r="ER30" s="32"/>
      <c r="ES30" s="72" t="str">
        <f t="array" ref="ES30">IFERROR(IF(XLOOKUP(CONCAT(EQ30,ER30),'MASTER PLAN'!$AB:$AB,'MASTER PLAN'!$J:$J,0,0)=0,"",XLOOKUP(CONCAT(EQ30,ER30),'MASTER PLAN'!$AB:$AB,'MASTER PLAN'!$J:$J,0,0)),"")</f>
        <v/>
      </c>
      <c r="ET30" s="73" t="str">
        <f t="array" ref="ET30">IFERROR(IF(XLOOKUP(CONCAT(EQ30,ER30),'PROCESOS PRD'!$J:$J,'PROCESOS PRD'!$H:$H,0,0)=0,"",XLOOKUP(CONCAT(EQ30,ER30),'PROCESOS PRD'!$J:$J,'PROCESOS PRD'!$H:$H,0,0)),"")</f>
        <v/>
      </c>
      <c r="EU30" s="71"/>
      <c r="EV30" s="32"/>
      <c r="EW30" s="72" t="str">
        <f t="array" ref="EW30">IFERROR(IF(XLOOKUP(CONCAT(EU30,EV30),'MASTER PLAN'!$AB:$AB,'MASTER PLAN'!$J:$J,0,0)=0,"",XLOOKUP(CONCAT(EU30,EV30),'MASTER PLAN'!$AB:$AB,'MASTER PLAN'!$J:$J,0,0)),"")</f>
        <v/>
      </c>
      <c r="EX30" s="73" t="str">
        <f t="array" ref="EX30">IFERROR(IF(XLOOKUP(CONCAT(EU30,EV30),'PROCESOS PRD'!$J:$J,'PROCESOS PRD'!$H:$H,0,0)=0,"",XLOOKUP(CONCAT(EU30,EV30),'PROCESOS PRD'!$J:$J,'PROCESOS PRD'!$H:$H,0,0)),"")</f>
        <v/>
      </c>
      <c r="EY30" s="71"/>
      <c r="EZ30" s="32"/>
      <c r="FA30" s="72" t="str">
        <f t="array" ref="FA30">IFERROR(IF(XLOOKUP(CONCAT(EY30,EZ30),'MASTER PLAN'!$AB:$AB,'MASTER PLAN'!$J:$J,0,0)=0,"",XLOOKUP(CONCAT(EY30,EZ30),'MASTER PLAN'!$AB:$AB,'MASTER PLAN'!$J:$J,0,0)),"")</f>
        <v/>
      </c>
      <c r="FB30" s="73" t="str">
        <f t="array" ref="FB30">IFERROR(IF(XLOOKUP(CONCAT(EY30,EZ30),'PROCESOS PRD'!$J:$J,'PROCESOS PRD'!$H:$H,0,0)=0,"",XLOOKUP(CONCAT(EY30,EZ30),'PROCESOS PRD'!$J:$J,'PROCESOS PRD'!$H:$H,0,0)),"")</f>
        <v/>
      </c>
      <c r="FC30" s="71"/>
      <c r="FD30" s="32"/>
      <c r="FE30" s="72" t="str">
        <f t="array" ref="FE30">IFERROR(IF(XLOOKUP(CONCAT(FC30,FD30),'MASTER PLAN'!$AB:$AB,'MASTER PLAN'!$J:$J,0,0)=0,"",XLOOKUP(CONCAT(FC30,FD30),'MASTER PLAN'!$AB:$AB,'MASTER PLAN'!$J:$J,0,0)),"")</f>
        <v/>
      </c>
      <c r="FF30" s="73" t="str">
        <f t="array" ref="FF30">IFERROR(IF(XLOOKUP(CONCAT(FC30,FD30),'PROCESOS PRD'!$J:$J,'PROCESOS PRD'!$H:$H,0,0)=0,"",XLOOKUP(CONCAT(FC30,FD30),'PROCESOS PRD'!$J:$J,'PROCESOS PRD'!$H:$H,0,0)),"")</f>
        <v/>
      </c>
      <c r="FG30" s="71"/>
      <c r="FH30" s="32"/>
      <c r="FI30" s="72" t="str">
        <f t="array" ref="FI30">IFERROR(IF(XLOOKUP(CONCAT(FG30,FH30),'MASTER PLAN'!$AB:$AB,'MASTER PLAN'!$J:$J,0,0)=0,"",XLOOKUP(CONCAT(FG30,FH30),'MASTER PLAN'!$AB:$AB,'MASTER PLAN'!$J:$J,0,0)),"")</f>
        <v/>
      </c>
      <c r="FJ30" s="73" t="str">
        <f t="array" ref="FJ30">IFERROR(IF(XLOOKUP(CONCAT(FG30,FH30),'PROCESOS PRD'!$J:$J,'PROCESOS PRD'!$H:$H,0,0)=0,"",XLOOKUP(CONCAT(FG30,FH30),'PROCESOS PRD'!$J:$J,'PROCESOS PRD'!$H:$H,0,0)),"")</f>
        <v/>
      </c>
      <c r="FK30" s="71"/>
      <c r="FL30" s="32"/>
      <c r="FM30" s="72" t="str">
        <f t="array" ref="FM30">IFERROR(IF(XLOOKUP(CONCAT(FK30,FL30),'MASTER PLAN'!$AB:$AB,'MASTER PLAN'!$J:$J,0,0)=0,"",XLOOKUP(CONCAT(FK30,FL30),'MASTER PLAN'!$AB:$AB,'MASTER PLAN'!$J:$J,0,0)),"")</f>
        <v/>
      </c>
      <c r="FN30" s="73" t="str">
        <f t="array" ref="FN30">IFERROR(IF(XLOOKUP(CONCAT(FK30,FL30),'PROCESOS PRD'!$J:$J,'PROCESOS PRD'!$H:$H,0,0)=0,"",XLOOKUP(CONCAT(FK30,FL30),'PROCESOS PRD'!$J:$J,'PROCESOS PRD'!$H:$H,0,0)),"")</f>
        <v/>
      </c>
      <c r="FO30" s="70"/>
      <c r="FP30" s="71"/>
      <c r="FQ30" s="32"/>
      <c r="FR30" s="72" t="str">
        <f t="array" ref="FR30">IFERROR(IF(XLOOKUP(CONCAT(FP30,FQ30),'MASTER PLAN'!$AB:$AB,'MASTER PLAN'!$J:$J,0,0)=0,"",XLOOKUP(CONCAT(FP30,FQ30),'MASTER PLAN'!$AB:$AB,'MASTER PLAN'!$J:$J,0,0)),"")</f>
        <v/>
      </c>
      <c r="FS30" s="73" t="str">
        <f t="array" ref="FS30">IFERROR(IF(XLOOKUP(CONCAT(FP30,FQ30),'PROCESOS PRD'!$J:$J,'PROCESOS PRD'!$H:$H,0,0)=0,"",XLOOKUP(CONCAT(FP30,FQ30),'PROCESOS PRD'!$J:$J,'PROCESOS PRD'!$H:$H,0,0)),"")</f>
        <v/>
      </c>
      <c r="FT30" s="71"/>
      <c r="FU30" s="32"/>
      <c r="FV30" s="72" t="str">
        <f t="array" ref="FV30">IFERROR(IF(XLOOKUP(CONCAT(FT30,FU30),'MASTER PLAN'!$AB:$AB,'MASTER PLAN'!$J:$J,0,0)=0,"",XLOOKUP(CONCAT(FT30,FU30),'MASTER PLAN'!$AB:$AB,'MASTER PLAN'!$J:$J,0,0)),"")</f>
        <v/>
      </c>
      <c r="FW30" s="73" t="str">
        <f t="array" ref="FW30">IFERROR(IF(XLOOKUP(CONCAT(FT30,FU30),'PROCESOS PRD'!$J:$J,'PROCESOS PRD'!$H:$H,0,0)=0,"",XLOOKUP(CONCAT(FT30,FU30),'PROCESOS PRD'!$J:$J,'PROCESOS PRD'!$H:$H,0,0)),"")</f>
        <v/>
      </c>
      <c r="FX30" s="71"/>
      <c r="FY30" s="32"/>
      <c r="FZ30" s="72" t="str">
        <f t="array" ref="FZ30">IFERROR(IF(XLOOKUP(CONCAT(FX30,FY30),'MASTER PLAN'!$AB:$AB,'MASTER PLAN'!$J:$J,0,0)=0,"",XLOOKUP(CONCAT(FX30,FY30),'MASTER PLAN'!$AB:$AB,'MASTER PLAN'!$J:$J,0,0)),"")</f>
        <v/>
      </c>
      <c r="GA30" s="73" t="str">
        <f t="array" ref="GA30">IFERROR(IF(XLOOKUP(CONCAT(FX30,FY30),'PROCESOS PRD'!$J:$J,'PROCESOS PRD'!$H:$H,0,0)=0,"",XLOOKUP(CONCAT(FX30,FY30),'PROCESOS PRD'!$J:$J,'PROCESOS PRD'!$H:$H,0,0)),"")</f>
        <v/>
      </c>
      <c r="GB30" s="71"/>
      <c r="GC30" s="32"/>
      <c r="GD30" s="72" t="str">
        <f t="array" ref="GD30">IFERROR(IF(XLOOKUP(CONCAT(GB30,GC30),'MASTER PLAN'!$AB:$AB,'MASTER PLAN'!$J:$J,0,0)=0,"",XLOOKUP(CONCAT(GB30,GC30),'MASTER PLAN'!$AB:$AB,'MASTER PLAN'!$J:$J,0,0)),"")</f>
        <v/>
      </c>
      <c r="GE30" s="73" t="str">
        <f t="array" ref="GE30">IFERROR(IF(XLOOKUP(CONCAT(GB30,GC30),'PROCESOS PRD'!$J:$J,'PROCESOS PRD'!$H:$H,0,0)=0,"",XLOOKUP(CONCAT(GB30,GC30),'PROCESOS PRD'!$J:$J,'PROCESOS PRD'!$H:$H,0,0)),"")</f>
        <v/>
      </c>
      <c r="GF30" s="71"/>
      <c r="GG30" s="32"/>
      <c r="GH30" s="72" t="str">
        <f t="array" ref="GH30">IFERROR(IF(XLOOKUP(CONCAT(GF30,GG30),'MASTER PLAN'!$AB:$AB,'MASTER PLAN'!$J:$J,0,0)=0,"",XLOOKUP(CONCAT(GF30,GG30),'MASTER PLAN'!$AB:$AB,'MASTER PLAN'!$J:$J,0,0)),"")</f>
        <v/>
      </c>
      <c r="GI30" s="73" t="str">
        <f t="array" ref="GI30">IFERROR(IF(XLOOKUP(CONCAT(GF30,GG30),'PROCESOS PRD'!$J:$J,'PROCESOS PRD'!$H:$H,0,0)=0,"",XLOOKUP(CONCAT(GF30,GG30),'PROCESOS PRD'!$J:$J,'PROCESOS PRD'!$H:$H,0,0)),"")</f>
        <v/>
      </c>
      <c r="GJ30" s="71"/>
      <c r="GK30" s="32"/>
      <c r="GL30" s="72" t="str">
        <f t="array" ref="GL30">IFERROR(IF(XLOOKUP(CONCAT(GJ30,GK30),'MASTER PLAN'!$AB:$AB,'MASTER PLAN'!$J:$J,0,0)=0,"",XLOOKUP(CONCAT(GJ30,GK30),'MASTER PLAN'!$AB:$AB,'MASTER PLAN'!$J:$J,0,0)),"")</f>
        <v/>
      </c>
      <c r="GM30" s="73" t="str">
        <f t="array" ref="GM30">IFERROR(IF(XLOOKUP(CONCAT(GJ30,GK30),'PROCESOS PRD'!$J:$J,'PROCESOS PRD'!$H:$H,0,0)=0,"",XLOOKUP(CONCAT(GJ30,GK30),'PROCESOS PRD'!$J:$J,'PROCESOS PRD'!$H:$H,0,0)),"")</f>
        <v/>
      </c>
      <c r="GN30" s="70"/>
      <c r="GO30" s="71"/>
      <c r="GP30" s="32"/>
      <c r="GQ30" s="72" t="str">
        <f t="array" ref="GQ30">IFERROR(IF(XLOOKUP(CONCAT(GO30,GP30),'MASTER PLAN'!$AB:$AB,'MASTER PLAN'!$J:$J,0,0)=0,"",XLOOKUP(CONCAT(GO30,GP30),'MASTER PLAN'!$AB:$AB,'MASTER PLAN'!$J:$J,0,0)),"")</f>
        <v/>
      </c>
      <c r="GR30" s="73" t="str">
        <f t="array" ref="GR30">IFERROR(IF(XLOOKUP(CONCAT(GO30,GP30),'PROCESOS PRD'!$J:$J,'PROCESOS PRD'!$H:$H,0,0)=0,"",XLOOKUP(CONCAT(GO30,GP30),'PROCESOS PRD'!$J:$J,'PROCESOS PRD'!$H:$H,0,0)),"")</f>
        <v/>
      </c>
      <c r="GS30" s="71"/>
      <c r="GT30" s="32"/>
      <c r="GU30" s="72" t="str">
        <f t="array" ref="GU30">IFERROR(IF(XLOOKUP(CONCAT(GS30,GT30),'MASTER PLAN'!$AB:$AB,'MASTER PLAN'!$J:$J,0,0)=0,"",XLOOKUP(CONCAT(GS30,GT30),'MASTER PLAN'!$AB:$AB,'MASTER PLAN'!$J:$J,0,0)),"")</f>
        <v/>
      </c>
      <c r="GV30" s="73" t="str">
        <f t="array" ref="GV30">IFERROR(IF(XLOOKUP(CONCAT(GS30,GT30),'PROCESOS PRD'!$J:$J,'PROCESOS PRD'!$H:$H,0,0)=0,"",XLOOKUP(CONCAT(GS30,GT30),'PROCESOS PRD'!$J:$J,'PROCESOS PRD'!$H:$H,0,0)),"")</f>
        <v/>
      </c>
      <c r="GW30" s="71"/>
      <c r="GX30" s="32"/>
      <c r="GY30" s="72" t="str">
        <f t="array" ref="GY30">IFERROR(IF(XLOOKUP(CONCAT(GW30,GX30),'MASTER PLAN'!$AB:$AB,'MASTER PLAN'!$J:$J,0,0)=0,"",XLOOKUP(CONCAT(GW30,GX30),'MASTER PLAN'!$AB:$AB,'MASTER PLAN'!$J:$J,0,0)),"")</f>
        <v/>
      </c>
      <c r="GZ30" s="73" t="str">
        <f t="array" ref="GZ30">IFERROR(IF(XLOOKUP(CONCAT(GW30,GX30),'PROCESOS PRD'!$J:$J,'PROCESOS PRD'!$H:$H,0,0)=0,"",XLOOKUP(CONCAT(GW30,GX30),'PROCESOS PRD'!$J:$J,'PROCESOS PRD'!$H:$H,0,0)),"")</f>
        <v/>
      </c>
      <c r="HA30" s="71"/>
      <c r="HB30" s="32"/>
      <c r="HC30" s="72" t="str">
        <f t="array" ref="HC30">IFERROR(IF(XLOOKUP(CONCAT(HA30,HB30),'MASTER PLAN'!$AB:$AB,'MASTER PLAN'!$J:$J,0,0)=0,"",XLOOKUP(CONCAT(HA30,HB30),'MASTER PLAN'!$AB:$AB,'MASTER PLAN'!$J:$J,0,0)),"")</f>
        <v/>
      </c>
      <c r="HD30" s="73" t="str">
        <f t="array" ref="HD30">IFERROR(IF(XLOOKUP(CONCAT(HA30,HB30),'PROCESOS PRD'!$J:$J,'PROCESOS PRD'!$H:$H,0,0)=0,"",XLOOKUP(CONCAT(HA30,HB30),'PROCESOS PRD'!$J:$J,'PROCESOS PRD'!$H:$H,0,0)),"")</f>
        <v/>
      </c>
      <c r="HE30" s="71"/>
      <c r="HF30" s="32"/>
      <c r="HG30" s="72" t="str">
        <f t="array" ref="HG30">IFERROR(IF(XLOOKUP(CONCAT(HE30,HF30),'MASTER PLAN'!$AB:$AB,'MASTER PLAN'!$J:$J,0,0)=0,"",XLOOKUP(CONCAT(HE30,HF30),'MASTER PLAN'!$AB:$AB,'MASTER PLAN'!$J:$J,0,0)),"")</f>
        <v/>
      </c>
      <c r="HH30" s="73" t="str">
        <f t="array" ref="HH30">IFERROR(IF(XLOOKUP(CONCAT(HE30,HF30),'PROCESOS PRD'!$J:$J,'PROCESOS PRD'!$H:$H,0,0)=0,"",XLOOKUP(CONCAT(HE30,HF30),'PROCESOS PRD'!$J:$J,'PROCESOS PRD'!$H:$H,0,0)),"")</f>
        <v/>
      </c>
      <c r="HI30" s="71"/>
      <c r="HJ30" s="32"/>
      <c r="HK30" s="72" t="str">
        <f t="array" ref="HK30">IFERROR(IF(XLOOKUP(CONCAT(HI30,HJ30),'MASTER PLAN'!$AB:$AB,'MASTER PLAN'!$J:$J,0,0)=0,"",XLOOKUP(CONCAT(HI30,HJ30),'MASTER PLAN'!$AB:$AB,'MASTER PLAN'!$J:$J,0,0)),"")</f>
        <v/>
      </c>
      <c r="HL30" s="73" t="str">
        <f t="array" ref="HL30">IFERROR(IF(XLOOKUP(CONCAT(HI30,HJ30),'PROCESOS PRD'!$J:$J,'PROCESOS PRD'!$H:$H,0,0)=0,"",XLOOKUP(CONCAT(HI30,HJ30),'PROCESOS PRD'!$J:$J,'PROCESOS PRD'!$H:$H,0,0)),"")</f>
        <v/>
      </c>
      <c r="HM30" s="70"/>
      <c r="HN30" s="71"/>
      <c r="HO30" s="32"/>
      <c r="HP30" s="72" t="str">
        <f t="array" ref="HP30">IFERROR(IF(XLOOKUP(CONCAT(HN30,HO30),'MASTER PLAN'!$AB:$AB,'MASTER PLAN'!$J:$J,0,0)=0,"",XLOOKUP(CONCAT(HN30,HO30),'MASTER PLAN'!$AB:$AB,'MASTER PLAN'!$J:$J,0,0)),"")</f>
        <v/>
      </c>
      <c r="HQ30" s="73" t="str">
        <f t="array" ref="HQ30">IFERROR(IF(XLOOKUP(CONCAT(HN30,HO30),'PROCESOS PRD'!$J:$J,'PROCESOS PRD'!$H:$H,0,0)=0,"",XLOOKUP(CONCAT(HN30,HO30),'PROCESOS PRD'!$J:$J,'PROCESOS PRD'!$H:$H,0,0)),"")</f>
        <v/>
      </c>
      <c r="HR30" s="71"/>
      <c r="HS30" s="32"/>
      <c r="HT30" s="72" t="str">
        <f t="array" ref="HT30">IFERROR(IF(XLOOKUP(CONCAT(HR30,HS30),'MASTER PLAN'!$AB:$AB,'MASTER PLAN'!$J:$J,0,0)=0,"",XLOOKUP(CONCAT(HR30,HS30),'MASTER PLAN'!$AB:$AB,'MASTER PLAN'!$J:$J,0,0)),"")</f>
        <v/>
      </c>
      <c r="HU30" s="73" t="str">
        <f t="array" ref="HU30">IFERROR(IF(XLOOKUP(CONCAT(HR30,HS30),'PROCESOS PRD'!$J:$J,'PROCESOS PRD'!$H:$H,0,0)=0,"",XLOOKUP(CONCAT(HR30,HS30),'PROCESOS PRD'!$J:$J,'PROCESOS PRD'!$H:$H,0,0)),"")</f>
        <v/>
      </c>
      <c r="HV30" s="71"/>
      <c r="HW30" s="32"/>
      <c r="HX30" s="72" t="str">
        <f t="array" ref="HX30">IFERROR(IF(XLOOKUP(CONCAT(HV30,HW30),'MASTER PLAN'!$AB:$AB,'MASTER PLAN'!$J:$J,0,0)=0,"",XLOOKUP(CONCAT(HV30,HW30),'MASTER PLAN'!$AB:$AB,'MASTER PLAN'!$J:$J,0,0)),"")</f>
        <v/>
      </c>
      <c r="HY30" s="73" t="str">
        <f t="array" ref="HY30">IFERROR(IF(XLOOKUP(CONCAT(HV30,HW30),'PROCESOS PRD'!$J:$J,'PROCESOS PRD'!$H:$H,0,0)=0,"",XLOOKUP(CONCAT(HV30,HW30),'PROCESOS PRD'!$J:$J,'PROCESOS PRD'!$H:$H,0,0)),"")</f>
        <v/>
      </c>
      <c r="HZ30" s="71"/>
      <c r="IA30" s="32"/>
      <c r="IB30" s="72" t="str">
        <f t="array" ref="IB30">IFERROR(IF(XLOOKUP(CONCAT(HZ30,IA30),'MASTER PLAN'!$AB:$AB,'MASTER PLAN'!$J:$J,0,0)=0,"",XLOOKUP(CONCAT(HZ30,IA30),'MASTER PLAN'!$AB:$AB,'MASTER PLAN'!$J:$J,0,0)),"")</f>
        <v/>
      </c>
      <c r="IC30" s="73" t="str">
        <f t="array" ref="IC30">IFERROR(IF(XLOOKUP(CONCAT(HZ30,IA30),'PROCESOS PRD'!$J:$J,'PROCESOS PRD'!$H:$H,0,0)=0,"",XLOOKUP(CONCAT(HZ30,IA30),'PROCESOS PRD'!$J:$J,'PROCESOS PRD'!$H:$H,0,0)),"")</f>
        <v/>
      </c>
      <c r="ID30" s="71"/>
      <c r="IE30" s="32"/>
      <c r="IF30" s="72" t="str">
        <f t="array" ref="IF30">IFERROR(IF(XLOOKUP(CONCAT(ID30,IE30),'MASTER PLAN'!$AB:$AB,'MASTER PLAN'!$J:$J,0,0)=0,"",XLOOKUP(CONCAT(ID30,IE30),'MASTER PLAN'!$AB:$AB,'MASTER PLAN'!$J:$J,0,0)),"")</f>
        <v/>
      </c>
      <c r="IG30" s="73" t="str">
        <f t="array" ref="IG30">IFERROR(IF(XLOOKUP(CONCAT(ID30,IE30),'PROCESOS PRD'!$J:$J,'PROCESOS PRD'!$H:$H,0,0)=0,"",XLOOKUP(CONCAT(ID30,IE30),'PROCESOS PRD'!$J:$J,'PROCESOS PRD'!$H:$H,0,0)),"")</f>
        <v/>
      </c>
      <c r="IH30" s="71"/>
      <c r="II30" s="32"/>
      <c r="IJ30" s="72" t="str">
        <f t="array" ref="IJ30">IFERROR(IF(XLOOKUP(CONCAT(IH30,II30),'MASTER PLAN'!$AB:$AB,'MASTER PLAN'!$J:$J,0,0)=0,"",XLOOKUP(CONCAT(IH30,II30),'MASTER PLAN'!$AB:$AB,'MASTER PLAN'!$J:$J,0,0)),"")</f>
        <v/>
      </c>
      <c r="IK30" s="73" t="str">
        <f t="array" ref="IK30">IFERROR(IF(XLOOKUP(CONCAT(IH30,II30),'PROCESOS PRD'!$J:$J,'PROCESOS PRD'!$H:$H,0,0)=0,"",XLOOKUP(CONCAT(IH30,II30),'PROCESOS PRD'!$J:$J,'PROCESOS PRD'!$H:$H,0,0)),"")</f>
        <v/>
      </c>
      <c r="IL30" s="70"/>
      <c r="IM30" s="71"/>
      <c r="IN30" s="32"/>
      <c r="IO30" s="72" t="str">
        <f t="array" ref="IO30">IFERROR(IF(XLOOKUP(CONCAT(IM30,IN30),'MASTER PLAN'!$AB:$AB,'MASTER PLAN'!$J:$J,0,0)=0,"",XLOOKUP(CONCAT(IM30,IN30),'MASTER PLAN'!$AB:$AB,'MASTER PLAN'!$J:$J,0,0)),"")</f>
        <v/>
      </c>
      <c r="IP30" s="73" t="str">
        <f t="array" ref="IP30">IFERROR(IF(XLOOKUP(CONCAT(IM30,IN30),'PROCESOS PRD'!$J:$J,'PROCESOS PRD'!$H:$H,0,0)=0,"",XLOOKUP(CONCAT(IM30,IN30),'PROCESOS PRD'!$J:$J,'PROCESOS PRD'!$H:$H,0,0)),"")</f>
        <v/>
      </c>
      <c r="IQ30" s="71"/>
      <c r="IR30" s="32"/>
      <c r="IS30" s="72" t="str">
        <f t="array" ref="IS30">IFERROR(IF(XLOOKUP(CONCAT(IQ30,IR30),'MASTER PLAN'!$AB:$AB,'MASTER PLAN'!$J:$J,0,0)=0,"",XLOOKUP(CONCAT(IQ30,IR30),'MASTER PLAN'!$AB:$AB,'MASTER PLAN'!$J:$J,0,0)),"")</f>
        <v/>
      </c>
      <c r="IT30" s="73" t="str">
        <f t="array" ref="IT30">IFERROR(IF(XLOOKUP(CONCAT(IQ30,IR30),'PROCESOS PRD'!$J:$J,'PROCESOS PRD'!$H:$H,0,0)=0,"",XLOOKUP(CONCAT(IQ30,IR30),'PROCESOS PRD'!$J:$J,'PROCESOS PRD'!$H:$H,0,0)),"")</f>
        <v/>
      </c>
      <c r="IU30" s="71"/>
      <c r="IV30" s="32"/>
      <c r="IW30" s="72" t="str">
        <f t="array" ref="IW30">IFERROR(IF(XLOOKUP(CONCAT(IU30,IV30),'MASTER PLAN'!$AB:$AB,'MASTER PLAN'!$J:$J,0,0)=0,"",XLOOKUP(CONCAT(IU30,IV30),'MASTER PLAN'!$AB:$AB,'MASTER PLAN'!$J:$J,0,0)),"")</f>
        <v/>
      </c>
      <c r="IX30" s="73" t="str">
        <f t="array" ref="IX30">IFERROR(IF(XLOOKUP(CONCAT(IU30,IV30),'PROCESOS PRD'!$J:$J,'PROCESOS PRD'!$H:$H,0,0)=0,"",XLOOKUP(CONCAT(IU30,IV30),'PROCESOS PRD'!$J:$J,'PROCESOS PRD'!$H:$H,0,0)),"")</f>
        <v/>
      </c>
      <c r="IY30" s="71"/>
      <c r="IZ30" s="32"/>
      <c r="JA30" s="72" t="str">
        <f t="array" ref="JA30">IFERROR(IF(XLOOKUP(CONCAT(IY30,IZ30),'MASTER PLAN'!$AB:$AB,'MASTER PLAN'!$J:$J,0,0)=0,"",XLOOKUP(CONCAT(IY30,IZ30),'MASTER PLAN'!$AB:$AB,'MASTER PLAN'!$J:$J,0,0)),"")</f>
        <v/>
      </c>
      <c r="JB30" s="73" t="str">
        <f t="array" ref="JB30">IFERROR(IF(XLOOKUP(CONCAT(IY30,IZ30),'PROCESOS PRD'!$J:$J,'PROCESOS PRD'!$H:$H,0,0)=0,"",XLOOKUP(CONCAT(IY30,IZ30),'PROCESOS PRD'!$J:$J,'PROCESOS PRD'!$H:$H,0,0)),"")</f>
        <v/>
      </c>
      <c r="JC30" s="71"/>
      <c r="JD30" s="32"/>
      <c r="JE30" s="72" t="str">
        <f t="array" ref="JE30">IFERROR(IF(XLOOKUP(CONCAT(JC30,JD30),'MASTER PLAN'!$AB:$AB,'MASTER PLAN'!$J:$J,0,0)=0,"",XLOOKUP(CONCAT(JC30,JD30),'MASTER PLAN'!$AB:$AB,'MASTER PLAN'!$J:$J,0,0)),"")</f>
        <v/>
      </c>
      <c r="JF30" s="73" t="str">
        <f t="array" ref="JF30">IFERROR(IF(XLOOKUP(CONCAT(JC30,JD30),'PROCESOS PRD'!$J:$J,'PROCESOS PRD'!$H:$H,0,0)=0,"",XLOOKUP(CONCAT(JC30,JD30),'PROCESOS PRD'!$J:$J,'PROCESOS PRD'!$H:$H,0,0)),"")</f>
        <v/>
      </c>
      <c r="JG30" s="71"/>
      <c r="JH30" s="32"/>
      <c r="JI30" s="72" t="str">
        <f t="array" ref="JI30">IFERROR(IF(XLOOKUP(CONCAT(JG30,JH30),'MASTER PLAN'!$AB:$AB,'MASTER PLAN'!$J:$J,0,0)=0,"",XLOOKUP(CONCAT(JG30,JH30),'MASTER PLAN'!$AB:$AB,'MASTER PLAN'!$J:$J,0,0)),"")</f>
        <v/>
      </c>
      <c r="JJ30" s="73" t="str">
        <f t="array" ref="JJ30">IFERROR(IF(XLOOKUP(CONCAT(JG30,JH30),'PROCESOS PRD'!$J:$J,'PROCESOS PRD'!$H:$H,0,0)=0,"",XLOOKUP(CONCAT(JG30,JH30),'PROCESOS PRD'!$J:$J,'PROCESOS PRD'!$H:$H,0,0)),"")</f>
        <v/>
      </c>
      <c r="JK30" s="70"/>
      <c r="JL30" s="71"/>
      <c r="JM30" s="32"/>
      <c r="JN30" s="72" t="str">
        <f t="array" ref="JN30">IFERROR(IF(XLOOKUP(CONCAT(JL30,JM30),'MASTER PLAN'!$AB:$AB,'MASTER PLAN'!$J:$J,0,0)=0,"",XLOOKUP(CONCAT(JL30,JM30),'MASTER PLAN'!$AB:$AB,'MASTER PLAN'!$J:$J,0,0)),"")</f>
        <v/>
      </c>
      <c r="JO30" s="73" t="str">
        <f t="array" ref="JO30">IFERROR(IF(XLOOKUP(CONCAT(JL30,JM30),'PROCESOS PRD'!$J:$J,'PROCESOS PRD'!$H:$H,0,0)=0,"",XLOOKUP(CONCAT(JL30,JM30),'PROCESOS PRD'!$J:$J,'PROCESOS PRD'!$H:$H,0,0)),"")</f>
        <v/>
      </c>
      <c r="JP30" s="71"/>
      <c r="JQ30" s="32"/>
      <c r="JR30" s="72" t="str">
        <f t="array" ref="JR30">IFERROR(IF(XLOOKUP(CONCAT(JP30,JQ30),'MASTER PLAN'!$AB:$AB,'MASTER PLAN'!$J:$J,0,0)=0,"",XLOOKUP(CONCAT(JP30,JQ30),'MASTER PLAN'!$AB:$AB,'MASTER PLAN'!$J:$J,0,0)),"")</f>
        <v/>
      </c>
      <c r="JS30" s="73" t="str">
        <f t="array" ref="JS30">IFERROR(IF(XLOOKUP(CONCAT(JP30,JQ30),'PROCESOS PRD'!$J:$J,'PROCESOS PRD'!$H:$H,0,0)=0,"",XLOOKUP(CONCAT(JP30,JQ30),'PROCESOS PRD'!$J:$J,'PROCESOS PRD'!$H:$H,0,0)),"")</f>
        <v/>
      </c>
      <c r="JT30" s="71"/>
      <c r="JU30" s="32"/>
      <c r="JV30" s="72" t="str">
        <f t="array" ref="JV30">IFERROR(IF(XLOOKUP(CONCAT(JT30,JU30),'MASTER PLAN'!$AB:$AB,'MASTER PLAN'!$J:$J,0,0)=0,"",XLOOKUP(CONCAT(JT30,JU30),'MASTER PLAN'!$AB:$AB,'MASTER PLAN'!$J:$J,0,0)),"")</f>
        <v/>
      </c>
      <c r="JW30" s="73" t="str">
        <f t="array" ref="JW30">IFERROR(IF(XLOOKUP(CONCAT(JT30,JU30),'PROCESOS PRD'!$J:$J,'PROCESOS PRD'!$H:$H,0,0)=0,"",XLOOKUP(CONCAT(JT30,JU30),'PROCESOS PRD'!$J:$J,'PROCESOS PRD'!$H:$H,0,0)),"")</f>
        <v/>
      </c>
      <c r="JX30" s="71"/>
      <c r="JY30" s="32"/>
      <c r="JZ30" s="72" t="str">
        <f t="array" ref="JZ30">IFERROR(IF(XLOOKUP(CONCAT(JX30,JY30),'MASTER PLAN'!$AB:$AB,'MASTER PLAN'!$J:$J,0,0)=0,"",XLOOKUP(CONCAT(JX30,JY30),'MASTER PLAN'!$AB:$AB,'MASTER PLAN'!$J:$J,0,0)),"")</f>
        <v/>
      </c>
      <c r="KA30" s="73" t="str">
        <f t="array" ref="KA30">IFERROR(IF(XLOOKUP(CONCAT(JX30,JY30),'PROCESOS PRD'!$J:$J,'PROCESOS PRD'!$H:$H,0,0)=0,"",XLOOKUP(CONCAT(JX30,JY30),'PROCESOS PRD'!$J:$J,'PROCESOS PRD'!$H:$H,0,0)),"")</f>
        <v/>
      </c>
      <c r="KB30" s="71"/>
      <c r="KC30" s="32"/>
      <c r="KD30" s="72" t="str">
        <f t="array" ref="KD30">IFERROR(IF(XLOOKUP(CONCAT(KB30,KC30),'MASTER PLAN'!$AB:$AB,'MASTER PLAN'!$J:$J,0,0)=0,"",XLOOKUP(CONCAT(KB30,KC30),'MASTER PLAN'!$AB:$AB,'MASTER PLAN'!$J:$J,0,0)),"")</f>
        <v/>
      </c>
      <c r="KE30" s="73" t="str">
        <f t="array" ref="KE30">IFERROR(IF(XLOOKUP(CONCAT(KB30,KC30),'PROCESOS PRD'!$J:$J,'PROCESOS PRD'!$H:$H,0,0)=0,"",XLOOKUP(CONCAT(KB30,KC30),'PROCESOS PRD'!$J:$J,'PROCESOS PRD'!$H:$H,0,0)),"")</f>
        <v/>
      </c>
      <c r="KF30" s="71"/>
      <c r="KG30" s="32"/>
      <c r="KH30" s="72" t="str">
        <f t="array" ref="KH30">IFERROR(IF(XLOOKUP(CONCAT(KF30,KG30),'MASTER PLAN'!$AB:$AB,'MASTER PLAN'!$J:$J,0,0)=0,"",XLOOKUP(CONCAT(KF30,KG30),'MASTER PLAN'!$AB:$AB,'MASTER PLAN'!$J:$J,0,0)),"")</f>
        <v/>
      </c>
      <c r="KI30" s="73" t="str">
        <f t="array" ref="KI30">IFERROR(IF(XLOOKUP(CONCAT(KF30,KG30),'PROCESOS PRD'!$J:$J,'PROCESOS PRD'!$H:$H,0,0)=0,"",XLOOKUP(CONCAT(KF30,KG30),'PROCESOS PRD'!$J:$J,'PROCESOS PRD'!$H:$H,0,0)),"")</f>
        <v/>
      </c>
      <c r="KJ30" s="70"/>
      <c r="KK30" s="70"/>
      <c r="KL30" s="70"/>
      <c r="KM30" s="70"/>
      <c r="KN30" s="70"/>
      <c r="KO30" s="70"/>
      <c r="KP30" s="70"/>
      <c r="KQ30" s="70"/>
      <c r="KR30" s="70"/>
      <c r="KS30" s="70"/>
      <c r="KT30" s="70"/>
      <c r="KU30" s="70"/>
      <c r="KV30" s="70"/>
      <c r="KW30" s="70"/>
      <c r="KX30" s="70"/>
      <c r="KY30" s="70"/>
      <c r="KZ30" s="70"/>
      <c r="LA30" s="70"/>
      <c r="LB30" s="70"/>
      <c r="LC30" s="70"/>
    </row>
    <row r="31" ht="15.75" customHeight="1">
      <c r="A31" s="42"/>
      <c r="B31" s="74"/>
      <c r="C31" s="69"/>
      <c r="D31" s="70"/>
      <c r="E31" s="71"/>
      <c r="F31" s="32"/>
      <c r="G31" s="72" t="str">
        <f t="array" ref="G31">IFERROR(IF(XLOOKUP(CONCAT(E31,F31),'MASTER PLAN'!$AB:$AB,'MASTER PLAN'!$J:$J,0,0)=0,"",XLOOKUP(CONCAT(E31,F31),'MASTER PLAN'!$AB:$AB,'MASTER PLAN'!$J:$J,0,0)),"")</f>
        <v/>
      </c>
      <c r="H31" s="73" t="str">
        <f t="array" ref="H31">IFERROR(IF(XLOOKUP(CONCAT(E31,F31),'PROCESOS PRD'!$J:$J,'PROCESOS PRD'!$H:$H,0,0)=0,"",XLOOKUP(CONCAT(E31,F31),'PROCESOS PRD'!$J:$J,'PROCESOS PRD'!$H:$H,0,0)),"")</f>
        <v/>
      </c>
      <c r="I31" s="71"/>
      <c r="J31" s="32"/>
      <c r="K31" s="72" t="str">
        <f t="array" ref="K31">IFERROR(IF(XLOOKUP(CONCAT(I31,J31),'MASTER PLAN'!$AB:$AB,'MASTER PLAN'!$J:$J,0,0)=0,"",XLOOKUP(CONCAT(I31,J31),'MASTER PLAN'!$AB:$AB,'MASTER PLAN'!$J:$J,0,0)),"")</f>
        <v/>
      </c>
      <c r="L31" s="73" t="str">
        <f t="array" ref="L31">IFERROR(IF(XLOOKUP(CONCAT(I31,J31),'PROCESOS PRD'!$J:$J,'PROCESOS PRD'!$H:$H,0,0)=0,"",XLOOKUP(CONCAT(I31,J31),'PROCESOS PRD'!$J:$J,'PROCESOS PRD'!$H:$H,0,0)),"")</f>
        <v/>
      </c>
      <c r="M31" s="71"/>
      <c r="N31" s="32"/>
      <c r="O31" s="72" t="str">
        <f t="array" ref="O31">IFERROR(IF(XLOOKUP(CONCAT(M31,N31),'MASTER PLAN'!$AB:$AB,'MASTER PLAN'!$J:$J,0,0)=0,"",XLOOKUP(CONCAT(M31,N31),'MASTER PLAN'!$AB:$AB,'MASTER PLAN'!$J:$J,0,0)),"")</f>
        <v/>
      </c>
      <c r="P31" s="73" t="str">
        <f t="array" ref="P31">IFERROR(IF(XLOOKUP(CONCAT(M31,N31),'PROCESOS PRD'!$J:$J,'PROCESOS PRD'!$H:$H,0,0)=0,"",XLOOKUP(CONCAT(M31,N31),'PROCESOS PRD'!$J:$J,'PROCESOS PRD'!$H:$H,0,0)),"")</f>
        <v/>
      </c>
      <c r="Q31" s="71"/>
      <c r="R31" s="32"/>
      <c r="S31" s="72" t="str">
        <f t="array" ref="S31">IFERROR(IF(XLOOKUP(CONCAT(Q31,R31),'MASTER PLAN'!$AB:$AB,'MASTER PLAN'!$J:$J,0,0)=0,"",XLOOKUP(CONCAT(Q31,R31),'MASTER PLAN'!$AB:$AB,'MASTER PLAN'!$J:$J,0,0)),"")</f>
        <v/>
      </c>
      <c r="T31" s="73" t="str">
        <f t="array" ref="T31">IFERROR(IF(XLOOKUP(CONCAT(Q31,R31),'PROCESOS PRD'!$J:$J,'PROCESOS PRD'!$H:$H,0,0)=0,"",XLOOKUP(CONCAT(Q31,R31),'PROCESOS PRD'!$J:$J,'PROCESOS PRD'!$H:$H,0,0)),"")</f>
        <v/>
      </c>
      <c r="U31" s="70"/>
      <c r="V31" s="71"/>
      <c r="W31" s="32"/>
      <c r="X31" s="72" t="str">
        <f t="array" ref="X31">IFERROR(IF(XLOOKUP(CONCAT(V31,W31),'MASTER PLAN'!$AB:$AB,'MASTER PLAN'!$J:$J,0,0)=0,"",XLOOKUP(CONCAT(V31,W31),'MASTER PLAN'!$AB:$AB,'MASTER PLAN'!$J:$J,0,0)),"")</f>
        <v/>
      </c>
      <c r="Y31" s="73" t="str">
        <f t="array" ref="Y31">IFERROR(IF(XLOOKUP(CONCAT(V31,W31),'PROCESOS PRD'!$J:$J,'PROCESOS PRD'!$H:$H,0,0)=0,"",XLOOKUP(CONCAT(V31,W31),'PROCESOS PRD'!$J:$J,'PROCESOS PRD'!$H:$H,0,0)),"")</f>
        <v/>
      </c>
      <c r="Z31" s="71"/>
      <c r="AA31" s="32"/>
      <c r="AB31" s="72" t="str">
        <f t="array" ref="AB31">IFERROR(IF(XLOOKUP(CONCAT(Z31,AA31),'MASTER PLAN'!$AB:$AB,'MASTER PLAN'!$J:$J,0,0)=0,"",XLOOKUP(CONCAT(Z31,AA31),'MASTER PLAN'!$AB:$AB,'MASTER PLAN'!$J:$J,0,0)),"")</f>
        <v/>
      </c>
      <c r="AC31" s="73" t="str">
        <f t="array" ref="AC31">IFERROR(IF(XLOOKUP(CONCAT(Z31,AA31),'PROCESOS PRD'!$J:$J,'PROCESOS PRD'!$H:$H,0,0)=0,"",XLOOKUP(CONCAT(Z31,AA31),'PROCESOS PRD'!$J:$J,'PROCESOS PRD'!$H:$H,0,0)),"")</f>
        <v/>
      </c>
      <c r="AD31" s="71"/>
      <c r="AE31" s="32"/>
      <c r="AF31" s="72" t="str">
        <f t="array" ref="AF31">IFERROR(IF(XLOOKUP(CONCAT(AD31,AE31),'MASTER PLAN'!$AB:$AB,'MASTER PLAN'!$J:$J,0,0)=0,"",XLOOKUP(CONCAT(AD31,AE31),'MASTER PLAN'!$AB:$AB,'MASTER PLAN'!$J:$J,0,0)),"")</f>
        <v/>
      </c>
      <c r="AG31" s="73" t="str">
        <f t="array" ref="AG31">IFERROR(IF(XLOOKUP(CONCAT(AD31,AE31),'PROCESOS PRD'!$J:$J,'PROCESOS PRD'!$H:$H,0,0)=0,"",XLOOKUP(CONCAT(AD31,AE31),'PROCESOS PRD'!$J:$J,'PROCESOS PRD'!$H:$H,0,0)),"")</f>
        <v/>
      </c>
      <c r="AH31" s="71"/>
      <c r="AI31" s="32"/>
      <c r="AJ31" s="72" t="str">
        <f t="array" ref="AJ31">IFERROR(IF(XLOOKUP(CONCAT(AH31,AI31),'MASTER PLAN'!$AB:$AB,'MASTER PLAN'!$J:$J,0,0)=0,"",XLOOKUP(CONCAT(AH31,AI31),'MASTER PLAN'!$AB:$AB,'MASTER PLAN'!$J:$J,0,0)),"")</f>
        <v/>
      </c>
      <c r="AK31" s="73" t="str">
        <f t="array" ref="AK31">IFERROR(IF(XLOOKUP(CONCAT(AH31,AI31),'PROCESOS PRD'!$J:$J,'PROCESOS PRD'!$H:$H,0,0)=0,"",XLOOKUP(CONCAT(AH31,AI31),'PROCESOS PRD'!$J:$J,'PROCESOS PRD'!$H:$H,0,0)),"")</f>
        <v/>
      </c>
      <c r="AL31" s="71"/>
      <c r="AM31" s="32"/>
      <c r="AN31" s="72" t="str">
        <f t="array" ref="AN31">IFERROR(IF(XLOOKUP(CONCAT(AL31,AM31),'MASTER PLAN'!$AB:$AB,'MASTER PLAN'!$J:$J,0,0)=0,"",XLOOKUP(CONCAT(AL31,AM31),'MASTER PLAN'!$AB:$AB,'MASTER PLAN'!$J:$J,0,0)),"")</f>
        <v/>
      </c>
      <c r="AO31" s="73" t="str">
        <f t="array" ref="AO31">IFERROR(IF(XLOOKUP(CONCAT(AL31,AM31),'PROCESOS PRD'!$J:$J,'PROCESOS PRD'!$H:$H,0,0)=0,"",XLOOKUP(CONCAT(AL31,AM31),'PROCESOS PRD'!$J:$J,'PROCESOS PRD'!$H:$H,0,0)),"")</f>
        <v/>
      </c>
      <c r="AP31" s="71"/>
      <c r="AQ31" s="32"/>
      <c r="AR31" s="72" t="str">
        <f t="array" ref="AR31">IFERROR(IF(XLOOKUP(CONCAT(AP31,AQ31),'MASTER PLAN'!$AB:$AB,'MASTER PLAN'!$J:$J,0,0)=0,"",XLOOKUP(CONCAT(AP31,AQ31),'MASTER PLAN'!$AB:$AB,'MASTER PLAN'!$J:$J,0,0)),"")</f>
        <v/>
      </c>
      <c r="AS31" s="73" t="str">
        <f t="array" ref="AS31">IFERROR(IF(XLOOKUP(CONCAT(AP31,AQ31),'PROCESOS PRD'!$J:$J,'PROCESOS PRD'!$H:$H,0,0)=0,"",XLOOKUP(CONCAT(AP31,AQ31),'PROCESOS PRD'!$J:$J,'PROCESOS PRD'!$H:$H,0,0)),"")</f>
        <v/>
      </c>
      <c r="AT31" s="70"/>
      <c r="AU31" s="71"/>
      <c r="AV31" s="32"/>
      <c r="AW31" s="72" t="str">
        <f t="array" ref="AW31">IFERROR(IF(XLOOKUP(CONCAT(AU31,AV31),'MASTER PLAN'!$AB:$AB,'MASTER PLAN'!$J:$J,0,0)=0,"",XLOOKUP(CONCAT(AU31,AV31),'MASTER PLAN'!$AB:$AB,'MASTER PLAN'!$J:$J,0,0)),"")</f>
        <v/>
      </c>
      <c r="AX31" s="73" t="str">
        <f t="array" ref="AX31">IFERROR(IF(XLOOKUP(CONCAT(AU31,AV31),'PROCESOS PRD'!$J:$J,'PROCESOS PRD'!$H:$H,0,0)=0,"",XLOOKUP(CONCAT(AU31,AV31),'PROCESOS PRD'!$J:$J,'PROCESOS PRD'!$H:$H,0,0)),"")</f>
        <v/>
      </c>
      <c r="AY31" s="71"/>
      <c r="AZ31" s="32"/>
      <c r="BA31" s="72" t="str">
        <f t="array" ref="BA31">IFERROR(IF(XLOOKUP(CONCAT(AY31,AZ31),'MASTER PLAN'!$AB:$AB,'MASTER PLAN'!$J:$J,0,0)=0,"",XLOOKUP(CONCAT(AY31,AZ31),'MASTER PLAN'!$AB:$AB,'MASTER PLAN'!$J:$J,0,0)),"")</f>
        <v/>
      </c>
      <c r="BB31" s="73" t="str">
        <f t="array" ref="BB31">IFERROR(IF(XLOOKUP(CONCAT(AY31,AZ31),'PROCESOS PRD'!$J:$J,'PROCESOS PRD'!$H:$H,0,0)=0,"",XLOOKUP(CONCAT(AY31,AZ31),'PROCESOS PRD'!$J:$J,'PROCESOS PRD'!$H:$H,0,0)),"")</f>
        <v/>
      </c>
      <c r="BC31" s="71">
        <v>1.40204935E9</v>
      </c>
      <c r="BD31" s="32">
        <v>20.0</v>
      </c>
      <c r="BE31" s="72" t="str">
        <f t="array" ref="BE31">IFERROR(IF(XLOOKUP(CONCAT(BC31,BD31),'MASTER PLAN'!$AB:$AB,'MASTER PLAN'!$J:$J,0,0)=0,"",XLOOKUP(CONCAT(BC31,BD31),'MASTER PLAN'!$AB:$AB,'MASTER PLAN'!$J:$J,0,0)),"")</f>
        <v>BOLSA WSMJ MAYORS WOS 10"X6"X10" FA</v>
      </c>
      <c r="BF31" s="73">
        <f t="array" ref="BF31">IFERROR(IF(XLOOKUP(CONCAT(BC31,BD31),'PROCESOS PRD'!$J:$J,'PROCESOS PRD'!$H:$H,0,0)=0,"",XLOOKUP(CONCAT(BC31,BD31),'PROCESOS PRD'!$J:$J,'PROCESOS PRD'!$H:$H,0,0)),"")</f>
        <v>14400</v>
      </c>
      <c r="BG31" s="71"/>
      <c r="BH31" s="32"/>
      <c r="BI31" s="72" t="str">
        <f t="array" ref="BI31">IFERROR(IF(XLOOKUP(CONCAT(BG31,BH31),'MASTER PLAN'!$AB:$AB,'MASTER PLAN'!$J:$J,0,0)=0,"",XLOOKUP(CONCAT(BG31,BH31),'MASTER PLAN'!$AB:$AB,'MASTER PLAN'!$J:$J,0,0)),"")</f>
        <v/>
      </c>
      <c r="BJ31" s="73" t="str">
        <f t="array" ref="BJ31">IFERROR(IF(XLOOKUP(CONCAT(BG31,BH31),'PROCESOS PRD'!$J:$J,'PROCESOS PRD'!$H:$H,0,0)=0,"",XLOOKUP(CONCAT(BG31,BH31),'PROCESOS PRD'!$J:$J,'PROCESOS PRD'!$H:$H,0,0)),"")</f>
        <v/>
      </c>
      <c r="BK31" s="71"/>
      <c r="BL31" s="32"/>
      <c r="BM31" s="72" t="str">
        <f t="array" ref="BM31">IFERROR(IF(XLOOKUP(CONCAT(BK31,BL31),'MASTER PLAN'!$AB:$AB,'MASTER PLAN'!$J:$J,0,0)=0,"",XLOOKUP(CONCAT(BK31,BL31),'MASTER PLAN'!$AB:$AB,'MASTER PLAN'!$J:$J,0,0)),"")</f>
        <v/>
      </c>
      <c r="BN31" s="73" t="str">
        <f t="array" ref="BN31">IFERROR(IF(XLOOKUP(CONCAT(BK31,BL31),'PROCESOS PRD'!$J:$J,'PROCESOS PRD'!$H:$H,0,0)=0,"",XLOOKUP(CONCAT(BK31,BL31),'PROCESOS PRD'!$J:$J,'PROCESOS PRD'!$H:$H,0,0)),"")</f>
        <v/>
      </c>
      <c r="BO31" s="71"/>
      <c r="BP31" s="32"/>
      <c r="BQ31" s="72" t="str">
        <f t="array" ref="BQ31">IFERROR(IF(XLOOKUP(CONCAT(BO31,BP31),'MASTER PLAN'!$AB:$AB,'MASTER PLAN'!$J:$J,0,0)=0,"",XLOOKUP(CONCAT(BO31,BP31),'MASTER PLAN'!$AB:$AB,'MASTER PLAN'!$J:$J,0,0)),"")</f>
        <v/>
      </c>
      <c r="BR31" s="73" t="str">
        <f t="array" ref="BR31">IFERROR(IF(XLOOKUP(CONCAT(BO31,BP31),'PROCESOS PRD'!$J:$J,'PROCESOS PRD'!$H:$H,0,0)=0,"",XLOOKUP(CONCAT(BO31,BP31),'PROCESOS PRD'!$J:$J,'PROCESOS PRD'!$H:$H,0,0)),"")</f>
        <v/>
      </c>
      <c r="BS31" s="70"/>
      <c r="BT31" s="71">
        <v>1.40204949E9</v>
      </c>
      <c r="BU31" s="32">
        <v>10.0</v>
      </c>
      <c r="BV31" s="72" t="str">
        <f t="array" ref="BV31">IFERROR(IF(XLOOKUP(CONCAT(BT31,BU31),'MASTER PLAN'!$AB:$AB,'MASTER PLAN'!$J:$J,0,0)=0,"",XLOOKUP(CONCAT(BT31,BU31),'MASTER PLAN'!$AB:$AB,'MASTER PLAN'!$J:$J,0,0)),"")</f>
        <v>BOLSA MAZZARESE 6-5"X3-5X6-5"</v>
      </c>
      <c r="BW31" s="73">
        <f t="array" ref="BW31">IFERROR(IF(XLOOKUP(CONCAT(BT31,BU31),'PROCESOS PRD'!$J:$J,'PROCESOS PRD'!$H:$H,0,0)=0,"",XLOOKUP(CONCAT(BT31,BU31),'PROCESOS PRD'!$J:$J,'PROCESOS PRD'!$H:$H,0,0)),"")</f>
        <v>1800</v>
      </c>
      <c r="BX31" s="71"/>
      <c r="BY31" s="32"/>
      <c r="BZ31" s="72" t="str">
        <f t="array" ref="BZ31">IFERROR(IF(XLOOKUP(CONCAT(BX31,BY31),'MASTER PLAN'!$AB:$AB,'MASTER PLAN'!$J:$J,0,0)=0,"",XLOOKUP(CONCAT(BX31,BY31),'MASTER PLAN'!$AB:$AB,'MASTER PLAN'!$J:$J,0,0)),"")</f>
        <v/>
      </c>
      <c r="CA31" s="73" t="str">
        <f t="array" ref="CA31">IFERROR(IF(XLOOKUP(CONCAT(BX31,BY31),'PROCESOS PRD'!$J:$J,'PROCESOS PRD'!$H:$H,0,0)=0,"",XLOOKUP(CONCAT(BX31,BY31),'PROCESOS PRD'!$J:$J,'PROCESOS PRD'!$H:$H,0,0)),"")</f>
        <v/>
      </c>
      <c r="CB31" s="71"/>
      <c r="CC31" s="32"/>
      <c r="CD31" s="72" t="str">
        <f t="array" ref="CD31">IFERROR(IF(XLOOKUP(CONCAT(CB31,CC31),'MASTER PLAN'!$AB:$AB,'MASTER PLAN'!$J:$J,0,0)=0,"",XLOOKUP(CONCAT(CB31,CC31),'MASTER PLAN'!$AB:$AB,'MASTER PLAN'!$J:$J,0,0)),"")</f>
        <v/>
      </c>
      <c r="CE31" s="73" t="str">
        <f t="array" ref="CE31">IFERROR(IF(XLOOKUP(CONCAT(CB31,CC31),'PROCESOS PRD'!$J:$J,'PROCESOS PRD'!$H:$H,0,0)=0,"",XLOOKUP(CONCAT(CB31,CC31),'PROCESOS PRD'!$J:$J,'PROCESOS PRD'!$H:$H,0,0)),"")</f>
        <v/>
      </c>
      <c r="CF31" s="71"/>
      <c r="CG31" s="32"/>
      <c r="CH31" s="72" t="str">
        <f t="array" ref="CH31">IFERROR(IF(XLOOKUP(CONCAT(CF31,CG31),'MASTER PLAN'!$AB:$AB,'MASTER PLAN'!$J:$J,0,0)=0,"",XLOOKUP(CONCAT(CF31,CG31),'MASTER PLAN'!$AB:$AB,'MASTER PLAN'!$J:$J,0,0)),"")</f>
        <v/>
      </c>
      <c r="CI31" s="73" t="str">
        <f t="array" ref="CI31">IFERROR(IF(XLOOKUP(CONCAT(CF31,CG31),'PROCESOS PRD'!$J:$J,'PROCESOS PRD'!$H:$H,0,0)=0,"",XLOOKUP(CONCAT(CF31,CG31),'PROCESOS PRD'!$J:$J,'PROCESOS PRD'!$H:$H,0,0)),"")</f>
        <v/>
      </c>
      <c r="CJ31" s="71"/>
      <c r="CK31" s="32"/>
      <c r="CL31" s="72" t="str">
        <f t="array" ref="CL31">IFERROR(IF(XLOOKUP(CONCAT(CJ31,CK31),'MASTER PLAN'!$AB:$AB,'MASTER PLAN'!$J:$J,0,0)=0,"",XLOOKUP(CONCAT(CJ31,CK31),'MASTER PLAN'!$AB:$AB,'MASTER PLAN'!$J:$J,0,0)),"")</f>
        <v/>
      </c>
      <c r="CM31" s="73" t="str">
        <f t="array" ref="CM31">IFERROR(IF(XLOOKUP(CONCAT(CJ31,CK31),'PROCESOS PRD'!$J:$J,'PROCESOS PRD'!$H:$H,0,0)=0,"",XLOOKUP(CONCAT(CJ31,CK31),'PROCESOS PRD'!$J:$J,'PROCESOS PRD'!$H:$H,0,0)),"")</f>
        <v/>
      </c>
      <c r="CN31" s="71"/>
      <c r="CO31" s="32"/>
      <c r="CP31" s="72" t="str">
        <f t="array" ref="CP31">IFERROR(IF(XLOOKUP(CONCAT(CN31,CO31),'MASTER PLAN'!$AB:$AB,'MASTER PLAN'!$J:$J,0,0)=0,"",XLOOKUP(CONCAT(CN31,CO31),'MASTER PLAN'!$AB:$AB,'MASTER PLAN'!$J:$J,0,0)),"")</f>
        <v/>
      </c>
      <c r="CQ31" s="73" t="str">
        <f t="array" ref="CQ31">IFERROR(IF(XLOOKUP(CONCAT(CN31,CO31),'PROCESOS PRD'!$J:$J,'PROCESOS PRD'!$H:$H,0,0)=0,"",XLOOKUP(CONCAT(CN31,CO31),'PROCESOS PRD'!$J:$J,'PROCESOS PRD'!$H:$H,0,0)),"")</f>
        <v/>
      </c>
      <c r="CR31" s="70"/>
      <c r="CS31" s="71"/>
      <c r="CT31" s="32"/>
      <c r="CU31" s="72" t="str">
        <f t="array" ref="CU31">IFERROR(IF(XLOOKUP(CONCAT(CS31,CT31),'MASTER PLAN'!$AB:$AB,'MASTER PLAN'!$J:$J,0,0)=0,"",XLOOKUP(CONCAT(CS31,CT31),'MASTER PLAN'!$AB:$AB,'MASTER PLAN'!$J:$J,0,0)),"")</f>
        <v/>
      </c>
      <c r="CV31" s="73" t="str">
        <f t="array" ref="CV31">IFERROR(IF(XLOOKUP(CONCAT(CS31,CT31),'PROCESOS PRD'!$J:$J,'PROCESOS PRD'!$H:$H,0,0)=0,"",XLOOKUP(CONCAT(CS31,CT31),'PROCESOS PRD'!$J:$J,'PROCESOS PRD'!$H:$H,0,0)),"")</f>
        <v/>
      </c>
      <c r="CW31" s="71"/>
      <c r="CX31" s="32"/>
      <c r="CY31" s="72" t="str">
        <f t="array" ref="CY31">IFERROR(IF(XLOOKUP(CONCAT(CW31,CX31),'MASTER PLAN'!$AB:$AB,'MASTER PLAN'!$J:$J,0,0)=0,"",XLOOKUP(CONCAT(CW31,CX31),'MASTER PLAN'!$AB:$AB,'MASTER PLAN'!$J:$J,0,0)),"")</f>
        <v/>
      </c>
      <c r="CZ31" s="73" t="str">
        <f t="array" ref="CZ31">IFERROR(IF(XLOOKUP(CONCAT(CW31,CX31),'PROCESOS PRD'!$J:$J,'PROCESOS PRD'!$H:$H,0,0)=0,"",XLOOKUP(CONCAT(CW31,CX31),'PROCESOS PRD'!$J:$J,'PROCESOS PRD'!$H:$H,0,0)),"")</f>
        <v/>
      </c>
      <c r="DA31" s="71"/>
      <c r="DB31" s="32"/>
      <c r="DC31" s="72" t="str">
        <f t="array" ref="DC31">IFERROR(IF(XLOOKUP(CONCAT(DA31,DB31),'MASTER PLAN'!$AB:$AB,'MASTER PLAN'!$J:$J,0,0)=0,"",XLOOKUP(CONCAT(DA31,DB31),'MASTER PLAN'!$AB:$AB,'MASTER PLAN'!$J:$J,0,0)),"")</f>
        <v/>
      </c>
      <c r="DD31" s="73" t="str">
        <f t="array" ref="DD31">IFERROR(IF(XLOOKUP(CONCAT(DA31,DB31),'PROCESOS PRD'!$J:$J,'PROCESOS PRD'!$H:$H,0,0)=0,"",XLOOKUP(CONCAT(DA31,DB31),'PROCESOS PRD'!$J:$J,'PROCESOS PRD'!$H:$H,0,0)),"")</f>
        <v/>
      </c>
      <c r="DE31" s="71"/>
      <c r="DF31" s="32"/>
      <c r="DG31" s="72" t="str">
        <f t="array" ref="DG31">IFERROR(IF(XLOOKUP(CONCAT(DE31,DF31),'MASTER PLAN'!$AB:$AB,'MASTER PLAN'!$J:$J,0,0)=0,"",XLOOKUP(CONCAT(DE31,DF31),'MASTER PLAN'!$AB:$AB,'MASTER PLAN'!$J:$J,0,0)),"")</f>
        <v/>
      </c>
      <c r="DH31" s="73" t="str">
        <f t="array" ref="DH31">IFERROR(IF(XLOOKUP(CONCAT(DE31,DF31),'PROCESOS PRD'!$J:$J,'PROCESOS PRD'!$H:$H,0,0)=0,"",XLOOKUP(CONCAT(DE31,DF31),'PROCESOS PRD'!$J:$J,'PROCESOS PRD'!$H:$H,0,0)),"")</f>
        <v/>
      </c>
      <c r="DI31" s="71"/>
      <c r="DJ31" s="32"/>
      <c r="DK31" s="72" t="str">
        <f t="array" ref="DK31">IFERROR(IF(XLOOKUP(CONCAT(DI31,DJ31),'MASTER PLAN'!$AB:$AB,'MASTER PLAN'!$J:$J,0,0)=0,"",XLOOKUP(CONCAT(DI31,DJ31),'MASTER PLAN'!$AB:$AB,'MASTER PLAN'!$J:$J,0,0)),"")</f>
        <v/>
      </c>
      <c r="DL31" s="73" t="str">
        <f t="array" ref="DL31">IFERROR(IF(XLOOKUP(CONCAT(DI31,DJ31),'PROCESOS PRD'!$J:$J,'PROCESOS PRD'!$H:$H,0,0)=0,"",XLOOKUP(CONCAT(DI31,DJ31),'PROCESOS PRD'!$J:$J,'PROCESOS PRD'!$H:$H,0,0)),"")</f>
        <v/>
      </c>
      <c r="DM31" s="71"/>
      <c r="DN31" s="32"/>
      <c r="DO31" s="72" t="str">
        <f t="array" ref="DO31">IFERROR(IF(XLOOKUP(CONCAT(DM31,DN31),'MASTER PLAN'!$AB:$AB,'MASTER PLAN'!$J:$J,0,0)=0,"",XLOOKUP(CONCAT(DM31,DN31),'MASTER PLAN'!$AB:$AB,'MASTER PLAN'!$J:$J,0,0)),"")</f>
        <v/>
      </c>
      <c r="DP31" s="73" t="str">
        <f t="array" ref="DP31">IFERROR(IF(XLOOKUP(CONCAT(DM31,DN31),'PROCESOS PRD'!$J:$J,'PROCESOS PRD'!$H:$H,0,0)=0,"",XLOOKUP(CONCAT(DM31,DN31),'PROCESOS PRD'!$J:$J,'PROCESOS PRD'!$H:$H,0,0)),"")</f>
        <v/>
      </c>
      <c r="DQ31" s="70"/>
      <c r="DR31" s="71"/>
      <c r="DS31" s="32"/>
      <c r="DT31" s="72" t="str">
        <f t="array" ref="DT31">IFERROR(IF(XLOOKUP(CONCAT(DR31,DS31),'MASTER PLAN'!$AB:$AB,'MASTER PLAN'!$J:$J,0,0)=0,"",XLOOKUP(CONCAT(DR31,DS31),'MASTER PLAN'!$AB:$AB,'MASTER PLAN'!$J:$J,0,0)),"")</f>
        <v/>
      </c>
      <c r="DU31" s="73" t="str">
        <f t="array" ref="DU31">IFERROR(IF(XLOOKUP(CONCAT(DR31,DS31),'PROCESOS PRD'!$J:$J,'PROCESOS PRD'!$H:$H,0,0)=0,"",XLOOKUP(CONCAT(DR31,DS31),'PROCESOS PRD'!$J:$J,'PROCESOS PRD'!$H:$H,0,0)),"")</f>
        <v/>
      </c>
      <c r="DV31" s="71"/>
      <c r="DW31" s="32"/>
      <c r="DX31" s="72" t="str">
        <f t="array" ref="DX31">IFERROR(IF(XLOOKUP(CONCAT(DV31,DW31),'MASTER PLAN'!$AB:$AB,'MASTER PLAN'!$J:$J,0,0)=0,"",XLOOKUP(CONCAT(DV31,DW31),'MASTER PLAN'!$AB:$AB,'MASTER PLAN'!$J:$J,0,0)),"")</f>
        <v/>
      </c>
      <c r="DY31" s="73" t="str">
        <f t="array" ref="DY31">IFERROR(IF(XLOOKUP(CONCAT(DV31,DW31),'PROCESOS PRD'!$J:$J,'PROCESOS PRD'!$H:$H,0,0)=0,"",XLOOKUP(CONCAT(DV31,DW31),'PROCESOS PRD'!$J:$J,'PROCESOS PRD'!$H:$H,0,0)),"")</f>
        <v/>
      </c>
      <c r="DZ31" s="71"/>
      <c r="EA31" s="32"/>
      <c r="EB31" s="72" t="str">
        <f t="array" ref="EB31">IFERROR(IF(XLOOKUP(CONCAT(DZ31,EA31),'MASTER PLAN'!$AB:$AB,'MASTER PLAN'!$J:$J,0,0)=0,"",XLOOKUP(CONCAT(DZ31,EA31),'MASTER PLAN'!$AB:$AB,'MASTER PLAN'!$J:$J,0,0)),"")</f>
        <v/>
      </c>
      <c r="EC31" s="73" t="str">
        <f t="array" ref="EC31">IFERROR(IF(XLOOKUP(CONCAT(DZ31,EA31),'PROCESOS PRD'!$J:$J,'PROCESOS PRD'!$H:$H,0,0)=0,"",XLOOKUP(CONCAT(DZ31,EA31),'PROCESOS PRD'!$J:$J,'PROCESOS PRD'!$H:$H,0,0)),"")</f>
        <v/>
      </c>
      <c r="ED31" s="71"/>
      <c r="EE31" s="32"/>
      <c r="EF31" s="72" t="str">
        <f t="array" ref="EF31">IFERROR(IF(XLOOKUP(CONCAT(ED31,EE31),'MASTER PLAN'!$AB:$AB,'MASTER PLAN'!$J:$J,0,0)=0,"",XLOOKUP(CONCAT(ED31,EE31),'MASTER PLAN'!$AB:$AB,'MASTER PLAN'!$J:$J,0,0)),"")</f>
        <v/>
      </c>
      <c r="EG31" s="73" t="str">
        <f t="array" ref="EG31">IFERROR(IF(XLOOKUP(CONCAT(ED31,EE31),'PROCESOS PRD'!$J:$J,'PROCESOS PRD'!$H:$H,0,0)=0,"",XLOOKUP(CONCAT(ED31,EE31),'PROCESOS PRD'!$J:$J,'PROCESOS PRD'!$H:$H,0,0)),"")</f>
        <v/>
      </c>
      <c r="EH31" s="71"/>
      <c r="EI31" s="32"/>
      <c r="EJ31" s="72" t="str">
        <f t="array" ref="EJ31">IFERROR(IF(XLOOKUP(CONCAT(EH31,EI31),'MASTER PLAN'!$AB:$AB,'MASTER PLAN'!$J:$J,0,0)=0,"",XLOOKUP(CONCAT(EH31,EI31),'MASTER PLAN'!$AB:$AB,'MASTER PLAN'!$J:$J,0,0)),"")</f>
        <v/>
      </c>
      <c r="EK31" s="73" t="str">
        <f t="array" ref="EK31">IFERROR(IF(XLOOKUP(CONCAT(EH31,EI31),'PROCESOS PRD'!$J:$J,'PROCESOS PRD'!$H:$H,0,0)=0,"",XLOOKUP(CONCAT(EH31,EI31),'PROCESOS PRD'!$J:$J,'PROCESOS PRD'!$H:$H,0,0)),"")</f>
        <v/>
      </c>
      <c r="EL31" s="71"/>
      <c r="EM31" s="32"/>
      <c r="EN31" s="72" t="str">
        <f t="array" ref="EN31">IFERROR(IF(XLOOKUP(CONCAT(EL31,EM31),'MASTER PLAN'!$AB:$AB,'MASTER PLAN'!$J:$J,0,0)=0,"",XLOOKUP(CONCAT(EL31,EM31),'MASTER PLAN'!$AB:$AB,'MASTER PLAN'!$J:$J,0,0)),"")</f>
        <v/>
      </c>
      <c r="EO31" s="73" t="str">
        <f t="array" ref="EO31">IFERROR(IF(XLOOKUP(CONCAT(EL31,EM31),'PROCESOS PRD'!$J:$J,'PROCESOS PRD'!$H:$H,0,0)=0,"",XLOOKUP(CONCAT(EL31,EM31),'PROCESOS PRD'!$J:$J,'PROCESOS PRD'!$H:$H,0,0)),"")</f>
        <v/>
      </c>
      <c r="EP31" s="70"/>
      <c r="EQ31" s="71"/>
      <c r="ER31" s="32"/>
      <c r="ES31" s="72" t="str">
        <f t="array" ref="ES31">IFERROR(IF(XLOOKUP(CONCAT(EQ31,ER31),'MASTER PLAN'!$AB:$AB,'MASTER PLAN'!$J:$J,0,0)=0,"",XLOOKUP(CONCAT(EQ31,ER31),'MASTER PLAN'!$AB:$AB,'MASTER PLAN'!$J:$J,0,0)),"")</f>
        <v/>
      </c>
      <c r="ET31" s="73" t="str">
        <f t="array" ref="ET31">IFERROR(IF(XLOOKUP(CONCAT(EQ31,ER31),'PROCESOS PRD'!$J:$J,'PROCESOS PRD'!$H:$H,0,0)=0,"",XLOOKUP(CONCAT(EQ31,ER31),'PROCESOS PRD'!$J:$J,'PROCESOS PRD'!$H:$H,0,0)),"")</f>
        <v/>
      </c>
      <c r="EU31" s="71"/>
      <c r="EV31" s="32"/>
      <c r="EW31" s="72" t="str">
        <f t="array" ref="EW31">IFERROR(IF(XLOOKUP(CONCAT(EU31,EV31),'MASTER PLAN'!$AB:$AB,'MASTER PLAN'!$J:$J,0,0)=0,"",XLOOKUP(CONCAT(EU31,EV31),'MASTER PLAN'!$AB:$AB,'MASTER PLAN'!$J:$J,0,0)),"")</f>
        <v/>
      </c>
      <c r="EX31" s="73" t="str">
        <f t="array" ref="EX31">IFERROR(IF(XLOOKUP(CONCAT(EU31,EV31),'PROCESOS PRD'!$J:$J,'PROCESOS PRD'!$H:$H,0,0)=0,"",XLOOKUP(CONCAT(EU31,EV31),'PROCESOS PRD'!$J:$J,'PROCESOS PRD'!$H:$H,0,0)),"")</f>
        <v/>
      </c>
      <c r="EY31" s="71"/>
      <c r="EZ31" s="32"/>
      <c r="FA31" s="72" t="str">
        <f t="array" ref="FA31">IFERROR(IF(XLOOKUP(CONCAT(EY31,EZ31),'MASTER PLAN'!$AB:$AB,'MASTER PLAN'!$J:$J,0,0)=0,"",XLOOKUP(CONCAT(EY31,EZ31),'MASTER PLAN'!$AB:$AB,'MASTER PLAN'!$J:$J,0,0)),"")</f>
        <v/>
      </c>
      <c r="FB31" s="73" t="str">
        <f t="array" ref="FB31">IFERROR(IF(XLOOKUP(CONCAT(EY31,EZ31),'PROCESOS PRD'!$J:$J,'PROCESOS PRD'!$H:$H,0,0)=0,"",XLOOKUP(CONCAT(EY31,EZ31),'PROCESOS PRD'!$J:$J,'PROCESOS PRD'!$H:$H,0,0)),"")</f>
        <v/>
      </c>
      <c r="FC31" s="71"/>
      <c r="FD31" s="32"/>
      <c r="FE31" s="72" t="str">
        <f t="array" ref="FE31">IFERROR(IF(XLOOKUP(CONCAT(FC31,FD31),'MASTER PLAN'!$AB:$AB,'MASTER PLAN'!$J:$J,0,0)=0,"",XLOOKUP(CONCAT(FC31,FD31),'MASTER PLAN'!$AB:$AB,'MASTER PLAN'!$J:$J,0,0)),"")</f>
        <v/>
      </c>
      <c r="FF31" s="73" t="str">
        <f t="array" ref="FF31">IFERROR(IF(XLOOKUP(CONCAT(FC31,FD31),'PROCESOS PRD'!$J:$J,'PROCESOS PRD'!$H:$H,0,0)=0,"",XLOOKUP(CONCAT(FC31,FD31),'PROCESOS PRD'!$J:$J,'PROCESOS PRD'!$H:$H,0,0)),"")</f>
        <v/>
      </c>
      <c r="FG31" s="71"/>
      <c r="FH31" s="32"/>
      <c r="FI31" s="72" t="str">
        <f t="array" ref="FI31">IFERROR(IF(XLOOKUP(CONCAT(FG31,FH31),'MASTER PLAN'!$AB:$AB,'MASTER PLAN'!$J:$J,0,0)=0,"",XLOOKUP(CONCAT(FG31,FH31),'MASTER PLAN'!$AB:$AB,'MASTER PLAN'!$J:$J,0,0)),"")</f>
        <v/>
      </c>
      <c r="FJ31" s="73" t="str">
        <f t="array" ref="FJ31">IFERROR(IF(XLOOKUP(CONCAT(FG31,FH31),'PROCESOS PRD'!$J:$J,'PROCESOS PRD'!$H:$H,0,0)=0,"",XLOOKUP(CONCAT(FG31,FH31),'PROCESOS PRD'!$J:$J,'PROCESOS PRD'!$H:$H,0,0)),"")</f>
        <v/>
      </c>
      <c r="FK31" s="71"/>
      <c r="FL31" s="32"/>
      <c r="FM31" s="72" t="str">
        <f t="array" ref="FM31">IFERROR(IF(XLOOKUP(CONCAT(FK31,FL31),'MASTER PLAN'!$AB:$AB,'MASTER PLAN'!$J:$J,0,0)=0,"",XLOOKUP(CONCAT(FK31,FL31),'MASTER PLAN'!$AB:$AB,'MASTER PLAN'!$J:$J,0,0)),"")</f>
        <v/>
      </c>
      <c r="FN31" s="73" t="str">
        <f t="array" ref="FN31">IFERROR(IF(XLOOKUP(CONCAT(FK31,FL31),'PROCESOS PRD'!$J:$J,'PROCESOS PRD'!$H:$H,0,0)=0,"",XLOOKUP(CONCAT(FK31,FL31),'PROCESOS PRD'!$J:$J,'PROCESOS PRD'!$H:$H,0,0)),"")</f>
        <v/>
      </c>
      <c r="FO31" s="70"/>
      <c r="FP31" s="71"/>
      <c r="FQ31" s="32"/>
      <c r="FR31" s="72" t="str">
        <f t="array" ref="FR31">IFERROR(IF(XLOOKUP(CONCAT(FP31,FQ31),'MASTER PLAN'!$AB:$AB,'MASTER PLAN'!$J:$J,0,0)=0,"",XLOOKUP(CONCAT(FP31,FQ31),'MASTER PLAN'!$AB:$AB,'MASTER PLAN'!$J:$J,0,0)),"")</f>
        <v/>
      </c>
      <c r="FS31" s="73" t="str">
        <f t="array" ref="FS31">IFERROR(IF(XLOOKUP(CONCAT(FP31,FQ31),'PROCESOS PRD'!$J:$J,'PROCESOS PRD'!$H:$H,0,0)=0,"",XLOOKUP(CONCAT(FP31,FQ31),'PROCESOS PRD'!$J:$J,'PROCESOS PRD'!$H:$H,0,0)),"")</f>
        <v/>
      </c>
      <c r="FT31" s="71"/>
      <c r="FU31" s="32"/>
      <c r="FV31" s="72" t="str">
        <f t="array" ref="FV31">IFERROR(IF(XLOOKUP(CONCAT(FT31,FU31),'MASTER PLAN'!$AB:$AB,'MASTER PLAN'!$J:$J,0,0)=0,"",XLOOKUP(CONCAT(FT31,FU31),'MASTER PLAN'!$AB:$AB,'MASTER PLAN'!$J:$J,0,0)),"")</f>
        <v/>
      </c>
      <c r="FW31" s="73" t="str">
        <f t="array" ref="FW31">IFERROR(IF(XLOOKUP(CONCAT(FT31,FU31),'PROCESOS PRD'!$J:$J,'PROCESOS PRD'!$H:$H,0,0)=0,"",XLOOKUP(CONCAT(FT31,FU31),'PROCESOS PRD'!$J:$J,'PROCESOS PRD'!$H:$H,0,0)),"")</f>
        <v/>
      </c>
      <c r="FX31" s="71"/>
      <c r="FY31" s="32"/>
      <c r="FZ31" s="72" t="str">
        <f t="array" ref="FZ31">IFERROR(IF(XLOOKUP(CONCAT(FX31,FY31),'MASTER PLAN'!$AB:$AB,'MASTER PLAN'!$J:$J,0,0)=0,"",XLOOKUP(CONCAT(FX31,FY31),'MASTER PLAN'!$AB:$AB,'MASTER PLAN'!$J:$J,0,0)),"")</f>
        <v/>
      </c>
      <c r="GA31" s="73" t="str">
        <f t="array" ref="GA31">IFERROR(IF(XLOOKUP(CONCAT(FX31,FY31),'PROCESOS PRD'!$J:$J,'PROCESOS PRD'!$H:$H,0,0)=0,"",XLOOKUP(CONCAT(FX31,FY31),'PROCESOS PRD'!$J:$J,'PROCESOS PRD'!$H:$H,0,0)),"")</f>
        <v/>
      </c>
      <c r="GB31" s="71"/>
      <c r="GC31" s="32"/>
      <c r="GD31" s="72" t="str">
        <f t="array" ref="GD31">IFERROR(IF(XLOOKUP(CONCAT(GB31,GC31),'MASTER PLAN'!$AB:$AB,'MASTER PLAN'!$J:$J,0,0)=0,"",XLOOKUP(CONCAT(GB31,GC31),'MASTER PLAN'!$AB:$AB,'MASTER PLAN'!$J:$J,0,0)),"")</f>
        <v/>
      </c>
      <c r="GE31" s="73" t="str">
        <f t="array" ref="GE31">IFERROR(IF(XLOOKUP(CONCAT(GB31,GC31),'PROCESOS PRD'!$J:$J,'PROCESOS PRD'!$H:$H,0,0)=0,"",XLOOKUP(CONCAT(GB31,GC31),'PROCESOS PRD'!$J:$J,'PROCESOS PRD'!$H:$H,0,0)),"")</f>
        <v/>
      </c>
      <c r="GF31" s="71"/>
      <c r="GG31" s="32"/>
      <c r="GH31" s="72" t="str">
        <f t="array" ref="GH31">IFERROR(IF(XLOOKUP(CONCAT(GF31,GG31),'MASTER PLAN'!$AB:$AB,'MASTER PLAN'!$J:$J,0,0)=0,"",XLOOKUP(CONCAT(GF31,GG31),'MASTER PLAN'!$AB:$AB,'MASTER PLAN'!$J:$J,0,0)),"")</f>
        <v/>
      </c>
      <c r="GI31" s="73" t="str">
        <f t="array" ref="GI31">IFERROR(IF(XLOOKUP(CONCAT(GF31,GG31),'PROCESOS PRD'!$J:$J,'PROCESOS PRD'!$H:$H,0,0)=0,"",XLOOKUP(CONCAT(GF31,GG31),'PROCESOS PRD'!$J:$J,'PROCESOS PRD'!$H:$H,0,0)),"")</f>
        <v/>
      </c>
      <c r="GJ31" s="71"/>
      <c r="GK31" s="32"/>
      <c r="GL31" s="72" t="str">
        <f t="array" ref="GL31">IFERROR(IF(XLOOKUP(CONCAT(GJ31,GK31),'MASTER PLAN'!$AB:$AB,'MASTER PLAN'!$J:$J,0,0)=0,"",XLOOKUP(CONCAT(GJ31,GK31),'MASTER PLAN'!$AB:$AB,'MASTER PLAN'!$J:$J,0,0)),"")</f>
        <v/>
      </c>
      <c r="GM31" s="73" t="str">
        <f t="array" ref="GM31">IFERROR(IF(XLOOKUP(CONCAT(GJ31,GK31),'PROCESOS PRD'!$J:$J,'PROCESOS PRD'!$H:$H,0,0)=0,"",XLOOKUP(CONCAT(GJ31,GK31),'PROCESOS PRD'!$J:$J,'PROCESOS PRD'!$H:$H,0,0)),"")</f>
        <v/>
      </c>
      <c r="GN31" s="70"/>
      <c r="GO31" s="71"/>
      <c r="GP31" s="32"/>
      <c r="GQ31" s="72" t="str">
        <f t="array" ref="GQ31">IFERROR(IF(XLOOKUP(CONCAT(GO31,GP31),'MASTER PLAN'!$AB:$AB,'MASTER PLAN'!$J:$J,0,0)=0,"",XLOOKUP(CONCAT(GO31,GP31),'MASTER PLAN'!$AB:$AB,'MASTER PLAN'!$J:$J,0,0)),"")</f>
        <v/>
      </c>
      <c r="GR31" s="73" t="str">
        <f t="array" ref="GR31">IFERROR(IF(XLOOKUP(CONCAT(GO31,GP31),'PROCESOS PRD'!$J:$J,'PROCESOS PRD'!$H:$H,0,0)=0,"",XLOOKUP(CONCAT(GO31,GP31),'PROCESOS PRD'!$J:$J,'PROCESOS PRD'!$H:$H,0,0)),"")</f>
        <v/>
      </c>
      <c r="GS31" s="71"/>
      <c r="GT31" s="32"/>
      <c r="GU31" s="72" t="str">
        <f t="array" ref="GU31">IFERROR(IF(XLOOKUP(CONCAT(GS31,GT31),'MASTER PLAN'!$AB:$AB,'MASTER PLAN'!$J:$J,0,0)=0,"",XLOOKUP(CONCAT(GS31,GT31),'MASTER PLAN'!$AB:$AB,'MASTER PLAN'!$J:$J,0,0)),"")</f>
        <v/>
      </c>
      <c r="GV31" s="73" t="str">
        <f t="array" ref="GV31">IFERROR(IF(XLOOKUP(CONCAT(GS31,GT31),'PROCESOS PRD'!$J:$J,'PROCESOS PRD'!$H:$H,0,0)=0,"",XLOOKUP(CONCAT(GS31,GT31),'PROCESOS PRD'!$J:$J,'PROCESOS PRD'!$H:$H,0,0)),"")</f>
        <v/>
      </c>
      <c r="GW31" s="71"/>
      <c r="GX31" s="32"/>
      <c r="GY31" s="72" t="str">
        <f t="array" ref="GY31">IFERROR(IF(XLOOKUP(CONCAT(GW31,GX31),'MASTER PLAN'!$AB:$AB,'MASTER PLAN'!$J:$J,0,0)=0,"",XLOOKUP(CONCAT(GW31,GX31),'MASTER PLAN'!$AB:$AB,'MASTER PLAN'!$J:$J,0,0)),"")</f>
        <v/>
      </c>
      <c r="GZ31" s="73" t="str">
        <f t="array" ref="GZ31">IFERROR(IF(XLOOKUP(CONCAT(GW31,GX31),'PROCESOS PRD'!$J:$J,'PROCESOS PRD'!$H:$H,0,0)=0,"",XLOOKUP(CONCAT(GW31,GX31),'PROCESOS PRD'!$J:$J,'PROCESOS PRD'!$H:$H,0,0)),"")</f>
        <v/>
      </c>
      <c r="HA31" s="71"/>
      <c r="HB31" s="32"/>
      <c r="HC31" s="72" t="str">
        <f t="array" ref="HC31">IFERROR(IF(XLOOKUP(CONCAT(HA31,HB31),'MASTER PLAN'!$AB:$AB,'MASTER PLAN'!$J:$J,0,0)=0,"",XLOOKUP(CONCAT(HA31,HB31),'MASTER PLAN'!$AB:$AB,'MASTER PLAN'!$J:$J,0,0)),"")</f>
        <v/>
      </c>
      <c r="HD31" s="73" t="str">
        <f t="array" ref="HD31">IFERROR(IF(XLOOKUP(CONCAT(HA31,HB31),'PROCESOS PRD'!$J:$J,'PROCESOS PRD'!$H:$H,0,0)=0,"",XLOOKUP(CONCAT(HA31,HB31),'PROCESOS PRD'!$J:$J,'PROCESOS PRD'!$H:$H,0,0)),"")</f>
        <v/>
      </c>
      <c r="HE31" s="71"/>
      <c r="HF31" s="32"/>
      <c r="HG31" s="72" t="str">
        <f t="array" ref="HG31">IFERROR(IF(XLOOKUP(CONCAT(HE31,HF31),'MASTER PLAN'!$AB:$AB,'MASTER PLAN'!$J:$J,0,0)=0,"",XLOOKUP(CONCAT(HE31,HF31),'MASTER PLAN'!$AB:$AB,'MASTER PLAN'!$J:$J,0,0)),"")</f>
        <v/>
      </c>
      <c r="HH31" s="73" t="str">
        <f t="array" ref="HH31">IFERROR(IF(XLOOKUP(CONCAT(HE31,HF31),'PROCESOS PRD'!$J:$J,'PROCESOS PRD'!$H:$H,0,0)=0,"",XLOOKUP(CONCAT(HE31,HF31),'PROCESOS PRD'!$J:$J,'PROCESOS PRD'!$H:$H,0,0)),"")</f>
        <v/>
      </c>
      <c r="HI31" s="71"/>
      <c r="HJ31" s="32"/>
      <c r="HK31" s="72" t="str">
        <f t="array" ref="HK31">IFERROR(IF(XLOOKUP(CONCAT(HI31,HJ31),'MASTER PLAN'!$AB:$AB,'MASTER PLAN'!$J:$J,0,0)=0,"",XLOOKUP(CONCAT(HI31,HJ31),'MASTER PLAN'!$AB:$AB,'MASTER PLAN'!$J:$J,0,0)),"")</f>
        <v/>
      </c>
      <c r="HL31" s="73" t="str">
        <f t="array" ref="HL31">IFERROR(IF(XLOOKUP(CONCAT(HI31,HJ31),'PROCESOS PRD'!$J:$J,'PROCESOS PRD'!$H:$H,0,0)=0,"",XLOOKUP(CONCAT(HI31,HJ31),'PROCESOS PRD'!$J:$J,'PROCESOS PRD'!$H:$H,0,0)),"")</f>
        <v/>
      </c>
      <c r="HM31" s="70"/>
      <c r="HN31" s="71"/>
      <c r="HO31" s="32"/>
      <c r="HP31" s="72" t="str">
        <f t="array" ref="HP31">IFERROR(IF(XLOOKUP(CONCAT(HN31,HO31),'MASTER PLAN'!$AB:$AB,'MASTER PLAN'!$J:$J,0,0)=0,"",XLOOKUP(CONCAT(HN31,HO31),'MASTER PLAN'!$AB:$AB,'MASTER PLAN'!$J:$J,0,0)),"")</f>
        <v/>
      </c>
      <c r="HQ31" s="73" t="str">
        <f t="array" ref="HQ31">IFERROR(IF(XLOOKUP(CONCAT(HN31,HO31),'PROCESOS PRD'!$J:$J,'PROCESOS PRD'!$H:$H,0,0)=0,"",XLOOKUP(CONCAT(HN31,HO31),'PROCESOS PRD'!$J:$J,'PROCESOS PRD'!$H:$H,0,0)),"")</f>
        <v/>
      </c>
      <c r="HR31" s="71"/>
      <c r="HS31" s="32"/>
      <c r="HT31" s="72" t="str">
        <f t="array" ref="HT31">IFERROR(IF(XLOOKUP(CONCAT(HR31,HS31),'MASTER PLAN'!$AB:$AB,'MASTER PLAN'!$J:$J,0,0)=0,"",XLOOKUP(CONCAT(HR31,HS31),'MASTER PLAN'!$AB:$AB,'MASTER PLAN'!$J:$J,0,0)),"")</f>
        <v/>
      </c>
      <c r="HU31" s="73" t="str">
        <f t="array" ref="HU31">IFERROR(IF(XLOOKUP(CONCAT(HR31,HS31),'PROCESOS PRD'!$J:$J,'PROCESOS PRD'!$H:$H,0,0)=0,"",XLOOKUP(CONCAT(HR31,HS31),'PROCESOS PRD'!$J:$J,'PROCESOS PRD'!$H:$H,0,0)),"")</f>
        <v/>
      </c>
      <c r="HV31" s="71"/>
      <c r="HW31" s="32"/>
      <c r="HX31" s="72" t="str">
        <f t="array" ref="HX31">IFERROR(IF(XLOOKUP(CONCAT(HV31,HW31),'MASTER PLAN'!$AB:$AB,'MASTER PLAN'!$J:$J,0,0)=0,"",XLOOKUP(CONCAT(HV31,HW31),'MASTER PLAN'!$AB:$AB,'MASTER PLAN'!$J:$J,0,0)),"")</f>
        <v/>
      </c>
      <c r="HY31" s="73" t="str">
        <f t="array" ref="HY31">IFERROR(IF(XLOOKUP(CONCAT(HV31,HW31),'PROCESOS PRD'!$J:$J,'PROCESOS PRD'!$H:$H,0,0)=0,"",XLOOKUP(CONCAT(HV31,HW31),'PROCESOS PRD'!$J:$J,'PROCESOS PRD'!$H:$H,0,0)),"")</f>
        <v/>
      </c>
      <c r="HZ31" s="71"/>
      <c r="IA31" s="32"/>
      <c r="IB31" s="72" t="str">
        <f t="array" ref="IB31">IFERROR(IF(XLOOKUP(CONCAT(HZ31,IA31),'MASTER PLAN'!$AB:$AB,'MASTER PLAN'!$J:$J,0,0)=0,"",XLOOKUP(CONCAT(HZ31,IA31),'MASTER PLAN'!$AB:$AB,'MASTER PLAN'!$J:$J,0,0)),"")</f>
        <v/>
      </c>
      <c r="IC31" s="73" t="str">
        <f t="array" ref="IC31">IFERROR(IF(XLOOKUP(CONCAT(HZ31,IA31),'PROCESOS PRD'!$J:$J,'PROCESOS PRD'!$H:$H,0,0)=0,"",XLOOKUP(CONCAT(HZ31,IA31),'PROCESOS PRD'!$J:$J,'PROCESOS PRD'!$H:$H,0,0)),"")</f>
        <v/>
      </c>
      <c r="ID31" s="71"/>
      <c r="IE31" s="32"/>
      <c r="IF31" s="72" t="str">
        <f t="array" ref="IF31">IFERROR(IF(XLOOKUP(CONCAT(ID31,IE31),'MASTER PLAN'!$AB:$AB,'MASTER PLAN'!$J:$J,0,0)=0,"",XLOOKUP(CONCAT(ID31,IE31),'MASTER PLAN'!$AB:$AB,'MASTER PLAN'!$J:$J,0,0)),"")</f>
        <v/>
      </c>
      <c r="IG31" s="73" t="str">
        <f t="array" ref="IG31">IFERROR(IF(XLOOKUP(CONCAT(ID31,IE31),'PROCESOS PRD'!$J:$J,'PROCESOS PRD'!$H:$H,0,0)=0,"",XLOOKUP(CONCAT(ID31,IE31),'PROCESOS PRD'!$J:$J,'PROCESOS PRD'!$H:$H,0,0)),"")</f>
        <v/>
      </c>
      <c r="IH31" s="71"/>
      <c r="II31" s="32"/>
      <c r="IJ31" s="72" t="str">
        <f t="array" ref="IJ31">IFERROR(IF(XLOOKUP(CONCAT(IH31,II31),'MASTER PLAN'!$AB:$AB,'MASTER PLAN'!$J:$J,0,0)=0,"",XLOOKUP(CONCAT(IH31,II31),'MASTER PLAN'!$AB:$AB,'MASTER PLAN'!$J:$J,0,0)),"")</f>
        <v/>
      </c>
      <c r="IK31" s="73" t="str">
        <f t="array" ref="IK31">IFERROR(IF(XLOOKUP(CONCAT(IH31,II31),'PROCESOS PRD'!$J:$J,'PROCESOS PRD'!$H:$H,0,0)=0,"",XLOOKUP(CONCAT(IH31,II31),'PROCESOS PRD'!$J:$J,'PROCESOS PRD'!$H:$H,0,0)),"")</f>
        <v/>
      </c>
      <c r="IL31" s="70"/>
      <c r="IM31" s="71"/>
      <c r="IN31" s="32"/>
      <c r="IO31" s="72" t="str">
        <f t="array" ref="IO31">IFERROR(IF(XLOOKUP(CONCAT(IM31,IN31),'MASTER PLAN'!$AB:$AB,'MASTER PLAN'!$J:$J,0,0)=0,"",XLOOKUP(CONCAT(IM31,IN31),'MASTER PLAN'!$AB:$AB,'MASTER PLAN'!$J:$J,0,0)),"")</f>
        <v/>
      </c>
      <c r="IP31" s="73" t="str">
        <f t="array" ref="IP31">IFERROR(IF(XLOOKUP(CONCAT(IM31,IN31),'PROCESOS PRD'!$J:$J,'PROCESOS PRD'!$H:$H,0,0)=0,"",XLOOKUP(CONCAT(IM31,IN31),'PROCESOS PRD'!$J:$J,'PROCESOS PRD'!$H:$H,0,0)),"")</f>
        <v/>
      </c>
      <c r="IQ31" s="71"/>
      <c r="IR31" s="32"/>
      <c r="IS31" s="72" t="str">
        <f t="array" ref="IS31">IFERROR(IF(XLOOKUP(CONCAT(IQ31,IR31),'MASTER PLAN'!$AB:$AB,'MASTER PLAN'!$J:$J,0,0)=0,"",XLOOKUP(CONCAT(IQ31,IR31),'MASTER PLAN'!$AB:$AB,'MASTER PLAN'!$J:$J,0,0)),"")</f>
        <v/>
      </c>
      <c r="IT31" s="73" t="str">
        <f t="array" ref="IT31">IFERROR(IF(XLOOKUP(CONCAT(IQ31,IR31),'PROCESOS PRD'!$J:$J,'PROCESOS PRD'!$H:$H,0,0)=0,"",XLOOKUP(CONCAT(IQ31,IR31),'PROCESOS PRD'!$J:$J,'PROCESOS PRD'!$H:$H,0,0)),"")</f>
        <v/>
      </c>
      <c r="IU31" s="71"/>
      <c r="IV31" s="32"/>
      <c r="IW31" s="72" t="str">
        <f t="array" ref="IW31">IFERROR(IF(XLOOKUP(CONCAT(IU31,IV31),'MASTER PLAN'!$AB:$AB,'MASTER PLAN'!$J:$J,0,0)=0,"",XLOOKUP(CONCAT(IU31,IV31),'MASTER PLAN'!$AB:$AB,'MASTER PLAN'!$J:$J,0,0)),"")</f>
        <v/>
      </c>
      <c r="IX31" s="73" t="str">
        <f t="array" ref="IX31">IFERROR(IF(XLOOKUP(CONCAT(IU31,IV31),'PROCESOS PRD'!$J:$J,'PROCESOS PRD'!$H:$H,0,0)=0,"",XLOOKUP(CONCAT(IU31,IV31),'PROCESOS PRD'!$J:$J,'PROCESOS PRD'!$H:$H,0,0)),"")</f>
        <v/>
      </c>
      <c r="IY31" s="71"/>
      <c r="IZ31" s="32"/>
      <c r="JA31" s="72" t="str">
        <f t="array" ref="JA31">IFERROR(IF(XLOOKUP(CONCAT(IY31,IZ31),'MASTER PLAN'!$AB:$AB,'MASTER PLAN'!$J:$J,0,0)=0,"",XLOOKUP(CONCAT(IY31,IZ31),'MASTER PLAN'!$AB:$AB,'MASTER PLAN'!$J:$J,0,0)),"")</f>
        <v/>
      </c>
      <c r="JB31" s="73" t="str">
        <f t="array" ref="JB31">IFERROR(IF(XLOOKUP(CONCAT(IY31,IZ31),'PROCESOS PRD'!$J:$J,'PROCESOS PRD'!$H:$H,0,0)=0,"",XLOOKUP(CONCAT(IY31,IZ31),'PROCESOS PRD'!$J:$J,'PROCESOS PRD'!$H:$H,0,0)),"")</f>
        <v/>
      </c>
      <c r="JC31" s="71"/>
      <c r="JD31" s="32"/>
      <c r="JE31" s="72" t="str">
        <f t="array" ref="JE31">IFERROR(IF(XLOOKUP(CONCAT(JC31,JD31),'MASTER PLAN'!$AB:$AB,'MASTER PLAN'!$J:$J,0,0)=0,"",XLOOKUP(CONCAT(JC31,JD31),'MASTER PLAN'!$AB:$AB,'MASTER PLAN'!$J:$J,0,0)),"")</f>
        <v/>
      </c>
      <c r="JF31" s="73" t="str">
        <f t="array" ref="JF31">IFERROR(IF(XLOOKUP(CONCAT(JC31,JD31),'PROCESOS PRD'!$J:$J,'PROCESOS PRD'!$H:$H,0,0)=0,"",XLOOKUP(CONCAT(JC31,JD31),'PROCESOS PRD'!$J:$J,'PROCESOS PRD'!$H:$H,0,0)),"")</f>
        <v/>
      </c>
      <c r="JG31" s="71"/>
      <c r="JH31" s="32"/>
      <c r="JI31" s="72" t="str">
        <f t="array" ref="JI31">IFERROR(IF(XLOOKUP(CONCAT(JG31,JH31),'MASTER PLAN'!$AB:$AB,'MASTER PLAN'!$J:$J,0,0)=0,"",XLOOKUP(CONCAT(JG31,JH31),'MASTER PLAN'!$AB:$AB,'MASTER PLAN'!$J:$J,0,0)),"")</f>
        <v/>
      </c>
      <c r="JJ31" s="73" t="str">
        <f t="array" ref="JJ31">IFERROR(IF(XLOOKUP(CONCAT(JG31,JH31),'PROCESOS PRD'!$J:$J,'PROCESOS PRD'!$H:$H,0,0)=0,"",XLOOKUP(CONCAT(JG31,JH31),'PROCESOS PRD'!$J:$J,'PROCESOS PRD'!$H:$H,0,0)),"")</f>
        <v/>
      </c>
      <c r="JK31" s="70"/>
      <c r="JL31" s="71"/>
      <c r="JM31" s="32"/>
      <c r="JN31" s="72" t="str">
        <f t="array" ref="JN31">IFERROR(IF(XLOOKUP(CONCAT(JL31,JM31),'MASTER PLAN'!$AB:$AB,'MASTER PLAN'!$J:$J,0,0)=0,"",XLOOKUP(CONCAT(JL31,JM31),'MASTER PLAN'!$AB:$AB,'MASTER PLAN'!$J:$J,0,0)),"")</f>
        <v/>
      </c>
      <c r="JO31" s="73" t="str">
        <f t="array" ref="JO31">IFERROR(IF(XLOOKUP(CONCAT(JL31,JM31),'PROCESOS PRD'!$J:$J,'PROCESOS PRD'!$H:$H,0,0)=0,"",XLOOKUP(CONCAT(JL31,JM31),'PROCESOS PRD'!$J:$J,'PROCESOS PRD'!$H:$H,0,0)),"")</f>
        <v/>
      </c>
      <c r="JP31" s="71"/>
      <c r="JQ31" s="32"/>
      <c r="JR31" s="72" t="str">
        <f t="array" ref="JR31">IFERROR(IF(XLOOKUP(CONCAT(JP31,JQ31),'MASTER PLAN'!$AB:$AB,'MASTER PLAN'!$J:$J,0,0)=0,"",XLOOKUP(CONCAT(JP31,JQ31),'MASTER PLAN'!$AB:$AB,'MASTER PLAN'!$J:$J,0,0)),"")</f>
        <v/>
      </c>
      <c r="JS31" s="73" t="str">
        <f t="array" ref="JS31">IFERROR(IF(XLOOKUP(CONCAT(JP31,JQ31),'PROCESOS PRD'!$J:$J,'PROCESOS PRD'!$H:$H,0,0)=0,"",XLOOKUP(CONCAT(JP31,JQ31),'PROCESOS PRD'!$J:$J,'PROCESOS PRD'!$H:$H,0,0)),"")</f>
        <v/>
      </c>
      <c r="JT31" s="71"/>
      <c r="JU31" s="32"/>
      <c r="JV31" s="72" t="str">
        <f t="array" ref="JV31">IFERROR(IF(XLOOKUP(CONCAT(JT31,JU31),'MASTER PLAN'!$AB:$AB,'MASTER PLAN'!$J:$J,0,0)=0,"",XLOOKUP(CONCAT(JT31,JU31),'MASTER PLAN'!$AB:$AB,'MASTER PLAN'!$J:$J,0,0)),"")</f>
        <v/>
      </c>
      <c r="JW31" s="73" t="str">
        <f t="array" ref="JW31">IFERROR(IF(XLOOKUP(CONCAT(JT31,JU31),'PROCESOS PRD'!$J:$J,'PROCESOS PRD'!$H:$H,0,0)=0,"",XLOOKUP(CONCAT(JT31,JU31),'PROCESOS PRD'!$J:$J,'PROCESOS PRD'!$H:$H,0,0)),"")</f>
        <v/>
      </c>
      <c r="JX31" s="71"/>
      <c r="JY31" s="32"/>
      <c r="JZ31" s="72" t="str">
        <f t="array" ref="JZ31">IFERROR(IF(XLOOKUP(CONCAT(JX31,JY31),'MASTER PLAN'!$AB:$AB,'MASTER PLAN'!$J:$J,0,0)=0,"",XLOOKUP(CONCAT(JX31,JY31),'MASTER PLAN'!$AB:$AB,'MASTER PLAN'!$J:$J,0,0)),"")</f>
        <v/>
      </c>
      <c r="KA31" s="73" t="str">
        <f t="array" ref="KA31">IFERROR(IF(XLOOKUP(CONCAT(JX31,JY31),'PROCESOS PRD'!$J:$J,'PROCESOS PRD'!$H:$H,0,0)=0,"",XLOOKUP(CONCAT(JX31,JY31),'PROCESOS PRD'!$J:$J,'PROCESOS PRD'!$H:$H,0,0)),"")</f>
        <v/>
      </c>
      <c r="KB31" s="71"/>
      <c r="KC31" s="32"/>
      <c r="KD31" s="72" t="str">
        <f t="array" ref="KD31">IFERROR(IF(XLOOKUP(CONCAT(KB31,KC31),'MASTER PLAN'!$AB:$AB,'MASTER PLAN'!$J:$J,0,0)=0,"",XLOOKUP(CONCAT(KB31,KC31),'MASTER PLAN'!$AB:$AB,'MASTER PLAN'!$J:$J,0,0)),"")</f>
        <v/>
      </c>
      <c r="KE31" s="73" t="str">
        <f t="array" ref="KE31">IFERROR(IF(XLOOKUP(CONCAT(KB31,KC31),'PROCESOS PRD'!$J:$J,'PROCESOS PRD'!$H:$H,0,0)=0,"",XLOOKUP(CONCAT(KB31,KC31),'PROCESOS PRD'!$J:$J,'PROCESOS PRD'!$H:$H,0,0)),"")</f>
        <v/>
      </c>
      <c r="KF31" s="71"/>
      <c r="KG31" s="32"/>
      <c r="KH31" s="72" t="str">
        <f t="array" ref="KH31">IFERROR(IF(XLOOKUP(CONCAT(KF31,KG31),'MASTER PLAN'!$AB:$AB,'MASTER PLAN'!$J:$J,0,0)=0,"",XLOOKUP(CONCAT(KF31,KG31),'MASTER PLAN'!$AB:$AB,'MASTER PLAN'!$J:$J,0,0)),"")</f>
        <v/>
      </c>
      <c r="KI31" s="73" t="str">
        <f t="array" ref="KI31">IFERROR(IF(XLOOKUP(CONCAT(KF31,KG31),'PROCESOS PRD'!$J:$J,'PROCESOS PRD'!$H:$H,0,0)=0,"",XLOOKUP(CONCAT(KF31,KG31),'PROCESOS PRD'!$J:$J,'PROCESOS PRD'!$H:$H,0,0)),"")</f>
        <v/>
      </c>
      <c r="KJ31" s="70"/>
      <c r="KK31" s="70"/>
      <c r="KL31" s="70"/>
      <c r="KM31" s="70"/>
      <c r="KN31" s="70"/>
      <c r="KO31" s="70"/>
      <c r="KP31" s="70"/>
      <c r="KQ31" s="70"/>
      <c r="KR31" s="70"/>
      <c r="KS31" s="70"/>
      <c r="KT31" s="70"/>
      <c r="KU31" s="70"/>
      <c r="KV31" s="70"/>
      <c r="KW31" s="70"/>
      <c r="KX31" s="70"/>
      <c r="KY31" s="70"/>
      <c r="KZ31" s="70"/>
      <c r="LA31" s="70"/>
      <c r="LB31" s="70"/>
      <c r="LC31" s="70"/>
    </row>
    <row r="32" ht="15.75" customHeight="1">
      <c r="A32" s="42"/>
      <c r="B32" s="74"/>
      <c r="C32" s="69"/>
      <c r="D32" s="70"/>
      <c r="E32" s="71"/>
      <c r="F32" s="32"/>
      <c r="G32" s="72" t="str">
        <f t="array" ref="G32">IFERROR(IF(XLOOKUP(CONCAT(E32,F32),'MASTER PLAN'!$AB:$AB,'MASTER PLAN'!$J:$J,0,0)=0,"",XLOOKUP(CONCAT(E32,F32),'MASTER PLAN'!$AB:$AB,'MASTER PLAN'!$J:$J,0,0)),"")</f>
        <v/>
      </c>
      <c r="H32" s="73" t="str">
        <f t="array" ref="H32">IFERROR(IF(XLOOKUP(CONCAT(E32,F32),'PROCESOS PRD'!$J:$J,'PROCESOS PRD'!$H:$H,0,0)=0,"",XLOOKUP(CONCAT(E32,F32),'PROCESOS PRD'!$J:$J,'PROCESOS PRD'!$H:$H,0,0)),"")</f>
        <v/>
      </c>
      <c r="I32" s="71"/>
      <c r="J32" s="32"/>
      <c r="K32" s="72" t="str">
        <f t="array" ref="K32">IFERROR(IF(XLOOKUP(CONCAT(I32,J32),'MASTER PLAN'!$AB:$AB,'MASTER PLAN'!$J:$J,0,0)=0,"",XLOOKUP(CONCAT(I32,J32),'MASTER PLAN'!$AB:$AB,'MASTER PLAN'!$J:$J,0,0)),"")</f>
        <v/>
      </c>
      <c r="L32" s="73" t="str">
        <f t="array" ref="L32">IFERROR(IF(XLOOKUP(CONCAT(I32,J32),'PROCESOS PRD'!$J:$J,'PROCESOS PRD'!$H:$H,0,0)=0,"",XLOOKUP(CONCAT(I32,J32),'PROCESOS PRD'!$J:$J,'PROCESOS PRD'!$H:$H,0,0)),"")</f>
        <v/>
      </c>
      <c r="M32" s="71"/>
      <c r="N32" s="32"/>
      <c r="O32" s="72" t="str">
        <f t="array" ref="O32">IFERROR(IF(XLOOKUP(CONCAT(M32,N32),'MASTER PLAN'!$AB:$AB,'MASTER PLAN'!$J:$J,0,0)=0,"",XLOOKUP(CONCAT(M32,N32),'MASTER PLAN'!$AB:$AB,'MASTER PLAN'!$J:$J,0,0)),"")</f>
        <v/>
      </c>
      <c r="P32" s="73" t="str">
        <f t="array" ref="P32">IFERROR(IF(XLOOKUP(CONCAT(M32,N32),'PROCESOS PRD'!$J:$J,'PROCESOS PRD'!$H:$H,0,0)=0,"",XLOOKUP(CONCAT(M32,N32),'PROCESOS PRD'!$J:$J,'PROCESOS PRD'!$H:$H,0,0)),"")</f>
        <v/>
      </c>
      <c r="Q32" s="71"/>
      <c r="R32" s="32"/>
      <c r="S32" s="72" t="str">
        <f t="array" ref="S32">IFERROR(IF(XLOOKUP(CONCAT(Q32,R32),'MASTER PLAN'!$AB:$AB,'MASTER PLAN'!$J:$J,0,0)=0,"",XLOOKUP(CONCAT(Q32,R32),'MASTER PLAN'!$AB:$AB,'MASTER PLAN'!$J:$J,0,0)),"")</f>
        <v/>
      </c>
      <c r="T32" s="73" t="str">
        <f t="array" ref="T32">IFERROR(IF(XLOOKUP(CONCAT(Q32,R32),'PROCESOS PRD'!$J:$J,'PROCESOS PRD'!$H:$H,0,0)=0,"",XLOOKUP(CONCAT(Q32,R32),'PROCESOS PRD'!$J:$J,'PROCESOS PRD'!$H:$H,0,0)),"")</f>
        <v/>
      </c>
      <c r="U32" s="70"/>
      <c r="V32" s="71"/>
      <c r="W32" s="32"/>
      <c r="X32" s="72" t="str">
        <f t="array" ref="X32">IFERROR(IF(XLOOKUP(CONCAT(V32,W32),'MASTER PLAN'!$AB:$AB,'MASTER PLAN'!$J:$J,0,0)=0,"",XLOOKUP(CONCAT(V32,W32),'MASTER PLAN'!$AB:$AB,'MASTER PLAN'!$J:$J,0,0)),"")</f>
        <v/>
      </c>
      <c r="Y32" s="73" t="str">
        <f t="array" ref="Y32">IFERROR(IF(XLOOKUP(CONCAT(V32,W32),'PROCESOS PRD'!$J:$J,'PROCESOS PRD'!$H:$H,0,0)=0,"",XLOOKUP(CONCAT(V32,W32),'PROCESOS PRD'!$J:$J,'PROCESOS PRD'!$H:$H,0,0)),"")</f>
        <v/>
      </c>
      <c r="Z32" s="71"/>
      <c r="AA32" s="32"/>
      <c r="AB32" s="72" t="str">
        <f t="array" ref="AB32">IFERROR(IF(XLOOKUP(CONCAT(Z32,AA32),'MASTER PLAN'!$AB:$AB,'MASTER PLAN'!$J:$J,0,0)=0,"",XLOOKUP(CONCAT(Z32,AA32),'MASTER PLAN'!$AB:$AB,'MASTER PLAN'!$J:$J,0,0)),"")</f>
        <v/>
      </c>
      <c r="AC32" s="73" t="str">
        <f t="array" ref="AC32">IFERROR(IF(XLOOKUP(CONCAT(Z32,AA32),'PROCESOS PRD'!$J:$J,'PROCESOS PRD'!$H:$H,0,0)=0,"",XLOOKUP(CONCAT(Z32,AA32),'PROCESOS PRD'!$J:$J,'PROCESOS PRD'!$H:$H,0,0)),"")</f>
        <v/>
      </c>
      <c r="AD32" s="71"/>
      <c r="AE32" s="32"/>
      <c r="AF32" s="72" t="str">
        <f t="array" ref="AF32">IFERROR(IF(XLOOKUP(CONCAT(AD32,AE32),'MASTER PLAN'!$AB:$AB,'MASTER PLAN'!$J:$J,0,0)=0,"",XLOOKUP(CONCAT(AD32,AE32),'MASTER PLAN'!$AB:$AB,'MASTER PLAN'!$J:$J,0,0)),"")</f>
        <v/>
      </c>
      <c r="AG32" s="73" t="str">
        <f t="array" ref="AG32">IFERROR(IF(XLOOKUP(CONCAT(AD32,AE32),'PROCESOS PRD'!$J:$J,'PROCESOS PRD'!$H:$H,0,0)=0,"",XLOOKUP(CONCAT(AD32,AE32),'PROCESOS PRD'!$J:$J,'PROCESOS PRD'!$H:$H,0,0)),"")</f>
        <v/>
      </c>
      <c r="AH32" s="71"/>
      <c r="AI32" s="32"/>
      <c r="AJ32" s="72" t="str">
        <f t="array" ref="AJ32">IFERROR(IF(XLOOKUP(CONCAT(AH32,AI32),'MASTER PLAN'!$AB:$AB,'MASTER PLAN'!$J:$J,0,0)=0,"",XLOOKUP(CONCAT(AH32,AI32),'MASTER PLAN'!$AB:$AB,'MASTER PLAN'!$J:$J,0,0)),"")</f>
        <v/>
      </c>
      <c r="AK32" s="73" t="str">
        <f t="array" ref="AK32">IFERROR(IF(XLOOKUP(CONCAT(AH32,AI32),'PROCESOS PRD'!$J:$J,'PROCESOS PRD'!$H:$H,0,0)=0,"",XLOOKUP(CONCAT(AH32,AI32),'PROCESOS PRD'!$J:$J,'PROCESOS PRD'!$H:$H,0,0)),"")</f>
        <v/>
      </c>
      <c r="AL32" s="71"/>
      <c r="AM32" s="32"/>
      <c r="AN32" s="72" t="str">
        <f t="array" ref="AN32">IFERROR(IF(XLOOKUP(CONCAT(AL32,AM32),'MASTER PLAN'!$AB:$AB,'MASTER PLAN'!$J:$J,0,0)=0,"",XLOOKUP(CONCAT(AL32,AM32),'MASTER PLAN'!$AB:$AB,'MASTER PLAN'!$J:$J,0,0)),"")</f>
        <v/>
      </c>
      <c r="AO32" s="73" t="str">
        <f t="array" ref="AO32">IFERROR(IF(XLOOKUP(CONCAT(AL32,AM32),'PROCESOS PRD'!$J:$J,'PROCESOS PRD'!$H:$H,0,0)=0,"",XLOOKUP(CONCAT(AL32,AM32),'PROCESOS PRD'!$J:$J,'PROCESOS PRD'!$H:$H,0,0)),"")</f>
        <v/>
      </c>
      <c r="AP32" s="71"/>
      <c r="AQ32" s="32"/>
      <c r="AR32" s="72" t="str">
        <f t="array" ref="AR32">IFERROR(IF(XLOOKUP(CONCAT(AP32,AQ32),'MASTER PLAN'!$AB:$AB,'MASTER PLAN'!$J:$J,0,0)=0,"",XLOOKUP(CONCAT(AP32,AQ32),'MASTER PLAN'!$AB:$AB,'MASTER PLAN'!$J:$J,0,0)),"")</f>
        <v/>
      </c>
      <c r="AS32" s="73" t="str">
        <f t="array" ref="AS32">IFERROR(IF(XLOOKUP(CONCAT(AP32,AQ32),'PROCESOS PRD'!$J:$J,'PROCESOS PRD'!$H:$H,0,0)=0,"",XLOOKUP(CONCAT(AP32,AQ32),'PROCESOS PRD'!$J:$J,'PROCESOS PRD'!$H:$H,0,0)),"")</f>
        <v/>
      </c>
      <c r="AT32" s="70"/>
      <c r="AU32" s="71"/>
      <c r="AV32" s="32"/>
      <c r="AW32" s="72" t="str">
        <f t="array" ref="AW32">IFERROR(IF(XLOOKUP(CONCAT(AU32,AV32),'MASTER PLAN'!$AB:$AB,'MASTER PLAN'!$J:$J,0,0)=0,"",XLOOKUP(CONCAT(AU32,AV32),'MASTER PLAN'!$AB:$AB,'MASTER PLAN'!$J:$J,0,0)),"")</f>
        <v/>
      </c>
      <c r="AX32" s="73" t="str">
        <f t="array" ref="AX32">IFERROR(IF(XLOOKUP(CONCAT(AU32,AV32),'PROCESOS PRD'!$J:$J,'PROCESOS PRD'!$H:$H,0,0)=0,"",XLOOKUP(CONCAT(AU32,AV32),'PROCESOS PRD'!$J:$J,'PROCESOS PRD'!$H:$H,0,0)),"")</f>
        <v/>
      </c>
      <c r="AY32" s="71"/>
      <c r="AZ32" s="32"/>
      <c r="BA32" s="72" t="str">
        <f t="array" ref="BA32">IFERROR(IF(XLOOKUP(CONCAT(AY32,AZ32),'MASTER PLAN'!$AB:$AB,'MASTER PLAN'!$J:$J,0,0)=0,"",XLOOKUP(CONCAT(AY32,AZ32),'MASTER PLAN'!$AB:$AB,'MASTER PLAN'!$J:$J,0,0)),"")</f>
        <v/>
      </c>
      <c r="BB32" s="73" t="str">
        <f t="array" ref="BB32">IFERROR(IF(XLOOKUP(CONCAT(AY32,AZ32),'PROCESOS PRD'!$J:$J,'PROCESOS PRD'!$H:$H,0,0)=0,"",XLOOKUP(CONCAT(AY32,AZ32),'PROCESOS PRD'!$J:$J,'PROCESOS PRD'!$H:$H,0,0)),"")</f>
        <v/>
      </c>
      <c r="BC32" s="71">
        <v>1.40204935E9</v>
      </c>
      <c r="BD32" s="32">
        <v>30.0</v>
      </c>
      <c r="BE32" s="72" t="str">
        <f t="array" ref="BE32">IFERROR(IF(XLOOKUP(CONCAT(BC32,BD32),'MASTER PLAN'!$AB:$AB,'MASTER PLAN'!$J:$J,0,0)=0,"",XLOOKUP(CONCAT(BC32,BD32),'MASTER PLAN'!$AB:$AB,'MASTER PLAN'!$J:$J,0,0)),"")</f>
        <v>BOLSA WSMJ MAYORS WOS 17"X7"X14" FA</v>
      </c>
      <c r="BF32" s="73">
        <f t="array" ref="BF32">IFERROR(IF(XLOOKUP(CONCAT(BC32,BD32),'PROCESOS PRD'!$J:$J,'PROCESOS PRD'!$H:$H,0,0)=0,"",XLOOKUP(CONCAT(BC32,BD32),'PROCESOS PRD'!$J:$J,'PROCESOS PRD'!$H:$H,0,0)),"")</f>
        <v>9600</v>
      </c>
      <c r="BG32" s="71"/>
      <c r="BH32" s="32"/>
      <c r="BI32" s="72" t="str">
        <f t="array" ref="BI32">IFERROR(IF(XLOOKUP(CONCAT(BG32,BH32),'MASTER PLAN'!$AB:$AB,'MASTER PLAN'!$J:$J,0,0)=0,"",XLOOKUP(CONCAT(BG32,BH32),'MASTER PLAN'!$AB:$AB,'MASTER PLAN'!$J:$J,0,0)),"")</f>
        <v/>
      </c>
      <c r="BJ32" s="73" t="str">
        <f t="array" ref="BJ32">IFERROR(IF(XLOOKUP(CONCAT(BG32,BH32),'PROCESOS PRD'!$J:$J,'PROCESOS PRD'!$H:$H,0,0)=0,"",XLOOKUP(CONCAT(BG32,BH32),'PROCESOS PRD'!$J:$J,'PROCESOS PRD'!$H:$H,0,0)),"")</f>
        <v/>
      </c>
      <c r="BK32" s="71"/>
      <c r="BL32" s="32"/>
      <c r="BM32" s="72" t="str">
        <f t="array" ref="BM32">IFERROR(IF(XLOOKUP(CONCAT(BK32,BL32),'MASTER PLAN'!$AB:$AB,'MASTER PLAN'!$J:$J,0,0)=0,"",XLOOKUP(CONCAT(BK32,BL32),'MASTER PLAN'!$AB:$AB,'MASTER PLAN'!$J:$J,0,0)),"")</f>
        <v/>
      </c>
      <c r="BN32" s="73" t="str">
        <f t="array" ref="BN32">IFERROR(IF(XLOOKUP(CONCAT(BK32,BL32),'PROCESOS PRD'!$J:$J,'PROCESOS PRD'!$H:$H,0,0)=0,"",XLOOKUP(CONCAT(BK32,BL32),'PROCESOS PRD'!$J:$J,'PROCESOS PRD'!$H:$H,0,0)),"")</f>
        <v/>
      </c>
      <c r="BO32" s="71"/>
      <c r="BP32" s="32"/>
      <c r="BQ32" s="72" t="str">
        <f t="array" ref="BQ32">IFERROR(IF(XLOOKUP(CONCAT(BO32,BP32),'MASTER PLAN'!$AB:$AB,'MASTER PLAN'!$J:$J,0,0)=0,"",XLOOKUP(CONCAT(BO32,BP32),'MASTER PLAN'!$AB:$AB,'MASTER PLAN'!$J:$J,0,0)),"")</f>
        <v/>
      </c>
      <c r="BR32" s="73" t="str">
        <f t="array" ref="BR32">IFERROR(IF(XLOOKUP(CONCAT(BO32,BP32),'PROCESOS PRD'!$J:$J,'PROCESOS PRD'!$H:$H,0,0)=0,"",XLOOKUP(CONCAT(BO32,BP32),'PROCESOS PRD'!$J:$J,'PROCESOS PRD'!$H:$H,0,0)),"")</f>
        <v/>
      </c>
      <c r="BS32" s="70"/>
      <c r="BT32" s="71"/>
      <c r="BU32" s="32"/>
      <c r="BV32" s="72" t="str">
        <f t="array" ref="BV32">IFERROR(IF(XLOOKUP(CONCAT(BT32,BU32),'MASTER PLAN'!$AB:$AB,'MASTER PLAN'!$J:$J,0,0)=0,"",XLOOKUP(CONCAT(BT32,BU32),'MASTER PLAN'!$AB:$AB,'MASTER PLAN'!$J:$J,0,0)),"")</f>
        <v/>
      </c>
      <c r="BW32" s="73" t="str">
        <f t="array" ref="BW32">IFERROR(IF(XLOOKUP(CONCAT(BT32,BU32),'PROCESOS PRD'!$J:$J,'PROCESOS PRD'!$H:$H,0,0)=0,"",XLOOKUP(CONCAT(BT32,BU32),'PROCESOS PRD'!$J:$J,'PROCESOS PRD'!$H:$H,0,0)),"")</f>
        <v/>
      </c>
      <c r="BX32" s="71"/>
      <c r="BY32" s="32"/>
      <c r="BZ32" s="72" t="str">
        <f t="array" ref="BZ32">IFERROR(IF(XLOOKUP(CONCAT(BX32,BY32),'MASTER PLAN'!$AB:$AB,'MASTER PLAN'!$J:$J,0,0)=0,"",XLOOKUP(CONCAT(BX32,BY32),'MASTER PLAN'!$AB:$AB,'MASTER PLAN'!$J:$J,0,0)),"")</f>
        <v/>
      </c>
      <c r="CA32" s="73" t="str">
        <f t="array" ref="CA32">IFERROR(IF(XLOOKUP(CONCAT(BX32,BY32),'PROCESOS PRD'!$J:$J,'PROCESOS PRD'!$H:$H,0,0)=0,"",XLOOKUP(CONCAT(BX32,BY32),'PROCESOS PRD'!$J:$J,'PROCESOS PRD'!$H:$H,0,0)),"")</f>
        <v/>
      </c>
      <c r="CB32" s="71"/>
      <c r="CC32" s="32"/>
      <c r="CD32" s="72" t="str">
        <f t="array" ref="CD32">IFERROR(IF(XLOOKUP(CONCAT(CB32,CC32),'MASTER PLAN'!$AB:$AB,'MASTER PLAN'!$J:$J,0,0)=0,"",XLOOKUP(CONCAT(CB32,CC32),'MASTER PLAN'!$AB:$AB,'MASTER PLAN'!$J:$J,0,0)),"")</f>
        <v/>
      </c>
      <c r="CE32" s="73" t="str">
        <f t="array" ref="CE32">IFERROR(IF(XLOOKUP(CONCAT(CB32,CC32),'PROCESOS PRD'!$J:$J,'PROCESOS PRD'!$H:$H,0,0)=0,"",XLOOKUP(CONCAT(CB32,CC32),'PROCESOS PRD'!$J:$J,'PROCESOS PRD'!$H:$H,0,0)),"")</f>
        <v/>
      </c>
      <c r="CF32" s="71"/>
      <c r="CG32" s="32"/>
      <c r="CH32" s="72" t="str">
        <f t="array" ref="CH32">IFERROR(IF(XLOOKUP(CONCAT(CF32,CG32),'MASTER PLAN'!$AB:$AB,'MASTER PLAN'!$J:$J,0,0)=0,"",XLOOKUP(CONCAT(CF32,CG32),'MASTER PLAN'!$AB:$AB,'MASTER PLAN'!$J:$J,0,0)),"")</f>
        <v/>
      </c>
      <c r="CI32" s="73" t="str">
        <f t="array" ref="CI32">IFERROR(IF(XLOOKUP(CONCAT(CF32,CG32),'PROCESOS PRD'!$J:$J,'PROCESOS PRD'!$H:$H,0,0)=0,"",XLOOKUP(CONCAT(CF32,CG32),'PROCESOS PRD'!$J:$J,'PROCESOS PRD'!$H:$H,0,0)),"")</f>
        <v/>
      </c>
      <c r="CJ32" s="71"/>
      <c r="CK32" s="32"/>
      <c r="CL32" s="72" t="str">
        <f t="array" ref="CL32">IFERROR(IF(XLOOKUP(CONCAT(CJ32,CK32),'MASTER PLAN'!$AB:$AB,'MASTER PLAN'!$J:$J,0,0)=0,"",XLOOKUP(CONCAT(CJ32,CK32),'MASTER PLAN'!$AB:$AB,'MASTER PLAN'!$J:$J,0,0)),"")</f>
        <v/>
      </c>
      <c r="CM32" s="73" t="str">
        <f t="array" ref="CM32">IFERROR(IF(XLOOKUP(CONCAT(CJ32,CK32),'PROCESOS PRD'!$J:$J,'PROCESOS PRD'!$H:$H,0,0)=0,"",XLOOKUP(CONCAT(CJ32,CK32),'PROCESOS PRD'!$J:$J,'PROCESOS PRD'!$H:$H,0,0)),"")</f>
        <v/>
      </c>
      <c r="CN32" s="71"/>
      <c r="CO32" s="32"/>
      <c r="CP32" s="72" t="str">
        <f t="array" ref="CP32">IFERROR(IF(XLOOKUP(CONCAT(CN32,CO32),'MASTER PLAN'!$AB:$AB,'MASTER PLAN'!$J:$J,0,0)=0,"",XLOOKUP(CONCAT(CN32,CO32),'MASTER PLAN'!$AB:$AB,'MASTER PLAN'!$J:$J,0,0)),"")</f>
        <v/>
      </c>
      <c r="CQ32" s="73" t="str">
        <f t="array" ref="CQ32">IFERROR(IF(XLOOKUP(CONCAT(CN32,CO32),'PROCESOS PRD'!$J:$J,'PROCESOS PRD'!$H:$H,0,0)=0,"",XLOOKUP(CONCAT(CN32,CO32),'PROCESOS PRD'!$J:$J,'PROCESOS PRD'!$H:$H,0,0)),"")</f>
        <v/>
      </c>
      <c r="CR32" s="70"/>
      <c r="CS32" s="71"/>
      <c r="CT32" s="32"/>
      <c r="CU32" s="72" t="str">
        <f t="array" ref="CU32">IFERROR(IF(XLOOKUP(CONCAT(CS32,CT32),'MASTER PLAN'!$AB:$AB,'MASTER PLAN'!$J:$J,0,0)=0,"",XLOOKUP(CONCAT(CS32,CT32),'MASTER PLAN'!$AB:$AB,'MASTER PLAN'!$J:$J,0,0)),"")</f>
        <v/>
      </c>
      <c r="CV32" s="73" t="str">
        <f t="array" ref="CV32">IFERROR(IF(XLOOKUP(CONCAT(CS32,CT32),'PROCESOS PRD'!$J:$J,'PROCESOS PRD'!$H:$H,0,0)=0,"",XLOOKUP(CONCAT(CS32,CT32),'PROCESOS PRD'!$J:$J,'PROCESOS PRD'!$H:$H,0,0)),"")</f>
        <v/>
      </c>
      <c r="CW32" s="71"/>
      <c r="CX32" s="32"/>
      <c r="CY32" s="72" t="str">
        <f t="array" ref="CY32">IFERROR(IF(XLOOKUP(CONCAT(CW32,CX32),'MASTER PLAN'!$AB:$AB,'MASTER PLAN'!$J:$J,0,0)=0,"",XLOOKUP(CONCAT(CW32,CX32),'MASTER PLAN'!$AB:$AB,'MASTER PLAN'!$J:$J,0,0)),"")</f>
        <v/>
      </c>
      <c r="CZ32" s="73" t="str">
        <f t="array" ref="CZ32">IFERROR(IF(XLOOKUP(CONCAT(CW32,CX32),'PROCESOS PRD'!$J:$J,'PROCESOS PRD'!$H:$H,0,0)=0,"",XLOOKUP(CONCAT(CW32,CX32),'PROCESOS PRD'!$J:$J,'PROCESOS PRD'!$H:$H,0,0)),"")</f>
        <v/>
      </c>
      <c r="DA32" s="71"/>
      <c r="DB32" s="32"/>
      <c r="DC32" s="72" t="str">
        <f t="array" ref="DC32">IFERROR(IF(XLOOKUP(CONCAT(DA32,DB32),'MASTER PLAN'!$AB:$AB,'MASTER PLAN'!$J:$J,0,0)=0,"",XLOOKUP(CONCAT(DA32,DB32),'MASTER PLAN'!$AB:$AB,'MASTER PLAN'!$J:$J,0,0)),"")</f>
        <v/>
      </c>
      <c r="DD32" s="73" t="str">
        <f t="array" ref="DD32">IFERROR(IF(XLOOKUP(CONCAT(DA32,DB32),'PROCESOS PRD'!$J:$J,'PROCESOS PRD'!$H:$H,0,0)=0,"",XLOOKUP(CONCAT(DA32,DB32),'PROCESOS PRD'!$J:$J,'PROCESOS PRD'!$H:$H,0,0)),"")</f>
        <v/>
      </c>
      <c r="DE32" s="71"/>
      <c r="DF32" s="32"/>
      <c r="DG32" s="72" t="str">
        <f t="array" ref="DG32">IFERROR(IF(XLOOKUP(CONCAT(DE32,DF32),'MASTER PLAN'!$AB:$AB,'MASTER PLAN'!$J:$J,0,0)=0,"",XLOOKUP(CONCAT(DE32,DF32),'MASTER PLAN'!$AB:$AB,'MASTER PLAN'!$J:$J,0,0)),"")</f>
        <v/>
      </c>
      <c r="DH32" s="73" t="str">
        <f t="array" ref="DH32">IFERROR(IF(XLOOKUP(CONCAT(DE32,DF32),'PROCESOS PRD'!$J:$J,'PROCESOS PRD'!$H:$H,0,0)=0,"",XLOOKUP(CONCAT(DE32,DF32),'PROCESOS PRD'!$J:$J,'PROCESOS PRD'!$H:$H,0,0)),"")</f>
        <v/>
      </c>
      <c r="DI32" s="71"/>
      <c r="DJ32" s="32"/>
      <c r="DK32" s="72" t="str">
        <f t="array" ref="DK32">IFERROR(IF(XLOOKUP(CONCAT(DI32,DJ32),'MASTER PLAN'!$AB:$AB,'MASTER PLAN'!$J:$J,0,0)=0,"",XLOOKUP(CONCAT(DI32,DJ32),'MASTER PLAN'!$AB:$AB,'MASTER PLAN'!$J:$J,0,0)),"")</f>
        <v/>
      </c>
      <c r="DL32" s="73" t="str">
        <f t="array" ref="DL32">IFERROR(IF(XLOOKUP(CONCAT(DI32,DJ32),'PROCESOS PRD'!$J:$J,'PROCESOS PRD'!$H:$H,0,0)=0,"",XLOOKUP(CONCAT(DI32,DJ32),'PROCESOS PRD'!$J:$J,'PROCESOS PRD'!$H:$H,0,0)),"")</f>
        <v/>
      </c>
      <c r="DM32" s="71"/>
      <c r="DN32" s="32"/>
      <c r="DO32" s="72" t="str">
        <f t="array" ref="DO32">IFERROR(IF(XLOOKUP(CONCAT(DM32,DN32),'MASTER PLAN'!$AB:$AB,'MASTER PLAN'!$J:$J,0,0)=0,"",XLOOKUP(CONCAT(DM32,DN32),'MASTER PLAN'!$AB:$AB,'MASTER PLAN'!$J:$J,0,0)),"")</f>
        <v/>
      </c>
      <c r="DP32" s="73" t="str">
        <f t="array" ref="DP32">IFERROR(IF(XLOOKUP(CONCAT(DM32,DN32),'PROCESOS PRD'!$J:$J,'PROCESOS PRD'!$H:$H,0,0)=0,"",XLOOKUP(CONCAT(DM32,DN32),'PROCESOS PRD'!$J:$J,'PROCESOS PRD'!$H:$H,0,0)),"")</f>
        <v/>
      </c>
      <c r="DQ32" s="70"/>
      <c r="DR32" s="71"/>
      <c r="DS32" s="32"/>
      <c r="DT32" s="72" t="str">
        <f t="array" ref="DT32">IFERROR(IF(XLOOKUP(CONCAT(DR32,DS32),'MASTER PLAN'!$AB:$AB,'MASTER PLAN'!$J:$J,0,0)=0,"",XLOOKUP(CONCAT(DR32,DS32),'MASTER PLAN'!$AB:$AB,'MASTER PLAN'!$J:$J,0,0)),"")</f>
        <v/>
      </c>
      <c r="DU32" s="73" t="str">
        <f t="array" ref="DU32">IFERROR(IF(XLOOKUP(CONCAT(DR32,DS32),'PROCESOS PRD'!$J:$J,'PROCESOS PRD'!$H:$H,0,0)=0,"",XLOOKUP(CONCAT(DR32,DS32),'PROCESOS PRD'!$J:$J,'PROCESOS PRD'!$H:$H,0,0)),"")</f>
        <v/>
      </c>
      <c r="DV32" s="71"/>
      <c r="DW32" s="32"/>
      <c r="DX32" s="72" t="str">
        <f t="array" ref="DX32">IFERROR(IF(XLOOKUP(CONCAT(DV32,DW32),'MASTER PLAN'!$AB:$AB,'MASTER PLAN'!$J:$J,0,0)=0,"",XLOOKUP(CONCAT(DV32,DW32),'MASTER PLAN'!$AB:$AB,'MASTER PLAN'!$J:$J,0,0)),"")</f>
        <v/>
      </c>
      <c r="DY32" s="73" t="str">
        <f t="array" ref="DY32">IFERROR(IF(XLOOKUP(CONCAT(DV32,DW32),'PROCESOS PRD'!$J:$J,'PROCESOS PRD'!$H:$H,0,0)=0,"",XLOOKUP(CONCAT(DV32,DW32),'PROCESOS PRD'!$J:$J,'PROCESOS PRD'!$H:$H,0,0)),"")</f>
        <v/>
      </c>
      <c r="DZ32" s="71"/>
      <c r="EA32" s="32"/>
      <c r="EB32" s="72" t="str">
        <f t="array" ref="EB32">IFERROR(IF(XLOOKUP(CONCAT(DZ32,EA32),'MASTER PLAN'!$AB:$AB,'MASTER PLAN'!$J:$J,0,0)=0,"",XLOOKUP(CONCAT(DZ32,EA32),'MASTER PLAN'!$AB:$AB,'MASTER PLAN'!$J:$J,0,0)),"")</f>
        <v/>
      </c>
      <c r="EC32" s="73" t="str">
        <f t="array" ref="EC32">IFERROR(IF(XLOOKUP(CONCAT(DZ32,EA32),'PROCESOS PRD'!$J:$J,'PROCESOS PRD'!$H:$H,0,0)=0,"",XLOOKUP(CONCAT(DZ32,EA32),'PROCESOS PRD'!$J:$J,'PROCESOS PRD'!$H:$H,0,0)),"")</f>
        <v/>
      </c>
      <c r="ED32" s="71"/>
      <c r="EE32" s="32"/>
      <c r="EF32" s="72" t="str">
        <f t="array" ref="EF32">IFERROR(IF(XLOOKUP(CONCAT(ED32,EE32),'MASTER PLAN'!$AB:$AB,'MASTER PLAN'!$J:$J,0,0)=0,"",XLOOKUP(CONCAT(ED32,EE32),'MASTER PLAN'!$AB:$AB,'MASTER PLAN'!$J:$J,0,0)),"")</f>
        <v/>
      </c>
      <c r="EG32" s="73" t="str">
        <f t="array" ref="EG32">IFERROR(IF(XLOOKUP(CONCAT(ED32,EE32),'PROCESOS PRD'!$J:$J,'PROCESOS PRD'!$H:$H,0,0)=0,"",XLOOKUP(CONCAT(ED32,EE32),'PROCESOS PRD'!$J:$J,'PROCESOS PRD'!$H:$H,0,0)),"")</f>
        <v/>
      </c>
      <c r="EH32" s="71"/>
      <c r="EI32" s="32"/>
      <c r="EJ32" s="72" t="str">
        <f t="array" ref="EJ32">IFERROR(IF(XLOOKUP(CONCAT(EH32,EI32),'MASTER PLAN'!$AB:$AB,'MASTER PLAN'!$J:$J,0,0)=0,"",XLOOKUP(CONCAT(EH32,EI32),'MASTER PLAN'!$AB:$AB,'MASTER PLAN'!$J:$J,0,0)),"")</f>
        <v/>
      </c>
      <c r="EK32" s="73" t="str">
        <f t="array" ref="EK32">IFERROR(IF(XLOOKUP(CONCAT(EH32,EI32),'PROCESOS PRD'!$J:$J,'PROCESOS PRD'!$H:$H,0,0)=0,"",XLOOKUP(CONCAT(EH32,EI32),'PROCESOS PRD'!$J:$J,'PROCESOS PRD'!$H:$H,0,0)),"")</f>
        <v/>
      </c>
      <c r="EL32" s="71"/>
      <c r="EM32" s="32"/>
      <c r="EN32" s="72" t="str">
        <f t="array" ref="EN32">IFERROR(IF(XLOOKUP(CONCAT(EL32,EM32),'MASTER PLAN'!$AB:$AB,'MASTER PLAN'!$J:$J,0,0)=0,"",XLOOKUP(CONCAT(EL32,EM32),'MASTER PLAN'!$AB:$AB,'MASTER PLAN'!$J:$J,0,0)),"")</f>
        <v/>
      </c>
      <c r="EO32" s="73" t="str">
        <f t="array" ref="EO32">IFERROR(IF(XLOOKUP(CONCAT(EL32,EM32),'PROCESOS PRD'!$J:$J,'PROCESOS PRD'!$H:$H,0,0)=0,"",XLOOKUP(CONCAT(EL32,EM32),'PROCESOS PRD'!$J:$J,'PROCESOS PRD'!$H:$H,0,0)),"")</f>
        <v/>
      </c>
      <c r="EP32" s="70"/>
      <c r="EQ32" s="71"/>
      <c r="ER32" s="32"/>
      <c r="ES32" s="72" t="str">
        <f t="array" ref="ES32">IFERROR(IF(XLOOKUP(CONCAT(EQ32,ER32),'MASTER PLAN'!$AB:$AB,'MASTER PLAN'!$J:$J,0,0)=0,"",XLOOKUP(CONCAT(EQ32,ER32),'MASTER PLAN'!$AB:$AB,'MASTER PLAN'!$J:$J,0,0)),"")</f>
        <v/>
      </c>
      <c r="ET32" s="73" t="str">
        <f t="array" ref="ET32">IFERROR(IF(XLOOKUP(CONCAT(EQ32,ER32),'PROCESOS PRD'!$J:$J,'PROCESOS PRD'!$H:$H,0,0)=0,"",XLOOKUP(CONCAT(EQ32,ER32),'PROCESOS PRD'!$J:$J,'PROCESOS PRD'!$H:$H,0,0)),"")</f>
        <v/>
      </c>
      <c r="EU32" s="71"/>
      <c r="EV32" s="32"/>
      <c r="EW32" s="72" t="str">
        <f t="array" ref="EW32">IFERROR(IF(XLOOKUP(CONCAT(EU32,EV32),'MASTER PLAN'!$AB:$AB,'MASTER PLAN'!$J:$J,0,0)=0,"",XLOOKUP(CONCAT(EU32,EV32),'MASTER PLAN'!$AB:$AB,'MASTER PLAN'!$J:$J,0,0)),"")</f>
        <v/>
      </c>
      <c r="EX32" s="73" t="str">
        <f t="array" ref="EX32">IFERROR(IF(XLOOKUP(CONCAT(EU32,EV32),'PROCESOS PRD'!$J:$J,'PROCESOS PRD'!$H:$H,0,0)=0,"",XLOOKUP(CONCAT(EU32,EV32),'PROCESOS PRD'!$J:$J,'PROCESOS PRD'!$H:$H,0,0)),"")</f>
        <v/>
      </c>
      <c r="EY32" s="71"/>
      <c r="EZ32" s="32"/>
      <c r="FA32" s="72" t="str">
        <f t="array" ref="FA32">IFERROR(IF(XLOOKUP(CONCAT(EY32,EZ32),'MASTER PLAN'!$AB:$AB,'MASTER PLAN'!$J:$J,0,0)=0,"",XLOOKUP(CONCAT(EY32,EZ32),'MASTER PLAN'!$AB:$AB,'MASTER PLAN'!$J:$J,0,0)),"")</f>
        <v/>
      </c>
      <c r="FB32" s="73" t="str">
        <f t="array" ref="FB32">IFERROR(IF(XLOOKUP(CONCAT(EY32,EZ32),'PROCESOS PRD'!$J:$J,'PROCESOS PRD'!$H:$H,0,0)=0,"",XLOOKUP(CONCAT(EY32,EZ32),'PROCESOS PRD'!$J:$J,'PROCESOS PRD'!$H:$H,0,0)),"")</f>
        <v/>
      </c>
      <c r="FC32" s="71"/>
      <c r="FD32" s="32"/>
      <c r="FE32" s="72" t="str">
        <f t="array" ref="FE32">IFERROR(IF(XLOOKUP(CONCAT(FC32,FD32),'MASTER PLAN'!$AB:$AB,'MASTER PLAN'!$J:$J,0,0)=0,"",XLOOKUP(CONCAT(FC32,FD32),'MASTER PLAN'!$AB:$AB,'MASTER PLAN'!$J:$J,0,0)),"")</f>
        <v/>
      </c>
      <c r="FF32" s="73" t="str">
        <f t="array" ref="FF32">IFERROR(IF(XLOOKUP(CONCAT(FC32,FD32),'PROCESOS PRD'!$J:$J,'PROCESOS PRD'!$H:$H,0,0)=0,"",XLOOKUP(CONCAT(FC32,FD32),'PROCESOS PRD'!$J:$J,'PROCESOS PRD'!$H:$H,0,0)),"")</f>
        <v/>
      </c>
      <c r="FG32" s="71"/>
      <c r="FH32" s="32"/>
      <c r="FI32" s="72" t="str">
        <f t="array" ref="FI32">IFERROR(IF(XLOOKUP(CONCAT(FG32,FH32),'MASTER PLAN'!$AB:$AB,'MASTER PLAN'!$J:$J,0,0)=0,"",XLOOKUP(CONCAT(FG32,FH32),'MASTER PLAN'!$AB:$AB,'MASTER PLAN'!$J:$J,0,0)),"")</f>
        <v/>
      </c>
      <c r="FJ32" s="73" t="str">
        <f t="array" ref="FJ32">IFERROR(IF(XLOOKUP(CONCAT(FG32,FH32),'PROCESOS PRD'!$J:$J,'PROCESOS PRD'!$H:$H,0,0)=0,"",XLOOKUP(CONCAT(FG32,FH32),'PROCESOS PRD'!$J:$J,'PROCESOS PRD'!$H:$H,0,0)),"")</f>
        <v/>
      </c>
      <c r="FK32" s="71"/>
      <c r="FL32" s="32"/>
      <c r="FM32" s="72" t="str">
        <f t="array" ref="FM32">IFERROR(IF(XLOOKUP(CONCAT(FK32,FL32),'MASTER PLAN'!$AB:$AB,'MASTER PLAN'!$J:$J,0,0)=0,"",XLOOKUP(CONCAT(FK32,FL32),'MASTER PLAN'!$AB:$AB,'MASTER PLAN'!$J:$J,0,0)),"")</f>
        <v/>
      </c>
      <c r="FN32" s="73" t="str">
        <f t="array" ref="FN32">IFERROR(IF(XLOOKUP(CONCAT(FK32,FL32),'PROCESOS PRD'!$J:$J,'PROCESOS PRD'!$H:$H,0,0)=0,"",XLOOKUP(CONCAT(FK32,FL32),'PROCESOS PRD'!$J:$J,'PROCESOS PRD'!$H:$H,0,0)),"")</f>
        <v/>
      </c>
      <c r="FO32" s="70"/>
      <c r="FP32" s="71"/>
      <c r="FQ32" s="32"/>
      <c r="FR32" s="72" t="str">
        <f t="array" ref="FR32">IFERROR(IF(XLOOKUP(CONCAT(FP32,FQ32),'MASTER PLAN'!$AB:$AB,'MASTER PLAN'!$J:$J,0,0)=0,"",XLOOKUP(CONCAT(FP32,FQ32),'MASTER PLAN'!$AB:$AB,'MASTER PLAN'!$J:$J,0,0)),"")</f>
        <v/>
      </c>
      <c r="FS32" s="73" t="str">
        <f t="array" ref="FS32">IFERROR(IF(XLOOKUP(CONCAT(FP32,FQ32),'PROCESOS PRD'!$J:$J,'PROCESOS PRD'!$H:$H,0,0)=0,"",XLOOKUP(CONCAT(FP32,FQ32),'PROCESOS PRD'!$J:$J,'PROCESOS PRD'!$H:$H,0,0)),"")</f>
        <v/>
      </c>
      <c r="FT32" s="71"/>
      <c r="FU32" s="32"/>
      <c r="FV32" s="72" t="str">
        <f t="array" ref="FV32">IFERROR(IF(XLOOKUP(CONCAT(FT32,FU32),'MASTER PLAN'!$AB:$AB,'MASTER PLAN'!$J:$J,0,0)=0,"",XLOOKUP(CONCAT(FT32,FU32),'MASTER PLAN'!$AB:$AB,'MASTER PLAN'!$J:$J,0,0)),"")</f>
        <v/>
      </c>
      <c r="FW32" s="73" t="str">
        <f t="array" ref="FW32">IFERROR(IF(XLOOKUP(CONCAT(FT32,FU32),'PROCESOS PRD'!$J:$J,'PROCESOS PRD'!$H:$H,0,0)=0,"",XLOOKUP(CONCAT(FT32,FU32),'PROCESOS PRD'!$J:$J,'PROCESOS PRD'!$H:$H,0,0)),"")</f>
        <v/>
      </c>
      <c r="FX32" s="71"/>
      <c r="FY32" s="32"/>
      <c r="FZ32" s="72" t="str">
        <f t="array" ref="FZ32">IFERROR(IF(XLOOKUP(CONCAT(FX32,FY32),'MASTER PLAN'!$AB:$AB,'MASTER PLAN'!$J:$J,0,0)=0,"",XLOOKUP(CONCAT(FX32,FY32),'MASTER PLAN'!$AB:$AB,'MASTER PLAN'!$J:$J,0,0)),"")</f>
        <v/>
      </c>
      <c r="GA32" s="73" t="str">
        <f t="array" ref="GA32">IFERROR(IF(XLOOKUP(CONCAT(FX32,FY32),'PROCESOS PRD'!$J:$J,'PROCESOS PRD'!$H:$H,0,0)=0,"",XLOOKUP(CONCAT(FX32,FY32),'PROCESOS PRD'!$J:$J,'PROCESOS PRD'!$H:$H,0,0)),"")</f>
        <v/>
      </c>
      <c r="GB32" s="71"/>
      <c r="GC32" s="32"/>
      <c r="GD32" s="72" t="str">
        <f t="array" ref="GD32">IFERROR(IF(XLOOKUP(CONCAT(GB32,GC32),'MASTER PLAN'!$AB:$AB,'MASTER PLAN'!$J:$J,0,0)=0,"",XLOOKUP(CONCAT(GB32,GC32),'MASTER PLAN'!$AB:$AB,'MASTER PLAN'!$J:$J,0,0)),"")</f>
        <v/>
      </c>
      <c r="GE32" s="73" t="str">
        <f t="array" ref="GE32">IFERROR(IF(XLOOKUP(CONCAT(GB32,GC32),'PROCESOS PRD'!$J:$J,'PROCESOS PRD'!$H:$H,0,0)=0,"",XLOOKUP(CONCAT(GB32,GC32),'PROCESOS PRD'!$J:$J,'PROCESOS PRD'!$H:$H,0,0)),"")</f>
        <v/>
      </c>
      <c r="GF32" s="71"/>
      <c r="GG32" s="32"/>
      <c r="GH32" s="72" t="str">
        <f t="array" ref="GH32">IFERROR(IF(XLOOKUP(CONCAT(GF32,GG32),'MASTER PLAN'!$AB:$AB,'MASTER PLAN'!$J:$J,0,0)=0,"",XLOOKUP(CONCAT(GF32,GG32),'MASTER PLAN'!$AB:$AB,'MASTER PLAN'!$J:$J,0,0)),"")</f>
        <v/>
      </c>
      <c r="GI32" s="73" t="str">
        <f t="array" ref="GI32">IFERROR(IF(XLOOKUP(CONCAT(GF32,GG32),'PROCESOS PRD'!$J:$J,'PROCESOS PRD'!$H:$H,0,0)=0,"",XLOOKUP(CONCAT(GF32,GG32),'PROCESOS PRD'!$J:$J,'PROCESOS PRD'!$H:$H,0,0)),"")</f>
        <v/>
      </c>
      <c r="GJ32" s="71"/>
      <c r="GK32" s="32"/>
      <c r="GL32" s="72" t="str">
        <f t="array" ref="GL32">IFERROR(IF(XLOOKUP(CONCAT(GJ32,GK32),'MASTER PLAN'!$AB:$AB,'MASTER PLAN'!$J:$J,0,0)=0,"",XLOOKUP(CONCAT(GJ32,GK32),'MASTER PLAN'!$AB:$AB,'MASTER PLAN'!$J:$J,0,0)),"")</f>
        <v/>
      </c>
      <c r="GM32" s="73" t="str">
        <f t="array" ref="GM32">IFERROR(IF(XLOOKUP(CONCAT(GJ32,GK32),'PROCESOS PRD'!$J:$J,'PROCESOS PRD'!$H:$H,0,0)=0,"",XLOOKUP(CONCAT(GJ32,GK32),'PROCESOS PRD'!$J:$J,'PROCESOS PRD'!$H:$H,0,0)),"")</f>
        <v/>
      </c>
      <c r="GN32" s="70"/>
      <c r="GO32" s="71"/>
      <c r="GP32" s="32"/>
      <c r="GQ32" s="72" t="str">
        <f t="array" ref="GQ32">IFERROR(IF(XLOOKUP(CONCAT(GO32,GP32),'MASTER PLAN'!$AB:$AB,'MASTER PLAN'!$J:$J,0,0)=0,"",XLOOKUP(CONCAT(GO32,GP32),'MASTER PLAN'!$AB:$AB,'MASTER PLAN'!$J:$J,0,0)),"")</f>
        <v/>
      </c>
      <c r="GR32" s="73" t="str">
        <f t="array" ref="GR32">IFERROR(IF(XLOOKUP(CONCAT(GO32,GP32),'PROCESOS PRD'!$J:$J,'PROCESOS PRD'!$H:$H,0,0)=0,"",XLOOKUP(CONCAT(GO32,GP32),'PROCESOS PRD'!$J:$J,'PROCESOS PRD'!$H:$H,0,0)),"")</f>
        <v/>
      </c>
      <c r="GS32" s="71"/>
      <c r="GT32" s="32"/>
      <c r="GU32" s="72" t="str">
        <f t="array" ref="GU32">IFERROR(IF(XLOOKUP(CONCAT(GS32,GT32),'MASTER PLAN'!$AB:$AB,'MASTER PLAN'!$J:$J,0,0)=0,"",XLOOKUP(CONCAT(GS32,GT32),'MASTER PLAN'!$AB:$AB,'MASTER PLAN'!$J:$J,0,0)),"")</f>
        <v/>
      </c>
      <c r="GV32" s="73" t="str">
        <f t="array" ref="GV32">IFERROR(IF(XLOOKUP(CONCAT(GS32,GT32),'PROCESOS PRD'!$J:$J,'PROCESOS PRD'!$H:$H,0,0)=0,"",XLOOKUP(CONCAT(GS32,GT32),'PROCESOS PRD'!$J:$J,'PROCESOS PRD'!$H:$H,0,0)),"")</f>
        <v/>
      </c>
      <c r="GW32" s="71"/>
      <c r="GX32" s="32"/>
      <c r="GY32" s="72" t="str">
        <f t="array" ref="GY32">IFERROR(IF(XLOOKUP(CONCAT(GW32,GX32),'MASTER PLAN'!$AB:$AB,'MASTER PLAN'!$J:$J,0,0)=0,"",XLOOKUP(CONCAT(GW32,GX32),'MASTER PLAN'!$AB:$AB,'MASTER PLAN'!$J:$J,0,0)),"")</f>
        <v/>
      </c>
      <c r="GZ32" s="73" t="str">
        <f t="array" ref="GZ32">IFERROR(IF(XLOOKUP(CONCAT(GW32,GX32),'PROCESOS PRD'!$J:$J,'PROCESOS PRD'!$H:$H,0,0)=0,"",XLOOKUP(CONCAT(GW32,GX32),'PROCESOS PRD'!$J:$J,'PROCESOS PRD'!$H:$H,0,0)),"")</f>
        <v/>
      </c>
      <c r="HA32" s="71"/>
      <c r="HB32" s="32"/>
      <c r="HC32" s="72" t="str">
        <f t="array" ref="HC32">IFERROR(IF(XLOOKUP(CONCAT(HA32,HB32),'MASTER PLAN'!$AB:$AB,'MASTER PLAN'!$J:$J,0,0)=0,"",XLOOKUP(CONCAT(HA32,HB32),'MASTER PLAN'!$AB:$AB,'MASTER PLAN'!$J:$J,0,0)),"")</f>
        <v/>
      </c>
      <c r="HD32" s="73" t="str">
        <f t="array" ref="HD32">IFERROR(IF(XLOOKUP(CONCAT(HA32,HB32),'PROCESOS PRD'!$J:$J,'PROCESOS PRD'!$H:$H,0,0)=0,"",XLOOKUP(CONCAT(HA32,HB32),'PROCESOS PRD'!$J:$J,'PROCESOS PRD'!$H:$H,0,0)),"")</f>
        <v/>
      </c>
      <c r="HE32" s="71"/>
      <c r="HF32" s="32"/>
      <c r="HG32" s="72" t="str">
        <f t="array" ref="HG32">IFERROR(IF(XLOOKUP(CONCAT(HE32,HF32),'MASTER PLAN'!$AB:$AB,'MASTER PLAN'!$J:$J,0,0)=0,"",XLOOKUP(CONCAT(HE32,HF32),'MASTER PLAN'!$AB:$AB,'MASTER PLAN'!$J:$J,0,0)),"")</f>
        <v/>
      </c>
      <c r="HH32" s="73" t="str">
        <f t="array" ref="HH32">IFERROR(IF(XLOOKUP(CONCAT(HE32,HF32),'PROCESOS PRD'!$J:$J,'PROCESOS PRD'!$H:$H,0,0)=0,"",XLOOKUP(CONCAT(HE32,HF32),'PROCESOS PRD'!$J:$J,'PROCESOS PRD'!$H:$H,0,0)),"")</f>
        <v/>
      </c>
      <c r="HI32" s="71"/>
      <c r="HJ32" s="32"/>
      <c r="HK32" s="72" t="str">
        <f t="array" ref="HK32">IFERROR(IF(XLOOKUP(CONCAT(HI32,HJ32),'MASTER PLAN'!$AB:$AB,'MASTER PLAN'!$J:$J,0,0)=0,"",XLOOKUP(CONCAT(HI32,HJ32),'MASTER PLAN'!$AB:$AB,'MASTER PLAN'!$J:$J,0,0)),"")</f>
        <v/>
      </c>
      <c r="HL32" s="73" t="str">
        <f t="array" ref="HL32">IFERROR(IF(XLOOKUP(CONCAT(HI32,HJ32),'PROCESOS PRD'!$J:$J,'PROCESOS PRD'!$H:$H,0,0)=0,"",XLOOKUP(CONCAT(HI32,HJ32),'PROCESOS PRD'!$J:$J,'PROCESOS PRD'!$H:$H,0,0)),"")</f>
        <v/>
      </c>
      <c r="HM32" s="70"/>
      <c r="HN32" s="71"/>
      <c r="HO32" s="32"/>
      <c r="HP32" s="72" t="str">
        <f t="array" ref="HP32">IFERROR(IF(XLOOKUP(CONCAT(HN32,HO32),'MASTER PLAN'!$AB:$AB,'MASTER PLAN'!$J:$J,0,0)=0,"",XLOOKUP(CONCAT(HN32,HO32),'MASTER PLAN'!$AB:$AB,'MASTER PLAN'!$J:$J,0,0)),"")</f>
        <v/>
      </c>
      <c r="HQ32" s="73" t="str">
        <f t="array" ref="HQ32">IFERROR(IF(XLOOKUP(CONCAT(HN32,HO32),'PROCESOS PRD'!$J:$J,'PROCESOS PRD'!$H:$H,0,0)=0,"",XLOOKUP(CONCAT(HN32,HO32),'PROCESOS PRD'!$J:$J,'PROCESOS PRD'!$H:$H,0,0)),"")</f>
        <v/>
      </c>
      <c r="HR32" s="71"/>
      <c r="HS32" s="32"/>
      <c r="HT32" s="72" t="str">
        <f t="array" ref="HT32">IFERROR(IF(XLOOKUP(CONCAT(HR32,HS32),'MASTER PLAN'!$AB:$AB,'MASTER PLAN'!$J:$J,0,0)=0,"",XLOOKUP(CONCAT(HR32,HS32),'MASTER PLAN'!$AB:$AB,'MASTER PLAN'!$J:$J,0,0)),"")</f>
        <v/>
      </c>
      <c r="HU32" s="73" t="str">
        <f t="array" ref="HU32">IFERROR(IF(XLOOKUP(CONCAT(HR32,HS32),'PROCESOS PRD'!$J:$J,'PROCESOS PRD'!$H:$H,0,0)=0,"",XLOOKUP(CONCAT(HR32,HS32),'PROCESOS PRD'!$J:$J,'PROCESOS PRD'!$H:$H,0,0)),"")</f>
        <v/>
      </c>
      <c r="HV32" s="71"/>
      <c r="HW32" s="32"/>
      <c r="HX32" s="72" t="str">
        <f t="array" ref="HX32">IFERROR(IF(XLOOKUP(CONCAT(HV32,HW32),'MASTER PLAN'!$AB:$AB,'MASTER PLAN'!$J:$J,0,0)=0,"",XLOOKUP(CONCAT(HV32,HW32),'MASTER PLAN'!$AB:$AB,'MASTER PLAN'!$J:$J,0,0)),"")</f>
        <v/>
      </c>
      <c r="HY32" s="73" t="str">
        <f t="array" ref="HY32">IFERROR(IF(XLOOKUP(CONCAT(HV32,HW32),'PROCESOS PRD'!$J:$J,'PROCESOS PRD'!$H:$H,0,0)=0,"",XLOOKUP(CONCAT(HV32,HW32),'PROCESOS PRD'!$J:$J,'PROCESOS PRD'!$H:$H,0,0)),"")</f>
        <v/>
      </c>
      <c r="HZ32" s="71"/>
      <c r="IA32" s="32"/>
      <c r="IB32" s="72" t="str">
        <f t="array" ref="IB32">IFERROR(IF(XLOOKUP(CONCAT(HZ32,IA32),'MASTER PLAN'!$AB:$AB,'MASTER PLAN'!$J:$J,0,0)=0,"",XLOOKUP(CONCAT(HZ32,IA32),'MASTER PLAN'!$AB:$AB,'MASTER PLAN'!$J:$J,0,0)),"")</f>
        <v/>
      </c>
      <c r="IC32" s="73" t="str">
        <f t="array" ref="IC32">IFERROR(IF(XLOOKUP(CONCAT(HZ32,IA32),'PROCESOS PRD'!$J:$J,'PROCESOS PRD'!$H:$H,0,0)=0,"",XLOOKUP(CONCAT(HZ32,IA32),'PROCESOS PRD'!$J:$J,'PROCESOS PRD'!$H:$H,0,0)),"")</f>
        <v/>
      </c>
      <c r="ID32" s="71"/>
      <c r="IE32" s="32"/>
      <c r="IF32" s="72" t="str">
        <f t="array" ref="IF32">IFERROR(IF(XLOOKUP(CONCAT(ID32,IE32),'MASTER PLAN'!$AB:$AB,'MASTER PLAN'!$J:$J,0,0)=0,"",XLOOKUP(CONCAT(ID32,IE32),'MASTER PLAN'!$AB:$AB,'MASTER PLAN'!$J:$J,0,0)),"")</f>
        <v/>
      </c>
      <c r="IG32" s="73" t="str">
        <f t="array" ref="IG32">IFERROR(IF(XLOOKUP(CONCAT(ID32,IE32),'PROCESOS PRD'!$J:$J,'PROCESOS PRD'!$H:$H,0,0)=0,"",XLOOKUP(CONCAT(ID32,IE32),'PROCESOS PRD'!$J:$J,'PROCESOS PRD'!$H:$H,0,0)),"")</f>
        <v/>
      </c>
      <c r="IH32" s="71"/>
      <c r="II32" s="32"/>
      <c r="IJ32" s="72" t="str">
        <f t="array" ref="IJ32">IFERROR(IF(XLOOKUP(CONCAT(IH32,II32),'MASTER PLAN'!$AB:$AB,'MASTER PLAN'!$J:$J,0,0)=0,"",XLOOKUP(CONCAT(IH32,II32),'MASTER PLAN'!$AB:$AB,'MASTER PLAN'!$J:$J,0,0)),"")</f>
        <v/>
      </c>
      <c r="IK32" s="73" t="str">
        <f t="array" ref="IK32">IFERROR(IF(XLOOKUP(CONCAT(IH32,II32),'PROCESOS PRD'!$J:$J,'PROCESOS PRD'!$H:$H,0,0)=0,"",XLOOKUP(CONCAT(IH32,II32),'PROCESOS PRD'!$J:$J,'PROCESOS PRD'!$H:$H,0,0)),"")</f>
        <v/>
      </c>
      <c r="IL32" s="70"/>
      <c r="IM32" s="71"/>
      <c r="IN32" s="32"/>
      <c r="IO32" s="72" t="str">
        <f t="array" ref="IO32">IFERROR(IF(XLOOKUP(CONCAT(IM32,IN32),'MASTER PLAN'!$AB:$AB,'MASTER PLAN'!$J:$J,0,0)=0,"",XLOOKUP(CONCAT(IM32,IN32),'MASTER PLAN'!$AB:$AB,'MASTER PLAN'!$J:$J,0,0)),"")</f>
        <v/>
      </c>
      <c r="IP32" s="73" t="str">
        <f t="array" ref="IP32">IFERROR(IF(XLOOKUP(CONCAT(IM32,IN32),'PROCESOS PRD'!$J:$J,'PROCESOS PRD'!$H:$H,0,0)=0,"",XLOOKUP(CONCAT(IM32,IN32),'PROCESOS PRD'!$J:$J,'PROCESOS PRD'!$H:$H,0,0)),"")</f>
        <v/>
      </c>
      <c r="IQ32" s="71"/>
      <c r="IR32" s="32"/>
      <c r="IS32" s="72" t="str">
        <f t="array" ref="IS32">IFERROR(IF(XLOOKUP(CONCAT(IQ32,IR32),'MASTER PLAN'!$AB:$AB,'MASTER PLAN'!$J:$J,0,0)=0,"",XLOOKUP(CONCAT(IQ32,IR32),'MASTER PLAN'!$AB:$AB,'MASTER PLAN'!$J:$J,0,0)),"")</f>
        <v/>
      </c>
      <c r="IT32" s="73" t="str">
        <f t="array" ref="IT32">IFERROR(IF(XLOOKUP(CONCAT(IQ32,IR32),'PROCESOS PRD'!$J:$J,'PROCESOS PRD'!$H:$H,0,0)=0,"",XLOOKUP(CONCAT(IQ32,IR32),'PROCESOS PRD'!$J:$J,'PROCESOS PRD'!$H:$H,0,0)),"")</f>
        <v/>
      </c>
      <c r="IU32" s="71"/>
      <c r="IV32" s="32"/>
      <c r="IW32" s="72" t="str">
        <f t="array" ref="IW32">IFERROR(IF(XLOOKUP(CONCAT(IU32,IV32),'MASTER PLAN'!$AB:$AB,'MASTER PLAN'!$J:$J,0,0)=0,"",XLOOKUP(CONCAT(IU32,IV32),'MASTER PLAN'!$AB:$AB,'MASTER PLAN'!$J:$J,0,0)),"")</f>
        <v/>
      </c>
      <c r="IX32" s="73" t="str">
        <f t="array" ref="IX32">IFERROR(IF(XLOOKUP(CONCAT(IU32,IV32),'PROCESOS PRD'!$J:$J,'PROCESOS PRD'!$H:$H,0,0)=0,"",XLOOKUP(CONCAT(IU32,IV32),'PROCESOS PRD'!$J:$J,'PROCESOS PRD'!$H:$H,0,0)),"")</f>
        <v/>
      </c>
      <c r="IY32" s="71"/>
      <c r="IZ32" s="32"/>
      <c r="JA32" s="72" t="str">
        <f t="array" ref="JA32">IFERROR(IF(XLOOKUP(CONCAT(IY32,IZ32),'MASTER PLAN'!$AB:$AB,'MASTER PLAN'!$J:$J,0,0)=0,"",XLOOKUP(CONCAT(IY32,IZ32),'MASTER PLAN'!$AB:$AB,'MASTER PLAN'!$J:$J,0,0)),"")</f>
        <v/>
      </c>
      <c r="JB32" s="73" t="str">
        <f t="array" ref="JB32">IFERROR(IF(XLOOKUP(CONCAT(IY32,IZ32),'PROCESOS PRD'!$J:$J,'PROCESOS PRD'!$H:$H,0,0)=0,"",XLOOKUP(CONCAT(IY32,IZ32),'PROCESOS PRD'!$J:$J,'PROCESOS PRD'!$H:$H,0,0)),"")</f>
        <v/>
      </c>
      <c r="JC32" s="71"/>
      <c r="JD32" s="32"/>
      <c r="JE32" s="72" t="str">
        <f t="array" ref="JE32">IFERROR(IF(XLOOKUP(CONCAT(JC32,JD32),'MASTER PLAN'!$AB:$AB,'MASTER PLAN'!$J:$J,0,0)=0,"",XLOOKUP(CONCAT(JC32,JD32),'MASTER PLAN'!$AB:$AB,'MASTER PLAN'!$J:$J,0,0)),"")</f>
        <v/>
      </c>
      <c r="JF32" s="73" t="str">
        <f t="array" ref="JF32">IFERROR(IF(XLOOKUP(CONCAT(JC32,JD32),'PROCESOS PRD'!$J:$J,'PROCESOS PRD'!$H:$H,0,0)=0,"",XLOOKUP(CONCAT(JC32,JD32),'PROCESOS PRD'!$J:$J,'PROCESOS PRD'!$H:$H,0,0)),"")</f>
        <v/>
      </c>
      <c r="JG32" s="71"/>
      <c r="JH32" s="32"/>
      <c r="JI32" s="72" t="str">
        <f t="array" ref="JI32">IFERROR(IF(XLOOKUP(CONCAT(JG32,JH32),'MASTER PLAN'!$AB:$AB,'MASTER PLAN'!$J:$J,0,0)=0,"",XLOOKUP(CONCAT(JG32,JH32),'MASTER PLAN'!$AB:$AB,'MASTER PLAN'!$J:$J,0,0)),"")</f>
        <v/>
      </c>
      <c r="JJ32" s="73" t="str">
        <f t="array" ref="JJ32">IFERROR(IF(XLOOKUP(CONCAT(JG32,JH32),'PROCESOS PRD'!$J:$J,'PROCESOS PRD'!$H:$H,0,0)=0,"",XLOOKUP(CONCAT(JG32,JH32),'PROCESOS PRD'!$J:$J,'PROCESOS PRD'!$H:$H,0,0)),"")</f>
        <v/>
      </c>
      <c r="JK32" s="70"/>
      <c r="JL32" s="71"/>
      <c r="JM32" s="32"/>
      <c r="JN32" s="72" t="str">
        <f t="array" ref="JN32">IFERROR(IF(XLOOKUP(CONCAT(JL32,JM32),'MASTER PLAN'!$AB:$AB,'MASTER PLAN'!$J:$J,0,0)=0,"",XLOOKUP(CONCAT(JL32,JM32),'MASTER PLAN'!$AB:$AB,'MASTER PLAN'!$J:$J,0,0)),"")</f>
        <v/>
      </c>
      <c r="JO32" s="73" t="str">
        <f t="array" ref="JO32">IFERROR(IF(XLOOKUP(CONCAT(JL32,JM32),'PROCESOS PRD'!$J:$J,'PROCESOS PRD'!$H:$H,0,0)=0,"",XLOOKUP(CONCAT(JL32,JM32),'PROCESOS PRD'!$J:$J,'PROCESOS PRD'!$H:$H,0,0)),"")</f>
        <v/>
      </c>
      <c r="JP32" s="71"/>
      <c r="JQ32" s="32"/>
      <c r="JR32" s="72" t="str">
        <f t="array" ref="JR32">IFERROR(IF(XLOOKUP(CONCAT(JP32,JQ32),'MASTER PLAN'!$AB:$AB,'MASTER PLAN'!$J:$J,0,0)=0,"",XLOOKUP(CONCAT(JP32,JQ32),'MASTER PLAN'!$AB:$AB,'MASTER PLAN'!$J:$J,0,0)),"")</f>
        <v/>
      </c>
      <c r="JS32" s="73" t="str">
        <f t="array" ref="JS32">IFERROR(IF(XLOOKUP(CONCAT(JP32,JQ32),'PROCESOS PRD'!$J:$J,'PROCESOS PRD'!$H:$H,0,0)=0,"",XLOOKUP(CONCAT(JP32,JQ32),'PROCESOS PRD'!$J:$J,'PROCESOS PRD'!$H:$H,0,0)),"")</f>
        <v/>
      </c>
      <c r="JT32" s="71"/>
      <c r="JU32" s="32"/>
      <c r="JV32" s="72" t="str">
        <f t="array" ref="JV32">IFERROR(IF(XLOOKUP(CONCAT(JT32,JU32),'MASTER PLAN'!$AB:$AB,'MASTER PLAN'!$J:$J,0,0)=0,"",XLOOKUP(CONCAT(JT32,JU32),'MASTER PLAN'!$AB:$AB,'MASTER PLAN'!$J:$J,0,0)),"")</f>
        <v/>
      </c>
      <c r="JW32" s="73" t="str">
        <f t="array" ref="JW32">IFERROR(IF(XLOOKUP(CONCAT(JT32,JU32),'PROCESOS PRD'!$J:$J,'PROCESOS PRD'!$H:$H,0,0)=0,"",XLOOKUP(CONCAT(JT32,JU32),'PROCESOS PRD'!$J:$J,'PROCESOS PRD'!$H:$H,0,0)),"")</f>
        <v/>
      </c>
      <c r="JX32" s="71"/>
      <c r="JY32" s="32"/>
      <c r="JZ32" s="72" t="str">
        <f t="array" ref="JZ32">IFERROR(IF(XLOOKUP(CONCAT(JX32,JY32),'MASTER PLAN'!$AB:$AB,'MASTER PLAN'!$J:$J,0,0)=0,"",XLOOKUP(CONCAT(JX32,JY32),'MASTER PLAN'!$AB:$AB,'MASTER PLAN'!$J:$J,0,0)),"")</f>
        <v/>
      </c>
      <c r="KA32" s="73" t="str">
        <f t="array" ref="KA32">IFERROR(IF(XLOOKUP(CONCAT(JX32,JY32),'PROCESOS PRD'!$J:$J,'PROCESOS PRD'!$H:$H,0,0)=0,"",XLOOKUP(CONCAT(JX32,JY32),'PROCESOS PRD'!$J:$J,'PROCESOS PRD'!$H:$H,0,0)),"")</f>
        <v/>
      </c>
      <c r="KB32" s="71"/>
      <c r="KC32" s="32"/>
      <c r="KD32" s="72" t="str">
        <f t="array" ref="KD32">IFERROR(IF(XLOOKUP(CONCAT(KB32,KC32),'MASTER PLAN'!$AB:$AB,'MASTER PLAN'!$J:$J,0,0)=0,"",XLOOKUP(CONCAT(KB32,KC32),'MASTER PLAN'!$AB:$AB,'MASTER PLAN'!$J:$J,0,0)),"")</f>
        <v/>
      </c>
      <c r="KE32" s="73" t="str">
        <f t="array" ref="KE32">IFERROR(IF(XLOOKUP(CONCAT(KB32,KC32),'PROCESOS PRD'!$J:$J,'PROCESOS PRD'!$H:$H,0,0)=0,"",XLOOKUP(CONCAT(KB32,KC32),'PROCESOS PRD'!$J:$J,'PROCESOS PRD'!$H:$H,0,0)),"")</f>
        <v/>
      </c>
      <c r="KF32" s="71"/>
      <c r="KG32" s="32"/>
      <c r="KH32" s="72" t="str">
        <f t="array" ref="KH32">IFERROR(IF(XLOOKUP(CONCAT(KF32,KG32),'MASTER PLAN'!$AB:$AB,'MASTER PLAN'!$J:$J,0,0)=0,"",XLOOKUP(CONCAT(KF32,KG32),'MASTER PLAN'!$AB:$AB,'MASTER PLAN'!$J:$J,0,0)),"")</f>
        <v/>
      </c>
      <c r="KI32" s="73" t="str">
        <f t="array" ref="KI32">IFERROR(IF(XLOOKUP(CONCAT(KF32,KG32),'PROCESOS PRD'!$J:$J,'PROCESOS PRD'!$H:$H,0,0)=0,"",XLOOKUP(CONCAT(KF32,KG32),'PROCESOS PRD'!$J:$J,'PROCESOS PRD'!$H:$H,0,0)),"")</f>
        <v/>
      </c>
      <c r="KJ32" s="70"/>
      <c r="KK32" s="70"/>
      <c r="KL32" s="70"/>
      <c r="KM32" s="70"/>
      <c r="KN32" s="70"/>
      <c r="KO32" s="70"/>
      <c r="KP32" s="70"/>
      <c r="KQ32" s="70"/>
      <c r="KR32" s="70"/>
      <c r="KS32" s="70"/>
      <c r="KT32" s="70"/>
      <c r="KU32" s="70"/>
      <c r="KV32" s="70"/>
      <c r="KW32" s="70"/>
      <c r="KX32" s="70"/>
      <c r="KY32" s="70"/>
      <c r="KZ32" s="70"/>
      <c r="LA32" s="70"/>
      <c r="LB32" s="70"/>
      <c r="LC32" s="70"/>
    </row>
    <row r="33" ht="15.75" customHeight="1">
      <c r="A33" s="42"/>
      <c r="B33" s="74"/>
      <c r="C33" s="69"/>
      <c r="D33" s="70"/>
      <c r="E33" s="71"/>
      <c r="F33" s="32"/>
      <c r="G33" s="72" t="str">
        <f t="array" ref="G33">IFERROR(IF(XLOOKUP(CONCAT(E33,F33),'MASTER PLAN'!$AB:$AB,'MASTER PLAN'!$J:$J,0,0)=0,"",XLOOKUP(CONCAT(E33,F33),'MASTER PLAN'!$AB:$AB,'MASTER PLAN'!$J:$J,0,0)),"")</f>
        <v/>
      </c>
      <c r="H33" s="73" t="str">
        <f t="array" ref="H33">IFERROR(IF(XLOOKUP(CONCAT(E33,F33),'PROCESOS PRD'!$J:$J,'PROCESOS PRD'!$H:$H,0,0)=0,"",XLOOKUP(CONCAT(E33,F33),'PROCESOS PRD'!$J:$J,'PROCESOS PRD'!$H:$H,0,0)),"")</f>
        <v/>
      </c>
      <c r="I33" s="71"/>
      <c r="J33" s="32"/>
      <c r="K33" s="72" t="str">
        <f t="array" ref="K33">IFERROR(IF(XLOOKUP(CONCAT(I33,J33),'MASTER PLAN'!$AB:$AB,'MASTER PLAN'!$J:$J,0,0)=0,"",XLOOKUP(CONCAT(I33,J33),'MASTER PLAN'!$AB:$AB,'MASTER PLAN'!$J:$J,0,0)),"")</f>
        <v/>
      </c>
      <c r="L33" s="73" t="str">
        <f t="array" ref="L33">IFERROR(IF(XLOOKUP(CONCAT(I33,J33),'PROCESOS PRD'!$J:$J,'PROCESOS PRD'!$H:$H,0,0)=0,"",XLOOKUP(CONCAT(I33,J33),'PROCESOS PRD'!$J:$J,'PROCESOS PRD'!$H:$H,0,0)),"")</f>
        <v/>
      </c>
      <c r="M33" s="71"/>
      <c r="N33" s="32"/>
      <c r="O33" s="72" t="str">
        <f t="array" ref="O33">IFERROR(IF(XLOOKUP(CONCAT(M33,N33),'MASTER PLAN'!$AB:$AB,'MASTER PLAN'!$J:$J,0,0)=0,"",XLOOKUP(CONCAT(M33,N33),'MASTER PLAN'!$AB:$AB,'MASTER PLAN'!$J:$J,0,0)),"")</f>
        <v/>
      </c>
      <c r="P33" s="73" t="str">
        <f t="array" ref="P33">IFERROR(IF(XLOOKUP(CONCAT(M33,N33),'PROCESOS PRD'!$J:$J,'PROCESOS PRD'!$H:$H,0,0)=0,"",XLOOKUP(CONCAT(M33,N33),'PROCESOS PRD'!$J:$J,'PROCESOS PRD'!$H:$H,0,0)),"")</f>
        <v/>
      </c>
      <c r="Q33" s="71"/>
      <c r="R33" s="32"/>
      <c r="S33" s="72" t="str">
        <f t="array" ref="S33">IFERROR(IF(XLOOKUP(CONCAT(Q33,R33),'MASTER PLAN'!$AB:$AB,'MASTER PLAN'!$J:$J,0,0)=0,"",XLOOKUP(CONCAT(Q33,R33),'MASTER PLAN'!$AB:$AB,'MASTER PLAN'!$J:$J,0,0)),"")</f>
        <v/>
      </c>
      <c r="T33" s="73" t="str">
        <f t="array" ref="T33">IFERROR(IF(XLOOKUP(CONCAT(Q33,R33),'PROCESOS PRD'!$J:$J,'PROCESOS PRD'!$H:$H,0,0)=0,"",XLOOKUP(CONCAT(Q33,R33),'PROCESOS PRD'!$J:$J,'PROCESOS PRD'!$H:$H,0,0)),"")</f>
        <v/>
      </c>
      <c r="U33" s="70"/>
      <c r="V33" s="71"/>
      <c r="W33" s="32"/>
      <c r="X33" s="72" t="str">
        <f t="array" ref="X33">IFERROR(IF(XLOOKUP(CONCAT(V33,W33),'MASTER PLAN'!$AB:$AB,'MASTER PLAN'!$J:$J,0,0)=0,"",XLOOKUP(CONCAT(V33,W33),'MASTER PLAN'!$AB:$AB,'MASTER PLAN'!$J:$J,0,0)),"")</f>
        <v/>
      </c>
      <c r="Y33" s="73" t="str">
        <f t="array" ref="Y33">IFERROR(IF(XLOOKUP(CONCAT(V33,W33),'PROCESOS PRD'!$J:$J,'PROCESOS PRD'!$H:$H,0,0)=0,"",XLOOKUP(CONCAT(V33,W33),'PROCESOS PRD'!$J:$J,'PROCESOS PRD'!$H:$H,0,0)),"")</f>
        <v/>
      </c>
      <c r="Z33" s="71"/>
      <c r="AA33" s="32"/>
      <c r="AB33" s="72" t="str">
        <f t="array" ref="AB33">IFERROR(IF(XLOOKUP(CONCAT(Z33,AA33),'MASTER PLAN'!$AB:$AB,'MASTER PLAN'!$J:$J,0,0)=0,"",XLOOKUP(CONCAT(Z33,AA33),'MASTER PLAN'!$AB:$AB,'MASTER PLAN'!$J:$J,0,0)),"")</f>
        <v/>
      </c>
      <c r="AC33" s="73" t="str">
        <f t="array" ref="AC33">IFERROR(IF(XLOOKUP(CONCAT(Z33,AA33),'PROCESOS PRD'!$J:$J,'PROCESOS PRD'!$H:$H,0,0)=0,"",XLOOKUP(CONCAT(Z33,AA33),'PROCESOS PRD'!$J:$J,'PROCESOS PRD'!$H:$H,0,0)),"")</f>
        <v/>
      </c>
      <c r="AD33" s="71"/>
      <c r="AE33" s="32"/>
      <c r="AF33" s="72" t="str">
        <f t="array" ref="AF33">IFERROR(IF(XLOOKUP(CONCAT(AD33,AE33),'MASTER PLAN'!$AB:$AB,'MASTER PLAN'!$J:$J,0,0)=0,"",XLOOKUP(CONCAT(AD33,AE33),'MASTER PLAN'!$AB:$AB,'MASTER PLAN'!$J:$J,0,0)),"")</f>
        <v/>
      </c>
      <c r="AG33" s="73" t="str">
        <f t="array" ref="AG33">IFERROR(IF(XLOOKUP(CONCAT(AD33,AE33),'PROCESOS PRD'!$J:$J,'PROCESOS PRD'!$H:$H,0,0)=0,"",XLOOKUP(CONCAT(AD33,AE33),'PROCESOS PRD'!$J:$J,'PROCESOS PRD'!$H:$H,0,0)),"")</f>
        <v/>
      </c>
      <c r="AH33" s="71"/>
      <c r="AI33" s="32"/>
      <c r="AJ33" s="72" t="str">
        <f t="array" ref="AJ33">IFERROR(IF(XLOOKUP(CONCAT(AH33,AI33),'MASTER PLAN'!$AB:$AB,'MASTER PLAN'!$J:$J,0,0)=0,"",XLOOKUP(CONCAT(AH33,AI33),'MASTER PLAN'!$AB:$AB,'MASTER PLAN'!$J:$J,0,0)),"")</f>
        <v/>
      </c>
      <c r="AK33" s="73" t="str">
        <f t="array" ref="AK33">IFERROR(IF(XLOOKUP(CONCAT(AH33,AI33),'PROCESOS PRD'!$J:$J,'PROCESOS PRD'!$H:$H,0,0)=0,"",XLOOKUP(CONCAT(AH33,AI33),'PROCESOS PRD'!$J:$J,'PROCESOS PRD'!$H:$H,0,0)),"")</f>
        <v/>
      </c>
      <c r="AL33" s="71"/>
      <c r="AM33" s="32"/>
      <c r="AN33" s="72" t="str">
        <f t="array" ref="AN33">IFERROR(IF(XLOOKUP(CONCAT(AL33,AM33),'MASTER PLAN'!$AB:$AB,'MASTER PLAN'!$J:$J,0,0)=0,"",XLOOKUP(CONCAT(AL33,AM33),'MASTER PLAN'!$AB:$AB,'MASTER PLAN'!$J:$J,0,0)),"")</f>
        <v/>
      </c>
      <c r="AO33" s="73" t="str">
        <f t="array" ref="AO33">IFERROR(IF(XLOOKUP(CONCAT(AL33,AM33),'PROCESOS PRD'!$J:$J,'PROCESOS PRD'!$H:$H,0,0)=0,"",XLOOKUP(CONCAT(AL33,AM33),'PROCESOS PRD'!$J:$J,'PROCESOS PRD'!$H:$H,0,0)),"")</f>
        <v/>
      </c>
      <c r="AP33" s="71"/>
      <c r="AQ33" s="32"/>
      <c r="AR33" s="72" t="str">
        <f t="array" ref="AR33">IFERROR(IF(XLOOKUP(CONCAT(AP33,AQ33),'MASTER PLAN'!$AB:$AB,'MASTER PLAN'!$J:$J,0,0)=0,"",XLOOKUP(CONCAT(AP33,AQ33),'MASTER PLAN'!$AB:$AB,'MASTER PLAN'!$J:$J,0,0)),"")</f>
        <v/>
      </c>
      <c r="AS33" s="73" t="str">
        <f t="array" ref="AS33">IFERROR(IF(XLOOKUP(CONCAT(AP33,AQ33),'PROCESOS PRD'!$J:$J,'PROCESOS PRD'!$H:$H,0,0)=0,"",XLOOKUP(CONCAT(AP33,AQ33),'PROCESOS PRD'!$J:$J,'PROCESOS PRD'!$H:$H,0,0)),"")</f>
        <v/>
      </c>
      <c r="AT33" s="70"/>
      <c r="AU33" s="71"/>
      <c r="AV33" s="32"/>
      <c r="AW33" s="72" t="str">
        <f t="array" ref="AW33">IFERROR(IF(XLOOKUP(CONCAT(AU33,AV33),'MASTER PLAN'!$AB:$AB,'MASTER PLAN'!$J:$J,0,0)=0,"",XLOOKUP(CONCAT(AU33,AV33),'MASTER PLAN'!$AB:$AB,'MASTER PLAN'!$J:$J,0,0)),"")</f>
        <v/>
      </c>
      <c r="AX33" s="73" t="str">
        <f t="array" ref="AX33">IFERROR(IF(XLOOKUP(CONCAT(AU33,AV33),'PROCESOS PRD'!$J:$J,'PROCESOS PRD'!$H:$H,0,0)=0,"",XLOOKUP(CONCAT(AU33,AV33),'PROCESOS PRD'!$J:$J,'PROCESOS PRD'!$H:$H,0,0)),"")</f>
        <v/>
      </c>
      <c r="AY33" s="71"/>
      <c r="AZ33" s="32"/>
      <c r="BA33" s="72" t="str">
        <f t="array" ref="BA33">IFERROR(IF(XLOOKUP(CONCAT(AY33,AZ33),'MASTER PLAN'!$AB:$AB,'MASTER PLAN'!$J:$J,0,0)=0,"",XLOOKUP(CONCAT(AY33,AZ33),'MASTER PLAN'!$AB:$AB,'MASTER PLAN'!$J:$J,0,0)),"")</f>
        <v/>
      </c>
      <c r="BB33" s="73" t="str">
        <f t="array" ref="BB33">IFERROR(IF(XLOOKUP(CONCAT(AY33,AZ33),'PROCESOS PRD'!$J:$J,'PROCESOS PRD'!$H:$H,0,0)=0,"",XLOOKUP(CONCAT(AY33,AZ33),'PROCESOS PRD'!$J:$J,'PROCESOS PRD'!$H:$H,0,0)),"")</f>
        <v/>
      </c>
      <c r="BC33" s="71"/>
      <c r="BD33" s="32"/>
      <c r="BE33" s="72" t="str">
        <f t="array" ref="BE33">IFERROR(IF(XLOOKUP(CONCAT(BC33,BD33),'MASTER PLAN'!$AB:$AB,'MASTER PLAN'!$J:$J,0,0)=0,"",XLOOKUP(CONCAT(BC33,BD33),'MASTER PLAN'!$AB:$AB,'MASTER PLAN'!$J:$J,0,0)),"")</f>
        <v/>
      </c>
      <c r="BF33" s="73" t="str">
        <f t="array" ref="BF33">IFERROR(IF(XLOOKUP(CONCAT(BC33,BD33),'PROCESOS PRD'!$J:$J,'PROCESOS PRD'!$H:$H,0,0)=0,"",XLOOKUP(CONCAT(BC33,BD33),'PROCESOS PRD'!$J:$J,'PROCESOS PRD'!$H:$H,0,0)),"")</f>
        <v/>
      </c>
      <c r="BG33" s="71"/>
      <c r="BH33" s="32"/>
      <c r="BI33" s="72" t="str">
        <f t="array" ref="BI33">IFERROR(IF(XLOOKUP(CONCAT(BG33,BH33),'MASTER PLAN'!$AB:$AB,'MASTER PLAN'!$J:$J,0,0)=0,"",XLOOKUP(CONCAT(BG33,BH33),'MASTER PLAN'!$AB:$AB,'MASTER PLAN'!$J:$J,0,0)),"")</f>
        <v/>
      </c>
      <c r="BJ33" s="73" t="str">
        <f t="array" ref="BJ33">IFERROR(IF(XLOOKUP(CONCAT(BG33,BH33),'PROCESOS PRD'!$J:$J,'PROCESOS PRD'!$H:$H,0,0)=0,"",XLOOKUP(CONCAT(BG33,BH33),'PROCESOS PRD'!$J:$J,'PROCESOS PRD'!$H:$H,0,0)),"")</f>
        <v/>
      </c>
      <c r="BK33" s="71"/>
      <c r="BL33" s="32"/>
      <c r="BM33" s="72" t="str">
        <f t="array" ref="BM33">IFERROR(IF(XLOOKUP(CONCAT(BK33,BL33),'MASTER PLAN'!$AB:$AB,'MASTER PLAN'!$J:$J,0,0)=0,"",XLOOKUP(CONCAT(BK33,BL33),'MASTER PLAN'!$AB:$AB,'MASTER PLAN'!$J:$J,0,0)),"")</f>
        <v/>
      </c>
      <c r="BN33" s="73" t="str">
        <f t="array" ref="BN33">IFERROR(IF(XLOOKUP(CONCAT(BK33,BL33),'PROCESOS PRD'!$J:$J,'PROCESOS PRD'!$H:$H,0,0)=0,"",XLOOKUP(CONCAT(BK33,BL33),'PROCESOS PRD'!$J:$J,'PROCESOS PRD'!$H:$H,0,0)),"")</f>
        <v/>
      </c>
      <c r="BO33" s="71"/>
      <c r="BP33" s="32"/>
      <c r="BQ33" s="72" t="str">
        <f t="array" ref="BQ33">IFERROR(IF(XLOOKUP(CONCAT(BO33,BP33),'MASTER PLAN'!$AB:$AB,'MASTER PLAN'!$J:$J,0,0)=0,"",XLOOKUP(CONCAT(BO33,BP33),'MASTER PLAN'!$AB:$AB,'MASTER PLAN'!$J:$J,0,0)),"")</f>
        <v/>
      </c>
      <c r="BR33" s="73" t="str">
        <f t="array" ref="BR33">IFERROR(IF(XLOOKUP(CONCAT(BO33,BP33),'PROCESOS PRD'!$J:$J,'PROCESOS PRD'!$H:$H,0,0)=0,"",XLOOKUP(CONCAT(BO33,BP33),'PROCESOS PRD'!$J:$J,'PROCESOS PRD'!$H:$H,0,0)),"")</f>
        <v/>
      </c>
      <c r="BS33" s="70"/>
      <c r="BT33" s="71"/>
      <c r="BU33" s="32"/>
      <c r="BV33" s="72" t="str">
        <f t="array" ref="BV33">IFERROR(IF(XLOOKUP(CONCAT(BT33,BU33),'MASTER PLAN'!$AB:$AB,'MASTER PLAN'!$J:$J,0,0)=0,"",XLOOKUP(CONCAT(BT33,BU33),'MASTER PLAN'!$AB:$AB,'MASTER PLAN'!$J:$J,0,0)),"")</f>
        <v/>
      </c>
      <c r="BW33" s="73" t="str">
        <f t="array" ref="BW33">IFERROR(IF(XLOOKUP(CONCAT(BT33,BU33),'PROCESOS PRD'!$J:$J,'PROCESOS PRD'!$H:$H,0,0)=0,"",XLOOKUP(CONCAT(BT33,BU33),'PROCESOS PRD'!$J:$J,'PROCESOS PRD'!$H:$H,0,0)),"")</f>
        <v/>
      </c>
      <c r="BX33" s="71"/>
      <c r="BY33" s="32"/>
      <c r="BZ33" s="72" t="str">
        <f t="array" ref="BZ33">IFERROR(IF(XLOOKUP(CONCAT(BX33,BY33),'MASTER PLAN'!$AB:$AB,'MASTER PLAN'!$J:$J,0,0)=0,"",XLOOKUP(CONCAT(BX33,BY33),'MASTER PLAN'!$AB:$AB,'MASTER PLAN'!$J:$J,0,0)),"")</f>
        <v/>
      </c>
      <c r="CA33" s="73" t="str">
        <f t="array" ref="CA33">IFERROR(IF(XLOOKUP(CONCAT(BX33,BY33),'PROCESOS PRD'!$J:$J,'PROCESOS PRD'!$H:$H,0,0)=0,"",XLOOKUP(CONCAT(BX33,BY33),'PROCESOS PRD'!$J:$J,'PROCESOS PRD'!$H:$H,0,0)),"")</f>
        <v/>
      </c>
      <c r="CB33" s="71"/>
      <c r="CC33" s="32"/>
      <c r="CD33" s="72" t="str">
        <f t="array" ref="CD33">IFERROR(IF(XLOOKUP(CONCAT(CB33,CC33),'MASTER PLAN'!$AB:$AB,'MASTER PLAN'!$J:$J,0,0)=0,"",XLOOKUP(CONCAT(CB33,CC33),'MASTER PLAN'!$AB:$AB,'MASTER PLAN'!$J:$J,0,0)),"")</f>
        <v/>
      </c>
      <c r="CE33" s="73" t="str">
        <f t="array" ref="CE33">IFERROR(IF(XLOOKUP(CONCAT(CB33,CC33),'PROCESOS PRD'!$J:$J,'PROCESOS PRD'!$H:$H,0,0)=0,"",XLOOKUP(CONCAT(CB33,CC33),'PROCESOS PRD'!$J:$J,'PROCESOS PRD'!$H:$H,0,0)),"")</f>
        <v/>
      </c>
      <c r="CF33" s="71"/>
      <c r="CG33" s="32"/>
      <c r="CH33" s="72" t="str">
        <f t="array" ref="CH33">IFERROR(IF(XLOOKUP(CONCAT(CF33,CG33),'MASTER PLAN'!$AB:$AB,'MASTER PLAN'!$J:$J,0,0)=0,"",XLOOKUP(CONCAT(CF33,CG33),'MASTER PLAN'!$AB:$AB,'MASTER PLAN'!$J:$J,0,0)),"")</f>
        <v/>
      </c>
      <c r="CI33" s="73" t="str">
        <f t="array" ref="CI33">IFERROR(IF(XLOOKUP(CONCAT(CF33,CG33),'PROCESOS PRD'!$J:$J,'PROCESOS PRD'!$H:$H,0,0)=0,"",XLOOKUP(CONCAT(CF33,CG33),'PROCESOS PRD'!$J:$J,'PROCESOS PRD'!$H:$H,0,0)),"")</f>
        <v/>
      </c>
      <c r="CJ33" s="71"/>
      <c r="CK33" s="32"/>
      <c r="CL33" s="72" t="str">
        <f t="array" ref="CL33">IFERROR(IF(XLOOKUP(CONCAT(CJ33,CK33),'MASTER PLAN'!$AB:$AB,'MASTER PLAN'!$J:$J,0,0)=0,"",XLOOKUP(CONCAT(CJ33,CK33),'MASTER PLAN'!$AB:$AB,'MASTER PLAN'!$J:$J,0,0)),"")</f>
        <v/>
      </c>
      <c r="CM33" s="73" t="str">
        <f t="array" ref="CM33">IFERROR(IF(XLOOKUP(CONCAT(CJ33,CK33),'PROCESOS PRD'!$J:$J,'PROCESOS PRD'!$H:$H,0,0)=0,"",XLOOKUP(CONCAT(CJ33,CK33),'PROCESOS PRD'!$J:$J,'PROCESOS PRD'!$H:$H,0,0)),"")</f>
        <v/>
      </c>
      <c r="CN33" s="71"/>
      <c r="CO33" s="32"/>
      <c r="CP33" s="72" t="str">
        <f t="array" ref="CP33">IFERROR(IF(XLOOKUP(CONCAT(CN33,CO33),'MASTER PLAN'!$AB:$AB,'MASTER PLAN'!$J:$J,0,0)=0,"",XLOOKUP(CONCAT(CN33,CO33),'MASTER PLAN'!$AB:$AB,'MASTER PLAN'!$J:$J,0,0)),"")</f>
        <v/>
      </c>
      <c r="CQ33" s="73" t="str">
        <f t="array" ref="CQ33">IFERROR(IF(XLOOKUP(CONCAT(CN33,CO33),'PROCESOS PRD'!$J:$J,'PROCESOS PRD'!$H:$H,0,0)=0,"",XLOOKUP(CONCAT(CN33,CO33),'PROCESOS PRD'!$J:$J,'PROCESOS PRD'!$H:$H,0,0)),"")</f>
        <v/>
      </c>
      <c r="CR33" s="70"/>
      <c r="CS33" s="71"/>
      <c r="CT33" s="32"/>
      <c r="CU33" s="72" t="str">
        <f t="array" ref="CU33">IFERROR(IF(XLOOKUP(CONCAT(CS33,CT33),'MASTER PLAN'!$AB:$AB,'MASTER PLAN'!$J:$J,0,0)=0,"",XLOOKUP(CONCAT(CS33,CT33),'MASTER PLAN'!$AB:$AB,'MASTER PLAN'!$J:$J,0,0)),"")</f>
        <v/>
      </c>
      <c r="CV33" s="73" t="str">
        <f t="array" ref="CV33">IFERROR(IF(XLOOKUP(CONCAT(CS33,CT33),'PROCESOS PRD'!$J:$J,'PROCESOS PRD'!$H:$H,0,0)=0,"",XLOOKUP(CONCAT(CS33,CT33),'PROCESOS PRD'!$J:$J,'PROCESOS PRD'!$H:$H,0,0)),"")</f>
        <v/>
      </c>
      <c r="CW33" s="71"/>
      <c r="CX33" s="32"/>
      <c r="CY33" s="72" t="str">
        <f t="array" ref="CY33">IFERROR(IF(XLOOKUP(CONCAT(CW33,CX33),'MASTER PLAN'!$AB:$AB,'MASTER PLAN'!$J:$J,0,0)=0,"",XLOOKUP(CONCAT(CW33,CX33),'MASTER PLAN'!$AB:$AB,'MASTER PLAN'!$J:$J,0,0)),"")</f>
        <v/>
      </c>
      <c r="CZ33" s="73" t="str">
        <f t="array" ref="CZ33">IFERROR(IF(XLOOKUP(CONCAT(CW33,CX33),'PROCESOS PRD'!$J:$J,'PROCESOS PRD'!$H:$H,0,0)=0,"",XLOOKUP(CONCAT(CW33,CX33),'PROCESOS PRD'!$J:$J,'PROCESOS PRD'!$H:$H,0,0)),"")</f>
        <v/>
      </c>
      <c r="DA33" s="71"/>
      <c r="DB33" s="32"/>
      <c r="DC33" s="72" t="str">
        <f t="array" ref="DC33">IFERROR(IF(XLOOKUP(CONCAT(DA33,DB33),'MASTER PLAN'!$AB:$AB,'MASTER PLAN'!$J:$J,0,0)=0,"",XLOOKUP(CONCAT(DA33,DB33),'MASTER PLAN'!$AB:$AB,'MASTER PLAN'!$J:$J,0,0)),"")</f>
        <v/>
      </c>
      <c r="DD33" s="73" t="str">
        <f t="array" ref="DD33">IFERROR(IF(XLOOKUP(CONCAT(DA33,DB33),'PROCESOS PRD'!$J:$J,'PROCESOS PRD'!$H:$H,0,0)=0,"",XLOOKUP(CONCAT(DA33,DB33),'PROCESOS PRD'!$J:$J,'PROCESOS PRD'!$H:$H,0,0)),"")</f>
        <v/>
      </c>
      <c r="DE33" s="71"/>
      <c r="DF33" s="32"/>
      <c r="DG33" s="72" t="str">
        <f t="array" ref="DG33">IFERROR(IF(XLOOKUP(CONCAT(DE33,DF33),'MASTER PLAN'!$AB:$AB,'MASTER PLAN'!$J:$J,0,0)=0,"",XLOOKUP(CONCAT(DE33,DF33),'MASTER PLAN'!$AB:$AB,'MASTER PLAN'!$J:$J,0,0)),"")</f>
        <v/>
      </c>
      <c r="DH33" s="73" t="str">
        <f t="array" ref="DH33">IFERROR(IF(XLOOKUP(CONCAT(DE33,DF33),'PROCESOS PRD'!$J:$J,'PROCESOS PRD'!$H:$H,0,0)=0,"",XLOOKUP(CONCAT(DE33,DF33),'PROCESOS PRD'!$J:$J,'PROCESOS PRD'!$H:$H,0,0)),"")</f>
        <v/>
      </c>
      <c r="DI33" s="71"/>
      <c r="DJ33" s="32"/>
      <c r="DK33" s="72" t="str">
        <f t="array" ref="DK33">IFERROR(IF(XLOOKUP(CONCAT(DI33,DJ33),'MASTER PLAN'!$AB:$AB,'MASTER PLAN'!$J:$J,0,0)=0,"",XLOOKUP(CONCAT(DI33,DJ33),'MASTER PLAN'!$AB:$AB,'MASTER PLAN'!$J:$J,0,0)),"")</f>
        <v/>
      </c>
      <c r="DL33" s="73" t="str">
        <f t="array" ref="DL33">IFERROR(IF(XLOOKUP(CONCAT(DI33,DJ33),'PROCESOS PRD'!$J:$J,'PROCESOS PRD'!$H:$H,0,0)=0,"",XLOOKUP(CONCAT(DI33,DJ33),'PROCESOS PRD'!$J:$J,'PROCESOS PRD'!$H:$H,0,0)),"")</f>
        <v/>
      </c>
      <c r="DM33" s="71"/>
      <c r="DN33" s="32"/>
      <c r="DO33" s="72" t="str">
        <f t="array" ref="DO33">IFERROR(IF(XLOOKUP(CONCAT(DM33,DN33),'MASTER PLAN'!$AB:$AB,'MASTER PLAN'!$J:$J,0,0)=0,"",XLOOKUP(CONCAT(DM33,DN33),'MASTER PLAN'!$AB:$AB,'MASTER PLAN'!$J:$J,0,0)),"")</f>
        <v/>
      </c>
      <c r="DP33" s="73" t="str">
        <f t="array" ref="DP33">IFERROR(IF(XLOOKUP(CONCAT(DM33,DN33),'PROCESOS PRD'!$J:$J,'PROCESOS PRD'!$H:$H,0,0)=0,"",XLOOKUP(CONCAT(DM33,DN33),'PROCESOS PRD'!$J:$J,'PROCESOS PRD'!$H:$H,0,0)),"")</f>
        <v/>
      </c>
      <c r="DQ33" s="70"/>
      <c r="DR33" s="71"/>
      <c r="DS33" s="32"/>
      <c r="DT33" s="72" t="str">
        <f t="array" ref="DT33">IFERROR(IF(XLOOKUP(CONCAT(DR33,DS33),'MASTER PLAN'!$AB:$AB,'MASTER PLAN'!$J:$J,0,0)=0,"",XLOOKUP(CONCAT(DR33,DS33),'MASTER PLAN'!$AB:$AB,'MASTER PLAN'!$J:$J,0,0)),"")</f>
        <v/>
      </c>
      <c r="DU33" s="73" t="str">
        <f t="array" ref="DU33">IFERROR(IF(XLOOKUP(CONCAT(DR33,DS33),'PROCESOS PRD'!$J:$J,'PROCESOS PRD'!$H:$H,0,0)=0,"",XLOOKUP(CONCAT(DR33,DS33),'PROCESOS PRD'!$J:$J,'PROCESOS PRD'!$H:$H,0,0)),"")</f>
        <v/>
      </c>
      <c r="DV33" s="71"/>
      <c r="DW33" s="32"/>
      <c r="DX33" s="72" t="str">
        <f t="array" ref="DX33">IFERROR(IF(XLOOKUP(CONCAT(DV33,DW33),'MASTER PLAN'!$AB:$AB,'MASTER PLAN'!$J:$J,0,0)=0,"",XLOOKUP(CONCAT(DV33,DW33),'MASTER PLAN'!$AB:$AB,'MASTER PLAN'!$J:$J,0,0)),"")</f>
        <v/>
      </c>
      <c r="DY33" s="73" t="str">
        <f t="array" ref="DY33">IFERROR(IF(XLOOKUP(CONCAT(DV33,DW33),'PROCESOS PRD'!$J:$J,'PROCESOS PRD'!$H:$H,0,0)=0,"",XLOOKUP(CONCAT(DV33,DW33),'PROCESOS PRD'!$J:$J,'PROCESOS PRD'!$H:$H,0,0)),"")</f>
        <v/>
      </c>
      <c r="DZ33" s="71"/>
      <c r="EA33" s="32"/>
      <c r="EB33" s="72" t="str">
        <f t="array" ref="EB33">IFERROR(IF(XLOOKUP(CONCAT(DZ33,EA33),'MASTER PLAN'!$AB:$AB,'MASTER PLAN'!$J:$J,0,0)=0,"",XLOOKUP(CONCAT(DZ33,EA33),'MASTER PLAN'!$AB:$AB,'MASTER PLAN'!$J:$J,0,0)),"")</f>
        <v/>
      </c>
      <c r="EC33" s="73" t="str">
        <f t="array" ref="EC33">IFERROR(IF(XLOOKUP(CONCAT(DZ33,EA33),'PROCESOS PRD'!$J:$J,'PROCESOS PRD'!$H:$H,0,0)=0,"",XLOOKUP(CONCAT(DZ33,EA33),'PROCESOS PRD'!$J:$J,'PROCESOS PRD'!$H:$H,0,0)),"")</f>
        <v/>
      </c>
      <c r="ED33" s="71"/>
      <c r="EE33" s="32"/>
      <c r="EF33" s="72" t="str">
        <f t="array" ref="EF33">IFERROR(IF(XLOOKUP(CONCAT(ED33,EE33),'MASTER PLAN'!$AB:$AB,'MASTER PLAN'!$J:$J,0,0)=0,"",XLOOKUP(CONCAT(ED33,EE33),'MASTER PLAN'!$AB:$AB,'MASTER PLAN'!$J:$J,0,0)),"")</f>
        <v/>
      </c>
      <c r="EG33" s="73" t="str">
        <f t="array" ref="EG33">IFERROR(IF(XLOOKUP(CONCAT(ED33,EE33),'PROCESOS PRD'!$J:$J,'PROCESOS PRD'!$H:$H,0,0)=0,"",XLOOKUP(CONCAT(ED33,EE33),'PROCESOS PRD'!$J:$J,'PROCESOS PRD'!$H:$H,0,0)),"")</f>
        <v/>
      </c>
      <c r="EH33" s="71"/>
      <c r="EI33" s="32"/>
      <c r="EJ33" s="72" t="str">
        <f t="array" ref="EJ33">IFERROR(IF(XLOOKUP(CONCAT(EH33,EI33),'MASTER PLAN'!$AB:$AB,'MASTER PLAN'!$J:$J,0,0)=0,"",XLOOKUP(CONCAT(EH33,EI33),'MASTER PLAN'!$AB:$AB,'MASTER PLAN'!$J:$J,0,0)),"")</f>
        <v/>
      </c>
      <c r="EK33" s="73" t="str">
        <f t="array" ref="EK33">IFERROR(IF(XLOOKUP(CONCAT(EH33,EI33),'PROCESOS PRD'!$J:$J,'PROCESOS PRD'!$H:$H,0,0)=0,"",XLOOKUP(CONCAT(EH33,EI33),'PROCESOS PRD'!$J:$J,'PROCESOS PRD'!$H:$H,0,0)),"")</f>
        <v/>
      </c>
      <c r="EL33" s="71"/>
      <c r="EM33" s="32"/>
      <c r="EN33" s="72" t="str">
        <f t="array" ref="EN33">IFERROR(IF(XLOOKUP(CONCAT(EL33,EM33),'MASTER PLAN'!$AB:$AB,'MASTER PLAN'!$J:$J,0,0)=0,"",XLOOKUP(CONCAT(EL33,EM33),'MASTER PLAN'!$AB:$AB,'MASTER PLAN'!$J:$J,0,0)),"")</f>
        <v/>
      </c>
      <c r="EO33" s="73" t="str">
        <f t="array" ref="EO33">IFERROR(IF(XLOOKUP(CONCAT(EL33,EM33),'PROCESOS PRD'!$J:$J,'PROCESOS PRD'!$H:$H,0,0)=0,"",XLOOKUP(CONCAT(EL33,EM33),'PROCESOS PRD'!$J:$J,'PROCESOS PRD'!$H:$H,0,0)),"")</f>
        <v/>
      </c>
      <c r="EP33" s="70"/>
      <c r="EQ33" s="71"/>
      <c r="ER33" s="32"/>
      <c r="ES33" s="72" t="str">
        <f t="array" ref="ES33">IFERROR(IF(XLOOKUP(CONCAT(EQ33,ER33),'MASTER PLAN'!$AB:$AB,'MASTER PLAN'!$J:$J,0,0)=0,"",XLOOKUP(CONCAT(EQ33,ER33),'MASTER PLAN'!$AB:$AB,'MASTER PLAN'!$J:$J,0,0)),"")</f>
        <v/>
      </c>
      <c r="ET33" s="73" t="str">
        <f t="array" ref="ET33">IFERROR(IF(XLOOKUP(CONCAT(EQ33,ER33),'PROCESOS PRD'!$J:$J,'PROCESOS PRD'!$H:$H,0,0)=0,"",XLOOKUP(CONCAT(EQ33,ER33),'PROCESOS PRD'!$J:$J,'PROCESOS PRD'!$H:$H,0,0)),"")</f>
        <v/>
      </c>
      <c r="EU33" s="71"/>
      <c r="EV33" s="32"/>
      <c r="EW33" s="72" t="str">
        <f t="array" ref="EW33">IFERROR(IF(XLOOKUP(CONCAT(EU33,EV33),'MASTER PLAN'!$AB:$AB,'MASTER PLAN'!$J:$J,0,0)=0,"",XLOOKUP(CONCAT(EU33,EV33),'MASTER PLAN'!$AB:$AB,'MASTER PLAN'!$J:$J,0,0)),"")</f>
        <v/>
      </c>
      <c r="EX33" s="73" t="str">
        <f t="array" ref="EX33">IFERROR(IF(XLOOKUP(CONCAT(EU33,EV33),'PROCESOS PRD'!$J:$J,'PROCESOS PRD'!$H:$H,0,0)=0,"",XLOOKUP(CONCAT(EU33,EV33),'PROCESOS PRD'!$J:$J,'PROCESOS PRD'!$H:$H,0,0)),"")</f>
        <v/>
      </c>
      <c r="EY33" s="71"/>
      <c r="EZ33" s="32"/>
      <c r="FA33" s="72" t="str">
        <f t="array" ref="FA33">IFERROR(IF(XLOOKUP(CONCAT(EY33,EZ33),'MASTER PLAN'!$AB:$AB,'MASTER PLAN'!$J:$J,0,0)=0,"",XLOOKUP(CONCAT(EY33,EZ33),'MASTER PLAN'!$AB:$AB,'MASTER PLAN'!$J:$J,0,0)),"")</f>
        <v/>
      </c>
      <c r="FB33" s="73" t="str">
        <f t="array" ref="FB33">IFERROR(IF(XLOOKUP(CONCAT(EY33,EZ33),'PROCESOS PRD'!$J:$J,'PROCESOS PRD'!$H:$H,0,0)=0,"",XLOOKUP(CONCAT(EY33,EZ33),'PROCESOS PRD'!$J:$J,'PROCESOS PRD'!$H:$H,0,0)),"")</f>
        <v/>
      </c>
      <c r="FC33" s="71"/>
      <c r="FD33" s="32"/>
      <c r="FE33" s="72" t="str">
        <f t="array" ref="FE33">IFERROR(IF(XLOOKUP(CONCAT(FC33,FD33),'MASTER PLAN'!$AB:$AB,'MASTER PLAN'!$J:$J,0,0)=0,"",XLOOKUP(CONCAT(FC33,FD33),'MASTER PLAN'!$AB:$AB,'MASTER PLAN'!$J:$J,0,0)),"")</f>
        <v/>
      </c>
      <c r="FF33" s="73" t="str">
        <f t="array" ref="FF33">IFERROR(IF(XLOOKUP(CONCAT(FC33,FD33),'PROCESOS PRD'!$J:$J,'PROCESOS PRD'!$H:$H,0,0)=0,"",XLOOKUP(CONCAT(FC33,FD33),'PROCESOS PRD'!$J:$J,'PROCESOS PRD'!$H:$H,0,0)),"")</f>
        <v/>
      </c>
      <c r="FG33" s="71"/>
      <c r="FH33" s="32"/>
      <c r="FI33" s="72" t="str">
        <f t="array" ref="FI33">IFERROR(IF(XLOOKUP(CONCAT(FG33,FH33),'MASTER PLAN'!$AB:$AB,'MASTER PLAN'!$J:$J,0,0)=0,"",XLOOKUP(CONCAT(FG33,FH33),'MASTER PLAN'!$AB:$AB,'MASTER PLAN'!$J:$J,0,0)),"")</f>
        <v/>
      </c>
      <c r="FJ33" s="73" t="str">
        <f t="array" ref="FJ33">IFERROR(IF(XLOOKUP(CONCAT(FG33,FH33),'PROCESOS PRD'!$J:$J,'PROCESOS PRD'!$H:$H,0,0)=0,"",XLOOKUP(CONCAT(FG33,FH33),'PROCESOS PRD'!$J:$J,'PROCESOS PRD'!$H:$H,0,0)),"")</f>
        <v/>
      </c>
      <c r="FK33" s="71"/>
      <c r="FL33" s="32"/>
      <c r="FM33" s="72" t="str">
        <f t="array" ref="FM33">IFERROR(IF(XLOOKUP(CONCAT(FK33,FL33),'MASTER PLAN'!$AB:$AB,'MASTER PLAN'!$J:$J,0,0)=0,"",XLOOKUP(CONCAT(FK33,FL33),'MASTER PLAN'!$AB:$AB,'MASTER PLAN'!$J:$J,0,0)),"")</f>
        <v/>
      </c>
      <c r="FN33" s="73" t="str">
        <f t="array" ref="FN33">IFERROR(IF(XLOOKUP(CONCAT(FK33,FL33),'PROCESOS PRD'!$J:$J,'PROCESOS PRD'!$H:$H,0,0)=0,"",XLOOKUP(CONCAT(FK33,FL33),'PROCESOS PRD'!$J:$J,'PROCESOS PRD'!$H:$H,0,0)),"")</f>
        <v/>
      </c>
      <c r="FO33" s="70"/>
      <c r="FP33" s="71"/>
      <c r="FQ33" s="32"/>
      <c r="FR33" s="72" t="str">
        <f t="array" ref="FR33">IFERROR(IF(XLOOKUP(CONCAT(FP33,FQ33),'MASTER PLAN'!$AB:$AB,'MASTER PLAN'!$J:$J,0,0)=0,"",XLOOKUP(CONCAT(FP33,FQ33),'MASTER PLAN'!$AB:$AB,'MASTER PLAN'!$J:$J,0,0)),"")</f>
        <v/>
      </c>
      <c r="FS33" s="73" t="str">
        <f t="array" ref="FS33">IFERROR(IF(XLOOKUP(CONCAT(FP33,FQ33),'PROCESOS PRD'!$J:$J,'PROCESOS PRD'!$H:$H,0,0)=0,"",XLOOKUP(CONCAT(FP33,FQ33),'PROCESOS PRD'!$J:$J,'PROCESOS PRD'!$H:$H,0,0)),"")</f>
        <v/>
      </c>
      <c r="FT33" s="71"/>
      <c r="FU33" s="32"/>
      <c r="FV33" s="72" t="str">
        <f t="array" ref="FV33">IFERROR(IF(XLOOKUP(CONCAT(FT33,FU33),'MASTER PLAN'!$AB:$AB,'MASTER PLAN'!$J:$J,0,0)=0,"",XLOOKUP(CONCAT(FT33,FU33),'MASTER PLAN'!$AB:$AB,'MASTER PLAN'!$J:$J,0,0)),"")</f>
        <v/>
      </c>
      <c r="FW33" s="73" t="str">
        <f t="array" ref="FW33">IFERROR(IF(XLOOKUP(CONCAT(FT33,FU33),'PROCESOS PRD'!$J:$J,'PROCESOS PRD'!$H:$H,0,0)=0,"",XLOOKUP(CONCAT(FT33,FU33),'PROCESOS PRD'!$J:$J,'PROCESOS PRD'!$H:$H,0,0)),"")</f>
        <v/>
      </c>
      <c r="FX33" s="71"/>
      <c r="FY33" s="32"/>
      <c r="FZ33" s="72" t="str">
        <f t="array" ref="FZ33">IFERROR(IF(XLOOKUP(CONCAT(FX33,FY33),'MASTER PLAN'!$AB:$AB,'MASTER PLAN'!$J:$J,0,0)=0,"",XLOOKUP(CONCAT(FX33,FY33),'MASTER PLAN'!$AB:$AB,'MASTER PLAN'!$J:$J,0,0)),"")</f>
        <v/>
      </c>
      <c r="GA33" s="73" t="str">
        <f t="array" ref="GA33">IFERROR(IF(XLOOKUP(CONCAT(FX33,FY33),'PROCESOS PRD'!$J:$J,'PROCESOS PRD'!$H:$H,0,0)=0,"",XLOOKUP(CONCAT(FX33,FY33),'PROCESOS PRD'!$J:$J,'PROCESOS PRD'!$H:$H,0,0)),"")</f>
        <v/>
      </c>
      <c r="GB33" s="71"/>
      <c r="GC33" s="32"/>
      <c r="GD33" s="72" t="str">
        <f t="array" ref="GD33">IFERROR(IF(XLOOKUP(CONCAT(GB33,GC33),'MASTER PLAN'!$AB:$AB,'MASTER PLAN'!$J:$J,0,0)=0,"",XLOOKUP(CONCAT(GB33,GC33),'MASTER PLAN'!$AB:$AB,'MASTER PLAN'!$J:$J,0,0)),"")</f>
        <v/>
      </c>
      <c r="GE33" s="73" t="str">
        <f t="array" ref="GE33">IFERROR(IF(XLOOKUP(CONCAT(GB33,GC33),'PROCESOS PRD'!$J:$J,'PROCESOS PRD'!$H:$H,0,0)=0,"",XLOOKUP(CONCAT(GB33,GC33),'PROCESOS PRD'!$J:$J,'PROCESOS PRD'!$H:$H,0,0)),"")</f>
        <v/>
      </c>
      <c r="GF33" s="71"/>
      <c r="GG33" s="32"/>
      <c r="GH33" s="72" t="str">
        <f t="array" ref="GH33">IFERROR(IF(XLOOKUP(CONCAT(GF33,GG33),'MASTER PLAN'!$AB:$AB,'MASTER PLAN'!$J:$J,0,0)=0,"",XLOOKUP(CONCAT(GF33,GG33),'MASTER PLAN'!$AB:$AB,'MASTER PLAN'!$J:$J,0,0)),"")</f>
        <v/>
      </c>
      <c r="GI33" s="73" t="str">
        <f t="array" ref="GI33">IFERROR(IF(XLOOKUP(CONCAT(GF33,GG33),'PROCESOS PRD'!$J:$J,'PROCESOS PRD'!$H:$H,0,0)=0,"",XLOOKUP(CONCAT(GF33,GG33),'PROCESOS PRD'!$J:$J,'PROCESOS PRD'!$H:$H,0,0)),"")</f>
        <v/>
      </c>
      <c r="GJ33" s="71"/>
      <c r="GK33" s="32"/>
      <c r="GL33" s="72" t="str">
        <f t="array" ref="GL33">IFERROR(IF(XLOOKUP(CONCAT(GJ33,GK33),'MASTER PLAN'!$AB:$AB,'MASTER PLAN'!$J:$J,0,0)=0,"",XLOOKUP(CONCAT(GJ33,GK33),'MASTER PLAN'!$AB:$AB,'MASTER PLAN'!$J:$J,0,0)),"")</f>
        <v/>
      </c>
      <c r="GM33" s="73" t="str">
        <f t="array" ref="GM33">IFERROR(IF(XLOOKUP(CONCAT(GJ33,GK33),'PROCESOS PRD'!$J:$J,'PROCESOS PRD'!$H:$H,0,0)=0,"",XLOOKUP(CONCAT(GJ33,GK33),'PROCESOS PRD'!$J:$J,'PROCESOS PRD'!$H:$H,0,0)),"")</f>
        <v/>
      </c>
      <c r="GN33" s="70"/>
      <c r="GO33" s="71"/>
      <c r="GP33" s="32"/>
      <c r="GQ33" s="72" t="str">
        <f t="array" ref="GQ33">IFERROR(IF(XLOOKUP(CONCAT(GO33,GP33),'MASTER PLAN'!$AB:$AB,'MASTER PLAN'!$J:$J,0,0)=0,"",XLOOKUP(CONCAT(GO33,GP33),'MASTER PLAN'!$AB:$AB,'MASTER PLAN'!$J:$J,0,0)),"")</f>
        <v/>
      </c>
      <c r="GR33" s="73" t="str">
        <f t="array" ref="GR33">IFERROR(IF(XLOOKUP(CONCAT(GO33,GP33),'PROCESOS PRD'!$J:$J,'PROCESOS PRD'!$H:$H,0,0)=0,"",XLOOKUP(CONCAT(GO33,GP33),'PROCESOS PRD'!$J:$J,'PROCESOS PRD'!$H:$H,0,0)),"")</f>
        <v/>
      </c>
      <c r="GS33" s="71"/>
      <c r="GT33" s="32"/>
      <c r="GU33" s="72" t="str">
        <f t="array" ref="GU33">IFERROR(IF(XLOOKUP(CONCAT(GS33,GT33),'MASTER PLAN'!$AB:$AB,'MASTER PLAN'!$J:$J,0,0)=0,"",XLOOKUP(CONCAT(GS33,GT33),'MASTER PLAN'!$AB:$AB,'MASTER PLAN'!$J:$J,0,0)),"")</f>
        <v/>
      </c>
      <c r="GV33" s="73" t="str">
        <f t="array" ref="GV33">IFERROR(IF(XLOOKUP(CONCAT(GS33,GT33),'PROCESOS PRD'!$J:$J,'PROCESOS PRD'!$H:$H,0,0)=0,"",XLOOKUP(CONCAT(GS33,GT33),'PROCESOS PRD'!$J:$J,'PROCESOS PRD'!$H:$H,0,0)),"")</f>
        <v/>
      </c>
      <c r="GW33" s="71"/>
      <c r="GX33" s="32"/>
      <c r="GY33" s="72" t="str">
        <f t="array" ref="GY33">IFERROR(IF(XLOOKUP(CONCAT(GW33,GX33),'MASTER PLAN'!$AB:$AB,'MASTER PLAN'!$J:$J,0,0)=0,"",XLOOKUP(CONCAT(GW33,GX33),'MASTER PLAN'!$AB:$AB,'MASTER PLAN'!$J:$J,0,0)),"")</f>
        <v/>
      </c>
      <c r="GZ33" s="73" t="str">
        <f t="array" ref="GZ33">IFERROR(IF(XLOOKUP(CONCAT(GW33,GX33),'PROCESOS PRD'!$J:$J,'PROCESOS PRD'!$H:$H,0,0)=0,"",XLOOKUP(CONCAT(GW33,GX33),'PROCESOS PRD'!$J:$J,'PROCESOS PRD'!$H:$H,0,0)),"")</f>
        <v/>
      </c>
      <c r="HA33" s="71"/>
      <c r="HB33" s="32"/>
      <c r="HC33" s="72" t="str">
        <f t="array" ref="HC33">IFERROR(IF(XLOOKUP(CONCAT(HA33,HB33),'MASTER PLAN'!$AB:$AB,'MASTER PLAN'!$J:$J,0,0)=0,"",XLOOKUP(CONCAT(HA33,HB33),'MASTER PLAN'!$AB:$AB,'MASTER PLAN'!$J:$J,0,0)),"")</f>
        <v/>
      </c>
      <c r="HD33" s="73" t="str">
        <f t="array" ref="HD33">IFERROR(IF(XLOOKUP(CONCAT(HA33,HB33),'PROCESOS PRD'!$J:$J,'PROCESOS PRD'!$H:$H,0,0)=0,"",XLOOKUP(CONCAT(HA33,HB33),'PROCESOS PRD'!$J:$J,'PROCESOS PRD'!$H:$H,0,0)),"")</f>
        <v/>
      </c>
      <c r="HE33" s="71"/>
      <c r="HF33" s="32"/>
      <c r="HG33" s="72" t="str">
        <f t="array" ref="HG33">IFERROR(IF(XLOOKUP(CONCAT(HE33,HF33),'MASTER PLAN'!$AB:$AB,'MASTER PLAN'!$J:$J,0,0)=0,"",XLOOKUP(CONCAT(HE33,HF33),'MASTER PLAN'!$AB:$AB,'MASTER PLAN'!$J:$J,0,0)),"")</f>
        <v/>
      </c>
      <c r="HH33" s="73" t="str">
        <f t="array" ref="HH33">IFERROR(IF(XLOOKUP(CONCAT(HE33,HF33),'PROCESOS PRD'!$J:$J,'PROCESOS PRD'!$H:$H,0,0)=0,"",XLOOKUP(CONCAT(HE33,HF33),'PROCESOS PRD'!$J:$J,'PROCESOS PRD'!$H:$H,0,0)),"")</f>
        <v/>
      </c>
      <c r="HI33" s="71"/>
      <c r="HJ33" s="32"/>
      <c r="HK33" s="72" t="str">
        <f t="array" ref="HK33">IFERROR(IF(XLOOKUP(CONCAT(HI33,HJ33),'MASTER PLAN'!$AB:$AB,'MASTER PLAN'!$J:$J,0,0)=0,"",XLOOKUP(CONCAT(HI33,HJ33),'MASTER PLAN'!$AB:$AB,'MASTER PLAN'!$J:$J,0,0)),"")</f>
        <v/>
      </c>
      <c r="HL33" s="73" t="str">
        <f t="array" ref="HL33">IFERROR(IF(XLOOKUP(CONCAT(HI33,HJ33),'PROCESOS PRD'!$J:$J,'PROCESOS PRD'!$H:$H,0,0)=0,"",XLOOKUP(CONCAT(HI33,HJ33),'PROCESOS PRD'!$J:$J,'PROCESOS PRD'!$H:$H,0,0)),"")</f>
        <v/>
      </c>
      <c r="HM33" s="70"/>
      <c r="HN33" s="71"/>
      <c r="HO33" s="32"/>
      <c r="HP33" s="72" t="str">
        <f t="array" ref="HP33">IFERROR(IF(XLOOKUP(CONCAT(HN33,HO33),'MASTER PLAN'!$AB:$AB,'MASTER PLAN'!$J:$J,0,0)=0,"",XLOOKUP(CONCAT(HN33,HO33),'MASTER PLAN'!$AB:$AB,'MASTER PLAN'!$J:$J,0,0)),"")</f>
        <v/>
      </c>
      <c r="HQ33" s="73" t="str">
        <f t="array" ref="HQ33">IFERROR(IF(XLOOKUP(CONCAT(HN33,HO33),'PROCESOS PRD'!$J:$J,'PROCESOS PRD'!$H:$H,0,0)=0,"",XLOOKUP(CONCAT(HN33,HO33),'PROCESOS PRD'!$J:$J,'PROCESOS PRD'!$H:$H,0,0)),"")</f>
        <v/>
      </c>
      <c r="HR33" s="71"/>
      <c r="HS33" s="32"/>
      <c r="HT33" s="72" t="str">
        <f t="array" ref="HT33">IFERROR(IF(XLOOKUP(CONCAT(HR33,HS33),'MASTER PLAN'!$AB:$AB,'MASTER PLAN'!$J:$J,0,0)=0,"",XLOOKUP(CONCAT(HR33,HS33),'MASTER PLAN'!$AB:$AB,'MASTER PLAN'!$J:$J,0,0)),"")</f>
        <v/>
      </c>
      <c r="HU33" s="73" t="str">
        <f t="array" ref="HU33">IFERROR(IF(XLOOKUP(CONCAT(HR33,HS33),'PROCESOS PRD'!$J:$J,'PROCESOS PRD'!$H:$H,0,0)=0,"",XLOOKUP(CONCAT(HR33,HS33),'PROCESOS PRD'!$J:$J,'PROCESOS PRD'!$H:$H,0,0)),"")</f>
        <v/>
      </c>
      <c r="HV33" s="71"/>
      <c r="HW33" s="32"/>
      <c r="HX33" s="72" t="str">
        <f t="array" ref="HX33">IFERROR(IF(XLOOKUP(CONCAT(HV33,HW33),'MASTER PLAN'!$AB:$AB,'MASTER PLAN'!$J:$J,0,0)=0,"",XLOOKUP(CONCAT(HV33,HW33),'MASTER PLAN'!$AB:$AB,'MASTER PLAN'!$J:$J,0,0)),"")</f>
        <v/>
      </c>
      <c r="HY33" s="73" t="str">
        <f t="array" ref="HY33">IFERROR(IF(XLOOKUP(CONCAT(HV33,HW33),'PROCESOS PRD'!$J:$J,'PROCESOS PRD'!$H:$H,0,0)=0,"",XLOOKUP(CONCAT(HV33,HW33),'PROCESOS PRD'!$J:$J,'PROCESOS PRD'!$H:$H,0,0)),"")</f>
        <v/>
      </c>
      <c r="HZ33" s="71"/>
      <c r="IA33" s="32"/>
      <c r="IB33" s="72" t="str">
        <f t="array" ref="IB33">IFERROR(IF(XLOOKUP(CONCAT(HZ33,IA33),'MASTER PLAN'!$AB:$AB,'MASTER PLAN'!$J:$J,0,0)=0,"",XLOOKUP(CONCAT(HZ33,IA33),'MASTER PLAN'!$AB:$AB,'MASTER PLAN'!$J:$J,0,0)),"")</f>
        <v/>
      </c>
      <c r="IC33" s="73" t="str">
        <f t="array" ref="IC33">IFERROR(IF(XLOOKUP(CONCAT(HZ33,IA33),'PROCESOS PRD'!$J:$J,'PROCESOS PRD'!$H:$H,0,0)=0,"",XLOOKUP(CONCAT(HZ33,IA33),'PROCESOS PRD'!$J:$J,'PROCESOS PRD'!$H:$H,0,0)),"")</f>
        <v/>
      </c>
      <c r="ID33" s="71"/>
      <c r="IE33" s="32"/>
      <c r="IF33" s="72" t="str">
        <f t="array" ref="IF33">IFERROR(IF(XLOOKUP(CONCAT(ID33,IE33),'MASTER PLAN'!$AB:$AB,'MASTER PLAN'!$J:$J,0,0)=0,"",XLOOKUP(CONCAT(ID33,IE33),'MASTER PLAN'!$AB:$AB,'MASTER PLAN'!$J:$J,0,0)),"")</f>
        <v/>
      </c>
      <c r="IG33" s="73" t="str">
        <f t="array" ref="IG33">IFERROR(IF(XLOOKUP(CONCAT(ID33,IE33),'PROCESOS PRD'!$J:$J,'PROCESOS PRD'!$H:$H,0,0)=0,"",XLOOKUP(CONCAT(ID33,IE33),'PROCESOS PRD'!$J:$J,'PROCESOS PRD'!$H:$H,0,0)),"")</f>
        <v/>
      </c>
      <c r="IH33" s="71"/>
      <c r="II33" s="32"/>
      <c r="IJ33" s="72" t="str">
        <f t="array" ref="IJ33">IFERROR(IF(XLOOKUP(CONCAT(IH33,II33),'MASTER PLAN'!$AB:$AB,'MASTER PLAN'!$J:$J,0,0)=0,"",XLOOKUP(CONCAT(IH33,II33),'MASTER PLAN'!$AB:$AB,'MASTER PLAN'!$J:$J,0,0)),"")</f>
        <v/>
      </c>
      <c r="IK33" s="73" t="str">
        <f t="array" ref="IK33">IFERROR(IF(XLOOKUP(CONCAT(IH33,II33),'PROCESOS PRD'!$J:$J,'PROCESOS PRD'!$H:$H,0,0)=0,"",XLOOKUP(CONCAT(IH33,II33),'PROCESOS PRD'!$J:$J,'PROCESOS PRD'!$H:$H,0,0)),"")</f>
        <v/>
      </c>
      <c r="IL33" s="70"/>
      <c r="IM33" s="71"/>
      <c r="IN33" s="32"/>
      <c r="IO33" s="72" t="str">
        <f t="array" ref="IO33">IFERROR(IF(XLOOKUP(CONCAT(IM33,IN33),'MASTER PLAN'!$AB:$AB,'MASTER PLAN'!$J:$J,0,0)=0,"",XLOOKUP(CONCAT(IM33,IN33),'MASTER PLAN'!$AB:$AB,'MASTER PLAN'!$J:$J,0,0)),"")</f>
        <v/>
      </c>
      <c r="IP33" s="73" t="str">
        <f t="array" ref="IP33">IFERROR(IF(XLOOKUP(CONCAT(IM33,IN33),'PROCESOS PRD'!$J:$J,'PROCESOS PRD'!$H:$H,0,0)=0,"",XLOOKUP(CONCAT(IM33,IN33),'PROCESOS PRD'!$J:$J,'PROCESOS PRD'!$H:$H,0,0)),"")</f>
        <v/>
      </c>
      <c r="IQ33" s="71"/>
      <c r="IR33" s="32"/>
      <c r="IS33" s="72" t="str">
        <f t="array" ref="IS33">IFERROR(IF(XLOOKUP(CONCAT(IQ33,IR33),'MASTER PLAN'!$AB:$AB,'MASTER PLAN'!$J:$J,0,0)=0,"",XLOOKUP(CONCAT(IQ33,IR33),'MASTER PLAN'!$AB:$AB,'MASTER PLAN'!$J:$J,0,0)),"")</f>
        <v/>
      </c>
      <c r="IT33" s="73" t="str">
        <f t="array" ref="IT33">IFERROR(IF(XLOOKUP(CONCAT(IQ33,IR33),'PROCESOS PRD'!$J:$J,'PROCESOS PRD'!$H:$H,0,0)=0,"",XLOOKUP(CONCAT(IQ33,IR33),'PROCESOS PRD'!$J:$J,'PROCESOS PRD'!$H:$H,0,0)),"")</f>
        <v/>
      </c>
      <c r="IU33" s="71"/>
      <c r="IV33" s="32"/>
      <c r="IW33" s="72" t="str">
        <f t="array" ref="IW33">IFERROR(IF(XLOOKUP(CONCAT(IU33,IV33),'MASTER PLAN'!$AB:$AB,'MASTER PLAN'!$J:$J,0,0)=0,"",XLOOKUP(CONCAT(IU33,IV33),'MASTER PLAN'!$AB:$AB,'MASTER PLAN'!$J:$J,0,0)),"")</f>
        <v/>
      </c>
      <c r="IX33" s="73" t="str">
        <f t="array" ref="IX33">IFERROR(IF(XLOOKUP(CONCAT(IU33,IV33),'PROCESOS PRD'!$J:$J,'PROCESOS PRD'!$H:$H,0,0)=0,"",XLOOKUP(CONCAT(IU33,IV33),'PROCESOS PRD'!$J:$J,'PROCESOS PRD'!$H:$H,0,0)),"")</f>
        <v/>
      </c>
      <c r="IY33" s="71"/>
      <c r="IZ33" s="32"/>
      <c r="JA33" s="72" t="str">
        <f t="array" ref="JA33">IFERROR(IF(XLOOKUP(CONCAT(IY33,IZ33),'MASTER PLAN'!$AB:$AB,'MASTER PLAN'!$J:$J,0,0)=0,"",XLOOKUP(CONCAT(IY33,IZ33),'MASTER PLAN'!$AB:$AB,'MASTER PLAN'!$J:$J,0,0)),"")</f>
        <v/>
      </c>
      <c r="JB33" s="73" t="str">
        <f t="array" ref="JB33">IFERROR(IF(XLOOKUP(CONCAT(IY33,IZ33),'PROCESOS PRD'!$J:$J,'PROCESOS PRD'!$H:$H,0,0)=0,"",XLOOKUP(CONCAT(IY33,IZ33),'PROCESOS PRD'!$J:$J,'PROCESOS PRD'!$H:$H,0,0)),"")</f>
        <v/>
      </c>
      <c r="JC33" s="71"/>
      <c r="JD33" s="32"/>
      <c r="JE33" s="72" t="str">
        <f t="array" ref="JE33">IFERROR(IF(XLOOKUP(CONCAT(JC33,JD33),'MASTER PLAN'!$AB:$AB,'MASTER PLAN'!$J:$J,0,0)=0,"",XLOOKUP(CONCAT(JC33,JD33),'MASTER PLAN'!$AB:$AB,'MASTER PLAN'!$J:$J,0,0)),"")</f>
        <v/>
      </c>
      <c r="JF33" s="73" t="str">
        <f t="array" ref="JF33">IFERROR(IF(XLOOKUP(CONCAT(JC33,JD33),'PROCESOS PRD'!$J:$J,'PROCESOS PRD'!$H:$H,0,0)=0,"",XLOOKUP(CONCAT(JC33,JD33),'PROCESOS PRD'!$J:$J,'PROCESOS PRD'!$H:$H,0,0)),"")</f>
        <v/>
      </c>
      <c r="JG33" s="71"/>
      <c r="JH33" s="32"/>
      <c r="JI33" s="72" t="str">
        <f t="array" ref="JI33">IFERROR(IF(XLOOKUP(CONCAT(JG33,JH33),'MASTER PLAN'!$AB:$AB,'MASTER PLAN'!$J:$J,0,0)=0,"",XLOOKUP(CONCAT(JG33,JH33),'MASTER PLAN'!$AB:$AB,'MASTER PLAN'!$J:$J,0,0)),"")</f>
        <v/>
      </c>
      <c r="JJ33" s="73" t="str">
        <f t="array" ref="JJ33">IFERROR(IF(XLOOKUP(CONCAT(JG33,JH33),'PROCESOS PRD'!$J:$J,'PROCESOS PRD'!$H:$H,0,0)=0,"",XLOOKUP(CONCAT(JG33,JH33),'PROCESOS PRD'!$J:$J,'PROCESOS PRD'!$H:$H,0,0)),"")</f>
        <v/>
      </c>
      <c r="JK33" s="70"/>
      <c r="JL33" s="71"/>
      <c r="JM33" s="32"/>
      <c r="JN33" s="72" t="str">
        <f t="array" ref="JN33">IFERROR(IF(XLOOKUP(CONCAT(JL33,JM33),'MASTER PLAN'!$AB:$AB,'MASTER PLAN'!$J:$J,0,0)=0,"",XLOOKUP(CONCAT(JL33,JM33),'MASTER PLAN'!$AB:$AB,'MASTER PLAN'!$J:$J,0,0)),"")</f>
        <v/>
      </c>
      <c r="JO33" s="73" t="str">
        <f t="array" ref="JO33">IFERROR(IF(XLOOKUP(CONCAT(JL33,JM33),'PROCESOS PRD'!$J:$J,'PROCESOS PRD'!$H:$H,0,0)=0,"",XLOOKUP(CONCAT(JL33,JM33),'PROCESOS PRD'!$J:$J,'PROCESOS PRD'!$H:$H,0,0)),"")</f>
        <v/>
      </c>
      <c r="JP33" s="71"/>
      <c r="JQ33" s="32"/>
      <c r="JR33" s="72" t="str">
        <f t="array" ref="JR33">IFERROR(IF(XLOOKUP(CONCAT(JP33,JQ33),'MASTER PLAN'!$AB:$AB,'MASTER PLAN'!$J:$J,0,0)=0,"",XLOOKUP(CONCAT(JP33,JQ33),'MASTER PLAN'!$AB:$AB,'MASTER PLAN'!$J:$J,0,0)),"")</f>
        <v/>
      </c>
      <c r="JS33" s="73" t="str">
        <f t="array" ref="JS33">IFERROR(IF(XLOOKUP(CONCAT(JP33,JQ33),'PROCESOS PRD'!$J:$J,'PROCESOS PRD'!$H:$H,0,0)=0,"",XLOOKUP(CONCAT(JP33,JQ33),'PROCESOS PRD'!$J:$J,'PROCESOS PRD'!$H:$H,0,0)),"")</f>
        <v/>
      </c>
      <c r="JT33" s="71"/>
      <c r="JU33" s="32"/>
      <c r="JV33" s="72" t="str">
        <f t="array" ref="JV33">IFERROR(IF(XLOOKUP(CONCAT(JT33,JU33),'MASTER PLAN'!$AB:$AB,'MASTER PLAN'!$J:$J,0,0)=0,"",XLOOKUP(CONCAT(JT33,JU33),'MASTER PLAN'!$AB:$AB,'MASTER PLAN'!$J:$J,0,0)),"")</f>
        <v/>
      </c>
      <c r="JW33" s="73" t="str">
        <f t="array" ref="JW33">IFERROR(IF(XLOOKUP(CONCAT(JT33,JU33),'PROCESOS PRD'!$J:$J,'PROCESOS PRD'!$H:$H,0,0)=0,"",XLOOKUP(CONCAT(JT33,JU33),'PROCESOS PRD'!$J:$J,'PROCESOS PRD'!$H:$H,0,0)),"")</f>
        <v/>
      </c>
      <c r="JX33" s="71"/>
      <c r="JY33" s="32"/>
      <c r="JZ33" s="72" t="str">
        <f t="array" ref="JZ33">IFERROR(IF(XLOOKUP(CONCAT(JX33,JY33),'MASTER PLAN'!$AB:$AB,'MASTER PLAN'!$J:$J,0,0)=0,"",XLOOKUP(CONCAT(JX33,JY33),'MASTER PLAN'!$AB:$AB,'MASTER PLAN'!$J:$J,0,0)),"")</f>
        <v/>
      </c>
      <c r="KA33" s="73" t="str">
        <f t="array" ref="KA33">IFERROR(IF(XLOOKUP(CONCAT(JX33,JY33),'PROCESOS PRD'!$J:$J,'PROCESOS PRD'!$H:$H,0,0)=0,"",XLOOKUP(CONCAT(JX33,JY33),'PROCESOS PRD'!$J:$J,'PROCESOS PRD'!$H:$H,0,0)),"")</f>
        <v/>
      </c>
      <c r="KB33" s="71"/>
      <c r="KC33" s="32"/>
      <c r="KD33" s="72" t="str">
        <f t="array" ref="KD33">IFERROR(IF(XLOOKUP(CONCAT(KB33,KC33),'MASTER PLAN'!$AB:$AB,'MASTER PLAN'!$J:$J,0,0)=0,"",XLOOKUP(CONCAT(KB33,KC33),'MASTER PLAN'!$AB:$AB,'MASTER PLAN'!$J:$J,0,0)),"")</f>
        <v/>
      </c>
      <c r="KE33" s="73" t="str">
        <f t="array" ref="KE33">IFERROR(IF(XLOOKUP(CONCAT(KB33,KC33),'PROCESOS PRD'!$J:$J,'PROCESOS PRD'!$H:$H,0,0)=0,"",XLOOKUP(CONCAT(KB33,KC33),'PROCESOS PRD'!$J:$J,'PROCESOS PRD'!$H:$H,0,0)),"")</f>
        <v/>
      </c>
      <c r="KF33" s="71"/>
      <c r="KG33" s="32"/>
      <c r="KH33" s="72" t="str">
        <f t="array" ref="KH33">IFERROR(IF(XLOOKUP(CONCAT(KF33,KG33),'MASTER PLAN'!$AB:$AB,'MASTER PLAN'!$J:$J,0,0)=0,"",XLOOKUP(CONCAT(KF33,KG33),'MASTER PLAN'!$AB:$AB,'MASTER PLAN'!$J:$J,0,0)),"")</f>
        <v/>
      </c>
      <c r="KI33" s="73" t="str">
        <f t="array" ref="KI33">IFERROR(IF(XLOOKUP(CONCAT(KF33,KG33),'PROCESOS PRD'!$J:$J,'PROCESOS PRD'!$H:$H,0,0)=0,"",XLOOKUP(CONCAT(KF33,KG33),'PROCESOS PRD'!$J:$J,'PROCESOS PRD'!$H:$H,0,0)),"")</f>
        <v/>
      </c>
      <c r="KJ33" s="70"/>
      <c r="KK33" s="70"/>
      <c r="KL33" s="70"/>
      <c r="KM33" s="70"/>
      <c r="KN33" s="70"/>
      <c r="KO33" s="70"/>
      <c r="KP33" s="70"/>
      <c r="KQ33" s="70"/>
      <c r="KR33" s="70"/>
      <c r="KS33" s="70"/>
      <c r="KT33" s="70"/>
      <c r="KU33" s="70"/>
      <c r="KV33" s="70"/>
      <c r="KW33" s="70"/>
      <c r="KX33" s="70"/>
      <c r="KY33" s="70"/>
      <c r="KZ33" s="70"/>
      <c r="LA33" s="70"/>
      <c r="LB33" s="70"/>
      <c r="LC33" s="70"/>
    </row>
    <row r="34" ht="15.75" customHeight="1">
      <c r="A34" s="42"/>
      <c r="B34" s="74"/>
      <c r="C34" s="69"/>
      <c r="D34" s="70"/>
      <c r="E34" s="71"/>
      <c r="F34" s="32"/>
      <c r="G34" s="72" t="str">
        <f t="array" ref="G34">IFERROR(IF(XLOOKUP(CONCAT(E34,F34),'MASTER PLAN'!$AB:$AB,'MASTER PLAN'!$J:$J,0,0)=0,"",XLOOKUP(CONCAT(E34,F34),'MASTER PLAN'!$AB:$AB,'MASTER PLAN'!$J:$J,0,0)),"")</f>
        <v/>
      </c>
      <c r="H34" s="73" t="str">
        <f t="array" ref="H34">IFERROR(IF(XLOOKUP(CONCAT(E34,F34),'PROCESOS PRD'!$J:$J,'PROCESOS PRD'!$H:$H,0,0)=0,"",XLOOKUP(CONCAT(E34,F34),'PROCESOS PRD'!$J:$J,'PROCESOS PRD'!$H:$H,0,0)),"")</f>
        <v/>
      </c>
      <c r="I34" s="71"/>
      <c r="J34" s="32"/>
      <c r="K34" s="72" t="str">
        <f t="array" ref="K34">IFERROR(IF(XLOOKUP(CONCAT(I34,J34),'MASTER PLAN'!$AB:$AB,'MASTER PLAN'!$J:$J,0,0)=0,"",XLOOKUP(CONCAT(I34,J34),'MASTER PLAN'!$AB:$AB,'MASTER PLAN'!$J:$J,0,0)),"")</f>
        <v/>
      </c>
      <c r="L34" s="73" t="str">
        <f t="array" ref="L34">IFERROR(IF(XLOOKUP(CONCAT(I34,J34),'PROCESOS PRD'!$J:$J,'PROCESOS PRD'!$H:$H,0,0)=0,"",XLOOKUP(CONCAT(I34,J34),'PROCESOS PRD'!$J:$J,'PROCESOS PRD'!$H:$H,0,0)),"")</f>
        <v/>
      </c>
      <c r="M34" s="71"/>
      <c r="N34" s="32"/>
      <c r="O34" s="72" t="str">
        <f t="array" ref="O34">IFERROR(IF(XLOOKUP(CONCAT(M34,N34),'MASTER PLAN'!$AB:$AB,'MASTER PLAN'!$J:$J,0,0)=0,"",XLOOKUP(CONCAT(M34,N34),'MASTER PLAN'!$AB:$AB,'MASTER PLAN'!$J:$J,0,0)),"")</f>
        <v/>
      </c>
      <c r="P34" s="73" t="str">
        <f t="array" ref="P34">IFERROR(IF(XLOOKUP(CONCAT(M34,N34),'PROCESOS PRD'!$J:$J,'PROCESOS PRD'!$H:$H,0,0)=0,"",XLOOKUP(CONCAT(M34,N34),'PROCESOS PRD'!$J:$J,'PROCESOS PRD'!$H:$H,0,0)),"")</f>
        <v/>
      </c>
      <c r="Q34" s="71"/>
      <c r="R34" s="32"/>
      <c r="S34" s="72" t="str">
        <f t="array" ref="S34">IFERROR(IF(XLOOKUP(CONCAT(Q34,R34),'MASTER PLAN'!$AB:$AB,'MASTER PLAN'!$J:$J,0,0)=0,"",XLOOKUP(CONCAT(Q34,R34),'MASTER PLAN'!$AB:$AB,'MASTER PLAN'!$J:$J,0,0)),"")</f>
        <v/>
      </c>
      <c r="T34" s="73" t="str">
        <f t="array" ref="T34">IFERROR(IF(XLOOKUP(CONCAT(Q34,R34),'PROCESOS PRD'!$J:$J,'PROCESOS PRD'!$H:$H,0,0)=0,"",XLOOKUP(CONCAT(Q34,R34),'PROCESOS PRD'!$J:$J,'PROCESOS PRD'!$H:$H,0,0)),"")</f>
        <v/>
      </c>
      <c r="U34" s="70"/>
      <c r="V34" s="71"/>
      <c r="W34" s="32"/>
      <c r="X34" s="72" t="str">
        <f t="array" ref="X34">IFERROR(IF(XLOOKUP(CONCAT(V34,W34),'MASTER PLAN'!$AB:$AB,'MASTER PLAN'!$J:$J,0,0)=0,"",XLOOKUP(CONCAT(V34,W34),'MASTER PLAN'!$AB:$AB,'MASTER PLAN'!$J:$J,0,0)),"")</f>
        <v/>
      </c>
      <c r="Y34" s="73" t="str">
        <f t="array" ref="Y34">IFERROR(IF(XLOOKUP(CONCAT(V34,W34),'PROCESOS PRD'!$J:$J,'PROCESOS PRD'!$H:$H,0,0)=0,"",XLOOKUP(CONCAT(V34,W34),'PROCESOS PRD'!$J:$J,'PROCESOS PRD'!$H:$H,0,0)),"")</f>
        <v/>
      </c>
      <c r="Z34" s="71"/>
      <c r="AA34" s="32"/>
      <c r="AB34" s="72" t="str">
        <f t="array" ref="AB34">IFERROR(IF(XLOOKUP(CONCAT(Z34,AA34),'MASTER PLAN'!$AB:$AB,'MASTER PLAN'!$J:$J,0,0)=0,"",XLOOKUP(CONCAT(Z34,AA34),'MASTER PLAN'!$AB:$AB,'MASTER PLAN'!$J:$J,0,0)),"")</f>
        <v/>
      </c>
      <c r="AC34" s="73" t="str">
        <f t="array" ref="AC34">IFERROR(IF(XLOOKUP(CONCAT(Z34,AA34),'PROCESOS PRD'!$J:$J,'PROCESOS PRD'!$H:$H,0,0)=0,"",XLOOKUP(CONCAT(Z34,AA34),'PROCESOS PRD'!$J:$J,'PROCESOS PRD'!$H:$H,0,0)),"")</f>
        <v/>
      </c>
      <c r="AD34" s="71"/>
      <c r="AE34" s="32"/>
      <c r="AF34" s="72" t="str">
        <f t="array" ref="AF34">IFERROR(IF(XLOOKUP(CONCAT(AD34,AE34),'MASTER PLAN'!$AB:$AB,'MASTER PLAN'!$J:$J,0,0)=0,"",XLOOKUP(CONCAT(AD34,AE34),'MASTER PLAN'!$AB:$AB,'MASTER PLAN'!$J:$J,0,0)),"")</f>
        <v/>
      </c>
      <c r="AG34" s="73" t="str">
        <f t="array" ref="AG34">IFERROR(IF(XLOOKUP(CONCAT(AD34,AE34),'PROCESOS PRD'!$J:$J,'PROCESOS PRD'!$H:$H,0,0)=0,"",XLOOKUP(CONCAT(AD34,AE34),'PROCESOS PRD'!$J:$J,'PROCESOS PRD'!$H:$H,0,0)),"")</f>
        <v/>
      </c>
      <c r="AH34" s="71"/>
      <c r="AI34" s="32"/>
      <c r="AJ34" s="72" t="str">
        <f t="array" ref="AJ34">IFERROR(IF(XLOOKUP(CONCAT(AH34,AI34),'MASTER PLAN'!$AB:$AB,'MASTER PLAN'!$J:$J,0,0)=0,"",XLOOKUP(CONCAT(AH34,AI34),'MASTER PLAN'!$AB:$AB,'MASTER PLAN'!$J:$J,0,0)),"")</f>
        <v/>
      </c>
      <c r="AK34" s="73" t="str">
        <f t="array" ref="AK34">IFERROR(IF(XLOOKUP(CONCAT(AH34,AI34),'PROCESOS PRD'!$J:$J,'PROCESOS PRD'!$H:$H,0,0)=0,"",XLOOKUP(CONCAT(AH34,AI34),'PROCESOS PRD'!$J:$J,'PROCESOS PRD'!$H:$H,0,0)),"")</f>
        <v/>
      </c>
      <c r="AL34" s="71"/>
      <c r="AM34" s="32"/>
      <c r="AN34" s="72" t="str">
        <f t="array" ref="AN34">IFERROR(IF(XLOOKUP(CONCAT(AL34,AM34),'MASTER PLAN'!$AB:$AB,'MASTER PLAN'!$J:$J,0,0)=0,"",XLOOKUP(CONCAT(AL34,AM34),'MASTER PLAN'!$AB:$AB,'MASTER PLAN'!$J:$J,0,0)),"")</f>
        <v/>
      </c>
      <c r="AO34" s="73" t="str">
        <f t="array" ref="AO34">IFERROR(IF(XLOOKUP(CONCAT(AL34,AM34),'PROCESOS PRD'!$J:$J,'PROCESOS PRD'!$H:$H,0,0)=0,"",XLOOKUP(CONCAT(AL34,AM34),'PROCESOS PRD'!$J:$J,'PROCESOS PRD'!$H:$H,0,0)),"")</f>
        <v/>
      </c>
      <c r="AP34" s="71"/>
      <c r="AQ34" s="32"/>
      <c r="AR34" s="72" t="str">
        <f t="array" ref="AR34">IFERROR(IF(XLOOKUP(CONCAT(AP34,AQ34),'MASTER PLAN'!$AB:$AB,'MASTER PLAN'!$J:$J,0,0)=0,"",XLOOKUP(CONCAT(AP34,AQ34),'MASTER PLAN'!$AB:$AB,'MASTER PLAN'!$J:$J,0,0)),"")</f>
        <v/>
      </c>
      <c r="AS34" s="73" t="str">
        <f t="array" ref="AS34">IFERROR(IF(XLOOKUP(CONCAT(AP34,AQ34),'PROCESOS PRD'!$J:$J,'PROCESOS PRD'!$H:$H,0,0)=0,"",XLOOKUP(CONCAT(AP34,AQ34),'PROCESOS PRD'!$J:$J,'PROCESOS PRD'!$H:$H,0,0)),"")</f>
        <v/>
      </c>
      <c r="AT34" s="70"/>
      <c r="AU34" s="71"/>
      <c r="AV34" s="32"/>
      <c r="AW34" s="72" t="str">
        <f t="array" ref="AW34">IFERROR(IF(XLOOKUP(CONCAT(AU34,AV34),'MASTER PLAN'!$AB:$AB,'MASTER PLAN'!$J:$J,0,0)=0,"",XLOOKUP(CONCAT(AU34,AV34),'MASTER PLAN'!$AB:$AB,'MASTER PLAN'!$J:$J,0,0)),"")</f>
        <v/>
      </c>
      <c r="AX34" s="73" t="str">
        <f t="array" ref="AX34">IFERROR(IF(XLOOKUP(CONCAT(AU34,AV34),'PROCESOS PRD'!$J:$J,'PROCESOS PRD'!$H:$H,0,0)=0,"",XLOOKUP(CONCAT(AU34,AV34),'PROCESOS PRD'!$J:$J,'PROCESOS PRD'!$H:$H,0,0)),"")</f>
        <v/>
      </c>
      <c r="AY34" s="71"/>
      <c r="AZ34" s="32"/>
      <c r="BA34" s="72" t="str">
        <f t="array" ref="BA34">IFERROR(IF(XLOOKUP(CONCAT(AY34,AZ34),'MASTER PLAN'!$AB:$AB,'MASTER PLAN'!$J:$J,0,0)=0,"",XLOOKUP(CONCAT(AY34,AZ34),'MASTER PLAN'!$AB:$AB,'MASTER PLAN'!$J:$J,0,0)),"")</f>
        <v/>
      </c>
      <c r="BB34" s="73" t="str">
        <f t="array" ref="BB34">IFERROR(IF(XLOOKUP(CONCAT(AY34,AZ34),'PROCESOS PRD'!$J:$J,'PROCESOS PRD'!$H:$H,0,0)=0,"",XLOOKUP(CONCAT(AY34,AZ34),'PROCESOS PRD'!$J:$J,'PROCESOS PRD'!$H:$H,0,0)),"")</f>
        <v/>
      </c>
      <c r="BC34" s="71"/>
      <c r="BD34" s="32"/>
      <c r="BE34" s="72" t="str">
        <f t="array" ref="BE34">IFERROR(IF(XLOOKUP(CONCAT(BC34,BD34),'MASTER PLAN'!$AB:$AB,'MASTER PLAN'!$J:$J,0,0)=0,"",XLOOKUP(CONCAT(BC34,BD34),'MASTER PLAN'!$AB:$AB,'MASTER PLAN'!$J:$J,0,0)),"")</f>
        <v/>
      </c>
      <c r="BF34" s="73" t="str">
        <f t="array" ref="BF34">IFERROR(IF(XLOOKUP(CONCAT(BC34,BD34),'PROCESOS PRD'!$J:$J,'PROCESOS PRD'!$H:$H,0,0)=0,"",XLOOKUP(CONCAT(BC34,BD34),'PROCESOS PRD'!$J:$J,'PROCESOS PRD'!$H:$H,0,0)),"")</f>
        <v/>
      </c>
      <c r="BG34" s="71"/>
      <c r="BH34" s="32"/>
      <c r="BI34" s="72" t="str">
        <f t="array" ref="BI34">IFERROR(IF(XLOOKUP(CONCAT(BG34,BH34),'MASTER PLAN'!$AB:$AB,'MASTER PLAN'!$J:$J,0,0)=0,"",XLOOKUP(CONCAT(BG34,BH34),'MASTER PLAN'!$AB:$AB,'MASTER PLAN'!$J:$J,0,0)),"")</f>
        <v/>
      </c>
      <c r="BJ34" s="73" t="str">
        <f t="array" ref="BJ34">IFERROR(IF(XLOOKUP(CONCAT(BG34,BH34),'PROCESOS PRD'!$J:$J,'PROCESOS PRD'!$H:$H,0,0)=0,"",XLOOKUP(CONCAT(BG34,BH34),'PROCESOS PRD'!$J:$J,'PROCESOS PRD'!$H:$H,0,0)),"")</f>
        <v/>
      </c>
      <c r="BK34" s="71"/>
      <c r="BL34" s="32"/>
      <c r="BM34" s="72" t="str">
        <f t="array" ref="BM34">IFERROR(IF(XLOOKUP(CONCAT(BK34,BL34),'MASTER PLAN'!$AB:$AB,'MASTER PLAN'!$J:$J,0,0)=0,"",XLOOKUP(CONCAT(BK34,BL34),'MASTER PLAN'!$AB:$AB,'MASTER PLAN'!$J:$J,0,0)),"")</f>
        <v/>
      </c>
      <c r="BN34" s="73" t="str">
        <f t="array" ref="BN34">IFERROR(IF(XLOOKUP(CONCAT(BK34,BL34),'PROCESOS PRD'!$J:$J,'PROCESOS PRD'!$H:$H,0,0)=0,"",XLOOKUP(CONCAT(BK34,BL34),'PROCESOS PRD'!$J:$J,'PROCESOS PRD'!$H:$H,0,0)),"")</f>
        <v/>
      </c>
      <c r="BO34" s="71"/>
      <c r="BP34" s="32"/>
      <c r="BQ34" s="72" t="str">
        <f t="array" ref="BQ34">IFERROR(IF(XLOOKUP(CONCAT(BO34,BP34),'MASTER PLAN'!$AB:$AB,'MASTER PLAN'!$J:$J,0,0)=0,"",XLOOKUP(CONCAT(BO34,BP34),'MASTER PLAN'!$AB:$AB,'MASTER PLAN'!$J:$J,0,0)),"")</f>
        <v/>
      </c>
      <c r="BR34" s="73" t="str">
        <f t="array" ref="BR34">IFERROR(IF(XLOOKUP(CONCAT(BO34,BP34),'PROCESOS PRD'!$J:$J,'PROCESOS PRD'!$H:$H,0,0)=0,"",XLOOKUP(CONCAT(BO34,BP34),'PROCESOS PRD'!$J:$J,'PROCESOS PRD'!$H:$H,0,0)),"")</f>
        <v/>
      </c>
      <c r="BS34" s="70"/>
      <c r="BT34" s="71"/>
      <c r="BU34" s="32"/>
      <c r="BV34" s="72" t="str">
        <f t="array" ref="BV34">IFERROR(IF(XLOOKUP(CONCAT(BT34,BU34),'MASTER PLAN'!$AB:$AB,'MASTER PLAN'!$J:$J,0,0)=0,"",XLOOKUP(CONCAT(BT34,BU34),'MASTER PLAN'!$AB:$AB,'MASTER PLAN'!$J:$J,0,0)),"")</f>
        <v/>
      </c>
      <c r="BW34" s="73" t="str">
        <f t="array" ref="BW34">IFERROR(IF(XLOOKUP(CONCAT(BT34,BU34),'PROCESOS PRD'!$J:$J,'PROCESOS PRD'!$H:$H,0,0)=0,"",XLOOKUP(CONCAT(BT34,BU34),'PROCESOS PRD'!$J:$J,'PROCESOS PRD'!$H:$H,0,0)),"")</f>
        <v/>
      </c>
      <c r="BX34" s="71"/>
      <c r="BY34" s="32"/>
      <c r="BZ34" s="72" t="str">
        <f t="array" ref="BZ34">IFERROR(IF(XLOOKUP(CONCAT(BX34,BY34),'MASTER PLAN'!$AB:$AB,'MASTER PLAN'!$J:$J,0,0)=0,"",XLOOKUP(CONCAT(BX34,BY34),'MASTER PLAN'!$AB:$AB,'MASTER PLAN'!$J:$J,0,0)),"")</f>
        <v/>
      </c>
      <c r="CA34" s="73" t="str">
        <f t="array" ref="CA34">IFERROR(IF(XLOOKUP(CONCAT(BX34,BY34),'PROCESOS PRD'!$J:$J,'PROCESOS PRD'!$H:$H,0,0)=0,"",XLOOKUP(CONCAT(BX34,BY34),'PROCESOS PRD'!$J:$J,'PROCESOS PRD'!$H:$H,0,0)),"")</f>
        <v/>
      </c>
      <c r="CB34" s="71"/>
      <c r="CC34" s="32"/>
      <c r="CD34" s="72" t="str">
        <f t="array" ref="CD34">IFERROR(IF(XLOOKUP(CONCAT(CB34,CC34),'MASTER PLAN'!$AB:$AB,'MASTER PLAN'!$J:$J,0,0)=0,"",XLOOKUP(CONCAT(CB34,CC34),'MASTER PLAN'!$AB:$AB,'MASTER PLAN'!$J:$J,0,0)),"")</f>
        <v/>
      </c>
      <c r="CE34" s="73" t="str">
        <f t="array" ref="CE34">IFERROR(IF(XLOOKUP(CONCAT(CB34,CC34),'PROCESOS PRD'!$J:$J,'PROCESOS PRD'!$H:$H,0,0)=0,"",XLOOKUP(CONCAT(CB34,CC34),'PROCESOS PRD'!$J:$J,'PROCESOS PRD'!$H:$H,0,0)),"")</f>
        <v/>
      </c>
      <c r="CF34" s="71"/>
      <c r="CG34" s="32"/>
      <c r="CH34" s="72" t="str">
        <f t="array" ref="CH34">IFERROR(IF(XLOOKUP(CONCAT(CF34,CG34),'MASTER PLAN'!$AB:$AB,'MASTER PLAN'!$J:$J,0,0)=0,"",XLOOKUP(CONCAT(CF34,CG34),'MASTER PLAN'!$AB:$AB,'MASTER PLAN'!$J:$J,0,0)),"")</f>
        <v/>
      </c>
      <c r="CI34" s="73" t="str">
        <f t="array" ref="CI34">IFERROR(IF(XLOOKUP(CONCAT(CF34,CG34),'PROCESOS PRD'!$J:$J,'PROCESOS PRD'!$H:$H,0,0)=0,"",XLOOKUP(CONCAT(CF34,CG34),'PROCESOS PRD'!$J:$J,'PROCESOS PRD'!$H:$H,0,0)),"")</f>
        <v/>
      </c>
      <c r="CJ34" s="71"/>
      <c r="CK34" s="32"/>
      <c r="CL34" s="72" t="str">
        <f t="array" ref="CL34">IFERROR(IF(XLOOKUP(CONCAT(CJ34,CK34),'MASTER PLAN'!$AB:$AB,'MASTER PLAN'!$J:$J,0,0)=0,"",XLOOKUP(CONCAT(CJ34,CK34),'MASTER PLAN'!$AB:$AB,'MASTER PLAN'!$J:$J,0,0)),"")</f>
        <v/>
      </c>
      <c r="CM34" s="73" t="str">
        <f t="array" ref="CM34">IFERROR(IF(XLOOKUP(CONCAT(CJ34,CK34),'PROCESOS PRD'!$J:$J,'PROCESOS PRD'!$H:$H,0,0)=0,"",XLOOKUP(CONCAT(CJ34,CK34),'PROCESOS PRD'!$J:$J,'PROCESOS PRD'!$H:$H,0,0)),"")</f>
        <v/>
      </c>
      <c r="CN34" s="71"/>
      <c r="CO34" s="32"/>
      <c r="CP34" s="72" t="str">
        <f t="array" ref="CP34">IFERROR(IF(XLOOKUP(CONCAT(CN34,CO34),'MASTER PLAN'!$AB:$AB,'MASTER PLAN'!$J:$J,0,0)=0,"",XLOOKUP(CONCAT(CN34,CO34),'MASTER PLAN'!$AB:$AB,'MASTER PLAN'!$J:$J,0,0)),"")</f>
        <v/>
      </c>
      <c r="CQ34" s="73" t="str">
        <f t="array" ref="CQ34">IFERROR(IF(XLOOKUP(CONCAT(CN34,CO34),'PROCESOS PRD'!$J:$J,'PROCESOS PRD'!$H:$H,0,0)=0,"",XLOOKUP(CONCAT(CN34,CO34),'PROCESOS PRD'!$J:$J,'PROCESOS PRD'!$H:$H,0,0)),"")</f>
        <v/>
      </c>
      <c r="CR34" s="70"/>
      <c r="CS34" s="71"/>
      <c r="CT34" s="32"/>
      <c r="CU34" s="72" t="str">
        <f t="array" ref="CU34">IFERROR(IF(XLOOKUP(CONCAT(CS34,CT34),'MASTER PLAN'!$AB:$AB,'MASTER PLAN'!$J:$J,0,0)=0,"",XLOOKUP(CONCAT(CS34,CT34),'MASTER PLAN'!$AB:$AB,'MASTER PLAN'!$J:$J,0,0)),"")</f>
        <v/>
      </c>
      <c r="CV34" s="73" t="str">
        <f t="array" ref="CV34">IFERROR(IF(XLOOKUP(CONCAT(CS34,CT34),'PROCESOS PRD'!$J:$J,'PROCESOS PRD'!$H:$H,0,0)=0,"",XLOOKUP(CONCAT(CS34,CT34),'PROCESOS PRD'!$J:$J,'PROCESOS PRD'!$H:$H,0,0)),"")</f>
        <v/>
      </c>
      <c r="CW34" s="71"/>
      <c r="CX34" s="32"/>
      <c r="CY34" s="72" t="str">
        <f t="array" ref="CY34">IFERROR(IF(XLOOKUP(CONCAT(CW34,CX34),'MASTER PLAN'!$AB:$AB,'MASTER PLAN'!$J:$J,0,0)=0,"",XLOOKUP(CONCAT(CW34,CX34),'MASTER PLAN'!$AB:$AB,'MASTER PLAN'!$J:$J,0,0)),"")</f>
        <v/>
      </c>
      <c r="CZ34" s="73" t="str">
        <f t="array" ref="CZ34">IFERROR(IF(XLOOKUP(CONCAT(CW34,CX34),'PROCESOS PRD'!$J:$J,'PROCESOS PRD'!$H:$H,0,0)=0,"",XLOOKUP(CONCAT(CW34,CX34),'PROCESOS PRD'!$J:$J,'PROCESOS PRD'!$H:$H,0,0)),"")</f>
        <v/>
      </c>
      <c r="DA34" s="71"/>
      <c r="DB34" s="32"/>
      <c r="DC34" s="72" t="str">
        <f t="array" ref="DC34">IFERROR(IF(XLOOKUP(CONCAT(DA34,DB34),'MASTER PLAN'!$AB:$AB,'MASTER PLAN'!$J:$J,0,0)=0,"",XLOOKUP(CONCAT(DA34,DB34),'MASTER PLAN'!$AB:$AB,'MASTER PLAN'!$J:$J,0,0)),"")</f>
        <v/>
      </c>
      <c r="DD34" s="73" t="str">
        <f t="array" ref="DD34">IFERROR(IF(XLOOKUP(CONCAT(DA34,DB34),'PROCESOS PRD'!$J:$J,'PROCESOS PRD'!$H:$H,0,0)=0,"",XLOOKUP(CONCAT(DA34,DB34),'PROCESOS PRD'!$J:$J,'PROCESOS PRD'!$H:$H,0,0)),"")</f>
        <v/>
      </c>
      <c r="DE34" s="71"/>
      <c r="DF34" s="32"/>
      <c r="DG34" s="72" t="str">
        <f t="array" ref="DG34">IFERROR(IF(XLOOKUP(CONCAT(DE34,DF34),'MASTER PLAN'!$AB:$AB,'MASTER PLAN'!$J:$J,0,0)=0,"",XLOOKUP(CONCAT(DE34,DF34),'MASTER PLAN'!$AB:$AB,'MASTER PLAN'!$J:$J,0,0)),"")</f>
        <v/>
      </c>
      <c r="DH34" s="73" t="str">
        <f t="array" ref="DH34">IFERROR(IF(XLOOKUP(CONCAT(DE34,DF34),'PROCESOS PRD'!$J:$J,'PROCESOS PRD'!$H:$H,0,0)=0,"",XLOOKUP(CONCAT(DE34,DF34),'PROCESOS PRD'!$J:$J,'PROCESOS PRD'!$H:$H,0,0)),"")</f>
        <v/>
      </c>
      <c r="DI34" s="71"/>
      <c r="DJ34" s="32"/>
      <c r="DK34" s="72" t="str">
        <f t="array" ref="DK34">IFERROR(IF(XLOOKUP(CONCAT(DI34,DJ34),'MASTER PLAN'!$AB:$AB,'MASTER PLAN'!$J:$J,0,0)=0,"",XLOOKUP(CONCAT(DI34,DJ34),'MASTER PLAN'!$AB:$AB,'MASTER PLAN'!$J:$J,0,0)),"")</f>
        <v/>
      </c>
      <c r="DL34" s="73" t="str">
        <f t="array" ref="DL34">IFERROR(IF(XLOOKUP(CONCAT(DI34,DJ34),'PROCESOS PRD'!$J:$J,'PROCESOS PRD'!$H:$H,0,0)=0,"",XLOOKUP(CONCAT(DI34,DJ34),'PROCESOS PRD'!$J:$J,'PROCESOS PRD'!$H:$H,0,0)),"")</f>
        <v/>
      </c>
      <c r="DM34" s="71"/>
      <c r="DN34" s="32"/>
      <c r="DO34" s="72" t="str">
        <f t="array" ref="DO34">IFERROR(IF(XLOOKUP(CONCAT(DM34,DN34),'MASTER PLAN'!$AB:$AB,'MASTER PLAN'!$J:$J,0,0)=0,"",XLOOKUP(CONCAT(DM34,DN34),'MASTER PLAN'!$AB:$AB,'MASTER PLAN'!$J:$J,0,0)),"")</f>
        <v/>
      </c>
      <c r="DP34" s="73" t="str">
        <f t="array" ref="DP34">IFERROR(IF(XLOOKUP(CONCAT(DM34,DN34),'PROCESOS PRD'!$J:$J,'PROCESOS PRD'!$H:$H,0,0)=0,"",XLOOKUP(CONCAT(DM34,DN34),'PROCESOS PRD'!$J:$J,'PROCESOS PRD'!$H:$H,0,0)),"")</f>
        <v/>
      </c>
      <c r="DQ34" s="70"/>
      <c r="DR34" s="71"/>
      <c r="DS34" s="32"/>
      <c r="DT34" s="72" t="str">
        <f t="array" ref="DT34">IFERROR(IF(XLOOKUP(CONCAT(DR34,DS34),'MASTER PLAN'!$AB:$AB,'MASTER PLAN'!$J:$J,0,0)=0,"",XLOOKUP(CONCAT(DR34,DS34),'MASTER PLAN'!$AB:$AB,'MASTER PLAN'!$J:$J,0,0)),"")</f>
        <v/>
      </c>
      <c r="DU34" s="73" t="str">
        <f t="array" ref="DU34">IFERROR(IF(XLOOKUP(CONCAT(DR34,DS34),'PROCESOS PRD'!$J:$J,'PROCESOS PRD'!$H:$H,0,0)=0,"",XLOOKUP(CONCAT(DR34,DS34),'PROCESOS PRD'!$J:$J,'PROCESOS PRD'!$H:$H,0,0)),"")</f>
        <v/>
      </c>
      <c r="DV34" s="71"/>
      <c r="DW34" s="32"/>
      <c r="DX34" s="72" t="str">
        <f t="array" ref="DX34">IFERROR(IF(XLOOKUP(CONCAT(DV34,DW34),'MASTER PLAN'!$AB:$AB,'MASTER PLAN'!$J:$J,0,0)=0,"",XLOOKUP(CONCAT(DV34,DW34),'MASTER PLAN'!$AB:$AB,'MASTER PLAN'!$J:$J,0,0)),"")</f>
        <v/>
      </c>
      <c r="DY34" s="73" t="str">
        <f t="array" ref="DY34">IFERROR(IF(XLOOKUP(CONCAT(DV34,DW34),'PROCESOS PRD'!$J:$J,'PROCESOS PRD'!$H:$H,0,0)=0,"",XLOOKUP(CONCAT(DV34,DW34),'PROCESOS PRD'!$J:$J,'PROCESOS PRD'!$H:$H,0,0)),"")</f>
        <v/>
      </c>
      <c r="DZ34" s="71"/>
      <c r="EA34" s="32"/>
      <c r="EB34" s="72" t="str">
        <f t="array" ref="EB34">IFERROR(IF(XLOOKUP(CONCAT(DZ34,EA34),'MASTER PLAN'!$AB:$AB,'MASTER PLAN'!$J:$J,0,0)=0,"",XLOOKUP(CONCAT(DZ34,EA34),'MASTER PLAN'!$AB:$AB,'MASTER PLAN'!$J:$J,0,0)),"")</f>
        <v/>
      </c>
      <c r="EC34" s="73" t="str">
        <f t="array" ref="EC34">IFERROR(IF(XLOOKUP(CONCAT(DZ34,EA34),'PROCESOS PRD'!$J:$J,'PROCESOS PRD'!$H:$H,0,0)=0,"",XLOOKUP(CONCAT(DZ34,EA34),'PROCESOS PRD'!$J:$J,'PROCESOS PRD'!$H:$H,0,0)),"")</f>
        <v/>
      </c>
      <c r="ED34" s="71"/>
      <c r="EE34" s="32"/>
      <c r="EF34" s="72" t="str">
        <f t="array" ref="EF34">IFERROR(IF(XLOOKUP(CONCAT(ED34,EE34),'MASTER PLAN'!$AB:$AB,'MASTER PLAN'!$J:$J,0,0)=0,"",XLOOKUP(CONCAT(ED34,EE34),'MASTER PLAN'!$AB:$AB,'MASTER PLAN'!$J:$J,0,0)),"")</f>
        <v/>
      </c>
      <c r="EG34" s="73" t="str">
        <f t="array" ref="EG34">IFERROR(IF(XLOOKUP(CONCAT(ED34,EE34),'PROCESOS PRD'!$J:$J,'PROCESOS PRD'!$H:$H,0,0)=0,"",XLOOKUP(CONCAT(ED34,EE34),'PROCESOS PRD'!$J:$J,'PROCESOS PRD'!$H:$H,0,0)),"")</f>
        <v/>
      </c>
      <c r="EH34" s="71"/>
      <c r="EI34" s="32"/>
      <c r="EJ34" s="72" t="str">
        <f t="array" ref="EJ34">IFERROR(IF(XLOOKUP(CONCAT(EH34,EI34),'MASTER PLAN'!$AB:$AB,'MASTER PLAN'!$J:$J,0,0)=0,"",XLOOKUP(CONCAT(EH34,EI34),'MASTER PLAN'!$AB:$AB,'MASTER PLAN'!$J:$J,0,0)),"")</f>
        <v/>
      </c>
      <c r="EK34" s="73" t="str">
        <f t="array" ref="EK34">IFERROR(IF(XLOOKUP(CONCAT(EH34,EI34),'PROCESOS PRD'!$J:$J,'PROCESOS PRD'!$H:$H,0,0)=0,"",XLOOKUP(CONCAT(EH34,EI34),'PROCESOS PRD'!$J:$J,'PROCESOS PRD'!$H:$H,0,0)),"")</f>
        <v/>
      </c>
      <c r="EL34" s="71"/>
      <c r="EM34" s="32"/>
      <c r="EN34" s="72" t="str">
        <f t="array" ref="EN34">IFERROR(IF(XLOOKUP(CONCAT(EL34,EM34),'MASTER PLAN'!$AB:$AB,'MASTER PLAN'!$J:$J,0,0)=0,"",XLOOKUP(CONCAT(EL34,EM34),'MASTER PLAN'!$AB:$AB,'MASTER PLAN'!$J:$J,0,0)),"")</f>
        <v/>
      </c>
      <c r="EO34" s="73" t="str">
        <f t="array" ref="EO34">IFERROR(IF(XLOOKUP(CONCAT(EL34,EM34),'PROCESOS PRD'!$J:$J,'PROCESOS PRD'!$H:$H,0,0)=0,"",XLOOKUP(CONCAT(EL34,EM34),'PROCESOS PRD'!$J:$J,'PROCESOS PRD'!$H:$H,0,0)),"")</f>
        <v/>
      </c>
      <c r="EP34" s="70"/>
      <c r="EQ34" s="71"/>
      <c r="ER34" s="32"/>
      <c r="ES34" s="72" t="str">
        <f t="array" ref="ES34">IFERROR(IF(XLOOKUP(CONCAT(EQ34,ER34),'MASTER PLAN'!$AB:$AB,'MASTER PLAN'!$J:$J,0,0)=0,"",XLOOKUP(CONCAT(EQ34,ER34),'MASTER PLAN'!$AB:$AB,'MASTER PLAN'!$J:$J,0,0)),"")</f>
        <v/>
      </c>
      <c r="ET34" s="73" t="str">
        <f t="array" ref="ET34">IFERROR(IF(XLOOKUP(CONCAT(EQ34,ER34),'PROCESOS PRD'!$J:$J,'PROCESOS PRD'!$H:$H,0,0)=0,"",XLOOKUP(CONCAT(EQ34,ER34),'PROCESOS PRD'!$J:$J,'PROCESOS PRD'!$H:$H,0,0)),"")</f>
        <v/>
      </c>
      <c r="EU34" s="71"/>
      <c r="EV34" s="32"/>
      <c r="EW34" s="72" t="str">
        <f t="array" ref="EW34">IFERROR(IF(XLOOKUP(CONCAT(EU34,EV34),'MASTER PLAN'!$AB:$AB,'MASTER PLAN'!$J:$J,0,0)=0,"",XLOOKUP(CONCAT(EU34,EV34),'MASTER PLAN'!$AB:$AB,'MASTER PLAN'!$J:$J,0,0)),"")</f>
        <v/>
      </c>
      <c r="EX34" s="73" t="str">
        <f t="array" ref="EX34">IFERROR(IF(XLOOKUP(CONCAT(EU34,EV34),'PROCESOS PRD'!$J:$J,'PROCESOS PRD'!$H:$H,0,0)=0,"",XLOOKUP(CONCAT(EU34,EV34),'PROCESOS PRD'!$J:$J,'PROCESOS PRD'!$H:$H,0,0)),"")</f>
        <v/>
      </c>
      <c r="EY34" s="71"/>
      <c r="EZ34" s="32"/>
      <c r="FA34" s="72" t="str">
        <f t="array" ref="FA34">IFERROR(IF(XLOOKUP(CONCAT(EY34,EZ34),'MASTER PLAN'!$AB:$AB,'MASTER PLAN'!$J:$J,0,0)=0,"",XLOOKUP(CONCAT(EY34,EZ34),'MASTER PLAN'!$AB:$AB,'MASTER PLAN'!$J:$J,0,0)),"")</f>
        <v/>
      </c>
      <c r="FB34" s="73" t="str">
        <f t="array" ref="FB34">IFERROR(IF(XLOOKUP(CONCAT(EY34,EZ34),'PROCESOS PRD'!$J:$J,'PROCESOS PRD'!$H:$H,0,0)=0,"",XLOOKUP(CONCAT(EY34,EZ34),'PROCESOS PRD'!$J:$J,'PROCESOS PRD'!$H:$H,0,0)),"")</f>
        <v/>
      </c>
      <c r="FC34" s="71"/>
      <c r="FD34" s="32"/>
      <c r="FE34" s="72" t="str">
        <f t="array" ref="FE34">IFERROR(IF(XLOOKUP(CONCAT(FC34,FD34),'MASTER PLAN'!$AB:$AB,'MASTER PLAN'!$J:$J,0,0)=0,"",XLOOKUP(CONCAT(FC34,FD34),'MASTER PLAN'!$AB:$AB,'MASTER PLAN'!$J:$J,0,0)),"")</f>
        <v/>
      </c>
      <c r="FF34" s="73" t="str">
        <f t="array" ref="FF34">IFERROR(IF(XLOOKUP(CONCAT(FC34,FD34),'PROCESOS PRD'!$J:$J,'PROCESOS PRD'!$H:$H,0,0)=0,"",XLOOKUP(CONCAT(FC34,FD34),'PROCESOS PRD'!$J:$J,'PROCESOS PRD'!$H:$H,0,0)),"")</f>
        <v/>
      </c>
      <c r="FG34" s="71"/>
      <c r="FH34" s="32"/>
      <c r="FI34" s="72" t="str">
        <f t="array" ref="FI34">IFERROR(IF(XLOOKUP(CONCAT(FG34,FH34),'MASTER PLAN'!$AB:$AB,'MASTER PLAN'!$J:$J,0,0)=0,"",XLOOKUP(CONCAT(FG34,FH34),'MASTER PLAN'!$AB:$AB,'MASTER PLAN'!$J:$J,0,0)),"")</f>
        <v/>
      </c>
      <c r="FJ34" s="73" t="str">
        <f t="array" ref="FJ34">IFERROR(IF(XLOOKUP(CONCAT(FG34,FH34),'PROCESOS PRD'!$J:$J,'PROCESOS PRD'!$H:$H,0,0)=0,"",XLOOKUP(CONCAT(FG34,FH34),'PROCESOS PRD'!$J:$J,'PROCESOS PRD'!$H:$H,0,0)),"")</f>
        <v/>
      </c>
      <c r="FK34" s="71"/>
      <c r="FL34" s="32"/>
      <c r="FM34" s="72" t="str">
        <f t="array" ref="FM34">IFERROR(IF(XLOOKUP(CONCAT(FK34,FL34),'MASTER PLAN'!$AB:$AB,'MASTER PLAN'!$J:$J,0,0)=0,"",XLOOKUP(CONCAT(FK34,FL34),'MASTER PLAN'!$AB:$AB,'MASTER PLAN'!$J:$J,0,0)),"")</f>
        <v/>
      </c>
      <c r="FN34" s="73" t="str">
        <f t="array" ref="FN34">IFERROR(IF(XLOOKUP(CONCAT(FK34,FL34),'PROCESOS PRD'!$J:$J,'PROCESOS PRD'!$H:$H,0,0)=0,"",XLOOKUP(CONCAT(FK34,FL34),'PROCESOS PRD'!$J:$J,'PROCESOS PRD'!$H:$H,0,0)),"")</f>
        <v/>
      </c>
      <c r="FO34" s="70"/>
      <c r="FP34" s="71"/>
      <c r="FQ34" s="32"/>
      <c r="FR34" s="72" t="str">
        <f t="array" ref="FR34">IFERROR(IF(XLOOKUP(CONCAT(FP34,FQ34),'MASTER PLAN'!$AB:$AB,'MASTER PLAN'!$J:$J,0,0)=0,"",XLOOKUP(CONCAT(FP34,FQ34),'MASTER PLAN'!$AB:$AB,'MASTER PLAN'!$J:$J,0,0)),"")</f>
        <v/>
      </c>
      <c r="FS34" s="73" t="str">
        <f t="array" ref="FS34">IFERROR(IF(XLOOKUP(CONCAT(FP34,FQ34),'PROCESOS PRD'!$J:$J,'PROCESOS PRD'!$H:$H,0,0)=0,"",XLOOKUP(CONCAT(FP34,FQ34),'PROCESOS PRD'!$J:$J,'PROCESOS PRD'!$H:$H,0,0)),"")</f>
        <v/>
      </c>
      <c r="FT34" s="71"/>
      <c r="FU34" s="32"/>
      <c r="FV34" s="72" t="str">
        <f t="array" ref="FV34">IFERROR(IF(XLOOKUP(CONCAT(FT34,FU34),'MASTER PLAN'!$AB:$AB,'MASTER PLAN'!$J:$J,0,0)=0,"",XLOOKUP(CONCAT(FT34,FU34),'MASTER PLAN'!$AB:$AB,'MASTER PLAN'!$J:$J,0,0)),"")</f>
        <v/>
      </c>
      <c r="FW34" s="73" t="str">
        <f t="array" ref="FW34">IFERROR(IF(XLOOKUP(CONCAT(FT34,FU34),'PROCESOS PRD'!$J:$J,'PROCESOS PRD'!$H:$H,0,0)=0,"",XLOOKUP(CONCAT(FT34,FU34),'PROCESOS PRD'!$J:$J,'PROCESOS PRD'!$H:$H,0,0)),"")</f>
        <v/>
      </c>
      <c r="FX34" s="71"/>
      <c r="FY34" s="32"/>
      <c r="FZ34" s="72" t="str">
        <f t="array" ref="FZ34">IFERROR(IF(XLOOKUP(CONCAT(FX34,FY34),'MASTER PLAN'!$AB:$AB,'MASTER PLAN'!$J:$J,0,0)=0,"",XLOOKUP(CONCAT(FX34,FY34),'MASTER PLAN'!$AB:$AB,'MASTER PLAN'!$J:$J,0,0)),"")</f>
        <v/>
      </c>
      <c r="GA34" s="73" t="str">
        <f t="array" ref="GA34">IFERROR(IF(XLOOKUP(CONCAT(FX34,FY34),'PROCESOS PRD'!$J:$J,'PROCESOS PRD'!$H:$H,0,0)=0,"",XLOOKUP(CONCAT(FX34,FY34),'PROCESOS PRD'!$J:$J,'PROCESOS PRD'!$H:$H,0,0)),"")</f>
        <v/>
      </c>
      <c r="GB34" s="71"/>
      <c r="GC34" s="32"/>
      <c r="GD34" s="72" t="str">
        <f t="array" ref="GD34">IFERROR(IF(XLOOKUP(CONCAT(GB34,GC34),'MASTER PLAN'!$AB:$AB,'MASTER PLAN'!$J:$J,0,0)=0,"",XLOOKUP(CONCAT(GB34,GC34),'MASTER PLAN'!$AB:$AB,'MASTER PLAN'!$J:$J,0,0)),"")</f>
        <v/>
      </c>
      <c r="GE34" s="73" t="str">
        <f t="array" ref="GE34">IFERROR(IF(XLOOKUP(CONCAT(GB34,GC34),'PROCESOS PRD'!$J:$J,'PROCESOS PRD'!$H:$H,0,0)=0,"",XLOOKUP(CONCAT(GB34,GC34),'PROCESOS PRD'!$J:$J,'PROCESOS PRD'!$H:$H,0,0)),"")</f>
        <v/>
      </c>
      <c r="GF34" s="71"/>
      <c r="GG34" s="32"/>
      <c r="GH34" s="72" t="str">
        <f t="array" ref="GH34">IFERROR(IF(XLOOKUP(CONCAT(GF34,GG34),'MASTER PLAN'!$AB:$AB,'MASTER PLAN'!$J:$J,0,0)=0,"",XLOOKUP(CONCAT(GF34,GG34),'MASTER PLAN'!$AB:$AB,'MASTER PLAN'!$J:$J,0,0)),"")</f>
        <v/>
      </c>
      <c r="GI34" s="73" t="str">
        <f t="array" ref="GI34">IFERROR(IF(XLOOKUP(CONCAT(GF34,GG34),'PROCESOS PRD'!$J:$J,'PROCESOS PRD'!$H:$H,0,0)=0,"",XLOOKUP(CONCAT(GF34,GG34),'PROCESOS PRD'!$J:$J,'PROCESOS PRD'!$H:$H,0,0)),"")</f>
        <v/>
      </c>
      <c r="GJ34" s="71"/>
      <c r="GK34" s="32"/>
      <c r="GL34" s="72" t="str">
        <f t="array" ref="GL34">IFERROR(IF(XLOOKUP(CONCAT(GJ34,GK34),'MASTER PLAN'!$AB:$AB,'MASTER PLAN'!$J:$J,0,0)=0,"",XLOOKUP(CONCAT(GJ34,GK34),'MASTER PLAN'!$AB:$AB,'MASTER PLAN'!$J:$J,0,0)),"")</f>
        <v/>
      </c>
      <c r="GM34" s="73" t="str">
        <f t="array" ref="GM34">IFERROR(IF(XLOOKUP(CONCAT(GJ34,GK34),'PROCESOS PRD'!$J:$J,'PROCESOS PRD'!$H:$H,0,0)=0,"",XLOOKUP(CONCAT(GJ34,GK34),'PROCESOS PRD'!$J:$J,'PROCESOS PRD'!$H:$H,0,0)),"")</f>
        <v/>
      </c>
      <c r="GN34" s="70"/>
      <c r="GO34" s="71"/>
      <c r="GP34" s="32"/>
      <c r="GQ34" s="72" t="str">
        <f t="array" ref="GQ34">IFERROR(IF(XLOOKUP(CONCAT(GO34,GP34),'MASTER PLAN'!$AB:$AB,'MASTER PLAN'!$J:$J,0,0)=0,"",XLOOKUP(CONCAT(GO34,GP34),'MASTER PLAN'!$AB:$AB,'MASTER PLAN'!$J:$J,0,0)),"")</f>
        <v/>
      </c>
      <c r="GR34" s="73" t="str">
        <f t="array" ref="GR34">IFERROR(IF(XLOOKUP(CONCAT(GO34,GP34),'PROCESOS PRD'!$J:$J,'PROCESOS PRD'!$H:$H,0,0)=0,"",XLOOKUP(CONCAT(GO34,GP34),'PROCESOS PRD'!$J:$J,'PROCESOS PRD'!$H:$H,0,0)),"")</f>
        <v/>
      </c>
      <c r="GS34" s="71"/>
      <c r="GT34" s="32"/>
      <c r="GU34" s="72" t="str">
        <f t="array" ref="GU34">IFERROR(IF(XLOOKUP(CONCAT(GS34,GT34),'MASTER PLAN'!$AB:$AB,'MASTER PLAN'!$J:$J,0,0)=0,"",XLOOKUP(CONCAT(GS34,GT34),'MASTER PLAN'!$AB:$AB,'MASTER PLAN'!$J:$J,0,0)),"")</f>
        <v/>
      </c>
      <c r="GV34" s="73" t="str">
        <f t="array" ref="GV34">IFERROR(IF(XLOOKUP(CONCAT(GS34,GT34),'PROCESOS PRD'!$J:$J,'PROCESOS PRD'!$H:$H,0,0)=0,"",XLOOKUP(CONCAT(GS34,GT34),'PROCESOS PRD'!$J:$J,'PROCESOS PRD'!$H:$H,0,0)),"")</f>
        <v/>
      </c>
      <c r="GW34" s="71"/>
      <c r="GX34" s="32"/>
      <c r="GY34" s="72" t="str">
        <f t="array" ref="GY34">IFERROR(IF(XLOOKUP(CONCAT(GW34,GX34),'MASTER PLAN'!$AB:$AB,'MASTER PLAN'!$J:$J,0,0)=0,"",XLOOKUP(CONCAT(GW34,GX34),'MASTER PLAN'!$AB:$AB,'MASTER PLAN'!$J:$J,0,0)),"")</f>
        <v/>
      </c>
      <c r="GZ34" s="73" t="str">
        <f t="array" ref="GZ34">IFERROR(IF(XLOOKUP(CONCAT(GW34,GX34),'PROCESOS PRD'!$J:$J,'PROCESOS PRD'!$H:$H,0,0)=0,"",XLOOKUP(CONCAT(GW34,GX34),'PROCESOS PRD'!$J:$J,'PROCESOS PRD'!$H:$H,0,0)),"")</f>
        <v/>
      </c>
      <c r="HA34" s="71"/>
      <c r="HB34" s="32"/>
      <c r="HC34" s="72" t="str">
        <f t="array" ref="HC34">IFERROR(IF(XLOOKUP(CONCAT(HA34,HB34),'MASTER PLAN'!$AB:$AB,'MASTER PLAN'!$J:$J,0,0)=0,"",XLOOKUP(CONCAT(HA34,HB34),'MASTER PLAN'!$AB:$AB,'MASTER PLAN'!$J:$J,0,0)),"")</f>
        <v/>
      </c>
      <c r="HD34" s="73" t="str">
        <f t="array" ref="HD34">IFERROR(IF(XLOOKUP(CONCAT(HA34,HB34),'PROCESOS PRD'!$J:$J,'PROCESOS PRD'!$H:$H,0,0)=0,"",XLOOKUP(CONCAT(HA34,HB34),'PROCESOS PRD'!$J:$J,'PROCESOS PRD'!$H:$H,0,0)),"")</f>
        <v/>
      </c>
      <c r="HE34" s="71"/>
      <c r="HF34" s="32"/>
      <c r="HG34" s="72" t="str">
        <f t="array" ref="HG34">IFERROR(IF(XLOOKUP(CONCAT(HE34,HF34),'MASTER PLAN'!$AB:$AB,'MASTER PLAN'!$J:$J,0,0)=0,"",XLOOKUP(CONCAT(HE34,HF34),'MASTER PLAN'!$AB:$AB,'MASTER PLAN'!$J:$J,0,0)),"")</f>
        <v/>
      </c>
      <c r="HH34" s="73" t="str">
        <f t="array" ref="HH34">IFERROR(IF(XLOOKUP(CONCAT(HE34,HF34),'PROCESOS PRD'!$J:$J,'PROCESOS PRD'!$H:$H,0,0)=0,"",XLOOKUP(CONCAT(HE34,HF34),'PROCESOS PRD'!$J:$J,'PROCESOS PRD'!$H:$H,0,0)),"")</f>
        <v/>
      </c>
      <c r="HI34" s="71"/>
      <c r="HJ34" s="32"/>
      <c r="HK34" s="72" t="str">
        <f t="array" ref="HK34">IFERROR(IF(XLOOKUP(CONCAT(HI34,HJ34),'MASTER PLAN'!$AB:$AB,'MASTER PLAN'!$J:$J,0,0)=0,"",XLOOKUP(CONCAT(HI34,HJ34),'MASTER PLAN'!$AB:$AB,'MASTER PLAN'!$J:$J,0,0)),"")</f>
        <v/>
      </c>
      <c r="HL34" s="73" t="str">
        <f t="array" ref="HL34">IFERROR(IF(XLOOKUP(CONCAT(HI34,HJ34),'PROCESOS PRD'!$J:$J,'PROCESOS PRD'!$H:$H,0,0)=0,"",XLOOKUP(CONCAT(HI34,HJ34),'PROCESOS PRD'!$J:$J,'PROCESOS PRD'!$H:$H,0,0)),"")</f>
        <v/>
      </c>
      <c r="HM34" s="70"/>
      <c r="HN34" s="71"/>
      <c r="HO34" s="32"/>
      <c r="HP34" s="72" t="str">
        <f t="array" ref="HP34">IFERROR(IF(XLOOKUP(CONCAT(HN34,HO34),'MASTER PLAN'!$AB:$AB,'MASTER PLAN'!$J:$J,0,0)=0,"",XLOOKUP(CONCAT(HN34,HO34),'MASTER PLAN'!$AB:$AB,'MASTER PLAN'!$J:$J,0,0)),"")</f>
        <v/>
      </c>
      <c r="HQ34" s="73" t="str">
        <f t="array" ref="HQ34">IFERROR(IF(XLOOKUP(CONCAT(HN34,HO34),'PROCESOS PRD'!$J:$J,'PROCESOS PRD'!$H:$H,0,0)=0,"",XLOOKUP(CONCAT(HN34,HO34),'PROCESOS PRD'!$J:$J,'PROCESOS PRD'!$H:$H,0,0)),"")</f>
        <v/>
      </c>
      <c r="HR34" s="71"/>
      <c r="HS34" s="32"/>
      <c r="HT34" s="72" t="str">
        <f t="array" ref="HT34">IFERROR(IF(XLOOKUP(CONCAT(HR34,HS34),'MASTER PLAN'!$AB:$AB,'MASTER PLAN'!$J:$J,0,0)=0,"",XLOOKUP(CONCAT(HR34,HS34),'MASTER PLAN'!$AB:$AB,'MASTER PLAN'!$J:$J,0,0)),"")</f>
        <v/>
      </c>
      <c r="HU34" s="73" t="str">
        <f t="array" ref="HU34">IFERROR(IF(XLOOKUP(CONCAT(HR34,HS34),'PROCESOS PRD'!$J:$J,'PROCESOS PRD'!$H:$H,0,0)=0,"",XLOOKUP(CONCAT(HR34,HS34),'PROCESOS PRD'!$J:$J,'PROCESOS PRD'!$H:$H,0,0)),"")</f>
        <v/>
      </c>
      <c r="HV34" s="71"/>
      <c r="HW34" s="32"/>
      <c r="HX34" s="72" t="str">
        <f t="array" ref="HX34">IFERROR(IF(XLOOKUP(CONCAT(HV34,HW34),'MASTER PLAN'!$AB:$AB,'MASTER PLAN'!$J:$J,0,0)=0,"",XLOOKUP(CONCAT(HV34,HW34),'MASTER PLAN'!$AB:$AB,'MASTER PLAN'!$J:$J,0,0)),"")</f>
        <v/>
      </c>
      <c r="HY34" s="73" t="str">
        <f t="array" ref="HY34">IFERROR(IF(XLOOKUP(CONCAT(HV34,HW34),'PROCESOS PRD'!$J:$J,'PROCESOS PRD'!$H:$H,0,0)=0,"",XLOOKUP(CONCAT(HV34,HW34),'PROCESOS PRD'!$J:$J,'PROCESOS PRD'!$H:$H,0,0)),"")</f>
        <v/>
      </c>
      <c r="HZ34" s="71"/>
      <c r="IA34" s="32"/>
      <c r="IB34" s="72" t="str">
        <f t="array" ref="IB34">IFERROR(IF(XLOOKUP(CONCAT(HZ34,IA34),'MASTER PLAN'!$AB:$AB,'MASTER PLAN'!$J:$J,0,0)=0,"",XLOOKUP(CONCAT(HZ34,IA34),'MASTER PLAN'!$AB:$AB,'MASTER PLAN'!$J:$J,0,0)),"")</f>
        <v/>
      </c>
      <c r="IC34" s="73" t="str">
        <f t="array" ref="IC34">IFERROR(IF(XLOOKUP(CONCAT(HZ34,IA34),'PROCESOS PRD'!$J:$J,'PROCESOS PRD'!$H:$H,0,0)=0,"",XLOOKUP(CONCAT(HZ34,IA34),'PROCESOS PRD'!$J:$J,'PROCESOS PRD'!$H:$H,0,0)),"")</f>
        <v/>
      </c>
      <c r="ID34" s="71"/>
      <c r="IE34" s="32"/>
      <c r="IF34" s="72" t="str">
        <f t="array" ref="IF34">IFERROR(IF(XLOOKUP(CONCAT(ID34,IE34),'MASTER PLAN'!$AB:$AB,'MASTER PLAN'!$J:$J,0,0)=0,"",XLOOKUP(CONCAT(ID34,IE34),'MASTER PLAN'!$AB:$AB,'MASTER PLAN'!$J:$J,0,0)),"")</f>
        <v/>
      </c>
      <c r="IG34" s="73" t="str">
        <f t="array" ref="IG34">IFERROR(IF(XLOOKUP(CONCAT(ID34,IE34),'PROCESOS PRD'!$J:$J,'PROCESOS PRD'!$H:$H,0,0)=0,"",XLOOKUP(CONCAT(ID34,IE34),'PROCESOS PRD'!$J:$J,'PROCESOS PRD'!$H:$H,0,0)),"")</f>
        <v/>
      </c>
      <c r="IH34" s="71"/>
      <c r="II34" s="32"/>
      <c r="IJ34" s="72" t="str">
        <f t="array" ref="IJ34">IFERROR(IF(XLOOKUP(CONCAT(IH34,II34),'MASTER PLAN'!$AB:$AB,'MASTER PLAN'!$J:$J,0,0)=0,"",XLOOKUP(CONCAT(IH34,II34),'MASTER PLAN'!$AB:$AB,'MASTER PLAN'!$J:$J,0,0)),"")</f>
        <v/>
      </c>
      <c r="IK34" s="73" t="str">
        <f t="array" ref="IK34">IFERROR(IF(XLOOKUP(CONCAT(IH34,II34),'PROCESOS PRD'!$J:$J,'PROCESOS PRD'!$H:$H,0,0)=0,"",XLOOKUP(CONCAT(IH34,II34),'PROCESOS PRD'!$J:$J,'PROCESOS PRD'!$H:$H,0,0)),"")</f>
        <v/>
      </c>
      <c r="IL34" s="70"/>
      <c r="IM34" s="71"/>
      <c r="IN34" s="32"/>
      <c r="IO34" s="72" t="str">
        <f t="array" ref="IO34">IFERROR(IF(XLOOKUP(CONCAT(IM34,IN34),'MASTER PLAN'!$AB:$AB,'MASTER PLAN'!$J:$J,0,0)=0,"",XLOOKUP(CONCAT(IM34,IN34),'MASTER PLAN'!$AB:$AB,'MASTER PLAN'!$J:$J,0,0)),"")</f>
        <v/>
      </c>
      <c r="IP34" s="73" t="str">
        <f t="array" ref="IP34">IFERROR(IF(XLOOKUP(CONCAT(IM34,IN34),'PROCESOS PRD'!$J:$J,'PROCESOS PRD'!$H:$H,0,0)=0,"",XLOOKUP(CONCAT(IM34,IN34),'PROCESOS PRD'!$J:$J,'PROCESOS PRD'!$H:$H,0,0)),"")</f>
        <v/>
      </c>
      <c r="IQ34" s="71"/>
      <c r="IR34" s="32"/>
      <c r="IS34" s="72" t="str">
        <f t="array" ref="IS34">IFERROR(IF(XLOOKUP(CONCAT(IQ34,IR34),'MASTER PLAN'!$AB:$AB,'MASTER PLAN'!$J:$J,0,0)=0,"",XLOOKUP(CONCAT(IQ34,IR34),'MASTER PLAN'!$AB:$AB,'MASTER PLAN'!$J:$J,0,0)),"")</f>
        <v/>
      </c>
      <c r="IT34" s="73" t="str">
        <f t="array" ref="IT34">IFERROR(IF(XLOOKUP(CONCAT(IQ34,IR34),'PROCESOS PRD'!$J:$J,'PROCESOS PRD'!$H:$H,0,0)=0,"",XLOOKUP(CONCAT(IQ34,IR34),'PROCESOS PRD'!$J:$J,'PROCESOS PRD'!$H:$H,0,0)),"")</f>
        <v/>
      </c>
      <c r="IU34" s="71"/>
      <c r="IV34" s="32"/>
      <c r="IW34" s="72" t="str">
        <f t="array" ref="IW34">IFERROR(IF(XLOOKUP(CONCAT(IU34,IV34),'MASTER PLAN'!$AB:$AB,'MASTER PLAN'!$J:$J,0,0)=0,"",XLOOKUP(CONCAT(IU34,IV34),'MASTER PLAN'!$AB:$AB,'MASTER PLAN'!$J:$J,0,0)),"")</f>
        <v/>
      </c>
      <c r="IX34" s="73" t="str">
        <f t="array" ref="IX34">IFERROR(IF(XLOOKUP(CONCAT(IU34,IV34),'PROCESOS PRD'!$J:$J,'PROCESOS PRD'!$H:$H,0,0)=0,"",XLOOKUP(CONCAT(IU34,IV34),'PROCESOS PRD'!$J:$J,'PROCESOS PRD'!$H:$H,0,0)),"")</f>
        <v/>
      </c>
      <c r="IY34" s="71"/>
      <c r="IZ34" s="32"/>
      <c r="JA34" s="72" t="str">
        <f t="array" ref="JA34">IFERROR(IF(XLOOKUP(CONCAT(IY34,IZ34),'MASTER PLAN'!$AB:$AB,'MASTER PLAN'!$J:$J,0,0)=0,"",XLOOKUP(CONCAT(IY34,IZ34),'MASTER PLAN'!$AB:$AB,'MASTER PLAN'!$J:$J,0,0)),"")</f>
        <v/>
      </c>
      <c r="JB34" s="73" t="str">
        <f t="array" ref="JB34">IFERROR(IF(XLOOKUP(CONCAT(IY34,IZ34),'PROCESOS PRD'!$J:$J,'PROCESOS PRD'!$H:$H,0,0)=0,"",XLOOKUP(CONCAT(IY34,IZ34),'PROCESOS PRD'!$J:$J,'PROCESOS PRD'!$H:$H,0,0)),"")</f>
        <v/>
      </c>
      <c r="JC34" s="71"/>
      <c r="JD34" s="32"/>
      <c r="JE34" s="72" t="str">
        <f t="array" ref="JE34">IFERROR(IF(XLOOKUP(CONCAT(JC34,JD34),'MASTER PLAN'!$AB:$AB,'MASTER PLAN'!$J:$J,0,0)=0,"",XLOOKUP(CONCAT(JC34,JD34),'MASTER PLAN'!$AB:$AB,'MASTER PLAN'!$J:$J,0,0)),"")</f>
        <v/>
      </c>
      <c r="JF34" s="73" t="str">
        <f t="array" ref="JF34">IFERROR(IF(XLOOKUP(CONCAT(JC34,JD34),'PROCESOS PRD'!$J:$J,'PROCESOS PRD'!$H:$H,0,0)=0,"",XLOOKUP(CONCAT(JC34,JD34),'PROCESOS PRD'!$J:$J,'PROCESOS PRD'!$H:$H,0,0)),"")</f>
        <v/>
      </c>
      <c r="JG34" s="71"/>
      <c r="JH34" s="32"/>
      <c r="JI34" s="72" t="str">
        <f t="array" ref="JI34">IFERROR(IF(XLOOKUP(CONCAT(JG34,JH34),'MASTER PLAN'!$AB:$AB,'MASTER PLAN'!$J:$J,0,0)=0,"",XLOOKUP(CONCAT(JG34,JH34),'MASTER PLAN'!$AB:$AB,'MASTER PLAN'!$J:$J,0,0)),"")</f>
        <v/>
      </c>
      <c r="JJ34" s="73" t="str">
        <f t="array" ref="JJ34">IFERROR(IF(XLOOKUP(CONCAT(JG34,JH34),'PROCESOS PRD'!$J:$J,'PROCESOS PRD'!$H:$H,0,0)=0,"",XLOOKUP(CONCAT(JG34,JH34),'PROCESOS PRD'!$J:$J,'PROCESOS PRD'!$H:$H,0,0)),"")</f>
        <v/>
      </c>
      <c r="JK34" s="70"/>
      <c r="JL34" s="71"/>
      <c r="JM34" s="32"/>
      <c r="JN34" s="72" t="str">
        <f t="array" ref="JN34">IFERROR(IF(XLOOKUP(CONCAT(JL34,JM34),'MASTER PLAN'!$AB:$AB,'MASTER PLAN'!$J:$J,0,0)=0,"",XLOOKUP(CONCAT(JL34,JM34),'MASTER PLAN'!$AB:$AB,'MASTER PLAN'!$J:$J,0,0)),"")</f>
        <v/>
      </c>
      <c r="JO34" s="73" t="str">
        <f t="array" ref="JO34">IFERROR(IF(XLOOKUP(CONCAT(JL34,JM34),'PROCESOS PRD'!$J:$J,'PROCESOS PRD'!$H:$H,0,0)=0,"",XLOOKUP(CONCAT(JL34,JM34),'PROCESOS PRD'!$J:$J,'PROCESOS PRD'!$H:$H,0,0)),"")</f>
        <v/>
      </c>
      <c r="JP34" s="71"/>
      <c r="JQ34" s="32"/>
      <c r="JR34" s="72" t="str">
        <f t="array" ref="JR34">IFERROR(IF(XLOOKUP(CONCAT(JP34,JQ34),'MASTER PLAN'!$AB:$AB,'MASTER PLAN'!$J:$J,0,0)=0,"",XLOOKUP(CONCAT(JP34,JQ34),'MASTER PLAN'!$AB:$AB,'MASTER PLAN'!$J:$J,0,0)),"")</f>
        <v/>
      </c>
      <c r="JS34" s="73" t="str">
        <f t="array" ref="JS34">IFERROR(IF(XLOOKUP(CONCAT(JP34,JQ34),'PROCESOS PRD'!$J:$J,'PROCESOS PRD'!$H:$H,0,0)=0,"",XLOOKUP(CONCAT(JP34,JQ34),'PROCESOS PRD'!$J:$J,'PROCESOS PRD'!$H:$H,0,0)),"")</f>
        <v/>
      </c>
      <c r="JT34" s="71"/>
      <c r="JU34" s="32"/>
      <c r="JV34" s="72" t="str">
        <f t="array" ref="JV34">IFERROR(IF(XLOOKUP(CONCAT(JT34,JU34),'MASTER PLAN'!$AB:$AB,'MASTER PLAN'!$J:$J,0,0)=0,"",XLOOKUP(CONCAT(JT34,JU34),'MASTER PLAN'!$AB:$AB,'MASTER PLAN'!$J:$J,0,0)),"")</f>
        <v/>
      </c>
      <c r="JW34" s="73" t="str">
        <f t="array" ref="JW34">IFERROR(IF(XLOOKUP(CONCAT(JT34,JU34),'PROCESOS PRD'!$J:$J,'PROCESOS PRD'!$H:$H,0,0)=0,"",XLOOKUP(CONCAT(JT34,JU34),'PROCESOS PRD'!$J:$J,'PROCESOS PRD'!$H:$H,0,0)),"")</f>
        <v/>
      </c>
      <c r="JX34" s="71"/>
      <c r="JY34" s="32"/>
      <c r="JZ34" s="72" t="str">
        <f t="array" ref="JZ34">IFERROR(IF(XLOOKUP(CONCAT(JX34,JY34),'MASTER PLAN'!$AB:$AB,'MASTER PLAN'!$J:$J,0,0)=0,"",XLOOKUP(CONCAT(JX34,JY34),'MASTER PLAN'!$AB:$AB,'MASTER PLAN'!$J:$J,0,0)),"")</f>
        <v/>
      </c>
      <c r="KA34" s="73" t="str">
        <f t="array" ref="KA34">IFERROR(IF(XLOOKUP(CONCAT(JX34,JY34),'PROCESOS PRD'!$J:$J,'PROCESOS PRD'!$H:$H,0,0)=0,"",XLOOKUP(CONCAT(JX34,JY34),'PROCESOS PRD'!$J:$J,'PROCESOS PRD'!$H:$H,0,0)),"")</f>
        <v/>
      </c>
      <c r="KB34" s="71"/>
      <c r="KC34" s="32"/>
      <c r="KD34" s="72" t="str">
        <f t="array" ref="KD34">IFERROR(IF(XLOOKUP(CONCAT(KB34,KC34),'MASTER PLAN'!$AB:$AB,'MASTER PLAN'!$J:$J,0,0)=0,"",XLOOKUP(CONCAT(KB34,KC34),'MASTER PLAN'!$AB:$AB,'MASTER PLAN'!$J:$J,0,0)),"")</f>
        <v/>
      </c>
      <c r="KE34" s="73" t="str">
        <f t="array" ref="KE34">IFERROR(IF(XLOOKUP(CONCAT(KB34,KC34),'PROCESOS PRD'!$J:$J,'PROCESOS PRD'!$H:$H,0,0)=0,"",XLOOKUP(CONCAT(KB34,KC34),'PROCESOS PRD'!$J:$J,'PROCESOS PRD'!$H:$H,0,0)),"")</f>
        <v/>
      </c>
      <c r="KF34" s="71"/>
      <c r="KG34" s="32"/>
      <c r="KH34" s="72" t="str">
        <f t="array" ref="KH34">IFERROR(IF(XLOOKUP(CONCAT(KF34,KG34),'MASTER PLAN'!$AB:$AB,'MASTER PLAN'!$J:$J,0,0)=0,"",XLOOKUP(CONCAT(KF34,KG34),'MASTER PLAN'!$AB:$AB,'MASTER PLAN'!$J:$J,0,0)),"")</f>
        <v/>
      </c>
      <c r="KI34" s="73" t="str">
        <f t="array" ref="KI34">IFERROR(IF(XLOOKUP(CONCAT(KF34,KG34),'PROCESOS PRD'!$J:$J,'PROCESOS PRD'!$H:$H,0,0)=0,"",XLOOKUP(CONCAT(KF34,KG34),'PROCESOS PRD'!$J:$J,'PROCESOS PRD'!$H:$H,0,0)),"")</f>
        <v/>
      </c>
      <c r="KJ34" s="70"/>
      <c r="KK34" s="70"/>
      <c r="KL34" s="70"/>
      <c r="KM34" s="70"/>
      <c r="KN34" s="70"/>
      <c r="KO34" s="70"/>
      <c r="KP34" s="70"/>
      <c r="KQ34" s="70"/>
      <c r="KR34" s="70"/>
      <c r="KS34" s="70"/>
      <c r="KT34" s="70"/>
      <c r="KU34" s="70"/>
      <c r="KV34" s="70"/>
      <c r="KW34" s="70"/>
      <c r="KX34" s="70"/>
      <c r="KY34" s="70"/>
      <c r="KZ34" s="70"/>
      <c r="LA34" s="70"/>
      <c r="LB34" s="70"/>
      <c r="LC34" s="70"/>
    </row>
    <row r="35" ht="15.75" customHeight="1">
      <c r="A35" s="42"/>
      <c r="B35" s="74"/>
      <c r="C35" s="69"/>
      <c r="D35" s="70"/>
      <c r="E35" s="71"/>
      <c r="F35" s="32"/>
      <c r="G35" s="72" t="str">
        <f t="array" ref="G35">IFERROR(IF(XLOOKUP(CONCAT(E35,F35),'MASTER PLAN'!$AB:$AB,'MASTER PLAN'!$J:$J,0,0)=0,"",XLOOKUP(CONCAT(E35,F35),'MASTER PLAN'!$AB:$AB,'MASTER PLAN'!$J:$J,0,0)),"")</f>
        <v/>
      </c>
      <c r="H35" s="73" t="str">
        <f t="array" ref="H35">IFERROR(IF(XLOOKUP(CONCAT(E35,F35),'PROCESOS PRD'!$J:$J,'PROCESOS PRD'!$H:$H,0,0)=0,"",XLOOKUP(CONCAT(E35,F35),'PROCESOS PRD'!$J:$J,'PROCESOS PRD'!$H:$H,0,0)),"")</f>
        <v/>
      </c>
      <c r="I35" s="71"/>
      <c r="J35" s="32"/>
      <c r="K35" s="72" t="str">
        <f t="array" ref="K35">IFERROR(IF(XLOOKUP(CONCAT(I35,J35),'MASTER PLAN'!$AB:$AB,'MASTER PLAN'!$J:$J,0,0)=0,"",XLOOKUP(CONCAT(I35,J35),'MASTER PLAN'!$AB:$AB,'MASTER PLAN'!$J:$J,0,0)),"")</f>
        <v/>
      </c>
      <c r="L35" s="73" t="str">
        <f t="array" ref="L35">IFERROR(IF(XLOOKUP(CONCAT(I35,J35),'PROCESOS PRD'!$J:$J,'PROCESOS PRD'!$H:$H,0,0)=0,"",XLOOKUP(CONCAT(I35,J35),'PROCESOS PRD'!$J:$J,'PROCESOS PRD'!$H:$H,0,0)),"")</f>
        <v/>
      </c>
      <c r="M35" s="71"/>
      <c r="N35" s="32"/>
      <c r="O35" s="72" t="str">
        <f t="array" ref="O35">IFERROR(IF(XLOOKUP(CONCAT(M35,N35),'MASTER PLAN'!$AB:$AB,'MASTER PLAN'!$J:$J,0,0)=0,"",XLOOKUP(CONCAT(M35,N35),'MASTER PLAN'!$AB:$AB,'MASTER PLAN'!$J:$J,0,0)),"")</f>
        <v/>
      </c>
      <c r="P35" s="73" t="str">
        <f t="array" ref="P35">IFERROR(IF(XLOOKUP(CONCAT(M35,N35),'PROCESOS PRD'!$J:$J,'PROCESOS PRD'!$H:$H,0,0)=0,"",XLOOKUP(CONCAT(M35,N35),'PROCESOS PRD'!$J:$J,'PROCESOS PRD'!$H:$H,0,0)),"")</f>
        <v/>
      </c>
      <c r="Q35" s="71"/>
      <c r="R35" s="32"/>
      <c r="S35" s="72" t="str">
        <f t="array" ref="S35">IFERROR(IF(XLOOKUP(CONCAT(Q35,R35),'MASTER PLAN'!$AB:$AB,'MASTER PLAN'!$J:$J,0,0)=0,"",XLOOKUP(CONCAT(Q35,R35),'MASTER PLAN'!$AB:$AB,'MASTER PLAN'!$J:$J,0,0)),"")</f>
        <v/>
      </c>
      <c r="T35" s="73" t="str">
        <f t="array" ref="T35">IFERROR(IF(XLOOKUP(CONCAT(Q35,R35),'PROCESOS PRD'!$J:$J,'PROCESOS PRD'!$H:$H,0,0)=0,"",XLOOKUP(CONCAT(Q35,R35),'PROCESOS PRD'!$J:$J,'PROCESOS PRD'!$H:$H,0,0)),"")</f>
        <v/>
      </c>
      <c r="U35" s="70"/>
      <c r="V35" s="71"/>
      <c r="W35" s="32"/>
      <c r="X35" s="72" t="str">
        <f t="array" ref="X35">IFERROR(IF(XLOOKUP(CONCAT(V35,W35),'MASTER PLAN'!$AB:$AB,'MASTER PLAN'!$J:$J,0,0)=0,"",XLOOKUP(CONCAT(V35,W35),'MASTER PLAN'!$AB:$AB,'MASTER PLAN'!$J:$J,0,0)),"")</f>
        <v/>
      </c>
      <c r="Y35" s="73" t="str">
        <f t="array" ref="Y35">IFERROR(IF(XLOOKUP(CONCAT(V35,W35),'PROCESOS PRD'!$J:$J,'PROCESOS PRD'!$H:$H,0,0)=0,"",XLOOKUP(CONCAT(V35,W35),'PROCESOS PRD'!$J:$J,'PROCESOS PRD'!$H:$H,0,0)),"")</f>
        <v/>
      </c>
      <c r="Z35" s="71"/>
      <c r="AA35" s="32"/>
      <c r="AB35" s="72" t="str">
        <f t="array" ref="AB35">IFERROR(IF(XLOOKUP(CONCAT(Z35,AA35),'MASTER PLAN'!$AB:$AB,'MASTER PLAN'!$J:$J,0,0)=0,"",XLOOKUP(CONCAT(Z35,AA35),'MASTER PLAN'!$AB:$AB,'MASTER PLAN'!$J:$J,0,0)),"")</f>
        <v/>
      </c>
      <c r="AC35" s="73" t="str">
        <f t="array" ref="AC35">IFERROR(IF(XLOOKUP(CONCAT(Z35,AA35),'PROCESOS PRD'!$J:$J,'PROCESOS PRD'!$H:$H,0,0)=0,"",XLOOKUP(CONCAT(Z35,AA35),'PROCESOS PRD'!$J:$J,'PROCESOS PRD'!$H:$H,0,0)),"")</f>
        <v/>
      </c>
      <c r="AD35" s="71"/>
      <c r="AE35" s="32"/>
      <c r="AF35" s="72" t="str">
        <f t="array" ref="AF35">IFERROR(IF(XLOOKUP(CONCAT(AD35,AE35),'MASTER PLAN'!$AB:$AB,'MASTER PLAN'!$J:$J,0,0)=0,"",XLOOKUP(CONCAT(AD35,AE35),'MASTER PLAN'!$AB:$AB,'MASTER PLAN'!$J:$J,0,0)),"")</f>
        <v/>
      </c>
      <c r="AG35" s="73" t="str">
        <f t="array" ref="AG35">IFERROR(IF(XLOOKUP(CONCAT(AD35,AE35),'PROCESOS PRD'!$J:$J,'PROCESOS PRD'!$H:$H,0,0)=0,"",XLOOKUP(CONCAT(AD35,AE35),'PROCESOS PRD'!$J:$J,'PROCESOS PRD'!$H:$H,0,0)),"")</f>
        <v/>
      </c>
      <c r="AH35" s="71"/>
      <c r="AI35" s="32"/>
      <c r="AJ35" s="72" t="str">
        <f t="array" ref="AJ35">IFERROR(IF(XLOOKUP(CONCAT(AH35,AI35),'MASTER PLAN'!$AB:$AB,'MASTER PLAN'!$J:$J,0,0)=0,"",XLOOKUP(CONCAT(AH35,AI35),'MASTER PLAN'!$AB:$AB,'MASTER PLAN'!$J:$J,0,0)),"")</f>
        <v/>
      </c>
      <c r="AK35" s="73" t="str">
        <f t="array" ref="AK35">IFERROR(IF(XLOOKUP(CONCAT(AH35,AI35),'PROCESOS PRD'!$J:$J,'PROCESOS PRD'!$H:$H,0,0)=0,"",XLOOKUP(CONCAT(AH35,AI35),'PROCESOS PRD'!$J:$J,'PROCESOS PRD'!$H:$H,0,0)),"")</f>
        <v/>
      </c>
      <c r="AL35" s="71"/>
      <c r="AM35" s="32"/>
      <c r="AN35" s="72" t="str">
        <f t="array" ref="AN35">IFERROR(IF(XLOOKUP(CONCAT(AL35,AM35),'MASTER PLAN'!$AB:$AB,'MASTER PLAN'!$J:$J,0,0)=0,"",XLOOKUP(CONCAT(AL35,AM35),'MASTER PLAN'!$AB:$AB,'MASTER PLAN'!$J:$J,0,0)),"")</f>
        <v/>
      </c>
      <c r="AO35" s="73" t="str">
        <f t="array" ref="AO35">IFERROR(IF(XLOOKUP(CONCAT(AL35,AM35),'PROCESOS PRD'!$J:$J,'PROCESOS PRD'!$H:$H,0,0)=0,"",XLOOKUP(CONCAT(AL35,AM35),'PROCESOS PRD'!$J:$J,'PROCESOS PRD'!$H:$H,0,0)),"")</f>
        <v/>
      </c>
      <c r="AP35" s="71"/>
      <c r="AQ35" s="32"/>
      <c r="AR35" s="72" t="str">
        <f t="array" ref="AR35">IFERROR(IF(XLOOKUP(CONCAT(AP35,AQ35),'MASTER PLAN'!$AB:$AB,'MASTER PLAN'!$J:$J,0,0)=0,"",XLOOKUP(CONCAT(AP35,AQ35),'MASTER PLAN'!$AB:$AB,'MASTER PLAN'!$J:$J,0,0)),"")</f>
        <v/>
      </c>
      <c r="AS35" s="73" t="str">
        <f t="array" ref="AS35">IFERROR(IF(XLOOKUP(CONCAT(AP35,AQ35),'PROCESOS PRD'!$J:$J,'PROCESOS PRD'!$H:$H,0,0)=0,"",XLOOKUP(CONCAT(AP35,AQ35),'PROCESOS PRD'!$J:$J,'PROCESOS PRD'!$H:$H,0,0)),"")</f>
        <v/>
      </c>
      <c r="AT35" s="70"/>
      <c r="AU35" s="71"/>
      <c r="AV35" s="32"/>
      <c r="AW35" s="72" t="str">
        <f t="array" ref="AW35">IFERROR(IF(XLOOKUP(CONCAT(AU35,AV35),'MASTER PLAN'!$AB:$AB,'MASTER PLAN'!$J:$J,0,0)=0,"",XLOOKUP(CONCAT(AU35,AV35),'MASTER PLAN'!$AB:$AB,'MASTER PLAN'!$J:$J,0,0)),"")</f>
        <v/>
      </c>
      <c r="AX35" s="73" t="str">
        <f t="array" ref="AX35">IFERROR(IF(XLOOKUP(CONCAT(AU35,AV35),'PROCESOS PRD'!$J:$J,'PROCESOS PRD'!$H:$H,0,0)=0,"",XLOOKUP(CONCAT(AU35,AV35),'PROCESOS PRD'!$J:$J,'PROCESOS PRD'!$H:$H,0,0)),"")</f>
        <v/>
      </c>
      <c r="AY35" s="71"/>
      <c r="AZ35" s="32"/>
      <c r="BA35" s="72" t="str">
        <f t="array" ref="BA35">IFERROR(IF(XLOOKUP(CONCAT(AY35,AZ35),'MASTER PLAN'!$AB:$AB,'MASTER PLAN'!$J:$J,0,0)=0,"",XLOOKUP(CONCAT(AY35,AZ35),'MASTER PLAN'!$AB:$AB,'MASTER PLAN'!$J:$J,0,0)),"")</f>
        <v/>
      </c>
      <c r="BB35" s="73" t="str">
        <f t="array" ref="BB35">IFERROR(IF(XLOOKUP(CONCAT(AY35,AZ35),'PROCESOS PRD'!$J:$J,'PROCESOS PRD'!$H:$H,0,0)=0,"",XLOOKUP(CONCAT(AY35,AZ35),'PROCESOS PRD'!$J:$J,'PROCESOS PRD'!$H:$H,0,0)),"")</f>
        <v/>
      </c>
      <c r="BC35" s="71"/>
      <c r="BD35" s="32"/>
      <c r="BE35" s="72" t="str">
        <f t="array" ref="BE35">IFERROR(IF(XLOOKUP(CONCAT(BC35,BD35),'MASTER PLAN'!$AB:$AB,'MASTER PLAN'!$J:$J,0,0)=0,"",XLOOKUP(CONCAT(BC35,BD35),'MASTER PLAN'!$AB:$AB,'MASTER PLAN'!$J:$J,0,0)),"")</f>
        <v/>
      </c>
      <c r="BF35" s="73" t="str">
        <f t="array" ref="BF35">IFERROR(IF(XLOOKUP(CONCAT(BC35,BD35),'PROCESOS PRD'!$J:$J,'PROCESOS PRD'!$H:$H,0,0)=0,"",XLOOKUP(CONCAT(BC35,BD35),'PROCESOS PRD'!$J:$J,'PROCESOS PRD'!$H:$H,0,0)),"")</f>
        <v/>
      </c>
      <c r="BG35" s="71"/>
      <c r="BH35" s="32"/>
      <c r="BI35" s="72" t="str">
        <f t="array" ref="BI35">IFERROR(IF(XLOOKUP(CONCAT(BG35,BH35),'MASTER PLAN'!$AB:$AB,'MASTER PLAN'!$J:$J,0,0)=0,"",XLOOKUP(CONCAT(BG35,BH35),'MASTER PLAN'!$AB:$AB,'MASTER PLAN'!$J:$J,0,0)),"")</f>
        <v/>
      </c>
      <c r="BJ35" s="73" t="str">
        <f t="array" ref="BJ35">IFERROR(IF(XLOOKUP(CONCAT(BG35,BH35),'PROCESOS PRD'!$J:$J,'PROCESOS PRD'!$H:$H,0,0)=0,"",XLOOKUP(CONCAT(BG35,BH35),'PROCESOS PRD'!$J:$J,'PROCESOS PRD'!$H:$H,0,0)),"")</f>
        <v/>
      </c>
      <c r="BK35" s="71"/>
      <c r="BL35" s="32"/>
      <c r="BM35" s="72" t="str">
        <f t="array" ref="BM35">IFERROR(IF(XLOOKUP(CONCAT(BK35,BL35),'MASTER PLAN'!$AB:$AB,'MASTER PLAN'!$J:$J,0,0)=0,"",XLOOKUP(CONCAT(BK35,BL35),'MASTER PLAN'!$AB:$AB,'MASTER PLAN'!$J:$J,0,0)),"")</f>
        <v/>
      </c>
      <c r="BN35" s="73" t="str">
        <f t="array" ref="BN35">IFERROR(IF(XLOOKUP(CONCAT(BK35,BL35),'PROCESOS PRD'!$J:$J,'PROCESOS PRD'!$H:$H,0,0)=0,"",XLOOKUP(CONCAT(BK35,BL35),'PROCESOS PRD'!$J:$J,'PROCESOS PRD'!$H:$H,0,0)),"")</f>
        <v/>
      </c>
      <c r="BO35" s="71"/>
      <c r="BP35" s="32"/>
      <c r="BQ35" s="72" t="str">
        <f t="array" ref="BQ35">IFERROR(IF(XLOOKUP(CONCAT(BO35,BP35),'MASTER PLAN'!$AB:$AB,'MASTER PLAN'!$J:$J,0,0)=0,"",XLOOKUP(CONCAT(BO35,BP35),'MASTER PLAN'!$AB:$AB,'MASTER PLAN'!$J:$J,0,0)),"")</f>
        <v/>
      </c>
      <c r="BR35" s="73" t="str">
        <f t="array" ref="BR35">IFERROR(IF(XLOOKUP(CONCAT(BO35,BP35),'PROCESOS PRD'!$J:$J,'PROCESOS PRD'!$H:$H,0,0)=0,"",XLOOKUP(CONCAT(BO35,BP35),'PROCESOS PRD'!$J:$J,'PROCESOS PRD'!$H:$H,0,0)),"")</f>
        <v/>
      </c>
      <c r="BS35" s="70"/>
      <c r="BT35" s="71"/>
      <c r="BU35" s="32"/>
      <c r="BV35" s="72" t="str">
        <f t="array" ref="BV35">IFERROR(IF(XLOOKUP(CONCAT(BT35,BU35),'MASTER PLAN'!$AB:$AB,'MASTER PLAN'!$J:$J,0,0)=0,"",XLOOKUP(CONCAT(BT35,BU35),'MASTER PLAN'!$AB:$AB,'MASTER PLAN'!$J:$J,0,0)),"")</f>
        <v/>
      </c>
      <c r="BW35" s="73" t="str">
        <f t="array" ref="BW35">IFERROR(IF(XLOOKUP(CONCAT(BT35,BU35),'PROCESOS PRD'!$J:$J,'PROCESOS PRD'!$H:$H,0,0)=0,"",XLOOKUP(CONCAT(BT35,BU35),'PROCESOS PRD'!$J:$J,'PROCESOS PRD'!$H:$H,0,0)),"")</f>
        <v/>
      </c>
      <c r="BX35" s="71"/>
      <c r="BY35" s="32"/>
      <c r="BZ35" s="72" t="str">
        <f t="array" ref="BZ35">IFERROR(IF(XLOOKUP(CONCAT(BX35,BY35),'MASTER PLAN'!$AB:$AB,'MASTER PLAN'!$J:$J,0,0)=0,"",XLOOKUP(CONCAT(BX35,BY35),'MASTER PLAN'!$AB:$AB,'MASTER PLAN'!$J:$J,0,0)),"")</f>
        <v/>
      </c>
      <c r="CA35" s="73" t="str">
        <f t="array" ref="CA35">IFERROR(IF(XLOOKUP(CONCAT(BX35,BY35),'PROCESOS PRD'!$J:$J,'PROCESOS PRD'!$H:$H,0,0)=0,"",XLOOKUP(CONCAT(BX35,BY35),'PROCESOS PRD'!$J:$J,'PROCESOS PRD'!$H:$H,0,0)),"")</f>
        <v/>
      </c>
      <c r="CB35" s="71"/>
      <c r="CC35" s="32"/>
      <c r="CD35" s="72" t="str">
        <f t="array" ref="CD35">IFERROR(IF(XLOOKUP(CONCAT(CB35,CC35),'MASTER PLAN'!$AB:$AB,'MASTER PLAN'!$J:$J,0,0)=0,"",XLOOKUP(CONCAT(CB35,CC35),'MASTER PLAN'!$AB:$AB,'MASTER PLAN'!$J:$J,0,0)),"")</f>
        <v/>
      </c>
      <c r="CE35" s="73" t="str">
        <f t="array" ref="CE35">IFERROR(IF(XLOOKUP(CONCAT(CB35,CC35),'PROCESOS PRD'!$J:$J,'PROCESOS PRD'!$H:$H,0,0)=0,"",XLOOKUP(CONCAT(CB35,CC35),'PROCESOS PRD'!$J:$J,'PROCESOS PRD'!$H:$H,0,0)),"")</f>
        <v/>
      </c>
      <c r="CF35" s="71"/>
      <c r="CG35" s="32"/>
      <c r="CH35" s="72" t="str">
        <f t="array" ref="CH35">IFERROR(IF(XLOOKUP(CONCAT(CF35,CG35),'MASTER PLAN'!$AB:$AB,'MASTER PLAN'!$J:$J,0,0)=0,"",XLOOKUP(CONCAT(CF35,CG35),'MASTER PLAN'!$AB:$AB,'MASTER PLAN'!$J:$J,0,0)),"")</f>
        <v/>
      </c>
      <c r="CI35" s="73" t="str">
        <f t="array" ref="CI35">IFERROR(IF(XLOOKUP(CONCAT(CF35,CG35),'PROCESOS PRD'!$J:$J,'PROCESOS PRD'!$H:$H,0,0)=0,"",XLOOKUP(CONCAT(CF35,CG35),'PROCESOS PRD'!$J:$J,'PROCESOS PRD'!$H:$H,0,0)),"")</f>
        <v/>
      </c>
      <c r="CJ35" s="71"/>
      <c r="CK35" s="32"/>
      <c r="CL35" s="72" t="str">
        <f t="array" ref="CL35">IFERROR(IF(XLOOKUP(CONCAT(CJ35,CK35),'MASTER PLAN'!$AB:$AB,'MASTER PLAN'!$J:$J,0,0)=0,"",XLOOKUP(CONCAT(CJ35,CK35),'MASTER PLAN'!$AB:$AB,'MASTER PLAN'!$J:$J,0,0)),"")</f>
        <v/>
      </c>
      <c r="CM35" s="73" t="str">
        <f t="array" ref="CM35">IFERROR(IF(XLOOKUP(CONCAT(CJ35,CK35),'PROCESOS PRD'!$J:$J,'PROCESOS PRD'!$H:$H,0,0)=0,"",XLOOKUP(CONCAT(CJ35,CK35),'PROCESOS PRD'!$J:$J,'PROCESOS PRD'!$H:$H,0,0)),"")</f>
        <v/>
      </c>
      <c r="CN35" s="71"/>
      <c r="CO35" s="32"/>
      <c r="CP35" s="72" t="str">
        <f t="array" ref="CP35">IFERROR(IF(XLOOKUP(CONCAT(CN35,CO35),'MASTER PLAN'!$AB:$AB,'MASTER PLAN'!$J:$J,0,0)=0,"",XLOOKUP(CONCAT(CN35,CO35),'MASTER PLAN'!$AB:$AB,'MASTER PLAN'!$J:$J,0,0)),"")</f>
        <v/>
      </c>
      <c r="CQ35" s="73" t="str">
        <f t="array" ref="CQ35">IFERROR(IF(XLOOKUP(CONCAT(CN35,CO35),'PROCESOS PRD'!$J:$J,'PROCESOS PRD'!$H:$H,0,0)=0,"",XLOOKUP(CONCAT(CN35,CO35),'PROCESOS PRD'!$J:$J,'PROCESOS PRD'!$H:$H,0,0)),"")</f>
        <v/>
      </c>
      <c r="CR35" s="70"/>
      <c r="CS35" s="71"/>
      <c r="CT35" s="32"/>
      <c r="CU35" s="72" t="str">
        <f t="array" ref="CU35">IFERROR(IF(XLOOKUP(CONCAT(CS35,CT35),'MASTER PLAN'!$AB:$AB,'MASTER PLAN'!$J:$J,0,0)=0,"",XLOOKUP(CONCAT(CS35,CT35),'MASTER PLAN'!$AB:$AB,'MASTER PLAN'!$J:$J,0,0)),"")</f>
        <v/>
      </c>
      <c r="CV35" s="73" t="str">
        <f t="array" ref="CV35">IFERROR(IF(XLOOKUP(CONCAT(CS35,CT35),'PROCESOS PRD'!$J:$J,'PROCESOS PRD'!$H:$H,0,0)=0,"",XLOOKUP(CONCAT(CS35,CT35),'PROCESOS PRD'!$J:$J,'PROCESOS PRD'!$H:$H,0,0)),"")</f>
        <v/>
      </c>
      <c r="CW35" s="71"/>
      <c r="CX35" s="32"/>
      <c r="CY35" s="72" t="str">
        <f t="array" ref="CY35">IFERROR(IF(XLOOKUP(CONCAT(CW35,CX35),'MASTER PLAN'!$AB:$AB,'MASTER PLAN'!$J:$J,0,0)=0,"",XLOOKUP(CONCAT(CW35,CX35),'MASTER PLAN'!$AB:$AB,'MASTER PLAN'!$J:$J,0,0)),"")</f>
        <v/>
      </c>
      <c r="CZ35" s="73" t="str">
        <f t="array" ref="CZ35">IFERROR(IF(XLOOKUP(CONCAT(CW35,CX35),'PROCESOS PRD'!$J:$J,'PROCESOS PRD'!$H:$H,0,0)=0,"",XLOOKUP(CONCAT(CW35,CX35),'PROCESOS PRD'!$J:$J,'PROCESOS PRD'!$H:$H,0,0)),"")</f>
        <v/>
      </c>
      <c r="DA35" s="71"/>
      <c r="DB35" s="32"/>
      <c r="DC35" s="72" t="str">
        <f t="array" ref="DC35">IFERROR(IF(XLOOKUP(CONCAT(DA35,DB35),'MASTER PLAN'!$AB:$AB,'MASTER PLAN'!$J:$J,0,0)=0,"",XLOOKUP(CONCAT(DA35,DB35),'MASTER PLAN'!$AB:$AB,'MASTER PLAN'!$J:$J,0,0)),"")</f>
        <v/>
      </c>
      <c r="DD35" s="73" t="str">
        <f t="array" ref="DD35">IFERROR(IF(XLOOKUP(CONCAT(DA35,DB35),'PROCESOS PRD'!$J:$J,'PROCESOS PRD'!$H:$H,0,0)=0,"",XLOOKUP(CONCAT(DA35,DB35),'PROCESOS PRD'!$J:$J,'PROCESOS PRD'!$H:$H,0,0)),"")</f>
        <v/>
      </c>
      <c r="DE35" s="71"/>
      <c r="DF35" s="32"/>
      <c r="DG35" s="72" t="str">
        <f t="array" ref="DG35">IFERROR(IF(XLOOKUP(CONCAT(DE35,DF35),'MASTER PLAN'!$AB:$AB,'MASTER PLAN'!$J:$J,0,0)=0,"",XLOOKUP(CONCAT(DE35,DF35),'MASTER PLAN'!$AB:$AB,'MASTER PLAN'!$J:$J,0,0)),"")</f>
        <v/>
      </c>
      <c r="DH35" s="73" t="str">
        <f t="array" ref="DH35">IFERROR(IF(XLOOKUP(CONCAT(DE35,DF35),'PROCESOS PRD'!$J:$J,'PROCESOS PRD'!$H:$H,0,0)=0,"",XLOOKUP(CONCAT(DE35,DF35),'PROCESOS PRD'!$J:$J,'PROCESOS PRD'!$H:$H,0,0)),"")</f>
        <v/>
      </c>
      <c r="DI35" s="71"/>
      <c r="DJ35" s="32"/>
      <c r="DK35" s="72" t="str">
        <f t="array" ref="DK35">IFERROR(IF(XLOOKUP(CONCAT(DI35,DJ35),'MASTER PLAN'!$AB:$AB,'MASTER PLAN'!$J:$J,0,0)=0,"",XLOOKUP(CONCAT(DI35,DJ35),'MASTER PLAN'!$AB:$AB,'MASTER PLAN'!$J:$J,0,0)),"")</f>
        <v/>
      </c>
      <c r="DL35" s="73" t="str">
        <f t="array" ref="DL35">IFERROR(IF(XLOOKUP(CONCAT(DI35,DJ35),'PROCESOS PRD'!$J:$J,'PROCESOS PRD'!$H:$H,0,0)=0,"",XLOOKUP(CONCAT(DI35,DJ35),'PROCESOS PRD'!$J:$J,'PROCESOS PRD'!$H:$H,0,0)),"")</f>
        <v/>
      </c>
      <c r="DM35" s="71"/>
      <c r="DN35" s="32"/>
      <c r="DO35" s="72" t="str">
        <f t="array" ref="DO35">IFERROR(IF(XLOOKUP(CONCAT(DM35,DN35),'MASTER PLAN'!$AB:$AB,'MASTER PLAN'!$J:$J,0,0)=0,"",XLOOKUP(CONCAT(DM35,DN35),'MASTER PLAN'!$AB:$AB,'MASTER PLAN'!$J:$J,0,0)),"")</f>
        <v/>
      </c>
      <c r="DP35" s="73" t="str">
        <f t="array" ref="DP35">IFERROR(IF(XLOOKUP(CONCAT(DM35,DN35),'PROCESOS PRD'!$J:$J,'PROCESOS PRD'!$H:$H,0,0)=0,"",XLOOKUP(CONCAT(DM35,DN35),'PROCESOS PRD'!$J:$J,'PROCESOS PRD'!$H:$H,0,0)),"")</f>
        <v/>
      </c>
      <c r="DQ35" s="70"/>
      <c r="DR35" s="71"/>
      <c r="DS35" s="32"/>
      <c r="DT35" s="72" t="str">
        <f t="array" ref="DT35">IFERROR(IF(XLOOKUP(CONCAT(DR35,DS35),'MASTER PLAN'!$AB:$AB,'MASTER PLAN'!$J:$J,0,0)=0,"",XLOOKUP(CONCAT(DR35,DS35),'MASTER PLAN'!$AB:$AB,'MASTER PLAN'!$J:$J,0,0)),"")</f>
        <v/>
      </c>
      <c r="DU35" s="73" t="str">
        <f t="array" ref="DU35">IFERROR(IF(XLOOKUP(CONCAT(DR35,DS35),'PROCESOS PRD'!$J:$J,'PROCESOS PRD'!$H:$H,0,0)=0,"",XLOOKUP(CONCAT(DR35,DS35),'PROCESOS PRD'!$J:$J,'PROCESOS PRD'!$H:$H,0,0)),"")</f>
        <v/>
      </c>
      <c r="DV35" s="71"/>
      <c r="DW35" s="32"/>
      <c r="DX35" s="72" t="str">
        <f t="array" ref="DX35">IFERROR(IF(XLOOKUP(CONCAT(DV35,DW35),'MASTER PLAN'!$AB:$AB,'MASTER PLAN'!$J:$J,0,0)=0,"",XLOOKUP(CONCAT(DV35,DW35),'MASTER PLAN'!$AB:$AB,'MASTER PLAN'!$J:$J,0,0)),"")</f>
        <v/>
      </c>
      <c r="DY35" s="73" t="str">
        <f t="array" ref="DY35">IFERROR(IF(XLOOKUP(CONCAT(DV35,DW35),'PROCESOS PRD'!$J:$J,'PROCESOS PRD'!$H:$H,0,0)=0,"",XLOOKUP(CONCAT(DV35,DW35),'PROCESOS PRD'!$J:$J,'PROCESOS PRD'!$H:$H,0,0)),"")</f>
        <v/>
      </c>
      <c r="DZ35" s="71"/>
      <c r="EA35" s="32"/>
      <c r="EB35" s="72" t="str">
        <f t="array" ref="EB35">IFERROR(IF(XLOOKUP(CONCAT(DZ35,EA35),'MASTER PLAN'!$AB:$AB,'MASTER PLAN'!$J:$J,0,0)=0,"",XLOOKUP(CONCAT(DZ35,EA35),'MASTER PLAN'!$AB:$AB,'MASTER PLAN'!$J:$J,0,0)),"")</f>
        <v/>
      </c>
      <c r="EC35" s="73" t="str">
        <f t="array" ref="EC35">IFERROR(IF(XLOOKUP(CONCAT(DZ35,EA35),'PROCESOS PRD'!$J:$J,'PROCESOS PRD'!$H:$H,0,0)=0,"",XLOOKUP(CONCAT(DZ35,EA35),'PROCESOS PRD'!$J:$J,'PROCESOS PRD'!$H:$H,0,0)),"")</f>
        <v/>
      </c>
      <c r="ED35" s="71"/>
      <c r="EE35" s="32"/>
      <c r="EF35" s="72" t="str">
        <f t="array" ref="EF35">IFERROR(IF(XLOOKUP(CONCAT(ED35,EE35),'MASTER PLAN'!$AB:$AB,'MASTER PLAN'!$J:$J,0,0)=0,"",XLOOKUP(CONCAT(ED35,EE35),'MASTER PLAN'!$AB:$AB,'MASTER PLAN'!$J:$J,0,0)),"")</f>
        <v/>
      </c>
      <c r="EG35" s="73" t="str">
        <f t="array" ref="EG35">IFERROR(IF(XLOOKUP(CONCAT(ED35,EE35),'PROCESOS PRD'!$J:$J,'PROCESOS PRD'!$H:$H,0,0)=0,"",XLOOKUP(CONCAT(ED35,EE35),'PROCESOS PRD'!$J:$J,'PROCESOS PRD'!$H:$H,0,0)),"")</f>
        <v/>
      </c>
      <c r="EH35" s="71"/>
      <c r="EI35" s="32"/>
      <c r="EJ35" s="72" t="str">
        <f t="array" ref="EJ35">IFERROR(IF(XLOOKUP(CONCAT(EH35,EI35),'MASTER PLAN'!$AB:$AB,'MASTER PLAN'!$J:$J,0,0)=0,"",XLOOKUP(CONCAT(EH35,EI35),'MASTER PLAN'!$AB:$AB,'MASTER PLAN'!$J:$J,0,0)),"")</f>
        <v/>
      </c>
      <c r="EK35" s="73" t="str">
        <f t="array" ref="EK35">IFERROR(IF(XLOOKUP(CONCAT(EH35,EI35),'PROCESOS PRD'!$J:$J,'PROCESOS PRD'!$H:$H,0,0)=0,"",XLOOKUP(CONCAT(EH35,EI35),'PROCESOS PRD'!$J:$J,'PROCESOS PRD'!$H:$H,0,0)),"")</f>
        <v/>
      </c>
      <c r="EL35" s="71"/>
      <c r="EM35" s="32"/>
      <c r="EN35" s="72" t="str">
        <f t="array" ref="EN35">IFERROR(IF(XLOOKUP(CONCAT(EL35,EM35),'MASTER PLAN'!$AB:$AB,'MASTER PLAN'!$J:$J,0,0)=0,"",XLOOKUP(CONCAT(EL35,EM35),'MASTER PLAN'!$AB:$AB,'MASTER PLAN'!$J:$J,0,0)),"")</f>
        <v/>
      </c>
      <c r="EO35" s="73" t="str">
        <f t="array" ref="EO35">IFERROR(IF(XLOOKUP(CONCAT(EL35,EM35),'PROCESOS PRD'!$J:$J,'PROCESOS PRD'!$H:$H,0,0)=0,"",XLOOKUP(CONCAT(EL35,EM35),'PROCESOS PRD'!$J:$J,'PROCESOS PRD'!$H:$H,0,0)),"")</f>
        <v/>
      </c>
      <c r="EP35" s="70"/>
      <c r="EQ35" s="71"/>
      <c r="ER35" s="32"/>
      <c r="ES35" s="72" t="str">
        <f t="array" ref="ES35">IFERROR(IF(XLOOKUP(CONCAT(EQ35,ER35),'MASTER PLAN'!$AB:$AB,'MASTER PLAN'!$J:$J,0,0)=0,"",XLOOKUP(CONCAT(EQ35,ER35),'MASTER PLAN'!$AB:$AB,'MASTER PLAN'!$J:$J,0,0)),"")</f>
        <v/>
      </c>
      <c r="ET35" s="73" t="str">
        <f t="array" ref="ET35">IFERROR(IF(XLOOKUP(CONCAT(EQ35,ER35),'PROCESOS PRD'!$J:$J,'PROCESOS PRD'!$H:$H,0,0)=0,"",XLOOKUP(CONCAT(EQ35,ER35),'PROCESOS PRD'!$J:$J,'PROCESOS PRD'!$H:$H,0,0)),"")</f>
        <v/>
      </c>
      <c r="EU35" s="71"/>
      <c r="EV35" s="32"/>
      <c r="EW35" s="72" t="str">
        <f t="array" ref="EW35">IFERROR(IF(XLOOKUP(CONCAT(EU35,EV35),'MASTER PLAN'!$AB:$AB,'MASTER PLAN'!$J:$J,0,0)=0,"",XLOOKUP(CONCAT(EU35,EV35),'MASTER PLAN'!$AB:$AB,'MASTER PLAN'!$J:$J,0,0)),"")</f>
        <v/>
      </c>
      <c r="EX35" s="73" t="str">
        <f t="array" ref="EX35">IFERROR(IF(XLOOKUP(CONCAT(EU35,EV35),'PROCESOS PRD'!$J:$J,'PROCESOS PRD'!$H:$H,0,0)=0,"",XLOOKUP(CONCAT(EU35,EV35),'PROCESOS PRD'!$J:$J,'PROCESOS PRD'!$H:$H,0,0)),"")</f>
        <v/>
      </c>
      <c r="EY35" s="71"/>
      <c r="EZ35" s="32"/>
      <c r="FA35" s="72" t="str">
        <f t="array" ref="FA35">IFERROR(IF(XLOOKUP(CONCAT(EY35,EZ35),'MASTER PLAN'!$AB:$AB,'MASTER PLAN'!$J:$J,0,0)=0,"",XLOOKUP(CONCAT(EY35,EZ35),'MASTER PLAN'!$AB:$AB,'MASTER PLAN'!$J:$J,0,0)),"")</f>
        <v/>
      </c>
      <c r="FB35" s="73" t="str">
        <f t="array" ref="FB35">IFERROR(IF(XLOOKUP(CONCAT(EY35,EZ35),'PROCESOS PRD'!$J:$J,'PROCESOS PRD'!$H:$H,0,0)=0,"",XLOOKUP(CONCAT(EY35,EZ35),'PROCESOS PRD'!$J:$J,'PROCESOS PRD'!$H:$H,0,0)),"")</f>
        <v/>
      </c>
      <c r="FC35" s="71"/>
      <c r="FD35" s="32"/>
      <c r="FE35" s="72" t="str">
        <f t="array" ref="FE35">IFERROR(IF(XLOOKUP(CONCAT(FC35,FD35),'MASTER PLAN'!$AB:$AB,'MASTER PLAN'!$J:$J,0,0)=0,"",XLOOKUP(CONCAT(FC35,FD35),'MASTER PLAN'!$AB:$AB,'MASTER PLAN'!$J:$J,0,0)),"")</f>
        <v/>
      </c>
      <c r="FF35" s="73" t="str">
        <f t="array" ref="FF35">IFERROR(IF(XLOOKUP(CONCAT(FC35,FD35),'PROCESOS PRD'!$J:$J,'PROCESOS PRD'!$H:$H,0,0)=0,"",XLOOKUP(CONCAT(FC35,FD35),'PROCESOS PRD'!$J:$J,'PROCESOS PRD'!$H:$H,0,0)),"")</f>
        <v/>
      </c>
      <c r="FG35" s="71"/>
      <c r="FH35" s="32"/>
      <c r="FI35" s="72" t="str">
        <f t="array" ref="FI35">IFERROR(IF(XLOOKUP(CONCAT(FG35,FH35),'MASTER PLAN'!$AB:$AB,'MASTER PLAN'!$J:$J,0,0)=0,"",XLOOKUP(CONCAT(FG35,FH35),'MASTER PLAN'!$AB:$AB,'MASTER PLAN'!$J:$J,0,0)),"")</f>
        <v/>
      </c>
      <c r="FJ35" s="73" t="str">
        <f t="array" ref="FJ35">IFERROR(IF(XLOOKUP(CONCAT(FG35,FH35),'PROCESOS PRD'!$J:$J,'PROCESOS PRD'!$H:$H,0,0)=0,"",XLOOKUP(CONCAT(FG35,FH35),'PROCESOS PRD'!$J:$J,'PROCESOS PRD'!$H:$H,0,0)),"")</f>
        <v/>
      </c>
      <c r="FK35" s="71"/>
      <c r="FL35" s="32"/>
      <c r="FM35" s="72" t="str">
        <f t="array" ref="FM35">IFERROR(IF(XLOOKUP(CONCAT(FK35,FL35),'MASTER PLAN'!$AB:$AB,'MASTER PLAN'!$J:$J,0,0)=0,"",XLOOKUP(CONCAT(FK35,FL35),'MASTER PLAN'!$AB:$AB,'MASTER PLAN'!$J:$J,0,0)),"")</f>
        <v/>
      </c>
      <c r="FN35" s="73" t="str">
        <f t="array" ref="FN35">IFERROR(IF(XLOOKUP(CONCAT(FK35,FL35),'PROCESOS PRD'!$J:$J,'PROCESOS PRD'!$H:$H,0,0)=0,"",XLOOKUP(CONCAT(FK35,FL35),'PROCESOS PRD'!$J:$J,'PROCESOS PRD'!$H:$H,0,0)),"")</f>
        <v/>
      </c>
      <c r="FO35" s="70"/>
      <c r="FP35" s="71"/>
      <c r="FQ35" s="32"/>
      <c r="FR35" s="72" t="str">
        <f t="array" ref="FR35">IFERROR(IF(XLOOKUP(CONCAT(FP35,FQ35),'MASTER PLAN'!$AB:$AB,'MASTER PLAN'!$J:$J,0,0)=0,"",XLOOKUP(CONCAT(FP35,FQ35),'MASTER PLAN'!$AB:$AB,'MASTER PLAN'!$J:$J,0,0)),"")</f>
        <v/>
      </c>
      <c r="FS35" s="73" t="str">
        <f t="array" ref="FS35">IFERROR(IF(XLOOKUP(CONCAT(FP35,FQ35),'PROCESOS PRD'!$J:$J,'PROCESOS PRD'!$H:$H,0,0)=0,"",XLOOKUP(CONCAT(FP35,FQ35),'PROCESOS PRD'!$J:$J,'PROCESOS PRD'!$H:$H,0,0)),"")</f>
        <v/>
      </c>
      <c r="FT35" s="71"/>
      <c r="FU35" s="32"/>
      <c r="FV35" s="72" t="str">
        <f t="array" ref="FV35">IFERROR(IF(XLOOKUP(CONCAT(FT35,FU35),'MASTER PLAN'!$AB:$AB,'MASTER PLAN'!$J:$J,0,0)=0,"",XLOOKUP(CONCAT(FT35,FU35),'MASTER PLAN'!$AB:$AB,'MASTER PLAN'!$J:$J,0,0)),"")</f>
        <v/>
      </c>
      <c r="FW35" s="73" t="str">
        <f t="array" ref="FW35">IFERROR(IF(XLOOKUP(CONCAT(FT35,FU35),'PROCESOS PRD'!$J:$J,'PROCESOS PRD'!$H:$H,0,0)=0,"",XLOOKUP(CONCAT(FT35,FU35),'PROCESOS PRD'!$J:$J,'PROCESOS PRD'!$H:$H,0,0)),"")</f>
        <v/>
      </c>
      <c r="FX35" s="71"/>
      <c r="FY35" s="32"/>
      <c r="FZ35" s="72" t="str">
        <f t="array" ref="FZ35">IFERROR(IF(XLOOKUP(CONCAT(FX35,FY35),'MASTER PLAN'!$AB:$AB,'MASTER PLAN'!$J:$J,0,0)=0,"",XLOOKUP(CONCAT(FX35,FY35),'MASTER PLAN'!$AB:$AB,'MASTER PLAN'!$J:$J,0,0)),"")</f>
        <v/>
      </c>
      <c r="GA35" s="73" t="str">
        <f t="array" ref="GA35">IFERROR(IF(XLOOKUP(CONCAT(FX35,FY35),'PROCESOS PRD'!$J:$J,'PROCESOS PRD'!$H:$H,0,0)=0,"",XLOOKUP(CONCAT(FX35,FY35),'PROCESOS PRD'!$J:$J,'PROCESOS PRD'!$H:$H,0,0)),"")</f>
        <v/>
      </c>
      <c r="GB35" s="71"/>
      <c r="GC35" s="32"/>
      <c r="GD35" s="72" t="str">
        <f t="array" ref="GD35">IFERROR(IF(XLOOKUP(CONCAT(GB35,GC35),'MASTER PLAN'!$AB:$AB,'MASTER PLAN'!$J:$J,0,0)=0,"",XLOOKUP(CONCAT(GB35,GC35),'MASTER PLAN'!$AB:$AB,'MASTER PLAN'!$J:$J,0,0)),"")</f>
        <v/>
      </c>
      <c r="GE35" s="73" t="str">
        <f t="array" ref="GE35">IFERROR(IF(XLOOKUP(CONCAT(GB35,GC35),'PROCESOS PRD'!$J:$J,'PROCESOS PRD'!$H:$H,0,0)=0,"",XLOOKUP(CONCAT(GB35,GC35),'PROCESOS PRD'!$J:$J,'PROCESOS PRD'!$H:$H,0,0)),"")</f>
        <v/>
      </c>
      <c r="GF35" s="71"/>
      <c r="GG35" s="32"/>
      <c r="GH35" s="72" t="str">
        <f t="array" ref="GH35">IFERROR(IF(XLOOKUP(CONCAT(GF35,GG35),'MASTER PLAN'!$AB:$AB,'MASTER PLAN'!$J:$J,0,0)=0,"",XLOOKUP(CONCAT(GF35,GG35),'MASTER PLAN'!$AB:$AB,'MASTER PLAN'!$J:$J,0,0)),"")</f>
        <v/>
      </c>
      <c r="GI35" s="73" t="str">
        <f t="array" ref="GI35">IFERROR(IF(XLOOKUP(CONCAT(GF35,GG35),'PROCESOS PRD'!$J:$J,'PROCESOS PRD'!$H:$H,0,0)=0,"",XLOOKUP(CONCAT(GF35,GG35),'PROCESOS PRD'!$J:$J,'PROCESOS PRD'!$H:$H,0,0)),"")</f>
        <v/>
      </c>
      <c r="GJ35" s="71"/>
      <c r="GK35" s="32"/>
      <c r="GL35" s="72" t="str">
        <f t="array" ref="GL35">IFERROR(IF(XLOOKUP(CONCAT(GJ35,GK35),'MASTER PLAN'!$AB:$AB,'MASTER PLAN'!$J:$J,0,0)=0,"",XLOOKUP(CONCAT(GJ35,GK35),'MASTER PLAN'!$AB:$AB,'MASTER PLAN'!$J:$J,0,0)),"")</f>
        <v/>
      </c>
      <c r="GM35" s="73" t="str">
        <f t="array" ref="GM35">IFERROR(IF(XLOOKUP(CONCAT(GJ35,GK35),'PROCESOS PRD'!$J:$J,'PROCESOS PRD'!$H:$H,0,0)=0,"",XLOOKUP(CONCAT(GJ35,GK35),'PROCESOS PRD'!$J:$J,'PROCESOS PRD'!$H:$H,0,0)),"")</f>
        <v/>
      </c>
      <c r="GN35" s="70"/>
      <c r="GO35" s="71"/>
      <c r="GP35" s="32"/>
      <c r="GQ35" s="72" t="str">
        <f t="array" ref="GQ35">IFERROR(IF(XLOOKUP(CONCAT(GO35,GP35),'MASTER PLAN'!$AB:$AB,'MASTER PLAN'!$J:$J,0,0)=0,"",XLOOKUP(CONCAT(GO35,GP35),'MASTER PLAN'!$AB:$AB,'MASTER PLAN'!$J:$J,0,0)),"")</f>
        <v/>
      </c>
      <c r="GR35" s="73" t="str">
        <f t="array" ref="GR35">IFERROR(IF(XLOOKUP(CONCAT(GO35,GP35),'PROCESOS PRD'!$J:$J,'PROCESOS PRD'!$H:$H,0,0)=0,"",XLOOKUP(CONCAT(GO35,GP35),'PROCESOS PRD'!$J:$J,'PROCESOS PRD'!$H:$H,0,0)),"")</f>
        <v/>
      </c>
      <c r="GS35" s="71"/>
      <c r="GT35" s="32"/>
      <c r="GU35" s="72" t="str">
        <f t="array" ref="GU35">IFERROR(IF(XLOOKUP(CONCAT(GS35,GT35),'MASTER PLAN'!$AB:$AB,'MASTER PLAN'!$J:$J,0,0)=0,"",XLOOKUP(CONCAT(GS35,GT35),'MASTER PLAN'!$AB:$AB,'MASTER PLAN'!$J:$J,0,0)),"")</f>
        <v/>
      </c>
      <c r="GV35" s="73" t="str">
        <f t="array" ref="GV35">IFERROR(IF(XLOOKUP(CONCAT(GS35,GT35),'PROCESOS PRD'!$J:$J,'PROCESOS PRD'!$H:$H,0,0)=0,"",XLOOKUP(CONCAT(GS35,GT35),'PROCESOS PRD'!$J:$J,'PROCESOS PRD'!$H:$H,0,0)),"")</f>
        <v/>
      </c>
      <c r="GW35" s="71"/>
      <c r="GX35" s="32"/>
      <c r="GY35" s="72" t="str">
        <f t="array" ref="GY35">IFERROR(IF(XLOOKUP(CONCAT(GW35,GX35),'MASTER PLAN'!$AB:$AB,'MASTER PLAN'!$J:$J,0,0)=0,"",XLOOKUP(CONCAT(GW35,GX35),'MASTER PLAN'!$AB:$AB,'MASTER PLAN'!$J:$J,0,0)),"")</f>
        <v/>
      </c>
      <c r="GZ35" s="73" t="str">
        <f t="array" ref="GZ35">IFERROR(IF(XLOOKUP(CONCAT(GW35,GX35),'PROCESOS PRD'!$J:$J,'PROCESOS PRD'!$H:$H,0,0)=0,"",XLOOKUP(CONCAT(GW35,GX35),'PROCESOS PRD'!$J:$J,'PROCESOS PRD'!$H:$H,0,0)),"")</f>
        <v/>
      </c>
      <c r="HA35" s="71"/>
      <c r="HB35" s="32"/>
      <c r="HC35" s="72" t="str">
        <f t="array" ref="HC35">IFERROR(IF(XLOOKUP(CONCAT(HA35,HB35),'MASTER PLAN'!$AB:$AB,'MASTER PLAN'!$J:$J,0,0)=0,"",XLOOKUP(CONCAT(HA35,HB35),'MASTER PLAN'!$AB:$AB,'MASTER PLAN'!$J:$J,0,0)),"")</f>
        <v/>
      </c>
      <c r="HD35" s="73" t="str">
        <f t="array" ref="HD35">IFERROR(IF(XLOOKUP(CONCAT(HA35,HB35),'PROCESOS PRD'!$J:$J,'PROCESOS PRD'!$H:$H,0,0)=0,"",XLOOKUP(CONCAT(HA35,HB35),'PROCESOS PRD'!$J:$J,'PROCESOS PRD'!$H:$H,0,0)),"")</f>
        <v/>
      </c>
      <c r="HE35" s="71"/>
      <c r="HF35" s="32"/>
      <c r="HG35" s="72" t="str">
        <f t="array" ref="HG35">IFERROR(IF(XLOOKUP(CONCAT(HE35,HF35),'MASTER PLAN'!$AB:$AB,'MASTER PLAN'!$J:$J,0,0)=0,"",XLOOKUP(CONCAT(HE35,HF35),'MASTER PLAN'!$AB:$AB,'MASTER PLAN'!$J:$J,0,0)),"")</f>
        <v/>
      </c>
      <c r="HH35" s="73" t="str">
        <f t="array" ref="HH35">IFERROR(IF(XLOOKUP(CONCAT(HE35,HF35),'PROCESOS PRD'!$J:$J,'PROCESOS PRD'!$H:$H,0,0)=0,"",XLOOKUP(CONCAT(HE35,HF35),'PROCESOS PRD'!$J:$J,'PROCESOS PRD'!$H:$H,0,0)),"")</f>
        <v/>
      </c>
      <c r="HI35" s="71"/>
      <c r="HJ35" s="32"/>
      <c r="HK35" s="72" t="str">
        <f t="array" ref="HK35">IFERROR(IF(XLOOKUP(CONCAT(HI35,HJ35),'MASTER PLAN'!$AB:$AB,'MASTER PLAN'!$J:$J,0,0)=0,"",XLOOKUP(CONCAT(HI35,HJ35),'MASTER PLAN'!$AB:$AB,'MASTER PLAN'!$J:$J,0,0)),"")</f>
        <v/>
      </c>
      <c r="HL35" s="73" t="str">
        <f t="array" ref="HL35">IFERROR(IF(XLOOKUP(CONCAT(HI35,HJ35),'PROCESOS PRD'!$J:$J,'PROCESOS PRD'!$H:$H,0,0)=0,"",XLOOKUP(CONCAT(HI35,HJ35),'PROCESOS PRD'!$J:$J,'PROCESOS PRD'!$H:$H,0,0)),"")</f>
        <v/>
      </c>
      <c r="HM35" s="70"/>
      <c r="HN35" s="71"/>
      <c r="HO35" s="32"/>
      <c r="HP35" s="72" t="str">
        <f t="array" ref="HP35">IFERROR(IF(XLOOKUP(CONCAT(HN35,HO35),'MASTER PLAN'!$AB:$AB,'MASTER PLAN'!$J:$J,0,0)=0,"",XLOOKUP(CONCAT(HN35,HO35),'MASTER PLAN'!$AB:$AB,'MASTER PLAN'!$J:$J,0,0)),"")</f>
        <v/>
      </c>
      <c r="HQ35" s="73" t="str">
        <f t="array" ref="HQ35">IFERROR(IF(XLOOKUP(CONCAT(HN35,HO35),'PROCESOS PRD'!$J:$J,'PROCESOS PRD'!$H:$H,0,0)=0,"",XLOOKUP(CONCAT(HN35,HO35),'PROCESOS PRD'!$J:$J,'PROCESOS PRD'!$H:$H,0,0)),"")</f>
        <v/>
      </c>
      <c r="HR35" s="71"/>
      <c r="HS35" s="32"/>
      <c r="HT35" s="72" t="str">
        <f t="array" ref="HT35">IFERROR(IF(XLOOKUP(CONCAT(HR35,HS35),'MASTER PLAN'!$AB:$AB,'MASTER PLAN'!$J:$J,0,0)=0,"",XLOOKUP(CONCAT(HR35,HS35),'MASTER PLAN'!$AB:$AB,'MASTER PLAN'!$J:$J,0,0)),"")</f>
        <v/>
      </c>
      <c r="HU35" s="73" t="str">
        <f t="array" ref="HU35">IFERROR(IF(XLOOKUP(CONCAT(HR35,HS35),'PROCESOS PRD'!$J:$J,'PROCESOS PRD'!$H:$H,0,0)=0,"",XLOOKUP(CONCAT(HR35,HS35),'PROCESOS PRD'!$J:$J,'PROCESOS PRD'!$H:$H,0,0)),"")</f>
        <v/>
      </c>
      <c r="HV35" s="71"/>
      <c r="HW35" s="32"/>
      <c r="HX35" s="72" t="str">
        <f t="array" ref="HX35">IFERROR(IF(XLOOKUP(CONCAT(HV35,HW35),'MASTER PLAN'!$AB:$AB,'MASTER PLAN'!$J:$J,0,0)=0,"",XLOOKUP(CONCAT(HV35,HW35),'MASTER PLAN'!$AB:$AB,'MASTER PLAN'!$J:$J,0,0)),"")</f>
        <v/>
      </c>
      <c r="HY35" s="73" t="str">
        <f t="array" ref="HY35">IFERROR(IF(XLOOKUP(CONCAT(HV35,HW35),'PROCESOS PRD'!$J:$J,'PROCESOS PRD'!$H:$H,0,0)=0,"",XLOOKUP(CONCAT(HV35,HW35),'PROCESOS PRD'!$J:$J,'PROCESOS PRD'!$H:$H,0,0)),"")</f>
        <v/>
      </c>
      <c r="HZ35" s="71"/>
      <c r="IA35" s="32"/>
      <c r="IB35" s="72" t="str">
        <f t="array" ref="IB35">IFERROR(IF(XLOOKUP(CONCAT(HZ35,IA35),'MASTER PLAN'!$AB:$AB,'MASTER PLAN'!$J:$J,0,0)=0,"",XLOOKUP(CONCAT(HZ35,IA35),'MASTER PLAN'!$AB:$AB,'MASTER PLAN'!$J:$J,0,0)),"")</f>
        <v/>
      </c>
      <c r="IC35" s="73" t="str">
        <f t="array" ref="IC35">IFERROR(IF(XLOOKUP(CONCAT(HZ35,IA35),'PROCESOS PRD'!$J:$J,'PROCESOS PRD'!$H:$H,0,0)=0,"",XLOOKUP(CONCAT(HZ35,IA35),'PROCESOS PRD'!$J:$J,'PROCESOS PRD'!$H:$H,0,0)),"")</f>
        <v/>
      </c>
      <c r="ID35" s="71"/>
      <c r="IE35" s="32"/>
      <c r="IF35" s="72" t="str">
        <f t="array" ref="IF35">IFERROR(IF(XLOOKUP(CONCAT(ID35,IE35),'MASTER PLAN'!$AB:$AB,'MASTER PLAN'!$J:$J,0,0)=0,"",XLOOKUP(CONCAT(ID35,IE35),'MASTER PLAN'!$AB:$AB,'MASTER PLAN'!$J:$J,0,0)),"")</f>
        <v/>
      </c>
      <c r="IG35" s="73" t="str">
        <f t="array" ref="IG35">IFERROR(IF(XLOOKUP(CONCAT(ID35,IE35),'PROCESOS PRD'!$J:$J,'PROCESOS PRD'!$H:$H,0,0)=0,"",XLOOKUP(CONCAT(ID35,IE35),'PROCESOS PRD'!$J:$J,'PROCESOS PRD'!$H:$H,0,0)),"")</f>
        <v/>
      </c>
      <c r="IH35" s="71"/>
      <c r="II35" s="32"/>
      <c r="IJ35" s="72" t="str">
        <f t="array" ref="IJ35">IFERROR(IF(XLOOKUP(CONCAT(IH35,II35),'MASTER PLAN'!$AB:$AB,'MASTER PLAN'!$J:$J,0,0)=0,"",XLOOKUP(CONCAT(IH35,II35),'MASTER PLAN'!$AB:$AB,'MASTER PLAN'!$J:$J,0,0)),"")</f>
        <v/>
      </c>
      <c r="IK35" s="73" t="str">
        <f t="array" ref="IK35">IFERROR(IF(XLOOKUP(CONCAT(IH35,II35),'PROCESOS PRD'!$J:$J,'PROCESOS PRD'!$H:$H,0,0)=0,"",XLOOKUP(CONCAT(IH35,II35),'PROCESOS PRD'!$J:$J,'PROCESOS PRD'!$H:$H,0,0)),"")</f>
        <v/>
      </c>
      <c r="IL35" s="70"/>
      <c r="IM35" s="71"/>
      <c r="IN35" s="32"/>
      <c r="IO35" s="72" t="str">
        <f t="array" ref="IO35">IFERROR(IF(XLOOKUP(CONCAT(IM35,IN35),'MASTER PLAN'!$AB:$AB,'MASTER PLAN'!$J:$J,0,0)=0,"",XLOOKUP(CONCAT(IM35,IN35),'MASTER PLAN'!$AB:$AB,'MASTER PLAN'!$J:$J,0,0)),"")</f>
        <v/>
      </c>
      <c r="IP35" s="73" t="str">
        <f t="array" ref="IP35">IFERROR(IF(XLOOKUP(CONCAT(IM35,IN35),'PROCESOS PRD'!$J:$J,'PROCESOS PRD'!$H:$H,0,0)=0,"",XLOOKUP(CONCAT(IM35,IN35),'PROCESOS PRD'!$J:$J,'PROCESOS PRD'!$H:$H,0,0)),"")</f>
        <v/>
      </c>
      <c r="IQ35" s="71"/>
      <c r="IR35" s="32"/>
      <c r="IS35" s="72" t="str">
        <f t="array" ref="IS35">IFERROR(IF(XLOOKUP(CONCAT(IQ35,IR35),'MASTER PLAN'!$AB:$AB,'MASTER PLAN'!$J:$J,0,0)=0,"",XLOOKUP(CONCAT(IQ35,IR35),'MASTER PLAN'!$AB:$AB,'MASTER PLAN'!$J:$J,0,0)),"")</f>
        <v/>
      </c>
      <c r="IT35" s="73" t="str">
        <f t="array" ref="IT35">IFERROR(IF(XLOOKUP(CONCAT(IQ35,IR35),'PROCESOS PRD'!$J:$J,'PROCESOS PRD'!$H:$H,0,0)=0,"",XLOOKUP(CONCAT(IQ35,IR35),'PROCESOS PRD'!$J:$J,'PROCESOS PRD'!$H:$H,0,0)),"")</f>
        <v/>
      </c>
      <c r="IU35" s="71"/>
      <c r="IV35" s="32"/>
      <c r="IW35" s="72" t="str">
        <f t="array" ref="IW35">IFERROR(IF(XLOOKUP(CONCAT(IU35,IV35),'MASTER PLAN'!$AB:$AB,'MASTER PLAN'!$J:$J,0,0)=0,"",XLOOKUP(CONCAT(IU35,IV35),'MASTER PLAN'!$AB:$AB,'MASTER PLAN'!$J:$J,0,0)),"")</f>
        <v/>
      </c>
      <c r="IX35" s="73" t="str">
        <f t="array" ref="IX35">IFERROR(IF(XLOOKUP(CONCAT(IU35,IV35),'PROCESOS PRD'!$J:$J,'PROCESOS PRD'!$H:$H,0,0)=0,"",XLOOKUP(CONCAT(IU35,IV35),'PROCESOS PRD'!$J:$J,'PROCESOS PRD'!$H:$H,0,0)),"")</f>
        <v/>
      </c>
      <c r="IY35" s="71"/>
      <c r="IZ35" s="32"/>
      <c r="JA35" s="72" t="str">
        <f t="array" ref="JA35">IFERROR(IF(XLOOKUP(CONCAT(IY35,IZ35),'MASTER PLAN'!$AB:$AB,'MASTER PLAN'!$J:$J,0,0)=0,"",XLOOKUP(CONCAT(IY35,IZ35),'MASTER PLAN'!$AB:$AB,'MASTER PLAN'!$J:$J,0,0)),"")</f>
        <v/>
      </c>
      <c r="JB35" s="73" t="str">
        <f t="array" ref="JB35">IFERROR(IF(XLOOKUP(CONCAT(IY35,IZ35),'PROCESOS PRD'!$J:$J,'PROCESOS PRD'!$H:$H,0,0)=0,"",XLOOKUP(CONCAT(IY35,IZ35),'PROCESOS PRD'!$J:$J,'PROCESOS PRD'!$H:$H,0,0)),"")</f>
        <v/>
      </c>
      <c r="JC35" s="71"/>
      <c r="JD35" s="32"/>
      <c r="JE35" s="72" t="str">
        <f t="array" ref="JE35">IFERROR(IF(XLOOKUP(CONCAT(JC35,JD35),'MASTER PLAN'!$AB:$AB,'MASTER PLAN'!$J:$J,0,0)=0,"",XLOOKUP(CONCAT(JC35,JD35),'MASTER PLAN'!$AB:$AB,'MASTER PLAN'!$J:$J,0,0)),"")</f>
        <v/>
      </c>
      <c r="JF35" s="73" t="str">
        <f t="array" ref="JF35">IFERROR(IF(XLOOKUP(CONCAT(JC35,JD35),'PROCESOS PRD'!$J:$J,'PROCESOS PRD'!$H:$H,0,0)=0,"",XLOOKUP(CONCAT(JC35,JD35),'PROCESOS PRD'!$J:$J,'PROCESOS PRD'!$H:$H,0,0)),"")</f>
        <v/>
      </c>
      <c r="JG35" s="71"/>
      <c r="JH35" s="32"/>
      <c r="JI35" s="72" t="str">
        <f t="array" ref="JI35">IFERROR(IF(XLOOKUP(CONCAT(JG35,JH35),'MASTER PLAN'!$AB:$AB,'MASTER PLAN'!$J:$J,0,0)=0,"",XLOOKUP(CONCAT(JG35,JH35),'MASTER PLAN'!$AB:$AB,'MASTER PLAN'!$J:$J,0,0)),"")</f>
        <v/>
      </c>
      <c r="JJ35" s="73" t="str">
        <f t="array" ref="JJ35">IFERROR(IF(XLOOKUP(CONCAT(JG35,JH35),'PROCESOS PRD'!$J:$J,'PROCESOS PRD'!$H:$H,0,0)=0,"",XLOOKUP(CONCAT(JG35,JH35),'PROCESOS PRD'!$J:$J,'PROCESOS PRD'!$H:$H,0,0)),"")</f>
        <v/>
      </c>
      <c r="JK35" s="70"/>
      <c r="JL35" s="71"/>
      <c r="JM35" s="32"/>
      <c r="JN35" s="72" t="str">
        <f t="array" ref="JN35">IFERROR(IF(XLOOKUP(CONCAT(JL35,JM35),'MASTER PLAN'!$AB:$AB,'MASTER PLAN'!$J:$J,0,0)=0,"",XLOOKUP(CONCAT(JL35,JM35),'MASTER PLAN'!$AB:$AB,'MASTER PLAN'!$J:$J,0,0)),"")</f>
        <v/>
      </c>
      <c r="JO35" s="73" t="str">
        <f t="array" ref="JO35">IFERROR(IF(XLOOKUP(CONCAT(JL35,JM35),'PROCESOS PRD'!$J:$J,'PROCESOS PRD'!$H:$H,0,0)=0,"",XLOOKUP(CONCAT(JL35,JM35),'PROCESOS PRD'!$J:$J,'PROCESOS PRD'!$H:$H,0,0)),"")</f>
        <v/>
      </c>
      <c r="JP35" s="71"/>
      <c r="JQ35" s="32"/>
      <c r="JR35" s="72" t="str">
        <f t="array" ref="JR35">IFERROR(IF(XLOOKUP(CONCAT(JP35,JQ35),'MASTER PLAN'!$AB:$AB,'MASTER PLAN'!$J:$J,0,0)=0,"",XLOOKUP(CONCAT(JP35,JQ35),'MASTER PLAN'!$AB:$AB,'MASTER PLAN'!$J:$J,0,0)),"")</f>
        <v/>
      </c>
      <c r="JS35" s="73" t="str">
        <f t="array" ref="JS35">IFERROR(IF(XLOOKUP(CONCAT(JP35,JQ35),'PROCESOS PRD'!$J:$J,'PROCESOS PRD'!$H:$H,0,0)=0,"",XLOOKUP(CONCAT(JP35,JQ35),'PROCESOS PRD'!$J:$J,'PROCESOS PRD'!$H:$H,0,0)),"")</f>
        <v/>
      </c>
      <c r="JT35" s="71"/>
      <c r="JU35" s="32"/>
      <c r="JV35" s="72" t="str">
        <f t="array" ref="JV35">IFERROR(IF(XLOOKUP(CONCAT(JT35,JU35),'MASTER PLAN'!$AB:$AB,'MASTER PLAN'!$J:$J,0,0)=0,"",XLOOKUP(CONCAT(JT35,JU35),'MASTER PLAN'!$AB:$AB,'MASTER PLAN'!$J:$J,0,0)),"")</f>
        <v/>
      </c>
      <c r="JW35" s="73" t="str">
        <f t="array" ref="JW35">IFERROR(IF(XLOOKUP(CONCAT(JT35,JU35),'PROCESOS PRD'!$J:$J,'PROCESOS PRD'!$H:$H,0,0)=0,"",XLOOKUP(CONCAT(JT35,JU35),'PROCESOS PRD'!$J:$J,'PROCESOS PRD'!$H:$H,0,0)),"")</f>
        <v/>
      </c>
      <c r="JX35" s="71"/>
      <c r="JY35" s="32"/>
      <c r="JZ35" s="72" t="str">
        <f t="array" ref="JZ35">IFERROR(IF(XLOOKUP(CONCAT(JX35,JY35),'MASTER PLAN'!$AB:$AB,'MASTER PLAN'!$J:$J,0,0)=0,"",XLOOKUP(CONCAT(JX35,JY35),'MASTER PLAN'!$AB:$AB,'MASTER PLAN'!$J:$J,0,0)),"")</f>
        <v/>
      </c>
      <c r="KA35" s="73" t="str">
        <f t="array" ref="KA35">IFERROR(IF(XLOOKUP(CONCAT(JX35,JY35),'PROCESOS PRD'!$J:$J,'PROCESOS PRD'!$H:$H,0,0)=0,"",XLOOKUP(CONCAT(JX35,JY35),'PROCESOS PRD'!$J:$J,'PROCESOS PRD'!$H:$H,0,0)),"")</f>
        <v/>
      </c>
      <c r="KB35" s="71"/>
      <c r="KC35" s="32"/>
      <c r="KD35" s="72" t="str">
        <f t="array" ref="KD35">IFERROR(IF(XLOOKUP(CONCAT(KB35,KC35),'MASTER PLAN'!$AB:$AB,'MASTER PLAN'!$J:$J,0,0)=0,"",XLOOKUP(CONCAT(KB35,KC35),'MASTER PLAN'!$AB:$AB,'MASTER PLAN'!$J:$J,0,0)),"")</f>
        <v/>
      </c>
      <c r="KE35" s="73" t="str">
        <f t="array" ref="KE35">IFERROR(IF(XLOOKUP(CONCAT(KB35,KC35),'PROCESOS PRD'!$J:$J,'PROCESOS PRD'!$H:$H,0,0)=0,"",XLOOKUP(CONCAT(KB35,KC35),'PROCESOS PRD'!$J:$J,'PROCESOS PRD'!$H:$H,0,0)),"")</f>
        <v/>
      </c>
      <c r="KF35" s="71"/>
      <c r="KG35" s="32"/>
      <c r="KH35" s="72" t="str">
        <f t="array" ref="KH35">IFERROR(IF(XLOOKUP(CONCAT(KF35,KG35),'MASTER PLAN'!$AB:$AB,'MASTER PLAN'!$J:$J,0,0)=0,"",XLOOKUP(CONCAT(KF35,KG35),'MASTER PLAN'!$AB:$AB,'MASTER PLAN'!$J:$J,0,0)),"")</f>
        <v/>
      </c>
      <c r="KI35" s="73" t="str">
        <f t="array" ref="KI35">IFERROR(IF(XLOOKUP(CONCAT(KF35,KG35),'PROCESOS PRD'!$J:$J,'PROCESOS PRD'!$H:$H,0,0)=0,"",XLOOKUP(CONCAT(KF35,KG35),'PROCESOS PRD'!$J:$J,'PROCESOS PRD'!$H:$H,0,0)),"")</f>
        <v/>
      </c>
      <c r="KJ35" s="70"/>
      <c r="KK35" s="70"/>
      <c r="KL35" s="70"/>
      <c r="KM35" s="70"/>
      <c r="KN35" s="70"/>
      <c r="KO35" s="70"/>
      <c r="KP35" s="70"/>
      <c r="KQ35" s="70"/>
      <c r="KR35" s="70"/>
      <c r="KS35" s="70"/>
      <c r="KT35" s="70"/>
      <c r="KU35" s="70"/>
      <c r="KV35" s="70"/>
      <c r="KW35" s="70"/>
      <c r="KX35" s="70"/>
      <c r="KY35" s="70"/>
      <c r="KZ35" s="70"/>
      <c r="LA35" s="70"/>
      <c r="LB35" s="70"/>
      <c r="LC35" s="70"/>
    </row>
    <row r="36" ht="15.75" customHeight="1">
      <c r="A36" s="42"/>
      <c r="B36" s="75"/>
      <c r="C36" s="76"/>
      <c r="D36" s="70"/>
      <c r="E36" s="77"/>
      <c r="F36" s="78"/>
      <c r="G36" s="79" t="str">
        <f t="array" ref="G36">IFERROR(IF(XLOOKUP(CONCAT(E36,F36),'MASTER PLAN'!$AB:$AB,'MASTER PLAN'!$J:$J,0,0)=0,"",XLOOKUP(CONCAT(E36,F36),'MASTER PLAN'!$AB:$AB,'MASTER PLAN'!$J:$J,0,0)),"")</f>
        <v/>
      </c>
      <c r="H36" s="80" t="str">
        <f t="array" ref="H36">IFERROR(IF(XLOOKUP(CONCAT(E36,F36),'PROCESOS PRD'!$J:$J,'PROCESOS PRD'!$H:$H,0,0)=0,"",XLOOKUP(CONCAT(E36,F36),'PROCESOS PRD'!$J:$J,'PROCESOS PRD'!$H:$H,0,0)),"")</f>
        <v/>
      </c>
      <c r="I36" s="77"/>
      <c r="J36" s="78"/>
      <c r="K36" s="79" t="str">
        <f t="array" ref="K36">IFERROR(IF(XLOOKUP(CONCAT(I36,J36),'MASTER PLAN'!$AB:$AB,'MASTER PLAN'!$J:$J,0,0)=0,"",XLOOKUP(CONCAT(I36,J36),'MASTER PLAN'!$AB:$AB,'MASTER PLAN'!$J:$J,0,0)),"")</f>
        <v/>
      </c>
      <c r="L36" s="80" t="str">
        <f t="array" ref="L36">IFERROR(IF(XLOOKUP(CONCAT(I36,J36),'PROCESOS PRD'!$J:$J,'PROCESOS PRD'!$H:$H,0,0)=0,"",XLOOKUP(CONCAT(I36,J36),'PROCESOS PRD'!$J:$J,'PROCESOS PRD'!$H:$H,0,0)),"")</f>
        <v/>
      </c>
      <c r="M36" s="77"/>
      <c r="N36" s="78"/>
      <c r="O36" s="79" t="str">
        <f t="array" ref="O36">IFERROR(IF(XLOOKUP(CONCAT(M36,N36),'MASTER PLAN'!$AB:$AB,'MASTER PLAN'!$J:$J,0,0)=0,"",XLOOKUP(CONCAT(M36,N36),'MASTER PLAN'!$AB:$AB,'MASTER PLAN'!$J:$J,0,0)),"")</f>
        <v/>
      </c>
      <c r="P36" s="80" t="str">
        <f t="array" ref="P36">IFERROR(IF(XLOOKUP(CONCAT(M36,N36),'PROCESOS PRD'!$J:$J,'PROCESOS PRD'!$H:$H,0,0)=0,"",XLOOKUP(CONCAT(M36,N36),'PROCESOS PRD'!$J:$J,'PROCESOS PRD'!$H:$H,0,0)),"")</f>
        <v/>
      </c>
      <c r="Q36" s="77"/>
      <c r="R36" s="78"/>
      <c r="S36" s="79" t="str">
        <f t="array" ref="S36">IFERROR(IF(XLOOKUP(CONCAT(Q36,R36),'MASTER PLAN'!$AB:$AB,'MASTER PLAN'!$J:$J,0,0)=0,"",XLOOKUP(CONCAT(Q36,R36),'MASTER PLAN'!$AB:$AB,'MASTER PLAN'!$J:$J,0,0)),"")</f>
        <v/>
      </c>
      <c r="T36" s="80" t="str">
        <f t="array" ref="T36">IFERROR(IF(XLOOKUP(CONCAT(Q36,R36),'PROCESOS PRD'!$J:$J,'PROCESOS PRD'!$H:$H,0,0)=0,"",XLOOKUP(CONCAT(Q36,R36),'PROCESOS PRD'!$J:$J,'PROCESOS PRD'!$H:$H,0,0)),"")</f>
        <v/>
      </c>
      <c r="U36" s="70"/>
      <c r="V36" s="77"/>
      <c r="W36" s="78"/>
      <c r="X36" s="79" t="str">
        <f t="array" ref="X36">IFERROR(IF(XLOOKUP(CONCAT(V36,W36),'MASTER PLAN'!$AB:$AB,'MASTER PLAN'!$J:$J,0,0)=0,"",XLOOKUP(CONCAT(V36,W36),'MASTER PLAN'!$AB:$AB,'MASTER PLAN'!$J:$J,0,0)),"")</f>
        <v/>
      </c>
      <c r="Y36" s="80" t="str">
        <f t="array" ref="Y36">IFERROR(IF(XLOOKUP(CONCAT(V36,W36),'PROCESOS PRD'!$J:$J,'PROCESOS PRD'!$H:$H,0,0)=0,"",XLOOKUP(CONCAT(V36,W36),'PROCESOS PRD'!$J:$J,'PROCESOS PRD'!$H:$H,0,0)),"")</f>
        <v/>
      </c>
      <c r="Z36" s="77"/>
      <c r="AA36" s="78"/>
      <c r="AB36" s="79" t="str">
        <f t="array" ref="AB36">IFERROR(IF(XLOOKUP(CONCAT(Z36,AA36),'MASTER PLAN'!$AB:$AB,'MASTER PLAN'!$J:$J,0,0)=0,"",XLOOKUP(CONCAT(Z36,AA36),'MASTER PLAN'!$AB:$AB,'MASTER PLAN'!$J:$J,0,0)),"")</f>
        <v/>
      </c>
      <c r="AC36" s="80" t="str">
        <f t="array" ref="AC36">IFERROR(IF(XLOOKUP(CONCAT(Z36,AA36),'PROCESOS PRD'!$J:$J,'PROCESOS PRD'!$H:$H,0,0)=0,"",XLOOKUP(CONCAT(Z36,AA36),'PROCESOS PRD'!$J:$J,'PROCESOS PRD'!$H:$H,0,0)),"")</f>
        <v/>
      </c>
      <c r="AD36" s="77"/>
      <c r="AE36" s="78"/>
      <c r="AF36" s="79" t="str">
        <f t="array" ref="AF36">IFERROR(IF(XLOOKUP(CONCAT(AD36,AE36),'MASTER PLAN'!$AB:$AB,'MASTER PLAN'!$J:$J,0,0)=0,"",XLOOKUP(CONCAT(AD36,AE36),'MASTER PLAN'!$AB:$AB,'MASTER PLAN'!$J:$J,0,0)),"")</f>
        <v/>
      </c>
      <c r="AG36" s="80" t="str">
        <f t="array" ref="AG36">IFERROR(IF(XLOOKUP(CONCAT(AD36,AE36),'PROCESOS PRD'!$J:$J,'PROCESOS PRD'!$H:$H,0,0)=0,"",XLOOKUP(CONCAT(AD36,AE36),'PROCESOS PRD'!$J:$J,'PROCESOS PRD'!$H:$H,0,0)),"")</f>
        <v/>
      </c>
      <c r="AH36" s="77"/>
      <c r="AI36" s="78"/>
      <c r="AJ36" s="79" t="str">
        <f t="array" ref="AJ36">IFERROR(IF(XLOOKUP(CONCAT(AH36,AI36),'MASTER PLAN'!$AB:$AB,'MASTER PLAN'!$J:$J,0,0)=0,"",XLOOKUP(CONCAT(AH36,AI36),'MASTER PLAN'!$AB:$AB,'MASTER PLAN'!$J:$J,0,0)),"")</f>
        <v/>
      </c>
      <c r="AK36" s="80" t="str">
        <f t="array" ref="AK36">IFERROR(IF(XLOOKUP(CONCAT(AH36,AI36),'PROCESOS PRD'!$J:$J,'PROCESOS PRD'!$H:$H,0,0)=0,"",XLOOKUP(CONCAT(AH36,AI36),'PROCESOS PRD'!$J:$J,'PROCESOS PRD'!$H:$H,0,0)),"")</f>
        <v/>
      </c>
      <c r="AL36" s="77"/>
      <c r="AM36" s="78"/>
      <c r="AN36" s="79" t="str">
        <f t="array" ref="AN36">IFERROR(IF(XLOOKUP(CONCAT(AL36,AM36),'MASTER PLAN'!$AB:$AB,'MASTER PLAN'!$J:$J,0,0)=0,"",XLOOKUP(CONCAT(AL36,AM36),'MASTER PLAN'!$AB:$AB,'MASTER PLAN'!$J:$J,0,0)),"")</f>
        <v/>
      </c>
      <c r="AO36" s="80" t="str">
        <f t="array" ref="AO36">IFERROR(IF(XLOOKUP(CONCAT(AL36,AM36),'PROCESOS PRD'!$J:$J,'PROCESOS PRD'!$H:$H,0,0)=0,"",XLOOKUP(CONCAT(AL36,AM36),'PROCESOS PRD'!$J:$J,'PROCESOS PRD'!$H:$H,0,0)),"")</f>
        <v/>
      </c>
      <c r="AP36" s="77"/>
      <c r="AQ36" s="78"/>
      <c r="AR36" s="79" t="str">
        <f t="array" ref="AR36">IFERROR(IF(XLOOKUP(CONCAT(AP36,AQ36),'MASTER PLAN'!$AB:$AB,'MASTER PLAN'!$J:$J,0,0)=0,"",XLOOKUP(CONCAT(AP36,AQ36),'MASTER PLAN'!$AB:$AB,'MASTER PLAN'!$J:$J,0,0)),"")</f>
        <v/>
      </c>
      <c r="AS36" s="80" t="str">
        <f t="array" ref="AS36">IFERROR(IF(XLOOKUP(CONCAT(AP36,AQ36),'PROCESOS PRD'!$J:$J,'PROCESOS PRD'!$H:$H,0,0)=0,"",XLOOKUP(CONCAT(AP36,AQ36),'PROCESOS PRD'!$J:$J,'PROCESOS PRD'!$H:$H,0,0)),"")</f>
        <v/>
      </c>
      <c r="AT36" s="70"/>
      <c r="AU36" s="77"/>
      <c r="AV36" s="78"/>
      <c r="AW36" s="79" t="str">
        <f t="array" ref="AW36">IFERROR(IF(XLOOKUP(CONCAT(AU36,AV36),'MASTER PLAN'!$AB:$AB,'MASTER PLAN'!$J:$J,0,0)=0,"",XLOOKUP(CONCAT(AU36,AV36),'MASTER PLAN'!$AB:$AB,'MASTER PLAN'!$J:$J,0,0)),"")</f>
        <v/>
      </c>
      <c r="AX36" s="80" t="str">
        <f t="array" ref="AX36">IFERROR(IF(XLOOKUP(CONCAT(AU36,AV36),'PROCESOS PRD'!$J:$J,'PROCESOS PRD'!$H:$H,0,0)=0,"",XLOOKUP(CONCAT(AU36,AV36),'PROCESOS PRD'!$J:$J,'PROCESOS PRD'!$H:$H,0,0)),"")</f>
        <v/>
      </c>
      <c r="AY36" s="77"/>
      <c r="AZ36" s="78"/>
      <c r="BA36" s="79" t="str">
        <f t="array" ref="BA36">IFERROR(IF(XLOOKUP(CONCAT(AY36,AZ36),'MASTER PLAN'!$AB:$AB,'MASTER PLAN'!$J:$J,0,0)=0,"",XLOOKUP(CONCAT(AY36,AZ36),'MASTER PLAN'!$AB:$AB,'MASTER PLAN'!$J:$J,0,0)),"")</f>
        <v/>
      </c>
      <c r="BB36" s="80" t="str">
        <f t="array" ref="BB36">IFERROR(IF(XLOOKUP(CONCAT(AY36,AZ36),'PROCESOS PRD'!$J:$J,'PROCESOS PRD'!$H:$H,0,0)=0,"",XLOOKUP(CONCAT(AY36,AZ36),'PROCESOS PRD'!$J:$J,'PROCESOS PRD'!$H:$H,0,0)),"")</f>
        <v/>
      </c>
      <c r="BC36" s="77"/>
      <c r="BD36" s="78"/>
      <c r="BE36" s="79" t="str">
        <f t="array" ref="BE36">IFERROR(IF(XLOOKUP(CONCAT(BC36,BD36),'MASTER PLAN'!$AB:$AB,'MASTER PLAN'!$J:$J,0,0)=0,"",XLOOKUP(CONCAT(BC36,BD36),'MASTER PLAN'!$AB:$AB,'MASTER PLAN'!$J:$J,0,0)),"")</f>
        <v/>
      </c>
      <c r="BF36" s="80" t="str">
        <f t="array" ref="BF36">IFERROR(IF(XLOOKUP(CONCAT(BC36,BD36),'PROCESOS PRD'!$J:$J,'PROCESOS PRD'!$H:$H,0,0)=0,"",XLOOKUP(CONCAT(BC36,BD36),'PROCESOS PRD'!$J:$J,'PROCESOS PRD'!$H:$H,0,0)),"")</f>
        <v/>
      </c>
      <c r="BG36" s="77"/>
      <c r="BH36" s="78"/>
      <c r="BI36" s="79" t="str">
        <f t="array" ref="BI36">IFERROR(IF(XLOOKUP(CONCAT(BG36,BH36),'MASTER PLAN'!$AB:$AB,'MASTER PLAN'!$J:$J,0,0)=0,"",XLOOKUP(CONCAT(BG36,BH36),'MASTER PLAN'!$AB:$AB,'MASTER PLAN'!$J:$J,0,0)),"")</f>
        <v/>
      </c>
      <c r="BJ36" s="80" t="str">
        <f t="array" ref="BJ36">IFERROR(IF(XLOOKUP(CONCAT(BG36,BH36),'PROCESOS PRD'!$J:$J,'PROCESOS PRD'!$H:$H,0,0)=0,"",XLOOKUP(CONCAT(BG36,BH36),'PROCESOS PRD'!$J:$J,'PROCESOS PRD'!$H:$H,0,0)),"")</f>
        <v/>
      </c>
      <c r="BK36" s="77"/>
      <c r="BL36" s="78"/>
      <c r="BM36" s="79" t="str">
        <f t="array" ref="BM36">IFERROR(IF(XLOOKUP(CONCAT(BK36,BL36),'MASTER PLAN'!$AB:$AB,'MASTER PLAN'!$J:$J,0,0)=0,"",XLOOKUP(CONCAT(BK36,BL36),'MASTER PLAN'!$AB:$AB,'MASTER PLAN'!$J:$J,0,0)),"")</f>
        <v/>
      </c>
      <c r="BN36" s="80" t="str">
        <f t="array" ref="BN36">IFERROR(IF(XLOOKUP(CONCAT(BK36,BL36),'PROCESOS PRD'!$J:$J,'PROCESOS PRD'!$H:$H,0,0)=0,"",XLOOKUP(CONCAT(BK36,BL36),'PROCESOS PRD'!$J:$J,'PROCESOS PRD'!$H:$H,0,0)),"")</f>
        <v/>
      </c>
      <c r="BO36" s="77"/>
      <c r="BP36" s="78"/>
      <c r="BQ36" s="79" t="str">
        <f t="array" ref="BQ36">IFERROR(IF(XLOOKUP(CONCAT(BO36,BP36),'MASTER PLAN'!$AB:$AB,'MASTER PLAN'!$J:$J,0,0)=0,"",XLOOKUP(CONCAT(BO36,BP36),'MASTER PLAN'!$AB:$AB,'MASTER PLAN'!$J:$J,0,0)),"")</f>
        <v/>
      </c>
      <c r="BR36" s="80" t="str">
        <f t="array" ref="BR36">IFERROR(IF(XLOOKUP(CONCAT(BO36,BP36),'PROCESOS PRD'!$J:$J,'PROCESOS PRD'!$H:$H,0,0)=0,"",XLOOKUP(CONCAT(BO36,BP36),'PROCESOS PRD'!$J:$J,'PROCESOS PRD'!$H:$H,0,0)),"")</f>
        <v/>
      </c>
      <c r="BS36" s="70"/>
      <c r="BT36" s="77"/>
      <c r="BU36" s="78"/>
      <c r="BV36" s="79" t="str">
        <f t="array" ref="BV36">IFERROR(IF(XLOOKUP(CONCAT(BT36,BU36),'MASTER PLAN'!$AB:$AB,'MASTER PLAN'!$J:$J,0,0)=0,"",XLOOKUP(CONCAT(BT36,BU36),'MASTER PLAN'!$AB:$AB,'MASTER PLAN'!$J:$J,0,0)),"")</f>
        <v/>
      </c>
      <c r="BW36" s="80" t="str">
        <f t="array" ref="BW36">IFERROR(IF(XLOOKUP(CONCAT(BT36,BU36),'PROCESOS PRD'!$J:$J,'PROCESOS PRD'!$H:$H,0,0)=0,"",XLOOKUP(CONCAT(BT36,BU36),'PROCESOS PRD'!$J:$J,'PROCESOS PRD'!$H:$H,0,0)),"")</f>
        <v/>
      </c>
      <c r="BX36" s="77"/>
      <c r="BY36" s="78"/>
      <c r="BZ36" s="79" t="str">
        <f t="array" ref="BZ36">IFERROR(IF(XLOOKUP(CONCAT(BX36,BY36),'MASTER PLAN'!$AB:$AB,'MASTER PLAN'!$J:$J,0,0)=0,"",XLOOKUP(CONCAT(BX36,BY36),'MASTER PLAN'!$AB:$AB,'MASTER PLAN'!$J:$J,0,0)),"")</f>
        <v/>
      </c>
      <c r="CA36" s="80" t="str">
        <f t="array" ref="CA36">IFERROR(IF(XLOOKUP(CONCAT(BX36,BY36),'PROCESOS PRD'!$J:$J,'PROCESOS PRD'!$H:$H,0,0)=0,"",XLOOKUP(CONCAT(BX36,BY36),'PROCESOS PRD'!$J:$J,'PROCESOS PRD'!$H:$H,0,0)),"")</f>
        <v/>
      </c>
      <c r="CB36" s="77"/>
      <c r="CC36" s="78"/>
      <c r="CD36" s="79" t="str">
        <f t="array" ref="CD36">IFERROR(IF(XLOOKUP(CONCAT(CB36,CC36),'MASTER PLAN'!$AB:$AB,'MASTER PLAN'!$J:$J,0,0)=0,"",XLOOKUP(CONCAT(CB36,CC36),'MASTER PLAN'!$AB:$AB,'MASTER PLAN'!$J:$J,0,0)),"")</f>
        <v/>
      </c>
      <c r="CE36" s="80" t="str">
        <f t="array" ref="CE36">IFERROR(IF(XLOOKUP(CONCAT(CB36,CC36),'PROCESOS PRD'!$J:$J,'PROCESOS PRD'!$H:$H,0,0)=0,"",XLOOKUP(CONCAT(CB36,CC36),'PROCESOS PRD'!$J:$J,'PROCESOS PRD'!$H:$H,0,0)),"")</f>
        <v/>
      </c>
      <c r="CF36" s="77"/>
      <c r="CG36" s="78"/>
      <c r="CH36" s="79" t="str">
        <f t="array" ref="CH36">IFERROR(IF(XLOOKUP(CONCAT(CF36,CG36),'MASTER PLAN'!$AB:$AB,'MASTER PLAN'!$J:$J,0,0)=0,"",XLOOKUP(CONCAT(CF36,CG36),'MASTER PLAN'!$AB:$AB,'MASTER PLAN'!$J:$J,0,0)),"")</f>
        <v/>
      </c>
      <c r="CI36" s="80" t="str">
        <f t="array" ref="CI36">IFERROR(IF(XLOOKUP(CONCAT(CF36,CG36),'PROCESOS PRD'!$J:$J,'PROCESOS PRD'!$H:$H,0,0)=0,"",XLOOKUP(CONCAT(CF36,CG36),'PROCESOS PRD'!$J:$J,'PROCESOS PRD'!$H:$H,0,0)),"")</f>
        <v/>
      </c>
      <c r="CJ36" s="77"/>
      <c r="CK36" s="78"/>
      <c r="CL36" s="79" t="str">
        <f t="array" ref="CL36">IFERROR(IF(XLOOKUP(CONCAT(CJ36,CK36),'MASTER PLAN'!$AB:$AB,'MASTER PLAN'!$J:$J,0,0)=0,"",XLOOKUP(CONCAT(CJ36,CK36),'MASTER PLAN'!$AB:$AB,'MASTER PLAN'!$J:$J,0,0)),"")</f>
        <v/>
      </c>
      <c r="CM36" s="80" t="str">
        <f t="array" ref="CM36">IFERROR(IF(XLOOKUP(CONCAT(CJ36,CK36),'PROCESOS PRD'!$J:$J,'PROCESOS PRD'!$H:$H,0,0)=0,"",XLOOKUP(CONCAT(CJ36,CK36),'PROCESOS PRD'!$J:$J,'PROCESOS PRD'!$H:$H,0,0)),"")</f>
        <v/>
      </c>
      <c r="CN36" s="77"/>
      <c r="CO36" s="78"/>
      <c r="CP36" s="79" t="str">
        <f t="array" ref="CP36">IFERROR(IF(XLOOKUP(CONCAT(CN36,CO36),'MASTER PLAN'!$AB:$AB,'MASTER PLAN'!$J:$J,0,0)=0,"",XLOOKUP(CONCAT(CN36,CO36),'MASTER PLAN'!$AB:$AB,'MASTER PLAN'!$J:$J,0,0)),"")</f>
        <v/>
      </c>
      <c r="CQ36" s="80" t="str">
        <f t="array" ref="CQ36">IFERROR(IF(XLOOKUP(CONCAT(CN36,CO36),'PROCESOS PRD'!$J:$J,'PROCESOS PRD'!$H:$H,0,0)=0,"",XLOOKUP(CONCAT(CN36,CO36),'PROCESOS PRD'!$J:$J,'PROCESOS PRD'!$H:$H,0,0)),"")</f>
        <v/>
      </c>
      <c r="CR36" s="70"/>
      <c r="CS36" s="77"/>
      <c r="CT36" s="78"/>
      <c r="CU36" s="79" t="str">
        <f t="array" ref="CU36">IFERROR(IF(XLOOKUP(CONCAT(CS36,CT36),'MASTER PLAN'!$AB:$AB,'MASTER PLAN'!$J:$J,0,0)=0,"",XLOOKUP(CONCAT(CS36,CT36),'MASTER PLAN'!$AB:$AB,'MASTER PLAN'!$J:$J,0,0)),"")</f>
        <v/>
      </c>
      <c r="CV36" s="80" t="str">
        <f t="array" ref="CV36">IFERROR(IF(XLOOKUP(CONCAT(CS36,CT36),'PROCESOS PRD'!$J:$J,'PROCESOS PRD'!$H:$H,0,0)=0,"",XLOOKUP(CONCAT(CS36,CT36),'PROCESOS PRD'!$J:$J,'PROCESOS PRD'!$H:$H,0,0)),"")</f>
        <v/>
      </c>
      <c r="CW36" s="77"/>
      <c r="CX36" s="78"/>
      <c r="CY36" s="79" t="str">
        <f t="array" ref="CY36">IFERROR(IF(XLOOKUP(CONCAT(CW36,CX36),'MASTER PLAN'!$AB:$AB,'MASTER PLAN'!$J:$J,0,0)=0,"",XLOOKUP(CONCAT(CW36,CX36),'MASTER PLAN'!$AB:$AB,'MASTER PLAN'!$J:$J,0,0)),"")</f>
        <v/>
      </c>
      <c r="CZ36" s="80" t="str">
        <f t="array" ref="CZ36">IFERROR(IF(XLOOKUP(CONCAT(CW36,CX36),'PROCESOS PRD'!$J:$J,'PROCESOS PRD'!$H:$H,0,0)=0,"",XLOOKUP(CONCAT(CW36,CX36),'PROCESOS PRD'!$J:$J,'PROCESOS PRD'!$H:$H,0,0)),"")</f>
        <v/>
      </c>
      <c r="DA36" s="77"/>
      <c r="DB36" s="78"/>
      <c r="DC36" s="79" t="str">
        <f t="array" ref="DC36">IFERROR(IF(XLOOKUP(CONCAT(DA36,DB36),'MASTER PLAN'!$AB:$AB,'MASTER PLAN'!$J:$J,0,0)=0,"",XLOOKUP(CONCAT(DA36,DB36),'MASTER PLAN'!$AB:$AB,'MASTER PLAN'!$J:$J,0,0)),"")</f>
        <v/>
      </c>
      <c r="DD36" s="80" t="str">
        <f t="array" ref="DD36">IFERROR(IF(XLOOKUP(CONCAT(DA36,DB36),'PROCESOS PRD'!$J:$J,'PROCESOS PRD'!$H:$H,0,0)=0,"",XLOOKUP(CONCAT(DA36,DB36),'PROCESOS PRD'!$J:$J,'PROCESOS PRD'!$H:$H,0,0)),"")</f>
        <v/>
      </c>
      <c r="DE36" s="77"/>
      <c r="DF36" s="78"/>
      <c r="DG36" s="79" t="str">
        <f t="array" ref="DG36">IFERROR(IF(XLOOKUP(CONCAT(DE36,DF36),'MASTER PLAN'!$AB:$AB,'MASTER PLAN'!$J:$J,0,0)=0,"",XLOOKUP(CONCAT(DE36,DF36),'MASTER PLAN'!$AB:$AB,'MASTER PLAN'!$J:$J,0,0)),"")</f>
        <v/>
      </c>
      <c r="DH36" s="80" t="str">
        <f t="array" ref="DH36">IFERROR(IF(XLOOKUP(CONCAT(DE36,DF36),'PROCESOS PRD'!$J:$J,'PROCESOS PRD'!$H:$H,0,0)=0,"",XLOOKUP(CONCAT(DE36,DF36),'PROCESOS PRD'!$J:$J,'PROCESOS PRD'!$H:$H,0,0)),"")</f>
        <v/>
      </c>
      <c r="DI36" s="77"/>
      <c r="DJ36" s="78"/>
      <c r="DK36" s="79" t="str">
        <f t="array" ref="DK36">IFERROR(IF(XLOOKUP(CONCAT(DI36,DJ36),'MASTER PLAN'!$AB:$AB,'MASTER PLAN'!$J:$J,0,0)=0,"",XLOOKUP(CONCAT(DI36,DJ36),'MASTER PLAN'!$AB:$AB,'MASTER PLAN'!$J:$J,0,0)),"")</f>
        <v/>
      </c>
      <c r="DL36" s="80" t="str">
        <f t="array" ref="DL36">IFERROR(IF(XLOOKUP(CONCAT(DI36,DJ36),'PROCESOS PRD'!$J:$J,'PROCESOS PRD'!$H:$H,0,0)=0,"",XLOOKUP(CONCAT(DI36,DJ36),'PROCESOS PRD'!$J:$J,'PROCESOS PRD'!$H:$H,0,0)),"")</f>
        <v/>
      </c>
      <c r="DM36" s="77"/>
      <c r="DN36" s="78"/>
      <c r="DO36" s="79" t="str">
        <f t="array" ref="DO36">IFERROR(IF(XLOOKUP(CONCAT(DM36,DN36),'MASTER PLAN'!$AB:$AB,'MASTER PLAN'!$J:$J,0,0)=0,"",XLOOKUP(CONCAT(DM36,DN36),'MASTER PLAN'!$AB:$AB,'MASTER PLAN'!$J:$J,0,0)),"")</f>
        <v/>
      </c>
      <c r="DP36" s="80" t="str">
        <f t="array" ref="DP36">IFERROR(IF(XLOOKUP(CONCAT(DM36,DN36),'PROCESOS PRD'!$J:$J,'PROCESOS PRD'!$H:$H,0,0)=0,"",XLOOKUP(CONCAT(DM36,DN36),'PROCESOS PRD'!$J:$J,'PROCESOS PRD'!$H:$H,0,0)),"")</f>
        <v/>
      </c>
      <c r="DQ36" s="70"/>
      <c r="DR36" s="77"/>
      <c r="DS36" s="78"/>
      <c r="DT36" s="79" t="str">
        <f t="array" ref="DT36">IFERROR(IF(XLOOKUP(CONCAT(DR36,DS36),'MASTER PLAN'!$AB:$AB,'MASTER PLAN'!$J:$J,0,0)=0,"",XLOOKUP(CONCAT(DR36,DS36),'MASTER PLAN'!$AB:$AB,'MASTER PLAN'!$J:$J,0,0)),"")</f>
        <v/>
      </c>
      <c r="DU36" s="80" t="str">
        <f t="array" ref="DU36">IFERROR(IF(XLOOKUP(CONCAT(DR36,DS36),'PROCESOS PRD'!$J:$J,'PROCESOS PRD'!$H:$H,0,0)=0,"",XLOOKUP(CONCAT(DR36,DS36),'PROCESOS PRD'!$J:$J,'PROCESOS PRD'!$H:$H,0,0)),"")</f>
        <v/>
      </c>
      <c r="DV36" s="77"/>
      <c r="DW36" s="78"/>
      <c r="DX36" s="79" t="str">
        <f t="array" ref="DX36">IFERROR(IF(XLOOKUP(CONCAT(DV36,DW36),'MASTER PLAN'!$AB:$AB,'MASTER PLAN'!$J:$J,0,0)=0,"",XLOOKUP(CONCAT(DV36,DW36),'MASTER PLAN'!$AB:$AB,'MASTER PLAN'!$J:$J,0,0)),"")</f>
        <v/>
      </c>
      <c r="DY36" s="80" t="str">
        <f t="array" ref="DY36">IFERROR(IF(XLOOKUP(CONCAT(DV36,DW36),'PROCESOS PRD'!$J:$J,'PROCESOS PRD'!$H:$H,0,0)=0,"",XLOOKUP(CONCAT(DV36,DW36),'PROCESOS PRD'!$J:$J,'PROCESOS PRD'!$H:$H,0,0)),"")</f>
        <v/>
      </c>
      <c r="DZ36" s="77"/>
      <c r="EA36" s="78"/>
      <c r="EB36" s="79" t="str">
        <f t="array" ref="EB36">IFERROR(IF(XLOOKUP(CONCAT(DZ36,EA36),'MASTER PLAN'!$AB:$AB,'MASTER PLAN'!$J:$J,0,0)=0,"",XLOOKUP(CONCAT(DZ36,EA36),'MASTER PLAN'!$AB:$AB,'MASTER PLAN'!$J:$J,0,0)),"")</f>
        <v/>
      </c>
      <c r="EC36" s="80" t="str">
        <f t="array" ref="EC36">IFERROR(IF(XLOOKUP(CONCAT(DZ36,EA36),'PROCESOS PRD'!$J:$J,'PROCESOS PRD'!$H:$H,0,0)=0,"",XLOOKUP(CONCAT(DZ36,EA36),'PROCESOS PRD'!$J:$J,'PROCESOS PRD'!$H:$H,0,0)),"")</f>
        <v/>
      </c>
      <c r="ED36" s="77"/>
      <c r="EE36" s="78"/>
      <c r="EF36" s="79" t="str">
        <f t="array" ref="EF36">IFERROR(IF(XLOOKUP(CONCAT(ED36,EE36),'MASTER PLAN'!$AB:$AB,'MASTER PLAN'!$J:$J,0,0)=0,"",XLOOKUP(CONCAT(ED36,EE36),'MASTER PLAN'!$AB:$AB,'MASTER PLAN'!$J:$J,0,0)),"")</f>
        <v/>
      </c>
      <c r="EG36" s="80" t="str">
        <f t="array" ref="EG36">IFERROR(IF(XLOOKUP(CONCAT(ED36,EE36),'PROCESOS PRD'!$J:$J,'PROCESOS PRD'!$H:$H,0,0)=0,"",XLOOKUP(CONCAT(ED36,EE36),'PROCESOS PRD'!$J:$J,'PROCESOS PRD'!$H:$H,0,0)),"")</f>
        <v/>
      </c>
      <c r="EH36" s="77"/>
      <c r="EI36" s="78"/>
      <c r="EJ36" s="79" t="str">
        <f t="array" ref="EJ36">IFERROR(IF(XLOOKUP(CONCAT(EH36,EI36),'MASTER PLAN'!$AB:$AB,'MASTER PLAN'!$J:$J,0,0)=0,"",XLOOKUP(CONCAT(EH36,EI36),'MASTER PLAN'!$AB:$AB,'MASTER PLAN'!$J:$J,0,0)),"")</f>
        <v/>
      </c>
      <c r="EK36" s="80" t="str">
        <f t="array" ref="EK36">IFERROR(IF(XLOOKUP(CONCAT(EH36,EI36),'PROCESOS PRD'!$J:$J,'PROCESOS PRD'!$H:$H,0,0)=0,"",XLOOKUP(CONCAT(EH36,EI36),'PROCESOS PRD'!$J:$J,'PROCESOS PRD'!$H:$H,0,0)),"")</f>
        <v/>
      </c>
      <c r="EL36" s="77"/>
      <c r="EM36" s="78"/>
      <c r="EN36" s="79" t="str">
        <f t="array" ref="EN36">IFERROR(IF(XLOOKUP(CONCAT(EL36,EM36),'MASTER PLAN'!$AB:$AB,'MASTER PLAN'!$J:$J,0,0)=0,"",XLOOKUP(CONCAT(EL36,EM36),'MASTER PLAN'!$AB:$AB,'MASTER PLAN'!$J:$J,0,0)),"")</f>
        <v/>
      </c>
      <c r="EO36" s="80" t="str">
        <f t="array" ref="EO36">IFERROR(IF(XLOOKUP(CONCAT(EL36,EM36),'PROCESOS PRD'!$J:$J,'PROCESOS PRD'!$H:$H,0,0)=0,"",XLOOKUP(CONCAT(EL36,EM36),'PROCESOS PRD'!$J:$J,'PROCESOS PRD'!$H:$H,0,0)),"")</f>
        <v/>
      </c>
      <c r="EP36" s="70"/>
      <c r="EQ36" s="77"/>
      <c r="ER36" s="78"/>
      <c r="ES36" s="79" t="str">
        <f t="array" ref="ES36">IFERROR(IF(XLOOKUP(CONCAT(EQ36,ER36),'MASTER PLAN'!$AB:$AB,'MASTER PLAN'!$J:$J,0,0)=0,"",XLOOKUP(CONCAT(EQ36,ER36),'MASTER PLAN'!$AB:$AB,'MASTER PLAN'!$J:$J,0,0)),"")</f>
        <v/>
      </c>
      <c r="ET36" s="80" t="str">
        <f t="array" ref="ET36">IFERROR(IF(XLOOKUP(CONCAT(EQ36,ER36),'PROCESOS PRD'!$J:$J,'PROCESOS PRD'!$H:$H,0,0)=0,"",XLOOKUP(CONCAT(EQ36,ER36),'PROCESOS PRD'!$J:$J,'PROCESOS PRD'!$H:$H,0,0)),"")</f>
        <v/>
      </c>
      <c r="EU36" s="77"/>
      <c r="EV36" s="78"/>
      <c r="EW36" s="79" t="str">
        <f t="array" ref="EW36">IFERROR(IF(XLOOKUP(CONCAT(EU36,EV36),'MASTER PLAN'!$AB:$AB,'MASTER PLAN'!$J:$J,0,0)=0,"",XLOOKUP(CONCAT(EU36,EV36),'MASTER PLAN'!$AB:$AB,'MASTER PLAN'!$J:$J,0,0)),"")</f>
        <v/>
      </c>
      <c r="EX36" s="80" t="str">
        <f t="array" ref="EX36">IFERROR(IF(XLOOKUP(CONCAT(EU36,EV36),'PROCESOS PRD'!$J:$J,'PROCESOS PRD'!$H:$H,0,0)=0,"",XLOOKUP(CONCAT(EU36,EV36),'PROCESOS PRD'!$J:$J,'PROCESOS PRD'!$H:$H,0,0)),"")</f>
        <v/>
      </c>
      <c r="EY36" s="77"/>
      <c r="EZ36" s="78"/>
      <c r="FA36" s="79" t="str">
        <f t="array" ref="FA36">IFERROR(IF(XLOOKUP(CONCAT(EY36,EZ36),'MASTER PLAN'!$AB:$AB,'MASTER PLAN'!$J:$J,0,0)=0,"",XLOOKUP(CONCAT(EY36,EZ36),'MASTER PLAN'!$AB:$AB,'MASTER PLAN'!$J:$J,0,0)),"")</f>
        <v/>
      </c>
      <c r="FB36" s="80" t="str">
        <f t="array" ref="FB36">IFERROR(IF(XLOOKUP(CONCAT(EY36,EZ36),'PROCESOS PRD'!$J:$J,'PROCESOS PRD'!$H:$H,0,0)=0,"",XLOOKUP(CONCAT(EY36,EZ36),'PROCESOS PRD'!$J:$J,'PROCESOS PRD'!$H:$H,0,0)),"")</f>
        <v/>
      </c>
      <c r="FC36" s="77"/>
      <c r="FD36" s="78"/>
      <c r="FE36" s="79" t="str">
        <f t="array" ref="FE36">IFERROR(IF(XLOOKUP(CONCAT(FC36,FD36),'MASTER PLAN'!$AB:$AB,'MASTER PLAN'!$J:$J,0,0)=0,"",XLOOKUP(CONCAT(FC36,FD36),'MASTER PLAN'!$AB:$AB,'MASTER PLAN'!$J:$J,0,0)),"")</f>
        <v/>
      </c>
      <c r="FF36" s="80" t="str">
        <f t="array" ref="FF36">IFERROR(IF(XLOOKUP(CONCAT(FC36,FD36),'PROCESOS PRD'!$J:$J,'PROCESOS PRD'!$H:$H,0,0)=0,"",XLOOKUP(CONCAT(FC36,FD36),'PROCESOS PRD'!$J:$J,'PROCESOS PRD'!$H:$H,0,0)),"")</f>
        <v/>
      </c>
      <c r="FG36" s="77"/>
      <c r="FH36" s="78"/>
      <c r="FI36" s="79" t="str">
        <f t="array" ref="FI36">IFERROR(IF(XLOOKUP(CONCAT(FG36,FH36),'MASTER PLAN'!$AB:$AB,'MASTER PLAN'!$J:$J,0,0)=0,"",XLOOKUP(CONCAT(FG36,FH36),'MASTER PLAN'!$AB:$AB,'MASTER PLAN'!$J:$J,0,0)),"")</f>
        <v/>
      </c>
      <c r="FJ36" s="80" t="str">
        <f t="array" ref="FJ36">IFERROR(IF(XLOOKUP(CONCAT(FG36,FH36),'PROCESOS PRD'!$J:$J,'PROCESOS PRD'!$H:$H,0,0)=0,"",XLOOKUP(CONCAT(FG36,FH36),'PROCESOS PRD'!$J:$J,'PROCESOS PRD'!$H:$H,0,0)),"")</f>
        <v/>
      </c>
      <c r="FK36" s="77"/>
      <c r="FL36" s="78"/>
      <c r="FM36" s="79" t="str">
        <f t="array" ref="FM36">IFERROR(IF(XLOOKUP(CONCAT(FK36,FL36),'MASTER PLAN'!$AB:$AB,'MASTER PLAN'!$J:$J,0,0)=0,"",XLOOKUP(CONCAT(FK36,FL36),'MASTER PLAN'!$AB:$AB,'MASTER PLAN'!$J:$J,0,0)),"")</f>
        <v/>
      </c>
      <c r="FN36" s="80" t="str">
        <f t="array" ref="FN36">IFERROR(IF(XLOOKUP(CONCAT(FK36,FL36),'PROCESOS PRD'!$J:$J,'PROCESOS PRD'!$H:$H,0,0)=0,"",XLOOKUP(CONCAT(FK36,FL36),'PROCESOS PRD'!$J:$J,'PROCESOS PRD'!$H:$H,0,0)),"")</f>
        <v/>
      </c>
      <c r="FO36" s="70"/>
      <c r="FP36" s="77"/>
      <c r="FQ36" s="78"/>
      <c r="FR36" s="79" t="str">
        <f t="array" ref="FR36">IFERROR(IF(XLOOKUP(CONCAT(FP36,FQ36),'MASTER PLAN'!$AB:$AB,'MASTER PLAN'!$J:$J,0,0)=0,"",XLOOKUP(CONCAT(FP36,FQ36),'MASTER PLAN'!$AB:$AB,'MASTER PLAN'!$J:$J,0,0)),"")</f>
        <v/>
      </c>
      <c r="FS36" s="80" t="str">
        <f t="array" ref="FS36">IFERROR(IF(XLOOKUP(CONCAT(FP36,FQ36),'PROCESOS PRD'!$J:$J,'PROCESOS PRD'!$H:$H,0,0)=0,"",XLOOKUP(CONCAT(FP36,FQ36),'PROCESOS PRD'!$J:$J,'PROCESOS PRD'!$H:$H,0,0)),"")</f>
        <v/>
      </c>
      <c r="FT36" s="77"/>
      <c r="FU36" s="78"/>
      <c r="FV36" s="79" t="str">
        <f t="array" ref="FV36">IFERROR(IF(XLOOKUP(CONCAT(FT36,FU36),'MASTER PLAN'!$AB:$AB,'MASTER PLAN'!$J:$J,0,0)=0,"",XLOOKUP(CONCAT(FT36,FU36),'MASTER PLAN'!$AB:$AB,'MASTER PLAN'!$J:$J,0,0)),"")</f>
        <v/>
      </c>
      <c r="FW36" s="80" t="str">
        <f t="array" ref="FW36">IFERROR(IF(XLOOKUP(CONCAT(FT36,FU36),'PROCESOS PRD'!$J:$J,'PROCESOS PRD'!$H:$H,0,0)=0,"",XLOOKUP(CONCAT(FT36,FU36),'PROCESOS PRD'!$J:$J,'PROCESOS PRD'!$H:$H,0,0)),"")</f>
        <v/>
      </c>
      <c r="FX36" s="77"/>
      <c r="FY36" s="78"/>
      <c r="FZ36" s="79" t="str">
        <f t="array" ref="FZ36">IFERROR(IF(XLOOKUP(CONCAT(FX36,FY36),'MASTER PLAN'!$AB:$AB,'MASTER PLAN'!$J:$J,0,0)=0,"",XLOOKUP(CONCAT(FX36,FY36),'MASTER PLAN'!$AB:$AB,'MASTER PLAN'!$J:$J,0,0)),"")</f>
        <v/>
      </c>
      <c r="GA36" s="80" t="str">
        <f t="array" ref="GA36">IFERROR(IF(XLOOKUP(CONCAT(FX36,FY36),'PROCESOS PRD'!$J:$J,'PROCESOS PRD'!$H:$H,0,0)=0,"",XLOOKUP(CONCAT(FX36,FY36),'PROCESOS PRD'!$J:$J,'PROCESOS PRD'!$H:$H,0,0)),"")</f>
        <v/>
      </c>
      <c r="GB36" s="77"/>
      <c r="GC36" s="78"/>
      <c r="GD36" s="79" t="str">
        <f t="array" ref="GD36">IFERROR(IF(XLOOKUP(CONCAT(GB36,GC36),'MASTER PLAN'!$AB:$AB,'MASTER PLAN'!$J:$J,0,0)=0,"",XLOOKUP(CONCAT(GB36,GC36),'MASTER PLAN'!$AB:$AB,'MASTER PLAN'!$J:$J,0,0)),"")</f>
        <v/>
      </c>
      <c r="GE36" s="80" t="str">
        <f t="array" ref="GE36">IFERROR(IF(XLOOKUP(CONCAT(GB36,GC36),'PROCESOS PRD'!$J:$J,'PROCESOS PRD'!$H:$H,0,0)=0,"",XLOOKUP(CONCAT(GB36,GC36),'PROCESOS PRD'!$J:$J,'PROCESOS PRD'!$H:$H,0,0)),"")</f>
        <v/>
      </c>
      <c r="GF36" s="77"/>
      <c r="GG36" s="78"/>
      <c r="GH36" s="79" t="str">
        <f t="array" ref="GH36">IFERROR(IF(XLOOKUP(CONCAT(GF36,GG36),'MASTER PLAN'!$AB:$AB,'MASTER PLAN'!$J:$J,0,0)=0,"",XLOOKUP(CONCAT(GF36,GG36),'MASTER PLAN'!$AB:$AB,'MASTER PLAN'!$J:$J,0,0)),"")</f>
        <v/>
      </c>
      <c r="GI36" s="80" t="str">
        <f t="array" ref="GI36">IFERROR(IF(XLOOKUP(CONCAT(GF36,GG36),'PROCESOS PRD'!$J:$J,'PROCESOS PRD'!$H:$H,0,0)=0,"",XLOOKUP(CONCAT(GF36,GG36),'PROCESOS PRD'!$J:$J,'PROCESOS PRD'!$H:$H,0,0)),"")</f>
        <v/>
      </c>
      <c r="GJ36" s="77"/>
      <c r="GK36" s="78"/>
      <c r="GL36" s="79" t="str">
        <f t="array" ref="GL36">IFERROR(IF(XLOOKUP(CONCAT(GJ36,GK36),'MASTER PLAN'!$AB:$AB,'MASTER PLAN'!$J:$J,0,0)=0,"",XLOOKUP(CONCAT(GJ36,GK36),'MASTER PLAN'!$AB:$AB,'MASTER PLAN'!$J:$J,0,0)),"")</f>
        <v/>
      </c>
      <c r="GM36" s="80" t="str">
        <f t="array" ref="GM36">IFERROR(IF(XLOOKUP(CONCAT(GJ36,GK36),'PROCESOS PRD'!$J:$J,'PROCESOS PRD'!$H:$H,0,0)=0,"",XLOOKUP(CONCAT(GJ36,GK36),'PROCESOS PRD'!$J:$J,'PROCESOS PRD'!$H:$H,0,0)),"")</f>
        <v/>
      </c>
      <c r="GN36" s="70"/>
      <c r="GO36" s="77"/>
      <c r="GP36" s="78"/>
      <c r="GQ36" s="79" t="str">
        <f t="array" ref="GQ36">IFERROR(IF(XLOOKUP(CONCAT(GO36,GP36),'MASTER PLAN'!$AB:$AB,'MASTER PLAN'!$J:$J,0,0)=0,"",XLOOKUP(CONCAT(GO36,GP36),'MASTER PLAN'!$AB:$AB,'MASTER PLAN'!$J:$J,0,0)),"")</f>
        <v/>
      </c>
      <c r="GR36" s="80" t="str">
        <f t="array" ref="GR36">IFERROR(IF(XLOOKUP(CONCAT(GO36,GP36),'PROCESOS PRD'!$J:$J,'PROCESOS PRD'!$H:$H,0,0)=0,"",XLOOKUP(CONCAT(GO36,GP36),'PROCESOS PRD'!$J:$J,'PROCESOS PRD'!$H:$H,0,0)),"")</f>
        <v/>
      </c>
      <c r="GS36" s="77"/>
      <c r="GT36" s="78"/>
      <c r="GU36" s="79" t="str">
        <f t="array" ref="GU36">IFERROR(IF(XLOOKUP(CONCAT(GS36,GT36),'MASTER PLAN'!$AB:$AB,'MASTER PLAN'!$J:$J,0,0)=0,"",XLOOKUP(CONCAT(GS36,GT36),'MASTER PLAN'!$AB:$AB,'MASTER PLAN'!$J:$J,0,0)),"")</f>
        <v/>
      </c>
      <c r="GV36" s="80" t="str">
        <f t="array" ref="GV36">IFERROR(IF(XLOOKUP(CONCAT(GS36,GT36),'PROCESOS PRD'!$J:$J,'PROCESOS PRD'!$H:$H,0,0)=0,"",XLOOKUP(CONCAT(GS36,GT36),'PROCESOS PRD'!$J:$J,'PROCESOS PRD'!$H:$H,0,0)),"")</f>
        <v/>
      </c>
      <c r="GW36" s="77"/>
      <c r="GX36" s="78"/>
      <c r="GY36" s="79" t="str">
        <f t="array" ref="GY36">IFERROR(IF(XLOOKUP(CONCAT(GW36,GX36),'MASTER PLAN'!$AB:$AB,'MASTER PLAN'!$J:$J,0,0)=0,"",XLOOKUP(CONCAT(GW36,GX36),'MASTER PLAN'!$AB:$AB,'MASTER PLAN'!$J:$J,0,0)),"")</f>
        <v/>
      </c>
      <c r="GZ36" s="80" t="str">
        <f t="array" ref="GZ36">IFERROR(IF(XLOOKUP(CONCAT(GW36,GX36),'PROCESOS PRD'!$J:$J,'PROCESOS PRD'!$H:$H,0,0)=0,"",XLOOKUP(CONCAT(GW36,GX36),'PROCESOS PRD'!$J:$J,'PROCESOS PRD'!$H:$H,0,0)),"")</f>
        <v/>
      </c>
      <c r="HA36" s="77"/>
      <c r="HB36" s="78"/>
      <c r="HC36" s="79" t="str">
        <f t="array" ref="HC36">IFERROR(IF(XLOOKUP(CONCAT(HA36,HB36),'MASTER PLAN'!$AB:$AB,'MASTER PLAN'!$J:$J,0,0)=0,"",XLOOKUP(CONCAT(HA36,HB36),'MASTER PLAN'!$AB:$AB,'MASTER PLAN'!$J:$J,0,0)),"")</f>
        <v/>
      </c>
      <c r="HD36" s="80" t="str">
        <f t="array" ref="HD36">IFERROR(IF(XLOOKUP(CONCAT(HA36,HB36),'PROCESOS PRD'!$J:$J,'PROCESOS PRD'!$H:$H,0,0)=0,"",XLOOKUP(CONCAT(HA36,HB36),'PROCESOS PRD'!$J:$J,'PROCESOS PRD'!$H:$H,0,0)),"")</f>
        <v/>
      </c>
      <c r="HE36" s="77"/>
      <c r="HF36" s="78"/>
      <c r="HG36" s="79" t="str">
        <f t="array" ref="HG36">IFERROR(IF(XLOOKUP(CONCAT(HE36,HF36),'MASTER PLAN'!$AB:$AB,'MASTER PLAN'!$J:$J,0,0)=0,"",XLOOKUP(CONCAT(HE36,HF36),'MASTER PLAN'!$AB:$AB,'MASTER PLAN'!$J:$J,0,0)),"")</f>
        <v/>
      </c>
      <c r="HH36" s="80" t="str">
        <f t="array" ref="HH36">IFERROR(IF(XLOOKUP(CONCAT(HE36,HF36),'PROCESOS PRD'!$J:$J,'PROCESOS PRD'!$H:$H,0,0)=0,"",XLOOKUP(CONCAT(HE36,HF36),'PROCESOS PRD'!$J:$J,'PROCESOS PRD'!$H:$H,0,0)),"")</f>
        <v/>
      </c>
      <c r="HI36" s="77"/>
      <c r="HJ36" s="78"/>
      <c r="HK36" s="79" t="str">
        <f t="array" ref="HK36">IFERROR(IF(XLOOKUP(CONCAT(HI36,HJ36),'MASTER PLAN'!$AB:$AB,'MASTER PLAN'!$J:$J,0,0)=0,"",XLOOKUP(CONCAT(HI36,HJ36),'MASTER PLAN'!$AB:$AB,'MASTER PLAN'!$J:$J,0,0)),"")</f>
        <v/>
      </c>
      <c r="HL36" s="80" t="str">
        <f t="array" ref="HL36">IFERROR(IF(XLOOKUP(CONCAT(HI36,HJ36),'PROCESOS PRD'!$J:$J,'PROCESOS PRD'!$H:$H,0,0)=0,"",XLOOKUP(CONCAT(HI36,HJ36),'PROCESOS PRD'!$J:$J,'PROCESOS PRD'!$H:$H,0,0)),"")</f>
        <v/>
      </c>
      <c r="HM36" s="70"/>
      <c r="HN36" s="77"/>
      <c r="HO36" s="78"/>
      <c r="HP36" s="79" t="str">
        <f t="array" ref="HP36">IFERROR(IF(XLOOKUP(CONCAT(HN36,HO36),'MASTER PLAN'!$AB:$AB,'MASTER PLAN'!$J:$J,0,0)=0,"",XLOOKUP(CONCAT(HN36,HO36),'MASTER PLAN'!$AB:$AB,'MASTER PLAN'!$J:$J,0,0)),"")</f>
        <v/>
      </c>
      <c r="HQ36" s="80" t="str">
        <f t="array" ref="HQ36">IFERROR(IF(XLOOKUP(CONCAT(HN36,HO36),'PROCESOS PRD'!$J:$J,'PROCESOS PRD'!$H:$H,0,0)=0,"",XLOOKUP(CONCAT(HN36,HO36),'PROCESOS PRD'!$J:$J,'PROCESOS PRD'!$H:$H,0,0)),"")</f>
        <v/>
      </c>
      <c r="HR36" s="77"/>
      <c r="HS36" s="78"/>
      <c r="HT36" s="79" t="str">
        <f t="array" ref="HT36">IFERROR(IF(XLOOKUP(CONCAT(HR36,HS36),'MASTER PLAN'!$AB:$AB,'MASTER PLAN'!$J:$J,0,0)=0,"",XLOOKUP(CONCAT(HR36,HS36),'MASTER PLAN'!$AB:$AB,'MASTER PLAN'!$J:$J,0,0)),"")</f>
        <v/>
      </c>
      <c r="HU36" s="80" t="str">
        <f t="array" ref="HU36">IFERROR(IF(XLOOKUP(CONCAT(HR36,HS36),'PROCESOS PRD'!$J:$J,'PROCESOS PRD'!$H:$H,0,0)=0,"",XLOOKUP(CONCAT(HR36,HS36),'PROCESOS PRD'!$J:$J,'PROCESOS PRD'!$H:$H,0,0)),"")</f>
        <v/>
      </c>
      <c r="HV36" s="77"/>
      <c r="HW36" s="78"/>
      <c r="HX36" s="79" t="str">
        <f t="array" ref="HX36">IFERROR(IF(XLOOKUP(CONCAT(HV36,HW36),'MASTER PLAN'!$AB:$AB,'MASTER PLAN'!$J:$J,0,0)=0,"",XLOOKUP(CONCAT(HV36,HW36),'MASTER PLAN'!$AB:$AB,'MASTER PLAN'!$J:$J,0,0)),"")</f>
        <v/>
      </c>
      <c r="HY36" s="80" t="str">
        <f t="array" ref="HY36">IFERROR(IF(XLOOKUP(CONCAT(HV36,HW36),'PROCESOS PRD'!$J:$J,'PROCESOS PRD'!$H:$H,0,0)=0,"",XLOOKUP(CONCAT(HV36,HW36),'PROCESOS PRD'!$J:$J,'PROCESOS PRD'!$H:$H,0,0)),"")</f>
        <v/>
      </c>
      <c r="HZ36" s="77"/>
      <c r="IA36" s="78"/>
      <c r="IB36" s="79" t="str">
        <f t="array" ref="IB36">IFERROR(IF(XLOOKUP(CONCAT(HZ36,IA36),'MASTER PLAN'!$AB:$AB,'MASTER PLAN'!$J:$J,0,0)=0,"",XLOOKUP(CONCAT(HZ36,IA36),'MASTER PLAN'!$AB:$AB,'MASTER PLAN'!$J:$J,0,0)),"")</f>
        <v/>
      </c>
      <c r="IC36" s="80" t="str">
        <f t="array" ref="IC36">IFERROR(IF(XLOOKUP(CONCAT(HZ36,IA36),'PROCESOS PRD'!$J:$J,'PROCESOS PRD'!$H:$H,0,0)=0,"",XLOOKUP(CONCAT(HZ36,IA36),'PROCESOS PRD'!$J:$J,'PROCESOS PRD'!$H:$H,0,0)),"")</f>
        <v/>
      </c>
      <c r="ID36" s="77"/>
      <c r="IE36" s="78"/>
      <c r="IF36" s="79" t="str">
        <f t="array" ref="IF36">IFERROR(IF(XLOOKUP(CONCAT(ID36,IE36),'MASTER PLAN'!$AB:$AB,'MASTER PLAN'!$J:$J,0,0)=0,"",XLOOKUP(CONCAT(ID36,IE36),'MASTER PLAN'!$AB:$AB,'MASTER PLAN'!$J:$J,0,0)),"")</f>
        <v/>
      </c>
      <c r="IG36" s="80" t="str">
        <f t="array" ref="IG36">IFERROR(IF(XLOOKUP(CONCAT(ID36,IE36),'PROCESOS PRD'!$J:$J,'PROCESOS PRD'!$H:$H,0,0)=0,"",XLOOKUP(CONCAT(ID36,IE36),'PROCESOS PRD'!$J:$J,'PROCESOS PRD'!$H:$H,0,0)),"")</f>
        <v/>
      </c>
      <c r="IH36" s="77"/>
      <c r="II36" s="78"/>
      <c r="IJ36" s="79" t="str">
        <f t="array" ref="IJ36">IFERROR(IF(XLOOKUP(CONCAT(IH36,II36),'MASTER PLAN'!$AB:$AB,'MASTER PLAN'!$J:$J,0,0)=0,"",XLOOKUP(CONCAT(IH36,II36),'MASTER PLAN'!$AB:$AB,'MASTER PLAN'!$J:$J,0,0)),"")</f>
        <v/>
      </c>
      <c r="IK36" s="80" t="str">
        <f t="array" ref="IK36">IFERROR(IF(XLOOKUP(CONCAT(IH36,II36),'PROCESOS PRD'!$J:$J,'PROCESOS PRD'!$H:$H,0,0)=0,"",XLOOKUP(CONCAT(IH36,II36),'PROCESOS PRD'!$J:$J,'PROCESOS PRD'!$H:$H,0,0)),"")</f>
        <v/>
      </c>
      <c r="IL36" s="70"/>
      <c r="IM36" s="77"/>
      <c r="IN36" s="78"/>
      <c r="IO36" s="79" t="str">
        <f t="array" ref="IO36">IFERROR(IF(XLOOKUP(CONCAT(IM36,IN36),'MASTER PLAN'!$AB:$AB,'MASTER PLAN'!$J:$J,0,0)=0,"",XLOOKUP(CONCAT(IM36,IN36),'MASTER PLAN'!$AB:$AB,'MASTER PLAN'!$J:$J,0,0)),"")</f>
        <v/>
      </c>
      <c r="IP36" s="80" t="str">
        <f t="array" ref="IP36">IFERROR(IF(XLOOKUP(CONCAT(IM36,IN36),'PROCESOS PRD'!$J:$J,'PROCESOS PRD'!$H:$H,0,0)=0,"",XLOOKUP(CONCAT(IM36,IN36),'PROCESOS PRD'!$J:$J,'PROCESOS PRD'!$H:$H,0,0)),"")</f>
        <v/>
      </c>
      <c r="IQ36" s="77"/>
      <c r="IR36" s="78"/>
      <c r="IS36" s="79" t="str">
        <f t="array" ref="IS36">IFERROR(IF(XLOOKUP(CONCAT(IQ36,IR36),'MASTER PLAN'!$AB:$AB,'MASTER PLAN'!$J:$J,0,0)=0,"",XLOOKUP(CONCAT(IQ36,IR36),'MASTER PLAN'!$AB:$AB,'MASTER PLAN'!$J:$J,0,0)),"")</f>
        <v/>
      </c>
      <c r="IT36" s="80" t="str">
        <f t="array" ref="IT36">IFERROR(IF(XLOOKUP(CONCAT(IQ36,IR36),'PROCESOS PRD'!$J:$J,'PROCESOS PRD'!$H:$H,0,0)=0,"",XLOOKUP(CONCAT(IQ36,IR36),'PROCESOS PRD'!$J:$J,'PROCESOS PRD'!$H:$H,0,0)),"")</f>
        <v/>
      </c>
      <c r="IU36" s="77"/>
      <c r="IV36" s="78"/>
      <c r="IW36" s="79" t="str">
        <f t="array" ref="IW36">IFERROR(IF(XLOOKUP(CONCAT(IU36,IV36),'MASTER PLAN'!$AB:$AB,'MASTER PLAN'!$J:$J,0,0)=0,"",XLOOKUP(CONCAT(IU36,IV36),'MASTER PLAN'!$AB:$AB,'MASTER PLAN'!$J:$J,0,0)),"")</f>
        <v/>
      </c>
      <c r="IX36" s="80" t="str">
        <f t="array" ref="IX36">IFERROR(IF(XLOOKUP(CONCAT(IU36,IV36),'PROCESOS PRD'!$J:$J,'PROCESOS PRD'!$H:$H,0,0)=0,"",XLOOKUP(CONCAT(IU36,IV36),'PROCESOS PRD'!$J:$J,'PROCESOS PRD'!$H:$H,0,0)),"")</f>
        <v/>
      </c>
      <c r="IY36" s="77"/>
      <c r="IZ36" s="78"/>
      <c r="JA36" s="79" t="str">
        <f t="array" ref="JA36">IFERROR(IF(XLOOKUP(CONCAT(IY36,IZ36),'MASTER PLAN'!$AB:$AB,'MASTER PLAN'!$J:$J,0,0)=0,"",XLOOKUP(CONCAT(IY36,IZ36),'MASTER PLAN'!$AB:$AB,'MASTER PLAN'!$J:$J,0,0)),"")</f>
        <v/>
      </c>
      <c r="JB36" s="80" t="str">
        <f t="array" ref="JB36">IFERROR(IF(XLOOKUP(CONCAT(IY36,IZ36),'PROCESOS PRD'!$J:$J,'PROCESOS PRD'!$H:$H,0,0)=0,"",XLOOKUP(CONCAT(IY36,IZ36),'PROCESOS PRD'!$J:$J,'PROCESOS PRD'!$H:$H,0,0)),"")</f>
        <v/>
      </c>
      <c r="JC36" s="77"/>
      <c r="JD36" s="78"/>
      <c r="JE36" s="79" t="str">
        <f t="array" ref="JE36">IFERROR(IF(XLOOKUP(CONCAT(JC36,JD36),'MASTER PLAN'!$AB:$AB,'MASTER PLAN'!$J:$J,0,0)=0,"",XLOOKUP(CONCAT(JC36,JD36),'MASTER PLAN'!$AB:$AB,'MASTER PLAN'!$J:$J,0,0)),"")</f>
        <v/>
      </c>
      <c r="JF36" s="80" t="str">
        <f t="array" ref="JF36">IFERROR(IF(XLOOKUP(CONCAT(JC36,JD36),'PROCESOS PRD'!$J:$J,'PROCESOS PRD'!$H:$H,0,0)=0,"",XLOOKUP(CONCAT(JC36,JD36),'PROCESOS PRD'!$J:$J,'PROCESOS PRD'!$H:$H,0,0)),"")</f>
        <v/>
      </c>
      <c r="JG36" s="77"/>
      <c r="JH36" s="78"/>
      <c r="JI36" s="79" t="str">
        <f t="array" ref="JI36">IFERROR(IF(XLOOKUP(CONCAT(JG36,JH36),'MASTER PLAN'!$AB:$AB,'MASTER PLAN'!$J:$J,0,0)=0,"",XLOOKUP(CONCAT(JG36,JH36),'MASTER PLAN'!$AB:$AB,'MASTER PLAN'!$J:$J,0,0)),"")</f>
        <v/>
      </c>
      <c r="JJ36" s="80" t="str">
        <f t="array" ref="JJ36">IFERROR(IF(XLOOKUP(CONCAT(JG36,JH36),'PROCESOS PRD'!$J:$J,'PROCESOS PRD'!$H:$H,0,0)=0,"",XLOOKUP(CONCAT(JG36,JH36),'PROCESOS PRD'!$J:$J,'PROCESOS PRD'!$H:$H,0,0)),"")</f>
        <v/>
      </c>
      <c r="JK36" s="70"/>
      <c r="JL36" s="77"/>
      <c r="JM36" s="78"/>
      <c r="JN36" s="79" t="str">
        <f t="array" ref="JN36">IFERROR(IF(XLOOKUP(CONCAT(JL36,JM36),'MASTER PLAN'!$AB:$AB,'MASTER PLAN'!$J:$J,0,0)=0,"",XLOOKUP(CONCAT(JL36,JM36),'MASTER PLAN'!$AB:$AB,'MASTER PLAN'!$J:$J,0,0)),"")</f>
        <v/>
      </c>
      <c r="JO36" s="80" t="str">
        <f t="array" ref="JO36">IFERROR(IF(XLOOKUP(CONCAT(JL36,JM36),'PROCESOS PRD'!$J:$J,'PROCESOS PRD'!$H:$H,0,0)=0,"",XLOOKUP(CONCAT(JL36,JM36),'PROCESOS PRD'!$J:$J,'PROCESOS PRD'!$H:$H,0,0)),"")</f>
        <v/>
      </c>
      <c r="JP36" s="77"/>
      <c r="JQ36" s="78"/>
      <c r="JR36" s="79" t="str">
        <f t="array" ref="JR36">IFERROR(IF(XLOOKUP(CONCAT(JP36,JQ36),'MASTER PLAN'!$AB:$AB,'MASTER PLAN'!$J:$J,0,0)=0,"",XLOOKUP(CONCAT(JP36,JQ36),'MASTER PLAN'!$AB:$AB,'MASTER PLAN'!$J:$J,0,0)),"")</f>
        <v/>
      </c>
      <c r="JS36" s="80" t="str">
        <f t="array" ref="JS36">IFERROR(IF(XLOOKUP(CONCAT(JP36,JQ36),'PROCESOS PRD'!$J:$J,'PROCESOS PRD'!$H:$H,0,0)=0,"",XLOOKUP(CONCAT(JP36,JQ36),'PROCESOS PRD'!$J:$J,'PROCESOS PRD'!$H:$H,0,0)),"")</f>
        <v/>
      </c>
      <c r="JT36" s="77"/>
      <c r="JU36" s="78"/>
      <c r="JV36" s="79" t="str">
        <f t="array" ref="JV36">IFERROR(IF(XLOOKUP(CONCAT(JT36,JU36),'MASTER PLAN'!$AB:$AB,'MASTER PLAN'!$J:$J,0,0)=0,"",XLOOKUP(CONCAT(JT36,JU36),'MASTER PLAN'!$AB:$AB,'MASTER PLAN'!$J:$J,0,0)),"")</f>
        <v/>
      </c>
      <c r="JW36" s="80" t="str">
        <f t="array" ref="JW36">IFERROR(IF(XLOOKUP(CONCAT(JT36,JU36),'PROCESOS PRD'!$J:$J,'PROCESOS PRD'!$H:$H,0,0)=0,"",XLOOKUP(CONCAT(JT36,JU36),'PROCESOS PRD'!$J:$J,'PROCESOS PRD'!$H:$H,0,0)),"")</f>
        <v/>
      </c>
      <c r="JX36" s="77"/>
      <c r="JY36" s="78"/>
      <c r="JZ36" s="79" t="str">
        <f t="array" ref="JZ36">IFERROR(IF(XLOOKUP(CONCAT(JX36,JY36),'MASTER PLAN'!$AB:$AB,'MASTER PLAN'!$J:$J,0,0)=0,"",XLOOKUP(CONCAT(JX36,JY36),'MASTER PLAN'!$AB:$AB,'MASTER PLAN'!$J:$J,0,0)),"")</f>
        <v/>
      </c>
      <c r="KA36" s="80" t="str">
        <f t="array" ref="KA36">IFERROR(IF(XLOOKUP(CONCAT(JX36,JY36),'PROCESOS PRD'!$J:$J,'PROCESOS PRD'!$H:$H,0,0)=0,"",XLOOKUP(CONCAT(JX36,JY36),'PROCESOS PRD'!$J:$J,'PROCESOS PRD'!$H:$H,0,0)),"")</f>
        <v/>
      </c>
      <c r="KB36" s="77"/>
      <c r="KC36" s="78"/>
      <c r="KD36" s="79" t="str">
        <f t="array" ref="KD36">IFERROR(IF(XLOOKUP(CONCAT(KB36,KC36),'MASTER PLAN'!$AB:$AB,'MASTER PLAN'!$J:$J,0,0)=0,"",XLOOKUP(CONCAT(KB36,KC36),'MASTER PLAN'!$AB:$AB,'MASTER PLAN'!$J:$J,0,0)),"")</f>
        <v/>
      </c>
      <c r="KE36" s="80" t="str">
        <f t="array" ref="KE36">IFERROR(IF(XLOOKUP(CONCAT(KB36,KC36),'PROCESOS PRD'!$J:$J,'PROCESOS PRD'!$H:$H,0,0)=0,"",XLOOKUP(CONCAT(KB36,KC36),'PROCESOS PRD'!$J:$J,'PROCESOS PRD'!$H:$H,0,0)),"")</f>
        <v/>
      </c>
      <c r="KF36" s="77"/>
      <c r="KG36" s="78"/>
      <c r="KH36" s="79" t="str">
        <f t="array" ref="KH36">IFERROR(IF(XLOOKUP(CONCAT(KF36,KG36),'MASTER PLAN'!$AB:$AB,'MASTER PLAN'!$J:$J,0,0)=0,"",XLOOKUP(CONCAT(KF36,KG36),'MASTER PLAN'!$AB:$AB,'MASTER PLAN'!$J:$J,0,0)),"")</f>
        <v/>
      </c>
      <c r="KI36" s="80" t="str">
        <f t="array" ref="KI36">IFERROR(IF(XLOOKUP(CONCAT(KF36,KG36),'PROCESOS PRD'!$J:$J,'PROCESOS PRD'!$H:$H,0,0)=0,"",XLOOKUP(CONCAT(KF36,KG36),'PROCESOS PRD'!$J:$J,'PROCESOS PRD'!$H:$H,0,0)),"")</f>
        <v/>
      </c>
      <c r="KJ36" s="70"/>
      <c r="KK36" s="70"/>
      <c r="KL36" s="70"/>
      <c r="KM36" s="70"/>
      <c r="KN36" s="70"/>
      <c r="KO36" s="70"/>
      <c r="KP36" s="70"/>
      <c r="KQ36" s="70"/>
      <c r="KR36" s="70"/>
      <c r="KS36" s="70"/>
      <c r="KT36" s="70"/>
      <c r="KU36" s="70"/>
      <c r="KV36" s="70"/>
      <c r="KW36" s="70"/>
      <c r="KX36" s="70"/>
      <c r="KY36" s="70"/>
      <c r="KZ36" s="70"/>
      <c r="LA36" s="70"/>
      <c r="LB36" s="70"/>
      <c r="LC36" s="70"/>
    </row>
    <row r="37" ht="15.75" customHeight="1">
      <c r="A37" s="42"/>
      <c r="B37" s="82">
        <v>10000.0</v>
      </c>
      <c r="C37" s="83" t="s">
        <v>240</v>
      </c>
      <c r="D37" s="42"/>
      <c r="E37" s="84"/>
      <c r="F37" s="85"/>
      <c r="G37" s="85"/>
      <c r="H37" s="86">
        <f>SUM(H28:H36)</f>
        <v>0</v>
      </c>
      <c r="I37" s="84"/>
      <c r="J37" s="85"/>
      <c r="K37" s="85"/>
      <c r="L37" s="86">
        <f>SUM(L28:L36)</f>
        <v>0</v>
      </c>
      <c r="M37" s="84"/>
      <c r="N37" s="85"/>
      <c r="O37" s="85"/>
      <c r="P37" s="86">
        <f>SUM(P28:P36)</f>
        <v>0</v>
      </c>
      <c r="Q37" s="84"/>
      <c r="R37" s="85"/>
      <c r="S37" s="85"/>
      <c r="T37" s="86">
        <f>SUM(T28:T36)</f>
        <v>0</v>
      </c>
      <c r="U37" s="42"/>
      <c r="V37" s="84"/>
      <c r="W37" s="85"/>
      <c r="X37" s="85"/>
      <c r="Y37" s="86">
        <f>SUM(Y28:Y36)</f>
        <v>0</v>
      </c>
      <c r="Z37" s="84"/>
      <c r="AA37" s="85"/>
      <c r="AB37" s="85"/>
      <c r="AC37" s="86">
        <f>SUM(AC28:AC36)</f>
        <v>0</v>
      </c>
      <c r="AD37" s="84"/>
      <c r="AE37" s="85"/>
      <c r="AF37" s="85"/>
      <c r="AG37" s="86">
        <f>SUM(AG28:AG36)</f>
        <v>0</v>
      </c>
      <c r="AH37" s="84"/>
      <c r="AI37" s="85"/>
      <c r="AJ37" s="85"/>
      <c r="AK37" s="86">
        <f>SUM(AK28:AK36)</f>
        <v>0</v>
      </c>
      <c r="AL37" s="84"/>
      <c r="AM37" s="85"/>
      <c r="AN37" s="85"/>
      <c r="AO37" s="86">
        <f>SUM(AO28:AO36)</f>
        <v>0</v>
      </c>
      <c r="AP37" s="84"/>
      <c r="AQ37" s="85"/>
      <c r="AR37" s="85"/>
      <c r="AS37" s="86">
        <f>SUM(AS28:AS36)</f>
        <v>2400</v>
      </c>
      <c r="AT37" s="42"/>
      <c r="AU37" s="84"/>
      <c r="AV37" s="85"/>
      <c r="AW37" s="85"/>
      <c r="AX37" s="86">
        <f>SUM(AX28:AX36)</f>
        <v>0</v>
      </c>
      <c r="AY37" s="84"/>
      <c r="AZ37" s="85"/>
      <c r="BA37" s="85"/>
      <c r="BB37" s="86">
        <f>SUM(BB28:BB36)</f>
        <v>0</v>
      </c>
      <c r="BC37" s="84"/>
      <c r="BD37" s="85"/>
      <c r="BE37" s="85"/>
      <c r="BF37" s="86">
        <f>SUM(BF28:BF36)</f>
        <v>56400</v>
      </c>
      <c r="BG37" s="84"/>
      <c r="BH37" s="85"/>
      <c r="BI37" s="85"/>
      <c r="BJ37" s="86">
        <f>SUM(BJ28:BJ36)</f>
        <v>0</v>
      </c>
      <c r="BK37" s="84"/>
      <c r="BL37" s="85"/>
      <c r="BM37" s="85"/>
      <c r="BN37" s="86">
        <f>SUM(BN28:BN36)</f>
        <v>0</v>
      </c>
      <c r="BO37" s="84"/>
      <c r="BP37" s="85"/>
      <c r="BQ37" s="85"/>
      <c r="BR37" s="86">
        <f>SUM(BR28:BR36)</f>
        <v>0</v>
      </c>
      <c r="BS37" s="42"/>
      <c r="BT37" s="84"/>
      <c r="BU37" s="85"/>
      <c r="BV37" s="85"/>
      <c r="BW37" s="86">
        <f>SUM(BW28:BW36)</f>
        <v>9000</v>
      </c>
      <c r="BX37" s="84"/>
      <c r="BY37" s="85"/>
      <c r="BZ37" s="85"/>
      <c r="CA37" s="86">
        <f>SUM(CA28:CA36)</f>
        <v>5400</v>
      </c>
      <c r="CB37" s="84"/>
      <c r="CC37" s="85"/>
      <c r="CD37" s="85"/>
      <c r="CE37" s="86">
        <f>SUM(CE28:CE36)</f>
        <v>2400</v>
      </c>
      <c r="CF37" s="84"/>
      <c r="CG37" s="85"/>
      <c r="CH37" s="85"/>
      <c r="CI37" s="86">
        <f>SUM(CI28:CI36)</f>
        <v>0</v>
      </c>
      <c r="CJ37" s="84"/>
      <c r="CK37" s="85"/>
      <c r="CL37" s="85"/>
      <c r="CM37" s="86">
        <f>SUM(CM28:CM36)</f>
        <v>0</v>
      </c>
      <c r="CN37" s="84"/>
      <c r="CO37" s="85"/>
      <c r="CP37" s="85"/>
      <c r="CQ37" s="86">
        <f>SUM(CQ28:CQ36)</f>
        <v>0</v>
      </c>
      <c r="CR37" s="42"/>
      <c r="CS37" s="84"/>
      <c r="CT37" s="85"/>
      <c r="CU37" s="85"/>
      <c r="CV37" s="86">
        <f>SUM(CV28:CV36)</f>
        <v>20400</v>
      </c>
      <c r="CW37" s="84"/>
      <c r="CX37" s="85"/>
      <c r="CY37" s="85"/>
      <c r="CZ37" s="86">
        <f>SUM(CZ28:CZ36)</f>
        <v>12000</v>
      </c>
      <c r="DA37" s="84"/>
      <c r="DB37" s="85"/>
      <c r="DC37" s="85"/>
      <c r="DD37" s="86">
        <f>SUM(DD28:DD36)</f>
        <v>8400</v>
      </c>
      <c r="DE37" s="84"/>
      <c r="DF37" s="85"/>
      <c r="DG37" s="85"/>
      <c r="DH37" s="86">
        <f>SUM(DH28:DH36)</f>
        <v>2400</v>
      </c>
      <c r="DI37" s="84"/>
      <c r="DJ37" s="85"/>
      <c r="DK37" s="85"/>
      <c r="DL37" s="86">
        <f>SUM(DL28:DL36)</f>
        <v>0</v>
      </c>
      <c r="DM37" s="84"/>
      <c r="DN37" s="85"/>
      <c r="DO37" s="85"/>
      <c r="DP37" s="86">
        <f>SUM(DP28:DP36)</f>
        <v>0</v>
      </c>
      <c r="DQ37" s="42"/>
      <c r="DR37" s="84"/>
      <c r="DS37" s="85"/>
      <c r="DT37" s="85"/>
      <c r="DU37" s="86">
        <f>SUM(DU28:DU36)</f>
        <v>0</v>
      </c>
      <c r="DV37" s="84"/>
      <c r="DW37" s="85"/>
      <c r="DX37" s="85"/>
      <c r="DY37" s="86">
        <f>SUM(DY28:DY36)</f>
        <v>0</v>
      </c>
      <c r="DZ37" s="84"/>
      <c r="EA37" s="85"/>
      <c r="EB37" s="85"/>
      <c r="EC37" s="86">
        <f>SUM(EC28:EC36)</f>
        <v>0</v>
      </c>
      <c r="ED37" s="84"/>
      <c r="EE37" s="85"/>
      <c r="EF37" s="85"/>
      <c r="EG37" s="86">
        <f>SUM(EG28:EG36)</f>
        <v>0</v>
      </c>
      <c r="EH37" s="84"/>
      <c r="EI37" s="85"/>
      <c r="EJ37" s="85"/>
      <c r="EK37" s="86">
        <f>SUM(EK28:EK36)</f>
        <v>0</v>
      </c>
      <c r="EL37" s="84"/>
      <c r="EM37" s="85"/>
      <c r="EN37" s="85"/>
      <c r="EO37" s="86">
        <f>SUM(EO28:EO36)</f>
        <v>0</v>
      </c>
      <c r="EP37" s="42"/>
      <c r="EQ37" s="84"/>
      <c r="ER37" s="85"/>
      <c r="ES37" s="85"/>
      <c r="ET37" s="86">
        <f>SUM(ET28:ET36)</f>
        <v>0</v>
      </c>
      <c r="EU37" s="84"/>
      <c r="EV37" s="85"/>
      <c r="EW37" s="85"/>
      <c r="EX37" s="86">
        <f>SUM(EX28:EX36)</f>
        <v>0</v>
      </c>
      <c r="EY37" s="84"/>
      <c r="EZ37" s="85"/>
      <c r="FA37" s="85"/>
      <c r="FB37" s="86">
        <f>SUM(FB28:FB36)</f>
        <v>0</v>
      </c>
      <c r="FC37" s="84"/>
      <c r="FD37" s="85"/>
      <c r="FE37" s="85"/>
      <c r="FF37" s="86">
        <f>SUM(FF28:FF36)</f>
        <v>0</v>
      </c>
      <c r="FG37" s="84"/>
      <c r="FH37" s="85"/>
      <c r="FI37" s="85"/>
      <c r="FJ37" s="86">
        <f>SUM(FJ28:FJ36)</f>
        <v>0</v>
      </c>
      <c r="FK37" s="84"/>
      <c r="FL37" s="85"/>
      <c r="FM37" s="85"/>
      <c r="FN37" s="86">
        <f>SUM(FN28:FN36)</f>
        <v>0</v>
      </c>
      <c r="FO37" s="42"/>
      <c r="FP37" s="84"/>
      <c r="FQ37" s="85"/>
      <c r="FR37" s="85"/>
      <c r="FS37" s="86">
        <f>SUM(FS28:FS36)</f>
        <v>0</v>
      </c>
      <c r="FT37" s="84"/>
      <c r="FU37" s="85"/>
      <c r="FV37" s="85"/>
      <c r="FW37" s="86">
        <f>SUM(FW28:FW36)</f>
        <v>0</v>
      </c>
      <c r="FX37" s="84"/>
      <c r="FY37" s="85"/>
      <c r="FZ37" s="85"/>
      <c r="GA37" s="86">
        <f>SUM(GA28:GA36)</f>
        <v>0</v>
      </c>
      <c r="GB37" s="84"/>
      <c r="GC37" s="85"/>
      <c r="GD37" s="85"/>
      <c r="GE37" s="86">
        <f>SUM(GE28:GE36)</f>
        <v>0</v>
      </c>
      <c r="GF37" s="84"/>
      <c r="GG37" s="85"/>
      <c r="GH37" s="85"/>
      <c r="GI37" s="86">
        <f>SUM(GI28:GI36)</f>
        <v>0</v>
      </c>
      <c r="GJ37" s="84"/>
      <c r="GK37" s="85"/>
      <c r="GL37" s="85"/>
      <c r="GM37" s="86">
        <f>SUM(GM28:GM36)</f>
        <v>0</v>
      </c>
      <c r="GN37" s="42"/>
      <c r="GO37" s="84"/>
      <c r="GP37" s="85"/>
      <c r="GQ37" s="85"/>
      <c r="GR37" s="86">
        <f>SUM(GR28:GR36)</f>
        <v>0</v>
      </c>
      <c r="GS37" s="84"/>
      <c r="GT37" s="85"/>
      <c r="GU37" s="85"/>
      <c r="GV37" s="86">
        <f>SUM(GV28:GV36)</f>
        <v>0</v>
      </c>
      <c r="GW37" s="84"/>
      <c r="GX37" s="85"/>
      <c r="GY37" s="85"/>
      <c r="GZ37" s="86">
        <f>SUM(GZ28:GZ36)</f>
        <v>0</v>
      </c>
      <c r="HA37" s="84"/>
      <c r="HB37" s="85"/>
      <c r="HC37" s="85"/>
      <c r="HD37" s="86">
        <f>SUM(HD28:HD36)</f>
        <v>0</v>
      </c>
      <c r="HE37" s="84"/>
      <c r="HF37" s="85"/>
      <c r="HG37" s="85"/>
      <c r="HH37" s="86">
        <f>SUM(HH28:HH36)</f>
        <v>0</v>
      </c>
      <c r="HI37" s="84"/>
      <c r="HJ37" s="85"/>
      <c r="HK37" s="85"/>
      <c r="HL37" s="86">
        <f>SUM(HL28:HL36)</f>
        <v>0</v>
      </c>
      <c r="HM37" s="42"/>
      <c r="HN37" s="84"/>
      <c r="HO37" s="85"/>
      <c r="HP37" s="85"/>
      <c r="HQ37" s="86">
        <f>SUM(HQ28:HQ36)</f>
        <v>0</v>
      </c>
      <c r="HR37" s="84"/>
      <c r="HS37" s="85"/>
      <c r="HT37" s="85"/>
      <c r="HU37" s="86">
        <f>SUM(HU28:HU36)</f>
        <v>0</v>
      </c>
      <c r="HV37" s="84"/>
      <c r="HW37" s="85"/>
      <c r="HX37" s="85"/>
      <c r="HY37" s="86">
        <f>SUM(HY28:HY36)</f>
        <v>0</v>
      </c>
      <c r="HZ37" s="84"/>
      <c r="IA37" s="85"/>
      <c r="IB37" s="85"/>
      <c r="IC37" s="86">
        <f>SUM(IC28:IC36)</f>
        <v>0</v>
      </c>
      <c r="ID37" s="84"/>
      <c r="IE37" s="85"/>
      <c r="IF37" s="85"/>
      <c r="IG37" s="86">
        <f>SUM(IG28:IG36)</f>
        <v>0</v>
      </c>
      <c r="IH37" s="84"/>
      <c r="II37" s="85"/>
      <c r="IJ37" s="85"/>
      <c r="IK37" s="86">
        <f>SUM(IK28:IK36)</f>
        <v>0</v>
      </c>
      <c r="IL37" s="42"/>
      <c r="IM37" s="84"/>
      <c r="IN37" s="85"/>
      <c r="IO37" s="85"/>
      <c r="IP37" s="86">
        <f>SUM(IP28:IP36)</f>
        <v>0</v>
      </c>
      <c r="IQ37" s="84"/>
      <c r="IR37" s="85"/>
      <c r="IS37" s="85"/>
      <c r="IT37" s="86">
        <f>SUM(IT28:IT36)</f>
        <v>0</v>
      </c>
      <c r="IU37" s="84"/>
      <c r="IV37" s="85"/>
      <c r="IW37" s="85"/>
      <c r="IX37" s="86">
        <f>SUM(IX28:IX36)</f>
        <v>0</v>
      </c>
      <c r="IY37" s="84"/>
      <c r="IZ37" s="85"/>
      <c r="JA37" s="85"/>
      <c r="JB37" s="86">
        <f>SUM(JB28:JB36)</f>
        <v>0</v>
      </c>
      <c r="JC37" s="84"/>
      <c r="JD37" s="85"/>
      <c r="JE37" s="85"/>
      <c r="JF37" s="86">
        <f>SUM(JF28:JF36)</f>
        <v>0</v>
      </c>
      <c r="JG37" s="84"/>
      <c r="JH37" s="85"/>
      <c r="JI37" s="85"/>
      <c r="JJ37" s="86">
        <f>SUM(JJ28:JJ36)</f>
        <v>0</v>
      </c>
      <c r="JK37" s="42"/>
      <c r="JL37" s="84"/>
      <c r="JM37" s="85"/>
      <c r="JN37" s="85"/>
      <c r="JO37" s="86">
        <f>SUM(JO28:JO36)</f>
        <v>0</v>
      </c>
      <c r="JP37" s="84"/>
      <c r="JQ37" s="85"/>
      <c r="JR37" s="85"/>
      <c r="JS37" s="86">
        <f>SUM(JS28:JS36)</f>
        <v>0</v>
      </c>
      <c r="JT37" s="84"/>
      <c r="JU37" s="85"/>
      <c r="JV37" s="85"/>
      <c r="JW37" s="86">
        <f>SUM(JW28:JW36)</f>
        <v>0</v>
      </c>
      <c r="JX37" s="84"/>
      <c r="JY37" s="85"/>
      <c r="JZ37" s="85"/>
      <c r="KA37" s="86">
        <f>SUM(KA28:KA36)</f>
        <v>0</v>
      </c>
      <c r="KB37" s="84"/>
      <c r="KC37" s="85"/>
      <c r="KD37" s="85"/>
      <c r="KE37" s="86">
        <f>SUM(KE28:KE36)</f>
        <v>0</v>
      </c>
      <c r="KF37" s="84"/>
      <c r="KG37" s="85"/>
      <c r="KH37" s="85"/>
      <c r="KI37" s="86">
        <f>SUM(KI28:KI36)</f>
        <v>0</v>
      </c>
      <c r="KJ37" s="42"/>
      <c r="KK37" s="42"/>
      <c r="KL37" s="42"/>
      <c r="KM37" s="42"/>
      <c r="KN37" s="42"/>
      <c r="KO37" s="42"/>
      <c r="KP37" s="42"/>
      <c r="KQ37" s="42"/>
      <c r="KR37" s="42"/>
      <c r="KS37" s="42"/>
      <c r="KT37" s="42"/>
      <c r="KU37" s="42"/>
      <c r="KV37" s="42"/>
      <c r="KW37" s="42"/>
      <c r="KX37" s="42"/>
      <c r="KY37" s="42"/>
      <c r="KZ37" s="42"/>
      <c r="LA37" s="42"/>
      <c r="LB37" s="42"/>
      <c r="LC37" s="42"/>
    </row>
    <row r="38" ht="15.7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c r="CD38" s="42"/>
      <c r="CE38" s="42"/>
      <c r="CF38" s="42"/>
      <c r="CG38" s="42"/>
      <c r="CH38" s="42"/>
      <c r="CI38" s="42"/>
      <c r="CJ38" s="42"/>
      <c r="CK38" s="42"/>
      <c r="CL38" s="42"/>
      <c r="CM38" s="42"/>
      <c r="CN38" s="42"/>
      <c r="CO38" s="42"/>
      <c r="CP38" s="42"/>
      <c r="CQ38" s="42"/>
      <c r="CR38" s="42"/>
      <c r="CS38" s="42"/>
      <c r="CT38" s="42"/>
      <c r="CU38" s="42"/>
      <c r="CV38" s="42"/>
      <c r="CW38" s="42"/>
      <c r="CX38" s="42"/>
      <c r="CY38" s="42"/>
      <c r="CZ38" s="42"/>
      <c r="DA38" s="42"/>
      <c r="DB38" s="42"/>
      <c r="DC38" s="42"/>
      <c r="DD38" s="42"/>
      <c r="DE38" s="42"/>
      <c r="DF38" s="42"/>
      <c r="DG38" s="42"/>
      <c r="DH38" s="42"/>
      <c r="DI38" s="42"/>
      <c r="DJ38" s="42"/>
      <c r="DK38" s="42"/>
      <c r="DL38" s="42"/>
      <c r="DM38" s="42"/>
      <c r="DN38" s="42"/>
      <c r="DO38" s="42"/>
      <c r="DP38" s="42"/>
      <c r="DQ38" s="42"/>
      <c r="DR38" s="42"/>
      <c r="DS38" s="42"/>
      <c r="DT38" s="42"/>
      <c r="DU38" s="42"/>
      <c r="DV38" s="42"/>
      <c r="DW38" s="42"/>
      <c r="DX38" s="42"/>
      <c r="DY38" s="42"/>
      <c r="DZ38" s="42"/>
      <c r="EA38" s="42"/>
      <c r="EB38" s="42"/>
      <c r="EC38" s="42"/>
      <c r="ED38" s="42"/>
      <c r="EE38" s="42"/>
      <c r="EF38" s="42"/>
      <c r="EG38" s="42"/>
      <c r="EH38" s="42"/>
      <c r="EI38" s="42"/>
      <c r="EJ38" s="42"/>
      <c r="EK38" s="42"/>
      <c r="EL38" s="42"/>
      <c r="EM38" s="42"/>
      <c r="EN38" s="42"/>
      <c r="EO38" s="42"/>
      <c r="EP38" s="42"/>
      <c r="EQ38" s="42"/>
      <c r="ER38" s="42"/>
      <c r="ES38" s="42"/>
      <c r="ET38" s="42"/>
      <c r="EU38" s="42"/>
      <c r="EV38" s="42"/>
      <c r="EW38" s="42"/>
      <c r="EX38" s="42"/>
      <c r="EY38" s="42"/>
      <c r="EZ38" s="42"/>
      <c r="FA38" s="42"/>
      <c r="FB38" s="42"/>
      <c r="FC38" s="42"/>
      <c r="FD38" s="42"/>
      <c r="FE38" s="42"/>
      <c r="FF38" s="42"/>
      <c r="FG38" s="42"/>
      <c r="FH38" s="42"/>
      <c r="FI38" s="42"/>
      <c r="FJ38" s="42"/>
      <c r="FK38" s="42"/>
      <c r="FL38" s="42"/>
      <c r="FM38" s="42"/>
      <c r="FN38" s="42"/>
      <c r="FO38" s="42"/>
      <c r="FP38" s="42"/>
      <c r="FQ38" s="42"/>
      <c r="FR38" s="42"/>
      <c r="FS38" s="42"/>
      <c r="FT38" s="42"/>
      <c r="FU38" s="42"/>
      <c r="FV38" s="42"/>
      <c r="FW38" s="42"/>
      <c r="FX38" s="42"/>
      <c r="FY38" s="42"/>
      <c r="FZ38" s="42"/>
      <c r="GA38" s="42"/>
      <c r="GB38" s="42"/>
      <c r="GC38" s="42"/>
      <c r="GD38" s="42"/>
      <c r="GE38" s="42"/>
      <c r="GF38" s="42"/>
      <c r="GG38" s="42"/>
      <c r="GH38" s="42"/>
      <c r="GI38" s="42"/>
      <c r="GJ38" s="42"/>
      <c r="GK38" s="42"/>
      <c r="GL38" s="42"/>
      <c r="GM38" s="42"/>
      <c r="GN38" s="42"/>
      <c r="GO38" s="42"/>
      <c r="GP38" s="42"/>
      <c r="GQ38" s="42"/>
      <c r="GR38" s="42"/>
      <c r="GS38" s="42"/>
      <c r="GT38" s="42"/>
      <c r="GU38" s="42"/>
      <c r="GV38" s="42"/>
      <c r="GW38" s="42"/>
      <c r="GX38" s="42"/>
      <c r="GY38" s="42"/>
      <c r="GZ38" s="42"/>
      <c r="HA38" s="42"/>
      <c r="HB38" s="42"/>
      <c r="HC38" s="42"/>
      <c r="HD38" s="42"/>
      <c r="HE38" s="42"/>
      <c r="HF38" s="42"/>
      <c r="HG38" s="42"/>
      <c r="HH38" s="42"/>
      <c r="HI38" s="42"/>
      <c r="HJ38" s="42"/>
      <c r="HK38" s="42"/>
      <c r="HL38" s="42"/>
      <c r="HM38" s="42"/>
      <c r="HN38" s="42"/>
      <c r="HO38" s="42"/>
      <c r="HP38" s="42"/>
      <c r="HQ38" s="42"/>
      <c r="HR38" s="42"/>
      <c r="HS38" s="42"/>
      <c r="HT38" s="42"/>
      <c r="HU38" s="42"/>
      <c r="HV38" s="42"/>
      <c r="HW38" s="42"/>
      <c r="HX38" s="42"/>
      <c r="HY38" s="42"/>
      <c r="HZ38" s="42"/>
      <c r="IA38" s="42"/>
      <c r="IB38" s="42"/>
      <c r="IC38" s="42"/>
      <c r="ID38" s="42"/>
      <c r="IE38" s="42"/>
      <c r="IF38" s="42"/>
      <c r="IG38" s="42"/>
      <c r="IH38" s="42"/>
      <c r="II38" s="42"/>
      <c r="IJ38" s="42"/>
      <c r="IK38" s="42"/>
      <c r="IL38" s="42"/>
      <c r="IM38" s="42"/>
      <c r="IN38" s="42"/>
      <c r="IO38" s="42"/>
      <c r="IP38" s="42"/>
      <c r="IQ38" s="42"/>
      <c r="IR38" s="42"/>
      <c r="IS38" s="42"/>
      <c r="IT38" s="42"/>
      <c r="IU38" s="42"/>
      <c r="IV38" s="42"/>
      <c r="IW38" s="42"/>
      <c r="IX38" s="42"/>
      <c r="IY38" s="42"/>
      <c r="IZ38" s="42"/>
      <c r="JA38" s="42"/>
      <c r="JB38" s="42"/>
      <c r="JC38" s="42"/>
      <c r="JD38" s="42"/>
      <c r="JE38" s="42"/>
      <c r="JF38" s="42"/>
      <c r="JG38" s="42"/>
      <c r="JH38" s="42"/>
      <c r="JI38" s="42"/>
      <c r="JJ38" s="42"/>
      <c r="JK38" s="42"/>
      <c r="JL38" s="42"/>
      <c r="JM38" s="42"/>
      <c r="JN38" s="42"/>
      <c r="JO38" s="42"/>
      <c r="JP38" s="42"/>
      <c r="JQ38" s="42"/>
      <c r="JR38" s="42"/>
      <c r="JS38" s="42"/>
      <c r="JT38" s="42"/>
      <c r="JU38" s="42"/>
      <c r="JV38" s="42"/>
      <c r="JW38" s="42"/>
      <c r="JX38" s="42"/>
      <c r="JY38" s="42"/>
      <c r="JZ38" s="42"/>
      <c r="KA38" s="42"/>
      <c r="KB38" s="42"/>
      <c r="KC38" s="42"/>
      <c r="KD38" s="42"/>
      <c r="KE38" s="42"/>
      <c r="KF38" s="42"/>
      <c r="KG38" s="42"/>
      <c r="KH38" s="42"/>
      <c r="KI38" s="42"/>
      <c r="KJ38" s="42"/>
      <c r="KK38" s="42"/>
      <c r="KL38" s="42"/>
      <c r="KM38" s="42"/>
      <c r="KN38" s="42"/>
      <c r="KO38" s="42"/>
      <c r="KP38" s="42"/>
      <c r="KQ38" s="42"/>
      <c r="KR38" s="42"/>
      <c r="KS38" s="42"/>
      <c r="KT38" s="42"/>
      <c r="KU38" s="42"/>
      <c r="KV38" s="42"/>
      <c r="KW38" s="42"/>
      <c r="KX38" s="42"/>
      <c r="KY38" s="42"/>
      <c r="KZ38" s="42"/>
      <c r="LA38" s="42"/>
      <c r="LB38" s="42"/>
      <c r="LC38" s="42"/>
    </row>
    <row r="39" ht="15.75" customHeight="1">
      <c r="A39" s="42"/>
      <c r="B39" s="87" t="s">
        <v>238</v>
      </c>
      <c r="C39" s="69"/>
      <c r="D39" s="67"/>
      <c r="E39" s="87" t="s">
        <v>239</v>
      </c>
      <c r="F39" s="88" t="s">
        <v>188</v>
      </c>
      <c r="G39" s="88" t="s">
        <v>4</v>
      </c>
      <c r="H39" s="89" t="s">
        <v>190</v>
      </c>
      <c r="I39" s="87" t="s">
        <v>239</v>
      </c>
      <c r="J39" s="88" t="s">
        <v>188</v>
      </c>
      <c r="K39" s="88" t="s">
        <v>4</v>
      </c>
      <c r="L39" s="89" t="s">
        <v>190</v>
      </c>
      <c r="M39" s="87" t="s">
        <v>239</v>
      </c>
      <c r="N39" s="88" t="s">
        <v>188</v>
      </c>
      <c r="O39" s="88" t="s">
        <v>4</v>
      </c>
      <c r="P39" s="89" t="s">
        <v>190</v>
      </c>
      <c r="Q39" s="87" t="s">
        <v>239</v>
      </c>
      <c r="R39" s="88" t="s">
        <v>188</v>
      </c>
      <c r="S39" s="88" t="s">
        <v>4</v>
      </c>
      <c r="T39" s="89" t="s">
        <v>190</v>
      </c>
      <c r="U39" s="67"/>
      <c r="V39" s="87" t="s">
        <v>239</v>
      </c>
      <c r="W39" s="88" t="s">
        <v>188</v>
      </c>
      <c r="X39" s="88" t="s">
        <v>4</v>
      </c>
      <c r="Y39" s="89" t="s">
        <v>190</v>
      </c>
      <c r="Z39" s="87" t="s">
        <v>239</v>
      </c>
      <c r="AA39" s="88" t="s">
        <v>188</v>
      </c>
      <c r="AB39" s="88" t="s">
        <v>4</v>
      </c>
      <c r="AC39" s="89" t="s">
        <v>190</v>
      </c>
      <c r="AD39" s="87" t="s">
        <v>239</v>
      </c>
      <c r="AE39" s="88" t="s">
        <v>188</v>
      </c>
      <c r="AF39" s="88" t="s">
        <v>4</v>
      </c>
      <c r="AG39" s="89" t="s">
        <v>190</v>
      </c>
      <c r="AH39" s="87" t="s">
        <v>239</v>
      </c>
      <c r="AI39" s="88" t="s">
        <v>188</v>
      </c>
      <c r="AJ39" s="88" t="s">
        <v>4</v>
      </c>
      <c r="AK39" s="89" t="s">
        <v>190</v>
      </c>
      <c r="AL39" s="87" t="s">
        <v>239</v>
      </c>
      <c r="AM39" s="88" t="s">
        <v>188</v>
      </c>
      <c r="AN39" s="88" t="s">
        <v>4</v>
      </c>
      <c r="AO39" s="89" t="s">
        <v>190</v>
      </c>
      <c r="AP39" s="87" t="s">
        <v>239</v>
      </c>
      <c r="AQ39" s="88" t="s">
        <v>188</v>
      </c>
      <c r="AR39" s="88" t="s">
        <v>4</v>
      </c>
      <c r="AS39" s="89" t="s">
        <v>190</v>
      </c>
      <c r="AT39" s="67"/>
      <c r="AU39" s="87" t="s">
        <v>239</v>
      </c>
      <c r="AV39" s="88" t="s">
        <v>188</v>
      </c>
      <c r="AW39" s="88" t="s">
        <v>4</v>
      </c>
      <c r="AX39" s="89" t="s">
        <v>190</v>
      </c>
      <c r="AY39" s="87" t="s">
        <v>239</v>
      </c>
      <c r="AZ39" s="88" t="s">
        <v>188</v>
      </c>
      <c r="BA39" s="88" t="s">
        <v>4</v>
      </c>
      <c r="BB39" s="89" t="s">
        <v>190</v>
      </c>
      <c r="BC39" s="87" t="s">
        <v>239</v>
      </c>
      <c r="BD39" s="88" t="s">
        <v>188</v>
      </c>
      <c r="BE39" s="88" t="s">
        <v>4</v>
      </c>
      <c r="BF39" s="89" t="s">
        <v>190</v>
      </c>
      <c r="BG39" s="87" t="s">
        <v>239</v>
      </c>
      <c r="BH39" s="88" t="s">
        <v>188</v>
      </c>
      <c r="BI39" s="88" t="s">
        <v>4</v>
      </c>
      <c r="BJ39" s="89" t="s">
        <v>190</v>
      </c>
      <c r="BK39" s="87" t="s">
        <v>239</v>
      </c>
      <c r="BL39" s="88" t="s">
        <v>188</v>
      </c>
      <c r="BM39" s="88" t="s">
        <v>4</v>
      </c>
      <c r="BN39" s="89" t="s">
        <v>190</v>
      </c>
      <c r="BO39" s="87" t="s">
        <v>239</v>
      </c>
      <c r="BP39" s="88" t="s">
        <v>188</v>
      </c>
      <c r="BQ39" s="88" t="s">
        <v>4</v>
      </c>
      <c r="BR39" s="89" t="s">
        <v>190</v>
      </c>
      <c r="BS39" s="67"/>
      <c r="BT39" s="87" t="s">
        <v>239</v>
      </c>
      <c r="BU39" s="88" t="s">
        <v>188</v>
      </c>
      <c r="BV39" s="88" t="s">
        <v>4</v>
      </c>
      <c r="BW39" s="89" t="s">
        <v>190</v>
      </c>
      <c r="BX39" s="87" t="s">
        <v>239</v>
      </c>
      <c r="BY39" s="88" t="s">
        <v>188</v>
      </c>
      <c r="BZ39" s="88" t="s">
        <v>4</v>
      </c>
      <c r="CA39" s="89" t="s">
        <v>190</v>
      </c>
      <c r="CB39" s="87" t="s">
        <v>239</v>
      </c>
      <c r="CC39" s="88" t="s">
        <v>188</v>
      </c>
      <c r="CD39" s="88" t="s">
        <v>4</v>
      </c>
      <c r="CE39" s="89" t="s">
        <v>190</v>
      </c>
      <c r="CF39" s="87" t="s">
        <v>239</v>
      </c>
      <c r="CG39" s="88" t="s">
        <v>188</v>
      </c>
      <c r="CH39" s="88" t="s">
        <v>4</v>
      </c>
      <c r="CI39" s="89" t="s">
        <v>190</v>
      </c>
      <c r="CJ39" s="87" t="s">
        <v>239</v>
      </c>
      <c r="CK39" s="88" t="s">
        <v>188</v>
      </c>
      <c r="CL39" s="88" t="s">
        <v>4</v>
      </c>
      <c r="CM39" s="89" t="s">
        <v>190</v>
      </c>
      <c r="CN39" s="87" t="s">
        <v>239</v>
      </c>
      <c r="CO39" s="88" t="s">
        <v>188</v>
      </c>
      <c r="CP39" s="88" t="s">
        <v>4</v>
      </c>
      <c r="CQ39" s="89" t="s">
        <v>190</v>
      </c>
      <c r="CR39" s="67"/>
      <c r="CS39" s="87" t="s">
        <v>239</v>
      </c>
      <c r="CT39" s="88" t="s">
        <v>188</v>
      </c>
      <c r="CU39" s="88" t="s">
        <v>4</v>
      </c>
      <c r="CV39" s="89" t="s">
        <v>190</v>
      </c>
      <c r="CW39" s="87" t="s">
        <v>239</v>
      </c>
      <c r="CX39" s="88" t="s">
        <v>188</v>
      </c>
      <c r="CY39" s="88" t="s">
        <v>4</v>
      </c>
      <c r="CZ39" s="89" t="s">
        <v>190</v>
      </c>
      <c r="DA39" s="87" t="s">
        <v>239</v>
      </c>
      <c r="DB39" s="88" t="s">
        <v>188</v>
      </c>
      <c r="DC39" s="88" t="s">
        <v>4</v>
      </c>
      <c r="DD39" s="89" t="s">
        <v>190</v>
      </c>
      <c r="DE39" s="87" t="s">
        <v>239</v>
      </c>
      <c r="DF39" s="88" t="s">
        <v>188</v>
      </c>
      <c r="DG39" s="88" t="s">
        <v>4</v>
      </c>
      <c r="DH39" s="89" t="s">
        <v>190</v>
      </c>
      <c r="DI39" s="87" t="s">
        <v>239</v>
      </c>
      <c r="DJ39" s="88" t="s">
        <v>188</v>
      </c>
      <c r="DK39" s="88" t="s">
        <v>4</v>
      </c>
      <c r="DL39" s="89" t="s">
        <v>190</v>
      </c>
      <c r="DM39" s="87" t="s">
        <v>239</v>
      </c>
      <c r="DN39" s="88" t="s">
        <v>188</v>
      </c>
      <c r="DO39" s="88" t="s">
        <v>4</v>
      </c>
      <c r="DP39" s="89" t="s">
        <v>190</v>
      </c>
      <c r="DQ39" s="67"/>
      <c r="DR39" s="87" t="s">
        <v>239</v>
      </c>
      <c r="DS39" s="88" t="s">
        <v>188</v>
      </c>
      <c r="DT39" s="88" t="s">
        <v>4</v>
      </c>
      <c r="DU39" s="89" t="s">
        <v>190</v>
      </c>
      <c r="DV39" s="87" t="s">
        <v>239</v>
      </c>
      <c r="DW39" s="88" t="s">
        <v>188</v>
      </c>
      <c r="DX39" s="88" t="s">
        <v>4</v>
      </c>
      <c r="DY39" s="89" t="s">
        <v>190</v>
      </c>
      <c r="DZ39" s="87" t="s">
        <v>239</v>
      </c>
      <c r="EA39" s="88" t="s">
        <v>188</v>
      </c>
      <c r="EB39" s="88" t="s">
        <v>4</v>
      </c>
      <c r="EC39" s="89" t="s">
        <v>190</v>
      </c>
      <c r="ED39" s="87" t="s">
        <v>239</v>
      </c>
      <c r="EE39" s="88" t="s">
        <v>188</v>
      </c>
      <c r="EF39" s="88" t="s">
        <v>4</v>
      </c>
      <c r="EG39" s="89" t="s">
        <v>190</v>
      </c>
      <c r="EH39" s="87" t="s">
        <v>239</v>
      </c>
      <c r="EI39" s="88" t="s">
        <v>188</v>
      </c>
      <c r="EJ39" s="88" t="s">
        <v>4</v>
      </c>
      <c r="EK39" s="89" t="s">
        <v>190</v>
      </c>
      <c r="EL39" s="87" t="s">
        <v>239</v>
      </c>
      <c r="EM39" s="88" t="s">
        <v>188</v>
      </c>
      <c r="EN39" s="88" t="s">
        <v>4</v>
      </c>
      <c r="EO39" s="89" t="s">
        <v>190</v>
      </c>
      <c r="EP39" s="67"/>
      <c r="EQ39" s="87" t="s">
        <v>239</v>
      </c>
      <c r="ER39" s="88" t="s">
        <v>188</v>
      </c>
      <c r="ES39" s="88" t="s">
        <v>4</v>
      </c>
      <c r="ET39" s="89" t="s">
        <v>190</v>
      </c>
      <c r="EU39" s="87" t="s">
        <v>239</v>
      </c>
      <c r="EV39" s="88" t="s">
        <v>188</v>
      </c>
      <c r="EW39" s="88" t="s">
        <v>4</v>
      </c>
      <c r="EX39" s="89" t="s">
        <v>190</v>
      </c>
      <c r="EY39" s="87" t="s">
        <v>239</v>
      </c>
      <c r="EZ39" s="88" t="s">
        <v>188</v>
      </c>
      <c r="FA39" s="88" t="s">
        <v>4</v>
      </c>
      <c r="FB39" s="89" t="s">
        <v>190</v>
      </c>
      <c r="FC39" s="87" t="s">
        <v>239</v>
      </c>
      <c r="FD39" s="88" t="s">
        <v>188</v>
      </c>
      <c r="FE39" s="88" t="s">
        <v>4</v>
      </c>
      <c r="FF39" s="89" t="s">
        <v>190</v>
      </c>
      <c r="FG39" s="87" t="s">
        <v>239</v>
      </c>
      <c r="FH39" s="88" t="s">
        <v>188</v>
      </c>
      <c r="FI39" s="88" t="s">
        <v>4</v>
      </c>
      <c r="FJ39" s="89" t="s">
        <v>190</v>
      </c>
      <c r="FK39" s="87" t="s">
        <v>239</v>
      </c>
      <c r="FL39" s="88" t="s">
        <v>188</v>
      </c>
      <c r="FM39" s="88" t="s">
        <v>4</v>
      </c>
      <c r="FN39" s="89" t="s">
        <v>190</v>
      </c>
      <c r="FO39" s="67"/>
      <c r="FP39" s="87" t="s">
        <v>239</v>
      </c>
      <c r="FQ39" s="88" t="s">
        <v>188</v>
      </c>
      <c r="FR39" s="88" t="s">
        <v>4</v>
      </c>
      <c r="FS39" s="89" t="s">
        <v>190</v>
      </c>
      <c r="FT39" s="87" t="s">
        <v>239</v>
      </c>
      <c r="FU39" s="88" t="s">
        <v>188</v>
      </c>
      <c r="FV39" s="88" t="s">
        <v>4</v>
      </c>
      <c r="FW39" s="89" t="s">
        <v>190</v>
      </c>
      <c r="FX39" s="87" t="s">
        <v>239</v>
      </c>
      <c r="FY39" s="88" t="s">
        <v>188</v>
      </c>
      <c r="FZ39" s="88" t="s">
        <v>4</v>
      </c>
      <c r="GA39" s="89" t="s">
        <v>190</v>
      </c>
      <c r="GB39" s="87" t="s">
        <v>239</v>
      </c>
      <c r="GC39" s="88" t="s">
        <v>188</v>
      </c>
      <c r="GD39" s="88" t="s">
        <v>4</v>
      </c>
      <c r="GE39" s="89" t="s">
        <v>190</v>
      </c>
      <c r="GF39" s="87" t="s">
        <v>239</v>
      </c>
      <c r="GG39" s="88" t="s">
        <v>188</v>
      </c>
      <c r="GH39" s="88" t="s">
        <v>4</v>
      </c>
      <c r="GI39" s="89" t="s">
        <v>190</v>
      </c>
      <c r="GJ39" s="87" t="s">
        <v>239</v>
      </c>
      <c r="GK39" s="88" t="s">
        <v>188</v>
      </c>
      <c r="GL39" s="88" t="s">
        <v>4</v>
      </c>
      <c r="GM39" s="89" t="s">
        <v>190</v>
      </c>
      <c r="GN39" s="67"/>
      <c r="GO39" s="87" t="s">
        <v>239</v>
      </c>
      <c r="GP39" s="88" t="s">
        <v>188</v>
      </c>
      <c r="GQ39" s="88" t="s">
        <v>4</v>
      </c>
      <c r="GR39" s="89" t="s">
        <v>190</v>
      </c>
      <c r="GS39" s="87" t="s">
        <v>239</v>
      </c>
      <c r="GT39" s="88" t="s">
        <v>188</v>
      </c>
      <c r="GU39" s="88" t="s">
        <v>4</v>
      </c>
      <c r="GV39" s="89" t="s">
        <v>190</v>
      </c>
      <c r="GW39" s="87" t="s">
        <v>239</v>
      </c>
      <c r="GX39" s="88" t="s">
        <v>188</v>
      </c>
      <c r="GY39" s="88" t="s">
        <v>4</v>
      </c>
      <c r="GZ39" s="89" t="s">
        <v>190</v>
      </c>
      <c r="HA39" s="87" t="s">
        <v>239</v>
      </c>
      <c r="HB39" s="88" t="s">
        <v>188</v>
      </c>
      <c r="HC39" s="88" t="s">
        <v>4</v>
      </c>
      <c r="HD39" s="89" t="s">
        <v>190</v>
      </c>
      <c r="HE39" s="87" t="s">
        <v>239</v>
      </c>
      <c r="HF39" s="88" t="s">
        <v>188</v>
      </c>
      <c r="HG39" s="88" t="s">
        <v>4</v>
      </c>
      <c r="HH39" s="89" t="s">
        <v>190</v>
      </c>
      <c r="HI39" s="87" t="s">
        <v>239</v>
      </c>
      <c r="HJ39" s="88" t="s">
        <v>188</v>
      </c>
      <c r="HK39" s="88" t="s">
        <v>4</v>
      </c>
      <c r="HL39" s="89" t="s">
        <v>190</v>
      </c>
      <c r="HM39" s="67"/>
      <c r="HN39" s="87" t="s">
        <v>239</v>
      </c>
      <c r="HO39" s="88" t="s">
        <v>188</v>
      </c>
      <c r="HP39" s="88" t="s">
        <v>4</v>
      </c>
      <c r="HQ39" s="89" t="s">
        <v>190</v>
      </c>
      <c r="HR39" s="87" t="s">
        <v>239</v>
      </c>
      <c r="HS39" s="88" t="s">
        <v>188</v>
      </c>
      <c r="HT39" s="88" t="s">
        <v>4</v>
      </c>
      <c r="HU39" s="89" t="s">
        <v>190</v>
      </c>
      <c r="HV39" s="87" t="s">
        <v>239</v>
      </c>
      <c r="HW39" s="88" t="s">
        <v>188</v>
      </c>
      <c r="HX39" s="88" t="s">
        <v>4</v>
      </c>
      <c r="HY39" s="89" t="s">
        <v>190</v>
      </c>
      <c r="HZ39" s="87" t="s">
        <v>239</v>
      </c>
      <c r="IA39" s="88" t="s">
        <v>188</v>
      </c>
      <c r="IB39" s="88" t="s">
        <v>4</v>
      </c>
      <c r="IC39" s="89" t="s">
        <v>190</v>
      </c>
      <c r="ID39" s="87" t="s">
        <v>239</v>
      </c>
      <c r="IE39" s="88" t="s">
        <v>188</v>
      </c>
      <c r="IF39" s="88" t="s">
        <v>4</v>
      </c>
      <c r="IG39" s="89" t="s">
        <v>190</v>
      </c>
      <c r="IH39" s="87" t="s">
        <v>239</v>
      </c>
      <c r="II39" s="88" t="s">
        <v>188</v>
      </c>
      <c r="IJ39" s="88" t="s">
        <v>4</v>
      </c>
      <c r="IK39" s="89" t="s">
        <v>190</v>
      </c>
      <c r="IL39" s="67"/>
      <c r="IM39" s="87" t="s">
        <v>239</v>
      </c>
      <c r="IN39" s="88" t="s">
        <v>188</v>
      </c>
      <c r="IO39" s="88" t="s">
        <v>4</v>
      </c>
      <c r="IP39" s="89" t="s">
        <v>190</v>
      </c>
      <c r="IQ39" s="87" t="s">
        <v>239</v>
      </c>
      <c r="IR39" s="88" t="s">
        <v>188</v>
      </c>
      <c r="IS39" s="88" t="s">
        <v>4</v>
      </c>
      <c r="IT39" s="89" t="s">
        <v>190</v>
      </c>
      <c r="IU39" s="87" t="s">
        <v>239</v>
      </c>
      <c r="IV39" s="88" t="s">
        <v>188</v>
      </c>
      <c r="IW39" s="88" t="s">
        <v>4</v>
      </c>
      <c r="IX39" s="89" t="s">
        <v>190</v>
      </c>
      <c r="IY39" s="87" t="s">
        <v>239</v>
      </c>
      <c r="IZ39" s="88" t="s">
        <v>188</v>
      </c>
      <c r="JA39" s="88" t="s">
        <v>4</v>
      </c>
      <c r="JB39" s="89" t="s">
        <v>190</v>
      </c>
      <c r="JC39" s="87" t="s">
        <v>239</v>
      </c>
      <c r="JD39" s="88" t="s">
        <v>188</v>
      </c>
      <c r="JE39" s="88" t="s">
        <v>4</v>
      </c>
      <c r="JF39" s="89" t="s">
        <v>190</v>
      </c>
      <c r="JG39" s="87" t="s">
        <v>239</v>
      </c>
      <c r="JH39" s="88" t="s">
        <v>188</v>
      </c>
      <c r="JI39" s="88" t="s">
        <v>4</v>
      </c>
      <c r="JJ39" s="89" t="s">
        <v>190</v>
      </c>
      <c r="JK39" s="67"/>
      <c r="JL39" s="87" t="s">
        <v>239</v>
      </c>
      <c r="JM39" s="88" t="s">
        <v>188</v>
      </c>
      <c r="JN39" s="88" t="s">
        <v>4</v>
      </c>
      <c r="JO39" s="89" t="s">
        <v>190</v>
      </c>
      <c r="JP39" s="87" t="s">
        <v>239</v>
      </c>
      <c r="JQ39" s="88" t="s">
        <v>188</v>
      </c>
      <c r="JR39" s="88" t="s">
        <v>4</v>
      </c>
      <c r="JS39" s="89" t="s">
        <v>190</v>
      </c>
      <c r="JT39" s="87" t="s">
        <v>239</v>
      </c>
      <c r="JU39" s="88" t="s">
        <v>188</v>
      </c>
      <c r="JV39" s="88" t="s">
        <v>4</v>
      </c>
      <c r="JW39" s="89" t="s">
        <v>190</v>
      </c>
      <c r="JX39" s="87" t="s">
        <v>239</v>
      </c>
      <c r="JY39" s="88" t="s">
        <v>188</v>
      </c>
      <c r="JZ39" s="88" t="s">
        <v>4</v>
      </c>
      <c r="KA39" s="89" t="s">
        <v>190</v>
      </c>
      <c r="KB39" s="87" t="s">
        <v>239</v>
      </c>
      <c r="KC39" s="88" t="s">
        <v>188</v>
      </c>
      <c r="KD39" s="88" t="s">
        <v>4</v>
      </c>
      <c r="KE39" s="89" t="s">
        <v>190</v>
      </c>
      <c r="KF39" s="87" t="s">
        <v>239</v>
      </c>
      <c r="KG39" s="88" t="s">
        <v>188</v>
      </c>
      <c r="KH39" s="88" t="s">
        <v>4</v>
      </c>
      <c r="KI39" s="89" t="s">
        <v>190</v>
      </c>
      <c r="KJ39" s="67"/>
      <c r="KK39" s="67"/>
      <c r="KL39" s="67"/>
      <c r="KM39" s="67"/>
      <c r="KN39" s="67"/>
      <c r="KO39" s="67"/>
      <c r="KP39" s="67"/>
      <c r="KQ39" s="67"/>
      <c r="KR39" s="67"/>
      <c r="KS39" s="67"/>
      <c r="KT39" s="67"/>
      <c r="KU39" s="67"/>
      <c r="KV39" s="67"/>
      <c r="KW39" s="67"/>
      <c r="KX39" s="67"/>
      <c r="KY39" s="67"/>
      <c r="KZ39" s="67"/>
      <c r="LA39" s="67"/>
      <c r="LB39" s="67"/>
      <c r="LC39" s="67"/>
    </row>
    <row r="40" ht="15.75" customHeight="1">
      <c r="A40" s="42"/>
      <c r="B40" s="68" t="s">
        <v>195</v>
      </c>
      <c r="C40" s="69"/>
      <c r="D40" s="70"/>
      <c r="E40" s="71"/>
      <c r="F40" s="32"/>
      <c r="G40" s="72" t="str">
        <f t="array" ref="G40">IFERROR(IF(XLOOKUP(CONCAT(E40,F40),'MASTER PLAN'!$AB:$AB,'MASTER PLAN'!$J:$J,0,0)=0,"",XLOOKUP(CONCAT(E40,F40),'MASTER PLAN'!$AB:$AB,'MASTER PLAN'!$J:$J,0,0)),"")</f>
        <v/>
      </c>
      <c r="H40" s="73" t="str">
        <f t="array" ref="H40">IFERROR(IF(XLOOKUP(CONCAT(E40,F40),'PROCESOS PRD'!$J:$J,'PROCESOS PRD'!$H:$H,0,0)=0,"",XLOOKUP(CONCAT(E40,F40),'PROCESOS PRD'!$J:$J,'PROCESOS PRD'!$H:$H,0,0)),"")</f>
        <v/>
      </c>
      <c r="I40" s="71"/>
      <c r="J40" s="32"/>
      <c r="K40" s="72" t="str">
        <f t="array" ref="K40">IFERROR(IF(XLOOKUP(CONCAT(I40,J40),'MASTER PLAN'!$AB:$AB,'MASTER PLAN'!$J:$J,0,0)=0,"",XLOOKUP(CONCAT(I40,J40),'MASTER PLAN'!$AB:$AB,'MASTER PLAN'!$J:$J,0,0)),"")</f>
        <v/>
      </c>
      <c r="L40" s="73" t="str">
        <f t="array" ref="L40">IFERROR(IF(XLOOKUP(CONCAT(I40,J40),'PROCESOS PRD'!$J:$J,'PROCESOS PRD'!$H:$H,0,0)=0,"",XLOOKUP(CONCAT(I40,J40),'PROCESOS PRD'!$J:$J,'PROCESOS PRD'!$H:$H,0,0)),"")</f>
        <v/>
      </c>
      <c r="M40" s="71"/>
      <c r="N40" s="32"/>
      <c r="O40" s="72" t="str">
        <f t="array" ref="O40">IFERROR(IF(XLOOKUP(CONCAT(M40,N40),'MASTER PLAN'!$AB:$AB,'MASTER PLAN'!$J:$J,0,0)=0,"",XLOOKUP(CONCAT(M40,N40),'MASTER PLAN'!$AB:$AB,'MASTER PLAN'!$J:$J,0,0)),"")</f>
        <v/>
      </c>
      <c r="P40" s="73" t="str">
        <f t="array" ref="P40">IFERROR(IF(XLOOKUP(CONCAT(M40,N40),'PROCESOS PRD'!$J:$J,'PROCESOS PRD'!$H:$H,0,0)=0,"",XLOOKUP(CONCAT(M40,N40),'PROCESOS PRD'!$J:$J,'PROCESOS PRD'!$H:$H,0,0)),"")</f>
        <v/>
      </c>
      <c r="Q40" s="71"/>
      <c r="R40" s="32"/>
      <c r="S40" s="72" t="str">
        <f t="array" ref="S40">IFERROR(IF(XLOOKUP(CONCAT(Q40,R40),'MASTER PLAN'!$AB:$AB,'MASTER PLAN'!$J:$J,0,0)=0,"",XLOOKUP(CONCAT(Q40,R40),'MASTER PLAN'!$AB:$AB,'MASTER PLAN'!$J:$J,0,0)),"")</f>
        <v/>
      </c>
      <c r="T40" s="73" t="str">
        <f t="array" ref="T40">IFERROR(IF(XLOOKUP(CONCAT(Q40,R40),'PROCESOS PRD'!$J:$J,'PROCESOS PRD'!$H:$H,0,0)=0,"",XLOOKUP(CONCAT(Q40,R40),'PROCESOS PRD'!$J:$J,'PROCESOS PRD'!$H:$H,0,0)),"")</f>
        <v/>
      </c>
      <c r="U40" s="70"/>
      <c r="V40" s="71"/>
      <c r="W40" s="32"/>
      <c r="X40" s="72" t="str">
        <f t="array" ref="X40">IFERROR(IF(XLOOKUP(CONCAT(V40,W40),'MASTER PLAN'!$AB:$AB,'MASTER PLAN'!$J:$J,0,0)=0,"",XLOOKUP(CONCAT(V40,W40),'MASTER PLAN'!$AB:$AB,'MASTER PLAN'!$J:$J,0,0)),"")</f>
        <v/>
      </c>
      <c r="Y40" s="73" t="str">
        <f t="array" ref="Y40">IFERROR(IF(XLOOKUP(CONCAT(V40,W40),'PROCESOS PRD'!$J:$J,'PROCESOS PRD'!$H:$H,0,0)=0,"",XLOOKUP(CONCAT(V40,W40),'PROCESOS PRD'!$J:$J,'PROCESOS PRD'!$H:$H,0,0)),"")</f>
        <v/>
      </c>
      <c r="Z40" s="71"/>
      <c r="AA40" s="32"/>
      <c r="AB40" s="72" t="str">
        <f t="array" ref="AB40">IFERROR(IF(XLOOKUP(CONCAT(Z40,AA40),'MASTER PLAN'!$AB:$AB,'MASTER PLAN'!$J:$J,0,0)=0,"",XLOOKUP(CONCAT(Z40,AA40),'MASTER PLAN'!$AB:$AB,'MASTER PLAN'!$J:$J,0,0)),"")</f>
        <v/>
      </c>
      <c r="AC40" s="73" t="str">
        <f t="array" ref="AC40">IFERROR(IF(XLOOKUP(CONCAT(Z40,AA40),'PROCESOS PRD'!$J:$J,'PROCESOS PRD'!$H:$H,0,0)=0,"",XLOOKUP(CONCAT(Z40,AA40),'PROCESOS PRD'!$J:$J,'PROCESOS PRD'!$H:$H,0,0)),"")</f>
        <v/>
      </c>
      <c r="AD40" s="71"/>
      <c r="AE40" s="32"/>
      <c r="AF40" s="72" t="str">
        <f t="array" ref="AF40">IFERROR(IF(XLOOKUP(CONCAT(AD40,AE40),'MASTER PLAN'!$AB:$AB,'MASTER PLAN'!$J:$J,0,0)=0,"",XLOOKUP(CONCAT(AD40,AE40),'MASTER PLAN'!$AB:$AB,'MASTER PLAN'!$J:$J,0,0)),"")</f>
        <v/>
      </c>
      <c r="AG40" s="73" t="str">
        <f t="array" ref="AG40">IFERROR(IF(XLOOKUP(CONCAT(AD40,AE40),'PROCESOS PRD'!$J:$J,'PROCESOS PRD'!$H:$H,0,0)=0,"",XLOOKUP(CONCAT(AD40,AE40),'PROCESOS PRD'!$J:$J,'PROCESOS PRD'!$H:$H,0,0)),"")</f>
        <v/>
      </c>
      <c r="AH40" s="71"/>
      <c r="AI40" s="32"/>
      <c r="AJ40" s="72" t="str">
        <f t="array" ref="AJ40">IFERROR(IF(XLOOKUP(CONCAT(AH40,AI40),'MASTER PLAN'!$AB:$AB,'MASTER PLAN'!$J:$J,0,0)=0,"",XLOOKUP(CONCAT(AH40,AI40),'MASTER PLAN'!$AB:$AB,'MASTER PLAN'!$J:$J,0,0)),"")</f>
        <v/>
      </c>
      <c r="AK40" s="73" t="str">
        <f t="array" ref="AK40">IFERROR(IF(XLOOKUP(CONCAT(AH40,AI40),'PROCESOS PRD'!$J:$J,'PROCESOS PRD'!$H:$H,0,0)=0,"",XLOOKUP(CONCAT(AH40,AI40),'PROCESOS PRD'!$J:$J,'PROCESOS PRD'!$H:$H,0,0)),"")</f>
        <v/>
      </c>
      <c r="AL40" s="71">
        <v>1.402049286E9</v>
      </c>
      <c r="AM40" s="32">
        <v>10.0</v>
      </c>
      <c r="AN40" s="72" t="str">
        <f t="array" ref="AN40">IFERROR(IF(XLOOKUP(CONCAT(AL40,AM40),'MASTER PLAN'!$AB:$AB,'MASTER PLAN'!$J:$J,0,0)=0,"",XLOOKUP(CONCAT(AL40,AM40),'MASTER PLAN'!$AB:$AB,'MASTER PLAN'!$J:$J,0,0)),"")</f>
        <v>BOLSA HUNTINGTON 6-5"X3-5"X6-5"</v>
      </c>
      <c r="AO40" s="73">
        <f t="array" ref="AO40">IFERROR(IF(XLOOKUP(CONCAT(AL40,AM40),'PROCESOS PRD'!$J:$J,'PROCESOS PRD'!$H:$H,0,0)=0,"",XLOOKUP(CONCAT(AL40,AM40),'PROCESOS PRD'!$J:$J,'PROCESOS PRD'!$H:$H,0,0)),"")</f>
        <v>5400</v>
      </c>
      <c r="AP40" s="71"/>
      <c r="AQ40" s="32"/>
      <c r="AR40" s="72" t="str">
        <f t="array" ref="AR40">IFERROR(IF(XLOOKUP(CONCAT(AP40,AQ40),'MASTER PLAN'!$AB:$AB,'MASTER PLAN'!$J:$J,0,0)=0,"",XLOOKUP(CONCAT(AP40,AQ40),'MASTER PLAN'!$AB:$AB,'MASTER PLAN'!$J:$J,0,0)),"")</f>
        <v/>
      </c>
      <c r="AS40" s="73" t="str">
        <f t="array" ref="AS40">IFERROR(IF(XLOOKUP(CONCAT(AP40,AQ40),'PROCESOS PRD'!$J:$J,'PROCESOS PRD'!$H:$H,0,0)=0,"",XLOOKUP(CONCAT(AP40,AQ40),'PROCESOS PRD'!$J:$J,'PROCESOS PRD'!$H:$H,0,0)),"")</f>
        <v/>
      </c>
      <c r="AT40" s="70"/>
      <c r="AU40" s="71">
        <v>1.402049362E9</v>
      </c>
      <c r="AV40" s="32">
        <v>10.0</v>
      </c>
      <c r="AW40" s="72" t="str">
        <f t="array" ref="AW40">IFERROR(IF(XLOOKUP(CONCAT(AU40,AV40),'MASTER PLAN'!$AB:$AB,'MASTER PLAN'!$J:$J,0,0)=0,"",XLOOKUP(CONCAT(AU40,AV40),'MASTER PLAN'!$AB:$AB,'MASTER PLAN'!$J:$J,0,0)),"")</f>
        <v>BOLSA SCHWANKE KASTEN CO 10"X6"X8"</v>
      </c>
      <c r="AX40" s="73">
        <f t="array" ref="AX40">IFERROR(IF(XLOOKUP(CONCAT(AU40,AV40),'PROCESOS PRD'!$J:$J,'PROCESOS PRD'!$H:$H,0,0)=0,"",XLOOKUP(CONCAT(AU40,AV40),'PROCESOS PRD'!$J:$J,'PROCESOS PRD'!$H:$H,0,0)),"")</f>
        <v>2400</v>
      </c>
      <c r="AY40" s="71"/>
      <c r="AZ40" s="32"/>
      <c r="BA40" s="72" t="str">
        <f t="array" ref="BA40">IFERROR(IF(XLOOKUP(CONCAT(AY40,AZ40),'MASTER PLAN'!$AB:$AB,'MASTER PLAN'!$J:$J,0,0)=0,"",XLOOKUP(CONCAT(AY40,AZ40),'MASTER PLAN'!$AB:$AB,'MASTER PLAN'!$J:$J,0,0)),"")</f>
        <v/>
      </c>
      <c r="BB40" s="73" t="str">
        <f t="array" ref="BB40">IFERROR(IF(XLOOKUP(CONCAT(AY40,AZ40),'PROCESOS PRD'!$J:$J,'PROCESOS PRD'!$H:$H,0,0)=0,"",XLOOKUP(CONCAT(AY40,AZ40),'PROCESOS PRD'!$J:$J,'PROCESOS PRD'!$H:$H,0,0)),"")</f>
        <v/>
      </c>
      <c r="BC40" s="71"/>
      <c r="BD40" s="32"/>
      <c r="BE40" s="72" t="str">
        <f t="array" ref="BE40">IFERROR(IF(XLOOKUP(CONCAT(BC40,BD40),'MASTER PLAN'!$AB:$AB,'MASTER PLAN'!$J:$J,0,0)=0,"",XLOOKUP(CONCAT(BC40,BD40),'MASTER PLAN'!$AB:$AB,'MASTER PLAN'!$J:$J,0,0)),"")</f>
        <v/>
      </c>
      <c r="BF40" s="73" t="str">
        <f t="array" ref="BF40">IFERROR(IF(XLOOKUP(CONCAT(BC40,BD40),'PROCESOS PRD'!$J:$J,'PROCESOS PRD'!$H:$H,0,0)=0,"",XLOOKUP(CONCAT(BC40,BD40),'PROCESOS PRD'!$J:$J,'PROCESOS PRD'!$H:$H,0,0)),"")</f>
        <v/>
      </c>
      <c r="BG40" s="71">
        <v>1.402049349E9</v>
      </c>
      <c r="BH40" s="32">
        <v>10.0</v>
      </c>
      <c r="BI40" s="72" t="str">
        <f t="array" ref="BI40">IFERROR(IF(XLOOKUP(CONCAT(BG40,BH40),'MASTER PLAN'!$AB:$AB,'MASTER PLAN'!$J:$J,0,0)=0,"",XLOOKUP(CONCAT(BG40,BH40),'MASTER PLAN'!$AB:$AB,'MASTER PLAN'!$J:$J,0,0)),"")</f>
        <v>BOLSA WSHM WOS 10"X6"X10" FA</v>
      </c>
      <c r="BJ40" s="73">
        <f t="array" ref="BJ40">IFERROR(IF(XLOOKUP(CONCAT(BG40,BH40),'PROCESOS PRD'!$J:$J,'PROCESOS PRD'!$H:$H,0,0)=0,"",XLOOKUP(CONCAT(BG40,BH40),'PROCESOS PRD'!$J:$J,'PROCESOS PRD'!$H:$H,0,0)),"")</f>
        <v>18000</v>
      </c>
      <c r="BK40" s="71"/>
      <c r="BL40" s="32"/>
      <c r="BM40" s="72" t="str">
        <f t="array" ref="BM40">IFERROR(IF(XLOOKUP(CONCAT(BK40,BL40),'MASTER PLAN'!$AB:$AB,'MASTER PLAN'!$J:$J,0,0)=0,"",XLOOKUP(CONCAT(BK40,BL40),'MASTER PLAN'!$AB:$AB,'MASTER PLAN'!$J:$J,0,0)),"")</f>
        <v/>
      </c>
      <c r="BN40" s="73" t="str">
        <f t="array" ref="BN40">IFERROR(IF(XLOOKUP(CONCAT(BK40,BL40),'PROCESOS PRD'!$J:$J,'PROCESOS PRD'!$H:$H,0,0)=0,"",XLOOKUP(CONCAT(BK40,BL40),'PROCESOS PRD'!$J:$J,'PROCESOS PRD'!$H:$H,0,0)),"")</f>
        <v/>
      </c>
      <c r="BO40" s="71"/>
      <c r="BP40" s="32"/>
      <c r="BQ40" s="72" t="str">
        <f t="array" ref="BQ40">IFERROR(IF(XLOOKUP(CONCAT(BO40,BP40),'MASTER PLAN'!$AB:$AB,'MASTER PLAN'!$J:$J,0,0)=0,"",XLOOKUP(CONCAT(BO40,BP40),'MASTER PLAN'!$AB:$AB,'MASTER PLAN'!$J:$J,0,0)),"")</f>
        <v/>
      </c>
      <c r="BR40" s="73" t="str">
        <f t="array" ref="BR40">IFERROR(IF(XLOOKUP(CONCAT(BO40,BP40),'PROCESOS PRD'!$J:$J,'PROCESOS PRD'!$H:$H,0,0)=0,"",XLOOKUP(CONCAT(BO40,BP40),'PROCESOS PRD'!$J:$J,'PROCESOS PRD'!$H:$H,0,0)),"")</f>
        <v/>
      </c>
      <c r="BS40" s="70"/>
      <c r="BT40" s="71">
        <v>1.402049318E9</v>
      </c>
      <c r="BU40" s="32">
        <v>10.0</v>
      </c>
      <c r="BV40" s="72" t="str">
        <f t="array" ref="BV40">IFERROR(IF(XLOOKUP(CONCAT(BT40,BU40),'MASTER PLAN'!$AB:$AB,'MASTER PLAN'!$J:$J,0,0)=0,"",XLOOKUP(CONCAT(BT40,BU40),'MASTER PLAN'!$AB:$AB,'MASTER PLAN'!$J:$J,0,0)),"")</f>
        <v>BOLSA WATERFALL JEWELERS 6-5"X3-5"X6-5"</v>
      </c>
      <c r="BW40" s="73">
        <f t="array" ref="BW40">IFERROR(IF(XLOOKUP(CONCAT(BT40,BU40),'PROCESOS PRD'!$J:$J,'PROCESOS PRD'!$H:$H,0,0)=0,"",XLOOKUP(CONCAT(BT40,BU40),'PROCESOS PRD'!$J:$J,'PROCESOS PRD'!$H:$H,0,0)),"")</f>
        <v>3600</v>
      </c>
      <c r="BX40" s="71">
        <v>1.402049402E9</v>
      </c>
      <c r="BY40" s="32">
        <v>10.0</v>
      </c>
      <c r="BZ40" s="72" t="str">
        <f t="array" ref="BZ40">IFERROR(IF(XLOOKUP(CONCAT(BX40,BY40),'MASTER PLAN'!$AB:$AB,'MASTER PLAN'!$J:$J,0,0)=0,"",XLOOKUP(CONCAT(BX40,BY40),'MASTER PLAN'!$AB:$AB,'MASTER PLAN'!$J:$J,0,0)),"")</f>
        <v>BOLSA LAWRENCE(GOLD CASTER)10-5"X5X8-25"</v>
      </c>
      <c r="CA40" s="73">
        <f t="array" ref="CA40">IFERROR(IF(XLOOKUP(CONCAT(BX40,BY40),'PROCESOS PRD'!$J:$J,'PROCESOS PRD'!$H:$H,0,0)=0,"",XLOOKUP(CONCAT(BX40,BY40),'PROCESOS PRD'!$J:$J,'PROCESOS PRD'!$H:$H,0,0)),"")</f>
        <v>3600</v>
      </c>
      <c r="CB40" s="71">
        <v>1.40204948E9</v>
      </c>
      <c r="CC40" s="32">
        <v>10.0</v>
      </c>
      <c r="CD40" s="72" t="str">
        <f t="array" ref="CD40">IFERROR(IF(XLOOKUP(CONCAT(CB40,CC40),'MASTER PLAN'!$AB:$AB,'MASTER PLAN'!$J:$J,0,0)=0,"",XLOOKUP(CONCAT(CB40,CC40),'MASTER PLAN'!$AB:$AB,'MASTER PLAN'!$J:$J,0,0)),"")</f>
        <v>BOLSA LEE BRANT  8"X4"X10"</v>
      </c>
      <c r="CE40" s="73">
        <f t="array" ref="CE40">IFERROR(IF(XLOOKUP(CONCAT(CB40,CC40),'PROCESOS PRD'!$J:$J,'PROCESOS PRD'!$H:$H,0,0)=0,"",XLOOKUP(CONCAT(CB40,CC40),'PROCESOS PRD'!$J:$J,'PROCESOS PRD'!$H:$H,0,0)),"")</f>
        <v>1200</v>
      </c>
      <c r="CF40" s="71">
        <v>1.402049559E9</v>
      </c>
      <c r="CG40" s="32">
        <v>10.0</v>
      </c>
      <c r="CH40" s="72" t="str">
        <f t="array" ref="CH40">IFERROR(IF(XLOOKUP(CONCAT(CF40,CG40),'MASTER PLAN'!$AB:$AB,'MASTER PLAN'!$J:$J,0,0)=0,"",XLOOKUP(CONCAT(CF40,CG40),'MASTER PLAN'!$AB:$AB,'MASTER PLAN'!$J:$J,0,0)),"")</f>
        <v>BOLSA JOYERIA GARZON 4.75"X3.5"X6"</v>
      </c>
      <c r="CI40" s="73">
        <f t="array" ref="CI40">IFERROR(IF(XLOOKUP(CONCAT(CF40,CG40),'PROCESOS PRD'!$J:$J,'PROCESOS PRD'!$H:$H,0,0)=0,"",XLOOKUP(CONCAT(CF40,CG40),'PROCESOS PRD'!$J:$J,'PROCESOS PRD'!$H:$H,0,0)),"")</f>
        <v>2400</v>
      </c>
      <c r="CJ40" s="71"/>
      <c r="CK40" s="32"/>
      <c r="CL40" s="72" t="str">
        <f t="array" ref="CL40">IFERROR(IF(XLOOKUP(CONCAT(CJ40,CK40),'MASTER PLAN'!$AB:$AB,'MASTER PLAN'!$J:$J,0,0)=0,"",XLOOKUP(CONCAT(CJ40,CK40),'MASTER PLAN'!$AB:$AB,'MASTER PLAN'!$J:$J,0,0)),"")</f>
        <v/>
      </c>
      <c r="CM40" s="73" t="str">
        <f t="array" ref="CM40">IFERROR(IF(XLOOKUP(CONCAT(CJ40,CK40),'PROCESOS PRD'!$J:$J,'PROCESOS PRD'!$H:$H,0,0)=0,"",XLOOKUP(CONCAT(CJ40,CK40),'PROCESOS PRD'!$J:$J,'PROCESOS PRD'!$H:$H,0,0)),"")</f>
        <v/>
      </c>
      <c r="CN40" s="71"/>
      <c r="CO40" s="32"/>
      <c r="CP40" s="72" t="str">
        <f t="array" ref="CP40">IFERROR(IF(XLOOKUP(CONCAT(CN40,CO40),'MASTER PLAN'!$AB:$AB,'MASTER PLAN'!$J:$J,0,0)=0,"",XLOOKUP(CONCAT(CN40,CO40),'MASTER PLAN'!$AB:$AB,'MASTER PLAN'!$J:$J,0,0)),"")</f>
        <v/>
      </c>
      <c r="CQ40" s="73" t="str">
        <f t="array" ref="CQ40">IFERROR(IF(XLOOKUP(CONCAT(CN40,CO40),'PROCESOS PRD'!$J:$J,'PROCESOS PRD'!$H:$H,0,0)=0,"",XLOOKUP(CONCAT(CN40,CO40),'PROCESOS PRD'!$J:$J,'PROCESOS PRD'!$H:$H,0,0)),"")</f>
        <v/>
      </c>
      <c r="CR40" s="70"/>
      <c r="CS40" s="71">
        <v>1.402049448E9</v>
      </c>
      <c r="CT40" s="32">
        <v>10.0</v>
      </c>
      <c r="CU40" s="72" t="str">
        <f t="array" ref="CU40">IFERROR(IF(XLOOKUP(CONCAT(CS40,CT40),'MASTER PLAN'!$AB:$AB,'MASTER PLAN'!$J:$J,0,0)=0,"",XLOOKUP(CONCAT(CS40,CT40),'MASTER PLAN'!$AB:$AB,'MASTER PLAN'!$J:$J,0,0)),"")</f>
        <v>BOLSA CALDANI 6-5"X2-5"X5-5"</v>
      </c>
      <c r="CV40" s="73">
        <f t="array" ref="CV40">IFERROR(IF(XLOOKUP(CONCAT(CS40,CT40),'PROCESOS PRD'!$J:$J,'PROCESOS PRD'!$H:$H,0,0)=0,"",XLOOKUP(CONCAT(CS40,CT40),'PROCESOS PRD'!$J:$J,'PROCESOS PRD'!$H:$H,0,0)),"")</f>
        <v>1200</v>
      </c>
      <c r="CW40" s="71">
        <v>1.402049507E9</v>
      </c>
      <c r="CX40" s="32">
        <v>10.0</v>
      </c>
      <c r="CY40" s="72" t="str">
        <f t="array" ref="CY40">IFERROR(IF(XLOOKUP(CONCAT(CW40,CX40),'MASTER PLAN'!$AB:$AB,'MASTER PLAN'!$J:$J,0,0)=0,"",XLOOKUP(CONCAT(CW40,CX40),'MASTER PLAN'!$AB:$AB,'MASTER PLAN'!$J:$J,0,0)),"")</f>
        <v>BOLSA NA HOKU 159X90X210MM</v>
      </c>
      <c r="CZ40" s="73">
        <f t="array" ref="CZ40">IFERROR(IF(XLOOKUP(CONCAT(CW40,CX40),'PROCESOS PRD'!$J:$J,'PROCESOS PRD'!$H:$H,0,0)=0,"",XLOOKUP(CONCAT(CW40,CX40),'PROCESOS PRD'!$J:$J,'PROCESOS PRD'!$H:$H,0,0)),"")</f>
        <v>12000</v>
      </c>
      <c r="DA40" s="71">
        <v>1.402049507E9</v>
      </c>
      <c r="DB40" s="32">
        <v>20.0</v>
      </c>
      <c r="DC40" s="72" t="str">
        <f t="array" ref="DC40">IFERROR(IF(XLOOKUP(CONCAT(DA40,DB40),'MASTER PLAN'!$AB:$AB,'MASTER PLAN'!$J:$J,0,0)=0,"",XLOOKUP(CONCAT(DA40,DB40),'MASTER PLAN'!$AB:$AB,'MASTER PLAN'!$J:$J,0,0)),"")</f>
        <v>BOLSA PEARL FACTORY 159X90X210MM</v>
      </c>
      <c r="DD40" s="73">
        <f t="array" ref="DD40">IFERROR(IF(XLOOKUP(CONCAT(DA40,DB40),'PROCESOS PRD'!$J:$J,'PROCESOS PRD'!$H:$H,0,0)=0,"",XLOOKUP(CONCAT(DA40,DB40),'PROCESOS PRD'!$J:$J,'PROCESOS PRD'!$H:$H,0,0)),"")</f>
        <v>12000</v>
      </c>
      <c r="DE40" s="71">
        <v>1.402049437E9</v>
      </c>
      <c r="DF40" s="32">
        <v>10.0</v>
      </c>
      <c r="DG40" s="72" t="str">
        <f t="array" ref="DG40">IFERROR(IF(XLOOKUP(CONCAT(DE40,DF40),'MASTER PLAN'!$AB:$AB,'MASTER PLAN'!$J:$J,0,0)=0,"",XLOOKUP(CONCAT(DE40,DF40),'MASTER PLAN'!$AB:$AB,'MASTER PLAN'!$J:$J,0,0)),"")</f>
        <v>BOLSA FINKS JWLS 10X5X10"</v>
      </c>
      <c r="DH40" s="73">
        <f t="array" ref="DH40">IFERROR(IF(XLOOKUP(CONCAT(DE40,DF40),'PROCESOS PRD'!$J:$J,'PROCESOS PRD'!$H:$H,0,0)=0,"",XLOOKUP(CONCAT(DE40,DF40),'PROCESOS PRD'!$J:$J,'PROCESOS PRD'!$H:$H,0,0)),"")</f>
        <v>3600</v>
      </c>
      <c r="DI40" s="71"/>
      <c r="DJ40" s="32"/>
      <c r="DK40" s="72" t="str">
        <f t="array" ref="DK40">IFERROR(IF(XLOOKUP(CONCAT(DI40,DJ40),'MASTER PLAN'!$AB:$AB,'MASTER PLAN'!$J:$J,0,0)=0,"",XLOOKUP(CONCAT(DI40,DJ40),'MASTER PLAN'!$AB:$AB,'MASTER PLAN'!$J:$J,0,0)),"")</f>
        <v/>
      </c>
      <c r="DL40" s="73" t="str">
        <f t="array" ref="DL40">IFERROR(IF(XLOOKUP(CONCAT(DI40,DJ40),'PROCESOS PRD'!$J:$J,'PROCESOS PRD'!$H:$H,0,0)=0,"",XLOOKUP(CONCAT(DI40,DJ40),'PROCESOS PRD'!$J:$J,'PROCESOS PRD'!$H:$H,0,0)),"")</f>
        <v/>
      </c>
      <c r="DM40" s="71"/>
      <c r="DN40" s="32"/>
      <c r="DO40" s="72" t="str">
        <f t="array" ref="DO40">IFERROR(IF(XLOOKUP(CONCAT(DM40,DN40),'MASTER PLAN'!$AB:$AB,'MASTER PLAN'!$J:$J,0,0)=0,"",XLOOKUP(CONCAT(DM40,DN40),'MASTER PLAN'!$AB:$AB,'MASTER PLAN'!$J:$J,0,0)),"")</f>
        <v/>
      </c>
      <c r="DP40" s="73" t="str">
        <f t="array" ref="DP40">IFERROR(IF(XLOOKUP(CONCAT(DM40,DN40),'PROCESOS PRD'!$J:$J,'PROCESOS PRD'!$H:$H,0,0)=0,"",XLOOKUP(CONCAT(DM40,DN40),'PROCESOS PRD'!$J:$J,'PROCESOS PRD'!$H:$H,0,0)),"")</f>
        <v/>
      </c>
      <c r="DQ40" s="70"/>
      <c r="DR40" s="71"/>
      <c r="DS40" s="32"/>
      <c r="DT40" s="72" t="str">
        <f t="array" ref="DT40">IFERROR(IF(XLOOKUP(CONCAT(DR40,DS40),'MASTER PLAN'!$AB:$AB,'MASTER PLAN'!$J:$J,0,0)=0,"",XLOOKUP(CONCAT(DR40,DS40),'MASTER PLAN'!$AB:$AB,'MASTER PLAN'!$J:$J,0,0)),"")</f>
        <v/>
      </c>
      <c r="DU40" s="73" t="str">
        <f t="array" ref="DU40">IFERROR(IF(XLOOKUP(CONCAT(DR40,DS40),'PROCESOS PRD'!$J:$J,'PROCESOS PRD'!$H:$H,0,0)=0,"",XLOOKUP(CONCAT(DR40,DS40),'PROCESOS PRD'!$J:$J,'PROCESOS PRD'!$H:$H,0,0)),"")</f>
        <v/>
      </c>
      <c r="DV40" s="71"/>
      <c r="DW40" s="32"/>
      <c r="DX40" s="72" t="str">
        <f t="array" ref="DX40">IFERROR(IF(XLOOKUP(CONCAT(DV40,DW40),'MASTER PLAN'!$AB:$AB,'MASTER PLAN'!$J:$J,0,0)=0,"",XLOOKUP(CONCAT(DV40,DW40),'MASTER PLAN'!$AB:$AB,'MASTER PLAN'!$J:$J,0,0)),"")</f>
        <v/>
      </c>
      <c r="DY40" s="73" t="str">
        <f t="array" ref="DY40">IFERROR(IF(XLOOKUP(CONCAT(DV40,DW40),'PROCESOS PRD'!$J:$J,'PROCESOS PRD'!$H:$H,0,0)=0,"",XLOOKUP(CONCAT(DV40,DW40),'PROCESOS PRD'!$J:$J,'PROCESOS PRD'!$H:$H,0,0)),"")</f>
        <v/>
      </c>
      <c r="DZ40" s="71"/>
      <c r="EA40" s="32"/>
      <c r="EB40" s="72" t="str">
        <f t="array" ref="EB40">IFERROR(IF(XLOOKUP(CONCAT(DZ40,EA40),'MASTER PLAN'!$AB:$AB,'MASTER PLAN'!$J:$J,0,0)=0,"",XLOOKUP(CONCAT(DZ40,EA40),'MASTER PLAN'!$AB:$AB,'MASTER PLAN'!$J:$J,0,0)),"")</f>
        <v/>
      </c>
      <c r="EC40" s="73" t="str">
        <f t="array" ref="EC40">IFERROR(IF(XLOOKUP(CONCAT(DZ40,EA40),'PROCESOS PRD'!$J:$J,'PROCESOS PRD'!$H:$H,0,0)=0,"",XLOOKUP(CONCAT(DZ40,EA40),'PROCESOS PRD'!$J:$J,'PROCESOS PRD'!$H:$H,0,0)),"")</f>
        <v/>
      </c>
      <c r="ED40" s="71"/>
      <c r="EE40" s="32"/>
      <c r="EF40" s="72" t="str">
        <f t="array" ref="EF40">IFERROR(IF(XLOOKUP(CONCAT(ED40,EE40),'MASTER PLAN'!$AB:$AB,'MASTER PLAN'!$J:$J,0,0)=0,"",XLOOKUP(CONCAT(ED40,EE40),'MASTER PLAN'!$AB:$AB,'MASTER PLAN'!$J:$J,0,0)),"")</f>
        <v/>
      </c>
      <c r="EG40" s="73" t="str">
        <f t="array" ref="EG40">IFERROR(IF(XLOOKUP(CONCAT(ED40,EE40),'PROCESOS PRD'!$J:$J,'PROCESOS PRD'!$H:$H,0,0)=0,"",XLOOKUP(CONCAT(ED40,EE40),'PROCESOS PRD'!$J:$J,'PROCESOS PRD'!$H:$H,0,0)),"")</f>
        <v/>
      </c>
      <c r="EH40" s="71"/>
      <c r="EI40" s="32"/>
      <c r="EJ40" s="72" t="str">
        <f t="array" ref="EJ40">IFERROR(IF(XLOOKUP(CONCAT(EH40,EI40),'MASTER PLAN'!$AB:$AB,'MASTER PLAN'!$J:$J,0,0)=0,"",XLOOKUP(CONCAT(EH40,EI40),'MASTER PLAN'!$AB:$AB,'MASTER PLAN'!$J:$J,0,0)),"")</f>
        <v/>
      </c>
      <c r="EK40" s="73" t="str">
        <f t="array" ref="EK40">IFERROR(IF(XLOOKUP(CONCAT(EH40,EI40),'PROCESOS PRD'!$J:$J,'PROCESOS PRD'!$H:$H,0,0)=0,"",XLOOKUP(CONCAT(EH40,EI40),'PROCESOS PRD'!$J:$J,'PROCESOS PRD'!$H:$H,0,0)),"")</f>
        <v/>
      </c>
      <c r="EL40" s="71"/>
      <c r="EM40" s="32"/>
      <c r="EN40" s="72" t="str">
        <f t="array" ref="EN40">IFERROR(IF(XLOOKUP(CONCAT(EL40,EM40),'MASTER PLAN'!$AB:$AB,'MASTER PLAN'!$J:$J,0,0)=0,"",XLOOKUP(CONCAT(EL40,EM40),'MASTER PLAN'!$AB:$AB,'MASTER PLAN'!$J:$J,0,0)),"")</f>
        <v/>
      </c>
      <c r="EO40" s="73" t="str">
        <f t="array" ref="EO40">IFERROR(IF(XLOOKUP(CONCAT(EL40,EM40),'PROCESOS PRD'!$J:$J,'PROCESOS PRD'!$H:$H,0,0)=0,"",XLOOKUP(CONCAT(EL40,EM40),'PROCESOS PRD'!$J:$J,'PROCESOS PRD'!$H:$H,0,0)),"")</f>
        <v/>
      </c>
      <c r="EP40" s="70"/>
      <c r="EQ40" s="71"/>
      <c r="ER40" s="32"/>
      <c r="ES40" s="72" t="str">
        <f t="array" ref="ES40">IFERROR(IF(XLOOKUP(CONCAT(EQ40,ER40),'MASTER PLAN'!$AB:$AB,'MASTER PLAN'!$J:$J,0,0)=0,"",XLOOKUP(CONCAT(EQ40,ER40),'MASTER PLAN'!$AB:$AB,'MASTER PLAN'!$J:$J,0,0)),"")</f>
        <v/>
      </c>
      <c r="ET40" s="73" t="str">
        <f t="array" ref="ET40">IFERROR(IF(XLOOKUP(CONCAT(EQ40,ER40),'PROCESOS PRD'!$J:$J,'PROCESOS PRD'!$H:$H,0,0)=0,"",XLOOKUP(CONCAT(EQ40,ER40),'PROCESOS PRD'!$J:$J,'PROCESOS PRD'!$H:$H,0,0)),"")</f>
        <v/>
      </c>
      <c r="EU40" s="71"/>
      <c r="EV40" s="32"/>
      <c r="EW40" s="72" t="str">
        <f t="array" ref="EW40">IFERROR(IF(XLOOKUP(CONCAT(EU40,EV40),'MASTER PLAN'!$AB:$AB,'MASTER PLAN'!$J:$J,0,0)=0,"",XLOOKUP(CONCAT(EU40,EV40),'MASTER PLAN'!$AB:$AB,'MASTER PLAN'!$J:$J,0,0)),"")</f>
        <v/>
      </c>
      <c r="EX40" s="73" t="str">
        <f t="array" ref="EX40">IFERROR(IF(XLOOKUP(CONCAT(EU40,EV40),'PROCESOS PRD'!$J:$J,'PROCESOS PRD'!$H:$H,0,0)=0,"",XLOOKUP(CONCAT(EU40,EV40),'PROCESOS PRD'!$J:$J,'PROCESOS PRD'!$H:$H,0,0)),"")</f>
        <v/>
      </c>
      <c r="EY40" s="71"/>
      <c r="EZ40" s="32"/>
      <c r="FA40" s="72" t="str">
        <f t="array" ref="FA40">IFERROR(IF(XLOOKUP(CONCAT(EY40,EZ40),'MASTER PLAN'!$AB:$AB,'MASTER PLAN'!$J:$J,0,0)=0,"",XLOOKUP(CONCAT(EY40,EZ40),'MASTER PLAN'!$AB:$AB,'MASTER PLAN'!$J:$J,0,0)),"")</f>
        <v/>
      </c>
      <c r="FB40" s="73" t="str">
        <f t="array" ref="FB40">IFERROR(IF(XLOOKUP(CONCAT(EY40,EZ40),'PROCESOS PRD'!$J:$J,'PROCESOS PRD'!$H:$H,0,0)=0,"",XLOOKUP(CONCAT(EY40,EZ40),'PROCESOS PRD'!$J:$J,'PROCESOS PRD'!$H:$H,0,0)),"")</f>
        <v/>
      </c>
      <c r="FC40" s="71"/>
      <c r="FD40" s="32"/>
      <c r="FE40" s="72" t="str">
        <f t="array" ref="FE40">IFERROR(IF(XLOOKUP(CONCAT(FC40,FD40),'MASTER PLAN'!$AB:$AB,'MASTER PLAN'!$J:$J,0,0)=0,"",XLOOKUP(CONCAT(FC40,FD40),'MASTER PLAN'!$AB:$AB,'MASTER PLAN'!$J:$J,0,0)),"")</f>
        <v/>
      </c>
      <c r="FF40" s="73" t="str">
        <f t="array" ref="FF40">IFERROR(IF(XLOOKUP(CONCAT(FC40,FD40),'PROCESOS PRD'!$J:$J,'PROCESOS PRD'!$H:$H,0,0)=0,"",XLOOKUP(CONCAT(FC40,FD40),'PROCESOS PRD'!$J:$J,'PROCESOS PRD'!$H:$H,0,0)),"")</f>
        <v/>
      </c>
      <c r="FG40" s="71"/>
      <c r="FH40" s="32"/>
      <c r="FI40" s="72" t="str">
        <f t="array" ref="FI40">IFERROR(IF(XLOOKUP(CONCAT(FG40,FH40),'MASTER PLAN'!$AB:$AB,'MASTER PLAN'!$J:$J,0,0)=0,"",XLOOKUP(CONCAT(FG40,FH40),'MASTER PLAN'!$AB:$AB,'MASTER PLAN'!$J:$J,0,0)),"")</f>
        <v/>
      </c>
      <c r="FJ40" s="73" t="str">
        <f t="array" ref="FJ40">IFERROR(IF(XLOOKUP(CONCAT(FG40,FH40),'PROCESOS PRD'!$J:$J,'PROCESOS PRD'!$H:$H,0,0)=0,"",XLOOKUP(CONCAT(FG40,FH40),'PROCESOS PRD'!$J:$J,'PROCESOS PRD'!$H:$H,0,0)),"")</f>
        <v/>
      </c>
      <c r="FK40" s="71"/>
      <c r="FL40" s="32"/>
      <c r="FM40" s="72" t="str">
        <f t="array" ref="FM40">IFERROR(IF(XLOOKUP(CONCAT(FK40,FL40),'MASTER PLAN'!$AB:$AB,'MASTER PLAN'!$J:$J,0,0)=0,"",XLOOKUP(CONCAT(FK40,FL40),'MASTER PLAN'!$AB:$AB,'MASTER PLAN'!$J:$J,0,0)),"")</f>
        <v/>
      </c>
      <c r="FN40" s="73" t="str">
        <f t="array" ref="FN40">IFERROR(IF(XLOOKUP(CONCAT(FK40,FL40),'PROCESOS PRD'!$J:$J,'PROCESOS PRD'!$H:$H,0,0)=0,"",XLOOKUP(CONCAT(FK40,FL40),'PROCESOS PRD'!$J:$J,'PROCESOS PRD'!$H:$H,0,0)),"")</f>
        <v/>
      </c>
      <c r="FO40" s="70"/>
      <c r="FP40" s="71"/>
      <c r="FQ40" s="32"/>
      <c r="FR40" s="72" t="str">
        <f t="array" ref="FR40">IFERROR(IF(XLOOKUP(CONCAT(FP40,FQ40),'MASTER PLAN'!$AB:$AB,'MASTER PLAN'!$J:$J,0,0)=0,"",XLOOKUP(CONCAT(FP40,FQ40),'MASTER PLAN'!$AB:$AB,'MASTER PLAN'!$J:$J,0,0)),"")</f>
        <v/>
      </c>
      <c r="FS40" s="73" t="str">
        <f t="array" ref="FS40">IFERROR(IF(XLOOKUP(CONCAT(FP40,FQ40),'PROCESOS PRD'!$J:$J,'PROCESOS PRD'!$H:$H,0,0)=0,"",XLOOKUP(CONCAT(FP40,FQ40),'PROCESOS PRD'!$J:$J,'PROCESOS PRD'!$H:$H,0,0)),"")</f>
        <v/>
      </c>
      <c r="FT40" s="71"/>
      <c r="FU40" s="32"/>
      <c r="FV40" s="72" t="str">
        <f t="array" ref="FV40">IFERROR(IF(XLOOKUP(CONCAT(FT40,FU40),'MASTER PLAN'!$AB:$AB,'MASTER PLAN'!$J:$J,0,0)=0,"",XLOOKUP(CONCAT(FT40,FU40),'MASTER PLAN'!$AB:$AB,'MASTER PLAN'!$J:$J,0,0)),"")</f>
        <v/>
      </c>
      <c r="FW40" s="73" t="str">
        <f t="array" ref="FW40">IFERROR(IF(XLOOKUP(CONCAT(FT40,FU40),'PROCESOS PRD'!$J:$J,'PROCESOS PRD'!$H:$H,0,0)=0,"",XLOOKUP(CONCAT(FT40,FU40),'PROCESOS PRD'!$J:$J,'PROCESOS PRD'!$H:$H,0,0)),"")</f>
        <v/>
      </c>
      <c r="FX40" s="71"/>
      <c r="FY40" s="32"/>
      <c r="FZ40" s="72" t="str">
        <f t="array" ref="FZ40">IFERROR(IF(XLOOKUP(CONCAT(FX40,FY40),'MASTER PLAN'!$AB:$AB,'MASTER PLAN'!$J:$J,0,0)=0,"",XLOOKUP(CONCAT(FX40,FY40),'MASTER PLAN'!$AB:$AB,'MASTER PLAN'!$J:$J,0,0)),"")</f>
        <v/>
      </c>
      <c r="GA40" s="73" t="str">
        <f t="array" ref="GA40">IFERROR(IF(XLOOKUP(CONCAT(FX40,FY40),'PROCESOS PRD'!$J:$J,'PROCESOS PRD'!$H:$H,0,0)=0,"",XLOOKUP(CONCAT(FX40,FY40),'PROCESOS PRD'!$J:$J,'PROCESOS PRD'!$H:$H,0,0)),"")</f>
        <v/>
      </c>
      <c r="GB40" s="71"/>
      <c r="GC40" s="32"/>
      <c r="GD40" s="72" t="str">
        <f t="array" ref="GD40">IFERROR(IF(XLOOKUP(CONCAT(GB40,GC40),'MASTER PLAN'!$AB:$AB,'MASTER PLAN'!$J:$J,0,0)=0,"",XLOOKUP(CONCAT(GB40,GC40),'MASTER PLAN'!$AB:$AB,'MASTER PLAN'!$J:$J,0,0)),"")</f>
        <v/>
      </c>
      <c r="GE40" s="73" t="str">
        <f t="array" ref="GE40">IFERROR(IF(XLOOKUP(CONCAT(GB40,GC40),'PROCESOS PRD'!$J:$J,'PROCESOS PRD'!$H:$H,0,0)=0,"",XLOOKUP(CONCAT(GB40,GC40),'PROCESOS PRD'!$J:$J,'PROCESOS PRD'!$H:$H,0,0)),"")</f>
        <v/>
      </c>
      <c r="GF40" s="71">
        <v>1.402049543E9</v>
      </c>
      <c r="GG40" s="32">
        <v>10.0</v>
      </c>
      <c r="GH40" s="72" t="str">
        <f t="array" ref="GH40">IFERROR(IF(XLOOKUP(CONCAT(GF40,GG40),'MASTER PLAN'!$AB:$AB,'MASTER PLAN'!$J:$J,0,0)=0,"",XLOOKUP(CONCAT(GF40,GG40),'MASTER PLAN'!$AB:$AB,'MASTER PLAN'!$J:$J,0,0)),"")</f>
        <v>BOLSA J-C- JEWELERS 10"X4"X8" -BLUE</v>
      </c>
      <c r="GI40" s="73">
        <f t="array" ref="GI40">IFERROR(IF(XLOOKUP(CONCAT(GF40,GG40),'PROCESOS PRD'!$J:$J,'PROCESOS PRD'!$H:$H,0,0)=0,"",XLOOKUP(CONCAT(GF40,GG40),'PROCESOS PRD'!$J:$J,'PROCESOS PRD'!$H:$H,0,0)),"")</f>
        <v>1800</v>
      </c>
      <c r="GJ40" s="71"/>
      <c r="GK40" s="32"/>
      <c r="GL40" s="72" t="str">
        <f t="array" ref="GL40">IFERROR(IF(XLOOKUP(CONCAT(GJ40,GK40),'MASTER PLAN'!$AB:$AB,'MASTER PLAN'!$J:$J,0,0)=0,"",XLOOKUP(CONCAT(GJ40,GK40),'MASTER PLAN'!$AB:$AB,'MASTER PLAN'!$J:$J,0,0)),"")</f>
        <v/>
      </c>
      <c r="GM40" s="73" t="str">
        <f t="array" ref="GM40">IFERROR(IF(XLOOKUP(CONCAT(GJ40,GK40),'PROCESOS PRD'!$J:$J,'PROCESOS PRD'!$H:$H,0,0)=0,"",XLOOKUP(CONCAT(GJ40,GK40),'PROCESOS PRD'!$J:$J,'PROCESOS PRD'!$H:$H,0,0)),"")</f>
        <v/>
      </c>
      <c r="GN40" s="70"/>
      <c r="GO40" s="71"/>
      <c r="GP40" s="32"/>
      <c r="GQ40" s="72" t="str">
        <f t="array" ref="GQ40">IFERROR(IF(XLOOKUP(CONCAT(GO40,GP40),'MASTER PLAN'!$AB:$AB,'MASTER PLAN'!$J:$J,0,0)=0,"",XLOOKUP(CONCAT(GO40,GP40),'MASTER PLAN'!$AB:$AB,'MASTER PLAN'!$J:$J,0,0)),"")</f>
        <v/>
      </c>
      <c r="GR40" s="73" t="str">
        <f t="array" ref="GR40">IFERROR(IF(XLOOKUP(CONCAT(GO40,GP40),'PROCESOS PRD'!$J:$J,'PROCESOS PRD'!$H:$H,0,0)=0,"",XLOOKUP(CONCAT(GO40,GP40),'PROCESOS PRD'!$J:$J,'PROCESOS PRD'!$H:$H,0,0)),"")</f>
        <v/>
      </c>
      <c r="GS40" s="71"/>
      <c r="GT40" s="32"/>
      <c r="GU40" s="72" t="str">
        <f t="array" ref="GU40">IFERROR(IF(XLOOKUP(CONCAT(GS40,GT40),'MASTER PLAN'!$AB:$AB,'MASTER PLAN'!$J:$J,0,0)=0,"",XLOOKUP(CONCAT(GS40,GT40),'MASTER PLAN'!$AB:$AB,'MASTER PLAN'!$J:$J,0,0)),"")</f>
        <v/>
      </c>
      <c r="GV40" s="73" t="str">
        <f t="array" ref="GV40">IFERROR(IF(XLOOKUP(CONCAT(GS40,GT40),'PROCESOS PRD'!$J:$J,'PROCESOS PRD'!$H:$H,0,0)=0,"",XLOOKUP(CONCAT(GS40,GT40),'PROCESOS PRD'!$J:$J,'PROCESOS PRD'!$H:$H,0,0)),"")</f>
        <v/>
      </c>
      <c r="GW40" s="71"/>
      <c r="GX40" s="32"/>
      <c r="GY40" s="72" t="str">
        <f t="array" ref="GY40">IFERROR(IF(XLOOKUP(CONCAT(GW40,GX40),'MASTER PLAN'!$AB:$AB,'MASTER PLAN'!$J:$J,0,0)=0,"",XLOOKUP(CONCAT(GW40,GX40),'MASTER PLAN'!$AB:$AB,'MASTER PLAN'!$J:$J,0,0)),"")</f>
        <v/>
      </c>
      <c r="GZ40" s="73" t="str">
        <f t="array" ref="GZ40">IFERROR(IF(XLOOKUP(CONCAT(GW40,GX40),'PROCESOS PRD'!$J:$J,'PROCESOS PRD'!$H:$H,0,0)=0,"",XLOOKUP(CONCAT(GW40,GX40),'PROCESOS PRD'!$J:$J,'PROCESOS PRD'!$H:$H,0,0)),"")</f>
        <v/>
      </c>
      <c r="HA40" s="71"/>
      <c r="HB40" s="32"/>
      <c r="HC40" s="72" t="str">
        <f t="array" ref="HC40">IFERROR(IF(XLOOKUP(CONCAT(HA40,HB40),'MASTER PLAN'!$AB:$AB,'MASTER PLAN'!$J:$J,0,0)=0,"",XLOOKUP(CONCAT(HA40,HB40),'MASTER PLAN'!$AB:$AB,'MASTER PLAN'!$J:$J,0,0)),"")</f>
        <v/>
      </c>
      <c r="HD40" s="73" t="str">
        <f t="array" ref="HD40">IFERROR(IF(XLOOKUP(CONCAT(HA40,HB40),'PROCESOS PRD'!$J:$J,'PROCESOS PRD'!$H:$H,0,0)=0,"",XLOOKUP(CONCAT(HA40,HB40),'PROCESOS PRD'!$J:$J,'PROCESOS PRD'!$H:$H,0,0)),"")</f>
        <v/>
      </c>
      <c r="HE40" s="71">
        <v>1.402049568E9</v>
      </c>
      <c r="HF40" s="32">
        <v>10.0</v>
      </c>
      <c r="HG40" s="72" t="str">
        <f t="array" ref="HG40">IFERROR(IF(XLOOKUP(CONCAT(HE40,HF40),'MASTER PLAN'!$AB:$AB,'MASTER PLAN'!$J:$J,0,0)=0,"",XLOOKUP(CONCAT(HE40,HF40),'MASTER PLAN'!$AB:$AB,'MASTER PLAN'!$J:$J,0,0)),"")</f>
        <v>BOLSA SILEO 10X4X8 IN</v>
      </c>
      <c r="HH40" s="73">
        <f t="array" ref="HH40">IFERROR(IF(XLOOKUP(CONCAT(HE40,HF40),'PROCESOS PRD'!$J:$J,'PROCESOS PRD'!$H:$H,0,0)=0,"",XLOOKUP(CONCAT(HE40,HF40),'PROCESOS PRD'!$J:$J,'PROCESOS PRD'!$H:$H,0,0)),"")</f>
        <v>2400</v>
      </c>
      <c r="HI40" s="71"/>
      <c r="HJ40" s="32"/>
      <c r="HK40" s="72" t="str">
        <f t="array" ref="HK40">IFERROR(IF(XLOOKUP(CONCAT(HI40,HJ40),'MASTER PLAN'!$AB:$AB,'MASTER PLAN'!$J:$J,0,0)=0,"",XLOOKUP(CONCAT(HI40,HJ40),'MASTER PLAN'!$AB:$AB,'MASTER PLAN'!$J:$J,0,0)),"")</f>
        <v/>
      </c>
      <c r="HL40" s="73" t="str">
        <f t="array" ref="HL40">IFERROR(IF(XLOOKUP(CONCAT(HI40,HJ40),'PROCESOS PRD'!$J:$J,'PROCESOS PRD'!$H:$H,0,0)=0,"",XLOOKUP(CONCAT(HI40,HJ40),'PROCESOS PRD'!$J:$J,'PROCESOS PRD'!$H:$H,0,0)),"")</f>
        <v/>
      </c>
      <c r="HM40" s="70"/>
      <c r="HN40" s="71"/>
      <c r="HO40" s="32"/>
      <c r="HP40" s="72" t="str">
        <f t="array" ref="HP40">IFERROR(IF(XLOOKUP(CONCAT(HN40,HO40),'MASTER PLAN'!$AB:$AB,'MASTER PLAN'!$J:$J,0,0)=0,"",XLOOKUP(CONCAT(HN40,HO40),'MASTER PLAN'!$AB:$AB,'MASTER PLAN'!$J:$J,0,0)),"")</f>
        <v/>
      </c>
      <c r="HQ40" s="73" t="str">
        <f t="array" ref="HQ40">IFERROR(IF(XLOOKUP(CONCAT(HN40,HO40),'PROCESOS PRD'!$J:$J,'PROCESOS PRD'!$H:$H,0,0)=0,"",XLOOKUP(CONCAT(HN40,HO40),'PROCESOS PRD'!$J:$J,'PROCESOS PRD'!$H:$H,0,0)),"")</f>
        <v/>
      </c>
      <c r="HR40" s="71"/>
      <c r="HS40" s="32"/>
      <c r="HT40" s="72" t="str">
        <f t="array" ref="HT40">IFERROR(IF(XLOOKUP(CONCAT(HR40,HS40),'MASTER PLAN'!$AB:$AB,'MASTER PLAN'!$J:$J,0,0)=0,"",XLOOKUP(CONCAT(HR40,HS40),'MASTER PLAN'!$AB:$AB,'MASTER PLAN'!$J:$J,0,0)),"")</f>
        <v/>
      </c>
      <c r="HU40" s="73" t="str">
        <f t="array" ref="HU40">IFERROR(IF(XLOOKUP(CONCAT(HR40,HS40),'PROCESOS PRD'!$J:$J,'PROCESOS PRD'!$H:$H,0,0)=0,"",XLOOKUP(CONCAT(HR40,HS40),'PROCESOS PRD'!$J:$J,'PROCESOS PRD'!$H:$H,0,0)),"")</f>
        <v/>
      </c>
      <c r="HV40" s="71"/>
      <c r="HW40" s="32"/>
      <c r="HX40" s="72" t="str">
        <f t="array" ref="HX40">IFERROR(IF(XLOOKUP(CONCAT(HV40,HW40),'MASTER PLAN'!$AB:$AB,'MASTER PLAN'!$J:$J,0,0)=0,"",XLOOKUP(CONCAT(HV40,HW40),'MASTER PLAN'!$AB:$AB,'MASTER PLAN'!$J:$J,0,0)),"")</f>
        <v/>
      </c>
      <c r="HY40" s="73" t="str">
        <f t="array" ref="HY40">IFERROR(IF(XLOOKUP(CONCAT(HV40,HW40),'PROCESOS PRD'!$J:$J,'PROCESOS PRD'!$H:$H,0,0)=0,"",XLOOKUP(CONCAT(HV40,HW40),'PROCESOS PRD'!$J:$J,'PROCESOS PRD'!$H:$H,0,0)),"")</f>
        <v/>
      </c>
      <c r="HZ40" s="71"/>
      <c r="IA40" s="32"/>
      <c r="IB40" s="72" t="str">
        <f t="array" ref="IB40">IFERROR(IF(XLOOKUP(CONCAT(HZ40,IA40),'MASTER PLAN'!$AB:$AB,'MASTER PLAN'!$J:$J,0,0)=0,"",XLOOKUP(CONCAT(HZ40,IA40),'MASTER PLAN'!$AB:$AB,'MASTER PLAN'!$J:$J,0,0)),"")</f>
        <v/>
      </c>
      <c r="IC40" s="73" t="str">
        <f t="array" ref="IC40">IFERROR(IF(XLOOKUP(CONCAT(HZ40,IA40),'PROCESOS PRD'!$J:$J,'PROCESOS PRD'!$H:$H,0,0)=0,"",XLOOKUP(CONCAT(HZ40,IA40),'PROCESOS PRD'!$J:$J,'PROCESOS PRD'!$H:$H,0,0)),"")</f>
        <v/>
      </c>
      <c r="ID40" s="71"/>
      <c r="IE40" s="32"/>
      <c r="IF40" s="72" t="str">
        <f t="array" ref="IF40">IFERROR(IF(XLOOKUP(CONCAT(ID40,IE40),'MASTER PLAN'!$AB:$AB,'MASTER PLAN'!$J:$J,0,0)=0,"",XLOOKUP(CONCAT(ID40,IE40),'MASTER PLAN'!$AB:$AB,'MASTER PLAN'!$J:$J,0,0)),"")</f>
        <v/>
      </c>
      <c r="IG40" s="73" t="str">
        <f t="array" ref="IG40">IFERROR(IF(XLOOKUP(CONCAT(ID40,IE40),'PROCESOS PRD'!$J:$J,'PROCESOS PRD'!$H:$H,0,0)=0,"",XLOOKUP(CONCAT(ID40,IE40),'PROCESOS PRD'!$J:$J,'PROCESOS PRD'!$H:$H,0,0)),"")</f>
        <v/>
      </c>
      <c r="IH40" s="71"/>
      <c r="II40" s="32"/>
      <c r="IJ40" s="72" t="str">
        <f t="array" ref="IJ40">IFERROR(IF(XLOOKUP(CONCAT(IH40,II40),'MASTER PLAN'!$AB:$AB,'MASTER PLAN'!$J:$J,0,0)=0,"",XLOOKUP(CONCAT(IH40,II40),'MASTER PLAN'!$AB:$AB,'MASTER PLAN'!$J:$J,0,0)),"")</f>
        <v/>
      </c>
      <c r="IK40" s="73" t="str">
        <f t="array" ref="IK40">IFERROR(IF(XLOOKUP(CONCAT(IH40,II40),'PROCESOS PRD'!$J:$J,'PROCESOS PRD'!$H:$H,0,0)=0,"",XLOOKUP(CONCAT(IH40,II40),'PROCESOS PRD'!$J:$J,'PROCESOS PRD'!$H:$H,0,0)),"")</f>
        <v/>
      </c>
      <c r="IL40" s="70"/>
      <c r="IM40" s="71"/>
      <c r="IN40" s="32"/>
      <c r="IO40" s="72" t="str">
        <f t="array" ref="IO40">IFERROR(IF(XLOOKUP(CONCAT(IM40,IN40),'MASTER PLAN'!$AB:$AB,'MASTER PLAN'!$J:$J,0,0)=0,"",XLOOKUP(CONCAT(IM40,IN40),'MASTER PLAN'!$AB:$AB,'MASTER PLAN'!$J:$J,0,0)),"")</f>
        <v/>
      </c>
      <c r="IP40" s="73" t="str">
        <f t="array" ref="IP40">IFERROR(IF(XLOOKUP(CONCAT(IM40,IN40),'PROCESOS PRD'!$J:$J,'PROCESOS PRD'!$H:$H,0,0)=0,"",XLOOKUP(CONCAT(IM40,IN40),'PROCESOS PRD'!$J:$J,'PROCESOS PRD'!$H:$H,0,0)),"")</f>
        <v/>
      </c>
      <c r="IQ40" s="71"/>
      <c r="IR40" s="32"/>
      <c r="IS40" s="72" t="str">
        <f t="array" ref="IS40">IFERROR(IF(XLOOKUP(CONCAT(IQ40,IR40),'MASTER PLAN'!$AB:$AB,'MASTER PLAN'!$J:$J,0,0)=0,"",XLOOKUP(CONCAT(IQ40,IR40),'MASTER PLAN'!$AB:$AB,'MASTER PLAN'!$J:$J,0,0)),"")</f>
        <v/>
      </c>
      <c r="IT40" s="73" t="str">
        <f t="array" ref="IT40">IFERROR(IF(XLOOKUP(CONCAT(IQ40,IR40),'PROCESOS PRD'!$J:$J,'PROCESOS PRD'!$H:$H,0,0)=0,"",XLOOKUP(CONCAT(IQ40,IR40),'PROCESOS PRD'!$J:$J,'PROCESOS PRD'!$H:$H,0,0)),"")</f>
        <v/>
      </c>
      <c r="IU40" s="71"/>
      <c r="IV40" s="32"/>
      <c r="IW40" s="72" t="str">
        <f t="array" ref="IW40">IFERROR(IF(XLOOKUP(CONCAT(IU40,IV40),'MASTER PLAN'!$AB:$AB,'MASTER PLAN'!$J:$J,0,0)=0,"",XLOOKUP(CONCAT(IU40,IV40),'MASTER PLAN'!$AB:$AB,'MASTER PLAN'!$J:$J,0,0)),"")</f>
        <v/>
      </c>
      <c r="IX40" s="73" t="str">
        <f t="array" ref="IX40">IFERROR(IF(XLOOKUP(CONCAT(IU40,IV40),'PROCESOS PRD'!$J:$J,'PROCESOS PRD'!$H:$H,0,0)=0,"",XLOOKUP(CONCAT(IU40,IV40),'PROCESOS PRD'!$J:$J,'PROCESOS PRD'!$H:$H,0,0)),"")</f>
        <v/>
      </c>
      <c r="IY40" s="71"/>
      <c r="IZ40" s="32"/>
      <c r="JA40" s="72" t="str">
        <f t="array" ref="JA40">IFERROR(IF(XLOOKUP(CONCAT(IY40,IZ40),'MASTER PLAN'!$AB:$AB,'MASTER PLAN'!$J:$J,0,0)=0,"",XLOOKUP(CONCAT(IY40,IZ40),'MASTER PLAN'!$AB:$AB,'MASTER PLAN'!$J:$J,0,0)),"")</f>
        <v/>
      </c>
      <c r="JB40" s="73" t="str">
        <f t="array" ref="JB40">IFERROR(IF(XLOOKUP(CONCAT(IY40,IZ40),'PROCESOS PRD'!$J:$J,'PROCESOS PRD'!$H:$H,0,0)=0,"",XLOOKUP(CONCAT(IY40,IZ40),'PROCESOS PRD'!$J:$J,'PROCESOS PRD'!$H:$H,0,0)),"")</f>
        <v/>
      </c>
      <c r="JC40" s="71"/>
      <c r="JD40" s="32"/>
      <c r="JE40" s="72" t="str">
        <f t="array" ref="JE40">IFERROR(IF(XLOOKUP(CONCAT(JC40,JD40),'MASTER PLAN'!$AB:$AB,'MASTER PLAN'!$J:$J,0,0)=0,"",XLOOKUP(CONCAT(JC40,JD40),'MASTER PLAN'!$AB:$AB,'MASTER PLAN'!$J:$J,0,0)),"")</f>
        <v/>
      </c>
      <c r="JF40" s="73" t="str">
        <f t="array" ref="JF40">IFERROR(IF(XLOOKUP(CONCAT(JC40,JD40),'PROCESOS PRD'!$J:$J,'PROCESOS PRD'!$H:$H,0,0)=0,"",XLOOKUP(CONCAT(JC40,JD40),'PROCESOS PRD'!$J:$J,'PROCESOS PRD'!$H:$H,0,0)),"")</f>
        <v/>
      </c>
      <c r="JG40" s="71"/>
      <c r="JH40" s="32"/>
      <c r="JI40" s="72" t="str">
        <f t="array" ref="JI40">IFERROR(IF(XLOOKUP(CONCAT(JG40,JH40),'MASTER PLAN'!$AB:$AB,'MASTER PLAN'!$J:$J,0,0)=0,"",XLOOKUP(CONCAT(JG40,JH40),'MASTER PLAN'!$AB:$AB,'MASTER PLAN'!$J:$J,0,0)),"")</f>
        <v/>
      </c>
      <c r="JJ40" s="73" t="str">
        <f t="array" ref="JJ40">IFERROR(IF(XLOOKUP(CONCAT(JG40,JH40),'PROCESOS PRD'!$J:$J,'PROCESOS PRD'!$H:$H,0,0)=0,"",XLOOKUP(CONCAT(JG40,JH40),'PROCESOS PRD'!$J:$J,'PROCESOS PRD'!$H:$H,0,0)),"")</f>
        <v/>
      </c>
      <c r="JK40" s="70"/>
      <c r="JL40" s="71"/>
      <c r="JM40" s="32"/>
      <c r="JN40" s="72" t="str">
        <f t="array" ref="JN40">IFERROR(IF(XLOOKUP(CONCAT(JL40,JM40),'MASTER PLAN'!$AB:$AB,'MASTER PLAN'!$J:$J,0,0)=0,"",XLOOKUP(CONCAT(JL40,JM40),'MASTER PLAN'!$AB:$AB,'MASTER PLAN'!$J:$J,0,0)),"")</f>
        <v/>
      </c>
      <c r="JO40" s="73" t="str">
        <f t="array" ref="JO40">IFERROR(IF(XLOOKUP(CONCAT(JL40,JM40),'PROCESOS PRD'!$J:$J,'PROCESOS PRD'!$H:$H,0,0)=0,"",XLOOKUP(CONCAT(JL40,JM40),'PROCESOS PRD'!$J:$J,'PROCESOS PRD'!$H:$H,0,0)),"")</f>
        <v/>
      </c>
      <c r="JP40" s="71"/>
      <c r="JQ40" s="32"/>
      <c r="JR40" s="72" t="str">
        <f t="array" ref="JR40">IFERROR(IF(XLOOKUP(CONCAT(JP40,JQ40),'MASTER PLAN'!$AB:$AB,'MASTER PLAN'!$J:$J,0,0)=0,"",XLOOKUP(CONCAT(JP40,JQ40),'MASTER PLAN'!$AB:$AB,'MASTER PLAN'!$J:$J,0,0)),"")</f>
        <v/>
      </c>
      <c r="JS40" s="73" t="str">
        <f t="array" ref="JS40">IFERROR(IF(XLOOKUP(CONCAT(JP40,JQ40),'PROCESOS PRD'!$J:$J,'PROCESOS PRD'!$H:$H,0,0)=0,"",XLOOKUP(CONCAT(JP40,JQ40),'PROCESOS PRD'!$J:$J,'PROCESOS PRD'!$H:$H,0,0)),"")</f>
        <v/>
      </c>
      <c r="JT40" s="71"/>
      <c r="JU40" s="32"/>
      <c r="JV40" s="72" t="str">
        <f t="array" ref="JV40">IFERROR(IF(XLOOKUP(CONCAT(JT40,JU40),'MASTER PLAN'!$AB:$AB,'MASTER PLAN'!$J:$J,0,0)=0,"",XLOOKUP(CONCAT(JT40,JU40),'MASTER PLAN'!$AB:$AB,'MASTER PLAN'!$J:$J,0,0)),"")</f>
        <v/>
      </c>
      <c r="JW40" s="73" t="str">
        <f t="array" ref="JW40">IFERROR(IF(XLOOKUP(CONCAT(JT40,JU40),'PROCESOS PRD'!$J:$J,'PROCESOS PRD'!$H:$H,0,0)=0,"",XLOOKUP(CONCAT(JT40,JU40),'PROCESOS PRD'!$J:$J,'PROCESOS PRD'!$H:$H,0,0)),"")</f>
        <v/>
      </c>
      <c r="JX40" s="71"/>
      <c r="JY40" s="32"/>
      <c r="JZ40" s="72" t="str">
        <f t="array" ref="JZ40">IFERROR(IF(XLOOKUP(CONCAT(JX40,JY40),'MASTER PLAN'!$AB:$AB,'MASTER PLAN'!$J:$J,0,0)=0,"",XLOOKUP(CONCAT(JX40,JY40),'MASTER PLAN'!$AB:$AB,'MASTER PLAN'!$J:$J,0,0)),"")</f>
        <v/>
      </c>
      <c r="KA40" s="73" t="str">
        <f t="array" ref="KA40">IFERROR(IF(XLOOKUP(CONCAT(JX40,JY40),'PROCESOS PRD'!$J:$J,'PROCESOS PRD'!$H:$H,0,0)=0,"",XLOOKUP(CONCAT(JX40,JY40),'PROCESOS PRD'!$J:$J,'PROCESOS PRD'!$H:$H,0,0)),"")</f>
        <v/>
      </c>
      <c r="KB40" s="71"/>
      <c r="KC40" s="32"/>
      <c r="KD40" s="72" t="str">
        <f t="array" ref="KD40">IFERROR(IF(XLOOKUP(CONCAT(KB40,KC40),'MASTER PLAN'!$AB:$AB,'MASTER PLAN'!$J:$J,0,0)=0,"",XLOOKUP(CONCAT(KB40,KC40),'MASTER PLAN'!$AB:$AB,'MASTER PLAN'!$J:$J,0,0)),"")</f>
        <v/>
      </c>
      <c r="KE40" s="73" t="str">
        <f t="array" ref="KE40">IFERROR(IF(XLOOKUP(CONCAT(KB40,KC40),'PROCESOS PRD'!$J:$J,'PROCESOS PRD'!$H:$H,0,0)=0,"",XLOOKUP(CONCAT(KB40,KC40),'PROCESOS PRD'!$J:$J,'PROCESOS PRD'!$H:$H,0,0)),"")</f>
        <v/>
      </c>
      <c r="KF40" s="71"/>
      <c r="KG40" s="32"/>
      <c r="KH40" s="72" t="str">
        <f t="array" ref="KH40">IFERROR(IF(XLOOKUP(CONCAT(KF40,KG40),'MASTER PLAN'!$AB:$AB,'MASTER PLAN'!$J:$J,0,0)=0,"",XLOOKUP(CONCAT(KF40,KG40),'MASTER PLAN'!$AB:$AB,'MASTER PLAN'!$J:$J,0,0)),"")</f>
        <v/>
      </c>
      <c r="KI40" s="73" t="str">
        <f t="array" ref="KI40">IFERROR(IF(XLOOKUP(CONCAT(KF40,KG40),'PROCESOS PRD'!$J:$J,'PROCESOS PRD'!$H:$H,0,0)=0,"",XLOOKUP(CONCAT(KF40,KG40),'PROCESOS PRD'!$J:$J,'PROCESOS PRD'!$H:$H,0,0)),"")</f>
        <v/>
      </c>
      <c r="KJ40" s="70"/>
      <c r="KK40" s="70"/>
      <c r="KL40" s="70"/>
      <c r="KM40" s="70"/>
      <c r="KN40" s="70"/>
      <c r="KO40" s="70"/>
      <c r="KP40" s="70"/>
      <c r="KQ40" s="70"/>
      <c r="KR40" s="70"/>
      <c r="KS40" s="70"/>
      <c r="KT40" s="70"/>
      <c r="KU40" s="70"/>
      <c r="KV40" s="70"/>
      <c r="KW40" s="70"/>
      <c r="KX40" s="70"/>
      <c r="KY40" s="70"/>
      <c r="KZ40" s="70"/>
      <c r="LA40" s="70"/>
      <c r="LB40" s="70"/>
      <c r="LC40" s="70"/>
    </row>
    <row r="41" ht="15.75" customHeight="1">
      <c r="A41" s="42"/>
      <c r="B41" s="74"/>
      <c r="C41" s="69"/>
      <c r="D41" s="70"/>
      <c r="E41" s="71"/>
      <c r="F41" s="32"/>
      <c r="G41" s="72" t="str">
        <f t="array" ref="G41">IFERROR(IF(XLOOKUP(CONCAT(E41,F41),'MASTER PLAN'!$AB:$AB,'MASTER PLAN'!$J:$J,0,0)=0,"",XLOOKUP(CONCAT(E41,F41),'MASTER PLAN'!$AB:$AB,'MASTER PLAN'!$J:$J,0,0)),"")</f>
        <v/>
      </c>
      <c r="H41" s="73" t="str">
        <f t="array" ref="H41">IFERROR(IF(XLOOKUP(CONCAT(E41,F41),'PROCESOS PRD'!$J:$J,'PROCESOS PRD'!$H:$H,0,0)=0,"",XLOOKUP(CONCAT(E41,F41),'PROCESOS PRD'!$J:$J,'PROCESOS PRD'!$H:$H,0,0)),"")</f>
        <v/>
      </c>
      <c r="I41" s="71"/>
      <c r="J41" s="32"/>
      <c r="K41" s="72" t="str">
        <f t="array" ref="K41">IFERROR(IF(XLOOKUP(CONCAT(I41,J41),'MASTER PLAN'!$AB:$AB,'MASTER PLAN'!$J:$J,0,0)=0,"",XLOOKUP(CONCAT(I41,J41),'MASTER PLAN'!$AB:$AB,'MASTER PLAN'!$J:$J,0,0)),"")</f>
        <v/>
      </c>
      <c r="L41" s="73" t="str">
        <f t="array" ref="L41">IFERROR(IF(XLOOKUP(CONCAT(I41,J41),'PROCESOS PRD'!$J:$J,'PROCESOS PRD'!$H:$H,0,0)=0,"",XLOOKUP(CONCAT(I41,J41),'PROCESOS PRD'!$J:$J,'PROCESOS PRD'!$H:$H,0,0)),"")</f>
        <v/>
      </c>
      <c r="M41" s="71"/>
      <c r="N41" s="32"/>
      <c r="O41" s="72" t="str">
        <f t="array" ref="O41">IFERROR(IF(XLOOKUP(CONCAT(M41,N41),'MASTER PLAN'!$AB:$AB,'MASTER PLAN'!$J:$J,0,0)=0,"",XLOOKUP(CONCAT(M41,N41),'MASTER PLAN'!$AB:$AB,'MASTER PLAN'!$J:$J,0,0)),"")</f>
        <v/>
      </c>
      <c r="P41" s="73" t="str">
        <f t="array" ref="P41">IFERROR(IF(XLOOKUP(CONCAT(M41,N41),'PROCESOS PRD'!$J:$J,'PROCESOS PRD'!$H:$H,0,0)=0,"",XLOOKUP(CONCAT(M41,N41),'PROCESOS PRD'!$J:$J,'PROCESOS PRD'!$H:$H,0,0)),"")</f>
        <v/>
      </c>
      <c r="Q41" s="71"/>
      <c r="R41" s="32"/>
      <c r="S41" s="72" t="str">
        <f t="array" ref="S41">IFERROR(IF(XLOOKUP(CONCAT(Q41,R41),'MASTER PLAN'!$AB:$AB,'MASTER PLAN'!$J:$J,0,0)=0,"",XLOOKUP(CONCAT(Q41,R41),'MASTER PLAN'!$AB:$AB,'MASTER PLAN'!$J:$J,0,0)),"")</f>
        <v/>
      </c>
      <c r="T41" s="73" t="str">
        <f t="array" ref="T41">IFERROR(IF(XLOOKUP(CONCAT(Q41,R41),'PROCESOS PRD'!$J:$J,'PROCESOS PRD'!$H:$H,0,0)=0,"",XLOOKUP(CONCAT(Q41,R41),'PROCESOS PRD'!$J:$J,'PROCESOS PRD'!$H:$H,0,0)),"")</f>
        <v/>
      </c>
      <c r="U41" s="70"/>
      <c r="V41" s="71"/>
      <c r="W41" s="32"/>
      <c r="X41" s="72" t="str">
        <f t="array" ref="X41">IFERROR(IF(XLOOKUP(CONCAT(V41,W41),'MASTER PLAN'!$AB:$AB,'MASTER PLAN'!$J:$J,0,0)=0,"",XLOOKUP(CONCAT(V41,W41),'MASTER PLAN'!$AB:$AB,'MASTER PLAN'!$J:$J,0,0)),"")</f>
        <v/>
      </c>
      <c r="Y41" s="73" t="str">
        <f t="array" ref="Y41">IFERROR(IF(XLOOKUP(CONCAT(V41,W41),'PROCESOS PRD'!$J:$J,'PROCESOS PRD'!$H:$H,0,0)=0,"",XLOOKUP(CONCAT(V41,W41),'PROCESOS PRD'!$J:$J,'PROCESOS PRD'!$H:$H,0,0)),"")</f>
        <v/>
      </c>
      <c r="Z41" s="71"/>
      <c r="AA41" s="32"/>
      <c r="AB41" s="72" t="str">
        <f t="array" ref="AB41">IFERROR(IF(XLOOKUP(CONCAT(Z41,AA41),'MASTER PLAN'!$AB:$AB,'MASTER PLAN'!$J:$J,0,0)=0,"",XLOOKUP(CONCAT(Z41,AA41),'MASTER PLAN'!$AB:$AB,'MASTER PLAN'!$J:$J,0,0)),"")</f>
        <v/>
      </c>
      <c r="AC41" s="73" t="str">
        <f t="array" ref="AC41">IFERROR(IF(XLOOKUP(CONCAT(Z41,AA41),'PROCESOS PRD'!$J:$J,'PROCESOS PRD'!$H:$H,0,0)=0,"",XLOOKUP(CONCAT(Z41,AA41),'PROCESOS PRD'!$J:$J,'PROCESOS PRD'!$H:$H,0,0)),"")</f>
        <v/>
      </c>
      <c r="AD41" s="71"/>
      <c r="AE41" s="32"/>
      <c r="AF41" s="72" t="str">
        <f t="array" ref="AF41">IFERROR(IF(XLOOKUP(CONCAT(AD41,AE41),'MASTER PLAN'!$AB:$AB,'MASTER PLAN'!$J:$J,0,0)=0,"",XLOOKUP(CONCAT(AD41,AE41),'MASTER PLAN'!$AB:$AB,'MASTER PLAN'!$J:$J,0,0)),"")</f>
        <v/>
      </c>
      <c r="AG41" s="73" t="str">
        <f t="array" ref="AG41">IFERROR(IF(XLOOKUP(CONCAT(AD41,AE41),'PROCESOS PRD'!$J:$J,'PROCESOS PRD'!$H:$H,0,0)=0,"",XLOOKUP(CONCAT(AD41,AE41),'PROCESOS PRD'!$J:$J,'PROCESOS PRD'!$H:$H,0,0)),"")</f>
        <v/>
      </c>
      <c r="AH41" s="71"/>
      <c r="AI41" s="32"/>
      <c r="AJ41" s="72" t="str">
        <f t="array" ref="AJ41">IFERROR(IF(XLOOKUP(CONCAT(AH41,AI41),'MASTER PLAN'!$AB:$AB,'MASTER PLAN'!$J:$J,0,0)=0,"",XLOOKUP(CONCAT(AH41,AI41),'MASTER PLAN'!$AB:$AB,'MASTER PLAN'!$J:$J,0,0)),"")</f>
        <v/>
      </c>
      <c r="AK41" s="73" t="str">
        <f t="array" ref="AK41">IFERROR(IF(XLOOKUP(CONCAT(AH41,AI41),'PROCESOS PRD'!$J:$J,'PROCESOS PRD'!$H:$H,0,0)=0,"",XLOOKUP(CONCAT(AH41,AI41),'PROCESOS PRD'!$J:$J,'PROCESOS PRD'!$H:$H,0,0)),"")</f>
        <v/>
      </c>
      <c r="AL41" s="71">
        <v>1.402049286E9</v>
      </c>
      <c r="AM41" s="32">
        <v>20.0</v>
      </c>
      <c r="AN41" s="72" t="str">
        <f t="array" ref="AN41">IFERROR(IF(XLOOKUP(CONCAT(AL41,AM41),'MASTER PLAN'!$AB:$AB,'MASTER PLAN'!$J:$J,0,0)=0,"",XLOOKUP(CONCAT(AL41,AM41),'MASTER PLAN'!$AB:$AB,'MASTER PLAN'!$J:$J,0,0)),"")</f>
        <v>BOLSA HUNTINGTON 8"X4"X10"</v>
      </c>
      <c r="AO41" s="73">
        <f t="array" ref="AO41">IFERROR(IF(XLOOKUP(CONCAT(AL41,AM41),'PROCESOS PRD'!$J:$J,'PROCESOS PRD'!$H:$H,0,0)=0,"",XLOOKUP(CONCAT(AL41,AM41),'PROCESOS PRD'!$J:$J,'PROCESOS PRD'!$H:$H,0,0)),"")</f>
        <v>2160</v>
      </c>
      <c r="AP41" s="71"/>
      <c r="AQ41" s="32"/>
      <c r="AR41" s="72" t="str">
        <f t="array" ref="AR41">IFERROR(IF(XLOOKUP(CONCAT(AP41,AQ41),'MASTER PLAN'!$AB:$AB,'MASTER PLAN'!$J:$J,0,0)=0,"",XLOOKUP(CONCAT(AP41,AQ41),'MASTER PLAN'!$AB:$AB,'MASTER PLAN'!$J:$J,0,0)),"")</f>
        <v/>
      </c>
      <c r="AS41" s="73" t="str">
        <f t="array" ref="AS41">IFERROR(IF(XLOOKUP(CONCAT(AP41,AQ41),'PROCESOS PRD'!$J:$J,'PROCESOS PRD'!$H:$H,0,0)=0,"",XLOOKUP(CONCAT(AP41,AQ41),'PROCESOS PRD'!$J:$J,'PROCESOS PRD'!$H:$H,0,0)),"")</f>
        <v/>
      </c>
      <c r="AT41" s="70"/>
      <c r="AU41" s="71">
        <v>1.402049355E9</v>
      </c>
      <c r="AV41" s="32">
        <v>10.0</v>
      </c>
      <c r="AW41" s="72" t="str">
        <f t="array" ref="AW41">IFERROR(IF(XLOOKUP(CONCAT(AU41,AV41),'MASTER PLAN'!$AB:$AB,'MASTER PLAN'!$J:$J,0,0)=0,"",XLOOKUP(CONCAT(AU41,AV41),'MASTER PLAN'!$AB:$AB,'MASTER PLAN'!$J:$J,0,0)),"")</f>
        <v>BOLSA WALKER CHRISTOPHER 6-5X3X9</v>
      </c>
      <c r="AX41" s="73">
        <f t="array" ref="AX41">IFERROR(IF(XLOOKUP(CONCAT(AU41,AV41),'PROCESOS PRD'!$J:$J,'PROCESOS PRD'!$H:$H,0,0)=0,"",XLOOKUP(CONCAT(AU41,AV41),'PROCESOS PRD'!$J:$J,'PROCESOS PRD'!$H:$H,0,0)),"")</f>
        <v>1800</v>
      </c>
      <c r="AY41" s="71"/>
      <c r="AZ41" s="32"/>
      <c r="BA41" s="72" t="str">
        <f t="array" ref="BA41">IFERROR(IF(XLOOKUP(CONCAT(AY41,AZ41),'MASTER PLAN'!$AB:$AB,'MASTER PLAN'!$J:$J,0,0)=0,"",XLOOKUP(CONCAT(AY41,AZ41),'MASTER PLAN'!$AB:$AB,'MASTER PLAN'!$J:$J,0,0)),"")</f>
        <v/>
      </c>
      <c r="BB41" s="73" t="str">
        <f t="array" ref="BB41">IFERROR(IF(XLOOKUP(CONCAT(AY41,AZ41),'PROCESOS PRD'!$J:$J,'PROCESOS PRD'!$H:$H,0,0)=0,"",XLOOKUP(CONCAT(AY41,AZ41),'PROCESOS PRD'!$J:$J,'PROCESOS PRD'!$H:$H,0,0)),"")</f>
        <v/>
      </c>
      <c r="BC41" s="71"/>
      <c r="BD41" s="32"/>
      <c r="BE41" s="72" t="str">
        <f t="array" ref="BE41">IFERROR(IF(XLOOKUP(CONCAT(BC41,BD41),'MASTER PLAN'!$AB:$AB,'MASTER PLAN'!$J:$J,0,0)=0,"",XLOOKUP(CONCAT(BC41,BD41),'MASTER PLAN'!$AB:$AB,'MASTER PLAN'!$J:$J,0,0)),"")</f>
        <v/>
      </c>
      <c r="BF41" s="73" t="str">
        <f t="array" ref="BF41">IFERROR(IF(XLOOKUP(CONCAT(BC41,BD41),'PROCESOS PRD'!$J:$J,'PROCESOS PRD'!$H:$H,0,0)=0,"",XLOOKUP(CONCAT(BC41,BD41),'PROCESOS PRD'!$J:$J,'PROCESOS PRD'!$H:$H,0,0)),"")</f>
        <v/>
      </c>
      <c r="BG41" s="71">
        <v>1.402049349E9</v>
      </c>
      <c r="BH41" s="32">
        <v>20.0</v>
      </c>
      <c r="BI41" s="72" t="str">
        <f t="array" ref="BI41">IFERROR(IF(XLOOKUP(CONCAT(BG41,BH41),'MASTER PLAN'!$AB:$AB,'MASTER PLAN'!$J:$J,0,0)=0,"",XLOOKUP(CONCAT(BG41,BH41),'MASTER PLAN'!$AB:$AB,'MASTER PLAN'!$J:$J,0,0)),"")</f>
        <v>BOLSA WSHN WOS 17"X7"X14" FA</v>
      </c>
      <c r="BJ41" s="73">
        <f t="array" ref="BJ41">IFERROR(IF(XLOOKUP(CONCAT(BG41,BH41),'PROCESOS PRD'!$J:$J,'PROCESOS PRD'!$H:$H,0,0)=0,"",XLOOKUP(CONCAT(BG41,BH41),'PROCESOS PRD'!$J:$J,'PROCESOS PRD'!$H:$H,0,0)),"")</f>
        <v>9600</v>
      </c>
      <c r="BK41" s="71"/>
      <c r="BL41" s="32"/>
      <c r="BM41" s="72" t="str">
        <f t="array" ref="BM41">IFERROR(IF(XLOOKUP(CONCAT(BK41,BL41),'MASTER PLAN'!$AB:$AB,'MASTER PLAN'!$J:$J,0,0)=0,"",XLOOKUP(CONCAT(BK41,BL41),'MASTER PLAN'!$AB:$AB,'MASTER PLAN'!$J:$J,0,0)),"")</f>
        <v/>
      </c>
      <c r="BN41" s="73" t="str">
        <f t="array" ref="BN41">IFERROR(IF(XLOOKUP(CONCAT(BK41,BL41),'PROCESOS PRD'!$J:$J,'PROCESOS PRD'!$H:$H,0,0)=0,"",XLOOKUP(CONCAT(BK41,BL41),'PROCESOS PRD'!$J:$J,'PROCESOS PRD'!$H:$H,0,0)),"")</f>
        <v/>
      </c>
      <c r="BO41" s="71"/>
      <c r="BP41" s="32"/>
      <c r="BQ41" s="72" t="str">
        <f t="array" ref="BQ41">IFERROR(IF(XLOOKUP(CONCAT(BO41,BP41),'MASTER PLAN'!$AB:$AB,'MASTER PLAN'!$J:$J,0,0)=0,"",XLOOKUP(CONCAT(BO41,BP41),'MASTER PLAN'!$AB:$AB,'MASTER PLAN'!$J:$J,0,0)),"")</f>
        <v/>
      </c>
      <c r="BR41" s="73" t="str">
        <f t="array" ref="BR41">IFERROR(IF(XLOOKUP(CONCAT(BO41,BP41),'PROCESOS PRD'!$J:$J,'PROCESOS PRD'!$H:$H,0,0)=0,"",XLOOKUP(CONCAT(BO41,BP41),'PROCESOS PRD'!$J:$J,'PROCESOS PRD'!$H:$H,0,0)),"")</f>
        <v/>
      </c>
      <c r="BS41" s="70"/>
      <c r="BT41" s="71">
        <v>1.402049318E9</v>
      </c>
      <c r="BU41" s="32">
        <v>20.0</v>
      </c>
      <c r="BV41" s="72" t="str">
        <f t="array" ref="BV41">IFERROR(IF(XLOOKUP(CONCAT(BT41,BU41),'MASTER PLAN'!$AB:$AB,'MASTER PLAN'!$J:$J,0,0)=0,"",XLOOKUP(CONCAT(BT41,BU41),'MASTER PLAN'!$AB:$AB,'MASTER PLAN'!$J:$J,0,0)),"")</f>
        <v>BOLSA WATERFALL JEWELERS 8"X4"X10"</v>
      </c>
      <c r="BW41" s="73">
        <f t="array" ref="BW41">IFERROR(IF(XLOOKUP(CONCAT(BT41,BU41),'PROCESOS PRD'!$J:$J,'PROCESOS PRD'!$H:$H,0,0)=0,"",XLOOKUP(CONCAT(BT41,BU41),'PROCESOS PRD'!$J:$J,'PROCESOS PRD'!$H:$H,0,0)),"")</f>
        <v>4800</v>
      </c>
      <c r="BX41" s="71">
        <v>1.402049444E9</v>
      </c>
      <c r="BY41" s="32">
        <v>10.0</v>
      </c>
      <c r="BZ41" s="72" t="str">
        <f t="array" ref="BZ41">IFERROR(IF(XLOOKUP(CONCAT(BX41,BY41),'MASTER PLAN'!$AB:$AB,'MASTER PLAN'!$J:$J,0,0)=0,"",XLOOKUP(CONCAT(BX41,BY41),'MASTER PLAN'!$AB:$AB,'MASTER PLAN'!$J:$J,0,0)),"")</f>
        <v>BOLSA AMERICUS DIAMOND 6-5X3-5X6-5</v>
      </c>
      <c r="CA41" s="73">
        <f t="array" ref="CA41">IFERROR(IF(XLOOKUP(CONCAT(BX41,BY41),'PROCESOS PRD'!$J:$J,'PROCESOS PRD'!$H:$H,0,0)=0,"",XLOOKUP(CONCAT(BX41,BY41),'PROCESOS PRD'!$J:$J,'PROCESOS PRD'!$H:$H,0,0)),"")</f>
        <v>3600</v>
      </c>
      <c r="CB41" s="71">
        <v>1.40204948E9</v>
      </c>
      <c r="CC41" s="32">
        <v>20.0</v>
      </c>
      <c r="CD41" s="72" t="str">
        <f t="array" ref="CD41">IFERROR(IF(XLOOKUP(CONCAT(CB41,CC41),'MASTER PLAN'!$AB:$AB,'MASTER PLAN'!$J:$J,0,0)=0,"",XLOOKUP(CONCAT(CB41,CC41),'MASTER PLAN'!$AB:$AB,'MASTER PLAN'!$J:$J,0,0)),"")</f>
        <v>BOLSA LEE BRANT  8"X4"X10"</v>
      </c>
      <c r="CE41" s="73">
        <f t="array" ref="CE41">IFERROR(IF(XLOOKUP(CONCAT(CB41,CC41),'PROCESOS PRD'!$J:$J,'PROCESOS PRD'!$H:$H,0,0)=0,"",XLOOKUP(CONCAT(CB41,CC41),'PROCESOS PRD'!$J:$J,'PROCESOS PRD'!$H:$H,0,0)),"")</f>
        <v>1200</v>
      </c>
      <c r="CF41" s="71"/>
      <c r="CG41" s="32"/>
      <c r="CH41" s="72" t="str">
        <f t="array" ref="CH41">IFERROR(IF(XLOOKUP(CONCAT(CF41,CG41),'MASTER PLAN'!$AB:$AB,'MASTER PLAN'!$J:$J,0,0)=0,"",XLOOKUP(CONCAT(CF41,CG41),'MASTER PLAN'!$AB:$AB,'MASTER PLAN'!$J:$J,0,0)),"")</f>
        <v/>
      </c>
      <c r="CI41" s="73" t="str">
        <f t="array" ref="CI41">IFERROR(IF(XLOOKUP(CONCAT(CF41,CG41),'PROCESOS PRD'!$J:$J,'PROCESOS PRD'!$H:$H,0,0)=0,"",XLOOKUP(CONCAT(CF41,CG41),'PROCESOS PRD'!$J:$J,'PROCESOS PRD'!$H:$H,0,0)),"")</f>
        <v/>
      </c>
      <c r="CJ41" s="71"/>
      <c r="CK41" s="32"/>
      <c r="CL41" s="72" t="str">
        <f t="array" ref="CL41">IFERROR(IF(XLOOKUP(CONCAT(CJ41,CK41),'MASTER PLAN'!$AB:$AB,'MASTER PLAN'!$J:$J,0,0)=0,"",XLOOKUP(CONCAT(CJ41,CK41),'MASTER PLAN'!$AB:$AB,'MASTER PLAN'!$J:$J,0,0)),"")</f>
        <v/>
      </c>
      <c r="CM41" s="73" t="str">
        <f t="array" ref="CM41">IFERROR(IF(XLOOKUP(CONCAT(CJ41,CK41),'PROCESOS PRD'!$J:$J,'PROCESOS PRD'!$H:$H,0,0)=0,"",XLOOKUP(CONCAT(CJ41,CK41),'PROCESOS PRD'!$J:$J,'PROCESOS PRD'!$H:$H,0,0)),"")</f>
        <v/>
      </c>
      <c r="CN41" s="71"/>
      <c r="CO41" s="32"/>
      <c r="CP41" s="72" t="str">
        <f t="array" ref="CP41">IFERROR(IF(XLOOKUP(CONCAT(CN41,CO41),'MASTER PLAN'!$AB:$AB,'MASTER PLAN'!$J:$J,0,0)=0,"",XLOOKUP(CONCAT(CN41,CO41),'MASTER PLAN'!$AB:$AB,'MASTER PLAN'!$J:$J,0,0)),"")</f>
        <v/>
      </c>
      <c r="CQ41" s="73" t="str">
        <f t="array" ref="CQ41">IFERROR(IF(XLOOKUP(CONCAT(CN41,CO41),'PROCESOS PRD'!$J:$J,'PROCESOS PRD'!$H:$H,0,0)=0,"",XLOOKUP(CONCAT(CN41,CO41),'PROCESOS PRD'!$J:$J,'PROCESOS PRD'!$H:$H,0,0)),"")</f>
        <v/>
      </c>
      <c r="CR41" s="70"/>
      <c r="CS41" s="71"/>
      <c r="CT41" s="32"/>
      <c r="CU41" s="72" t="str">
        <f t="array" ref="CU41">IFERROR(IF(XLOOKUP(CONCAT(CS41,CT41),'MASTER PLAN'!$AB:$AB,'MASTER PLAN'!$J:$J,0,0)=0,"",XLOOKUP(CONCAT(CS41,CT41),'MASTER PLAN'!$AB:$AB,'MASTER PLAN'!$J:$J,0,0)),"")</f>
        <v/>
      </c>
      <c r="CV41" s="73" t="str">
        <f t="array" ref="CV41">IFERROR(IF(XLOOKUP(CONCAT(CS41,CT41),'PROCESOS PRD'!$J:$J,'PROCESOS PRD'!$H:$H,0,0)=0,"",XLOOKUP(CONCAT(CS41,CT41),'PROCESOS PRD'!$J:$J,'PROCESOS PRD'!$H:$H,0,0)),"")</f>
        <v/>
      </c>
      <c r="CW41" s="71"/>
      <c r="CX41" s="32"/>
      <c r="CY41" s="72" t="str">
        <f t="array" ref="CY41">IFERROR(IF(XLOOKUP(CONCAT(CW41,CX41),'MASTER PLAN'!$AB:$AB,'MASTER PLAN'!$J:$J,0,0)=0,"",XLOOKUP(CONCAT(CW41,CX41),'MASTER PLAN'!$AB:$AB,'MASTER PLAN'!$J:$J,0,0)),"")</f>
        <v/>
      </c>
      <c r="CZ41" s="73" t="str">
        <f t="array" ref="CZ41">IFERROR(IF(XLOOKUP(CONCAT(CW41,CX41),'PROCESOS PRD'!$J:$J,'PROCESOS PRD'!$H:$H,0,0)=0,"",XLOOKUP(CONCAT(CW41,CX41),'PROCESOS PRD'!$J:$J,'PROCESOS PRD'!$H:$H,0,0)),"")</f>
        <v/>
      </c>
      <c r="DA41" s="71">
        <v>1.402049521E9</v>
      </c>
      <c r="DB41" s="32">
        <v>10.0</v>
      </c>
      <c r="DC41" s="72" t="str">
        <f t="array" ref="DC41">IFERROR(IF(XLOOKUP(CONCAT(DA41,DB41),'MASTER PLAN'!$AB:$AB,'MASTER PLAN'!$J:$J,0,0)=0,"",XLOOKUP(CONCAT(DA41,DB41),'MASTER PLAN'!$AB:$AB,'MASTER PLAN'!$J:$J,0,0)),"")</f>
        <v>BOLSA THE GEM LAB 6-5X3-5X6-5</v>
      </c>
      <c r="DD41" s="73">
        <f t="array" ref="DD41">IFERROR(IF(XLOOKUP(CONCAT(DA41,DB41),'PROCESOS PRD'!$J:$J,'PROCESOS PRD'!$H:$H,0,0)=0,"",XLOOKUP(CONCAT(DA41,DB41),'PROCESOS PRD'!$J:$J,'PROCESOS PRD'!$H:$H,0,0)),"")</f>
        <v>3000</v>
      </c>
      <c r="DE41" s="71">
        <v>1.402049421E9</v>
      </c>
      <c r="DF41" s="32">
        <v>10.0</v>
      </c>
      <c r="DG41" s="72" t="str">
        <f t="array" ref="DG41">IFERROR(IF(XLOOKUP(CONCAT(DE41,DF41),'MASTER PLAN'!$AB:$AB,'MASTER PLAN'!$J:$J,0,0)=0,"",XLOOKUP(CONCAT(DE41,DF41),'MASTER PLAN'!$AB:$AB,'MASTER PLAN'!$J:$J,0,0)),"")</f>
        <v>BOLSA WEDDING RING SHOP 9-75X4X6-5 IN FL</v>
      </c>
      <c r="DH41" s="73">
        <f t="array" ref="DH41">IFERROR(IF(XLOOKUP(CONCAT(DE41,DF41),'PROCESOS PRD'!$J:$J,'PROCESOS PRD'!$H:$H,0,0)=0,"",XLOOKUP(CONCAT(DE41,DF41),'PROCESOS PRD'!$J:$J,'PROCESOS PRD'!$H:$H,0,0)),"")</f>
        <v>2400</v>
      </c>
      <c r="DI41" s="71"/>
      <c r="DJ41" s="32"/>
      <c r="DK41" s="72" t="str">
        <f t="array" ref="DK41">IFERROR(IF(XLOOKUP(CONCAT(DI41,DJ41),'MASTER PLAN'!$AB:$AB,'MASTER PLAN'!$J:$J,0,0)=0,"",XLOOKUP(CONCAT(DI41,DJ41),'MASTER PLAN'!$AB:$AB,'MASTER PLAN'!$J:$J,0,0)),"")</f>
        <v/>
      </c>
      <c r="DL41" s="73" t="str">
        <f t="array" ref="DL41">IFERROR(IF(XLOOKUP(CONCAT(DI41,DJ41),'PROCESOS PRD'!$J:$J,'PROCESOS PRD'!$H:$H,0,0)=0,"",XLOOKUP(CONCAT(DI41,DJ41),'PROCESOS PRD'!$J:$J,'PROCESOS PRD'!$H:$H,0,0)),"")</f>
        <v/>
      </c>
      <c r="DM41" s="71"/>
      <c r="DN41" s="32"/>
      <c r="DO41" s="72" t="str">
        <f t="array" ref="DO41">IFERROR(IF(XLOOKUP(CONCAT(DM41,DN41),'MASTER PLAN'!$AB:$AB,'MASTER PLAN'!$J:$J,0,0)=0,"",XLOOKUP(CONCAT(DM41,DN41),'MASTER PLAN'!$AB:$AB,'MASTER PLAN'!$J:$J,0,0)),"")</f>
        <v/>
      </c>
      <c r="DP41" s="73" t="str">
        <f t="array" ref="DP41">IFERROR(IF(XLOOKUP(CONCAT(DM41,DN41),'PROCESOS PRD'!$J:$J,'PROCESOS PRD'!$H:$H,0,0)=0,"",XLOOKUP(CONCAT(DM41,DN41),'PROCESOS PRD'!$J:$J,'PROCESOS PRD'!$H:$H,0,0)),"")</f>
        <v/>
      </c>
      <c r="DQ41" s="70"/>
      <c r="DR41" s="71"/>
      <c r="DS41" s="32"/>
      <c r="DT41" s="72" t="str">
        <f t="array" ref="DT41">IFERROR(IF(XLOOKUP(CONCAT(DR41,DS41),'MASTER PLAN'!$AB:$AB,'MASTER PLAN'!$J:$J,0,0)=0,"",XLOOKUP(CONCAT(DR41,DS41),'MASTER PLAN'!$AB:$AB,'MASTER PLAN'!$J:$J,0,0)),"")</f>
        <v/>
      </c>
      <c r="DU41" s="73" t="str">
        <f t="array" ref="DU41">IFERROR(IF(XLOOKUP(CONCAT(DR41,DS41),'PROCESOS PRD'!$J:$J,'PROCESOS PRD'!$H:$H,0,0)=0,"",XLOOKUP(CONCAT(DR41,DS41),'PROCESOS PRD'!$J:$J,'PROCESOS PRD'!$H:$H,0,0)),"")</f>
        <v/>
      </c>
      <c r="DV41" s="71"/>
      <c r="DW41" s="32"/>
      <c r="DX41" s="72" t="str">
        <f t="array" ref="DX41">IFERROR(IF(XLOOKUP(CONCAT(DV41,DW41),'MASTER PLAN'!$AB:$AB,'MASTER PLAN'!$J:$J,0,0)=0,"",XLOOKUP(CONCAT(DV41,DW41),'MASTER PLAN'!$AB:$AB,'MASTER PLAN'!$J:$J,0,0)),"")</f>
        <v/>
      </c>
      <c r="DY41" s="73" t="str">
        <f t="array" ref="DY41">IFERROR(IF(XLOOKUP(CONCAT(DV41,DW41),'PROCESOS PRD'!$J:$J,'PROCESOS PRD'!$H:$H,0,0)=0,"",XLOOKUP(CONCAT(DV41,DW41),'PROCESOS PRD'!$J:$J,'PROCESOS PRD'!$H:$H,0,0)),"")</f>
        <v/>
      </c>
      <c r="DZ41" s="71"/>
      <c r="EA41" s="32"/>
      <c r="EB41" s="72" t="str">
        <f t="array" ref="EB41">IFERROR(IF(XLOOKUP(CONCAT(DZ41,EA41),'MASTER PLAN'!$AB:$AB,'MASTER PLAN'!$J:$J,0,0)=0,"",XLOOKUP(CONCAT(DZ41,EA41),'MASTER PLAN'!$AB:$AB,'MASTER PLAN'!$J:$J,0,0)),"")</f>
        <v/>
      </c>
      <c r="EC41" s="73" t="str">
        <f t="array" ref="EC41">IFERROR(IF(XLOOKUP(CONCAT(DZ41,EA41),'PROCESOS PRD'!$J:$J,'PROCESOS PRD'!$H:$H,0,0)=0,"",XLOOKUP(CONCAT(DZ41,EA41),'PROCESOS PRD'!$J:$J,'PROCESOS PRD'!$H:$H,0,0)),"")</f>
        <v/>
      </c>
      <c r="ED41" s="71"/>
      <c r="EE41" s="32"/>
      <c r="EF41" s="72" t="str">
        <f t="array" ref="EF41">IFERROR(IF(XLOOKUP(CONCAT(ED41,EE41),'MASTER PLAN'!$AB:$AB,'MASTER PLAN'!$J:$J,0,0)=0,"",XLOOKUP(CONCAT(ED41,EE41),'MASTER PLAN'!$AB:$AB,'MASTER PLAN'!$J:$J,0,0)),"")</f>
        <v/>
      </c>
      <c r="EG41" s="73" t="str">
        <f t="array" ref="EG41">IFERROR(IF(XLOOKUP(CONCAT(ED41,EE41),'PROCESOS PRD'!$J:$J,'PROCESOS PRD'!$H:$H,0,0)=0,"",XLOOKUP(CONCAT(ED41,EE41),'PROCESOS PRD'!$J:$J,'PROCESOS PRD'!$H:$H,0,0)),"")</f>
        <v/>
      </c>
      <c r="EH41" s="71"/>
      <c r="EI41" s="32"/>
      <c r="EJ41" s="72" t="str">
        <f t="array" ref="EJ41">IFERROR(IF(XLOOKUP(CONCAT(EH41,EI41),'MASTER PLAN'!$AB:$AB,'MASTER PLAN'!$J:$J,0,0)=0,"",XLOOKUP(CONCAT(EH41,EI41),'MASTER PLAN'!$AB:$AB,'MASTER PLAN'!$J:$J,0,0)),"")</f>
        <v/>
      </c>
      <c r="EK41" s="73" t="str">
        <f t="array" ref="EK41">IFERROR(IF(XLOOKUP(CONCAT(EH41,EI41),'PROCESOS PRD'!$J:$J,'PROCESOS PRD'!$H:$H,0,0)=0,"",XLOOKUP(CONCAT(EH41,EI41),'PROCESOS PRD'!$J:$J,'PROCESOS PRD'!$H:$H,0,0)),"")</f>
        <v/>
      </c>
      <c r="EL41" s="71"/>
      <c r="EM41" s="32"/>
      <c r="EN41" s="72" t="str">
        <f t="array" ref="EN41">IFERROR(IF(XLOOKUP(CONCAT(EL41,EM41),'MASTER PLAN'!$AB:$AB,'MASTER PLAN'!$J:$J,0,0)=0,"",XLOOKUP(CONCAT(EL41,EM41),'MASTER PLAN'!$AB:$AB,'MASTER PLAN'!$J:$J,0,0)),"")</f>
        <v/>
      </c>
      <c r="EO41" s="73" t="str">
        <f t="array" ref="EO41">IFERROR(IF(XLOOKUP(CONCAT(EL41,EM41),'PROCESOS PRD'!$J:$J,'PROCESOS PRD'!$H:$H,0,0)=0,"",XLOOKUP(CONCAT(EL41,EM41),'PROCESOS PRD'!$J:$J,'PROCESOS PRD'!$H:$H,0,0)),"")</f>
        <v/>
      </c>
      <c r="EP41" s="70"/>
      <c r="EQ41" s="71"/>
      <c r="ER41" s="32"/>
      <c r="ES41" s="72" t="str">
        <f t="array" ref="ES41">IFERROR(IF(XLOOKUP(CONCAT(EQ41,ER41),'MASTER PLAN'!$AB:$AB,'MASTER PLAN'!$J:$J,0,0)=0,"",XLOOKUP(CONCAT(EQ41,ER41),'MASTER PLAN'!$AB:$AB,'MASTER PLAN'!$J:$J,0,0)),"")</f>
        <v/>
      </c>
      <c r="ET41" s="73" t="str">
        <f t="array" ref="ET41">IFERROR(IF(XLOOKUP(CONCAT(EQ41,ER41),'PROCESOS PRD'!$J:$J,'PROCESOS PRD'!$H:$H,0,0)=0,"",XLOOKUP(CONCAT(EQ41,ER41),'PROCESOS PRD'!$J:$J,'PROCESOS PRD'!$H:$H,0,0)),"")</f>
        <v/>
      </c>
      <c r="EU41" s="71"/>
      <c r="EV41" s="32"/>
      <c r="EW41" s="72" t="str">
        <f t="array" ref="EW41">IFERROR(IF(XLOOKUP(CONCAT(EU41,EV41),'MASTER PLAN'!$AB:$AB,'MASTER PLAN'!$J:$J,0,0)=0,"",XLOOKUP(CONCAT(EU41,EV41),'MASTER PLAN'!$AB:$AB,'MASTER PLAN'!$J:$J,0,0)),"")</f>
        <v/>
      </c>
      <c r="EX41" s="73" t="str">
        <f t="array" ref="EX41">IFERROR(IF(XLOOKUP(CONCAT(EU41,EV41),'PROCESOS PRD'!$J:$J,'PROCESOS PRD'!$H:$H,0,0)=0,"",XLOOKUP(CONCAT(EU41,EV41),'PROCESOS PRD'!$J:$J,'PROCESOS PRD'!$H:$H,0,0)),"")</f>
        <v/>
      </c>
      <c r="EY41" s="71"/>
      <c r="EZ41" s="32"/>
      <c r="FA41" s="72" t="str">
        <f t="array" ref="FA41">IFERROR(IF(XLOOKUP(CONCAT(EY41,EZ41),'MASTER PLAN'!$AB:$AB,'MASTER PLAN'!$J:$J,0,0)=0,"",XLOOKUP(CONCAT(EY41,EZ41),'MASTER PLAN'!$AB:$AB,'MASTER PLAN'!$J:$J,0,0)),"")</f>
        <v/>
      </c>
      <c r="FB41" s="73" t="str">
        <f t="array" ref="FB41">IFERROR(IF(XLOOKUP(CONCAT(EY41,EZ41),'PROCESOS PRD'!$J:$J,'PROCESOS PRD'!$H:$H,0,0)=0,"",XLOOKUP(CONCAT(EY41,EZ41),'PROCESOS PRD'!$J:$J,'PROCESOS PRD'!$H:$H,0,0)),"")</f>
        <v/>
      </c>
      <c r="FC41" s="71"/>
      <c r="FD41" s="32"/>
      <c r="FE41" s="72" t="str">
        <f t="array" ref="FE41">IFERROR(IF(XLOOKUP(CONCAT(FC41,FD41),'MASTER PLAN'!$AB:$AB,'MASTER PLAN'!$J:$J,0,0)=0,"",XLOOKUP(CONCAT(FC41,FD41),'MASTER PLAN'!$AB:$AB,'MASTER PLAN'!$J:$J,0,0)),"")</f>
        <v/>
      </c>
      <c r="FF41" s="73" t="str">
        <f t="array" ref="FF41">IFERROR(IF(XLOOKUP(CONCAT(FC41,FD41),'PROCESOS PRD'!$J:$J,'PROCESOS PRD'!$H:$H,0,0)=0,"",XLOOKUP(CONCAT(FC41,FD41),'PROCESOS PRD'!$J:$J,'PROCESOS PRD'!$H:$H,0,0)),"")</f>
        <v/>
      </c>
      <c r="FG41" s="71"/>
      <c r="FH41" s="32"/>
      <c r="FI41" s="72" t="str">
        <f t="array" ref="FI41">IFERROR(IF(XLOOKUP(CONCAT(FG41,FH41),'MASTER PLAN'!$AB:$AB,'MASTER PLAN'!$J:$J,0,0)=0,"",XLOOKUP(CONCAT(FG41,FH41),'MASTER PLAN'!$AB:$AB,'MASTER PLAN'!$J:$J,0,0)),"")</f>
        <v/>
      </c>
      <c r="FJ41" s="73" t="str">
        <f t="array" ref="FJ41">IFERROR(IF(XLOOKUP(CONCAT(FG41,FH41),'PROCESOS PRD'!$J:$J,'PROCESOS PRD'!$H:$H,0,0)=0,"",XLOOKUP(CONCAT(FG41,FH41),'PROCESOS PRD'!$J:$J,'PROCESOS PRD'!$H:$H,0,0)),"")</f>
        <v/>
      </c>
      <c r="FK41" s="71"/>
      <c r="FL41" s="32"/>
      <c r="FM41" s="72" t="str">
        <f t="array" ref="FM41">IFERROR(IF(XLOOKUP(CONCAT(FK41,FL41),'MASTER PLAN'!$AB:$AB,'MASTER PLAN'!$J:$J,0,0)=0,"",XLOOKUP(CONCAT(FK41,FL41),'MASTER PLAN'!$AB:$AB,'MASTER PLAN'!$J:$J,0,0)),"")</f>
        <v/>
      </c>
      <c r="FN41" s="73" t="str">
        <f t="array" ref="FN41">IFERROR(IF(XLOOKUP(CONCAT(FK41,FL41),'PROCESOS PRD'!$J:$J,'PROCESOS PRD'!$H:$H,0,0)=0,"",XLOOKUP(CONCAT(FK41,FL41),'PROCESOS PRD'!$J:$J,'PROCESOS PRD'!$H:$H,0,0)),"")</f>
        <v/>
      </c>
      <c r="FO41" s="70"/>
      <c r="FP41" s="71"/>
      <c r="FQ41" s="32"/>
      <c r="FR41" s="72" t="str">
        <f t="array" ref="FR41">IFERROR(IF(XLOOKUP(CONCAT(FP41,FQ41),'MASTER PLAN'!$AB:$AB,'MASTER PLAN'!$J:$J,0,0)=0,"",XLOOKUP(CONCAT(FP41,FQ41),'MASTER PLAN'!$AB:$AB,'MASTER PLAN'!$J:$J,0,0)),"")</f>
        <v/>
      </c>
      <c r="FS41" s="73" t="str">
        <f t="array" ref="FS41">IFERROR(IF(XLOOKUP(CONCAT(FP41,FQ41),'PROCESOS PRD'!$J:$J,'PROCESOS PRD'!$H:$H,0,0)=0,"",XLOOKUP(CONCAT(FP41,FQ41),'PROCESOS PRD'!$J:$J,'PROCESOS PRD'!$H:$H,0,0)),"")</f>
        <v/>
      </c>
      <c r="FT41" s="71"/>
      <c r="FU41" s="32"/>
      <c r="FV41" s="72" t="str">
        <f t="array" ref="FV41">IFERROR(IF(XLOOKUP(CONCAT(FT41,FU41),'MASTER PLAN'!$AB:$AB,'MASTER PLAN'!$J:$J,0,0)=0,"",XLOOKUP(CONCAT(FT41,FU41),'MASTER PLAN'!$AB:$AB,'MASTER PLAN'!$J:$J,0,0)),"")</f>
        <v/>
      </c>
      <c r="FW41" s="73" t="str">
        <f t="array" ref="FW41">IFERROR(IF(XLOOKUP(CONCAT(FT41,FU41),'PROCESOS PRD'!$J:$J,'PROCESOS PRD'!$H:$H,0,0)=0,"",XLOOKUP(CONCAT(FT41,FU41),'PROCESOS PRD'!$J:$J,'PROCESOS PRD'!$H:$H,0,0)),"")</f>
        <v/>
      </c>
      <c r="FX41" s="71"/>
      <c r="FY41" s="32"/>
      <c r="FZ41" s="72" t="str">
        <f t="array" ref="FZ41">IFERROR(IF(XLOOKUP(CONCAT(FX41,FY41),'MASTER PLAN'!$AB:$AB,'MASTER PLAN'!$J:$J,0,0)=0,"",XLOOKUP(CONCAT(FX41,FY41),'MASTER PLAN'!$AB:$AB,'MASTER PLAN'!$J:$J,0,0)),"")</f>
        <v/>
      </c>
      <c r="GA41" s="73" t="str">
        <f t="array" ref="GA41">IFERROR(IF(XLOOKUP(CONCAT(FX41,FY41),'PROCESOS PRD'!$J:$J,'PROCESOS PRD'!$H:$H,0,0)=0,"",XLOOKUP(CONCAT(FX41,FY41),'PROCESOS PRD'!$J:$J,'PROCESOS PRD'!$H:$H,0,0)),"")</f>
        <v/>
      </c>
      <c r="GB41" s="71"/>
      <c r="GC41" s="32"/>
      <c r="GD41" s="72" t="str">
        <f t="array" ref="GD41">IFERROR(IF(XLOOKUP(CONCAT(GB41,GC41),'MASTER PLAN'!$AB:$AB,'MASTER PLAN'!$J:$J,0,0)=0,"",XLOOKUP(CONCAT(GB41,GC41),'MASTER PLAN'!$AB:$AB,'MASTER PLAN'!$J:$J,0,0)),"")</f>
        <v/>
      </c>
      <c r="GE41" s="73" t="str">
        <f t="array" ref="GE41">IFERROR(IF(XLOOKUP(CONCAT(GB41,GC41),'PROCESOS PRD'!$J:$J,'PROCESOS PRD'!$H:$H,0,0)=0,"",XLOOKUP(CONCAT(GB41,GC41),'PROCESOS PRD'!$J:$J,'PROCESOS PRD'!$H:$H,0,0)),"")</f>
        <v/>
      </c>
      <c r="GF41" s="71"/>
      <c r="GG41" s="32"/>
      <c r="GH41" s="72" t="str">
        <f t="array" ref="GH41">IFERROR(IF(XLOOKUP(CONCAT(GF41,GG41),'MASTER PLAN'!$AB:$AB,'MASTER PLAN'!$J:$J,0,0)=0,"",XLOOKUP(CONCAT(GF41,GG41),'MASTER PLAN'!$AB:$AB,'MASTER PLAN'!$J:$J,0,0)),"")</f>
        <v/>
      </c>
      <c r="GI41" s="73" t="str">
        <f t="array" ref="GI41">IFERROR(IF(XLOOKUP(CONCAT(GF41,GG41),'PROCESOS PRD'!$J:$J,'PROCESOS PRD'!$H:$H,0,0)=0,"",XLOOKUP(CONCAT(GF41,GG41),'PROCESOS PRD'!$J:$J,'PROCESOS PRD'!$H:$H,0,0)),"")</f>
        <v/>
      </c>
      <c r="GJ41" s="71"/>
      <c r="GK41" s="32"/>
      <c r="GL41" s="72" t="str">
        <f t="array" ref="GL41">IFERROR(IF(XLOOKUP(CONCAT(GJ41,GK41),'MASTER PLAN'!$AB:$AB,'MASTER PLAN'!$J:$J,0,0)=0,"",XLOOKUP(CONCAT(GJ41,GK41),'MASTER PLAN'!$AB:$AB,'MASTER PLAN'!$J:$J,0,0)),"")</f>
        <v/>
      </c>
      <c r="GM41" s="73" t="str">
        <f t="array" ref="GM41">IFERROR(IF(XLOOKUP(CONCAT(GJ41,GK41),'PROCESOS PRD'!$J:$J,'PROCESOS PRD'!$H:$H,0,0)=0,"",XLOOKUP(CONCAT(GJ41,GK41),'PROCESOS PRD'!$J:$J,'PROCESOS PRD'!$H:$H,0,0)),"")</f>
        <v/>
      </c>
      <c r="GN41" s="70"/>
      <c r="GO41" s="71"/>
      <c r="GP41" s="32"/>
      <c r="GQ41" s="72" t="str">
        <f t="array" ref="GQ41">IFERROR(IF(XLOOKUP(CONCAT(GO41,GP41),'MASTER PLAN'!$AB:$AB,'MASTER PLAN'!$J:$J,0,0)=0,"",XLOOKUP(CONCAT(GO41,GP41),'MASTER PLAN'!$AB:$AB,'MASTER PLAN'!$J:$J,0,0)),"")</f>
        <v/>
      </c>
      <c r="GR41" s="73" t="str">
        <f t="array" ref="GR41">IFERROR(IF(XLOOKUP(CONCAT(GO41,GP41),'PROCESOS PRD'!$J:$J,'PROCESOS PRD'!$H:$H,0,0)=0,"",XLOOKUP(CONCAT(GO41,GP41),'PROCESOS PRD'!$J:$J,'PROCESOS PRD'!$H:$H,0,0)),"")</f>
        <v/>
      </c>
      <c r="GS41" s="71"/>
      <c r="GT41" s="32"/>
      <c r="GU41" s="72" t="str">
        <f t="array" ref="GU41">IFERROR(IF(XLOOKUP(CONCAT(GS41,GT41),'MASTER PLAN'!$AB:$AB,'MASTER PLAN'!$J:$J,0,0)=0,"",XLOOKUP(CONCAT(GS41,GT41),'MASTER PLAN'!$AB:$AB,'MASTER PLAN'!$J:$J,0,0)),"")</f>
        <v/>
      </c>
      <c r="GV41" s="73" t="str">
        <f t="array" ref="GV41">IFERROR(IF(XLOOKUP(CONCAT(GS41,GT41),'PROCESOS PRD'!$J:$J,'PROCESOS PRD'!$H:$H,0,0)=0,"",XLOOKUP(CONCAT(GS41,GT41),'PROCESOS PRD'!$J:$J,'PROCESOS PRD'!$H:$H,0,0)),"")</f>
        <v/>
      </c>
      <c r="GW41" s="71"/>
      <c r="GX41" s="32"/>
      <c r="GY41" s="72" t="str">
        <f t="array" ref="GY41">IFERROR(IF(XLOOKUP(CONCAT(GW41,GX41),'MASTER PLAN'!$AB:$AB,'MASTER PLAN'!$J:$J,0,0)=0,"",XLOOKUP(CONCAT(GW41,GX41),'MASTER PLAN'!$AB:$AB,'MASTER PLAN'!$J:$J,0,0)),"")</f>
        <v/>
      </c>
      <c r="GZ41" s="73" t="str">
        <f t="array" ref="GZ41">IFERROR(IF(XLOOKUP(CONCAT(GW41,GX41),'PROCESOS PRD'!$J:$J,'PROCESOS PRD'!$H:$H,0,0)=0,"",XLOOKUP(CONCAT(GW41,GX41),'PROCESOS PRD'!$J:$J,'PROCESOS PRD'!$H:$H,0,0)),"")</f>
        <v/>
      </c>
      <c r="HA41" s="71"/>
      <c r="HB41" s="32"/>
      <c r="HC41" s="72" t="str">
        <f t="array" ref="HC41">IFERROR(IF(XLOOKUP(CONCAT(HA41,HB41),'MASTER PLAN'!$AB:$AB,'MASTER PLAN'!$J:$J,0,0)=0,"",XLOOKUP(CONCAT(HA41,HB41),'MASTER PLAN'!$AB:$AB,'MASTER PLAN'!$J:$J,0,0)),"")</f>
        <v/>
      </c>
      <c r="HD41" s="73" t="str">
        <f t="array" ref="HD41">IFERROR(IF(XLOOKUP(CONCAT(HA41,HB41),'PROCESOS PRD'!$J:$J,'PROCESOS PRD'!$H:$H,0,0)=0,"",XLOOKUP(CONCAT(HA41,HB41),'PROCESOS PRD'!$J:$J,'PROCESOS PRD'!$H:$H,0,0)),"")</f>
        <v/>
      </c>
      <c r="HE41" s="71"/>
      <c r="HF41" s="32"/>
      <c r="HG41" s="72" t="str">
        <f t="array" ref="HG41">IFERROR(IF(XLOOKUP(CONCAT(HE41,HF41),'MASTER PLAN'!$AB:$AB,'MASTER PLAN'!$J:$J,0,0)=0,"",XLOOKUP(CONCAT(HE41,HF41),'MASTER PLAN'!$AB:$AB,'MASTER PLAN'!$J:$J,0,0)),"")</f>
        <v/>
      </c>
      <c r="HH41" s="73" t="str">
        <f t="array" ref="HH41">IFERROR(IF(XLOOKUP(CONCAT(HE41,HF41),'PROCESOS PRD'!$J:$J,'PROCESOS PRD'!$H:$H,0,0)=0,"",XLOOKUP(CONCAT(HE41,HF41),'PROCESOS PRD'!$J:$J,'PROCESOS PRD'!$H:$H,0,0)),"")</f>
        <v/>
      </c>
      <c r="HI41" s="71"/>
      <c r="HJ41" s="32"/>
      <c r="HK41" s="72" t="str">
        <f t="array" ref="HK41">IFERROR(IF(XLOOKUP(CONCAT(HI41,HJ41),'MASTER PLAN'!$AB:$AB,'MASTER PLAN'!$J:$J,0,0)=0,"",XLOOKUP(CONCAT(HI41,HJ41),'MASTER PLAN'!$AB:$AB,'MASTER PLAN'!$J:$J,0,0)),"")</f>
        <v/>
      </c>
      <c r="HL41" s="73" t="str">
        <f t="array" ref="HL41">IFERROR(IF(XLOOKUP(CONCAT(HI41,HJ41),'PROCESOS PRD'!$J:$J,'PROCESOS PRD'!$H:$H,0,0)=0,"",XLOOKUP(CONCAT(HI41,HJ41),'PROCESOS PRD'!$J:$J,'PROCESOS PRD'!$H:$H,0,0)),"")</f>
        <v/>
      </c>
      <c r="HM41" s="70"/>
      <c r="HN41" s="71"/>
      <c r="HO41" s="32"/>
      <c r="HP41" s="72" t="str">
        <f t="array" ref="HP41">IFERROR(IF(XLOOKUP(CONCAT(HN41,HO41),'MASTER PLAN'!$AB:$AB,'MASTER PLAN'!$J:$J,0,0)=0,"",XLOOKUP(CONCAT(HN41,HO41),'MASTER PLAN'!$AB:$AB,'MASTER PLAN'!$J:$J,0,0)),"")</f>
        <v/>
      </c>
      <c r="HQ41" s="73" t="str">
        <f t="array" ref="HQ41">IFERROR(IF(XLOOKUP(CONCAT(HN41,HO41),'PROCESOS PRD'!$J:$J,'PROCESOS PRD'!$H:$H,0,0)=0,"",XLOOKUP(CONCAT(HN41,HO41),'PROCESOS PRD'!$J:$J,'PROCESOS PRD'!$H:$H,0,0)),"")</f>
        <v/>
      </c>
      <c r="HR41" s="71"/>
      <c r="HS41" s="32"/>
      <c r="HT41" s="72" t="str">
        <f t="array" ref="HT41">IFERROR(IF(XLOOKUP(CONCAT(HR41,HS41),'MASTER PLAN'!$AB:$AB,'MASTER PLAN'!$J:$J,0,0)=0,"",XLOOKUP(CONCAT(HR41,HS41),'MASTER PLAN'!$AB:$AB,'MASTER PLAN'!$J:$J,0,0)),"")</f>
        <v/>
      </c>
      <c r="HU41" s="73" t="str">
        <f t="array" ref="HU41">IFERROR(IF(XLOOKUP(CONCAT(HR41,HS41),'PROCESOS PRD'!$J:$J,'PROCESOS PRD'!$H:$H,0,0)=0,"",XLOOKUP(CONCAT(HR41,HS41),'PROCESOS PRD'!$J:$J,'PROCESOS PRD'!$H:$H,0,0)),"")</f>
        <v/>
      </c>
      <c r="HV41" s="71"/>
      <c r="HW41" s="32"/>
      <c r="HX41" s="72" t="str">
        <f t="array" ref="HX41">IFERROR(IF(XLOOKUP(CONCAT(HV41,HW41),'MASTER PLAN'!$AB:$AB,'MASTER PLAN'!$J:$J,0,0)=0,"",XLOOKUP(CONCAT(HV41,HW41),'MASTER PLAN'!$AB:$AB,'MASTER PLAN'!$J:$J,0,0)),"")</f>
        <v/>
      </c>
      <c r="HY41" s="73" t="str">
        <f t="array" ref="HY41">IFERROR(IF(XLOOKUP(CONCAT(HV41,HW41),'PROCESOS PRD'!$J:$J,'PROCESOS PRD'!$H:$H,0,0)=0,"",XLOOKUP(CONCAT(HV41,HW41),'PROCESOS PRD'!$J:$J,'PROCESOS PRD'!$H:$H,0,0)),"")</f>
        <v/>
      </c>
      <c r="HZ41" s="71"/>
      <c r="IA41" s="32"/>
      <c r="IB41" s="72" t="str">
        <f t="array" ref="IB41">IFERROR(IF(XLOOKUP(CONCAT(HZ41,IA41),'MASTER PLAN'!$AB:$AB,'MASTER PLAN'!$J:$J,0,0)=0,"",XLOOKUP(CONCAT(HZ41,IA41),'MASTER PLAN'!$AB:$AB,'MASTER PLAN'!$J:$J,0,0)),"")</f>
        <v/>
      </c>
      <c r="IC41" s="73" t="str">
        <f t="array" ref="IC41">IFERROR(IF(XLOOKUP(CONCAT(HZ41,IA41),'PROCESOS PRD'!$J:$J,'PROCESOS PRD'!$H:$H,0,0)=0,"",XLOOKUP(CONCAT(HZ41,IA41),'PROCESOS PRD'!$J:$J,'PROCESOS PRD'!$H:$H,0,0)),"")</f>
        <v/>
      </c>
      <c r="ID41" s="71"/>
      <c r="IE41" s="32"/>
      <c r="IF41" s="72" t="str">
        <f t="array" ref="IF41">IFERROR(IF(XLOOKUP(CONCAT(ID41,IE41),'MASTER PLAN'!$AB:$AB,'MASTER PLAN'!$J:$J,0,0)=0,"",XLOOKUP(CONCAT(ID41,IE41),'MASTER PLAN'!$AB:$AB,'MASTER PLAN'!$J:$J,0,0)),"")</f>
        <v/>
      </c>
      <c r="IG41" s="73" t="str">
        <f t="array" ref="IG41">IFERROR(IF(XLOOKUP(CONCAT(ID41,IE41),'PROCESOS PRD'!$J:$J,'PROCESOS PRD'!$H:$H,0,0)=0,"",XLOOKUP(CONCAT(ID41,IE41),'PROCESOS PRD'!$J:$J,'PROCESOS PRD'!$H:$H,0,0)),"")</f>
        <v/>
      </c>
      <c r="IH41" s="71"/>
      <c r="II41" s="32"/>
      <c r="IJ41" s="72" t="str">
        <f t="array" ref="IJ41">IFERROR(IF(XLOOKUP(CONCAT(IH41,II41),'MASTER PLAN'!$AB:$AB,'MASTER PLAN'!$J:$J,0,0)=0,"",XLOOKUP(CONCAT(IH41,II41),'MASTER PLAN'!$AB:$AB,'MASTER PLAN'!$J:$J,0,0)),"")</f>
        <v/>
      </c>
      <c r="IK41" s="73" t="str">
        <f t="array" ref="IK41">IFERROR(IF(XLOOKUP(CONCAT(IH41,II41),'PROCESOS PRD'!$J:$J,'PROCESOS PRD'!$H:$H,0,0)=0,"",XLOOKUP(CONCAT(IH41,II41),'PROCESOS PRD'!$J:$J,'PROCESOS PRD'!$H:$H,0,0)),"")</f>
        <v/>
      </c>
      <c r="IL41" s="70"/>
      <c r="IM41" s="71"/>
      <c r="IN41" s="32"/>
      <c r="IO41" s="72" t="str">
        <f t="array" ref="IO41">IFERROR(IF(XLOOKUP(CONCAT(IM41,IN41),'MASTER PLAN'!$AB:$AB,'MASTER PLAN'!$J:$J,0,0)=0,"",XLOOKUP(CONCAT(IM41,IN41),'MASTER PLAN'!$AB:$AB,'MASTER PLAN'!$J:$J,0,0)),"")</f>
        <v/>
      </c>
      <c r="IP41" s="73" t="str">
        <f t="array" ref="IP41">IFERROR(IF(XLOOKUP(CONCAT(IM41,IN41),'PROCESOS PRD'!$J:$J,'PROCESOS PRD'!$H:$H,0,0)=0,"",XLOOKUP(CONCAT(IM41,IN41),'PROCESOS PRD'!$J:$J,'PROCESOS PRD'!$H:$H,0,0)),"")</f>
        <v/>
      </c>
      <c r="IQ41" s="71"/>
      <c r="IR41" s="32"/>
      <c r="IS41" s="72" t="str">
        <f t="array" ref="IS41">IFERROR(IF(XLOOKUP(CONCAT(IQ41,IR41),'MASTER PLAN'!$AB:$AB,'MASTER PLAN'!$J:$J,0,0)=0,"",XLOOKUP(CONCAT(IQ41,IR41),'MASTER PLAN'!$AB:$AB,'MASTER PLAN'!$J:$J,0,0)),"")</f>
        <v/>
      </c>
      <c r="IT41" s="73" t="str">
        <f t="array" ref="IT41">IFERROR(IF(XLOOKUP(CONCAT(IQ41,IR41),'PROCESOS PRD'!$J:$J,'PROCESOS PRD'!$H:$H,0,0)=0,"",XLOOKUP(CONCAT(IQ41,IR41),'PROCESOS PRD'!$J:$J,'PROCESOS PRD'!$H:$H,0,0)),"")</f>
        <v/>
      </c>
      <c r="IU41" s="71"/>
      <c r="IV41" s="32"/>
      <c r="IW41" s="72" t="str">
        <f t="array" ref="IW41">IFERROR(IF(XLOOKUP(CONCAT(IU41,IV41),'MASTER PLAN'!$AB:$AB,'MASTER PLAN'!$J:$J,0,0)=0,"",XLOOKUP(CONCAT(IU41,IV41),'MASTER PLAN'!$AB:$AB,'MASTER PLAN'!$J:$J,0,0)),"")</f>
        <v/>
      </c>
      <c r="IX41" s="73" t="str">
        <f t="array" ref="IX41">IFERROR(IF(XLOOKUP(CONCAT(IU41,IV41),'PROCESOS PRD'!$J:$J,'PROCESOS PRD'!$H:$H,0,0)=0,"",XLOOKUP(CONCAT(IU41,IV41),'PROCESOS PRD'!$J:$J,'PROCESOS PRD'!$H:$H,0,0)),"")</f>
        <v/>
      </c>
      <c r="IY41" s="71"/>
      <c r="IZ41" s="32"/>
      <c r="JA41" s="72" t="str">
        <f t="array" ref="JA41">IFERROR(IF(XLOOKUP(CONCAT(IY41,IZ41),'MASTER PLAN'!$AB:$AB,'MASTER PLAN'!$J:$J,0,0)=0,"",XLOOKUP(CONCAT(IY41,IZ41),'MASTER PLAN'!$AB:$AB,'MASTER PLAN'!$J:$J,0,0)),"")</f>
        <v/>
      </c>
      <c r="JB41" s="73" t="str">
        <f t="array" ref="JB41">IFERROR(IF(XLOOKUP(CONCAT(IY41,IZ41),'PROCESOS PRD'!$J:$J,'PROCESOS PRD'!$H:$H,0,0)=0,"",XLOOKUP(CONCAT(IY41,IZ41),'PROCESOS PRD'!$J:$J,'PROCESOS PRD'!$H:$H,0,0)),"")</f>
        <v/>
      </c>
      <c r="JC41" s="71"/>
      <c r="JD41" s="32"/>
      <c r="JE41" s="72" t="str">
        <f t="array" ref="JE41">IFERROR(IF(XLOOKUP(CONCAT(JC41,JD41),'MASTER PLAN'!$AB:$AB,'MASTER PLAN'!$J:$J,0,0)=0,"",XLOOKUP(CONCAT(JC41,JD41),'MASTER PLAN'!$AB:$AB,'MASTER PLAN'!$J:$J,0,0)),"")</f>
        <v/>
      </c>
      <c r="JF41" s="73" t="str">
        <f t="array" ref="JF41">IFERROR(IF(XLOOKUP(CONCAT(JC41,JD41),'PROCESOS PRD'!$J:$J,'PROCESOS PRD'!$H:$H,0,0)=0,"",XLOOKUP(CONCAT(JC41,JD41),'PROCESOS PRD'!$J:$J,'PROCESOS PRD'!$H:$H,0,0)),"")</f>
        <v/>
      </c>
      <c r="JG41" s="71"/>
      <c r="JH41" s="32"/>
      <c r="JI41" s="72" t="str">
        <f t="array" ref="JI41">IFERROR(IF(XLOOKUP(CONCAT(JG41,JH41),'MASTER PLAN'!$AB:$AB,'MASTER PLAN'!$J:$J,0,0)=0,"",XLOOKUP(CONCAT(JG41,JH41),'MASTER PLAN'!$AB:$AB,'MASTER PLAN'!$J:$J,0,0)),"")</f>
        <v/>
      </c>
      <c r="JJ41" s="73" t="str">
        <f t="array" ref="JJ41">IFERROR(IF(XLOOKUP(CONCAT(JG41,JH41),'PROCESOS PRD'!$J:$J,'PROCESOS PRD'!$H:$H,0,0)=0,"",XLOOKUP(CONCAT(JG41,JH41),'PROCESOS PRD'!$J:$J,'PROCESOS PRD'!$H:$H,0,0)),"")</f>
        <v/>
      </c>
      <c r="JK41" s="70"/>
      <c r="JL41" s="71"/>
      <c r="JM41" s="32"/>
      <c r="JN41" s="72" t="str">
        <f t="array" ref="JN41">IFERROR(IF(XLOOKUP(CONCAT(JL41,JM41),'MASTER PLAN'!$AB:$AB,'MASTER PLAN'!$J:$J,0,0)=0,"",XLOOKUP(CONCAT(JL41,JM41),'MASTER PLAN'!$AB:$AB,'MASTER PLAN'!$J:$J,0,0)),"")</f>
        <v/>
      </c>
      <c r="JO41" s="73" t="str">
        <f t="array" ref="JO41">IFERROR(IF(XLOOKUP(CONCAT(JL41,JM41),'PROCESOS PRD'!$J:$J,'PROCESOS PRD'!$H:$H,0,0)=0,"",XLOOKUP(CONCAT(JL41,JM41),'PROCESOS PRD'!$J:$J,'PROCESOS PRD'!$H:$H,0,0)),"")</f>
        <v/>
      </c>
      <c r="JP41" s="71"/>
      <c r="JQ41" s="32"/>
      <c r="JR41" s="72" t="str">
        <f t="array" ref="JR41">IFERROR(IF(XLOOKUP(CONCAT(JP41,JQ41),'MASTER PLAN'!$AB:$AB,'MASTER PLAN'!$J:$J,0,0)=0,"",XLOOKUP(CONCAT(JP41,JQ41),'MASTER PLAN'!$AB:$AB,'MASTER PLAN'!$J:$J,0,0)),"")</f>
        <v/>
      </c>
      <c r="JS41" s="73" t="str">
        <f t="array" ref="JS41">IFERROR(IF(XLOOKUP(CONCAT(JP41,JQ41),'PROCESOS PRD'!$J:$J,'PROCESOS PRD'!$H:$H,0,0)=0,"",XLOOKUP(CONCAT(JP41,JQ41),'PROCESOS PRD'!$J:$J,'PROCESOS PRD'!$H:$H,0,0)),"")</f>
        <v/>
      </c>
      <c r="JT41" s="71"/>
      <c r="JU41" s="32"/>
      <c r="JV41" s="72" t="str">
        <f t="array" ref="JV41">IFERROR(IF(XLOOKUP(CONCAT(JT41,JU41),'MASTER PLAN'!$AB:$AB,'MASTER PLAN'!$J:$J,0,0)=0,"",XLOOKUP(CONCAT(JT41,JU41),'MASTER PLAN'!$AB:$AB,'MASTER PLAN'!$J:$J,0,0)),"")</f>
        <v/>
      </c>
      <c r="JW41" s="73" t="str">
        <f t="array" ref="JW41">IFERROR(IF(XLOOKUP(CONCAT(JT41,JU41),'PROCESOS PRD'!$J:$J,'PROCESOS PRD'!$H:$H,0,0)=0,"",XLOOKUP(CONCAT(JT41,JU41),'PROCESOS PRD'!$J:$J,'PROCESOS PRD'!$H:$H,0,0)),"")</f>
        <v/>
      </c>
      <c r="JX41" s="71"/>
      <c r="JY41" s="32"/>
      <c r="JZ41" s="72" t="str">
        <f t="array" ref="JZ41">IFERROR(IF(XLOOKUP(CONCAT(JX41,JY41),'MASTER PLAN'!$AB:$AB,'MASTER PLAN'!$J:$J,0,0)=0,"",XLOOKUP(CONCAT(JX41,JY41),'MASTER PLAN'!$AB:$AB,'MASTER PLAN'!$J:$J,0,0)),"")</f>
        <v/>
      </c>
      <c r="KA41" s="73" t="str">
        <f t="array" ref="KA41">IFERROR(IF(XLOOKUP(CONCAT(JX41,JY41),'PROCESOS PRD'!$J:$J,'PROCESOS PRD'!$H:$H,0,0)=0,"",XLOOKUP(CONCAT(JX41,JY41),'PROCESOS PRD'!$J:$J,'PROCESOS PRD'!$H:$H,0,0)),"")</f>
        <v/>
      </c>
      <c r="KB41" s="71"/>
      <c r="KC41" s="32"/>
      <c r="KD41" s="72" t="str">
        <f t="array" ref="KD41">IFERROR(IF(XLOOKUP(CONCAT(KB41,KC41),'MASTER PLAN'!$AB:$AB,'MASTER PLAN'!$J:$J,0,0)=0,"",XLOOKUP(CONCAT(KB41,KC41),'MASTER PLAN'!$AB:$AB,'MASTER PLAN'!$J:$J,0,0)),"")</f>
        <v/>
      </c>
      <c r="KE41" s="73" t="str">
        <f t="array" ref="KE41">IFERROR(IF(XLOOKUP(CONCAT(KB41,KC41),'PROCESOS PRD'!$J:$J,'PROCESOS PRD'!$H:$H,0,0)=0,"",XLOOKUP(CONCAT(KB41,KC41),'PROCESOS PRD'!$J:$J,'PROCESOS PRD'!$H:$H,0,0)),"")</f>
        <v/>
      </c>
      <c r="KF41" s="71"/>
      <c r="KG41" s="32"/>
      <c r="KH41" s="72" t="str">
        <f t="array" ref="KH41">IFERROR(IF(XLOOKUP(CONCAT(KF41,KG41),'MASTER PLAN'!$AB:$AB,'MASTER PLAN'!$J:$J,0,0)=0,"",XLOOKUP(CONCAT(KF41,KG41),'MASTER PLAN'!$AB:$AB,'MASTER PLAN'!$J:$J,0,0)),"")</f>
        <v/>
      </c>
      <c r="KI41" s="73" t="str">
        <f t="array" ref="KI41">IFERROR(IF(XLOOKUP(CONCAT(KF41,KG41),'PROCESOS PRD'!$J:$J,'PROCESOS PRD'!$H:$H,0,0)=0,"",XLOOKUP(CONCAT(KF41,KG41),'PROCESOS PRD'!$J:$J,'PROCESOS PRD'!$H:$H,0,0)),"")</f>
        <v/>
      </c>
      <c r="KJ41" s="70"/>
      <c r="KK41" s="70"/>
      <c r="KL41" s="70"/>
      <c r="KM41" s="70"/>
      <c r="KN41" s="70"/>
      <c r="KO41" s="70"/>
      <c r="KP41" s="70"/>
      <c r="KQ41" s="70"/>
      <c r="KR41" s="70"/>
      <c r="KS41" s="70"/>
      <c r="KT41" s="70"/>
      <c r="KU41" s="70"/>
      <c r="KV41" s="70"/>
      <c r="KW41" s="70"/>
      <c r="KX41" s="70"/>
      <c r="KY41" s="70"/>
      <c r="KZ41" s="70"/>
      <c r="LA41" s="70"/>
      <c r="LB41" s="70"/>
      <c r="LC41" s="70"/>
    </row>
    <row r="42" ht="15.75" customHeight="1">
      <c r="A42" s="42"/>
      <c r="B42" s="74"/>
      <c r="C42" s="69"/>
      <c r="D42" s="70"/>
      <c r="E42" s="71"/>
      <c r="F42" s="32"/>
      <c r="G42" s="72" t="str">
        <f t="array" ref="G42">IFERROR(IF(XLOOKUP(CONCAT(E42,F42),'MASTER PLAN'!$AB:$AB,'MASTER PLAN'!$J:$J,0,0)=0,"",XLOOKUP(CONCAT(E42,F42),'MASTER PLAN'!$AB:$AB,'MASTER PLAN'!$J:$J,0,0)),"")</f>
        <v/>
      </c>
      <c r="H42" s="73" t="str">
        <f t="array" ref="H42">IFERROR(IF(XLOOKUP(CONCAT(E42,F42),'PROCESOS PRD'!$J:$J,'PROCESOS PRD'!$H:$H,0,0)=0,"",XLOOKUP(CONCAT(E42,F42),'PROCESOS PRD'!$J:$J,'PROCESOS PRD'!$H:$H,0,0)),"")</f>
        <v/>
      </c>
      <c r="I42" s="71"/>
      <c r="J42" s="32"/>
      <c r="K42" s="72" t="str">
        <f t="array" ref="K42">IFERROR(IF(XLOOKUP(CONCAT(I42,J42),'MASTER PLAN'!$AB:$AB,'MASTER PLAN'!$J:$J,0,0)=0,"",XLOOKUP(CONCAT(I42,J42),'MASTER PLAN'!$AB:$AB,'MASTER PLAN'!$J:$J,0,0)),"")</f>
        <v/>
      </c>
      <c r="L42" s="73" t="str">
        <f t="array" ref="L42">IFERROR(IF(XLOOKUP(CONCAT(I42,J42),'PROCESOS PRD'!$J:$J,'PROCESOS PRD'!$H:$H,0,0)=0,"",XLOOKUP(CONCAT(I42,J42),'PROCESOS PRD'!$J:$J,'PROCESOS PRD'!$H:$H,0,0)),"")</f>
        <v/>
      </c>
      <c r="M42" s="71"/>
      <c r="N42" s="32"/>
      <c r="O42" s="72" t="str">
        <f t="array" ref="O42">IFERROR(IF(XLOOKUP(CONCAT(M42,N42),'MASTER PLAN'!$AB:$AB,'MASTER PLAN'!$J:$J,0,0)=0,"",XLOOKUP(CONCAT(M42,N42),'MASTER PLAN'!$AB:$AB,'MASTER PLAN'!$J:$J,0,0)),"")</f>
        <v/>
      </c>
      <c r="P42" s="73" t="str">
        <f t="array" ref="P42">IFERROR(IF(XLOOKUP(CONCAT(M42,N42),'PROCESOS PRD'!$J:$J,'PROCESOS PRD'!$H:$H,0,0)=0,"",XLOOKUP(CONCAT(M42,N42),'PROCESOS PRD'!$J:$J,'PROCESOS PRD'!$H:$H,0,0)),"")</f>
        <v/>
      </c>
      <c r="Q42" s="71"/>
      <c r="R42" s="32"/>
      <c r="S42" s="72" t="str">
        <f t="array" ref="S42">IFERROR(IF(XLOOKUP(CONCAT(Q42,R42),'MASTER PLAN'!$AB:$AB,'MASTER PLAN'!$J:$J,0,0)=0,"",XLOOKUP(CONCAT(Q42,R42),'MASTER PLAN'!$AB:$AB,'MASTER PLAN'!$J:$J,0,0)),"")</f>
        <v/>
      </c>
      <c r="T42" s="73" t="str">
        <f t="array" ref="T42">IFERROR(IF(XLOOKUP(CONCAT(Q42,R42),'PROCESOS PRD'!$J:$J,'PROCESOS PRD'!$H:$H,0,0)=0,"",XLOOKUP(CONCAT(Q42,R42),'PROCESOS PRD'!$J:$J,'PROCESOS PRD'!$H:$H,0,0)),"")</f>
        <v/>
      </c>
      <c r="U42" s="70"/>
      <c r="V42" s="71"/>
      <c r="W42" s="32"/>
      <c r="X42" s="72" t="str">
        <f t="array" ref="X42">IFERROR(IF(XLOOKUP(CONCAT(V42,W42),'MASTER PLAN'!$AB:$AB,'MASTER PLAN'!$J:$J,0,0)=0,"",XLOOKUP(CONCAT(V42,W42),'MASTER PLAN'!$AB:$AB,'MASTER PLAN'!$J:$J,0,0)),"")</f>
        <v/>
      </c>
      <c r="Y42" s="73" t="str">
        <f t="array" ref="Y42">IFERROR(IF(XLOOKUP(CONCAT(V42,W42),'PROCESOS PRD'!$J:$J,'PROCESOS PRD'!$H:$H,0,0)=0,"",XLOOKUP(CONCAT(V42,W42),'PROCESOS PRD'!$J:$J,'PROCESOS PRD'!$H:$H,0,0)),"")</f>
        <v/>
      </c>
      <c r="Z42" s="71"/>
      <c r="AA42" s="32"/>
      <c r="AB42" s="72" t="str">
        <f t="array" ref="AB42">IFERROR(IF(XLOOKUP(CONCAT(Z42,AA42),'MASTER PLAN'!$AB:$AB,'MASTER PLAN'!$J:$J,0,0)=0,"",XLOOKUP(CONCAT(Z42,AA42),'MASTER PLAN'!$AB:$AB,'MASTER PLAN'!$J:$J,0,0)),"")</f>
        <v/>
      </c>
      <c r="AC42" s="73" t="str">
        <f t="array" ref="AC42">IFERROR(IF(XLOOKUP(CONCAT(Z42,AA42),'PROCESOS PRD'!$J:$J,'PROCESOS PRD'!$H:$H,0,0)=0,"",XLOOKUP(CONCAT(Z42,AA42),'PROCESOS PRD'!$J:$J,'PROCESOS PRD'!$H:$H,0,0)),"")</f>
        <v/>
      </c>
      <c r="AD42" s="71"/>
      <c r="AE42" s="32"/>
      <c r="AF42" s="72" t="str">
        <f t="array" ref="AF42">IFERROR(IF(XLOOKUP(CONCAT(AD42,AE42),'MASTER PLAN'!$AB:$AB,'MASTER PLAN'!$J:$J,0,0)=0,"",XLOOKUP(CONCAT(AD42,AE42),'MASTER PLAN'!$AB:$AB,'MASTER PLAN'!$J:$J,0,0)),"")</f>
        <v/>
      </c>
      <c r="AG42" s="73" t="str">
        <f t="array" ref="AG42">IFERROR(IF(XLOOKUP(CONCAT(AD42,AE42),'PROCESOS PRD'!$J:$J,'PROCESOS PRD'!$H:$H,0,0)=0,"",XLOOKUP(CONCAT(AD42,AE42),'PROCESOS PRD'!$J:$J,'PROCESOS PRD'!$H:$H,0,0)),"")</f>
        <v/>
      </c>
      <c r="AH42" s="71"/>
      <c r="AI42" s="32"/>
      <c r="AJ42" s="72" t="str">
        <f t="array" ref="AJ42">IFERROR(IF(XLOOKUP(CONCAT(AH42,AI42),'MASTER PLAN'!$AB:$AB,'MASTER PLAN'!$J:$J,0,0)=0,"",XLOOKUP(CONCAT(AH42,AI42),'MASTER PLAN'!$AB:$AB,'MASTER PLAN'!$J:$J,0,0)),"")</f>
        <v/>
      </c>
      <c r="AK42" s="73" t="str">
        <f t="array" ref="AK42">IFERROR(IF(XLOOKUP(CONCAT(AH42,AI42),'PROCESOS PRD'!$J:$J,'PROCESOS PRD'!$H:$H,0,0)=0,"",XLOOKUP(CONCAT(AH42,AI42),'PROCESOS PRD'!$J:$J,'PROCESOS PRD'!$H:$H,0,0)),"")</f>
        <v/>
      </c>
      <c r="AL42" s="71"/>
      <c r="AM42" s="32"/>
      <c r="AN42" s="72" t="str">
        <f t="array" ref="AN42">IFERROR(IF(XLOOKUP(CONCAT(AL42,AM42),'MASTER PLAN'!$AB:$AB,'MASTER PLAN'!$J:$J,0,0)=0,"",XLOOKUP(CONCAT(AL42,AM42),'MASTER PLAN'!$AB:$AB,'MASTER PLAN'!$J:$J,0,0)),"")</f>
        <v/>
      </c>
      <c r="AO42" s="73" t="str">
        <f t="array" ref="AO42">IFERROR(IF(XLOOKUP(CONCAT(AL42,AM42),'PROCESOS PRD'!$J:$J,'PROCESOS PRD'!$H:$H,0,0)=0,"",XLOOKUP(CONCAT(AL42,AM42),'PROCESOS PRD'!$J:$J,'PROCESOS PRD'!$H:$H,0,0)),"")</f>
        <v/>
      </c>
      <c r="AP42" s="71"/>
      <c r="AQ42" s="32"/>
      <c r="AR42" s="72" t="str">
        <f t="array" ref="AR42">IFERROR(IF(XLOOKUP(CONCAT(AP42,AQ42),'MASTER PLAN'!$AB:$AB,'MASTER PLAN'!$J:$J,0,0)=0,"",XLOOKUP(CONCAT(AP42,AQ42),'MASTER PLAN'!$AB:$AB,'MASTER PLAN'!$J:$J,0,0)),"")</f>
        <v/>
      </c>
      <c r="AS42" s="73" t="str">
        <f t="array" ref="AS42">IFERROR(IF(XLOOKUP(CONCAT(AP42,AQ42),'PROCESOS PRD'!$J:$J,'PROCESOS PRD'!$H:$H,0,0)=0,"",XLOOKUP(CONCAT(AP42,AQ42),'PROCESOS PRD'!$J:$J,'PROCESOS PRD'!$H:$H,0,0)),"")</f>
        <v/>
      </c>
      <c r="AT42" s="70"/>
      <c r="AU42" s="71"/>
      <c r="AV42" s="32"/>
      <c r="AW42" s="72" t="str">
        <f t="array" ref="AW42">IFERROR(IF(XLOOKUP(CONCAT(AU42,AV42),'MASTER PLAN'!$AB:$AB,'MASTER PLAN'!$J:$J,0,0)=0,"",XLOOKUP(CONCAT(AU42,AV42),'MASTER PLAN'!$AB:$AB,'MASTER PLAN'!$J:$J,0,0)),"")</f>
        <v/>
      </c>
      <c r="AX42" s="73" t="str">
        <f t="array" ref="AX42">IFERROR(IF(XLOOKUP(CONCAT(AU42,AV42),'PROCESOS PRD'!$J:$J,'PROCESOS PRD'!$H:$H,0,0)=0,"",XLOOKUP(CONCAT(AU42,AV42),'PROCESOS PRD'!$J:$J,'PROCESOS PRD'!$H:$H,0,0)),"")</f>
        <v/>
      </c>
      <c r="AY42" s="71"/>
      <c r="AZ42" s="32"/>
      <c r="BA42" s="72" t="str">
        <f t="array" ref="BA42">IFERROR(IF(XLOOKUP(CONCAT(AY42,AZ42),'MASTER PLAN'!$AB:$AB,'MASTER PLAN'!$J:$J,0,0)=0,"",XLOOKUP(CONCAT(AY42,AZ42),'MASTER PLAN'!$AB:$AB,'MASTER PLAN'!$J:$J,0,0)),"")</f>
        <v/>
      </c>
      <c r="BB42" s="73" t="str">
        <f t="array" ref="BB42">IFERROR(IF(XLOOKUP(CONCAT(AY42,AZ42),'PROCESOS PRD'!$J:$J,'PROCESOS PRD'!$H:$H,0,0)=0,"",XLOOKUP(CONCAT(AY42,AZ42),'PROCESOS PRD'!$J:$J,'PROCESOS PRD'!$H:$H,0,0)),"")</f>
        <v/>
      </c>
      <c r="BC42" s="71"/>
      <c r="BD42" s="32"/>
      <c r="BE42" s="72" t="str">
        <f t="array" ref="BE42">IFERROR(IF(XLOOKUP(CONCAT(BC42,BD42),'MASTER PLAN'!$AB:$AB,'MASTER PLAN'!$J:$J,0,0)=0,"",XLOOKUP(CONCAT(BC42,BD42),'MASTER PLAN'!$AB:$AB,'MASTER PLAN'!$J:$J,0,0)),"")</f>
        <v/>
      </c>
      <c r="BF42" s="73" t="str">
        <f t="array" ref="BF42">IFERROR(IF(XLOOKUP(CONCAT(BC42,BD42),'PROCESOS PRD'!$J:$J,'PROCESOS PRD'!$H:$H,0,0)=0,"",XLOOKUP(CONCAT(BC42,BD42),'PROCESOS PRD'!$J:$J,'PROCESOS PRD'!$H:$H,0,0)),"")</f>
        <v/>
      </c>
      <c r="BG42" s="71">
        <v>1.40204935E9</v>
      </c>
      <c r="BH42" s="32">
        <v>10.0</v>
      </c>
      <c r="BI42" s="72" t="str">
        <f t="array" ref="BI42">IFERROR(IF(XLOOKUP(CONCAT(BG42,BH42),'MASTER PLAN'!$AB:$AB,'MASTER PLAN'!$J:$J,0,0)=0,"",XLOOKUP(CONCAT(BG42,BH42),'MASTER PLAN'!$AB:$AB,'MASTER PLAN'!$J:$J,0,0)),"")</f>
        <v>BOLSA WSMJ MAYORS WOS 6-5"X3-5"X6-5" FA</v>
      </c>
      <c r="BJ42" s="73">
        <f t="array" ref="BJ42">IFERROR(IF(XLOOKUP(CONCAT(BG42,BH42),'PROCESOS PRD'!$J:$J,'PROCESOS PRD'!$H:$H,0,0)=0,"",XLOOKUP(CONCAT(BG42,BH42),'PROCESOS PRD'!$J:$J,'PROCESOS PRD'!$H:$H,0,0)),"")</f>
        <v>4800</v>
      </c>
      <c r="BK42" s="71"/>
      <c r="BL42" s="32"/>
      <c r="BM42" s="72" t="str">
        <f t="array" ref="BM42">IFERROR(IF(XLOOKUP(CONCAT(BK42,BL42),'MASTER PLAN'!$AB:$AB,'MASTER PLAN'!$J:$J,0,0)=0,"",XLOOKUP(CONCAT(BK42,BL42),'MASTER PLAN'!$AB:$AB,'MASTER PLAN'!$J:$J,0,0)),"")</f>
        <v/>
      </c>
      <c r="BN42" s="73" t="str">
        <f t="array" ref="BN42">IFERROR(IF(XLOOKUP(CONCAT(BK42,BL42),'PROCESOS PRD'!$J:$J,'PROCESOS PRD'!$H:$H,0,0)=0,"",XLOOKUP(CONCAT(BK42,BL42),'PROCESOS PRD'!$J:$J,'PROCESOS PRD'!$H:$H,0,0)),"")</f>
        <v/>
      </c>
      <c r="BO42" s="71"/>
      <c r="BP42" s="32"/>
      <c r="BQ42" s="72" t="str">
        <f t="array" ref="BQ42">IFERROR(IF(XLOOKUP(CONCAT(BO42,BP42),'MASTER PLAN'!$AB:$AB,'MASTER PLAN'!$J:$J,0,0)=0,"",XLOOKUP(CONCAT(BO42,BP42),'MASTER PLAN'!$AB:$AB,'MASTER PLAN'!$J:$J,0,0)),"")</f>
        <v/>
      </c>
      <c r="BR42" s="73" t="str">
        <f t="array" ref="BR42">IFERROR(IF(XLOOKUP(CONCAT(BO42,BP42),'PROCESOS PRD'!$J:$J,'PROCESOS PRD'!$H:$H,0,0)=0,"",XLOOKUP(CONCAT(BO42,BP42),'PROCESOS PRD'!$J:$J,'PROCESOS PRD'!$H:$H,0,0)),"")</f>
        <v/>
      </c>
      <c r="BS42" s="70"/>
      <c r="BT42" s="71">
        <v>1.402049351E9</v>
      </c>
      <c r="BU42" s="32">
        <v>10.0</v>
      </c>
      <c r="BV42" s="72" t="str">
        <f t="array" ref="BV42">IFERROR(IF(XLOOKUP(CONCAT(BT42,BU42),'MASTER PLAN'!$AB:$AB,'MASTER PLAN'!$J:$J,0,0)=0,"",XLOOKUP(CONCAT(BT42,BU42),'MASTER PLAN'!$AB:$AB,'MASTER PLAN'!$J:$J,0,0)),"")</f>
        <v>BOLSA WATERFALL JEWELERS 6-5"X3-5"X6-5"</v>
      </c>
      <c r="BW42" s="73">
        <f t="array" ref="BW42">IFERROR(IF(XLOOKUP(CONCAT(BT42,BU42),'PROCESOS PRD'!$J:$J,'PROCESOS PRD'!$H:$H,0,0)=0,"",XLOOKUP(CONCAT(BT42,BU42),'PROCESOS PRD'!$J:$J,'PROCESOS PRD'!$H:$H,0,0)),"")</f>
        <v>2400</v>
      </c>
      <c r="BX42" s="71">
        <v>1.40204949E9</v>
      </c>
      <c r="BY42" s="32">
        <v>10.0</v>
      </c>
      <c r="BZ42" s="72" t="str">
        <f t="array" ref="BZ42">IFERROR(IF(XLOOKUP(CONCAT(BX42,BY42),'MASTER PLAN'!$AB:$AB,'MASTER PLAN'!$J:$J,0,0)=0,"",XLOOKUP(CONCAT(BX42,BY42),'MASTER PLAN'!$AB:$AB,'MASTER PLAN'!$J:$J,0,0)),"")</f>
        <v>BOLSA MAZZARESE 6-5"X3-5X6-5"</v>
      </c>
      <c r="CA42" s="73">
        <f t="array" ref="CA42">IFERROR(IF(XLOOKUP(CONCAT(BX42,BY42),'PROCESOS PRD'!$J:$J,'PROCESOS PRD'!$H:$H,0,0)=0,"",XLOOKUP(CONCAT(BX42,BY42),'PROCESOS PRD'!$J:$J,'PROCESOS PRD'!$H:$H,0,0)),"")</f>
        <v>1800</v>
      </c>
      <c r="CB42" s="71">
        <v>1.402049321E9</v>
      </c>
      <c r="CC42" s="32">
        <v>10.0</v>
      </c>
      <c r="CD42" s="72" t="str">
        <f t="array" ref="CD42">IFERROR(IF(XLOOKUP(CONCAT(CB42,CC42),'MASTER PLAN'!$AB:$AB,'MASTER PLAN'!$J:$J,0,0)=0,"",XLOOKUP(CONCAT(CB42,CC42),'MASTER PLAN'!$AB:$AB,'MASTER PLAN'!$J:$J,0,0)),"")</f>
        <v>BOLSA BRILLANTI 6-5"X3-5"X6-5"</v>
      </c>
      <c r="CE42" s="73">
        <f t="array" ref="CE42">IFERROR(IF(XLOOKUP(CONCAT(CB42,CC42),'PROCESOS PRD'!$J:$J,'PROCESOS PRD'!$H:$H,0,0)=0,"",XLOOKUP(CONCAT(CB42,CC42),'PROCESOS PRD'!$J:$J,'PROCESOS PRD'!$H:$H,0,0)),"")</f>
        <v>3000</v>
      </c>
      <c r="CF42" s="71"/>
      <c r="CG42" s="32"/>
      <c r="CH42" s="72" t="str">
        <f t="array" ref="CH42">IFERROR(IF(XLOOKUP(CONCAT(CF42,CG42),'MASTER PLAN'!$AB:$AB,'MASTER PLAN'!$J:$J,0,0)=0,"",XLOOKUP(CONCAT(CF42,CG42),'MASTER PLAN'!$AB:$AB,'MASTER PLAN'!$J:$J,0,0)),"")</f>
        <v/>
      </c>
      <c r="CI42" s="73" t="str">
        <f t="array" ref="CI42">IFERROR(IF(XLOOKUP(CONCAT(CF42,CG42),'PROCESOS PRD'!$J:$J,'PROCESOS PRD'!$H:$H,0,0)=0,"",XLOOKUP(CONCAT(CF42,CG42),'PROCESOS PRD'!$J:$J,'PROCESOS PRD'!$H:$H,0,0)),"")</f>
        <v/>
      </c>
      <c r="CJ42" s="71"/>
      <c r="CK42" s="32"/>
      <c r="CL42" s="72" t="str">
        <f t="array" ref="CL42">IFERROR(IF(XLOOKUP(CONCAT(CJ42,CK42),'MASTER PLAN'!$AB:$AB,'MASTER PLAN'!$J:$J,0,0)=0,"",XLOOKUP(CONCAT(CJ42,CK42),'MASTER PLAN'!$AB:$AB,'MASTER PLAN'!$J:$J,0,0)),"")</f>
        <v/>
      </c>
      <c r="CM42" s="73" t="str">
        <f t="array" ref="CM42">IFERROR(IF(XLOOKUP(CONCAT(CJ42,CK42),'PROCESOS PRD'!$J:$J,'PROCESOS PRD'!$H:$H,0,0)=0,"",XLOOKUP(CONCAT(CJ42,CK42),'PROCESOS PRD'!$J:$J,'PROCESOS PRD'!$H:$H,0,0)),"")</f>
        <v/>
      </c>
      <c r="CN42" s="71"/>
      <c r="CO42" s="32"/>
      <c r="CP42" s="72" t="str">
        <f t="array" ref="CP42">IFERROR(IF(XLOOKUP(CONCAT(CN42,CO42),'MASTER PLAN'!$AB:$AB,'MASTER PLAN'!$J:$J,0,0)=0,"",XLOOKUP(CONCAT(CN42,CO42),'MASTER PLAN'!$AB:$AB,'MASTER PLAN'!$J:$J,0,0)),"")</f>
        <v/>
      </c>
      <c r="CQ42" s="73" t="str">
        <f t="array" ref="CQ42">IFERROR(IF(XLOOKUP(CONCAT(CN42,CO42),'PROCESOS PRD'!$J:$J,'PROCESOS PRD'!$H:$H,0,0)=0,"",XLOOKUP(CONCAT(CN42,CO42),'PROCESOS PRD'!$J:$J,'PROCESOS PRD'!$H:$H,0,0)),"")</f>
        <v/>
      </c>
      <c r="CR42" s="70"/>
      <c r="CS42" s="71"/>
      <c r="CT42" s="32"/>
      <c r="CU42" s="72" t="str">
        <f t="array" ref="CU42">IFERROR(IF(XLOOKUP(CONCAT(CS42,CT42),'MASTER PLAN'!$AB:$AB,'MASTER PLAN'!$J:$J,0,0)=0,"",XLOOKUP(CONCAT(CS42,CT42),'MASTER PLAN'!$AB:$AB,'MASTER PLAN'!$J:$J,0,0)),"")</f>
        <v/>
      </c>
      <c r="CV42" s="73" t="str">
        <f t="array" ref="CV42">IFERROR(IF(XLOOKUP(CONCAT(CS42,CT42),'PROCESOS PRD'!$J:$J,'PROCESOS PRD'!$H:$H,0,0)=0,"",XLOOKUP(CONCAT(CS42,CT42),'PROCESOS PRD'!$J:$J,'PROCESOS PRD'!$H:$H,0,0)),"")</f>
        <v/>
      </c>
      <c r="CW42" s="71"/>
      <c r="CX42" s="32"/>
      <c r="CY42" s="72" t="str">
        <f t="array" ref="CY42">IFERROR(IF(XLOOKUP(CONCAT(CW42,CX42),'MASTER PLAN'!$AB:$AB,'MASTER PLAN'!$J:$J,0,0)=0,"",XLOOKUP(CONCAT(CW42,CX42),'MASTER PLAN'!$AB:$AB,'MASTER PLAN'!$J:$J,0,0)),"")</f>
        <v/>
      </c>
      <c r="CZ42" s="73" t="str">
        <f t="array" ref="CZ42">IFERROR(IF(XLOOKUP(CONCAT(CW42,CX42),'PROCESOS PRD'!$J:$J,'PROCESOS PRD'!$H:$H,0,0)=0,"",XLOOKUP(CONCAT(CW42,CX42),'PROCESOS PRD'!$J:$J,'PROCESOS PRD'!$H:$H,0,0)),"")</f>
        <v/>
      </c>
      <c r="DA42" s="71"/>
      <c r="DB42" s="32"/>
      <c r="DC42" s="72" t="str">
        <f t="array" ref="DC42">IFERROR(IF(XLOOKUP(CONCAT(DA42,DB42),'MASTER PLAN'!$AB:$AB,'MASTER PLAN'!$J:$J,0,0)=0,"",XLOOKUP(CONCAT(DA42,DB42),'MASTER PLAN'!$AB:$AB,'MASTER PLAN'!$J:$J,0,0)),"")</f>
        <v/>
      </c>
      <c r="DD42" s="73" t="str">
        <f t="array" ref="DD42">IFERROR(IF(XLOOKUP(CONCAT(DA42,DB42),'PROCESOS PRD'!$J:$J,'PROCESOS PRD'!$H:$H,0,0)=0,"",XLOOKUP(CONCAT(DA42,DB42),'PROCESOS PRD'!$J:$J,'PROCESOS PRD'!$H:$H,0,0)),"")</f>
        <v/>
      </c>
      <c r="DE42" s="71">
        <v>1.402049532E9</v>
      </c>
      <c r="DF42" s="32">
        <v>10.0</v>
      </c>
      <c r="DG42" s="72" t="str">
        <f t="array" ref="DG42">IFERROR(IF(XLOOKUP(CONCAT(DE42,DF42),'MASTER PLAN'!$AB:$AB,'MASTER PLAN'!$J:$J,0,0)=0,"",XLOOKUP(CONCAT(DE42,DF42),'MASTER PLAN'!$AB:$AB,'MASTER PLAN'!$J:$J,0,0)),"")</f>
        <v>BOLSA CHARISMA JEWELERS 10"X 4"X 8"</v>
      </c>
      <c r="DH42" s="73">
        <f t="array" ref="DH42">IFERROR(IF(XLOOKUP(CONCAT(DE42,DF42),'PROCESOS PRD'!$J:$J,'PROCESOS PRD'!$H:$H,0,0)=0,"",XLOOKUP(CONCAT(DE42,DF42),'PROCESOS PRD'!$J:$J,'PROCESOS PRD'!$H:$H,0,0)),"")</f>
        <v>2400</v>
      </c>
      <c r="DI42" s="71"/>
      <c r="DJ42" s="32"/>
      <c r="DK42" s="72" t="str">
        <f t="array" ref="DK42">IFERROR(IF(XLOOKUP(CONCAT(DI42,DJ42),'MASTER PLAN'!$AB:$AB,'MASTER PLAN'!$J:$J,0,0)=0,"",XLOOKUP(CONCAT(DI42,DJ42),'MASTER PLAN'!$AB:$AB,'MASTER PLAN'!$J:$J,0,0)),"")</f>
        <v/>
      </c>
      <c r="DL42" s="73" t="str">
        <f t="array" ref="DL42">IFERROR(IF(XLOOKUP(CONCAT(DI42,DJ42),'PROCESOS PRD'!$J:$J,'PROCESOS PRD'!$H:$H,0,0)=0,"",XLOOKUP(CONCAT(DI42,DJ42),'PROCESOS PRD'!$J:$J,'PROCESOS PRD'!$H:$H,0,0)),"")</f>
        <v/>
      </c>
      <c r="DM42" s="71"/>
      <c r="DN42" s="32"/>
      <c r="DO42" s="72" t="str">
        <f t="array" ref="DO42">IFERROR(IF(XLOOKUP(CONCAT(DM42,DN42),'MASTER PLAN'!$AB:$AB,'MASTER PLAN'!$J:$J,0,0)=0,"",XLOOKUP(CONCAT(DM42,DN42),'MASTER PLAN'!$AB:$AB,'MASTER PLAN'!$J:$J,0,0)),"")</f>
        <v/>
      </c>
      <c r="DP42" s="73" t="str">
        <f t="array" ref="DP42">IFERROR(IF(XLOOKUP(CONCAT(DM42,DN42),'PROCESOS PRD'!$J:$J,'PROCESOS PRD'!$H:$H,0,0)=0,"",XLOOKUP(CONCAT(DM42,DN42),'PROCESOS PRD'!$J:$J,'PROCESOS PRD'!$H:$H,0,0)),"")</f>
        <v/>
      </c>
      <c r="DQ42" s="70"/>
      <c r="DR42" s="71"/>
      <c r="DS42" s="32"/>
      <c r="DT42" s="72" t="str">
        <f t="array" ref="DT42">IFERROR(IF(XLOOKUP(CONCAT(DR42,DS42),'MASTER PLAN'!$AB:$AB,'MASTER PLAN'!$J:$J,0,0)=0,"",XLOOKUP(CONCAT(DR42,DS42),'MASTER PLAN'!$AB:$AB,'MASTER PLAN'!$J:$J,0,0)),"")</f>
        <v/>
      </c>
      <c r="DU42" s="73" t="str">
        <f t="array" ref="DU42">IFERROR(IF(XLOOKUP(CONCAT(DR42,DS42),'PROCESOS PRD'!$J:$J,'PROCESOS PRD'!$H:$H,0,0)=0,"",XLOOKUP(CONCAT(DR42,DS42),'PROCESOS PRD'!$J:$J,'PROCESOS PRD'!$H:$H,0,0)),"")</f>
        <v/>
      </c>
      <c r="DV42" s="71"/>
      <c r="DW42" s="32"/>
      <c r="DX42" s="72" t="str">
        <f t="array" ref="DX42">IFERROR(IF(XLOOKUP(CONCAT(DV42,DW42),'MASTER PLAN'!$AB:$AB,'MASTER PLAN'!$J:$J,0,0)=0,"",XLOOKUP(CONCAT(DV42,DW42),'MASTER PLAN'!$AB:$AB,'MASTER PLAN'!$J:$J,0,0)),"")</f>
        <v/>
      </c>
      <c r="DY42" s="73" t="str">
        <f t="array" ref="DY42">IFERROR(IF(XLOOKUP(CONCAT(DV42,DW42),'PROCESOS PRD'!$J:$J,'PROCESOS PRD'!$H:$H,0,0)=0,"",XLOOKUP(CONCAT(DV42,DW42),'PROCESOS PRD'!$J:$J,'PROCESOS PRD'!$H:$H,0,0)),"")</f>
        <v/>
      </c>
      <c r="DZ42" s="71"/>
      <c r="EA42" s="32"/>
      <c r="EB42" s="72" t="str">
        <f t="array" ref="EB42">IFERROR(IF(XLOOKUP(CONCAT(DZ42,EA42),'MASTER PLAN'!$AB:$AB,'MASTER PLAN'!$J:$J,0,0)=0,"",XLOOKUP(CONCAT(DZ42,EA42),'MASTER PLAN'!$AB:$AB,'MASTER PLAN'!$J:$J,0,0)),"")</f>
        <v/>
      </c>
      <c r="EC42" s="73" t="str">
        <f t="array" ref="EC42">IFERROR(IF(XLOOKUP(CONCAT(DZ42,EA42),'PROCESOS PRD'!$J:$J,'PROCESOS PRD'!$H:$H,0,0)=0,"",XLOOKUP(CONCAT(DZ42,EA42),'PROCESOS PRD'!$J:$J,'PROCESOS PRD'!$H:$H,0,0)),"")</f>
        <v/>
      </c>
      <c r="ED42" s="71"/>
      <c r="EE42" s="32"/>
      <c r="EF42" s="72" t="str">
        <f t="array" ref="EF42">IFERROR(IF(XLOOKUP(CONCAT(ED42,EE42),'MASTER PLAN'!$AB:$AB,'MASTER PLAN'!$J:$J,0,0)=0,"",XLOOKUP(CONCAT(ED42,EE42),'MASTER PLAN'!$AB:$AB,'MASTER PLAN'!$J:$J,0,0)),"")</f>
        <v/>
      </c>
      <c r="EG42" s="73" t="str">
        <f t="array" ref="EG42">IFERROR(IF(XLOOKUP(CONCAT(ED42,EE42),'PROCESOS PRD'!$J:$J,'PROCESOS PRD'!$H:$H,0,0)=0,"",XLOOKUP(CONCAT(ED42,EE42),'PROCESOS PRD'!$J:$J,'PROCESOS PRD'!$H:$H,0,0)),"")</f>
        <v/>
      </c>
      <c r="EH42" s="71"/>
      <c r="EI42" s="32"/>
      <c r="EJ42" s="72" t="str">
        <f t="array" ref="EJ42">IFERROR(IF(XLOOKUP(CONCAT(EH42,EI42),'MASTER PLAN'!$AB:$AB,'MASTER PLAN'!$J:$J,0,0)=0,"",XLOOKUP(CONCAT(EH42,EI42),'MASTER PLAN'!$AB:$AB,'MASTER PLAN'!$J:$J,0,0)),"")</f>
        <v/>
      </c>
      <c r="EK42" s="73" t="str">
        <f t="array" ref="EK42">IFERROR(IF(XLOOKUP(CONCAT(EH42,EI42),'PROCESOS PRD'!$J:$J,'PROCESOS PRD'!$H:$H,0,0)=0,"",XLOOKUP(CONCAT(EH42,EI42),'PROCESOS PRD'!$J:$J,'PROCESOS PRD'!$H:$H,0,0)),"")</f>
        <v/>
      </c>
      <c r="EL42" s="71"/>
      <c r="EM42" s="32"/>
      <c r="EN42" s="72" t="str">
        <f t="array" ref="EN42">IFERROR(IF(XLOOKUP(CONCAT(EL42,EM42),'MASTER PLAN'!$AB:$AB,'MASTER PLAN'!$J:$J,0,0)=0,"",XLOOKUP(CONCAT(EL42,EM42),'MASTER PLAN'!$AB:$AB,'MASTER PLAN'!$J:$J,0,0)),"")</f>
        <v/>
      </c>
      <c r="EO42" s="73" t="str">
        <f t="array" ref="EO42">IFERROR(IF(XLOOKUP(CONCAT(EL42,EM42),'PROCESOS PRD'!$J:$J,'PROCESOS PRD'!$H:$H,0,0)=0,"",XLOOKUP(CONCAT(EL42,EM42),'PROCESOS PRD'!$J:$J,'PROCESOS PRD'!$H:$H,0,0)),"")</f>
        <v/>
      </c>
      <c r="EP42" s="70"/>
      <c r="EQ42" s="71"/>
      <c r="ER42" s="32"/>
      <c r="ES42" s="72" t="str">
        <f t="array" ref="ES42">IFERROR(IF(XLOOKUP(CONCAT(EQ42,ER42),'MASTER PLAN'!$AB:$AB,'MASTER PLAN'!$J:$J,0,0)=0,"",XLOOKUP(CONCAT(EQ42,ER42),'MASTER PLAN'!$AB:$AB,'MASTER PLAN'!$J:$J,0,0)),"")</f>
        <v/>
      </c>
      <c r="ET42" s="73" t="str">
        <f t="array" ref="ET42">IFERROR(IF(XLOOKUP(CONCAT(EQ42,ER42),'PROCESOS PRD'!$J:$J,'PROCESOS PRD'!$H:$H,0,0)=0,"",XLOOKUP(CONCAT(EQ42,ER42),'PROCESOS PRD'!$J:$J,'PROCESOS PRD'!$H:$H,0,0)),"")</f>
        <v/>
      </c>
      <c r="EU42" s="71"/>
      <c r="EV42" s="32"/>
      <c r="EW42" s="72" t="str">
        <f t="array" ref="EW42">IFERROR(IF(XLOOKUP(CONCAT(EU42,EV42),'MASTER PLAN'!$AB:$AB,'MASTER PLAN'!$J:$J,0,0)=0,"",XLOOKUP(CONCAT(EU42,EV42),'MASTER PLAN'!$AB:$AB,'MASTER PLAN'!$J:$J,0,0)),"")</f>
        <v/>
      </c>
      <c r="EX42" s="73" t="str">
        <f t="array" ref="EX42">IFERROR(IF(XLOOKUP(CONCAT(EU42,EV42),'PROCESOS PRD'!$J:$J,'PROCESOS PRD'!$H:$H,0,0)=0,"",XLOOKUP(CONCAT(EU42,EV42),'PROCESOS PRD'!$J:$J,'PROCESOS PRD'!$H:$H,0,0)),"")</f>
        <v/>
      </c>
      <c r="EY42" s="71"/>
      <c r="EZ42" s="32"/>
      <c r="FA42" s="72" t="str">
        <f t="array" ref="FA42">IFERROR(IF(XLOOKUP(CONCAT(EY42,EZ42),'MASTER PLAN'!$AB:$AB,'MASTER PLAN'!$J:$J,0,0)=0,"",XLOOKUP(CONCAT(EY42,EZ42),'MASTER PLAN'!$AB:$AB,'MASTER PLAN'!$J:$J,0,0)),"")</f>
        <v/>
      </c>
      <c r="FB42" s="73" t="str">
        <f t="array" ref="FB42">IFERROR(IF(XLOOKUP(CONCAT(EY42,EZ42),'PROCESOS PRD'!$J:$J,'PROCESOS PRD'!$H:$H,0,0)=0,"",XLOOKUP(CONCAT(EY42,EZ42),'PROCESOS PRD'!$J:$J,'PROCESOS PRD'!$H:$H,0,0)),"")</f>
        <v/>
      </c>
      <c r="FC42" s="71"/>
      <c r="FD42" s="32"/>
      <c r="FE42" s="72" t="str">
        <f t="array" ref="FE42">IFERROR(IF(XLOOKUP(CONCAT(FC42,FD42),'MASTER PLAN'!$AB:$AB,'MASTER PLAN'!$J:$J,0,0)=0,"",XLOOKUP(CONCAT(FC42,FD42),'MASTER PLAN'!$AB:$AB,'MASTER PLAN'!$J:$J,0,0)),"")</f>
        <v/>
      </c>
      <c r="FF42" s="73" t="str">
        <f t="array" ref="FF42">IFERROR(IF(XLOOKUP(CONCAT(FC42,FD42),'PROCESOS PRD'!$J:$J,'PROCESOS PRD'!$H:$H,0,0)=0,"",XLOOKUP(CONCAT(FC42,FD42),'PROCESOS PRD'!$J:$J,'PROCESOS PRD'!$H:$H,0,0)),"")</f>
        <v/>
      </c>
      <c r="FG42" s="71"/>
      <c r="FH42" s="32"/>
      <c r="FI42" s="72" t="str">
        <f t="array" ref="FI42">IFERROR(IF(XLOOKUP(CONCAT(FG42,FH42),'MASTER PLAN'!$AB:$AB,'MASTER PLAN'!$J:$J,0,0)=0,"",XLOOKUP(CONCAT(FG42,FH42),'MASTER PLAN'!$AB:$AB,'MASTER PLAN'!$J:$J,0,0)),"")</f>
        <v/>
      </c>
      <c r="FJ42" s="73" t="str">
        <f t="array" ref="FJ42">IFERROR(IF(XLOOKUP(CONCAT(FG42,FH42),'PROCESOS PRD'!$J:$J,'PROCESOS PRD'!$H:$H,0,0)=0,"",XLOOKUP(CONCAT(FG42,FH42),'PROCESOS PRD'!$J:$J,'PROCESOS PRD'!$H:$H,0,0)),"")</f>
        <v/>
      </c>
      <c r="FK42" s="71"/>
      <c r="FL42" s="32"/>
      <c r="FM42" s="72" t="str">
        <f t="array" ref="FM42">IFERROR(IF(XLOOKUP(CONCAT(FK42,FL42),'MASTER PLAN'!$AB:$AB,'MASTER PLAN'!$J:$J,0,0)=0,"",XLOOKUP(CONCAT(FK42,FL42),'MASTER PLAN'!$AB:$AB,'MASTER PLAN'!$J:$J,0,0)),"")</f>
        <v/>
      </c>
      <c r="FN42" s="73" t="str">
        <f t="array" ref="FN42">IFERROR(IF(XLOOKUP(CONCAT(FK42,FL42),'PROCESOS PRD'!$J:$J,'PROCESOS PRD'!$H:$H,0,0)=0,"",XLOOKUP(CONCAT(FK42,FL42),'PROCESOS PRD'!$J:$J,'PROCESOS PRD'!$H:$H,0,0)),"")</f>
        <v/>
      </c>
      <c r="FO42" s="70"/>
      <c r="FP42" s="71"/>
      <c r="FQ42" s="32"/>
      <c r="FR42" s="72" t="str">
        <f t="array" ref="FR42">IFERROR(IF(XLOOKUP(CONCAT(FP42,FQ42),'MASTER PLAN'!$AB:$AB,'MASTER PLAN'!$J:$J,0,0)=0,"",XLOOKUP(CONCAT(FP42,FQ42),'MASTER PLAN'!$AB:$AB,'MASTER PLAN'!$J:$J,0,0)),"")</f>
        <v/>
      </c>
      <c r="FS42" s="73" t="str">
        <f t="array" ref="FS42">IFERROR(IF(XLOOKUP(CONCAT(FP42,FQ42),'PROCESOS PRD'!$J:$J,'PROCESOS PRD'!$H:$H,0,0)=0,"",XLOOKUP(CONCAT(FP42,FQ42),'PROCESOS PRD'!$J:$J,'PROCESOS PRD'!$H:$H,0,0)),"")</f>
        <v/>
      </c>
      <c r="FT42" s="71"/>
      <c r="FU42" s="32"/>
      <c r="FV42" s="72" t="str">
        <f t="array" ref="FV42">IFERROR(IF(XLOOKUP(CONCAT(FT42,FU42),'MASTER PLAN'!$AB:$AB,'MASTER PLAN'!$J:$J,0,0)=0,"",XLOOKUP(CONCAT(FT42,FU42),'MASTER PLAN'!$AB:$AB,'MASTER PLAN'!$J:$J,0,0)),"")</f>
        <v/>
      </c>
      <c r="FW42" s="73" t="str">
        <f t="array" ref="FW42">IFERROR(IF(XLOOKUP(CONCAT(FT42,FU42),'PROCESOS PRD'!$J:$J,'PROCESOS PRD'!$H:$H,0,0)=0,"",XLOOKUP(CONCAT(FT42,FU42),'PROCESOS PRD'!$J:$J,'PROCESOS PRD'!$H:$H,0,0)),"")</f>
        <v/>
      </c>
      <c r="FX42" s="71"/>
      <c r="FY42" s="32"/>
      <c r="FZ42" s="72" t="str">
        <f t="array" ref="FZ42">IFERROR(IF(XLOOKUP(CONCAT(FX42,FY42),'MASTER PLAN'!$AB:$AB,'MASTER PLAN'!$J:$J,0,0)=0,"",XLOOKUP(CONCAT(FX42,FY42),'MASTER PLAN'!$AB:$AB,'MASTER PLAN'!$J:$J,0,0)),"")</f>
        <v/>
      </c>
      <c r="GA42" s="73" t="str">
        <f t="array" ref="GA42">IFERROR(IF(XLOOKUP(CONCAT(FX42,FY42),'PROCESOS PRD'!$J:$J,'PROCESOS PRD'!$H:$H,0,0)=0,"",XLOOKUP(CONCAT(FX42,FY42),'PROCESOS PRD'!$J:$J,'PROCESOS PRD'!$H:$H,0,0)),"")</f>
        <v/>
      </c>
      <c r="GB42" s="71"/>
      <c r="GC42" s="32"/>
      <c r="GD42" s="72" t="str">
        <f t="array" ref="GD42">IFERROR(IF(XLOOKUP(CONCAT(GB42,GC42),'MASTER PLAN'!$AB:$AB,'MASTER PLAN'!$J:$J,0,0)=0,"",XLOOKUP(CONCAT(GB42,GC42),'MASTER PLAN'!$AB:$AB,'MASTER PLAN'!$J:$J,0,0)),"")</f>
        <v/>
      </c>
      <c r="GE42" s="73" t="str">
        <f t="array" ref="GE42">IFERROR(IF(XLOOKUP(CONCAT(GB42,GC42),'PROCESOS PRD'!$J:$J,'PROCESOS PRD'!$H:$H,0,0)=0,"",XLOOKUP(CONCAT(GB42,GC42),'PROCESOS PRD'!$J:$J,'PROCESOS PRD'!$H:$H,0,0)),"")</f>
        <v/>
      </c>
      <c r="GF42" s="71"/>
      <c r="GG42" s="32"/>
      <c r="GH42" s="72" t="str">
        <f t="array" ref="GH42">IFERROR(IF(XLOOKUP(CONCAT(GF42,GG42),'MASTER PLAN'!$AB:$AB,'MASTER PLAN'!$J:$J,0,0)=0,"",XLOOKUP(CONCAT(GF42,GG42),'MASTER PLAN'!$AB:$AB,'MASTER PLAN'!$J:$J,0,0)),"")</f>
        <v/>
      </c>
      <c r="GI42" s="73" t="str">
        <f t="array" ref="GI42">IFERROR(IF(XLOOKUP(CONCAT(GF42,GG42),'PROCESOS PRD'!$J:$J,'PROCESOS PRD'!$H:$H,0,0)=0,"",XLOOKUP(CONCAT(GF42,GG42),'PROCESOS PRD'!$J:$J,'PROCESOS PRD'!$H:$H,0,0)),"")</f>
        <v/>
      </c>
      <c r="GJ42" s="71"/>
      <c r="GK42" s="32"/>
      <c r="GL42" s="72" t="str">
        <f t="array" ref="GL42">IFERROR(IF(XLOOKUP(CONCAT(GJ42,GK42),'MASTER PLAN'!$AB:$AB,'MASTER PLAN'!$J:$J,0,0)=0,"",XLOOKUP(CONCAT(GJ42,GK42),'MASTER PLAN'!$AB:$AB,'MASTER PLAN'!$J:$J,0,0)),"")</f>
        <v/>
      </c>
      <c r="GM42" s="73" t="str">
        <f t="array" ref="GM42">IFERROR(IF(XLOOKUP(CONCAT(GJ42,GK42),'PROCESOS PRD'!$J:$J,'PROCESOS PRD'!$H:$H,0,0)=0,"",XLOOKUP(CONCAT(GJ42,GK42),'PROCESOS PRD'!$J:$J,'PROCESOS PRD'!$H:$H,0,0)),"")</f>
        <v/>
      </c>
      <c r="GN42" s="70"/>
      <c r="GO42" s="71"/>
      <c r="GP42" s="32"/>
      <c r="GQ42" s="72" t="str">
        <f t="array" ref="GQ42">IFERROR(IF(XLOOKUP(CONCAT(GO42,GP42),'MASTER PLAN'!$AB:$AB,'MASTER PLAN'!$J:$J,0,0)=0,"",XLOOKUP(CONCAT(GO42,GP42),'MASTER PLAN'!$AB:$AB,'MASTER PLAN'!$J:$J,0,0)),"")</f>
        <v/>
      </c>
      <c r="GR42" s="73" t="str">
        <f t="array" ref="GR42">IFERROR(IF(XLOOKUP(CONCAT(GO42,GP42),'PROCESOS PRD'!$J:$J,'PROCESOS PRD'!$H:$H,0,0)=0,"",XLOOKUP(CONCAT(GO42,GP42),'PROCESOS PRD'!$J:$J,'PROCESOS PRD'!$H:$H,0,0)),"")</f>
        <v/>
      </c>
      <c r="GS42" s="71"/>
      <c r="GT42" s="32"/>
      <c r="GU42" s="72" t="str">
        <f t="array" ref="GU42">IFERROR(IF(XLOOKUP(CONCAT(GS42,GT42),'MASTER PLAN'!$AB:$AB,'MASTER PLAN'!$J:$J,0,0)=0,"",XLOOKUP(CONCAT(GS42,GT42),'MASTER PLAN'!$AB:$AB,'MASTER PLAN'!$J:$J,0,0)),"")</f>
        <v/>
      </c>
      <c r="GV42" s="73" t="str">
        <f t="array" ref="GV42">IFERROR(IF(XLOOKUP(CONCAT(GS42,GT42),'PROCESOS PRD'!$J:$J,'PROCESOS PRD'!$H:$H,0,0)=0,"",XLOOKUP(CONCAT(GS42,GT42),'PROCESOS PRD'!$J:$J,'PROCESOS PRD'!$H:$H,0,0)),"")</f>
        <v/>
      </c>
      <c r="GW42" s="71"/>
      <c r="GX42" s="32"/>
      <c r="GY42" s="72" t="str">
        <f t="array" ref="GY42">IFERROR(IF(XLOOKUP(CONCAT(GW42,GX42),'MASTER PLAN'!$AB:$AB,'MASTER PLAN'!$J:$J,0,0)=0,"",XLOOKUP(CONCAT(GW42,GX42),'MASTER PLAN'!$AB:$AB,'MASTER PLAN'!$J:$J,0,0)),"")</f>
        <v/>
      </c>
      <c r="GZ42" s="73" t="str">
        <f t="array" ref="GZ42">IFERROR(IF(XLOOKUP(CONCAT(GW42,GX42),'PROCESOS PRD'!$J:$J,'PROCESOS PRD'!$H:$H,0,0)=0,"",XLOOKUP(CONCAT(GW42,GX42),'PROCESOS PRD'!$J:$J,'PROCESOS PRD'!$H:$H,0,0)),"")</f>
        <v/>
      </c>
      <c r="HA42" s="71"/>
      <c r="HB42" s="32"/>
      <c r="HC42" s="72" t="str">
        <f t="array" ref="HC42">IFERROR(IF(XLOOKUP(CONCAT(HA42,HB42),'MASTER PLAN'!$AB:$AB,'MASTER PLAN'!$J:$J,0,0)=0,"",XLOOKUP(CONCAT(HA42,HB42),'MASTER PLAN'!$AB:$AB,'MASTER PLAN'!$J:$J,0,0)),"")</f>
        <v/>
      </c>
      <c r="HD42" s="73" t="str">
        <f t="array" ref="HD42">IFERROR(IF(XLOOKUP(CONCAT(HA42,HB42),'PROCESOS PRD'!$J:$J,'PROCESOS PRD'!$H:$H,0,0)=0,"",XLOOKUP(CONCAT(HA42,HB42),'PROCESOS PRD'!$J:$J,'PROCESOS PRD'!$H:$H,0,0)),"")</f>
        <v/>
      </c>
      <c r="HE42" s="71"/>
      <c r="HF42" s="32"/>
      <c r="HG42" s="72" t="str">
        <f t="array" ref="HG42">IFERROR(IF(XLOOKUP(CONCAT(HE42,HF42),'MASTER PLAN'!$AB:$AB,'MASTER PLAN'!$J:$J,0,0)=0,"",XLOOKUP(CONCAT(HE42,HF42),'MASTER PLAN'!$AB:$AB,'MASTER PLAN'!$J:$J,0,0)),"")</f>
        <v/>
      </c>
      <c r="HH42" s="73" t="str">
        <f t="array" ref="HH42">IFERROR(IF(XLOOKUP(CONCAT(HE42,HF42),'PROCESOS PRD'!$J:$J,'PROCESOS PRD'!$H:$H,0,0)=0,"",XLOOKUP(CONCAT(HE42,HF42),'PROCESOS PRD'!$J:$J,'PROCESOS PRD'!$H:$H,0,0)),"")</f>
        <v/>
      </c>
      <c r="HI42" s="71"/>
      <c r="HJ42" s="32"/>
      <c r="HK42" s="72" t="str">
        <f t="array" ref="HK42">IFERROR(IF(XLOOKUP(CONCAT(HI42,HJ42),'MASTER PLAN'!$AB:$AB,'MASTER PLAN'!$J:$J,0,0)=0,"",XLOOKUP(CONCAT(HI42,HJ42),'MASTER PLAN'!$AB:$AB,'MASTER PLAN'!$J:$J,0,0)),"")</f>
        <v/>
      </c>
      <c r="HL42" s="73" t="str">
        <f t="array" ref="HL42">IFERROR(IF(XLOOKUP(CONCAT(HI42,HJ42),'PROCESOS PRD'!$J:$J,'PROCESOS PRD'!$H:$H,0,0)=0,"",XLOOKUP(CONCAT(HI42,HJ42),'PROCESOS PRD'!$J:$J,'PROCESOS PRD'!$H:$H,0,0)),"")</f>
        <v/>
      </c>
      <c r="HM42" s="70"/>
      <c r="HN42" s="71"/>
      <c r="HO42" s="32"/>
      <c r="HP42" s="72" t="str">
        <f t="array" ref="HP42">IFERROR(IF(XLOOKUP(CONCAT(HN42,HO42),'MASTER PLAN'!$AB:$AB,'MASTER PLAN'!$J:$J,0,0)=0,"",XLOOKUP(CONCAT(HN42,HO42),'MASTER PLAN'!$AB:$AB,'MASTER PLAN'!$J:$J,0,0)),"")</f>
        <v/>
      </c>
      <c r="HQ42" s="73" t="str">
        <f t="array" ref="HQ42">IFERROR(IF(XLOOKUP(CONCAT(HN42,HO42),'PROCESOS PRD'!$J:$J,'PROCESOS PRD'!$H:$H,0,0)=0,"",XLOOKUP(CONCAT(HN42,HO42),'PROCESOS PRD'!$J:$J,'PROCESOS PRD'!$H:$H,0,0)),"")</f>
        <v/>
      </c>
      <c r="HR42" s="71"/>
      <c r="HS42" s="32"/>
      <c r="HT42" s="72" t="str">
        <f t="array" ref="HT42">IFERROR(IF(XLOOKUP(CONCAT(HR42,HS42),'MASTER PLAN'!$AB:$AB,'MASTER PLAN'!$J:$J,0,0)=0,"",XLOOKUP(CONCAT(HR42,HS42),'MASTER PLAN'!$AB:$AB,'MASTER PLAN'!$J:$J,0,0)),"")</f>
        <v/>
      </c>
      <c r="HU42" s="73" t="str">
        <f t="array" ref="HU42">IFERROR(IF(XLOOKUP(CONCAT(HR42,HS42),'PROCESOS PRD'!$J:$J,'PROCESOS PRD'!$H:$H,0,0)=0,"",XLOOKUP(CONCAT(HR42,HS42),'PROCESOS PRD'!$J:$J,'PROCESOS PRD'!$H:$H,0,0)),"")</f>
        <v/>
      </c>
      <c r="HV42" s="71"/>
      <c r="HW42" s="32"/>
      <c r="HX42" s="72" t="str">
        <f t="array" ref="HX42">IFERROR(IF(XLOOKUP(CONCAT(HV42,HW42),'MASTER PLAN'!$AB:$AB,'MASTER PLAN'!$J:$J,0,0)=0,"",XLOOKUP(CONCAT(HV42,HW42),'MASTER PLAN'!$AB:$AB,'MASTER PLAN'!$J:$J,0,0)),"")</f>
        <v/>
      </c>
      <c r="HY42" s="73" t="str">
        <f t="array" ref="HY42">IFERROR(IF(XLOOKUP(CONCAT(HV42,HW42),'PROCESOS PRD'!$J:$J,'PROCESOS PRD'!$H:$H,0,0)=0,"",XLOOKUP(CONCAT(HV42,HW42),'PROCESOS PRD'!$J:$J,'PROCESOS PRD'!$H:$H,0,0)),"")</f>
        <v/>
      </c>
      <c r="HZ42" s="71"/>
      <c r="IA42" s="32"/>
      <c r="IB42" s="72" t="str">
        <f t="array" ref="IB42">IFERROR(IF(XLOOKUP(CONCAT(HZ42,IA42),'MASTER PLAN'!$AB:$AB,'MASTER PLAN'!$J:$J,0,0)=0,"",XLOOKUP(CONCAT(HZ42,IA42),'MASTER PLAN'!$AB:$AB,'MASTER PLAN'!$J:$J,0,0)),"")</f>
        <v/>
      </c>
      <c r="IC42" s="73" t="str">
        <f t="array" ref="IC42">IFERROR(IF(XLOOKUP(CONCAT(HZ42,IA42),'PROCESOS PRD'!$J:$J,'PROCESOS PRD'!$H:$H,0,0)=0,"",XLOOKUP(CONCAT(HZ42,IA42),'PROCESOS PRD'!$J:$J,'PROCESOS PRD'!$H:$H,0,0)),"")</f>
        <v/>
      </c>
      <c r="ID42" s="71"/>
      <c r="IE42" s="32"/>
      <c r="IF42" s="72" t="str">
        <f t="array" ref="IF42">IFERROR(IF(XLOOKUP(CONCAT(ID42,IE42),'MASTER PLAN'!$AB:$AB,'MASTER PLAN'!$J:$J,0,0)=0,"",XLOOKUP(CONCAT(ID42,IE42),'MASTER PLAN'!$AB:$AB,'MASTER PLAN'!$J:$J,0,0)),"")</f>
        <v/>
      </c>
      <c r="IG42" s="73" t="str">
        <f t="array" ref="IG42">IFERROR(IF(XLOOKUP(CONCAT(ID42,IE42),'PROCESOS PRD'!$J:$J,'PROCESOS PRD'!$H:$H,0,0)=0,"",XLOOKUP(CONCAT(ID42,IE42),'PROCESOS PRD'!$J:$J,'PROCESOS PRD'!$H:$H,0,0)),"")</f>
        <v/>
      </c>
      <c r="IH42" s="71"/>
      <c r="II42" s="32"/>
      <c r="IJ42" s="72" t="str">
        <f t="array" ref="IJ42">IFERROR(IF(XLOOKUP(CONCAT(IH42,II42),'MASTER PLAN'!$AB:$AB,'MASTER PLAN'!$J:$J,0,0)=0,"",XLOOKUP(CONCAT(IH42,II42),'MASTER PLAN'!$AB:$AB,'MASTER PLAN'!$J:$J,0,0)),"")</f>
        <v/>
      </c>
      <c r="IK42" s="73" t="str">
        <f t="array" ref="IK42">IFERROR(IF(XLOOKUP(CONCAT(IH42,II42),'PROCESOS PRD'!$J:$J,'PROCESOS PRD'!$H:$H,0,0)=0,"",XLOOKUP(CONCAT(IH42,II42),'PROCESOS PRD'!$J:$J,'PROCESOS PRD'!$H:$H,0,0)),"")</f>
        <v/>
      </c>
      <c r="IL42" s="70"/>
      <c r="IM42" s="71"/>
      <c r="IN42" s="32"/>
      <c r="IO42" s="72" t="str">
        <f t="array" ref="IO42">IFERROR(IF(XLOOKUP(CONCAT(IM42,IN42),'MASTER PLAN'!$AB:$AB,'MASTER PLAN'!$J:$J,0,0)=0,"",XLOOKUP(CONCAT(IM42,IN42),'MASTER PLAN'!$AB:$AB,'MASTER PLAN'!$J:$J,0,0)),"")</f>
        <v/>
      </c>
      <c r="IP42" s="73" t="str">
        <f t="array" ref="IP42">IFERROR(IF(XLOOKUP(CONCAT(IM42,IN42),'PROCESOS PRD'!$J:$J,'PROCESOS PRD'!$H:$H,0,0)=0,"",XLOOKUP(CONCAT(IM42,IN42),'PROCESOS PRD'!$J:$J,'PROCESOS PRD'!$H:$H,0,0)),"")</f>
        <v/>
      </c>
      <c r="IQ42" s="71"/>
      <c r="IR42" s="32"/>
      <c r="IS42" s="72" t="str">
        <f t="array" ref="IS42">IFERROR(IF(XLOOKUP(CONCAT(IQ42,IR42),'MASTER PLAN'!$AB:$AB,'MASTER PLAN'!$J:$J,0,0)=0,"",XLOOKUP(CONCAT(IQ42,IR42),'MASTER PLAN'!$AB:$AB,'MASTER PLAN'!$J:$J,0,0)),"")</f>
        <v/>
      </c>
      <c r="IT42" s="73" t="str">
        <f t="array" ref="IT42">IFERROR(IF(XLOOKUP(CONCAT(IQ42,IR42),'PROCESOS PRD'!$J:$J,'PROCESOS PRD'!$H:$H,0,0)=0,"",XLOOKUP(CONCAT(IQ42,IR42),'PROCESOS PRD'!$J:$J,'PROCESOS PRD'!$H:$H,0,0)),"")</f>
        <v/>
      </c>
      <c r="IU42" s="71"/>
      <c r="IV42" s="32"/>
      <c r="IW42" s="72" t="str">
        <f t="array" ref="IW42">IFERROR(IF(XLOOKUP(CONCAT(IU42,IV42),'MASTER PLAN'!$AB:$AB,'MASTER PLAN'!$J:$J,0,0)=0,"",XLOOKUP(CONCAT(IU42,IV42),'MASTER PLAN'!$AB:$AB,'MASTER PLAN'!$J:$J,0,0)),"")</f>
        <v/>
      </c>
      <c r="IX42" s="73" t="str">
        <f t="array" ref="IX42">IFERROR(IF(XLOOKUP(CONCAT(IU42,IV42),'PROCESOS PRD'!$J:$J,'PROCESOS PRD'!$H:$H,0,0)=0,"",XLOOKUP(CONCAT(IU42,IV42),'PROCESOS PRD'!$J:$J,'PROCESOS PRD'!$H:$H,0,0)),"")</f>
        <v/>
      </c>
      <c r="IY42" s="71"/>
      <c r="IZ42" s="32"/>
      <c r="JA42" s="72" t="str">
        <f t="array" ref="JA42">IFERROR(IF(XLOOKUP(CONCAT(IY42,IZ42),'MASTER PLAN'!$AB:$AB,'MASTER PLAN'!$J:$J,0,0)=0,"",XLOOKUP(CONCAT(IY42,IZ42),'MASTER PLAN'!$AB:$AB,'MASTER PLAN'!$J:$J,0,0)),"")</f>
        <v/>
      </c>
      <c r="JB42" s="73" t="str">
        <f t="array" ref="JB42">IFERROR(IF(XLOOKUP(CONCAT(IY42,IZ42),'PROCESOS PRD'!$J:$J,'PROCESOS PRD'!$H:$H,0,0)=0,"",XLOOKUP(CONCAT(IY42,IZ42),'PROCESOS PRD'!$J:$J,'PROCESOS PRD'!$H:$H,0,0)),"")</f>
        <v/>
      </c>
      <c r="JC42" s="71"/>
      <c r="JD42" s="32"/>
      <c r="JE42" s="72" t="str">
        <f t="array" ref="JE42">IFERROR(IF(XLOOKUP(CONCAT(JC42,JD42),'MASTER PLAN'!$AB:$AB,'MASTER PLAN'!$J:$J,0,0)=0,"",XLOOKUP(CONCAT(JC42,JD42),'MASTER PLAN'!$AB:$AB,'MASTER PLAN'!$J:$J,0,0)),"")</f>
        <v/>
      </c>
      <c r="JF42" s="73" t="str">
        <f t="array" ref="JF42">IFERROR(IF(XLOOKUP(CONCAT(JC42,JD42),'PROCESOS PRD'!$J:$J,'PROCESOS PRD'!$H:$H,0,0)=0,"",XLOOKUP(CONCAT(JC42,JD42),'PROCESOS PRD'!$J:$J,'PROCESOS PRD'!$H:$H,0,0)),"")</f>
        <v/>
      </c>
      <c r="JG42" s="71"/>
      <c r="JH42" s="32"/>
      <c r="JI42" s="72" t="str">
        <f t="array" ref="JI42">IFERROR(IF(XLOOKUP(CONCAT(JG42,JH42),'MASTER PLAN'!$AB:$AB,'MASTER PLAN'!$J:$J,0,0)=0,"",XLOOKUP(CONCAT(JG42,JH42),'MASTER PLAN'!$AB:$AB,'MASTER PLAN'!$J:$J,0,0)),"")</f>
        <v/>
      </c>
      <c r="JJ42" s="73" t="str">
        <f t="array" ref="JJ42">IFERROR(IF(XLOOKUP(CONCAT(JG42,JH42),'PROCESOS PRD'!$J:$J,'PROCESOS PRD'!$H:$H,0,0)=0,"",XLOOKUP(CONCAT(JG42,JH42),'PROCESOS PRD'!$J:$J,'PROCESOS PRD'!$H:$H,0,0)),"")</f>
        <v/>
      </c>
      <c r="JK42" s="70"/>
      <c r="JL42" s="71"/>
      <c r="JM42" s="32"/>
      <c r="JN42" s="72" t="str">
        <f t="array" ref="JN42">IFERROR(IF(XLOOKUP(CONCAT(JL42,JM42),'MASTER PLAN'!$AB:$AB,'MASTER PLAN'!$J:$J,0,0)=0,"",XLOOKUP(CONCAT(JL42,JM42),'MASTER PLAN'!$AB:$AB,'MASTER PLAN'!$J:$J,0,0)),"")</f>
        <v/>
      </c>
      <c r="JO42" s="73" t="str">
        <f t="array" ref="JO42">IFERROR(IF(XLOOKUP(CONCAT(JL42,JM42),'PROCESOS PRD'!$J:$J,'PROCESOS PRD'!$H:$H,0,0)=0,"",XLOOKUP(CONCAT(JL42,JM42),'PROCESOS PRD'!$J:$J,'PROCESOS PRD'!$H:$H,0,0)),"")</f>
        <v/>
      </c>
      <c r="JP42" s="71"/>
      <c r="JQ42" s="32"/>
      <c r="JR42" s="72" t="str">
        <f t="array" ref="JR42">IFERROR(IF(XLOOKUP(CONCAT(JP42,JQ42),'MASTER PLAN'!$AB:$AB,'MASTER PLAN'!$J:$J,0,0)=0,"",XLOOKUP(CONCAT(JP42,JQ42),'MASTER PLAN'!$AB:$AB,'MASTER PLAN'!$J:$J,0,0)),"")</f>
        <v/>
      </c>
      <c r="JS42" s="73" t="str">
        <f t="array" ref="JS42">IFERROR(IF(XLOOKUP(CONCAT(JP42,JQ42),'PROCESOS PRD'!$J:$J,'PROCESOS PRD'!$H:$H,0,0)=0,"",XLOOKUP(CONCAT(JP42,JQ42),'PROCESOS PRD'!$J:$J,'PROCESOS PRD'!$H:$H,0,0)),"")</f>
        <v/>
      </c>
      <c r="JT42" s="71"/>
      <c r="JU42" s="32"/>
      <c r="JV42" s="72" t="str">
        <f t="array" ref="JV42">IFERROR(IF(XLOOKUP(CONCAT(JT42,JU42),'MASTER PLAN'!$AB:$AB,'MASTER PLAN'!$J:$J,0,0)=0,"",XLOOKUP(CONCAT(JT42,JU42),'MASTER PLAN'!$AB:$AB,'MASTER PLAN'!$J:$J,0,0)),"")</f>
        <v/>
      </c>
      <c r="JW42" s="73" t="str">
        <f t="array" ref="JW42">IFERROR(IF(XLOOKUP(CONCAT(JT42,JU42),'PROCESOS PRD'!$J:$J,'PROCESOS PRD'!$H:$H,0,0)=0,"",XLOOKUP(CONCAT(JT42,JU42),'PROCESOS PRD'!$J:$J,'PROCESOS PRD'!$H:$H,0,0)),"")</f>
        <v/>
      </c>
      <c r="JX42" s="71"/>
      <c r="JY42" s="32"/>
      <c r="JZ42" s="72" t="str">
        <f t="array" ref="JZ42">IFERROR(IF(XLOOKUP(CONCAT(JX42,JY42),'MASTER PLAN'!$AB:$AB,'MASTER PLAN'!$J:$J,0,0)=0,"",XLOOKUP(CONCAT(JX42,JY42),'MASTER PLAN'!$AB:$AB,'MASTER PLAN'!$J:$J,0,0)),"")</f>
        <v/>
      </c>
      <c r="KA42" s="73" t="str">
        <f t="array" ref="KA42">IFERROR(IF(XLOOKUP(CONCAT(JX42,JY42),'PROCESOS PRD'!$J:$J,'PROCESOS PRD'!$H:$H,0,0)=0,"",XLOOKUP(CONCAT(JX42,JY42),'PROCESOS PRD'!$J:$J,'PROCESOS PRD'!$H:$H,0,0)),"")</f>
        <v/>
      </c>
      <c r="KB42" s="71"/>
      <c r="KC42" s="32"/>
      <c r="KD42" s="72" t="str">
        <f t="array" ref="KD42">IFERROR(IF(XLOOKUP(CONCAT(KB42,KC42),'MASTER PLAN'!$AB:$AB,'MASTER PLAN'!$J:$J,0,0)=0,"",XLOOKUP(CONCAT(KB42,KC42),'MASTER PLAN'!$AB:$AB,'MASTER PLAN'!$J:$J,0,0)),"")</f>
        <v/>
      </c>
      <c r="KE42" s="73" t="str">
        <f t="array" ref="KE42">IFERROR(IF(XLOOKUP(CONCAT(KB42,KC42),'PROCESOS PRD'!$J:$J,'PROCESOS PRD'!$H:$H,0,0)=0,"",XLOOKUP(CONCAT(KB42,KC42),'PROCESOS PRD'!$J:$J,'PROCESOS PRD'!$H:$H,0,0)),"")</f>
        <v/>
      </c>
      <c r="KF42" s="71"/>
      <c r="KG42" s="32"/>
      <c r="KH42" s="72" t="str">
        <f t="array" ref="KH42">IFERROR(IF(XLOOKUP(CONCAT(KF42,KG42),'MASTER PLAN'!$AB:$AB,'MASTER PLAN'!$J:$J,0,0)=0,"",XLOOKUP(CONCAT(KF42,KG42),'MASTER PLAN'!$AB:$AB,'MASTER PLAN'!$J:$J,0,0)),"")</f>
        <v/>
      </c>
      <c r="KI42" s="73" t="str">
        <f t="array" ref="KI42">IFERROR(IF(XLOOKUP(CONCAT(KF42,KG42),'PROCESOS PRD'!$J:$J,'PROCESOS PRD'!$H:$H,0,0)=0,"",XLOOKUP(CONCAT(KF42,KG42),'PROCESOS PRD'!$J:$J,'PROCESOS PRD'!$H:$H,0,0)),"")</f>
        <v/>
      </c>
      <c r="KJ42" s="70"/>
      <c r="KK42" s="70"/>
      <c r="KL42" s="70"/>
      <c r="KM42" s="70"/>
      <c r="KN42" s="70"/>
      <c r="KO42" s="70"/>
      <c r="KP42" s="70"/>
      <c r="KQ42" s="70"/>
      <c r="KR42" s="70"/>
      <c r="KS42" s="70"/>
      <c r="KT42" s="70"/>
      <c r="KU42" s="70"/>
      <c r="KV42" s="70"/>
      <c r="KW42" s="70"/>
      <c r="KX42" s="70"/>
      <c r="KY42" s="70"/>
      <c r="KZ42" s="70"/>
      <c r="LA42" s="70"/>
      <c r="LB42" s="70"/>
      <c r="LC42" s="70"/>
    </row>
    <row r="43" ht="15.75" customHeight="1">
      <c r="A43" s="42"/>
      <c r="B43" s="74"/>
      <c r="C43" s="69"/>
      <c r="D43" s="70"/>
      <c r="E43" s="71"/>
      <c r="F43" s="32"/>
      <c r="G43" s="72" t="str">
        <f t="array" ref="G43">IFERROR(IF(XLOOKUP(CONCAT(E43,F43),'MASTER PLAN'!$AB:$AB,'MASTER PLAN'!$J:$J,0,0)=0,"",XLOOKUP(CONCAT(E43,F43),'MASTER PLAN'!$AB:$AB,'MASTER PLAN'!$J:$J,0,0)),"")</f>
        <v/>
      </c>
      <c r="H43" s="73" t="str">
        <f t="array" ref="H43">IFERROR(IF(XLOOKUP(CONCAT(E43,F43),'PROCESOS PRD'!$J:$J,'PROCESOS PRD'!$H:$H,0,0)=0,"",XLOOKUP(CONCAT(E43,F43),'PROCESOS PRD'!$J:$J,'PROCESOS PRD'!$H:$H,0,0)),"")</f>
        <v/>
      </c>
      <c r="I43" s="71"/>
      <c r="J43" s="32"/>
      <c r="K43" s="72" t="str">
        <f t="array" ref="K43">IFERROR(IF(XLOOKUP(CONCAT(I43,J43),'MASTER PLAN'!$AB:$AB,'MASTER PLAN'!$J:$J,0,0)=0,"",XLOOKUP(CONCAT(I43,J43),'MASTER PLAN'!$AB:$AB,'MASTER PLAN'!$J:$J,0,0)),"")</f>
        <v/>
      </c>
      <c r="L43" s="73" t="str">
        <f t="array" ref="L43">IFERROR(IF(XLOOKUP(CONCAT(I43,J43),'PROCESOS PRD'!$J:$J,'PROCESOS PRD'!$H:$H,0,0)=0,"",XLOOKUP(CONCAT(I43,J43),'PROCESOS PRD'!$J:$J,'PROCESOS PRD'!$H:$H,0,0)),"")</f>
        <v/>
      </c>
      <c r="M43" s="71"/>
      <c r="N43" s="32"/>
      <c r="O43" s="72" t="str">
        <f t="array" ref="O43">IFERROR(IF(XLOOKUP(CONCAT(M43,N43),'MASTER PLAN'!$AB:$AB,'MASTER PLAN'!$J:$J,0,0)=0,"",XLOOKUP(CONCAT(M43,N43),'MASTER PLAN'!$AB:$AB,'MASTER PLAN'!$J:$J,0,0)),"")</f>
        <v/>
      </c>
      <c r="P43" s="73" t="str">
        <f t="array" ref="P43">IFERROR(IF(XLOOKUP(CONCAT(M43,N43),'PROCESOS PRD'!$J:$J,'PROCESOS PRD'!$H:$H,0,0)=0,"",XLOOKUP(CONCAT(M43,N43),'PROCESOS PRD'!$J:$J,'PROCESOS PRD'!$H:$H,0,0)),"")</f>
        <v/>
      </c>
      <c r="Q43" s="71"/>
      <c r="R43" s="32"/>
      <c r="S43" s="72" t="str">
        <f t="array" ref="S43">IFERROR(IF(XLOOKUP(CONCAT(Q43,R43),'MASTER PLAN'!$AB:$AB,'MASTER PLAN'!$J:$J,0,0)=0,"",XLOOKUP(CONCAT(Q43,R43),'MASTER PLAN'!$AB:$AB,'MASTER PLAN'!$J:$J,0,0)),"")</f>
        <v/>
      </c>
      <c r="T43" s="73" t="str">
        <f t="array" ref="T43">IFERROR(IF(XLOOKUP(CONCAT(Q43,R43),'PROCESOS PRD'!$J:$J,'PROCESOS PRD'!$H:$H,0,0)=0,"",XLOOKUP(CONCAT(Q43,R43),'PROCESOS PRD'!$J:$J,'PROCESOS PRD'!$H:$H,0,0)),"")</f>
        <v/>
      </c>
      <c r="U43" s="70"/>
      <c r="V43" s="71"/>
      <c r="W43" s="32"/>
      <c r="X43" s="72" t="str">
        <f t="array" ref="X43">IFERROR(IF(XLOOKUP(CONCAT(V43,W43),'MASTER PLAN'!$AB:$AB,'MASTER PLAN'!$J:$J,0,0)=0,"",XLOOKUP(CONCAT(V43,W43),'MASTER PLAN'!$AB:$AB,'MASTER PLAN'!$J:$J,0,0)),"")</f>
        <v/>
      </c>
      <c r="Y43" s="73" t="str">
        <f t="array" ref="Y43">IFERROR(IF(XLOOKUP(CONCAT(V43,W43),'PROCESOS PRD'!$J:$J,'PROCESOS PRD'!$H:$H,0,0)=0,"",XLOOKUP(CONCAT(V43,W43),'PROCESOS PRD'!$J:$J,'PROCESOS PRD'!$H:$H,0,0)),"")</f>
        <v/>
      </c>
      <c r="Z43" s="71"/>
      <c r="AA43" s="32"/>
      <c r="AB43" s="72" t="str">
        <f t="array" ref="AB43">IFERROR(IF(XLOOKUP(CONCAT(Z43,AA43),'MASTER PLAN'!$AB:$AB,'MASTER PLAN'!$J:$J,0,0)=0,"",XLOOKUP(CONCAT(Z43,AA43),'MASTER PLAN'!$AB:$AB,'MASTER PLAN'!$J:$J,0,0)),"")</f>
        <v/>
      </c>
      <c r="AC43" s="73" t="str">
        <f t="array" ref="AC43">IFERROR(IF(XLOOKUP(CONCAT(Z43,AA43),'PROCESOS PRD'!$J:$J,'PROCESOS PRD'!$H:$H,0,0)=0,"",XLOOKUP(CONCAT(Z43,AA43),'PROCESOS PRD'!$J:$J,'PROCESOS PRD'!$H:$H,0,0)),"")</f>
        <v/>
      </c>
      <c r="AD43" s="71"/>
      <c r="AE43" s="32"/>
      <c r="AF43" s="72" t="str">
        <f t="array" ref="AF43">IFERROR(IF(XLOOKUP(CONCAT(AD43,AE43),'MASTER PLAN'!$AB:$AB,'MASTER PLAN'!$J:$J,0,0)=0,"",XLOOKUP(CONCAT(AD43,AE43),'MASTER PLAN'!$AB:$AB,'MASTER PLAN'!$J:$J,0,0)),"")</f>
        <v/>
      </c>
      <c r="AG43" s="73" t="str">
        <f t="array" ref="AG43">IFERROR(IF(XLOOKUP(CONCAT(AD43,AE43),'PROCESOS PRD'!$J:$J,'PROCESOS PRD'!$H:$H,0,0)=0,"",XLOOKUP(CONCAT(AD43,AE43),'PROCESOS PRD'!$J:$J,'PROCESOS PRD'!$H:$H,0,0)),"")</f>
        <v/>
      </c>
      <c r="AH43" s="71"/>
      <c r="AI43" s="32"/>
      <c r="AJ43" s="72" t="str">
        <f t="array" ref="AJ43">IFERROR(IF(XLOOKUP(CONCAT(AH43,AI43),'MASTER PLAN'!$AB:$AB,'MASTER PLAN'!$J:$J,0,0)=0,"",XLOOKUP(CONCAT(AH43,AI43),'MASTER PLAN'!$AB:$AB,'MASTER PLAN'!$J:$J,0,0)),"")</f>
        <v/>
      </c>
      <c r="AK43" s="73" t="str">
        <f t="array" ref="AK43">IFERROR(IF(XLOOKUP(CONCAT(AH43,AI43),'PROCESOS PRD'!$J:$J,'PROCESOS PRD'!$H:$H,0,0)=0,"",XLOOKUP(CONCAT(AH43,AI43),'PROCESOS PRD'!$J:$J,'PROCESOS PRD'!$H:$H,0,0)),"")</f>
        <v/>
      </c>
      <c r="AL43" s="71"/>
      <c r="AM43" s="32"/>
      <c r="AN43" s="72" t="str">
        <f t="array" ref="AN43">IFERROR(IF(XLOOKUP(CONCAT(AL43,AM43),'MASTER PLAN'!$AB:$AB,'MASTER PLAN'!$J:$J,0,0)=0,"",XLOOKUP(CONCAT(AL43,AM43),'MASTER PLAN'!$AB:$AB,'MASTER PLAN'!$J:$J,0,0)),"")</f>
        <v/>
      </c>
      <c r="AO43" s="73" t="str">
        <f t="array" ref="AO43">IFERROR(IF(XLOOKUP(CONCAT(AL43,AM43),'PROCESOS PRD'!$J:$J,'PROCESOS PRD'!$H:$H,0,0)=0,"",XLOOKUP(CONCAT(AL43,AM43),'PROCESOS PRD'!$J:$J,'PROCESOS PRD'!$H:$H,0,0)),"")</f>
        <v/>
      </c>
      <c r="AP43" s="71"/>
      <c r="AQ43" s="32"/>
      <c r="AR43" s="72" t="str">
        <f t="array" ref="AR43">IFERROR(IF(XLOOKUP(CONCAT(AP43,AQ43),'MASTER PLAN'!$AB:$AB,'MASTER PLAN'!$J:$J,0,0)=0,"",XLOOKUP(CONCAT(AP43,AQ43),'MASTER PLAN'!$AB:$AB,'MASTER PLAN'!$J:$J,0,0)),"")</f>
        <v/>
      </c>
      <c r="AS43" s="73" t="str">
        <f t="array" ref="AS43">IFERROR(IF(XLOOKUP(CONCAT(AP43,AQ43),'PROCESOS PRD'!$J:$J,'PROCESOS PRD'!$H:$H,0,0)=0,"",XLOOKUP(CONCAT(AP43,AQ43),'PROCESOS PRD'!$J:$J,'PROCESOS PRD'!$H:$H,0,0)),"")</f>
        <v/>
      </c>
      <c r="AT43" s="70"/>
      <c r="AU43" s="71"/>
      <c r="AV43" s="32"/>
      <c r="AW43" s="72" t="str">
        <f t="array" ref="AW43">IFERROR(IF(XLOOKUP(CONCAT(AU43,AV43),'MASTER PLAN'!$AB:$AB,'MASTER PLAN'!$J:$J,0,0)=0,"",XLOOKUP(CONCAT(AU43,AV43),'MASTER PLAN'!$AB:$AB,'MASTER PLAN'!$J:$J,0,0)),"")</f>
        <v/>
      </c>
      <c r="AX43" s="73" t="str">
        <f t="array" ref="AX43">IFERROR(IF(XLOOKUP(CONCAT(AU43,AV43),'PROCESOS PRD'!$J:$J,'PROCESOS PRD'!$H:$H,0,0)=0,"",XLOOKUP(CONCAT(AU43,AV43),'PROCESOS PRD'!$J:$J,'PROCESOS PRD'!$H:$H,0,0)),"")</f>
        <v/>
      </c>
      <c r="AY43" s="71"/>
      <c r="AZ43" s="32"/>
      <c r="BA43" s="72" t="str">
        <f t="array" ref="BA43">IFERROR(IF(XLOOKUP(CONCAT(AY43,AZ43),'MASTER PLAN'!$AB:$AB,'MASTER PLAN'!$J:$J,0,0)=0,"",XLOOKUP(CONCAT(AY43,AZ43),'MASTER PLAN'!$AB:$AB,'MASTER PLAN'!$J:$J,0,0)),"")</f>
        <v/>
      </c>
      <c r="BB43" s="73" t="str">
        <f t="array" ref="BB43">IFERROR(IF(XLOOKUP(CONCAT(AY43,AZ43),'PROCESOS PRD'!$J:$J,'PROCESOS PRD'!$H:$H,0,0)=0,"",XLOOKUP(CONCAT(AY43,AZ43),'PROCESOS PRD'!$J:$J,'PROCESOS PRD'!$H:$H,0,0)),"")</f>
        <v/>
      </c>
      <c r="BC43" s="71"/>
      <c r="BD43" s="32"/>
      <c r="BE43" s="72" t="str">
        <f t="array" ref="BE43">IFERROR(IF(XLOOKUP(CONCAT(BC43,BD43),'MASTER PLAN'!$AB:$AB,'MASTER PLAN'!$J:$J,0,0)=0,"",XLOOKUP(CONCAT(BC43,BD43),'MASTER PLAN'!$AB:$AB,'MASTER PLAN'!$J:$J,0,0)),"")</f>
        <v/>
      </c>
      <c r="BF43" s="73" t="str">
        <f t="array" ref="BF43">IFERROR(IF(XLOOKUP(CONCAT(BC43,BD43),'PROCESOS PRD'!$J:$J,'PROCESOS PRD'!$H:$H,0,0)=0,"",XLOOKUP(CONCAT(BC43,BD43),'PROCESOS PRD'!$J:$J,'PROCESOS PRD'!$H:$H,0,0)),"")</f>
        <v/>
      </c>
      <c r="BG43" s="71">
        <v>1.40204935E9</v>
      </c>
      <c r="BH43" s="32">
        <v>20.0</v>
      </c>
      <c r="BI43" s="72" t="str">
        <f t="array" ref="BI43">IFERROR(IF(XLOOKUP(CONCAT(BG43,BH43),'MASTER PLAN'!$AB:$AB,'MASTER PLAN'!$J:$J,0,0)=0,"",XLOOKUP(CONCAT(BG43,BH43),'MASTER PLAN'!$AB:$AB,'MASTER PLAN'!$J:$J,0,0)),"")</f>
        <v>BOLSA WSMJ MAYORS WOS 10"X6"X10" FA</v>
      </c>
      <c r="BJ43" s="73">
        <f t="array" ref="BJ43">IFERROR(IF(XLOOKUP(CONCAT(BG43,BH43),'PROCESOS PRD'!$J:$J,'PROCESOS PRD'!$H:$H,0,0)=0,"",XLOOKUP(CONCAT(BG43,BH43),'PROCESOS PRD'!$J:$J,'PROCESOS PRD'!$H:$H,0,0)),"")</f>
        <v>14400</v>
      </c>
      <c r="BK43" s="71"/>
      <c r="BL43" s="32"/>
      <c r="BM43" s="72" t="str">
        <f t="array" ref="BM43">IFERROR(IF(XLOOKUP(CONCAT(BK43,BL43),'MASTER PLAN'!$AB:$AB,'MASTER PLAN'!$J:$J,0,0)=0,"",XLOOKUP(CONCAT(BK43,BL43),'MASTER PLAN'!$AB:$AB,'MASTER PLAN'!$J:$J,0,0)),"")</f>
        <v/>
      </c>
      <c r="BN43" s="73" t="str">
        <f t="array" ref="BN43">IFERROR(IF(XLOOKUP(CONCAT(BK43,BL43),'PROCESOS PRD'!$J:$J,'PROCESOS PRD'!$H:$H,0,0)=0,"",XLOOKUP(CONCAT(BK43,BL43),'PROCESOS PRD'!$J:$J,'PROCESOS PRD'!$H:$H,0,0)),"")</f>
        <v/>
      </c>
      <c r="BO43" s="71"/>
      <c r="BP43" s="32"/>
      <c r="BQ43" s="72" t="str">
        <f t="array" ref="BQ43">IFERROR(IF(XLOOKUP(CONCAT(BO43,BP43),'MASTER PLAN'!$AB:$AB,'MASTER PLAN'!$J:$J,0,0)=0,"",XLOOKUP(CONCAT(BO43,BP43),'MASTER PLAN'!$AB:$AB,'MASTER PLAN'!$J:$J,0,0)),"")</f>
        <v/>
      </c>
      <c r="BR43" s="73" t="str">
        <f t="array" ref="BR43">IFERROR(IF(XLOOKUP(CONCAT(BO43,BP43),'PROCESOS PRD'!$J:$J,'PROCESOS PRD'!$H:$H,0,0)=0,"",XLOOKUP(CONCAT(BO43,BP43),'PROCESOS PRD'!$J:$J,'PROCESOS PRD'!$H:$H,0,0)),"")</f>
        <v/>
      </c>
      <c r="BS43" s="70"/>
      <c r="BT43" s="71">
        <v>1.402049351E9</v>
      </c>
      <c r="BU43" s="32">
        <v>20.0</v>
      </c>
      <c r="BV43" s="72" t="str">
        <f t="array" ref="BV43">IFERROR(IF(XLOOKUP(CONCAT(BT43,BU43),'MASTER PLAN'!$AB:$AB,'MASTER PLAN'!$J:$J,0,0)=0,"",XLOOKUP(CONCAT(BT43,BU43),'MASTER PLAN'!$AB:$AB,'MASTER PLAN'!$J:$J,0,0)),"")</f>
        <v>BOLSA WATERFALL JEWELERS 8"X4"X10"</v>
      </c>
      <c r="BW43" s="73">
        <f t="array" ref="BW43">IFERROR(IF(XLOOKUP(CONCAT(BT43,BU43),'PROCESOS PRD'!$J:$J,'PROCESOS PRD'!$H:$H,0,0)=0,"",XLOOKUP(CONCAT(BT43,BU43),'PROCESOS PRD'!$J:$J,'PROCESOS PRD'!$H:$H,0,0)),"")</f>
        <v>1200</v>
      </c>
      <c r="BX43" s="71">
        <v>1.402049475E9</v>
      </c>
      <c r="BY43" s="32">
        <v>10.0</v>
      </c>
      <c r="BZ43" s="72" t="str">
        <f t="array" ref="BZ43">IFERROR(IF(XLOOKUP(CONCAT(BX43,BY43),'MASTER PLAN'!$AB:$AB,'MASTER PLAN'!$J:$J,0,0)=0,"",XLOOKUP(CONCAT(BX43,BY43),'MASTER PLAN'!$AB:$AB,'MASTER PLAN'!$J:$J,0,0)),"")</f>
        <v>BOLSA ROTTERMOND 9-75"X4"X7"</v>
      </c>
      <c r="CA43" s="73">
        <f t="array" ref="CA43">IFERROR(IF(XLOOKUP(CONCAT(BX43,BY43),'PROCESOS PRD'!$J:$J,'PROCESOS PRD'!$H:$H,0,0)=0,"",XLOOKUP(CONCAT(BX43,BY43),'PROCESOS PRD'!$J:$J,'PROCESOS PRD'!$H:$H,0,0)),"")</f>
        <v>1800</v>
      </c>
      <c r="CB43" s="71"/>
      <c r="CC43" s="32"/>
      <c r="CD43" s="72" t="str">
        <f t="array" ref="CD43">IFERROR(IF(XLOOKUP(CONCAT(CB43,CC43),'MASTER PLAN'!$AB:$AB,'MASTER PLAN'!$J:$J,0,0)=0,"",XLOOKUP(CONCAT(CB43,CC43),'MASTER PLAN'!$AB:$AB,'MASTER PLAN'!$J:$J,0,0)),"")</f>
        <v/>
      </c>
      <c r="CE43" s="73" t="str">
        <f t="array" ref="CE43">IFERROR(IF(XLOOKUP(CONCAT(CB43,CC43),'PROCESOS PRD'!$J:$J,'PROCESOS PRD'!$H:$H,0,0)=0,"",XLOOKUP(CONCAT(CB43,CC43),'PROCESOS PRD'!$J:$J,'PROCESOS PRD'!$H:$H,0,0)),"")</f>
        <v/>
      </c>
      <c r="CF43" s="71"/>
      <c r="CG43" s="32"/>
      <c r="CH43" s="72" t="str">
        <f t="array" ref="CH43">IFERROR(IF(XLOOKUP(CONCAT(CF43,CG43),'MASTER PLAN'!$AB:$AB,'MASTER PLAN'!$J:$J,0,0)=0,"",XLOOKUP(CONCAT(CF43,CG43),'MASTER PLAN'!$AB:$AB,'MASTER PLAN'!$J:$J,0,0)),"")</f>
        <v/>
      </c>
      <c r="CI43" s="73" t="str">
        <f t="array" ref="CI43">IFERROR(IF(XLOOKUP(CONCAT(CF43,CG43),'PROCESOS PRD'!$J:$J,'PROCESOS PRD'!$H:$H,0,0)=0,"",XLOOKUP(CONCAT(CF43,CG43),'PROCESOS PRD'!$J:$J,'PROCESOS PRD'!$H:$H,0,0)),"")</f>
        <v/>
      </c>
      <c r="CJ43" s="71"/>
      <c r="CK43" s="32"/>
      <c r="CL43" s="72" t="str">
        <f t="array" ref="CL43">IFERROR(IF(XLOOKUP(CONCAT(CJ43,CK43),'MASTER PLAN'!$AB:$AB,'MASTER PLAN'!$J:$J,0,0)=0,"",XLOOKUP(CONCAT(CJ43,CK43),'MASTER PLAN'!$AB:$AB,'MASTER PLAN'!$J:$J,0,0)),"")</f>
        <v/>
      </c>
      <c r="CM43" s="73" t="str">
        <f t="array" ref="CM43">IFERROR(IF(XLOOKUP(CONCAT(CJ43,CK43),'PROCESOS PRD'!$J:$J,'PROCESOS PRD'!$H:$H,0,0)=0,"",XLOOKUP(CONCAT(CJ43,CK43),'PROCESOS PRD'!$J:$J,'PROCESOS PRD'!$H:$H,0,0)),"")</f>
        <v/>
      </c>
      <c r="CN43" s="71"/>
      <c r="CO43" s="32"/>
      <c r="CP43" s="72" t="str">
        <f t="array" ref="CP43">IFERROR(IF(XLOOKUP(CONCAT(CN43,CO43),'MASTER PLAN'!$AB:$AB,'MASTER PLAN'!$J:$J,0,0)=0,"",XLOOKUP(CONCAT(CN43,CO43),'MASTER PLAN'!$AB:$AB,'MASTER PLAN'!$J:$J,0,0)),"")</f>
        <v/>
      </c>
      <c r="CQ43" s="73" t="str">
        <f t="array" ref="CQ43">IFERROR(IF(XLOOKUP(CONCAT(CN43,CO43),'PROCESOS PRD'!$J:$J,'PROCESOS PRD'!$H:$H,0,0)=0,"",XLOOKUP(CONCAT(CN43,CO43),'PROCESOS PRD'!$J:$J,'PROCESOS PRD'!$H:$H,0,0)),"")</f>
        <v/>
      </c>
      <c r="CR43" s="70"/>
      <c r="CS43" s="71"/>
      <c r="CT43" s="32"/>
      <c r="CU43" s="72" t="str">
        <f t="array" ref="CU43">IFERROR(IF(XLOOKUP(CONCAT(CS43,CT43),'MASTER PLAN'!$AB:$AB,'MASTER PLAN'!$J:$J,0,0)=0,"",XLOOKUP(CONCAT(CS43,CT43),'MASTER PLAN'!$AB:$AB,'MASTER PLAN'!$J:$J,0,0)),"")</f>
        <v/>
      </c>
      <c r="CV43" s="73" t="str">
        <f t="array" ref="CV43">IFERROR(IF(XLOOKUP(CONCAT(CS43,CT43),'PROCESOS PRD'!$J:$J,'PROCESOS PRD'!$H:$H,0,0)=0,"",XLOOKUP(CONCAT(CS43,CT43),'PROCESOS PRD'!$J:$J,'PROCESOS PRD'!$H:$H,0,0)),"")</f>
        <v/>
      </c>
      <c r="CW43" s="71"/>
      <c r="CX43" s="32"/>
      <c r="CY43" s="72" t="str">
        <f t="array" ref="CY43">IFERROR(IF(XLOOKUP(CONCAT(CW43,CX43),'MASTER PLAN'!$AB:$AB,'MASTER PLAN'!$J:$J,0,0)=0,"",XLOOKUP(CONCAT(CW43,CX43),'MASTER PLAN'!$AB:$AB,'MASTER PLAN'!$J:$J,0,0)),"")</f>
        <v/>
      </c>
      <c r="CZ43" s="73" t="str">
        <f t="array" ref="CZ43">IFERROR(IF(XLOOKUP(CONCAT(CW43,CX43),'PROCESOS PRD'!$J:$J,'PROCESOS PRD'!$H:$H,0,0)=0,"",XLOOKUP(CONCAT(CW43,CX43),'PROCESOS PRD'!$J:$J,'PROCESOS PRD'!$H:$H,0,0)),"")</f>
        <v/>
      </c>
      <c r="DA43" s="71"/>
      <c r="DB43" s="32"/>
      <c r="DC43" s="72" t="str">
        <f t="array" ref="DC43">IFERROR(IF(XLOOKUP(CONCAT(DA43,DB43),'MASTER PLAN'!$AB:$AB,'MASTER PLAN'!$J:$J,0,0)=0,"",XLOOKUP(CONCAT(DA43,DB43),'MASTER PLAN'!$AB:$AB,'MASTER PLAN'!$J:$J,0,0)),"")</f>
        <v/>
      </c>
      <c r="DD43" s="73" t="str">
        <f t="array" ref="DD43">IFERROR(IF(XLOOKUP(CONCAT(DA43,DB43),'PROCESOS PRD'!$J:$J,'PROCESOS PRD'!$H:$H,0,0)=0,"",XLOOKUP(CONCAT(DA43,DB43),'PROCESOS PRD'!$J:$J,'PROCESOS PRD'!$H:$H,0,0)),"")</f>
        <v/>
      </c>
      <c r="DE43" s="71"/>
      <c r="DF43" s="32"/>
      <c r="DG43" s="72" t="str">
        <f t="array" ref="DG43">IFERROR(IF(XLOOKUP(CONCAT(DE43,DF43),'MASTER PLAN'!$AB:$AB,'MASTER PLAN'!$J:$J,0,0)=0,"",XLOOKUP(CONCAT(DE43,DF43),'MASTER PLAN'!$AB:$AB,'MASTER PLAN'!$J:$J,0,0)),"")</f>
        <v/>
      </c>
      <c r="DH43" s="73" t="str">
        <f t="array" ref="DH43">IFERROR(IF(XLOOKUP(CONCAT(DE43,DF43),'PROCESOS PRD'!$J:$J,'PROCESOS PRD'!$H:$H,0,0)=0,"",XLOOKUP(CONCAT(DE43,DF43),'PROCESOS PRD'!$J:$J,'PROCESOS PRD'!$H:$H,0,0)),"")</f>
        <v/>
      </c>
      <c r="DI43" s="71"/>
      <c r="DJ43" s="32"/>
      <c r="DK43" s="72" t="str">
        <f t="array" ref="DK43">IFERROR(IF(XLOOKUP(CONCAT(DI43,DJ43),'MASTER PLAN'!$AB:$AB,'MASTER PLAN'!$J:$J,0,0)=0,"",XLOOKUP(CONCAT(DI43,DJ43),'MASTER PLAN'!$AB:$AB,'MASTER PLAN'!$J:$J,0,0)),"")</f>
        <v/>
      </c>
      <c r="DL43" s="73" t="str">
        <f t="array" ref="DL43">IFERROR(IF(XLOOKUP(CONCAT(DI43,DJ43),'PROCESOS PRD'!$J:$J,'PROCESOS PRD'!$H:$H,0,0)=0,"",XLOOKUP(CONCAT(DI43,DJ43),'PROCESOS PRD'!$J:$J,'PROCESOS PRD'!$H:$H,0,0)),"")</f>
        <v/>
      </c>
      <c r="DM43" s="71"/>
      <c r="DN43" s="32"/>
      <c r="DO43" s="72" t="str">
        <f t="array" ref="DO43">IFERROR(IF(XLOOKUP(CONCAT(DM43,DN43),'MASTER PLAN'!$AB:$AB,'MASTER PLAN'!$J:$J,0,0)=0,"",XLOOKUP(CONCAT(DM43,DN43),'MASTER PLAN'!$AB:$AB,'MASTER PLAN'!$J:$J,0,0)),"")</f>
        <v/>
      </c>
      <c r="DP43" s="73" t="str">
        <f t="array" ref="DP43">IFERROR(IF(XLOOKUP(CONCAT(DM43,DN43),'PROCESOS PRD'!$J:$J,'PROCESOS PRD'!$H:$H,0,0)=0,"",XLOOKUP(CONCAT(DM43,DN43),'PROCESOS PRD'!$J:$J,'PROCESOS PRD'!$H:$H,0,0)),"")</f>
        <v/>
      </c>
      <c r="DQ43" s="70"/>
      <c r="DR43" s="71"/>
      <c r="DS43" s="32"/>
      <c r="DT43" s="72" t="str">
        <f t="array" ref="DT43">IFERROR(IF(XLOOKUP(CONCAT(DR43,DS43),'MASTER PLAN'!$AB:$AB,'MASTER PLAN'!$J:$J,0,0)=0,"",XLOOKUP(CONCAT(DR43,DS43),'MASTER PLAN'!$AB:$AB,'MASTER PLAN'!$J:$J,0,0)),"")</f>
        <v/>
      </c>
      <c r="DU43" s="73" t="str">
        <f t="array" ref="DU43">IFERROR(IF(XLOOKUP(CONCAT(DR43,DS43),'PROCESOS PRD'!$J:$J,'PROCESOS PRD'!$H:$H,0,0)=0,"",XLOOKUP(CONCAT(DR43,DS43),'PROCESOS PRD'!$J:$J,'PROCESOS PRD'!$H:$H,0,0)),"")</f>
        <v/>
      </c>
      <c r="DV43" s="71"/>
      <c r="DW43" s="32"/>
      <c r="DX43" s="72" t="str">
        <f t="array" ref="DX43">IFERROR(IF(XLOOKUP(CONCAT(DV43,DW43),'MASTER PLAN'!$AB:$AB,'MASTER PLAN'!$J:$J,0,0)=0,"",XLOOKUP(CONCAT(DV43,DW43),'MASTER PLAN'!$AB:$AB,'MASTER PLAN'!$J:$J,0,0)),"")</f>
        <v/>
      </c>
      <c r="DY43" s="73" t="str">
        <f t="array" ref="DY43">IFERROR(IF(XLOOKUP(CONCAT(DV43,DW43),'PROCESOS PRD'!$J:$J,'PROCESOS PRD'!$H:$H,0,0)=0,"",XLOOKUP(CONCAT(DV43,DW43),'PROCESOS PRD'!$J:$J,'PROCESOS PRD'!$H:$H,0,0)),"")</f>
        <v/>
      </c>
      <c r="DZ43" s="71"/>
      <c r="EA43" s="32"/>
      <c r="EB43" s="72" t="str">
        <f t="array" ref="EB43">IFERROR(IF(XLOOKUP(CONCAT(DZ43,EA43),'MASTER PLAN'!$AB:$AB,'MASTER PLAN'!$J:$J,0,0)=0,"",XLOOKUP(CONCAT(DZ43,EA43),'MASTER PLAN'!$AB:$AB,'MASTER PLAN'!$J:$J,0,0)),"")</f>
        <v/>
      </c>
      <c r="EC43" s="73" t="str">
        <f t="array" ref="EC43">IFERROR(IF(XLOOKUP(CONCAT(DZ43,EA43),'PROCESOS PRD'!$J:$J,'PROCESOS PRD'!$H:$H,0,0)=0,"",XLOOKUP(CONCAT(DZ43,EA43),'PROCESOS PRD'!$J:$J,'PROCESOS PRD'!$H:$H,0,0)),"")</f>
        <v/>
      </c>
      <c r="ED43" s="71"/>
      <c r="EE43" s="32"/>
      <c r="EF43" s="72" t="str">
        <f t="array" ref="EF43">IFERROR(IF(XLOOKUP(CONCAT(ED43,EE43),'MASTER PLAN'!$AB:$AB,'MASTER PLAN'!$J:$J,0,0)=0,"",XLOOKUP(CONCAT(ED43,EE43),'MASTER PLAN'!$AB:$AB,'MASTER PLAN'!$J:$J,0,0)),"")</f>
        <v/>
      </c>
      <c r="EG43" s="73" t="str">
        <f t="array" ref="EG43">IFERROR(IF(XLOOKUP(CONCAT(ED43,EE43),'PROCESOS PRD'!$J:$J,'PROCESOS PRD'!$H:$H,0,0)=0,"",XLOOKUP(CONCAT(ED43,EE43),'PROCESOS PRD'!$J:$J,'PROCESOS PRD'!$H:$H,0,0)),"")</f>
        <v/>
      </c>
      <c r="EH43" s="71"/>
      <c r="EI43" s="32"/>
      <c r="EJ43" s="72" t="str">
        <f t="array" ref="EJ43">IFERROR(IF(XLOOKUP(CONCAT(EH43,EI43),'MASTER PLAN'!$AB:$AB,'MASTER PLAN'!$J:$J,0,0)=0,"",XLOOKUP(CONCAT(EH43,EI43),'MASTER PLAN'!$AB:$AB,'MASTER PLAN'!$J:$J,0,0)),"")</f>
        <v/>
      </c>
      <c r="EK43" s="73" t="str">
        <f t="array" ref="EK43">IFERROR(IF(XLOOKUP(CONCAT(EH43,EI43),'PROCESOS PRD'!$J:$J,'PROCESOS PRD'!$H:$H,0,0)=0,"",XLOOKUP(CONCAT(EH43,EI43),'PROCESOS PRD'!$J:$J,'PROCESOS PRD'!$H:$H,0,0)),"")</f>
        <v/>
      </c>
      <c r="EL43" s="71"/>
      <c r="EM43" s="32"/>
      <c r="EN43" s="72" t="str">
        <f t="array" ref="EN43">IFERROR(IF(XLOOKUP(CONCAT(EL43,EM43),'MASTER PLAN'!$AB:$AB,'MASTER PLAN'!$J:$J,0,0)=0,"",XLOOKUP(CONCAT(EL43,EM43),'MASTER PLAN'!$AB:$AB,'MASTER PLAN'!$J:$J,0,0)),"")</f>
        <v/>
      </c>
      <c r="EO43" s="73" t="str">
        <f t="array" ref="EO43">IFERROR(IF(XLOOKUP(CONCAT(EL43,EM43),'PROCESOS PRD'!$J:$J,'PROCESOS PRD'!$H:$H,0,0)=0,"",XLOOKUP(CONCAT(EL43,EM43),'PROCESOS PRD'!$J:$J,'PROCESOS PRD'!$H:$H,0,0)),"")</f>
        <v/>
      </c>
      <c r="EP43" s="70"/>
      <c r="EQ43" s="71"/>
      <c r="ER43" s="32"/>
      <c r="ES43" s="72" t="str">
        <f t="array" ref="ES43">IFERROR(IF(XLOOKUP(CONCAT(EQ43,ER43),'MASTER PLAN'!$AB:$AB,'MASTER PLAN'!$J:$J,0,0)=0,"",XLOOKUP(CONCAT(EQ43,ER43),'MASTER PLAN'!$AB:$AB,'MASTER PLAN'!$J:$J,0,0)),"")</f>
        <v/>
      </c>
      <c r="ET43" s="73" t="str">
        <f t="array" ref="ET43">IFERROR(IF(XLOOKUP(CONCAT(EQ43,ER43),'PROCESOS PRD'!$J:$J,'PROCESOS PRD'!$H:$H,0,0)=0,"",XLOOKUP(CONCAT(EQ43,ER43),'PROCESOS PRD'!$J:$J,'PROCESOS PRD'!$H:$H,0,0)),"")</f>
        <v/>
      </c>
      <c r="EU43" s="71"/>
      <c r="EV43" s="32"/>
      <c r="EW43" s="72" t="str">
        <f t="array" ref="EW43">IFERROR(IF(XLOOKUP(CONCAT(EU43,EV43),'MASTER PLAN'!$AB:$AB,'MASTER PLAN'!$J:$J,0,0)=0,"",XLOOKUP(CONCAT(EU43,EV43),'MASTER PLAN'!$AB:$AB,'MASTER PLAN'!$J:$J,0,0)),"")</f>
        <v/>
      </c>
      <c r="EX43" s="73" t="str">
        <f t="array" ref="EX43">IFERROR(IF(XLOOKUP(CONCAT(EU43,EV43),'PROCESOS PRD'!$J:$J,'PROCESOS PRD'!$H:$H,0,0)=0,"",XLOOKUP(CONCAT(EU43,EV43),'PROCESOS PRD'!$J:$J,'PROCESOS PRD'!$H:$H,0,0)),"")</f>
        <v/>
      </c>
      <c r="EY43" s="71"/>
      <c r="EZ43" s="32"/>
      <c r="FA43" s="72" t="str">
        <f t="array" ref="FA43">IFERROR(IF(XLOOKUP(CONCAT(EY43,EZ43),'MASTER PLAN'!$AB:$AB,'MASTER PLAN'!$J:$J,0,0)=0,"",XLOOKUP(CONCAT(EY43,EZ43),'MASTER PLAN'!$AB:$AB,'MASTER PLAN'!$J:$J,0,0)),"")</f>
        <v/>
      </c>
      <c r="FB43" s="73" t="str">
        <f t="array" ref="FB43">IFERROR(IF(XLOOKUP(CONCAT(EY43,EZ43),'PROCESOS PRD'!$J:$J,'PROCESOS PRD'!$H:$H,0,0)=0,"",XLOOKUP(CONCAT(EY43,EZ43),'PROCESOS PRD'!$J:$J,'PROCESOS PRD'!$H:$H,0,0)),"")</f>
        <v/>
      </c>
      <c r="FC43" s="71"/>
      <c r="FD43" s="32"/>
      <c r="FE43" s="72" t="str">
        <f t="array" ref="FE43">IFERROR(IF(XLOOKUP(CONCAT(FC43,FD43),'MASTER PLAN'!$AB:$AB,'MASTER PLAN'!$J:$J,0,0)=0,"",XLOOKUP(CONCAT(FC43,FD43),'MASTER PLAN'!$AB:$AB,'MASTER PLAN'!$J:$J,0,0)),"")</f>
        <v/>
      </c>
      <c r="FF43" s="73" t="str">
        <f t="array" ref="FF43">IFERROR(IF(XLOOKUP(CONCAT(FC43,FD43),'PROCESOS PRD'!$J:$J,'PROCESOS PRD'!$H:$H,0,0)=0,"",XLOOKUP(CONCAT(FC43,FD43),'PROCESOS PRD'!$J:$J,'PROCESOS PRD'!$H:$H,0,0)),"")</f>
        <v/>
      </c>
      <c r="FG43" s="71"/>
      <c r="FH43" s="32"/>
      <c r="FI43" s="72" t="str">
        <f t="array" ref="FI43">IFERROR(IF(XLOOKUP(CONCAT(FG43,FH43),'MASTER PLAN'!$AB:$AB,'MASTER PLAN'!$J:$J,0,0)=0,"",XLOOKUP(CONCAT(FG43,FH43),'MASTER PLAN'!$AB:$AB,'MASTER PLAN'!$J:$J,0,0)),"")</f>
        <v/>
      </c>
      <c r="FJ43" s="73" t="str">
        <f t="array" ref="FJ43">IFERROR(IF(XLOOKUP(CONCAT(FG43,FH43),'PROCESOS PRD'!$J:$J,'PROCESOS PRD'!$H:$H,0,0)=0,"",XLOOKUP(CONCAT(FG43,FH43),'PROCESOS PRD'!$J:$J,'PROCESOS PRD'!$H:$H,0,0)),"")</f>
        <v/>
      </c>
      <c r="FK43" s="71"/>
      <c r="FL43" s="32"/>
      <c r="FM43" s="72" t="str">
        <f t="array" ref="FM43">IFERROR(IF(XLOOKUP(CONCAT(FK43,FL43),'MASTER PLAN'!$AB:$AB,'MASTER PLAN'!$J:$J,0,0)=0,"",XLOOKUP(CONCAT(FK43,FL43),'MASTER PLAN'!$AB:$AB,'MASTER PLAN'!$J:$J,0,0)),"")</f>
        <v/>
      </c>
      <c r="FN43" s="73" t="str">
        <f t="array" ref="FN43">IFERROR(IF(XLOOKUP(CONCAT(FK43,FL43),'PROCESOS PRD'!$J:$J,'PROCESOS PRD'!$H:$H,0,0)=0,"",XLOOKUP(CONCAT(FK43,FL43),'PROCESOS PRD'!$J:$J,'PROCESOS PRD'!$H:$H,0,0)),"")</f>
        <v/>
      </c>
      <c r="FO43" s="70"/>
      <c r="FP43" s="71"/>
      <c r="FQ43" s="32"/>
      <c r="FR43" s="72" t="str">
        <f t="array" ref="FR43">IFERROR(IF(XLOOKUP(CONCAT(FP43,FQ43),'MASTER PLAN'!$AB:$AB,'MASTER PLAN'!$J:$J,0,0)=0,"",XLOOKUP(CONCAT(FP43,FQ43),'MASTER PLAN'!$AB:$AB,'MASTER PLAN'!$J:$J,0,0)),"")</f>
        <v/>
      </c>
      <c r="FS43" s="73" t="str">
        <f t="array" ref="FS43">IFERROR(IF(XLOOKUP(CONCAT(FP43,FQ43),'PROCESOS PRD'!$J:$J,'PROCESOS PRD'!$H:$H,0,0)=0,"",XLOOKUP(CONCAT(FP43,FQ43),'PROCESOS PRD'!$J:$J,'PROCESOS PRD'!$H:$H,0,0)),"")</f>
        <v/>
      </c>
      <c r="FT43" s="71"/>
      <c r="FU43" s="32"/>
      <c r="FV43" s="72" t="str">
        <f t="array" ref="FV43">IFERROR(IF(XLOOKUP(CONCAT(FT43,FU43),'MASTER PLAN'!$AB:$AB,'MASTER PLAN'!$J:$J,0,0)=0,"",XLOOKUP(CONCAT(FT43,FU43),'MASTER PLAN'!$AB:$AB,'MASTER PLAN'!$J:$J,0,0)),"")</f>
        <v/>
      </c>
      <c r="FW43" s="73" t="str">
        <f t="array" ref="FW43">IFERROR(IF(XLOOKUP(CONCAT(FT43,FU43),'PROCESOS PRD'!$J:$J,'PROCESOS PRD'!$H:$H,0,0)=0,"",XLOOKUP(CONCAT(FT43,FU43),'PROCESOS PRD'!$J:$J,'PROCESOS PRD'!$H:$H,0,0)),"")</f>
        <v/>
      </c>
      <c r="FX43" s="71"/>
      <c r="FY43" s="32"/>
      <c r="FZ43" s="72" t="str">
        <f t="array" ref="FZ43">IFERROR(IF(XLOOKUP(CONCAT(FX43,FY43),'MASTER PLAN'!$AB:$AB,'MASTER PLAN'!$J:$J,0,0)=0,"",XLOOKUP(CONCAT(FX43,FY43),'MASTER PLAN'!$AB:$AB,'MASTER PLAN'!$J:$J,0,0)),"")</f>
        <v/>
      </c>
      <c r="GA43" s="73" t="str">
        <f t="array" ref="GA43">IFERROR(IF(XLOOKUP(CONCAT(FX43,FY43),'PROCESOS PRD'!$J:$J,'PROCESOS PRD'!$H:$H,0,0)=0,"",XLOOKUP(CONCAT(FX43,FY43),'PROCESOS PRD'!$J:$J,'PROCESOS PRD'!$H:$H,0,0)),"")</f>
        <v/>
      </c>
      <c r="GB43" s="71"/>
      <c r="GC43" s="32"/>
      <c r="GD43" s="72" t="str">
        <f t="array" ref="GD43">IFERROR(IF(XLOOKUP(CONCAT(GB43,GC43),'MASTER PLAN'!$AB:$AB,'MASTER PLAN'!$J:$J,0,0)=0,"",XLOOKUP(CONCAT(GB43,GC43),'MASTER PLAN'!$AB:$AB,'MASTER PLAN'!$J:$J,0,0)),"")</f>
        <v/>
      </c>
      <c r="GE43" s="73" t="str">
        <f t="array" ref="GE43">IFERROR(IF(XLOOKUP(CONCAT(GB43,GC43),'PROCESOS PRD'!$J:$J,'PROCESOS PRD'!$H:$H,0,0)=0,"",XLOOKUP(CONCAT(GB43,GC43),'PROCESOS PRD'!$J:$J,'PROCESOS PRD'!$H:$H,0,0)),"")</f>
        <v/>
      </c>
      <c r="GF43" s="71"/>
      <c r="GG43" s="32"/>
      <c r="GH43" s="72" t="str">
        <f t="array" ref="GH43">IFERROR(IF(XLOOKUP(CONCAT(GF43,GG43),'MASTER PLAN'!$AB:$AB,'MASTER PLAN'!$J:$J,0,0)=0,"",XLOOKUP(CONCAT(GF43,GG43),'MASTER PLAN'!$AB:$AB,'MASTER PLAN'!$J:$J,0,0)),"")</f>
        <v/>
      </c>
      <c r="GI43" s="73" t="str">
        <f t="array" ref="GI43">IFERROR(IF(XLOOKUP(CONCAT(GF43,GG43),'PROCESOS PRD'!$J:$J,'PROCESOS PRD'!$H:$H,0,0)=0,"",XLOOKUP(CONCAT(GF43,GG43),'PROCESOS PRD'!$J:$J,'PROCESOS PRD'!$H:$H,0,0)),"")</f>
        <v/>
      </c>
      <c r="GJ43" s="71"/>
      <c r="GK43" s="32"/>
      <c r="GL43" s="72" t="str">
        <f t="array" ref="GL43">IFERROR(IF(XLOOKUP(CONCAT(GJ43,GK43),'MASTER PLAN'!$AB:$AB,'MASTER PLAN'!$J:$J,0,0)=0,"",XLOOKUP(CONCAT(GJ43,GK43),'MASTER PLAN'!$AB:$AB,'MASTER PLAN'!$J:$J,0,0)),"")</f>
        <v/>
      </c>
      <c r="GM43" s="73" t="str">
        <f t="array" ref="GM43">IFERROR(IF(XLOOKUP(CONCAT(GJ43,GK43),'PROCESOS PRD'!$J:$J,'PROCESOS PRD'!$H:$H,0,0)=0,"",XLOOKUP(CONCAT(GJ43,GK43),'PROCESOS PRD'!$J:$J,'PROCESOS PRD'!$H:$H,0,0)),"")</f>
        <v/>
      </c>
      <c r="GN43" s="70"/>
      <c r="GO43" s="71"/>
      <c r="GP43" s="32"/>
      <c r="GQ43" s="72" t="str">
        <f t="array" ref="GQ43">IFERROR(IF(XLOOKUP(CONCAT(GO43,GP43),'MASTER PLAN'!$AB:$AB,'MASTER PLAN'!$J:$J,0,0)=0,"",XLOOKUP(CONCAT(GO43,GP43),'MASTER PLAN'!$AB:$AB,'MASTER PLAN'!$J:$J,0,0)),"")</f>
        <v/>
      </c>
      <c r="GR43" s="73" t="str">
        <f t="array" ref="GR43">IFERROR(IF(XLOOKUP(CONCAT(GO43,GP43),'PROCESOS PRD'!$J:$J,'PROCESOS PRD'!$H:$H,0,0)=0,"",XLOOKUP(CONCAT(GO43,GP43),'PROCESOS PRD'!$J:$J,'PROCESOS PRD'!$H:$H,0,0)),"")</f>
        <v/>
      </c>
      <c r="GS43" s="71"/>
      <c r="GT43" s="32"/>
      <c r="GU43" s="72" t="str">
        <f t="array" ref="GU43">IFERROR(IF(XLOOKUP(CONCAT(GS43,GT43),'MASTER PLAN'!$AB:$AB,'MASTER PLAN'!$J:$J,0,0)=0,"",XLOOKUP(CONCAT(GS43,GT43),'MASTER PLAN'!$AB:$AB,'MASTER PLAN'!$J:$J,0,0)),"")</f>
        <v/>
      </c>
      <c r="GV43" s="73" t="str">
        <f t="array" ref="GV43">IFERROR(IF(XLOOKUP(CONCAT(GS43,GT43),'PROCESOS PRD'!$J:$J,'PROCESOS PRD'!$H:$H,0,0)=0,"",XLOOKUP(CONCAT(GS43,GT43),'PROCESOS PRD'!$J:$J,'PROCESOS PRD'!$H:$H,0,0)),"")</f>
        <v/>
      </c>
      <c r="GW43" s="71"/>
      <c r="GX43" s="32"/>
      <c r="GY43" s="72" t="str">
        <f t="array" ref="GY43">IFERROR(IF(XLOOKUP(CONCAT(GW43,GX43),'MASTER PLAN'!$AB:$AB,'MASTER PLAN'!$J:$J,0,0)=0,"",XLOOKUP(CONCAT(GW43,GX43),'MASTER PLAN'!$AB:$AB,'MASTER PLAN'!$J:$J,0,0)),"")</f>
        <v/>
      </c>
      <c r="GZ43" s="73" t="str">
        <f t="array" ref="GZ43">IFERROR(IF(XLOOKUP(CONCAT(GW43,GX43),'PROCESOS PRD'!$J:$J,'PROCESOS PRD'!$H:$H,0,0)=0,"",XLOOKUP(CONCAT(GW43,GX43),'PROCESOS PRD'!$J:$J,'PROCESOS PRD'!$H:$H,0,0)),"")</f>
        <v/>
      </c>
      <c r="HA43" s="71"/>
      <c r="HB43" s="32"/>
      <c r="HC43" s="72" t="str">
        <f t="array" ref="HC43">IFERROR(IF(XLOOKUP(CONCAT(HA43,HB43),'MASTER PLAN'!$AB:$AB,'MASTER PLAN'!$J:$J,0,0)=0,"",XLOOKUP(CONCAT(HA43,HB43),'MASTER PLAN'!$AB:$AB,'MASTER PLAN'!$J:$J,0,0)),"")</f>
        <v/>
      </c>
      <c r="HD43" s="73" t="str">
        <f t="array" ref="HD43">IFERROR(IF(XLOOKUP(CONCAT(HA43,HB43),'PROCESOS PRD'!$J:$J,'PROCESOS PRD'!$H:$H,0,0)=0,"",XLOOKUP(CONCAT(HA43,HB43),'PROCESOS PRD'!$J:$J,'PROCESOS PRD'!$H:$H,0,0)),"")</f>
        <v/>
      </c>
      <c r="HE43" s="71"/>
      <c r="HF43" s="32"/>
      <c r="HG43" s="72" t="str">
        <f t="array" ref="HG43">IFERROR(IF(XLOOKUP(CONCAT(HE43,HF43),'MASTER PLAN'!$AB:$AB,'MASTER PLAN'!$J:$J,0,0)=0,"",XLOOKUP(CONCAT(HE43,HF43),'MASTER PLAN'!$AB:$AB,'MASTER PLAN'!$J:$J,0,0)),"")</f>
        <v/>
      </c>
      <c r="HH43" s="73" t="str">
        <f t="array" ref="HH43">IFERROR(IF(XLOOKUP(CONCAT(HE43,HF43),'PROCESOS PRD'!$J:$J,'PROCESOS PRD'!$H:$H,0,0)=0,"",XLOOKUP(CONCAT(HE43,HF43),'PROCESOS PRD'!$J:$J,'PROCESOS PRD'!$H:$H,0,0)),"")</f>
        <v/>
      </c>
      <c r="HI43" s="71"/>
      <c r="HJ43" s="32"/>
      <c r="HK43" s="72" t="str">
        <f t="array" ref="HK43">IFERROR(IF(XLOOKUP(CONCAT(HI43,HJ43),'MASTER PLAN'!$AB:$AB,'MASTER PLAN'!$J:$J,0,0)=0,"",XLOOKUP(CONCAT(HI43,HJ43),'MASTER PLAN'!$AB:$AB,'MASTER PLAN'!$J:$J,0,0)),"")</f>
        <v/>
      </c>
      <c r="HL43" s="73" t="str">
        <f t="array" ref="HL43">IFERROR(IF(XLOOKUP(CONCAT(HI43,HJ43),'PROCESOS PRD'!$J:$J,'PROCESOS PRD'!$H:$H,0,0)=0,"",XLOOKUP(CONCAT(HI43,HJ43),'PROCESOS PRD'!$J:$J,'PROCESOS PRD'!$H:$H,0,0)),"")</f>
        <v/>
      </c>
      <c r="HM43" s="70"/>
      <c r="HN43" s="71"/>
      <c r="HO43" s="32"/>
      <c r="HP43" s="72" t="str">
        <f t="array" ref="HP43">IFERROR(IF(XLOOKUP(CONCAT(HN43,HO43),'MASTER PLAN'!$AB:$AB,'MASTER PLAN'!$J:$J,0,0)=0,"",XLOOKUP(CONCAT(HN43,HO43),'MASTER PLAN'!$AB:$AB,'MASTER PLAN'!$J:$J,0,0)),"")</f>
        <v/>
      </c>
      <c r="HQ43" s="73" t="str">
        <f t="array" ref="HQ43">IFERROR(IF(XLOOKUP(CONCAT(HN43,HO43),'PROCESOS PRD'!$J:$J,'PROCESOS PRD'!$H:$H,0,0)=0,"",XLOOKUP(CONCAT(HN43,HO43),'PROCESOS PRD'!$J:$J,'PROCESOS PRD'!$H:$H,0,0)),"")</f>
        <v/>
      </c>
      <c r="HR43" s="71"/>
      <c r="HS43" s="32"/>
      <c r="HT43" s="72" t="str">
        <f t="array" ref="HT43">IFERROR(IF(XLOOKUP(CONCAT(HR43,HS43),'MASTER PLAN'!$AB:$AB,'MASTER PLAN'!$J:$J,0,0)=0,"",XLOOKUP(CONCAT(HR43,HS43),'MASTER PLAN'!$AB:$AB,'MASTER PLAN'!$J:$J,0,0)),"")</f>
        <v/>
      </c>
      <c r="HU43" s="73" t="str">
        <f t="array" ref="HU43">IFERROR(IF(XLOOKUP(CONCAT(HR43,HS43),'PROCESOS PRD'!$J:$J,'PROCESOS PRD'!$H:$H,0,0)=0,"",XLOOKUP(CONCAT(HR43,HS43),'PROCESOS PRD'!$J:$J,'PROCESOS PRD'!$H:$H,0,0)),"")</f>
        <v/>
      </c>
      <c r="HV43" s="71"/>
      <c r="HW43" s="32"/>
      <c r="HX43" s="72" t="str">
        <f t="array" ref="HX43">IFERROR(IF(XLOOKUP(CONCAT(HV43,HW43),'MASTER PLAN'!$AB:$AB,'MASTER PLAN'!$J:$J,0,0)=0,"",XLOOKUP(CONCAT(HV43,HW43),'MASTER PLAN'!$AB:$AB,'MASTER PLAN'!$J:$J,0,0)),"")</f>
        <v/>
      </c>
      <c r="HY43" s="73" t="str">
        <f t="array" ref="HY43">IFERROR(IF(XLOOKUP(CONCAT(HV43,HW43),'PROCESOS PRD'!$J:$J,'PROCESOS PRD'!$H:$H,0,0)=0,"",XLOOKUP(CONCAT(HV43,HW43),'PROCESOS PRD'!$J:$J,'PROCESOS PRD'!$H:$H,0,0)),"")</f>
        <v/>
      </c>
      <c r="HZ43" s="71"/>
      <c r="IA43" s="32"/>
      <c r="IB43" s="72" t="str">
        <f t="array" ref="IB43">IFERROR(IF(XLOOKUP(CONCAT(HZ43,IA43),'MASTER PLAN'!$AB:$AB,'MASTER PLAN'!$J:$J,0,0)=0,"",XLOOKUP(CONCAT(HZ43,IA43),'MASTER PLAN'!$AB:$AB,'MASTER PLAN'!$J:$J,0,0)),"")</f>
        <v/>
      </c>
      <c r="IC43" s="73" t="str">
        <f t="array" ref="IC43">IFERROR(IF(XLOOKUP(CONCAT(HZ43,IA43),'PROCESOS PRD'!$J:$J,'PROCESOS PRD'!$H:$H,0,0)=0,"",XLOOKUP(CONCAT(HZ43,IA43),'PROCESOS PRD'!$J:$J,'PROCESOS PRD'!$H:$H,0,0)),"")</f>
        <v/>
      </c>
      <c r="ID43" s="71"/>
      <c r="IE43" s="32"/>
      <c r="IF43" s="72" t="str">
        <f t="array" ref="IF43">IFERROR(IF(XLOOKUP(CONCAT(ID43,IE43),'MASTER PLAN'!$AB:$AB,'MASTER PLAN'!$J:$J,0,0)=0,"",XLOOKUP(CONCAT(ID43,IE43),'MASTER PLAN'!$AB:$AB,'MASTER PLAN'!$J:$J,0,0)),"")</f>
        <v/>
      </c>
      <c r="IG43" s="73" t="str">
        <f t="array" ref="IG43">IFERROR(IF(XLOOKUP(CONCAT(ID43,IE43),'PROCESOS PRD'!$J:$J,'PROCESOS PRD'!$H:$H,0,0)=0,"",XLOOKUP(CONCAT(ID43,IE43),'PROCESOS PRD'!$J:$J,'PROCESOS PRD'!$H:$H,0,0)),"")</f>
        <v/>
      </c>
      <c r="IH43" s="71"/>
      <c r="II43" s="32"/>
      <c r="IJ43" s="72" t="str">
        <f t="array" ref="IJ43">IFERROR(IF(XLOOKUP(CONCAT(IH43,II43),'MASTER PLAN'!$AB:$AB,'MASTER PLAN'!$J:$J,0,0)=0,"",XLOOKUP(CONCAT(IH43,II43),'MASTER PLAN'!$AB:$AB,'MASTER PLAN'!$J:$J,0,0)),"")</f>
        <v/>
      </c>
      <c r="IK43" s="73" t="str">
        <f t="array" ref="IK43">IFERROR(IF(XLOOKUP(CONCAT(IH43,II43),'PROCESOS PRD'!$J:$J,'PROCESOS PRD'!$H:$H,0,0)=0,"",XLOOKUP(CONCAT(IH43,II43),'PROCESOS PRD'!$J:$J,'PROCESOS PRD'!$H:$H,0,0)),"")</f>
        <v/>
      </c>
      <c r="IL43" s="70"/>
      <c r="IM43" s="71"/>
      <c r="IN43" s="32"/>
      <c r="IO43" s="72" t="str">
        <f t="array" ref="IO43">IFERROR(IF(XLOOKUP(CONCAT(IM43,IN43),'MASTER PLAN'!$AB:$AB,'MASTER PLAN'!$J:$J,0,0)=0,"",XLOOKUP(CONCAT(IM43,IN43),'MASTER PLAN'!$AB:$AB,'MASTER PLAN'!$J:$J,0,0)),"")</f>
        <v/>
      </c>
      <c r="IP43" s="73" t="str">
        <f t="array" ref="IP43">IFERROR(IF(XLOOKUP(CONCAT(IM43,IN43),'PROCESOS PRD'!$J:$J,'PROCESOS PRD'!$H:$H,0,0)=0,"",XLOOKUP(CONCAT(IM43,IN43),'PROCESOS PRD'!$J:$J,'PROCESOS PRD'!$H:$H,0,0)),"")</f>
        <v/>
      </c>
      <c r="IQ43" s="71"/>
      <c r="IR43" s="32"/>
      <c r="IS43" s="72" t="str">
        <f t="array" ref="IS43">IFERROR(IF(XLOOKUP(CONCAT(IQ43,IR43),'MASTER PLAN'!$AB:$AB,'MASTER PLAN'!$J:$J,0,0)=0,"",XLOOKUP(CONCAT(IQ43,IR43),'MASTER PLAN'!$AB:$AB,'MASTER PLAN'!$J:$J,0,0)),"")</f>
        <v/>
      </c>
      <c r="IT43" s="73" t="str">
        <f t="array" ref="IT43">IFERROR(IF(XLOOKUP(CONCAT(IQ43,IR43),'PROCESOS PRD'!$J:$J,'PROCESOS PRD'!$H:$H,0,0)=0,"",XLOOKUP(CONCAT(IQ43,IR43),'PROCESOS PRD'!$J:$J,'PROCESOS PRD'!$H:$H,0,0)),"")</f>
        <v/>
      </c>
      <c r="IU43" s="71"/>
      <c r="IV43" s="32"/>
      <c r="IW43" s="72" t="str">
        <f t="array" ref="IW43">IFERROR(IF(XLOOKUP(CONCAT(IU43,IV43),'MASTER PLAN'!$AB:$AB,'MASTER PLAN'!$J:$J,0,0)=0,"",XLOOKUP(CONCAT(IU43,IV43),'MASTER PLAN'!$AB:$AB,'MASTER PLAN'!$J:$J,0,0)),"")</f>
        <v/>
      </c>
      <c r="IX43" s="73" t="str">
        <f t="array" ref="IX43">IFERROR(IF(XLOOKUP(CONCAT(IU43,IV43),'PROCESOS PRD'!$J:$J,'PROCESOS PRD'!$H:$H,0,0)=0,"",XLOOKUP(CONCAT(IU43,IV43),'PROCESOS PRD'!$J:$J,'PROCESOS PRD'!$H:$H,0,0)),"")</f>
        <v/>
      </c>
      <c r="IY43" s="71"/>
      <c r="IZ43" s="32"/>
      <c r="JA43" s="72" t="str">
        <f t="array" ref="JA43">IFERROR(IF(XLOOKUP(CONCAT(IY43,IZ43),'MASTER PLAN'!$AB:$AB,'MASTER PLAN'!$J:$J,0,0)=0,"",XLOOKUP(CONCAT(IY43,IZ43),'MASTER PLAN'!$AB:$AB,'MASTER PLAN'!$J:$J,0,0)),"")</f>
        <v/>
      </c>
      <c r="JB43" s="73" t="str">
        <f t="array" ref="JB43">IFERROR(IF(XLOOKUP(CONCAT(IY43,IZ43),'PROCESOS PRD'!$J:$J,'PROCESOS PRD'!$H:$H,0,0)=0,"",XLOOKUP(CONCAT(IY43,IZ43),'PROCESOS PRD'!$J:$J,'PROCESOS PRD'!$H:$H,0,0)),"")</f>
        <v/>
      </c>
      <c r="JC43" s="71"/>
      <c r="JD43" s="32"/>
      <c r="JE43" s="72" t="str">
        <f t="array" ref="JE43">IFERROR(IF(XLOOKUP(CONCAT(JC43,JD43),'MASTER PLAN'!$AB:$AB,'MASTER PLAN'!$J:$J,0,0)=0,"",XLOOKUP(CONCAT(JC43,JD43),'MASTER PLAN'!$AB:$AB,'MASTER PLAN'!$J:$J,0,0)),"")</f>
        <v/>
      </c>
      <c r="JF43" s="73" t="str">
        <f t="array" ref="JF43">IFERROR(IF(XLOOKUP(CONCAT(JC43,JD43),'PROCESOS PRD'!$J:$J,'PROCESOS PRD'!$H:$H,0,0)=0,"",XLOOKUP(CONCAT(JC43,JD43),'PROCESOS PRD'!$J:$J,'PROCESOS PRD'!$H:$H,0,0)),"")</f>
        <v/>
      </c>
      <c r="JG43" s="71"/>
      <c r="JH43" s="32"/>
      <c r="JI43" s="72" t="str">
        <f t="array" ref="JI43">IFERROR(IF(XLOOKUP(CONCAT(JG43,JH43),'MASTER PLAN'!$AB:$AB,'MASTER PLAN'!$J:$J,0,0)=0,"",XLOOKUP(CONCAT(JG43,JH43),'MASTER PLAN'!$AB:$AB,'MASTER PLAN'!$J:$J,0,0)),"")</f>
        <v/>
      </c>
      <c r="JJ43" s="73" t="str">
        <f t="array" ref="JJ43">IFERROR(IF(XLOOKUP(CONCAT(JG43,JH43),'PROCESOS PRD'!$J:$J,'PROCESOS PRD'!$H:$H,0,0)=0,"",XLOOKUP(CONCAT(JG43,JH43),'PROCESOS PRD'!$J:$J,'PROCESOS PRD'!$H:$H,0,0)),"")</f>
        <v/>
      </c>
      <c r="JK43" s="70"/>
      <c r="JL43" s="71"/>
      <c r="JM43" s="32"/>
      <c r="JN43" s="72" t="str">
        <f t="array" ref="JN43">IFERROR(IF(XLOOKUP(CONCAT(JL43,JM43),'MASTER PLAN'!$AB:$AB,'MASTER PLAN'!$J:$J,0,0)=0,"",XLOOKUP(CONCAT(JL43,JM43),'MASTER PLAN'!$AB:$AB,'MASTER PLAN'!$J:$J,0,0)),"")</f>
        <v/>
      </c>
      <c r="JO43" s="73" t="str">
        <f t="array" ref="JO43">IFERROR(IF(XLOOKUP(CONCAT(JL43,JM43),'PROCESOS PRD'!$J:$J,'PROCESOS PRD'!$H:$H,0,0)=0,"",XLOOKUP(CONCAT(JL43,JM43),'PROCESOS PRD'!$J:$J,'PROCESOS PRD'!$H:$H,0,0)),"")</f>
        <v/>
      </c>
      <c r="JP43" s="71"/>
      <c r="JQ43" s="32"/>
      <c r="JR43" s="72" t="str">
        <f t="array" ref="JR43">IFERROR(IF(XLOOKUP(CONCAT(JP43,JQ43),'MASTER PLAN'!$AB:$AB,'MASTER PLAN'!$J:$J,0,0)=0,"",XLOOKUP(CONCAT(JP43,JQ43),'MASTER PLAN'!$AB:$AB,'MASTER PLAN'!$J:$J,0,0)),"")</f>
        <v/>
      </c>
      <c r="JS43" s="73" t="str">
        <f t="array" ref="JS43">IFERROR(IF(XLOOKUP(CONCAT(JP43,JQ43),'PROCESOS PRD'!$J:$J,'PROCESOS PRD'!$H:$H,0,0)=0,"",XLOOKUP(CONCAT(JP43,JQ43),'PROCESOS PRD'!$J:$J,'PROCESOS PRD'!$H:$H,0,0)),"")</f>
        <v/>
      </c>
      <c r="JT43" s="71"/>
      <c r="JU43" s="32"/>
      <c r="JV43" s="72" t="str">
        <f t="array" ref="JV43">IFERROR(IF(XLOOKUP(CONCAT(JT43,JU43),'MASTER PLAN'!$AB:$AB,'MASTER PLAN'!$J:$J,0,0)=0,"",XLOOKUP(CONCAT(JT43,JU43),'MASTER PLAN'!$AB:$AB,'MASTER PLAN'!$J:$J,0,0)),"")</f>
        <v/>
      </c>
      <c r="JW43" s="73" t="str">
        <f t="array" ref="JW43">IFERROR(IF(XLOOKUP(CONCAT(JT43,JU43),'PROCESOS PRD'!$J:$J,'PROCESOS PRD'!$H:$H,0,0)=0,"",XLOOKUP(CONCAT(JT43,JU43),'PROCESOS PRD'!$J:$J,'PROCESOS PRD'!$H:$H,0,0)),"")</f>
        <v/>
      </c>
      <c r="JX43" s="71"/>
      <c r="JY43" s="32"/>
      <c r="JZ43" s="72" t="str">
        <f t="array" ref="JZ43">IFERROR(IF(XLOOKUP(CONCAT(JX43,JY43),'MASTER PLAN'!$AB:$AB,'MASTER PLAN'!$J:$J,0,0)=0,"",XLOOKUP(CONCAT(JX43,JY43),'MASTER PLAN'!$AB:$AB,'MASTER PLAN'!$J:$J,0,0)),"")</f>
        <v/>
      </c>
      <c r="KA43" s="73" t="str">
        <f t="array" ref="KA43">IFERROR(IF(XLOOKUP(CONCAT(JX43,JY43),'PROCESOS PRD'!$J:$J,'PROCESOS PRD'!$H:$H,0,0)=0,"",XLOOKUP(CONCAT(JX43,JY43),'PROCESOS PRD'!$J:$J,'PROCESOS PRD'!$H:$H,0,0)),"")</f>
        <v/>
      </c>
      <c r="KB43" s="71"/>
      <c r="KC43" s="32"/>
      <c r="KD43" s="72" t="str">
        <f t="array" ref="KD43">IFERROR(IF(XLOOKUP(CONCAT(KB43,KC43),'MASTER PLAN'!$AB:$AB,'MASTER PLAN'!$J:$J,0,0)=0,"",XLOOKUP(CONCAT(KB43,KC43),'MASTER PLAN'!$AB:$AB,'MASTER PLAN'!$J:$J,0,0)),"")</f>
        <v/>
      </c>
      <c r="KE43" s="73" t="str">
        <f t="array" ref="KE43">IFERROR(IF(XLOOKUP(CONCAT(KB43,KC43),'PROCESOS PRD'!$J:$J,'PROCESOS PRD'!$H:$H,0,0)=0,"",XLOOKUP(CONCAT(KB43,KC43),'PROCESOS PRD'!$J:$J,'PROCESOS PRD'!$H:$H,0,0)),"")</f>
        <v/>
      </c>
      <c r="KF43" s="71"/>
      <c r="KG43" s="32"/>
      <c r="KH43" s="72" t="str">
        <f t="array" ref="KH43">IFERROR(IF(XLOOKUP(CONCAT(KF43,KG43),'MASTER PLAN'!$AB:$AB,'MASTER PLAN'!$J:$J,0,0)=0,"",XLOOKUP(CONCAT(KF43,KG43),'MASTER PLAN'!$AB:$AB,'MASTER PLAN'!$J:$J,0,0)),"")</f>
        <v/>
      </c>
      <c r="KI43" s="73" t="str">
        <f t="array" ref="KI43">IFERROR(IF(XLOOKUP(CONCAT(KF43,KG43),'PROCESOS PRD'!$J:$J,'PROCESOS PRD'!$H:$H,0,0)=0,"",XLOOKUP(CONCAT(KF43,KG43),'PROCESOS PRD'!$J:$J,'PROCESOS PRD'!$H:$H,0,0)),"")</f>
        <v/>
      </c>
      <c r="KJ43" s="70"/>
      <c r="KK43" s="70"/>
      <c r="KL43" s="70"/>
      <c r="KM43" s="70"/>
      <c r="KN43" s="70"/>
      <c r="KO43" s="70"/>
      <c r="KP43" s="70"/>
      <c r="KQ43" s="70"/>
      <c r="KR43" s="70"/>
      <c r="KS43" s="70"/>
      <c r="KT43" s="70"/>
      <c r="KU43" s="70"/>
      <c r="KV43" s="70"/>
      <c r="KW43" s="70"/>
      <c r="KX43" s="70"/>
      <c r="KY43" s="70"/>
      <c r="KZ43" s="70"/>
      <c r="LA43" s="70"/>
      <c r="LB43" s="70"/>
      <c r="LC43" s="70"/>
    </row>
    <row r="44" ht="15.75" customHeight="1">
      <c r="A44" s="42"/>
      <c r="B44" s="74"/>
      <c r="C44" s="69"/>
      <c r="D44" s="70"/>
      <c r="E44" s="71"/>
      <c r="F44" s="32"/>
      <c r="G44" s="72" t="str">
        <f t="array" ref="G44">IFERROR(IF(XLOOKUP(CONCAT(E44,F44),'MASTER PLAN'!$AB:$AB,'MASTER PLAN'!$J:$J,0,0)=0,"",XLOOKUP(CONCAT(E44,F44),'MASTER PLAN'!$AB:$AB,'MASTER PLAN'!$J:$J,0,0)),"")</f>
        <v/>
      </c>
      <c r="H44" s="73" t="str">
        <f t="array" ref="H44">IFERROR(IF(XLOOKUP(CONCAT(E44,F44),'PROCESOS PRD'!$J:$J,'PROCESOS PRD'!$H:$H,0,0)=0,"",XLOOKUP(CONCAT(E44,F44),'PROCESOS PRD'!$J:$J,'PROCESOS PRD'!$H:$H,0,0)),"")</f>
        <v/>
      </c>
      <c r="I44" s="71"/>
      <c r="J44" s="32"/>
      <c r="K44" s="72" t="str">
        <f t="array" ref="K44">IFERROR(IF(XLOOKUP(CONCAT(I44,J44),'MASTER PLAN'!$AB:$AB,'MASTER PLAN'!$J:$J,0,0)=0,"",XLOOKUP(CONCAT(I44,J44),'MASTER PLAN'!$AB:$AB,'MASTER PLAN'!$J:$J,0,0)),"")</f>
        <v/>
      </c>
      <c r="L44" s="73" t="str">
        <f t="array" ref="L44">IFERROR(IF(XLOOKUP(CONCAT(I44,J44),'PROCESOS PRD'!$J:$J,'PROCESOS PRD'!$H:$H,0,0)=0,"",XLOOKUP(CONCAT(I44,J44),'PROCESOS PRD'!$J:$J,'PROCESOS PRD'!$H:$H,0,0)),"")</f>
        <v/>
      </c>
      <c r="M44" s="71"/>
      <c r="N44" s="32"/>
      <c r="O44" s="72" t="str">
        <f t="array" ref="O44">IFERROR(IF(XLOOKUP(CONCAT(M44,N44),'MASTER PLAN'!$AB:$AB,'MASTER PLAN'!$J:$J,0,0)=0,"",XLOOKUP(CONCAT(M44,N44),'MASTER PLAN'!$AB:$AB,'MASTER PLAN'!$J:$J,0,0)),"")</f>
        <v/>
      </c>
      <c r="P44" s="73" t="str">
        <f t="array" ref="P44">IFERROR(IF(XLOOKUP(CONCAT(M44,N44),'PROCESOS PRD'!$J:$J,'PROCESOS PRD'!$H:$H,0,0)=0,"",XLOOKUP(CONCAT(M44,N44),'PROCESOS PRD'!$J:$J,'PROCESOS PRD'!$H:$H,0,0)),"")</f>
        <v/>
      </c>
      <c r="Q44" s="71"/>
      <c r="R44" s="32"/>
      <c r="S44" s="72" t="str">
        <f t="array" ref="S44">IFERROR(IF(XLOOKUP(CONCAT(Q44,R44),'MASTER PLAN'!$AB:$AB,'MASTER PLAN'!$J:$J,0,0)=0,"",XLOOKUP(CONCAT(Q44,R44),'MASTER PLAN'!$AB:$AB,'MASTER PLAN'!$J:$J,0,0)),"")</f>
        <v/>
      </c>
      <c r="T44" s="73" t="str">
        <f t="array" ref="T44">IFERROR(IF(XLOOKUP(CONCAT(Q44,R44),'PROCESOS PRD'!$J:$J,'PROCESOS PRD'!$H:$H,0,0)=0,"",XLOOKUP(CONCAT(Q44,R44),'PROCESOS PRD'!$J:$J,'PROCESOS PRD'!$H:$H,0,0)),"")</f>
        <v/>
      </c>
      <c r="U44" s="70"/>
      <c r="V44" s="71"/>
      <c r="W44" s="32"/>
      <c r="X44" s="72" t="str">
        <f t="array" ref="X44">IFERROR(IF(XLOOKUP(CONCAT(V44,W44),'MASTER PLAN'!$AB:$AB,'MASTER PLAN'!$J:$J,0,0)=0,"",XLOOKUP(CONCAT(V44,W44),'MASTER PLAN'!$AB:$AB,'MASTER PLAN'!$J:$J,0,0)),"")</f>
        <v/>
      </c>
      <c r="Y44" s="73" t="str">
        <f t="array" ref="Y44">IFERROR(IF(XLOOKUP(CONCAT(V44,W44),'PROCESOS PRD'!$J:$J,'PROCESOS PRD'!$H:$H,0,0)=0,"",XLOOKUP(CONCAT(V44,W44),'PROCESOS PRD'!$J:$J,'PROCESOS PRD'!$H:$H,0,0)),"")</f>
        <v/>
      </c>
      <c r="Z44" s="71"/>
      <c r="AA44" s="32"/>
      <c r="AB44" s="72" t="str">
        <f t="array" ref="AB44">IFERROR(IF(XLOOKUP(CONCAT(Z44,AA44),'MASTER PLAN'!$AB:$AB,'MASTER PLAN'!$J:$J,0,0)=0,"",XLOOKUP(CONCAT(Z44,AA44),'MASTER PLAN'!$AB:$AB,'MASTER PLAN'!$J:$J,0,0)),"")</f>
        <v/>
      </c>
      <c r="AC44" s="73" t="str">
        <f t="array" ref="AC44">IFERROR(IF(XLOOKUP(CONCAT(Z44,AA44),'PROCESOS PRD'!$J:$J,'PROCESOS PRD'!$H:$H,0,0)=0,"",XLOOKUP(CONCAT(Z44,AA44),'PROCESOS PRD'!$J:$J,'PROCESOS PRD'!$H:$H,0,0)),"")</f>
        <v/>
      </c>
      <c r="AD44" s="71"/>
      <c r="AE44" s="32"/>
      <c r="AF44" s="72" t="str">
        <f t="array" ref="AF44">IFERROR(IF(XLOOKUP(CONCAT(AD44,AE44),'MASTER PLAN'!$AB:$AB,'MASTER PLAN'!$J:$J,0,0)=0,"",XLOOKUP(CONCAT(AD44,AE44),'MASTER PLAN'!$AB:$AB,'MASTER PLAN'!$J:$J,0,0)),"")</f>
        <v/>
      </c>
      <c r="AG44" s="73" t="str">
        <f t="array" ref="AG44">IFERROR(IF(XLOOKUP(CONCAT(AD44,AE44),'PROCESOS PRD'!$J:$J,'PROCESOS PRD'!$H:$H,0,0)=0,"",XLOOKUP(CONCAT(AD44,AE44),'PROCESOS PRD'!$J:$J,'PROCESOS PRD'!$H:$H,0,0)),"")</f>
        <v/>
      </c>
      <c r="AH44" s="71"/>
      <c r="AI44" s="32"/>
      <c r="AJ44" s="72" t="str">
        <f t="array" ref="AJ44">IFERROR(IF(XLOOKUP(CONCAT(AH44,AI44),'MASTER PLAN'!$AB:$AB,'MASTER PLAN'!$J:$J,0,0)=0,"",XLOOKUP(CONCAT(AH44,AI44),'MASTER PLAN'!$AB:$AB,'MASTER PLAN'!$J:$J,0,0)),"")</f>
        <v/>
      </c>
      <c r="AK44" s="73" t="str">
        <f t="array" ref="AK44">IFERROR(IF(XLOOKUP(CONCAT(AH44,AI44),'PROCESOS PRD'!$J:$J,'PROCESOS PRD'!$H:$H,0,0)=0,"",XLOOKUP(CONCAT(AH44,AI44),'PROCESOS PRD'!$J:$J,'PROCESOS PRD'!$H:$H,0,0)),"")</f>
        <v/>
      </c>
      <c r="AL44" s="71"/>
      <c r="AM44" s="32"/>
      <c r="AN44" s="72" t="str">
        <f t="array" ref="AN44">IFERROR(IF(XLOOKUP(CONCAT(AL44,AM44),'MASTER PLAN'!$AB:$AB,'MASTER PLAN'!$J:$J,0,0)=0,"",XLOOKUP(CONCAT(AL44,AM44),'MASTER PLAN'!$AB:$AB,'MASTER PLAN'!$J:$J,0,0)),"")</f>
        <v/>
      </c>
      <c r="AO44" s="73" t="str">
        <f t="array" ref="AO44">IFERROR(IF(XLOOKUP(CONCAT(AL44,AM44),'PROCESOS PRD'!$J:$J,'PROCESOS PRD'!$H:$H,0,0)=0,"",XLOOKUP(CONCAT(AL44,AM44),'PROCESOS PRD'!$J:$J,'PROCESOS PRD'!$H:$H,0,0)),"")</f>
        <v/>
      </c>
      <c r="AP44" s="71"/>
      <c r="AQ44" s="32"/>
      <c r="AR44" s="72" t="str">
        <f t="array" ref="AR44">IFERROR(IF(XLOOKUP(CONCAT(AP44,AQ44),'MASTER PLAN'!$AB:$AB,'MASTER PLAN'!$J:$J,0,0)=0,"",XLOOKUP(CONCAT(AP44,AQ44),'MASTER PLAN'!$AB:$AB,'MASTER PLAN'!$J:$J,0,0)),"")</f>
        <v/>
      </c>
      <c r="AS44" s="73" t="str">
        <f t="array" ref="AS44">IFERROR(IF(XLOOKUP(CONCAT(AP44,AQ44),'PROCESOS PRD'!$J:$J,'PROCESOS PRD'!$H:$H,0,0)=0,"",XLOOKUP(CONCAT(AP44,AQ44),'PROCESOS PRD'!$J:$J,'PROCESOS PRD'!$H:$H,0,0)),"")</f>
        <v/>
      </c>
      <c r="AT44" s="70"/>
      <c r="AU44" s="71"/>
      <c r="AV44" s="32"/>
      <c r="AW44" s="72" t="str">
        <f t="array" ref="AW44">IFERROR(IF(XLOOKUP(CONCAT(AU44,AV44),'MASTER PLAN'!$AB:$AB,'MASTER PLAN'!$J:$J,0,0)=0,"",XLOOKUP(CONCAT(AU44,AV44),'MASTER PLAN'!$AB:$AB,'MASTER PLAN'!$J:$J,0,0)),"")</f>
        <v/>
      </c>
      <c r="AX44" s="73" t="str">
        <f t="array" ref="AX44">IFERROR(IF(XLOOKUP(CONCAT(AU44,AV44),'PROCESOS PRD'!$J:$J,'PROCESOS PRD'!$H:$H,0,0)=0,"",XLOOKUP(CONCAT(AU44,AV44),'PROCESOS PRD'!$J:$J,'PROCESOS PRD'!$H:$H,0,0)),"")</f>
        <v/>
      </c>
      <c r="AY44" s="71"/>
      <c r="AZ44" s="32"/>
      <c r="BA44" s="72" t="str">
        <f t="array" ref="BA44">IFERROR(IF(XLOOKUP(CONCAT(AY44,AZ44),'MASTER PLAN'!$AB:$AB,'MASTER PLAN'!$J:$J,0,0)=0,"",XLOOKUP(CONCAT(AY44,AZ44),'MASTER PLAN'!$AB:$AB,'MASTER PLAN'!$J:$J,0,0)),"")</f>
        <v/>
      </c>
      <c r="BB44" s="73" t="str">
        <f t="array" ref="BB44">IFERROR(IF(XLOOKUP(CONCAT(AY44,AZ44),'PROCESOS PRD'!$J:$J,'PROCESOS PRD'!$H:$H,0,0)=0,"",XLOOKUP(CONCAT(AY44,AZ44),'PROCESOS PRD'!$J:$J,'PROCESOS PRD'!$H:$H,0,0)),"")</f>
        <v/>
      </c>
      <c r="BC44" s="71"/>
      <c r="BD44" s="32"/>
      <c r="BE44" s="72" t="str">
        <f t="array" ref="BE44">IFERROR(IF(XLOOKUP(CONCAT(BC44,BD44),'MASTER PLAN'!$AB:$AB,'MASTER PLAN'!$J:$J,0,0)=0,"",XLOOKUP(CONCAT(BC44,BD44),'MASTER PLAN'!$AB:$AB,'MASTER PLAN'!$J:$J,0,0)),"")</f>
        <v/>
      </c>
      <c r="BF44" s="73" t="str">
        <f t="array" ref="BF44">IFERROR(IF(XLOOKUP(CONCAT(BC44,BD44),'PROCESOS PRD'!$J:$J,'PROCESOS PRD'!$H:$H,0,0)=0,"",XLOOKUP(CONCAT(BC44,BD44),'PROCESOS PRD'!$J:$J,'PROCESOS PRD'!$H:$H,0,0)),"")</f>
        <v/>
      </c>
      <c r="BG44" s="71">
        <v>1.40204935E9</v>
      </c>
      <c r="BH44" s="32">
        <v>30.0</v>
      </c>
      <c r="BI44" s="72" t="str">
        <f t="array" ref="BI44">IFERROR(IF(XLOOKUP(CONCAT(BG44,BH44),'MASTER PLAN'!$AB:$AB,'MASTER PLAN'!$J:$J,0,0)=0,"",XLOOKUP(CONCAT(BG44,BH44),'MASTER PLAN'!$AB:$AB,'MASTER PLAN'!$J:$J,0,0)),"")</f>
        <v>BOLSA WSMJ MAYORS WOS 17"X7"X14" FA</v>
      </c>
      <c r="BJ44" s="73">
        <f t="array" ref="BJ44">IFERROR(IF(XLOOKUP(CONCAT(BG44,BH44),'PROCESOS PRD'!$J:$J,'PROCESOS PRD'!$H:$H,0,0)=0,"",XLOOKUP(CONCAT(BG44,BH44),'PROCESOS PRD'!$J:$J,'PROCESOS PRD'!$H:$H,0,0)),"")</f>
        <v>9600</v>
      </c>
      <c r="BK44" s="71"/>
      <c r="BL44" s="32"/>
      <c r="BM44" s="72" t="str">
        <f t="array" ref="BM44">IFERROR(IF(XLOOKUP(CONCAT(BK44,BL44),'MASTER PLAN'!$AB:$AB,'MASTER PLAN'!$J:$J,0,0)=0,"",XLOOKUP(CONCAT(BK44,BL44),'MASTER PLAN'!$AB:$AB,'MASTER PLAN'!$J:$J,0,0)),"")</f>
        <v/>
      </c>
      <c r="BN44" s="73" t="str">
        <f t="array" ref="BN44">IFERROR(IF(XLOOKUP(CONCAT(BK44,BL44),'PROCESOS PRD'!$J:$J,'PROCESOS PRD'!$H:$H,0,0)=0,"",XLOOKUP(CONCAT(BK44,BL44),'PROCESOS PRD'!$J:$J,'PROCESOS PRD'!$H:$H,0,0)),"")</f>
        <v/>
      </c>
      <c r="BO44" s="71"/>
      <c r="BP44" s="32"/>
      <c r="BQ44" s="72" t="str">
        <f t="array" ref="BQ44">IFERROR(IF(XLOOKUP(CONCAT(BO44,BP44),'MASTER PLAN'!$AB:$AB,'MASTER PLAN'!$J:$J,0,0)=0,"",XLOOKUP(CONCAT(BO44,BP44),'MASTER PLAN'!$AB:$AB,'MASTER PLAN'!$J:$J,0,0)),"")</f>
        <v/>
      </c>
      <c r="BR44" s="73" t="str">
        <f t="array" ref="BR44">IFERROR(IF(XLOOKUP(CONCAT(BO44,BP44),'PROCESOS PRD'!$J:$J,'PROCESOS PRD'!$H:$H,0,0)=0,"",XLOOKUP(CONCAT(BO44,BP44),'PROCESOS PRD'!$J:$J,'PROCESOS PRD'!$H:$H,0,0)),"")</f>
        <v/>
      </c>
      <c r="BS44" s="70"/>
      <c r="BT44" s="71">
        <v>1.402049358E9</v>
      </c>
      <c r="BU44" s="32">
        <v>10.0</v>
      </c>
      <c r="BV44" s="72" t="str">
        <f t="array" ref="BV44">IFERROR(IF(XLOOKUP(CONCAT(BT44,BU44),'MASTER PLAN'!$AB:$AB,'MASTER PLAN'!$J:$J,0,0)=0,"",XLOOKUP(CONCAT(BT44,BU44),'MASTER PLAN'!$AB:$AB,'MASTER PLAN'!$J:$J,0,0)),"")</f>
        <v>BOLSA JON'S FINE JEWELRY 5"X4"X7"</v>
      </c>
      <c r="BW44" s="73">
        <f t="array" ref="BW44">IFERROR(IF(XLOOKUP(CONCAT(BT44,BU44),'PROCESOS PRD'!$J:$J,'PROCESOS PRD'!$H:$H,0,0)=0,"",XLOOKUP(CONCAT(BT44,BU44),'PROCESOS PRD'!$J:$J,'PROCESOS PRD'!$H:$H,0,0)),"")</f>
        <v>1200</v>
      </c>
      <c r="BX44" s="71"/>
      <c r="BY44" s="32"/>
      <c r="BZ44" s="72" t="str">
        <f t="array" ref="BZ44">IFERROR(IF(XLOOKUP(CONCAT(BX44,BY44),'MASTER PLAN'!$AB:$AB,'MASTER PLAN'!$J:$J,0,0)=0,"",XLOOKUP(CONCAT(BX44,BY44),'MASTER PLAN'!$AB:$AB,'MASTER PLAN'!$J:$J,0,0)),"")</f>
        <v/>
      </c>
      <c r="CA44" s="73" t="str">
        <f t="array" ref="CA44">IFERROR(IF(XLOOKUP(CONCAT(BX44,BY44),'PROCESOS PRD'!$J:$J,'PROCESOS PRD'!$H:$H,0,0)=0,"",XLOOKUP(CONCAT(BX44,BY44),'PROCESOS PRD'!$J:$J,'PROCESOS PRD'!$H:$H,0,0)),"")</f>
        <v/>
      </c>
      <c r="CB44" s="71"/>
      <c r="CC44" s="32"/>
      <c r="CD44" s="72" t="str">
        <f t="array" ref="CD44">IFERROR(IF(XLOOKUP(CONCAT(CB44,CC44),'MASTER PLAN'!$AB:$AB,'MASTER PLAN'!$J:$J,0,0)=0,"",XLOOKUP(CONCAT(CB44,CC44),'MASTER PLAN'!$AB:$AB,'MASTER PLAN'!$J:$J,0,0)),"")</f>
        <v/>
      </c>
      <c r="CE44" s="73" t="str">
        <f t="array" ref="CE44">IFERROR(IF(XLOOKUP(CONCAT(CB44,CC44),'PROCESOS PRD'!$J:$J,'PROCESOS PRD'!$H:$H,0,0)=0,"",XLOOKUP(CONCAT(CB44,CC44),'PROCESOS PRD'!$J:$J,'PROCESOS PRD'!$H:$H,0,0)),"")</f>
        <v/>
      </c>
      <c r="CF44" s="71"/>
      <c r="CG44" s="32"/>
      <c r="CH44" s="72" t="str">
        <f t="array" ref="CH44">IFERROR(IF(XLOOKUP(CONCAT(CF44,CG44),'MASTER PLAN'!$AB:$AB,'MASTER PLAN'!$J:$J,0,0)=0,"",XLOOKUP(CONCAT(CF44,CG44),'MASTER PLAN'!$AB:$AB,'MASTER PLAN'!$J:$J,0,0)),"")</f>
        <v/>
      </c>
      <c r="CI44" s="73" t="str">
        <f t="array" ref="CI44">IFERROR(IF(XLOOKUP(CONCAT(CF44,CG44),'PROCESOS PRD'!$J:$J,'PROCESOS PRD'!$H:$H,0,0)=0,"",XLOOKUP(CONCAT(CF44,CG44),'PROCESOS PRD'!$J:$J,'PROCESOS PRD'!$H:$H,0,0)),"")</f>
        <v/>
      </c>
      <c r="CJ44" s="71"/>
      <c r="CK44" s="32"/>
      <c r="CL44" s="72" t="str">
        <f t="array" ref="CL44">IFERROR(IF(XLOOKUP(CONCAT(CJ44,CK44),'MASTER PLAN'!$AB:$AB,'MASTER PLAN'!$J:$J,0,0)=0,"",XLOOKUP(CONCAT(CJ44,CK44),'MASTER PLAN'!$AB:$AB,'MASTER PLAN'!$J:$J,0,0)),"")</f>
        <v/>
      </c>
      <c r="CM44" s="73" t="str">
        <f t="array" ref="CM44">IFERROR(IF(XLOOKUP(CONCAT(CJ44,CK44),'PROCESOS PRD'!$J:$J,'PROCESOS PRD'!$H:$H,0,0)=0,"",XLOOKUP(CONCAT(CJ44,CK44),'PROCESOS PRD'!$J:$J,'PROCESOS PRD'!$H:$H,0,0)),"")</f>
        <v/>
      </c>
      <c r="CN44" s="71"/>
      <c r="CO44" s="32"/>
      <c r="CP44" s="72" t="str">
        <f t="array" ref="CP44">IFERROR(IF(XLOOKUP(CONCAT(CN44,CO44),'MASTER PLAN'!$AB:$AB,'MASTER PLAN'!$J:$J,0,0)=0,"",XLOOKUP(CONCAT(CN44,CO44),'MASTER PLAN'!$AB:$AB,'MASTER PLAN'!$J:$J,0,0)),"")</f>
        <v/>
      </c>
      <c r="CQ44" s="73" t="str">
        <f t="array" ref="CQ44">IFERROR(IF(XLOOKUP(CONCAT(CN44,CO44),'PROCESOS PRD'!$J:$J,'PROCESOS PRD'!$H:$H,0,0)=0,"",XLOOKUP(CONCAT(CN44,CO44),'PROCESOS PRD'!$J:$J,'PROCESOS PRD'!$H:$H,0,0)),"")</f>
        <v/>
      </c>
      <c r="CR44" s="70"/>
      <c r="CS44" s="71"/>
      <c r="CT44" s="32"/>
      <c r="CU44" s="72" t="str">
        <f t="array" ref="CU44">IFERROR(IF(XLOOKUP(CONCAT(CS44,CT44),'MASTER PLAN'!$AB:$AB,'MASTER PLAN'!$J:$J,0,0)=0,"",XLOOKUP(CONCAT(CS44,CT44),'MASTER PLAN'!$AB:$AB,'MASTER PLAN'!$J:$J,0,0)),"")</f>
        <v/>
      </c>
      <c r="CV44" s="73" t="str">
        <f t="array" ref="CV44">IFERROR(IF(XLOOKUP(CONCAT(CS44,CT44),'PROCESOS PRD'!$J:$J,'PROCESOS PRD'!$H:$H,0,0)=0,"",XLOOKUP(CONCAT(CS44,CT44),'PROCESOS PRD'!$J:$J,'PROCESOS PRD'!$H:$H,0,0)),"")</f>
        <v/>
      </c>
      <c r="CW44" s="71"/>
      <c r="CX44" s="32"/>
      <c r="CY44" s="72" t="str">
        <f t="array" ref="CY44">IFERROR(IF(XLOOKUP(CONCAT(CW44,CX44),'MASTER PLAN'!$AB:$AB,'MASTER PLAN'!$J:$J,0,0)=0,"",XLOOKUP(CONCAT(CW44,CX44),'MASTER PLAN'!$AB:$AB,'MASTER PLAN'!$J:$J,0,0)),"")</f>
        <v/>
      </c>
      <c r="CZ44" s="73" t="str">
        <f t="array" ref="CZ44">IFERROR(IF(XLOOKUP(CONCAT(CW44,CX44),'PROCESOS PRD'!$J:$J,'PROCESOS PRD'!$H:$H,0,0)=0,"",XLOOKUP(CONCAT(CW44,CX44),'PROCESOS PRD'!$J:$J,'PROCESOS PRD'!$H:$H,0,0)),"")</f>
        <v/>
      </c>
      <c r="DA44" s="71"/>
      <c r="DB44" s="32"/>
      <c r="DC44" s="72" t="str">
        <f t="array" ref="DC44">IFERROR(IF(XLOOKUP(CONCAT(DA44,DB44),'MASTER PLAN'!$AB:$AB,'MASTER PLAN'!$J:$J,0,0)=0,"",XLOOKUP(CONCAT(DA44,DB44),'MASTER PLAN'!$AB:$AB,'MASTER PLAN'!$J:$J,0,0)),"")</f>
        <v/>
      </c>
      <c r="DD44" s="73" t="str">
        <f t="array" ref="DD44">IFERROR(IF(XLOOKUP(CONCAT(DA44,DB44),'PROCESOS PRD'!$J:$J,'PROCESOS PRD'!$H:$H,0,0)=0,"",XLOOKUP(CONCAT(DA44,DB44),'PROCESOS PRD'!$J:$J,'PROCESOS PRD'!$H:$H,0,0)),"")</f>
        <v/>
      </c>
      <c r="DE44" s="71"/>
      <c r="DF44" s="32"/>
      <c r="DG44" s="72" t="str">
        <f t="array" ref="DG44">IFERROR(IF(XLOOKUP(CONCAT(DE44,DF44),'MASTER PLAN'!$AB:$AB,'MASTER PLAN'!$J:$J,0,0)=0,"",XLOOKUP(CONCAT(DE44,DF44),'MASTER PLAN'!$AB:$AB,'MASTER PLAN'!$J:$J,0,0)),"")</f>
        <v/>
      </c>
      <c r="DH44" s="73" t="str">
        <f t="array" ref="DH44">IFERROR(IF(XLOOKUP(CONCAT(DE44,DF44),'PROCESOS PRD'!$J:$J,'PROCESOS PRD'!$H:$H,0,0)=0,"",XLOOKUP(CONCAT(DE44,DF44),'PROCESOS PRD'!$J:$J,'PROCESOS PRD'!$H:$H,0,0)),"")</f>
        <v/>
      </c>
      <c r="DI44" s="71"/>
      <c r="DJ44" s="32"/>
      <c r="DK44" s="72" t="str">
        <f t="array" ref="DK44">IFERROR(IF(XLOOKUP(CONCAT(DI44,DJ44),'MASTER PLAN'!$AB:$AB,'MASTER PLAN'!$J:$J,0,0)=0,"",XLOOKUP(CONCAT(DI44,DJ44),'MASTER PLAN'!$AB:$AB,'MASTER PLAN'!$J:$J,0,0)),"")</f>
        <v/>
      </c>
      <c r="DL44" s="73" t="str">
        <f t="array" ref="DL44">IFERROR(IF(XLOOKUP(CONCAT(DI44,DJ44),'PROCESOS PRD'!$J:$J,'PROCESOS PRD'!$H:$H,0,0)=0,"",XLOOKUP(CONCAT(DI44,DJ44),'PROCESOS PRD'!$J:$J,'PROCESOS PRD'!$H:$H,0,0)),"")</f>
        <v/>
      </c>
      <c r="DM44" s="71"/>
      <c r="DN44" s="32"/>
      <c r="DO44" s="72" t="str">
        <f t="array" ref="DO44">IFERROR(IF(XLOOKUP(CONCAT(DM44,DN44),'MASTER PLAN'!$AB:$AB,'MASTER PLAN'!$J:$J,0,0)=0,"",XLOOKUP(CONCAT(DM44,DN44),'MASTER PLAN'!$AB:$AB,'MASTER PLAN'!$J:$J,0,0)),"")</f>
        <v/>
      </c>
      <c r="DP44" s="73" t="str">
        <f t="array" ref="DP44">IFERROR(IF(XLOOKUP(CONCAT(DM44,DN44),'PROCESOS PRD'!$J:$J,'PROCESOS PRD'!$H:$H,0,0)=0,"",XLOOKUP(CONCAT(DM44,DN44),'PROCESOS PRD'!$J:$J,'PROCESOS PRD'!$H:$H,0,0)),"")</f>
        <v/>
      </c>
      <c r="DQ44" s="70"/>
      <c r="DR44" s="71"/>
      <c r="DS44" s="32"/>
      <c r="DT44" s="72" t="str">
        <f t="array" ref="DT44">IFERROR(IF(XLOOKUP(CONCAT(DR44,DS44),'MASTER PLAN'!$AB:$AB,'MASTER PLAN'!$J:$J,0,0)=0,"",XLOOKUP(CONCAT(DR44,DS44),'MASTER PLAN'!$AB:$AB,'MASTER PLAN'!$J:$J,0,0)),"")</f>
        <v/>
      </c>
      <c r="DU44" s="73" t="str">
        <f t="array" ref="DU44">IFERROR(IF(XLOOKUP(CONCAT(DR44,DS44),'PROCESOS PRD'!$J:$J,'PROCESOS PRD'!$H:$H,0,0)=0,"",XLOOKUP(CONCAT(DR44,DS44),'PROCESOS PRD'!$J:$J,'PROCESOS PRD'!$H:$H,0,0)),"")</f>
        <v/>
      </c>
      <c r="DV44" s="71"/>
      <c r="DW44" s="32"/>
      <c r="DX44" s="72" t="str">
        <f t="array" ref="DX44">IFERROR(IF(XLOOKUP(CONCAT(DV44,DW44),'MASTER PLAN'!$AB:$AB,'MASTER PLAN'!$J:$J,0,0)=0,"",XLOOKUP(CONCAT(DV44,DW44),'MASTER PLAN'!$AB:$AB,'MASTER PLAN'!$J:$J,0,0)),"")</f>
        <v/>
      </c>
      <c r="DY44" s="73" t="str">
        <f t="array" ref="DY44">IFERROR(IF(XLOOKUP(CONCAT(DV44,DW44),'PROCESOS PRD'!$J:$J,'PROCESOS PRD'!$H:$H,0,0)=0,"",XLOOKUP(CONCAT(DV44,DW44),'PROCESOS PRD'!$J:$J,'PROCESOS PRD'!$H:$H,0,0)),"")</f>
        <v/>
      </c>
      <c r="DZ44" s="71"/>
      <c r="EA44" s="32"/>
      <c r="EB44" s="72" t="str">
        <f t="array" ref="EB44">IFERROR(IF(XLOOKUP(CONCAT(DZ44,EA44),'MASTER PLAN'!$AB:$AB,'MASTER PLAN'!$J:$J,0,0)=0,"",XLOOKUP(CONCAT(DZ44,EA44),'MASTER PLAN'!$AB:$AB,'MASTER PLAN'!$J:$J,0,0)),"")</f>
        <v/>
      </c>
      <c r="EC44" s="73" t="str">
        <f t="array" ref="EC44">IFERROR(IF(XLOOKUP(CONCAT(DZ44,EA44),'PROCESOS PRD'!$J:$J,'PROCESOS PRD'!$H:$H,0,0)=0,"",XLOOKUP(CONCAT(DZ44,EA44),'PROCESOS PRD'!$J:$J,'PROCESOS PRD'!$H:$H,0,0)),"")</f>
        <v/>
      </c>
      <c r="ED44" s="71"/>
      <c r="EE44" s="32"/>
      <c r="EF44" s="72" t="str">
        <f t="array" ref="EF44">IFERROR(IF(XLOOKUP(CONCAT(ED44,EE44),'MASTER PLAN'!$AB:$AB,'MASTER PLAN'!$J:$J,0,0)=0,"",XLOOKUP(CONCAT(ED44,EE44),'MASTER PLAN'!$AB:$AB,'MASTER PLAN'!$J:$J,0,0)),"")</f>
        <v/>
      </c>
      <c r="EG44" s="73" t="str">
        <f t="array" ref="EG44">IFERROR(IF(XLOOKUP(CONCAT(ED44,EE44),'PROCESOS PRD'!$J:$J,'PROCESOS PRD'!$H:$H,0,0)=0,"",XLOOKUP(CONCAT(ED44,EE44),'PROCESOS PRD'!$J:$J,'PROCESOS PRD'!$H:$H,0,0)),"")</f>
        <v/>
      </c>
      <c r="EH44" s="71"/>
      <c r="EI44" s="32"/>
      <c r="EJ44" s="72" t="str">
        <f t="array" ref="EJ44">IFERROR(IF(XLOOKUP(CONCAT(EH44,EI44),'MASTER PLAN'!$AB:$AB,'MASTER PLAN'!$J:$J,0,0)=0,"",XLOOKUP(CONCAT(EH44,EI44),'MASTER PLAN'!$AB:$AB,'MASTER PLAN'!$J:$J,0,0)),"")</f>
        <v/>
      </c>
      <c r="EK44" s="73" t="str">
        <f t="array" ref="EK44">IFERROR(IF(XLOOKUP(CONCAT(EH44,EI44),'PROCESOS PRD'!$J:$J,'PROCESOS PRD'!$H:$H,0,0)=0,"",XLOOKUP(CONCAT(EH44,EI44),'PROCESOS PRD'!$J:$J,'PROCESOS PRD'!$H:$H,0,0)),"")</f>
        <v/>
      </c>
      <c r="EL44" s="71"/>
      <c r="EM44" s="32"/>
      <c r="EN44" s="72" t="str">
        <f t="array" ref="EN44">IFERROR(IF(XLOOKUP(CONCAT(EL44,EM44),'MASTER PLAN'!$AB:$AB,'MASTER PLAN'!$J:$J,0,0)=0,"",XLOOKUP(CONCAT(EL44,EM44),'MASTER PLAN'!$AB:$AB,'MASTER PLAN'!$J:$J,0,0)),"")</f>
        <v/>
      </c>
      <c r="EO44" s="73" t="str">
        <f t="array" ref="EO44">IFERROR(IF(XLOOKUP(CONCAT(EL44,EM44),'PROCESOS PRD'!$J:$J,'PROCESOS PRD'!$H:$H,0,0)=0,"",XLOOKUP(CONCAT(EL44,EM44),'PROCESOS PRD'!$J:$J,'PROCESOS PRD'!$H:$H,0,0)),"")</f>
        <v/>
      </c>
      <c r="EP44" s="70"/>
      <c r="EQ44" s="71"/>
      <c r="ER44" s="32"/>
      <c r="ES44" s="72" t="str">
        <f t="array" ref="ES44">IFERROR(IF(XLOOKUP(CONCAT(EQ44,ER44),'MASTER PLAN'!$AB:$AB,'MASTER PLAN'!$J:$J,0,0)=0,"",XLOOKUP(CONCAT(EQ44,ER44),'MASTER PLAN'!$AB:$AB,'MASTER PLAN'!$J:$J,0,0)),"")</f>
        <v/>
      </c>
      <c r="ET44" s="73" t="str">
        <f t="array" ref="ET44">IFERROR(IF(XLOOKUP(CONCAT(EQ44,ER44),'PROCESOS PRD'!$J:$J,'PROCESOS PRD'!$H:$H,0,0)=0,"",XLOOKUP(CONCAT(EQ44,ER44),'PROCESOS PRD'!$J:$J,'PROCESOS PRD'!$H:$H,0,0)),"")</f>
        <v/>
      </c>
      <c r="EU44" s="71"/>
      <c r="EV44" s="32"/>
      <c r="EW44" s="72" t="str">
        <f t="array" ref="EW44">IFERROR(IF(XLOOKUP(CONCAT(EU44,EV44),'MASTER PLAN'!$AB:$AB,'MASTER PLAN'!$J:$J,0,0)=0,"",XLOOKUP(CONCAT(EU44,EV44),'MASTER PLAN'!$AB:$AB,'MASTER PLAN'!$J:$J,0,0)),"")</f>
        <v/>
      </c>
      <c r="EX44" s="73" t="str">
        <f t="array" ref="EX44">IFERROR(IF(XLOOKUP(CONCAT(EU44,EV44),'PROCESOS PRD'!$J:$J,'PROCESOS PRD'!$H:$H,0,0)=0,"",XLOOKUP(CONCAT(EU44,EV44),'PROCESOS PRD'!$J:$J,'PROCESOS PRD'!$H:$H,0,0)),"")</f>
        <v/>
      </c>
      <c r="EY44" s="71"/>
      <c r="EZ44" s="32"/>
      <c r="FA44" s="72" t="str">
        <f t="array" ref="FA44">IFERROR(IF(XLOOKUP(CONCAT(EY44,EZ44),'MASTER PLAN'!$AB:$AB,'MASTER PLAN'!$J:$J,0,0)=0,"",XLOOKUP(CONCAT(EY44,EZ44),'MASTER PLAN'!$AB:$AB,'MASTER PLAN'!$J:$J,0,0)),"")</f>
        <v/>
      </c>
      <c r="FB44" s="73" t="str">
        <f t="array" ref="FB44">IFERROR(IF(XLOOKUP(CONCAT(EY44,EZ44),'PROCESOS PRD'!$J:$J,'PROCESOS PRD'!$H:$H,0,0)=0,"",XLOOKUP(CONCAT(EY44,EZ44),'PROCESOS PRD'!$J:$J,'PROCESOS PRD'!$H:$H,0,0)),"")</f>
        <v/>
      </c>
      <c r="FC44" s="71"/>
      <c r="FD44" s="32"/>
      <c r="FE44" s="72" t="str">
        <f t="array" ref="FE44">IFERROR(IF(XLOOKUP(CONCAT(FC44,FD44),'MASTER PLAN'!$AB:$AB,'MASTER PLAN'!$J:$J,0,0)=0,"",XLOOKUP(CONCAT(FC44,FD44),'MASTER PLAN'!$AB:$AB,'MASTER PLAN'!$J:$J,0,0)),"")</f>
        <v/>
      </c>
      <c r="FF44" s="73" t="str">
        <f t="array" ref="FF44">IFERROR(IF(XLOOKUP(CONCAT(FC44,FD44),'PROCESOS PRD'!$J:$J,'PROCESOS PRD'!$H:$H,0,0)=0,"",XLOOKUP(CONCAT(FC44,FD44),'PROCESOS PRD'!$J:$J,'PROCESOS PRD'!$H:$H,0,0)),"")</f>
        <v/>
      </c>
      <c r="FG44" s="71"/>
      <c r="FH44" s="32"/>
      <c r="FI44" s="72" t="str">
        <f t="array" ref="FI44">IFERROR(IF(XLOOKUP(CONCAT(FG44,FH44),'MASTER PLAN'!$AB:$AB,'MASTER PLAN'!$J:$J,0,0)=0,"",XLOOKUP(CONCAT(FG44,FH44),'MASTER PLAN'!$AB:$AB,'MASTER PLAN'!$J:$J,0,0)),"")</f>
        <v/>
      </c>
      <c r="FJ44" s="73" t="str">
        <f t="array" ref="FJ44">IFERROR(IF(XLOOKUP(CONCAT(FG44,FH44),'PROCESOS PRD'!$J:$J,'PROCESOS PRD'!$H:$H,0,0)=0,"",XLOOKUP(CONCAT(FG44,FH44),'PROCESOS PRD'!$J:$J,'PROCESOS PRD'!$H:$H,0,0)),"")</f>
        <v/>
      </c>
      <c r="FK44" s="71"/>
      <c r="FL44" s="32"/>
      <c r="FM44" s="72" t="str">
        <f t="array" ref="FM44">IFERROR(IF(XLOOKUP(CONCAT(FK44,FL44),'MASTER PLAN'!$AB:$AB,'MASTER PLAN'!$J:$J,0,0)=0,"",XLOOKUP(CONCAT(FK44,FL44),'MASTER PLAN'!$AB:$AB,'MASTER PLAN'!$J:$J,0,0)),"")</f>
        <v/>
      </c>
      <c r="FN44" s="73" t="str">
        <f t="array" ref="FN44">IFERROR(IF(XLOOKUP(CONCAT(FK44,FL44),'PROCESOS PRD'!$J:$J,'PROCESOS PRD'!$H:$H,0,0)=0,"",XLOOKUP(CONCAT(FK44,FL44),'PROCESOS PRD'!$J:$J,'PROCESOS PRD'!$H:$H,0,0)),"")</f>
        <v/>
      </c>
      <c r="FO44" s="70"/>
      <c r="FP44" s="71"/>
      <c r="FQ44" s="32"/>
      <c r="FR44" s="72" t="str">
        <f t="array" ref="FR44">IFERROR(IF(XLOOKUP(CONCAT(FP44,FQ44),'MASTER PLAN'!$AB:$AB,'MASTER PLAN'!$J:$J,0,0)=0,"",XLOOKUP(CONCAT(FP44,FQ44),'MASTER PLAN'!$AB:$AB,'MASTER PLAN'!$J:$J,0,0)),"")</f>
        <v/>
      </c>
      <c r="FS44" s="73" t="str">
        <f t="array" ref="FS44">IFERROR(IF(XLOOKUP(CONCAT(FP44,FQ44),'PROCESOS PRD'!$J:$J,'PROCESOS PRD'!$H:$H,0,0)=0,"",XLOOKUP(CONCAT(FP44,FQ44),'PROCESOS PRD'!$J:$J,'PROCESOS PRD'!$H:$H,0,0)),"")</f>
        <v/>
      </c>
      <c r="FT44" s="71"/>
      <c r="FU44" s="32"/>
      <c r="FV44" s="72" t="str">
        <f t="array" ref="FV44">IFERROR(IF(XLOOKUP(CONCAT(FT44,FU44),'MASTER PLAN'!$AB:$AB,'MASTER PLAN'!$J:$J,0,0)=0,"",XLOOKUP(CONCAT(FT44,FU44),'MASTER PLAN'!$AB:$AB,'MASTER PLAN'!$J:$J,0,0)),"")</f>
        <v/>
      </c>
      <c r="FW44" s="73" t="str">
        <f t="array" ref="FW44">IFERROR(IF(XLOOKUP(CONCAT(FT44,FU44),'PROCESOS PRD'!$J:$J,'PROCESOS PRD'!$H:$H,0,0)=0,"",XLOOKUP(CONCAT(FT44,FU44),'PROCESOS PRD'!$J:$J,'PROCESOS PRD'!$H:$H,0,0)),"")</f>
        <v/>
      </c>
      <c r="FX44" s="71"/>
      <c r="FY44" s="32"/>
      <c r="FZ44" s="72" t="str">
        <f t="array" ref="FZ44">IFERROR(IF(XLOOKUP(CONCAT(FX44,FY44),'MASTER PLAN'!$AB:$AB,'MASTER PLAN'!$J:$J,0,0)=0,"",XLOOKUP(CONCAT(FX44,FY44),'MASTER PLAN'!$AB:$AB,'MASTER PLAN'!$J:$J,0,0)),"")</f>
        <v/>
      </c>
      <c r="GA44" s="73" t="str">
        <f t="array" ref="GA44">IFERROR(IF(XLOOKUP(CONCAT(FX44,FY44),'PROCESOS PRD'!$J:$J,'PROCESOS PRD'!$H:$H,0,0)=0,"",XLOOKUP(CONCAT(FX44,FY44),'PROCESOS PRD'!$J:$J,'PROCESOS PRD'!$H:$H,0,0)),"")</f>
        <v/>
      </c>
      <c r="GB44" s="71"/>
      <c r="GC44" s="32"/>
      <c r="GD44" s="72" t="str">
        <f t="array" ref="GD44">IFERROR(IF(XLOOKUP(CONCAT(GB44,GC44),'MASTER PLAN'!$AB:$AB,'MASTER PLAN'!$J:$J,0,0)=0,"",XLOOKUP(CONCAT(GB44,GC44),'MASTER PLAN'!$AB:$AB,'MASTER PLAN'!$J:$J,0,0)),"")</f>
        <v/>
      </c>
      <c r="GE44" s="73" t="str">
        <f t="array" ref="GE44">IFERROR(IF(XLOOKUP(CONCAT(GB44,GC44),'PROCESOS PRD'!$J:$J,'PROCESOS PRD'!$H:$H,0,0)=0,"",XLOOKUP(CONCAT(GB44,GC44),'PROCESOS PRD'!$J:$J,'PROCESOS PRD'!$H:$H,0,0)),"")</f>
        <v/>
      </c>
      <c r="GF44" s="71"/>
      <c r="GG44" s="32"/>
      <c r="GH44" s="72" t="str">
        <f t="array" ref="GH44">IFERROR(IF(XLOOKUP(CONCAT(GF44,GG44),'MASTER PLAN'!$AB:$AB,'MASTER PLAN'!$J:$J,0,0)=0,"",XLOOKUP(CONCAT(GF44,GG44),'MASTER PLAN'!$AB:$AB,'MASTER PLAN'!$J:$J,0,0)),"")</f>
        <v/>
      </c>
      <c r="GI44" s="73" t="str">
        <f t="array" ref="GI44">IFERROR(IF(XLOOKUP(CONCAT(GF44,GG44),'PROCESOS PRD'!$J:$J,'PROCESOS PRD'!$H:$H,0,0)=0,"",XLOOKUP(CONCAT(GF44,GG44),'PROCESOS PRD'!$J:$J,'PROCESOS PRD'!$H:$H,0,0)),"")</f>
        <v/>
      </c>
      <c r="GJ44" s="71"/>
      <c r="GK44" s="32"/>
      <c r="GL44" s="72" t="str">
        <f t="array" ref="GL44">IFERROR(IF(XLOOKUP(CONCAT(GJ44,GK44),'MASTER PLAN'!$AB:$AB,'MASTER PLAN'!$J:$J,0,0)=0,"",XLOOKUP(CONCAT(GJ44,GK44),'MASTER PLAN'!$AB:$AB,'MASTER PLAN'!$J:$J,0,0)),"")</f>
        <v/>
      </c>
      <c r="GM44" s="73" t="str">
        <f t="array" ref="GM44">IFERROR(IF(XLOOKUP(CONCAT(GJ44,GK44),'PROCESOS PRD'!$J:$J,'PROCESOS PRD'!$H:$H,0,0)=0,"",XLOOKUP(CONCAT(GJ44,GK44),'PROCESOS PRD'!$J:$J,'PROCESOS PRD'!$H:$H,0,0)),"")</f>
        <v/>
      </c>
      <c r="GN44" s="70"/>
      <c r="GO44" s="71"/>
      <c r="GP44" s="32"/>
      <c r="GQ44" s="72" t="str">
        <f t="array" ref="GQ44">IFERROR(IF(XLOOKUP(CONCAT(GO44,GP44),'MASTER PLAN'!$AB:$AB,'MASTER PLAN'!$J:$J,0,0)=0,"",XLOOKUP(CONCAT(GO44,GP44),'MASTER PLAN'!$AB:$AB,'MASTER PLAN'!$J:$J,0,0)),"")</f>
        <v/>
      </c>
      <c r="GR44" s="73" t="str">
        <f t="array" ref="GR44">IFERROR(IF(XLOOKUP(CONCAT(GO44,GP44),'PROCESOS PRD'!$J:$J,'PROCESOS PRD'!$H:$H,0,0)=0,"",XLOOKUP(CONCAT(GO44,GP44),'PROCESOS PRD'!$J:$J,'PROCESOS PRD'!$H:$H,0,0)),"")</f>
        <v/>
      </c>
      <c r="GS44" s="71"/>
      <c r="GT44" s="32"/>
      <c r="GU44" s="72" t="str">
        <f t="array" ref="GU44">IFERROR(IF(XLOOKUP(CONCAT(GS44,GT44),'MASTER PLAN'!$AB:$AB,'MASTER PLAN'!$J:$J,0,0)=0,"",XLOOKUP(CONCAT(GS44,GT44),'MASTER PLAN'!$AB:$AB,'MASTER PLAN'!$J:$J,0,0)),"")</f>
        <v/>
      </c>
      <c r="GV44" s="73" t="str">
        <f t="array" ref="GV44">IFERROR(IF(XLOOKUP(CONCAT(GS44,GT44),'PROCESOS PRD'!$J:$J,'PROCESOS PRD'!$H:$H,0,0)=0,"",XLOOKUP(CONCAT(GS44,GT44),'PROCESOS PRD'!$J:$J,'PROCESOS PRD'!$H:$H,0,0)),"")</f>
        <v/>
      </c>
      <c r="GW44" s="71"/>
      <c r="GX44" s="32"/>
      <c r="GY44" s="72" t="str">
        <f t="array" ref="GY44">IFERROR(IF(XLOOKUP(CONCAT(GW44,GX44),'MASTER PLAN'!$AB:$AB,'MASTER PLAN'!$J:$J,0,0)=0,"",XLOOKUP(CONCAT(GW44,GX44),'MASTER PLAN'!$AB:$AB,'MASTER PLAN'!$J:$J,0,0)),"")</f>
        <v/>
      </c>
      <c r="GZ44" s="73" t="str">
        <f t="array" ref="GZ44">IFERROR(IF(XLOOKUP(CONCAT(GW44,GX44),'PROCESOS PRD'!$J:$J,'PROCESOS PRD'!$H:$H,0,0)=0,"",XLOOKUP(CONCAT(GW44,GX44),'PROCESOS PRD'!$J:$J,'PROCESOS PRD'!$H:$H,0,0)),"")</f>
        <v/>
      </c>
      <c r="HA44" s="71"/>
      <c r="HB44" s="32"/>
      <c r="HC44" s="72" t="str">
        <f t="array" ref="HC44">IFERROR(IF(XLOOKUP(CONCAT(HA44,HB44),'MASTER PLAN'!$AB:$AB,'MASTER PLAN'!$J:$J,0,0)=0,"",XLOOKUP(CONCAT(HA44,HB44),'MASTER PLAN'!$AB:$AB,'MASTER PLAN'!$J:$J,0,0)),"")</f>
        <v/>
      </c>
      <c r="HD44" s="73" t="str">
        <f t="array" ref="HD44">IFERROR(IF(XLOOKUP(CONCAT(HA44,HB44),'PROCESOS PRD'!$J:$J,'PROCESOS PRD'!$H:$H,0,0)=0,"",XLOOKUP(CONCAT(HA44,HB44),'PROCESOS PRD'!$J:$J,'PROCESOS PRD'!$H:$H,0,0)),"")</f>
        <v/>
      </c>
      <c r="HE44" s="71"/>
      <c r="HF44" s="32"/>
      <c r="HG44" s="72" t="str">
        <f t="array" ref="HG44">IFERROR(IF(XLOOKUP(CONCAT(HE44,HF44),'MASTER PLAN'!$AB:$AB,'MASTER PLAN'!$J:$J,0,0)=0,"",XLOOKUP(CONCAT(HE44,HF44),'MASTER PLAN'!$AB:$AB,'MASTER PLAN'!$J:$J,0,0)),"")</f>
        <v/>
      </c>
      <c r="HH44" s="73" t="str">
        <f t="array" ref="HH44">IFERROR(IF(XLOOKUP(CONCAT(HE44,HF44),'PROCESOS PRD'!$J:$J,'PROCESOS PRD'!$H:$H,0,0)=0,"",XLOOKUP(CONCAT(HE44,HF44),'PROCESOS PRD'!$J:$J,'PROCESOS PRD'!$H:$H,0,0)),"")</f>
        <v/>
      </c>
      <c r="HI44" s="71"/>
      <c r="HJ44" s="32"/>
      <c r="HK44" s="72" t="str">
        <f t="array" ref="HK44">IFERROR(IF(XLOOKUP(CONCAT(HI44,HJ44),'MASTER PLAN'!$AB:$AB,'MASTER PLAN'!$J:$J,0,0)=0,"",XLOOKUP(CONCAT(HI44,HJ44),'MASTER PLAN'!$AB:$AB,'MASTER PLAN'!$J:$J,0,0)),"")</f>
        <v/>
      </c>
      <c r="HL44" s="73" t="str">
        <f t="array" ref="HL44">IFERROR(IF(XLOOKUP(CONCAT(HI44,HJ44),'PROCESOS PRD'!$J:$J,'PROCESOS PRD'!$H:$H,0,0)=0,"",XLOOKUP(CONCAT(HI44,HJ44),'PROCESOS PRD'!$J:$J,'PROCESOS PRD'!$H:$H,0,0)),"")</f>
        <v/>
      </c>
      <c r="HM44" s="70"/>
      <c r="HN44" s="71"/>
      <c r="HO44" s="32"/>
      <c r="HP44" s="72" t="str">
        <f t="array" ref="HP44">IFERROR(IF(XLOOKUP(CONCAT(HN44,HO44),'MASTER PLAN'!$AB:$AB,'MASTER PLAN'!$J:$J,0,0)=0,"",XLOOKUP(CONCAT(HN44,HO44),'MASTER PLAN'!$AB:$AB,'MASTER PLAN'!$J:$J,0,0)),"")</f>
        <v/>
      </c>
      <c r="HQ44" s="73" t="str">
        <f t="array" ref="HQ44">IFERROR(IF(XLOOKUP(CONCAT(HN44,HO44),'PROCESOS PRD'!$J:$J,'PROCESOS PRD'!$H:$H,0,0)=0,"",XLOOKUP(CONCAT(HN44,HO44),'PROCESOS PRD'!$J:$J,'PROCESOS PRD'!$H:$H,0,0)),"")</f>
        <v/>
      </c>
      <c r="HR44" s="71"/>
      <c r="HS44" s="32"/>
      <c r="HT44" s="72" t="str">
        <f t="array" ref="HT44">IFERROR(IF(XLOOKUP(CONCAT(HR44,HS44),'MASTER PLAN'!$AB:$AB,'MASTER PLAN'!$J:$J,0,0)=0,"",XLOOKUP(CONCAT(HR44,HS44),'MASTER PLAN'!$AB:$AB,'MASTER PLAN'!$J:$J,0,0)),"")</f>
        <v/>
      </c>
      <c r="HU44" s="73" t="str">
        <f t="array" ref="HU44">IFERROR(IF(XLOOKUP(CONCAT(HR44,HS44),'PROCESOS PRD'!$J:$J,'PROCESOS PRD'!$H:$H,0,0)=0,"",XLOOKUP(CONCAT(HR44,HS44),'PROCESOS PRD'!$J:$J,'PROCESOS PRD'!$H:$H,0,0)),"")</f>
        <v/>
      </c>
      <c r="HV44" s="71"/>
      <c r="HW44" s="32"/>
      <c r="HX44" s="72" t="str">
        <f t="array" ref="HX44">IFERROR(IF(XLOOKUP(CONCAT(HV44,HW44),'MASTER PLAN'!$AB:$AB,'MASTER PLAN'!$J:$J,0,0)=0,"",XLOOKUP(CONCAT(HV44,HW44),'MASTER PLAN'!$AB:$AB,'MASTER PLAN'!$J:$J,0,0)),"")</f>
        <v/>
      </c>
      <c r="HY44" s="73" t="str">
        <f t="array" ref="HY44">IFERROR(IF(XLOOKUP(CONCAT(HV44,HW44),'PROCESOS PRD'!$J:$J,'PROCESOS PRD'!$H:$H,0,0)=0,"",XLOOKUP(CONCAT(HV44,HW44),'PROCESOS PRD'!$J:$J,'PROCESOS PRD'!$H:$H,0,0)),"")</f>
        <v/>
      </c>
      <c r="HZ44" s="71"/>
      <c r="IA44" s="32"/>
      <c r="IB44" s="72" t="str">
        <f t="array" ref="IB44">IFERROR(IF(XLOOKUP(CONCAT(HZ44,IA44),'MASTER PLAN'!$AB:$AB,'MASTER PLAN'!$J:$J,0,0)=0,"",XLOOKUP(CONCAT(HZ44,IA44),'MASTER PLAN'!$AB:$AB,'MASTER PLAN'!$J:$J,0,0)),"")</f>
        <v/>
      </c>
      <c r="IC44" s="73" t="str">
        <f t="array" ref="IC44">IFERROR(IF(XLOOKUP(CONCAT(HZ44,IA44),'PROCESOS PRD'!$J:$J,'PROCESOS PRD'!$H:$H,0,0)=0,"",XLOOKUP(CONCAT(HZ44,IA44),'PROCESOS PRD'!$J:$J,'PROCESOS PRD'!$H:$H,0,0)),"")</f>
        <v/>
      </c>
      <c r="ID44" s="71"/>
      <c r="IE44" s="32"/>
      <c r="IF44" s="72" t="str">
        <f t="array" ref="IF44">IFERROR(IF(XLOOKUP(CONCAT(ID44,IE44),'MASTER PLAN'!$AB:$AB,'MASTER PLAN'!$J:$J,0,0)=0,"",XLOOKUP(CONCAT(ID44,IE44),'MASTER PLAN'!$AB:$AB,'MASTER PLAN'!$J:$J,0,0)),"")</f>
        <v/>
      </c>
      <c r="IG44" s="73" t="str">
        <f t="array" ref="IG44">IFERROR(IF(XLOOKUP(CONCAT(ID44,IE44),'PROCESOS PRD'!$J:$J,'PROCESOS PRD'!$H:$H,0,0)=0,"",XLOOKUP(CONCAT(ID44,IE44),'PROCESOS PRD'!$J:$J,'PROCESOS PRD'!$H:$H,0,0)),"")</f>
        <v/>
      </c>
      <c r="IH44" s="71"/>
      <c r="II44" s="32"/>
      <c r="IJ44" s="72" t="str">
        <f t="array" ref="IJ44">IFERROR(IF(XLOOKUP(CONCAT(IH44,II44),'MASTER PLAN'!$AB:$AB,'MASTER PLAN'!$J:$J,0,0)=0,"",XLOOKUP(CONCAT(IH44,II44),'MASTER PLAN'!$AB:$AB,'MASTER PLAN'!$J:$J,0,0)),"")</f>
        <v/>
      </c>
      <c r="IK44" s="73" t="str">
        <f t="array" ref="IK44">IFERROR(IF(XLOOKUP(CONCAT(IH44,II44),'PROCESOS PRD'!$J:$J,'PROCESOS PRD'!$H:$H,0,0)=0,"",XLOOKUP(CONCAT(IH44,II44),'PROCESOS PRD'!$J:$J,'PROCESOS PRD'!$H:$H,0,0)),"")</f>
        <v/>
      </c>
      <c r="IL44" s="70"/>
      <c r="IM44" s="71"/>
      <c r="IN44" s="32"/>
      <c r="IO44" s="72" t="str">
        <f t="array" ref="IO44">IFERROR(IF(XLOOKUP(CONCAT(IM44,IN44),'MASTER PLAN'!$AB:$AB,'MASTER PLAN'!$J:$J,0,0)=0,"",XLOOKUP(CONCAT(IM44,IN44),'MASTER PLAN'!$AB:$AB,'MASTER PLAN'!$J:$J,0,0)),"")</f>
        <v/>
      </c>
      <c r="IP44" s="73" t="str">
        <f t="array" ref="IP44">IFERROR(IF(XLOOKUP(CONCAT(IM44,IN44),'PROCESOS PRD'!$J:$J,'PROCESOS PRD'!$H:$H,0,0)=0,"",XLOOKUP(CONCAT(IM44,IN44),'PROCESOS PRD'!$J:$J,'PROCESOS PRD'!$H:$H,0,0)),"")</f>
        <v/>
      </c>
      <c r="IQ44" s="71"/>
      <c r="IR44" s="32"/>
      <c r="IS44" s="72" t="str">
        <f t="array" ref="IS44">IFERROR(IF(XLOOKUP(CONCAT(IQ44,IR44),'MASTER PLAN'!$AB:$AB,'MASTER PLAN'!$J:$J,0,0)=0,"",XLOOKUP(CONCAT(IQ44,IR44),'MASTER PLAN'!$AB:$AB,'MASTER PLAN'!$J:$J,0,0)),"")</f>
        <v/>
      </c>
      <c r="IT44" s="73" t="str">
        <f t="array" ref="IT44">IFERROR(IF(XLOOKUP(CONCAT(IQ44,IR44),'PROCESOS PRD'!$J:$J,'PROCESOS PRD'!$H:$H,0,0)=0,"",XLOOKUP(CONCAT(IQ44,IR44),'PROCESOS PRD'!$J:$J,'PROCESOS PRD'!$H:$H,0,0)),"")</f>
        <v/>
      </c>
      <c r="IU44" s="71"/>
      <c r="IV44" s="32"/>
      <c r="IW44" s="72" t="str">
        <f t="array" ref="IW44">IFERROR(IF(XLOOKUP(CONCAT(IU44,IV44),'MASTER PLAN'!$AB:$AB,'MASTER PLAN'!$J:$J,0,0)=0,"",XLOOKUP(CONCAT(IU44,IV44),'MASTER PLAN'!$AB:$AB,'MASTER PLAN'!$J:$J,0,0)),"")</f>
        <v/>
      </c>
      <c r="IX44" s="73" t="str">
        <f t="array" ref="IX44">IFERROR(IF(XLOOKUP(CONCAT(IU44,IV44),'PROCESOS PRD'!$J:$J,'PROCESOS PRD'!$H:$H,0,0)=0,"",XLOOKUP(CONCAT(IU44,IV44),'PROCESOS PRD'!$J:$J,'PROCESOS PRD'!$H:$H,0,0)),"")</f>
        <v/>
      </c>
      <c r="IY44" s="71"/>
      <c r="IZ44" s="32"/>
      <c r="JA44" s="72" t="str">
        <f t="array" ref="JA44">IFERROR(IF(XLOOKUP(CONCAT(IY44,IZ44),'MASTER PLAN'!$AB:$AB,'MASTER PLAN'!$J:$J,0,0)=0,"",XLOOKUP(CONCAT(IY44,IZ44),'MASTER PLAN'!$AB:$AB,'MASTER PLAN'!$J:$J,0,0)),"")</f>
        <v/>
      </c>
      <c r="JB44" s="73" t="str">
        <f t="array" ref="JB44">IFERROR(IF(XLOOKUP(CONCAT(IY44,IZ44),'PROCESOS PRD'!$J:$J,'PROCESOS PRD'!$H:$H,0,0)=0,"",XLOOKUP(CONCAT(IY44,IZ44),'PROCESOS PRD'!$J:$J,'PROCESOS PRD'!$H:$H,0,0)),"")</f>
        <v/>
      </c>
      <c r="JC44" s="71"/>
      <c r="JD44" s="32"/>
      <c r="JE44" s="72" t="str">
        <f t="array" ref="JE44">IFERROR(IF(XLOOKUP(CONCAT(JC44,JD44),'MASTER PLAN'!$AB:$AB,'MASTER PLAN'!$J:$J,0,0)=0,"",XLOOKUP(CONCAT(JC44,JD44),'MASTER PLAN'!$AB:$AB,'MASTER PLAN'!$J:$J,0,0)),"")</f>
        <v/>
      </c>
      <c r="JF44" s="73" t="str">
        <f t="array" ref="JF44">IFERROR(IF(XLOOKUP(CONCAT(JC44,JD44),'PROCESOS PRD'!$J:$J,'PROCESOS PRD'!$H:$H,0,0)=0,"",XLOOKUP(CONCAT(JC44,JD44),'PROCESOS PRD'!$J:$J,'PROCESOS PRD'!$H:$H,0,0)),"")</f>
        <v/>
      </c>
      <c r="JG44" s="71"/>
      <c r="JH44" s="32"/>
      <c r="JI44" s="72" t="str">
        <f t="array" ref="JI44">IFERROR(IF(XLOOKUP(CONCAT(JG44,JH44),'MASTER PLAN'!$AB:$AB,'MASTER PLAN'!$J:$J,0,0)=0,"",XLOOKUP(CONCAT(JG44,JH44),'MASTER PLAN'!$AB:$AB,'MASTER PLAN'!$J:$J,0,0)),"")</f>
        <v/>
      </c>
      <c r="JJ44" s="73" t="str">
        <f t="array" ref="JJ44">IFERROR(IF(XLOOKUP(CONCAT(JG44,JH44),'PROCESOS PRD'!$J:$J,'PROCESOS PRD'!$H:$H,0,0)=0,"",XLOOKUP(CONCAT(JG44,JH44),'PROCESOS PRD'!$J:$J,'PROCESOS PRD'!$H:$H,0,0)),"")</f>
        <v/>
      </c>
      <c r="JK44" s="70"/>
      <c r="JL44" s="71"/>
      <c r="JM44" s="32"/>
      <c r="JN44" s="72" t="str">
        <f t="array" ref="JN44">IFERROR(IF(XLOOKUP(CONCAT(JL44,JM44),'MASTER PLAN'!$AB:$AB,'MASTER PLAN'!$J:$J,0,0)=0,"",XLOOKUP(CONCAT(JL44,JM44),'MASTER PLAN'!$AB:$AB,'MASTER PLAN'!$J:$J,0,0)),"")</f>
        <v/>
      </c>
      <c r="JO44" s="73" t="str">
        <f t="array" ref="JO44">IFERROR(IF(XLOOKUP(CONCAT(JL44,JM44),'PROCESOS PRD'!$J:$J,'PROCESOS PRD'!$H:$H,0,0)=0,"",XLOOKUP(CONCAT(JL44,JM44),'PROCESOS PRD'!$J:$J,'PROCESOS PRD'!$H:$H,0,0)),"")</f>
        <v/>
      </c>
      <c r="JP44" s="71"/>
      <c r="JQ44" s="32"/>
      <c r="JR44" s="72" t="str">
        <f t="array" ref="JR44">IFERROR(IF(XLOOKUP(CONCAT(JP44,JQ44),'MASTER PLAN'!$AB:$AB,'MASTER PLAN'!$J:$J,0,0)=0,"",XLOOKUP(CONCAT(JP44,JQ44),'MASTER PLAN'!$AB:$AB,'MASTER PLAN'!$J:$J,0,0)),"")</f>
        <v/>
      </c>
      <c r="JS44" s="73" t="str">
        <f t="array" ref="JS44">IFERROR(IF(XLOOKUP(CONCAT(JP44,JQ44),'PROCESOS PRD'!$J:$J,'PROCESOS PRD'!$H:$H,0,0)=0,"",XLOOKUP(CONCAT(JP44,JQ44),'PROCESOS PRD'!$J:$J,'PROCESOS PRD'!$H:$H,0,0)),"")</f>
        <v/>
      </c>
      <c r="JT44" s="71"/>
      <c r="JU44" s="32"/>
      <c r="JV44" s="72" t="str">
        <f t="array" ref="JV44">IFERROR(IF(XLOOKUP(CONCAT(JT44,JU44),'MASTER PLAN'!$AB:$AB,'MASTER PLAN'!$J:$J,0,0)=0,"",XLOOKUP(CONCAT(JT44,JU44),'MASTER PLAN'!$AB:$AB,'MASTER PLAN'!$J:$J,0,0)),"")</f>
        <v/>
      </c>
      <c r="JW44" s="73" t="str">
        <f t="array" ref="JW44">IFERROR(IF(XLOOKUP(CONCAT(JT44,JU44),'PROCESOS PRD'!$J:$J,'PROCESOS PRD'!$H:$H,0,0)=0,"",XLOOKUP(CONCAT(JT44,JU44),'PROCESOS PRD'!$J:$J,'PROCESOS PRD'!$H:$H,0,0)),"")</f>
        <v/>
      </c>
      <c r="JX44" s="71"/>
      <c r="JY44" s="32"/>
      <c r="JZ44" s="72" t="str">
        <f t="array" ref="JZ44">IFERROR(IF(XLOOKUP(CONCAT(JX44,JY44),'MASTER PLAN'!$AB:$AB,'MASTER PLAN'!$J:$J,0,0)=0,"",XLOOKUP(CONCAT(JX44,JY44),'MASTER PLAN'!$AB:$AB,'MASTER PLAN'!$J:$J,0,0)),"")</f>
        <v/>
      </c>
      <c r="KA44" s="73" t="str">
        <f t="array" ref="KA44">IFERROR(IF(XLOOKUP(CONCAT(JX44,JY44),'PROCESOS PRD'!$J:$J,'PROCESOS PRD'!$H:$H,0,0)=0,"",XLOOKUP(CONCAT(JX44,JY44),'PROCESOS PRD'!$J:$J,'PROCESOS PRD'!$H:$H,0,0)),"")</f>
        <v/>
      </c>
      <c r="KB44" s="71"/>
      <c r="KC44" s="32"/>
      <c r="KD44" s="72" t="str">
        <f t="array" ref="KD44">IFERROR(IF(XLOOKUP(CONCAT(KB44,KC44),'MASTER PLAN'!$AB:$AB,'MASTER PLAN'!$J:$J,0,0)=0,"",XLOOKUP(CONCAT(KB44,KC44),'MASTER PLAN'!$AB:$AB,'MASTER PLAN'!$J:$J,0,0)),"")</f>
        <v/>
      </c>
      <c r="KE44" s="73" t="str">
        <f t="array" ref="KE44">IFERROR(IF(XLOOKUP(CONCAT(KB44,KC44),'PROCESOS PRD'!$J:$J,'PROCESOS PRD'!$H:$H,0,0)=0,"",XLOOKUP(CONCAT(KB44,KC44),'PROCESOS PRD'!$J:$J,'PROCESOS PRD'!$H:$H,0,0)),"")</f>
        <v/>
      </c>
      <c r="KF44" s="71"/>
      <c r="KG44" s="32"/>
      <c r="KH44" s="72" t="str">
        <f t="array" ref="KH44">IFERROR(IF(XLOOKUP(CONCAT(KF44,KG44),'MASTER PLAN'!$AB:$AB,'MASTER PLAN'!$J:$J,0,0)=0,"",XLOOKUP(CONCAT(KF44,KG44),'MASTER PLAN'!$AB:$AB,'MASTER PLAN'!$J:$J,0,0)),"")</f>
        <v/>
      </c>
      <c r="KI44" s="73" t="str">
        <f t="array" ref="KI44">IFERROR(IF(XLOOKUP(CONCAT(KF44,KG44),'PROCESOS PRD'!$J:$J,'PROCESOS PRD'!$H:$H,0,0)=0,"",XLOOKUP(CONCAT(KF44,KG44),'PROCESOS PRD'!$J:$J,'PROCESOS PRD'!$H:$H,0,0)),"")</f>
        <v/>
      </c>
      <c r="KJ44" s="70"/>
      <c r="KK44" s="70"/>
      <c r="KL44" s="70"/>
      <c r="KM44" s="70"/>
      <c r="KN44" s="70"/>
      <c r="KO44" s="70"/>
      <c r="KP44" s="70"/>
      <c r="KQ44" s="70"/>
      <c r="KR44" s="70"/>
      <c r="KS44" s="70"/>
      <c r="KT44" s="70"/>
      <c r="KU44" s="70"/>
      <c r="KV44" s="70"/>
      <c r="KW44" s="70"/>
      <c r="KX44" s="70"/>
      <c r="KY44" s="70"/>
      <c r="KZ44" s="70"/>
      <c r="LA44" s="70"/>
      <c r="LB44" s="70"/>
      <c r="LC44" s="70"/>
    </row>
    <row r="45" ht="15.75" customHeight="1">
      <c r="A45" s="42"/>
      <c r="B45" s="74"/>
      <c r="C45" s="69"/>
      <c r="D45" s="70"/>
      <c r="E45" s="71"/>
      <c r="F45" s="32"/>
      <c r="G45" s="72" t="str">
        <f t="array" ref="G45">IFERROR(IF(XLOOKUP(CONCAT(E45,F45),'MASTER PLAN'!$AB:$AB,'MASTER PLAN'!$J:$J,0,0)=0,"",XLOOKUP(CONCAT(E45,F45),'MASTER PLAN'!$AB:$AB,'MASTER PLAN'!$J:$J,0,0)),"")</f>
        <v/>
      </c>
      <c r="H45" s="73" t="str">
        <f t="array" ref="H45">IFERROR(IF(XLOOKUP(CONCAT(E45,F45),'PROCESOS PRD'!$J:$J,'PROCESOS PRD'!$H:$H,0,0)=0,"",XLOOKUP(CONCAT(E45,F45),'PROCESOS PRD'!$J:$J,'PROCESOS PRD'!$H:$H,0,0)),"")</f>
        <v/>
      </c>
      <c r="I45" s="71"/>
      <c r="J45" s="32"/>
      <c r="K45" s="72" t="str">
        <f t="array" ref="K45">IFERROR(IF(XLOOKUP(CONCAT(I45,J45),'MASTER PLAN'!$AB:$AB,'MASTER PLAN'!$J:$J,0,0)=0,"",XLOOKUP(CONCAT(I45,J45),'MASTER PLAN'!$AB:$AB,'MASTER PLAN'!$J:$J,0,0)),"")</f>
        <v/>
      </c>
      <c r="L45" s="73" t="str">
        <f t="array" ref="L45">IFERROR(IF(XLOOKUP(CONCAT(I45,J45),'PROCESOS PRD'!$J:$J,'PROCESOS PRD'!$H:$H,0,0)=0,"",XLOOKUP(CONCAT(I45,J45),'PROCESOS PRD'!$J:$J,'PROCESOS PRD'!$H:$H,0,0)),"")</f>
        <v/>
      </c>
      <c r="M45" s="71"/>
      <c r="N45" s="32"/>
      <c r="O45" s="72" t="str">
        <f t="array" ref="O45">IFERROR(IF(XLOOKUP(CONCAT(M45,N45),'MASTER PLAN'!$AB:$AB,'MASTER PLAN'!$J:$J,0,0)=0,"",XLOOKUP(CONCAT(M45,N45),'MASTER PLAN'!$AB:$AB,'MASTER PLAN'!$J:$J,0,0)),"")</f>
        <v/>
      </c>
      <c r="P45" s="73" t="str">
        <f t="array" ref="P45">IFERROR(IF(XLOOKUP(CONCAT(M45,N45),'PROCESOS PRD'!$J:$J,'PROCESOS PRD'!$H:$H,0,0)=0,"",XLOOKUP(CONCAT(M45,N45),'PROCESOS PRD'!$J:$J,'PROCESOS PRD'!$H:$H,0,0)),"")</f>
        <v/>
      </c>
      <c r="Q45" s="71"/>
      <c r="R45" s="32"/>
      <c r="S45" s="72" t="str">
        <f t="array" ref="S45">IFERROR(IF(XLOOKUP(CONCAT(Q45,R45),'MASTER PLAN'!$AB:$AB,'MASTER PLAN'!$J:$J,0,0)=0,"",XLOOKUP(CONCAT(Q45,R45),'MASTER PLAN'!$AB:$AB,'MASTER PLAN'!$J:$J,0,0)),"")</f>
        <v/>
      </c>
      <c r="T45" s="73" t="str">
        <f t="array" ref="T45">IFERROR(IF(XLOOKUP(CONCAT(Q45,R45),'PROCESOS PRD'!$J:$J,'PROCESOS PRD'!$H:$H,0,0)=0,"",XLOOKUP(CONCAT(Q45,R45),'PROCESOS PRD'!$J:$J,'PROCESOS PRD'!$H:$H,0,0)),"")</f>
        <v/>
      </c>
      <c r="U45" s="70"/>
      <c r="V45" s="71"/>
      <c r="W45" s="32"/>
      <c r="X45" s="72" t="str">
        <f t="array" ref="X45">IFERROR(IF(XLOOKUP(CONCAT(V45,W45),'MASTER PLAN'!$AB:$AB,'MASTER PLAN'!$J:$J,0,0)=0,"",XLOOKUP(CONCAT(V45,W45),'MASTER PLAN'!$AB:$AB,'MASTER PLAN'!$J:$J,0,0)),"")</f>
        <v/>
      </c>
      <c r="Y45" s="73" t="str">
        <f t="array" ref="Y45">IFERROR(IF(XLOOKUP(CONCAT(V45,W45),'PROCESOS PRD'!$J:$J,'PROCESOS PRD'!$H:$H,0,0)=0,"",XLOOKUP(CONCAT(V45,W45),'PROCESOS PRD'!$J:$J,'PROCESOS PRD'!$H:$H,0,0)),"")</f>
        <v/>
      </c>
      <c r="Z45" s="71"/>
      <c r="AA45" s="32"/>
      <c r="AB45" s="72" t="str">
        <f t="array" ref="AB45">IFERROR(IF(XLOOKUP(CONCAT(Z45,AA45),'MASTER PLAN'!$AB:$AB,'MASTER PLAN'!$J:$J,0,0)=0,"",XLOOKUP(CONCAT(Z45,AA45),'MASTER PLAN'!$AB:$AB,'MASTER PLAN'!$J:$J,0,0)),"")</f>
        <v/>
      </c>
      <c r="AC45" s="73" t="str">
        <f t="array" ref="AC45">IFERROR(IF(XLOOKUP(CONCAT(Z45,AA45),'PROCESOS PRD'!$J:$J,'PROCESOS PRD'!$H:$H,0,0)=0,"",XLOOKUP(CONCAT(Z45,AA45),'PROCESOS PRD'!$J:$J,'PROCESOS PRD'!$H:$H,0,0)),"")</f>
        <v/>
      </c>
      <c r="AD45" s="71"/>
      <c r="AE45" s="32"/>
      <c r="AF45" s="72" t="str">
        <f t="array" ref="AF45">IFERROR(IF(XLOOKUP(CONCAT(AD45,AE45),'MASTER PLAN'!$AB:$AB,'MASTER PLAN'!$J:$J,0,0)=0,"",XLOOKUP(CONCAT(AD45,AE45),'MASTER PLAN'!$AB:$AB,'MASTER PLAN'!$J:$J,0,0)),"")</f>
        <v/>
      </c>
      <c r="AG45" s="73" t="str">
        <f t="array" ref="AG45">IFERROR(IF(XLOOKUP(CONCAT(AD45,AE45),'PROCESOS PRD'!$J:$J,'PROCESOS PRD'!$H:$H,0,0)=0,"",XLOOKUP(CONCAT(AD45,AE45),'PROCESOS PRD'!$J:$J,'PROCESOS PRD'!$H:$H,0,0)),"")</f>
        <v/>
      </c>
      <c r="AH45" s="71"/>
      <c r="AI45" s="32"/>
      <c r="AJ45" s="72" t="str">
        <f t="array" ref="AJ45">IFERROR(IF(XLOOKUP(CONCAT(AH45,AI45),'MASTER PLAN'!$AB:$AB,'MASTER PLAN'!$J:$J,0,0)=0,"",XLOOKUP(CONCAT(AH45,AI45),'MASTER PLAN'!$AB:$AB,'MASTER PLAN'!$J:$J,0,0)),"")</f>
        <v/>
      </c>
      <c r="AK45" s="73" t="str">
        <f t="array" ref="AK45">IFERROR(IF(XLOOKUP(CONCAT(AH45,AI45),'PROCESOS PRD'!$J:$J,'PROCESOS PRD'!$H:$H,0,0)=0,"",XLOOKUP(CONCAT(AH45,AI45),'PROCESOS PRD'!$J:$J,'PROCESOS PRD'!$H:$H,0,0)),"")</f>
        <v/>
      </c>
      <c r="AL45" s="71"/>
      <c r="AM45" s="32"/>
      <c r="AN45" s="72" t="str">
        <f t="array" ref="AN45">IFERROR(IF(XLOOKUP(CONCAT(AL45,AM45),'MASTER PLAN'!$AB:$AB,'MASTER PLAN'!$J:$J,0,0)=0,"",XLOOKUP(CONCAT(AL45,AM45),'MASTER PLAN'!$AB:$AB,'MASTER PLAN'!$J:$J,0,0)),"")</f>
        <v/>
      </c>
      <c r="AO45" s="73" t="str">
        <f t="array" ref="AO45">IFERROR(IF(XLOOKUP(CONCAT(AL45,AM45),'PROCESOS PRD'!$J:$J,'PROCESOS PRD'!$H:$H,0,0)=0,"",XLOOKUP(CONCAT(AL45,AM45),'PROCESOS PRD'!$J:$J,'PROCESOS PRD'!$H:$H,0,0)),"")</f>
        <v/>
      </c>
      <c r="AP45" s="71"/>
      <c r="AQ45" s="32"/>
      <c r="AR45" s="72" t="str">
        <f t="array" ref="AR45">IFERROR(IF(XLOOKUP(CONCAT(AP45,AQ45),'MASTER PLAN'!$AB:$AB,'MASTER PLAN'!$J:$J,0,0)=0,"",XLOOKUP(CONCAT(AP45,AQ45),'MASTER PLAN'!$AB:$AB,'MASTER PLAN'!$J:$J,0,0)),"")</f>
        <v/>
      </c>
      <c r="AS45" s="73" t="str">
        <f t="array" ref="AS45">IFERROR(IF(XLOOKUP(CONCAT(AP45,AQ45),'PROCESOS PRD'!$J:$J,'PROCESOS PRD'!$H:$H,0,0)=0,"",XLOOKUP(CONCAT(AP45,AQ45),'PROCESOS PRD'!$J:$J,'PROCESOS PRD'!$H:$H,0,0)),"")</f>
        <v/>
      </c>
      <c r="AT45" s="70"/>
      <c r="AU45" s="71"/>
      <c r="AV45" s="32"/>
      <c r="AW45" s="72" t="str">
        <f t="array" ref="AW45">IFERROR(IF(XLOOKUP(CONCAT(AU45,AV45),'MASTER PLAN'!$AB:$AB,'MASTER PLAN'!$J:$J,0,0)=0,"",XLOOKUP(CONCAT(AU45,AV45),'MASTER PLAN'!$AB:$AB,'MASTER PLAN'!$J:$J,0,0)),"")</f>
        <v/>
      </c>
      <c r="AX45" s="73" t="str">
        <f t="array" ref="AX45">IFERROR(IF(XLOOKUP(CONCAT(AU45,AV45),'PROCESOS PRD'!$J:$J,'PROCESOS PRD'!$H:$H,0,0)=0,"",XLOOKUP(CONCAT(AU45,AV45),'PROCESOS PRD'!$J:$J,'PROCESOS PRD'!$H:$H,0,0)),"")</f>
        <v/>
      </c>
      <c r="AY45" s="71"/>
      <c r="AZ45" s="32"/>
      <c r="BA45" s="72" t="str">
        <f t="array" ref="BA45">IFERROR(IF(XLOOKUP(CONCAT(AY45,AZ45),'MASTER PLAN'!$AB:$AB,'MASTER PLAN'!$J:$J,0,0)=0,"",XLOOKUP(CONCAT(AY45,AZ45),'MASTER PLAN'!$AB:$AB,'MASTER PLAN'!$J:$J,0,0)),"")</f>
        <v/>
      </c>
      <c r="BB45" s="73" t="str">
        <f t="array" ref="BB45">IFERROR(IF(XLOOKUP(CONCAT(AY45,AZ45),'PROCESOS PRD'!$J:$J,'PROCESOS PRD'!$H:$H,0,0)=0,"",XLOOKUP(CONCAT(AY45,AZ45),'PROCESOS PRD'!$J:$J,'PROCESOS PRD'!$H:$H,0,0)),"")</f>
        <v/>
      </c>
      <c r="BC45" s="71"/>
      <c r="BD45" s="32"/>
      <c r="BE45" s="72" t="str">
        <f t="array" ref="BE45">IFERROR(IF(XLOOKUP(CONCAT(BC45,BD45),'MASTER PLAN'!$AB:$AB,'MASTER PLAN'!$J:$J,0,0)=0,"",XLOOKUP(CONCAT(BC45,BD45),'MASTER PLAN'!$AB:$AB,'MASTER PLAN'!$J:$J,0,0)),"")</f>
        <v/>
      </c>
      <c r="BF45" s="73" t="str">
        <f t="array" ref="BF45">IFERROR(IF(XLOOKUP(CONCAT(BC45,BD45),'PROCESOS PRD'!$J:$J,'PROCESOS PRD'!$H:$H,0,0)=0,"",XLOOKUP(CONCAT(BC45,BD45),'PROCESOS PRD'!$J:$J,'PROCESOS PRD'!$H:$H,0,0)),"")</f>
        <v/>
      </c>
      <c r="BG45" s="71"/>
      <c r="BH45" s="32"/>
      <c r="BI45" s="72" t="str">
        <f t="array" ref="BI45">IFERROR(IF(XLOOKUP(CONCAT(BG45,BH45),'MASTER PLAN'!$AB:$AB,'MASTER PLAN'!$J:$J,0,0)=0,"",XLOOKUP(CONCAT(BG45,BH45),'MASTER PLAN'!$AB:$AB,'MASTER PLAN'!$J:$J,0,0)),"")</f>
        <v/>
      </c>
      <c r="BJ45" s="73" t="str">
        <f t="array" ref="BJ45">IFERROR(IF(XLOOKUP(CONCAT(BG45,BH45),'PROCESOS PRD'!$J:$J,'PROCESOS PRD'!$H:$H,0,0)=0,"",XLOOKUP(CONCAT(BG45,BH45),'PROCESOS PRD'!$J:$J,'PROCESOS PRD'!$H:$H,0,0)),"")</f>
        <v/>
      </c>
      <c r="BK45" s="71"/>
      <c r="BL45" s="32"/>
      <c r="BM45" s="72" t="str">
        <f t="array" ref="BM45">IFERROR(IF(XLOOKUP(CONCAT(BK45,BL45),'MASTER PLAN'!$AB:$AB,'MASTER PLAN'!$J:$J,0,0)=0,"",XLOOKUP(CONCAT(BK45,BL45),'MASTER PLAN'!$AB:$AB,'MASTER PLAN'!$J:$J,0,0)),"")</f>
        <v/>
      </c>
      <c r="BN45" s="73" t="str">
        <f t="array" ref="BN45">IFERROR(IF(XLOOKUP(CONCAT(BK45,BL45),'PROCESOS PRD'!$J:$J,'PROCESOS PRD'!$H:$H,0,0)=0,"",XLOOKUP(CONCAT(BK45,BL45),'PROCESOS PRD'!$J:$J,'PROCESOS PRD'!$H:$H,0,0)),"")</f>
        <v/>
      </c>
      <c r="BO45" s="71"/>
      <c r="BP45" s="32"/>
      <c r="BQ45" s="72" t="str">
        <f t="array" ref="BQ45">IFERROR(IF(XLOOKUP(CONCAT(BO45,BP45),'MASTER PLAN'!$AB:$AB,'MASTER PLAN'!$J:$J,0,0)=0,"",XLOOKUP(CONCAT(BO45,BP45),'MASTER PLAN'!$AB:$AB,'MASTER PLAN'!$J:$J,0,0)),"")</f>
        <v/>
      </c>
      <c r="BR45" s="73" t="str">
        <f t="array" ref="BR45">IFERROR(IF(XLOOKUP(CONCAT(BO45,BP45),'PROCESOS PRD'!$J:$J,'PROCESOS PRD'!$H:$H,0,0)=0,"",XLOOKUP(CONCAT(BO45,BP45),'PROCESOS PRD'!$J:$J,'PROCESOS PRD'!$H:$H,0,0)),"")</f>
        <v/>
      </c>
      <c r="BS45" s="70"/>
      <c r="BT45" s="71"/>
      <c r="BU45" s="32"/>
      <c r="BV45" s="72" t="str">
        <f t="array" ref="BV45">IFERROR(IF(XLOOKUP(CONCAT(BT45,BU45),'MASTER PLAN'!$AB:$AB,'MASTER PLAN'!$J:$J,0,0)=0,"",XLOOKUP(CONCAT(BT45,BU45),'MASTER PLAN'!$AB:$AB,'MASTER PLAN'!$J:$J,0,0)),"")</f>
        <v/>
      </c>
      <c r="BW45" s="73" t="str">
        <f t="array" ref="BW45">IFERROR(IF(XLOOKUP(CONCAT(BT45,BU45),'PROCESOS PRD'!$J:$J,'PROCESOS PRD'!$H:$H,0,0)=0,"",XLOOKUP(CONCAT(BT45,BU45),'PROCESOS PRD'!$J:$J,'PROCESOS PRD'!$H:$H,0,0)),"")</f>
        <v/>
      </c>
      <c r="BX45" s="71"/>
      <c r="BY45" s="32"/>
      <c r="BZ45" s="72" t="str">
        <f t="array" ref="BZ45">IFERROR(IF(XLOOKUP(CONCAT(BX45,BY45),'MASTER PLAN'!$AB:$AB,'MASTER PLAN'!$J:$J,0,0)=0,"",XLOOKUP(CONCAT(BX45,BY45),'MASTER PLAN'!$AB:$AB,'MASTER PLAN'!$J:$J,0,0)),"")</f>
        <v/>
      </c>
      <c r="CA45" s="73" t="str">
        <f t="array" ref="CA45">IFERROR(IF(XLOOKUP(CONCAT(BX45,BY45),'PROCESOS PRD'!$J:$J,'PROCESOS PRD'!$H:$H,0,0)=0,"",XLOOKUP(CONCAT(BX45,BY45),'PROCESOS PRD'!$J:$J,'PROCESOS PRD'!$H:$H,0,0)),"")</f>
        <v/>
      </c>
      <c r="CB45" s="71"/>
      <c r="CC45" s="32"/>
      <c r="CD45" s="72" t="str">
        <f t="array" ref="CD45">IFERROR(IF(XLOOKUP(CONCAT(CB45,CC45),'MASTER PLAN'!$AB:$AB,'MASTER PLAN'!$J:$J,0,0)=0,"",XLOOKUP(CONCAT(CB45,CC45),'MASTER PLAN'!$AB:$AB,'MASTER PLAN'!$J:$J,0,0)),"")</f>
        <v/>
      </c>
      <c r="CE45" s="73" t="str">
        <f t="array" ref="CE45">IFERROR(IF(XLOOKUP(CONCAT(CB45,CC45),'PROCESOS PRD'!$J:$J,'PROCESOS PRD'!$H:$H,0,0)=0,"",XLOOKUP(CONCAT(CB45,CC45),'PROCESOS PRD'!$J:$J,'PROCESOS PRD'!$H:$H,0,0)),"")</f>
        <v/>
      </c>
      <c r="CF45" s="71"/>
      <c r="CG45" s="32"/>
      <c r="CH45" s="72" t="str">
        <f t="array" ref="CH45">IFERROR(IF(XLOOKUP(CONCAT(CF45,CG45),'MASTER PLAN'!$AB:$AB,'MASTER PLAN'!$J:$J,0,0)=0,"",XLOOKUP(CONCAT(CF45,CG45),'MASTER PLAN'!$AB:$AB,'MASTER PLAN'!$J:$J,0,0)),"")</f>
        <v/>
      </c>
      <c r="CI45" s="73" t="str">
        <f t="array" ref="CI45">IFERROR(IF(XLOOKUP(CONCAT(CF45,CG45),'PROCESOS PRD'!$J:$J,'PROCESOS PRD'!$H:$H,0,0)=0,"",XLOOKUP(CONCAT(CF45,CG45),'PROCESOS PRD'!$J:$J,'PROCESOS PRD'!$H:$H,0,0)),"")</f>
        <v/>
      </c>
      <c r="CJ45" s="71"/>
      <c r="CK45" s="32"/>
      <c r="CL45" s="72" t="str">
        <f t="array" ref="CL45">IFERROR(IF(XLOOKUP(CONCAT(CJ45,CK45),'MASTER PLAN'!$AB:$AB,'MASTER PLAN'!$J:$J,0,0)=0,"",XLOOKUP(CONCAT(CJ45,CK45),'MASTER PLAN'!$AB:$AB,'MASTER PLAN'!$J:$J,0,0)),"")</f>
        <v/>
      </c>
      <c r="CM45" s="73" t="str">
        <f t="array" ref="CM45">IFERROR(IF(XLOOKUP(CONCAT(CJ45,CK45),'PROCESOS PRD'!$J:$J,'PROCESOS PRD'!$H:$H,0,0)=0,"",XLOOKUP(CONCAT(CJ45,CK45),'PROCESOS PRD'!$J:$J,'PROCESOS PRD'!$H:$H,0,0)),"")</f>
        <v/>
      </c>
      <c r="CN45" s="71"/>
      <c r="CO45" s="32"/>
      <c r="CP45" s="72" t="str">
        <f t="array" ref="CP45">IFERROR(IF(XLOOKUP(CONCAT(CN45,CO45),'MASTER PLAN'!$AB:$AB,'MASTER PLAN'!$J:$J,0,0)=0,"",XLOOKUP(CONCAT(CN45,CO45),'MASTER PLAN'!$AB:$AB,'MASTER PLAN'!$J:$J,0,0)),"")</f>
        <v/>
      </c>
      <c r="CQ45" s="73" t="str">
        <f t="array" ref="CQ45">IFERROR(IF(XLOOKUP(CONCAT(CN45,CO45),'PROCESOS PRD'!$J:$J,'PROCESOS PRD'!$H:$H,0,0)=0,"",XLOOKUP(CONCAT(CN45,CO45),'PROCESOS PRD'!$J:$J,'PROCESOS PRD'!$H:$H,0,0)),"")</f>
        <v/>
      </c>
      <c r="CR45" s="70"/>
      <c r="CS45" s="71"/>
      <c r="CT45" s="32"/>
      <c r="CU45" s="72" t="str">
        <f t="array" ref="CU45">IFERROR(IF(XLOOKUP(CONCAT(CS45,CT45),'MASTER PLAN'!$AB:$AB,'MASTER PLAN'!$J:$J,0,0)=0,"",XLOOKUP(CONCAT(CS45,CT45),'MASTER PLAN'!$AB:$AB,'MASTER PLAN'!$J:$J,0,0)),"")</f>
        <v/>
      </c>
      <c r="CV45" s="73" t="str">
        <f t="array" ref="CV45">IFERROR(IF(XLOOKUP(CONCAT(CS45,CT45),'PROCESOS PRD'!$J:$J,'PROCESOS PRD'!$H:$H,0,0)=0,"",XLOOKUP(CONCAT(CS45,CT45),'PROCESOS PRD'!$J:$J,'PROCESOS PRD'!$H:$H,0,0)),"")</f>
        <v/>
      </c>
      <c r="CW45" s="71"/>
      <c r="CX45" s="32"/>
      <c r="CY45" s="72" t="str">
        <f t="array" ref="CY45">IFERROR(IF(XLOOKUP(CONCAT(CW45,CX45),'MASTER PLAN'!$AB:$AB,'MASTER PLAN'!$J:$J,0,0)=0,"",XLOOKUP(CONCAT(CW45,CX45),'MASTER PLAN'!$AB:$AB,'MASTER PLAN'!$J:$J,0,0)),"")</f>
        <v/>
      </c>
      <c r="CZ45" s="73" t="str">
        <f t="array" ref="CZ45">IFERROR(IF(XLOOKUP(CONCAT(CW45,CX45),'PROCESOS PRD'!$J:$J,'PROCESOS PRD'!$H:$H,0,0)=0,"",XLOOKUP(CONCAT(CW45,CX45),'PROCESOS PRD'!$J:$J,'PROCESOS PRD'!$H:$H,0,0)),"")</f>
        <v/>
      </c>
      <c r="DA45" s="71"/>
      <c r="DB45" s="32"/>
      <c r="DC45" s="72" t="str">
        <f t="array" ref="DC45">IFERROR(IF(XLOOKUP(CONCAT(DA45,DB45),'MASTER PLAN'!$AB:$AB,'MASTER PLAN'!$J:$J,0,0)=0,"",XLOOKUP(CONCAT(DA45,DB45),'MASTER PLAN'!$AB:$AB,'MASTER PLAN'!$J:$J,0,0)),"")</f>
        <v/>
      </c>
      <c r="DD45" s="73" t="str">
        <f t="array" ref="DD45">IFERROR(IF(XLOOKUP(CONCAT(DA45,DB45),'PROCESOS PRD'!$J:$J,'PROCESOS PRD'!$H:$H,0,0)=0,"",XLOOKUP(CONCAT(DA45,DB45),'PROCESOS PRD'!$J:$J,'PROCESOS PRD'!$H:$H,0,0)),"")</f>
        <v/>
      </c>
      <c r="DE45" s="71"/>
      <c r="DF45" s="32"/>
      <c r="DG45" s="72" t="str">
        <f t="array" ref="DG45">IFERROR(IF(XLOOKUP(CONCAT(DE45,DF45),'MASTER PLAN'!$AB:$AB,'MASTER PLAN'!$J:$J,0,0)=0,"",XLOOKUP(CONCAT(DE45,DF45),'MASTER PLAN'!$AB:$AB,'MASTER PLAN'!$J:$J,0,0)),"")</f>
        <v/>
      </c>
      <c r="DH45" s="73" t="str">
        <f t="array" ref="DH45">IFERROR(IF(XLOOKUP(CONCAT(DE45,DF45),'PROCESOS PRD'!$J:$J,'PROCESOS PRD'!$H:$H,0,0)=0,"",XLOOKUP(CONCAT(DE45,DF45),'PROCESOS PRD'!$J:$J,'PROCESOS PRD'!$H:$H,0,0)),"")</f>
        <v/>
      </c>
      <c r="DI45" s="71"/>
      <c r="DJ45" s="32"/>
      <c r="DK45" s="72" t="str">
        <f t="array" ref="DK45">IFERROR(IF(XLOOKUP(CONCAT(DI45,DJ45),'MASTER PLAN'!$AB:$AB,'MASTER PLAN'!$J:$J,0,0)=0,"",XLOOKUP(CONCAT(DI45,DJ45),'MASTER PLAN'!$AB:$AB,'MASTER PLAN'!$J:$J,0,0)),"")</f>
        <v/>
      </c>
      <c r="DL45" s="73" t="str">
        <f t="array" ref="DL45">IFERROR(IF(XLOOKUP(CONCAT(DI45,DJ45),'PROCESOS PRD'!$J:$J,'PROCESOS PRD'!$H:$H,0,0)=0,"",XLOOKUP(CONCAT(DI45,DJ45),'PROCESOS PRD'!$J:$J,'PROCESOS PRD'!$H:$H,0,0)),"")</f>
        <v/>
      </c>
      <c r="DM45" s="71"/>
      <c r="DN45" s="32"/>
      <c r="DO45" s="72" t="str">
        <f t="array" ref="DO45">IFERROR(IF(XLOOKUP(CONCAT(DM45,DN45),'MASTER PLAN'!$AB:$AB,'MASTER PLAN'!$J:$J,0,0)=0,"",XLOOKUP(CONCAT(DM45,DN45),'MASTER PLAN'!$AB:$AB,'MASTER PLAN'!$J:$J,0,0)),"")</f>
        <v/>
      </c>
      <c r="DP45" s="73" t="str">
        <f t="array" ref="DP45">IFERROR(IF(XLOOKUP(CONCAT(DM45,DN45),'PROCESOS PRD'!$J:$J,'PROCESOS PRD'!$H:$H,0,0)=0,"",XLOOKUP(CONCAT(DM45,DN45),'PROCESOS PRD'!$J:$J,'PROCESOS PRD'!$H:$H,0,0)),"")</f>
        <v/>
      </c>
      <c r="DQ45" s="70"/>
      <c r="DR45" s="71"/>
      <c r="DS45" s="32"/>
      <c r="DT45" s="72" t="str">
        <f t="array" ref="DT45">IFERROR(IF(XLOOKUP(CONCAT(DR45,DS45),'MASTER PLAN'!$AB:$AB,'MASTER PLAN'!$J:$J,0,0)=0,"",XLOOKUP(CONCAT(DR45,DS45),'MASTER PLAN'!$AB:$AB,'MASTER PLAN'!$J:$J,0,0)),"")</f>
        <v/>
      </c>
      <c r="DU45" s="73" t="str">
        <f t="array" ref="DU45">IFERROR(IF(XLOOKUP(CONCAT(DR45,DS45),'PROCESOS PRD'!$J:$J,'PROCESOS PRD'!$H:$H,0,0)=0,"",XLOOKUP(CONCAT(DR45,DS45),'PROCESOS PRD'!$J:$J,'PROCESOS PRD'!$H:$H,0,0)),"")</f>
        <v/>
      </c>
      <c r="DV45" s="71"/>
      <c r="DW45" s="32"/>
      <c r="DX45" s="72" t="str">
        <f t="array" ref="DX45">IFERROR(IF(XLOOKUP(CONCAT(DV45,DW45),'MASTER PLAN'!$AB:$AB,'MASTER PLAN'!$J:$J,0,0)=0,"",XLOOKUP(CONCAT(DV45,DW45),'MASTER PLAN'!$AB:$AB,'MASTER PLAN'!$J:$J,0,0)),"")</f>
        <v/>
      </c>
      <c r="DY45" s="73" t="str">
        <f t="array" ref="DY45">IFERROR(IF(XLOOKUP(CONCAT(DV45,DW45),'PROCESOS PRD'!$J:$J,'PROCESOS PRD'!$H:$H,0,0)=0,"",XLOOKUP(CONCAT(DV45,DW45),'PROCESOS PRD'!$J:$J,'PROCESOS PRD'!$H:$H,0,0)),"")</f>
        <v/>
      </c>
      <c r="DZ45" s="71"/>
      <c r="EA45" s="32"/>
      <c r="EB45" s="72" t="str">
        <f t="array" ref="EB45">IFERROR(IF(XLOOKUP(CONCAT(DZ45,EA45),'MASTER PLAN'!$AB:$AB,'MASTER PLAN'!$J:$J,0,0)=0,"",XLOOKUP(CONCAT(DZ45,EA45),'MASTER PLAN'!$AB:$AB,'MASTER PLAN'!$J:$J,0,0)),"")</f>
        <v/>
      </c>
      <c r="EC45" s="73" t="str">
        <f t="array" ref="EC45">IFERROR(IF(XLOOKUP(CONCAT(DZ45,EA45),'PROCESOS PRD'!$J:$J,'PROCESOS PRD'!$H:$H,0,0)=0,"",XLOOKUP(CONCAT(DZ45,EA45),'PROCESOS PRD'!$J:$J,'PROCESOS PRD'!$H:$H,0,0)),"")</f>
        <v/>
      </c>
      <c r="ED45" s="71"/>
      <c r="EE45" s="32"/>
      <c r="EF45" s="72" t="str">
        <f t="array" ref="EF45">IFERROR(IF(XLOOKUP(CONCAT(ED45,EE45),'MASTER PLAN'!$AB:$AB,'MASTER PLAN'!$J:$J,0,0)=0,"",XLOOKUP(CONCAT(ED45,EE45),'MASTER PLAN'!$AB:$AB,'MASTER PLAN'!$J:$J,0,0)),"")</f>
        <v/>
      </c>
      <c r="EG45" s="73" t="str">
        <f t="array" ref="EG45">IFERROR(IF(XLOOKUP(CONCAT(ED45,EE45),'PROCESOS PRD'!$J:$J,'PROCESOS PRD'!$H:$H,0,0)=0,"",XLOOKUP(CONCAT(ED45,EE45),'PROCESOS PRD'!$J:$J,'PROCESOS PRD'!$H:$H,0,0)),"")</f>
        <v/>
      </c>
      <c r="EH45" s="71"/>
      <c r="EI45" s="32"/>
      <c r="EJ45" s="72" t="str">
        <f t="array" ref="EJ45">IFERROR(IF(XLOOKUP(CONCAT(EH45,EI45),'MASTER PLAN'!$AB:$AB,'MASTER PLAN'!$J:$J,0,0)=0,"",XLOOKUP(CONCAT(EH45,EI45),'MASTER PLAN'!$AB:$AB,'MASTER PLAN'!$J:$J,0,0)),"")</f>
        <v/>
      </c>
      <c r="EK45" s="73" t="str">
        <f t="array" ref="EK45">IFERROR(IF(XLOOKUP(CONCAT(EH45,EI45),'PROCESOS PRD'!$J:$J,'PROCESOS PRD'!$H:$H,0,0)=0,"",XLOOKUP(CONCAT(EH45,EI45),'PROCESOS PRD'!$J:$J,'PROCESOS PRD'!$H:$H,0,0)),"")</f>
        <v/>
      </c>
      <c r="EL45" s="71"/>
      <c r="EM45" s="32"/>
      <c r="EN45" s="72" t="str">
        <f t="array" ref="EN45">IFERROR(IF(XLOOKUP(CONCAT(EL45,EM45),'MASTER PLAN'!$AB:$AB,'MASTER PLAN'!$J:$J,0,0)=0,"",XLOOKUP(CONCAT(EL45,EM45),'MASTER PLAN'!$AB:$AB,'MASTER PLAN'!$J:$J,0,0)),"")</f>
        <v/>
      </c>
      <c r="EO45" s="73" t="str">
        <f t="array" ref="EO45">IFERROR(IF(XLOOKUP(CONCAT(EL45,EM45),'PROCESOS PRD'!$J:$J,'PROCESOS PRD'!$H:$H,0,0)=0,"",XLOOKUP(CONCAT(EL45,EM45),'PROCESOS PRD'!$J:$J,'PROCESOS PRD'!$H:$H,0,0)),"")</f>
        <v/>
      </c>
      <c r="EP45" s="70"/>
      <c r="EQ45" s="71"/>
      <c r="ER45" s="32"/>
      <c r="ES45" s="72" t="str">
        <f t="array" ref="ES45">IFERROR(IF(XLOOKUP(CONCAT(EQ45,ER45),'MASTER PLAN'!$AB:$AB,'MASTER PLAN'!$J:$J,0,0)=0,"",XLOOKUP(CONCAT(EQ45,ER45),'MASTER PLAN'!$AB:$AB,'MASTER PLAN'!$J:$J,0,0)),"")</f>
        <v/>
      </c>
      <c r="ET45" s="73" t="str">
        <f t="array" ref="ET45">IFERROR(IF(XLOOKUP(CONCAT(EQ45,ER45),'PROCESOS PRD'!$J:$J,'PROCESOS PRD'!$H:$H,0,0)=0,"",XLOOKUP(CONCAT(EQ45,ER45),'PROCESOS PRD'!$J:$J,'PROCESOS PRD'!$H:$H,0,0)),"")</f>
        <v/>
      </c>
      <c r="EU45" s="71"/>
      <c r="EV45" s="32"/>
      <c r="EW45" s="72" t="str">
        <f t="array" ref="EW45">IFERROR(IF(XLOOKUP(CONCAT(EU45,EV45),'MASTER PLAN'!$AB:$AB,'MASTER PLAN'!$J:$J,0,0)=0,"",XLOOKUP(CONCAT(EU45,EV45),'MASTER PLAN'!$AB:$AB,'MASTER PLAN'!$J:$J,0,0)),"")</f>
        <v/>
      </c>
      <c r="EX45" s="73" t="str">
        <f t="array" ref="EX45">IFERROR(IF(XLOOKUP(CONCAT(EU45,EV45),'PROCESOS PRD'!$J:$J,'PROCESOS PRD'!$H:$H,0,0)=0,"",XLOOKUP(CONCAT(EU45,EV45),'PROCESOS PRD'!$J:$J,'PROCESOS PRD'!$H:$H,0,0)),"")</f>
        <v/>
      </c>
      <c r="EY45" s="71"/>
      <c r="EZ45" s="32"/>
      <c r="FA45" s="72" t="str">
        <f t="array" ref="FA45">IFERROR(IF(XLOOKUP(CONCAT(EY45,EZ45),'MASTER PLAN'!$AB:$AB,'MASTER PLAN'!$J:$J,0,0)=0,"",XLOOKUP(CONCAT(EY45,EZ45),'MASTER PLAN'!$AB:$AB,'MASTER PLAN'!$J:$J,0,0)),"")</f>
        <v/>
      </c>
      <c r="FB45" s="73" t="str">
        <f t="array" ref="FB45">IFERROR(IF(XLOOKUP(CONCAT(EY45,EZ45),'PROCESOS PRD'!$J:$J,'PROCESOS PRD'!$H:$H,0,0)=0,"",XLOOKUP(CONCAT(EY45,EZ45),'PROCESOS PRD'!$J:$J,'PROCESOS PRD'!$H:$H,0,0)),"")</f>
        <v/>
      </c>
      <c r="FC45" s="71"/>
      <c r="FD45" s="32"/>
      <c r="FE45" s="72" t="str">
        <f t="array" ref="FE45">IFERROR(IF(XLOOKUP(CONCAT(FC45,FD45),'MASTER PLAN'!$AB:$AB,'MASTER PLAN'!$J:$J,0,0)=0,"",XLOOKUP(CONCAT(FC45,FD45),'MASTER PLAN'!$AB:$AB,'MASTER PLAN'!$J:$J,0,0)),"")</f>
        <v/>
      </c>
      <c r="FF45" s="73" t="str">
        <f t="array" ref="FF45">IFERROR(IF(XLOOKUP(CONCAT(FC45,FD45),'PROCESOS PRD'!$J:$J,'PROCESOS PRD'!$H:$H,0,0)=0,"",XLOOKUP(CONCAT(FC45,FD45),'PROCESOS PRD'!$J:$J,'PROCESOS PRD'!$H:$H,0,0)),"")</f>
        <v/>
      </c>
      <c r="FG45" s="71"/>
      <c r="FH45" s="32"/>
      <c r="FI45" s="72" t="str">
        <f t="array" ref="FI45">IFERROR(IF(XLOOKUP(CONCAT(FG45,FH45),'MASTER PLAN'!$AB:$AB,'MASTER PLAN'!$J:$J,0,0)=0,"",XLOOKUP(CONCAT(FG45,FH45),'MASTER PLAN'!$AB:$AB,'MASTER PLAN'!$J:$J,0,0)),"")</f>
        <v/>
      </c>
      <c r="FJ45" s="73" t="str">
        <f t="array" ref="FJ45">IFERROR(IF(XLOOKUP(CONCAT(FG45,FH45),'PROCESOS PRD'!$J:$J,'PROCESOS PRD'!$H:$H,0,0)=0,"",XLOOKUP(CONCAT(FG45,FH45),'PROCESOS PRD'!$J:$J,'PROCESOS PRD'!$H:$H,0,0)),"")</f>
        <v/>
      </c>
      <c r="FK45" s="71"/>
      <c r="FL45" s="32"/>
      <c r="FM45" s="72" t="str">
        <f t="array" ref="FM45">IFERROR(IF(XLOOKUP(CONCAT(FK45,FL45),'MASTER PLAN'!$AB:$AB,'MASTER PLAN'!$J:$J,0,0)=0,"",XLOOKUP(CONCAT(FK45,FL45),'MASTER PLAN'!$AB:$AB,'MASTER PLAN'!$J:$J,0,0)),"")</f>
        <v/>
      </c>
      <c r="FN45" s="73" t="str">
        <f t="array" ref="FN45">IFERROR(IF(XLOOKUP(CONCAT(FK45,FL45),'PROCESOS PRD'!$J:$J,'PROCESOS PRD'!$H:$H,0,0)=0,"",XLOOKUP(CONCAT(FK45,FL45),'PROCESOS PRD'!$J:$J,'PROCESOS PRD'!$H:$H,0,0)),"")</f>
        <v/>
      </c>
      <c r="FO45" s="70"/>
      <c r="FP45" s="71"/>
      <c r="FQ45" s="32"/>
      <c r="FR45" s="72" t="str">
        <f t="array" ref="FR45">IFERROR(IF(XLOOKUP(CONCAT(FP45,FQ45),'MASTER PLAN'!$AB:$AB,'MASTER PLAN'!$J:$J,0,0)=0,"",XLOOKUP(CONCAT(FP45,FQ45),'MASTER PLAN'!$AB:$AB,'MASTER PLAN'!$J:$J,0,0)),"")</f>
        <v/>
      </c>
      <c r="FS45" s="73" t="str">
        <f t="array" ref="FS45">IFERROR(IF(XLOOKUP(CONCAT(FP45,FQ45),'PROCESOS PRD'!$J:$J,'PROCESOS PRD'!$H:$H,0,0)=0,"",XLOOKUP(CONCAT(FP45,FQ45),'PROCESOS PRD'!$J:$J,'PROCESOS PRD'!$H:$H,0,0)),"")</f>
        <v/>
      </c>
      <c r="FT45" s="71"/>
      <c r="FU45" s="32"/>
      <c r="FV45" s="72" t="str">
        <f t="array" ref="FV45">IFERROR(IF(XLOOKUP(CONCAT(FT45,FU45),'MASTER PLAN'!$AB:$AB,'MASTER PLAN'!$J:$J,0,0)=0,"",XLOOKUP(CONCAT(FT45,FU45),'MASTER PLAN'!$AB:$AB,'MASTER PLAN'!$J:$J,0,0)),"")</f>
        <v/>
      </c>
      <c r="FW45" s="73" t="str">
        <f t="array" ref="FW45">IFERROR(IF(XLOOKUP(CONCAT(FT45,FU45),'PROCESOS PRD'!$J:$J,'PROCESOS PRD'!$H:$H,0,0)=0,"",XLOOKUP(CONCAT(FT45,FU45),'PROCESOS PRD'!$J:$J,'PROCESOS PRD'!$H:$H,0,0)),"")</f>
        <v/>
      </c>
      <c r="FX45" s="71"/>
      <c r="FY45" s="32"/>
      <c r="FZ45" s="72" t="str">
        <f t="array" ref="FZ45">IFERROR(IF(XLOOKUP(CONCAT(FX45,FY45),'MASTER PLAN'!$AB:$AB,'MASTER PLAN'!$J:$J,0,0)=0,"",XLOOKUP(CONCAT(FX45,FY45),'MASTER PLAN'!$AB:$AB,'MASTER PLAN'!$J:$J,0,0)),"")</f>
        <v/>
      </c>
      <c r="GA45" s="73" t="str">
        <f t="array" ref="GA45">IFERROR(IF(XLOOKUP(CONCAT(FX45,FY45),'PROCESOS PRD'!$J:$J,'PROCESOS PRD'!$H:$H,0,0)=0,"",XLOOKUP(CONCAT(FX45,FY45),'PROCESOS PRD'!$J:$J,'PROCESOS PRD'!$H:$H,0,0)),"")</f>
        <v/>
      </c>
      <c r="GB45" s="71"/>
      <c r="GC45" s="32"/>
      <c r="GD45" s="72" t="str">
        <f t="array" ref="GD45">IFERROR(IF(XLOOKUP(CONCAT(GB45,GC45),'MASTER PLAN'!$AB:$AB,'MASTER PLAN'!$J:$J,0,0)=0,"",XLOOKUP(CONCAT(GB45,GC45),'MASTER PLAN'!$AB:$AB,'MASTER PLAN'!$J:$J,0,0)),"")</f>
        <v/>
      </c>
      <c r="GE45" s="73" t="str">
        <f t="array" ref="GE45">IFERROR(IF(XLOOKUP(CONCAT(GB45,GC45),'PROCESOS PRD'!$J:$J,'PROCESOS PRD'!$H:$H,0,0)=0,"",XLOOKUP(CONCAT(GB45,GC45),'PROCESOS PRD'!$J:$J,'PROCESOS PRD'!$H:$H,0,0)),"")</f>
        <v/>
      </c>
      <c r="GF45" s="71"/>
      <c r="GG45" s="32"/>
      <c r="GH45" s="72" t="str">
        <f t="array" ref="GH45">IFERROR(IF(XLOOKUP(CONCAT(GF45,GG45),'MASTER PLAN'!$AB:$AB,'MASTER PLAN'!$J:$J,0,0)=0,"",XLOOKUP(CONCAT(GF45,GG45),'MASTER PLAN'!$AB:$AB,'MASTER PLAN'!$J:$J,0,0)),"")</f>
        <v/>
      </c>
      <c r="GI45" s="73" t="str">
        <f t="array" ref="GI45">IFERROR(IF(XLOOKUP(CONCAT(GF45,GG45),'PROCESOS PRD'!$J:$J,'PROCESOS PRD'!$H:$H,0,0)=0,"",XLOOKUP(CONCAT(GF45,GG45),'PROCESOS PRD'!$J:$J,'PROCESOS PRD'!$H:$H,0,0)),"")</f>
        <v/>
      </c>
      <c r="GJ45" s="71"/>
      <c r="GK45" s="32"/>
      <c r="GL45" s="72" t="str">
        <f t="array" ref="GL45">IFERROR(IF(XLOOKUP(CONCAT(GJ45,GK45),'MASTER PLAN'!$AB:$AB,'MASTER PLAN'!$J:$J,0,0)=0,"",XLOOKUP(CONCAT(GJ45,GK45),'MASTER PLAN'!$AB:$AB,'MASTER PLAN'!$J:$J,0,0)),"")</f>
        <v/>
      </c>
      <c r="GM45" s="73" t="str">
        <f t="array" ref="GM45">IFERROR(IF(XLOOKUP(CONCAT(GJ45,GK45),'PROCESOS PRD'!$J:$J,'PROCESOS PRD'!$H:$H,0,0)=0,"",XLOOKUP(CONCAT(GJ45,GK45),'PROCESOS PRD'!$J:$J,'PROCESOS PRD'!$H:$H,0,0)),"")</f>
        <v/>
      </c>
      <c r="GN45" s="70"/>
      <c r="GO45" s="71"/>
      <c r="GP45" s="32"/>
      <c r="GQ45" s="72" t="str">
        <f t="array" ref="GQ45">IFERROR(IF(XLOOKUP(CONCAT(GO45,GP45),'MASTER PLAN'!$AB:$AB,'MASTER PLAN'!$J:$J,0,0)=0,"",XLOOKUP(CONCAT(GO45,GP45),'MASTER PLAN'!$AB:$AB,'MASTER PLAN'!$J:$J,0,0)),"")</f>
        <v/>
      </c>
      <c r="GR45" s="73" t="str">
        <f t="array" ref="GR45">IFERROR(IF(XLOOKUP(CONCAT(GO45,GP45),'PROCESOS PRD'!$J:$J,'PROCESOS PRD'!$H:$H,0,0)=0,"",XLOOKUP(CONCAT(GO45,GP45),'PROCESOS PRD'!$J:$J,'PROCESOS PRD'!$H:$H,0,0)),"")</f>
        <v/>
      </c>
      <c r="GS45" s="71"/>
      <c r="GT45" s="32"/>
      <c r="GU45" s="72" t="str">
        <f t="array" ref="GU45">IFERROR(IF(XLOOKUP(CONCAT(GS45,GT45),'MASTER PLAN'!$AB:$AB,'MASTER PLAN'!$J:$J,0,0)=0,"",XLOOKUP(CONCAT(GS45,GT45),'MASTER PLAN'!$AB:$AB,'MASTER PLAN'!$J:$J,0,0)),"")</f>
        <v/>
      </c>
      <c r="GV45" s="73" t="str">
        <f t="array" ref="GV45">IFERROR(IF(XLOOKUP(CONCAT(GS45,GT45),'PROCESOS PRD'!$J:$J,'PROCESOS PRD'!$H:$H,0,0)=0,"",XLOOKUP(CONCAT(GS45,GT45),'PROCESOS PRD'!$J:$J,'PROCESOS PRD'!$H:$H,0,0)),"")</f>
        <v/>
      </c>
      <c r="GW45" s="71"/>
      <c r="GX45" s="32"/>
      <c r="GY45" s="72" t="str">
        <f t="array" ref="GY45">IFERROR(IF(XLOOKUP(CONCAT(GW45,GX45),'MASTER PLAN'!$AB:$AB,'MASTER PLAN'!$J:$J,0,0)=0,"",XLOOKUP(CONCAT(GW45,GX45),'MASTER PLAN'!$AB:$AB,'MASTER PLAN'!$J:$J,0,0)),"")</f>
        <v/>
      </c>
      <c r="GZ45" s="73" t="str">
        <f t="array" ref="GZ45">IFERROR(IF(XLOOKUP(CONCAT(GW45,GX45),'PROCESOS PRD'!$J:$J,'PROCESOS PRD'!$H:$H,0,0)=0,"",XLOOKUP(CONCAT(GW45,GX45),'PROCESOS PRD'!$J:$J,'PROCESOS PRD'!$H:$H,0,0)),"")</f>
        <v/>
      </c>
      <c r="HA45" s="71"/>
      <c r="HB45" s="32"/>
      <c r="HC45" s="72" t="str">
        <f t="array" ref="HC45">IFERROR(IF(XLOOKUP(CONCAT(HA45,HB45),'MASTER PLAN'!$AB:$AB,'MASTER PLAN'!$J:$J,0,0)=0,"",XLOOKUP(CONCAT(HA45,HB45),'MASTER PLAN'!$AB:$AB,'MASTER PLAN'!$J:$J,0,0)),"")</f>
        <v/>
      </c>
      <c r="HD45" s="73" t="str">
        <f t="array" ref="HD45">IFERROR(IF(XLOOKUP(CONCAT(HA45,HB45),'PROCESOS PRD'!$J:$J,'PROCESOS PRD'!$H:$H,0,0)=0,"",XLOOKUP(CONCAT(HA45,HB45),'PROCESOS PRD'!$J:$J,'PROCESOS PRD'!$H:$H,0,0)),"")</f>
        <v/>
      </c>
      <c r="HE45" s="71"/>
      <c r="HF45" s="32"/>
      <c r="HG45" s="72" t="str">
        <f t="array" ref="HG45">IFERROR(IF(XLOOKUP(CONCAT(HE45,HF45),'MASTER PLAN'!$AB:$AB,'MASTER PLAN'!$J:$J,0,0)=0,"",XLOOKUP(CONCAT(HE45,HF45),'MASTER PLAN'!$AB:$AB,'MASTER PLAN'!$J:$J,0,0)),"")</f>
        <v/>
      </c>
      <c r="HH45" s="73" t="str">
        <f t="array" ref="HH45">IFERROR(IF(XLOOKUP(CONCAT(HE45,HF45),'PROCESOS PRD'!$J:$J,'PROCESOS PRD'!$H:$H,0,0)=0,"",XLOOKUP(CONCAT(HE45,HF45),'PROCESOS PRD'!$J:$J,'PROCESOS PRD'!$H:$H,0,0)),"")</f>
        <v/>
      </c>
      <c r="HI45" s="71"/>
      <c r="HJ45" s="32"/>
      <c r="HK45" s="72" t="str">
        <f t="array" ref="HK45">IFERROR(IF(XLOOKUP(CONCAT(HI45,HJ45),'MASTER PLAN'!$AB:$AB,'MASTER PLAN'!$J:$J,0,0)=0,"",XLOOKUP(CONCAT(HI45,HJ45),'MASTER PLAN'!$AB:$AB,'MASTER PLAN'!$J:$J,0,0)),"")</f>
        <v/>
      </c>
      <c r="HL45" s="73" t="str">
        <f t="array" ref="HL45">IFERROR(IF(XLOOKUP(CONCAT(HI45,HJ45),'PROCESOS PRD'!$J:$J,'PROCESOS PRD'!$H:$H,0,0)=0,"",XLOOKUP(CONCAT(HI45,HJ45),'PROCESOS PRD'!$J:$J,'PROCESOS PRD'!$H:$H,0,0)),"")</f>
        <v/>
      </c>
      <c r="HM45" s="70"/>
      <c r="HN45" s="71"/>
      <c r="HO45" s="32"/>
      <c r="HP45" s="72" t="str">
        <f t="array" ref="HP45">IFERROR(IF(XLOOKUP(CONCAT(HN45,HO45),'MASTER PLAN'!$AB:$AB,'MASTER PLAN'!$J:$J,0,0)=0,"",XLOOKUP(CONCAT(HN45,HO45),'MASTER PLAN'!$AB:$AB,'MASTER PLAN'!$J:$J,0,0)),"")</f>
        <v/>
      </c>
      <c r="HQ45" s="73" t="str">
        <f t="array" ref="HQ45">IFERROR(IF(XLOOKUP(CONCAT(HN45,HO45),'PROCESOS PRD'!$J:$J,'PROCESOS PRD'!$H:$H,0,0)=0,"",XLOOKUP(CONCAT(HN45,HO45),'PROCESOS PRD'!$J:$J,'PROCESOS PRD'!$H:$H,0,0)),"")</f>
        <v/>
      </c>
      <c r="HR45" s="71"/>
      <c r="HS45" s="32"/>
      <c r="HT45" s="72" t="str">
        <f t="array" ref="HT45">IFERROR(IF(XLOOKUP(CONCAT(HR45,HS45),'MASTER PLAN'!$AB:$AB,'MASTER PLAN'!$J:$J,0,0)=0,"",XLOOKUP(CONCAT(HR45,HS45),'MASTER PLAN'!$AB:$AB,'MASTER PLAN'!$J:$J,0,0)),"")</f>
        <v/>
      </c>
      <c r="HU45" s="73" t="str">
        <f t="array" ref="HU45">IFERROR(IF(XLOOKUP(CONCAT(HR45,HS45),'PROCESOS PRD'!$J:$J,'PROCESOS PRD'!$H:$H,0,0)=0,"",XLOOKUP(CONCAT(HR45,HS45),'PROCESOS PRD'!$J:$J,'PROCESOS PRD'!$H:$H,0,0)),"")</f>
        <v/>
      </c>
      <c r="HV45" s="71"/>
      <c r="HW45" s="32"/>
      <c r="HX45" s="72" t="str">
        <f t="array" ref="HX45">IFERROR(IF(XLOOKUP(CONCAT(HV45,HW45),'MASTER PLAN'!$AB:$AB,'MASTER PLAN'!$J:$J,0,0)=0,"",XLOOKUP(CONCAT(HV45,HW45),'MASTER PLAN'!$AB:$AB,'MASTER PLAN'!$J:$J,0,0)),"")</f>
        <v/>
      </c>
      <c r="HY45" s="73" t="str">
        <f t="array" ref="HY45">IFERROR(IF(XLOOKUP(CONCAT(HV45,HW45),'PROCESOS PRD'!$J:$J,'PROCESOS PRD'!$H:$H,0,0)=0,"",XLOOKUP(CONCAT(HV45,HW45),'PROCESOS PRD'!$J:$J,'PROCESOS PRD'!$H:$H,0,0)),"")</f>
        <v/>
      </c>
      <c r="HZ45" s="71"/>
      <c r="IA45" s="32"/>
      <c r="IB45" s="72" t="str">
        <f t="array" ref="IB45">IFERROR(IF(XLOOKUP(CONCAT(HZ45,IA45),'MASTER PLAN'!$AB:$AB,'MASTER PLAN'!$J:$J,0,0)=0,"",XLOOKUP(CONCAT(HZ45,IA45),'MASTER PLAN'!$AB:$AB,'MASTER PLAN'!$J:$J,0,0)),"")</f>
        <v/>
      </c>
      <c r="IC45" s="73" t="str">
        <f t="array" ref="IC45">IFERROR(IF(XLOOKUP(CONCAT(HZ45,IA45),'PROCESOS PRD'!$J:$J,'PROCESOS PRD'!$H:$H,0,0)=0,"",XLOOKUP(CONCAT(HZ45,IA45),'PROCESOS PRD'!$J:$J,'PROCESOS PRD'!$H:$H,0,0)),"")</f>
        <v/>
      </c>
      <c r="ID45" s="71"/>
      <c r="IE45" s="32"/>
      <c r="IF45" s="72" t="str">
        <f t="array" ref="IF45">IFERROR(IF(XLOOKUP(CONCAT(ID45,IE45),'MASTER PLAN'!$AB:$AB,'MASTER PLAN'!$J:$J,0,0)=0,"",XLOOKUP(CONCAT(ID45,IE45),'MASTER PLAN'!$AB:$AB,'MASTER PLAN'!$J:$J,0,0)),"")</f>
        <v/>
      </c>
      <c r="IG45" s="73" t="str">
        <f t="array" ref="IG45">IFERROR(IF(XLOOKUP(CONCAT(ID45,IE45),'PROCESOS PRD'!$J:$J,'PROCESOS PRD'!$H:$H,0,0)=0,"",XLOOKUP(CONCAT(ID45,IE45),'PROCESOS PRD'!$J:$J,'PROCESOS PRD'!$H:$H,0,0)),"")</f>
        <v/>
      </c>
      <c r="IH45" s="71"/>
      <c r="II45" s="32"/>
      <c r="IJ45" s="72" t="str">
        <f t="array" ref="IJ45">IFERROR(IF(XLOOKUP(CONCAT(IH45,II45),'MASTER PLAN'!$AB:$AB,'MASTER PLAN'!$J:$J,0,0)=0,"",XLOOKUP(CONCAT(IH45,II45),'MASTER PLAN'!$AB:$AB,'MASTER PLAN'!$J:$J,0,0)),"")</f>
        <v/>
      </c>
      <c r="IK45" s="73" t="str">
        <f t="array" ref="IK45">IFERROR(IF(XLOOKUP(CONCAT(IH45,II45),'PROCESOS PRD'!$J:$J,'PROCESOS PRD'!$H:$H,0,0)=0,"",XLOOKUP(CONCAT(IH45,II45),'PROCESOS PRD'!$J:$J,'PROCESOS PRD'!$H:$H,0,0)),"")</f>
        <v/>
      </c>
      <c r="IL45" s="70"/>
      <c r="IM45" s="71"/>
      <c r="IN45" s="32"/>
      <c r="IO45" s="72" t="str">
        <f t="array" ref="IO45">IFERROR(IF(XLOOKUP(CONCAT(IM45,IN45),'MASTER PLAN'!$AB:$AB,'MASTER PLAN'!$J:$J,0,0)=0,"",XLOOKUP(CONCAT(IM45,IN45),'MASTER PLAN'!$AB:$AB,'MASTER PLAN'!$J:$J,0,0)),"")</f>
        <v/>
      </c>
      <c r="IP45" s="73" t="str">
        <f t="array" ref="IP45">IFERROR(IF(XLOOKUP(CONCAT(IM45,IN45),'PROCESOS PRD'!$J:$J,'PROCESOS PRD'!$H:$H,0,0)=0,"",XLOOKUP(CONCAT(IM45,IN45),'PROCESOS PRD'!$J:$J,'PROCESOS PRD'!$H:$H,0,0)),"")</f>
        <v/>
      </c>
      <c r="IQ45" s="71"/>
      <c r="IR45" s="32"/>
      <c r="IS45" s="72" t="str">
        <f t="array" ref="IS45">IFERROR(IF(XLOOKUP(CONCAT(IQ45,IR45),'MASTER PLAN'!$AB:$AB,'MASTER PLAN'!$J:$J,0,0)=0,"",XLOOKUP(CONCAT(IQ45,IR45),'MASTER PLAN'!$AB:$AB,'MASTER PLAN'!$J:$J,0,0)),"")</f>
        <v/>
      </c>
      <c r="IT45" s="73" t="str">
        <f t="array" ref="IT45">IFERROR(IF(XLOOKUP(CONCAT(IQ45,IR45),'PROCESOS PRD'!$J:$J,'PROCESOS PRD'!$H:$H,0,0)=0,"",XLOOKUP(CONCAT(IQ45,IR45),'PROCESOS PRD'!$J:$J,'PROCESOS PRD'!$H:$H,0,0)),"")</f>
        <v/>
      </c>
      <c r="IU45" s="71"/>
      <c r="IV45" s="32"/>
      <c r="IW45" s="72" t="str">
        <f t="array" ref="IW45">IFERROR(IF(XLOOKUP(CONCAT(IU45,IV45),'MASTER PLAN'!$AB:$AB,'MASTER PLAN'!$J:$J,0,0)=0,"",XLOOKUP(CONCAT(IU45,IV45),'MASTER PLAN'!$AB:$AB,'MASTER PLAN'!$J:$J,0,0)),"")</f>
        <v/>
      </c>
      <c r="IX45" s="73" t="str">
        <f t="array" ref="IX45">IFERROR(IF(XLOOKUP(CONCAT(IU45,IV45),'PROCESOS PRD'!$J:$J,'PROCESOS PRD'!$H:$H,0,0)=0,"",XLOOKUP(CONCAT(IU45,IV45),'PROCESOS PRD'!$J:$J,'PROCESOS PRD'!$H:$H,0,0)),"")</f>
        <v/>
      </c>
      <c r="IY45" s="71"/>
      <c r="IZ45" s="32"/>
      <c r="JA45" s="72" t="str">
        <f t="array" ref="JA45">IFERROR(IF(XLOOKUP(CONCAT(IY45,IZ45),'MASTER PLAN'!$AB:$AB,'MASTER PLAN'!$J:$J,0,0)=0,"",XLOOKUP(CONCAT(IY45,IZ45),'MASTER PLAN'!$AB:$AB,'MASTER PLAN'!$J:$J,0,0)),"")</f>
        <v/>
      </c>
      <c r="JB45" s="73" t="str">
        <f t="array" ref="JB45">IFERROR(IF(XLOOKUP(CONCAT(IY45,IZ45),'PROCESOS PRD'!$J:$J,'PROCESOS PRD'!$H:$H,0,0)=0,"",XLOOKUP(CONCAT(IY45,IZ45),'PROCESOS PRD'!$J:$J,'PROCESOS PRD'!$H:$H,0,0)),"")</f>
        <v/>
      </c>
      <c r="JC45" s="71"/>
      <c r="JD45" s="32"/>
      <c r="JE45" s="72" t="str">
        <f t="array" ref="JE45">IFERROR(IF(XLOOKUP(CONCAT(JC45,JD45),'MASTER PLAN'!$AB:$AB,'MASTER PLAN'!$J:$J,0,0)=0,"",XLOOKUP(CONCAT(JC45,JD45),'MASTER PLAN'!$AB:$AB,'MASTER PLAN'!$J:$J,0,0)),"")</f>
        <v/>
      </c>
      <c r="JF45" s="73" t="str">
        <f t="array" ref="JF45">IFERROR(IF(XLOOKUP(CONCAT(JC45,JD45),'PROCESOS PRD'!$J:$J,'PROCESOS PRD'!$H:$H,0,0)=0,"",XLOOKUP(CONCAT(JC45,JD45),'PROCESOS PRD'!$J:$J,'PROCESOS PRD'!$H:$H,0,0)),"")</f>
        <v/>
      </c>
      <c r="JG45" s="71"/>
      <c r="JH45" s="32"/>
      <c r="JI45" s="72" t="str">
        <f t="array" ref="JI45">IFERROR(IF(XLOOKUP(CONCAT(JG45,JH45),'MASTER PLAN'!$AB:$AB,'MASTER PLAN'!$J:$J,0,0)=0,"",XLOOKUP(CONCAT(JG45,JH45),'MASTER PLAN'!$AB:$AB,'MASTER PLAN'!$J:$J,0,0)),"")</f>
        <v/>
      </c>
      <c r="JJ45" s="73" t="str">
        <f t="array" ref="JJ45">IFERROR(IF(XLOOKUP(CONCAT(JG45,JH45),'PROCESOS PRD'!$J:$J,'PROCESOS PRD'!$H:$H,0,0)=0,"",XLOOKUP(CONCAT(JG45,JH45),'PROCESOS PRD'!$J:$J,'PROCESOS PRD'!$H:$H,0,0)),"")</f>
        <v/>
      </c>
      <c r="JK45" s="70"/>
      <c r="JL45" s="71"/>
      <c r="JM45" s="32"/>
      <c r="JN45" s="72" t="str">
        <f t="array" ref="JN45">IFERROR(IF(XLOOKUP(CONCAT(JL45,JM45),'MASTER PLAN'!$AB:$AB,'MASTER PLAN'!$J:$J,0,0)=0,"",XLOOKUP(CONCAT(JL45,JM45),'MASTER PLAN'!$AB:$AB,'MASTER PLAN'!$J:$J,0,0)),"")</f>
        <v/>
      </c>
      <c r="JO45" s="73" t="str">
        <f t="array" ref="JO45">IFERROR(IF(XLOOKUP(CONCAT(JL45,JM45),'PROCESOS PRD'!$J:$J,'PROCESOS PRD'!$H:$H,0,0)=0,"",XLOOKUP(CONCAT(JL45,JM45),'PROCESOS PRD'!$J:$J,'PROCESOS PRD'!$H:$H,0,0)),"")</f>
        <v/>
      </c>
      <c r="JP45" s="71"/>
      <c r="JQ45" s="32"/>
      <c r="JR45" s="72" t="str">
        <f t="array" ref="JR45">IFERROR(IF(XLOOKUP(CONCAT(JP45,JQ45),'MASTER PLAN'!$AB:$AB,'MASTER PLAN'!$J:$J,0,0)=0,"",XLOOKUP(CONCAT(JP45,JQ45),'MASTER PLAN'!$AB:$AB,'MASTER PLAN'!$J:$J,0,0)),"")</f>
        <v/>
      </c>
      <c r="JS45" s="73" t="str">
        <f t="array" ref="JS45">IFERROR(IF(XLOOKUP(CONCAT(JP45,JQ45),'PROCESOS PRD'!$J:$J,'PROCESOS PRD'!$H:$H,0,0)=0,"",XLOOKUP(CONCAT(JP45,JQ45),'PROCESOS PRD'!$J:$J,'PROCESOS PRD'!$H:$H,0,0)),"")</f>
        <v/>
      </c>
      <c r="JT45" s="71"/>
      <c r="JU45" s="32"/>
      <c r="JV45" s="72" t="str">
        <f t="array" ref="JV45">IFERROR(IF(XLOOKUP(CONCAT(JT45,JU45),'MASTER PLAN'!$AB:$AB,'MASTER PLAN'!$J:$J,0,0)=0,"",XLOOKUP(CONCAT(JT45,JU45),'MASTER PLAN'!$AB:$AB,'MASTER PLAN'!$J:$J,0,0)),"")</f>
        <v/>
      </c>
      <c r="JW45" s="73" t="str">
        <f t="array" ref="JW45">IFERROR(IF(XLOOKUP(CONCAT(JT45,JU45),'PROCESOS PRD'!$J:$J,'PROCESOS PRD'!$H:$H,0,0)=0,"",XLOOKUP(CONCAT(JT45,JU45),'PROCESOS PRD'!$J:$J,'PROCESOS PRD'!$H:$H,0,0)),"")</f>
        <v/>
      </c>
      <c r="JX45" s="71"/>
      <c r="JY45" s="32"/>
      <c r="JZ45" s="72" t="str">
        <f t="array" ref="JZ45">IFERROR(IF(XLOOKUP(CONCAT(JX45,JY45),'MASTER PLAN'!$AB:$AB,'MASTER PLAN'!$J:$J,0,0)=0,"",XLOOKUP(CONCAT(JX45,JY45),'MASTER PLAN'!$AB:$AB,'MASTER PLAN'!$J:$J,0,0)),"")</f>
        <v/>
      </c>
      <c r="KA45" s="73" t="str">
        <f t="array" ref="KA45">IFERROR(IF(XLOOKUP(CONCAT(JX45,JY45),'PROCESOS PRD'!$J:$J,'PROCESOS PRD'!$H:$H,0,0)=0,"",XLOOKUP(CONCAT(JX45,JY45),'PROCESOS PRD'!$J:$J,'PROCESOS PRD'!$H:$H,0,0)),"")</f>
        <v/>
      </c>
      <c r="KB45" s="71"/>
      <c r="KC45" s="32"/>
      <c r="KD45" s="72" t="str">
        <f t="array" ref="KD45">IFERROR(IF(XLOOKUP(CONCAT(KB45,KC45),'MASTER PLAN'!$AB:$AB,'MASTER PLAN'!$J:$J,0,0)=0,"",XLOOKUP(CONCAT(KB45,KC45),'MASTER PLAN'!$AB:$AB,'MASTER PLAN'!$J:$J,0,0)),"")</f>
        <v/>
      </c>
      <c r="KE45" s="73" t="str">
        <f t="array" ref="KE45">IFERROR(IF(XLOOKUP(CONCAT(KB45,KC45),'PROCESOS PRD'!$J:$J,'PROCESOS PRD'!$H:$H,0,0)=0,"",XLOOKUP(CONCAT(KB45,KC45),'PROCESOS PRD'!$J:$J,'PROCESOS PRD'!$H:$H,0,0)),"")</f>
        <v/>
      </c>
      <c r="KF45" s="71"/>
      <c r="KG45" s="32"/>
      <c r="KH45" s="72" t="str">
        <f t="array" ref="KH45">IFERROR(IF(XLOOKUP(CONCAT(KF45,KG45),'MASTER PLAN'!$AB:$AB,'MASTER PLAN'!$J:$J,0,0)=0,"",XLOOKUP(CONCAT(KF45,KG45),'MASTER PLAN'!$AB:$AB,'MASTER PLAN'!$J:$J,0,0)),"")</f>
        <v/>
      </c>
      <c r="KI45" s="73" t="str">
        <f t="array" ref="KI45">IFERROR(IF(XLOOKUP(CONCAT(KF45,KG45),'PROCESOS PRD'!$J:$J,'PROCESOS PRD'!$H:$H,0,0)=0,"",XLOOKUP(CONCAT(KF45,KG45),'PROCESOS PRD'!$J:$J,'PROCESOS PRD'!$H:$H,0,0)),"")</f>
        <v/>
      </c>
      <c r="KJ45" s="70"/>
      <c r="KK45" s="70"/>
      <c r="KL45" s="70"/>
      <c r="KM45" s="70"/>
      <c r="KN45" s="70"/>
      <c r="KO45" s="70"/>
      <c r="KP45" s="70"/>
      <c r="KQ45" s="70"/>
      <c r="KR45" s="70"/>
      <c r="KS45" s="70"/>
      <c r="KT45" s="70"/>
      <c r="KU45" s="70"/>
      <c r="KV45" s="70"/>
      <c r="KW45" s="70"/>
      <c r="KX45" s="70"/>
      <c r="KY45" s="70"/>
      <c r="KZ45" s="70"/>
      <c r="LA45" s="70"/>
      <c r="LB45" s="70"/>
      <c r="LC45" s="70"/>
    </row>
    <row r="46" ht="15.75" customHeight="1">
      <c r="A46" s="42"/>
      <c r="B46" s="74"/>
      <c r="C46" s="69"/>
      <c r="D46" s="70"/>
      <c r="E46" s="71"/>
      <c r="F46" s="32"/>
      <c r="G46" s="72" t="str">
        <f t="array" ref="G46">IFERROR(IF(XLOOKUP(CONCAT(E46,F46),'MASTER PLAN'!$AB:$AB,'MASTER PLAN'!$J:$J,0,0)=0,"",XLOOKUP(CONCAT(E46,F46),'MASTER PLAN'!$AB:$AB,'MASTER PLAN'!$J:$J,0,0)),"")</f>
        <v/>
      </c>
      <c r="H46" s="73" t="str">
        <f t="array" ref="H46">IFERROR(IF(XLOOKUP(CONCAT(E46,F46),'PROCESOS PRD'!$J:$J,'PROCESOS PRD'!$H:$H,0,0)=0,"",XLOOKUP(CONCAT(E46,F46),'PROCESOS PRD'!$J:$J,'PROCESOS PRD'!$H:$H,0,0)),"")</f>
        <v/>
      </c>
      <c r="I46" s="71"/>
      <c r="J46" s="32"/>
      <c r="K46" s="72" t="str">
        <f t="array" ref="K46">IFERROR(IF(XLOOKUP(CONCAT(I46,J46),'MASTER PLAN'!$AB:$AB,'MASTER PLAN'!$J:$J,0,0)=0,"",XLOOKUP(CONCAT(I46,J46),'MASTER PLAN'!$AB:$AB,'MASTER PLAN'!$J:$J,0,0)),"")</f>
        <v/>
      </c>
      <c r="L46" s="73" t="str">
        <f t="array" ref="L46">IFERROR(IF(XLOOKUP(CONCAT(I46,J46),'PROCESOS PRD'!$J:$J,'PROCESOS PRD'!$H:$H,0,0)=0,"",XLOOKUP(CONCAT(I46,J46),'PROCESOS PRD'!$J:$J,'PROCESOS PRD'!$H:$H,0,0)),"")</f>
        <v/>
      </c>
      <c r="M46" s="71"/>
      <c r="N46" s="32"/>
      <c r="O46" s="72" t="str">
        <f t="array" ref="O46">IFERROR(IF(XLOOKUP(CONCAT(M46,N46),'MASTER PLAN'!$AB:$AB,'MASTER PLAN'!$J:$J,0,0)=0,"",XLOOKUP(CONCAT(M46,N46),'MASTER PLAN'!$AB:$AB,'MASTER PLAN'!$J:$J,0,0)),"")</f>
        <v/>
      </c>
      <c r="P46" s="73" t="str">
        <f t="array" ref="P46">IFERROR(IF(XLOOKUP(CONCAT(M46,N46),'PROCESOS PRD'!$J:$J,'PROCESOS PRD'!$H:$H,0,0)=0,"",XLOOKUP(CONCAT(M46,N46),'PROCESOS PRD'!$J:$J,'PROCESOS PRD'!$H:$H,0,0)),"")</f>
        <v/>
      </c>
      <c r="Q46" s="71"/>
      <c r="R46" s="32"/>
      <c r="S46" s="72" t="str">
        <f t="array" ref="S46">IFERROR(IF(XLOOKUP(CONCAT(Q46,R46),'MASTER PLAN'!$AB:$AB,'MASTER PLAN'!$J:$J,0,0)=0,"",XLOOKUP(CONCAT(Q46,R46),'MASTER PLAN'!$AB:$AB,'MASTER PLAN'!$J:$J,0,0)),"")</f>
        <v/>
      </c>
      <c r="T46" s="73" t="str">
        <f t="array" ref="T46">IFERROR(IF(XLOOKUP(CONCAT(Q46,R46),'PROCESOS PRD'!$J:$J,'PROCESOS PRD'!$H:$H,0,0)=0,"",XLOOKUP(CONCAT(Q46,R46),'PROCESOS PRD'!$J:$J,'PROCESOS PRD'!$H:$H,0,0)),"")</f>
        <v/>
      </c>
      <c r="U46" s="70"/>
      <c r="V46" s="71"/>
      <c r="W46" s="32"/>
      <c r="X46" s="72" t="str">
        <f t="array" ref="X46">IFERROR(IF(XLOOKUP(CONCAT(V46,W46),'MASTER PLAN'!$AB:$AB,'MASTER PLAN'!$J:$J,0,0)=0,"",XLOOKUP(CONCAT(V46,W46),'MASTER PLAN'!$AB:$AB,'MASTER PLAN'!$J:$J,0,0)),"")</f>
        <v/>
      </c>
      <c r="Y46" s="73" t="str">
        <f t="array" ref="Y46">IFERROR(IF(XLOOKUP(CONCAT(V46,W46),'PROCESOS PRD'!$J:$J,'PROCESOS PRD'!$H:$H,0,0)=0,"",XLOOKUP(CONCAT(V46,W46),'PROCESOS PRD'!$J:$J,'PROCESOS PRD'!$H:$H,0,0)),"")</f>
        <v/>
      </c>
      <c r="Z46" s="71"/>
      <c r="AA46" s="32"/>
      <c r="AB46" s="72" t="str">
        <f t="array" ref="AB46">IFERROR(IF(XLOOKUP(CONCAT(Z46,AA46),'MASTER PLAN'!$AB:$AB,'MASTER PLAN'!$J:$J,0,0)=0,"",XLOOKUP(CONCAT(Z46,AA46),'MASTER PLAN'!$AB:$AB,'MASTER PLAN'!$J:$J,0,0)),"")</f>
        <v/>
      </c>
      <c r="AC46" s="73" t="str">
        <f t="array" ref="AC46">IFERROR(IF(XLOOKUP(CONCAT(Z46,AA46),'PROCESOS PRD'!$J:$J,'PROCESOS PRD'!$H:$H,0,0)=0,"",XLOOKUP(CONCAT(Z46,AA46),'PROCESOS PRD'!$J:$J,'PROCESOS PRD'!$H:$H,0,0)),"")</f>
        <v/>
      </c>
      <c r="AD46" s="71"/>
      <c r="AE46" s="32"/>
      <c r="AF46" s="72" t="str">
        <f t="array" ref="AF46">IFERROR(IF(XLOOKUP(CONCAT(AD46,AE46),'MASTER PLAN'!$AB:$AB,'MASTER PLAN'!$J:$J,0,0)=0,"",XLOOKUP(CONCAT(AD46,AE46),'MASTER PLAN'!$AB:$AB,'MASTER PLAN'!$J:$J,0,0)),"")</f>
        <v/>
      </c>
      <c r="AG46" s="73" t="str">
        <f t="array" ref="AG46">IFERROR(IF(XLOOKUP(CONCAT(AD46,AE46),'PROCESOS PRD'!$J:$J,'PROCESOS PRD'!$H:$H,0,0)=0,"",XLOOKUP(CONCAT(AD46,AE46),'PROCESOS PRD'!$J:$J,'PROCESOS PRD'!$H:$H,0,0)),"")</f>
        <v/>
      </c>
      <c r="AH46" s="71"/>
      <c r="AI46" s="32"/>
      <c r="AJ46" s="72" t="str">
        <f t="array" ref="AJ46">IFERROR(IF(XLOOKUP(CONCAT(AH46,AI46),'MASTER PLAN'!$AB:$AB,'MASTER PLAN'!$J:$J,0,0)=0,"",XLOOKUP(CONCAT(AH46,AI46),'MASTER PLAN'!$AB:$AB,'MASTER PLAN'!$J:$J,0,0)),"")</f>
        <v/>
      </c>
      <c r="AK46" s="73" t="str">
        <f t="array" ref="AK46">IFERROR(IF(XLOOKUP(CONCAT(AH46,AI46),'PROCESOS PRD'!$J:$J,'PROCESOS PRD'!$H:$H,0,0)=0,"",XLOOKUP(CONCAT(AH46,AI46),'PROCESOS PRD'!$J:$J,'PROCESOS PRD'!$H:$H,0,0)),"")</f>
        <v/>
      </c>
      <c r="AL46" s="71"/>
      <c r="AM46" s="32"/>
      <c r="AN46" s="72" t="str">
        <f t="array" ref="AN46">IFERROR(IF(XLOOKUP(CONCAT(AL46,AM46),'MASTER PLAN'!$AB:$AB,'MASTER PLAN'!$J:$J,0,0)=0,"",XLOOKUP(CONCAT(AL46,AM46),'MASTER PLAN'!$AB:$AB,'MASTER PLAN'!$J:$J,0,0)),"")</f>
        <v/>
      </c>
      <c r="AO46" s="73" t="str">
        <f t="array" ref="AO46">IFERROR(IF(XLOOKUP(CONCAT(AL46,AM46),'PROCESOS PRD'!$J:$J,'PROCESOS PRD'!$H:$H,0,0)=0,"",XLOOKUP(CONCAT(AL46,AM46),'PROCESOS PRD'!$J:$J,'PROCESOS PRD'!$H:$H,0,0)),"")</f>
        <v/>
      </c>
      <c r="AP46" s="71"/>
      <c r="AQ46" s="32"/>
      <c r="AR46" s="72" t="str">
        <f t="array" ref="AR46">IFERROR(IF(XLOOKUP(CONCAT(AP46,AQ46),'MASTER PLAN'!$AB:$AB,'MASTER PLAN'!$J:$J,0,0)=0,"",XLOOKUP(CONCAT(AP46,AQ46),'MASTER PLAN'!$AB:$AB,'MASTER PLAN'!$J:$J,0,0)),"")</f>
        <v/>
      </c>
      <c r="AS46" s="73" t="str">
        <f t="array" ref="AS46">IFERROR(IF(XLOOKUP(CONCAT(AP46,AQ46),'PROCESOS PRD'!$J:$J,'PROCESOS PRD'!$H:$H,0,0)=0,"",XLOOKUP(CONCAT(AP46,AQ46),'PROCESOS PRD'!$J:$J,'PROCESOS PRD'!$H:$H,0,0)),"")</f>
        <v/>
      </c>
      <c r="AT46" s="70"/>
      <c r="AU46" s="71"/>
      <c r="AV46" s="32"/>
      <c r="AW46" s="72" t="str">
        <f t="array" ref="AW46">IFERROR(IF(XLOOKUP(CONCAT(AU46,AV46),'MASTER PLAN'!$AB:$AB,'MASTER PLAN'!$J:$J,0,0)=0,"",XLOOKUP(CONCAT(AU46,AV46),'MASTER PLAN'!$AB:$AB,'MASTER PLAN'!$J:$J,0,0)),"")</f>
        <v/>
      </c>
      <c r="AX46" s="73" t="str">
        <f t="array" ref="AX46">IFERROR(IF(XLOOKUP(CONCAT(AU46,AV46),'PROCESOS PRD'!$J:$J,'PROCESOS PRD'!$H:$H,0,0)=0,"",XLOOKUP(CONCAT(AU46,AV46),'PROCESOS PRD'!$J:$J,'PROCESOS PRD'!$H:$H,0,0)),"")</f>
        <v/>
      </c>
      <c r="AY46" s="71"/>
      <c r="AZ46" s="32"/>
      <c r="BA46" s="72" t="str">
        <f t="array" ref="BA46">IFERROR(IF(XLOOKUP(CONCAT(AY46,AZ46),'MASTER PLAN'!$AB:$AB,'MASTER PLAN'!$J:$J,0,0)=0,"",XLOOKUP(CONCAT(AY46,AZ46),'MASTER PLAN'!$AB:$AB,'MASTER PLAN'!$J:$J,0,0)),"")</f>
        <v/>
      </c>
      <c r="BB46" s="73" t="str">
        <f t="array" ref="BB46">IFERROR(IF(XLOOKUP(CONCAT(AY46,AZ46),'PROCESOS PRD'!$J:$J,'PROCESOS PRD'!$H:$H,0,0)=0,"",XLOOKUP(CONCAT(AY46,AZ46),'PROCESOS PRD'!$J:$J,'PROCESOS PRD'!$H:$H,0,0)),"")</f>
        <v/>
      </c>
      <c r="BC46" s="71"/>
      <c r="BD46" s="32"/>
      <c r="BE46" s="72" t="str">
        <f t="array" ref="BE46">IFERROR(IF(XLOOKUP(CONCAT(BC46,BD46),'MASTER PLAN'!$AB:$AB,'MASTER PLAN'!$J:$J,0,0)=0,"",XLOOKUP(CONCAT(BC46,BD46),'MASTER PLAN'!$AB:$AB,'MASTER PLAN'!$J:$J,0,0)),"")</f>
        <v/>
      </c>
      <c r="BF46" s="73" t="str">
        <f t="array" ref="BF46">IFERROR(IF(XLOOKUP(CONCAT(BC46,BD46),'PROCESOS PRD'!$J:$J,'PROCESOS PRD'!$H:$H,0,0)=0,"",XLOOKUP(CONCAT(BC46,BD46),'PROCESOS PRD'!$J:$J,'PROCESOS PRD'!$H:$H,0,0)),"")</f>
        <v/>
      </c>
      <c r="BG46" s="71"/>
      <c r="BH46" s="32"/>
      <c r="BI46" s="72" t="str">
        <f t="array" ref="BI46">IFERROR(IF(XLOOKUP(CONCAT(BG46,BH46),'MASTER PLAN'!$AB:$AB,'MASTER PLAN'!$J:$J,0,0)=0,"",XLOOKUP(CONCAT(BG46,BH46),'MASTER PLAN'!$AB:$AB,'MASTER PLAN'!$J:$J,0,0)),"")</f>
        <v/>
      </c>
      <c r="BJ46" s="73" t="str">
        <f t="array" ref="BJ46">IFERROR(IF(XLOOKUP(CONCAT(BG46,BH46),'PROCESOS PRD'!$J:$J,'PROCESOS PRD'!$H:$H,0,0)=0,"",XLOOKUP(CONCAT(BG46,BH46),'PROCESOS PRD'!$J:$J,'PROCESOS PRD'!$H:$H,0,0)),"")</f>
        <v/>
      </c>
      <c r="BK46" s="71"/>
      <c r="BL46" s="32"/>
      <c r="BM46" s="72" t="str">
        <f t="array" ref="BM46">IFERROR(IF(XLOOKUP(CONCAT(BK46,BL46),'MASTER PLAN'!$AB:$AB,'MASTER PLAN'!$J:$J,0,0)=0,"",XLOOKUP(CONCAT(BK46,BL46),'MASTER PLAN'!$AB:$AB,'MASTER PLAN'!$J:$J,0,0)),"")</f>
        <v/>
      </c>
      <c r="BN46" s="73" t="str">
        <f t="array" ref="BN46">IFERROR(IF(XLOOKUP(CONCAT(BK46,BL46),'PROCESOS PRD'!$J:$J,'PROCESOS PRD'!$H:$H,0,0)=0,"",XLOOKUP(CONCAT(BK46,BL46),'PROCESOS PRD'!$J:$J,'PROCESOS PRD'!$H:$H,0,0)),"")</f>
        <v/>
      </c>
      <c r="BO46" s="71"/>
      <c r="BP46" s="32"/>
      <c r="BQ46" s="72" t="str">
        <f t="array" ref="BQ46">IFERROR(IF(XLOOKUP(CONCAT(BO46,BP46),'MASTER PLAN'!$AB:$AB,'MASTER PLAN'!$J:$J,0,0)=0,"",XLOOKUP(CONCAT(BO46,BP46),'MASTER PLAN'!$AB:$AB,'MASTER PLAN'!$J:$J,0,0)),"")</f>
        <v/>
      </c>
      <c r="BR46" s="73" t="str">
        <f t="array" ref="BR46">IFERROR(IF(XLOOKUP(CONCAT(BO46,BP46),'PROCESOS PRD'!$J:$J,'PROCESOS PRD'!$H:$H,0,0)=0,"",XLOOKUP(CONCAT(BO46,BP46),'PROCESOS PRD'!$J:$J,'PROCESOS PRD'!$H:$H,0,0)),"")</f>
        <v/>
      </c>
      <c r="BS46" s="70"/>
      <c r="BT46" s="71"/>
      <c r="BU46" s="32"/>
      <c r="BV46" s="72" t="str">
        <f t="array" ref="BV46">IFERROR(IF(XLOOKUP(CONCAT(BT46,BU46),'MASTER PLAN'!$AB:$AB,'MASTER PLAN'!$J:$J,0,0)=0,"",XLOOKUP(CONCAT(BT46,BU46),'MASTER PLAN'!$AB:$AB,'MASTER PLAN'!$J:$J,0,0)),"")</f>
        <v/>
      </c>
      <c r="BW46" s="73" t="str">
        <f t="array" ref="BW46">IFERROR(IF(XLOOKUP(CONCAT(BT46,BU46),'PROCESOS PRD'!$J:$J,'PROCESOS PRD'!$H:$H,0,0)=0,"",XLOOKUP(CONCAT(BT46,BU46),'PROCESOS PRD'!$J:$J,'PROCESOS PRD'!$H:$H,0,0)),"")</f>
        <v/>
      </c>
      <c r="BX46" s="71"/>
      <c r="BY46" s="32"/>
      <c r="BZ46" s="72" t="str">
        <f t="array" ref="BZ46">IFERROR(IF(XLOOKUP(CONCAT(BX46,BY46),'MASTER PLAN'!$AB:$AB,'MASTER PLAN'!$J:$J,0,0)=0,"",XLOOKUP(CONCAT(BX46,BY46),'MASTER PLAN'!$AB:$AB,'MASTER PLAN'!$J:$J,0,0)),"")</f>
        <v/>
      </c>
      <c r="CA46" s="73" t="str">
        <f t="array" ref="CA46">IFERROR(IF(XLOOKUP(CONCAT(BX46,BY46),'PROCESOS PRD'!$J:$J,'PROCESOS PRD'!$H:$H,0,0)=0,"",XLOOKUP(CONCAT(BX46,BY46),'PROCESOS PRD'!$J:$J,'PROCESOS PRD'!$H:$H,0,0)),"")</f>
        <v/>
      </c>
      <c r="CB46" s="71"/>
      <c r="CC46" s="32"/>
      <c r="CD46" s="72" t="str">
        <f t="array" ref="CD46">IFERROR(IF(XLOOKUP(CONCAT(CB46,CC46),'MASTER PLAN'!$AB:$AB,'MASTER PLAN'!$J:$J,0,0)=0,"",XLOOKUP(CONCAT(CB46,CC46),'MASTER PLAN'!$AB:$AB,'MASTER PLAN'!$J:$J,0,0)),"")</f>
        <v/>
      </c>
      <c r="CE46" s="73" t="str">
        <f t="array" ref="CE46">IFERROR(IF(XLOOKUP(CONCAT(CB46,CC46),'PROCESOS PRD'!$J:$J,'PROCESOS PRD'!$H:$H,0,0)=0,"",XLOOKUP(CONCAT(CB46,CC46),'PROCESOS PRD'!$J:$J,'PROCESOS PRD'!$H:$H,0,0)),"")</f>
        <v/>
      </c>
      <c r="CF46" s="71"/>
      <c r="CG46" s="32"/>
      <c r="CH46" s="72" t="str">
        <f t="array" ref="CH46">IFERROR(IF(XLOOKUP(CONCAT(CF46,CG46),'MASTER PLAN'!$AB:$AB,'MASTER PLAN'!$J:$J,0,0)=0,"",XLOOKUP(CONCAT(CF46,CG46),'MASTER PLAN'!$AB:$AB,'MASTER PLAN'!$J:$J,0,0)),"")</f>
        <v/>
      </c>
      <c r="CI46" s="73" t="str">
        <f t="array" ref="CI46">IFERROR(IF(XLOOKUP(CONCAT(CF46,CG46),'PROCESOS PRD'!$J:$J,'PROCESOS PRD'!$H:$H,0,0)=0,"",XLOOKUP(CONCAT(CF46,CG46),'PROCESOS PRD'!$J:$J,'PROCESOS PRD'!$H:$H,0,0)),"")</f>
        <v/>
      </c>
      <c r="CJ46" s="71"/>
      <c r="CK46" s="32"/>
      <c r="CL46" s="72" t="str">
        <f t="array" ref="CL46">IFERROR(IF(XLOOKUP(CONCAT(CJ46,CK46),'MASTER PLAN'!$AB:$AB,'MASTER PLAN'!$J:$J,0,0)=0,"",XLOOKUP(CONCAT(CJ46,CK46),'MASTER PLAN'!$AB:$AB,'MASTER PLAN'!$J:$J,0,0)),"")</f>
        <v/>
      </c>
      <c r="CM46" s="73" t="str">
        <f t="array" ref="CM46">IFERROR(IF(XLOOKUP(CONCAT(CJ46,CK46),'PROCESOS PRD'!$J:$J,'PROCESOS PRD'!$H:$H,0,0)=0,"",XLOOKUP(CONCAT(CJ46,CK46),'PROCESOS PRD'!$J:$J,'PROCESOS PRD'!$H:$H,0,0)),"")</f>
        <v/>
      </c>
      <c r="CN46" s="71"/>
      <c r="CO46" s="32"/>
      <c r="CP46" s="72" t="str">
        <f t="array" ref="CP46">IFERROR(IF(XLOOKUP(CONCAT(CN46,CO46),'MASTER PLAN'!$AB:$AB,'MASTER PLAN'!$J:$J,0,0)=0,"",XLOOKUP(CONCAT(CN46,CO46),'MASTER PLAN'!$AB:$AB,'MASTER PLAN'!$J:$J,0,0)),"")</f>
        <v/>
      </c>
      <c r="CQ46" s="73" t="str">
        <f t="array" ref="CQ46">IFERROR(IF(XLOOKUP(CONCAT(CN46,CO46),'PROCESOS PRD'!$J:$J,'PROCESOS PRD'!$H:$H,0,0)=0,"",XLOOKUP(CONCAT(CN46,CO46),'PROCESOS PRD'!$J:$J,'PROCESOS PRD'!$H:$H,0,0)),"")</f>
        <v/>
      </c>
      <c r="CR46" s="70"/>
      <c r="CS46" s="71"/>
      <c r="CT46" s="32"/>
      <c r="CU46" s="72" t="str">
        <f t="array" ref="CU46">IFERROR(IF(XLOOKUP(CONCAT(CS46,CT46),'MASTER PLAN'!$AB:$AB,'MASTER PLAN'!$J:$J,0,0)=0,"",XLOOKUP(CONCAT(CS46,CT46),'MASTER PLAN'!$AB:$AB,'MASTER PLAN'!$J:$J,0,0)),"")</f>
        <v/>
      </c>
      <c r="CV46" s="73" t="str">
        <f t="array" ref="CV46">IFERROR(IF(XLOOKUP(CONCAT(CS46,CT46),'PROCESOS PRD'!$J:$J,'PROCESOS PRD'!$H:$H,0,0)=0,"",XLOOKUP(CONCAT(CS46,CT46),'PROCESOS PRD'!$J:$J,'PROCESOS PRD'!$H:$H,0,0)),"")</f>
        <v/>
      </c>
      <c r="CW46" s="71"/>
      <c r="CX46" s="32"/>
      <c r="CY46" s="72" t="str">
        <f t="array" ref="CY46">IFERROR(IF(XLOOKUP(CONCAT(CW46,CX46),'MASTER PLAN'!$AB:$AB,'MASTER PLAN'!$J:$J,0,0)=0,"",XLOOKUP(CONCAT(CW46,CX46),'MASTER PLAN'!$AB:$AB,'MASTER PLAN'!$J:$J,0,0)),"")</f>
        <v/>
      </c>
      <c r="CZ46" s="73" t="str">
        <f t="array" ref="CZ46">IFERROR(IF(XLOOKUP(CONCAT(CW46,CX46),'PROCESOS PRD'!$J:$J,'PROCESOS PRD'!$H:$H,0,0)=0,"",XLOOKUP(CONCAT(CW46,CX46),'PROCESOS PRD'!$J:$J,'PROCESOS PRD'!$H:$H,0,0)),"")</f>
        <v/>
      </c>
      <c r="DA46" s="71"/>
      <c r="DB46" s="32"/>
      <c r="DC46" s="72" t="str">
        <f t="array" ref="DC46">IFERROR(IF(XLOOKUP(CONCAT(DA46,DB46),'MASTER PLAN'!$AB:$AB,'MASTER PLAN'!$J:$J,0,0)=0,"",XLOOKUP(CONCAT(DA46,DB46),'MASTER PLAN'!$AB:$AB,'MASTER PLAN'!$J:$J,0,0)),"")</f>
        <v/>
      </c>
      <c r="DD46" s="73" t="str">
        <f t="array" ref="DD46">IFERROR(IF(XLOOKUP(CONCAT(DA46,DB46),'PROCESOS PRD'!$J:$J,'PROCESOS PRD'!$H:$H,0,0)=0,"",XLOOKUP(CONCAT(DA46,DB46),'PROCESOS PRD'!$J:$J,'PROCESOS PRD'!$H:$H,0,0)),"")</f>
        <v/>
      </c>
      <c r="DE46" s="71"/>
      <c r="DF46" s="32"/>
      <c r="DG46" s="72" t="str">
        <f t="array" ref="DG46">IFERROR(IF(XLOOKUP(CONCAT(DE46,DF46),'MASTER PLAN'!$AB:$AB,'MASTER PLAN'!$J:$J,0,0)=0,"",XLOOKUP(CONCAT(DE46,DF46),'MASTER PLAN'!$AB:$AB,'MASTER PLAN'!$J:$J,0,0)),"")</f>
        <v/>
      </c>
      <c r="DH46" s="73" t="str">
        <f t="array" ref="DH46">IFERROR(IF(XLOOKUP(CONCAT(DE46,DF46),'PROCESOS PRD'!$J:$J,'PROCESOS PRD'!$H:$H,0,0)=0,"",XLOOKUP(CONCAT(DE46,DF46),'PROCESOS PRD'!$J:$J,'PROCESOS PRD'!$H:$H,0,0)),"")</f>
        <v/>
      </c>
      <c r="DI46" s="71"/>
      <c r="DJ46" s="32"/>
      <c r="DK46" s="72" t="str">
        <f t="array" ref="DK46">IFERROR(IF(XLOOKUP(CONCAT(DI46,DJ46),'MASTER PLAN'!$AB:$AB,'MASTER PLAN'!$J:$J,0,0)=0,"",XLOOKUP(CONCAT(DI46,DJ46),'MASTER PLAN'!$AB:$AB,'MASTER PLAN'!$J:$J,0,0)),"")</f>
        <v/>
      </c>
      <c r="DL46" s="73" t="str">
        <f t="array" ref="DL46">IFERROR(IF(XLOOKUP(CONCAT(DI46,DJ46),'PROCESOS PRD'!$J:$J,'PROCESOS PRD'!$H:$H,0,0)=0,"",XLOOKUP(CONCAT(DI46,DJ46),'PROCESOS PRD'!$J:$J,'PROCESOS PRD'!$H:$H,0,0)),"")</f>
        <v/>
      </c>
      <c r="DM46" s="71"/>
      <c r="DN46" s="32"/>
      <c r="DO46" s="72" t="str">
        <f t="array" ref="DO46">IFERROR(IF(XLOOKUP(CONCAT(DM46,DN46),'MASTER PLAN'!$AB:$AB,'MASTER PLAN'!$J:$J,0,0)=0,"",XLOOKUP(CONCAT(DM46,DN46),'MASTER PLAN'!$AB:$AB,'MASTER PLAN'!$J:$J,0,0)),"")</f>
        <v/>
      </c>
      <c r="DP46" s="73" t="str">
        <f t="array" ref="DP46">IFERROR(IF(XLOOKUP(CONCAT(DM46,DN46),'PROCESOS PRD'!$J:$J,'PROCESOS PRD'!$H:$H,0,0)=0,"",XLOOKUP(CONCAT(DM46,DN46),'PROCESOS PRD'!$J:$J,'PROCESOS PRD'!$H:$H,0,0)),"")</f>
        <v/>
      </c>
      <c r="DQ46" s="70"/>
      <c r="DR46" s="71"/>
      <c r="DS46" s="32"/>
      <c r="DT46" s="72" t="str">
        <f t="array" ref="DT46">IFERROR(IF(XLOOKUP(CONCAT(DR46,DS46),'MASTER PLAN'!$AB:$AB,'MASTER PLAN'!$J:$J,0,0)=0,"",XLOOKUP(CONCAT(DR46,DS46),'MASTER PLAN'!$AB:$AB,'MASTER PLAN'!$J:$J,0,0)),"")</f>
        <v/>
      </c>
      <c r="DU46" s="73" t="str">
        <f t="array" ref="DU46">IFERROR(IF(XLOOKUP(CONCAT(DR46,DS46),'PROCESOS PRD'!$J:$J,'PROCESOS PRD'!$H:$H,0,0)=0,"",XLOOKUP(CONCAT(DR46,DS46),'PROCESOS PRD'!$J:$J,'PROCESOS PRD'!$H:$H,0,0)),"")</f>
        <v/>
      </c>
      <c r="DV46" s="71"/>
      <c r="DW46" s="32"/>
      <c r="DX46" s="72" t="str">
        <f t="array" ref="DX46">IFERROR(IF(XLOOKUP(CONCAT(DV46,DW46),'MASTER PLAN'!$AB:$AB,'MASTER PLAN'!$J:$J,0,0)=0,"",XLOOKUP(CONCAT(DV46,DW46),'MASTER PLAN'!$AB:$AB,'MASTER PLAN'!$J:$J,0,0)),"")</f>
        <v/>
      </c>
      <c r="DY46" s="73" t="str">
        <f t="array" ref="DY46">IFERROR(IF(XLOOKUP(CONCAT(DV46,DW46),'PROCESOS PRD'!$J:$J,'PROCESOS PRD'!$H:$H,0,0)=0,"",XLOOKUP(CONCAT(DV46,DW46),'PROCESOS PRD'!$J:$J,'PROCESOS PRD'!$H:$H,0,0)),"")</f>
        <v/>
      </c>
      <c r="DZ46" s="71"/>
      <c r="EA46" s="32"/>
      <c r="EB46" s="72" t="str">
        <f t="array" ref="EB46">IFERROR(IF(XLOOKUP(CONCAT(DZ46,EA46),'MASTER PLAN'!$AB:$AB,'MASTER PLAN'!$J:$J,0,0)=0,"",XLOOKUP(CONCAT(DZ46,EA46),'MASTER PLAN'!$AB:$AB,'MASTER PLAN'!$J:$J,0,0)),"")</f>
        <v/>
      </c>
      <c r="EC46" s="73" t="str">
        <f t="array" ref="EC46">IFERROR(IF(XLOOKUP(CONCAT(DZ46,EA46),'PROCESOS PRD'!$J:$J,'PROCESOS PRD'!$H:$H,0,0)=0,"",XLOOKUP(CONCAT(DZ46,EA46),'PROCESOS PRD'!$J:$J,'PROCESOS PRD'!$H:$H,0,0)),"")</f>
        <v/>
      </c>
      <c r="ED46" s="71"/>
      <c r="EE46" s="32"/>
      <c r="EF46" s="72" t="str">
        <f t="array" ref="EF46">IFERROR(IF(XLOOKUP(CONCAT(ED46,EE46),'MASTER PLAN'!$AB:$AB,'MASTER PLAN'!$J:$J,0,0)=0,"",XLOOKUP(CONCAT(ED46,EE46),'MASTER PLAN'!$AB:$AB,'MASTER PLAN'!$J:$J,0,0)),"")</f>
        <v/>
      </c>
      <c r="EG46" s="73" t="str">
        <f t="array" ref="EG46">IFERROR(IF(XLOOKUP(CONCAT(ED46,EE46),'PROCESOS PRD'!$J:$J,'PROCESOS PRD'!$H:$H,0,0)=0,"",XLOOKUP(CONCAT(ED46,EE46),'PROCESOS PRD'!$J:$J,'PROCESOS PRD'!$H:$H,0,0)),"")</f>
        <v/>
      </c>
      <c r="EH46" s="71"/>
      <c r="EI46" s="32"/>
      <c r="EJ46" s="72" t="str">
        <f t="array" ref="EJ46">IFERROR(IF(XLOOKUP(CONCAT(EH46,EI46),'MASTER PLAN'!$AB:$AB,'MASTER PLAN'!$J:$J,0,0)=0,"",XLOOKUP(CONCAT(EH46,EI46),'MASTER PLAN'!$AB:$AB,'MASTER PLAN'!$J:$J,0,0)),"")</f>
        <v/>
      </c>
      <c r="EK46" s="73" t="str">
        <f t="array" ref="EK46">IFERROR(IF(XLOOKUP(CONCAT(EH46,EI46),'PROCESOS PRD'!$J:$J,'PROCESOS PRD'!$H:$H,0,0)=0,"",XLOOKUP(CONCAT(EH46,EI46),'PROCESOS PRD'!$J:$J,'PROCESOS PRD'!$H:$H,0,0)),"")</f>
        <v/>
      </c>
      <c r="EL46" s="71"/>
      <c r="EM46" s="32"/>
      <c r="EN46" s="72" t="str">
        <f t="array" ref="EN46">IFERROR(IF(XLOOKUP(CONCAT(EL46,EM46),'MASTER PLAN'!$AB:$AB,'MASTER PLAN'!$J:$J,0,0)=0,"",XLOOKUP(CONCAT(EL46,EM46),'MASTER PLAN'!$AB:$AB,'MASTER PLAN'!$J:$J,0,0)),"")</f>
        <v/>
      </c>
      <c r="EO46" s="73" t="str">
        <f t="array" ref="EO46">IFERROR(IF(XLOOKUP(CONCAT(EL46,EM46),'PROCESOS PRD'!$J:$J,'PROCESOS PRD'!$H:$H,0,0)=0,"",XLOOKUP(CONCAT(EL46,EM46),'PROCESOS PRD'!$J:$J,'PROCESOS PRD'!$H:$H,0,0)),"")</f>
        <v/>
      </c>
      <c r="EP46" s="70"/>
      <c r="EQ46" s="71"/>
      <c r="ER46" s="32"/>
      <c r="ES46" s="72" t="str">
        <f t="array" ref="ES46">IFERROR(IF(XLOOKUP(CONCAT(EQ46,ER46),'MASTER PLAN'!$AB:$AB,'MASTER PLAN'!$J:$J,0,0)=0,"",XLOOKUP(CONCAT(EQ46,ER46),'MASTER PLAN'!$AB:$AB,'MASTER PLAN'!$J:$J,0,0)),"")</f>
        <v/>
      </c>
      <c r="ET46" s="73" t="str">
        <f t="array" ref="ET46">IFERROR(IF(XLOOKUP(CONCAT(EQ46,ER46),'PROCESOS PRD'!$J:$J,'PROCESOS PRD'!$H:$H,0,0)=0,"",XLOOKUP(CONCAT(EQ46,ER46),'PROCESOS PRD'!$J:$J,'PROCESOS PRD'!$H:$H,0,0)),"")</f>
        <v/>
      </c>
      <c r="EU46" s="71"/>
      <c r="EV46" s="32"/>
      <c r="EW46" s="72" t="str">
        <f t="array" ref="EW46">IFERROR(IF(XLOOKUP(CONCAT(EU46,EV46),'MASTER PLAN'!$AB:$AB,'MASTER PLAN'!$J:$J,0,0)=0,"",XLOOKUP(CONCAT(EU46,EV46),'MASTER PLAN'!$AB:$AB,'MASTER PLAN'!$J:$J,0,0)),"")</f>
        <v/>
      </c>
      <c r="EX46" s="73" t="str">
        <f t="array" ref="EX46">IFERROR(IF(XLOOKUP(CONCAT(EU46,EV46),'PROCESOS PRD'!$J:$J,'PROCESOS PRD'!$H:$H,0,0)=0,"",XLOOKUP(CONCAT(EU46,EV46),'PROCESOS PRD'!$J:$J,'PROCESOS PRD'!$H:$H,0,0)),"")</f>
        <v/>
      </c>
      <c r="EY46" s="71"/>
      <c r="EZ46" s="32"/>
      <c r="FA46" s="72" t="str">
        <f t="array" ref="FA46">IFERROR(IF(XLOOKUP(CONCAT(EY46,EZ46),'MASTER PLAN'!$AB:$AB,'MASTER PLAN'!$J:$J,0,0)=0,"",XLOOKUP(CONCAT(EY46,EZ46),'MASTER PLAN'!$AB:$AB,'MASTER PLAN'!$J:$J,0,0)),"")</f>
        <v/>
      </c>
      <c r="FB46" s="73" t="str">
        <f t="array" ref="FB46">IFERROR(IF(XLOOKUP(CONCAT(EY46,EZ46),'PROCESOS PRD'!$J:$J,'PROCESOS PRD'!$H:$H,0,0)=0,"",XLOOKUP(CONCAT(EY46,EZ46),'PROCESOS PRD'!$J:$J,'PROCESOS PRD'!$H:$H,0,0)),"")</f>
        <v/>
      </c>
      <c r="FC46" s="71"/>
      <c r="FD46" s="32"/>
      <c r="FE46" s="72" t="str">
        <f t="array" ref="FE46">IFERROR(IF(XLOOKUP(CONCAT(FC46,FD46),'MASTER PLAN'!$AB:$AB,'MASTER PLAN'!$J:$J,0,0)=0,"",XLOOKUP(CONCAT(FC46,FD46),'MASTER PLAN'!$AB:$AB,'MASTER PLAN'!$J:$J,0,0)),"")</f>
        <v/>
      </c>
      <c r="FF46" s="73" t="str">
        <f t="array" ref="FF46">IFERROR(IF(XLOOKUP(CONCAT(FC46,FD46),'PROCESOS PRD'!$J:$J,'PROCESOS PRD'!$H:$H,0,0)=0,"",XLOOKUP(CONCAT(FC46,FD46),'PROCESOS PRD'!$J:$J,'PROCESOS PRD'!$H:$H,0,0)),"")</f>
        <v/>
      </c>
      <c r="FG46" s="71"/>
      <c r="FH46" s="32"/>
      <c r="FI46" s="72" t="str">
        <f t="array" ref="FI46">IFERROR(IF(XLOOKUP(CONCAT(FG46,FH46),'MASTER PLAN'!$AB:$AB,'MASTER PLAN'!$J:$J,0,0)=0,"",XLOOKUP(CONCAT(FG46,FH46),'MASTER PLAN'!$AB:$AB,'MASTER PLAN'!$J:$J,0,0)),"")</f>
        <v/>
      </c>
      <c r="FJ46" s="73" t="str">
        <f t="array" ref="FJ46">IFERROR(IF(XLOOKUP(CONCAT(FG46,FH46),'PROCESOS PRD'!$J:$J,'PROCESOS PRD'!$H:$H,0,0)=0,"",XLOOKUP(CONCAT(FG46,FH46),'PROCESOS PRD'!$J:$J,'PROCESOS PRD'!$H:$H,0,0)),"")</f>
        <v/>
      </c>
      <c r="FK46" s="71"/>
      <c r="FL46" s="32"/>
      <c r="FM46" s="72" t="str">
        <f t="array" ref="FM46">IFERROR(IF(XLOOKUP(CONCAT(FK46,FL46),'MASTER PLAN'!$AB:$AB,'MASTER PLAN'!$J:$J,0,0)=0,"",XLOOKUP(CONCAT(FK46,FL46),'MASTER PLAN'!$AB:$AB,'MASTER PLAN'!$J:$J,0,0)),"")</f>
        <v/>
      </c>
      <c r="FN46" s="73" t="str">
        <f t="array" ref="FN46">IFERROR(IF(XLOOKUP(CONCAT(FK46,FL46),'PROCESOS PRD'!$J:$J,'PROCESOS PRD'!$H:$H,0,0)=0,"",XLOOKUP(CONCAT(FK46,FL46),'PROCESOS PRD'!$J:$J,'PROCESOS PRD'!$H:$H,0,0)),"")</f>
        <v/>
      </c>
      <c r="FO46" s="70"/>
      <c r="FP46" s="71"/>
      <c r="FQ46" s="32"/>
      <c r="FR46" s="72" t="str">
        <f t="array" ref="FR46">IFERROR(IF(XLOOKUP(CONCAT(FP46,FQ46),'MASTER PLAN'!$AB:$AB,'MASTER PLAN'!$J:$J,0,0)=0,"",XLOOKUP(CONCAT(FP46,FQ46),'MASTER PLAN'!$AB:$AB,'MASTER PLAN'!$J:$J,0,0)),"")</f>
        <v/>
      </c>
      <c r="FS46" s="73" t="str">
        <f t="array" ref="FS46">IFERROR(IF(XLOOKUP(CONCAT(FP46,FQ46),'PROCESOS PRD'!$J:$J,'PROCESOS PRD'!$H:$H,0,0)=0,"",XLOOKUP(CONCAT(FP46,FQ46),'PROCESOS PRD'!$J:$J,'PROCESOS PRD'!$H:$H,0,0)),"")</f>
        <v/>
      </c>
      <c r="FT46" s="71"/>
      <c r="FU46" s="32"/>
      <c r="FV46" s="72" t="str">
        <f t="array" ref="FV46">IFERROR(IF(XLOOKUP(CONCAT(FT46,FU46),'MASTER PLAN'!$AB:$AB,'MASTER PLAN'!$J:$J,0,0)=0,"",XLOOKUP(CONCAT(FT46,FU46),'MASTER PLAN'!$AB:$AB,'MASTER PLAN'!$J:$J,0,0)),"")</f>
        <v/>
      </c>
      <c r="FW46" s="73" t="str">
        <f t="array" ref="FW46">IFERROR(IF(XLOOKUP(CONCAT(FT46,FU46),'PROCESOS PRD'!$J:$J,'PROCESOS PRD'!$H:$H,0,0)=0,"",XLOOKUP(CONCAT(FT46,FU46),'PROCESOS PRD'!$J:$J,'PROCESOS PRD'!$H:$H,0,0)),"")</f>
        <v/>
      </c>
      <c r="FX46" s="71"/>
      <c r="FY46" s="32"/>
      <c r="FZ46" s="72" t="str">
        <f t="array" ref="FZ46">IFERROR(IF(XLOOKUP(CONCAT(FX46,FY46),'MASTER PLAN'!$AB:$AB,'MASTER PLAN'!$J:$J,0,0)=0,"",XLOOKUP(CONCAT(FX46,FY46),'MASTER PLAN'!$AB:$AB,'MASTER PLAN'!$J:$J,0,0)),"")</f>
        <v/>
      </c>
      <c r="GA46" s="73" t="str">
        <f t="array" ref="GA46">IFERROR(IF(XLOOKUP(CONCAT(FX46,FY46),'PROCESOS PRD'!$J:$J,'PROCESOS PRD'!$H:$H,0,0)=0,"",XLOOKUP(CONCAT(FX46,FY46),'PROCESOS PRD'!$J:$J,'PROCESOS PRD'!$H:$H,0,0)),"")</f>
        <v/>
      </c>
      <c r="GB46" s="71"/>
      <c r="GC46" s="32"/>
      <c r="GD46" s="72" t="str">
        <f t="array" ref="GD46">IFERROR(IF(XLOOKUP(CONCAT(GB46,GC46),'MASTER PLAN'!$AB:$AB,'MASTER PLAN'!$J:$J,0,0)=0,"",XLOOKUP(CONCAT(GB46,GC46),'MASTER PLAN'!$AB:$AB,'MASTER PLAN'!$J:$J,0,0)),"")</f>
        <v/>
      </c>
      <c r="GE46" s="73" t="str">
        <f t="array" ref="GE46">IFERROR(IF(XLOOKUP(CONCAT(GB46,GC46),'PROCESOS PRD'!$J:$J,'PROCESOS PRD'!$H:$H,0,0)=0,"",XLOOKUP(CONCAT(GB46,GC46),'PROCESOS PRD'!$J:$J,'PROCESOS PRD'!$H:$H,0,0)),"")</f>
        <v/>
      </c>
      <c r="GF46" s="71"/>
      <c r="GG46" s="32"/>
      <c r="GH46" s="72" t="str">
        <f t="array" ref="GH46">IFERROR(IF(XLOOKUP(CONCAT(GF46,GG46),'MASTER PLAN'!$AB:$AB,'MASTER PLAN'!$J:$J,0,0)=0,"",XLOOKUP(CONCAT(GF46,GG46),'MASTER PLAN'!$AB:$AB,'MASTER PLAN'!$J:$J,0,0)),"")</f>
        <v/>
      </c>
      <c r="GI46" s="73" t="str">
        <f t="array" ref="GI46">IFERROR(IF(XLOOKUP(CONCAT(GF46,GG46),'PROCESOS PRD'!$J:$J,'PROCESOS PRD'!$H:$H,0,0)=0,"",XLOOKUP(CONCAT(GF46,GG46),'PROCESOS PRD'!$J:$J,'PROCESOS PRD'!$H:$H,0,0)),"")</f>
        <v/>
      </c>
      <c r="GJ46" s="71"/>
      <c r="GK46" s="32"/>
      <c r="GL46" s="72" t="str">
        <f t="array" ref="GL46">IFERROR(IF(XLOOKUP(CONCAT(GJ46,GK46),'MASTER PLAN'!$AB:$AB,'MASTER PLAN'!$J:$J,0,0)=0,"",XLOOKUP(CONCAT(GJ46,GK46),'MASTER PLAN'!$AB:$AB,'MASTER PLAN'!$J:$J,0,0)),"")</f>
        <v/>
      </c>
      <c r="GM46" s="73" t="str">
        <f t="array" ref="GM46">IFERROR(IF(XLOOKUP(CONCAT(GJ46,GK46),'PROCESOS PRD'!$J:$J,'PROCESOS PRD'!$H:$H,0,0)=0,"",XLOOKUP(CONCAT(GJ46,GK46),'PROCESOS PRD'!$J:$J,'PROCESOS PRD'!$H:$H,0,0)),"")</f>
        <v/>
      </c>
      <c r="GN46" s="70"/>
      <c r="GO46" s="71"/>
      <c r="GP46" s="32"/>
      <c r="GQ46" s="72" t="str">
        <f t="array" ref="GQ46">IFERROR(IF(XLOOKUP(CONCAT(GO46,GP46),'MASTER PLAN'!$AB:$AB,'MASTER PLAN'!$J:$J,0,0)=0,"",XLOOKUP(CONCAT(GO46,GP46),'MASTER PLAN'!$AB:$AB,'MASTER PLAN'!$J:$J,0,0)),"")</f>
        <v/>
      </c>
      <c r="GR46" s="73" t="str">
        <f t="array" ref="GR46">IFERROR(IF(XLOOKUP(CONCAT(GO46,GP46),'PROCESOS PRD'!$J:$J,'PROCESOS PRD'!$H:$H,0,0)=0,"",XLOOKUP(CONCAT(GO46,GP46),'PROCESOS PRD'!$J:$J,'PROCESOS PRD'!$H:$H,0,0)),"")</f>
        <v/>
      </c>
      <c r="GS46" s="71"/>
      <c r="GT46" s="32"/>
      <c r="GU46" s="72" t="str">
        <f t="array" ref="GU46">IFERROR(IF(XLOOKUP(CONCAT(GS46,GT46),'MASTER PLAN'!$AB:$AB,'MASTER PLAN'!$J:$J,0,0)=0,"",XLOOKUP(CONCAT(GS46,GT46),'MASTER PLAN'!$AB:$AB,'MASTER PLAN'!$J:$J,0,0)),"")</f>
        <v/>
      </c>
      <c r="GV46" s="73" t="str">
        <f t="array" ref="GV46">IFERROR(IF(XLOOKUP(CONCAT(GS46,GT46),'PROCESOS PRD'!$J:$J,'PROCESOS PRD'!$H:$H,0,0)=0,"",XLOOKUP(CONCAT(GS46,GT46),'PROCESOS PRD'!$J:$J,'PROCESOS PRD'!$H:$H,0,0)),"")</f>
        <v/>
      </c>
      <c r="GW46" s="71"/>
      <c r="GX46" s="32"/>
      <c r="GY46" s="72" t="str">
        <f t="array" ref="GY46">IFERROR(IF(XLOOKUP(CONCAT(GW46,GX46),'MASTER PLAN'!$AB:$AB,'MASTER PLAN'!$J:$J,0,0)=0,"",XLOOKUP(CONCAT(GW46,GX46),'MASTER PLAN'!$AB:$AB,'MASTER PLAN'!$J:$J,0,0)),"")</f>
        <v/>
      </c>
      <c r="GZ46" s="73" t="str">
        <f t="array" ref="GZ46">IFERROR(IF(XLOOKUP(CONCAT(GW46,GX46),'PROCESOS PRD'!$J:$J,'PROCESOS PRD'!$H:$H,0,0)=0,"",XLOOKUP(CONCAT(GW46,GX46),'PROCESOS PRD'!$J:$J,'PROCESOS PRD'!$H:$H,0,0)),"")</f>
        <v/>
      </c>
      <c r="HA46" s="71"/>
      <c r="HB46" s="32"/>
      <c r="HC46" s="72" t="str">
        <f t="array" ref="HC46">IFERROR(IF(XLOOKUP(CONCAT(HA46,HB46),'MASTER PLAN'!$AB:$AB,'MASTER PLAN'!$J:$J,0,0)=0,"",XLOOKUP(CONCAT(HA46,HB46),'MASTER PLAN'!$AB:$AB,'MASTER PLAN'!$J:$J,0,0)),"")</f>
        <v/>
      </c>
      <c r="HD46" s="73" t="str">
        <f t="array" ref="HD46">IFERROR(IF(XLOOKUP(CONCAT(HA46,HB46),'PROCESOS PRD'!$J:$J,'PROCESOS PRD'!$H:$H,0,0)=0,"",XLOOKUP(CONCAT(HA46,HB46),'PROCESOS PRD'!$J:$J,'PROCESOS PRD'!$H:$H,0,0)),"")</f>
        <v/>
      </c>
      <c r="HE46" s="71"/>
      <c r="HF46" s="32"/>
      <c r="HG46" s="72" t="str">
        <f t="array" ref="HG46">IFERROR(IF(XLOOKUP(CONCAT(HE46,HF46),'MASTER PLAN'!$AB:$AB,'MASTER PLAN'!$J:$J,0,0)=0,"",XLOOKUP(CONCAT(HE46,HF46),'MASTER PLAN'!$AB:$AB,'MASTER PLAN'!$J:$J,0,0)),"")</f>
        <v/>
      </c>
      <c r="HH46" s="73" t="str">
        <f t="array" ref="HH46">IFERROR(IF(XLOOKUP(CONCAT(HE46,HF46),'PROCESOS PRD'!$J:$J,'PROCESOS PRD'!$H:$H,0,0)=0,"",XLOOKUP(CONCAT(HE46,HF46),'PROCESOS PRD'!$J:$J,'PROCESOS PRD'!$H:$H,0,0)),"")</f>
        <v/>
      </c>
      <c r="HI46" s="71"/>
      <c r="HJ46" s="32"/>
      <c r="HK46" s="72" t="str">
        <f t="array" ref="HK46">IFERROR(IF(XLOOKUP(CONCAT(HI46,HJ46),'MASTER PLAN'!$AB:$AB,'MASTER PLAN'!$J:$J,0,0)=0,"",XLOOKUP(CONCAT(HI46,HJ46),'MASTER PLAN'!$AB:$AB,'MASTER PLAN'!$J:$J,0,0)),"")</f>
        <v/>
      </c>
      <c r="HL46" s="73" t="str">
        <f t="array" ref="HL46">IFERROR(IF(XLOOKUP(CONCAT(HI46,HJ46),'PROCESOS PRD'!$J:$J,'PROCESOS PRD'!$H:$H,0,0)=0,"",XLOOKUP(CONCAT(HI46,HJ46),'PROCESOS PRD'!$J:$J,'PROCESOS PRD'!$H:$H,0,0)),"")</f>
        <v/>
      </c>
      <c r="HM46" s="70"/>
      <c r="HN46" s="71"/>
      <c r="HO46" s="32"/>
      <c r="HP46" s="72" t="str">
        <f t="array" ref="HP46">IFERROR(IF(XLOOKUP(CONCAT(HN46,HO46),'MASTER PLAN'!$AB:$AB,'MASTER PLAN'!$J:$J,0,0)=0,"",XLOOKUP(CONCAT(HN46,HO46),'MASTER PLAN'!$AB:$AB,'MASTER PLAN'!$J:$J,0,0)),"")</f>
        <v/>
      </c>
      <c r="HQ46" s="73" t="str">
        <f t="array" ref="HQ46">IFERROR(IF(XLOOKUP(CONCAT(HN46,HO46),'PROCESOS PRD'!$J:$J,'PROCESOS PRD'!$H:$H,0,0)=0,"",XLOOKUP(CONCAT(HN46,HO46),'PROCESOS PRD'!$J:$J,'PROCESOS PRD'!$H:$H,0,0)),"")</f>
        <v/>
      </c>
      <c r="HR46" s="71"/>
      <c r="HS46" s="32"/>
      <c r="HT46" s="72" t="str">
        <f t="array" ref="HT46">IFERROR(IF(XLOOKUP(CONCAT(HR46,HS46),'MASTER PLAN'!$AB:$AB,'MASTER PLAN'!$J:$J,0,0)=0,"",XLOOKUP(CONCAT(HR46,HS46),'MASTER PLAN'!$AB:$AB,'MASTER PLAN'!$J:$J,0,0)),"")</f>
        <v/>
      </c>
      <c r="HU46" s="73" t="str">
        <f t="array" ref="HU46">IFERROR(IF(XLOOKUP(CONCAT(HR46,HS46),'PROCESOS PRD'!$J:$J,'PROCESOS PRD'!$H:$H,0,0)=0,"",XLOOKUP(CONCAT(HR46,HS46),'PROCESOS PRD'!$J:$J,'PROCESOS PRD'!$H:$H,0,0)),"")</f>
        <v/>
      </c>
      <c r="HV46" s="71"/>
      <c r="HW46" s="32"/>
      <c r="HX46" s="72" t="str">
        <f t="array" ref="HX46">IFERROR(IF(XLOOKUP(CONCAT(HV46,HW46),'MASTER PLAN'!$AB:$AB,'MASTER PLAN'!$J:$J,0,0)=0,"",XLOOKUP(CONCAT(HV46,HW46),'MASTER PLAN'!$AB:$AB,'MASTER PLAN'!$J:$J,0,0)),"")</f>
        <v/>
      </c>
      <c r="HY46" s="73" t="str">
        <f t="array" ref="HY46">IFERROR(IF(XLOOKUP(CONCAT(HV46,HW46),'PROCESOS PRD'!$J:$J,'PROCESOS PRD'!$H:$H,0,0)=0,"",XLOOKUP(CONCAT(HV46,HW46),'PROCESOS PRD'!$J:$J,'PROCESOS PRD'!$H:$H,0,0)),"")</f>
        <v/>
      </c>
      <c r="HZ46" s="71"/>
      <c r="IA46" s="32"/>
      <c r="IB46" s="72" t="str">
        <f t="array" ref="IB46">IFERROR(IF(XLOOKUP(CONCAT(HZ46,IA46),'MASTER PLAN'!$AB:$AB,'MASTER PLAN'!$J:$J,0,0)=0,"",XLOOKUP(CONCAT(HZ46,IA46),'MASTER PLAN'!$AB:$AB,'MASTER PLAN'!$J:$J,0,0)),"")</f>
        <v/>
      </c>
      <c r="IC46" s="73" t="str">
        <f t="array" ref="IC46">IFERROR(IF(XLOOKUP(CONCAT(HZ46,IA46),'PROCESOS PRD'!$J:$J,'PROCESOS PRD'!$H:$H,0,0)=0,"",XLOOKUP(CONCAT(HZ46,IA46),'PROCESOS PRD'!$J:$J,'PROCESOS PRD'!$H:$H,0,0)),"")</f>
        <v/>
      </c>
      <c r="ID46" s="71"/>
      <c r="IE46" s="32"/>
      <c r="IF46" s="72" t="str">
        <f t="array" ref="IF46">IFERROR(IF(XLOOKUP(CONCAT(ID46,IE46),'MASTER PLAN'!$AB:$AB,'MASTER PLAN'!$J:$J,0,0)=0,"",XLOOKUP(CONCAT(ID46,IE46),'MASTER PLAN'!$AB:$AB,'MASTER PLAN'!$J:$J,0,0)),"")</f>
        <v/>
      </c>
      <c r="IG46" s="73" t="str">
        <f t="array" ref="IG46">IFERROR(IF(XLOOKUP(CONCAT(ID46,IE46),'PROCESOS PRD'!$J:$J,'PROCESOS PRD'!$H:$H,0,0)=0,"",XLOOKUP(CONCAT(ID46,IE46),'PROCESOS PRD'!$J:$J,'PROCESOS PRD'!$H:$H,0,0)),"")</f>
        <v/>
      </c>
      <c r="IH46" s="71"/>
      <c r="II46" s="32"/>
      <c r="IJ46" s="72" t="str">
        <f t="array" ref="IJ46">IFERROR(IF(XLOOKUP(CONCAT(IH46,II46),'MASTER PLAN'!$AB:$AB,'MASTER PLAN'!$J:$J,0,0)=0,"",XLOOKUP(CONCAT(IH46,II46),'MASTER PLAN'!$AB:$AB,'MASTER PLAN'!$J:$J,0,0)),"")</f>
        <v/>
      </c>
      <c r="IK46" s="73" t="str">
        <f t="array" ref="IK46">IFERROR(IF(XLOOKUP(CONCAT(IH46,II46),'PROCESOS PRD'!$J:$J,'PROCESOS PRD'!$H:$H,0,0)=0,"",XLOOKUP(CONCAT(IH46,II46),'PROCESOS PRD'!$J:$J,'PROCESOS PRD'!$H:$H,0,0)),"")</f>
        <v/>
      </c>
      <c r="IL46" s="70"/>
      <c r="IM46" s="71"/>
      <c r="IN46" s="32"/>
      <c r="IO46" s="72" t="str">
        <f t="array" ref="IO46">IFERROR(IF(XLOOKUP(CONCAT(IM46,IN46),'MASTER PLAN'!$AB:$AB,'MASTER PLAN'!$J:$J,0,0)=0,"",XLOOKUP(CONCAT(IM46,IN46),'MASTER PLAN'!$AB:$AB,'MASTER PLAN'!$J:$J,0,0)),"")</f>
        <v/>
      </c>
      <c r="IP46" s="73" t="str">
        <f t="array" ref="IP46">IFERROR(IF(XLOOKUP(CONCAT(IM46,IN46),'PROCESOS PRD'!$J:$J,'PROCESOS PRD'!$H:$H,0,0)=0,"",XLOOKUP(CONCAT(IM46,IN46),'PROCESOS PRD'!$J:$J,'PROCESOS PRD'!$H:$H,0,0)),"")</f>
        <v/>
      </c>
      <c r="IQ46" s="71"/>
      <c r="IR46" s="32"/>
      <c r="IS46" s="72" t="str">
        <f t="array" ref="IS46">IFERROR(IF(XLOOKUP(CONCAT(IQ46,IR46),'MASTER PLAN'!$AB:$AB,'MASTER PLAN'!$J:$J,0,0)=0,"",XLOOKUP(CONCAT(IQ46,IR46),'MASTER PLAN'!$AB:$AB,'MASTER PLAN'!$J:$J,0,0)),"")</f>
        <v/>
      </c>
      <c r="IT46" s="73" t="str">
        <f t="array" ref="IT46">IFERROR(IF(XLOOKUP(CONCAT(IQ46,IR46),'PROCESOS PRD'!$J:$J,'PROCESOS PRD'!$H:$H,0,0)=0,"",XLOOKUP(CONCAT(IQ46,IR46),'PROCESOS PRD'!$J:$J,'PROCESOS PRD'!$H:$H,0,0)),"")</f>
        <v/>
      </c>
      <c r="IU46" s="71"/>
      <c r="IV46" s="32"/>
      <c r="IW46" s="72" t="str">
        <f t="array" ref="IW46">IFERROR(IF(XLOOKUP(CONCAT(IU46,IV46),'MASTER PLAN'!$AB:$AB,'MASTER PLAN'!$J:$J,0,0)=0,"",XLOOKUP(CONCAT(IU46,IV46),'MASTER PLAN'!$AB:$AB,'MASTER PLAN'!$J:$J,0,0)),"")</f>
        <v/>
      </c>
      <c r="IX46" s="73" t="str">
        <f t="array" ref="IX46">IFERROR(IF(XLOOKUP(CONCAT(IU46,IV46),'PROCESOS PRD'!$J:$J,'PROCESOS PRD'!$H:$H,0,0)=0,"",XLOOKUP(CONCAT(IU46,IV46),'PROCESOS PRD'!$J:$J,'PROCESOS PRD'!$H:$H,0,0)),"")</f>
        <v/>
      </c>
      <c r="IY46" s="71"/>
      <c r="IZ46" s="32"/>
      <c r="JA46" s="72" t="str">
        <f t="array" ref="JA46">IFERROR(IF(XLOOKUP(CONCAT(IY46,IZ46),'MASTER PLAN'!$AB:$AB,'MASTER PLAN'!$J:$J,0,0)=0,"",XLOOKUP(CONCAT(IY46,IZ46),'MASTER PLAN'!$AB:$AB,'MASTER PLAN'!$J:$J,0,0)),"")</f>
        <v/>
      </c>
      <c r="JB46" s="73" t="str">
        <f t="array" ref="JB46">IFERROR(IF(XLOOKUP(CONCAT(IY46,IZ46),'PROCESOS PRD'!$J:$J,'PROCESOS PRD'!$H:$H,0,0)=0,"",XLOOKUP(CONCAT(IY46,IZ46),'PROCESOS PRD'!$J:$J,'PROCESOS PRD'!$H:$H,0,0)),"")</f>
        <v/>
      </c>
      <c r="JC46" s="71"/>
      <c r="JD46" s="32"/>
      <c r="JE46" s="72" t="str">
        <f t="array" ref="JE46">IFERROR(IF(XLOOKUP(CONCAT(JC46,JD46),'MASTER PLAN'!$AB:$AB,'MASTER PLAN'!$J:$J,0,0)=0,"",XLOOKUP(CONCAT(JC46,JD46),'MASTER PLAN'!$AB:$AB,'MASTER PLAN'!$J:$J,0,0)),"")</f>
        <v/>
      </c>
      <c r="JF46" s="73" t="str">
        <f t="array" ref="JF46">IFERROR(IF(XLOOKUP(CONCAT(JC46,JD46),'PROCESOS PRD'!$J:$J,'PROCESOS PRD'!$H:$H,0,0)=0,"",XLOOKUP(CONCAT(JC46,JD46),'PROCESOS PRD'!$J:$J,'PROCESOS PRD'!$H:$H,0,0)),"")</f>
        <v/>
      </c>
      <c r="JG46" s="71"/>
      <c r="JH46" s="32"/>
      <c r="JI46" s="72" t="str">
        <f t="array" ref="JI46">IFERROR(IF(XLOOKUP(CONCAT(JG46,JH46),'MASTER PLAN'!$AB:$AB,'MASTER PLAN'!$J:$J,0,0)=0,"",XLOOKUP(CONCAT(JG46,JH46),'MASTER PLAN'!$AB:$AB,'MASTER PLAN'!$J:$J,0,0)),"")</f>
        <v/>
      </c>
      <c r="JJ46" s="73" t="str">
        <f t="array" ref="JJ46">IFERROR(IF(XLOOKUP(CONCAT(JG46,JH46),'PROCESOS PRD'!$J:$J,'PROCESOS PRD'!$H:$H,0,0)=0,"",XLOOKUP(CONCAT(JG46,JH46),'PROCESOS PRD'!$J:$J,'PROCESOS PRD'!$H:$H,0,0)),"")</f>
        <v/>
      </c>
      <c r="JK46" s="70"/>
      <c r="JL46" s="71"/>
      <c r="JM46" s="32"/>
      <c r="JN46" s="72" t="str">
        <f t="array" ref="JN46">IFERROR(IF(XLOOKUP(CONCAT(JL46,JM46),'MASTER PLAN'!$AB:$AB,'MASTER PLAN'!$J:$J,0,0)=0,"",XLOOKUP(CONCAT(JL46,JM46),'MASTER PLAN'!$AB:$AB,'MASTER PLAN'!$J:$J,0,0)),"")</f>
        <v/>
      </c>
      <c r="JO46" s="73" t="str">
        <f t="array" ref="JO46">IFERROR(IF(XLOOKUP(CONCAT(JL46,JM46),'PROCESOS PRD'!$J:$J,'PROCESOS PRD'!$H:$H,0,0)=0,"",XLOOKUP(CONCAT(JL46,JM46),'PROCESOS PRD'!$J:$J,'PROCESOS PRD'!$H:$H,0,0)),"")</f>
        <v/>
      </c>
      <c r="JP46" s="71"/>
      <c r="JQ46" s="32"/>
      <c r="JR46" s="72" t="str">
        <f t="array" ref="JR46">IFERROR(IF(XLOOKUP(CONCAT(JP46,JQ46),'MASTER PLAN'!$AB:$AB,'MASTER PLAN'!$J:$J,0,0)=0,"",XLOOKUP(CONCAT(JP46,JQ46),'MASTER PLAN'!$AB:$AB,'MASTER PLAN'!$J:$J,0,0)),"")</f>
        <v/>
      </c>
      <c r="JS46" s="73" t="str">
        <f t="array" ref="JS46">IFERROR(IF(XLOOKUP(CONCAT(JP46,JQ46),'PROCESOS PRD'!$J:$J,'PROCESOS PRD'!$H:$H,0,0)=0,"",XLOOKUP(CONCAT(JP46,JQ46),'PROCESOS PRD'!$J:$J,'PROCESOS PRD'!$H:$H,0,0)),"")</f>
        <v/>
      </c>
      <c r="JT46" s="71"/>
      <c r="JU46" s="32"/>
      <c r="JV46" s="72" t="str">
        <f t="array" ref="JV46">IFERROR(IF(XLOOKUP(CONCAT(JT46,JU46),'MASTER PLAN'!$AB:$AB,'MASTER PLAN'!$J:$J,0,0)=0,"",XLOOKUP(CONCAT(JT46,JU46),'MASTER PLAN'!$AB:$AB,'MASTER PLAN'!$J:$J,0,0)),"")</f>
        <v/>
      </c>
      <c r="JW46" s="73" t="str">
        <f t="array" ref="JW46">IFERROR(IF(XLOOKUP(CONCAT(JT46,JU46),'PROCESOS PRD'!$J:$J,'PROCESOS PRD'!$H:$H,0,0)=0,"",XLOOKUP(CONCAT(JT46,JU46),'PROCESOS PRD'!$J:$J,'PROCESOS PRD'!$H:$H,0,0)),"")</f>
        <v/>
      </c>
      <c r="JX46" s="71"/>
      <c r="JY46" s="32"/>
      <c r="JZ46" s="72" t="str">
        <f t="array" ref="JZ46">IFERROR(IF(XLOOKUP(CONCAT(JX46,JY46),'MASTER PLAN'!$AB:$AB,'MASTER PLAN'!$J:$J,0,0)=0,"",XLOOKUP(CONCAT(JX46,JY46),'MASTER PLAN'!$AB:$AB,'MASTER PLAN'!$J:$J,0,0)),"")</f>
        <v/>
      </c>
      <c r="KA46" s="73" t="str">
        <f t="array" ref="KA46">IFERROR(IF(XLOOKUP(CONCAT(JX46,JY46),'PROCESOS PRD'!$J:$J,'PROCESOS PRD'!$H:$H,0,0)=0,"",XLOOKUP(CONCAT(JX46,JY46),'PROCESOS PRD'!$J:$J,'PROCESOS PRD'!$H:$H,0,0)),"")</f>
        <v/>
      </c>
      <c r="KB46" s="71"/>
      <c r="KC46" s="32"/>
      <c r="KD46" s="72" t="str">
        <f t="array" ref="KD46">IFERROR(IF(XLOOKUP(CONCAT(KB46,KC46),'MASTER PLAN'!$AB:$AB,'MASTER PLAN'!$J:$J,0,0)=0,"",XLOOKUP(CONCAT(KB46,KC46),'MASTER PLAN'!$AB:$AB,'MASTER PLAN'!$J:$J,0,0)),"")</f>
        <v/>
      </c>
      <c r="KE46" s="73" t="str">
        <f t="array" ref="KE46">IFERROR(IF(XLOOKUP(CONCAT(KB46,KC46),'PROCESOS PRD'!$J:$J,'PROCESOS PRD'!$H:$H,0,0)=0,"",XLOOKUP(CONCAT(KB46,KC46),'PROCESOS PRD'!$J:$J,'PROCESOS PRD'!$H:$H,0,0)),"")</f>
        <v/>
      </c>
      <c r="KF46" s="71"/>
      <c r="KG46" s="32"/>
      <c r="KH46" s="72" t="str">
        <f t="array" ref="KH46">IFERROR(IF(XLOOKUP(CONCAT(KF46,KG46),'MASTER PLAN'!$AB:$AB,'MASTER PLAN'!$J:$J,0,0)=0,"",XLOOKUP(CONCAT(KF46,KG46),'MASTER PLAN'!$AB:$AB,'MASTER PLAN'!$J:$J,0,0)),"")</f>
        <v/>
      </c>
      <c r="KI46" s="73" t="str">
        <f t="array" ref="KI46">IFERROR(IF(XLOOKUP(CONCAT(KF46,KG46),'PROCESOS PRD'!$J:$J,'PROCESOS PRD'!$H:$H,0,0)=0,"",XLOOKUP(CONCAT(KF46,KG46),'PROCESOS PRD'!$J:$J,'PROCESOS PRD'!$H:$H,0,0)),"")</f>
        <v/>
      </c>
      <c r="KJ46" s="70"/>
      <c r="KK46" s="70"/>
      <c r="KL46" s="70"/>
      <c r="KM46" s="70"/>
      <c r="KN46" s="70"/>
      <c r="KO46" s="70"/>
      <c r="KP46" s="70"/>
      <c r="KQ46" s="70"/>
      <c r="KR46" s="70"/>
      <c r="KS46" s="70"/>
      <c r="KT46" s="70"/>
      <c r="KU46" s="70"/>
      <c r="KV46" s="70"/>
      <c r="KW46" s="70"/>
      <c r="KX46" s="70"/>
      <c r="KY46" s="70"/>
      <c r="KZ46" s="70"/>
      <c r="LA46" s="70"/>
      <c r="LB46" s="70"/>
      <c r="LC46" s="70"/>
    </row>
    <row r="47" ht="15.75" customHeight="1">
      <c r="A47" s="42"/>
      <c r="B47" s="74"/>
      <c r="C47" s="69"/>
      <c r="D47" s="70"/>
      <c r="E47" s="71"/>
      <c r="F47" s="32"/>
      <c r="G47" s="72" t="str">
        <f t="array" ref="G47">IFERROR(IF(XLOOKUP(CONCAT(E47,F47),'MASTER PLAN'!$AB:$AB,'MASTER PLAN'!$J:$J,0,0)=0,"",XLOOKUP(CONCAT(E47,F47),'MASTER PLAN'!$AB:$AB,'MASTER PLAN'!$J:$J,0,0)),"")</f>
        <v/>
      </c>
      <c r="H47" s="73" t="str">
        <f t="array" ref="H47">IFERROR(IF(XLOOKUP(CONCAT(E47,F47),'PROCESOS PRD'!$J:$J,'PROCESOS PRD'!$H:$H,0,0)=0,"",XLOOKUP(CONCAT(E47,F47),'PROCESOS PRD'!$J:$J,'PROCESOS PRD'!$H:$H,0,0)),"")</f>
        <v/>
      </c>
      <c r="I47" s="71"/>
      <c r="J47" s="32"/>
      <c r="K47" s="72" t="str">
        <f t="array" ref="K47">IFERROR(IF(XLOOKUP(CONCAT(I47,J47),'MASTER PLAN'!$AB:$AB,'MASTER PLAN'!$J:$J,0,0)=0,"",XLOOKUP(CONCAT(I47,J47),'MASTER PLAN'!$AB:$AB,'MASTER PLAN'!$J:$J,0,0)),"")</f>
        <v/>
      </c>
      <c r="L47" s="73" t="str">
        <f t="array" ref="L47">IFERROR(IF(XLOOKUP(CONCAT(I47,J47),'PROCESOS PRD'!$J:$J,'PROCESOS PRD'!$H:$H,0,0)=0,"",XLOOKUP(CONCAT(I47,J47),'PROCESOS PRD'!$J:$J,'PROCESOS PRD'!$H:$H,0,0)),"")</f>
        <v/>
      </c>
      <c r="M47" s="71"/>
      <c r="N47" s="32"/>
      <c r="O47" s="72" t="str">
        <f t="array" ref="O47">IFERROR(IF(XLOOKUP(CONCAT(M47,N47),'MASTER PLAN'!$AB:$AB,'MASTER PLAN'!$J:$J,0,0)=0,"",XLOOKUP(CONCAT(M47,N47),'MASTER PLAN'!$AB:$AB,'MASTER PLAN'!$J:$J,0,0)),"")</f>
        <v/>
      </c>
      <c r="P47" s="73" t="str">
        <f t="array" ref="P47">IFERROR(IF(XLOOKUP(CONCAT(M47,N47),'PROCESOS PRD'!$J:$J,'PROCESOS PRD'!$H:$H,0,0)=0,"",XLOOKUP(CONCAT(M47,N47),'PROCESOS PRD'!$J:$J,'PROCESOS PRD'!$H:$H,0,0)),"")</f>
        <v/>
      </c>
      <c r="Q47" s="71"/>
      <c r="R47" s="32"/>
      <c r="S47" s="72" t="str">
        <f t="array" ref="S47">IFERROR(IF(XLOOKUP(CONCAT(Q47,R47),'MASTER PLAN'!$AB:$AB,'MASTER PLAN'!$J:$J,0,0)=0,"",XLOOKUP(CONCAT(Q47,R47),'MASTER PLAN'!$AB:$AB,'MASTER PLAN'!$J:$J,0,0)),"")</f>
        <v/>
      </c>
      <c r="T47" s="73" t="str">
        <f t="array" ref="T47">IFERROR(IF(XLOOKUP(CONCAT(Q47,R47),'PROCESOS PRD'!$J:$J,'PROCESOS PRD'!$H:$H,0,0)=0,"",XLOOKUP(CONCAT(Q47,R47),'PROCESOS PRD'!$J:$J,'PROCESOS PRD'!$H:$H,0,0)),"")</f>
        <v/>
      </c>
      <c r="U47" s="70"/>
      <c r="V47" s="71"/>
      <c r="W47" s="32"/>
      <c r="X47" s="72" t="str">
        <f t="array" ref="X47">IFERROR(IF(XLOOKUP(CONCAT(V47,W47),'MASTER PLAN'!$AB:$AB,'MASTER PLAN'!$J:$J,0,0)=0,"",XLOOKUP(CONCAT(V47,W47),'MASTER PLAN'!$AB:$AB,'MASTER PLAN'!$J:$J,0,0)),"")</f>
        <v/>
      </c>
      <c r="Y47" s="73" t="str">
        <f t="array" ref="Y47">IFERROR(IF(XLOOKUP(CONCAT(V47,W47),'PROCESOS PRD'!$J:$J,'PROCESOS PRD'!$H:$H,0,0)=0,"",XLOOKUP(CONCAT(V47,W47),'PROCESOS PRD'!$J:$J,'PROCESOS PRD'!$H:$H,0,0)),"")</f>
        <v/>
      </c>
      <c r="Z47" s="71"/>
      <c r="AA47" s="32"/>
      <c r="AB47" s="72" t="str">
        <f t="array" ref="AB47">IFERROR(IF(XLOOKUP(CONCAT(Z47,AA47),'MASTER PLAN'!$AB:$AB,'MASTER PLAN'!$J:$J,0,0)=0,"",XLOOKUP(CONCAT(Z47,AA47),'MASTER PLAN'!$AB:$AB,'MASTER PLAN'!$J:$J,0,0)),"")</f>
        <v/>
      </c>
      <c r="AC47" s="73" t="str">
        <f t="array" ref="AC47">IFERROR(IF(XLOOKUP(CONCAT(Z47,AA47),'PROCESOS PRD'!$J:$J,'PROCESOS PRD'!$H:$H,0,0)=0,"",XLOOKUP(CONCAT(Z47,AA47),'PROCESOS PRD'!$J:$J,'PROCESOS PRD'!$H:$H,0,0)),"")</f>
        <v/>
      </c>
      <c r="AD47" s="71"/>
      <c r="AE47" s="32"/>
      <c r="AF47" s="72" t="str">
        <f t="array" ref="AF47">IFERROR(IF(XLOOKUP(CONCAT(AD47,AE47),'MASTER PLAN'!$AB:$AB,'MASTER PLAN'!$J:$J,0,0)=0,"",XLOOKUP(CONCAT(AD47,AE47),'MASTER PLAN'!$AB:$AB,'MASTER PLAN'!$J:$J,0,0)),"")</f>
        <v/>
      </c>
      <c r="AG47" s="73" t="str">
        <f t="array" ref="AG47">IFERROR(IF(XLOOKUP(CONCAT(AD47,AE47),'PROCESOS PRD'!$J:$J,'PROCESOS PRD'!$H:$H,0,0)=0,"",XLOOKUP(CONCAT(AD47,AE47),'PROCESOS PRD'!$J:$J,'PROCESOS PRD'!$H:$H,0,0)),"")</f>
        <v/>
      </c>
      <c r="AH47" s="71"/>
      <c r="AI47" s="32"/>
      <c r="AJ47" s="72" t="str">
        <f t="array" ref="AJ47">IFERROR(IF(XLOOKUP(CONCAT(AH47,AI47),'MASTER PLAN'!$AB:$AB,'MASTER PLAN'!$J:$J,0,0)=0,"",XLOOKUP(CONCAT(AH47,AI47),'MASTER PLAN'!$AB:$AB,'MASTER PLAN'!$J:$J,0,0)),"")</f>
        <v/>
      </c>
      <c r="AK47" s="73" t="str">
        <f t="array" ref="AK47">IFERROR(IF(XLOOKUP(CONCAT(AH47,AI47),'PROCESOS PRD'!$J:$J,'PROCESOS PRD'!$H:$H,0,0)=0,"",XLOOKUP(CONCAT(AH47,AI47),'PROCESOS PRD'!$J:$J,'PROCESOS PRD'!$H:$H,0,0)),"")</f>
        <v/>
      </c>
      <c r="AL47" s="71"/>
      <c r="AM47" s="32"/>
      <c r="AN47" s="72" t="str">
        <f t="array" ref="AN47">IFERROR(IF(XLOOKUP(CONCAT(AL47,AM47),'MASTER PLAN'!$AB:$AB,'MASTER PLAN'!$J:$J,0,0)=0,"",XLOOKUP(CONCAT(AL47,AM47),'MASTER PLAN'!$AB:$AB,'MASTER PLAN'!$J:$J,0,0)),"")</f>
        <v/>
      </c>
      <c r="AO47" s="73" t="str">
        <f t="array" ref="AO47">IFERROR(IF(XLOOKUP(CONCAT(AL47,AM47),'PROCESOS PRD'!$J:$J,'PROCESOS PRD'!$H:$H,0,0)=0,"",XLOOKUP(CONCAT(AL47,AM47),'PROCESOS PRD'!$J:$J,'PROCESOS PRD'!$H:$H,0,0)),"")</f>
        <v/>
      </c>
      <c r="AP47" s="71"/>
      <c r="AQ47" s="32"/>
      <c r="AR47" s="72" t="str">
        <f t="array" ref="AR47">IFERROR(IF(XLOOKUP(CONCAT(AP47,AQ47),'MASTER PLAN'!$AB:$AB,'MASTER PLAN'!$J:$J,0,0)=0,"",XLOOKUP(CONCAT(AP47,AQ47),'MASTER PLAN'!$AB:$AB,'MASTER PLAN'!$J:$J,0,0)),"")</f>
        <v/>
      </c>
      <c r="AS47" s="73" t="str">
        <f t="array" ref="AS47">IFERROR(IF(XLOOKUP(CONCAT(AP47,AQ47),'PROCESOS PRD'!$J:$J,'PROCESOS PRD'!$H:$H,0,0)=0,"",XLOOKUP(CONCAT(AP47,AQ47),'PROCESOS PRD'!$J:$J,'PROCESOS PRD'!$H:$H,0,0)),"")</f>
        <v/>
      </c>
      <c r="AT47" s="70"/>
      <c r="AU47" s="71"/>
      <c r="AV47" s="32"/>
      <c r="AW47" s="72" t="str">
        <f t="array" ref="AW47">IFERROR(IF(XLOOKUP(CONCAT(AU47,AV47),'MASTER PLAN'!$AB:$AB,'MASTER PLAN'!$J:$J,0,0)=0,"",XLOOKUP(CONCAT(AU47,AV47),'MASTER PLAN'!$AB:$AB,'MASTER PLAN'!$J:$J,0,0)),"")</f>
        <v/>
      </c>
      <c r="AX47" s="73" t="str">
        <f t="array" ref="AX47">IFERROR(IF(XLOOKUP(CONCAT(AU47,AV47),'PROCESOS PRD'!$J:$J,'PROCESOS PRD'!$H:$H,0,0)=0,"",XLOOKUP(CONCAT(AU47,AV47),'PROCESOS PRD'!$J:$J,'PROCESOS PRD'!$H:$H,0,0)),"")</f>
        <v/>
      </c>
      <c r="AY47" s="71"/>
      <c r="AZ47" s="32"/>
      <c r="BA47" s="72" t="str">
        <f t="array" ref="BA47">IFERROR(IF(XLOOKUP(CONCAT(AY47,AZ47),'MASTER PLAN'!$AB:$AB,'MASTER PLAN'!$J:$J,0,0)=0,"",XLOOKUP(CONCAT(AY47,AZ47),'MASTER PLAN'!$AB:$AB,'MASTER PLAN'!$J:$J,0,0)),"")</f>
        <v/>
      </c>
      <c r="BB47" s="73" t="str">
        <f t="array" ref="BB47">IFERROR(IF(XLOOKUP(CONCAT(AY47,AZ47),'PROCESOS PRD'!$J:$J,'PROCESOS PRD'!$H:$H,0,0)=0,"",XLOOKUP(CONCAT(AY47,AZ47),'PROCESOS PRD'!$J:$J,'PROCESOS PRD'!$H:$H,0,0)),"")</f>
        <v/>
      </c>
      <c r="BC47" s="71"/>
      <c r="BD47" s="32"/>
      <c r="BE47" s="72" t="str">
        <f t="array" ref="BE47">IFERROR(IF(XLOOKUP(CONCAT(BC47,BD47),'MASTER PLAN'!$AB:$AB,'MASTER PLAN'!$J:$J,0,0)=0,"",XLOOKUP(CONCAT(BC47,BD47),'MASTER PLAN'!$AB:$AB,'MASTER PLAN'!$J:$J,0,0)),"")</f>
        <v/>
      </c>
      <c r="BF47" s="73" t="str">
        <f t="array" ref="BF47">IFERROR(IF(XLOOKUP(CONCAT(BC47,BD47),'PROCESOS PRD'!$J:$J,'PROCESOS PRD'!$H:$H,0,0)=0,"",XLOOKUP(CONCAT(BC47,BD47),'PROCESOS PRD'!$J:$J,'PROCESOS PRD'!$H:$H,0,0)),"")</f>
        <v/>
      </c>
      <c r="BG47" s="71"/>
      <c r="BH47" s="32"/>
      <c r="BI47" s="72" t="str">
        <f t="array" ref="BI47">IFERROR(IF(XLOOKUP(CONCAT(BG47,BH47),'MASTER PLAN'!$AB:$AB,'MASTER PLAN'!$J:$J,0,0)=0,"",XLOOKUP(CONCAT(BG47,BH47),'MASTER PLAN'!$AB:$AB,'MASTER PLAN'!$J:$J,0,0)),"")</f>
        <v/>
      </c>
      <c r="BJ47" s="73" t="str">
        <f t="array" ref="BJ47">IFERROR(IF(XLOOKUP(CONCAT(BG47,BH47),'PROCESOS PRD'!$J:$J,'PROCESOS PRD'!$H:$H,0,0)=0,"",XLOOKUP(CONCAT(BG47,BH47),'PROCESOS PRD'!$J:$J,'PROCESOS PRD'!$H:$H,0,0)),"")</f>
        <v/>
      </c>
      <c r="BK47" s="71"/>
      <c r="BL47" s="32"/>
      <c r="BM47" s="72" t="str">
        <f t="array" ref="BM47">IFERROR(IF(XLOOKUP(CONCAT(BK47,BL47),'MASTER PLAN'!$AB:$AB,'MASTER PLAN'!$J:$J,0,0)=0,"",XLOOKUP(CONCAT(BK47,BL47),'MASTER PLAN'!$AB:$AB,'MASTER PLAN'!$J:$J,0,0)),"")</f>
        <v/>
      </c>
      <c r="BN47" s="73" t="str">
        <f t="array" ref="BN47">IFERROR(IF(XLOOKUP(CONCAT(BK47,BL47),'PROCESOS PRD'!$J:$J,'PROCESOS PRD'!$H:$H,0,0)=0,"",XLOOKUP(CONCAT(BK47,BL47),'PROCESOS PRD'!$J:$J,'PROCESOS PRD'!$H:$H,0,0)),"")</f>
        <v/>
      </c>
      <c r="BO47" s="71"/>
      <c r="BP47" s="32"/>
      <c r="BQ47" s="72" t="str">
        <f t="array" ref="BQ47">IFERROR(IF(XLOOKUP(CONCAT(BO47,BP47),'MASTER PLAN'!$AB:$AB,'MASTER PLAN'!$J:$J,0,0)=0,"",XLOOKUP(CONCAT(BO47,BP47),'MASTER PLAN'!$AB:$AB,'MASTER PLAN'!$J:$J,0,0)),"")</f>
        <v/>
      </c>
      <c r="BR47" s="73" t="str">
        <f t="array" ref="BR47">IFERROR(IF(XLOOKUP(CONCAT(BO47,BP47),'PROCESOS PRD'!$J:$J,'PROCESOS PRD'!$H:$H,0,0)=0,"",XLOOKUP(CONCAT(BO47,BP47),'PROCESOS PRD'!$J:$J,'PROCESOS PRD'!$H:$H,0,0)),"")</f>
        <v/>
      </c>
      <c r="BS47" s="70"/>
      <c r="BT47" s="71"/>
      <c r="BU47" s="32"/>
      <c r="BV47" s="72" t="str">
        <f t="array" ref="BV47">IFERROR(IF(XLOOKUP(CONCAT(BT47,BU47),'MASTER PLAN'!$AB:$AB,'MASTER PLAN'!$J:$J,0,0)=0,"",XLOOKUP(CONCAT(BT47,BU47),'MASTER PLAN'!$AB:$AB,'MASTER PLAN'!$J:$J,0,0)),"")</f>
        <v/>
      </c>
      <c r="BW47" s="73" t="str">
        <f t="array" ref="BW47">IFERROR(IF(XLOOKUP(CONCAT(BT47,BU47),'PROCESOS PRD'!$J:$J,'PROCESOS PRD'!$H:$H,0,0)=0,"",XLOOKUP(CONCAT(BT47,BU47),'PROCESOS PRD'!$J:$J,'PROCESOS PRD'!$H:$H,0,0)),"")</f>
        <v/>
      </c>
      <c r="BX47" s="71"/>
      <c r="BY47" s="32"/>
      <c r="BZ47" s="72" t="str">
        <f t="array" ref="BZ47">IFERROR(IF(XLOOKUP(CONCAT(BX47,BY47),'MASTER PLAN'!$AB:$AB,'MASTER PLAN'!$J:$J,0,0)=0,"",XLOOKUP(CONCAT(BX47,BY47),'MASTER PLAN'!$AB:$AB,'MASTER PLAN'!$J:$J,0,0)),"")</f>
        <v/>
      </c>
      <c r="CA47" s="73" t="str">
        <f t="array" ref="CA47">IFERROR(IF(XLOOKUP(CONCAT(BX47,BY47),'PROCESOS PRD'!$J:$J,'PROCESOS PRD'!$H:$H,0,0)=0,"",XLOOKUP(CONCAT(BX47,BY47),'PROCESOS PRD'!$J:$J,'PROCESOS PRD'!$H:$H,0,0)),"")</f>
        <v/>
      </c>
      <c r="CB47" s="71"/>
      <c r="CC47" s="32"/>
      <c r="CD47" s="72" t="str">
        <f t="array" ref="CD47">IFERROR(IF(XLOOKUP(CONCAT(CB47,CC47),'MASTER PLAN'!$AB:$AB,'MASTER PLAN'!$J:$J,0,0)=0,"",XLOOKUP(CONCAT(CB47,CC47),'MASTER PLAN'!$AB:$AB,'MASTER PLAN'!$J:$J,0,0)),"")</f>
        <v/>
      </c>
      <c r="CE47" s="73" t="str">
        <f t="array" ref="CE47">IFERROR(IF(XLOOKUP(CONCAT(CB47,CC47),'PROCESOS PRD'!$J:$J,'PROCESOS PRD'!$H:$H,0,0)=0,"",XLOOKUP(CONCAT(CB47,CC47),'PROCESOS PRD'!$J:$J,'PROCESOS PRD'!$H:$H,0,0)),"")</f>
        <v/>
      </c>
      <c r="CF47" s="71"/>
      <c r="CG47" s="32"/>
      <c r="CH47" s="72" t="str">
        <f t="array" ref="CH47">IFERROR(IF(XLOOKUP(CONCAT(CF47,CG47),'MASTER PLAN'!$AB:$AB,'MASTER PLAN'!$J:$J,0,0)=0,"",XLOOKUP(CONCAT(CF47,CG47),'MASTER PLAN'!$AB:$AB,'MASTER PLAN'!$J:$J,0,0)),"")</f>
        <v/>
      </c>
      <c r="CI47" s="73" t="str">
        <f t="array" ref="CI47">IFERROR(IF(XLOOKUP(CONCAT(CF47,CG47),'PROCESOS PRD'!$J:$J,'PROCESOS PRD'!$H:$H,0,0)=0,"",XLOOKUP(CONCAT(CF47,CG47),'PROCESOS PRD'!$J:$J,'PROCESOS PRD'!$H:$H,0,0)),"")</f>
        <v/>
      </c>
      <c r="CJ47" s="71"/>
      <c r="CK47" s="32"/>
      <c r="CL47" s="72" t="str">
        <f t="array" ref="CL47">IFERROR(IF(XLOOKUP(CONCAT(CJ47,CK47),'MASTER PLAN'!$AB:$AB,'MASTER PLAN'!$J:$J,0,0)=0,"",XLOOKUP(CONCAT(CJ47,CK47),'MASTER PLAN'!$AB:$AB,'MASTER PLAN'!$J:$J,0,0)),"")</f>
        <v/>
      </c>
      <c r="CM47" s="73" t="str">
        <f t="array" ref="CM47">IFERROR(IF(XLOOKUP(CONCAT(CJ47,CK47),'PROCESOS PRD'!$J:$J,'PROCESOS PRD'!$H:$H,0,0)=0,"",XLOOKUP(CONCAT(CJ47,CK47),'PROCESOS PRD'!$J:$J,'PROCESOS PRD'!$H:$H,0,0)),"")</f>
        <v/>
      </c>
      <c r="CN47" s="71"/>
      <c r="CO47" s="32"/>
      <c r="CP47" s="72" t="str">
        <f t="array" ref="CP47">IFERROR(IF(XLOOKUP(CONCAT(CN47,CO47),'MASTER PLAN'!$AB:$AB,'MASTER PLAN'!$J:$J,0,0)=0,"",XLOOKUP(CONCAT(CN47,CO47),'MASTER PLAN'!$AB:$AB,'MASTER PLAN'!$J:$J,0,0)),"")</f>
        <v/>
      </c>
      <c r="CQ47" s="73" t="str">
        <f t="array" ref="CQ47">IFERROR(IF(XLOOKUP(CONCAT(CN47,CO47),'PROCESOS PRD'!$J:$J,'PROCESOS PRD'!$H:$H,0,0)=0,"",XLOOKUP(CONCAT(CN47,CO47),'PROCESOS PRD'!$J:$J,'PROCESOS PRD'!$H:$H,0,0)),"")</f>
        <v/>
      </c>
      <c r="CR47" s="70"/>
      <c r="CS47" s="71"/>
      <c r="CT47" s="32"/>
      <c r="CU47" s="72" t="str">
        <f t="array" ref="CU47">IFERROR(IF(XLOOKUP(CONCAT(CS47,CT47),'MASTER PLAN'!$AB:$AB,'MASTER PLAN'!$J:$J,0,0)=0,"",XLOOKUP(CONCAT(CS47,CT47),'MASTER PLAN'!$AB:$AB,'MASTER PLAN'!$J:$J,0,0)),"")</f>
        <v/>
      </c>
      <c r="CV47" s="73" t="str">
        <f t="array" ref="CV47">IFERROR(IF(XLOOKUP(CONCAT(CS47,CT47),'PROCESOS PRD'!$J:$J,'PROCESOS PRD'!$H:$H,0,0)=0,"",XLOOKUP(CONCAT(CS47,CT47),'PROCESOS PRD'!$J:$J,'PROCESOS PRD'!$H:$H,0,0)),"")</f>
        <v/>
      </c>
      <c r="CW47" s="71"/>
      <c r="CX47" s="32"/>
      <c r="CY47" s="72" t="str">
        <f t="array" ref="CY47">IFERROR(IF(XLOOKUP(CONCAT(CW47,CX47),'MASTER PLAN'!$AB:$AB,'MASTER PLAN'!$J:$J,0,0)=0,"",XLOOKUP(CONCAT(CW47,CX47),'MASTER PLAN'!$AB:$AB,'MASTER PLAN'!$J:$J,0,0)),"")</f>
        <v/>
      </c>
      <c r="CZ47" s="73" t="str">
        <f t="array" ref="CZ47">IFERROR(IF(XLOOKUP(CONCAT(CW47,CX47),'PROCESOS PRD'!$J:$J,'PROCESOS PRD'!$H:$H,0,0)=0,"",XLOOKUP(CONCAT(CW47,CX47),'PROCESOS PRD'!$J:$J,'PROCESOS PRD'!$H:$H,0,0)),"")</f>
        <v/>
      </c>
      <c r="DA47" s="71"/>
      <c r="DB47" s="32"/>
      <c r="DC47" s="72" t="str">
        <f t="array" ref="DC47">IFERROR(IF(XLOOKUP(CONCAT(DA47,DB47),'MASTER PLAN'!$AB:$AB,'MASTER PLAN'!$J:$J,0,0)=0,"",XLOOKUP(CONCAT(DA47,DB47),'MASTER PLAN'!$AB:$AB,'MASTER PLAN'!$J:$J,0,0)),"")</f>
        <v/>
      </c>
      <c r="DD47" s="73" t="str">
        <f t="array" ref="DD47">IFERROR(IF(XLOOKUP(CONCAT(DA47,DB47),'PROCESOS PRD'!$J:$J,'PROCESOS PRD'!$H:$H,0,0)=0,"",XLOOKUP(CONCAT(DA47,DB47),'PROCESOS PRD'!$J:$J,'PROCESOS PRD'!$H:$H,0,0)),"")</f>
        <v/>
      </c>
      <c r="DE47" s="71"/>
      <c r="DF47" s="32"/>
      <c r="DG47" s="72" t="str">
        <f t="array" ref="DG47">IFERROR(IF(XLOOKUP(CONCAT(DE47,DF47),'MASTER PLAN'!$AB:$AB,'MASTER PLAN'!$J:$J,0,0)=0,"",XLOOKUP(CONCAT(DE47,DF47),'MASTER PLAN'!$AB:$AB,'MASTER PLAN'!$J:$J,0,0)),"")</f>
        <v/>
      </c>
      <c r="DH47" s="73" t="str">
        <f t="array" ref="DH47">IFERROR(IF(XLOOKUP(CONCAT(DE47,DF47),'PROCESOS PRD'!$J:$J,'PROCESOS PRD'!$H:$H,0,0)=0,"",XLOOKUP(CONCAT(DE47,DF47),'PROCESOS PRD'!$J:$J,'PROCESOS PRD'!$H:$H,0,0)),"")</f>
        <v/>
      </c>
      <c r="DI47" s="71"/>
      <c r="DJ47" s="32"/>
      <c r="DK47" s="72" t="str">
        <f t="array" ref="DK47">IFERROR(IF(XLOOKUP(CONCAT(DI47,DJ47),'MASTER PLAN'!$AB:$AB,'MASTER PLAN'!$J:$J,0,0)=0,"",XLOOKUP(CONCAT(DI47,DJ47),'MASTER PLAN'!$AB:$AB,'MASTER PLAN'!$J:$J,0,0)),"")</f>
        <v/>
      </c>
      <c r="DL47" s="73" t="str">
        <f t="array" ref="DL47">IFERROR(IF(XLOOKUP(CONCAT(DI47,DJ47),'PROCESOS PRD'!$J:$J,'PROCESOS PRD'!$H:$H,0,0)=0,"",XLOOKUP(CONCAT(DI47,DJ47),'PROCESOS PRD'!$J:$J,'PROCESOS PRD'!$H:$H,0,0)),"")</f>
        <v/>
      </c>
      <c r="DM47" s="71"/>
      <c r="DN47" s="32"/>
      <c r="DO47" s="72" t="str">
        <f t="array" ref="DO47">IFERROR(IF(XLOOKUP(CONCAT(DM47,DN47),'MASTER PLAN'!$AB:$AB,'MASTER PLAN'!$J:$J,0,0)=0,"",XLOOKUP(CONCAT(DM47,DN47),'MASTER PLAN'!$AB:$AB,'MASTER PLAN'!$J:$J,0,0)),"")</f>
        <v/>
      </c>
      <c r="DP47" s="73" t="str">
        <f t="array" ref="DP47">IFERROR(IF(XLOOKUP(CONCAT(DM47,DN47),'PROCESOS PRD'!$J:$J,'PROCESOS PRD'!$H:$H,0,0)=0,"",XLOOKUP(CONCAT(DM47,DN47),'PROCESOS PRD'!$J:$J,'PROCESOS PRD'!$H:$H,0,0)),"")</f>
        <v/>
      </c>
      <c r="DQ47" s="70"/>
      <c r="DR47" s="71"/>
      <c r="DS47" s="32"/>
      <c r="DT47" s="72" t="str">
        <f t="array" ref="DT47">IFERROR(IF(XLOOKUP(CONCAT(DR47,DS47),'MASTER PLAN'!$AB:$AB,'MASTER PLAN'!$J:$J,0,0)=0,"",XLOOKUP(CONCAT(DR47,DS47),'MASTER PLAN'!$AB:$AB,'MASTER PLAN'!$J:$J,0,0)),"")</f>
        <v/>
      </c>
      <c r="DU47" s="73" t="str">
        <f t="array" ref="DU47">IFERROR(IF(XLOOKUP(CONCAT(DR47,DS47),'PROCESOS PRD'!$J:$J,'PROCESOS PRD'!$H:$H,0,0)=0,"",XLOOKUP(CONCAT(DR47,DS47),'PROCESOS PRD'!$J:$J,'PROCESOS PRD'!$H:$H,0,0)),"")</f>
        <v/>
      </c>
      <c r="DV47" s="71"/>
      <c r="DW47" s="32"/>
      <c r="DX47" s="72" t="str">
        <f t="array" ref="DX47">IFERROR(IF(XLOOKUP(CONCAT(DV47,DW47),'MASTER PLAN'!$AB:$AB,'MASTER PLAN'!$J:$J,0,0)=0,"",XLOOKUP(CONCAT(DV47,DW47),'MASTER PLAN'!$AB:$AB,'MASTER PLAN'!$J:$J,0,0)),"")</f>
        <v/>
      </c>
      <c r="DY47" s="73" t="str">
        <f t="array" ref="DY47">IFERROR(IF(XLOOKUP(CONCAT(DV47,DW47),'PROCESOS PRD'!$J:$J,'PROCESOS PRD'!$H:$H,0,0)=0,"",XLOOKUP(CONCAT(DV47,DW47),'PROCESOS PRD'!$J:$J,'PROCESOS PRD'!$H:$H,0,0)),"")</f>
        <v/>
      </c>
      <c r="DZ47" s="71"/>
      <c r="EA47" s="32"/>
      <c r="EB47" s="72" t="str">
        <f t="array" ref="EB47">IFERROR(IF(XLOOKUP(CONCAT(DZ47,EA47),'MASTER PLAN'!$AB:$AB,'MASTER PLAN'!$J:$J,0,0)=0,"",XLOOKUP(CONCAT(DZ47,EA47),'MASTER PLAN'!$AB:$AB,'MASTER PLAN'!$J:$J,0,0)),"")</f>
        <v/>
      </c>
      <c r="EC47" s="73" t="str">
        <f t="array" ref="EC47">IFERROR(IF(XLOOKUP(CONCAT(DZ47,EA47),'PROCESOS PRD'!$J:$J,'PROCESOS PRD'!$H:$H,0,0)=0,"",XLOOKUP(CONCAT(DZ47,EA47),'PROCESOS PRD'!$J:$J,'PROCESOS PRD'!$H:$H,0,0)),"")</f>
        <v/>
      </c>
      <c r="ED47" s="71"/>
      <c r="EE47" s="32"/>
      <c r="EF47" s="72" t="str">
        <f t="array" ref="EF47">IFERROR(IF(XLOOKUP(CONCAT(ED47,EE47),'MASTER PLAN'!$AB:$AB,'MASTER PLAN'!$J:$J,0,0)=0,"",XLOOKUP(CONCAT(ED47,EE47),'MASTER PLAN'!$AB:$AB,'MASTER PLAN'!$J:$J,0,0)),"")</f>
        <v/>
      </c>
      <c r="EG47" s="73" t="str">
        <f t="array" ref="EG47">IFERROR(IF(XLOOKUP(CONCAT(ED47,EE47),'PROCESOS PRD'!$J:$J,'PROCESOS PRD'!$H:$H,0,0)=0,"",XLOOKUP(CONCAT(ED47,EE47),'PROCESOS PRD'!$J:$J,'PROCESOS PRD'!$H:$H,0,0)),"")</f>
        <v/>
      </c>
      <c r="EH47" s="71"/>
      <c r="EI47" s="32"/>
      <c r="EJ47" s="72" t="str">
        <f t="array" ref="EJ47">IFERROR(IF(XLOOKUP(CONCAT(EH47,EI47),'MASTER PLAN'!$AB:$AB,'MASTER PLAN'!$J:$J,0,0)=0,"",XLOOKUP(CONCAT(EH47,EI47),'MASTER PLAN'!$AB:$AB,'MASTER PLAN'!$J:$J,0,0)),"")</f>
        <v/>
      </c>
      <c r="EK47" s="73" t="str">
        <f t="array" ref="EK47">IFERROR(IF(XLOOKUP(CONCAT(EH47,EI47),'PROCESOS PRD'!$J:$J,'PROCESOS PRD'!$H:$H,0,0)=0,"",XLOOKUP(CONCAT(EH47,EI47),'PROCESOS PRD'!$J:$J,'PROCESOS PRD'!$H:$H,0,0)),"")</f>
        <v/>
      </c>
      <c r="EL47" s="71"/>
      <c r="EM47" s="32"/>
      <c r="EN47" s="72" t="str">
        <f t="array" ref="EN47">IFERROR(IF(XLOOKUP(CONCAT(EL47,EM47),'MASTER PLAN'!$AB:$AB,'MASTER PLAN'!$J:$J,0,0)=0,"",XLOOKUP(CONCAT(EL47,EM47),'MASTER PLAN'!$AB:$AB,'MASTER PLAN'!$J:$J,0,0)),"")</f>
        <v/>
      </c>
      <c r="EO47" s="73" t="str">
        <f t="array" ref="EO47">IFERROR(IF(XLOOKUP(CONCAT(EL47,EM47),'PROCESOS PRD'!$J:$J,'PROCESOS PRD'!$H:$H,0,0)=0,"",XLOOKUP(CONCAT(EL47,EM47),'PROCESOS PRD'!$J:$J,'PROCESOS PRD'!$H:$H,0,0)),"")</f>
        <v/>
      </c>
      <c r="EP47" s="70"/>
      <c r="EQ47" s="71"/>
      <c r="ER47" s="32"/>
      <c r="ES47" s="72" t="str">
        <f t="array" ref="ES47">IFERROR(IF(XLOOKUP(CONCAT(EQ47,ER47),'MASTER PLAN'!$AB:$AB,'MASTER PLAN'!$J:$J,0,0)=0,"",XLOOKUP(CONCAT(EQ47,ER47),'MASTER PLAN'!$AB:$AB,'MASTER PLAN'!$J:$J,0,0)),"")</f>
        <v/>
      </c>
      <c r="ET47" s="73" t="str">
        <f t="array" ref="ET47">IFERROR(IF(XLOOKUP(CONCAT(EQ47,ER47),'PROCESOS PRD'!$J:$J,'PROCESOS PRD'!$H:$H,0,0)=0,"",XLOOKUP(CONCAT(EQ47,ER47),'PROCESOS PRD'!$J:$J,'PROCESOS PRD'!$H:$H,0,0)),"")</f>
        <v/>
      </c>
      <c r="EU47" s="71"/>
      <c r="EV47" s="32"/>
      <c r="EW47" s="72" t="str">
        <f t="array" ref="EW47">IFERROR(IF(XLOOKUP(CONCAT(EU47,EV47),'MASTER PLAN'!$AB:$AB,'MASTER PLAN'!$J:$J,0,0)=0,"",XLOOKUP(CONCAT(EU47,EV47),'MASTER PLAN'!$AB:$AB,'MASTER PLAN'!$J:$J,0,0)),"")</f>
        <v/>
      </c>
      <c r="EX47" s="73" t="str">
        <f t="array" ref="EX47">IFERROR(IF(XLOOKUP(CONCAT(EU47,EV47),'PROCESOS PRD'!$J:$J,'PROCESOS PRD'!$H:$H,0,0)=0,"",XLOOKUP(CONCAT(EU47,EV47),'PROCESOS PRD'!$J:$J,'PROCESOS PRD'!$H:$H,0,0)),"")</f>
        <v/>
      </c>
      <c r="EY47" s="71"/>
      <c r="EZ47" s="32"/>
      <c r="FA47" s="72" t="str">
        <f t="array" ref="FA47">IFERROR(IF(XLOOKUP(CONCAT(EY47,EZ47),'MASTER PLAN'!$AB:$AB,'MASTER PLAN'!$J:$J,0,0)=0,"",XLOOKUP(CONCAT(EY47,EZ47),'MASTER PLAN'!$AB:$AB,'MASTER PLAN'!$J:$J,0,0)),"")</f>
        <v/>
      </c>
      <c r="FB47" s="73" t="str">
        <f t="array" ref="FB47">IFERROR(IF(XLOOKUP(CONCAT(EY47,EZ47),'PROCESOS PRD'!$J:$J,'PROCESOS PRD'!$H:$H,0,0)=0,"",XLOOKUP(CONCAT(EY47,EZ47),'PROCESOS PRD'!$J:$J,'PROCESOS PRD'!$H:$H,0,0)),"")</f>
        <v/>
      </c>
      <c r="FC47" s="71"/>
      <c r="FD47" s="32"/>
      <c r="FE47" s="72" t="str">
        <f t="array" ref="FE47">IFERROR(IF(XLOOKUP(CONCAT(FC47,FD47),'MASTER PLAN'!$AB:$AB,'MASTER PLAN'!$J:$J,0,0)=0,"",XLOOKUP(CONCAT(FC47,FD47),'MASTER PLAN'!$AB:$AB,'MASTER PLAN'!$J:$J,0,0)),"")</f>
        <v/>
      </c>
      <c r="FF47" s="73" t="str">
        <f t="array" ref="FF47">IFERROR(IF(XLOOKUP(CONCAT(FC47,FD47),'PROCESOS PRD'!$J:$J,'PROCESOS PRD'!$H:$H,0,0)=0,"",XLOOKUP(CONCAT(FC47,FD47),'PROCESOS PRD'!$J:$J,'PROCESOS PRD'!$H:$H,0,0)),"")</f>
        <v/>
      </c>
      <c r="FG47" s="71"/>
      <c r="FH47" s="32"/>
      <c r="FI47" s="72" t="str">
        <f t="array" ref="FI47">IFERROR(IF(XLOOKUP(CONCAT(FG47,FH47),'MASTER PLAN'!$AB:$AB,'MASTER PLAN'!$J:$J,0,0)=0,"",XLOOKUP(CONCAT(FG47,FH47),'MASTER PLAN'!$AB:$AB,'MASTER PLAN'!$J:$J,0,0)),"")</f>
        <v/>
      </c>
      <c r="FJ47" s="73" t="str">
        <f t="array" ref="FJ47">IFERROR(IF(XLOOKUP(CONCAT(FG47,FH47),'PROCESOS PRD'!$J:$J,'PROCESOS PRD'!$H:$H,0,0)=0,"",XLOOKUP(CONCAT(FG47,FH47),'PROCESOS PRD'!$J:$J,'PROCESOS PRD'!$H:$H,0,0)),"")</f>
        <v/>
      </c>
      <c r="FK47" s="71"/>
      <c r="FL47" s="32"/>
      <c r="FM47" s="72" t="str">
        <f t="array" ref="FM47">IFERROR(IF(XLOOKUP(CONCAT(FK47,FL47),'MASTER PLAN'!$AB:$AB,'MASTER PLAN'!$J:$J,0,0)=0,"",XLOOKUP(CONCAT(FK47,FL47),'MASTER PLAN'!$AB:$AB,'MASTER PLAN'!$J:$J,0,0)),"")</f>
        <v/>
      </c>
      <c r="FN47" s="73" t="str">
        <f t="array" ref="FN47">IFERROR(IF(XLOOKUP(CONCAT(FK47,FL47),'PROCESOS PRD'!$J:$J,'PROCESOS PRD'!$H:$H,0,0)=0,"",XLOOKUP(CONCAT(FK47,FL47),'PROCESOS PRD'!$J:$J,'PROCESOS PRD'!$H:$H,0,0)),"")</f>
        <v/>
      </c>
      <c r="FO47" s="70"/>
      <c r="FP47" s="71"/>
      <c r="FQ47" s="32"/>
      <c r="FR47" s="72" t="str">
        <f t="array" ref="FR47">IFERROR(IF(XLOOKUP(CONCAT(FP47,FQ47),'MASTER PLAN'!$AB:$AB,'MASTER PLAN'!$J:$J,0,0)=0,"",XLOOKUP(CONCAT(FP47,FQ47),'MASTER PLAN'!$AB:$AB,'MASTER PLAN'!$J:$J,0,0)),"")</f>
        <v/>
      </c>
      <c r="FS47" s="73" t="str">
        <f t="array" ref="FS47">IFERROR(IF(XLOOKUP(CONCAT(FP47,FQ47),'PROCESOS PRD'!$J:$J,'PROCESOS PRD'!$H:$H,0,0)=0,"",XLOOKUP(CONCAT(FP47,FQ47),'PROCESOS PRD'!$J:$J,'PROCESOS PRD'!$H:$H,0,0)),"")</f>
        <v/>
      </c>
      <c r="FT47" s="71"/>
      <c r="FU47" s="32"/>
      <c r="FV47" s="72" t="str">
        <f t="array" ref="FV47">IFERROR(IF(XLOOKUP(CONCAT(FT47,FU47),'MASTER PLAN'!$AB:$AB,'MASTER PLAN'!$J:$J,0,0)=0,"",XLOOKUP(CONCAT(FT47,FU47),'MASTER PLAN'!$AB:$AB,'MASTER PLAN'!$J:$J,0,0)),"")</f>
        <v/>
      </c>
      <c r="FW47" s="73" t="str">
        <f t="array" ref="FW47">IFERROR(IF(XLOOKUP(CONCAT(FT47,FU47),'PROCESOS PRD'!$J:$J,'PROCESOS PRD'!$H:$H,0,0)=0,"",XLOOKUP(CONCAT(FT47,FU47),'PROCESOS PRD'!$J:$J,'PROCESOS PRD'!$H:$H,0,0)),"")</f>
        <v/>
      </c>
      <c r="FX47" s="71"/>
      <c r="FY47" s="32"/>
      <c r="FZ47" s="72" t="str">
        <f t="array" ref="FZ47">IFERROR(IF(XLOOKUP(CONCAT(FX47,FY47),'MASTER PLAN'!$AB:$AB,'MASTER PLAN'!$J:$J,0,0)=0,"",XLOOKUP(CONCAT(FX47,FY47),'MASTER PLAN'!$AB:$AB,'MASTER PLAN'!$J:$J,0,0)),"")</f>
        <v/>
      </c>
      <c r="GA47" s="73" t="str">
        <f t="array" ref="GA47">IFERROR(IF(XLOOKUP(CONCAT(FX47,FY47),'PROCESOS PRD'!$J:$J,'PROCESOS PRD'!$H:$H,0,0)=0,"",XLOOKUP(CONCAT(FX47,FY47),'PROCESOS PRD'!$J:$J,'PROCESOS PRD'!$H:$H,0,0)),"")</f>
        <v/>
      </c>
      <c r="GB47" s="71"/>
      <c r="GC47" s="32"/>
      <c r="GD47" s="72" t="str">
        <f t="array" ref="GD47">IFERROR(IF(XLOOKUP(CONCAT(GB47,GC47),'MASTER PLAN'!$AB:$AB,'MASTER PLAN'!$J:$J,0,0)=0,"",XLOOKUP(CONCAT(GB47,GC47),'MASTER PLAN'!$AB:$AB,'MASTER PLAN'!$J:$J,0,0)),"")</f>
        <v/>
      </c>
      <c r="GE47" s="73" t="str">
        <f t="array" ref="GE47">IFERROR(IF(XLOOKUP(CONCAT(GB47,GC47),'PROCESOS PRD'!$J:$J,'PROCESOS PRD'!$H:$H,0,0)=0,"",XLOOKUP(CONCAT(GB47,GC47),'PROCESOS PRD'!$J:$J,'PROCESOS PRD'!$H:$H,0,0)),"")</f>
        <v/>
      </c>
      <c r="GF47" s="71"/>
      <c r="GG47" s="32"/>
      <c r="GH47" s="72" t="str">
        <f t="array" ref="GH47">IFERROR(IF(XLOOKUP(CONCAT(GF47,GG47),'MASTER PLAN'!$AB:$AB,'MASTER PLAN'!$J:$J,0,0)=0,"",XLOOKUP(CONCAT(GF47,GG47),'MASTER PLAN'!$AB:$AB,'MASTER PLAN'!$J:$J,0,0)),"")</f>
        <v/>
      </c>
      <c r="GI47" s="73" t="str">
        <f t="array" ref="GI47">IFERROR(IF(XLOOKUP(CONCAT(GF47,GG47),'PROCESOS PRD'!$J:$J,'PROCESOS PRD'!$H:$H,0,0)=0,"",XLOOKUP(CONCAT(GF47,GG47),'PROCESOS PRD'!$J:$J,'PROCESOS PRD'!$H:$H,0,0)),"")</f>
        <v/>
      </c>
      <c r="GJ47" s="71"/>
      <c r="GK47" s="32"/>
      <c r="GL47" s="72" t="str">
        <f t="array" ref="GL47">IFERROR(IF(XLOOKUP(CONCAT(GJ47,GK47),'MASTER PLAN'!$AB:$AB,'MASTER PLAN'!$J:$J,0,0)=0,"",XLOOKUP(CONCAT(GJ47,GK47),'MASTER PLAN'!$AB:$AB,'MASTER PLAN'!$J:$J,0,0)),"")</f>
        <v/>
      </c>
      <c r="GM47" s="73" t="str">
        <f t="array" ref="GM47">IFERROR(IF(XLOOKUP(CONCAT(GJ47,GK47),'PROCESOS PRD'!$J:$J,'PROCESOS PRD'!$H:$H,0,0)=0,"",XLOOKUP(CONCAT(GJ47,GK47),'PROCESOS PRD'!$J:$J,'PROCESOS PRD'!$H:$H,0,0)),"")</f>
        <v/>
      </c>
      <c r="GN47" s="70"/>
      <c r="GO47" s="71"/>
      <c r="GP47" s="32"/>
      <c r="GQ47" s="72" t="str">
        <f t="array" ref="GQ47">IFERROR(IF(XLOOKUP(CONCAT(GO47,GP47),'MASTER PLAN'!$AB:$AB,'MASTER PLAN'!$J:$J,0,0)=0,"",XLOOKUP(CONCAT(GO47,GP47),'MASTER PLAN'!$AB:$AB,'MASTER PLAN'!$J:$J,0,0)),"")</f>
        <v/>
      </c>
      <c r="GR47" s="73" t="str">
        <f t="array" ref="GR47">IFERROR(IF(XLOOKUP(CONCAT(GO47,GP47),'PROCESOS PRD'!$J:$J,'PROCESOS PRD'!$H:$H,0,0)=0,"",XLOOKUP(CONCAT(GO47,GP47),'PROCESOS PRD'!$J:$J,'PROCESOS PRD'!$H:$H,0,0)),"")</f>
        <v/>
      </c>
      <c r="GS47" s="71"/>
      <c r="GT47" s="32"/>
      <c r="GU47" s="72" t="str">
        <f t="array" ref="GU47">IFERROR(IF(XLOOKUP(CONCAT(GS47,GT47),'MASTER PLAN'!$AB:$AB,'MASTER PLAN'!$J:$J,0,0)=0,"",XLOOKUP(CONCAT(GS47,GT47),'MASTER PLAN'!$AB:$AB,'MASTER PLAN'!$J:$J,0,0)),"")</f>
        <v/>
      </c>
      <c r="GV47" s="73" t="str">
        <f t="array" ref="GV47">IFERROR(IF(XLOOKUP(CONCAT(GS47,GT47),'PROCESOS PRD'!$J:$J,'PROCESOS PRD'!$H:$H,0,0)=0,"",XLOOKUP(CONCAT(GS47,GT47),'PROCESOS PRD'!$J:$J,'PROCESOS PRD'!$H:$H,0,0)),"")</f>
        <v/>
      </c>
      <c r="GW47" s="71"/>
      <c r="GX47" s="32"/>
      <c r="GY47" s="72" t="str">
        <f t="array" ref="GY47">IFERROR(IF(XLOOKUP(CONCAT(GW47,GX47),'MASTER PLAN'!$AB:$AB,'MASTER PLAN'!$J:$J,0,0)=0,"",XLOOKUP(CONCAT(GW47,GX47),'MASTER PLAN'!$AB:$AB,'MASTER PLAN'!$J:$J,0,0)),"")</f>
        <v/>
      </c>
      <c r="GZ47" s="73" t="str">
        <f t="array" ref="GZ47">IFERROR(IF(XLOOKUP(CONCAT(GW47,GX47),'PROCESOS PRD'!$J:$J,'PROCESOS PRD'!$H:$H,0,0)=0,"",XLOOKUP(CONCAT(GW47,GX47),'PROCESOS PRD'!$J:$J,'PROCESOS PRD'!$H:$H,0,0)),"")</f>
        <v/>
      </c>
      <c r="HA47" s="71"/>
      <c r="HB47" s="32"/>
      <c r="HC47" s="72" t="str">
        <f t="array" ref="HC47">IFERROR(IF(XLOOKUP(CONCAT(HA47,HB47),'MASTER PLAN'!$AB:$AB,'MASTER PLAN'!$J:$J,0,0)=0,"",XLOOKUP(CONCAT(HA47,HB47),'MASTER PLAN'!$AB:$AB,'MASTER PLAN'!$J:$J,0,0)),"")</f>
        <v/>
      </c>
      <c r="HD47" s="73" t="str">
        <f t="array" ref="HD47">IFERROR(IF(XLOOKUP(CONCAT(HA47,HB47),'PROCESOS PRD'!$J:$J,'PROCESOS PRD'!$H:$H,0,0)=0,"",XLOOKUP(CONCAT(HA47,HB47),'PROCESOS PRD'!$J:$J,'PROCESOS PRD'!$H:$H,0,0)),"")</f>
        <v/>
      </c>
      <c r="HE47" s="71"/>
      <c r="HF47" s="32"/>
      <c r="HG47" s="72" t="str">
        <f t="array" ref="HG47">IFERROR(IF(XLOOKUP(CONCAT(HE47,HF47),'MASTER PLAN'!$AB:$AB,'MASTER PLAN'!$J:$J,0,0)=0,"",XLOOKUP(CONCAT(HE47,HF47),'MASTER PLAN'!$AB:$AB,'MASTER PLAN'!$J:$J,0,0)),"")</f>
        <v/>
      </c>
      <c r="HH47" s="73" t="str">
        <f t="array" ref="HH47">IFERROR(IF(XLOOKUP(CONCAT(HE47,HF47),'PROCESOS PRD'!$J:$J,'PROCESOS PRD'!$H:$H,0,0)=0,"",XLOOKUP(CONCAT(HE47,HF47),'PROCESOS PRD'!$J:$J,'PROCESOS PRD'!$H:$H,0,0)),"")</f>
        <v/>
      </c>
      <c r="HI47" s="71"/>
      <c r="HJ47" s="32"/>
      <c r="HK47" s="72" t="str">
        <f t="array" ref="HK47">IFERROR(IF(XLOOKUP(CONCAT(HI47,HJ47),'MASTER PLAN'!$AB:$AB,'MASTER PLAN'!$J:$J,0,0)=0,"",XLOOKUP(CONCAT(HI47,HJ47),'MASTER PLAN'!$AB:$AB,'MASTER PLAN'!$J:$J,0,0)),"")</f>
        <v/>
      </c>
      <c r="HL47" s="73" t="str">
        <f t="array" ref="HL47">IFERROR(IF(XLOOKUP(CONCAT(HI47,HJ47),'PROCESOS PRD'!$J:$J,'PROCESOS PRD'!$H:$H,0,0)=0,"",XLOOKUP(CONCAT(HI47,HJ47),'PROCESOS PRD'!$J:$J,'PROCESOS PRD'!$H:$H,0,0)),"")</f>
        <v/>
      </c>
      <c r="HM47" s="70"/>
      <c r="HN47" s="71"/>
      <c r="HO47" s="32"/>
      <c r="HP47" s="72" t="str">
        <f t="array" ref="HP47">IFERROR(IF(XLOOKUP(CONCAT(HN47,HO47),'MASTER PLAN'!$AB:$AB,'MASTER PLAN'!$J:$J,0,0)=0,"",XLOOKUP(CONCAT(HN47,HO47),'MASTER PLAN'!$AB:$AB,'MASTER PLAN'!$J:$J,0,0)),"")</f>
        <v/>
      </c>
      <c r="HQ47" s="73" t="str">
        <f t="array" ref="HQ47">IFERROR(IF(XLOOKUP(CONCAT(HN47,HO47),'PROCESOS PRD'!$J:$J,'PROCESOS PRD'!$H:$H,0,0)=0,"",XLOOKUP(CONCAT(HN47,HO47),'PROCESOS PRD'!$J:$J,'PROCESOS PRD'!$H:$H,0,0)),"")</f>
        <v/>
      </c>
      <c r="HR47" s="71"/>
      <c r="HS47" s="32"/>
      <c r="HT47" s="72" t="str">
        <f t="array" ref="HT47">IFERROR(IF(XLOOKUP(CONCAT(HR47,HS47),'MASTER PLAN'!$AB:$AB,'MASTER PLAN'!$J:$J,0,0)=0,"",XLOOKUP(CONCAT(HR47,HS47),'MASTER PLAN'!$AB:$AB,'MASTER PLAN'!$J:$J,0,0)),"")</f>
        <v/>
      </c>
      <c r="HU47" s="73" t="str">
        <f t="array" ref="HU47">IFERROR(IF(XLOOKUP(CONCAT(HR47,HS47),'PROCESOS PRD'!$J:$J,'PROCESOS PRD'!$H:$H,0,0)=0,"",XLOOKUP(CONCAT(HR47,HS47),'PROCESOS PRD'!$J:$J,'PROCESOS PRD'!$H:$H,0,0)),"")</f>
        <v/>
      </c>
      <c r="HV47" s="71"/>
      <c r="HW47" s="32"/>
      <c r="HX47" s="72" t="str">
        <f t="array" ref="HX47">IFERROR(IF(XLOOKUP(CONCAT(HV47,HW47),'MASTER PLAN'!$AB:$AB,'MASTER PLAN'!$J:$J,0,0)=0,"",XLOOKUP(CONCAT(HV47,HW47),'MASTER PLAN'!$AB:$AB,'MASTER PLAN'!$J:$J,0,0)),"")</f>
        <v/>
      </c>
      <c r="HY47" s="73" t="str">
        <f t="array" ref="HY47">IFERROR(IF(XLOOKUP(CONCAT(HV47,HW47),'PROCESOS PRD'!$J:$J,'PROCESOS PRD'!$H:$H,0,0)=0,"",XLOOKUP(CONCAT(HV47,HW47),'PROCESOS PRD'!$J:$J,'PROCESOS PRD'!$H:$H,0,0)),"")</f>
        <v/>
      </c>
      <c r="HZ47" s="71"/>
      <c r="IA47" s="32"/>
      <c r="IB47" s="72" t="str">
        <f t="array" ref="IB47">IFERROR(IF(XLOOKUP(CONCAT(HZ47,IA47),'MASTER PLAN'!$AB:$AB,'MASTER PLAN'!$J:$J,0,0)=0,"",XLOOKUP(CONCAT(HZ47,IA47),'MASTER PLAN'!$AB:$AB,'MASTER PLAN'!$J:$J,0,0)),"")</f>
        <v/>
      </c>
      <c r="IC47" s="73" t="str">
        <f t="array" ref="IC47">IFERROR(IF(XLOOKUP(CONCAT(HZ47,IA47),'PROCESOS PRD'!$J:$J,'PROCESOS PRD'!$H:$H,0,0)=0,"",XLOOKUP(CONCAT(HZ47,IA47),'PROCESOS PRD'!$J:$J,'PROCESOS PRD'!$H:$H,0,0)),"")</f>
        <v/>
      </c>
      <c r="ID47" s="71"/>
      <c r="IE47" s="32"/>
      <c r="IF47" s="72" t="str">
        <f t="array" ref="IF47">IFERROR(IF(XLOOKUP(CONCAT(ID47,IE47),'MASTER PLAN'!$AB:$AB,'MASTER PLAN'!$J:$J,0,0)=0,"",XLOOKUP(CONCAT(ID47,IE47),'MASTER PLAN'!$AB:$AB,'MASTER PLAN'!$J:$J,0,0)),"")</f>
        <v/>
      </c>
      <c r="IG47" s="73" t="str">
        <f t="array" ref="IG47">IFERROR(IF(XLOOKUP(CONCAT(ID47,IE47),'PROCESOS PRD'!$J:$J,'PROCESOS PRD'!$H:$H,0,0)=0,"",XLOOKUP(CONCAT(ID47,IE47),'PROCESOS PRD'!$J:$J,'PROCESOS PRD'!$H:$H,0,0)),"")</f>
        <v/>
      </c>
      <c r="IH47" s="71"/>
      <c r="II47" s="32"/>
      <c r="IJ47" s="72" t="str">
        <f t="array" ref="IJ47">IFERROR(IF(XLOOKUP(CONCAT(IH47,II47),'MASTER PLAN'!$AB:$AB,'MASTER PLAN'!$J:$J,0,0)=0,"",XLOOKUP(CONCAT(IH47,II47),'MASTER PLAN'!$AB:$AB,'MASTER PLAN'!$J:$J,0,0)),"")</f>
        <v/>
      </c>
      <c r="IK47" s="73" t="str">
        <f t="array" ref="IK47">IFERROR(IF(XLOOKUP(CONCAT(IH47,II47),'PROCESOS PRD'!$J:$J,'PROCESOS PRD'!$H:$H,0,0)=0,"",XLOOKUP(CONCAT(IH47,II47),'PROCESOS PRD'!$J:$J,'PROCESOS PRD'!$H:$H,0,0)),"")</f>
        <v/>
      </c>
      <c r="IL47" s="70"/>
      <c r="IM47" s="71"/>
      <c r="IN47" s="32"/>
      <c r="IO47" s="72" t="str">
        <f t="array" ref="IO47">IFERROR(IF(XLOOKUP(CONCAT(IM47,IN47),'MASTER PLAN'!$AB:$AB,'MASTER PLAN'!$J:$J,0,0)=0,"",XLOOKUP(CONCAT(IM47,IN47),'MASTER PLAN'!$AB:$AB,'MASTER PLAN'!$J:$J,0,0)),"")</f>
        <v/>
      </c>
      <c r="IP47" s="73" t="str">
        <f t="array" ref="IP47">IFERROR(IF(XLOOKUP(CONCAT(IM47,IN47),'PROCESOS PRD'!$J:$J,'PROCESOS PRD'!$H:$H,0,0)=0,"",XLOOKUP(CONCAT(IM47,IN47),'PROCESOS PRD'!$J:$J,'PROCESOS PRD'!$H:$H,0,0)),"")</f>
        <v/>
      </c>
      <c r="IQ47" s="71"/>
      <c r="IR47" s="32"/>
      <c r="IS47" s="72" t="str">
        <f t="array" ref="IS47">IFERROR(IF(XLOOKUP(CONCAT(IQ47,IR47),'MASTER PLAN'!$AB:$AB,'MASTER PLAN'!$J:$J,0,0)=0,"",XLOOKUP(CONCAT(IQ47,IR47),'MASTER PLAN'!$AB:$AB,'MASTER PLAN'!$J:$J,0,0)),"")</f>
        <v/>
      </c>
      <c r="IT47" s="73" t="str">
        <f t="array" ref="IT47">IFERROR(IF(XLOOKUP(CONCAT(IQ47,IR47),'PROCESOS PRD'!$J:$J,'PROCESOS PRD'!$H:$H,0,0)=0,"",XLOOKUP(CONCAT(IQ47,IR47),'PROCESOS PRD'!$J:$J,'PROCESOS PRD'!$H:$H,0,0)),"")</f>
        <v/>
      </c>
      <c r="IU47" s="71"/>
      <c r="IV47" s="32"/>
      <c r="IW47" s="72" t="str">
        <f t="array" ref="IW47">IFERROR(IF(XLOOKUP(CONCAT(IU47,IV47),'MASTER PLAN'!$AB:$AB,'MASTER PLAN'!$J:$J,0,0)=0,"",XLOOKUP(CONCAT(IU47,IV47),'MASTER PLAN'!$AB:$AB,'MASTER PLAN'!$J:$J,0,0)),"")</f>
        <v/>
      </c>
      <c r="IX47" s="73" t="str">
        <f t="array" ref="IX47">IFERROR(IF(XLOOKUP(CONCAT(IU47,IV47),'PROCESOS PRD'!$J:$J,'PROCESOS PRD'!$H:$H,0,0)=0,"",XLOOKUP(CONCAT(IU47,IV47),'PROCESOS PRD'!$J:$J,'PROCESOS PRD'!$H:$H,0,0)),"")</f>
        <v/>
      </c>
      <c r="IY47" s="71"/>
      <c r="IZ47" s="32"/>
      <c r="JA47" s="72" t="str">
        <f t="array" ref="JA47">IFERROR(IF(XLOOKUP(CONCAT(IY47,IZ47),'MASTER PLAN'!$AB:$AB,'MASTER PLAN'!$J:$J,0,0)=0,"",XLOOKUP(CONCAT(IY47,IZ47),'MASTER PLAN'!$AB:$AB,'MASTER PLAN'!$J:$J,0,0)),"")</f>
        <v/>
      </c>
      <c r="JB47" s="73" t="str">
        <f t="array" ref="JB47">IFERROR(IF(XLOOKUP(CONCAT(IY47,IZ47),'PROCESOS PRD'!$J:$J,'PROCESOS PRD'!$H:$H,0,0)=0,"",XLOOKUP(CONCAT(IY47,IZ47),'PROCESOS PRD'!$J:$J,'PROCESOS PRD'!$H:$H,0,0)),"")</f>
        <v/>
      </c>
      <c r="JC47" s="71"/>
      <c r="JD47" s="32"/>
      <c r="JE47" s="72" t="str">
        <f t="array" ref="JE47">IFERROR(IF(XLOOKUP(CONCAT(JC47,JD47),'MASTER PLAN'!$AB:$AB,'MASTER PLAN'!$J:$J,0,0)=0,"",XLOOKUP(CONCAT(JC47,JD47),'MASTER PLAN'!$AB:$AB,'MASTER PLAN'!$J:$J,0,0)),"")</f>
        <v/>
      </c>
      <c r="JF47" s="73" t="str">
        <f t="array" ref="JF47">IFERROR(IF(XLOOKUP(CONCAT(JC47,JD47),'PROCESOS PRD'!$J:$J,'PROCESOS PRD'!$H:$H,0,0)=0,"",XLOOKUP(CONCAT(JC47,JD47),'PROCESOS PRD'!$J:$J,'PROCESOS PRD'!$H:$H,0,0)),"")</f>
        <v/>
      </c>
      <c r="JG47" s="71"/>
      <c r="JH47" s="32"/>
      <c r="JI47" s="72" t="str">
        <f t="array" ref="JI47">IFERROR(IF(XLOOKUP(CONCAT(JG47,JH47),'MASTER PLAN'!$AB:$AB,'MASTER PLAN'!$J:$J,0,0)=0,"",XLOOKUP(CONCAT(JG47,JH47),'MASTER PLAN'!$AB:$AB,'MASTER PLAN'!$J:$J,0,0)),"")</f>
        <v/>
      </c>
      <c r="JJ47" s="73" t="str">
        <f t="array" ref="JJ47">IFERROR(IF(XLOOKUP(CONCAT(JG47,JH47),'PROCESOS PRD'!$J:$J,'PROCESOS PRD'!$H:$H,0,0)=0,"",XLOOKUP(CONCAT(JG47,JH47),'PROCESOS PRD'!$J:$J,'PROCESOS PRD'!$H:$H,0,0)),"")</f>
        <v/>
      </c>
      <c r="JK47" s="70"/>
      <c r="JL47" s="71"/>
      <c r="JM47" s="32"/>
      <c r="JN47" s="72" t="str">
        <f t="array" ref="JN47">IFERROR(IF(XLOOKUP(CONCAT(JL47,JM47),'MASTER PLAN'!$AB:$AB,'MASTER PLAN'!$J:$J,0,0)=0,"",XLOOKUP(CONCAT(JL47,JM47),'MASTER PLAN'!$AB:$AB,'MASTER PLAN'!$J:$J,0,0)),"")</f>
        <v/>
      </c>
      <c r="JO47" s="73" t="str">
        <f t="array" ref="JO47">IFERROR(IF(XLOOKUP(CONCAT(JL47,JM47),'PROCESOS PRD'!$J:$J,'PROCESOS PRD'!$H:$H,0,0)=0,"",XLOOKUP(CONCAT(JL47,JM47),'PROCESOS PRD'!$J:$J,'PROCESOS PRD'!$H:$H,0,0)),"")</f>
        <v/>
      </c>
      <c r="JP47" s="71"/>
      <c r="JQ47" s="32"/>
      <c r="JR47" s="72" t="str">
        <f t="array" ref="JR47">IFERROR(IF(XLOOKUP(CONCAT(JP47,JQ47),'MASTER PLAN'!$AB:$AB,'MASTER PLAN'!$J:$J,0,0)=0,"",XLOOKUP(CONCAT(JP47,JQ47),'MASTER PLAN'!$AB:$AB,'MASTER PLAN'!$J:$J,0,0)),"")</f>
        <v/>
      </c>
      <c r="JS47" s="73" t="str">
        <f t="array" ref="JS47">IFERROR(IF(XLOOKUP(CONCAT(JP47,JQ47),'PROCESOS PRD'!$J:$J,'PROCESOS PRD'!$H:$H,0,0)=0,"",XLOOKUP(CONCAT(JP47,JQ47),'PROCESOS PRD'!$J:$J,'PROCESOS PRD'!$H:$H,0,0)),"")</f>
        <v/>
      </c>
      <c r="JT47" s="71"/>
      <c r="JU47" s="32"/>
      <c r="JV47" s="72" t="str">
        <f t="array" ref="JV47">IFERROR(IF(XLOOKUP(CONCAT(JT47,JU47),'MASTER PLAN'!$AB:$AB,'MASTER PLAN'!$J:$J,0,0)=0,"",XLOOKUP(CONCAT(JT47,JU47),'MASTER PLAN'!$AB:$AB,'MASTER PLAN'!$J:$J,0,0)),"")</f>
        <v/>
      </c>
      <c r="JW47" s="73" t="str">
        <f t="array" ref="JW47">IFERROR(IF(XLOOKUP(CONCAT(JT47,JU47),'PROCESOS PRD'!$J:$J,'PROCESOS PRD'!$H:$H,0,0)=0,"",XLOOKUP(CONCAT(JT47,JU47),'PROCESOS PRD'!$J:$J,'PROCESOS PRD'!$H:$H,0,0)),"")</f>
        <v/>
      </c>
      <c r="JX47" s="71"/>
      <c r="JY47" s="32"/>
      <c r="JZ47" s="72" t="str">
        <f t="array" ref="JZ47">IFERROR(IF(XLOOKUP(CONCAT(JX47,JY47),'MASTER PLAN'!$AB:$AB,'MASTER PLAN'!$J:$J,0,0)=0,"",XLOOKUP(CONCAT(JX47,JY47),'MASTER PLAN'!$AB:$AB,'MASTER PLAN'!$J:$J,0,0)),"")</f>
        <v/>
      </c>
      <c r="KA47" s="73" t="str">
        <f t="array" ref="KA47">IFERROR(IF(XLOOKUP(CONCAT(JX47,JY47),'PROCESOS PRD'!$J:$J,'PROCESOS PRD'!$H:$H,0,0)=0,"",XLOOKUP(CONCAT(JX47,JY47),'PROCESOS PRD'!$J:$J,'PROCESOS PRD'!$H:$H,0,0)),"")</f>
        <v/>
      </c>
      <c r="KB47" s="71"/>
      <c r="KC47" s="32"/>
      <c r="KD47" s="72" t="str">
        <f t="array" ref="KD47">IFERROR(IF(XLOOKUP(CONCAT(KB47,KC47),'MASTER PLAN'!$AB:$AB,'MASTER PLAN'!$J:$J,0,0)=0,"",XLOOKUP(CONCAT(KB47,KC47),'MASTER PLAN'!$AB:$AB,'MASTER PLAN'!$J:$J,0,0)),"")</f>
        <v/>
      </c>
      <c r="KE47" s="73" t="str">
        <f t="array" ref="KE47">IFERROR(IF(XLOOKUP(CONCAT(KB47,KC47),'PROCESOS PRD'!$J:$J,'PROCESOS PRD'!$H:$H,0,0)=0,"",XLOOKUP(CONCAT(KB47,KC47),'PROCESOS PRD'!$J:$J,'PROCESOS PRD'!$H:$H,0,0)),"")</f>
        <v/>
      </c>
      <c r="KF47" s="71"/>
      <c r="KG47" s="32"/>
      <c r="KH47" s="72" t="str">
        <f t="array" ref="KH47">IFERROR(IF(XLOOKUP(CONCAT(KF47,KG47),'MASTER PLAN'!$AB:$AB,'MASTER PLAN'!$J:$J,0,0)=0,"",XLOOKUP(CONCAT(KF47,KG47),'MASTER PLAN'!$AB:$AB,'MASTER PLAN'!$J:$J,0,0)),"")</f>
        <v/>
      </c>
      <c r="KI47" s="73" t="str">
        <f t="array" ref="KI47">IFERROR(IF(XLOOKUP(CONCAT(KF47,KG47),'PROCESOS PRD'!$J:$J,'PROCESOS PRD'!$H:$H,0,0)=0,"",XLOOKUP(CONCAT(KF47,KG47),'PROCESOS PRD'!$J:$J,'PROCESOS PRD'!$H:$H,0,0)),"")</f>
        <v/>
      </c>
      <c r="KJ47" s="70"/>
      <c r="KK47" s="70"/>
      <c r="KL47" s="70"/>
      <c r="KM47" s="70"/>
      <c r="KN47" s="70"/>
      <c r="KO47" s="70"/>
      <c r="KP47" s="70"/>
      <c r="KQ47" s="70"/>
      <c r="KR47" s="70"/>
      <c r="KS47" s="70"/>
      <c r="KT47" s="70"/>
      <c r="KU47" s="70"/>
      <c r="KV47" s="70"/>
      <c r="KW47" s="70"/>
      <c r="KX47" s="70"/>
      <c r="KY47" s="70"/>
      <c r="KZ47" s="70"/>
      <c r="LA47" s="70"/>
      <c r="LB47" s="70"/>
      <c r="LC47" s="70"/>
    </row>
    <row r="48" ht="15.75" customHeight="1">
      <c r="A48" s="42"/>
      <c r="B48" s="75"/>
      <c r="C48" s="76"/>
      <c r="D48" s="70"/>
      <c r="E48" s="77"/>
      <c r="F48" s="78"/>
      <c r="G48" s="79" t="str">
        <f t="array" ref="G48">IFERROR(IF(XLOOKUP(CONCAT(E48,F48),'MASTER PLAN'!$AB:$AB,'MASTER PLAN'!$J:$J,0,0)=0,"",XLOOKUP(CONCAT(E48,F48),'MASTER PLAN'!$AB:$AB,'MASTER PLAN'!$J:$J,0,0)),"")</f>
        <v/>
      </c>
      <c r="H48" s="80" t="str">
        <f t="array" ref="H48">IFERROR(IF(XLOOKUP(CONCAT(E48,F48),'PROCESOS PRD'!$J:$J,'PROCESOS PRD'!$H:$H,0,0)=0,"",XLOOKUP(CONCAT(E48,F48),'PROCESOS PRD'!$J:$J,'PROCESOS PRD'!$H:$H,0,0)),"")</f>
        <v/>
      </c>
      <c r="I48" s="77"/>
      <c r="J48" s="78"/>
      <c r="K48" s="79" t="str">
        <f t="array" ref="K48">IFERROR(IF(XLOOKUP(CONCAT(I48,J48),'MASTER PLAN'!$AB:$AB,'MASTER PLAN'!$J:$J,0,0)=0,"",XLOOKUP(CONCAT(I48,J48),'MASTER PLAN'!$AB:$AB,'MASTER PLAN'!$J:$J,0,0)),"")</f>
        <v/>
      </c>
      <c r="L48" s="80" t="str">
        <f t="array" ref="L48">IFERROR(IF(XLOOKUP(CONCAT(I48,J48),'PROCESOS PRD'!$J:$J,'PROCESOS PRD'!$H:$H,0,0)=0,"",XLOOKUP(CONCAT(I48,J48),'PROCESOS PRD'!$J:$J,'PROCESOS PRD'!$H:$H,0,0)),"")</f>
        <v/>
      </c>
      <c r="M48" s="77"/>
      <c r="N48" s="78"/>
      <c r="O48" s="79" t="str">
        <f t="array" ref="O48">IFERROR(IF(XLOOKUP(CONCAT(M48,N48),'MASTER PLAN'!$AB:$AB,'MASTER PLAN'!$J:$J,0,0)=0,"",XLOOKUP(CONCAT(M48,N48),'MASTER PLAN'!$AB:$AB,'MASTER PLAN'!$J:$J,0,0)),"")</f>
        <v/>
      </c>
      <c r="P48" s="80" t="str">
        <f t="array" ref="P48">IFERROR(IF(XLOOKUP(CONCAT(M48,N48),'PROCESOS PRD'!$J:$J,'PROCESOS PRD'!$H:$H,0,0)=0,"",XLOOKUP(CONCAT(M48,N48),'PROCESOS PRD'!$J:$J,'PROCESOS PRD'!$H:$H,0,0)),"")</f>
        <v/>
      </c>
      <c r="Q48" s="77"/>
      <c r="R48" s="78"/>
      <c r="S48" s="79" t="str">
        <f t="array" ref="S48">IFERROR(IF(XLOOKUP(CONCAT(Q48,R48),'MASTER PLAN'!$AB:$AB,'MASTER PLAN'!$J:$J,0,0)=0,"",XLOOKUP(CONCAT(Q48,R48),'MASTER PLAN'!$AB:$AB,'MASTER PLAN'!$J:$J,0,0)),"")</f>
        <v/>
      </c>
      <c r="T48" s="80" t="str">
        <f t="array" ref="T48">IFERROR(IF(XLOOKUP(CONCAT(Q48,R48),'PROCESOS PRD'!$J:$J,'PROCESOS PRD'!$H:$H,0,0)=0,"",XLOOKUP(CONCAT(Q48,R48),'PROCESOS PRD'!$J:$J,'PROCESOS PRD'!$H:$H,0,0)),"")</f>
        <v/>
      </c>
      <c r="U48" s="70"/>
      <c r="V48" s="77"/>
      <c r="W48" s="78"/>
      <c r="X48" s="79" t="str">
        <f t="array" ref="X48">IFERROR(IF(XLOOKUP(CONCAT(V48,W48),'MASTER PLAN'!$AB:$AB,'MASTER PLAN'!$J:$J,0,0)=0,"",XLOOKUP(CONCAT(V48,W48),'MASTER PLAN'!$AB:$AB,'MASTER PLAN'!$J:$J,0,0)),"")</f>
        <v/>
      </c>
      <c r="Y48" s="80" t="str">
        <f t="array" ref="Y48">IFERROR(IF(XLOOKUP(CONCAT(V48,W48),'PROCESOS PRD'!$J:$J,'PROCESOS PRD'!$H:$H,0,0)=0,"",XLOOKUP(CONCAT(V48,W48),'PROCESOS PRD'!$J:$J,'PROCESOS PRD'!$H:$H,0,0)),"")</f>
        <v/>
      </c>
      <c r="Z48" s="77"/>
      <c r="AA48" s="78"/>
      <c r="AB48" s="79" t="str">
        <f t="array" ref="AB48">IFERROR(IF(XLOOKUP(CONCAT(Z48,AA48),'MASTER PLAN'!$AB:$AB,'MASTER PLAN'!$J:$J,0,0)=0,"",XLOOKUP(CONCAT(Z48,AA48),'MASTER PLAN'!$AB:$AB,'MASTER PLAN'!$J:$J,0,0)),"")</f>
        <v/>
      </c>
      <c r="AC48" s="80" t="str">
        <f t="array" ref="AC48">IFERROR(IF(XLOOKUP(CONCAT(Z48,AA48),'PROCESOS PRD'!$J:$J,'PROCESOS PRD'!$H:$H,0,0)=0,"",XLOOKUP(CONCAT(Z48,AA48),'PROCESOS PRD'!$J:$J,'PROCESOS PRD'!$H:$H,0,0)),"")</f>
        <v/>
      </c>
      <c r="AD48" s="77"/>
      <c r="AE48" s="78"/>
      <c r="AF48" s="79" t="str">
        <f t="array" ref="AF48">IFERROR(IF(XLOOKUP(CONCAT(AD48,AE48),'MASTER PLAN'!$AB:$AB,'MASTER PLAN'!$J:$J,0,0)=0,"",XLOOKUP(CONCAT(AD48,AE48),'MASTER PLAN'!$AB:$AB,'MASTER PLAN'!$J:$J,0,0)),"")</f>
        <v/>
      </c>
      <c r="AG48" s="80" t="str">
        <f t="array" ref="AG48">IFERROR(IF(XLOOKUP(CONCAT(AD48,AE48),'PROCESOS PRD'!$J:$J,'PROCESOS PRD'!$H:$H,0,0)=0,"",XLOOKUP(CONCAT(AD48,AE48),'PROCESOS PRD'!$J:$J,'PROCESOS PRD'!$H:$H,0,0)),"")</f>
        <v/>
      </c>
      <c r="AH48" s="77"/>
      <c r="AI48" s="78"/>
      <c r="AJ48" s="79" t="str">
        <f t="array" ref="AJ48">IFERROR(IF(XLOOKUP(CONCAT(AH48,AI48),'MASTER PLAN'!$AB:$AB,'MASTER PLAN'!$J:$J,0,0)=0,"",XLOOKUP(CONCAT(AH48,AI48),'MASTER PLAN'!$AB:$AB,'MASTER PLAN'!$J:$J,0,0)),"")</f>
        <v/>
      </c>
      <c r="AK48" s="80" t="str">
        <f t="array" ref="AK48">IFERROR(IF(XLOOKUP(CONCAT(AH48,AI48),'PROCESOS PRD'!$J:$J,'PROCESOS PRD'!$H:$H,0,0)=0,"",XLOOKUP(CONCAT(AH48,AI48),'PROCESOS PRD'!$J:$J,'PROCESOS PRD'!$H:$H,0,0)),"")</f>
        <v/>
      </c>
      <c r="AL48" s="77"/>
      <c r="AM48" s="78"/>
      <c r="AN48" s="79" t="str">
        <f t="array" ref="AN48">IFERROR(IF(XLOOKUP(CONCAT(AL48,AM48),'MASTER PLAN'!$AB:$AB,'MASTER PLAN'!$J:$J,0,0)=0,"",XLOOKUP(CONCAT(AL48,AM48),'MASTER PLAN'!$AB:$AB,'MASTER PLAN'!$J:$J,0,0)),"")</f>
        <v/>
      </c>
      <c r="AO48" s="80" t="str">
        <f t="array" ref="AO48">IFERROR(IF(XLOOKUP(CONCAT(AL48,AM48),'PROCESOS PRD'!$J:$J,'PROCESOS PRD'!$H:$H,0,0)=0,"",XLOOKUP(CONCAT(AL48,AM48),'PROCESOS PRD'!$J:$J,'PROCESOS PRD'!$H:$H,0,0)),"")</f>
        <v/>
      </c>
      <c r="AP48" s="77"/>
      <c r="AQ48" s="78"/>
      <c r="AR48" s="79" t="str">
        <f t="array" ref="AR48">IFERROR(IF(XLOOKUP(CONCAT(AP48,AQ48),'MASTER PLAN'!$AB:$AB,'MASTER PLAN'!$J:$J,0,0)=0,"",XLOOKUP(CONCAT(AP48,AQ48),'MASTER PLAN'!$AB:$AB,'MASTER PLAN'!$J:$J,0,0)),"")</f>
        <v/>
      </c>
      <c r="AS48" s="80" t="str">
        <f t="array" ref="AS48">IFERROR(IF(XLOOKUP(CONCAT(AP48,AQ48),'PROCESOS PRD'!$J:$J,'PROCESOS PRD'!$H:$H,0,0)=0,"",XLOOKUP(CONCAT(AP48,AQ48),'PROCESOS PRD'!$J:$J,'PROCESOS PRD'!$H:$H,0,0)),"")</f>
        <v/>
      </c>
      <c r="AT48" s="70"/>
      <c r="AU48" s="77"/>
      <c r="AV48" s="78"/>
      <c r="AW48" s="79" t="str">
        <f t="array" ref="AW48">IFERROR(IF(XLOOKUP(CONCAT(AU48,AV48),'MASTER PLAN'!$AB:$AB,'MASTER PLAN'!$J:$J,0,0)=0,"",XLOOKUP(CONCAT(AU48,AV48),'MASTER PLAN'!$AB:$AB,'MASTER PLAN'!$J:$J,0,0)),"")</f>
        <v/>
      </c>
      <c r="AX48" s="80" t="str">
        <f t="array" ref="AX48">IFERROR(IF(XLOOKUP(CONCAT(AU48,AV48),'PROCESOS PRD'!$J:$J,'PROCESOS PRD'!$H:$H,0,0)=0,"",XLOOKUP(CONCAT(AU48,AV48),'PROCESOS PRD'!$J:$J,'PROCESOS PRD'!$H:$H,0,0)),"")</f>
        <v/>
      </c>
      <c r="AY48" s="77"/>
      <c r="AZ48" s="78"/>
      <c r="BA48" s="79" t="str">
        <f t="array" ref="BA48">IFERROR(IF(XLOOKUP(CONCAT(AY48,AZ48),'MASTER PLAN'!$AB:$AB,'MASTER PLAN'!$J:$J,0,0)=0,"",XLOOKUP(CONCAT(AY48,AZ48),'MASTER PLAN'!$AB:$AB,'MASTER PLAN'!$J:$J,0,0)),"")</f>
        <v/>
      </c>
      <c r="BB48" s="80" t="str">
        <f t="array" ref="BB48">IFERROR(IF(XLOOKUP(CONCAT(AY48,AZ48),'PROCESOS PRD'!$J:$J,'PROCESOS PRD'!$H:$H,0,0)=0,"",XLOOKUP(CONCAT(AY48,AZ48),'PROCESOS PRD'!$J:$J,'PROCESOS PRD'!$H:$H,0,0)),"")</f>
        <v/>
      </c>
      <c r="BC48" s="77"/>
      <c r="BD48" s="78"/>
      <c r="BE48" s="79" t="str">
        <f t="array" ref="BE48">IFERROR(IF(XLOOKUP(CONCAT(BC48,BD48),'MASTER PLAN'!$AB:$AB,'MASTER PLAN'!$J:$J,0,0)=0,"",XLOOKUP(CONCAT(BC48,BD48),'MASTER PLAN'!$AB:$AB,'MASTER PLAN'!$J:$J,0,0)),"")</f>
        <v/>
      </c>
      <c r="BF48" s="80" t="str">
        <f t="array" ref="BF48">IFERROR(IF(XLOOKUP(CONCAT(BC48,BD48),'PROCESOS PRD'!$J:$J,'PROCESOS PRD'!$H:$H,0,0)=0,"",XLOOKUP(CONCAT(BC48,BD48),'PROCESOS PRD'!$J:$J,'PROCESOS PRD'!$H:$H,0,0)),"")</f>
        <v/>
      </c>
      <c r="BG48" s="77"/>
      <c r="BH48" s="78"/>
      <c r="BI48" s="79" t="str">
        <f t="array" ref="BI48">IFERROR(IF(XLOOKUP(CONCAT(BG48,BH48),'MASTER PLAN'!$AB:$AB,'MASTER PLAN'!$J:$J,0,0)=0,"",XLOOKUP(CONCAT(BG48,BH48),'MASTER PLAN'!$AB:$AB,'MASTER PLAN'!$J:$J,0,0)),"")</f>
        <v/>
      </c>
      <c r="BJ48" s="80" t="str">
        <f t="array" ref="BJ48">IFERROR(IF(XLOOKUP(CONCAT(BG48,BH48),'PROCESOS PRD'!$J:$J,'PROCESOS PRD'!$H:$H,0,0)=0,"",XLOOKUP(CONCAT(BG48,BH48),'PROCESOS PRD'!$J:$J,'PROCESOS PRD'!$H:$H,0,0)),"")</f>
        <v/>
      </c>
      <c r="BK48" s="77"/>
      <c r="BL48" s="78"/>
      <c r="BM48" s="79" t="str">
        <f t="array" ref="BM48">IFERROR(IF(XLOOKUP(CONCAT(BK48,BL48),'MASTER PLAN'!$AB:$AB,'MASTER PLAN'!$J:$J,0,0)=0,"",XLOOKUP(CONCAT(BK48,BL48),'MASTER PLAN'!$AB:$AB,'MASTER PLAN'!$J:$J,0,0)),"")</f>
        <v/>
      </c>
      <c r="BN48" s="80" t="str">
        <f t="array" ref="BN48">IFERROR(IF(XLOOKUP(CONCAT(BK48,BL48),'PROCESOS PRD'!$J:$J,'PROCESOS PRD'!$H:$H,0,0)=0,"",XLOOKUP(CONCAT(BK48,BL48),'PROCESOS PRD'!$J:$J,'PROCESOS PRD'!$H:$H,0,0)),"")</f>
        <v/>
      </c>
      <c r="BO48" s="77"/>
      <c r="BP48" s="78"/>
      <c r="BQ48" s="79" t="str">
        <f t="array" ref="BQ48">IFERROR(IF(XLOOKUP(CONCAT(BO48,BP48),'MASTER PLAN'!$AB:$AB,'MASTER PLAN'!$J:$J,0,0)=0,"",XLOOKUP(CONCAT(BO48,BP48),'MASTER PLAN'!$AB:$AB,'MASTER PLAN'!$J:$J,0,0)),"")</f>
        <v/>
      </c>
      <c r="BR48" s="80" t="str">
        <f t="array" ref="BR48">IFERROR(IF(XLOOKUP(CONCAT(BO48,BP48),'PROCESOS PRD'!$J:$J,'PROCESOS PRD'!$H:$H,0,0)=0,"",XLOOKUP(CONCAT(BO48,BP48),'PROCESOS PRD'!$J:$J,'PROCESOS PRD'!$H:$H,0,0)),"")</f>
        <v/>
      </c>
      <c r="BS48" s="70"/>
      <c r="BT48" s="77"/>
      <c r="BU48" s="78"/>
      <c r="BV48" s="79" t="str">
        <f t="array" ref="BV48">IFERROR(IF(XLOOKUP(CONCAT(BT48,BU48),'MASTER PLAN'!$AB:$AB,'MASTER PLAN'!$J:$J,0,0)=0,"",XLOOKUP(CONCAT(BT48,BU48),'MASTER PLAN'!$AB:$AB,'MASTER PLAN'!$J:$J,0,0)),"")</f>
        <v/>
      </c>
      <c r="BW48" s="80" t="str">
        <f t="array" ref="BW48">IFERROR(IF(XLOOKUP(CONCAT(BT48,BU48),'PROCESOS PRD'!$J:$J,'PROCESOS PRD'!$H:$H,0,0)=0,"",XLOOKUP(CONCAT(BT48,BU48),'PROCESOS PRD'!$J:$J,'PROCESOS PRD'!$H:$H,0,0)),"")</f>
        <v/>
      </c>
      <c r="BX48" s="77"/>
      <c r="BY48" s="78"/>
      <c r="BZ48" s="79" t="str">
        <f t="array" ref="BZ48">IFERROR(IF(XLOOKUP(CONCAT(BX48,BY48),'MASTER PLAN'!$AB:$AB,'MASTER PLAN'!$J:$J,0,0)=0,"",XLOOKUP(CONCAT(BX48,BY48),'MASTER PLAN'!$AB:$AB,'MASTER PLAN'!$J:$J,0,0)),"")</f>
        <v/>
      </c>
      <c r="CA48" s="80" t="str">
        <f t="array" ref="CA48">IFERROR(IF(XLOOKUP(CONCAT(BX48,BY48),'PROCESOS PRD'!$J:$J,'PROCESOS PRD'!$H:$H,0,0)=0,"",XLOOKUP(CONCAT(BX48,BY48),'PROCESOS PRD'!$J:$J,'PROCESOS PRD'!$H:$H,0,0)),"")</f>
        <v/>
      </c>
      <c r="CB48" s="77"/>
      <c r="CC48" s="78"/>
      <c r="CD48" s="79" t="str">
        <f t="array" ref="CD48">IFERROR(IF(XLOOKUP(CONCAT(CB48,CC48),'MASTER PLAN'!$AB:$AB,'MASTER PLAN'!$J:$J,0,0)=0,"",XLOOKUP(CONCAT(CB48,CC48),'MASTER PLAN'!$AB:$AB,'MASTER PLAN'!$J:$J,0,0)),"")</f>
        <v/>
      </c>
      <c r="CE48" s="80" t="str">
        <f t="array" ref="CE48">IFERROR(IF(XLOOKUP(CONCAT(CB48,CC48),'PROCESOS PRD'!$J:$J,'PROCESOS PRD'!$H:$H,0,0)=0,"",XLOOKUP(CONCAT(CB48,CC48),'PROCESOS PRD'!$J:$J,'PROCESOS PRD'!$H:$H,0,0)),"")</f>
        <v/>
      </c>
      <c r="CF48" s="77"/>
      <c r="CG48" s="78"/>
      <c r="CH48" s="79" t="str">
        <f t="array" ref="CH48">IFERROR(IF(XLOOKUP(CONCAT(CF48,CG48),'MASTER PLAN'!$AB:$AB,'MASTER PLAN'!$J:$J,0,0)=0,"",XLOOKUP(CONCAT(CF48,CG48),'MASTER PLAN'!$AB:$AB,'MASTER PLAN'!$J:$J,0,0)),"")</f>
        <v/>
      </c>
      <c r="CI48" s="80" t="str">
        <f t="array" ref="CI48">IFERROR(IF(XLOOKUP(CONCAT(CF48,CG48),'PROCESOS PRD'!$J:$J,'PROCESOS PRD'!$H:$H,0,0)=0,"",XLOOKUP(CONCAT(CF48,CG48),'PROCESOS PRD'!$J:$J,'PROCESOS PRD'!$H:$H,0,0)),"")</f>
        <v/>
      </c>
      <c r="CJ48" s="77"/>
      <c r="CK48" s="78"/>
      <c r="CL48" s="79" t="str">
        <f t="array" ref="CL48">IFERROR(IF(XLOOKUP(CONCAT(CJ48,CK48),'MASTER PLAN'!$AB:$AB,'MASTER PLAN'!$J:$J,0,0)=0,"",XLOOKUP(CONCAT(CJ48,CK48),'MASTER PLAN'!$AB:$AB,'MASTER PLAN'!$J:$J,0,0)),"")</f>
        <v/>
      </c>
      <c r="CM48" s="80" t="str">
        <f t="array" ref="CM48">IFERROR(IF(XLOOKUP(CONCAT(CJ48,CK48),'PROCESOS PRD'!$J:$J,'PROCESOS PRD'!$H:$H,0,0)=0,"",XLOOKUP(CONCAT(CJ48,CK48),'PROCESOS PRD'!$J:$J,'PROCESOS PRD'!$H:$H,0,0)),"")</f>
        <v/>
      </c>
      <c r="CN48" s="77"/>
      <c r="CO48" s="78"/>
      <c r="CP48" s="79" t="str">
        <f t="array" ref="CP48">IFERROR(IF(XLOOKUP(CONCAT(CN48,CO48),'MASTER PLAN'!$AB:$AB,'MASTER PLAN'!$J:$J,0,0)=0,"",XLOOKUP(CONCAT(CN48,CO48),'MASTER PLAN'!$AB:$AB,'MASTER PLAN'!$J:$J,0,0)),"")</f>
        <v/>
      </c>
      <c r="CQ48" s="80" t="str">
        <f t="array" ref="CQ48">IFERROR(IF(XLOOKUP(CONCAT(CN48,CO48),'PROCESOS PRD'!$J:$J,'PROCESOS PRD'!$H:$H,0,0)=0,"",XLOOKUP(CONCAT(CN48,CO48),'PROCESOS PRD'!$J:$J,'PROCESOS PRD'!$H:$H,0,0)),"")</f>
        <v/>
      </c>
      <c r="CR48" s="70"/>
      <c r="CS48" s="77"/>
      <c r="CT48" s="78"/>
      <c r="CU48" s="79" t="str">
        <f t="array" ref="CU48">IFERROR(IF(XLOOKUP(CONCAT(CS48,CT48),'MASTER PLAN'!$AB:$AB,'MASTER PLAN'!$J:$J,0,0)=0,"",XLOOKUP(CONCAT(CS48,CT48),'MASTER PLAN'!$AB:$AB,'MASTER PLAN'!$J:$J,0,0)),"")</f>
        <v/>
      </c>
      <c r="CV48" s="80" t="str">
        <f t="array" ref="CV48">IFERROR(IF(XLOOKUP(CONCAT(CS48,CT48),'PROCESOS PRD'!$J:$J,'PROCESOS PRD'!$H:$H,0,0)=0,"",XLOOKUP(CONCAT(CS48,CT48),'PROCESOS PRD'!$J:$J,'PROCESOS PRD'!$H:$H,0,0)),"")</f>
        <v/>
      </c>
      <c r="CW48" s="77"/>
      <c r="CX48" s="78"/>
      <c r="CY48" s="79" t="str">
        <f t="array" ref="CY48">IFERROR(IF(XLOOKUP(CONCAT(CW48,CX48),'MASTER PLAN'!$AB:$AB,'MASTER PLAN'!$J:$J,0,0)=0,"",XLOOKUP(CONCAT(CW48,CX48),'MASTER PLAN'!$AB:$AB,'MASTER PLAN'!$J:$J,0,0)),"")</f>
        <v/>
      </c>
      <c r="CZ48" s="80" t="str">
        <f t="array" ref="CZ48">IFERROR(IF(XLOOKUP(CONCAT(CW48,CX48),'PROCESOS PRD'!$J:$J,'PROCESOS PRD'!$H:$H,0,0)=0,"",XLOOKUP(CONCAT(CW48,CX48),'PROCESOS PRD'!$J:$J,'PROCESOS PRD'!$H:$H,0,0)),"")</f>
        <v/>
      </c>
      <c r="DA48" s="77"/>
      <c r="DB48" s="78"/>
      <c r="DC48" s="79" t="str">
        <f t="array" ref="DC48">IFERROR(IF(XLOOKUP(CONCAT(DA48,DB48),'MASTER PLAN'!$AB:$AB,'MASTER PLAN'!$J:$J,0,0)=0,"",XLOOKUP(CONCAT(DA48,DB48),'MASTER PLAN'!$AB:$AB,'MASTER PLAN'!$J:$J,0,0)),"")</f>
        <v/>
      </c>
      <c r="DD48" s="80" t="str">
        <f t="array" ref="DD48">IFERROR(IF(XLOOKUP(CONCAT(DA48,DB48),'PROCESOS PRD'!$J:$J,'PROCESOS PRD'!$H:$H,0,0)=0,"",XLOOKUP(CONCAT(DA48,DB48),'PROCESOS PRD'!$J:$J,'PROCESOS PRD'!$H:$H,0,0)),"")</f>
        <v/>
      </c>
      <c r="DE48" s="77"/>
      <c r="DF48" s="78"/>
      <c r="DG48" s="79" t="str">
        <f t="array" ref="DG48">IFERROR(IF(XLOOKUP(CONCAT(DE48,DF48),'MASTER PLAN'!$AB:$AB,'MASTER PLAN'!$J:$J,0,0)=0,"",XLOOKUP(CONCAT(DE48,DF48),'MASTER PLAN'!$AB:$AB,'MASTER PLAN'!$J:$J,0,0)),"")</f>
        <v/>
      </c>
      <c r="DH48" s="80" t="str">
        <f t="array" ref="DH48">IFERROR(IF(XLOOKUP(CONCAT(DE48,DF48),'PROCESOS PRD'!$J:$J,'PROCESOS PRD'!$H:$H,0,0)=0,"",XLOOKUP(CONCAT(DE48,DF48),'PROCESOS PRD'!$J:$J,'PROCESOS PRD'!$H:$H,0,0)),"")</f>
        <v/>
      </c>
      <c r="DI48" s="77"/>
      <c r="DJ48" s="78"/>
      <c r="DK48" s="79" t="str">
        <f t="array" ref="DK48">IFERROR(IF(XLOOKUP(CONCAT(DI48,DJ48),'MASTER PLAN'!$AB:$AB,'MASTER PLAN'!$J:$J,0,0)=0,"",XLOOKUP(CONCAT(DI48,DJ48),'MASTER PLAN'!$AB:$AB,'MASTER PLAN'!$J:$J,0,0)),"")</f>
        <v/>
      </c>
      <c r="DL48" s="80" t="str">
        <f t="array" ref="DL48">IFERROR(IF(XLOOKUP(CONCAT(DI48,DJ48),'PROCESOS PRD'!$J:$J,'PROCESOS PRD'!$H:$H,0,0)=0,"",XLOOKUP(CONCAT(DI48,DJ48),'PROCESOS PRD'!$J:$J,'PROCESOS PRD'!$H:$H,0,0)),"")</f>
        <v/>
      </c>
      <c r="DM48" s="77"/>
      <c r="DN48" s="78"/>
      <c r="DO48" s="79" t="str">
        <f t="array" ref="DO48">IFERROR(IF(XLOOKUP(CONCAT(DM48,DN48),'MASTER PLAN'!$AB:$AB,'MASTER PLAN'!$J:$J,0,0)=0,"",XLOOKUP(CONCAT(DM48,DN48),'MASTER PLAN'!$AB:$AB,'MASTER PLAN'!$J:$J,0,0)),"")</f>
        <v/>
      </c>
      <c r="DP48" s="80" t="str">
        <f t="array" ref="DP48">IFERROR(IF(XLOOKUP(CONCAT(DM48,DN48),'PROCESOS PRD'!$J:$J,'PROCESOS PRD'!$H:$H,0,0)=0,"",XLOOKUP(CONCAT(DM48,DN48),'PROCESOS PRD'!$J:$J,'PROCESOS PRD'!$H:$H,0,0)),"")</f>
        <v/>
      </c>
      <c r="DQ48" s="70"/>
      <c r="DR48" s="77"/>
      <c r="DS48" s="78"/>
      <c r="DT48" s="79" t="str">
        <f t="array" ref="DT48">IFERROR(IF(XLOOKUP(CONCAT(DR48,DS48),'MASTER PLAN'!$AB:$AB,'MASTER PLAN'!$J:$J,0,0)=0,"",XLOOKUP(CONCAT(DR48,DS48),'MASTER PLAN'!$AB:$AB,'MASTER PLAN'!$J:$J,0,0)),"")</f>
        <v/>
      </c>
      <c r="DU48" s="80" t="str">
        <f t="array" ref="DU48">IFERROR(IF(XLOOKUP(CONCAT(DR48,DS48),'PROCESOS PRD'!$J:$J,'PROCESOS PRD'!$H:$H,0,0)=0,"",XLOOKUP(CONCAT(DR48,DS48),'PROCESOS PRD'!$J:$J,'PROCESOS PRD'!$H:$H,0,0)),"")</f>
        <v/>
      </c>
      <c r="DV48" s="77"/>
      <c r="DW48" s="78"/>
      <c r="DX48" s="79" t="str">
        <f t="array" ref="DX48">IFERROR(IF(XLOOKUP(CONCAT(DV48,DW48),'MASTER PLAN'!$AB:$AB,'MASTER PLAN'!$J:$J,0,0)=0,"",XLOOKUP(CONCAT(DV48,DW48),'MASTER PLAN'!$AB:$AB,'MASTER PLAN'!$J:$J,0,0)),"")</f>
        <v/>
      </c>
      <c r="DY48" s="80" t="str">
        <f t="array" ref="DY48">IFERROR(IF(XLOOKUP(CONCAT(DV48,DW48),'PROCESOS PRD'!$J:$J,'PROCESOS PRD'!$H:$H,0,0)=0,"",XLOOKUP(CONCAT(DV48,DW48),'PROCESOS PRD'!$J:$J,'PROCESOS PRD'!$H:$H,0,0)),"")</f>
        <v/>
      </c>
      <c r="DZ48" s="77"/>
      <c r="EA48" s="78"/>
      <c r="EB48" s="79" t="str">
        <f t="array" ref="EB48">IFERROR(IF(XLOOKUP(CONCAT(DZ48,EA48),'MASTER PLAN'!$AB:$AB,'MASTER PLAN'!$J:$J,0,0)=0,"",XLOOKUP(CONCAT(DZ48,EA48),'MASTER PLAN'!$AB:$AB,'MASTER PLAN'!$J:$J,0,0)),"")</f>
        <v/>
      </c>
      <c r="EC48" s="80" t="str">
        <f t="array" ref="EC48">IFERROR(IF(XLOOKUP(CONCAT(DZ48,EA48),'PROCESOS PRD'!$J:$J,'PROCESOS PRD'!$H:$H,0,0)=0,"",XLOOKUP(CONCAT(DZ48,EA48),'PROCESOS PRD'!$J:$J,'PROCESOS PRD'!$H:$H,0,0)),"")</f>
        <v/>
      </c>
      <c r="ED48" s="77"/>
      <c r="EE48" s="78"/>
      <c r="EF48" s="79" t="str">
        <f t="array" ref="EF48">IFERROR(IF(XLOOKUP(CONCAT(ED48,EE48),'MASTER PLAN'!$AB:$AB,'MASTER PLAN'!$J:$J,0,0)=0,"",XLOOKUP(CONCAT(ED48,EE48),'MASTER PLAN'!$AB:$AB,'MASTER PLAN'!$J:$J,0,0)),"")</f>
        <v/>
      </c>
      <c r="EG48" s="80" t="str">
        <f t="array" ref="EG48">IFERROR(IF(XLOOKUP(CONCAT(ED48,EE48),'PROCESOS PRD'!$J:$J,'PROCESOS PRD'!$H:$H,0,0)=0,"",XLOOKUP(CONCAT(ED48,EE48),'PROCESOS PRD'!$J:$J,'PROCESOS PRD'!$H:$H,0,0)),"")</f>
        <v/>
      </c>
      <c r="EH48" s="77"/>
      <c r="EI48" s="78"/>
      <c r="EJ48" s="79" t="str">
        <f t="array" ref="EJ48">IFERROR(IF(XLOOKUP(CONCAT(EH48,EI48),'MASTER PLAN'!$AB:$AB,'MASTER PLAN'!$J:$J,0,0)=0,"",XLOOKUP(CONCAT(EH48,EI48),'MASTER PLAN'!$AB:$AB,'MASTER PLAN'!$J:$J,0,0)),"")</f>
        <v/>
      </c>
      <c r="EK48" s="80" t="str">
        <f t="array" ref="EK48">IFERROR(IF(XLOOKUP(CONCAT(EH48,EI48),'PROCESOS PRD'!$J:$J,'PROCESOS PRD'!$H:$H,0,0)=0,"",XLOOKUP(CONCAT(EH48,EI48),'PROCESOS PRD'!$J:$J,'PROCESOS PRD'!$H:$H,0,0)),"")</f>
        <v/>
      </c>
      <c r="EL48" s="77"/>
      <c r="EM48" s="78"/>
      <c r="EN48" s="79" t="str">
        <f t="array" ref="EN48">IFERROR(IF(XLOOKUP(CONCAT(EL48,EM48),'MASTER PLAN'!$AB:$AB,'MASTER PLAN'!$J:$J,0,0)=0,"",XLOOKUP(CONCAT(EL48,EM48),'MASTER PLAN'!$AB:$AB,'MASTER PLAN'!$J:$J,0,0)),"")</f>
        <v/>
      </c>
      <c r="EO48" s="80" t="str">
        <f t="array" ref="EO48">IFERROR(IF(XLOOKUP(CONCAT(EL48,EM48),'PROCESOS PRD'!$J:$J,'PROCESOS PRD'!$H:$H,0,0)=0,"",XLOOKUP(CONCAT(EL48,EM48),'PROCESOS PRD'!$J:$J,'PROCESOS PRD'!$H:$H,0,0)),"")</f>
        <v/>
      </c>
      <c r="EP48" s="70"/>
      <c r="EQ48" s="77"/>
      <c r="ER48" s="78"/>
      <c r="ES48" s="79" t="str">
        <f t="array" ref="ES48">IFERROR(IF(XLOOKUP(CONCAT(EQ48,ER48),'MASTER PLAN'!$AB:$AB,'MASTER PLAN'!$J:$J,0,0)=0,"",XLOOKUP(CONCAT(EQ48,ER48),'MASTER PLAN'!$AB:$AB,'MASTER PLAN'!$J:$J,0,0)),"")</f>
        <v/>
      </c>
      <c r="ET48" s="80" t="str">
        <f t="array" ref="ET48">IFERROR(IF(XLOOKUP(CONCAT(EQ48,ER48),'PROCESOS PRD'!$J:$J,'PROCESOS PRD'!$H:$H,0,0)=0,"",XLOOKUP(CONCAT(EQ48,ER48),'PROCESOS PRD'!$J:$J,'PROCESOS PRD'!$H:$H,0,0)),"")</f>
        <v/>
      </c>
      <c r="EU48" s="77"/>
      <c r="EV48" s="78"/>
      <c r="EW48" s="79" t="str">
        <f t="array" ref="EW48">IFERROR(IF(XLOOKUP(CONCAT(EU48,EV48),'MASTER PLAN'!$AB:$AB,'MASTER PLAN'!$J:$J,0,0)=0,"",XLOOKUP(CONCAT(EU48,EV48),'MASTER PLAN'!$AB:$AB,'MASTER PLAN'!$J:$J,0,0)),"")</f>
        <v/>
      </c>
      <c r="EX48" s="80" t="str">
        <f t="array" ref="EX48">IFERROR(IF(XLOOKUP(CONCAT(EU48,EV48),'PROCESOS PRD'!$J:$J,'PROCESOS PRD'!$H:$H,0,0)=0,"",XLOOKUP(CONCAT(EU48,EV48),'PROCESOS PRD'!$J:$J,'PROCESOS PRD'!$H:$H,0,0)),"")</f>
        <v/>
      </c>
      <c r="EY48" s="77"/>
      <c r="EZ48" s="78"/>
      <c r="FA48" s="79" t="str">
        <f t="array" ref="FA48">IFERROR(IF(XLOOKUP(CONCAT(EY48,EZ48),'MASTER PLAN'!$AB:$AB,'MASTER PLAN'!$J:$J,0,0)=0,"",XLOOKUP(CONCAT(EY48,EZ48),'MASTER PLAN'!$AB:$AB,'MASTER PLAN'!$J:$J,0,0)),"")</f>
        <v/>
      </c>
      <c r="FB48" s="80" t="str">
        <f t="array" ref="FB48">IFERROR(IF(XLOOKUP(CONCAT(EY48,EZ48),'PROCESOS PRD'!$J:$J,'PROCESOS PRD'!$H:$H,0,0)=0,"",XLOOKUP(CONCAT(EY48,EZ48),'PROCESOS PRD'!$J:$J,'PROCESOS PRD'!$H:$H,0,0)),"")</f>
        <v/>
      </c>
      <c r="FC48" s="77"/>
      <c r="FD48" s="78"/>
      <c r="FE48" s="79" t="str">
        <f t="array" ref="FE48">IFERROR(IF(XLOOKUP(CONCAT(FC48,FD48),'MASTER PLAN'!$AB:$AB,'MASTER PLAN'!$J:$J,0,0)=0,"",XLOOKUP(CONCAT(FC48,FD48),'MASTER PLAN'!$AB:$AB,'MASTER PLAN'!$J:$J,0,0)),"")</f>
        <v/>
      </c>
      <c r="FF48" s="80" t="str">
        <f t="array" ref="FF48">IFERROR(IF(XLOOKUP(CONCAT(FC48,FD48),'PROCESOS PRD'!$J:$J,'PROCESOS PRD'!$H:$H,0,0)=0,"",XLOOKUP(CONCAT(FC48,FD48),'PROCESOS PRD'!$J:$J,'PROCESOS PRD'!$H:$H,0,0)),"")</f>
        <v/>
      </c>
      <c r="FG48" s="77"/>
      <c r="FH48" s="78"/>
      <c r="FI48" s="79" t="str">
        <f t="array" ref="FI48">IFERROR(IF(XLOOKUP(CONCAT(FG48,FH48),'MASTER PLAN'!$AB:$AB,'MASTER PLAN'!$J:$J,0,0)=0,"",XLOOKUP(CONCAT(FG48,FH48),'MASTER PLAN'!$AB:$AB,'MASTER PLAN'!$J:$J,0,0)),"")</f>
        <v/>
      </c>
      <c r="FJ48" s="80" t="str">
        <f t="array" ref="FJ48">IFERROR(IF(XLOOKUP(CONCAT(FG48,FH48),'PROCESOS PRD'!$J:$J,'PROCESOS PRD'!$H:$H,0,0)=0,"",XLOOKUP(CONCAT(FG48,FH48),'PROCESOS PRD'!$J:$J,'PROCESOS PRD'!$H:$H,0,0)),"")</f>
        <v/>
      </c>
      <c r="FK48" s="77"/>
      <c r="FL48" s="78"/>
      <c r="FM48" s="79" t="str">
        <f t="array" ref="FM48">IFERROR(IF(XLOOKUP(CONCAT(FK48,FL48),'MASTER PLAN'!$AB:$AB,'MASTER PLAN'!$J:$J,0,0)=0,"",XLOOKUP(CONCAT(FK48,FL48),'MASTER PLAN'!$AB:$AB,'MASTER PLAN'!$J:$J,0,0)),"")</f>
        <v/>
      </c>
      <c r="FN48" s="80" t="str">
        <f t="array" ref="FN48">IFERROR(IF(XLOOKUP(CONCAT(FK48,FL48),'PROCESOS PRD'!$J:$J,'PROCESOS PRD'!$H:$H,0,0)=0,"",XLOOKUP(CONCAT(FK48,FL48),'PROCESOS PRD'!$J:$J,'PROCESOS PRD'!$H:$H,0,0)),"")</f>
        <v/>
      </c>
      <c r="FO48" s="70"/>
      <c r="FP48" s="77"/>
      <c r="FQ48" s="78"/>
      <c r="FR48" s="79" t="str">
        <f t="array" ref="FR48">IFERROR(IF(XLOOKUP(CONCAT(FP48,FQ48),'MASTER PLAN'!$AB:$AB,'MASTER PLAN'!$J:$J,0,0)=0,"",XLOOKUP(CONCAT(FP48,FQ48),'MASTER PLAN'!$AB:$AB,'MASTER PLAN'!$J:$J,0,0)),"")</f>
        <v/>
      </c>
      <c r="FS48" s="80" t="str">
        <f t="array" ref="FS48">IFERROR(IF(XLOOKUP(CONCAT(FP48,FQ48),'PROCESOS PRD'!$J:$J,'PROCESOS PRD'!$H:$H,0,0)=0,"",XLOOKUP(CONCAT(FP48,FQ48),'PROCESOS PRD'!$J:$J,'PROCESOS PRD'!$H:$H,0,0)),"")</f>
        <v/>
      </c>
      <c r="FT48" s="77"/>
      <c r="FU48" s="78"/>
      <c r="FV48" s="79" t="str">
        <f t="array" ref="FV48">IFERROR(IF(XLOOKUP(CONCAT(FT48,FU48),'MASTER PLAN'!$AB:$AB,'MASTER PLAN'!$J:$J,0,0)=0,"",XLOOKUP(CONCAT(FT48,FU48),'MASTER PLAN'!$AB:$AB,'MASTER PLAN'!$J:$J,0,0)),"")</f>
        <v/>
      </c>
      <c r="FW48" s="80" t="str">
        <f t="array" ref="FW48">IFERROR(IF(XLOOKUP(CONCAT(FT48,FU48),'PROCESOS PRD'!$J:$J,'PROCESOS PRD'!$H:$H,0,0)=0,"",XLOOKUP(CONCAT(FT48,FU48),'PROCESOS PRD'!$J:$J,'PROCESOS PRD'!$H:$H,0,0)),"")</f>
        <v/>
      </c>
      <c r="FX48" s="77"/>
      <c r="FY48" s="78"/>
      <c r="FZ48" s="79" t="str">
        <f t="array" ref="FZ48">IFERROR(IF(XLOOKUP(CONCAT(FX48,FY48),'MASTER PLAN'!$AB:$AB,'MASTER PLAN'!$J:$J,0,0)=0,"",XLOOKUP(CONCAT(FX48,FY48),'MASTER PLAN'!$AB:$AB,'MASTER PLAN'!$J:$J,0,0)),"")</f>
        <v/>
      </c>
      <c r="GA48" s="80" t="str">
        <f t="array" ref="GA48">IFERROR(IF(XLOOKUP(CONCAT(FX48,FY48),'PROCESOS PRD'!$J:$J,'PROCESOS PRD'!$H:$H,0,0)=0,"",XLOOKUP(CONCAT(FX48,FY48),'PROCESOS PRD'!$J:$J,'PROCESOS PRD'!$H:$H,0,0)),"")</f>
        <v/>
      </c>
      <c r="GB48" s="77"/>
      <c r="GC48" s="78"/>
      <c r="GD48" s="79" t="str">
        <f t="array" ref="GD48">IFERROR(IF(XLOOKUP(CONCAT(GB48,GC48),'MASTER PLAN'!$AB:$AB,'MASTER PLAN'!$J:$J,0,0)=0,"",XLOOKUP(CONCAT(GB48,GC48),'MASTER PLAN'!$AB:$AB,'MASTER PLAN'!$J:$J,0,0)),"")</f>
        <v/>
      </c>
      <c r="GE48" s="80" t="str">
        <f t="array" ref="GE48">IFERROR(IF(XLOOKUP(CONCAT(GB48,GC48),'PROCESOS PRD'!$J:$J,'PROCESOS PRD'!$H:$H,0,0)=0,"",XLOOKUP(CONCAT(GB48,GC48),'PROCESOS PRD'!$J:$J,'PROCESOS PRD'!$H:$H,0,0)),"")</f>
        <v/>
      </c>
      <c r="GF48" s="77"/>
      <c r="GG48" s="78"/>
      <c r="GH48" s="79" t="str">
        <f t="array" ref="GH48">IFERROR(IF(XLOOKUP(CONCAT(GF48,GG48),'MASTER PLAN'!$AB:$AB,'MASTER PLAN'!$J:$J,0,0)=0,"",XLOOKUP(CONCAT(GF48,GG48),'MASTER PLAN'!$AB:$AB,'MASTER PLAN'!$J:$J,0,0)),"")</f>
        <v/>
      </c>
      <c r="GI48" s="80" t="str">
        <f t="array" ref="GI48">IFERROR(IF(XLOOKUP(CONCAT(GF48,GG48),'PROCESOS PRD'!$J:$J,'PROCESOS PRD'!$H:$H,0,0)=0,"",XLOOKUP(CONCAT(GF48,GG48),'PROCESOS PRD'!$J:$J,'PROCESOS PRD'!$H:$H,0,0)),"")</f>
        <v/>
      </c>
      <c r="GJ48" s="77"/>
      <c r="GK48" s="78"/>
      <c r="GL48" s="79" t="str">
        <f t="array" ref="GL48">IFERROR(IF(XLOOKUP(CONCAT(GJ48,GK48),'MASTER PLAN'!$AB:$AB,'MASTER PLAN'!$J:$J,0,0)=0,"",XLOOKUP(CONCAT(GJ48,GK48),'MASTER PLAN'!$AB:$AB,'MASTER PLAN'!$J:$J,0,0)),"")</f>
        <v/>
      </c>
      <c r="GM48" s="80" t="str">
        <f t="array" ref="GM48">IFERROR(IF(XLOOKUP(CONCAT(GJ48,GK48),'PROCESOS PRD'!$J:$J,'PROCESOS PRD'!$H:$H,0,0)=0,"",XLOOKUP(CONCAT(GJ48,GK48),'PROCESOS PRD'!$J:$J,'PROCESOS PRD'!$H:$H,0,0)),"")</f>
        <v/>
      </c>
      <c r="GN48" s="70"/>
      <c r="GO48" s="77"/>
      <c r="GP48" s="78"/>
      <c r="GQ48" s="79" t="str">
        <f t="array" ref="GQ48">IFERROR(IF(XLOOKUP(CONCAT(GO48,GP48),'MASTER PLAN'!$AB:$AB,'MASTER PLAN'!$J:$J,0,0)=0,"",XLOOKUP(CONCAT(GO48,GP48),'MASTER PLAN'!$AB:$AB,'MASTER PLAN'!$J:$J,0,0)),"")</f>
        <v/>
      </c>
      <c r="GR48" s="80" t="str">
        <f t="array" ref="GR48">IFERROR(IF(XLOOKUP(CONCAT(GO48,GP48),'PROCESOS PRD'!$J:$J,'PROCESOS PRD'!$H:$H,0,0)=0,"",XLOOKUP(CONCAT(GO48,GP48),'PROCESOS PRD'!$J:$J,'PROCESOS PRD'!$H:$H,0,0)),"")</f>
        <v/>
      </c>
      <c r="GS48" s="77"/>
      <c r="GT48" s="78"/>
      <c r="GU48" s="79" t="str">
        <f t="array" ref="GU48">IFERROR(IF(XLOOKUP(CONCAT(GS48,GT48),'MASTER PLAN'!$AB:$AB,'MASTER PLAN'!$J:$J,0,0)=0,"",XLOOKUP(CONCAT(GS48,GT48),'MASTER PLAN'!$AB:$AB,'MASTER PLAN'!$J:$J,0,0)),"")</f>
        <v/>
      </c>
      <c r="GV48" s="80" t="str">
        <f t="array" ref="GV48">IFERROR(IF(XLOOKUP(CONCAT(GS48,GT48),'PROCESOS PRD'!$J:$J,'PROCESOS PRD'!$H:$H,0,0)=0,"",XLOOKUP(CONCAT(GS48,GT48),'PROCESOS PRD'!$J:$J,'PROCESOS PRD'!$H:$H,0,0)),"")</f>
        <v/>
      </c>
      <c r="GW48" s="77"/>
      <c r="GX48" s="78"/>
      <c r="GY48" s="79" t="str">
        <f t="array" ref="GY48">IFERROR(IF(XLOOKUP(CONCAT(GW48,GX48),'MASTER PLAN'!$AB:$AB,'MASTER PLAN'!$J:$J,0,0)=0,"",XLOOKUP(CONCAT(GW48,GX48),'MASTER PLAN'!$AB:$AB,'MASTER PLAN'!$J:$J,0,0)),"")</f>
        <v/>
      </c>
      <c r="GZ48" s="80" t="str">
        <f t="array" ref="GZ48">IFERROR(IF(XLOOKUP(CONCAT(GW48,GX48),'PROCESOS PRD'!$J:$J,'PROCESOS PRD'!$H:$H,0,0)=0,"",XLOOKUP(CONCAT(GW48,GX48),'PROCESOS PRD'!$J:$J,'PROCESOS PRD'!$H:$H,0,0)),"")</f>
        <v/>
      </c>
      <c r="HA48" s="77"/>
      <c r="HB48" s="78"/>
      <c r="HC48" s="79" t="str">
        <f t="array" ref="HC48">IFERROR(IF(XLOOKUP(CONCAT(HA48,HB48),'MASTER PLAN'!$AB:$AB,'MASTER PLAN'!$J:$J,0,0)=0,"",XLOOKUP(CONCAT(HA48,HB48),'MASTER PLAN'!$AB:$AB,'MASTER PLAN'!$J:$J,0,0)),"")</f>
        <v/>
      </c>
      <c r="HD48" s="80" t="str">
        <f t="array" ref="HD48">IFERROR(IF(XLOOKUP(CONCAT(HA48,HB48),'PROCESOS PRD'!$J:$J,'PROCESOS PRD'!$H:$H,0,0)=0,"",XLOOKUP(CONCAT(HA48,HB48),'PROCESOS PRD'!$J:$J,'PROCESOS PRD'!$H:$H,0,0)),"")</f>
        <v/>
      </c>
      <c r="HE48" s="77"/>
      <c r="HF48" s="78"/>
      <c r="HG48" s="79" t="str">
        <f t="array" ref="HG48">IFERROR(IF(XLOOKUP(CONCAT(HE48,HF48),'MASTER PLAN'!$AB:$AB,'MASTER PLAN'!$J:$J,0,0)=0,"",XLOOKUP(CONCAT(HE48,HF48),'MASTER PLAN'!$AB:$AB,'MASTER PLAN'!$J:$J,0,0)),"")</f>
        <v/>
      </c>
      <c r="HH48" s="80" t="str">
        <f t="array" ref="HH48">IFERROR(IF(XLOOKUP(CONCAT(HE48,HF48),'PROCESOS PRD'!$J:$J,'PROCESOS PRD'!$H:$H,0,0)=0,"",XLOOKUP(CONCAT(HE48,HF48),'PROCESOS PRD'!$J:$J,'PROCESOS PRD'!$H:$H,0,0)),"")</f>
        <v/>
      </c>
      <c r="HI48" s="77"/>
      <c r="HJ48" s="78"/>
      <c r="HK48" s="79" t="str">
        <f t="array" ref="HK48">IFERROR(IF(XLOOKUP(CONCAT(HI48,HJ48),'MASTER PLAN'!$AB:$AB,'MASTER PLAN'!$J:$J,0,0)=0,"",XLOOKUP(CONCAT(HI48,HJ48),'MASTER PLAN'!$AB:$AB,'MASTER PLAN'!$J:$J,0,0)),"")</f>
        <v/>
      </c>
      <c r="HL48" s="80" t="str">
        <f t="array" ref="HL48">IFERROR(IF(XLOOKUP(CONCAT(HI48,HJ48),'PROCESOS PRD'!$J:$J,'PROCESOS PRD'!$H:$H,0,0)=0,"",XLOOKUP(CONCAT(HI48,HJ48),'PROCESOS PRD'!$J:$J,'PROCESOS PRD'!$H:$H,0,0)),"")</f>
        <v/>
      </c>
      <c r="HM48" s="70"/>
      <c r="HN48" s="77"/>
      <c r="HO48" s="78"/>
      <c r="HP48" s="79" t="str">
        <f t="array" ref="HP48">IFERROR(IF(XLOOKUP(CONCAT(HN48,HO48),'MASTER PLAN'!$AB:$AB,'MASTER PLAN'!$J:$J,0,0)=0,"",XLOOKUP(CONCAT(HN48,HO48),'MASTER PLAN'!$AB:$AB,'MASTER PLAN'!$J:$J,0,0)),"")</f>
        <v/>
      </c>
      <c r="HQ48" s="80" t="str">
        <f t="array" ref="HQ48">IFERROR(IF(XLOOKUP(CONCAT(HN48,HO48),'PROCESOS PRD'!$J:$J,'PROCESOS PRD'!$H:$H,0,0)=0,"",XLOOKUP(CONCAT(HN48,HO48),'PROCESOS PRD'!$J:$J,'PROCESOS PRD'!$H:$H,0,0)),"")</f>
        <v/>
      </c>
      <c r="HR48" s="77"/>
      <c r="HS48" s="78"/>
      <c r="HT48" s="79" t="str">
        <f t="array" ref="HT48">IFERROR(IF(XLOOKUP(CONCAT(HR48,HS48),'MASTER PLAN'!$AB:$AB,'MASTER PLAN'!$J:$J,0,0)=0,"",XLOOKUP(CONCAT(HR48,HS48),'MASTER PLAN'!$AB:$AB,'MASTER PLAN'!$J:$J,0,0)),"")</f>
        <v/>
      </c>
      <c r="HU48" s="80" t="str">
        <f t="array" ref="HU48">IFERROR(IF(XLOOKUP(CONCAT(HR48,HS48),'PROCESOS PRD'!$J:$J,'PROCESOS PRD'!$H:$H,0,0)=0,"",XLOOKUP(CONCAT(HR48,HS48),'PROCESOS PRD'!$J:$J,'PROCESOS PRD'!$H:$H,0,0)),"")</f>
        <v/>
      </c>
      <c r="HV48" s="77"/>
      <c r="HW48" s="78"/>
      <c r="HX48" s="79" t="str">
        <f t="array" ref="HX48">IFERROR(IF(XLOOKUP(CONCAT(HV48,HW48),'MASTER PLAN'!$AB:$AB,'MASTER PLAN'!$J:$J,0,0)=0,"",XLOOKUP(CONCAT(HV48,HW48),'MASTER PLAN'!$AB:$AB,'MASTER PLAN'!$J:$J,0,0)),"")</f>
        <v/>
      </c>
      <c r="HY48" s="80" t="str">
        <f t="array" ref="HY48">IFERROR(IF(XLOOKUP(CONCAT(HV48,HW48),'PROCESOS PRD'!$J:$J,'PROCESOS PRD'!$H:$H,0,0)=0,"",XLOOKUP(CONCAT(HV48,HW48),'PROCESOS PRD'!$J:$J,'PROCESOS PRD'!$H:$H,0,0)),"")</f>
        <v/>
      </c>
      <c r="HZ48" s="77"/>
      <c r="IA48" s="78"/>
      <c r="IB48" s="79" t="str">
        <f t="array" ref="IB48">IFERROR(IF(XLOOKUP(CONCAT(HZ48,IA48),'MASTER PLAN'!$AB:$AB,'MASTER PLAN'!$J:$J,0,0)=0,"",XLOOKUP(CONCAT(HZ48,IA48),'MASTER PLAN'!$AB:$AB,'MASTER PLAN'!$J:$J,0,0)),"")</f>
        <v/>
      </c>
      <c r="IC48" s="80" t="str">
        <f t="array" ref="IC48">IFERROR(IF(XLOOKUP(CONCAT(HZ48,IA48),'PROCESOS PRD'!$J:$J,'PROCESOS PRD'!$H:$H,0,0)=0,"",XLOOKUP(CONCAT(HZ48,IA48),'PROCESOS PRD'!$J:$J,'PROCESOS PRD'!$H:$H,0,0)),"")</f>
        <v/>
      </c>
      <c r="ID48" s="77"/>
      <c r="IE48" s="78"/>
      <c r="IF48" s="79" t="str">
        <f t="array" ref="IF48">IFERROR(IF(XLOOKUP(CONCAT(ID48,IE48),'MASTER PLAN'!$AB:$AB,'MASTER PLAN'!$J:$J,0,0)=0,"",XLOOKUP(CONCAT(ID48,IE48),'MASTER PLAN'!$AB:$AB,'MASTER PLAN'!$J:$J,0,0)),"")</f>
        <v/>
      </c>
      <c r="IG48" s="80" t="str">
        <f t="array" ref="IG48">IFERROR(IF(XLOOKUP(CONCAT(ID48,IE48),'PROCESOS PRD'!$J:$J,'PROCESOS PRD'!$H:$H,0,0)=0,"",XLOOKUP(CONCAT(ID48,IE48),'PROCESOS PRD'!$J:$J,'PROCESOS PRD'!$H:$H,0,0)),"")</f>
        <v/>
      </c>
      <c r="IH48" s="77"/>
      <c r="II48" s="78"/>
      <c r="IJ48" s="79" t="str">
        <f t="array" ref="IJ48">IFERROR(IF(XLOOKUP(CONCAT(IH48,II48),'MASTER PLAN'!$AB:$AB,'MASTER PLAN'!$J:$J,0,0)=0,"",XLOOKUP(CONCAT(IH48,II48),'MASTER PLAN'!$AB:$AB,'MASTER PLAN'!$J:$J,0,0)),"")</f>
        <v/>
      </c>
      <c r="IK48" s="80" t="str">
        <f t="array" ref="IK48">IFERROR(IF(XLOOKUP(CONCAT(IH48,II48),'PROCESOS PRD'!$J:$J,'PROCESOS PRD'!$H:$H,0,0)=0,"",XLOOKUP(CONCAT(IH48,II48),'PROCESOS PRD'!$J:$J,'PROCESOS PRD'!$H:$H,0,0)),"")</f>
        <v/>
      </c>
      <c r="IL48" s="70"/>
      <c r="IM48" s="77"/>
      <c r="IN48" s="78"/>
      <c r="IO48" s="79" t="str">
        <f t="array" ref="IO48">IFERROR(IF(XLOOKUP(CONCAT(IM48,IN48),'MASTER PLAN'!$AB:$AB,'MASTER PLAN'!$J:$J,0,0)=0,"",XLOOKUP(CONCAT(IM48,IN48),'MASTER PLAN'!$AB:$AB,'MASTER PLAN'!$J:$J,0,0)),"")</f>
        <v/>
      </c>
      <c r="IP48" s="80" t="str">
        <f t="array" ref="IP48">IFERROR(IF(XLOOKUP(CONCAT(IM48,IN48),'PROCESOS PRD'!$J:$J,'PROCESOS PRD'!$H:$H,0,0)=0,"",XLOOKUP(CONCAT(IM48,IN48),'PROCESOS PRD'!$J:$J,'PROCESOS PRD'!$H:$H,0,0)),"")</f>
        <v/>
      </c>
      <c r="IQ48" s="77"/>
      <c r="IR48" s="78"/>
      <c r="IS48" s="79" t="str">
        <f t="array" ref="IS48">IFERROR(IF(XLOOKUP(CONCAT(IQ48,IR48),'MASTER PLAN'!$AB:$AB,'MASTER PLAN'!$J:$J,0,0)=0,"",XLOOKUP(CONCAT(IQ48,IR48),'MASTER PLAN'!$AB:$AB,'MASTER PLAN'!$J:$J,0,0)),"")</f>
        <v/>
      </c>
      <c r="IT48" s="80" t="str">
        <f t="array" ref="IT48">IFERROR(IF(XLOOKUP(CONCAT(IQ48,IR48),'PROCESOS PRD'!$J:$J,'PROCESOS PRD'!$H:$H,0,0)=0,"",XLOOKUP(CONCAT(IQ48,IR48),'PROCESOS PRD'!$J:$J,'PROCESOS PRD'!$H:$H,0,0)),"")</f>
        <v/>
      </c>
      <c r="IU48" s="77"/>
      <c r="IV48" s="78"/>
      <c r="IW48" s="79" t="str">
        <f t="array" ref="IW48">IFERROR(IF(XLOOKUP(CONCAT(IU48,IV48),'MASTER PLAN'!$AB:$AB,'MASTER PLAN'!$J:$J,0,0)=0,"",XLOOKUP(CONCAT(IU48,IV48),'MASTER PLAN'!$AB:$AB,'MASTER PLAN'!$J:$J,0,0)),"")</f>
        <v/>
      </c>
      <c r="IX48" s="80" t="str">
        <f t="array" ref="IX48">IFERROR(IF(XLOOKUP(CONCAT(IU48,IV48),'PROCESOS PRD'!$J:$J,'PROCESOS PRD'!$H:$H,0,0)=0,"",XLOOKUP(CONCAT(IU48,IV48),'PROCESOS PRD'!$J:$J,'PROCESOS PRD'!$H:$H,0,0)),"")</f>
        <v/>
      </c>
      <c r="IY48" s="77"/>
      <c r="IZ48" s="78"/>
      <c r="JA48" s="79" t="str">
        <f t="array" ref="JA48">IFERROR(IF(XLOOKUP(CONCAT(IY48,IZ48),'MASTER PLAN'!$AB:$AB,'MASTER PLAN'!$J:$J,0,0)=0,"",XLOOKUP(CONCAT(IY48,IZ48),'MASTER PLAN'!$AB:$AB,'MASTER PLAN'!$J:$J,0,0)),"")</f>
        <v/>
      </c>
      <c r="JB48" s="80" t="str">
        <f t="array" ref="JB48">IFERROR(IF(XLOOKUP(CONCAT(IY48,IZ48),'PROCESOS PRD'!$J:$J,'PROCESOS PRD'!$H:$H,0,0)=0,"",XLOOKUP(CONCAT(IY48,IZ48),'PROCESOS PRD'!$J:$J,'PROCESOS PRD'!$H:$H,0,0)),"")</f>
        <v/>
      </c>
      <c r="JC48" s="77"/>
      <c r="JD48" s="78"/>
      <c r="JE48" s="79" t="str">
        <f t="array" ref="JE48">IFERROR(IF(XLOOKUP(CONCAT(JC48,JD48),'MASTER PLAN'!$AB:$AB,'MASTER PLAN'!$J:$J,0,0)=0,"",XLOOKUP(CONCAT(JC48,JD48),'MASTER PLAN'!$AB:$AB,'MASTER PLAN'!$J:$J,0,0)),"")</f>
        <v/>
      </c>
      <c r="JF48" s="80" t="str">
        <f t="array" ref="JF48">IFERROR(IF(XLOOKUP(CONCAT(JC48,JD48),'PROCESOS PRD'!$J:$J,'PROCESOS PRD'!$H:$H,0,0)=0,"",XLOOKUP(CONCAT(JC48,JD48),'PROCESOS PRD'!$J:$J,'PROCESOS PRD'!$H:$H,0,0)),"")</f>
        <v/>
      </c>
      <c r="JG48" s="77"/>
      <c r="JH48" s="78"/>
      <c r="JI48" s="79" t="str">
        <f t="array" ref="JI48">IFERROR(IF(XLOOKUP(CONCAT(JG48,JH48),'MASTER PLAN'!$AB:$AB,'MASTER PLAN'!$J:$J,0,0)=0,"",XLOOKUP(CONCAT(JG48,JH48),'MASTER PLAN'!$AB:$AB,'MASTER PLAN'!$J:$J,0,0)),"")</f>
        <v/>
      </c>
      <c r="JJ48" s="80" t="str">
        <f t="array" ref="JJ48">IFERROR(IF(XLOOKUP(CONCAT(JG48,JH48),'PROCESOS PRD'!$J:$J,'PROCESOS PRD'!$H:$H,0,0)=0,"",XLOOKUP(CONCAT(JG48,JH48),'PROCESOS PRD'!$J:$J,'PROCESOS PRD'!$H:$H,0,0)),"")</f>
        <v/>
      </c>
      <c r="JK48" s="70"/>
      <c r="JL48" s="77"/>
      <c r="JM48" s="78"/>
      <c r="JN48" s="79" t="str">
        <f t="array" ref="JN48">IFERROR(IF(XLOOKUP(CONCAT(JL48,JM48),'MASTER PLAN'!$AB:$AB,'MASTER PLAN'!$J:$J,0,0)=0,"",XLOOKUP(CONCAT(JL48,JM48),'MASTER PLAN'!$AB:$AB,'MASTER PLAN'!$J:$J,0,0)),"")</f>
        <v/>
      </c>
      <c r="JO48" s="80" t="str">
        <f t="array" ref="JO48">IFERROR(IF(XLOOKUP(CONCAT(JL48,JM48),'PROCESOS PRD'!$J:$J,'PROCESOS PRD'!$H:$H,0,0)=0,"",XLOOKUP(CONCAT(JL48,JM48),'PROCESOS PRD'!$J:$J,'PROCESOS PRD'!$H:$H,0,0)),"")</f>
        <v/>
      </c>
      <c r="JP48" s="77"/>
      <c r="JQ48" s="78"/>
      <c r="JR48" s="79" t="str">
        <f t="array" ref="JR48">IFERROR(IF(XLOOKUP(CONCAT(JP48,JQ48),'MASTER PLAN'!$AB:$AB,'MASTER PLAN'!$J:$J,0,0)=0,"",XLOOKUP(CONCAT(JP48,JQ48),'MASTER PLAN'!$AB:$AB,'MASTER PLAN'!$J:$J,0,0)),"")</f>
        <v/>
      </c>
      <c r="JS48" s="80" t="str">
        <f t="array" ref="JS48">IFERROR(IF(XLOOKUP(CONCAT(JP48,JQ48),'PROCESOS PRD'!$J:$J,'PROCESOS PRD'!$H:$H,0,0)=0,"",XLOOKUP(CONCAT(JP48,JQ48),'PROCESOS PRD'!$J:$J,'PROCESOS PRD'!$H:$H,0,0)),"")</f>
        <v/>
      </c>
      <c r="JT48" s="77"/>
      <c r="JU48" s="78"/>
      <c r="JV48" s="79" t="str">
        <f t="array" ref="JV48">IFERROR(IF(XLOOKUP(CONCAT(JT48,JU48),'MASTER PLAN'!$AB:$AB,'MASTER PLAN'!$J:$J,0,0)=0,"",XLOOKUP(CONCAT(JT48,JU48),'MASTER PLAN'!$AB:$AB,'MASTER PLAN'!$J:$J,0,0)),"")</f>
        <v/>
      </c>
      <c r="JW48" s="80" t="str">
        <f t="array" ref="JW48">IFERROR(IF(XLOOKUP(CONCAT(JT48,JU48),'PROCESOS PRD'!$J:$J,'PROCESOS PRD'!$H:$H,0,0)=0,"",XLOOKUP(CONCAT(JT48,JU48),'PROCESOS PRD'!$J:$J,'PROCESOS PRD'!$H:$H,0,0)),"")</f>
        <v/>
      </c>
      <c r="JX48" s="77"/>
      <c r="JY48" s="78"/>
      <c r="JZ48" s="79" t="str">
        <f t="array" ref="JZ48">IFERROR(IF(XLOOKUP(CONCAT(JX48,JY48),'MASTER PLAN'!$AB:$AB,'MASTER PLAN'!$J:$J,0,0)=0,"",XLOOKUP(CONCAT(JX48,JY48),'MASTER PLAN'!$AB:$AB,'MASTER PLAN'!$J:$J,0,0)),"")</f>
        <v/>
      </c>
      <c r="KA48" s="80" t="str">
        <f t="array" ref="KA48">IFERROR(IF(XLOOKUP(CONCAT(JX48,JY48),'PROCESOS PRD'!$J:$J,'PROCESOS PRD'!$H:$H,0,0)=0,"",XLOOKUP(CONCAT(JX48,JY48),'PROCESOS PRD'!$J:$J,'PROCESOS PRD'!$H:$H,0,0)),"")</f>
        <v/>
      </c>
      <c r="KB48" s="77"/>
      <c r="KC48" s="78"/>
      <c r="KD48" s="79" t="str">
        <f t="array" ref="KD48">IFERROR(IF(XLOOKUP(CONCAT(KB48,KC48),'MASTER PLAN'!$AB:$AB,'MASTER PLAN'!$J:$J,0,0)=0,"",XLOOKUP(CONCAT(KB48,KC48),'MASTER PLAN'!$AB:$AB,'MASTER PLAN'!$J:$J,0,0)),"")</f>
        <v/>
      </c>
      <c r="KE48" s="80" t="str">
        <f t="array" ref="KE48">IFERROR(IF(XLOOKUP(CONCAT(KB48,KC48),'PROCESOS PRD'!$J:$J,'PROCESOS PRD'!$H:$H,0,0)=0,"",XLOOKUP(CONCAT(KB48,KC48),'PROCESOS PRD'!$J:$J,'PROCESOS PRD'!$H:$H,0,0)),"")</f>
        <v/>
      </c>
      <c r="KF48" s="77"/>
      <c r="KG48" s="78"/>
      <c r="KH48" s="79" t="str">
        <f t="array" ref="KH48">IFERROR(IF(XLOOKUP(CONCAT(KF48,KG48),'MASTER PLAN'!$AB:$AB,'MASTER PLAN'!$J:$J,0,0)=0,"",XLOOKUP(CONCAT(KF48,KG48),'MASTER PLAN'!$AB:$AB,'MASTER PLAN'!$J:$J,0,0)),"")</f>
        <v/>
      </c>
      <c r="KI48" s="80" t="str">
        <f t="array" ref="KI48">IFERROR(IF(XLOOKUP(CONCAT(KF48,KG48),'PROCESOS PRD'!$J:$J,'PROCESOS PRD'!$H:$H,0,0)=0,"",XLOOKUP(CONCAT(KF48,KG48),'PROCESOS PRD'!$J:$J,'PROCESOS PRD'!$H:$H,0,0)),"")</f>
        <v/>
      </c>
      <c r="KJ48" s="70"/>
      <c r="KK48" s="70"/>
      <c r="KL48" s="70"/>
      <c r="KM48" s="70"/>
      <c r="KN48" s="70"/>
      <c r="KO48" s="70"/>
      <c r="KP48" s="70"/>
      <c r="KQ48" s="70"/>
      <c r="KR48" s="70"/>
      <c r="KS48" s="70"/>
      <c r="KT48" s="70"/>
      <c r="KU48" s="70"/>
      <c r="KV48" s="70"/>
      <c r="KW48" s="70"/>
      <c r="KX48" s="70"/>
      <c r="KY48" s="70"/>
      <c r="KZ48" s="70"/>
      <c r="LA48" s="70"/>
      <c r="LB48" s="70"/>
      <c r="LC48" s="70"/>
    </row>
    <row r="49" ht="15.75" customHeight="1">
      <c r="A49" s="42"/>
      <c r="B49" s="82">
        <v>22000.0</v>
      </c>
      <c r="C49" s="83" t="s">
        <v>240</v>
      </c>
      <c r="D49" s="42"/>
      <c r="E49" s="84"/>
      <c r="F49" s="85"/>
      <c r="G49" s="85"/>
      <c r="H49" s="86">
        <f>SUM(H40:H48)</f>
        <v>0</v>
      </c>
      <c r="I49" s="84"/>
      <c r="J49" s="85"/>
      <c r="K49" s="85"/>
      <c r="L49" s="86">
        <f>SUM(L40:L48)</f>
        <v>0</v>
      </c>
      <c r="M49" s="84"/>
      <c r="N49" s="85"/>
      <c r="O49" s="85"/>
      <c r="P49" s="86">
        <f>SUM(P40:P48)</f>
        <v>0</v>
      </c>
      <c r="Q49" s="84"/>
      <c r="R49" s="85"/>
      <c r="S49" s="85"/>
      <c r="T49" s="86">
        <f>SUM(T40:T48)</f>
        <v>0</v>
      </c>
      <c r="U49" s="42"/>
      <c r="V49" s="84"/>
      <c r="W49" s="85"/>
      <c r="X49" s="85"/>
      <c r="Y49" s="86">
        <f>SUM(Y40:Y48)</f>
        <v>0</v>
      </c>
      <c r="Z49" s="84"/>
      <c r="AA49" s="85"/>
      <c r="AB49" s="85"/>
      <c r="AC49" s="86">
        <f>SUM(AC40:AC48)</f>
        <v>0</v>
      </c>
      <c r="AD49" s="84"/>
      <c r="AE49" s="85"/>
      <c r="AF49" s="85"/>
      <c r="AG49" s="86">
        <f>SUM(AG40:AG48)</f>
        <v>0</v>
      </c>
      <c r="AH49" s="84"/>
      <c r="AI49" s="85"/>
      <c r="AJ49" s="85"/>
      <c r="AK49" s="86">
        <f>SUM(AK40:AK48)</f>
        <v>0</v>
      </c>
      <c r="AL49" s="84"/>
      <c r="AM49" s="85"/>
      <c r="AN49" s="85"/>
      <c r="AO49" s="86">
        <f>SUM(AO40:AO48)</f>
        <v>7560</v>
      </c>
      <c r="AP49" s="84"/>
      <c r="AQ49" s="85"/>
      <c r="AR49" s="85"/>
      <c r="AS49" s="86">
        <f>SUM(AS40:AS48)</f>
        <v>0</v>
      </c>
      <c r="AT49" s="42"/>
      <c r="AU49" s="84"/>
      <c r="AV49" s="85"/>
      <c r="AW49" s="85"/>
      <c r="AX49" s="86">
        <f>SUM(AX40:AX48)</f>
        <v>4200</v>
      </c>
      <c r="AY49" s="84"/>
      <c r="AZ49" s="85"/>
      <c r="BA49" s="85"/>
      <c r="BB49" s="86">
        <f>SUM(BB40:BB48)</f>
        <v>0</v>
      </c>
      <c r="BC49" s="84"/>
      <c r="BD49" s="85"/>
      <c r="BE49" s="85"/>
      <c r="BF49" s="86">
        <f>SUM(BF40:BF48)</f>
        <v>0</v>
      </c>
      <c r="BG49" s="84"/>
      <c r="BH49" s="85"/>
      <c r="BI49" s="85"/>
      <c r="BJ49" s="86">
        <f>SUM(BJ40:BJ48)</f>
        <v>56400</v>
      </c>
      <c r="BK49" s="84"/>
      <c r="BL49" s="85"/>
      <c r="BM49" s="85"/>
      <c r="BN49" s="86">
        <f>SUM(BN40:BN48)</f>
        <v>0</v>
      </c>
      <c r="BO49" s="84"/>
      <c r="BP49" s="85"/>
      <c r="BQ49" s="85"/>
      <c r="BR49" s="86">
        <f>SUM(BR40:BR48)</f>
        <v>0</v>
      </c>
      <c r="BS49" s="42"/>
      <c r="BT49" s="84"/>
      <c r="BU49" s="85"/>
      <c r="BV49" s="85"/>
      <c r="BW49" s="86">
        <f>SUM(BW40:BW48)</f>
        <v>13200</v>
      </c>
      <c r="BX49" s="84"/>
      <c r="BY49" s="85"/>
      <c r="BZ49" s="85"/>
      <c r="CA49" s="86">
        <f>SUM(CA40:CA48)</f>
        <v>10800</v>
      </c>
      <c r="CB49" s="84"/>
      <c r="CC49" s="85"/>
      <c r="CD49" s="85"/>
      <c r="CE49" s="86">
        <f>SUM(CE40:CE48)</f>
        <v>5400</v>
      </c>
      <c r="CF49" s="84"/>
      <c r="CG49" s="85"/>
      <c r="CH49" s="85"/>
      <c r="CI49" s="86">
        <f>SUM(CI40:CI48)</f>
        <v>2400</v>
      </c>
      <c r="CJ49" s="84"/>
      <c r="CK49" s="85"/>
      <c r="CL49" s="85"/>
      <c r="CM49" s="86">
        <f>SUM(CM40:CM48)</f>
        <v>0</v>
      </c>
      <c r="CN49" s="84"/>
      <c r="CO49" s="85"/>
      <c r="CP49" s="85"/>
      <c r="CQ49" s="86">
        <f>SUM(CQ40:CQ48)</f>
        <v>0</v>
      </c>
      <c r="CR49" s="42"/>
      <c r="CS49" s="84"/>
      <c r="CT49" s="85"/>
      <c r="CU49" s="85"/>
      <c r="CV49" s="86">
        <f>SUM(CV40:CV48)</f>
        <v>1200</v>
      </c>
      <c r="CW49" s="84"/>
      <c r="CX49" s="85"/>
      <c r="CY49" s="85"/>
      <c r="CZ49" s="86">
        <f>SUM(CZ40:CZ48)</f>
        <v>12000</v>
      </c>
      <c r="DA49" s="84"/>
      <c r="DB49" s="85"/>
      <c r="DC49" s="85"/>
      <c r="DD49" s="86">
        <f>SUM(DD40:DD48)</f>
        <v>15000</v>
      </c>
      <c r="DE49" s="84"/>
      <c r="DF49" s="85"/>
      <c r="DG49" s="85"/>
      <c r="DH49" s="86">
        <f>SUM(DH40:DH48)</f>
        <v>8400</v>
      </c>
      <c r="DI49" s="84"/>
      <c r="DJ49" s="85"/>
      <c r="DK49" s="85"/>
      <c r="DL49" s="86">
        <f>SUM(DL40:DL48)</f>
        <v>0</v>
      </c>
      <c r="DM49" s="84"/>
      <c r="DN49" s="85"/>
      <c r="DO49" s="85"/>
      <c r="DP49" s="86">
        <f>SUM(DP40:DP48)</f>
        <v>0</v>
      </c>
      <c r="DQ49" s="42"/>
      <c r="DR49" s="84"/>
      <c r="DS49" s="85"/>
      <c r="DT49" s="85"/>
      <c r="DU49" s="86">
        <f>SUM(DU40:DU48)</f>
        <v>0</v>
      </c>
      <c r="DV49" s="84"/>
      <c r="DW49" s="85"/>
      <c r="DX49" s="85"/>
      <c r="DY49" s="86">
        <f>SUM(DY40:DY48)</f>
        <v>0</v>
      </c>
      <c r="DZ49" s="84"/>
      <c r="EA49" s="85"/>
      <c r="EB49" s="85"/>
      <c r="EC49" s="86">
        <f>SUM(EC40:EC48)</f>
        <v>0</v>
      </c>
      <c r="ED49" s="84"/>
      <c r="EE49" s="85"/>
      <c r="EF49" s="85"/>
      <c r="EG49" s="86">
        <f>SUM(EG40:EG48)</f>
        <v>0</v>
      </c>
      <c r="EH49" s="84"/>
      <c r="EI49" s="85"/>
      <c r="EJ49" s="85"/>
      <c r="EK49" s="86">
        <f>SUM(EK40:EK48)</f>
        <v>0</v>
      </c>
      <c r="EL49" s="84"/>
      <c r="EM49" s="85"/>
      <c r="EN49" s="85"/>
      <c r="EO49" s="86">
        <f>SUM(EO40:EO48)</f>
        <v>0</v>
      </c>
      <c r="EP49" s="42"/>
      <c r="EQ49" s="84"/>
      <c r="ER49" s="85"/>
      <c r="ES49" s="85"/>
      <c r="ET49" s="86">
        <f>SUM(ET40:ET48)</f>
        <v>0</v>
      </c>
      <c r="EU49" s="84"/>
      <c r="EV49" s="85"/>
      <c r="EW49" s="85"/>
      <c r="EX49" s="86">
        <f>SUM(EX40:EX48)</f>
        <v>0</v>
      </c>
      <c r="EY49" s="84"/>
      <c r="EZ49" s="85"/>
      <c r="FA49" s="85"/>
      <c r="FB49" s="86">
        <f>SUM(FB40:FB48)</f>
        <v>0</v>
      </c>
      <c r="FC49" s="84"/>
      <c r="FD49" s="85"/>
      <c r="FE49" s="85"/>
      <c r="FF49" s="86">
        <f>SUM(FF40:FF48)</f>
        <v>0</v>
      </c>
      <c r="FG49" s="84"/>
      <c r="FH49" s="85"/>
      <c r="FI49" s="85"/>
      <c r="FJ49" s="86">
        <f>SUM(FJ40:FJ48)</f>
        <v>0</v>
      </c>
      <c r="FK49" s="84"/>
      <c r="FL49" s="85"/>
      <c r="FM49" s="85"/>
      <c r="FN49" s="86">
        <f>SUM(FN40:FN48)</f>
        <v>0</v>
      </c>
      <c r="FO49" s="42"/>
      <c r="FP49" s="84"/>
      <c r="FQ49" s="85"/>
      <c r="FR49" s="85"/>
      <c r="FS49" s="86">
        <f>SUM(FS40:FS48)</f>
        <v>0</v>
      </c>
      <c r="FT49" s="84"/>
      <c r="FU49" s="85"/>
      <c r="FV49" s="85"/>
      <c r="FW49" s="86">
        <f>SUM(FW40:FW48)</f>
        <v>0</v>
      </c>
      <c r="FX49" s="84"/>
      <c r="FY49" s="85"/>
      <c r="FZ49" s="85"/>
      <c r="GA49" s="86">
        <f>SUM(GA40:GA48)</f>
        <v>0</v>
      </c>
      <c r="GB49" s="84"/>
      <c r="GC49" s="85"/>
      <c r="GD49" s="85"/>
      <c r="GE49" s="86">
        <f>SUM(GE40:GE48)</f>
        <v>0</v>
      </c>
      <c r="GF49" s="84"/>
      <c r="GG49" s="85"/>
      <c r="GH49" s="85"/>
      <c r="GI49" s="86">
        <f>SUM(GI40:GI48)</f>
        <v>1800</v>
      </c>
      <c r="GJ49" s="84"/>
      <c r="GK49" s="85"/>
      <c r="GL49" s="85"/>
      <c r="GM49" s="86">
        <f>SUM(GM40:GM48)</f>
        <v>0</v>
      </c>
      <c r="GN49" s="42"/>
      <c r="GO49" s="84"/>
      <c r="GP49" s="85"/>
      <c r="GQ49" s="85"/>
      <c r="GR49" s="86">
        <f>SUM(GR40:GR48)</f>
        <v>0</v>
      </c>
      <c r="GS49" s="84"/>
      <c r="GT49" s="85"/>
      <c r="GU49" s="85"/>
      <c r="GV49" s="86">
        <f>SUM(GV40:GV48)</f>
        <v>0</v>
      </c>
      <c r="GW49" s="84"/>
      <c r="GX49" s="85"/>
      <c r="GY49" s="85"/>
      <c r="GZ49" s="86">
        <f>SUM(GZ40:GZ48)</f>
        <v>0</v>
      </c>
      <c r="HA49" s="84"/>
      <c r="HB49" s="85"/>
      <c r="HC49" s="85"/>
      <c r="HD49" s="86">
        <f>SUM(HD40:HD48)</f>
        <v>0</v>
      </c>
      <c r="HE49" s="84"/>
      <c r="HF49" s="85"/>
      <c r="HG49" s="85"/>
      <c r="HH49" s="86">
        <f>SUM(HH40:HH48)</f>
        <v>2400</v>
      </c>
      <c r="HI49" s="84"/>
      <c r="HJ49" s="85"/>
      <c r="HK49" s="85"/>
      <c r="HL49" s="86">
        <f>SUM(HL40:HL48)</f>
        <v>0</v>
      </c>
      <c r="HM49" s="42"/>
      <c r="HN49" s="84"/>
      <c r="HO49" s="85"/>
      <c r="HP49" s="85"/>
      <c r="HQ49" s="86">
        <f>SUM(HQ40:HQ48)</f>
        <v>0</v>
      </c>
      <c r="HR49" s="84"/>
      <c r="HS49" s="85"/>
      <c r="HT49" s="85"/>
      <c r="HU49" s="86">
        <f>SUM(HU40:HU48)</f>
        <v>0</v>
      </c>
      <c r="HV49" s="84"/>
      <c r="HW49" s="85"/>
      <c r="HX49" s="85"/>
      <c r="HY49" s="86">
        <f>SUM(HY40:HY48)</f>
        <v>0</v>
      </c>
      <c r="HZ49" s="84"/>
      <c r="IA49" s="85"/>
      <c r="IB49" s="85"/>
      <c r="IC49" s="86">
        <f>SUM(IC40:IC48)</f>
        <v>0</v>
      </c>
      <c r="ID49" s="84"/>
      <c r="IE49" s="85"/>
      <c r="IF49" s="85"/>
      <c r="IG49" s="86">
        <f>SUM(IG40:IG48)</f>
        <v>0</v>
      </c>
      <c r="IH49" s="84"/>
      <c r="II49" s="85"/>
      <c r="IJ49" s="85"/>
      <c r="IK49" s="86">
        <f>SUM(IK40:IK48)</f>
        <v>0</v>
      </c>
      <c r="IL49" s="42"/>
      <c r="IM49" s="84"/>
      <c r="IN49" s="85"/>
      <c r="IO49" s="85"/>
      <c r="IP49" s="86">
        <f>SUM(IP40:IP48)</f>
        <v>0</v>
      </c>
      <c r="IQ49" s="84"/>
      <c r="IR49" s="85"/>
      <c r="IS49" s="85"/>
      <c r="IT49" s="86">
        <f>SUM(IT40:IT48)</f>
        <v>0</v>
      </c>
      <c r="IU49" s="84"/>
      <c r="IV49" s="85"/>
      <c r="IW49" s="85"/>
      <c r="IX49" s="86">
        <f>SUM(IX40:IX48)</f>
        <v>0</v>
      </c>
      <c r="IY49" s="84"/>
      <c r="IZ49" s="85"/>
      <c r="JA49" s="85"/>
      <c r="JB49" s="86">
        <f>SUM(JB40:JB48)</f>
        <v>0</v>
      </c>
      <c r="JC49" s="84"/>
      <c r="JD49" s="85"/>
      <c r="JE49" s="85"/>
      <c r="JF49" s="86">
        <f>SUM(JF40:JF48)</f>
        <v>0</v>
      </c>
      <c r="JG49" s="84"/>
      <c r="JH49" s="85"/>
      <c r="JI49" s="85"/>
      <c r="JJ49" s="86">
        <f>SUM(JJ40:JJ48)</f>
        <v>0</v>
      </c>
      <c r="JK49" s="42"/>
      <c r="JL49" s="84"/>
      <c r="JM49" s="85"/>
      <c r="JN49" s="85"/>
      <c r="JO49" s="86">
        <f>SUM(JO40:JO48)</f>
        <v>0</v>
      </c>
      <c r="JP49" s="84"/>
      <c r="JQ49" s="85"/>
      <c r="JR49" s="85"/>
      <c r="JS49" s="86">
        <f>SUM(JS40:JS48)</f>
        <v>0</v>
      </c>
      <c r="JT49" s="84"/>
      <c r="JU49" s="85"/>
      <c r="JV49" s="85"/>
      <c r="JW49" s="86">
        <f>SUM(JW40:JW48)</f>
        <v>0</v>
      </c>
      <c r="JX49" s="84"/>
      <c r="JY49" s="85"/>
      <c r="JZ49" s="85"/>
      <c r="KA49" s="86">
        <f>SUM(KA40:KA48)</f>
        <v>0</v>
      </c>
      <c r="KB49" s="84"/>
      <c r="KC49" s="85"/>
      <c r="KD49" s="85"/>
      <c r="KE49" s="86">
        <f>SUM(KE40:KE48)</f>
        <v>0</v>
      </c>
      <c r="KF49" s="84"/>
      <c r="KG49" s="85"/>
      <c r="KH49" s="85"/>
      <c r="KI49" s="86">
        <f>SUM(KI40:KI48)</f>
        <v>0</v>
      </c>
      <c r="KJ49" s="42"/>
      <c r="KK49" s="42"/>
      <c r="KL49" s="42"/>
      <c r="KM49" s="42"/>
      <c r="KN49" s="42"/>
      <c r="KO49" s="42"/>
      <c r="KP49" s="42"/>
      <c r="KQ49" s="42"/>
      <c r="KR49" s="42"/>
      <c r="KS49" s="42"/>
      <c r="KT49" s="42"/>
      <c r="KU49" s="42"/>
      <c r="KV49" s="42"/>
      <c r="KW49" s="42"/>
      <c r="KX49" s="42"/>
      <c r="KY49" s="42"/>
      <c r="KZ49" s="42"/>
      <c r="LA49" s="42"/>
      <c r="LB49" s="42"/>
      <c r="LC49" s="42"/>
    </row>
    <row r="50" ht="15.7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c r="CD50" s="42"/>
      <c r="CE50" s="42"/>
      <c r="CF50" s="42"/>
      <c r="CG50" s="42"/>
      <c r="CH50" s="42"/>
      <c r="CI50" s="42"/>
      <c r="CJ50" s="42"/>
      <c r="CK50" s="42"/>
      <c r="CL50" s="42"/>
      <c r="CM50" s="42"/>
      <c r="CN50" s="42"/>
      <c r="CO50" s="42"/>
      <c r="CP50" s="42"/>
      <c r="CQ50" s="42"/>
      <c r="CR50" s="42"/>
      <c r="CS50" s="42"/>
      <c r="CT50" s="42"/>
      <c r="CU50" s="42"/>
      <c r="CV50" s="42"/>
      <c r="CW50" s="42"/>
      <c r="CX50" s="42"/>
      <c r="CY50" s="42"/>
      <c r="CZ50" s="42"/>
      <c r="DA50" s="42"/>
      <c r="DB50" s="42"/>
      <c r="DC50" s="42"/>
      <c r="DD50" s="42"/>
      <c r="DE50" s="42"/>
      <c r="DF50" s="42"/>
      <c r="DG50" s="42"/>
      <c r="DH50" s="42"/>
      <c r="DI50" s="42"/>
      <c r="DJ50" s="42"/>
      <c r="DK50" s="42"/>
      <c r="DL50" s="42"/>
      <c r="DM50" s="42"/>
      <c r="DN50" s="42"/>
      <c r="DO50" s="42"/>
      <c r="DP50" s="42"/>
      <c r="DQ50" s="42"/>
      <c r="DR50" s="42"/>
      <c r="DS50" s="42"/>
      <c r="DT50" s="42"/>
      <c r="DU50" s="42"/>
      <c r="DV50" s="42"/>
      <c r="DW50" s="42"/>
      <c r="DX50" s="42"/>
      <c r="DY50" s="42"/>
      <c r="DZ50" s="42"/>
      <c r="EA50" s="42"/>
      <c r="EB50" s="42"/>
      <c r="EC50" s="42"/>
      <c r="ED50" s="42"/>
      <c r="EE50" s="42"/>
      <c r="EF50" s="42"/>
      <c r="EG50" s="42"/>
      <c r="EH50" s="42"/>
      <c r="EI50" s="42"/>
      <c r="EJ50" s="42"/>
      <c r="EK50" s="42"/>
      <c r="EL50" s="42"/>
      <c r="EM50" s="42"/>
      <c r="EN50" s="42"/>
      <c r="EO50" s="42"/>
      <c r="EP50" s="42"/>
      <c r="EQ50" s="42"/>
      <c r="ER50" s="42"/>
      <c r="ES50" s="42"/>
      <c r="ET50" s="42"/>
      <c r="EU50" s="42"/>
      <c r="EV50" s="42"/>
      <c r="EW50" s="42"/>
      <c r="EX50" s="42"/>
      <c r="EY50" s="42"/>
      <c r="EZ50" s="42"/>
      <c r="FA50" s="42"/>
      <c r="FB50" s="42"/>
      <c r="FC50" s="42"/>
      <c r="FD50" s="42"/>
      <c r="FE50" s="42"/>
      <c r="FF50" s="42"/>
      <c r="FG50" s="42"/>
      <c r="FH50" s="42"/>
      <c r="FI50" s="42"/>
      <c r="FJ50" s="42"/>
      <c r="FK50" s="42"/>
      <c r="FL50" s="42"/>
      <c r="FM50" s="42"/>
      <c r="FN50" s="42"/>
      <c r="FO50" s="42"/>
      <c r="FP50" s="42"/>
      <c r="FQ50" s="42"/>
      <c r="FR50" s="42"/>
      <c r="FS50" s="42"/>
      <c r="FT50" s="42"/>
      <c r="FU50" s="42"/>
      <c r="FV50" s="42"/>
      <c r="FW50" s="42"/>
      <c r="FX50" s="42"/>
      <c r="FY50" s="42"/>
      <c r="FZ50" s="42"/>
      <c r="GA50" s="42"/>
      <c r="GB50" s="42"/>
      <c r="GC50" s="42"/>
      <c r="GD50" s="42"/>
      <c r="GE50" s="42"/>
      <c r="GF50" s="42"/>
      <c r="GG50" s="42"/>
      <c r="GH50" s="42"/>
      <c r="GI50" s="42"/>
      <c r="GJ50" s="42"/>
      <c r="GK50" s="42"/>
      <c r="GL50" s="42"/>
      <c r="GM50" s="42"/>
      <c r="GN50" s="42"/>
      <c r="GO50" s="42"/>
      <c r="GP50" s="42"/>
      <c r="GQ50" s="42"/>
      <c r="GR50" s="42"/>
      <c r="GS50" s="42"/>
      <c r="GT50" s="42"/>
      <c r="GU50" s="42"/>
      <c r="GV50" s="42"/>
      <c r="GW50" s="42"/>
      <c r="GX50" s="42"/>
      <c r="GY50" s="42"/>
      <c r="GZ50" s="42"/>
      <c r="HA50" s="42"/>
      <c r="HB50" s="42"/>
      <c r="HC50" s="42"/>
      <c r="HD50" s="42"/>
      <c r="HE50" s="42"/>
      <c r="HF50" s="42"/>
      <c r="HG50" s="42"/>
      <c r="HH50" s="42"/>
      <c r="HI50" s="42"/>
      <c r="HJ50" s="42"/>
      <c r="HK50" s="42"/>
      <c r="HL50" s="42"/>
      <c r="HM50" s="42"/>
      <c r="HN50" s="42"/>
      <c r="HO50" s="42"/>
      <c r="HP50" s="42"/>
      <c r="HQ50" s="42"/>
      <c r="HR50" s="42"/>
      <c r="HS50" s="42"/>
      <c r="HT50" s="42"/>
      <c r="HU50" s="42"/>
      <c r="HV50" s="42"/>
      <c r="HW50" s="42"/>
      <c r="HX50" s="42"/>
      <c r="HY50" s="42"/>
      <c r="HZ50" s="42"/>
      <c r="IA50" s="42"/>
      <c r="IB50" s="42"/>
      <c r="IC50" s="42"/>
      <c r="ID50" s="42"/>
      <c r="IE50" s="42"/>
      <c r="IF50" s="42"/>
      <c r="IG50" s="42"/>
      <c r="IH50" s="42"/>
      <c r="II50" s="42"/>
      <c r="IJ50" s="42"/>
      <c r="IK50" s="42"/>
      <c r="IL50" s="42"/>
      <c r="IM50" s="42"/>
      <c r="IN50" s="42"/>
      <c r="IO50" s="42"/>
      <c r="IP50" s="42"/>
      <c r="IQ50" s="42"/>
      <c r="IR50" s="42"/>
      <c r="IS50" s="42"/>
      <c r="IT50" s="42"/>
      <c r="IU50" s="42"/>
      <c r="IV50" s="42"/>
      <c r="IW50" s="42"/>
      <c r="IX50" s="42"/>
      <c r="IY50" s="42"/>
      <c r="IZ50" s="42"/>
      <c r="JA50" s="42"/>
      <c r="JB50" s="42"/>
      <c r="JC50" s="42"/>
      <c r="JD50" s="42"/>
      <c r="JE50" s="42"/>
      <c r="JF50" s="42"/>
      <c r="JG50" s="42"/>
      <c r="JH50" s="42"/>
      <c r="JI50" s="42"/>
      <c r="JJ50" s="42"/>
      <c r="JK50" s="42"/>
      <c r="JL50" s="42"/>
      <c r="JM50" s="42"/>
      <c r="JN50" s="42"/>
      <c r="JO50" s="42"/>
      <c r="JP50" s="42"/>
      <c r="JQ50" s="42"/>
      <c r="JR50" s="42"/>
      <c r="JS50" s="42"/>
      <c r="JT50" s="42"/>
      <c r="JU50" s="42"/>
      <c r="JV50" s="42"/>
      <c r="JW50" s="42"/>
      <c r="JX50" s="42"/>
      <c r="JY50" s="42"/>
      <c r="JZ50" s="42"/>
      <c r="KA50" s="42"/>
      <c r="KB50" s="42"/>
      <c r="KC50" s="42"/>
      <c r="KD50" s="42"/>
      <c r="KE50" s="42"/>
      <c r="KF50" s="42"/>
      <c r="KG50" s="42"/>
      <c r="KH50" s="42"/>
      <c r="KI50" s="42"/>
      <c r="KJ50" s="42"/>
      <c r="KK50" s="42"/>
      <c r="KL50" s="42"/>
      <c r="KM50" s="42"/>
      <c r="KN50" s="42"/>
      <c r="KO50" s="42"/>
      <c r="KP50" s="42"/>
      <c r="KQ50" s="42"/>
      <c r="KR50" s="42"/>
      <c r="KS50" s="42"/>
      <c r="KT50" s="42"/>
      <c r="KU50" s="42"/>
      <c r="KV50" s="42"/>
      <c r="KW50" s="42"/>
      <c r="KX50" s="42"/>
      <c r="KY50" s="42"/>
      <c r="KZ50" s="42"/>
      <c r="LA50" s="42"/>
      <c r="LB50" s="42"/>
      <c r="LC50" s="42"/>
    </row>
    <row r="51" ht="15.75" customHeight="1">
      <c r="A51" s="42"/>
      <c r="B51" s="87" t="s">
        <v>238</v>
      </c>
      <c r="C51" s="69"/>
      <c r="D51" s="67"/>
      <c r="E51" s="87" t="s">
        <v>239</v>
      </c>
      <c r="F51" s="88" t="s">
        <v>188</v>
      </c>
      <c r="G51" s="88" t="s">
        <v>4</v>
      </c>
      <c r="H51" s="89" t="s">
        <v>190</v>
      </c>
      <c r="I51" s="87" t="s">
        <v>239</v>
      </c>
      <c r="J51" s="88" t="s">
        <v>188</v>
      </c>
      <c r="K51" s="88" t="s">
        <v>4</v>
      </c>
      <c r="L51" s="89" t="s">
        <v>190</v>
      </c>
      <c r="M51" s="87" t="s">
        <v>239</v>
      </c>
      <c r="N51" s="88" t="s">
        <v>188</v>
      </c>
      <c r="O51" s="88" t="s">
        <v>4</v>
      </c>
      <c r="P51" s="89" t="s">
        <v>190</v>
      </c>
      <c r="Q51" s="87" t="s">
        <v>239</v>
      </c>
      <c r="R51" s="88" t="s">
        <v>188</v>
      </c>
      <c r="S51" s="88" t="s">
        <v>4</v>
      </c>
      <c r="T51" s="89" t="s">
        <v>190</v>
      </c>
      <c r="U51" s="67"/>
      <c r="V51" s="87" t="s">
        <v>239</v>
      </c>
      <c r="W51" s="88" t="s">
        <v>188</v>
      </c>
      <c r="X51" s="88" t="s">
        <v>4</v>
      </c>
      <c r="Y51" s="89" t="s">
        <v>190</v>
      </c>
      <c r="Z51" s="87" t="s">
        <v>239</v>
      </c>
      <c r="AA51" s="88" t="s">
        <v>188</v>
      </c>
      <c r="AB51" s="88" t="s">
        <v>4</v>
      </c>
      <c r="AC51" s="89" t="s">
        <v>190</v>
      </c>
      <c r="AD51" s="87" t="s">
        <v>239</v>
      </c>
      <c r="AE51" s="88" t="s">
        <v>188</v>
      </c>
      <c r="AF51" s="88" t="s">
        <v>4</v>
      </c>
      <c r="AG51" s="89" t="s">
        <v>190</v>
      </c>
      <c r="AH51" s="87" t="s">
        <v>239</v>
      </c>
      <c r="AI51" s="88" t="s">
        <v>188</v>
      </c>
      <c r="AJ51" s="88" t="s">
        <v>4</v>
      </c>
      <c r="AK51" s="89" t="s">
        <v>190</v>
      </c>
      <c r="AL51" s="87" t="s">
        <v>239</v>
      </c>
      <c r="AM51" s="88" t="s">
        <v>188</v>
      </c>
      <c r="AN51" s="88" t="s">
        <v>4</v>
      </c>
      <c r="AO51" s="89" t="s">
        <v>190</v>
      </c>
      <c r="AP51" s="87" t="s">
        <v>239</v>
      </c>
      <c r="AQ51" s="88" t="s">
        <v>188</v>
      </c>
      <c r="AR51" s="88" t="s">
        <v>4</v>
      </c>
      <c r="AS51" s="89" t="s">
        <v>190</v>
      </c>
      <c r="AT51" s="67"/>
      <c r="AU51" s="87" t="s">
        <v>239</v>
      </c>
      <c r="AV51" s="88" t="s">
        <v>188</v>
      </c>
      <c r="AW51" s="88" t="s">
        <v>4</v>
      </c>
      <c r="AX51" s="89" t="s">
        <v>190</v>
      </c>
      <c r="AY51" s="87" t="s">
        <v>239</v>
      </c>
      <c r="AZ51" s="88" t="s">
        <v>188</v>
      </c>
      <c r="BA51" s="88" t="s">
        <v>4</v>
      </c>
      <c r="BB51" s="89" t="s">
        <v>190</v>
      </c>
      <c r="BC51" s="87" t="s">
        <v>239</v>
      </c>
      <c r="BD51" s="88" t="s">
        <v>188</v>
      </c>
      <c r="BE51" s="88" t="s">
        <v>4</v>
      </c>
      <c r="BF51" s="89" t="s">
        <v>190</v>
      </c>
      <c r="BG51" s="87" t="s">
        <v>239</v>
      </c>
      <c r="BH51" s="88" t="s">
        <v>188</v>
      </c>
      <c r="BI51" s="88" t="s">
        <v>4</v>
      </c>
      <c r="BJ51" s="89" t="s">
        <v>190</v>
      </c>
      <c r="BK51" s="87" t="s">
        <v>239</v>
      </c>
      <c r="BL51" s="88" t="s">
        <v>188</v>
      </c>
      <c r="BM51" s="88" t="s">
        <v>4</v>
      </c>
      <c r="BN51" s="89" t="s">
        <v>190</v>
      </c>
      <c r="BO51" s="87" t="s">
        <v>239</v>
      </c>
      <c r="BP51" s="88" t="s">
        <v>188</v>
      </c>
      <c r="BQ51" s="88" t="s">
        <v>4</v>
      </c>
      <c r="BR51" s="89" t="s">
        <v>190</v>
      </c>
      <c r="BS51" s="67"/>
      <c r="BT51" s="87" t="s">
        <v>239</v>
      </c>
      <c r="BU51" s="88" t="s">
        <v>188</v>
      </c>
      <c r="BV51" s="88" t="s">
        <v>4</v>
      </c>
      <c r="BW51" s="89" t="s">
        <v>190</v>
      </c>
      <c r="BX51" s="87" t="s">
        <v>239</v>
      </c>
      <c r="BY51" s="88" t="s">
        <v>188</v>
      </c>
      <c r="BZ51" s="88" t="s">
        <v>4</v>
      </c>
      <c r="CA51" s="89" t="s">
        <v>190</v>
      </c>
      <c r="CB51" s="87" t="s">
        <v>239</v>
      </c>
      <c r="CC51" s="88" t="s">
        <v>188</v>
      </c>
      <c r="CD51" s="88" t="s">
        <v>4</v>
      </c>
      <c r="CE51" s="89" t="s">
        <v>190</v>
      </c>
      <c r="CF51" s="87" t="s">
        <v>239</v>
      </c>
      <c r="CG51" s="88" t="s">
        <v>188</v>
      </c>
      <c r="CH51" s="88" t="s">
        <v>4</v>
      </c>
      <c r="CI51" s="89" t="s">
        <v>190</v>
      </c>
      <c r="CJ51" s="87" t="s">
        <v>239</v>
      </c>
      <c r="CK51" s="88" t="s">
        <v>188</v>
      </c>
      <c r="CL51" s="88" t="s">
        <v>4</v>
      </c>
      <c r="CM51" s="89" t="s">
        <v>190</v>
      </c>
      <c r="CN51" s="87" t="s">
        <v>239</v>
      </c>
      <c r="CO51" s="88" t="s">
        <v>188</v>
      </c>
      <c r="CP51" s="88" t="s">
        <v>4</v>
      </c>
      <c r="CQ51" s="89" t="s">
        <v>190</v>
      </c>
      <c r="CR51" s="67"/>
      <c r="CS51" s="87" t="s">
        <v>239</v>
      </c>
      <c r="CT51" s="88" t="s">
        <v>188</v>
      </c>
      <c r="CU51" s="88" t="s">
        <v>4</v>
      </c>
      <c r="CV51" s="89" t="s">
        <v>190</v>
      </c>
      <c r="CW51" s="87" t="s">
        <v>239</v>
      </c>
      <c r="CX51" s="88" t="s">
        <v>188</v>
      </c>
      <c r="CY51" s="88" t="s">
        <v>4</v>
      </c>
      <c r="CZ51" s="89" t="s">
        <v>190</v>
      </c>
      <c r="DA51" s="87" t="s">
        <v>239</v>
      </c>
      <c r="DB51" s="88" t="s">
        <v>188</v>
      </c>
      <c r="DC51" s="88" t="s">
        <v>4</v>
      </c>
      <c r="DD51" s="89" t="s">
        <v>190</v>
      </c>
      <c r="DE51" s="87" t="s">
        <v>239</v>
      </c>
      <c r="DF51" s="88" t="s">
        <v>188</v>
      </c>
      <c r="DG51" s="88" t="s">
        <v>4</v>
      </c>
      <c r="DH51" s="89" t="s">
        <v>190</v>
      </c>
      <c r="DI51" s="87" t="s">
        <v>239</v>
      </c>
      <c r="DJ51" s="88" t="s">
        <v>188</v>
      </c>
      <c r="DK51" s="88" t="s">
        <v>4</v>
      </c>
      <c r="DL51" s="89" t="s">
        <v>190</v>
      </c>
      <c r="DM51" s="87" t="s">
        <v>239</v>
      </c>
      <c r="DN51" s="88" t="s">
        <v>188</v>
      </c>
      <c r="DO51" s="88" t="s">
        <v>4</v>
      </c>
      <c r="DP51" s="89" t="s">
        <v>190</v>
      </c>
      <c r="DQ51" s="67"/>
      <c r="DR51" s="87" t="s">
        <v>239</v>
      </c>
      <c r="DS51" s="88" t="s">
        <v>188</v>
      </c>
      <c r="DT51" s="88" t="s">
        <v>4</v>
      </c>
      <c r="DU51" s="89" t="s">
        <v>190</v>
      </c>
      <c r="DV51" s="87" t="s">
        <v>239</v>
      </c>
      <c r="DW51" s="88" t="s">
        <v>188</v>
      </c>
      <c r="DX51" s="88" t="s">
        <v>4</v>
      </c>
      <c r="DY51" s="89" t="s">
        <v>190</v>
      </c>
      <c r="DZ51" s="87" t="s">
        <v>239</v>
      </c>
      <c r="EA51" s="88" t="s">
        <v>188</v>
      </c>
      <c r="EB51" s="88" t="s">
        <v>4</v>
      </c>
      <c r="EC51" s="89" t="s">
        <v>190</v>
      </c>
      <c r="ED51" s="87" t="s">
        <v>239</v>
      </c>
      <c r="EE51" s="88" t="s">
        <v>188</v>
      </c>
      <c r="EF51" s="88" t="s">
        <v>4</v>
      </c>
      <c r="EG51" s="89" t="s">
        <v>190</v>
      </c>
      <c r="EH51" s="87" t="s">
        <v>239</v>
      </c>
      <c r="EI51" s="88" t="s">
        <v>188</v>
      </c>
      <c r="EJ51" s="88" t="s">
        <v>4</v>
      </c>
      <c r="EK51" s="89" t="s">
        <v>190</v>
      </c>
      <c r="EL51" s="87" t="s">
        <v>239</v>
      </c>
      <c r="EM51" s="88" t="s">
        <v>188</v>
      </c>
      <c r="EN51" s="88" t="s">
        <v>4</v>
      </c>
      <c r="EO51" s="89" t="s">
        <v>190</v>
      </c>
      <c r="EP51" s="67"/>
      <c r="EQ51" s="87" t="s">
        <v>239</v>
      </c>
      <c r="ER51" s="88" t="s">
        <v>188</v>
      </c>
      <c r="ES51" s="88" t="s">
        <v>4</v>
      </c>
      <c r="ET51" s="89" t="s">
        <v>190</v>
      </c>
      <c r="EU51" s="87" t="s">
        <v>239</v>
      </c>
      <c r="EV51" s="88" t="s">
        <v>188</v>
      </c>
      <c r="EW51" s="88" t="s">
        <v>4</v>
      </c>
      <c r="EX51" s="89" t="s">
        <v>190</v>
      </c>
      <c r="EY51" s="87" t="s">
        <v>239</v>
      </c>
      <c r="EZ51" s="88" t="s">
        <v>188</v>
      </c>
      <c r="FA51" s="88" t="s">
        <v>4</v>
      </c>
      <c r="FB51" s="89" t="s">
        <v>190</v>
      </c>
      <c r="FC51" s="87" t="s">
        <v>239</v>
      </c>
      <c r="FD51" s="88" t="s">
        <v>188</v>
      </c>
      <c r="FE51" s="88" t="s">
        <v>4</v>
      </c>
      <c r="FF51" s="89" t="s">
        <v>190</v>
      </c>
      <c r="FG51" s="87" t="s">
        <v>239</v>
      </c>
      <c r="FH51" s="88" t="s">
        <v>188</v>
      </c>
      <c r="FI51" s="88" t="s">
        <v>4</v>
      </c>
      <c r="FJ51" s="89" t="s">
        <v>190</v>
      </c>
      <c r="FK51" s="87" t="s">
        <v>239</v>
      </c>
      <c r="FL51" s="88" t="s">
        <v>188</v>
      </c>
      <c r="FM51" s="88" t="s">
        <v>4</v>
      </c>
      <c r="FN51" s="89" t="s">
        <v>190</v>
      </c>
      <c r="FO51" s="67"/>
      <c r="FP51" s="87" t="s">
        <v>239</v>
      </c>
      <c r="FQ51" s="88" t="s">
        <v>188</v>
      </c>
      <c r="FR51" s="88" t="s">
        <v>4</v>
      </c>
      <c r="FS51" s="89" t="s">
        <v>190</v>
      </c>
      <c r="FT51" s="87" t="s">
        <v>239</v>
      </c>
      <c r="FU51" s="88" t="s">
        <v>188</v>
      </c>
      <c r="FV51" s="88" t="s">
        <v>4</v>
      </c>
      <c r="FW51" s="89" t="s">
        <v>190</v>
      </c>
      <c r="FX51" s="87" t="s">
        <v>239</v>
      </c>
      <c r="FY51" s="88" t="s">
        <v>188</v>
      </c>
      <c r="FZ51" s="88" t="s">
        <v>4</v>
      </c>
      <c r="GA51" s="89" t="s">
        <v>190</v>
      </c>
      <c r="GB51" s="87" t="s">
        <v>239</v>
      </c>
      <c r="GC51" s="88" t="s">
        <v>188</v>
      </c>
      <c r="GD51" s="88" t="s">
        <v>4</v>
      </c>
      <c r="GE51" s="89" t="s">
        <v>190</v>
      </c>
      <c r="GF51" s="87" t="s">
        <v>239</v>
      </c>
      <c r="GG51" s="88" t="s">
        <v>188</v>
      </c>
      <c r="GH51" s="88" t="s">
        <v>4</v>
      </c>
      <c r="GI51" s="89" t="s">
        <v>190</v>
      </c>
      <c r="GJ51" s="87" t="s">
        <v>239</v>
      </c>
      <c r="GK51" s="88" t="s">
        <v>188</v>
      </c>
      <c r="GL51" s="88" t="s">
        <v>4</v>
      </c>
      <c r="GM51" s="89" t="s">
        <v>190</v>
      </c>
      <c r="GN51" s="67"/>
      <c r="GO51" s="87" t="s">
        <v>239</v>
      </c>
      <c r="GP51" s="88" t="s">
        <v>188</v>
      </c>
      <c r="GQ51" s="88" t="s">
        <v>4</v>
      </c>
      <c r="GR51" s="89" t="s">
        <v>190</v>
      </c>
      <c r="GS51" s="87" t="s">
        <v>239</v>
      </c>
      <c r="GT51" s="88" t="s">
        <v>188</v>
      </c>
      <c r="GU51" s="88" t="s">
        <v>4</v>
      </c>
      <c r="GV51" s="89" t="s">
        <v>190</v>
      </c>
      <c r="GW51" s="87" t="s">
        <v>239</v>
      </c>
      <c r="GX51" s="88" t="s">
        <v>188</v>
      </c>
      <c r="GY51" s="88" t="s">
        <v>4</v>
      </c>
      <c r="GZ51" s="89" t="s">
        <v>190</v>
      </c>
      <c r="HA51" s="87" t="s">
        <v>239</v>
      </c>
      <c r="HB51" s="88" t="s">
        <v>188</v>
      </c>
      <c r="HC51" s="88" t="s">
        <v>4</v>
      </c>
      <c r="HD51" s="89" t="s">
        <v>190</v>
      </c>
      <c r="HE51" s="87" t="s">
        <v>239</v>
      </c>
      <c r="HF51" s="88" t="s">
        <v>188</v>
      </c>
      <c r="HG51" s="88" t="s">
        <v>4</v>
      </c>
      <c r="HH51" s="89" t="s">
        <v>190</v>
      </c>
      <c r="HI51" s="87" t="s">
        <v>239</v>
      </c>
      <c r="HJ51" s="88" t="s">
        <v>188</v>
      </c>
      <c r="HK51" s="88" t="s">
        <v>4</v>
      </c>
      <c r="HL51" s="89" t="s">
        <v>190</v>
      </c>
      <c r="HM51" s="67"/>
      <c r="HN51" s="87" t="s">
        <v>239</v>
      </c>
      <c r="HO51" s="88" t="s">
        <v>188</v>
      </c>
      <c r="HP51" s="88" t="s">
        <v>4</v>
      </c>
      <c r="HQ51" s="89" t="s">
        <v>190</v>
      </c>
      <c r="HR51" s="87" t="s">
        <v>239</v>
      </c>
      <c r="HS51" s="88" t="s">
        <v>188</v>
      </c>
      <c r="HT51" s="88" t="s">
        <v>4</v>
      </c>
      <c r="HU51" s="89" t="s">
        <v>190</v>
      </c>
      <c r="HV51" s="87" t="s">
        <v>239</v>
      </c>
      <c r="HW51" s="88" t="s">
        <v>188</v>
      </c>
      <c r="HX51" s="88" t="s">
        <v>4</v>
      </c>
      <c r="HY51" s="89" t="s">
        <v>190</v>
      </c>
      <c r="HZ51" s="87" t="s">
        <v>239</v>
      </c>
      <c r="IA51" s="88" t="s">
        <v>188</v>
      </c>
      <c r="IB51" s="88" t="s">
        <v>4</v>
      </c>
      <c r="IC51" s="89" t="s">
        <v>190</v>
      </c>
      <c r="ID51" s="87" t="s">
        <v>239</v>
      </c>
      <c r="IE51" s="88" t="s">
        <v>188</v>
      </c>
      <c r="IF51" s="88" t="s">
        <v>4</v>
      </c>
      <c r="IG51" s="89" t="s">
        <v>190</v>
      </c>
      <c r="IH51" s="87" t="s">
        <v>239</v>
      </c>
      <c r="II51" s="88" t="s">
        <v>188</v>
      </c>
      <c r="IJ51" s="88" t="s">
        <v>4</v>
      </c>
      <c r="IK51" s="89" t="s">
        <v>190</v>
      </c>
      <c r="IL51" s="67"/>
      <c r="IM51" s="87" t="s">
        <v>239</v>
      </c>
      <c r="IN51" s="88" t="s">
        <v>188</v>
      </c>
      <c r="IO51" s="88" t="s">
        <v>4</v>
      </c>
      <c r="IP51" s="89" t="s">
        <v>190</v>
      </c>
      <c r="IQ51" s="87" t="s">
        <v>239</v>
      </c>
      <c r="IR51" s="88" t="s">
        <v>188</v>
      </c>
      <c r="IS51" s="88" t="s">
        <v>4</v>
      </c>
      <c r="IT51" s="89" t="s">
        <v>190</v>
      </c>
      <c r="IU51" s="87" t="s">
        <v>239</v>
      </c>
      <c r="IV51" s="88" t="s">
        <v>188</v>
      </c>
      <c r="IW51" s="88" t="s">
        <v>4</v>
      </c>
      <c r="IX51" s="89" t="s">
        <v>190</v>
      </c>
      <c r="IY51" s="87" t="s">
        <v>239</v>
      </c>
      <c r="IZ51" s="88" t="s">
        <v>188</v>
      </c>
      <c r="JA51" s="88" t="s">
        <v>4</v>
      </c>
      <c r="JB51" s="89" t="s">
        <v>190</v>
      </c>
      <c r="JC51" s="87" t="s">
        <v>239</v>
      </c>
      <c r="JD51" s="88" t="s">
        <v>188</v>
      </c>
      <c r="JE51" s="88" t="s">
        <v>4</v>
      </c>
      <c r="JF51" s="89" t="s">
        <v>190</v>
      </c>
      <c r="JG51" s="87" t="s">
        <v>239</v>
      </c>
      <c r="JH51" s="88" t="s">
        <v>188</v>
      </c>
      <c r="JI51" s="88" t="s">
        <v>4</v>
      </c>
      <c r="JJ51" s="89" t="s">
        <v>190</v>
      </c>
      <c r="JK51" s="67"/>
      <c r="JL51" s="87" t="s">
        <v>239</v>
      </c>
      <c r="JM51" s="88" t="s">
        <v>188</v>
      </c>
      <c r="JN51" s="88" t="s">
        <v>4</v>
      </c>
      <c r="JO51" s="89" t="s">
        <v>190</v>
      </c>
      <c r="JP51" s="87" t="s">
        <v>239</v>
      </c>
      <c r="JQ51" s="88" t="s">
        <v>188</v>
      </c>
      <c r="JR51" s="88" t="s">
        <v>4</v>
      </c>
      <c r="JS51" s="89" t="s">
        <v>190</v>
      </c>
      <c r="JT51" s="87" t="s">
        <v>239</v>
      </c>
      <c r="JU51" s="88" t="s">
        <v>188</v>
      </c>
      <c r="JV51" s="88" t="s">
        <v>4</v>
      </c>
      <c r="JW51" s="89" t="s">
        <v>190</v>
      </c>
      <c r="JX51" s="87" t="s">
        <v>239</v>
      </c>
      <c r="JY51" s="88" t="s">
        <v>188</v>
      </c>
      <c r="JZ51" s="88" t="s">
        <v>4</v>
      </c>
      <c r="KA51" s="89" t="s">
        <v>190</v>
      </c>
      <c r="KB51" s="87" t="s">
        <v>239</v>
      </c>
      <c r="KC51" s="88" t="s">
        <v>188</v>
      </c>
      <c r="KD51" s="88" t="s">
        <v>4</v>
      </c>
      <c r="KE51" s="89" t="s">
        <v>190</v>
      </c>
      <c r="KF51" s="87" t="s">
        <v>239</v>
      </c>
      <c r="KG51" s="88" t="s">
        <v>188</v>
      </c>
      <c r="KH51" s="88" t="s">
        <v>4</v>
      </c>
      <c r="KI51" s="89" t="s">
        <v>190</v>
      </c>
      <c r="KJ51" s="67"/>
      <c r="KK51" s="67"/>
      <c r="KL51" s="67"/>
      <c r="KM51" s="67"/>
      <c r="KN51" s="67"/>
      <c r="KO51" s="67"/>
      <c r="KP51" s="67"/>
      <c r="KQ51" s="67"/>
      <c r="KR51" s="67"/>
      <c r="KS51" s="67"/>
      <c r="KT51" s="67"/>
      <c r="KU51" s="67"/>
      <c r="KV51" s="67"/>
      <c r="KW51" s="67"/>
      <c r="KX51" s="67"/>
      <c r="KY51" s="67"/>
      <c r="KZ51" s="67"/>
      <c r="LA51" s="67"/>
      <c r="LB51" s="67"/>
      <c r="LC51" s="67"/>
    </row>
    <row r="52" ht="15.75" customHeight="1">
      <c r="A52" s="42"/>
      <c r="B52" s="68" t="s">
        <v>241</v>
      </c>
      <c r="C52" s="69"/>
      <c r="D52" s="70"/>
      <c r="E52" s="71"/>
      <c r="F52" s="32"/>
      <c r="G52" s="72" t="str">
        <f t="array" ref="G52">IFERROR(IF(XLOOKUP(CONCAT(E52,F52),'MASTER PLAN'!$AB:$AB,'MASTER PLAN'!$J:$J,0,0)=0,"",XLOOKUP(CONCAT(E52,F52),'MASTER PLAN'!$AB:$AB,'MASTER PLAN'!$J:$J,0,0)),"")</f>
        <v/>
      </c>
      <c r="H52" s="73" t="str">
        <f t="array" ref="H52">IFERROR(IF(XLOOKUP(CONCAT(E52,F52),'PROCESOS PRD'!$J:$J,'PROCESOS PRD'!$H:$H,0,0)=0,"",XLOOKUP(CONCAT(E52,F52),'PROCESOS PRD'!$J:$J,'PROCESOS PRD'!$H:$H,0,0)),"")</f>
        <v/>
      </c>
      <c r="I52" s="71"/>
      <c r="J52" s="32"/>
      <c r="K52" s="72" t="str">
        <f t="array" ref="K52">IFERROR(IF(XLOOKUP(CONCAT(I52,J52),'MASTER PLAN'!$AB:$AB,'MASTER PLAN'!$J:$J,0,0)=0,"",XLOOKUP(CONCAT(I52,J52),'MASTER PLAN'!$AB:$AB,'MASTER PLAN'!$J:$J,0,0)),"")</f>
        <v/>
      </c>
      <c r="L52" s="73" t="str">
        <f t="array" ref="L52">IFERROR(IF(XLOOKUP(CONCAT(I52,J52),'PROCESOS PRD'!$J:$J,'PROCESOS PRD'!$H:$H,0,0)=0,"",XLOOKUP(CONCAT(I52,J52),'PROCESOS PRD'!$J:$J,'PROCESOS PRD'!$H:$H,0,0)),"")</f>
        <v/>
      </c>
      <c r="M52" s="71"/>
      <c r="N52" s="32"/>
      <c r="O52" s="72" t="str">
        <f t="array" ref="O52">IFERROR(IF(XLOOKUP(CONCAT(M52,N52),'MASTER PLAN'!$AB:$AB,'MASTER PLAN'!$J:$J,0,0)=0,"",XLOOKUP(CONCAT(M52,N52),'MASTER PLAN'!$AB:$AB,'MASTER PLAN'!$J:$J,0,0)),"")</f>
        <v/>
      </c>
      <c r="P52" s="73" t="str">
        <f t="array" ref="P52">IFERROR(IF(XLOOKUP(CONCAT(M52,N52),'PROCESOS PRD'!$J:$J,'PROCESOS PRD'!$H:$H,0,0)=0,"",XLOOKUP(CONCAT(M52,N52),'PROCESOS PRD'!$J:$J,'PROCESOS PRD'!$H:$H,0,0)),"")</f>
        <v/>
      </c>
      <c r="Q52" s="71"/>
      <c r="R52" s="32"/>
      <c r="S52" s="72" t="str">
        <f t="array" ref="S52">IFERROR(IF(XLOOKUP(CONCAT(Q52,R52),'MASTER PLAN'!$AB:$AB,'MASTER PLAN'!$J:$J,0,0)=0,"",XLOOKUP(CONCAT(Q52,R52),'MASTER PLAN'!$AB:$AB,'MASTER PLAN'!$J:$J,0,0)),"")</f>
        <v/>
      </c>
      <c r="T52" s="73" t="str">
        <f t="array" ref="T52">IFERROR(IF(XLOOKUP(CONCAT(Q52,R52),'PROCESOS PRD'!$J:$J,'PROCESOS PRD'!$H:$H,0,0)=0,"",XLOOKUP(CONCAT(Q52,R52),'PROCESOS PRD'!$J:$J,'PROCESOS PRD'!$H:$H,0,0)),"")</f>
        <v/>
      </c>
      <c r="U52" s="70"/>
      <c r="V52" s="71"/>
      <c r="W52" s="32"/>
      <c r="X52" s="72" t="str">
        <f t="array" ref="X52">IFERROR(IF(XLOOKUP(CONCAT(V52,W52),'MASTER PLAN'!$AB:$AB,'MASTER PLAN'!$J:$J,0,0)=0,"",XLOOKUP(CONCAT(V52,W52),'MASTER PLAN'!$AB:$AB,'MASTER PLAN'!$J:$J,0,0)),"")</f>
        <v/>
      </c>
      <c r="Y52" s="73" t="str">
        <f t="array" ref="Y52">IFERROR(IF(XLOOKUP(CONCAT(V52,W52),'PROCESOS PRD'!$J:$J,'PROCESOS PRD'!$H:$H,0,0)=0,"",XLOOKUP(CONCAT(V52,W52),'PROCESOS PRD'!$J:$J,'PROCESOS PRD'!$H:$H,0,0)),"")</f>
        <v/>
      </c>
      <c r="Z52" s="71"/>
      <c r="AA52" s="32"/>
      <c r="AB52" s="72" t="str">
        <f t="array" ref="AB52">IFERROR(IF(XLOOKUP(CONCAT(Z52,AA52),'MASTER PLAN'!$AB:$AB,'MASTER PLAN'!$J:$J,0,0)=0,"",XLOOKUP(CONCAT(Z52,AA52),'MASTER PLAN'!$AB:$AB,'MASTER PLAN'!$J:$J,0,0)),"")</f>
        <v/>
      </c>
      <c r="AC52" s="73" t="str">
        <f t="array" ref="AC52">IFERROR(IF(XLOOKUP(CONCAT(Z52,AA52),'PROCESOS PRD'!$J:$J,'PROCESOS PRD'!$H:$H,0,0)=0,"",XLOOKUP(CONCAT(Z52,AA52),'PROCESOS PRD'!$J:$J,'PROCESOS PRD'!$H:$H,0,0)),"")</f>
        <v/>
      </c>
      <c r="AD52" s="71"/>
      <c r="AE52" s="32"/>
      <c r="AF52" s="72" t="str">
        <f t="array" ref="AF52">IFERROR(IF(XLOOKUP(CONCAT(AD52,AE52),'MASTER PLAN'!$AB:$AB,'MASTER PLAN'!$J:$J,0,0)=0,"",XLOOKUP(CONCAT(AD52,AE52),'MASTER PLAN'!$AB:$AB,'MASTER PLAN'!$J:$J,0,0)),"")</f>
        <v/>
      </c>
      <c r="AG52" s="73" t="str">
        <f t="array" ref="AG52">IFERROR(IF(XLOOKUP(CONCAT(AD52,AE52),'PROCESOS PRD'!$J:$J,'PROCESOS PRD'!$H:$H,0,0)=0,"",XLOOKUP(CONCAT(AD52,AE52),'PROCESOS PRD'!$J:$J,'PROCESOS PRD'!$H:$H,0,0)),"")</f>
        <v/>
      </c>
      <c r="AH52" s="71"/>
      <c r="AI52" s="32"/>
      <c r="AJ52" s="72" t="str">
        <f t="array" ref="AJ52">IFERROR(IF(XLOOKUP(CONCAT(AH52,AI52),'MASTER PLAN'!$AB:$AB,'MASTER PLAN'!$J:$J,0,0)=0,"",XLOOKUP(CONCAT(AH52,AI52),'MASTER PLAN'!$AB:$AB,'MASTER PLAN'!$J:$J,0,0)),"")</f>
        <v/>
      </c>
      <c r="AK52" s="73" t="str">
        <f t="array" ref="AK52">IFERROR(IF(XLOOKUP(CONCAT(AH52,AI52),'PROCESOS PRD'!$J:$J,'PROCESOS PRD'!$H:$H,0,0)=0,"",XLOOKUP(CONCAT(AH52,AI52),'PROCESOS PRD'!$J:$J,'PROCESOS PRD'!$H:$H,0,0)),"")</f>
        <v/>
      </c>
      <c r="AL52" s="71"/>
      <c r="AM52" s="32"/>
      <c r="AN52" s="72" t="str">
        <f t="array" ref="AN52">IFERROR(IF(XLOOKUP(CONCAT(AL52,AM52),'MASTER PLAN'!$AB:$AB,'MASTER PLAN'!$J:$J,0,0)=0,"",XLOOKUP(CONCAT(AL52,AM52),'MASTER PLAN'!$AB:$AB,'MASTER PLAN'!$J:$J,0,0)),"")</f>
        <v/>
      </c>
      <c r="AO52" s="73" t="str">
        <f t="array" ref="AO52">IFERROR(IF(XLOOKUP(CONCAT(AL52,AM52),'PROCESOS PRD'!$J:$J,'PROCESOS PRD'!$H:$H,0,0)=0,"",XLOOKUP(CONCAT(AL52,AM52),'PROCESOS PRD'!$J:$J,'PROCESOS PRD'!$H:$H,0,0)),"")</f>
        <v/>
      </c>
      <c r="AP52" s="71"/>
      <c r="AQ52" s="32"/>
      <c r="AR52" s="72" t="str">
        <f t="array" ref="AR52">IFERROR(IF(XLOOKUP(CONCAT(AP52,AQ52),'MASTER PLAN'!$AB:$AB,'MASTER PLAN'!$J:$J,0,0)=0,"",XLOOKUP(CONCAT(AP52,AQ52),'MASTER PLAN'!$AB:$AB,'MASTER PLAN'!$J:$J,0,0)),"")</f>
        <v/>
      </c>
      <c r="AS52" s="73" t="str">
        <f t="array" ref="AS52">IFERROR(IF(XLOOKUP(CONCAT(AP52,AQ52),'PROCESOS PRD'!$J:$J,'PROCESOS PRD'!$H:$H,0,0)=0,"",XLOOKUP(CONCAT(AP52,AQ52),'PROCESOS PRD'!$J:$J,'PROCESOS PRD'!$H:$H,0,0)),"")</f>
        <v/>
      </c>
      <c r="AT52" s="70"/>
      <c r="AU52" s="71"/>
      <c r="AV52" s="32"/>
      <c r="AW52" s="72" t="str">
        <f t="array" ref="AW52">IFERROR(IF(XLOOKUP(CONCAT(AU52,AV52),'MASTER PLAN'!$AB:$AB,'MASTER PLAN'!$J:$J,0,0)=0,"",XLOOKUP(CONCAT(AU52,AV52),'MASTER PLAN'!$AB:$AB,'MASTER PLAN'!$J:$J,0,0)),"")</f>
        <v/>
      </c>
      <c r="AX52" s="73" t="str">
        <f t="array" ref="AX52">IFERROR(IF(XLOOKUP(CONCAT(AU52,AV52),'PROCESOS PRD'!$J:$J,'PROCESOS PRD'!$H:$H,0,0)=0,"",XLOOKUP(CONCAT(AU52,AV52),'PROCESOS PRD'!$J:$J,'PROCESOS PRD'!$H:$H,0,0)),"")</f>
        <v/>
      </c>
      <c r="AY52" s="71"/>
      <c r="AZ52" s="32"/>
      <c r="BA52" s="72" t="str">
        <f t="array" ref="BA52">IFERROR(IF(XLOOKUP(CONCAT(AY52,AZ52),'MASTER PLAN'!$AB:$AB,'MASTER PLAN'!$J:$J,0,0)=0,"",XLOOKUP(CONCAT(AY52,AZ52),'MASTER PLAN'!$AB:$AB,'MASTER PLAN'!$J:$J,0,0)),"")</f>
        <v/>
      </c>
      <c r="BB52" s="73" t="str">
        <f t="array" ref="BB52">IFERROR(IF(XLOOKUP(CONCAT(AY52,AZ52),'PROCESOS PRD'!$J:$J,'PROCESOS PRD'!$H:$H,0,0)=0,"",XLOOKUP(CONCAT(AY52,AZ52),'PROCESOS PRD'!$J:$J,'PROCESOS PRD'!$H:$H,0,0)),"")</f>
        <v/>
      </c>
      <c r="BC52" s="71"/>
      <c r="BD52" s="32"/>
      <c r="BE52" s="72" t="str">
        <f t="array" ref="BE52">IFERROR(IF(XLOOKUP(CONCAT(BC52,BD52),'MASTER PLAN'!$AB:$AB,'MASTER PLAN'!$J:$J,0,0)=0,"",XLOOKUP(CONCAT(BC52,BD52),'MASTER PLAN'!$AB:$AB,'MASTER PLAN'!$J:$J,0,0)),"")</f>
        <v/>
      </c>
      <c r="BF52" s="73" t="str">
        <f t="array" ref="BF52">IFERROR(IF(XLOOKUP(CONCAT(BC52,BD52),'PROCESOS PRD'!$J:$J,'PROCESOS PRD'!$H:$H,0,0)=0,"",XLOOKUP(CONCAT(BC52,BD52),'PROCESOS PRD'!$J:$J,'PROCESOS PRD'!$H:$H,0,0)),"")</f>
        <v/>
      </c>
      <c r="BG52" s="71"/>
      <c r="BH52" s="32"/>
      <c r="BI52" s="72" t="str">
        <f t="array" ref="BI52">IFERROR(IF(XLOOKUP(CONCAT(BG52,BH52),'MASTER PLAN'!$AB:$AB,'MASTER PLAN'!$J:$J,0,0)=0,"",XLOOKUP(CONCAT(BG52,BH52),'MASTER PLAN'!$AB:$AB,'MASTER PLAN'!$J:$J,0,0)),"")</f>
        <v/>
      </c>
      <c r="BJ52" s="73" t="str">
        <f t="array" ref="BJ52">IFERROR(IF(XLOOKUP(CONCAT(BG52,BH52),'PROCESOS PRD'!$J:$J,'PROCESOS PRD'!$H:$H,0,0)=0,"",XLOOKUP(CONCAT(BG52,BH52),'PROCESOS PRD'!$J:$J,'PROCESOS PRD'!$H:$H,0,0)),"")</f>
        <v/>
      </c>
      <c r="BK52" s="71"/>
      <c r="BL52" s="32"/>
      <c r="BM52" s="72" t="str">
        <f t="array" ref="BM52">IFERROR(IF(XLOOKUP(CONCAT(BK52,BL52),'MASTER PLAN'!$AB:$AB,'MASTER PLAN'!$J:$J,0,0)=0,"",XLOOKUP(CONCAT(BK52,BL52),'MASTER PLAN'!$AB:$AB,'MASTER PLAN'!$J:$J,0,0)),"")</f>
        <v/>
      </c>
      <c r="BN52" s="73" t="str">
        <f t="array" ref="BN52">IFERROR(IF(XLOOKUP(CONCAT(BK52,BL52),'PROCESOS PRD'!$J:$J,'PROCESOS PRD'!$H:$H,0,0)=0,"",XLOOKUP(CONCAT(BK52,BL52),'PROCESOS PRD'!$J:$J,'PROCESOS PRD'!$H:$H,0,0)),"")</f>
        <v/>
      </c>
      <c r="BO52" s="71"/>
      <c r="BP52" s="32"/>
      <c r="BQ52" s="72" t="str">
        <f t="array" ref="BQ52">IFERROR(IF(XLOOKUP(CONCAT(BO52,BP52),'MASTER PLAN'!$AB:$AB,'MASTER PLAN'!$J:$J,0,0)=0,"",XLOOKUP(CONCAT(BO52,BP52),'MASTER PLAN'!$AB:$AB,'MASTER PLAN'!$J:$J,0,0)),"")</f>
        <v/>
      </c>
      <c r="BR52" s="73" t="str">
        <f t="array" ref="BR52">IFERROR(IF(XLOOKUP(CONCAT(BO52,BP52),'PROCESOS PRD'!$J:$J,'PROCESOS PRD'!$H:$H,0,0)=0,"",XLOOKUP(CONCAT(BO52,BP52),'PROCESOS PRD'!$J:$J,'PROCESOS PRD'!$H:$H,0,0)),"")</f>
        <v/>
      </c>
      <c r="BS52" s="70"/>
      <c r="BT52" s="71"/>
      <c r="BU52" s="32"/>
      <c r="BV52" s="72" t="str">
        <f t="array" ref="BV52">IFERROR(IF(XLOOKUP(CONCAT(BT52,BU52),'MASTER PLAN'!$AB:$AB,'MASTER PLAN'!$J:$J,0,0)=0,"",XLOOKUP(CONCAT(BT52,BU52),'MASTER PLAN'!$AB:$AB,'MASTER PLAN'!$J:$J,0,0)),"")</f>
        <v/>
      </c>
      <c r="BW52" s="73" t="str">
        <f t="array" ref="BW52">IFERROR(IF(XLOOKUP(CONCAT(BT52,BU52),'PROCESOS PRD'!$J:$J,'PROCESOS PRD'!$H:$H,0,0)=0,"",XLOOKUP(CONCAT(BT52,BU52),'PROCESOS PRD'!$J:$J,'PROCESOS PRD'!$H:$H,0,0)),"")</f>
        <v/>
      </c>
      <c r="BX52" s="71">
        <v>1.402049402E9</v>
      </c>
      <c r="BY52" s="32">
        <v>10.0</v>
      </c>
      <c r="BZ52" s="72" t="str">
        <f t="array" ref="BZ52">IFERROR(IF(XLOOKUP(CONCAT(BX52,BY52),'MASTER PLAN'!$AB:$AB,'MASTER PLAN'!$J:$J,0,0)=0,"",XLOOKUP(CONCAT(BX52,BY52),'MASTER PLAN'!$AB:$AB,'MASTER PLAN'!$J:$J,0,0)),"")</f>
        <v>BOLSA LAWRENCE(GOLD CASTER)10-5"X5X8-25"</v>
      </c>
      <c r="CA52" s="73">
        <f t="array" ref="CA52">IFERROR(IF(XLOOKUP(CONCAT(BX52,BY52),'PROCESOS PRD'!$J:$J,'PROCESOS PRD'!$H:$H,0,0)=0,"",XLOOKUP(CONCAT(BX52,BY52),'PROCESOS PRD'!$J:$J,'PROCESOS PRD'!$H:$H,0,0)),"")</f>
        <v>3600</v>
      </c>
      <c r="CB52" s="71"/>
      <c r="CC52" s="32"/>
      <c r="CD52" s="72" t="str">
        <f t="array" ref="CD52">IFERROR(IF(XLOOKUP(CONCAT(CB52,CC52),'MASTER PLAN'!$AB:$AB,'MASTER PLAN'!$J:$J,0,0)=0,"",XLOOKUP(CONCAT(CB52,CC52),'MASTER PLAN'!$AB:$AB,'MASTER PLAN'!$J:$J,0,0)),"")</f>
        <v/>
      </c>
      <c r="CE52" s="73" t="str">
        <f t="array" ref="CE52">IFERROR(IF(XLOOKUP(CONCAT(CB52,CC52),'PROCESOS PRD'!$J:$J,'PROCESOS PRD'!$H:$H,0,0)=0,"",XLOOKUP(CONCAT(CB52,CC52),'PROCESOS PRD'!$J:$J,'PROCESOS PRD'!$H:$H,0,0)),"")</f>
        <v/>
      </c>
      <c r="CF52" s="71"/>
      <c r="CG52" s="32"/>
      <c r="CH52" s="72" t="str">
        <f t="array" ref="CH52">IFERROR(IF(XLOOKUP(CONCAT(CF52,CG52),'MASTER PLAN'!$AB:$AB,'MASTER PLAN'!$J:$J,0,0)=0,"",XLOOKUP(CONCAT(CF52,CG52),'MASTER PLAN'!$AB:$AB,'MASTER PLAN'!$J:$J,0,0)),"")</f>
        <v/>
      </c>
      <c r="CI52" s="73" t="str">
        <f t="array" ref="CI52">IFERROR(IF(XLOOKUP(CONCAT(CF52,CG52),'PROCESOS PRD'!$J:$J,'PROCESOS PRD'!$H:$H,0,0)=0,"",XLOOKUP(CONCAT(CF52,CG52),'PROCESOS PRD'!$J:$J,'PROCESOS PRD'!$H:$H,0,0)),"")</f>
        <v/>
      </c>
      <c r="CJ52" s="71"/>
      <c r="CK52" s="32"/>
      <c r="CL52" s="72" t="str">
        <f t="array" ref="CL52">IFERROR(IF(XLOOKUP(CONCAT(CJ52,CK52),'MASTER PLAN'!$AB:$AB,'MASTER PLAN'!$J:$J,0,0)=0,"",XLOOKUP(CONCAT(CJ52,CK52),'MASTER PLAN'!$AB:$AB,'MASTER PLAN'!$J:$J,0,0)),"")</f>
        <v/>
      </c>
      <c r="CM52" s="73" t="str">
        <f t="array" ref="CM52">IFERROR(IF(XLOOKUP(CONCAT(CJ52,CK52),'PROCESOS PRD'!$J:$J,'PROCESOS PRD'!$H:$H,0,0)=0,"",XLOOKUP(CONCAT(CJ52,CK52),'PROCESOS PRD'!$J:$J,'PROCESOS PRD'!$H:$H,0,0)),"")</f>
        <v/>
      </c>
      <c r="CN52" s="71"/>
      <c r="CO52" s="32"/>
      <c r="CP52" s="72" t="str">
        <f t="array" ref="CP52">IFERROR(IF(XLOOKUP(CONCAT(CN52,CO52),'MASTER PLAN'!$AB:$AB,'MASTER PLAN'!$J:$J,0,0)=0,"",XLOOKUP(CONCAT(CN52,CO52),'MASTER PLAN'!$AB:$AB,'MASTER PLAN'!$J:$J,0,0)),"")</f>
        <v/>
      </c>
      <c r="CQ52" s="73" t="str">
        <f t="array" ref="CQ52">IFERROR(IF(XLOOKUP(CONCAT(CN52,CO52),'PROCESOS PRD'!$J:$J,'PROCESOS PRD'!$H:$H,0,0)=0,"",XLOOKUP(CONCAT(CN52,CO52),'PROCESOS PRD'!$J:$J,'PROCESOS PRD'!$H:$H,0,0)),"")</f>
        <v/>
      </c>
      <c r="CR52" s="70"/>
      <c r="CS52" s="71"/>
      <c r="CT52" s="32"/>
      <c r="CU52" s="72" t="str">
        <f t="array" ref="CU52">IFERROR(IF(XLOOKUP(CONCAT(CS52,CT52),'MASTER PLAN'!$AB:$AB,'MASTER PLAN'!$J:$J,0,0)=0,"",XLOOKUP(CONCAT(CS52,CT52),'MASTER PLAN'!$AB:$AB,'MASTER PLAN'!$J:$J,0,0)),"")</f>
        <v/>
      </c>
      <c r="CV52" s="73" t="str">
        <f t="array" ref="CV52">IFERROR(IF(XLOOKUP(CONCAT(CS52,CT52),'PROCESOS PRD'!$J:$J,'PROCESOS PRD'!$H:$H,0,0)=0,"",XLOOKUP(CONCAT(CS52,CT52),'PROCESOS PRD'!$J:$J,'PROCESOS PRD'!$H:$H,0,0)),"")</f>
        <v/>
      </c>
      <c r="CW52" s="71">
        <v>1.402049498E9</v>
      </c>
      <c r="CX52" s="32">
        <v>10.0</v>
      </c>
      <c r="CY52" s="72" t="str">
        <f t="array" ref="CY52">IFERROR(IF(XLOOKUP(CONCAT(CW52,CX52),'MASTER PLAN'!$AB:$AB,'MASTER PLAN'!$J:$J,0,0)=0,"",XLOOKUP(CONCAT(CW52,CX52),'MASTER PLAN'!$AB:$AB,'MASTER PLAN'!$J:$J,0,0)),"")</f>
        <v>BOLSA ALBERTS JEWELERS 6-5"X3-5"X6-5"</v>
      </c>
      <c r="CZ52" s="73">
        <f t="array" ref="CZ52">IFERROR(IF(XLOOKUP(CONCAT(CW52,CX52),'PROCESOS PRD'!$J:$J,'PROCESOS PRD'!$H:$H,0,0)=0,"",XLOOKUP(CONCAT(CW52,CX52),'PROCESOS PRD'!$J:$J,'PROCESOS PRD'!$H:$H,0,0)),"")</f>
        <v>8400</v>
      </c>
      <c r="DA52" s="71">
        <v>1.402049507E9</v>
      </c>
      <c r="DB52" s="32">
        <v>20.0</v>
      </c>
      <c r="DC52" s="72" t="str">
        <f t="array" ref="DC52">IFERROR(IF(XLOOKUP(CONCAT(DA52,DB52),'MASTER PLAN'!$AB:$AB,'MASTER PLAN'!$J:$J,0,0)=0,"",XLOOKUP(CONCAT(DA52,DB52),'MASTER PLAN'!$AB:$AB,'MASTER PLAN'!$J:$J,0,0)),"")</f>
        <v>BOLSA PEARL FACTORY 159X90X210MM</v>
      </c>
      <c r="DD52" s="73">
        <f t="array" ref="DD52">IFERROR(IF(XLOOKUP(CONCAT(DA52,DB52),'PROCESOS PRD'!$J:$J,'PROCESOS PRD'!$H:$H,0,0)=0,"",XLOOKUP(CONCAT(DA52,DB52),'PROCESOS PRD'!$J:$J,'PROCESOS PRD'!$H:$H,0,0)),"")</f>
        <v>12000</v>
      </c>
      <c r="DE52" s="71">
        <v>1.402049437E9</v>
      </c>
      <c r="DF52" s="32">
        <v>10.0</v>
      </c>
      <c r="DG52" s="72" t="str">
        <f t="array" ref="DG52">IFERROR(IF(XLOOKUP(CONCAT(DE52,DF52),'MASTER PLAN'!$AB:$AB,'MASTER PLAN'!$J:$J,0,0)=0,"",XLOOKUP(CONCAT(DE52,DF52),'MASTER PLAN'!$AB:$AB,'MASTER PLAN'!$J:$J,0,0)),"")</f>
        <v>BOLSA FINKS JWLS 10X5X10"</v>
      </c>
      <c r="DH52" s="73">
        <f t="array" ref="DH52">IFERROR(IF(XLOOKUP(CONCAT(DE52,DF52),'PROCESOS PRD'!$J:$J,'PROCESOS PRD'!$H:$H,0,0)=0,"",XLOOKUP(CONCAT(DE52,DF52),'PROCESOS PRD'!$J:$J,'PROCESOS PRD'!$H:$H,0,0)),"")</f>
        <v>3600</v>
      </c>
      <c r="DI52" s="71"/>
      <c r="DJ52" s="32"/>
      <c r="DK52" s="72" t="str">
        <f t="array" ref="DK52">IFERROR(IF(XLOOKUP(CONCAT(DI52,DJ52),'MASTER PLAN'!$AB:$AB,'MASTER PLAN'!$J:$J,0,0)=0,"",XLOOKUP(CONCAT(DI52,DJ52),'MASTER PLAN'!$AB:$AB,'MASTER PLAN'!$J:$J,0,0)),"")</f>
        <v/>
      </c>
      <c r="DL52" s="73" t="str">
        <f t="array" ref="DL52">IFERROR(IF(XLOOKUP(CONCAT(DI52,DJ52),'PROCESOS PRD'!$J:$J,'PROCESOS PRD'!$H:$H,0,0)=0,"",XLOOKUP(CONCAT(DI52,DJ52),'PROCESOS PRD'!$J:$J,'PROCESOS PRD'!$H:$H,0,0)),"")</f>
        <v/>
      </c>
      <c r="DM52" s="71"/>
      <c r="DN52" s="32"/>
      <c r="DO52" s="72" t="str">
        <f t="array" ref="DO52">IFERROR(IF(XLOOKUP(CONCAT(DM52,DN52),'MASTER PLAN'!$AB:$AB,'MASTER PLAN'!$J:$J,0,0)=0,"",XLOOKUP(CONCAT(DM52,DN52),'MASTER PLAN'!$AB:$AB,'MASTER PLAN'!$J:$J,0,0)),"")</f>
        <v/>
      </c>
      <c r="DP52" s="73" t="str">
        <f t="array" ref="DP52">IFERROR(IF(XLOOKUP(CONCAT(DM52,DN52),'PROCESOS PRD'!$J:$J,'PROCESOS PRD'!$H:$H,0,0)=0,"",XLOOKUP(CONCAT(DM52,DN52),'PROCESOS PRD'!$J:$J,'PROCESOS PRD'!$H:$H,0,0)),"")</f>
        <v/>
      </c>
      <c r="DQ52" s="70"/>
      <c r="DR52" s="71"/>
      <c r="DS52" s="32"/>
      <c r="DT52" s="72" t="str">
        <f t="array" ref="DT52">IFERROR(IF(XLOOKUP(CONCAT(DR52,DS52),'MASTER PLAN'!$AB:$AB,'MASTER PLAN'!$J:$J,0,0)=0,"",XLOOKUP(CONCAT(DR52,DS52),'MASTER PLAN'!$AB:$AB,'MASTER PLAN'!$J:$J,0,0)),"")</f>
        <v/>
      </c>
      <c r="DU52" s="73" t="str">
        <f t="array" ref="DU52">IFERROR(IF(XLOOKUP(CONCAT(DR52,DS52),'PROCESOS PRD'!$J:$J,'PROCESOS PRD'!$H:$H,0,0)=0,"",XLOOKUP(CONCAT(DR52,DS52),'PROCESOS PRD'!$J:$J,'PROCESOS PRD'!$H:$H,0,0)),"")</f>
        <v/>
      </c>
      <c r="DV52" s="71"/>
      <c r="DW52" s="32"/>
      <c r="DX52" s="72" t="str">
        <f t="array" ref="DX52">IFERROR(IF(XLOOKUP(CONCAT(DV52,DW52),'MASTER PLAN'!$AB:$AB,'MASTER PLAN'!$J:$J,0,0)=0,"",XLOOKUP(CONCAT(DV52,DW52),'MASTER PLAN'!$AB:$AB,'MASTER PLAN'!$J:$J,0,0)),"")</f>
        <v/>
      </c>
      <c r="DY52" s="73" t="str">
        <f t="array" ref="DY52">IFERROR(IF(XLOOKUP(CONCAT(DV52,DW52),'PROCESOS PRD'!$J:$J,'PROCESOS PRD'!$H:$H,0,0)=0,"",XLOOKUP(CONCAT(DV52,DW52),'PROCESOS PRD'!$J:$J,'PROCESOS PRD'!$H:$H,0,0)),"")</f>
        <v/>
      </c>
      <c r="DZ52" s="71"/>
      <c r="EA52" s="32"/>
      <c r="EB52" s="72" t="str">
        <f t="array" ref="EB52">IFERROR(IF(XLOOKUP(CONCAT(DZ52,EA52),'MASTER PLAN'!$AB:$AB,'MASTER PLAN'!$J:$J,0,0)=0,"",XLOOKUP(CONCAT(DZ52,EA52),'MASTER PLAN'!$AB:$AB,'MASTER PLAN'!$J:$J,0,0)),"")</f>
        <v/>
      </c>
      <c r="EC52" s="73" t="str">
        <f t="array" ref="EC52">IFERROR(IF(XLOOKUP(CONCAT(DZ52,EA52),'PROCESOS PRD'!$J:$J,'PROCESOS PRD'!$H:$H,0,0)=0,"",XLOOKUP(CONCAT(DZ52,EA52),'PROCESOS PRD'!$J:$J,'PROCESOS PRD'!$H:$H,0,0)),"")</f>
        <v/>
      </c>
      <c r="ED52" s="71"/>
      <c r="EE52" s="32"/>
      <c r="EF52" s="72" t="str">
        <f t="array" ref="EF52">IFERROR(IF(XLOOKUP(CONCAT(ED52,EE52),'MASTER PLAN'!$AB:$AB,'MASTER PLAN'!$J:$J,0,0)=0,"",XLOOKUP(CONCAT(ED52,EE52),'MASTER PLAN'!$AB:$AB,'MASTER PLAN'!$J:$J,0,0)),"")</f>
        <v/>
      </c>
      <c r="EG52" s="73" t="str">
        <f t="array" ref="EG52">IFERROR(IF(XLOOKUP(CONCAT(ED52,EE52),'PROCESOS PRD'!$J:$J,'PROCESOS PRD'!$H:$H,0,0)=0,"",XLOOKUP(CONCAT(ED52,EE52),'PROCESOS PRD'!$J:$J,'PROCESOS PRD'!$H:$H,0,0)),"")</f>
        <v/>
      </c>
      <c r="EH52" s="71"/>
      <c r="EI52" s="32"/>
      <c r="EJ52" s="72" t="str">
        <f t="array" ref="EJ52">IFERROR(IF(XLOOKUP(CONCAT(EH52,EI52),'MASTER PLAN'!$AB:$AB,'MASTER PLAN'!$J:$J,0,0)=0,"",XLOOKUP(CONCAT(EH52,EI52),'MASTER PLAN'!$AB:$AB,'MASTER PLAN'!$J:$J,0,0)),"")</f>
        <v/>
      </c>
      <c r="EK52" s="73" t="str">
        <f t="array" ref="EK52">IFERROR(IF(XLOOKUP(CONCAT(EH52,EI52),'PROCESOS PRD'!$J:$J,'PROCESOS PRD'!$H:$H,0,0)=0,"",XLOOKUP(CONCAT(EH52,EI52),'PROCESOS PRD'!$J:$J,'PROCESOS PRD'!$H:$H,0,0)),"")</f>
        <v/>
      </c>
      <c r="EL52" s="71"/>
      <c r="EM52" s="32"/>
      <c r="EN52" s="72" t="str">
        <f t="array" ref="EN52">IFERROR(IF(XLOOKUP(CONCAT(EL52,EM52),'MASTER PLAN'!$AB:$AB,'MASTER PLAN'!$J:$J,0,0)=0,"",XLOOKUP(CONCAT(EL52,EM52),'MASTER PLAN'!$AB:$AB,'MASTER PLAN'!$J:$J,0,0)),"")</f>
        <v/>
      </c>
      <c r="EO52" s="73" t="str">
        <f t="array" ref="EO52">IFERROR(IF(XLOOKUP(CONCAT(EL52,EM52),'PROCESOS PRD'!$J:$J,'PROCESOS PRD'!$H:$H,0,0)=0,"",XLOOKUP(CONCAT(EL52,EM52),'PROCESOS PRD'!$J:$J,'PROCESOS PRD'!$H:$H,0,0)),"")</f>
        <v/>
      </c>
      <c r="EP52" s="70"/>
      <c r="EQ52" s="71"/>
      <c r="ER52" s="32"/>
      <c r="ES52" s="72" t="str">
        <f t="array" ref="ES52">IFERROR(IF(XLOOKUP(CONCAT(EQ52,ER52),'MASTER PLAN'!$AB:$AB,'MASTER PLAN'!$J:$J,0,0)=0,"",XLOOKUP(CONCAT(EQ52,ER52),'MASTER PLAN'!$AB:$AB,'MASTER PLAN'!$J:$J,0,0)),"")</f>
        <v/>
      </c>
      <c r="ET52" s="73" t="str">
        <f t="array" ref="ET52">IFERROR(IF(XLOOKUP(CONCAT(EQ52,ER52),'PROCESOS PRD'!$J:$J,'PROCESOS PRD'!$H:$H,0,0)=0,"",XLOOKUP(CONCAT(EQ52,ER52),'PROCESOS PRD'!$J:$J,'PROCESOS PRD'!$H:$H,0,0)),"")</f>
        <v/>
      </c>
      <c r="EU52" s="71"/>
      <c r="EV52" s="32"/>
      <c r="EW52" s="72" t="str">
        <f t="array" ref="EW52">IFERROR(IF(XLOOKUP(CONCAT(EU52,EV52),'MASTER PLAN'!$AB:$AB,'MASTER PLAN'!$J:$J,0,0)=0,"",XLOOKUP(CONCAT(EU52,EV52),'MASTER PLAN'!$AB:$AB,'MASTER PLAN'!$J:$J,0,0)),"")</f>
        <v/>
      </c>
      <c r="EX52" s="73" t="str">
        <f t="array" ref="EX52">IFERROR(IF(XLOOKUP(CONCAT(EU52,EV52),'PROCESOS PRD'!$J:$J,'PROCESOS PRD'!$H:$H,0,0)=0,"",XLOOKUP(CONCAT(EU52,EV52),'PROCESOS PRD'!$J:$J,'PROCESOS PRD'!$H:$H,0,0)),"")</f>
        <v/>
      </c>
      <c r="EY52" s="71"/>
      <c r="EZ52" s="32"/>
      <c r="FA52" s="72" t="str">
        <f t="array" ref="FA52">IFERROR(IF(XLOOKUP(CONCAT(EY52,EZ52),'MASTER PLAN'!$AB:$AB,'MASTER PLAN'!$J:$J,0,0)=0,"",XLOOKUP(CONCAT(EY52,EZ52),'MASTER PLAN'!$AB:$AB,'MASTER PLAN'!$J:$J,0,0)),"")</f>
        <v/>
      </c>
      <c r="FB52" s="73" t="str">
        <f t="array" ref="FB52">IFERROR(IF(XLOOKUP(CONCAT(EY52,EZ52),'PROCESOS PRD'!$J:$J,'PROCESOS PRD'!$H:$H,0,0)=0,"",XLOOKUP(CONCAT(EY52,EZ52),'PROCESOS PRD'!$J:$J,'PROCESOS PRD'!$H:$H,0,0)),"")</f>
        <v/>
      </c>
      <c r="FC52" s="71"/>
      <c r="FD52" s="32"/>
      <c r="FE52" s="72" t="str">
        <f t="array" ref="FE52">IFERROR(IF(XLOOKUP(CONCAT(FC52,FD52),'MASTER PLAN'!$AB:$AB,'MASTER PLAN'!$J:$J,0,0)=0,"",XLOOKUP(CONCAT(FC52,FD52),'MASTER PLAN'!$AB:$AB,'MASTER PLAN'!$J:$J,0,0)),"")</f>
        <v/>
      </c>
      <c r="FF52" s="73" t="str">
        <f t="array" ref="FF52">IFERROR(IF(XLOOKUP(CONCAT(FC52,FD52),'PROCESOS PRD'!$J:$J,'PROCESOS PRD'!$H:$H,0,0)=0,"",XLOOKUP(CONCAT(FC52,FD52),'PROCESOS PRD'!$J:$J,'PROCESOS PRD'!$H:$H,0,0)),"")</f>
        <v/>
      </c>
      <c r="FG52" s="71"/>
      <c r="FH52" s="32"/>
      <c r="FI52" s="72" t="str">
        <f t="array" ref="FI52">IFERROR(IF(XLOOKUP(CONCAT(FG52,FH52),'MASTER PLAN'!$AB:$AB,'MASTER PLAN'!$J:$J,0,0)=0,"",XLOOKUP(CONCAT(FG52,FH52),'MASTER PLAN'!$AB:$AB,'MASTER PLAN'!$J:$J,0,0)),"")</f>
        <v/>
      </c>
      <c r="FJ52" s="73" t="str">
        <f t="array" ref="FJ52">IFERROR(IF(XLOOKUP(CONCAT(FG52,FH52),'PROCESOS PRD'!$J:$J,'PROCESOS PRD'!$H:$H,0,0)=0,"",XLOOKUP(CONCAT(FG52,FH52),'PROCESOS PRD'!$J:$J,'PROCESOS PRD'!$H:$H,0,0)),"")</f>
        <v/>
      </c>
      <c r="FK52" s="71"/>
      <c r="FL52" s="32"/>
      <c r="FM52" s="72" t="str">
        <f t="array" ref="FM52">IFERROR(IF(XLOOKUP(CONCAT(FK52,FL52),'MASTER PLAN'!$AB:$AB,'MASTER PLAN'!$J:$J,0,0)=0,"",XLOOKUP(CONCAT(FK52,FL52),'MASTER PLAN'!$AB:$AB,'MASTER PLAN'!$J:$J,0,0)),"")</f>
        <v/>
      </c>
      <c r="FN52" s="73" t="str">
        <f t="array" ref="FN52">IFERROR(IF(XLOOKUP(CONCAT(FK52,FL52),'PROCESOS PRD'!$J:$J,'PROCESOS PRD'!$H:$H,0,0)=0,"",XLOOKUP(CONCAT(FK52,FL52),'PROCESOS PRD'!$J:$J,'PROCESOS PRD'!$H:$H,0,0)),"")</f>
        <v/>
      </c>
      <c r="FO52" s="70"/>
      <c r="FP52" s="71"/>
      <c r="FQ52" s="32"/>
      <c r="FR52" s="72" t="str">
        <f t="array" ref="FR52">IFERROR(IF(XLOOKUP(CONCAT(FP52,FQ52),'MASTER PLAN'!$AB:$AB,'MASTER PLAN'!$J:$J,0,0)=0,"",XLOOKUP(CONCAT(FP52,FQ52),'MASTER PLAN'!$AB:$AB,'MASTER PLAN'!$J:$J,0,0)),"")</f>
        <v/>
      </c>
      <c r="FS52" s="73" t="str">
        <f t="array" ref="FS52">IFERROR(IF(XLOOKUP(CONCAT(FP52,FQ52),'PROCESOS PRD'!$J:$J,'PROCESOS PRD'!$H:$H,0,0)=0,"",XLOOKUP(CONCAT(FP52,FQ52),'PROCESOS PRD'!$J:$J,'PROCESOS PRD'!$H:$H,0,0)),"")</f>
        <v/>
      </c>
      <c r="FT52" s="71"/>
      <c r="FU52" s="32"/>
      <c r="FV52" s="72" t="str">
        <f t="array" ref="FV52">IFERROR(IF(XLOOKUP(CONCAT(FT52,FU52),'MASTER PLAN'!$AB:$AB,'MASTER PLAN'!$J:$J,0,0)=0,"",XLOOKUP(CONCAT(FT52,FU52),'MASTER PLAN'!$AB:$AB,'MASTER PLAN'!$J:$J,0,0)),"")</f>
        <v/>
      </c>
      <c r="FW52" s="73" t="str">
        <f t="array" ref="FW52">IFERROR(IF(XLOOKUP(CONCAT(FT52,FU52),'PROCESOS PRD'!$J:$J,'PROCESOS PRD'!$H:$H,0,0)=0,"",XLOOKUP(CONCAT(FT52,FU52),'PROCESOS PRD'!$J:$J,'PROCESOS PRD'!$H:$H,0,0)),"")</f>
        <v/>
      </c>
      <c r="FX52" s="71"/>
      <c r="FY52" s="32"/>
      <c r="FZ52" s="72" t="str">
        <f t="array" ref="FZ52">IFERROR(IF(XLOOKUP(CONCAT(FX52,FY52),'MASTER PLAN'!$AB:$AB,'MASTER PLAN'!$J:$J,0,0)=0,"",XLOOKUP(CONCAT(FX52,FY52),'MASTER PLAN'!$AB:$AB,'MASTER PLAN'!$J:$J,0,0)),"")</f>
        <v/>
      </c>
      <c r="GA52" s="73" t="str">
        <f t="array" ref="GA52">IFERROR(IF(XLOOKUP(CONCAT(FX52,FY52),'PROCESOS PRD'!$J:$J,'PROCESOS PRD'!$H:$H,0,0)=0,"",XLOOKUP(CONCAT(FX52,FY52),'PROCESOS PRD'!$J:$J,'PROCESOS PRD'!$H:$H,0,0)),"")</f>
        <v/>
      </c>
      <c r="GB52" s="71"/>
      <c r="GC52" s="32"/>
      <c r="GD52" s="72" t="str">
        <f t="array" ref="GD52">IFERROR(IF(XLOOKUP(CONCAT(GB52,GC52),'MASTER PLAN'!$AB:$AB,'MASTER PLAN'!$J:$J,0,0)=0,"",XLOOKUP(CONCAT(GB52,GC52),'MASTER PLAN'!$AB:$AB,'MASTER PLAN'!$J:$J,0,0)),"")</f>
        <v/>
      </c>
      <c r="GE52" s="73" t="str">
        <f t="array" ref="GE52">IFERROR(IF(XLOOKUP(CONCAT(GB52,GC52),'PROCESOS PRD'!$J:$J,'PROCESOS PRD'!$H:$H,0,0)=0,"",XLOOKUP(CONCAT(GB52,GC52),'PROCESOS PRD'!$J:$J,'PROCESOS PRD'!$H:$H,0,0)),"")</f>
        <v/>
      </c>
      <c r="GF52" s="71"/>
      <c r="GG52" s="32"/>
      <c r="GH52" s="72" t="str">
        <f t="array" ref="GH52">IFERROR(IF(XLOOKUP(CONCAT(GF52,GG52),'MASTER PLAN'!$AB:$AB,'MASTER PLAN'!$J:$J,0,0)=0,"",XLOOKUP(CONCAT(GF52,GG52),'MASTER PLAN'!$AB:$AB,'MASTER PLAN'!$J:$J,0,0)),"")</f>
        <v/>
      </c>
      <c r="GI52" s="73" t="str">
        <f t="array" ref="GI52">IFERROR(IF(XLOOKUP(CONCAT(GF52,GG52),'PROCESOS PRD'!$J:$J,'PROCESOS PRD'!$H:$H,0,0)=0,"",XLOOKUP(CONCAT(GF52,GG52),'PROCESOS PRD'!$J:$J,'PROCESOS PRD'!$H:$H,0,0)),"")</f>
        <v/>
      </c>
      <c r="GJ52" s="71"/>
      <c r="GK52" s="32"/>
      <c r="GL52" s="72" t="str">
        <f t="array" ref="GL52">IFERROR(IF(XLOOKUP(CONCAT(GJ52,GK52),'MASTER PLAN'!$AB:$AB,'MASTER PLAN'!$J:$J,0,0)=0,"",XLOOKUP(CONCAT(GJ52,GK52),'MASTER PLAN'!$AB:$AB,'MASTER PLAN'!$J:$J,0,0)),"")</f>
        <v/>
      </c>
      <c r="GM52" s="73" t="str">
        <f t="array" ref="GM52">IFERROR(IF(XLOOKUP(CONCAT(GJ52,GK52),'PROCESOS PRD'!$J:$J,'PROCESOS PRD'!$H:$H,0,0)=0,"",XLOOKUP(CONCAT(GJ52,GK52),'PROCESOS PRD'!$J:$J,'PROCESOS PRD'!$H:$H,0,0)),"")</f>
        <v/>
      </c>
      <c r="GN52" s="70"/>
      <c r="GO52" s="71"/>
      <c r="GP52" s="32"/>
      <c r="GQ52" s="72" t="str">
        <f t="array" ref="GQ52">IFERROR(IF(XLOOKUP(CONCAT(GO52,GP52),'MASTER PLAN'!$AB:$AB,'MASTER PLAN'!$J:$J,0,0)=0,"",XLOOKUP(CONCAT(GO52,GP52),'MASTER PLAN'!$AB:$AB,'MASTER PLAN'!$J:$J,0,0)),"")</f>
        <v/>
      </c>
      <c r="GR52" s="73" t="str">
        <f t="array" ref="GR52">IFERROR(IF(XLOOKUP(CONCAT(GO52,GP52),'PROCESOS PRD'!$J:$J,'PROCESOS PRD'!$H:$H,0,0)=0,"",XLOOKUP(CONCAT(GO52,GP52),'PROCESOS PRD'!$J:$J,'PROCESOS PRD'!$H:$H,0,0)),"")</f>
        <v/>
      </c>
      <c r="GS52" s="71"/>
      <c r="GT52" s="32"/>
      <c r="GU52" s="72" t="str">
        <f t="array" ref="GU52">IFERROR(IF(XLOOKUP(CONCAT(GS52,GT52),'MASTER PLAN'!$AB:$AB,'MASTER PLAN'!$J:$J,0,0)=0,"",XLOOKUP(CONCAT(GS52,GT52),'MASTER PLAN'!$AB:$AB,'MASTER PLAN'!$J:$J,0,0)),"")</f>
        <v/>
      </c>
      <c r="GV52" s="73" t="str">
        <f t="array" ref="GV52">IFERROR(IF(XLOOKUP(CONCAT(GS52,GT52),'PROCESOS PRD'!$J:$J,'PROCESOS PRD'!$H:$H,0,0)=0,"",XLOOKUP(CONCAT(GS52,GT52),'PROCESOS PRD'!$J:$J,'PROCESOS PRD'!$H:$H,0,0)),"")</f>
        <v/>
      </c>
      <c r="GW52" s="71"/>
      <c r="GX52" s="32"/>
      <c r="GY52" s="72" t="str">
        <f t="array" ref="GY52">IFERROR(IF(XLOOKUP(CONCAT(GW52,GX52),'MASTER PLAN'!$AB:$AB,'MASTER PLAN'!$J:$J,0,0)=0,"",XLOOKUP(CONCAT(GW52,GX52),'MASTER PLAN'!$AB:$AB,'MASTER PLAN'!$J:$J,0,0)),"")</f>
        <v/>
      </c>
      <c r="GZ52" s="73" t="str">
        <f t="array" ref="GZ52">IFERROR(IF(XLOOKUP(CONCAT(GW52,GX52),'PROCESOS PRD'!$J:$J,'PROCESOS PRD'!$H:$H,0,0)=0,"",XLOOKUP(CONCAT(GW52,GX52),'PROCESOS PRD'!$J:$J,'PROCESOS PRD'!$H:$H,0,0)),"")</f>
        <v/>
      </c>
      <c r="HA52" s="71"/>
      <c r="HB52" s="32"/>
      <c r="HC52" s="72" t="str">
        <f t="array" ref="HC52">IFERROR(IF(XLOOKUP(CONCAT(HA52,HB52),'MASTER PLAN'!$AB:$AB,'MASTER PLAN'!$J:$J,0,0)=0,"",XLOOKUP(CONCAT(HA52,HB52),'MASTER PLAN'!$AB:$AB,'MASTER PLAN'!$J:$J,0,0)),"")</f>
        <v/>
      </c>
      <c r="HD52" s="73" t="str">
        <f t="array" ref="HD52">IFERROR(IF(XLOOKUP(CONCAT(HA52,HB52),'PROCESOS PRD'!$J:$J,'PROCESOS PRD'!$H:$H,0,0)=0,"",XLOOKUP(CONCAT(HA52,HB52),'PROCESOS PRD'!$J:$J,'PROCESOS PRD'!$H:$H,0,0)),"")</f>
        <v/>
      </c>
      <c r="HE52" s="71"/>
      <c r="HF52" s="32"/>
      <c r="HG52" s="72" t="str">
        <f t="array" ref="HG52">IFERROR(IF(XLOOKUP(CONCAT(HE52,HF52),'MASTER PLAN'!$AB:$AB,'MASTER PLAN'!$J:$J,0,0)=0,"",XLOOKUP(CONCAT(HE52,HF52),'MASTER PLAN'!$AB:$AB,'MASTER PLAN'!$J:$J,0,0)),"")</f>
        <v/>
      </c>
      <c r="HH52" s="73" t="str">
        <f t="array" ref="HH52">IFERROR(IF(XLOOKUP(CONCAT(HE52,HF52),'PROCESOS PRD'!$J:$J,'PROCESOS PRD'!$H:$H,0,0)=0,"",XLOOKUP(CONCAT(HE52,HF52),'PROCESOS PRD'!$J:$J,'PROCESOS PRD'!$H:$H,0,0)),"")</f>
        <v/>
      </c>
      <c r="HI52" s="71"/>
      <c r="HJ52" s="32"/>
      <c r="HK52" s="72" t="str">
        <f t="array" ref="HK52">IFERROR(IF(XLOOKUP(CONCAT(HI52,HJ52),'MASTER PLAN'!$AB:$AB,'MASTER PLAN'!$J:$J,0,0)=0,"",XLOOKUP(CONCAT(HI52,HJ52),'MASTER PLAN'!$AB:$AB,'MASTER PLAN'!$J:$J,0,0)),"")</f>
        <v/>
      </c>
      <c r="HL52" s="73" t="str">
        <f t="array" ref="HL52">IFERROR(IF(XLOOKUP(CONCAT(HI52,HJ52),'PROCESOS PRD'!$J:$J,'PROCESOS PRD'!$H:$H,0,0)=0,"",XLOOKUP(CONCAT(HI52,HJ52),'PROCESOS PRD'!$J:$J,'PROCESOS PRD'!$H:$H,0,0)),"")</f>
        <v/>
      </c>
      <c r="HM52" s="70"/>
      <c r="HN52" s="71"/>
      <c r="HO52" s="32"/>
      <c r="HP52" s="72" t="str">
        <f t="array" ref="HP52">IFERROR(IF(XLOOKUP(CONCAT(HN52,HO52),'MASTER PLAN'!$AB:$AB,'MASTER PLAN'!$J:$J,0,0)=0,"",XLOOKUP(CONCAT(HN52,HO52),'MASTER PLAN'!$AB:$AB,'MASTER PLAN'!$J:$J,0,0)),"")</f>
        <v/>
      </c>
      <c r="HQ52" s="73" t="str">
        <f t="array" ref="HQ52">IFERROR(IF(XLOOKUP(CONCAT(HN52,HO52),'PROCESOS PRD'!$J:$J,'PROCESOS PRD'!$H:$H,0,0)=0,"",XLOOKUP(CONCAT(HN52,HO52),'PROCESOS PRD'!$J:$J,'PROCESOS PRD'!$H:$H,0,0)),"")</f>
        <v/>
      </c>
      <c r="HR52" s="71"/>
      <c r="HS52" s="32"/>
      <c r="HT52" s="72" t="str">
        <f t="array" ref="HT52">IFERROR(IF(XLOOKUP(CONCAT(HR52,HS52),'MASTER PLAN'!$AB:$AB,'MASTER PLAN'!$J:$J,0,0)=0,"",XLOOKUP(CONCAT(HR52,HS52),'MASTER PLAN'!$AB:$AB,'MASTER PLAN'!$J:$J,0,0)),"")</f>
        <v/>
      </c>
      <c r="HU52" s="73" t="str">
        <f t="array" ref="HU52">IFERROR(IF(XLOOKUP(CONCAT(HR52,HS52),'PROCESOS PRD'!$J:$J,'PROCESOS PRD'!$H:$H,0,0)=0,"",XLOOKUP(CONCAT(HR52,HS52),'PROCESOS PRD'!$J:$J,'PROCESOS PRD'!$H:$H,0,0)),"")</f>
        <v/>
      </c>
      <c r="HV52" s="71"/>
      <c r="HW52" s="32"/>
      <c r="HX52" s="72" t="str">
        <f t="array" ref="HX52">IFERROR(IF(XLOOKUP(CONCAT(HV52,HW52),'MASTER PLAN'!$AB:$AB,'MASTER PLAN'!$J:$J,0,0)=0,"",XLOOKUP(CONCAT(HV52,HW52),'MASTER PLAN'!$AB:$AB,'MASTER PLAN'!$J:$J,0,0)),"")</f>
        <v/>
      </c>
      <c r="HY52" s="73" t="str">
        <f t="array" ref="HY52">IFERROR(IF(XLOOKUP(CONCAT(HV52,HW52),'PROCESOS PRD'!$J:$J,'PROCESOS PRD'!$H:$H,0,0)=0,"",XLOOKUP(CONCAT(HV52,HW52),'PROCESOS PRD'!$J:$J,'PROCESOS PRD'!$H:$H,0,0)),"")</f>
        <v/>
      </c>
      <c r="HZ52" s="71"/>
      <c r="IA52" s="32"/>
      <c r="IB52" s="72" t="str">
        <f t="array" ref="IB52">IFERROR(IF(XLOOKUP(CONCAT(HZ52,IA52),'MASTER PLAN'!$AB:$AB,'MASTER PLAN'!$J:$J,0,0)=0,"",XLOOKUP(CONCAT(HZ52,IA52),'MASTER PLAN'!$AB:$AB,'MASTER PLAN'!$J:$J,0,0)),"")</f>
        <v/>
      </c>
      <c r="IC52" s="73" t="str">
        <f t="array" ref="IC52">IFERROR(IF(XLOOKUP(CONCAT(HZ52,IA52),'PROCESOS PRD'!$J:$J,'PROCESOS PRD'!$H:$H,0,0)=0,"",XLOOKUP(CONCAT(HZ52,IA52),'PROCESOS PRD'!$J:$J,'PROCESOS PRD'!$H:$H,0,0)),"")</f>
        <v/>
      </c>
      <c r="ID52" s="71"/>
      <c r="IE52" s="32"/>
      <c r="IF52" s="72" t="str">
        <f t="array" ref="IF52">IFERROR(IF(XLOOKUP(CONCAT(ID52,IE52),'MASTER PLAN'!$AB:$AB,'MASTER PLAN'!$J:$J,0,0)=0,"",XLOOKUP(CONCAT(ID52,IE52),'MASTER PLAN'!$AB:$AB,'MASTER PLAN'!$J:$J,0,0)),"")</f>
        <v/>
      </c>
      <c r="IG52" s="73" t="str">
        <f t="array" ref="IG52">IFERROR(IF(XLOOKUP(CONCAT(ID52,IE52),'PROCESOS PRD'!$J:$J,'PROCESOS PRD'!$H:$H,0,0)=0,"",XLOOKUP(CONCAT(ID52,IE52),'PROCESOS PRD'!$J:$J,'PROCESOS PRD'!$H:$H,0,0)),"")</f>
        <v/>
      </c>
      <c r="IH52" s="71"/>
      <c r="II52" s="32"/>
      <c r="IJ52" s="72" t="str">
        <f t="array" ref="IJ52">IFERROR(IF(XLOOKUP(CONCAT(IH52,II52),'MASTER PLAN'!$AB:$AB,'MASTER PLAN'!$J:$J,0,0)=0,"",XLOOKUP(CONCAT(IH52,II52),'MASTER PLAN'!$AB:$AB,'MASTER PLAN'!$J:$J,0,0)),"")</f>
        <v/>
      </c>
      <c r="IK52" s="73" t="str">
        <f t="array" ref="IK52">IFERROR(IF(XLOOKUP(CONCAT(IH52,II52),'PROCESOS PRD'!$J:$J,'PROCESOS PRD'!$H:$H,0,0)=0,"",XLOOKUP(CONCAT(IH52,II52),'PROCESOS PRD'!$J:$J,'PROCESOS PRD'!$H:$H,0,0)),"")</f>
        <v/>
      </c>
      <c r="IL52" s="70"/>
      <c r="IM52" s="71"/>
      <c r="IN52" s="32"/>
      <c r="IO52" s="72" t="str">
        <f t="array" ref="IO52">IFERROR(IF(XLOOKUP(CONCAT(IM52,IN52),'MASTER PLAN'!$AB:$AB,'MASTER PLAN'!$J:$J,0,0)=0,"",XLOOKUP(CONCAT(IM52,IN52),'MASTER PLAN'!$AB:$AB,'MASTER PLAN'!$J:$J,0,0)),"")</f>
        <v/>
      </c>
      <c r="IP52" s="73" t="str">
        <f t="array" ref="IP52">IFERROR(IF(XLOOKUP(CONCAT(IM52,IN52),'PROCESOS PRD'!$J:$J,'PROCESOS PRD'!$H:$H,0,0)=0,"",XLOOKUP(CONCAT(IM52,IN52),'PROCESOS PRD'!$J:$J,'PROCESOS PRD'!$H:$H,0,0)),"")</f>
        <v/>
      </c>
      <c r="IQ52" s="71"/>
      <c r="IR52" s="32"/>
      <c r="IS52" s="72" t="str">
        <f t="array" ref="IS52">IFERROR(IF(XLOOKUP(CONCAT(IQ52,IR52),'MASTER PLAN'!$AB:$AB,'MASTER PLAN'!$J:$J,0,0)=0,"",XLOOKUP(CONCAT(IQ52,IR52),'MASTER PLAN'!$AB:$AB,'MASTER PLAN'!$J:$J,0,0)),"")</f>
        <v/>
      </c>
      <c r="IT52" s="73" t="str">
        <f t="array" ref="IT52">IFERROR(IF(XLOOKUP(CONCAT(IQ52,IR52),'PROCESOS PRD'!$J:$J,'PROCESOS PRD'!$H:$H,0,0)=0,"",XLOOKUP(CONCAT(IQ52,IR52),'PROCESOS PRD'!$J:$J,'PROCESOS PRD'!$H:$H,0,0)),"")</f>
        <v/>
      </c>
      <c r="IU52" s="71"/>
      <c r="IV52" s="32"/>
      <c r="IW52" s="72" t="str">
        <f t="array" ref="IW52">IFERROR(IF(XLOOKUP(CONCAT(IU52,IV52),'MASTER PLAN'!$AB:$AB,'MASTER PLAN'!$J:$J,0,0)=0,"",XLOOKUP(CONCAT(IU52,IV52),'MASTER PLAN'!$AB:$AB,'MASTER PLAN'!$J:$J,0,0)),"")</f>
        <v/>
      </c>
      <c r="IX52" s="73" t="str">
        <f t="array" ref="IX52">IFERROR(IF(XLOOKUP(CONCAT(IU52,IV52),'PROCESOS PRD'!$J:$J,'PROCESOS PRD'!$H:$H,0,0)=0,"",XLOOKUP(CONCAT(IU52,IV52),'PROCESOS PRD'!$J:$J,'PROCESOS PRD'!$H:$H,0,0)),"")</f>
        <v/>
      </c>
      <c r="IY52" s="71"/>
      <c r="IZ52" s="32"/>
      <c r="JA52" s="72" t="str">
        <f t="array" ref="JA52">IFERROR(IF(XLOOKUP(CONCAT(IY52,IZ52),'MASTER PLAN'!$AB:$AB,'MASTER PLAN'!$J:$J,0,0)=0,"",XLOOKUP(CONCAT(IY52,IZ52),'MASTER PLAN'!$AB:$AB,'MASTER PLAN'!$J:$J,0,0)),"")</f>
        <v/>
      </c>
      <c r="JB52" s="73" t="str">
        <f t="array" ref="JB52">IFERROR(IF(XLOOKUP(CONCAT(IY52,IZ52),'PROCESOS PRD'!$J:$J,'PROCESOS PRD'!$H:$H,0,0)=0,"",XLOOKUP(CONCAT(IY52,IZ52),'PROCESOS PRD'!$J:$J,'PROCESOS PRD'!$H:$H,0,0)),"")</f>
        <v/>
      </c>
      <c r="JC52" s="71"/>
      <c r="JD52" s="32"/>
      <c r="JE52" s="72" t="str">
        <f t="array" ref="JE52">IFERROR(IF(XLOOKUP(CONCAT(JC52,JD52),'MASTER PLAN'!$AB:$AB,'MASTER PLAN'!$J:$J,0,0)=0,"",XLOOKUP(CONCAT(JC52,JD52),'MASTER PLAN'!$AB:$AB,'MASTER PLAN'!$J:$J,0,0)),"")</f>
        <v/>
      </c>
      <c r="JF52" s="73" t="str">
        <f t="array" ref="JF52">IFERROR(IF(XLOOKUP(CONCAT(JC52,JD52),'PROCESOS PRD'!$J:$J,'PROCESOS PRD'!$H:$H,0,0)=0,"",XLOOKUP(CONCAT(JC52,JD52),'PROCESOS PRD'!$J:$J,'PROCESOS PRD'!$H:$H,0,0)),"")</f>
        <v/>
      </c>
      <c r="JG52" s="71"/>
      <c r="JH52" s="32"/>
      <c r="JI52" s="72" t="str">
        <f t="array" ref="JI52">IFERROR(IF(XLOOKUP(CONCAT(JG52,JH52),'MASTER PLAN'!$AB:$AB,'MASTER PLAN'!$J:$J,0,0)=0,"",XLOOKUP(CONCAT(JG52,JH52),'MASTER PLAN'!$AB:$AB,'MASTER PLAN'!$J:$J,0,0)),"")</f>
        <v/>
      </c>
      <c r="JJ52" s="73" t="str">
        <f t="array" ref="JJ52">IFERROR(IF(XLOOKUP(CONCAT(JG52,JH52),'PROCESOS PRD'!$J:$J,'PROCESOS PRD'!$H:$H,0,0)=0,"",XLOOKUP(CONCAT(JG52,JH52),'PROCESOS PRD'!$J:$J,'PROCESOS PRD'!$H:$H,0,0)),"")</f>
        <v/>
      </c>
      <c r="JK52" s="70"/>
      <c r="JL52" s="71"/>
      <c r="JM52" s="32"/>
      <c r="JN52" s="72" t="str">
        <f t="array" ref="JN52">IFERROR(IF(XLOOKUP(CONCAT(JL52,JM52),'MASTER PLAN'!$AB:$AB,'MASTER PLAN'!$J:$J,0,0)=0,"",XLOOKUP(CONCAT(JL52,JM52),'MASTER PLAN'!$AB:$AB,'MASTER PLAN'!$J:$J,0,0)),"")</f>
        <v/>
      </c>
      <c r="JO52" s="73" t="str">
        <f t="array" ref="JO52">IFERROR(IF(XLOOKUP(CONCAT(JL52,JM52),'PROCESOS PRD'!$J:$J,'PROCESOS PRD'!$H:$H,0,0)=0,"",XLOOKUP(CONCAT(JL52,JM52),'PROCESOS PRD'!$J:$J,'PROCESOS PRD'!$H:$H,0,0)),"")</f>
        <v/>
      </c>
      <c r="JP52" s="71"/>
      <c r="JQ52" s="32"/>
      <c r="JR52" s="72" t="str">
        <f t="array" ref="JR52">IFERROR(IF(XLOOKUP(CONCAT(JP52,JQ52),'MASTER PLAN'!$AB:$AB,'MASTER PLAN'!$J:$J,0,0)=0,"",XLOOKUP(CONCAT(JP52,JQ52),'MASTER PLAN'!$AB:$AB,'MASTER PLAN'!$J:$J,0,0)),"")</f>
        <v/>
      </c>
      <c r="JS52" s="73" t="str">
        <f t="array" ref="JS52">IFERROR(IF(XLOOKUP(CONCAT(JP52,JQ52),'PROCESOS PRD'!$J:$J,'PROCESOS PRD'!$H:$H,0,0)=0,"",XLOOKUP(CONCAT(JP52,JQ52),'PROCESOS PRD'!$J:$J,'PROCESOS PRD'!$H:$H,0,0)),"")</f>
        <v/>
      </c>
      <c r="JT52" s="71"/>
      <c r="JU52" s="32"/>
      <c r="JV52" s="72" t="str">
        <f t="array" ref="JV52">IFERROR(IF(XLOOKUP(CONCAT(JT52,JU52),'MASTER PLAN'!$AB:$AB,'MASTER PLAN'!$J:$J,0,0)=0,"",XLOOKUP(CONCAT(JT52,JU52),'MASTER PLAN'!$AB:$AB,'MASTER PLAN'!$J:$J,0,0)),"")</f>
        <v/>
      </c>
      <c r="JW52" s="73" t="str">
        <f t="array" ref="JW52">IFERROR(IF(XLOOKUP(CONCAT(JT52,JU52),'PROCESOS PRD'!$J:$J,'PROCESOS PRD'!$H:$H,0,0)=0,"",XLOOKUP(CONCAT(JT52,JU52),'PROCESOS PRD'!$J:$J,'PROCESOS PRD'!$H:$H,0,0)),"")</f>
        <v/>
      </c>
      <c r="JX52" s="71"/>
      <c r="JY52" s="32"/>
      <c r="JZ52" s="72" t="str">
        <f t="array" ref="JZ52">IFERROR(IF(XLOOKUP(CONCAT(JX52,JY52),'MASTER PLAN'!$AB:$AB,'MASTER PLAN'!$J:$J,0,0)=0,"",XLOOKUP(CONCAT(JX52,JY52),'MASTER PLAN'!$AB:$AB,'MASTER PLAN'!$J:$J,0,0)),"")</f>
        <v/>
      </c>
      <c r="KA52" s="73" t="str">
        <f t="array" ref="KA52">IFERROR(IF(XLOOKUP(CONCAT(JX52,JY52),'PROCESOS PRD'!$J:$J,'PROCESOS PRD'!$H:$H,0,0)=0,"",XLOOKUP(CONCAT(JX52,JY52),'PROCESOS PRD'!$J:$J,'PROCESOS PRD'!$H:$H,0,0)),"")</f>
        <v/>
      </c>
      <c r="KB52" s="71"/>
      <c r="KC52" s="32"/>
      <c r="KD52" s="72" t="str">
        <f t="array" ref="KD52">IFERROR(IF(XLOOKUP(CONCAT(KB52,KC52),'MASTER PLAN'!$AB:$AB,'MASTER PLAN'!$J:$J,0,0)=0,"",XLOOKUP(CONCAT(KB52,KC52),'MASTER PLAN'!$AB:$AB,'MASTER PLAN'!$J:$J,0,0)),"")</f>
        <v/>
      </c>
      <c r="KE52" s="73" t="str">
        <f t="array" ref="KE52">IFERROR(IF(XLOOKUP(CONCAT(KB52,KC52),'PROCESOS PRD'!$J:$J,'PROCESOS PRD'!$H:$H,0,0)=0,"",XLOOKUP(CONCAT(KB52,KC52),'PROCESOS PRD'!$J:$J,'PROCESOS PRD'!$H:$H,0,0)),"")</f>
        <v/>
      </c>
      <c r="KF52" s="71"/>
      <c r="KG52" s="32"/>
      <c r="KH52" s="72" t="str">
        <f t="array" ref="KH52">IFERROR(IF(XLOOKUP(CONCAT(KF52,KG52),'MASTER PLAN'!$AB:$AB,'MASTER PLAN'!$J:$J,0,0)=0,"",XLOOKUP(CONCAT(KF52,KG52),'MASTER PLAN'!$AB:$AB,'MASTER PLAN'!$J:$J,0,0)),"")</f>
        <v/>
      </c>
      <c r="KI52" s="73" t="str">
        <f t="array" ref="KI52">IFERROR(IF(XLOOKUP(CONCAT(KF52,KG52),'PROCESOS PRD'!$J:$J,'PROCESOS PRD'!$H:$H,0,0)=0,"",XLOOKUP(CONCAT(KF52,KG52),'PROCESOS PRD'!$J:$J,'PROCESOS PRD'!$H:$H,0,0)),"")</f>
        <v/>
      </c>
      <c r="KJ52" s="70"/>
      <c r="KK52" s="70"/>
      <c r="KL52" s="70"/>
      <c r="KM52" s="70"/>
      <c r="KN52" s="70"/>
      <c r="KO52" s="70"/>
      <c r="KP52" s="70"/>
      <c r="KQ52" s="70"/>
      <c r="KR52" s="70"/>
      <c r="KS52" s="70"/>
      <c r="KT52" s="70"/>
      <c r="KU52" s="70"/>
      <c r="KV52" s="70"/>
      <c r="KW52" s="70"/>
      <c r="KX52" s="70"/>
      <c r="KY52" s="70"/>
      <c r="KZ52" s="70"/>
      <c r="LA52" s="70"/>
      <c r="LB52" s="70"/>
      <c r="LC52" s="70"/>
    </row>
    <row r="53" ht="15.75" customHeight="1">
      <c r="A53" s="42"/>
      <c r="B53" s="74"/>
      <c r="C53" s="69"/>
      <c r="D53" s="70"/>
      <c r="E53" s="71"/>
      <c r="F53" s="32"/>
      <c r="G53" s="72" t="str">
        <f t="array" ref="G53">IFERROR(IF(XLOOKUP(CONCAT(E53,F53),'MASTER PLAN'!$AB:$AB,'MASTER PLAN'!$J:$J,0,0)=0,"",XLOOKUP(CONCAT(E53,F53),'MASTER PLAN'!$AB:$AB,'MASTER PLAN'!$J:$J,0,0)),"")</f>
        <v/>
      </c>
      <c r="H53" s="73" t="str">
        <f t="array" ref="H53">IFERROR(IF(XLOOKUP(CONCAT(E53,F53),'PROCESOS PRD'!$J:$J,'PROCESOS PRD'!$H:$H,0,0)=0,"",XLOOKUP(CONCAT(E53,F53),'PROCESOS PRD'!$J:$J,'PROCESOS PRD'!$H:$H,0,0)),"")</f>
        <v/>
      </c>
      <c r="I53" s="71"/>
      <c r="J53" s="32"/>
      <c r="K53" s="72" t="str">
        <f t="array" ref="K53">IFERROR(IF(XLOOKUP(CONCAT(I53,J53),'MASTER PLAN'!$AB:$AB,'MASTER PLAN'!$J:$J,0,0)=0,"",XLOOKUP(CONCAT(I53,J53),'MASTER PLAN'!$AB:$AB,'MASTER PLAN'!$J:$J,0,0)),"")</f>
        <v/>
      </c>
      <c r="L53" s="73" t="str">
        <f t="array" ref="L53">IFERROR(IF(XLOOKUP(CONCAT(I53,J53),'PROCESOS PRD'!$J:$J,'PROCESOS PRD'!$H:$H,0,0)=0,"",XLOOKUP(CONCAT(I53,J53),'PROCESOS PRD'!$J:$J,'PROCESOS PRD'!$H:$H,0,0)),"")</f>
        <v/>
      </c>
      <c r="M53" s="71"/>
      <c r="N53" s="32"/>
      <c r="O53" s="72" t="str">
        <f t="array" ref="O53">IFERROR(IF(XLOOKUP(CONCAT(M53,N53),'MASTER PLAN'!$AB:$AB,'MASTER PLAN'!$J:$J,0,0)=0,"",XLOOKUP(CONCAT(M53,N53),'MASTER PLAN'!$AB:$AB,'MASTER PLAN'!$J:$J,0,0)),"")</f>
        <v/>
      </c>
      <c r="P53" s="73" t="str">
        <f t="array" ref="P53">IFERROR(IF(XLOOKUP(CONCAT(M53,N53),'PROCESOS PRD'!$J:$J,'PROCESOS PRD'!$H:$H,0,0)=0,"",XLOOKUP(CONCAT(M53,N53),'PROCESOS PRD'!$J:$J,'PROCESOS PRD'!$H:$H,0,0)),"")</f>
        <v/>
      </c>
      <c r="Q53" s="71"/>
      <c r="R53" s="32"/>
      <c r="S53" s="72" t="str">
        <f t="array" ref="S53">IFERROR(IF(XLOOKUP(CONCAT(Q53,R53),'MASTER PLAN'!$AB:$AB,'MASTER PLAN'!$J:$J,0,0)=0,"",XLOOKUP(CONCAT(Q53,R53),'MASTER PLAN'!$AB:$AB,'MASTER PLAN'!$J:$J,0,0)),"")</f>
        <v/>
      </c>
      <c r="T53" s="73" t="str">
        <f t="array" ref="T53">IFERROR(IF(XLOOKUP(CONCAT(Q53,R53),'PROCESOS PRD'!$J:$J,'PROCESOS PRD'!$H:$H,0,0)=0,"",XLOOKUP(CONCAT(Q53,R53),'PROCESOS PRD'!$J:$J,'PROCESOS PRD'!$H:$H,0,0)),"")</f>
        <v/>
      </c>
      <c r="U53" s="70"/>
      <c r="V53" s="71"/>
      <c r="W53" s="32"/>
      <c r="X53" s="72" t="str">
        <f t="array" ref="X53">IFERROR(IF(XLOOKUP(CONCAT(V53,W53),'MASTER PLAN'!$AB:$AB,'MASTER PLAN'!$J:$J,0,0)=0,"",XLOOKUP(CONCAT(V53,W53),'MASTER PLAN'!$AB:$AB,'MASTER PLAN'!$J:$J,0,0)),"")</f>
        <v/>
      </c>
      <c r="Y53" s="73" t="str">
        <f t="array" ref="Y53">IFERROR(IF(XLOOKUP(CONCAT(V53,W53),'PROCESOS PRD'!$J:$J,'PROCESOS PRD'!$H:$H,0,0)=0,"",XLOOKUP(CONCAT(V53,W53),'PROCESOS PRD'!$J:$J,'PROCESOS PRD'!$H:$H,0,0)),"")</f>
        <v/>
      </c>
      <c r="Z53" s="71"/>
      <c r="AA53" s="32"/>
      <c r="AB53" s="72" t="str">
        <f t="array" ref="AB53">IFERROR(IF(XLOOKUP(CONCAT(Z53,AA53),'MASTER PLAN'!$AB:$AB,'MASTER PLAN'!$J:$J,0,0)=0,"",XLOOKUP(CONCAT(Z53,AA53),'MASTER PLAN'!$AB:$AB,'MASTER PLAN'!$J:$J,0,0)),"")</f>
        <v/>
      </c>
      <c r="AC53" s="73" t="str">
        <f t="array" ref="AC53">IFERROR(IF(XLOOKUP(CONCAT(Z53,AA53),'PROCESOS PRD'!$J:$J,'PROCESOS PRD'!$H:$H,0,0)=0,"",XLOOKUP(CONCAT(Z53,AA53),'PROCESOS PRD'!$J:$J,'PROCESOS PRD'!$H:$H,0,0)),"")</f>
        <v/>
      </c>
      <c r="AD53" s="71"/>
      <c r="AE53" s="32"/>
      <c r="AF53" s="72" t="str">
        <f t="array" ref="AF53">IFERROR(IF(XLOOKUP(CONCAT(AD53,AE53),'MASTER PLAN'!$AB:$AB,'MASTER PLAN'!$J:$J,0,0)=0,"",XLOOKUP(CONCAT(AD53,AE53),'MASTER PLAN'!$AB:$AB,'MASTER PLAN'!$J:$J,0,0)),"")</f>
        <v/>
      </c>
      <c r="AG53" s="73" t="str">
        <f t="array" ref="AG53">IFERROR(IF(XLOOKUP(CONCAT(AD53,AE53),'PROCESOS PRD'!$J:$J,'PROCESOS PRD'!$H:$H,0,0)=0,"",XLOOKUP(CONCAT(AD53,AE53),'PROCESOS PRD'!$J:$J,'PROCESOS PRD'!$H:$H,0,0)),"")</f>
        <v/>
      </c>
      <c r="AH53" s="71"/>
      <c r="AI53" s="32"/>
      <c r="AJ53" s="72" t="str">
        <f t="array" ref="AJ53">IFERROR(IF(XLOOKUP(CONCAT(AH53,AI53),'MASTER PLAN'!$AB:$AB,'MASTER PLAN'!$J:$J,0,0)=0,"",XLOOKUP(CONCAT(AH53,AI53),'MASTER PLAN'!$AB:$AB,'MASTER PLAN'!$J:$J,0,0)),"")</f>
        <v/>
      </c>
      <c r="AK53" s="73" t="str">
        <f t="array" ref="AK53">IFERROR(IF(XLOOKUP(CONCAT(AH53,AI53),'PROCESOS PRD'!$J:$J,'PROCESOS PRD'!$H:$H,0,0)=0,"",XLOOKUP(CONCAT(AH53,AI53),'PROCESOS PRD'!$J:$J,'PROCESOS PRD'!$H:$H,0,0)),"")</f>
        <v/>
      </c>
      <c r="AL53" s="71"/>
      <c r="AM53" s="32"/>
      <c r="AN53" s="72" t="str">
        <f t="array" ref="AN53">IFERROR(IF(XLOOKUP(CONCAT(AL53,AM53),'MASTER PLAN'!$AB:$AB,'MASTER PLAN'!$J:$J,0,0)=0,"",XLOOKUP(CONCAT(AL53,AM53),'MASTER PLAN'!$AB:$AB,'MASTER PLAN'!$J:$J,0,0)),"")</f>
        <v/>
      </c>
      <c r="AO53" s="73" t="str">
        <f t="array" ref="AO53">IFERROR(IF(XLOOKUP(CONCAT(AL53,AM53),'PROCESOS PRD'!$J:$J,'PROCESOS PRD'!$H:$H,0,0)=0,"",XLOOKUP(CONCAT(AL53,AM53),'PROCESOS PRD'!$J:$J,'PROCESOS PRD'!$H:$H,0,0)),"")</f>
        <v/>
      </c>
      <c r="AP53" s="71"/>
      <c r="AQ53" s="32"/>
      <c r="AR53" s="72" t="str">
        <f t="array" ref="AR53">IFERROR(IF(XLOOKUP(CONCAT(AP53,AQ53),'MASTER PLAN'!$AB:$AB,'MASTER PLAN'!$J:$J,0,0)=0,"",XLOOKUP(CONCAT(AP53,AQ53),'MASTER PLAN'!$AB:$AB,'MASTER PLAN'!$J:$J,0,0)),"")</f>
        <v/>
      </c>
      <c r="AS53" s="73" t="str">
        <f t="array" ref="AS53">IFERROR(IF(XLOOKUP(CONCAT(AP53,AQ53),'PROCESOS PRD'!$J:$J,'PROCESOS PRD'!$H:$H,0,0)=0,"",XLOOKUP(CONCAT(AP53,AQ53),'PROCESOS PRD'!$J:$J,'PROCESOS PRD'!$H:$H,0,0)),"")</f>
        <v/>
      </c>
      <c r="AT53" s="70"/>
      <c r="AU53" s="71"/>
      <c r="AV53" s="32"/>
      <c r="AW53" s="72" t="str">
        <f t="array" ref="AW53">IFERROR(IF(XLOOKUP(CONCAT(AU53,AV53),'MASTER PLAN'!$AB:$AB,'MASTER PLAN'!$J:$J,0,0)=0,"",XLOOKUP(CONCAT(AU53,AV53),'MASTER PLAN'!$AB:$AB,'MASTER PLAN'!$J:$J,0,0)),"")</f>
        <v/>
      </c>
      <c r="AX53" s="73" t="str">
        <f t="array" ref="AX53">IFERROR(IF(XLOOKUP(CONCAT(AU53,AV53),'PROCESOS PRD'!$J:$J,'PROCESOS PRD'!$H:$H,0,0)=0,"",XLOOKUP(CONCAT(AU53,AV53),'PROCESOS PRD'!$J:$J,'PROCESOS PRD'!$H:$H,0,0)),"")</f>
        <v/>
      </c>
      <c r="AY53" s="71"/>
      <c r="AZ53" s="32"/>
      <c r="BA53" s="72" t="str">
        <f t="array" ref="BA53">IFERROR(IF(XLOOKUP(CONCAT(AY53,AZ53),'MASTER PLAN'!$AB:$AB,'MASTER PLAN'!$J:$J,0,0)=0,"",XLOOKUP(CONCAT(AY53,AZ53),'MASTER PLAN'!$AB:$AB,'MASTER PLAN'!$J:$J,0,0)),"")</f>
        <v/>
      </c>
      <c r="BB53" s="73" t="str">
        <f t="array" ref="BB53">IFERROR(IF(XLOOKUP(CONCAT(AY53,AZ53),'PROCESOS PRD'!$J:$J,'PROCESOS PRD'!$H:$H,0,0)=0,"",XLOOKUP(CONCAT(AY53,AZ53),'PROCESOS PRD'!$J:$J,'PROCESOS PRD'!$H:$H,0,0)),"")</f>
        <v/>
      </c>
      <c r="BC53" s="71"/>
      <c r="BD53" s="32"/>
      <c r="BE53" s="72" t="str">
        <f t="array" ref="BE53">IFERROR(IF(XLOOKUP(CONCAT(BC53,BD53),'MASTER PLAN'!$AB:$AB,'MASTER PLAN'!$J:$J,0,0)=0,"",XLOOKUP(CONCAT(BC53,BD53),'MASTER PLAN'!$AB:$AB,'MASTER PLAN'!$J:$J,0,0)),"")</f>
        <v/>
      </c>
      <c r="BF53" s="73" t="str">
        <f t="array" ref="BF53">IFERROR(IF(XLOOKUP(CONCAT(BC53,BD53),'PROCESOS PRD'!$J:$J,'PROCESOS PRD'!$H:$H,0,0)=0,"",XLOOKUP(CONCAT(BC53,BD53),'PROCESOS PRD'!$J:$J,'PROCESOS PRD'!$H:$H,0,0)),"")</f>
        <v/>
      </c>
      <c r="BG53" s="71"/>
      <c r="BH53" s="32"/>
      <c r="BI53" s="72" t="str">
        <f t="array" ref="BI53">IFERROR(IF(XLOOKUP(CONCAT(BG53,BH53),'MASTER PLAN'!$AB:$AB,'MASTER PLAN'!$J:$J,0,0)=0,"",XLOOKUP(CONCAT(BG53,BH53),'MASTER PLAN'!$AB:$AB,'MASTER PLAN'!$J:$J,0,0)),"")</f>
        <v/>
      </c>
      <c r="BJ53" s="73" t="str">
        <f t="array" ref="BJ53">IFERROR(IF(XLOOKUP(CONCAT(BG53,BH53),'PROCESOS PRD'!$J:$J,'PROCESOS PRD'!$H:$H,0,0)=0,"",XLOOKUP(CONCAT(BG53,BH53),'PROCESOS PRD'!$J:$J,'PROCESOS PRD'!$H:$H,0,0)),"")</f>
        <v/>
      </c>
      <c r="BK53" s="71"/>
      <c r="BL53" s="32"/>
      <c r="BM53" s="72" t="str">
        <f t="array" ref="BM53">IFERROR(IF(XLOOKUP(CONCAT(BK53,BL53),'MASTER PLAN'!$AB:$AB,'MASTER PLAN'!$J:$J,0,0)=0,"",XLOOKUP(CONCAT(BK53,BL53),'MASTER PLAN'!$AB:$AB,'MASTER PLAN'!$J:$J,0,0)),"")</f>
        <v/>
      </c>
      <c r="BN53" s="73" t="str">
        <f t="array" ref="BN53">IFERROR(IF(XLOOKUP(CONCAT(BK53,BL53),'PROCESOS PRD'!$J:$J,'PROCESOS PRD'!$H:$H,0,0)=0,"",XLOOKUP(CONCAT(BK53,BL53),'PROCESOS PRD'!$J:$J,'PROCESOS PRD'!$H:$H,0,0)),"")</f>
        <v/>
      </c>
      <c r="BO53" s="71"/>
      <c r="BP53" s="32"/>
      <c r="BQ53" s="72" t="str">
        <f t="array" ref="BQ53">IFERROR(IF(XLOOKUP(CONCAT(BO53,BP53),'MASTER PLAN'!$AB:$AB,'MASTER PLAN'!$J:$J,0,0)=0,"",XLOOKUP(CONCAT(BO53,BP53),'MASTER PLAN'!$AB:$AB,'MASTER PLAN'!$J:$J,0,0)),"")</f>
        <v/>
      </c>
      <c r="BR53" s="73" t="str">
        <f t="array" ref="BR53">IFERROR(IF(XLOOKUP(CONCAT(BO53,BP53),'PROCESOS PRD'!$J:$J,'PROCESOS PRD'!$H:$H,0,0)=0,"",XLOOKUP(CONCAT(BO53,BP53),'PROCESOS PRD'!$J:$J,'PROCESOS PRD'!$H:$H,0,0)),"")</f>
        <v/>
      </c>
      <c r="BS53" s="70"/>
      <c r="BT53" s="71"/>
      <c r="BU53" s="32"/>
      <c r="BV53" s="72" t="str">
        <f t="array" ref="BV53">IFERROR(IF(XLOOKUP(CONCAT(BT53,BU53),'MASTER PLAN'!$AB:$AB,'MASTER PLAN'!$J:$J,0,0)=0,"",XLOOKUP(CONCAT(BT53,BU53),'MASTER PLAN'!$AB:$AB,'MASTER PLAN'!$J:$J,0,0)),"")</f>
        <v/>
      </c>
      <c r="BW53" s="73" t="str">
        <f t="array" ref="BW53">IFERROR(IF(XLOOKUP(CONCAT(BT53,BU53),'PROCESOS PRD'!$J:$J,'PROCESOS PRD'!$H:$H,0,0)=0,"",XLOOKUP(CONCAT(BT53,BU53),'PROCESOS PRD'!$J:$J,'PROCESOS PRD'!$H:$H,0,0)),"")</f>
        <v/>
      </c>
      <c r="BX53" s="71">
        <v>1.40204949E9</v>
      </c>
      <c r="BY53" s="32">
        <v>10.0</v>
      </c>
      <c r="BZ53" s="72" t="str">
        <f t="array" ref="BZ53">IFERROR(IF(XLOOKUP(CONCAT(BX53,BY53),'MASTER PLAN'!$AB:$AB,'MASTER PLAN'!$J:$J,0,0)=0,"",XLOOKUP(CONCAT(BX53,BY53),'MASTER PLAN'!$AB:$AB,'MASTER PLAN'!$J:$J,0,0)),"")</f>
        <v>BOLSA MAZZARESE 6-5"X3-5X6-5"</v>
      </c>
      <c r="CA53" s="73">
        <f t="array" ref="CA53">IFERROR(IF(XLOOKUP(CONCAT(BX53,BY53),'PROCESOS PRD'!$J:$J,'PROCESOS PRD'!$H:$H,0,0)=0,"",XLOOKUP(CONCAT(BX53,BY53),'PROCESOS PRD'!$J:$J,'PROCESOS PRD'!$H:$H,0,0)),"")</f>
        <v>1800</v>
      </c>
      <c r="CB53" s="71"/>
      <c r="CC53" s="32"/>
      <c r="CD53" s="72" t="str">
        <f t="array" ref="CD53">IFERROR(IF(XLOOKUP(CONCAT(CB53,CC53),'MASTER PLAN'!$AB:$AB,'MASTER PLAN'!$J:$J,0,0)=0,"",XLOOKUP(CONCAT(CB53,CC53),'MASTER PLAN'!$AB:$AB,'MASTER PLAN'!$J:$J,0,0)),"")</f>
        <v/>
      </c>
      <c r="CE53" s="73" t="str">
        <f t="array" ref="CE53">IFERROR(IF(XLOOKUP(CONCAT(CB53,CC53),'PROCESOS PRD'!$J:$J,'PROCESOS PRD'!$H:$H,0,0)=0,"",XLOOKUP(CONCAT(CB53,CC53),'PROCESOS PRD'!$J:$J,'PROCESOS PRD'!$H:$H,0,0)),"")</f>
        <v/>
      </c>
      <c r="CF53" s="71"/>
      <c r="CG53" s="32"/>
      <c r="CH53" s="72" t="str">
        <f t="array" ref="CH53">IFERROR(IF(XLOOKUP(CONCAT(CF53,CG53),'MASTER PLAN'!$AB:$AB,'MASTER PLAN'!$J:$J,0,0)=0,"",XLOOKUP(CONCAT(CF53,CG53),'MASTER PLAN'!$AB:$AB,'MASTER PLAN'!$J:$J,0,0)),"")</f>
        <v/>
      </c>
      <c r="CI53" s="73" t="str">
        <f t="array" ref="CI53">IFERROR(IF(XLOOKUP(CONCAT(CF53,CG53),'PROCESOS PRD'!$J:$J,'PROCESOS PRD'!$H:$H,0,0)=0,"",XLOOKUP(CONCAT(CF53,CG53),'PROCESOS PRD'!$J:$J,'PROCESOS PRD'!$H:$H,0,0)),"")</f>
        <v/>
      </c>
      <c r="CJ53" s="71"/>
      <c r="CK53" s="32"/>
      <c r="CL53" s="72" t="str">
        <f t="array" ref="CL53">IFERROR(IF(XLOOKUP(CONCAT(CJ53,CK53),'MASTER PLAN'!$AB:$AB,'MASTER PLAN'!$J:$J,0,0)=0,"",XLOOKUP(CONCAT(CJ53,CK53),'MASTER PLAN'!$AB:$AB,'MASTER PLAN'!$J:$J,0,0)),"")</f>
        <v/>
      </c>
      <c r="CM53" s="73" t="str">
        <f t="array" ref="CM53">IFERROR(IF(XLOOKUP(CONCAT(CJ53,CK53),'PROCESOS PRD'!$J:$J,'PROCESOS PRD'!$H:$H,0,0)=0,"",XLOOKUP(CONCAT(CJ53,CK53),'PROCESOS PRD'!$J:$J,'PROCESOS PRD'!$H:$H,0,0)),"")</f>
        <v/>
      </c>
      <c r="CN53" s="71"/>
      <c r="CO53" s="32"/>
      <c r="CP53" s="72" t="str">
        <f t="array" ref="CP53">IFERROR(IF(XLOOKUP(CONCAT(CN53,CO53),'MASTER PLAN'!$AB:$AB,'MASTER PLAN'!$J:$J,0,0)=0,"",XLOOKUP(CONCAT(CN53,CO53),'MASTER PLAN'!$AB:$AB,'MASTER PLAN'!$J:$J,0,0)),"")</f>
        <v/>
      </c>
      <c r="CQ53" s="73" t="str">
        <f t="array" ref="CQ53">IFERROR(IF(XLOOKUP(CONCAT(CN53,CO53),'PROCESOS PRD'!$J:$J,'PROCESOS PRD'!$H:$H,0,0)=0,"",XLOOKUP(CONCAT(CN53,CO53),'PROCESOS PRD'!$J:$J,'PROCESOS PRD'!$H:$H,0,0)),"")</f>
        <v/>
      </c>
      <c r="CR53" s="70"/>
      <c r="CS53" s="71"/>
      <c r="CT53" s="32"/>
      <c r="CU53" s="72" t="str">
        <f t="array" ref="CU53">IFERROR(IF(XLOOKUP(CONCAT(CS53,CT53),'MASTER PLAN'!$AB:$AB,'MASTER PLAN'!$J:$J,0,0)=0,"",XLOOKUP(CONCAT(CS53,CT53),'MASTER PLAN'!$AB:$AB,'MASTER PLAN'!$J:$J,0,0)),"")</f>
        <v/>
      </c>
      <c r="CV53" s="73" t="str">
        <f t="array" ref="CV53">IFERROR(IF(XLOOKUP(CONCAT(CS53,CT53),'PROCESOS PRD'!$J:$J,'PROCESOS PRD'!$H:$H,0,0)=0,"",XLOOKUP(CONCAT(CS53,CT53),'PROCESOS PRD'!$J:$J,'PROCESOS PRD'!$H:$H,0,0)),"")</f>
        <v/>
      </c>
      <c r="CW53" s="71">
        <v>1.402049507E9</v>
      </c>
      <c r="CX53" s="32">
        <v>10.0</v>
      </c>
      <c r="CY53" s="72" t="str">
        <f t="array" ref="CY53">IFERROR(IF(XLOOKUP(CONCAT(CW53,CX53),'MASTER PLAN'!$AB:$AB,'MASTER PLAN'!$J:$J,0,0)=0,"",XLOOKUP(CONCAT(CW53,CX53),'MASTER PLAN'!$AB:$AB,'MASTER PLAN'!$J:$J,0,0)),"")</f>
        <v>BOLSA NA HOKU 159X90X210MM</v>
      </c>
      <c r="CZ53" s="73">
        <f t="array" ref="CZ53">IFERROR(IF(XLOOKUP(CONCAT(CW53,CX53),'PROCESOS PRD'!$J:$J,'PROCESOS PRD'!$H:$H,0,0)=0,"",XLOOKUP(CONCAT(CW53,CX53),'PROCESOS PRD'!$J:$J,'PROCESOS PRD'!$H:$H,0,0)),"")</f>
        <v>12000</v>
      </c>
      <c r="DA53" s="71"/>
      <c r="DB53" s="32"/>
      <c r="DC53" s="72" t="str">
        <f t="array" ref="DC53">IFERROR(IF(XLOOKUP(CONCAT(DA53,DB53),'MASTER PLAN'!$AB:$AB,'MASTER PLAN'!$J:$J,0,0)=0,"",XLOOKUP(CONCAT(DA53,DB53),'MASTER PLAN'!$AB:$AB,'MASTER PLAN'!$J:$J,0,0)),"")</f>
        <v/>
      </c>
      <c r="DD53" s="73" t="str">
        <f t="array" ref="DD53">IFERROR(IF(XLOOKUP(CONCAT(DA53,DB53),'PROCESOS PRD'!$J:$J,'PROCESOS PRD'!$H:$H,0,0)=0,"",XLOOKUP(CONCAT(DA53,DB53),'PROCESOS PRD'!$J:$J,'PROCESOS PRD'!$H:$H,0,0)),"")</f>
        <v/>
      </c>
      <c r="DE53" s="71"/>
      <c r="DF53" s="32"/>
      <c r="DG53" s="72" t="str">
        <f t="array" ref="DG53">IFERROR(IF(XLOOKUP(CONCAT(DE53,DF53),'MASTER PLAN'!$AB:$AB,'MASTER PLAN'!$J:$J,0,0)=0,"",XLOOKUP(CONCAT(DE53,DF53),'MASTER PLAN'!$AB:$AB,'MASTER PLAN'!$J:$J,0,0)),"")</f>
        <v/>
      </c>
      <c r="DH53" s="73" t="str">
        <f t="array" ref="DH53">IFERROR(IF(XLOOKUP(CONCAT(DE53,DF53),'PROCESOS PRD'!$J:$J,'PROCESOS PRD'!$H:$H,0,0)=0,"",XLOOKUP(CONCAT(DE53,DF53),'PROCESOS PRD'!$J:$J,'PROCESOS PRD'!$H:$H,0,0)),"")</f>
        <v/>
      </c>
      <c r="DI53" s="71"/>
      <c r="DJ53" s="32"/>
      <c r="DK53" s="72" t="str">
        <f t="array" ref="DK53">IFERROR(IF(XLOOKUP(CONCAT(DI53,DJ53),'MASTER PLAN'!$AB:$AB,'MASTER PLAN'!$J:$J,0,0)=0,"",XLOOKUP(CONCAT(DI53,DJ53),'MASTER PLAN'!$AB:$AB,'MASTER PLAN'!$J:$J,0,0)),"")</f>
        <v/>
      </c>
      <c r="DL53" s="73" t="str">
        <f t="array" ref="DL53">IFERROR(IF(XLOOKUP(CONCAT(DI53,DJ53),'PROCESOS PRD'!$J:$J,'PROCESOS PRD'!$H:$H,0,0)=0,"",XLOOKUP(CONCAT(DI53,DJ53),'PROCESOS PRD'!$J:$J,'PROCESOS PRD'!$H:$H,0,0)),"")</f>
        <v/>
      </c>
      <c r="DM53" s="71"/>
      <c r="DN53" s="32"/>
      <c r="DO53" s="72" t="str">
        <f t="array" ref="DO53">IFERROR(IF(XLOOKUP(CONCAT(DM53,DN53),'MASTER PLAN'!$AB:$AB,'MASTER PLAN'!$J:$J,0,0)=0,"",XLOOKUP(CONCAT(DM53,DN53),'MASTER PLAN'!$AB:$AB,'MASTER PLAN'!$J:$J,0,0)),"")</f>
        <v/>
      </c>
      <c r="DP53" s="73" t="str">
        <f t="array" ref="DP53">IFERROR(IF(XLOOKUP(CONCAT(DM53,DN53),'PROCESOS PRD'!$J:$J,'PROCESOS PRD'!$H:$H,0,0)=0,"",XLOOKUP(CONCAT(DM53,DN53),'PROCESOS PRD'!$J:$J,'PROCESOS PRD'!$H:$H,0,0)),"")</f>
        <v/>
      </c>
      <c r="DQ53" s="70"/>
      <c r="DR53" s="71"/>
      <c r="DS53" s="32"/>
      <c r="DT53" s="72" t="str">
        <f t="array" ref="DT53">IFERROR(IF(XLOOKUP(CONCAT(DR53,DS53),'MASTER PLAN'!$AB:$AB,'MASTER PLAN'!$J:$J,0,0)=0,"",XLOOKUP(CONCAT(DR53,DS53),'MASTER PLAN'!$AB:$AB,'MASTER PLAN'!$J:$J,0,0)),"")</f>
        <v/>
      </c>
      <c r="DU53" s="73" t="str">
        <f t="array" ref="DU53">IFERROR(IF(XLOOKUP(CONCAT(DR53,DS53),'PROCESOS PRD'!$J:$J,'PROCESOS PRD'!$H:$H,0,0)=0,"",XLOOKUP(CONCAT(DR53,DS53),'PROCESOS PRD'!$J:$J,'PROCESOS PRD'!$H:$H,0,0)),"")</f>
        <v/>
      </c>
      <c r="DV53" s="71"/>
      <c r="DW53" s="32"/>
      <c r="DX53" s="72" t="str">
        <f t="array" ref="DX53">IFERROR(IF(XLOOKUP(CONCAT(DV53,DW53),'MASTER PLAN'!$AB:$AB,'MASTER PLAN'!$J:$J,0,0)=0,"",XLOOKUP(CONCAT(DV53,DW53),'MASTER PLAN'!$AB:$AB,'MASTER PLAN'!$J:$J,0,0)),"")</f>
        <v/>
      </c>
      <c r="DY53" s="73" t="str">
        <f t="array" ref="DY53">IFERROR(IF(XLOOKUP(CONCAT(DV53,DW53),'PROCESOS PRD'!$J:$J,'PROCESOS PRD'!$H:$H,0,0)=0,"",XLOOKUP(CONCAT(DV53,DW53),'PROCESOS PRD'!$J:$J,'PROCESOS PRD'!$H:$H,0,0)),"")</f>
        <v/>
      </c>
      <c r="DZ53" s="71"/>
      <c r="EA53" s="32"/>
      <c r="EB53" s="72" t="str">
        <f t="array" ref="EB53">IFERROR(IF(XLOOKUP(CONCAT(DZ53,EA53),'MASTER PLAN'!$AB:$AB,'MASTER PLAN'!$J:$J,0,0)=0,"",XLOOKUP(CONCAT(DZ53,EA53),'MASTER PLAN'!$AB:$AB,'MASTER PLAN'!$J:$J,0,0)),"")</f>
        <v/>
      </c>
      <c r="EC53" s="73" t="str">
        <f t="array" ref="EC53">IFERROR(IF(XLOOKUP(CONCAT(DZ53,EA53),'PROCESOS PRD'!$J:$J,'PROCESOS PRD'!$H:$H,0,0)=0,"",XLOOKUP(CONCAT(DZ53,EA53),'PROCESOS PRD'!$J:$J,'PROCESOS PRD'!$H:$H,0,0)),"")</f>
        <v/>
      </c>
      <c r="ED53" s="71"/>
      <c r="EE53" s="32"/>
      <c r="EF53" s="72" t="str">
        <f t="array" ref="EF53">IFERROR(IF(XLOOKUP(CONCAT(ED53,EE53),'MASTER PLAN'!$AB:$AB,'MASTER PLAN'!$J:$J,0,0)=0,"",XLOOKUP(CONCAT(ED53,EE53),'MASTER PLAN'!$AB:$AB,'MASTER PLAN'!$J:$J,0,0)),"")</f>
        <v/>
      </c>
      <c r="EG53" s="73" t="str">
        <f t="array" ref="EG53">IFERROR(IF(XLOOKUP(CONCAT(ED53,EE53),'PROCESOS PRD'!$J:$J,'PROCESOS PRD'!$H:$H,0,0)=0,"",XLOOKUP(CONCAT(ED53,EE53),'PROCESOS PRD'!$J:$J,'PROCESOS PRD'!$H:$H,0,0)),"")</f>
        <v/>
      </c>
      <c r="EH53" s="71"/>
      <c r="EI53" s="32"/>
      <c r="EJ53" s="72" t="str">
        <f t="array" ref="EJ53">IFERROR(IF(XLOOKUP(CONCAT(EH53,EI53),'MASTER PLAN'!$AB:$AB,'MASTER PLAN'!$J:$J,0,0)=0,"",XLOOKUP(CONCAT(EH53,EI53),'MASTER PLAN'!$AB:$AB,'MASTER PLAN'!$J:$J,0,0)),"")</f>
        <v/>
      </c>
      <c r="EK53" s="73" t="str">
        <f t="array" ref="EK53">IFERROR(IF(XLOOKUP(CONCAT(EH53,EI53),'PROCESOS PRD'!$J:$J,'PROCESOS PRD'!$H:$H,0,0)=0,"",XLOOKUP(CONCAT(EH53,EI53),'PROCESOS PRD'!$J:$J,'PROCESOS PRD'!$H:$H,0,0)),"")</f>
        <v/>
      </c>
      <c r="EL53" s="71"/>
      <c r="EM53" s="32"/>
      <c r="EN53" s="72" t="str">
        <f t="array" ref="EN53">IFERROR(IF(XLOOKUP(CONCAT(EL53,EM53),'MASTER PLAN'!$AB:$AB,'MASTER PLAN'!$J:$J,0,0)=0,"",XLOOKUP(CONCAT(EL53,EM53),'MASTER PLAN'!$AB:$AB,'MASTER PLAN'!$J:$J,0,0)),"")</f>
        <v/>
      </c>
      <c r="EO53" s="73" t="str">
        <f t="array" ref="EO53">IFERROR(IF(XLOOKUP(CONCAT(EL53,EM53),'PROCESOS PRD'!$J:$J,'PROCESOS PRD'!$H:$H,0,0)=0,"",XLOOKUP(CONCAT(EL53,EM53),'PROCESOS PRD'!$J:$J,'PROCESOS PRD'!$H:$H,0,0)),"")</f>
        <v/>
      </c>
      <c r="EP53" s="70"/>
      <c r="EQ53" s="71"/>
      <c r="ER53" s="32"/>
      <c r="ES53" s="72" t="str">
        <f t="array" ref="ES53">IFERROR(IF(XLOOKUP(CONCAT(EQ53,ER53),'MASTER PLAN'!$AB:$AB,'MASTER PLAN'!$J:$J,0,0)=0,"",XLOOKUP(CONCAT(EQ53,ER53),'MASTER PLAN'!$AB:$AB,'MASTER PLAN'!$J:$J,0,0)),"")</f>
        <v/>
      </c>
      <c r="ET53" s="73" t="str">
        <f t="array" ref="ET53">IFERROR(IF(XLOOKUP(CONCAT(EQ53,ER53),'PROCESOS PRD'!$J:$J,'PROCESOS PRD'!$H:$H,0,0)=0,"",XLOOKUP(CONCAT(EQ53,ER53),'PROCESOS PRD'!$J:$J,'PROCESOS PRD'!$H:$H,0,0)),"")</f>
        <v/>
      </c>
      <c r="EU53" s="71"/>
      <c r="EV53" s="32"/>
      <c r="EW53" s="72" t="str">
        <f t="array" ref="EW53">IFERROR(IF(XLOOKUP(CONCAT(EU53,EV53),'MASTER PLAN'!$AB:$AB,'MASTER PLAN'!$J:$J,0,0)=0,"",XLOOKUP(CONCAT(EU53,EV53),'MASTER PLAN'!$AB:$AB,'MASTER PLAN'!$J:$J,0,0)),"")</f>
        <v/>
      </c>
      <c r="EX53" s="73" t="str">
        <f t="array" ref="EX53">IFERROR(IF(XLOOKUP(CONCAT(EU53,EV53),'PROCESOS PRD'!$J:$J,'PROCESOS PRD'!$H:$H,0,0)=0,"",XLOOKUP(CONCAT(EU53,EV53),'PROCESOS PRD'!$J:$J,'PROCESOS PRD'!$H:$H,0,0)),"")</f>
        <v/>
      </c>
      <c r="EY53" s="71"/>
      <c r="EZ53" s="32"/>
      <c r="FA53" s="72" t="str">
        <f t="array" ref="FA53">IFERROR(IF(XLOOKUP(CONCAT(EY53,EZ53),'MASTER PLAN'!$AB:$AB,'MASTER PLAN'!$J:$J,0,0)=0,"",XLOOKUP(CONCAT(EY53,EZ53),'MASTER PLAN'!$AB:$AB,'MASTER PLAN'!$J:$J,0,0)),"")</f>
        <v/>
      </c>
      <c r="FB53" s="73" t="str">
        <f t="array" ref="FB53">IFERROR(IF(XLOOKUP(CONCAT(EY53,EZ53),'PROCESOS PRD'!$J:$J,'PROCESOS PRD'!$H:$H,0,0)=0,"",XLOOKUP(CONCAT(EY53,EZ53),'PROCESOS PRD'!$J:$J,'PROCESOS PRD'!$H:$H,0,0)),"")</f>
        <v/>
      </c>
      <c r="FC53" s="71"/>
      <c r="FD53" s="32"/>
      <c r="FE53" s="72" t="str">
        <f t="array" ref="FE53">IFERROR(IF(XLOOKUP(CONCAT(FC53,FD53),'MASTER PLAN'!$AB:$AB,'MASTER PLAN'!$J:$J,0,0)=0,"",XLOOKUP(CONCAT(FC53,FD53),'MASTER PLAN'!$AB:$AB,'MASTER PLAN'!$J:$J,0,0)),"")</f>
        <v/>
      </c>
      <c r="FF53" s="73" t="str">
        <f t="array" ref="FF53">IFERROR(IF(XLOOKUP(CONCAT(FC53,FD53),'PROCESOS PRD'!$J:$J,'PROCESOS PRD'!$H:$H,0,0)=0,"",XLOOKUP(CONCAT(FC53,FD53),'PROCESOS PRD'!$J:$J,'PROCESOS PRD'!$H:$H,0,0)),"")</f>
        <v/>
      </c>
      <c r="FG53" s="71"/>
      <c r="FH53" s="32"/>
      <c r="FI53" s="72" t="str">
        <f t="array" ref="FI53">IFERROR(IF(XLOOKUP(CONCAT(FG53,FH53),'MASTER PLAN'!$AB:$AB,'MASTER PLAN'!$J:$J,0,0)=0,"",XLOOKUP(CONCAT(FG53,FH53),'MASTER PLAN'!$AB:$AB,'MASTER PLAN'!$J:$J,0,0)),"")</f>
        <v/>
      </c>
      <c r="FJ53" s="73" t="str">
        <f t="array" ref="FJ53">IFERROR(IF(XLOOKUP(CONCAT(FG53,FH53),'PROCESOS PRD'!$J:$J,'PROCESOS PRD'!$H:$H,0,0)=0,"",XLOOKUP(CONCAT(FG53,FH53),'PROCESOS PRD'!$J:$J,'PROCESOS PRD'!$H:$H,0,0)),"")</f>
        <v/>
      </c>
      <c r="FK53" s="71"/>
      <c r="FL53" s="32"/>
      <c r="FM53" s="72" t="str">
        <f t="array" ref="FM53">IFERROR(IF(XLOOKUP(CONCAT(FK53,FL53),'MASTER PLAN'!$AB:$AB,'MASTER PLAN'!$J:$J,0,0)=0,"",XLOOKUP(CONCAT(FK53,FL53),'MASTER PLAN'!$AB:$AB,'MASTER PLAN'!$J:$J,0,0)),"")</f>
        <v/>
      </c>
      <c r="FN53" s="73" t="str">
        <f t="array" ref="FN53">IFERROR(IF(XLOOKUP(CONCAT(FK53,FL53),'PROCESOS PRD'!$J:$J,'PROCESOS PRD'!$H:$H,0,0)=0,"",XLOOKUP(CONCAT(FK53,FL53),'PROCESOS PRD'!$J:$J,'PROCESOS PRD'!$H:$H,0,0)),"")</f>
        <v/>
      </c>
      <c r="FO53" s="70"/>
      <c r="FP53" s="71"/>
      <c r="FQ53" s="32"/>
      <c r="FR53" s="72" t="str">
        <f t="array" ref="FR53">IFERROR(IF(XLOOKUP(CONCAT(FP53,FQ53),'MASTER PLAN'!$AB:$AB,'MASTER PLAN'!$J:$J,0,0)=0,"",XLOOKUP(CONCAT(FP53,FQ53),'MASTER PLAN'!$AB:$AB,'MASTER PLAN'!$J:$J,0,0)),"")</f>
        <v/>
      </c>
      <c r="FS53" s="73" t="str">
        <f t="array" ref="FS53">IFERROR(IF(XLOOKUP(CONCAT(FP53,FQ53),'PROCESOS PRD'!$J:$J,'PROCESOS PRD'!$H:$H,0,0)=0,"",XLOOKUP(CONCAT(FP53,FQ53),'PROCESOS PRD'!$J:$J,'PROCESOS PRD'!$H:$H,0,0)),"")</f>
        <v/>
      </c>
      <c r="FT53" s="71"/>
      <c r="FU53" s="32"/>
      <c r="FV53" s="72" t="str">
        <f t="array" ref="FV53">IFERROR(IF(XLOOKUP(CONCAT(FT53,FU53),'MASTER PLAN'!$AB:$AB,'MASTER PLAN'!$J:$J,0,0)=0,"",XLOOKUP(CONCAT(FT53,FU53),'MASTER PLAN'!$AB:$AB,'MASTER PLAN'!$J:$J,0,0)),"")</f>
        <v/>
      </c>
      <c r="FW53" s="73" t="str">
        <f t="array" ref="FW53">IFERROR(IF(XLOOKUP(CONCAT(FT53,FU53),'PROCESOS PRD'!$J:$J,'PROCESOS PRD'!$H:$H,0,0)=0,"",XLOOKUP(CONCAT(FT53,FU53),'PROCESOS PRD'!$J:$J,'PROCESOS PRD'!$H:$H,0,0)),"")</f>
        <v/>
      </c>
      <c r="FX53" s="71"/>
      <c r="FY53" s="32"/>
      <c r="FZ53" s="72" t="str">
        <f t="array" ref="FZ53">IFERROR(IF(XLOOKUP(CONCAT(FX53,FY53),'MASTER PLAN'!$AB:$AB,'MASTER PLAN'!$J:$J,0,0)=0,"",XLOOKUP(CONCAT(FX53,FY53),'MASTER PLAN'!$AB:$AB,'MASTER PLAN'!$J:$J,0,0)),"")</f>
        <v/>
      </c>
      <c r="GA53" s="73" t="str">
        <f t="array" ref="GA53">IFERROR(IF(XLOOKUP(CONCAT(FX53,FY53),'PROCESOS PRD'!$J:$J,'PROCESOS PRD'!$H:$H,0,0)=0,"",XLOOKUP(CONCAT(FX53,FY53),'PROCESOS PRD'!$J:$J,'PROCESOS PRD'!$H:$H,0,0)),"")</f>
        <v/>
      </c>
      <c r="GB53" s="71"/>
      <c r="GC53" s="32"/>
      <c r="GD53" s="72" t="str">
        <f t="array" ref="GD53">IFERROR(IF(XLOOKUP(CONCAT(GB53,GC53),'MASTER PLAN'!$AB:$AB,'MASTER PLAN'!$J:$J,0,0)=0,"",XLOOKUP(CONCAT(GB53,GC53),'MASTER PLAN'!$AB:$AB,'MASTER PLAN'!$J:$J,0,0)),"")</f>
        <v/>
      </c>
      <c r="GE53" s="73" t="str">
        <f t="array" ref="GE53">IFERROR(IF(XLOOKUP(CONCAT(GB53,GC53),'PROCESOS PRD'!$J:$J,'PROCESOS PRD'!$H:$H,0,0)=0,"",XLOOKUP(CONCAT(GB53,GC53),'PROCESOS PRD'!$J:$J,'PROCESOS PRD'!$H:$H,0,0)),"")</f>
        <v/>
      </c>
      <c r="GF53" s="71"/>
      <c r="GG53" s="32"/>
      <c r="GH53" s="72" t="str">
        <f t="array" ref="GH53">IFERROR(IF(XLOOKUP(CONCAT(GF53,GG53),'MASTER PLAN'!$AB:$AB,'MASTER PLAN'!$J:$J,0,0)=0,"",XLOOKUP(CONCAT(GF53,GG53),'MASTER PLAN'!$AB:$AB,'MASTER PLAN'!$J:$J,0,0)),"")</f>
        <v/>
      </c>
      <c r="GI53" s="73" t="str">
        <f t="array" ref="GI53">IFERROR(IF(XLOOKUP(CONCAT(GF53,GG53),'PROCESOS PRD'!$J:$J,'PROCESOS PRD'!$H:$H,0,0)=0,"",XLOOKUP(CONCAT(GF53,GG53),'PROCESOS PRD'!$J:$J,'PROCESOS PRD'!$H:$H,0,0)),"")</f>
        <v/>
      </c>
      <c r="GJ53" s="71"/>
      <c r="GK53" s="32"/>
      <c r="GL53" s="72" t="str">
        <f t="array" ref="GL53">IFERROR(IF(XLOOKUP(CONCAT(GJ53,GK53),'MASTER PLAN'!$AB:$AB,'MASTER PLAN'!$J:$J,0,0)=0,"",XLOOKUP(CONCAT(GJ53,GK53),'MASTER PLAN'!$AB:$AB,'MASTER PLAN'!$J:$J,0,0)),"")</f>
        <v/>
      </c>
      <c r="GM53" s="73" t="str">
        <f t="array" ref="GM53">IFERROR(IF(XLOOKUP(CONCAT(GJ53,GK53),'PROCESOS PRD'!$J:$J,'PROCESOS PRD'!$H:$H,0,0)=0,"",XLOOKUP(CONCAT(GJ53,GK53),'PROCESOS PRD'!$J:$J,'PROCESOS PRD'!$H:$H,0,0)),"")</f>
        <v/>
      </c>
      <c r="GN53" s="70"/>
      <c r="GO53" s="71"/>
      <c r="GP53" s="32"/>
      <c r="GQ53" s="72" t="str">
        <f t="array" ref="GQ53">IFERROR(IF(XLOOKUP(CONCAT(GO53,GP53),'MASTER PLAN'!$AB:$AB,'MASTER PLAN'!$J:$J,0,0)=0,"",XLOOKUP(CONCAT(GO53,GP53),'MASTER PLAN'!$AB:$AB,'MASTER PLAN'!$J:$J,0,0)),"")</f>
        <v/>
      </c>
      <c r="GR53" s="73" t="str">
        <f t="array" ref="GR53">IFERROR(IF(XLOOKUP(CONCAT(GO53,GP53),'PROCESOS PRD'!$J:$J,'PROCESOS PRD'!$H:$H,0,0)=0,"",XLOOKUP(CONCAT(GO53,GP53),'PROCESOS PRD'!$J:$J,'PROCESOS PRD'!$H:$H,0,0)),"")</f>
        <v/>
      </c>
      <c r="GS53" s="71"/>
      <c r="GT53" s="32"/>
      <c r="GU53" s="72" t="str">
        <f t="array" ref="GU53">IFERROR(IF(XLOOKUP(CONCAT(GS53,GT53),'MASTER PLAN'!$AB:$AB,'MASTER PLAN'!$J:$J,0,0)=0,"",XLOOKUP(CONCAT(GS53,GT53),'MASTER PLAN'!$AB:$AB,'MASTER PLAN'!$J:$J,0,0)),"")</f>
        <v/>
      </c>
      <c r="GV53" s="73" t="str">
        <f t="array" ref="GV53">IFERROR(IF(XLOOKUP(CONCAT(GS53,GT53),'PROCESOS PRD'!$J:$J,'PROCESOS PRD'!$H:$H,0,0)=0,"",XLOOKUP(CONCAT(GS53,GT53),'PROCESOS PRD'!$J:$J,'PROCESOS PRD'!$H:$H,0,0)),"")</f>
        <v/>
      </c>
      <c r="GW53" s="71"/>
      <c r="GX53" s="32"/>
      <c r="GY53" s="72" t="str">
        <f t="array" ref="GY53">IFERROR(IF(XLOOKUP(CONCAT(GW53,GX53),'MASTER PLAN'!$AB:$AB,'MASTER PLAN'!$J:$J,0,0)=0,"",XLOOKUP(CONCAT(GW53,GX53),'MASTER PLAN'!$AB:$AB,'MASTER PLAN'!$J:$J,0,0)),"")</f>
        <v/>
      </c>
      <c r="GZ53" s="73" t="str">
        <f t="array" ref="GZ53">IFERROR(IF(XLOOKUP(CONCAT(GW53,GX53),'PROCESOS PRD'!$J:$J,'PROCESOS PRD'!$H:$H,0,0)=0,"",XLOOKUP(CONCAT(GW53,GX53),'PROCESOS PRD'!$J:$J,'PROCESOS PRD'!$H:$H,0,0)),"")</f>
        <v/>
      </c>
      <c r="HA53" s="71"/>
      <c r="HB53" s="32"/>
      <c r="HC53" s="72" t="str">
        <f t="array" ref="HC53">IFERROR(IF(XLOOKUP(CONCAT(HA53,HB53),'MASTER PLAN'!$AB:$AB,'MASTER PLAN'!$J:$J,0,0)=0,"",XLOOKUP(CONCAT(HA53,HB53),'MASTER PLAN'!$AB:$AB,'MASTER PLAN'!$J:$J,0,0)),"")</f>
        <v/>
      </c>
      <c r="HD53" s="73" t="str">
        <f t="array" ref="HD53">IFERROR(IF(XLOOKUP(CONCAT(HA53,HB53),'PROCESOS PRD'!$J:$J,'PROCESOS PRD'!$H:$H,0,0)=0,"",XLOOKUP(CONCAT(HA53,HB53),'PROCESOS PRD'!$J:$J,'PROCESOS PRD'!$H:$H,0,0)),"")</f>
        <v/>
      </c>
      <c r="HE53" s="71"/>
      <c r="HF53" s="32"/>
      <c r="HG53" s="72" t="str">
        <f t="array" ref="HG53">IFERROR(IF(XLOOKUP(CONCAT(HE53,HF53),'MASTER PLAN'!$AB:$AB,'MASTER PLAN'!$J:$J,0,0)=0,"",XLOOKUP(CONCAT(HE53,HF53),'MASTER PLAN'!$AB:$AB,'MASTER PLAN'!$J:$J,0,0)),"")</f>
        <v/>
      </c>
      <c r="HH53" s="73" t="str">
        <f t="array" ref="HH53">IFERROR(IF(XLOOKUP(CONCAT(HE53,HF53),'PROCESOS PRD'!$J:$J,'PROCESOS PRD'!$H:$H,0,0)=0,"",XLOOKUP(CONCAT(HE53,HF53),'PROCESOS PRD'!$J:$J,'PROCESOS PRD'!$H:$H,0,0)),"")</f>
        <v/>
      </c>
      <c r="HI53" s="71"/>
      <c r="HJ53" s="32"/>
      <c r="HK53" s="72" t="str">
        <f t="array" ref="HK53">IFERROR(IF(XLOOKUP(CONCAT(HI53,HJ53),'MASTER PLAN'!$AB:$AB,'MASTER PLAN'!$J:$J,0,0)=0,"",XLOOKUP(CONCAT(HI53,HJ53),'MASTER PLAN'!$AB:$AB,'MASTER PLAN'!$J:$J,0,0)),"")</f>
        <v/>
      </c>
      <c r="HL53" s="73" t="str">
        <f t="array" ref="HL53">IFERROR(IF(XLOOKUP(CONCAT(HI53,HJ53),'PROCESOS PRD'!$J:$J,'PROCESOS PRD'!$H:$H,0,0)=0,"",XLOOKUP(CONCAT(HI53,HJ53),'PROCESOS PRD'!$J:$J,'PROCESOS PRD'!$H:$H,0,0)),"")</f>
        <v/>
      </c>
      <c r="HM53" s="70"/>
      <c r="HN53" s="71"/>
      <c r="HO53" s="32"/>
      <c r="HP53" s="72" t="str">
        <f t="array" ref="HP53">IFERROR(IF(XLOOKUP(CONCAT(HN53,HO53),'MASTER PLAN'!$AB:$AB,'MASTER PLAN'!$J:$J,0,0)=0,"",XLOOKUP(CONCAT(HN53,HO53),'MASTER PLAN'!$AB:$AB,'MASTER PLAN'!$J:$J,0,0)),"")</f>
        <v/>
      </c>
      <c r="HQ53" s="73" t="str">
        <f t="array" ref="HQ53">IFERROR(IF(XLOOKUP(CONCAT(HN53,HO53),'PROCESOS PRD'!$J:$J,'PROCESOS PRD'!$H:$H,0,0)=0,"",XLOOKUP(CONCAT(HN53,HO53),'PROCESOS PRD'!$J:$J,'PROCESOS PRD'!$H:$H,0,0)),"")</f>
        <v/>
      </c>
      <c r="HR53" s="71"/>
      <c r="HS53" s="32"/>
      <c r="HT53" s="72" t="str">
        <f t="array" ref="HT53">IFERROR(IF(XLOOKUP(CONCAT(HR53,HS53),'MASTER PLAN'!$AB:$AB,'MASTER PLAN'!$J:$J,0,0)=0,"",XLOOKUP(CONCAT(HR53,HS53),'MASTER PLAN'!$AB:$AB,'MASTER PLAN'!$J:$J,0,0)),"")</f>
        <v/>
      </c>
      <c r="HU53" s="73" t="str">
        <f t="array" ref="HU53">IFERROR(IF(XLOOKUP(CONCAT(HR53,HS53),'PROCESOS PRD'!$J:$J,'PROCESOS PRD'!$H:$H,0,0)=0,"",XLOOKUP(CONCAT(HR53,HS53),'PROCESOS PRD'!$J:$J,'PROCESOS PRD'!$H:$H,0,0)),"")</f>
        <v/>
      </c>
      <c r="HV53" s="71"/>
      <c r="HW53" s="32"/>
      <c r="HX53" s="72" t="str">
        <f t="array" ref="HX53">IFERROR(IF(XLOOKUP(CONCAT(HV53,HW53),'MASTER PLAN'!$AB:$AB,'MASTER PLAN'!$J:$J,0,0)=0,"",XLOOKUP(CONCAT(HV53,HW53),'MASTER PLAN'!$AB:$AB,'MASTER PLAN'!$J:$J,0,0)),"")</f>
        <v/>
      </c>
      <c r="HY53" s="73" t="str">
        <f t="array" ref="HY53">IFERROR(IF(XLOOKUP(CONCAT(HV53,HW53),'PROCESOS PRD'!$J:$J,'PROCESOS PRD'!$H:$H,0,0)=0,"",XLOOKUP(CONCAT(HV53,HW53),'PROCESOS PRD'!$J:$J,'PROCESOS PRD'!$H:$H,0,0)),"")</f>
        <v/>
      </c>
      <c r="HZ53" s="71"/>
      <c r="IA53" s="32"/>
      <c r="IB53" s="72" t="str">
        <f t="array" ref="IB53">IFERROR(IF(XLOOKUP(CONCAT(HZ53,IA53),'MASTER PLAN'!$AB:$AB,'MASTER PLAN'!$J:$J,0,0)=0,"",XLOOKUP(CONCAT(HZ53,IA53),'MASTER PLAN'!$AB:$AB,'MASTER PLAN'!$J:$J,0,0)),"")</f>
        <v/>
      </c>
      <c r="IC53" s="73" t="str">
        <f t="array" ref="IC53">IFERROR(IF(XLOOKUP(CONCAT(HZ53,IA53),'PROCESOS PRD'!$J:$J,'PROCESOS PRD'!$H:$H,0,0)=0,"",XLOOKUP(CONCAT(HZ53,IA53),'PROCESOS PRD'!$J:$J,'PROCESOS PRD'!$H:$H,0,0)),"")</f>
        <v/>
      </c>
      <c r="ID53" s="71"/>
      <c r="IE53" s="32"/>
      <c r="IF53" s="72" t="str">
        <f t="array" ref="IF53">IFERROR(IF(XLOOKUP(CONCAT(ID53,IE53),'MASTER PLAN'!$AB:$AB,'MASTER PLAN'!$J:$J,0,0)=0,"",XLOOKUP(CONCAT(ID53,IE53),'MASTER PLAN'!$AB:$AB,'MASTER PLAN'!$J:$J,0,0)),"")</f>
        <v/>
      </c>
      <c r="IG53" s="73" t="str">
        <f t="array" ref="IG53">IFERROR(IF(XLOOKUP(CONCAT(ID53,IE53),'PROCESOS PRD'!$J:$J,'PROCESOS PRD'!$H:$H,0,0)=0,"",XLOOKUP(CONCAT(ID53,IE53),'PROCESOS PRD'!$J:$J,'PROCESOS PRD'!$H:$H,0,0)),"")</f>
        <v/>
      </c>
      <c r="IH53" s="71"/>
      <c r="II53" s="32"/>
      <c r="IJ53" s="72" t="str">
        <f t="array" ref="IJ53">IFERROR(IF(XLOOKUP(CONCAT(IH53,II53),'MASTER PLAN'!$AB:$AB,'MASTER PLAN'!$J:$J,0,0)=0,"",XLOOKUP(CONCAT(IH53,II53),'MASTER PLAN'!$AB:$AB,'MASTER PLAN'!$J:$J,0,0)),"")</f>
        <v/>
      </c>
      <c r="IK53" s="73" t="str">
        <f t="array" ref="IK53">IFERROR(IF(XLOOKUP(CONCAT(IH53,II53),'PROCESOS PRD'!$J:$J,'PROCESOS PRD'!$H:$H,0,0)=0,"",XLOOKUP(CONCAT(IH53,II53),'PROCESOS PRD'!$J:$J,'PROCESOS PRD'!$H:$H,0,0)),"")</f>
        <v/>
      </c>
      <c r="IL53" s="70"/>
      <c r="IM53" s="71"/>
      <c r="IN53" s="32"/>
      <c r="IO53" s="72" t="str">
        <f t="array" ref="IO53">IFERROR(IF(XLOOKUP(CONCAT(IM53,IN53),'MASTER PLAN'!$AB:$AB,'MASTER PLAN'!$J:$J,0,0)=0,"",XLOOKUP(CONCAT(IM53,IN53),'MASTER PLAN'!$AB:$AB,'MASTER PLAN'!$J:$J,0,0)),"")</f>
        <v/>
      </c>
      <c r="IP53" s="73" t="str">
        <f t="array" ref="IP53">IFERROR(IF(XLOOKUP(CONCAT(IM53,IN53),'PROCESOS PRD'!$J:$J,'PROCESOS PRD'!$H:$H,0,0)=0,"",XLOOKUP(CONCAT(IM53,IN53),'PROCESOS PRD'!$J:$J,'PROCESOS PRD'!$H:$H,0,0)),"")</f>
        <v/>
      </c>
      <c r="IQ53" s="71"/>
      <c r="IR53" s="32"/>
      <c r="IS53" s="72" t="str">
        <f t="array" ref="IS53">IFERROR(IF(XLOOKUP(CONCAT(IQ53,IR53),'MASTER PLAN'!$AB:$AB,'MASTER PLAN'!$J:$J,0,0)=0,"",XLOOKUP(CONCAT(IQ53,IR53),'MASTER PLAN'!$AB:$AB,'MASTER PLAN'!$J:$J,0,0)),"")</f>
        <v/>
      </c>
      <c r="IT53" s="73" t="str">
        <f t="array" ref="IT53">IFERROR(IF(XLOOKUP(CONCAT(IQ53,IR53),'PROCESOS PRD'!$J:$J,'PROCESOS PRD'!$H:$H,0,0)=0,"",XLOOKUP(CONCAT(IQ53,IR53),'PROCESOS PRD'!$J:$J,'PROCESOS PRD'!$H:$H,0,0)),"")</f>
        <v/>
      </c>
      <c r="IU53" s="71"/>
      <c r="IV53" s="32"/>
      <c r="IW53" s="72" t="str">
        <f t="array" ref="IW53">IFERROR(IF(XLOOKUP(CONCAT(IU53,IV53),'MASTER PLAN'!$AB:$AB,'MASTER PLAN'!$J:$J,0,0)=0,"",XLOOKUP(CONCAT(IU53,IV53),'MASTER PLAN'!$AB:$AB,'MASTER PLAN'!$J:$J,0,0)),"")</f>
        <v/>
      </c>
      <c r="IX53" s="73" t="str">
        <f t="array" ref="IX53">IFERROR(IF(XLOOKUP(CONCAT(IU53,IV53),'PROCESOS PRD'!$J:$J,'PROCESOS PRD'!$H:$H,0,0)=0,"",XLOOKUP(CONCAT(IU53,IV53),'PROCESOS PRD'!$J:$J,'PROCESOS PRD'!$H:$H,0,0)),"")</f>
        <v/>
      </c>
      <c r="IY53" s="71"/>
      <c r="IZ53" s="32"/>
      <c r="JA53" s="72" t="str">
        <f t="array" ref="JA53">IFERROR(IF(XLOOKUP(CONCAT(IY53,IZ53),'MASTER PLAN'!$AB:$AB,'MASTER PLAN'!$J:$J,0,0)=0,"",XLOOKUP(CONCAT(IY53,IZ53),'MASTER PLAN'!$AB:$AB,'MASTER PLAN'!$J:$J,0,0)),"")</f>
        <v/>
      </c>
      <c r="JB53" s="73" t="str">
        <f t="array" ref="JB53">IFERROR(IF(XLOOKUP(CONCAT(IY53,IZ53),'PROCESOS PRD'!$J:$J,'PROCESOS PRD'!$H:$H,0,0)=0,"",XLOOKUP(CONCAT(IY53,IZ53),'PROCESOS PRD'!$J:$J,'PROCESOS PRD'!$H:$H,0,0)),"")</f>
        <v/>
      </c>
      <c r="JC53" s="71"/>
      <c r="JD53" s="32"/>
      <c r="JE53" s="72" t="str">
        <f t="array" ref="JE53">IFERROR(IF(XLOOKUP(CONCAT(JC53,JD53),'MASTER PLAN'!$AB:$AB,'MASTER PLAN'!$J:$J,0,0)=0,"",XLOOKUP(CONCAT(JC53,JD53),'MASTER PLAN'!$AB:$AB,'MASTER PLAN'!$J:$J,0,0)),"")</f>
        <v/>
      </c>
      <c r="JF53" s="73" t="str">
        <f t="array" ref="JF53">IFERROR(IF(XLOOKUP(CONCAT(JC53,JD53),'PROCESOS PRD'!$J:$J,'PROCESOS PRD'!$H:$H,0,0)=0,"",XLOOKUP(CONCAT(JC53,JD53),'PROCESOS PRD'!$J:$J,'PROCESOS PRD'!$H:$H,0,0)),"")</f>
        <v/>
      </c>
      <c r="JG53" s="71"/>
      <c r="JH53" s="32"/>
      <c r="JI53" s="72" t="str">
        <f t="array" ref="JI53">IFERROR(IF(XLOOKUP(CONCAT(JG53,JH53),'MASTER PLAN'!$AB:$AB,'MASTER PLAN'!$J:$J,0,0)=0,"",XLOOKUP(CONCAT(JG53,JH53),'MASTER PLAN'!$AB:$AB,'MASTER PLAN'!$J:$J,0,0)),"")</f>
        <v/>
      </c>
      <c r="JJ53" s="73" t="str">
        <f t="array" ref="JJ53">IFERROR(IF(XLOOKUP(CONCAT(JG53,JH53),'PROCESOS PRD'!$J:$J,'PROCESOS PRD'!$H:$H,0,0)=0,"",XLOOKUP(CONCAT(JG53,JH53),'PROCESOS PRD'!$J:$J,'PROCESOS PRD'!$H:$H,0,0)),"")</f>
        <v/>
      </c>
      <c r="JK53" s="70"/>
      <c r="JL53" s="71"/>
      <c r="JM53" s="32"/>
      <c r="JN53" s="72" t="str">
        <f t="array" ref="JN53">IFERROR(IF(XLOOKUP(CONCAT(JL53,JM53),'MASTER PLAN'!$AB:$AB,'MASTER PLAN'!$J:$J,0,0)=0,"",XLOOKUP(CONCAT(JL53,JM53),'MASTER PLAN'!$AB:$AB,'MASTER PLAN'!$J:$J,0,0)),"")</f>
        <v/>
      </c>
      <c r="JO53" s="73" t="str">
        <f t="array" ref="JO53">IFERROR(IF(XLOOKUP(CONCAT(JL53,JM53),'PROCESOS PRD'!$J:$J,'PROCESOS PRD'!$H:$H,0,0)=0,"",XLOOKUP(CONCAT(JL53,JM53),'PROCESOS PRD'!$J:$J,'PROCESOS PRD'!$H:$H,0,0)),"")</f>
        <v/>
      </c>
      <c r="JP53" s="71"/>
      <c r="JQ53" s="32"/>
      <c r="JR53" s="72" t="str">
        <f t="array" ref="JR53">IFERROR(IF(XLOOKUP(CONCAT(JP53,JQ53),'MASTER PLAN'!$AB:$AB,'MASTER PLAN'!$J:$J,0,0)=0,"",XLOOKUP(CONCAT(JP53,JQ53),'MASTER PLAN'!$AB:$AB,'MASTER PLAN'!$J:$J,0,0)),"")</f>
        <v/>
      </c>
      <c r="JS53" s="73" t="str">
        <f t="array" ref="JS53">IFERROR(IF(XLOOKUP(CONCAT(JP53,JQ53),'PROCESOS PRD'!$J:$J,'PROCESOS PRD'!$H:$H,0,0)=0,"",XLOOKUP(CONCAT(JP53,JQ53),'PROCESOS PRD'!$J:$J,'PROCESOS PRD'!$H:$H,0,0)),"")</f>
        <v/>
      </c>
      <c r="JT53" s="71"/>
      <c r="JU53" s="32"/>
      <c r="JV53" s="72" t="str">
        <f t="array" ref="JV53">IFERROR(IF(XLOOKUP(CONCAT(JT53,JU53),'MASTER PLAN'!$AB:$AB,'MASTER PLAN'!$J:$J,0,0)=0,"",XLOOKUP(CONCAT(JT53,JU53),'MASTER PLAN'!$AB:$AB,'MASTER PLAN'!$J:$J,0,0)),"")</f>
        <v/>
      </c>
      <c r="JW53" s="73" t="str">
        <f t="array" ref="JW53">IFERROR(IF(XLOOKUP(CONCAT(JT53,JU53),'PROCESOS PRD'!$J:$J,'PROCESOS PRD'!$H:$H,0,0)=0,"",XLOOKUP(CONCAT(JT53,JU53),'PROCESOS PRD'!$J:$J,'PROCESOS PRD'!$H:$H,0,0)),"")</f>
        <v/>
      </c>
      <c r="JX53" s="71"/>
      <c r="JY53" s="32"/>
      <c r="JZ53" s="72" t="str">
        <f t="array" ref="JZ53">IFERROR(IF(XLOOKUP(CONCAT(JX53,JY53),'MASTER PLAN'!$AB:$AB,'MASTER PLAN'!$J:$J,0,0)=0,"",XLOOKUP(CONCAT(JX53,JY53),'MASTER PLAN'!$AB:$AB,'MASTER PLAN'!$J:$J,0,0)),"")</f>
        <v/>
      </c>
      <c r="KA53" s="73" t="str">
        <f t="array" ref="KA53">IFERROR(IF(XLOOKUP(CONCAT(JX53,JY53),'PROCESOS PRD'!$J:$J,'PROCESOS PRD'!$H:$H,0,0)=0,"",XLOOKUP(CONCAT(JX53,JY53),'PROCESOS PRD'!$J:$J,'PROCESOS PRD'!$H:$H,0,0)),"")</f>
        <v/>
      </c>
      <c r="KB53" s="71"/>
      <c r="KC53" s="32"/>
      <c r="KD53" s="72" t="str">
        <f t="array" ref="KD53">IFERROR(IF(XLOOKUP(CONCAT(KB53,KC53),'MASTER PLAN'!$AB:$AB,'MASTER PLAN'!$J:$J,0,0)=0,"",XLOOKUP(CONCAT(KB53,KC53),'MASTER PLAN'!$AB:$AB,'MASTER PLAN'!$J:$J,0,0)),"")</f>
        <v/>
      </c>
      <c r="KE53" s="73" t="str">
        <f t="array" ref="KE53">IFERROR(IF(XLOOKUP(CONCAT(KB53,KC53),'PROCESOS PRD'!$J:$J,'PROCESOS PRD'!$H:$H,0,0)=0,"",XLOOKUP(CONCAT(KB53,KC53),'PROCESOS PRD'!$J:$J,'PROCESOS PRD'!$H:$H,0,0)),"")</f>
        <v/>
      </c>
      <c r="KF53" s="71"/>
      <c r="KG53" s="32"/>
      <c r="KH53" s="72" t="str">
        <f t="array" ref="KH53">IFERROR(IF(XLOOKUP(CONCAT(KF53,KG53),'MASTER PLAN'!$AB:$AB,'MASTER PLAN'!$J:$J,0,0)=0,"",XLOOKUP(CONCAT(KF53,KG53),'MASTER PLAN'!$AB:$AB,'MASTER PLAN'!$J:$J,0,0)),"")</f>
        <v/>
      </c>
      <c r="KI53" s="73" t="str">
        <f t="array" ref="KI53">IFERROR(IF(XLOOKUP(CONCAT(KF53,KG53),'PROCESOS PRD'!$J:$J,'PROCESOS PRD'!$H:$H,0,0)=0,"",XLOOKUP(CONCAT(KF53,KG53),'PROCESOS PRD'!$J:$J,'PROCESOS PRD'!$H:$H,0,0)),"")</f>
        <v/>
      </c>
      <c r="KJ53" s="70"/>
      <c r="KK53" s="70"/>
      <c r="KL53" s="70"/>
      <c r="KM53" s="70"/>
      <c r="KN53" s="70"/>
      <c r="KO53" s="70"/>
      <c r="KP53" s="70"/>
      <c r="KQ53" s="70"/>
      <c r="KR53" s="70"/>
      <c r="KS53" s="70"/>
      <c r="KT53" s="70"/>
      <c r="KU53" s="70"/>
      <c r="KV53" s="70"/>
      <c r="KW53" s="70"/>
      <c r="KX53" s="70"/>
      <c r="KY53" s="70"/>
      <c r="KZ53" s="70"/>
      <c r="LA53" s="70"/>
      <c r="LB53" s="70"/>
      <c r="LC53" s="70"/>
    </row>
    <row r="54" ht="15.75" customHeight="1">
      <c r="A54" s="42"/>
      <c r="B54" s="74"/>
      <c r="C54" s="69"/>
      <c r="D54" s="70"/>
      <c r="E54" s="71"/>
      <c r="F54" s="32"/>
      <c r="G54" s="72" t="str">
        <f t="array" ref="G54">IFERROR(IF(XLOOKUP(CONCAT(E54,F54),'MASTER PLAN'!$AB:$AB,'MASTER PLAN'!$J:$J,0,0)=0,"",XLOOKUP(CONCAT(E54,F54),'MASTER PLAN'!$AB:$AB,'MASTER PLAN'!$J:$J,0,0)),"")</f>
        <v/>
      </c>
      <c r="H54" s="73" t="str">
        <f t="array" ref="H54">IFERROR(IF(XLOOKUP(CONCAT(E54,F54),'PROCESOS PRD'!$J:$J,'PROCESOS PRD'!$H:$H,0,0)=0,"",XLOOKUP(CONCAT(E54,F54),'PROCESOS PRD'!$J:$J,'PROCESOS PRD'!$H:$H,0,0)),"")</f>
        <v/>
      </c>
      <c r="I54" s="71"/>
      <c r="J54" s="32"/>
      <c r="K54" s="72" t="str">
        <f t="array" ref="K54">IFERROR(IF(XLOOKUP(CONCAT(I54,J54),'MASTER PLAN'!$AB:$AB,'MASTER PLAN'!$J:$J,0,0)=0,"",XLOOKUP(CONCAT(I54,J54),'MASTER PLAN'!$AB:$AB,'MASTER PLAN'!$J:$J,0,0)),"")</f>
        <v/>
      </c>
      <c r="L54" s="73" t="str">
        <f t="array" ref="L54">IFERROR(IF(XLOOKUP(CONCAT(I54,J54),'PROCESOS PRD'!$J:$J,'PROCESOS PRD'!$H:$H,0,0)=0,"",XLOOKUP(CONCAT(I54,J54),'PROCESOS PRD'!$J:$J,'PROCESOS PRD'!$H:$H,0,0)),"")</f>
        <v/>
      </c>
      <c r="M54" s="71"/>
      <c r="N54" s="32"/>
      <c r="O54" s="72" t="str">
        <f t="array" ref="O54">IFERROR(IF(XLOOKUP(CONCAT(M54,N54),'MASTER PLAN'!$AB:$AB,'MASTER PLAN'!$J:$J,0,0)=0,"",XLOOKUP(CONCAT(M54,N54),'MASTER PLAN'!$AB:$AB,'MASTER PLAN'!$J:$J,0,0)),"")</f>
        <v/>
      </c>
      <c r="P54" s="73" t="str">
        <f t="array" ref="P54">IFERROR(IF(XLOOKUP(CONCAT(M54,N54),'PROCESOS PRD'!$J:$J,'PROCESOS PRD'!$H:$H,0,0)=0,"",XLOOKUP(CONCAT(M54,N54),'PROCESOS PRD'!$J:$J,'PROCESOS PRD'!$H:$H,0,0)),"")</f>
        <v/>
      </c>
      <c r="Q54" s="71"/>
      <c r="R54" s="32"/>
      <c r="S54" s="72" t="str">
        <f t="array" ref="S54">IFERROR(IF(XLOOKUP(CONCAT(Q54,R54),'MASTER PLAN'!$AB:$AB,'MASTER PLAN'!$J:$J,0,0)=0,"",XLOOKUP(CONCAT(Q54,R54),'MASTER PLAN'!$AB:$AB,'MASTER PLAN'!$J:$J,0,0)),"")</f>
        <v/>
      </c>
      <c r="T54" s="73" t="str">
        <f t="array" ref="T54">IFERROR(IF(XLOOKUP(CONCAT(Q54,R54),'PROCESOS PRD'!$J:$J,'PROCESOS PRD'!$H:$H,0,0)=0,"",XLOOKUP(CONCAT(Q54,R54),'PROCESOS PRD'!$J:$J,'PROCESOS PRD'!$H:$H,0,0)),"")</f>
        <v/>
      </c>
      <c r="U54" s="70"/>
      <c r="V54" s="71"/>
      <c r="W54" s="32"/>
      <c r="X54" s="72" t="str">
        <f t="array" ref="X54">IFERROR(IF(XLOOKUP(CONCAT(V54,W54),'MASTER PLAN'!$AB:$AB,'MASTER PLAN'!$J:$J,0,0)=0,"",XLOOKUP(CONCAT(V54,W54),'MASTER PLAN'!$AB:$AB,'MASTER PLAN'!$J:$J,0,0)),"")</f>
        <v/>
      </c>
      <c r="Y54" s="73" t="str">
        <f t="array" ref="Y54">IFERROR(IF(XLOOKUP(CONCAT(V54,W54),'PROCESOS PRD'!$J:$J,'PROCESOS PRD'!$H:$H,0,0)=0,"",XLOOKUP(CONCAT(V54,W54),'PROCESOS PRD'!$J:$J,'PROCESOS PRD'!$H:$H,0,0)),"")</f>
        <v/>
      </c>
      <c r="Z54" s="71"/>
      <c r="AA54" s="32"/>
      <c r="AB54" s="72" t="str">
        <f t="array" ref="AB54">IFERROR(IF(XLOOKUP(CONCAT(Z54,AA54),'MASTER PLAN'!$AB:$AB,'MASTER PLAN'!$J:$J,0,0)=0,"",XLOOKUP(CONCAT(Z54,AA54),'MASTER PLAN'!$AB:$AB,'MASTER PLAN'!$J:$J,0,0)),"")</f>
        <v/>
      </c>
      <c r="AC54" s="73" t="str">
        <f t="array" ref="AC54">IFERROR(IF(XLOOKUP(CONCAT(Z54,AA54),'PROCESOS PRD'!$J:$J,'PROCESOS PRD'!$H:$H,0,0)=0,"",XLOOKUP(CONCAT(Z54,AA54),'PROCESOS PRD'!$J:$J,'PROCESOS PRD'!$H:$H,0,0)),"")</f>
        <v/>
      </c>
      <c r="AD54" s="71"/>
      <c r="AE54" s="32"/>
      <c r="AF54" s="72" t="str">
        <f t="array" ref="AF54">IFERROR(IF(XLOOKUP(CONCAT(AD54,AE54),'MASTER PLAN'!$AB:$AB,'MASTER PLAN'!$J:$J,0,0)=0,"",XLOOKUP(CONCAT(AD54,AE54),'MASTER PLAN'!$AB:$AB,'MASTER PLAN'!$J:$J,0,0)),"")</f>
        <v/>
      </c>
      <c r="AG54" s="73" t="str">
        <f t="array" ref="AG54">IFERROR(IF(XLOOKUP(CONCAT(AD54,AE54),'PROCESOS PRD'!$J:$J,'PROCESOS PRD'!$H:$H,0,0)=0,"",XLOOKUP(CONCAT(AD54,AE54),'PROCESOS PRD'!$J:$J,'PROCESOS PRD'!$H:$H,0,0)),"")</f>
        <v/>
      </c>
      <c r="AH54" s="71"/>
      <c r="AI54" s="32"/>
      <c r="AJ54" s="72" t="str">
        <f t="array" ref="AJ54">IFERROR(IF(XLOOKUP(CONCAT(AH54,AI54),'MASTER PLAN'!$AB:$AB,'MASTER PLAN'!$J:$J,0,0)=0,"",XLOOKUP(CONCAT(AH54,AI54),'MASTER PLAN'!$AB:$AB,'MASTER PLAN'!$J:$J,0,0)),"")</f>
        <v/>
      </c>
      <c r="AK54" s="73" t="str">
        <f t="array" ref="AK54">IFERROR(IF(XLOOKUP(CONCAT(AH54,AI54),'PROCESOS PRD'!$J:$J,'PROCESOS PRD'!$H:$H,0,0)=0,"",XLOOKUP(CONCAT(AH54,AI54),'PROCESOS PRD'!$J:$J,'PROCESOS PRD'!$H:$H,0,0)),"")</f>
        <v/>
      </c>
      <c r="AL54" s="71"/>
      <c r="AM54" s="32"/>
      <c r="AN54" s="72" t="str">
        <f t="array" ref="AN54">IFERROR(IF(XLOOKUP(CONCAT(AL54,AM54),'MASTER PLAN'!$AB:$AB,'MASTER PLAN'!$J:$J,0,0)=0,"",XLOOKUP(CONCAT(AL54,AM54),'MASTER PLAN'!$AB:$AB,'MASTER PLAN'!$J:$J,0,0)),"")</f>
        <v/>
      </c>
      <c r="AO54" s="73" t="str">
        <f t="array" ref="AO54">IFERROR(IF(XLOOKUP(CONCAT(AL54,AM54),'PROCESOS PRD'!$J:$J,'PROCESOS PRD'!$H:$H,0,0)=0,"",XLOOKUP(CONCAT(AL54,AM54),'PROCESOS PRD'!$J:$J,'PROCESOS PRD'!$H:$H,0,0)),"")</f>
        <v/>
      </c>
      <c r="AP54" s="71"/>
      <c r="AQ54" s="32"/>
      <c r="AR54" s="72" t="str">
        <f t="array" ref="AR54">IFERROR(IF(XLOOKUP(CONCAT(AP54,AQ54),'MASTER PLAN'!$AB:$AB,'MASTER PLAN'!$J:$J,0,0)=0,"",XLOOKUP(CONCAT(AP54,AQ54),'MASTER PLAN'!$AB:$AB,'MASTER PLAN'!$J:$J,0,0)),"")</f>
        <v/>
      </c>
      <c r="AS54" s="73" t="str">
        <f t="array" ref="AS54">IFERROR(IF(XLOOKUP(CONCAT(AP54,AQ54),'PROCESOS PRD'!$J:$J,'PROCESOS PRD'!$H:$H,0,0)=0,"",XLOOKUP(CONCAT(AP54,AQ54),'PROCESOS PRD'!$J:$J,'PROCESOS PRD'!$H:$H,0,0)),"")</f>
        <v/>
      </c>
      <c r="AT54" s="70"/>
      <c r="AU54" s="71"/>
      <c r="AV54" s="32"/>
      <c r="AW54" s="72" t="str">
        <f t="array" ref="AW54">IFERROR(IF(XLOOKUP(CONCAT(AU54,AV54),'MASTER PLAN'!$AB:$AB,'MASTER PLAN'!$J:$J,0,0)=0,"",XLOOKUP(CONCAT(AU54,AV54),'MASTER PLAN'!$AB:$AB,'MASTER PLAN'!$J:$J,0,0)),"")</f>
        <v/>
      </c>
      <c r="AX54" s="73" t="str">
        <f t="array" ref="AX54">IFERROR(IF(XLOOKUP(CONCAT(AU54,AV54),'PROCESOS PRD'!$J:$J,'PROCESOS PRD'!$H:$H,0,0)=0,"",XLOOKUP(CONCAT(AU54,AV54),'PROCESOS PRD'!$J:$J,'PROCESOS PRD'!$H:$H,0,0)),"")</f>
        <v/>
      </c>
      <c r="AY54" s="71"/>
      <c r="AZ54" s="32"/>
      <c r="BA54" s="72" t="str">
        <f t="array" ref="BA54">IFERROR(IF(XLOOKUP(CONCAT(AY54,AZ54),'MASTER PLAN'!$AB:$AB,'MASTER PLAN'!$J:$J,0,0)=0,"",XLOOKUP(CONCAT(AY54,AZ54),'MASTER PLAN'!$AB:$AB,'MASTER PLAN'!$J:$J,0,0)),"")</f>
        <v/>
      </c>
      <c r="BB54" s="73" t="str">
        <f t="array" ref="BB54">IFERROR(IF(XLOOKUP(CONCAT(AY54,AZ54),'PROCESOS PRD'!$J:$J,'PROCESOS PRD'!$H:$H,0,0)=0,"",XLOOKUP(CONCAT(AY54,AZ54),'PROCESOS PRD'!$J:$J,'PROCESOS PRD'!$H:$H,0,0)),"")</f>
        <v/>
      </c>
      <c r="BC54" s="71"/>
      <c r="BD54" s="32"/>
      <c r="BE54" s="72" t="str">
        <f t="array" ref="BE54">IFERROR(IF(XLOOKUP(CONCAT(BC54,BD54),'MASTER PLAN'!$AB:$AB,'MASTER PLAN'!$J:$J,0,0)=0,"",XLOOKUP(CONCAT(BC54,BD54),'MASTER PLAN'!$AB:$AB,'MASTER PLAN'!$J:$J,0,0)),"")</f>
        <v/>
      </c>
      <c r="BF54" s="73" t="str">
        <f t="array" ref="BF54">IFERROR(IF(XLOOKUP(CONCAT(BC54,BD54),'PROCESOS PRD'!$J:$J,'PROCESOS PRD'!$H:$H,0,0)=0,"",XLOOKUP(CONCAT(BC54,BD54),'PROCESOS PRD'!$J:$J,'PROCESOS PRD'!$H:$H,0,0)),"")</f>
        <v/>
      </c>
      <c r="BG54" s="71"/>
      <c r="BH54" s="32"/>
      <c r="BI54" s="72" t="str">
        <f t="array" ref="BI54">IFERROR(IF(XLOOKUP(CONCAT(BG54,BH54),'MASTER PLAN'!$AB:$AB,'MASTER PLAN'!$J:$J,0,0)=0,"",XLOOKUP(CONCAT(BG54,BH54),'MASTER PLAN'!$AB:$AB,'MASTER PLAN'!$J:$J,0,0)),"")</f>
        <v/>
      </c>
      <c r="BJ54" s="73" t="str">
        <f t="array" ref="BJ54">IFERROR(IF(XLOOKUP(CONCAT(BG54,BH54),'PROCESOS PRD'!$J:$J,'PROCESOS PRD'!$H:$H,0,0)=0,"",XLOOKUP(CONCAT(BG54,BH54),'PROCESOS PRD'!$J:$J,'PROCESOS PRD'!$H:$H,0,0)),"")</f>
        <v/>
      </c>
      <c r="BK54" s="71"/>
      <c r="BL54" s="32"/>
      <c r="BM54" s="72" t="str">
        <f t="array" ref="BM54">IFERROR(IF(XLOOKUP(CONCAT(BK54,BL54),'MASTER PLAN'!$AB:$AB,'MASTER PLAN'!$J:$J,0,0)=0,"",XLOOKUP(CONCAT(BK54,BL54),'MASTER PLAN'!$AB:$AB,'MASTER PLAN'!$J:$J,0,0)),"")</f>
        <v/>
      </c>
      <c r="BN54" s="73" t="str">
        <f t="array" ref="BN54">IFERROR(IF(XLOOKUP(CONCAT(BK54,BL54),'PROCESOS PRD'!$J:$J,'PROCESOS PRD'!$H:$H,0,0)=0,"",XLOOKUP(CONCAT(BK54,BL54),'PROCESOS PRD'!$J:$J,'PROCESOS PRD'!$H:$H,0,0)),"")</f>
        <v/>
      </c>
      <c r="BO54" s="71"/>
      <c r="BP54" s="32"/>
      <c r="BQ54" s="72" t="str">
        <f t="array" ref="BQ54">IFERROR(IF(XLOOKUP(CONCAT(BO54,BP54),'MASTER PLAN'!$AB:$AB,'MASTER PLAN'!$J:$J,0,0)=0,"",XLOOKUP(CONCAT(BO54,BP54),'MASTER PLAN'!$AB:$AB,'MASTER PLAN'!$J:$J,0,0)),"")</f>
        <v/>
      </c>
      <c r="BR54" s="73" t="str">
        <f t="array" ref="BR54">IFERROR(IF(XLOOKUP(CONCAT(BO54,BP54),'PROCESOS PRD'!$J:$J,'PROCESOS PRD'!$H:$H,0,0)=0,"",XLOOKUP(CONCAT(BO54,BP54),'PROCESOS PRD'!$J:$J,'PROCESOS PRD'!$H:$H,0,0)),"")</f>
        <v/>
      </c>
      <c r="BS54" s="70"/>
      <c r="BT54" s="71"/>
      <c r="BU54" s="32"/>
      <c r="BV54" s="72" t="str">
        <f t="array" ref="BV54">IFERROR(IF(XLOOKUP(CONCAT(BT54,BU54),'MASTER PLAN'!$AB:$AB,'MASTER PLAN'!$J:$J,0,0)=0,"",XLOOKUP(CONCAT(BT54,BU54),'MASTER PLAN'!$AB:$AB,'MASTER PLAN'!$J:$J,0,0)),"")</f>
        <v/>
      </c>
      <c r="BW54" s="73" t="str">
        <f t="array" ref="BW54">IFERROR(IF(XLOOKUP(CONCAT(BT54,BU54),'PROCESOS PRD'!$J:$J,'PROCESOS PRD'!$H:$H,0,0)=0,"",XLOOKUP(CONCAT(BT54,BU54),'PROCESOS PRD'!$J:$J,'PROCESOS PRD'!$H:$H,0,0)),"")</f>
        <v/>
      </c>
      <c r="BX54" s="71"/>
      <c r="BY54" s="32"/>
      <c r="BZ54" s="72" t="str">
        <f t="array" ref="BZ54">IFERROR(IF(XLOOKUP(CONCAT(BX54,BY54),'MASTER PLAN'!$AB:$AB,'MASTER PLAN'!$J:$J,0,0)=0,"",XLOOKUP(CONCAT(BX54,BY54),'MASTER PLAN'!$AB:$AB,'MASTER PLAN'!$J:$J,0,0)),"")</f>
        <v/>
      </c>
      <c r="CA54" s="73" t="str">
        <f t="array" ref="CA54">IFERROR(IF(XLOOKUP(CONCAT(BX54,BY54),'PROCESOS PRD'!$J:$J,'PROCESOS PRD'!$H:$H,0,0)=0,"",XLOOKUP(CONCAT(BX54,BY54),'PROCESOS PRD'!$J:$J,'PROCESOS PRD'!$H:$H,0,0)),"")</f>
        <v/>
      </c>
      <c r="CB54" s="71"/>
      <c r="CC54" s="32"/>
      <c r="CD54" s="72" t="str">
        <f t="array" ref="CD54">IFERROR(IF(XLOOKUP(CONCAT(CB54,CC54),'MASTER PLAN'!$AB:$AB,'MASTER PLAN'!$J:$J,0,0)=0,"",XLOOKUP(CONCAT(CB54,CC54),'MASTER PLAN'!$AB:$AB,'MASTER PLAN'!$J:$J,0,0)),"")</f>
        <v/>
      </c>
      <c r="CE54" s="73" t="str">
        <f t="array" ref="CE54">IFERROR(IF(XLOOKUP(CONCAT(CB54,CC54),'PROCESOS PRD'!$J:$J,'PROCESOS PRD'!$H:$H,0,0)=0,"",XLOOKUP(CONCAT(CB54,CC54),'PROCESOS PRD'!$J:$J,'PROCESOS PRD'!$H:$H,0,0)),"")</f>
        <v/>
      </c>
      <c r="CF54" s="71"/>
      <c r="CG54" s="32"/>
      <c r="CH54" s="72" t="str">
        <f t="array" ref="CH54">IFERROR(IF(XLOOKUP(CONCAT(CF54,CG54),'MASTER PLAN'!$AB:$AB,'MASTER PLAN'!$J:$J,0,0)=0,"",XLOOKUP(CONCAT(CF54,CG54),'MASTER PLAN'!$AB:$AB,'MASTER PLAN'!$J:$J,0,0)),"")</f>
        <v/>
      </c>
      <c r="CI54" s="73" t="str">
        <f t="array" ref="CI54">IFERROR(IF(XLOOKUP(CONCAT(CF54,CG54),'PROCESOS PRD'!$J:$J,'PROCESOS PRD'!$H:$H,0,0)=0,"",XLOOKUP(CONCAT(CF54,CG54),'PROCESOS PRD'!$J:$J,'PROCESOS PRD'!$H:$H,0,0)),"")</f>
        <v/>
      </c>
      <c r="CJ54" s="71"/>
      <c r="CK54" s="32"/>
      <c r="CL54" s="72" t="str">
        <f t="array" ref="CL54">IFERROR(IF(XLOOKUP(CONCAT(CJ54,CK54),'MASTER PLAN'!$AB:$AB,'MASTER PLAN'!$J:$J,0,0)=0,"",XLOOKUP(CONCAT(CJ54,CK54),'MASTER PLAN'!$AB:$AB,'MASTER PLAN'!$J:$J,0,0)),"")</f>
        <v/>
      </c>
      <c r="CM54" s="73" t="str">
        <f t="array" ref="CM54">IFERROR(IF(XLOOKUP(CONCAT(CJ54,CK54),'PROCESOS PRD'!$J:$J,'PROCESOS PRD'!$H:$H,0,0)=0,"",XLOOKUP(CONCAT(CJ54,CK54),'PROCESOS PRD'!$J:$J,'PROCESOS PRD'!$H:$H,0,0)),"")</f>
        <v/>
      </c>
      <c r="CN54" s="71"/>
      <c r="CO54" s="32"/>
      <c r="CP54" s="72" t="str">
        <f t="array" ref="CP54">IFERROR(IF(XLOOKUP(CONCAT(CN54,CO54),'MASTER PLAN'!$AB:$AB,'MASTER PLAN'!$J:$J,0,0)=0,"",XLOOKUP(CONCAT(CN54,CO54),'MASTER PLAN'!$AB:$AB,'MASTER PLAN'!$J:$J,0,0)),"")</f>
        <v/>
      </c>
      <c r="CQ54" s="73" t="str">
        <f t="array" ref="CQ54">IFERROR(IF(XLOOKUP(CONCAT(CN54,CO54),'PROCESOS PRD'!$J:$J,'PROCESOS PRD'!$H:$H,0,0)=0,"",XLOOKUP(CONCAT(CN54,CO54),'PROCESOS PRD'!$J:$J,'PROCESOS PRD'!$H:$H,0,0)),"")</f>
        <v/>
      </c>
      <c r="CR54" s="70"/>
      <c r="CS54" s="71"/>
      <c r="CT54" s="32"/>
      <c r="CU54" s="72" t="str">
        <f t="array" ref="CU54">IFERROR(IF(XLOOKUP(CONCAT(CS54,CT54),'MASTER PLAN'!$AB:$AB,'MASTER PLAN'!$J:$J,0,0)=0,"",XLOOKUP(CONCAT(CS54,CT54),'MASTER PLAN'!$AB:$AB,'MASTER PLAN'!$J:$J,0,0)),"")</f>
        <v/>
      </c>
      <c r="CV54" s="73" t="str">
        <f t="array" ref="CV54">IFERROR(IF(XLOOKUP(CONCAT(CS54,CT54),'PROCESOS PRD'!$J:$J,'PROCESOS PRD'!$H:$H,0,0)=0,"",XLOOKUP(CONCAT(CS54,CT54),'PROCESOS PRD'!$J:$J,'PROCESOS PRD'!$H:$H,0,0)),"")</f>
        <v/>
      </c>
      <c r="CW54" s="71"/>
      <c r="CX54" s="32"/>
      <c r="CY54" s="72" t="str">
        <f t="array" ref="CY54">IFERROR(IF(XLOOKUP(CONCAT(CW54,CX54),'MASTER PLAN'!$AB:$AB,'MASTER PLAN'!$J:$J,0,0)=0,"",XLOOKUP(CONCAT(CW54,CX54),'MASTER PLAN'!$AB:$AB,'MASTER PLAN'!$J:$J,0,0)),"")</f>
        <v/>
      </c>
      <c r="CZ54" s="73" t="str">
        <f t="array" ref="CZ54">IFERROR(IF(XLOOKUP(CONCAT(CW54,CX54),'PROCESOS PRD'!$J:$J,'PROCESOS PRD'!$H:$H,0,0)=0,"",XLOOKUP(CONCAT(CW54,CX54),'PROCESOS PRD'!$J:$J,'PROCESOS PRD'!$H:$H,0,0)),"")</f>
        <v/>
      </c>
      <c r="DA54" s="71"/>
      <c r="DB54" s="32"/>
      <c r="DC54" s="72" t="str">
        <f t="array" ref="DC54">IFERROR(IF(XLOOKUP(CONCAT(DA54,DB54),'MASTER PLAN'!$AB:$AB,'MASTER PLAN'!$J:$J,0,0)=0,"",XLOOKUP(CONCAT(DA54,DB54),'MASTER PLAN'!$AB:$AB,'MASTER PLAN'!$J:$J,0,0)),"")</f>
        <v/>
      </c>
      <c r="DD54" s="73" t="str">
        <f t="array" ref="DD54">IFERROR(IF(XLOOKUP(CONCAT(DA54,DB54),'PROCESOS PRD'!$J:$J,'PROCESOS PRD'!$H:$H,0,0)=0,"",XLOOKUP(CONCAT(DA54,DB54),'PROCESOS PRD'!$J:$J,'PROCESOS PRD'!$H:$H,0,0)),"")</f>
        <v/>
      </c>
      <c r="DE54" s="71"/>
      <c r="DF54" s="32"/>
      <c r="DG54" s="72" t="str">
        <f t="array" ref="DG54">IFERROR(IF(XLOOKUP(CONCAT(DE54,DF54),'MASTER PLAN'!$AB:$AB,'MASTER PLAN'!$J:$J,0,0)=0,"",XLOOKUP(CONCAT(DE54,DF54),'MASTER PLAN'!$AB:$AB,'MASTER PLAN'!$J:$J,0,0)),"")</f>
        <v/>
      </c>
      <c r="DH54" s="73" t="str">
        <f t="array" ref="DH54">IFERROR(IF(XLOOKUP(CONCAT(DE54,DF54),'PROCESOS PRD'!$J:$J,'PROCESOS PRD'!$H:$H,0,0)=0,"",XLOOKUP(CONCAT(DE54,DF54),'PROCESOS PRD'!$J:$J,'PROCESOS PRD'!$H:$H,0,0)),"")</f>
        <v/>
      </c>
      <c r="DI54" s="71"/>
      <c r="DJ54" s="32"/>
      <c r="DK54" s="72" t="str">
        <f t="array" ref="DK54">IFERROR(IF(XLOOKUP(CONCAT(DI54,DJ54),'MASTER PLAN'!$AB:$AB,'MASTER PLAN'!$J:$J,0,0)=0,"",XLOOKUP(CONCAT(DI54,DJ54),'MASTER PLAN'!$AB:$AB,'MASTER PLAN'!$J:$J,0,0)),"")</f>
        <v/>
      </c>
      <c r="DL54" s="73" t="str">
        <f t="array" ref="DL54">IFERROR(IF(XLOOKUP(CONCAT(DI54,DJ54),'PROCESOS PRD'!$J:$J,'PROCESOS PRD'!$H:$H,0,0)=0,"",XLOOKUP(CONCAT(DI54,DJ54),'PROCESOS PRD'!$J:$J,'PROCESOS PRD'!$H:$H,0,0)),"")</f>
        <v/>
      </c>
      <c r="DM54" s="71"/>
      <c r="DN54" s="32"/>
      <c r="DO54" s="72" t="str">
        <f t="array" ref="DO54">IFERROR(IF(XLOOKUP(CONCAT(DM54,DN54),'MASTER PLAN'!$AB:$AB,'MASTER PLAN'!$J:$J,0,0)=0,"",XLOOKUP(CONCAT(DM54,DN54),'MASTER PLAN'!$AB:$AB,'MASTER PLAN'!$J:$J,0,0)),"")</f>
        <v/>
      </c>
      <c r="DP54" s="73" t="str">
        <f t="array" ref="DP54">IFERROR(IF(XLOOKUP(CONCAT(DM54,DN54),'PROCESOS PRD'!$J:$J,'PROCESOS PRD'!$H:$H,0,0)=0,"",XLOOKUP(CONCAT(DM54,DN54),'PROCESOS PRD'!$J:$J,'PROCESOS PRD'!$H:$H,0,0)),"")</f>
        <v/>
      </c>
      <c r="DQ54" s="70"/>
      <c r="DR54" s="71"/>
      <c r="DS54" s="32"/>
      <c r="DT54" s="72" t="str">
        <f t="array" ref="DT54">IFERROR(IF(XLOOKUP(CONCAT(DR54,DS54),'MASTER PLAN'!$AB:$AB,'MASTER PLAN'!$J:$J,0,0)=0,"",XLOOKUP(CONCAT(DR54,DS54),'MASTER PLAN'!$AB:$AB,'MASTER PLAN'!$J:$J,0,0)),"")</f>
        <v/>
      </c>
      <c r="DU54" s="73" t="str">
        <f t="array" ref="DU54">IFERROR(IF(XLOOKUP(CONCAT(DR54,DS54),'PROCESOS PRD'!$J:$J,'PROCESOS PRD'!$H:$H,0,0)=0,"",XLOOKUP(CONCAT(DR54,DS54),'PROCESOS PRD'!$J:$J,'PROCESOS PRD'!$H:$H,0,0)),"")</f>
        <v/>
      </c>
      <c r="DV54" s="71"/>
      <c r="DW54" s="32"/>
      <c r="DX54" s="72" t="str">
        <f t="array" ref="DX54">IFERROR(IF(XLOOKUP(CONCAT(DV54,DW54),'MASTER PLAN'!$AB:$AB,'MASTER PLAN'!$J:$J,0,0)=0,"",XLOOKUP(CONCAT(DV54,DW54),'MASTER PLAN'!$AB:$AB,'MASTER PLAN'!$J:$J,0,0)),"")</f>
        <v/>
      </c>
      <c r="DY54" s="73" t="str">
        <f t="array" ref="DY54">IFERROR(IF(XLOOKUP(CONCAT(DV54,DW54),'PROCESOS PRD'!$J:$J,'PROCESOS PRD'!$H:$H,0,0)=0,"",XLOOKUP(CONCAT(DV54,DW54),'PROCESOS PRD'!$J:$J,'PROCESOS PRD'!$H:$H,0,0)),"")</f>
        <v/>
      </c>
      <c r="DZ54" s="71"/>
      <c r="EA54" s="32"/>
      <c r="EB54" s="72" t="str">
        <f t="array" ref="EB54">IFERROR(IF(XLOOKUP(CONCAT(DZ54,EA54),'MASTER PLAN'!$AB:$AB,'MASTER PLAN'!$J:$J,0,0)=0,"",XLOOKUP(CONCAT(DZ54,EA54),'MASTER PLAN'!$AB:$AB,'MASTER PLAN'!$J:$J,0,0)),"")</f>
        <v/>
      </c>
      <c r="EC54" s="73" t="str">
        <f t="array" ref="EC54">IFERROR(IF(XLOOKUP(CONCAT(DZ54,EA54),'PROCESOS PRD'!$J:$J,'PROCESOS PRD'!$H:$H,0,0)=0,"",XLOOKUP(CONCAT(DZ54,EA54),'PROCESOS PRD'!$J:$J,'PROCESOS PRD'!$H:$H,0,0)),"")</f>
        <v/>
      </c>
      <c r="ED54" s="71"/>
      <c r="EE54" s="32"/>
      <c r="EF54" s="72" t="str">
        <f t="array" ref="EF54">IFERROR(IF(XLOOKUP(CONCAT(ED54,EE54),'MASTER PLAN'!$AB:$AB,'MASTER PLAN'!$J:$J,0,0)=0,"",XLOOKUP(CONCAT(ED54,EE54),'MASTER PLAN'!$AB:$AB,'MASTER PLAN'!$J:$J,0,0)),"")</f>
        <v/>
      </c>
      <c r="EG54" s="73" t="str">
        <f t="array" ref="EG54">IFERROR(IF(XLOOKUP(CONCAT(ED54,EE54),'PROCESOS PRD'!$J:$J,'PROCESOS PRD'!$H:$H,0,0)=0,"",XLOOKUP(CONCAT(ED54,EE54),'PROCESOS PRD'!$J:$J,'PROCESOS PRD'!$H:$H,0,0)),"")</f>
        <v/>
      </c>
      <c r="EH54" s="71"/>
      <c r="EI54" s="32"/>
      <c r="EJ54" s="72" t="str">
        <f t="array" ref="EJ54">IFERROR(IF(XLOOKUP(CONCAT(EH54,EI54),'MASTER PLAN'!$AB:$AB,'MASTER PLAN'!$J:$J,0,0)=0,"",XLOOKUP(CONCAT(EH54,EI54),'MASTER PLAN'!$AB:$AB,'MASTER PLAN'!$J:$J,0,0)),"")</f>
        <v/>
      </c>
      <c r="EK54" s="73" t="str">
        <f t="array" ref="EK54">IFERROR(IF(XLOOKUP(CONCAT(EH54,EI54),'PROCESOS PRD'!$J:$J,'PROCESOS PRD'!$H:$H,0,0)=0,"",XLOOKUP(CONCAT(EH54,EI54),'PROCESOS PRD'!$J:$J,'PROCESOS PRD'!$H:$H,0,0)),"")</f>
        <v/>
      </c>
      <c r="EL54" s="71"/>
      <c r="EM54" s="32"/>
      <c r="EN54" s="72" t="str">
        <f t="array" ref="EN54">IFERROR(IF(XLOOKUP(CONCAT(EL54,EM54),'MASTER PLAN'!$AB:$AB,'MASTER PLAN'!$J:$J,0,0)=0,"",XLOOKUP(CONCAT(EL54,EM54),'MASTER PLAN'!$AB:$AB,'MASTER PLAN'!$J:$J,0,0)),"")</f>
        <v/>
      </c>
      <c r="EO54" s="73" t="str">
        <f t="array" ref="EO54">IFERROR(IF(XLOOKUP(CONCAT(EL54,EM54),'PROCESOS PRD'!$J:$J,'PROCESOS PRD'!$H:$H,0,0)=0,"",XLOOKUP(CONCAT(EL54,EM54),'PROCESOS PRD'!$J:$J,'PROCESOS PRD'!$H:$H,0,0)),"")</f>
        <v/>
      </c>
      <c r="EP54" s="70"/>
      <c r="EQ54" s="71"/>
      <c r="ER54" s="32"/>
      <c r="ES54" s="72" t="str">
        <f t="array" ref="ES54">IFERROR(IF(XLOOKUP(CONCAT(EQ54,ER54),'MASTER PLAN'!$AB:$AB,'MASTER PLAN'!$J:$J,0,0)=0,"",XLOOKUP(CONCAT(EQ54,ER54),'MASTER PLAN'!$AB:$AB,'MASTER PLAN'!$J:$J,0,0)),"")</f>
        <v/>
      </c>
      <c r="ET54" s="73" t="str">
        <f t="array" ref="ET54">IFERROR(IF(XLOOKUP(CONCAT(EQ54,ER54),'PROCESOS PRD'!$J:$J,'PROCESOS PRD'!$H:$H,0,0)=0,"",XLOOKUP(CONCAT(EQ54,ER54),'PROCESOS PRD'!$J:$J,'PROCESOS PRD'!$H:$H,0,0)),"")</f>
        <v/>
      </c>
      <c r="EU54" s="71"/>
      <c r="EV54" s="32"/>
      <c r="EW54" s="72" t="str">
        <f t="array" ref="EW54">IFERROR(IF(XLOOKUP(CONCAT(EU54,EV54),'MASTER PLAN'!$AB:$AB,'MASTER PLAN'!$J:$J,0,0)=0,"",XLOOKUP(CONCAT(EU54,EV54),'MASTER PLAN'!$AB:$AB,'MASTER PLAN'!$J:$J,0,0)),"")</f>
        <v/>
      </c>
      <c r="EX54" s="73" t="str">
        <f t="array" ref="EX54">IFERROR(IF(XLOOKUP(CONCAT(EU54,EV54),'PROCESOS PRD'!$J:$J,'PROCESOS PRD'!$H:$H,0,0)=0,"",XLOOKUP(CONCAT(EU54,EV54),'PROCESOS PRD'!$J:$J,'PROCESOS PRD'!$H:$H,0,0)),"")</f>
        <v/>
      </c>
      <c r="EY54" s="71"/>
      <c r="EZ54" s="32"/>
      <c r="FA54" s="72" t="str">
        <f t="array" ref="FA54">IFERROR(IF(XLOOKUP(CONCAT(EY54,EZ54),'MASTER PLAN'!$AB:$AB,'MASTER PLAN'!$J:$J,0,0)=0,"",XLOOKUP(CONCAT(EY54,EZ54),'MASTER PLAN'!$AB:$AB,'MASTER PLAN'!$J:$J,0,0)),"")</f>
        <v/>
      </c>
      <c r="FB54" s="73" t="str">
        <f t="array" ref="FB54">IFERROR(IF(XLOOKUP(CONCAT(EY54,EZ54),'PROCESOS PRD'!$J:$J,'PROCESOS PRD'!$H:$H,0,0)=0,"",XLOOKUP(CONCAT(EY54,EZ54),'PROCESOS PRD'!$J:$J,'PROCESOS PRD'!$H:$H,0,0)),"")</f>
        <v/>
      </c>
      <c r="FC54" s="71"/>
      <c r="FD54" s="32"/>
      <c r="FE54" s="72" t="str">
        <f t="array" ref="FE54">IFERROR(IF(XLOOKUP(CONCAT(FC54,FD54),'MASTER PLAN'!$AB:$AB,'MASTER PLAN'!$J:$J,0,0)=0,"",XLOOKUP(CONCAT(FC54,FD54),'MASTER PLAN'!$AB:$AB,'MASTER PLAN'!$J:$J,0,0)),"")</f>
        <v/>
      </c>
      <c r="FF54" s="73" t="str">
        <f t="array" ref="FF54">IFERROR(IF(XLOOKUP(CONCAT(FC54,FD54),'PROCESOS PRD'!$J:$J,'PROCESOS PRD'!$H:$H,0,0)=0,"",XLOOKUP(CONCAT(FC54,FD54),'PROCESOS PRD'!$J:$J,'PROCESOS PRD'!$H:$H,0,0)),"")</f>
        <v/>
      </c>
      <c r="FG54" s="71"/>
      <c r="FH54" s="32"/>
      <c r="FI54" s="72" t="str">
        <f t="array" ref="FI54">IFERROR(IF(XLOOKUP(CONCAT(FG54,FH54),'MASTER PLAN'!$AB:$AB,'MASTER PLAN'!$J:$J,0,0)=0,"",XLOOKUP(CONCAT(FG54,FH54),'MASTER PLAN'!$AB:$AB,'MASTER PLAN'!$J:$J,0,0)),"")</f>
        <v/>
      </c>
      <c r="FJ54" s="73" t="str">
        <f t="array" ref="FJ54">IFERROR(IF(XLOOKUP(CONCAT(FG54,FH54),'PROCESOS PRD'!$J:$J,'PROCESOS PRD'!$H:$H,0,0)=0,"",XLOOKUP(CONCAT(FG54,FH54),'PROCESOS PRD'!$J:$J,'PROCESOS PRD'!$H:$H,0,0)),"")</f>
        <v/>
      </c>
      <c r="FK54" s="71"/>
      <c r="FL54" s="32"/>
      <c r="FM54" s="72" t="str">
        <f t="array" ref="FM54">IFERROR(IF(XLOOKUP(CONCAT(FK54,FL54),'MASTER PLAN'!$AB:$AB,'MASTER PLAN'!$J:$J,0,0)=0,"",XLOOKUP(CONCAT(FK54,FL54),'MASTER PLAN'!$AB:$AB,'MASTER PLAN'!$J:$J,0,0)),"")</f>
        <v/>
      </c>
      <c r="FN54" s="73" t="str">
        <f t="array" ref="FN54">IFERROR(IF(XLOOKUP(CONCAT(FK54,FL54),'PROCESOS PRD'!$J:$J,'PROCESOS PRD'!$H:$H,0,0)=0,"",XLOOKUP(CONCAT(FK54,FL54),'PROCESOS PRD'!$J:$J,'PROCESOS PRD'!$H:$H,0,0)),"")</f>
        <v/>
      </c>
      <c r="FO54" s="70"/>
      <c r="FP54" s="71"/>
      <c r="FQ54" s="32"/>
      <c r="FR54" s="72" t="str">
        <f t="array" ref="FR54">IFERROR(IF(XLOOKUP(CONCAT(FP54,FQ54),'MASTER PLAN'!$AB:$AB,'MASTER PLAN'!$J:$J,0,0)=0,"",XLOOKUP(CONCAT(FP54,FQ54),'MASTER PLAN'!$AB:$AB,'MASTER PLAN'!$J:$J,0,0)),"")</f>
        <v/>
      </c>
      <c r="FS54" s="73" t="str">
        <f t="array" ref="FS54">IFERROR(IF(XLOOKUP(CONCAT(FP54,FQ54),'PROCESOS PRD'!$J:$J,'PROCESOS PRD'!$H:$H,0,0)=0,"",XLOOKUP(CONCAT(FP54,FQ54),'PROCESOS PRD'!$J:$J,'PROCESOS PRD'!$H:$H,0,0)),"")</f>
        <v/>
      </c>
      <c r="FT54" s="71"/>
      <c r="FU54" s="32"/>
      <c r="FV54" s="72" t="str">
        <f t="array" ref="FV54">IFERROR(IF(XLOOKUP(CONCAT(FT54,FU54),'MASTER PLAN'!$AB:$AB,'MASTER PLAN'!$J:$J,0,0)=0,"",XLOOKUP(CONCAT(FT54,FU54),'MASTER PLAN'!$AB:$AB,'MASTER PLAN'!$J:$J,0,0)),"")</f>
        <v/>
      </c>
      <c r="FW54" s="73" t="str">
        <f t="array" ref="FW54">IFERROR(IF(XLOOKUP(CONCAT(FT54,FU54),'PROCESOS PRD'!$J:$J,'PROCESOS PRD'!$H:$H,0,0)=0,"",XLOOKUP(CONCAT(FT54,FU54),'PROCESOS PRD'!$J:$J,'PROCESOS PRD'!$H:$H,0,0)),"")</f>
        <v/>
      </c>
      <c r="FX54" s="71"/>
      <c r="FY54" s="32"/>
      <c r="FZ54" s="72" t="str">
        <f t="array" ref="FZ54">IFERROR(IF(XLOOKUP(CONCAT(FX54,FY54),'MASTER PLAN'!$AB:$AB,'MASTER PLAN'!$J:$J,0,0)=0,"",XLOOKUP(CONCAT(FX54,FY54),'MASTER PLAN'!$AB:$AB,'MASTER PLAN'!$J:$J,0,0)),"")</f>
        <v/>
      </c>
      <c r="GA54" s="73" t="str">
        <f t="array" ref="GA54">IFERROR(IF(XLOOKUP(CONCAT(FX54,FY54),'PROCESOS PRD'!$J:$J,'PROCESOS PRD'!$H:$H,0,0)=0,"",XLOOKUP(CONCAT(FX54,FY54),'PROCESOS PRD'!$J:$J,'PROCESOS PRD'!$H:$H,0,0)),"")</f>
        <v/>
      </c>
      <c r="GB54" s="71"/>
      <c r="GC54" s="32"/>
      <c r="GD54" s="72" t="str">
        <f t="array" ref="GD54">IFERROR(IF(XLOOKUP(CONCAT(GB54,GC54),'MASTER PLAN'!$AB:$AB,'MASTER PLAN'!$J:$J,0,0)=0,"",XLOOKUP(CONCAT(GB54,GC54),'MASTER PLAN'!$AB:$AB,'MASTER PLAN'!$J:$J,0,0)),"")</f>
        <v/>
      </c>
      <c r="GE54" s="73" t="str">
        <f t="array" ref="GE54">IFERROR(IF(XLOOKUP(CONCAT(GB54,GC54),'PROCESOS PRD'!$J:$J,'PROCESOS PRD'!$H:$H,0,0)=0,"",XLOOKUP(CONCAT(GB54,GC54),'PROCESOS PRD'!$J:$J,'PROCESOS PRD'!$H:$H,0,0)),"")</f>
        <v/>
      </c>
      <c r="GF54" s="71"/>
      <c r="GG54" s="32"/>
      <c r="GH54" s="72" t="str">
        <f t="array" ref="GH54">IFERROR(IF(XLOOKUP(CONCAT(GF54,GG54),'MASTER PLAN'!$AB:$AB,'MASTER PLAN'!$J:$J,0,0)=0,"",XLOOKUP(CONCAT(GF54,GG54),'MASTER PLAN'!$AB:$AB,'MASTER PLAN'!$J:$J,0,0)),"")</f>
        <v/>
      </c>
      <c r="GI54" s="73" t="str">
        <f t="array" ref="GI54">IFERROR(IF(XLOOKUP(CONCAT(GF54,GG54),'PROCESOS PRD'!$J:$J,'PROCESOS PRD'!$H:$H,0,0)=0,"",XLOOKUP(CONCAT(GF54,GG54),'PROCESOS PRD'!$J:$J,'PROCESOS PRD'!$H:$H,0,0)),"")</f>
        <v/>
      </c>
      <c r="GJ54" s="71"/>
      <c r="GK54" s="32"/>
      <c r="GL54" s="72" t="str">
        <f t="array" ref="GL54">IFERROR(IF(XLOOKUP(CONCAT(GJ54,GK54),'MASTER PLAN'!$AB:$AB,'MASTER PLAN'!$J:$J,0,0)=0,"",XLOOKUP(CONCAT(GJ54,GK54),'MASTER PLAN'!$AB:$AB,'MASTER PLAN'!$J:$J,0,0)),"")</f>
        <v/>
      </c>
      <c r="GM54" s="73" t="str">
        <f t="array" ref="GM54">IFERROR(IF(XLOOKUP(CONCAT(GJ54,GK54),'PROCESOS PRD'!$J:$J,'PROCESOS PRD'!$H:$H,0,0)=0,"",XLOOKUP(CONCAT(GJ54,GK54),'PROCESOS PRD'!$J:$J,'PROCESOS PRD'!$H:$H,0,0)),"")</f>
        <v/>
      </c>
      <c r="GN54" s="70"/>
      <c r="GO54" s="71"/>
      <c r="GP54" s="32"/>
      <c r="GQ54" s="72" t="str">
        <f t="array" ref="GQ54">IFERROR(IF(XLOOKUP(CONCAT(GO54,GP54),'MASTER PLAN'!$AB:$AB,'MASTER PLAN'!$J:$J,0,0)=0,"",XLOOKUP(CONCAT(GO54,GP54),'MASTER PLAN'!$AB:$AB,'MASTER PLAN'!$J:$J,0,0)),"")</f>
        <v/>
      </c>
      <c r="GR54" s="73" t="str">
        <f t="array" ref="GR54">IFERROR(IF(XLOOKUP(CONCAT(GO54,GP54),'PROCESOS PRD'!$J:$J,'PROCESOS PRD'!$H:$H,0,0)=0,"",XLOOKUP(CONCAT(GO54,GP54),'PROCESOS PRD'!$J:$J,'PROCESOS PRD'!$H:$H,0,0)),"")</f>
        <v/>
      </c>
      <c r="GS54" s="71"/>
      <c r="GT54" s="32"/>
      <c r="GU54" s="72" t="str">
        <f t="array" ref="GU54">IFERROR(IF(XLOOKUP(CONCAT(GS54,GT54),'MASTER PLAN'!$AB:$AB,'MASTER PLAN'!$J:$J,0,0)=0,"",XLOOKUP(CONCAT(GS54,GT54),'MASTER PLAN'!$AB:$AB,'MASTER PLAN'!$J:$J,0,0)),"")</f>
        <v/>
      </c>
      <c r="GV54" s="73" t="str">
        <f t="array" ref="GV54">IFERROR(IF(XLOOKUP(CONCAT(GS54,GT54),'PROCESOS PRD'!$J:$J,'PROCESOS PRD'!$H:$H,0,0)=0,"",XLOOKUP(CONCAT(GS54,GT54),'PROCESOS PRD'!$J:$J,'PROCESOS PRD'!$H:$H,0,0)),"")</f>
        <v/>
      </c>
      <c r="GW54" s="71"/>
      <c r="GX54" s="32"/>
      <c r="GY54" s="72" t="str">
        <f t="array" ref="GY54">IFERROR(IF(XLOOKUP(CONCAT(GW54,GX54),'MASTER PLAN'!$AB:$AB,'MASTER PLAN'!$J:$J,0,0)=0,"",XLOOKUP(CONCAT(GW54,GX54),'MASTER PLAN'!$AB:$AB,'MASTER PLAN'!$J:$J,0,0)),"")</f>
        <v/>
      </c>
      <c r="GZ54" s="73" t="str">
        <f t="array" ref="GZ54">IFERROR(IF(XLOOKUP(CONCAT(GW54,GX54),'PROCESOS PRD'!$J:$J,'PROCESOS PRD'!$H:$H,0,0)=0,"",XLOOKUP(CONCAT(GW54,GX54),'PROCESOS PRD'!$J:$J,'PROCESOS PRD'!$H:$H,0,0)),"")</f>
        <v/>
      </c>
      <c r="HA54" s="71"/>
      <c r="HB54" s="32"/>
      <c r="HC54" s="72" t="str">
        <f t="array" ref="HC54">IFERROR(IF(XLOOKUP(CONCAT(HA54,HB54),'MASTER PLAN'!$AB:$AB,'MASTER PLAN'!$J:$J,0,0)=0,"",XLOOKUP(CONCAT(HA54,HB54),'MASTER PLAN'!$AB:$AB,'MASTER PLAN'!$J:$J,0,0)),"")</f>
        <v/>
      </c>
      <c r="HD54" s="73" t="str">
        <f t="array" ref="HD54">IFERROR(IF(XLOOKUP(CONCAT(HA54,HB54),'PROCESOS PRD'!$J:$J,'PROCESOS PRD'!$H:$H,0,0)=0,"",XLOOKUP(CONCAT(HA54,HB54),'PROCESOS PRD'!$J:$J,'PROCESOS PRD'!$H:$H,0,0)),"")</f>
        <v/>
      </c>
      <c r="HE54" s="71"/>
      <c r="HF54" s="32"/>
      <c r="HG54" s="72" t="str">
        <f t="array" ref="HG54">IFERROR(IF(XLOOKUP(CONCAT(HE54,HF54),'MASTER PLAN'!$AB:$AB,'MASTER PLAN'!$J:$J,0,0)=0,"",XLOOKUP(CONCAT(HE54,HF54),'MASTER PLAN'!$AB:$AB,'MASTER PLAN'!$J:$J,0,0)),"")</f>
        <v/>
      </c>
      <c r="HH54" s="73" t="str">
        <f t="array" ref="HH54">IFERROR(IF(XLOOKUP(CONCAT(HE54,HF54),'PROCESOS PRD'!$J:$J,'PROCESOS PRD'!$H:$H,0,0)=0,"",XLOOKUP(CONCAT(HE54,HF54),'PROCESOS PRD'!$J:$J,'PROCESOS PRD'!$H:$H,0,0)),"")</f>
        <v/>
      </c>
      <c r="HI54" s="71"/>
      <c r="HJ54" s="32"/>
      <c r="HK54" s="72" t="str">
        <f t="array" ref="HK54">IFERROR(IF(XLOOKUP(CONCAT(HI54,HJ54),'MASTER PLAN'!$AB:$AB,'MASTER PLAN'!$J:$J,0,0)=0,"",XLOOKUP(CONCAT(HI54,HJ54),'MASTER PLAN'!$AB:$AB,'MASTER PLAN'!$J:$J,0,0)),"")</f>
        <v/>
      </c>
      <c r="HL54" s="73" t="str">
        <f t="array" ref="HL54">IFERROR(IF(XLOOKUP(CONCAT(HI54,HJ54),'PROCESOS PRD'!$J:$J,'PROCESOS PRD'!$H:$H,0,0)=0,"",XLOOKUP(CONCAT(HI54,HJ54),'PROCESOS PRD'!$J:$J,'PROCESOS PRD'!$H:$H,0,0)),"")</f>
        <v/>
      </c>
      <c r="HM54" s="70"/>
      <c r="HN54" s="71"/>
      <c r="HO54" s="32"/>
      <c r="HP54" s="72" t="str">
        <f t="array" ref="HP54">IFERROR(IF(XLOOKUP(CONCAT(HN54,HO54),'MASTER PLAN'!$AB:$AB,'MASTER PLAN'!$J:$J,0,0)=0,"",XLOOKUP(CONCAT(HN54,HO54),'MASTER PLAN'!$AB:$AB,'MASTER PLAN'!$J:$J,0,0)),"")</f>
        <v/>
      </c>
      <c r="HQ54" s="73" t="str">
        <f t="array" ref="HQ54">IFERROR(IF(XLOOKUP(CONCAT(HN54,HO54),'PROCESOS PRD'!$J:$J,'PROCESOS PRD'!$H:$H,0,0)=0,"",XLOOKUP(CONCAT(HN54,HO54),'PROCESOS PRD'!$J:$J,'PROCESOS PRD'!$H:$H,0,0)),"")</f>
        <v/>
      </c>
      <c r="HR54" s="71"/>
      <c r="HS54" s="32"/>
      <c r="HT54" s="72" t="str">
        <f t="array" ref="HT54">IFERROR(IF(XLOOKUP(CONCAT(HR54,HS54),'MASTER PLAN'!$AB:$AB,'MASTER PLAN'!$J:$J,0,0)=0,"",XLOOKUP(CONCAT(HR54,HS54),'MASTER PLAN'!$AB:$AB,'MASTER PLAN'!$J:$J,0,0)),"")</f>
        <v/>
      </c>
      <c r="HU54" s="73" t="str">
        <f t="array" ref="HU54">IFERROR(IF(XLOOKUP(CONCAT(HR54,HS54),'PROCESOS PRD'!$J:$J,'PROCESOS PRD'!$H:$H,0,0)=0,"",XLOOKUP(CONCAT(HR54,HS54),'PROCESOS PRD'!$J:$J,'PROCESOS PRD'!$H:$H,0,0)),"")</f>
        <v/>
      </c>
      <c r="HV54" s="71"/>
      <c r="HW54" s="32"/>
      <c r="HX54" s="72" t="str">
        <f t="array" ref="HX54">IFERROR(IF(XLOOKUP(CONCAT(HV54,HW54),'MASTER PLAN'!$AB:$AB,'MASTER PLAN'!$J:$J,0,0)=0,"",XLOOKUP(CONCAT(HV54,HW54),'MASTER PLAN'!$AB:$AB,'MASTER PLAN'!$J:$J,0,0)),"")</f>
        <v/>
      </c>
      <c r="HY54" s="73" t="str">
        <f t="array" ref="HY54">IFERROR(IF(XLOOKUP(CONCAT(HV54,HW54),'PROCESOS PRD'!$J:$J,'PROCESOS PRD'!$H:$H,0,0)=0,"",XLOOKUP(CONCAT(HV54,HW54),'PROCESOS PRD'!$J:$J,'PROCESOS PRD'!$H:$H,0,0)),"")</f>
        <v/>
      </c>
      <c r="HZ54" s="71"/>
      <c r="IA54" s="32"/>
      <c r="IB54" s="72" t="str">
        <f t="array" ref="IB54">IFERROR(IF(XLOOKUP(CONCAT(HZ54,IA54),'MASTER PLAN'!$AB:$AB,'MASTER PLAN'!$J:$J,0,0)=0,"",XLOOKUP(CONCAT(HZ54,IA54),'MASTER PLAN'!$AB:$AB,'MASTER PLAN'!$J:$J,0,0)),"")</f>
        <v/>
      </c>
      <c r="IC54" s="73" t="str">
        <f t="array" ref="IC54">IFERROR(IF(XLOOKUP(CONCAT(HZ54,IA54),'PROCESOS PRD'!$J:$J,'PROCESOS PRD'!$H:$H,0,0)=0,"",XLOOKUP(CONCAT(HZ54,IA54),'PROCESOS PRD'!$J:$J,'PROCESOS PRD'!$H:$H,0,0)),"")</f>
        <v/>
      </c>
      <c r="ID54" s="71"/>
      <c r="IE54" s="32"/>
      <c r="IF54" s="72" t="str">
        <f t="array" ref="IF54">IFERROR(IF(XLOOKUP(CONCAT(ID54,IE54),'MASTER PLAN'!$AB:$AB,'MASTER PLAN'!$J:$J,0,0)=0,"",XLOOKUP(CONCAT(ID54,IE54),'MASTER PLAN'!$AB:$AB,'MASTER PLAN'!$J:$J,0,0)),"")</f>
        <v/>
      </c>
      <c r="IG54" s="73" t="str">
        <f t="array" ref="IG54">IFERROR(IF(XLOOKUP(CONCAT(ID54,IE54),'PROCESOS PRD'!$J:$J,'PROCESOS PRD'!$H:$H,0,0)=0,"",XLOOKUP(CONCAT(ID54,IE54),'PROCESOS PRD'!$J:$J,'PROCESOS PRD'!$H:$H,0,0)),"")</f>
        <v/>
      </c>
      <c r="IH54" s="71"/>
      <c r="II54" s="32"/>
      <c r="IJ54" s="72" t="str">
        <f t="array" ref="IJ54">IFERROR(IF(XLOOKUP(CONCAT(IH54,II54),'MASTER PLAN'!$AB:$AB,'MASTER PLAN'!$J:$J,0,0)=0,"",XLOOKUP(CONCAT(IH54,II54),'MASTER PLAN'!$AB:$AB,'MASTER PLAN'!$J:$J,0,0)),"")</f>
        <v/>
      </c>
      <c r="IK54" s="73" t="str">
        <f t="array" ref="IK54">IFERROR(IF(XLOOKUP(CONCAT(IH54,II54),'PROCESOS PRD'!$J:$J,'PROCESOS PRD'!$H:$H,0,0)=0,"",XLOOKUP(CONCAT(IH54,II54),'PROCESOS PRD'!$J:$J,'PROCESOS PRD'!$H:$H,0,0)),"")</f>
        <v/>
      </c>
      <c r="IL54" s="70"/>
      <c r="IM54" s="71"/>
      <c r="IN54" s="32"/>
      <c r="IO54" s="72" t="str">
        <f t="array" ref="IO54">IFERROR(IF(XLOOKUP(CONCAT(IM54,IN54),'MASTER PLAN'!$AB:$AB,'MASTER PLAN'!$J:$J,0,0)=0,"",XLOOKUP(CONCAT(IM54,IN54),'MASTER PLAN'!$AB:$AB,'MASTER PLAN'!$J:$J,0,0)),"")</f>
        <v/>
      </c>
      <c r="IP54" s="73" t="str">
        <f t="array" ref="IP54">IFERROR(IF(XLOOKUP(CONCAT(IM54,IN54),'PROCESOS PRD'!$J:$J,'PROCESOS PRD'!$H:$H,0,0)=0,"",XLOOKUP(CONCAT(IM54,IN54),'PROCESOS PRD'!$J:$J,'PROCESOS PRD'!$H:$H,0,0)),"")</f>
        <v/>
      </c>
      <c r="IQ54" s="71"/>
      <c r="IR54" s="32"/>
      <c r="IS54" s="72" t="str">
        <f t="array" ref="IS54">IFERROR(IF(XLOOKUP(CONCAT(IQ54,IR54),'MASTER PLAN'!$AB:$AB,'MASTER PLAN'!$J:$J,0,0)=0,"",XLOOKUP(CONCAT(IQ54,IR54),'MASTER PLAN'!$AB:$AB,'MASTER PLAN'!$J:$J,0,0)),"")</f>
        <v/>
      </c>
      <c r="IT54" s="73" t="str">
        <f t="array" ref="IT54">IFERROR(IF(XLOOKUP(CONCAT(IQ54,IR54),'PROCESOS PRD'!$J:$J,'PROCESOS PRD'!$H:$H,0,0)=0,"",XLOOKUP(CONCAT(IQ54,IR54),'PROCESOS PRD'!$J:$J,'PROCESOS PRD'!$H:$H,0,0)),"")</f>
        <v/>
      </c>
      <c r="IU54" s="71"/>
      <c r="IV54" s="32"/>
      <c r="IW54" s="72" t="str">
        <f t="array" ref="IW54">IFERROR(IF(XLOOKUP(CONCAT(IU54,IV54),'MASTER PLAN'!$AB:$AB,'MASTER PLAN'!$J:$J,0,0)=0,"",XLOOKUP(CONCAT(IU54,IV54),'MASTER PLAN'!$AB:$AB,'MASTER PLAN'!$J:$J,0,0)),"")</f>
        <v/>
      </c>
      <c r="IX54" s="73" t="str">
        <f t="array" ref="IX54">IFERROR(IF(XLOOKUP(CONCAT(IU54,IV54),'PROCESOS PRD'!$J:$J,'PROCESOS PRD'!$H:$H,0,0)=0,"",XLOOKUP(CONCAT(IU54,IV54),'PROCESOS PRD'!$J:$J,'PROCESOS PRD'!$H:$H,0,0)),"")</f>
        <v/>
      </c>
      <c r="IY54" s="71"/>
      <c r="IZ54" s="32"/>
      <c r="JA54" s="72" t="str">
        <f t="array" ref="JA54">IFERROR(IF(XLOOKUP(CONCAT(IY54,IZ54),'MASTER PLAN'!$AB:$AB,'MASTER PLAN'!$J:$J,0,0)=0,"",XLOOKUP(CONCAT(IY54,IZ54),'MASTER PLAN'!$AB:$AB,'MASTER PLAN'!$J:$J,0,0)),"")</f>
        <v/>
      </c>
      <c r="JB54" s="73" t="str">
        <f t="array" ref="JB54">IFERROR(IF(XLOOKUP(CONCAT(IY54,IZ54),'PROCESOS PRD'!$J:$J,'PROCESOS PRD'!$H:$H,0,0)=0,"",XLOOKUP(CONCAT(IY54,IZ54),'PROCESOS PRD'!$J:$J,'PROCESOS PRD'!$H:$H,0,0)),"")</f>
        <v/>
      </c>
      <c r="JC54" s="71"/>
      <c r="JD54" s="32"/>
      <c r="JE54" s="72" t="str">
        <f t="array" ref="JE54">IFERROR(IF(XLOOKUP(CONCAT(JC54,JD54),'MASTER PLAN'!$AB:$AB,'MASTER PLAN'!$J:$J,0,0)=0,"",XLOOKUP(CONCAT(JC54,JD54),'MASTER PLAN'!$AB:$AB,'MASTER PLAN'!$J:$J,0,0)),"")</f>
        <v/>
      </c>
      <c r="JF54" s="73" t="str">
        <f t="array" ref="JF54">IFERROR(IF(XLOOKUP(CONCAT(JC54,JD54),'PROCESOS PRD'!$J:$J,'PROCESOS PRD'!$H:$H,0,0)=0,"",XLOOKUP(CONCAT(JC54,JD54),'PROCESOS PRD'!$J:$J,'PROCESOS PRD'!$H:$H,0,0)),"")</f>
        <v/>
      </c>
      <c r="JG54" s="71"/>
      <c r="JH54" s="32"/>
      <c r="JI54" s="72" t="str">
        <f t="array" ref="JI54">IFERROR(IF(XLOOKUP(CONCAT(JG54,JH54),'MASTER PLAN'!$AB:$AB,'MASTER PLAN'!$J:$J,0,0)=0,"",XLOOKUP(CONCAT(JG54,JH54),'MASTER PLAN'!$AB:$AB,'MASTER PLAN'!$J:$J,0,0)),"")</f>
        <v/>
      </c>
      <c r="JJ54" s="73" t="str">
        <f t="array" ref="JJ54">IFERROR(IF(XLOOKUP(CONCAT(JG54,JH54),'PROCESOS PRD'!$J:$J,'PROCESOS PRD'!$H:$H,0,0)=0,"",XLOOKUP(CONCAT(JG54,JH54),'PROCESOS PRD'!$J:$J,'PROCESOS PRD'!$H:$H,0,0)),"")</f>
        <v/>
      </c>
      <c r="JK54" s="70"/>
      <c r="JL54" s="71"/>
      <c r="JM54" s="32"/>
      <c r="JN54" s="72" t="str">
        <f t="array" ref="JN54">IFERROR(IF(XLOOKUP(CONCAT(JL54,JM54),'MASTER PLAN'!$AB:$AB,'MASTER PLAN'!$J:$J,0,0)=0,"",XLOOKUP(CONCAT(JL54,JM54),'MASTER PLAN'!$AB:$AB,'MASTER PLAN'!$J:$J,0,0)),"")</f>
        <v/>
      </c>
      <c r="JO54" s="73" t="str">
        <f t="array" ref="JO54">IFERROR(IF(XLOOKUP(CONCAT(JL54,JM54),'PROCESOS PRD'!$J:$J,'PROCESOS PRD'!$H:$H,0,0)=0,"",XLOOKUP(CONCAT(JL54,JM54),'PROCESOS PRD'!$J:$J,'PROCESOS PRD'!$H:$H,0,0)),"")</f>
        <v/>
      </c>
      <c r="JP54" s="71"/>
      <c r="JQ54" s="32"/>
      <c r="JR54" s="72" t="str">
        <f t="array" ref="JR54">IFERROR(IF(XLOOKUP(CONCAT(JP54,JQ54),'MASTER PLAN'!$AB:$AB,'MASTER PLAN'!$J:$J,0,0)=0,"",XLOOKUP(CONCAT(JP54,JQ54),'MASTER PLAN'!$AB:$AB,'MASTER PLAN'!$J:$J,0,0)),"")</f>
        <v/>
      </c>
      <c r="JS54" s="73" t="str">
        <f t="array" ref="JS54">IFERROR(IF(XLOOKUP(CONCAT(JP54,JQ54),'PROCESOS PRD'!$J:$J,'PROCESOS PRD'!$H:$H,0,0)=0,"",XLOOKUP(CONCAT(JP54,JQ54),'PROCESOS PRD'!$J:$J,'PROCESOS PRD'!$H:$H,0,0)),"")</f>
        <v/>
      </c>
      <c r="JT54" s="71"/>
      <c r="JU54" s="32"/>
      <c r="JV54" s="72" t="str">
        <f t="array" ref="JV54">IFERROR(IF(XLOOKUP(CONCAT(JT54,JU54),'MASTER PLAN'!$AB:$AB,'MASTER PLAN'!$J:$J,0,0)=0,"",XLOOKUP(CONCAT(JT54,JU54),'MASTER PLAN'!$AB:$AB,'MASTER PLAN'!$J:$J,0,0)),"")</f>
        <v/>
      </c>
      <c r="JW54" s="73" t="str">
        <f t="array" ref="JW54">IFERROR(IF(XLOOKUP(CONCAT(JT54,JU54),'PROCESOS PRD'!$J:$J,'PROCESOS PRD'!$H:$H,0,0)=0,"",XLOOKUP(CONCAT(JT54,JU54),'PROCESOS PRD'!$J:$J,'PROCESOS PRD'!$H:$H,0,0)),"")</f>
        <v/>
      </c>
      <c r="JX54" s="71"/>
      <c r="JY54" s="32"/>
      <c r="JZ54" s="72" t="str">
        <f t="array" ref="JZ54">IFERROR(IF(XLOOKUP(CONCAT(JX54,JY54),'MASTER PLAN'!$AB:$AB,'MASTER PLAN'!$J:$J,0,0)=0,"",XLOOKUP(CONCAT(JX54,JY54),'MASTER PLAN'!$AB:$AB,'MASTER PLAN'!$J:$J,0,0)),"")</f>
        <v/>
      </c>
      <c r="KA54" s="73" t="str">
        <f t="array" ref="KA54">IFERROR(IF(XLOOKUP(CONCAT(JX54,JY54),'PROCESOS PRD'!$J:$J,'PROCESOS PRD'!$H:$H,0,0)=0,"",XLOOKUP(CONCAT(JX54,JY54),'PROCESOS PRD'!$J:$J,'PROCESOS PRD'!$H:$H,0,0)),"")</f>
        <v/>
      </c>
      <c r="KB54" s="71"/>
      <c r="KC54" s="32"/>
      <c r="KD54" s="72" t="str">
        <f t="array" ref="KD54">IFERROR(IF(XLOOKUP(CONCAT(KB54,KC54),'MASTER PLAN'!$AB:$AB,'MASTER PLAN'!$J:$J,0,0)=0,"",XLOOKUP(CONCAT(KB54,KC54),'MASTER PLAN'!$AB:$AB,'MASTER PLAN'!$J:$J,0,0)),"")</f>
        <v/>
      </c>
      <c r="KE54" s="73" t="str">
        <f t="array" ref="KE54">IFERROR(IF(XLOOKUP(CONCAT(KB54,KC54),'PROCESOS PRD'!$J:$J,'PROCESOS PRD'!$H:$H,0,0)=0,"",XLOOKUP(CONCAT(KB54,KC54),'PROCESOS PRD'!$J:$J,'PROCESOS PRD'!$H:$H,0,0)),"")</f>
        <v/>
      </c>
      <c r="KF54" s="71"/>
      <c r="KG54" s="32"/>
      <c r="KH54" s="72" t="str">
        <f t="array" ref="KH54">IFERROR(IF(XLOOKUP(CONCAT(KF54,KG54),'MASTER PLAN'!$AB:$AB,'MASTER PLAN'!$J:$J,0,0)=0,"",XLOOKUP(CONCAT(KF54,KG54),'MASTER PLAN'!$AB:$AB,'MASTER PLAN'!$J:$J,0,0)),"")</f>
        <v/>
      </c>
      <c r="KI54" s="73" t="str">
        <f t="array" ref="KI54">IFERROR(IF(XLOOKUP(CONCAT(KF54,KG54),'PROCESOS PRD'!$J:$J,'PROCESOS PRD'!$H:$H,0,0)=0,"",XLOOKUP(CONCAT(KF54,KG54),'PROCESOS PRD'!$J:$J,'PROCESOS PRD'!$H:$H,0,0)),"")</f>
        <v/>
      </c>
      <c r="KJ54" s="70"/>
      <c r="KK54" s="70"/>
      <c r="KL54" s="70"/>
      <c r="KM54" s="70"/>
      <c r="KN54" s="70"/>
      <c r="KO54" s="70"/>
      <c r="KP54" s="70"/>
      <c r="KQ54" s="70"/>
      <c r="KR54" s="70"/>
      <c r="KS54" s="70"/>
      <c r="KT54" s="70"/>
      <c r="KU54" s="70"/>
      <c r="KV54" s="70"/>
      <c r="KW54" s="70"/>
      <c r="KX54" s="70"/>
      <c r="KY54" s="70"/>
      <c r="KZ54" s="70"/>
      <c r="LA54" s="70"/>
      <c r="LB54" s="70"/>
      <c r="LC54" s="70"/>
    </row>
    <row r="55" ht="15.75" customHeight="1">
      <c r="A55" s="42"/>
      <c r="B55" s="74"/>
      <c r="C55" s="69"/>
      <c r="D55" s="70"/>
      <c r="E55" s="71"/>
      <c r="F55" s="32"/>
      <c r="G55" s="72" t="str">
        <f t="array" ref="G55">IFERROR(IF(XLOOKUP(CONCAT(E55,F55),'MASTER PLAN'!$AB:$AB,'MASTER PLAN'!$J:$J,0,0)=0,"",XLOOKUP(CONCAT(E55,F55),'MASTER PLAN'!$AB:$AB,'MASTER PLAN'!$J:$J,0,0)),"")</f>
        <v/>
      </c>
      <c r="H55" s="73" t="str">
        <f t="array" ref="H55">IFERROR(IF(XLOOKUP(CONCAT(E55,F55),'PROCESOS PRD'!$J:$J,'PROCESOS PRD'!$H:$H,0,0)=0,"",XLOOKUP(CONCAT(E55,F55),'PROCESOS PRD'!$J:$J,'PROCESOS PRD'!$H:$H,0,0)),"")</f>
        <v/>
      </c>
      <c r="I55" s="71"/>
      <c r="J55" s="32"/>
      <c r="K55" s="72" t="str">
        <f t="array" ref="K55">IFERROR(IF(XLOOKUP(CONCAT(I55,J55),'MASTER PLAN'!$AB:$AB,'MASTER PLAN'!$J:$J,0,0)=0,"",XLOOKUP(CONCAT(I55,J55),'MASTER PLAN'!$AB:$AB,'MASTER PLAN'!$J:$J,0,0)),"")</f>
        <v/>
      </c>
      <c r="L55" s="73" t="str">
        <f t="array" ref="L55">IFERROR(IF(XLOOKUP(CONCAT(I55,J55),'PROCESOS PRD'!$J:$J,'PROCESOS PRD'!$H:$H,0,0)=0,"",XLOOKUP(CONCAT(I55,J55),'PROCESOS PRD'!$J:$J,'PROCESOS PRD'!$H:$H,0,0)),"")</f>
        <v/>
      </c>
      <c r="M55" s="71"/>
      <c r="N55" s="32"/>
      <c r="O55" s="72" t="str">
        <f t="array" ref="O55">IFERROR(IF(XLOOKUP(CONCAT(M55,N55),'MASTER PLAN'!$AB:$AB,'MASTER PLAN'!$J:$J,0,0)=0,"",XLOOKUP(CONCAT(M55,N55),'MASTER PLAN'!$AB:$AB,'MASTER PLAN'!$J:$J,0,0)),"")</f>
        <v/>
      </c>
      <c r="P55" s="73" t="str">
        <f t="array" ref="P55">IFERROR(IF(XLOOKUP(CONCAT(M55,N55),'PROCESOS PRD'!$J:$J,'PROCESOS PRD'!$H:$H,0,0)=0,"",XLOOKUP(CONCAT(M55,N55),'PROCESOS PRD'!$J:$J,'PROCESOS PRD'!$H:$H,0,0)),"")</f>
        <v/>
      </c>
      <c r="Q55" s="71"/>
      <c r="R55" s="32"/>
      <c r="S55" s="72" t="str">
        <f t="array" ref="S55">IFERROR(IF(XLOOKUP(CONCAT(Q55,R55),'MASTER PLAN'!$AB:$AB,'MASTER PLAN'!$J:$J,0,0)=0,"",XLOOKUP(CONCAT(Q55,R55),'MASTER PLAN'!$AB:$AB,'MASTER PLAN'!$J:$J,0,0)),"")</f>
        <v/>
      </c>
      <c r="T55" s="73" t="str">
        <f t="array" ref="T55">IFERROR(IF(XLOOKUP(CONCAT(Q55,R55),'PROCESOS PRD'!$J:$J,'PROCESOS PRD'!$H:$H,0,0)=0,"",XLOOKUP(CONCAT(Q55,R55),'PROCESOS PRD'!$J:$J,'PROCESOS PRD'!$H:$H,0,0)),"")</f>
        <v/>
      </c>
      <c r="U55" s="70"/>
      <c r="V55" s="71"/>
      <c r="W55" s="32"/>
      <c r="X55" s="72" t="str">
        <f t="array" ref="X55">IFERROR(IF(XLOOKUP(CONCAT(V55,W55),'MASTER PLAN'!$AB:$AB,'MASTER PLAN'!$J:$J,0,0)=0,"",XLOOKUP(CONCAT(V55,W55),'MASTER PLAN'!$AB:$AB,'MASTER PLAN'!$J:$J,0,0)),"")</f>
        <v/>
      </c>
      <c r="Y55" s="73" t="str">
        <f t="array" ref="Y55">IFERROR(IF(XLOOKUP(CONCAT(V55,W55),'PROCESOS PRD'!$J:$J,'PROCESOS PRD'!$H:$H,0,0)=0,"",XLOOKUP(CONCAT(V55,W55),'PROCESOS PRD'!$J:$J,'PROCESOS PRD'!$H:$H,0,0)),"")</f>
        <v/>
      </c>
      <c r="Z55" s="71"/>
      <c r="AA55" s="32"/>
      <c r="AB55" s="72" t="str">
        <f t="array" ref="AB55">IFERROR(IF(XLOOKUP(CONCAT(Z55,AA55),'MASTER PLAN'!$AB:$AB,'MASTER PLAN'!$J:$J,0,0)=0,"",XLOOKUP(CONCAT(Z55,AA55),'MASTER PLAN'!$AB:$AB,'MASTER PLAN'!$J:$J,0,0)),"")</f>
        <v/>
      </c>
      <c r="AC55" s="73" t="str">
        <f t="array" ref="AC55">IFERROR(IF(XLOOKUP(CONCAT(Z55,AA55),'PROCESOS PRD'!$J:$J,'PROCESOS PRD'!$H:$H,0,0)=0,"",XLOOKUP(CONCAT(Z55,AA55),'PROCESOS PRD'!$J:$J,'PROCESOS PRD'!$H:$H,0,0)),"")</f>
        <v/>
      </c>
      <c r="AD55" s="71"/>
      <c r="AE55" s="32"/>
      <c r="AF55" s="72" t="str">
        <f t="array" ref="AF55">IFERROR(IF(XLOOKUP(CONCAT(AD55,AE55),'MASTER PLAN'!$AB:$AB,'MASTER PLAN'!$J:$J,0,0)=0,"",XLOOKUP(CONCAT(AD55,AE55),'MASTER PLAN'!$AB:$AB,'MASTER PLAN'!$J:$J,0,0)),"")</f>
        <v/>
      </c>
      <c r="AG55" s="73" t="str">
        <f t="array" ref="AG55">IFERROR(IF(XLOOKUP(CONCAT(AD55,AE55),'PROCESOS PRD'!$J:$J,'PROCESOS PRD'!$H:$H,0,0)=0,"",XLOOKUP(CONCAT(AD55,AE55),'PROCESOS PRD'!$J:$J,'PROCESOS PRD'!$H:$H,0,0)),"")</f>
        <v/>
      </c>
      <c r="AH55" s="71"/>
      <c r="AI55" s="32"/>
      <c r="AJ55" s="72" t="str">
        <f t="array" ref="AJ55">IFERROR(IF(XLOOKUP(CONCAT(AH55,AI55),'MASTER PLAN'!$AB:$AB,'MASTER PLAN'!$J:$J,0,0)=0,"",XLOOKUP(CONCAT(AH55,AI55),'MASTER PLAN'!$AB:$AB,'MASTER PLAN'!$J:$J,0,0)),"")</f>
        <v/>
      </c>
      <c r="AK55" s="73" t="str">
        <f t="array" ref="AK55">IFERROR(IF(XLOOKUP(CONCAT(AH55,AI55),'PROCESOS PRD'!$J:$J,'PROCESOS PRD'!$H:$H,0,0)=0,"",XLOOKUP(CONCAT(AH55,AI55),'PROCESOS PRD'!$J:$J,'PROCESOS PRD'!$H:$H,0,0)),"")</f>
        <v/>
      </c>
      <c r="AL55" s="71"/>
      <c r="AM55" s="32"/>
      <c r="AN55" s="72" t="str">
        <f t="array" ref="AN55">IFERROR(IF(XLOOKUP(CONCAT(AL55,AM55),'MASTER PLAN'!$AB:$AB,'MASTER PLAN'!$J:$J,0,0)=0,"",XLOOKUP(CONCAT(AL55,AM55),'MASTER PLAN'!$AB:$AB,'MASTER PLAN'!$J:$J,0,0)),"")</f>
        <v/>
      </c>
      <c r="AO55" s="73" t="str">
        <f t="array" ref="AO55">IFERROR(IF(XLOOKUP(CONCAT(AL55,AM55),'PROCESOS PRD'!$J:$J,'PROCESOS PRD'!$H:$H,0,0)=0,"",XLOOKUP(CONCAT(AL55,AM55),'PROCESOS PRD'!$J:$J,'PROCESOS PRD'!$H:$H,0,0)),"")</f>
        <v/>
      </c>
      <c r="AP55" s="71"/>
      <c r="AQ55" s="32"/>
      <c r="AR55" s="72" t="str">
        <f t="array" ref="AR55">IFERROR(IF(XLOOKUP(CONCAT(AP55,AQ55),'MASTER PLAN'!$AB:$AB,'MASTER PLAN'!$J:$J,0,0)=0,"",XLOOKUP(CONCAT(AP55,AQ55),'MASTER PLAN'!$AB:$AB,'MASTER PLAN'!$J:$J,0,0)),"")</f>
        <v/>
      </c>
      <c r="AS55" s="73" t="str">
        <f t="array" ref="AS55">IFERROR(IF(XLOOKUP(CONCAT(AP55,AQ55),'PROCESOS PRD'!$J:$J,'PROCESOS PRD'!$H:$H,0,0)=0,"",XLOOKUP(CONCAT(AP55,AQ55),'PROCESOS PRD'!$J:$J,'PROCESOS PRD'!$H:$H,0,0)),"")</f>
        <v/>
      </c>
      <c r="AT55" s="70"/>
      <c r="AU55" s="71"/>
      <c r="AV55" s="32"/>
      <c r="AW55" s="72" t="str">
        <f t="array" ref="AW55">IFERROR(IF(XLOOKUP(CONCAT(AU55,AV55),'MASTER PLAN'!$AB:$AB,'MASTER PLAN'!$J:$J,0,0)=0,"",XLOOKUP(CONCAT(AU55,AV55),'MASTER PLAN'!$AB:$AB,'MASTER PLAN'!$J:$J,0,0)),"")</f>
        <v/>
      </c>
      <c r="AX55" s="73" t="str">
        <f t="array" ref="AX55">IFERROR(IF(XLOOKUP(CONCAT(AU55,AV55),'PROCESOS PRD'!$J:$J,'PROCESOS PRD'!$H:$H,0,0)=0,"",XLOOKUP(CONCAT(AU55,AV55),'PROCESOS PRD'!$J:$J,'PROCESOS PRD'!$H:$H,0,0)),"")</f>
        <v/>
      </c>
      <c r="AY55" s="71"/>
      <c r="AZ55" s="32"/>
      <c r="BA55" s="72" t="str">
        <f t="array" ref="BA55">IFERROR(IF(XLOOKUP(CONCAT(AY55,AZ55),'MASTER PLAN'!$AB:$AB,'MASTER PLAN'!$J:$J,0,0)=0,"",XLOOKUP(CONCAT(AY55,AZ55),'MASTER PLAN'!$AB:$AB,'MASTER PLAN'!$J:$J,0,0)),"")</f>
        <v/>
      </c>
      <c r="BB55" s="73" t="str">
        <f t="array" ref="BB55">IFERROR(IF(XLOOKUP(CONCAT(AY55,AZ55),'PROCESOS PRD'!$J:$J,'PROCESOS PRD'!$H:$H,0,0)=0,"",XLOOKUP(CONCAT(AY55,AZ55),'PROCESOS PRD'!$J:$J,'PROCESOS PRD'!$H:$H,0,0)),"")</f>
        <v/>
      </c>
      <c r="BC55" s="71"/>
      <c r="BD55" s="32"/>
      <c r="BE55" s="72" t="str">
        <f t="array" ref="BE55">IFERROR(IF(XLOOKUP(CONCAT(BC55,BD55),'MASTER PLAN'!$AB:$AB,'MASTER PLAN'!$J:$J,0,0)=0,"",XLOOKUP(CONCAT(BC55,BD55),'MASTER PLAN'!$AB:$AB,'MASTER PLAN'!$J:$J,0,0)),"")</f>
        <v/>
      </c>
      <c r="BF55" s="73" t="str">
        <f t="array" ref="BF55">IFERROR(IF(XLOOKUP(CONCAT(BC55,BD55),'PROCESOS PRD'!$J:$J,'PROCESOS PRD'!$H:$H,0,0)=0,"",XLOOKUP(CONCAT(BC55,BD55),'PROCESOS PRD'!$J:$J,'PROCESOS PRD'!$H:$H,0,0)),"")</f>
        <v/>
      </c>
      <c r="BG55" s="71"/>
      <c r="BH55" s="32"/>
      <c r="BI55" s="72" t="str">
        <f t="array" ref="BI55">IFERROR(IF(XLOOKUP(CONCAT(BG55,BH55),'MASTER PLAN'!$AB:$AB,'MASTER PLAN'!$J:$J,0,0)=0,"",XLOOKUP(CONCAT(BG55,BH55),'MASTER PLAN'!$AB:$AB,'MASTER PLAN'!$J:$J,0,0)),"")</f>
        <v/>
      </c>
      <c r="BJ55" s="73" t="str">
        <f t="array" ref="BJ55">IFERROR(IF(XLOOKUP(CONCAT(BG55,BH55),'PROCESOS PRD'!$J:$J,'PROCESOS PRD'!$H:$H,0,0)=0,"",XLOOKUP(CONCAT(BG55,BH55),'PROCESOS PRD'!$J:$J,'PROCESOS PRD'!$H:$H,0,0)),"")</f>
        <v/>
      </c>
      <c r="BK55" s="71"/>
      <c r="BL55" s="32"/>
      <c r="BM55" s="72" t="str">
        <f t="array" ref="BM55">IFERROR(IF(XLOOKUP(CONCAT(BK55,BL55),'MASTER PLAN'!$AB:$AB,'MASTER PLAN'!$J:$J,0,0)=0,"",XLOOKUP(CONCAT(BK55,BL55),'MASTER PLAN'!$AB:$AB,'MASTER PLAN'!$J:$J,0,0)),"")</f>
        <v/>
      </c>
      <c r="BN55" s="73" t="str">
        <f t="array" ref="BN55">IFERROR(IF(XLOOKUP(CONCAT(BK55,BL55),'PROCESOS PRD'!$J:$J,'PROCESOS PRD'!$H:$H,0,0)=0,"",XLOOKUP(CONCAT(BK55,BL55),'PROCESOS PRD'!$J:$J,'PROCESOS PRD'!$H:$H,0,0)),"")</f>
        <v/>
      </c>
      <c r="BO55" s="71"/>
      <c r="BP55" s="32"/>
      <c r="BQ55" s="72" t="str">
        <f t="array" ref="BQ55">IFERROR(IF(XLOOKUP(CONCAT(BO55,BP55),'MASTER PLAN'!$AB:$AB,'MASTER PLAN'!$J:$J,0,0)=0,"",XLOOKUP(CONCAT(BO55,BP55),'MASTER PLAN'!$AB:$AB,'MASTER PLAN'!$J:$J,0,0)),"")</f>
        <v/>
      </c>
      <c r="BR55" s="73" t="str">
        <f t="array" ref="BR55">IFERROR(IF(XLOOKUP(CONCAT(BO55,BP55),'PROCESOS PRD'!$J:$J,'PROCESOS PRD'!$H:$H,0,0)=0,"",XLOOKUP(CONCAT(BO55,BP55),'PROCESOS PRD'!$J:$J,'PROCESOS PRD'!$H:$H,0,0)),"")</f>
        <v/>
      </c>
      <c r="BS55" s="70"/>
      <c r="BT55" s="71"/>
      <c r="BU55" s="32"/>
      <c r="BV55" s="72" t="str">
        <f t="array" ref="BV55">IFERROR(IF(XLOOKUP(CONCAT(BT55,BU55),'MASTER PLAN'!$AB:$AB,'MASTER PLAN'!$J:$J,0,0)=0,"",XLOOKUP(CONCAT(BT55,BU55),'MASTER PLAN'!$AB:$AB,'MASTER PLAN'!$J:$J,0,0)),"")</f>
        <v/>
      </c>
      <c r="BW55" s="73" t="str">
        <f t="array" ref="BW55">IFERROR(IF(XLOOKUP(CONCAT(BT55,BU55),'PROCESOS PRD'!$J:$J,'PROCESOS PRD'!$H:$H,0,0)=0,"",XLOOKUP(CONCAT(BT55,BU55),'PROCESOS PRD'!$J:$J,'PROCESOS PRD'!$H:$H,0,0)),"")</f>
        <v/>
      </c>
      <c r="BX55" s="71"/>
      <c r="BY55" s="32"/>
      <c r="BZ55" s="72" t="str">
        <f t="array" ref="BZ55">IFERROR(IF(XLOOKUP(CONCAT(BX55,BY55),'MASTER PLAN'!$AB:$AB,'MASTER PLAN'!$J:$J,0,0)=0,"",XLOOKUP(CONCAT(BX55,BY55),'MASTER PLAN'!$AB:$AB,'MASTER PLAN'!$J:$J,0,0)),"")</f>
        <v/>
      </c>
      <c r="CA55" s="73" t="str">
        <f t="array" ref="CA55">IFERROR(IF(XLOOKUP(CONCAT(BX55,BY55),'PROCESOS PRD'!$J:$J,'PROCESOS PRD'!$H:$H,0,0)=0,"",XLOOKUP(CONCAT(BX55,BY55),'PROCESOS PRD'!$J:$J,'PROCESOS PRD'!$H:$H,0,0)),"")</f>
        <v/>
      </c>
      <c r="CB55" s="71"/>
      <c r="CC55" s="32"/>
      <c r="CD55" s="72" t="str">
        <f t="array" ref="CD55">IFERROR(IF(XLOOKUP(CONCAT(CB55,CC55),'MASTER PLAN'!$AB:$AB,'MASTER PLAN'!$J:$J,0,0)=0,"",XLOOKUP(CONCAT(CB55,CC55),'MASTER PLAN'!$AB:$AB,'MASTER PLAN'!$J:$J,0,0)),"")</f>
        <v/>
      </c>
      <c r="CE55" s="73" t="str">
        <f t="array" ref="CE55">IFERROR(IF(XLOOKUP(CONCAT(CB55,CC55),'PROCESOS PRD'!$J:$J,'PROCESOS PRD'!$H:$H,0,0)=0,"",XLOOKUP(CONCAT(CB55,CC55),'PROCESOS PRD'!$J:$J,'PROCESOS PRD'!$H:$H,0,0)),"")</f>
        <v/>
      </c>
      <c r="CF55" s="71"/>
      <c r="CG55" s="32"/>
      <c r="CH55" s="72" t="str">
        <f t="array" ref="CH55">IFERROR(IF(XLOOKUP(CONCAT(CF55,CG55),'MASTER PLAN'!$AB:$AB,'MASTER PLAN'!$J:$J,0,0)=0,"",XLOOKUP(CONCAT(CF55,CG55),'MASTER PLAN'!$AB:$AB,'MASTER PLAN'!$J:$J,0,0)),"")</f>
        <v/>
      </c>
      <c r="CI55" s="73" t="str">
        <f t="array" ref="CI55">IFERROR(IF(XLOOKUP(CONCAT(CF55,CG55),'PROCESOS PRD'!$J:$J,'PROCESOS PRD'!$H:$H,0,0)=0,"",XLOOKUP(CONCAT(CF55,CG55),'PROCESOS PRD'!$J:$J,'PROCESOS PRD'!$H:$H,0,0)),"")</f>
        <v/>
      </c>
      <c r="CJ55" s="71"/>
      <c r="CK55" s="32"/>
      <c r="CL55" s="72" t="str">
        <f t="array" ref="CL55">IFERROR(IF(XLOOKUP(CONCAT(CJ55,CK55),'MASTER PLAN'!$AB:$AB,'MASTER PLAN'!$J:$J,0,0)=0,"",XLOOKUP(CONCAT(CJ55,CK55),'MASTER PLAN'!$AB:$AB,'MASTER PLAN'!$J:$J,0,0)),"")</f>
        <v/>
      </c>
      <c r="CM55" s="73" t="str">
        <f t="array" ref="CM55">IFERROR(IF(XLOOKUP(CONCAT(CJ55,CK55),'PROCESOS PRD'!$J:$J,'PROCESOS PRD'!$H:$H,0,0)=0,"",XLOOKUP(CONCAT(CJ55,CK55),'PROCESOS PRD'!$J:$J,'PROCESOS PRD'!$H:$H,0,0)),"")</f>
        <v/>
      </c>
      <c r="CN55" s="71"/>
      <c r="CO55" s="32"/>
      <c r="CP55" s="72" t="str">
        <f t="array" ref="CP55">IFERROR(IF(XLOOKUP(CONCAT(CN55,CO55),'MASTER PLAN'!$AB:$AB,'MASTER PLAN'!$J:$J,0,0)=0,"",XLOOKUP(CONCAT(CN55,CO55),'MASTER PLAN'!$AB:$AB,'MASTER PLAN'!$J:$J,0,0)),"")</f>
        <v/>
      </c>
      <c r="CQ55" s="73" t="str">
        <f t="array" ref="CQ55">IFERROR(IF(XLOOKUP(CONCAT(CN55,CO55),'PROCESOS PRD'!$J:$J,'PROCESOS PRD'!$H:$H,0,0)=0,"",XLOOKUP(CONCAT(CN55,CO55),'PROCESOS PRD'!$J:$J,'PROCESOS PRD'!$H:$H,0,0)),"")</f>
        <v/>
      </c>
      <c r="CR55" s="70"/>
      <c r="CS55" s="71"/>
      <c r="CT55" s="32"/>
      <c r="CU55" s="72" t="str">
        <f t="array" ref="CU55">IFERROR(IF(XLOOKUP(CONCAT(CS55,CT55),'MASTER PLAN'!$AB:$AB,'MASTER PLAN'!$J:$J,0,0)=0,"",XLOOKUP(CONCAT(CS55,CT55),'MASTER PLAN'!$AB:$AB,'MASTER PLAN'!$J:$J,0,0)),"")</f>
        <v/>
      </c>
      <c r="CV55" s="73" t="str">
        <f t="array" ref="CV55">IFERROR(IF(XLOOKUP(CONCAT(CS55,CT55),'PROCESOS PRD'!$J:$J,'PROCESOS PRD'!$H:$H,0,0)=0,"",XLOOKUP(CONCAT(CS55,CT55),'PROCESOS PRD'!$J:$J,'PROCESOS PRD'!$H:$H,0,0)),"")</f>
        <v/>
      </c>
      <c r="CW55" s="71"/>
      <c r="CX55" s="32"/>
      <c r="CY55" s="72" t="str">
        <f t="array" ref="CY55">IFERROR(IF(XLOOKUP(CONCAT(CW55,CX55),'MASTER PLAN'!$AB:$AB,'MASTER PLAN'!$J:$J,0,0)=0,"",XLOOKUP(CONCAT(CW55,CX55),'MASTER PLAN'!$AB:$AB,'MASTER PLAN'!$J:$J,0,0)),"")</f>
        <v/>
      </c>
      <c r="CZ55" s="73" t="str">
        <f t="array" ref="CZ55">IFERROR(IF(XLOOKUP(CONCAT(CW55,CX55),'PROCESOS PRD'!$J:$J,'PROCESOS PRD'!$H:$H,0,0)=0,"",XLOOKUP(CONCAT(CW55,CX55),'PROCESOS PRD'!$J:$J,'PROCESOS PRD'!$H:$H,0,0)),"")</f>
        <v/>
      </c>
      <c r="DA55" s="71"/>
      <c r="DB55" s="32"/>
      <c r="DC55" s="72" t="str">
        <f t="array" ref="DC55">IFERROR(IF(XLOOKUP(CONCAT(DA55,DB55),'MASTER PLAN'!$AB:$AB,'MASTER PLAN'!$J:$J,0,0)=0,"",XLOOKUP(CONCAT(DA55,DB55),'MASTER PLAN'!$AB:$AB,'MASTER PLAN'!$J:$J,0,0)),"")</f>
        <v/>
      </c>
      <c r="DD55" s="73" t="str">
        <f t="array" ref="DD55">IFERROR(IF(XLOOKUP(CONCAT(DA55,DB55),'PROCESOS PRD'!$J:$J,'PROCESOS PRD'!$H:$H,0,0)=0,"",XLOOKUP(CONCAT(DA55,DB55),'PROCESOS PRD'!$J:$J,'PROCESOS PRD'!$H:$H,0,0)),"")</f>
        <v/>
      </c>
      <c r="DE55" s="71"/>
      <c r="DF55" s="32"/>
      <c r="DG55" s="72" t="str">
        <f t="array" ref="DG55">IFERROR(IF(XLOOKUP(CONCAT(DE55,DF55),'MASTER PLAN'!$AB:$AB,'MASTER PLAN'!$J:$J,0,0)=0,"",XLOOKUP(CONCAT(DE55,DF55),'MASTER PLAN'!$AB:$AB,'MASTER PLAN'!$J:$J,0,0)),"")</f>
        <v/>
      </c>
      <c r="DH55" s="73" t="str">
        <f t="array" ref="DH55">IFERROR(IF(XLOOKUP(CONCAT(DE55,DF55),'PROCESOS PRD'!$J:$J,'PROCESOS PRD'!$H:$H,0,0)=0,"",XLOOKUP(CONCAT(DE55,DF55),'PROCESOS PRD'!$J:$J,'PROCESOS PRD'!$H:$H,0,0)),"")</f>
        <v/>
      </c>
      <c r="DI55" s="71"/>
      <c r="DJ55" s="32"/>
      <c r="DK55" s="72" t="str">
        <f t="array" ref="DK55">IFERROR(IF(XLOOKUP(CONCAT(DI55,DJ55),'MASTER PLAN'!$AB:$AB,'MASTER PLAN'!$J:$J,0,0)=0,"",XLOOKUP(CONCAT(DI55,DJ55),'MASTER PLAN'!$AB:$AB,'MASTER PLAN'!$J:$J,0,0)),"")</f>
        <v/>
      </c>
      <c r="DL55" s="73" t="str">
        <f t="array" ref="DL55">IFERROR(IF(XLOOKUP(CONCAT(DI55,DJ55),'PROCESOS PRD'!$J:$J,'PROCESOS PRD'!$H:$H,0,0)=0,"",XLOOKUP(CONCAT(DI55,DJ55),'PROCESOS PRD'!$J:$J,'PROCESOS PRD'!$H:$H,0,0)),"")</f>
        <v/>
      </c>
      <c r="DM55" s="71"/>
      <c r="DN55" s="32"/>
      <c r="DO55" s="72" t="str">
        <f t="array" ref="DO55">IFERROR(IF(XLOOKUP(CONCAT(DM55,DN55),'MASTER PLAN'!$AB:$AB,'MASTER PLAN'!$J:$J,0,0)=0,"",XLOOKUP(CONCAT(DM55,DN55),'MASTER PLAN'!$AB:$AB,'MASTER PLAN'!$J:$J,0,0)),"")</f>
        <v/>
      </c>
      <c r="DP55" s="73" t="str">
        <f t="array" ref="DP55">IFERROR(IF(XLOOKUP(CONCAT(DM55,DN55),'PROCESOS PRD'!$J:$J,'PROCESOS PRD'!$H:$H,0,0)=0,"",XLOOKUP(CONCAT(DM55,DN55),'PROCESOS PRD'!$J:$J,'PROCESOS PRD'!$H:$H,0,0)),"")</f>
        <v/>
      </c>
      <c r="DQ55" s="70"/>
      <c r="DR55" s="71"/>
      <c r="DS55" s="32"/>
      <c r="DT55" s="72" t="str">
        <f t="array" ref="DT55">IFERROR(IF(XLOOKUP(CONCAT(DR55,DS55),'MASTER PLAN'!$AB:$AB,'MASTER PLAN'!$J:$J,0,0)=0,"",XLOOKUP(CONCAT(DR55,DS55),'MASTER PLAN'!$AB:$AB,'MASTER PLAN'!$J:$J,0,0)),"")</f>
        <v/>
      </c>
      <c r="DU55" s="73" t="str">
        <f t="array" ref="DU55">IFERROR(IF(XLOOKUP(CONCAT(DR55,DS55),'PROCESOS PRD'!$J:$J,'PROCESOS PRD'!$H:$H,0,0)=0,"",XLOOKUP(CONCAT(DR55,DS55),'PROCESOS PRD'!$J:$J,'PROCESOS PRD'!$H:$H,0,0)),"")</f>
        <v/>
      </c>
      <c r="DV55" s="71"/>
      <c r="DW55" s="32"/>
      <c r="DX55" s="72" t="str">
        <f t="array" ref="DX55">IFERROR(IF(XLOOKUP(CONCAT(DV55,DW55),'MASTER PLAN'!$AB:$AB,'MASTER PLAN'!$J:$J,0,0)=0,"",XLOOKUP(CONCAT(DV55,DW55),'MASTER PLAN'!$AB:$AB,'MASTER PLAN'!$J:$J,0,0)),"")</f>
        <v/>
      </c>
      <c r="DY55" s="73" t="str">
        <f t="array" ref="DY55">IFERROR(IF(XLOOKUP(CONCAT(DV55,DW55),'PROCESOS PRD'!$J:$J,'PROCESOS PRD'!$H:$H,0,0)=0,"",XLOOKUP(CONCAT(DV55,DW55),'PROCESOS PRD'!$J:$J,'PROCESOS PRD'!$H:$H,0,0)),"")</f>
        <v/>
      </c>
      <c r="DZ55" s="71"/>
      <c r="EA55" s="32"/>
      <c r="EB55" s="72" t="str">
        <f t="array" ref="EB55">IFERROR(IF(XLOOKUP(CONCAT(DZ55,EA55),'MASTER PLAN'!$AB:$AB,'MASTER PLAN'!$J:$J,0,0)=0,"",XLOOKUP(CONCAT(DZ55,EA55),'MASTER PLAN'!$AB:$AB,'MASTER PLAN'!$J:$J,0,0)),"")</f>
        <v/>
      </c>
      <c r="EC55" s="73" t="str">
        <f t="array" ref="EC55">IFERROR(IF(XLOOKUP(CONCAT(DZ55,EA55),'PROCESOS PRD'!$J:$J,'PROCESOS PRD'!$H:$H,0,0)=0,"",XLOOKUP(CONCAT(DZ55,EA55),'PROCESOS PRD'!$J:$J,'PROCESOS PRD'!$H:$H,0,0)),"")</f>
        <v/>
      </c>
      <c r="ED55" s="71"/>
      <c r="EE55" s="32"/>
      <c r="EF55" s="72" t="str">
        <f t="array" ref="EF55">IFERROR(IF(XLOOKUP(CONCAT(ED55,EE55),'MASTER PLAN'!$AB:$AB,'MASTER PLAN'!$J:$J,0,0)=0,"",XLOOKUP(CONCAT(ED55,EE55),'MASTER PLAN'!$AB:$AB,'MASTER PLAN'!$J:$J,0,0)),"")</f>
        <v/>
      </c>
      <c r="EG55" s="73" t="str">
        <f t="array" ref="EG55">IFERROR(IF(XLOOKUP(CONCAT(ED55,EE55),'PROCESOS PRD'!$J:$J,'PROCESOS PRD'!$H:$H,0,0)=0,"",XLOOKUP(CONCAT(ED55,EE55),'PROCESOS PRD'!$J:$J,'PROCESOS PRD'!$H:$H,0,0)),"")</f>
        <v/>
      </c>
      <c r="EH55" s="71"/>
      <c r="EI55" s="32"/>
      <c r="EJ55" s="72" t="str">
        <f t="array" ref="EJ55">IFERROR(IF(XLOOKUP(CONCAT(EH55,EI55),'MASTER PLAN'!$AB:$AB,'MASTER PLAN'!$J:$J,0,0)=0,"",XLOOKUP(CONCAT(EH55,EI55),'MASTER PLAN'!$AB:$AB,'MASTER PLAN'!$J:$J,0,0)),"")</f>
        <v/>
      </c>
      <c r="EK55" s="73" t="str">
        <f t="array" ref="EK55">IFERROR(IF(XLOOKUP(CONCAT(EH55,EI55),'PROCESOS PRD'!$J:$J,'PROCESOS PRD'!$H:$H,0,0)=0,"",XLOOKUP(CONCAT(EH55,EI55),'PROCESOS PRD'!$J:$J,'PROCESOS PRD'!$H:$H,0,0)),"")</f>
        <v/>
      </c>
      <c r="EL55" s="71"/>
      <c r="EM55" s="32"/>
      <c r="EN55" s="72" t="str">
        <f t="array" ref="EN55">IFERROR(IF(XLOOKUP(CONCAT(EL55,EM55),'MASTER PLAN'!$AB:$AB,'MASTER PLAN'!$J:$J,0,0)=0,"",XLOOKUP(CONCAT(EL55,EM55),'MASTER PLAN'!$AB:$AB,'MASTER PLAN'!$J:$J,0,0)),"")</f>
        <v/>
      </c>
      <c r="EO55" s="73" t="str">
        <f t="array" ref="EO55">IFERROR(IF(XLOOKUP(CONCAT(EL55,EM55),'PROCESOS PRD'!$J:$J,'PROCESOS PRD'!$H:$H,0,0)=0,"",XLOOKUP(CONCAT(EL55,EM55),'PROCESOS PRD'!$J:$J,'PROCESOS PRD'!$H:$H,0,0)),"")</f>
        <v/>
      </c>
      <c r="EP55" s="70"/>
      <c r="EQ55" s="71"/>
      <c r="ER55" s="32"/>
      <c r="ES55" s="72" t="str">
        <f t="array" ref="ES55">IFERROR(IF(XLOOKUP(CONCAT(EQ55,ER55),'MASTER PLAN'!$AB:$AB,'MASTER PLAN'!$J:$J,0,0)=0,"",XLOOKUP(CONCAT(EQ55,ER55),'MASTER PLAN'!$AB:$AB,'MASTER PLAN'!$J:$J,0,0)),"")</f>
        <v/>
      </c>
      <c r="ET55" s="73" t="str">
        <f t="array" ref="ET55">IFERROR(IF(XLOOKUP(CONCAT(EQ55,ER55),'PROCESOS PRD'!$J:$J,'PROCESOS PRD'!$H:$H,0,0)=0,"",XLOOKUP(CONCAT(EQ55,ER55),'PROCESOS PRD'!$J:$J,'PROCESOS PRD'!$H:$H,0,0)),"")</f>
        <v/>
      </c>
      <c r="EU55" s="71"/>
      <c r="EV55" s="32"/>
      <c r="EW55" s="72" t="str">
        <f t="array" ref="EW55">IFERROR(IF(XLOOKUP(CONCAT(EU55,EV55),'MASTER PLAN'!$AB:$AB,'MASTER PLAN'!$J:$J,0,0)=0,"",XLOOKUP(CONCAT(EU55,EV55),'MASTER PLAN'!$AB:$AB,'MASTER PLAN'!$J:$J,0,0)),"")</f>
        <v/>
      </c>
      <c r="EX55" s="73" t="str">
        <f t="array" ref="EX55">IFERROR(IF(XLOOKUP(CONCAT(EU55,EV55),'PROCESOS PRD'!$J:$J,'PROCESOS PRD'!$H:$H,0,0)=0,"",XLOOKUP(CONCAT(EU55,EV55),'PROCESOS PRD'!$J:$J,'PROCESOS PRD'!$H:$H,0,0)),"")</f>
        <v/>
      </c>
      <c r="EY55" s="71"/>
      <c r="EZ55" s="32"/>
      <c r="FA55" s="72" t="str">
        <f t="array" ref="FA55">IFERROR(IF(XLOOKUP(CONCAT(EY55,EZ55),'MASTER PLAN'!$AB:$AB,'MASTER PLAN'!$J:$J,0,0)=0,"",XLOOKUP(CONCAT(EY55,EZ55),'MASTER PLAN'!$AB:$AB,'MASTER PLAN'!$J:$J,0,0)),"")</f>
        <v/>
      </c>
      <c r="FB55" s="73" t="str">
        <f t="array" ref="FB55">IFERROR(IF(XLOOKUP(CONCAT(EY55,EZ55),'PROCESOS PRD'!$J:$J,'PROCESOS PRD'!$H:$H,0,0)=0,"",XLOOKUP(CONCAT(EY55,EZ55),'PROCESOS PRD'!$J:$J,'PROCESOS PRD'!$H:$H,0,0)),"")</f>
        <v/>
      </c>
      <c r="FC55" s="71"/>
      <c r="FD55" s="32"/>
      <c r="FE55" s="72" t="str">
        <f t="array" ref="FE55">IFERROR(IF(XLOOKUP(CONCAT(FC55,FD55),'MASTER PLAN'!$AB:$AB,'MASTER PLAN'!$J:$J,0,0)=0,"",XLOOKUP(CONCAT(FC55,FD55),'MASTER PLAN'!$AB:$AB,'MASTER PLAN'!$J:$J,0,0)),"")</f>
        <v/>
      </c>
      <c r="FF55" s="73" t="str">
        <f t="array" ref="FF55">IFERROR(IF(XLOOKUP(CONCAT(FC55,FD55),'PROCESOS PRD'!$J:$J,'PROCESOS PRD'!$H:$H,0,0)=0,"",XLOOKUP(CONCAT(FC55,FD55),'PROCESOS PRD'!$J:$J,'PROCESOS PRD'!$H:$H,0,0)),"")</f>
        <v/>
      </c>
      <c r="FG55" s="71"/>
      <c r="FH55" s="32"/>
      <c r="FI55" s="72" t="str">
        <f t="array" ref="FI55">IFERROR(IF(XLOOKUP(CONCAT(FG55,FH55),'MASTER PLAN'!$AB:$AB,'MASTER PLAN'!$J:$J,0,0)=0,"",XLOOKUP(CONCAT(FG55,FH55),'MASTER PLAN'!$AB:$AB,'MASTER PLAN'!$J:$J,0,0)),"")</f>
        <v/>
      </c>
      <c r="FJ55" s="73" t="str">
        <f t="array" ref="FJ55">IFERROR(IF(XLOOKUP(CONCAT(FG55,FH55),'PROCESOS PRD'!$J:$J,'PROCESOS PRD'!$H:$H,0,0)=0,"",XLOOKUP(CONCAT(FG55,FH55),'PROCESOS PRD'!$J:$J,'PROCESOS PRD'!$H:$H,0,0)),"")</f>
        <v/>
      </c>
      <c r="FK55" s="71"/>
      <c r="FL55" s="32"/>
      <c r="FM55" s="72" t="str">
        <f t="array" ref="FM55">IFERROR(IF(XLOOKUP(CONCAT(FK55,FL55),'MASTER PLAN'!$AB:$AB,'MASTER PLAN'!$J:$J,0,0)=0,"",XLOOKUP(CONCAT(FK55,FL55),'MASTER PLAN'!$AB:$AB,'MASTER PLAN'!$J:$J,0,0)),"")</f>
        <v/>
      </c>
      <c r="FN55" s="73" t="str">
        <f t="array" ref="FN55">IFERROR(IF(XLOOKUP(CONCAT(FK55,FL55),'PROCESOS PRD'!$J:$J,'PROCESOS PRD'!$H:$H,0,0)=0,"",XLOOKUP(CONCAT(FK55,FL55),'PROCESOS PRD'!$J:$J,'PROCESOS PRD'!$H:$H,0,0)),"")</f>
        <v/>
      </c>
      <c r="FO55" s="70"/>
      <c r="FP55" s="71"/>
      <c r="FQ55" s="32"/>
      <c r="FR55" s="72" t="str">
        <f t="array" ref="FR55">IFERROR(IF(XLOOKUP(CONCAT(FP55,FQ55),'MASTER PLAN'!$AB:$AB,'MASTER PLAN'!$J:$J,0,0)=0,"",XLOOKUP(CONCAT(FP55,FQ55),'MASTER PLAN'!$AB:$AB,'MASTER PLAN'!$J:$J,0,0)),"")</f>
        <v/>
      </c>
      <c r="FS55" s="73" t="str">
        <f t="array" ref="FS55">IFERROR(IF(XLOOKUP(CONCAT(FP55,FQ55),'PROCESOS PRD'!$J:$J,'PROCESOS PRD'!$H:$H,0,0)=0,"",XLOOKUP(CONCAT(FP55,FQ55),'PROCESOS PRD'!$J:$J,'PROCESOS PRD'!$H:$H,0,0)),"")</f>
        <v/>
      </c>
      <c r="FT55" s="71"/>
      <c r="FU55" s="32"/>
      <c r="FV55" s="72" t="str">
        <f t="array" ref="FV55">IFERROR(IF(XLOOKUP(CONCAT(FT55,FU55),'MASTER PLAN'!$AB:$AB,'MASTER PLAN'!$J:$J,0,0)=0,"",XLOOKUP(CONCAT(FT55,FU55),'MASTER PLAN'!$AB:$AB,'MASTER PLAN'!$J:$J,0,0)),"")</f>
        <v/>
      </c>
      <c r="FW55" s="73" t="str">
        <f t="array" ref="FW55">IFERROR(IF(XLOOKUP(CONCAT(FT55,FU55),'PROCESOS PRD'!$J:$J,'PROCESOS PRD'!$H:$H,0,0)=0,"",XLOOKUP(CONCAT(FT55,FU55),'PROCESOS PRD'!$J:$J,'PROCESOS PRD'!$H:$H,0,0)),"")</f>
        <v/>
      </c>
      <c r="FX55" s="71"/>
      <c r="FY55" s="32"/>
      <c r="FZ55" s="72" t="str">
        <f t="array" ref="FZ55">IFERROR(IF(XLOOKUP(CONCAT(FX55,FY55),'MASTER PLAN'!$AB:$AB,'MASTER PLAN'!$J:$J,0,0)=0,"",XLOOKUP(CONCAT(FX55,FY55),'MASTER PLAN'!$AB:$AB,'MASTER PLAN'!$J:$J,0,0)),"")</f>
        <v/>
      </c>
      <c r="GA55" s="73" t="str">
        <f t="array" ref="GA55">IFERROR(IF(XLOOKUP(CONCAT(FX55,FY55),'PROCESOS PRD'!$J:$J,'PROCESOS PRD'!$H:$H,0,0)=0,"",XLOOKUP(CONCAT(FX55,FY55),'PROCESOS PRD'!$J:$J,'PROCESOS PRD'!$H:$H,0,0)),"")</f>
        <v/>
      </c>
      <c r="GB55" s="71"/>
      <c r="GC55" s="32"/>
      <c r="GD55" s="72" t="str">
        <f t="array" ref="GD55">IFERROR(IF(XLOOKUP(CONCAT(GB55,GC55),'MASTER PLAN'!$AB:$AB,'MASTER PLAN'!$J:$J,0,0)=0,"",XLOOKUP(CONCAT(GB55,GC55),'MASTER PLAN'!$AB:$AB,'MASTER PLAN'!$J:$J,0,0)),"")</f>
        <v/>
      </c>
      <c r="GE55" s="73" t="str">
        <f t="array" ref="GE55">IFERROR(IF(XLOOKUP(CONCAT(GB55,GC55),'PROCESOS PRD'!$J:$J,'PROCESOS PRD'!$H:$H,0,0)=0,"",XLOOKUP(CONCAT(GB55,GC55),'PROCESOS PRD'!$J:$J,'PROCESOS PRD'!$H:$H,0,0)),"")</f>
        <v/>
      </c>
      <c r="GF55" s="71"/>
      <c r="GG55" s="32"/>
      <c r="GH55" s="72" t="str">
        <f t="array" ref="GH55">IFERROR(IF(XLOOKUP(CONCAT(GF55,GG55),'MASTER PLAN'!$AB:$AB,'MASTER PLAN'!$J:$J,0,0)=0,"",XLOOKUP(CONCAT(GF55,GG55),'MASTER PLAN'!$AB:$AB,'MASTER PLAN'!$J:$J,0,0)),"")</f>
        <v/>
      </c>
      <c r="GI55" s="73" t="str">
        <f t="array" ref="GI55">IFERROR(IF(XLOOKUP(CONCAT(GF55,GG55),'PROCESOS PRD'!$J:$J,'PROCESOS PRD'!$H:$H,0,0)=0,"",XLOOKUP(CONCAT(GF55,GG55),'PROCESOS PRD'!$J:$J,'PROCESOS PRD'!$H:$H,0,0)),"")</f>
        <v/>
      </c>
      <c r="GJ55" s="71"/>
      <c r="GK55" s="32"/>
      <c r="GL55" s="72" t="str">
        <f t="array" ref="GL55">IFERROR(IF(XLOOKUP(CONCAT(GJ55,GK55),'MASTER PLAN'!$AB:$AB,'MASTER PLAN'!$J:$J,0,0)=0,"",XLOOKUP(CONCAT(GJ55,GK55),'MASTER PLAN'!$AB:$AB,'MASTER PLAN'!$J:$J,0,0)),"")</f>
        <v/>
      </c>
      <c r="GM55" s="73" t="str">
        <f t="array" ref="GM55">IFERROR(IF(XLOOKUP(CONCAT(GJ55,GK55),'PROCESOS PRD'!$J:$J,'PROCESOS PRD'!$H:$H,0,0)=0,"",XLOOKUP(CONCAT(GJ55,GK55),'PROCESOS PRD'!$J:$J,'PROCESOS PRD'!$H:$H,0,0)),"")</f>
        <v/>
      </c>
      <c r="GN55" s="70"/>
      <c r="GO55" s="71"/>
      <c r="GP55" s="32"/>
      <c r="GQ55" s="72" t="str">
        <f t="array" ref="GQ55">IFERROR(IF(XLOOKUP(CONCAT(GO55,GP55),'MASTER PLAN'!$AB:$AB,'MASTER PLAN'!$J:$J,0,0)=0,"",XLOOKUP(CONCAT(GO55,GP55),'MASTER PLAN'!$AB:$AB,'MASTER PLAN'!$J:$J,0,0)),"")</f>
        <v/>
      </c>
      <c r="GR55" s="73" t="str">
        <f t="array" ref="GR55">IFERROR(IF(XLOOKUP(CONCAT(GO55,GP55),'PROCESOS PRD'!$J:$J,'PROCESOS PRD'!$H:$H,0,0)=0,"",XLOOKUP(CONCAT(GO55,GP55),'PROCESOS PRD'!$J:$J,'PROCESOS PRD'!$H:$H,0,0)),"")</f>
        <v/>
      </c>
      <c r="GS55" s="71"/>
      <c r="GT55" s="32"/>
      <c r="GU55" s="72" t="str">
        <f t="array" ref="GU55">IFERROR(IF(XLOOKUP(CONCAT(GS55,GT55),'MASTER PLAN'!$AB:$AB,'MASTER PLAN'!$J:$J,0,0)=0,"",XLOOKUP(CONCAT(GS55,GT55),'MASTER PLAN'!$AB:$AB,'MASTER PLAN'!$J:$J,0,0)),"")</f>
        <v/>
      </c>
      <c r="GV55" s="73" t="str">
        <f t="array" ref="GV55">IFERROR(IF(XLOOKUP(CONCAT(GS55,GT55),'PROCESOS PRD'!$J:$J,'PROCESOS PRD'!$H:$H,0,0)=0,"",XLOOKUP(CONCAT(GS55,GT55),'PROCESOS PRD'!$J:$J,'PROCESOS PRD'!$H:$H,0,0)),"")</f>
        <v/>
      </c>
      <c r="GW55" s="71"/>
      <c r="GX55" s="32"/>
      <c r="GY55" s="72" t="str">
        <f t="array" ref="GY55">IFERROR(IF(XLOOKUP(CONCAT(GW55,GX55),'MASTER PLAN'!$AB:$AB,'MASTER PLAN'!$J:$J,0,0)=0,"",XLOOKUP(CONCAT(GW55,GX55),'MASTER PLAN'!$AB:$AB,'MASTER PLAN'!$J:$J,0,0)),"")</f>
        <v/>
      </c>
      <c r="GZ55" s="73" t="str">
        <f t="array" ref="GZ55">IFERROR(IF(XLOOKUP(CONCAT(GW55,GX55),'PROCESOS PRD'!$J:$J,'PROCESOS PRD'!$H:$H,0,0)=0,"",XLOOKUP(CONCAT(GW55,GX55),'PROCESOS PRD'!$J:$J,'PROCESOS PRD'!$H:$H,0,0)),"")</f>
        <v/>
      </c>
      <c r="HA55" s="71"/>
      <c r="HB55" s="32"/>
      <c r="HC55" s="72" t="str">
        <f t="array" ref="HC55">IFERROR(IF(XLOOKUP(CONCAT(HA55,HB55),'MASTER PLAN'!$AB:$AB,'MASTER PLAN'!$J:$J,0,0)=0,"",XLOOKUP(CONCAT(HA55,HB55),'MASTER PLAN'!$AB:$AB,'MASTER PLAN'!$J:$J,0,0)),"")</f>
        <v/>
      </c>
      <c r="HD55" s="73" t="str">
        <f t="array" ref="HD55">IFERROR(IF(XLOOKUP(CONCAT(HA55,HB55),'PROCESOS PRD'!$J:$J,'PROCESOS PRD'!$H:$H,0,0)=0,"",XLOOKUP(CONCAT(HA55,HB55),'PROCESOS PRD'!$J:$J,'PROCESOS PRD'!$H:$H,0,0)),"")</f>
        <v/>
      </c>
      <c r="HE55" s="71"/>
      <c r="HF55" s="32"/>
      <c r="HG55" s="72" t="str">
        <f t="array" ref="HG55">IFERROR(IF(XLOOKUP(CONCAT(HE55,HF55),'MASTER PLAN'!$AB:$AB,'MASTER PLAN'!$J:$J,0,0)=0,"",XLOOKUP(CONCAT(HE55,HF55),'MASTER PLAN'!$AB:$AB,'MASTER PLAN'!$J:$J,0,0)),"")</f>
        <v/>
      </c>
      <c r="HH55" s="73" t="str">
        <f t="array" ref="HH55">IFERROR(IF(XLOOKUP(CONCAT(HE55,HF55),'PROCESOS PRD'!$J:$J,'PROCESOS PRD'!$H:$H,0,0)=0,"",XLOOKUP(CONCAT(HE55,HF55),'PROCESOS PRD'!$J:$J,'PROCESOS PRD'!$H:$H,0,0)),"")</f>
        <v/>
      </c>
      <c r="HI55" s="71"/>
      <c r="HJ55" s="32"/>
      <c r="HK55" s="72" t="str">
        <f t="array" ref="HK55">IFERROR(IF(XLOOKUP(CONCAT(HI55,HJ55),'MASTER PLAN'!$AB:$AB,'MASTER PLAN'!$J:$J,0,0)=0,"",XLOOKUP(CONCAT(HI55,HJ55),'MASTER PLAN'!$AB:$AB,'MASTER PLAN'!$J:$J,0,0)),"")</f>
        <v/>
      </c>
      <c r="HL55" s="73" t="str">
        <f t="array" ref="HL55">IFERROR(IF(XLOOKUP(CONCAT(HI55,HJ55),'PROCESOS PRD'!$J:$J,'PROCESOS PRD'!$H:$H,0,0)=0,"",XLOOKUP(CONCAT(HI55,HJ55),'PROCESOS PRD'!$J:$J,'PROCESOS PRD'!$H:$H,0,0)),"")</f>
        <v/>
      </c>
      <c r="HM55" s="70"/>
      <c r="HN55" s="71"/>
      <c r="HO55" s="32"/>
      <c r="HP55" s="72" t="str">
        <f t="array" ref="HP55">IFERROR(IF(XLOOKUP(CONCAT(HN55,HO55),'MASTER PLAN'!$AB:$AB,'MASTER PLAN'!$J:$J,0,0)=0,"",XLOOKUP(CONCAT(HN55,HO55),'MASTER PLAN'!$AB:$AB,'MASTER PLAN'!$J:$J,0,0)),"")</f>
        <v/>
      </c>
      <c r="HQ55" s="73" t="str">
        <f t="array" ref="HQ55">IFERROR(IF(XLOOKUP(CONCAT(HN55,HO55),'PROCESOS PRD'!$J:$J,'PROCESOS PRD'!$H:$H,0,0)=0,"",XLOOKUP(CONCAT(HN55,HO55),'PROCESOS PRD'!$J:$J,'PROCESOS PRD'!$H:$H,0,0)),"")</f>
        <v/>
      </c>
      <c r="HR55" s="71"/>
      <c r="HS55" s="32"/>
      <c r="HT55" s="72" t="str">
        <f t="array" ref="HT55">IFERROR(IF(XLOOKUP(CONCAT(HR55,HS55),'MASTER PLAN'!$AB:$AB,'MASTER PLAN'!$J:$J,0,0)=0,"",XLOOKUP(CONCAT(HR55,HS55),'MASTER PLAN'!$AB:$AB,'MASTER PLAN'!$J:$J,0,0)),"")</f>
        <v/>
      </c>
      <c r="HU55" s="73" t="str">
        <f t="array" ref="HU55">IFERROR(IF(XLOOKUP(CONCAT(HR55,HS55),'PROCESOS PRD'!$J:$J,'PROCESOS PRD'!$H:$H,0,0)=0,"",XLOOKUP(CONCAT(HR55,HS55),'PROCESOS PRD'!$J:$J,'PROCESOS PRD'!$H:$H,0,0)),"")</f>
        <v/>
      </c>
      <c r="HV55" s="71"/>
      <c r="HW55" s="32"/>
      <c r="HX55" s="72" t="str">
        <f t="array" ref="HX55">IFERROR(IF(XLOOKUP(CONCAT(HV55,HW55),'MASTER PLAN'!$AB:$AB,'MASTER PLAN'!$J:$J,0,0)=0,"",XLOOKUP(CONCAT(HV55,HW55),'MASTER PLAN'!$AB:$AB,'MASTER PLAN'!$J:$J,0,0)),"")</f>
        <v/>
      </c>
      <c r="HY55" s="73" t="str">
        <f t="array" ref="HY55">IFERROR(IF(XLOOKUP(CONCAT(HV55,HW55),'PROCESOS PRD'!$J:$J,'PROCESOS PRD'!$H:$H,0,0)=0,"",XLOOKUP(CONCAT(HV55,HW55),'PROCESOS PRD'!$J:$J,'PROCESOS PRD'!$H:$H,0,0)),"")</f>
        <v/>
      </c>
      <c r="HZ55" s="71"/>
      <c r="IA55" s="32"/>
      <c r="IB55" s="72" t="str">
        <f t="array" ref="IB55">IFERROR(IF(XLOOKUP(CONCAT(HZ55,IA55),'MASTER PLAN'!$AB:$AB,'MASTER PLAN'!$J:$J,0,0)=0,"",XLOOKUP(CONCAT(HZ55,IA55),'MASTER PLAN'!$AB:$AB,'MASTER PLAN'!$J:$J,0,0)),"")</f>
        <v/>
      </c>
      <c r="IC55" s="73" t="str">
        <f t="array" ref="IC55">IFERROR(IF(XLOOKUP(CONCAT(HZ55,IA55),'PROCESOS PRD'!$J:$J,'PROCESOS PRD'!$H:$H,0,0)=0,"",XLOOKUP(CONCAT(HZ55,IA55),'PROCESOS PRD'!$J:$J,'PROCESOS PRD'!$H:$H,0,0)),"")</f>
        <v/>
      </c>
      <c r="ID55" s="71"/>
      <c r="IE55" s="32"/>
      <c r="IF55" s="72" t="str">
        <f t="array" ref="IF55">IFERROR(IF(XLOOKUP(CONCAT(ID55,IE55),'MASTER PLAN'!$AB:$AB,'MASTER PLAN'!$J:$J,0,0)=0,"",XLOOKUP(CONCAT(ID55,IE55),'MASTER PLAN'!$AB:$AB,'MASTER PLAN'!$J:$J,0,0)),"")</f>
        <v/>
      </c>
      <c r="IG55" s="73" t="str">
        <f t="array" ref="IG55">IFERROR(IF(XLOOKUP(CONCAT(ID55,IE55),'PROCESOS PRD'!$J:$J,'PROCESOS PRD'!$H:$H,0,0)=0,"",XLOOKUP(CONCAT(ID55,IE55),'PROCESOS PRD'!$J:$J,'PROCESOS PRD'!$H:$H,0,0)),"")</f>
        <v/>
      </c>
      <c r="IH55" s="71"/>
      <c r="II55" s="32"/>
      <c r="IJ55" s="72" t="str">
        <f t="array" ref="IJ55">IFERROR(IF(XLOOKUP(CONCAT(IH55,II55),'MASTER PLAN'!$AB:$AB,'MASTER PLAN'!$J:$J,0,0)=0,"",XLOOKUP(CONCAT(IH55,II55),'MASTER PLAN'!$AB:$AB,'MASTER PLAN'!$J:$J,0,0)),"")</f>
        <v/>
      </c>
      <c r="IK55" s="73" t="str">
        <f t="array" ref="IK55">IFERROR(IF(XLOOKUP(CONCAT(IH55,II55),'PROCESOS PRD'!$J:$J,'PROCESOS PRD'!$H:$H,0,0)=0,"",XLOOKUP(CONCAT(IH55,II55),'PROCESOS PRD'!$J:$J,'PROCESOS PRD'!$H:$H,0,0)),"")</f>
        <v/>
      </c>
      <c r="IL55" s="70"/>
      <c r="IM55" s="71"/>
      <c r="IN55" s="32"/>
      <c r="IO55" s="72" t="str">
        <f t="array" ref="IO55">IFERROR(IF(XLOOKUP(CONCAT(IM55,IN55),'MASTER PLAN'!$AB:$AB,'MASTER PLAN'!$J:$J,0,0)=0,"",XLOOKUP(CONCAT(IM55,IN55),'MASTER PLAN'!$AB:$AB,'MASTER PLAN'!$J:$J,0,0)),"")</f>
        <v/>
      </c>
      <c r="IP55" s="73" t="str">
        <f t="array" ref="IP55">IFERROR(IF(XLOOKUP(CONCAT(IM55,IN55),'PROCESOS PRD'!$J:$J,'PROCESOS PRD'!$H:$H,0,0)=0,"",XLOOKUP(CONCAT(IM55,IN55),'PROCESOS PRD'!$J:$J,'PROCESOS PRD'!$H:$H,0,0)),"")</f>
        <v/>
      </c>
      <c r="IQ55" s="71"/>
      <c r="IR55" s="32"/>
      <c r="IS55" s="72" t="str">
        <f t="array" ref="IS55">IFERROR(IF(XLOOKUP(CONCAT(IQ55,IR55),'MASTER PLAN'!$AB:$AB,'MASTER PLAN'!$J:$J,0,0)=0,"",XLOOKUP(CONCAT(IQ55,IR55),'MASTER PLAN'!$AB:$AB,'MASTER PLAN'!$J:$J,0,0)),"")</f>
        <v/>
      </c>
      <c r="IT55" s="73" t="str">
        <f t="array" ref="IT55">IFERROR(IF(XLOOKUP(CONCAT(IQ55,IR55),'PROCESOS PRD'!$J:$J,'PROCESOS PRD'!$H:$H,0,0)=0,"",XLOOKUP(CONCAT(IQ55,IR55),'PROCESOS PRD'!$J:$J,'PROCESOS PRD'!$H:$H,0,0)),"")</f>
        <v/>
      </c>
      <c r="IU55" s="71"/>
      <c r="IV55" s="32"/>
      <c r="IW55" s="72" t="str">
        <f t="array" ref="IW55">IFERROR(IF(XLOOKUP(CONCAT(IU55,IV55),'MASTER PLAN'!$AB:$AB,'MASTER PLAN'!$J:$J,0,0)=0,"",XLOOKUP(CONCAT(IU55,IV55),'MASTER PLAN'!$AB:$AB,'MASTER PLAN'!$J:$J,0,0)),"")</f>
        <v/>
      </c>
      <c r="IX55" s="73" t="str">
        <f t="array" ref="IX55">IFERROR(IF(XLOOKUP(CONCAT(IU55,IV55),'PROCESOS PRD'!$J:$J,'PROCESOS PRD'!$H:$H,0,0)=0,"",XLOOKUP(CONCAT(IU55,IV55),'PROCESOS PRD'!$J:$J,'PROCESOS PRD'!$H:$H,0,0)),"")</f>
        <v/>
      </c>
      <c r="IY55" s="71"/>
      <c r="IZ55" s="32"/>
      <c r="JA55" s="72" t="str">
        <f t="array" ref="JA55">IFERROR(IF(XLOOKUP(CONCAT(IY55,IZ55),'MASTER PLAN'!$AB:$AB,'MASTER PLAN'!$J:$J,0,0)=0,"",XLOOKUP(CONCAT(IY55,IZ55),'MASTER PLAN'!$AB:$AB,'MASTER PLAN'!$J:$J,0,0)),"")</f>
        <v/>
      </c>
      <c r="JB55" s="73" t="str">
        <f t="array" ref="JB55">IFERROR(IF(XLOOKUP(CONCAT(IY55,IZ55),'PROCESOS PRD'!$J:$J,'PROCESOS PRD'!$H:$H,0,0)=0,"",XLOOKUP(CONCAT(IY55,IZ55),'PROCESOS PRD'!$J:$J,'PROCESOS PRD'!$H:$H,0,0)),"")</f>
        <v/>
      </c>
      <c r="JC55" s="71"/>
      <c r="JD55" s="32"/>
      <c r="JE55" s="72" t="str">
        <f t="array" ref="JE55">IFERROR(IF(XLOOKUP(CONCAT(JC55,JD55),'MASTER PLAN'!$AB:$AB,'MASTER PLAN'!$J:$J,0,0)=0,"",XLOOKUP(CONCAT(JC55,JD55),'MASTER PLAN'!$AB:$AB,'MASTER PLAN'!$J:$J,0,0)),"")</f>
        <v/>
      </c>
      <c r="JF55" s="73" t="str">
        <f t="array" ref="JF55">IFERROR(IF(XLOOKUP(CONCAT(JC55,JD55),'PROCESOS PRD'!$J:$J,'PROCESOS PRD'!$H:$H,0,0)=0,"",XLOOKUP(CONCAT(JC55,JD55),'PROCESOS PRD'!$J:$J,'PROCESOS PRD'!$H:$H,0,0)),"")</f>
        <v/>
      </c>
      <c r="JG55" s="71"/>
      <c r="JH55" s="32"/>
      <c r="JI55" s="72" t="str">
        <f t="array" ref="JI55">IFERROR(IF(XLOOKUP(CONCAT(JG55,JH55),'MASTER PLAN'!$AB:$AB,'MASTER PLAN'!$J:$J,0,0)=0,"",XLOOKUP(CONCAT(JG55,JH55),'MASTER PLAN'!$AB:$AB,'MASTER PLAN'!$J:$J,0,0)),"")</f>
        <v/>
      </c>
      <c r="JJ55" s="73" t="str">
        <f t="array" ref="JJ55">IFERROR(IF(XLOOKUP(CONCAT(JG55,JH55),'PROCESOS PRD'!$J:$J,'PROCESOS PRD'!$H:$H,0,0)=0,"",XLOOKUP(CONCAT(JG55,JH55),'PROCESOS PRD'!$J:$J,'PROCESOS PRD'!$H:$H,0,0)),"")</f>
        <v/>
      </c>
      <c r="JK55" s="70"/>
      <c r="JL55" s="71"/>
      <c r="JM55" s="32"/>
      <c r="JN55" s="72" t="str">
        <f t="array" ref="JN55">IFERROR(IF(XLOOKUP(CONCAT(JL55,JM55),'MASTER PLAN'!$AB:$AB,'MASTER PLAN'!$J:$J,0,0)=0,"",XLOOKUP(CONCAT(JL55,JM55),'MASTER PLAN'!$AB:$AB,'MASTER PLAN'!$J:$J,0,0)),"")</f>
        <v/>
      </c>
      <c r="JO55" s="73" t="str">
        <f t="array" ref="JO55">IFERROR(IF(XLOOKUP(CONCAT(JL55,JM55),'PROCESOS PRD'!$J:$J,'PROCESOS PRD'!$H:$H,0,0)=0,"",XLOOKUP(CONCAT(JL55,JM55),'PROCESOS PRD'!$J:$J,'PROCESOS PRD'!$H:$H,0,0)),"")</f>
        <v/>
      </c>
      <c r="JP55" s="71"/>
      <c r="JQ55" s="32"/>
      <c r="JR55" s="72" t="str">
        <f t="array" ref="JR55">IFERROR(IF(XLOOKUP(CONCAT(JP55,JQ55),'MASTER PLAN'!$AB:$AB,'MASTER PLAN'!$J:$J,0,0)=0,"",XLOOKUP(CONCAT(JP55,JQ55),'MASTER PLAN'!$AB:$AB,'MASTER PLAN'!$J:$J,0,0)),"")</f>
        <v/>
      </c>
      <c r="JS55" s="73" t="str">
        <f t="array" ref="JS55">IFERROR(IF(XLOOKUP(CONCAT(JP55,JQ55),'PROCESOS PRD'!$J:$J,'PROCESOS PRD'!$H:$H,0,0)=0,"",XLOOKUP(CONCAT(JP55,JQ55),'PROCESOS PRD'!$J:$J,'PROCESOS PRD'!$H:$H,0,0)),"")</f>
        <v/>
      </c>
      <c r="JT55" s="71"/>
      <c r="JU55" s="32"/>
      <c r="JV55" s="72" t="str">
        <f t="array" ref="JV55">IFERROR(IF(XLOOKUP(CONCAT(JT55,JU55),'MASTER PLAN'!$AB:$AB,'MASTER PLAN'!$J:$J,0,0)=0,"",XLOOKUP(CONCAT(JT55,JU55),'MASTER PLAN'!$AB:$AB,'MASTER PLAN'!$J:$J,0,0)),"")</f>
        <v/>
      </c>
      <c r="JW55" s="73" t="str">
        <f t="array" ref="JW55">IFERROR(IF(XLOOKUP(CONCAT(JT55,JU55),'PROCESOS PRD'!$J:$J,'PROCESOS PRD'!$H:$H,0,0)=0,"",XLOOKUP(CONCAT(JT55,JU55),'PROCESOS PRD'!$J:$J,'PROCESOS PRD'!$H:$H,0,0)),"")</f>
        <v/>
      </c>
      <c r="JX55" s="71"/>
      <c r="JY55" s="32"/>
      <c r="JZ55" s="72" t="str">
        <f t="array" ref="JZ55">IFERROR(IF(XLOOKUP(CONCAT(JX55,JY55),'MASTER PLAN'!$AB:$AB,'MASTER PLAN'!$J:$J,0,0)=0,"",XLOOKUP(CONCAT(JX55,JY55),'MASTER PLAN'!$AB:$AB,'MASTER PLAN'!$J:$J,0,0)),"")</f>
        <v/>
      </c>
      <c r="KA55" s="73" t="str">
        <f t="array" ref="KA55">IFERROR(IF(XLOOKUP(CONCAT(JX55,JY55),'PROCESOS PRD'!$J:$J,'PROCESOS PRD'!$H:$H,0,0)=0,"",XLOOKUP(CONCAT(JX55,JY55),'PROCESOS PRD'!$J:$J,'PROCESOS PRD'!$H:$H,0,0)),"")</f>
        <v/>
      </c>
      <c r="KB55" s="71"/>
      <c r="KC55" s="32"/>
      <c r="KD55" s="72" t="str">
        <f t="array" ref="KD55">IFERROR(IF(XLOOKUP(CONCAT(KB55,KC55),'MASTER PLAN'!$AB:$AB,'MASTER PLAN'!$J:$J,0,0)=0,"",XLOOKUP(CONCAT(KB55,KC55),'MASTER PLAN'!$AB:$AB,'MASTER PLAN'!$J:$J,0,0)),"")</f>
        <v/>
      </c>
      <c r="KE55" s="73" t="str">
        <f t="array" ref="KE55">IFERROR(IF(XLOOKUP(CONCAT(KB55,KC55),'PROCESOS PRD'!$J:$J,'PROCESOS PRD'!$H:$H,0,0)=0,"",XLOOKUP(CONCAT(KB55,KC55),'PROCESOS PRD'!$J:$J,'PROCESOS PRD'!$H:$H,0,0)),"")</f>
        <v/>
      </c>
      <c r="KF55" s="71"/>
      <c r="KG55" s="32"/>
      <c r="KH55" s="72" t="str">
        <f t="array" ref="KH55">IFERROR(IF(XLOOKUP(CONCAT(KF55,KG55),'MASTER PLAN'!$AB:$AB,'MASTER PLAN'!$J:$J,0,0)=0,"",XLOOKUP(CONCAT(KF55,KG55),'MASTER PLAN'!$AB:$AB,'MASTER PLAN'!$J:$J,0,0)),"")</f>
        <v/>
      </c>
      <c r="KI55" s="73" t="str">
        <f t="array" ref="KI55">IFERROR(IF(XLOOKUP(CONCAT(KF55,KG55),'PROCESOS PRD'!$J:$J,'PROCESOS PRD'!$H:$H,0,0)=0,"",XLOOKUP(CONCAT(KF55,KG55),'PROCESOS PRD'!$J:$J,'PROCESOS PRD'!$H:$H,0,0)),"")</f>
        <v/>
      </c>
      <c r="KJ55" s="70"/>
      <c r="KK55" s="70"/>
      <c r="KL55" s="70"/>
      <c r="KM55" s="70"/>
      <c r="KN55" s="70"/>
      <c r="KO55" s="70"/>
      <c r="KP55" s="70"/>
      <c r="KQ55" s="70"/>
      <c r="KR55" s="70"/>
      <c r="KS55" s="70"/>
      <c r="KT55" s="70"/>
      <c r="KU55" s="70"/>
      <c r="KV55" s="70"/>
      <c r="KW55" s="70"/>
      <c r="KX55" s="70"/>
      <c r="KY55" s="70"/>
      <c r="KZ55" s="70"/>
      <c r="LA55" s="70"/>
      <c r="LB55" s="70"/>
      <c r="LC55" s="70"/>
    </row>
    <row r="56" ht="15.75" customHeight="1">
      <c r="A56" s="42"/>
      <c r="B56" s="74"/>
      <c r="C56" s="69"/>
      <c r="D56" s="70"/>
      <c r="E56" s="71"/>
      <c r="F56" s="32"/>
      <c r="G56" s="72" t="str">
        <f t="array" ref="G56">IFERROR(IF(XLOOKUP(CONCAT(E56,F56),'MASTER PLAN'!$AB:$AB,'MASTER PLAN'!$J:$J,0,0)=0,"",XLOOKUP(CONCAT(E56,F56),'MASTER PLAN'!$AB:$AB,'MASTER PLAN'!$J:$J,0,0)),"")</f>
        <v/>
      </c>
      <c r="H56" s="73" t="str">
        <f t="array" ref="H56">IFERROR(IF(XLOOKUP(CONCAT(E56,F56),'PROCESOS PRD'!$J:$J,'PROCESOS PRD'!$H:$H,0,0)=0,"",XLOOKUP(CONCAT(E56,F56),'PROCESOS PRD'!$J:$J,'PROCESOS PRD'!$H:$H,0,0)),"")</f>
        <v/>
      </c>
      <c r="I56" s="71"/>
      <c r="J56" s="32"/>
      <c r="K56" s="72" t="str">
        <f t="array" ref="K56">IFERROR(IF(XLOOKUP(CONCAT(I56,J56),'MASTER PLAN'!$AB:$AB,'MASTER PLAN'!$J:$J,0,0)=0,"",XLOOKUP(CONCAT(I56,J56),'MASTER PLAN'!$AB:$AB,'MASTER PLAN'!$J:$J,0,0)),"")</f>
        <v/>
      </c>
      <c r="L56" s="73" t="str">
        <f t="array" ref="L56">IFERROR(IF(XLOOKUP(CONCAT(I56,J56),'PROCESOS PRD'!$J:$J,'PROCESOS PRD'!$H:$H,0,0)=0,"",XLOOKUP(CONCAT(I56,J56),'PROCESOS PRD'!$J:$J,'PROCESOS PRD'!$H:$H,0,0)),"")</f>
        <v/>
      </c>
      <c r="M56" s="71"/>
      <c r="N56" s="32"/>
      <c r="O56" s="72" t="str">
        <f t="array" ref="O56">IFERROR(IF(XLOOKUP(CONCAT(M56,N56),'MASTER PLAN'!$AB:$AB,'MASTER PLAN'!$J:$J,0,0)=0,"",XLOOKUP(CONCAT(M56,N56),'MASTER PLAN'!$AB:$AB,'MASTER PLAN'!$J:$J,0,0)),"")</f>
        <v/>
      </c>
      <c r="P56" s="73" t="str">
        <f t="array" ref="P56">IFERROR(IF(XLOOKUP(CONCAT(M56,N56),'PROCESOS PRD'!$J:$J,'PROCESOS PRD'!$H:$H,0,0)=0,"",XLOOKUP(CONCAT(M56,N56),'PROCESOS PRD'!$J:$J,'PROCESOS PRD'!$H:$H,0,0)),"")</f>
        <v/>
      </c>
      <c r="Q56" s="71"/>
      <c r="R56" s="32"/>
      <c r="S56" s="72" t="str">
        <f t="array" ref="S56">IFERROR(IF(XLOOKUP(CONCAT(Q56,R56),'MASTER PLAN'!$AB:$AB,'MASTER PLAN'!$J:$J,0,0)=0,"",XLOOKUP(CONCAT(Q56,R56),'MASTER PLAN'!$AB:$AB,'MASTER PLAN'!$J:$J,0,0)),"")</f>
        <v/>
      </c>
      <c r="T56" s="73" t="str">
        <f t="array" ref="T56">IFERROR(IF(XLOOKUP(CONCAT(Q56,R56),'PROCESOS PRD'!$J:$J,'PROCESOS PRD'!$H:$H,0,0)=0,"",XLOOKUP(CONCAT(Q56,R56),'PROCESOS PRD'!$J:$J,'PROCESOS PRD'!$H:$H,0,0)),"")</f>
        <v/>
      </c>
      <c r="U56" s="70"/>
      <c r="V56" s="71"/>
      <c r="W56" s="32"/>
      <c r="X56" s="72" t="str">
        <f t="array" ref="X56">IFERROR(IF(XLOOKUP(CONCAT(V56,W56),'MASTER PLAN'!$AB:$AB,'MASTER PLAN'!$J:$J,0,0)=0,"",XLOOKUP(CONCAT(V56,W56),'MASTER PLAN'!$AB:$AB,'MASTER PLAN'!$J:$J,0,0)),"")</f>
        <v/>
      </c>
      <c r="Y56" s="73" t="str">
        <f t="array" ref="Y56">IFERROR(IF(XLOOKUP(CONCAT(V56,W56),'PROCESOS PRD'!$J:$J,'PROCESOS PRD'!$H:$H,0,0)=0,"",XLOOKUP(CONCAT(V56,W56),'PROCESOS PRD'!$J:$J,'PROCESOS PRD'!$H:$H,0,0)),"")</f>
        <v/>
      </c>
      <c r="Z56" s="71"/>
      <c r="AA56" s="32"/>
      <c r="AB56" s="72" t="str">
        <f t="array" ref="AB56">IFERROR(IF(XLOOKUP(CONCAT(Z56,AA56),'MASTER PLAN'!$AB:$AB,'MASTER PLAN'!$J:$J,0,0)=0,"",XLOOKUP(CONCAT(Z56,AA56),'MASTER PLAN'!$AB:$AB,'MASTER PLAN'!$J:$J,0,0)),"")</f>
        <v/>
      </c>
      <c r="AC56" s="73" t="str">
        <f t="array" ref="AC56">IFERROR(IF(XLOOKUP(CONCAT(Z56,AA56),'PROCESOS PRD'!$J:$J,'PROCESOS PRD'!$H:$H,0,0)=0,"",XLOOKUP(CONCAT(Z56,AA56),'PROCESOS PRD'!$J:$J,'PROCESOS PRD'!$H:$H,0,0)),"")</f>
        <v/>
      </c>
      <c r="AD56" s="71"/>
      <c r="AE56" s="32"/>
      <c r="AF56" s="72" t="str">
        <f t="array" ref="AF56">IFERROR(IF(XLOOKUP(CONCAT(AD56,AE56),'MASTER PLAN'!$AB:$AB,'MASTER PLAN'!$J:$J,0,0)=0,"",XLOOKUP(CONCAT(AD56,AE56),'MASTER PLAN'!$AB:$AB,'MASTER PLAN'!$J:$J,0,0)),"")</f>
        <v/>
      </c>
      <c r="AG56" s="73" t="str">
        <f t="array" ref="AG56">IFERROR(IF(XLOOKUP(CONCAT(AD56,AE56),'PROCESOS PRD'!$J:$J,'PROCESOS PRD'!$H:$H,0,0)=0,"",XLOOKUP(CONCAT(AD56,AE56),'PROCESOS PRD'!$J:$J,'PROCESOS PRD'!$H:$H,0,0)),"")</f>
        <v/>
      </c>
      <c r="AH56" s="71"/>
      <c r="AI56" s="32"/>
      <c r="AJ56" s="72" t="str">
        <f t="array" ref="AJ56">IFERROR(IF(XLOOKUP(CONCAT(AH56,AI56),'MASTER PLAN'!$AB:$AB,'MASTER PLAN'!$J:$J,0,0)=0,"",XLOOKUP(CONCAT(AH56,AI56),'MASTER PLAN'!$AB:$AB,'MASTER PLAN'!$J:$J,0,0)),"")</f>
        <v/>
      </c>
      <c r="AK56" s="73" t="str">
        <f t="array" ref="AK56">IFERROR(IF(XLOOKUP(CONCAT(AH56,AI56),'PROCESOS PRD'!$J:$J,'PROCESOS PRD'!$H:$H,0,0)=0,"",XLOOKUP(CONCAT(AH56,AI56),'PROCESOS PRD'!$J:$J,'PROCESOS PRD'!$H:$H,0,0)),"")</f>
        <v/>
      </c>
      <c r="AL56" s="71"/>
      <c r="AM56" s="32"/>
      <c r="AN56" s="72" t="str">
        <f t="array" ref="AN56">IFERROR(IF(XLOOKUP(CONCAT(AL56,AM56),'MASTER PLAN'!$AB:$AB,'MASTER PLAN'!$J:$J,0,0)=0,"",XLOOKUP(CONCAT(AL56,AM56),'MASTER PLAN'!$AB:$AB,'MASTER PLAN'!$J:$J,0,0)),"")</f>
        <v/>
      </c>
      <c r="AO56" s="73" t="str">
        <f t="array" ref="AO56">IFERROR(IF(XLOOKUP(CONCAT(AL56,AM56),'PROCESOS PRD'!$J:$J,'PROCESOS PRD'!$H:$H,0,0)=0,"",XLOOKUP(CONCAT(AL56,AM56),'PROCESOS PRD'!$J:$J,'PROCESOS PRD'!$H:$H,0,0)),"")</f>
        <v/>
      </c>
      <c r="AP56" s="71"/>
      <c r="AQ56" s="32"/>
      <c r="AR56" s="72" t="str">
        <f t="array" ref="AR56">IFERROR(IF(XLOOKUP(CONCAT(AP56,AQ56),'MASTER PLAN'!$AB:$AB,'MASTER PLAN'!$J:$J,0,0)=0,"",XLOOKUP(CONCAT(AP56,AQ56),'MASTER PLAN'!$AB:$AB,'MASTER PLAN'!$J:$J,0,0)),"")</f>
        <v/>
      </c>
      <c r="AS56" s="73" t="str">
        <f t="array" ref="AS56">IFERROR(IF(XLOOKUP(CONCAT(AP56,AQ56),'PROCESOS PRD'!$J:$J,'PROCESOS PRD'!$H:$H,0,0)=0,"",XLOOKUP(CONCAT(AP56,AQ56),'PROCESOS PRD'!$J:$J,'PROCESOS PRD'!$H:$H,0,0)),"")</f>
        <v/>
      </c>
      <c r="AT56" s="70"/>
      <c r="AU56" s="71"/>
      <c r="AV56" s="32"/>
      <c r="AW56" s="72" t="str">
        <f t="array" ref="AW56">IFERROR(IF(XLOOKUP(CONCAT(AU56,AV56),'MASTER PLAN'!$AB:$AB,'MASTER PLAN'!$J:$J,0,0)=0,"",XLOOKUP(CONCAT(AU56,AV56),'MASTER PLAN'!$AB:$AB,'MASTER PLAN'!$J:$J,0,0)),"")</f>
        <v/>
      </c>
      <c r="AX56" s="73" t="str">
        <f t="array" ref="AX56">IFERROR(IF(XLOOKUP(CONCAT(AU56,AV56),'PROCESOS PRD'!$J:$J,'PROCESOS PRD'!$H:$H,0,0)=0,"",XLOOKUP(CONCAT(AU56,AV56),'PROCESOS PRD'!$J:$J,'PROCESOS PRD'!$H:$H,0,0)),"")</f>
        <v/>
      </c>
      <c r="AY56" s="71"/>
      <c r="AZ56" s="32"/>
      <c r="BA56" s="72" t="str">
        <f t="array" ref="BA56">IFERROR(IF(XLOOKUP(CONCAT(AY56,AZ56),'MASTER PLAN'!$AB:$AB,'MASTER PLAN'!$J:$J,0,0)=0,"",XLOOKUP(CONCAT(AY56,AZ56),'MASTER PLAN'!$AB:$AB,'MASTER PLAN'!$J:$J,0,0)),"")</f>
        <v/>
      </c>
      <c r="BB56" s="73" t="str">
        <f t="array" ref="BB56">IFERROR(IF(XLOOKUP(CONCAT(AY56,AZ56),'PROCESOS PRD'!$J:$J,'PROCESOS PRD'!$H:$H,0,0)=0,"",XLOOKUP(CONCAT(AY56,AZ56),'PROCESOS PRD'!$J:$J,'PROCESOS PRD'!$H:$H,0,0)),"")</f>
        <v/>
      </c>
      <c r="BC56" s="71"/>
      <c r="BD56" s="32"/>
      <c r="BE56" s="72" t="str">
        <f t="array" ref="BE56">IFERROR(IF(XLOOKUP(CONCAT(BC56,BD56),'MASTER PLAN'!$AB:$AB,'MASTER PLAN'!$J:$J,0,0)=0,"",XLOOKUP(CONCAT(BC56,BD56),'MASTER PLAN'!$AB:$AB,'MASTER PLAN'!$J:$J,0,0)),"")</f>
        <v/>
      </c>
      <c r="BF56" s="73" t="str">
        <f t="array" ref="BF56">IFERROR(IF(XLOOKUP(CONCAT(BC56,BD56),'PROCESOS PRD'!$J:$J,'PROCESOS PRD'!$H:$H,0,0)=0,"",XLOOKUP(CONCAT(BC56,BD56),'PROCESOS PRD'!$J:$J,'PROCESOS PRD'!$H:$H,0,0)),"")</f>
        <v/>
      </c>
      <c r="BG56" s="71"/>
      <c r="BH56" s="32"/>
      <c r="BI56" s="72" t="str">
        <f t="array" ref="BI56">IFERROR(IF(XLOOKUP(CONCAT(BG56,BH56),'MASTER PLAN'!$AB:$AB,'MASTER PLAN'!$J:$J,0,0)=0,"",XLOOKUP(CONCAT(BG56,BH56),'MASTER PLAN'!$AB:$AB,'MASTER PLAN'!$J:$J,0,0)),"")</f>
        <v/>
      </c>
      <c r="BJ56" s="73" t="str">
        <f t="array" ref="BJ56">IFERROR(IF(XLOOKUP(CONCAT(BG56,BH56),'PROCESOS PRD'!$J:$J,'PROCESOS PRD'!$H:$H,0,0)=0,"",XLOOKUP(CONCAT(BG56,BH56),'PROCESOS PRD'!$J:$J,'PROCESOS PRD'!$H:$H,0,0)),"")</f>
        <v/>
      </c>
      <c r="BK56" s="71"/>
      <c r="BL56" s="32"/>
      <c r="BM56" s="72" t="str">
        <f t="array" ref="BM56">IFERROR(IF(XLOOKUP(CONCAT(BK56,BL56),'MASTER PLAN'!$AB:$AB,'MASTER PLAN'!$J:$J,0,0)=0,"",XLOOKUP(CONCAT(BK56,BL56),'MASTER PLAN'!$AB:$AB,'MASTER PLAN'!$J:$J,0,0)),"")</f>
        <v/>
      </c>
      <c r="BN56" s="73" t="str">
        <f t="array" ref="BN56">IFERROR(IF(XLOOKUP(CONCAT(BK56,BL56),'PROCESOS PRD'!$J:$J,'PROCESOS PRD'!$H:$H,0,0)=0,"",XLOOKUP(CONCAT(BK56,BL56),'PROCESOS PRD'!$J:$J,'PROCESOS PRD'!$H:$H,0,0)),"")</f>
        <v/>
      </c>
      <c r="BO56" s="71"/>
      <c r="BP56" s="32"/>
      <c r="BQ56" s="72" t="str">
        <f t="array" ref="BQ56">IFERROR(IF(XLOOKUP(CONCAT(BO56,BP56),'MASTER PLAN'!$AB:$AB,'MASTER PLAN'!$J:$J,0,0)=0,"",XLOOKUP(CONCAT(BO56,BP56),'MASTER PLAN'!$AB:$AB,'MASTER PLAN'!$J:$J,0,0)),"")</f>
        <v/>
      </c>
      <c r="BR56" s="73" t="str">
        <f t="array" ref="BR56">IFERROR(IF(XLOOKUP(CONCAT(BO56,BP56),'PROCESOS PRD'!$J:$J,'PROCESOS PRD'!$H:$H,0,0)=0,"",XLOOKUP(CONCAT(BO56,BP56),'PROCESOS PRD'!$J:$J,'PROCESOS PRD'!$H:$H,0,0)),"")</f>
        <v/>
      </c>
      <c r="BS56" s="70"/>
      <c r="BT56" s="71"/>
      <c r="BU56" s="32"/>
      <c r="BV56" s="72" t="str">
        <f t="array" ref="BV56">IFERROR(IF(XLOOKUP(CONCAT(BT56,BU56),'MASTER PLAN'!$AB:$AB,'MASTER PLAN'!$J:$J,0,0)=0,"",XLOOKUP(CONCAT(BT56,BU56),'MASTER PLAN'!$AB:$AB,'MASTER PLAN'!$J:$J,0,0)),"")</f>
        <v/>
      </c>
      <c r="BW56" s="73" t="str">
        <f t="array" ref="BW56">IFERROR(IF(XLOOKUP(CONCAT(BT56,BU56),'PROCESOS PRD'!$J:$J,'PROCESOS PRD'!$H:$H,0,0)=0,"",XLOOKUP(CONCAT(BT56,BU56),'PROCESOS PRD'!$J:$J,'PROCESOS PRD'!$H:$H,0,0)),"")</f>
        <v/>
      </c>
      <c r="BX56" s="71"/>
      <c r="BY56" s="32"/>
      <c r="BZ56" s="72" t="str">
        <f t="array" ref="BZ56">IFERROR(IF(XLOOKUP(CONCAT(BX56,BY56),'MASTER PLAN'!$AB:$AB,'MASTER PLAN'!$J:$J,0,0)=0,"",XLOOKUP(CONCAT(BX56,BY56),'MASTER PLAN'!$AB:$AB,'MASTER PLAN'!$J:$J,0,0)),"")</f>
        <v/>
      </c>
      <c r="CA56" s="73" t="str">
        <f t="array" ref="CA56">IFERROR(IF(XLOOKUP(CONCAT(BX56,BY56),'PROCESOS PRD'!$J:$J,'PROCESOS PRD'!$H:$H,0,0)=0,"",XLOOKUP(CONCAT(BX56,BY56),'PROCESOS PRD'!$J:$J,'PROCESOS PRD'!$H:$H,0,0)),"")</f>
        <v/>
      </c>
      <c r="CB56" s="71"/>
      <c r="CC56" s="32"/>
      <c r="CD56" s="72" t="str">
        <f t="array" ref="CD56">IFERROR(IF(XLOOKUP(CONCAT(CB56,CC56),'MASTER PLAN'!$AB:$AB,'MASTER PLAN'!$J:$J,0,0)=0,"",XLOOKUP(CONCAT(CB56,CC56),'MASTER PLAN'!$AB:$AB,'MASTER PLAN'!$J:$J,0,0)),"")</f>
        <v/>
      </c>
      <c r="CE56" s="73" t="str">
        <f t="array" ref="CE56">IFERROR(IF(XLOOKUP(CONCAT(CB56,CC56),'PROCESOS PRD'!$J:$J,'PROCESOS PRD'!$H:$H,0,0)=0,"",XLOOKUP(CONCAT(CB56,CC56),'PROCESOS PRD'!$J:$J,'PROCESOS PRD'!$H:$H,0,0)),"")</f>
        <v/>
      </c>
      <c r="CF56" s="71"/>
      <c r="CG56" s="32"/>
      <c r="CH56" s="72" t="str">
        <f t="array" ref="CH56">IFERROR(IF(XLOOKUP(CONCAT(CF56,CG56),'MASTER PLAN'!$AB:$AB,'MASTER PLAN'!$J:$J,0,0)=0,"",XLOOKUP(CONCAT(CF56,CG56),'MASTER PLAN'!$AB:$AB,'MASTER PLAN'!$J:$J,0,0)),"")</f>
        <v/>
      </c>
      <c r="CI56" s="73" t="str">
        <f t="array" ref="CI56">IFERROR(IF(XLOOKUP(CONCAT(CF56,CG56),'PROCESOS PRD'!$J:$J,'PROCESOS PRD'!$H:$H,0,0)=0,"",XLOOKUP(CONCAT(CF56,CG56),'PROCESOS PRD'!$J:$J,'PROCESOS PRD'!$H:$H,0,0)),"")</f>
        <v/>
      </c>
      <c r="CJ56" s="71"/>
      <c r="CK56" s="32"/>
      <c r="CL56" s="72" t="str">
        <f t="array" ref="CL56">IFERROR(IF(XLOOKUP(CONCAT(CJ56,CK56),'MASTER PLAN'!$AB:$AB,'MASTER PLAN'!$J:$J,0,0)=0,"",XLOOKUP(CONCAT(CJ56,CK56),'MASTER PLAN'!$AB:$AB,'MASTER PLAN'!$J:$J,0,0)),"")</f>
        <v/>
      </c>
      <c r="CM56" s="73" t="str">
        <f t="array" ref="CM56">IFERROR(IF(XLOOKUP(CONCAT(CJ56,CK56),'PROCESOS PRD'!$J:$J,'PROCESOS PRD'!$H:$H,0,0)=0,"",XLOOKUP(CONCAT(CJ56,CK56),'PROCESOS PRD'!$J:$J,'PROCESOS PRD'!$H:$H,0,0)),"")</f>
        <v/>
      </c>
      <c r="CN56" s="71"/>
      <c r="CO56" s="32"/>
      <c r="CP56" s="72" t="str">
        <f t="array" ref="CP56">IFERROR(IF(XLOOKUP(CONCAT(CN56,CO56),'MASTER PLAN'!$AB:$AB,'MASTER PLAN'!$J:$J,0,0)=0,"",XLOOKUP(CONCAT(CN56,CO56),'MASTER PLAN'!$AB:$AB,'MASTER PLAN'!$J:$J,0,0)),"")</f>
        <v/>
      </c>
      <c r="CQ56" s="73" t="str">
        <f t="array" ref="CQ56">IFERROR(IF(XLOOKUP(CONCAT(CN56,CO56),'PROCESOS PRD'!$J:$J,'PROCESOS PRD'!$H:$H,0,0)=0,"",XLOOKUP(CONCAT(CN56,CO56),'PROCESOS PRD'!$J:$J,'PROCESOS PRD'!$H:$H,0,0)),"")</f>
        <v/>
      </c>
      <c r="CR56" s="70"/>
      <c r="CS56" s="71"/>
      <c r="CT56" s="32"/>
      <c r="CU56" s="72" t="str">
        <f t="array" ref="CU56">IFERROR(IF(XLOOKUP(CONCAT(CS56,CT56),'MASTER PLAN'!$AB:$AB,'MASTER PLAN'!$J:$J,0,0)=0,"",XLOOKUP(CONCAT(CS56,CT56),'MASTER PLAN'!$AB:$AB,'MASTER PLAN'!$J:$J,0,0)),"")</f>
        <v/>
      </c>
      <c r="CV56" s="73" t="str">
        <f t="array" ref="CV56">IFERROR(IF(XLOOKUP(CONCAT(CS56,CT56),'PROCESOS PRD'!$J:$J,'PROCESOS PRD'!$H:$H,0,0)=0,"",XLOOKUP(CONCAT(CS56,CT56),'PROCESOS PRD'!$J:$J,'PROCESOS PRD'!$H:$H,0,0)),"")</f>
        <v/>
      </c>
      <c r="CW56" s="71"/>
      <c r="CX56" s="32"/>
      <c r="CY56" s="72" t="str">
        <f t="array" ref="CY56">IFERROR(IF(XLOOKUP(CONCAT(CW56,CX56),'MASTER PLAN'!$AB:$AB,'MASTER PLAN'!$J:$J,0,0)=0,"",XLOOKUP(CONCAT(CW56,CX56),'MASTER PLAN'!$AB:$AB,'MASTER PLAN'!$J:$J,0,0)),"")</f>
        <v/>
      </c>
      <c r="CZ56" s="73" t="str">
        <f t="array" ref="CZ56">IFERROR(IF(XLOOKUP(CONCAT(CW56,CX56),'PROCESOS PRD'!$J:$J,'PROCESOS PRD'!$H:$H,0,0)=0,"",XLOOKUP(CONCAT(CW56,CX56),'PROCESOS PRD'!$J:$J,'PROCESOS PRD'!$H:$H,0,0)),"")</f>
        <v/>
      </c>
      <c r="DA56" s="71"/>
      <c r="DB56" s="32"/>
      <c r="DC56" s="72" t="str">
        <f t="array" ref="DC56">IFERROR(IF(XLOOKUP(CONCAT(DA56,DB56),'MASTER PLAN'!$AB:$AB,'MASTER PLAN'!$J:$J,0,0)=0,"",XLOOKUP(CONCAT(DA56,DB56),'MASTER PLAN'!$AB:$AB,'MASTER PLAN'!$J:$J,0,0)),"")</f>
        <v/>
      </c>
      <c r="DD56" s="73" t="str">
        <f t="array" ref="DD56">IFERROR(IF(XLOOKUP(CONCAT(DA56,DB56),'PROCESOS PRD'!$J:$J,'PROCESOS PRD'!$H:$H,0,0)=0,"",XLOOKUP(CONCAT(DA56,DB56),'PROCESOS PRD'!$J:$J,'PROCESOS PRD'!$H:$H,0,0)),"")</f>
        <v/>
      </c>
      <c r="DE56" s="71"/>
      <c r="DF56" s="32"/>
      <c r="DG56" s="72" t="str">
        <f t="array" ref="DG56">IFERROR(IF(XLOOKUP(CONCAT(DE56,DF56),'MASTER PLAN'!$AB:$AB,'MASTER PLAN'!$J:$J,0,0)=0,"",XLOOKUP(CONCAT(DE56,DF56),'MASTER PLAN'!$AB:$AB,'MASTER PLAN'!$J:$J,0,0)),"")</f>
        <v/>
      </c>
      <c r="DH56" s="73" t="str">
        <f t="array" ref="DH56">IFERROR(IF(XLOOKUP(CONCAT(DE56,DF56),'PROCESOS PRD'!$J:$J,'PROCESOS PRD'!$H:$H,0,0)=0,"",XLOOKUP(CONCAT(DE56,DF56),'PROCESOS PRD'!$J:$J,'PROCESOS PRD'!$H:$H,0,0)),"")</f>
        <v/>
      </c>
      <c r="DI56" s="71"/>
      <c r="DJ56" s="32"/>
      <c r="DK56" s="72" t="str">
        <f t="array" ref="DK56">IFERROR(IF(XLOOKUP(CONCAT(DI56,DJ56),'MASTER PLAN'!$AB:$AB,'MASTER PLAN'!$J:$J,0,0)=0,"",XLOOKUP(CONCAT(DI56,DJ56),'MASTER PLAN'!$AB:$AB,'MASTER PLAN'!$J:$J,0,0)),"")</f>
        <v/>
      </c>
      <c r="DL56" s="73" t="str">
        <f t="array" ref="DL56">IFERROR(IF(XLOOKUP(CONCAT(DI56,DJ56),'PROCESOS PRD'!$J:$J,'PROCESOS PRD'!$H:$H,0,0)=0,"",XLOOKUP(CONCAT(DI56,DJ56),'PROCESOS PRD'!$J:$J,'PROCESOS PRD'!$H:$H,0,0)),"")</f>
        <v/>
      </c>
      <c r="DM56" s="71"/>
      <c r="DN56" s="32"/>
      <c r="DO56" s="72" t="str">
        <f t="array" ref="DO56">IFERROR(IF(XLOOKUP(CONCAT(DM56,DN56),'MASTER PLAN'!$AB:$AB,'MASTER PLAN'!$J:$J,0,0)=0,"",XLOOKUP(CONCAT(DM56,DN56),'MASTER PLAN'!$AB:$AB,'MASTER PLAN'!$J:$J,0,0)),"")</f>
        <v/>
      </c>
      <c r="DP56" s="73" t="str">
        <f t="array" ref="DP56">IFERROR(IF(XLOOKUP(CONCAT(DM56,DN56),'PROCESOS PRD'!$J:$J,'PROCESOS PRD'!$H:$H,0,0)=0,"",XLOOKUP(CONCAT(DM56,DN56),'PROCESOS PRD'!$J:$J,'PROCESOS PRD'!$H:$H,0,0)),"")</f>
        <v/>
      </c>
      <c r="DQ56" s="70"/>
      <c r="DR56" s="71"/>
      <c r="DS56" s="32"/>
      <c r="DT56" s="72" t="str">
        <f t="array" ref="DT56">IFERROR(IF(XLOOKUP(CONCAT(DR56,DS56),'MASTER PLAN'!$AB:$AB,'MASTER PLAN'!$J:$J,0,0)=0,"",XLOOKUP(CONCAT(DR56,DS56),'MASTER PLAN'!$AB:$AB,'MASTER PLAN'!$J:$J,0,0)),"")</f>
        <v/>
      </c>
      <c r="DU56" s="73" t="str">
        <f t="array" ref="DU56">IFERROR(IF(XLOOKUP(CONCAT(DR56,DS56),'PROCESOS PRD'!$J:$J,'PROCESOS PRD'!$H:$H,0,0)=0,"",XLOOKUP(CONCAT(DR56,DS56),'PROCESOS PRD'!$J:$J,'PROCESOS PRD'!$H:$H,0,0)),"")</f>
        <v/>
      </c>
      <c r="DV56" s="71"/>
      <c r="DW56" s="32"/>
      <c r="DX56" s="72" t="str">
        <f t="array" ref="DX56">IFERROR(IF(XLOOKUP(CONCAT(DV56,DW56),'MASTER PLAN'!$AB:$AB,'MASTER PLAN'!$J:$J,0,0)=0,"",XLOOKUP(CONCAT(DV56,DW56),'MASTER PLAN'!$AB:$AB,'MASTER PLAN'!$J:$J,0,0)),"")</f>
        <v/>
      </c>
      <c r="DY56" s="73" t="str">
        <f t="array" ref="DY56">IFERROR(IF(XLOOKUP(CONCAT(DV56,DW56),'PROCESOS PRD'!$J:$J,'PROCESOS PRD'!$H:$H,0,0)=0,"",XLOOKUP(CONCAT(DV56,DW56),'PROCESOS PRD'!$J:$J,'PROCESOS PRD'!$H:$H,0,0)),"")</f>
        <v/>
      </c>
      <c r="DZ56" s="71"/>
      <c r="EA56" s="32"/>
      <c r="EB56" s="72" t="str">
        <f t="array" ref="EB56">IFERROR(IF(XLOOKUP(CONCAT(DZ56,EA56),'MASTER PLAN'!$AB:$AB,'MASTER PLAN'!$J:$J,0,0)=0,"",XLOOKUP(CONCAT(DZ56,EA56),'MASTER PLAN'!$AB:$AB,'MASTER PLAN'!$J:$J,0,0)),"")</f>
        <v/>
      </c>
      <c r="EC56" s="73" t="str">
        <f t="array" ref="EC56">IFERROR(IF(XLOOKUP(CONCAT(DZ56,EA56),'PROCESOS PRD'!$J:$J,'PROCESOS PRD'!$H:$H,0,0)=0,"",XLOOKUP(CONCAT(DZ56,EA56),'PROCESOS PRD'!$J:$J,'PROCESOS PRD'!$H:$H,0,0)),"")</f>
        <v/>
      </c>
      <c r="ED56" s="71"/>
      <c r="EE56" s="32"/>
      <c r="EF56" s="72" t="str">
        <f t="array" ref="EF56">IFERROR(IF(XLOOKUP(CONCAT(ED56,EE56),'MASTER PLAN'!$AB:$AB,'MASTER PLAN'!$J:$J,0,0)=0,"",XLOOKUP(CONCAT(ED56,EE56),'MASTER PLAN'!$AB:$AB,'MASTER PLAN'!$J:$J,0,0)),"")</f>
        <v/>
      </c>
      <c r="EG56" s="73" t="str">
        <f t="array" ref="EG56">IFERROR(IF(XLOOKUP(CONCAT(ED56,EE56),'PROCESOS PRD'!$J:$J,'PROCESOS PRD'!$H:$H,0,0)=0,"",XLOOKUP(CONCAT(ED56,EE56),'PROCESOS PRD'!$J:$J,'PROCESOS PRD'!$H:$H,0,0)),"")</f>
        <v/>
      </c>
      <c r="EH56" s="71"/>
      <c r="EI56" s="32"/>
      <c r="EJ56" s="72" t="str">
        <f t="array" ref="EJ56">IFERROR(IF(XLOOKUP(CONCAT(EH56,EI56),'MASTER PLAN'!$AB:$AB,'MASTER PLAN'!$J:$J,0,0)=0,"",XLOOKUP(CONCAT(EH56,EI56),'MASTER PLAN'!$AB:$AB,'MASTER PLAN'!$J:$J,0,0)),"")</f>
        <v/>
      </c>
      <c r="EK56" s="73" t="str">
        <f t="array" ref="EK56">IFERROR(IF(XLOOKUP(CONCAT(EH56,EI56),'PROCESOS PRD'!$J:$J,'PROCESOS PRD'!$H:$H,0,0)=0,"",XLOOKUP(CONCAT(EH56,EI56),'PROCESOS PRD'!$J:$J,'PROCESOS PRD'!$H:$H,0,0)),"")</f>
        <v/>
      </c>
      <c r="EL56" s="71"/>
      <c r="EM56" s="32"/>
      <c r="EN56" s="72" t="str">
        <f t="array" ref="EN56">IFERROR(IF(XLOOKUP(CONCAT(EL56,EM56),'MASTER PLAN'!$AB:$AB,'MASTER PLAN'!$J:$J,0,0)=0,"",XLOOKUP(CONCAT(EL56,EM56),'MASTER PLAN'!$AB:$AB,'MASTER PLAN'!$J:$J,0,0)),"")</f>
        <v/>
      </c>
      <c r="EO56" s="73" t="str">
        <f t="array" ref="EO56">IFERROR(IF(XLOOKUP(CONCAT(EL56,EM56),'PROCESOS PRD'!$J:$J,'PROCESOS PRD'!$H:$H,0,0)=0,"",XLOOKUP(CONCAT(EL56,EM56),'PROCESOS PRD'!$J:$J,'PROCESOS PRD'!$H:$H,0,0)),"")</f>
        <v/>
      </c>
      <c r="EP56" s="70"/>
      <c r="EQ56" s="71"/>
      <c r="ER56" s="32"/>
      <c r="ES56" s="72" t="str">
        <f t="array" ref="ES56">IFERROR(IF(XLOOKUP(CONCAT(EQ56,ER56),'MASTER PLAN'!$AB:$AB,'MASTER PLAN'!$J:$J,0,0)=0,"",XLOOKUP(CONCAT(EQ56,ER56),'MASTER PLAN'!$AB:$AB,'MASTER PLAN'!$J:$J,0,0)),"")</f>
        <v/>
      </c>
      <c r="ET56" s="73" t="str">
        <f t="array" ref="ET56">IFERROR(IF(XLOOKUP(CONCAT(EQ56,ER56),'PROCESOS PRD'!$J:$J,'PROCESOS PRD'!$H:$H,0,0)=0,"",XLOOKUP(CONCAT(EQ56,ER56),'PROCESOS PRD'!$J:$J,'PROCESOS PRD'!$H:$H,0,0)),"")</f>
        <v/>
      </c>
      <c r="EU56" s="71"/>
      <c r="EV56" s="32"/>
      <c r="EW56" s="72" t="str">
        <f t="array" ref="EW56">IFERROR(IF(XLOOKUP(CONCAT(EU56,EV56),'MASTER PLAN'!$AB:$AB,'MASTER PLAN'!$J:$J,0,0)=0,"",XLOOKUP(CONCAT(EU56,EV56),'MASTER PLAN'!$AB:$AB,'MASTER PLAN'!$J:$J,0,0)),"")</f>
        <v/>
      </c>
      <c r="EX56" s="73" t="str">
        <f t="array" ref="EX56">IFERROR(IF(XLOOKUP(CONCAT(EU56,EV56),'PROCESOS PRD'!$J:$J,'PROCESOS PRD'!$H:$H,0,0)=0,"",XLOOKUP(CONCAT(EU56,EV56),'PROCESOS PRD'!$J:$J,'PROCESOS PRD'!$H:$H,0,0)),"")</f>
        <v/>
      </c>
      <c r="EY56" s="71"/>
      <c r="EZ56" s="32"/>
      <c r="FA56" s="72" t="str">
        <f t="array" ref="FA56">IFERROR(IF(XLOOKUP(CONCAT(EY56,EZ56),'MASTER PLAN'!$AB:$AB,'MASTER PLAN'!$J:$J,0,0)=0,"",XLOOKUP(CONCAT(EY56,EZ56),'MASTER PLAN'!$AB:$AB,'MASTER PLAN'!$J:$J,0,0)),"")</f>
        <v/>
      </c>
      <c r="FB56" s="73" t="str">
        <f t="array" ref="FB56">IFERROR(IF(XLOOKUP(CONCAT(EY56,EZ56),'PROCESOS PRD'!$J:$J,'PROCESOS PRD'!$H:$H,0,0)=0,"",XLOOKUP(CONCAT(EY56,EZ56),'PROCESOS PRD'!$J:$J,'PROCESOS PRD'!$H:$H,0,0)),"")</f>
        <v/>
      </c>
      <c r="FC56" s="71"/>
      <c r="FD56" s="32"/>
      <c r="FE56" s="72" t="str">
        <f t="array" ref="FE56">IFERROR(IF(XLOOKUP(CONCAT(FC56,FD56),'MASTER PLAN'!$AB:$AB,'MASTER PLAN'!$J:$J,0,0)=0,"",XLOOKUP(CONCAT(FC56,FD56),'MASTER PLAN'!$AB:$AB,'MASTER PLAN'!$J:$J,0,0)),"")</f>
        <v/>
      </c>
      <c r="FF56" s="73" t="str">
        <f t="array" ref="FF56">IFERROR(IF(XLOOKUP(CONCAT(FC56,FD56),'PROCESOS PRD'!$J:$J,'PROCESOS PRD'!$H:$H,0,0)=0,"",XLOOKUP(CONCAT(FC56,FD56),'PROCESOS PRD'!$J:$J,'PROCESOS PRD'!$H:$H,0,0)),"")</f>
        <v/>
      </c>
      <c r="FG56" s="71"/>
      <c r="FH56" s="32"/>
      <c r="FI56" s="72" t="str">
        <f t="array" ref="FI56">IFERROR(IF(XLOOKUP(CONCAT(FG56,FH56),'MASTER PLAN'!$AB:$AB,'MASTER PLAN'!$J:$J,0,0)=0,"",XLOOKUP(CONCAT(FG56,FH56),'MASTER PLAN'!$AB:$AB,'MASTER PLAN'!$J:$J,0,0)),"")</f>
        <v/>
      </c>
      <c r="FJ56" s="73" t="str">
        <f t="array" ref="FJ56">IFERROR(IF(XLOOKUP(CONCAT(FG56,FH56),'PROCESOS PRD'!$J:$J,'PROCESOS PRD'!$H:$H,0,0)=0,"",XLOOKUP(CONCAT(FG56,FH56),'PROCESOS PRD'!$J:$J,'PROCESOS PRD'!$H:$H,0,0)),"")</f>
        <v/>
      </c>
      <c r="FK56" s="71"/>
      <c r="FL56" s="32"/>
      <c r="FM56" s="72" t="str">
        <f t="array" ref="FM56">IFERROR(IF(XLOOKUP(CONCAT(FK56,FL56),'MASTER PLAN'!$AB:$AB,'MASTER PLAN'!$J:$J,0,0)=0,"",XLOOKUP(CONCAT(FK56,FL56),'MASTER PLAN'!$AB:$AB,'MASTER PLAN'!$J:$J,0,0)),"")</f>
        <v/>
      </c>
      <c r="FN56" s="73" t="str">
        <f t="array" ref="FN56">IFERROR(IF(XLOOKUP(CONCAT(FK56,FL56),'PROCESOS PRD'!$J:$J,'PROCESOS PRD'!$H:$H,0,0)=0,"",XLOOKUP(CONCAT(FK56,FL56),'PROCESOS PRD'!$J:$J,'PROCESOS PRD'!$H:$H,0,0)),"")</f>
        <v/>
      </c>
      <c r="FO56" s="70"/>
      <c r="FP56" s="71"/>
      <c r="FQ56" s="32"/>
      <c r="FR56" s="72" t="str">
        <f t="array" ref="FR56">IFERROR(IF(XLOOKUP(CONCAT(FP56,FQ56),'MASTER PLAN'!$AB:$AB,'MASTER PLAN'!$J:$J,0,0)=0,"",XLOOKUP(CONCAT(FP56,FQ56),'MASTER PLAN'!$AB:$AB,'MASTER PLAN'!$J:$J,0,0)),"")</f>
        <v/>
      </c>
      <c r="FS56" s="73" t="str">
        <f t="array" ref="FS56">IFERROR(IF(XLOOKUP(CONCAT(FP56,FQ56),'PROCESOS PRD'!$J:$J,'PROCESOS PRD'!$H:$H,0,0)=0,"",XLOOKUP(CONCAT(FP56,FQ56),'PROCESOS PRD'!$J:$J,'PROCESOS PRD'!$H:$H,0,0)),"")</f>
        <v/>
      </c>
      <c r="FT56" s="71"/>
      <c r="FU56" s="32"/>
      <c r="FV56" s="72" t="str">
        <f t="array" ref="FV56">IFERROR(IF(XLOOKUP(CONCAT(FT56,FU56),'MASTER PLAN'!$AB:$AB,'MASTER PLAN'!$J:$J,0,0)=0,"",XLOOKUP(CONCAT(FT56,FU56),'MASTER PLAN'!$AB:$AB,'MASTER PLAN'!$J:$J,0,0)),"")</f>
        <v/>
      </c>
      <c r="FW56" s="73" t="str">
        <f t="array" ref="FW56">IFERROR(IF(XLOOKUP(CONCAT(FT56,FU56),'PROCESOS PRD'!$J:$J,'PROCESOS PRD'!$H:$H,0,0)=0,"",XLOOKUP(CONCAT(FT56,FU56),'PROCESOS PRD'!$J:$J,'PROCESOS PRD'!$H:$H,0,0)),"")</f>
        <v/>
      </c>
      <c r="FX56" s="71"/>
      <c r="FY56" s="32"/>
      <c r="FZ56" s="72" t="str">
        <f t="array" ref="FZ56">IFERROR(IF(XLOOKUP(CONCAT(FX56,FY56),'MASTER PLAN'!$AB:$AB,'MASTER PLAN'!$J:$J,0,0)=0,"",XLOOKUP(CONCAT(FX56,FY56),'MASTER PLAN'!$AB:$AB,'MASTER PLAN'!$J:$J,0,0)),"")</f>
        <v/>
      </c>
      <c r="GA56" s="73" t="str">
        <f t="array" ref="GA56">IFERROR(IF(XLOOKUP(CONCAT(FX56,FY56),'PROCESOS PRD'!$J:$J,'PROCESOS PRD'!$H:$H,0,0)=0,"",XLOOKUP(CONCAT(FX56,FY56),'PROCESOS PRD'!$J:$J,'PROCESOS PRD'!$H:$H,0,0)),"")</f>
        <v/>
      </c>
      <c r="GB56" s="71"/>
      <c r="GC56" s="32"/>
      <c r="GD56" s="72" t="str">
        <f t="array" ref="GD56">IFERROR(IF(XLOOKUP(CONCAT(GB56,GC56),'MASTER PLAN'!$AB:$AB,'MASTER PLAN'!$J:$J,0,0)=0,"",XLOOKUP(CONCAT(GB56,GC56),'MASTER PLAN'!$AB:$AB,'MASTER PLAN'!$J:$J,0,0)),"")</f>
        <v/>
      </c>
      <c r="GE56" s="73" t="str">
        <f t="array" ref="GE56">IFERROR(IF(XLOOKUP(CONCAT(GB56,GC56),'PROCESOS PRD'!$J:$J,'PROCESOS PRD'!$H:$H,0,0)=0,"",XLOOKUP(CONCAT(GB56,GC56),'PROCESOS PRD'!$J:$J,'PROCESOS PRD'!$H:$H,0,0)),"")</f>
        <v/>
      </c>
      <c r="GF56" s="71"/>
      <c r="GG56" s="32"/>
      <c r="GH56" s="72" t="str">
        <f t="array" ref="GH56">IFERROR(IF(XLOOKUP(CONCAT(GF56,GG56),'MASTER PLAN'!$AB:$AB,'MASTER PLAN'!$J:$J,0,0)=0,"",XLOOKUP(CONCAT(GF56,GG56),'MASTER PLAN'!$AB:$AB,'MASTER PLAN'!$J:$J,0,0)),"")</f>
        <v/>
      </c>
      <c r="GI56" s="73" t="str">
        <f t="array" ref="GI56">IFERROR(IF(XLOOKUP(CONCAT(GF56,GG56),'PROCESOS PRD'!$J:$J,'PROCESOS PRD'!$H:$H,0,0)=0,"",XLOOKUP(CONCAT(GF56,GG56),'PROCESOS PRD'!$J:$J,'PROCESOS PRD'!$H:$H,0,0)),"")</f>
        <v/>
      </c>
      <c r="GJ56" s="71"/>
      <c r="GK56" s="32"/>
      <c r="GL56" s="72" t="str">
        <f t="array" ref="GL56">IFERROR(IF(XLOOKUP(CONCAT(GJ56,GK56),'MASTER PLAN'!$AB:$AB,'MASTER PLAN'!$J:$J,0,0)=0,"",XLOOKUP(CONCAT(GJ56,GK56),'MASTER PLAN'!$AB:$AB,'MASTER PLAN'!$J:$J,0,0)),"")</f>
        <v/>
      </c>
      <c r="GM56" s="73" t="str">
        <f t="array" ref="GM56">IFERROR(IF(XLOOKUP(CONCAT(GJ56,GK56),'PROCESOS PRD'!$J:$J,'PROCESOS PRD'!$H:$H,0,0)=0,"",XLOOKUP(CONCAT(GJ56,GK56),'PROCESOS PRD'!$J:$J,'PROCESOS PRD'!$H:$H,0,0)),"")</f>
        <v/>
      </c>
      <c r="GN56" s="70"/>
      <c r="GO56" s="71"/>
      <c r="GP56" s="32"/>
      <c r="GQ56" s="72" t="str">
        <f t="array" ref="GQ56">IFERROR(IF(XLOOKUP(CONCAT(GO56,GP56),'MASTER PLAN'!$AB:$AB,'MASTER PLAN'!$J:$J,0,0)=0,"",XLOOKUP(CONCAT(GO56,GP56),'MASTER PLAN'!$AB:$AB,'MASTER PLAN'!$J:$J,0,0)),"")</f>
        <v/>
      </c>
      <c r="GR56" s="73" t="str">
        <f t="array" ref="GR56">IFERROR(IF(XLOOKUP(CONCAT(GO56,GP56),'PROCESOS PRD'!$J:$J,'PROCESOS PRD'!$H:$H,0,0)=0,"",XLOOKUP(CONCAT(GO56,GP56),'PROCESOS PRD'!$J:$J,'PROCESOS PRD'!$H:$H,0,0)),"")</f>
        <v/>
      </c>
      <c r="GS56" s="71"/>
      <c r="GT56" s="32"/>
      <c r="GU56" s="72" t="str">
        <f t="array" ref="GU56">IFERROR(IF(XLOOKUP(CONCAT(GS56,GT56),'MASTER PLAN'!$AB:$AB,'MASTER PLAN'!$J:$J,0,0)=0,"",XLOOKUP(CONCAT(GS56,GT56),'MASTER PLAN'!$AB:$AB,'MASTER PLAN'!$J:$J,0,0)),"")</f>
        <v/>
      </c>
      <c r="GV56" s="73" t="str">
        <f t="array" ref="GV56">IFERROR(IF(XLOOKUP(CONCAT(GS56,GT56),'PROCESOS PRD'!$J:$J,'PROCESOS PRD'!$H:$H,0,0)=0,"",XLOOKUP(CONCAT(GS56,GT56),'PROCESOS PRD'!$J:$J,'PROCESOS PRD'!$H:$H,0,0)),"")</f>
        <v/>
      </c>
      <c r="GW56" s="71"/>
      <c r="GX56" s="32"/>
      <c r="GY56" s="72" t="str">
        <f t="array" ref="GY56">IFERROR(IF(XLOOKUP(CONCAT(GW56,GX56),'MASTER PLAN'!$AB:$AB,'MASTER PLAN'!$J:$J,0,0)=0,"",XLOOKUP(CONCAT(GW56,GX56),'MASTER PLAN'!$AB:$AB,'MASTER PLAN'!$J:$J,0,0)),"")</f>
        <v/>
      </c>
      <c r="GZ56" s="73" t="str">
        <f t="array" ref="GZ56">IFERROR(IF(XLOOKUP(CONCAT(GW56,GX56),'PROCESOS PRD'!$J:$J,'PROCESOS PRD'!$H:$H,0,0)=0,"",XLOOKUP(CONCAT(GW56,GX56),'PROCESOS PRD'!$J:$J,'PROCESOS PRD'!$H:$H,0,0)),"")</f>
        <v/>
      </c>
      <c r="HA56" s="71"/>
      <c r="HB56" s="32"/>
      <c r="HC56" s="72" t="str">
        <f t="array" ref="HC56">IFERROR(IF(XLOOKUP(CONCAT(HA56,HB56),'MASTER PLAN'!$AB:$AB,'MASTER PLAN'!$J:$J,0,0)=0,"",XLOOKUP(CONCAT(HA56,HB56),'MASTER PLAN'!$AB:$AB,'MASTER PLAN'!$J:$J,0,0)),"")</f>
        <v/>
      </c>
      <c r="HD56" s="73" t="str">
        <f t="array" ref="HD56">IFERROR(IF(XLOOKUP(CONCAT(HA56,HB56),'PROCESOS PRD'!$J:$J,'PROCESOS PRD'!$H:$H,0,0)=0,"",XLOOKUP(CONCAT(HA56,HB56),'PROCESOS PRD'!$J:$J,'PROCESOS PRD'!$H:$H,0,0)),"")</f>
        <v/>
      </c>
      <c r="HE56" s="71"/>
      <c r="HF56" s="32"/>
      <c r="HG56" s="72" t="str">
        <f t="array" ref="HG56">IFERROR(IF(XLOOKUP(CONCAT(HE56,HF56),'MASTER PLAN'!$AB:$AB,'MASTER PLAN'!$J:$J,0,0)=0,"",XLOOKUP(CONCAT(HE56,HF56),'MASTER PLAN'!$AB:$AB,'MASTER PLAN'!$J:$J,0,0)),"")</f>
        <v/>
      </c>
      <c r="HH56" s="73" t="str">
        <f t="array" ref="HH56">IFERROR(IF(XLOOKUP(CONCAT(HE56,HF56),'PROCESOS PRD'!$J:$J,'PROCESOS PRD'!$H:$H,0,0)=0,"",XLOOKUP(CONCAT(HE56,HF56),'PROCESOS PRD'!$J:$J,'PROCESOS PRD'!$H:$H,0,0)),"")</f>
        <v/>
      </c>
      <c r="HI56" s="71"/>
      <c r="HJ56" s="32"/>
      <c r="HK56" s="72" t="str">
        <f t="array" ref="HK56">IFERROR(IF(XLOOKUP(CONCAT(HI56,HJ56),'MASTER PLAN'!$AB:$AB,'MASTER PLAN'!$J:$J,0,0)=0,"",XLOOKUP(CONCAT(HI56,HJ56),'MASTER PLAN'!$AB:$AB,'MASTER PLAN'!$J:$J,0,0)),"")</f>
        <v/>
      </c>
      <c r="HL56" s="73" t="str">
        <f t="array" ref="HL56">IFERROR(IF(XLOOKUP(CONCAT(HI56,HJ56),'PROCESOS PRD'!$J:$J,'PROCESOS PRD'!$H:$H,0,0)=0,"",XLOOKUP(CONCAT(HI56,HJ56),'PROCESOS PRD'!$J:$J,'PROCESOS PRD'!$H:$H,0,0)),"")</f>
        <v/>
      </c>
      <c r="HM56" s="70"/>
      <c r="HN56" s="71"/>
      <c r="HO56" s="32"/>
      <c r="HP56" s="72" t="str">
        <f t="array" ref="HP56">IFERROR(IF(XLOOKUP(CONCAT(HN56,HO56),'MASTER PLAN'!$AB:$AB,'MASTER PLAN'!$J:$J,0,0)=0,"",XLOOKUP(CONCAT(HN56,HO56),'MASTER PLAN'!$AB:$AB,'MASTER PLAN'!$J:$J,0,0)),"")</f>
        <v/>
      </c>
      <c r="HQ56" s="73" t="str">
        <f t="array" ref="HQ56">IFERROR(IF(XLOOKUP(CONCAT(HN56,HO56),'PROCESOS PRD'!$J:$J,'PROCESOS PRD'!$H:$H,0,0)=0,"",XLOOKUP(CONCAT(HN56,HO56),'PROCESOS PRD'!$J:$J,'PROCESOS PRD'!$H:$H,0,0)),"")</f>
        <v/>
      </c>
      <c r="HR56" s="71"/>
      <c r="HS56" s="32"/>
      <c r="HT56" s="72" t="str">
        <f t="array" ref="HT56">IFERROR(IF(XLOOKUP(CONCAT(HR56,HS56),'MASTER PLAN'!$AB:$AB,'MASTER PLAN'!$J:$J,0,0)=0,"",XLOOKUP(CONCAT(HR56,HS56),'MASTER PLAN'!$AB:$AB,'MASTER PLAN'!$J:$J,0,0)),"")</f>
        <v/>
      </c>
      <c r="HU56" s="73" t="str">
        <f t="array" ref="HU56">IFERROR(IF(XLOOKUP(CONCAT(HR56,HS56),'PROCESOS PRD'!$J:$J,'PROCESOS PRD'!$H:$H,0,0)=0,"",XLOOKUP(CONCAT(HR56,HS56),'PROCESOS PRD'!$J:$J,'PROCESOS PRD'!$H:$H,0,0)),"")</f>
        <v/>
      </c>
      <c r="HV56" s="71"/>
      <c r="HW56" s="32"/>
      <c r="HX56" s="72" t="str">
        <f t="array" ref="HX56">IFERROR(IF(XLOOKUP(CONCAT(HV56,HW56),'MASTER PLAN'!$AB:$AB,'MASTER PLAN'!$J:$J,0,0)=0,"",XLOOKUP(CONCAT(HV56,HW56),'MASTER PLAN'!$AB:$AB,'MASTER PLAN'!$J:$J,0,0)),"")</f>
        <v/>
      </c>
      <c r="HY56" s="73" t="str">
        <f t="array" ref="HY56">IFERROR(IF(XLOOKUP(CONCAT(HV56,HW56),'PROCESOS PRD'!$J:$J,'PROCESOS PRD'!$H:$H,0,0)=0,"",XLOOKUP(CONCAT(HV56,HW56),'PROCESOS PRD'!$J:$J,'PROCESOS PRD'!$H:$H,0,0)),"")</f>
        <v/>
      </c>
      <c r="HZ56" s="71"/>
      <c r="IA56" s="32"/>
      <c r="IB56" s="72" t="str">
        <f t="array" ref="IB56">IFERROR(IF(XLOOKUP(CONCAT(HZ56,IA56),'MASTER PLAN'!$AB:$AB,'MASTER PLAN'!$J:$J,0,0)=0,"",XLOOKUP(CONCAT(HZ56,IA56),'MASTER PLAN'!$AB:$AB,'MASTER PLAN'!$J:$J,0,0)),"")</f>
        <v/>
      </c>
      <c r="IC56" s="73" t="str">
        <f t="array" ref="IC56">IFERROR(IF(XLOOKUP(CONCAT(HZ56,IA56),'PROCESOS PRD'!$J:$J,'PROCESOS PRD'!$H:$H,0,0)=0,"",XLOOKUP(CONCAT(HZ56,IA56),'PROCESOS PRD'!$J:$J,'PROCESOS PRD'!$H:$H,0,0)),"")</f>
        <v/>
      </c>
      <c r="ID56" s="71"/>
      <c r="IE56" s="32"/>
      <c r="IF56" s="72" t="str">
        <f t="array" ref="IF56">IFERROR(IF(XLOOKUP(CONCAT(ID56,IE56),'MASTER PLAN'!$AB:$AB,'MASTER PLAN'!$J:$J,0,0)=0,"",XLOOKUP(CONCAT(ID56,IE56),'MASTER PLAN'!$AB:$AB,'MASTER PLAN'!$J:$J,0,0)),"")</f>
        <v/>
      </c>
      <c r="IG56" s="73" t="str">
        <f t="array" ref="IG56">IFERROR(IF(XLOOKUP(CONCAT(ID56,IE56),'PROCESOS PRD'!$J:$J,'PROCESOS PRD'!$H:$H,0,0)=0,"",XLOOKUP(CONCAT(ID56,IE56),'PROCESOS PRD'!$J:$J,'PROCESOS PRD'!$H:$H,0,0)),"")</f>
        <v/>
      </c>
      <c r="IH56" s="71"/>
      <c r="II56" s="32"/>
      <c r="IJ56" s="72" t="str">
        <f t="array" ref="IJ56">IFERROR(IF(XLOOKUP(CONCAT(IH56,II56),'MASTER PLAN'!$AB:$AB,'MASTER PLAN'!$J:$J,0,0)=0,"",XLOOKUP(CONCAT(IH56,II56),'MASTER PLAN'!$AB:$AB,'MASTER PLAN'!$J:$J,0,0)),"")</f>
        <v/>
      </c>
      <c r="IK56" s="73" t="str">
        <f t="array" ref="IK56">IFERROR(IF(XLOOKUP(CONCAT(IH56,II56),'PROCESOS PRD'!$J:$J,'PROCESOS PRD'!$H:$H,0,0)=0,"",XLOOKUP(CONCAT(IH56,II56),'PROCESOS PRD'!$J:$J,'PROCESOS PRD'!$H:$H,0,0)),"")</f>
        <v/>
      </c>
      <c r="IL56" s="70"/>
      <c r="IM56" s="71"/>
      <c r="IN56" s="32"/>
      <c r="IO56" s="72" t="str">
        <f t="array" ref="IO56">IFERROR(IF(XLOOKUP(CONCAT(IM56,IN56),'MASTER PLAN'!$AB:$AB,'MASTER PLAN'!$J:$J,0,0)=0,"",XLOOKUP(CONCAT(IM56,IN56),'MASTER PLAN'!$AB:$AB,'MASTER PLAN'!$J:$J,0,0)),"")</f>
        <v/>
      </c>
      <c r="IP56" s="73" t="str">
        <f t="array" ref="IP56">IFERROR(IF(XLOOKUP(CONCAT(IM56,IN56),'PROCESOS PRD'!$J:$J,'PROCESOS PRD'!$H:$H,0,0)=0,"",XLOOKUP(CONCAT(IM56,IN56),'PROCESOS PRD'!$J:$J,'PROCESOS PRD'!$H:$H,0,0)),"")</f>
        <v/>
      </c>
      <c r="IQ56" s="71"/>
      <c r="IR56" s="32"/>
      <c r="IS56" s="72" t="str">
        <f t="array" ref="IS56">IFERROR(IF(XLOOKUP(CONCAT(IQ56,IR56),'MASTER PLAN'!$AB:$AB,'MASTER PLAN'!$J:$J,0,0)=0,"",XLOOKUP(CONCAT(IQ56,IR56),'MASTER PLAN'!$AB:$AB,'MASTER PLAN'!$J:$J,0,0)),"")</f>
        <v/>
      </c>
      <c r="IT56" s="73" t="str">
        <f t="array" ref="IT56">IFERROR(IF(XLOOKUP(CONCAT(IQ56,IR56),'PROCESOS PRD'!$J:$J,'PROCESOS PRD'!$H:$H,0,0)=0,"",XLOOKUP(CONCAT(IQ56,IR56),'PROCESOS PRD'!$J:$J,'PROCESOS PRD'!$H:$H,0,0)),"")</f>
        <v/>
      </c>
      <c r="IU56" s="71"/>
      <c r="IV56" s="32"/>
      <c r="IW56" s="72" t="str">
        <f t="array" ref="IW56">IFERROR(IF(XLOOKUP(CONCAT(IU56,IV56),'MASTER PLAN'!$AB:$AB,'MASTER PLAN'!$J:$J,0,0)=0,"",XLOOKUP(CONCAT(IU56,IV56),'MASTER PLAN'!$AB:$AB,'MASTER PLAN'!$J:$J,0,0)),"")</f>
        <v/>
      </c>
      <c r="IX56" s="73" t="str">
        <f t="array" ref="IX56">IFERROR(IF(XLOOKUP(CONCAT(IU56,IV56),'PROCESOS PRD'!$J:$J,'PROCESOS PRD'!$H:$H,0,0)=0,"",XLOOKUP(CONCAT(IU56,IV56),'PROCESOS PRD'!$J:$J,'PROCESOS PRD'!$H:$H,0,0)),"")</f>
        <v/>
      </c>
      <c r="IY56" s="71"/>
      <c r="IZ56" s="32"/>
      <c r="JA56" s="72" t="str">
        <f t="array" ref="JA56">IFERROR(IF(XLOOKUP(CONCAT(IY56,IZ56),'MASTER PLAN'!$AB:$AB,'MASTER PLAN'!$J:$J,0,0)=0,"",XLOOKUP(CONCAT(IY56,IZ56),'MASTER PLAN'!$AB:$AB,'MASTER PLAN'!$J:$J,0,0)),"")</f>
        <v/>
      </c>
      <c r="JB56" s="73" t="str">
        <f t="array" ref="JB56">IFERROR(IF(XLOOKUP(CONCAT(IY56,IZ56),'PROCESOS PRD'!$J:$J,'PROCESOS PRD'!$H:$H,0,0)=0,"",XLOOKUP(CONCAT(IY56,IZ56),'PROCESOS PRD'!$J:$J,'PROCESOS PRD'!$H:$H,0,0)),"")</f>
        <v/>
      </c>
      <c r="JC56" s="71"/>
      <c r="JD56" s="32"/>
      <c r="JE56" s="72" t="str">
        <f t="array" ref="JE56">IFERROR(IF(XLOOKUP(CONCAT(JC56,JD56),'MASTER PLAN'!$AB:$AB,'MASTER PLAN'!$J:$J,0,0)=0,"",XLOOKUP(CONCAT(JC56,JD56),'MASTER PLAN'!$AB:$AB,'MASTER PLAN'!$J:$J,0,0)),"")</f>
        <v/>
      </c>
      <c r="JF56" s="73" t="str">
        <f t="array" ref="JF56">IFERROR(IF(XLOOKUP(CONCAT(JC56,JD56),'PROCESOS PRD'!$J:$J,'PROCESOS PRD'!$H:$H,0,0)=0,"",XLOOKUP(CONCAT(JC56,JD56),'PROCESOS PRD'!$J:$J,'PROCESOS PRD'!$H:$H,0,0)),"")</f>
        <v/>
      </c>
      <c r="JG56" s="71"/>
      <c r="JH56" s="32"/>
      <c r="JI56" s="72" t="str">
        <f t="array" ref="JI56">IFERROR(IF(XLOOKUP(CONCAT(JG56,JH56),'MASTER PLAN'!$AB:$AB,'MASTER PLAN'!$J:$J,0,0)=0,"",XLOOKUP(CONCAT(JG56,JH56),'MASTER PLAN'!$AB:$AB,'MASTER PLAN'!$J:$J,0,0)),"")</f>
        <v/>
      </c>
      <c r="JJ56" s="73" t="str">
        <f t="array" ref="JJ56">IFERROR(IF(XLOOKUP(CONCAT(JG56,JH56),'PROCESOS PRD'!$J:$J,'PROCESOS PRD'!$H:$H,0,0)=0,"",XLOOKUP(CONCAT(JG56,JH56),'PROCESOS PRD'!$J:$J,'PROCESOS PRD'!$H:$H,0,0)),"")</f>
        <v/>
      </c>
      <c r="JK56" s="70"/>
      <c r="JL56" s="71"/>
      <c r="JM56" s="32"/>
      <c r="JN56" s="72" t="str">
        <f t="array" ref="JN56">IFERROR(IF(XLOOKUP(CONCAT(JL56,JM56),'MASTER PLAN'!$AB:$AB,'MASTER PLAN'!$J:$J,0,0)=0,"",XLOOKUP(CONCAT(JL56,JM56),'MASTER PLAN'!$AB:$AB,'MASTER PLAN'!$J:$J,0,0)),"")</f>
        <v/>
      </c>
      <c r="JO56" s="73" t="str">
        <f t="array" ref="JO56">IFERROR(IF(XLOOKUP(CONCAT(JL56,JM56),'PROCESOS PRD'!$J:$J,'PROCESOS PRD'!$H:$H,0,0)=0,"",XLOOKUP(CONCAT(JL56,JM56),'PROCESOS PRD'!$J:$J,'PROCESOS PRD'!$H:$H,0,0)),"")</f>
        <v/>
      </c>
      <c r="JP56" s="71"/>
      <c r="JQ56" s="32"/>
      <c r="JR56" s="72" t="str">
        <f t="array" ref="JR56">IFERROR(IF(XLOOKUP(CONCAT(JP56,JQ56),'MASTER PLAN'!$AB:$AB,'MASTER PLAN'!$J:$J,0,0)=0,"",XLOOKUP(CONCAT(JP56,JQ56),'MASTER PLAN'!$AB:$AB,'MASTER PLAN'!$J:$J,0,0)),"")</f>
        <v/>
      </c>
      <c r="JS56" s="73" t="str">
        <f t="array" ref="JS56">IFERROR(IF(XLOOKUP(CONCAT(JP56,JQ56),'PROCESOS PRD'!$J:$J,'PROCESOS PRD'!$H:$H,0,0)=0,"",XLOOKUP(CONCAT(JP56,JQ56),'PROCESOS PRD'!$J:$J,'PROCESOS PRD'!$H:$H,0,0)),"")</f>
        <v/>
      </c>
      <c r="JT56" s="71"/>
      <c r="JU56" s="32"/>
      <c r="JV56" s="72" t="str">
        <f t="array" ref="JV56">IFERROR(IF(XLOOKUP(CONCAT(JT56,JU56),'MASTER PLAN'!$AB:$AB,'MASTER PLAN'!$J:$J,0,0)=0,"",XLOOKUP(CONCAT(JT56,JU56),'MASTER PLAN'!$AB:$AB,'MASTER PLAN'!$J:$J,0,0)),"")</f>
        <v/>
      </c>
      <c r="JW56" s="73" t="str">
        <f t="array" ref="JW56">IFERROR(IF(XLOOKUP(CONCAT(JT56,JU56),'PROCESOS PRD'!$J:$J,'PROCESOS PRD'!$H:$H,0,0)=0,"",XLOOKUP(CONCAT(JT56,JU56),'PROCESOS PRD'!$J:$J,'PROCESOS PRD'!$H:$H,0,0)),"")</f>
        <v/>
      </c>
      <c r="JX56" s="71"/>
      <c r="JY56" s="32"/>
      <c r="JZ56" s="72" t="str">
        <f t="array" ref="JZ56">IFERROR(IF(XLOOKUP(CONCAT(JX56,JY56),'MASTER PLAN'!$AB:$AB,'MASTER PLAN'!$J:$J,0,0)=0,"",XLOOKUP(CONCAT(JX56,JY56),'MASTER PLAN'!$AB:$AB,'MASTER PLAN'!$J:$J,0,0)),"")</f>
        <v/>
      </c>
      <c r="KA56" s="73" t="str">
        <f t="array" ref="KA56">IFERROR(IF(XLOOKUP(CONCAT(JX56,JY56),'PROCESOS PRD'!$J:$J,'PROCESOS PRD'!$H:$H,0,0)=0,"",XLOOKUP(CONCAT(JX56,JY56),'PROCESOS PRD'!$J:$J,'PROCESOS PRD'!$H:$H,0,0)),"")</f>
        <v/>
      </c>
      <c r="KB56" s="71"/>
      <c r="KC56" s="32"/>
      <c r="KD56" s="72" t="str">
        <f t="array" ref="KD56">IFERROR(IF(XLOOKUP(CONCAT(KB56,KC56),'MASTER PLAN'!$AB:$AB,'MASTER PLAN'!$J:$J,0,0)=0,"",XLOOKUP(CONCAT(KB56,KC56),'MASTER PLAN'!$AB:$AB,'MASTER PLAN'!$J:$J,0,0)),"")</f>
        <v/>
      </c>
      <c r="KE56" s="73" t="str">
        <f t="array" ref="KE56">IFERROR(IF(XLOOKUP(CONCAT(KB56,KC56),'PROCESOS PRD'!$J:$J,'PROCESOS PRD'!$H:$H,0,0)=0,"",XLOOKUP(CONCAT(KB56,KC56),'PROCESOS PRD'!$J:$J,'PROCESOS PRD'!$H:$H,0,0)),"")</f>
        <v/>
      </c>
      <c r="KF56" s="71"/>
      <c r="KG56" s="32"/>
      <c r="KH56" s="72" t="str">
        <f t="array" ref="KH56">IFERROR(IF(XLOOKUP(CONCAT(KF56,KG56),'MASTER PLAN'!$AB:$AB,'MASTER PLAN'!$J:$J,0,0)=0,"",XLOOKUP(CONCAT(KF56,KG56),'MASTER PLAN'!$AB:$AB,'MASTER PLAN'!$J:$J,0,0)),"")</f>
        <v/>
      </c>
      <c r="KI56" s="73" t="str">
        <f t="array" ref="KI56">IFERROR(IF(XLOOKUP(CONCAT(KF56,KG56),'PROCESOS PRD'!$J:$J,'PROCESOS PRD'!$H:$H,0,0)=0,"",XLOOKUP(CONCAT(KF56,KG56),'PROCESOS PRD'!$J:$J,'PROCESOS PRD'!$H:$H,0,0)),"")</f>
        <v/>
      </c>
      <c r="KJ56" s="70"/>
      <c r="KK56" s="70"/>
      <c r="KL56" s="70"/>
      <c r="KM56" s="70"/>
      <c r="KN56" s="70"/>
      <c r="KO56" s="70"/>
      <c r="KP56" s="70"/>
      <c r="KQ56" s="70"/>
      <c r="KR56" s="70"/>
      <c r="KS56" s="70"/>
      <c r="KT56" s="70"/>
      <c r="KU56" s="70"/>
      <c r="KV56" s="70"/>
      <c r="KW56" s="70"/>
      <c r="KX56" s="70"/>
      <c r="KY56" s="70"/>
      <c r="KZ56" s="70"/>
      <c r="LA56" s="70"/>
      <c r="LB56" s="70"/>
      <c r="LC56" s="70"/>
    </row>
    <row r="57" ht="15.75" customHeight="1">
      <c r="A57" s="42"/>
      <c r="B57" s="74"/>
      <c r="C57" s="69"/>
      <c r="D57" s="70"/>
      <c r="E57" s="71"/>
      <c r="F57" s="32"/>
      <c r="G57" s="72" t="str">
        <f t="array" ref="G57">IFERROR(IF(XLOOKUP(CONCAT(E57,F57),'MASTER PLAN'!$AB:$AB,'MASTER PLAN'!$J:$J,0,0)=0,"",XLOOKUP(CONCAT(E57,F57),'MASTER PLAN'!$AB:$AB,'MASTER PLAN'!$J:$J,0,0)),"")</f>
        <v/>
      </c>
      <c r="H57" s="73" t="str">
        <f t="array" ref="H57">IFERROR(IF(XLOOKUP(CONCAT(E57,F57),'PROCESOS PRD'!$J:$J,'PROCESOS PRD'!$H:$H,0,0)=0,"",XLOOKUP(CONCAT(E57,F57),'PROCESOS PRD'!$J:$J,'PROCESOS PRD'!$H:$H,0,0)),"")</f>
        <v/>
      </c>
      <c r="I57" s="71"/>
      <c r="J57" s="32"/>
      <c r="K57" s="72" t="str">
        <f t="array" ref="K57">IFERROR(IF(XLOOKUP(CONCAT(I57,J57),'MASTER PLAN'!$AB:$AB,'MASTER PLAN'!$J:$J,0,0)=0,"",XLOOKUP(CONCAT(I57,J57),'MASTER PLAN'!$AB:$AB,'MASTER PLAN'!$J:$J,0,0)),"")</f>
        <v/>
      </c>
      <c r="L57" s="73" t="str">
        <f t="array" ref="L57">IFERROR(IF(XLOOKUP(CONCAT(I57,J57),'PROCESOS PRD'!$J:$J,'PROCESOS PRD'!$H:$H,0,0)=0,"",XLOOKUP(CONCAT(I57,J57),'PROCESOS PRD'!$J:$J,'PROCESOS PRD'!$H:$H,0,0)),"")</f>
        <v/>
      </c>
      <c r="M57" s="71"/>
      <c r="N57" s="32"/>
      <c r="O57" s="72" t="str">
        <f t="array" ref="O57">IFERROR(IF(XLOOKUP(CONCAT(M57,N57),'MASTER PLAN'!$AB:$AB,'MASTER PLAN'!$J:$J,0,0)=0,"",XLOOKUP(CONCAT(M57,N57),'MASTER PLAN'!$AB:$AB,'MASTER PLAN'!$J:$J,0,0)),"")</f>
        <v/>
      </c>
      <c r="P57" s="73" t="str">
        <f t="array" ref="P57">IFERROR(IF(XLOOKUP(CONCAT(M57,N57),'PROCESOS PRD'!$J:$J,'PROCESOS PRD'!$H:$H,0,0)=0,"",XLOOKUP(CONCAT(M57,N57),'PROCESOS PRD'!$J:$J,'PROCESOS PRD'!$H:$H,0,0)),"")</f>
        <v/>
      </c>
      <c r="Q57" s="71"/>
      <c r="R57" s="32"/>
      <c r="S57" s="72" t="str">
        <f t="array" ref="S57">IFERROR(IF(XLOOKUP(CONCAT(Q57,R57),'MASTER PLAN'!$AB:$AB,'MASTER PLAN'!$J:$J,0,0)=0,"",XLOOKUP(CONCAT(Q57,R57),'MASTER PLAN'!$AB:$AB,'MASTER PLAN'!$J:$J,0,0)),"")</f>
        <v/>
      </c>
      <c r="T57" s="73" t="str">
        <f t="array" ref="T57">IFERROR(IF(XLOOKUP(CONCAT(Q57,R57),'PROCESOS PRD'!$J:$J,'PROCESOS PRD'!$H:$H,0,0)=0,"",XLOOKUP(CONCAT(Q57,R57),'PROCESOS PRD'!$J:$J,'PROCESOS PRD'!$H:$H,0,0)),"")</f>
        <v/>
      </c>
      <c r="U57" s="70"/>
      <c r="V57" s="71"/>
      <c r="W57" s="32"/>
      <c r="X57" s="72" t="str">
        <f t="array" ref="X57">IFERROR(IF(XLOOKUP(CONCAT(V57,W57),'MASTER PLAN'!$AB:$AB,'MASTER PLAN'!$J:$J,0,0)=0,"",XLOOKUP(CONCAT(V57,W57),'MASTER PLAN'!$AB:$AB,'MASTER PLAN'!$J:$J,0,0)),"")</f>
        <v/>
      </c>
      <c r="Y57" s="73" t="str">
        <f t="array" ref="Y57">IFERROR(IF(XLOOKUP(CONCAT(V57,W57),'PROCESOS PRD'!$J:$J,'PROCESOS PRD'!$H:$H,0,0)=0,"",XLOOKUP(CONCAT(V57,W57),'PROCESOS PRD'!$J:$J,'PROCESOS PRD'!$H:$H,0,0)),"")</f>
        <v/>
      </c>
      <c r="Z57" s="71"/>
      <c r="AA57" s="32"/>
      <c r="AB57" s="72" t="str">
        <f t="array" ref="AB57">IFERROR(IF(XLOOKUP(CONCAT(Z57,AA57),'MASTER PLAN'!$AB:$AB,'MASTER PLAN'!$J:$J,0,0)=0,"",XLOOKUP(CONCAT(Z57,AA57),'MASTER PLAN'!$AB:$AB,'MASTER PLAN'!$J:$J,0,0)),"")</f>
        <v/>
      </c>
      <c r="AC57" s="73" t="str">
        <f t="array" ref="AC57">IFERROR(IF(XLOOKUP(CONCAT(Z57,AA57),'PROCESOS PRD'!$J:$J,'PROCESOS PRD'!$H:$H,0,0)=0,"",XLOOKUP(CONCAT(Z57,AA57),'PROCESOS PRD'!$J:$J,'PROCESOS PRD'!$H:$H,0,0)),"")</f>
        <v/>
      </c>
      <c r="AD57" s="71"/>
      <c r="AE57" s="32"/>
      <c r="AF57" s="72" t="str">
        <f t="array" ref="AF57">IFERROR(IF(XLOOKUP(CONCAT(AD57,AE57),'MASTER PLAN'!$AB:$AB,'MASTER PLAN'!$J:$J,0,0)=0,"",XLOOKUP(CONCAT(AD57,AE57),'MASTER PLAN'!$AB:$AB,'MASTER PLAN'!$J:$J,0,0)),"")</f>
        <v/>
      </c>
      <c r="AG57" s="73" t="str">
        <f t="array" ref="AG57">IFERROR(IF(XLOOKUP(CONCAT(AD57,AE57),'PROCESOS PRD'!$J:$J,'PROCESOS PRD'!$H:$H,0,0)=0,"",XLOOKUP(CONCAT(AD57,AE57),'PROCESOS PRD'!$J:$J,'PROCESOS PRD'!$H:$H,0,0)),"")</f>
        <v/>
      </c>
      <c r="AH57" s="71"/>
      <c r="AI57" s="32"/>
      <c r="AJ57" s="72" t="str">
        <f t="array" ref="AJ57">IFERROR(IF(XLOOKUP(CONCAT(AH57,AI57),'MASTER PLAN'!$AB:$AB,'MASTER PLAN'!$J:$J,0,0)=0,"",XLOOKUP(CONCAT(AH57,AI57),'MASTER PLAN'!$AB:$AB,'MASTER PLAN'!$J:$J,0,0)),"")</f>
        <v/>
      </c>
      <c r="AK57" s="73" t="str">
        <f t="array" ref="AK57">IFERROR(IF(XLOOKUP(CONCAT(AH57,AI57),'PROCESOS PRD'!$J:$J,'PROCESOS PRD'!$H:$H,0,0)=0,"",XLOOKUP(CONCAT(AH57,AI57),'PROCESOS PRD'!$J:$J,'PROCESOS PRD'!$H:$H,0,0)),"")</f>
        <v/>
      </c>
      <c r="AL57" s="71"/>
      <c r="AM57" s="32"/>
      <c r="AN57" s="72" t="str">
        <f t="array" ref="AN57">IFERROR(IF(XLOOKUP(CONCAT(AL57,AM57),'MASTER PLAN'!$AB:$AB,'MASTER PLAN'!$J:$J,0,0)=0,"",XLOOKUP(CONCAT(AL57,AM57),'MASTER PLAN'!$AB:$AB,'MASTER PLAN'!$J:$J,0,0)),"")</f>
        <v/>
      </c>
      <c r="AO57" s="73" t="str">
        <f t="array" ref="AO57">IFERROR(IF(XLOOKUP(CONCAT(AL57,AM57),'PROCESOS PRD'!$J:$J,'PROCESOS PRD'!$H:$H,0,0)=0,"",XLOOKUP(CONCAT(AL57,AM57),'PROCESOS PRD'!$J:$J,'PROCESOS PRD'!$H:$H,0,0)),"")</f>
        <v/>
      </c>
      <c r="AP57" s="71"/>
      <c r="AQ57" s="32"/>
      <c r="AR57" s="72" t="str">
        <f t="array" ref="AR57">IFERROR(IF(XLOOKUP(CONCAT(AP57,AQ57),'MASTER PLAN'!$AB:$AB,'MASTER PLAN'!$J:$J,0,0)=0,"",XLOOKUP(CONCAT(AP57,AQ57),'MASTER PLAN'!$AB:$AB,'MASTER PLAN'!$J:$J,0,0)),"")</f>
        <v/>
      </c>
      <c r="AS57" s="73" t="str">
        <f t="array" ref="AS57">IFERROR(IF(XLOOKUP(CONCAT(AP57,AQ57),'PROCESOS PRD'!$J:$J,'PROCESOS PRD'!$H:$H,0,0)=0,"",XLOOKUP(CONCAT(AP57,AQ57),'PROCESOS PRD'!$J:$J,'PROCESOS PRD'!$H:$H,0,0)),"")</f>
        <v/>
      </c>
      <c r="AT57" s="70"/>
      <c r="AU57" s="71"/>
      <c r="AV57" s="32"/>
      <c r="AW57" s="72" t="str">
        <f t="array" ref="AW57">IFERROR(IF(XLOOKUP(CONCAT(AU57,AV57),'MASTER PLAN'!$AB:$AB,'MASTER PLAN'!$J:$J,0,0)=0,"",XLOOKUP(CONCAT(AU57,AV57),'MASTER PLAN'!$AB:$AB,'MASTER PLAN'!$J:$J,0,0)),"")</f>
        <v/>
      </c>
      <c r="AX57" s="73" t="str">
        <f t="array" ref="AX57">IFERROR(IF(XLOOKUP(CONCAT(AU57,AV57),'PROCESOS PRD'!$J:$J,'PROCESOS PRD'!$H:$H,0,0)=0,"",XLOOKUP(CONCAT(AU57,AV57),'PROCESOS PRD'!$J:$J,'PROCESOS PRD'!$H:$H,0,0)),"")</f>
        <v/>
      </c>
      <c r="AY57" s="71"/>
      <c r="AZ57" s="32"/>
      <c r="BA57" s="72" t="str">
        <f t="array" ref="BA57">IFERROR(IF(XLOOKUP(CONCAT(AY57,AZ57),'MASTER PLAN'!$AB:$AB,'MASTER PLAN'!$J:$J,0,0)=0,"",XLOOKUP(CONCAT(AY57,AZ57),'MASTER PLAN'!$AB:$AB,'MASTER PLAN'!$J:$J,0,0)),"")</f>
        <v/>
      </c>
      <c r="BB57" s="73" t="str">
        <f t="array" ref="BB57">IFERROR(IF(XLOOKUP(CONCAT(AY57,AZ57),'PROCESOS PRD'!$J:$J,'PROCESOS PRD'!$H:$H,0,0)=0,"",XLOOKUP(CONCAT(AY57,AZ57),'PROCESOS PRD'!$J:$J,'PROCESOS PRD'!$H:$H,0,0)),"")</f>
        <v/>
      </c>
      <c r="BC57" s="71"/>
      <c r="BD57" s="32"/>
      <c r="BE57" s="72" t="str">
        <f t="array" ref="BE57">IFERROR(IF(XLOOKUP(CONCAT(BC57,BD57),'MASTER PLAN'!$AB:$AB,'MASTER PLAN'!$J:$J,0,0)=0,"",XLOOKUP(CONCAT(BC57,BD57),'MASTER PLAN'!$AB:$AB,'MASTER PLAN'!$J:$J,0,0)),"")</f>
        <v/>
      </c>
      <c r="BF57" s="73" t="str">
        <f t="array" ref="BF57">IFERROR(IF(XLOOKUP(CONCAT(BC57,BD57),'PROCESOS PRD'!$J:$J,'PROCESOS PRD'!$H:$H,0,0)=0,"",XLOOKUP(CONCAT(BC57,BD57),'PROCESOS PRD'!$J:$J,'PROCESOS PRD'!$H:$H,0,0)),"")</f>
        <v/>
      </c>
      <c r="BG57" s="71"/>
      <c r="BH57" s="32"/>
      <c r="BI57" s="72" t="str">
        <f t="array" ref="BI57">IFERROR(IF(XLOOKUP(CONCAT(BG57,BH57),'MASTER PLAN'!$AB:$AB,'MASTER PLAN'!$J:$J,0,0)=0,"",XLOOKUP(CONCAT(BG57,BH57),'MASTER PLAN'!$AB:$AB,'MASTER PLAN'!$J:$J,0,0)),"")</f>
        <v/>
      </c>
      <c r="BJ57" s="73" t="str">
        <f t="array" ref="BJ57">IFERROR(IF(XLOOKUP(CONCAT(BG57,BH57),'PROCESOS PRD'!$J:$J,'PROCESOS PRD'!$H:$H,0,0)=0,"",XLOOKUP(CONCAT(BG57,BH57),'PROCESOS PRD'!$J:$J,'PROCESOS PRD'!$H:$H,0,0)),"")</f>
        <v/>
      </c>
      <c r="BK57" s="71"/>
      <c r="BL57" s="32"/>
      <c r="BM57" s="72" t="str">
        <f t="array" ref="BM57">IFERROR(IF(XLOOKUP(CONCAT(BK57,BL57),'MASTER PLAN'!$AB:$AB,'MASTER PLAN'!$J:$J,0,0)=0,"",XLOOKUP(CONCAT(BK57,BL57),'MASTER PLAN'!$AB:$AB,'MASTER PLAN'!$J:$J,0,0)),"")</f>
        <v/>
      </c>
      <c r="BN57" s="73" t="str">
        <f t="array" ref="BN57">IFERROR(IF(XLOOKUP(CONCAT(BK57,BL57),'PROCESOS PRD'!$J:$J,'PROCESOS PRD'!$H:$H,0,0)=0,"",XLOOKUP(CONCAT(BK57,BL57),'PROCESOS PRD'!$J:$J,'PROCESOS PRD'!$H:$H,0,0)),"")</f>
        <v/>
      </c>
      <c r="BO57" s="71"/>
      <c r="BP57" s="32"/>
      <c r="BQ57" s="72" t="str">
        <f t="array" ref="BQ57">IFERROR(IF(XLOOKUP(CONCAT(BO57,BP57),'MASTER PLAN'!$AB:$AB,'MASTER PLAN'!$J:$J,0,0)=0,"",XLOOKUP(CONCAT(BO57,BP57),'MASTER PLAN'!$AB:$AB,'MASTER PLAN'!$J:$J,0,0)),"")</f>
        <v/>
      </c>
      <c r="BR57" s="73" t="str">
        <f t="array" ref="BR57">IFERROR(IF(XLOOKUP(CONCAT(BO57,BP57),'PROCESOS PRD'!$J:$J,'PROCESOS PRD'!$H:$H,0,0)=0,"",XLOOKUP(CONCAT(BO57,BP57),'PROCESOS PRD'!$J:$J,'PROCESOS PRD'!$H:$H,0,0)),"")</f>
        <v/>
      </c>
      <c r="BS57" s="70"/>
      <c r="BT57" s="71"/>
      <c r="BU57" s="32"/>
      <c r="BV57" s="72" t="str">
        <f t="array" ref="BV57">IFERROR(IF(XLOOKUP(CONCAT(BT57,BU57),'MASTER PLAN'!$AB:$AB,'MASTER PLAN'!$J:$J,0,0)=0,"",XLOOKUP(CONCAT(BT57,BU57),'MASTER PLAN'!$AB:$AB,'MASTER PLAN'!$J:$J,0,0)),"")</f>
        <v/>
      </c>
      <c r="BW57" s="73" t="str">
        <f t="array" ref="BW57">IFERROR(IF(XLOOKUP(CONCAT(BT57,BU57),'PROCESOS PRD'!$J:$J,'PROCESOS PRD'!$H:$H,0,0)=0,"",XLOOKUP(CONCAT(BT57,BU57),'PROCESOS PRD'!$J:$J,'PROCESOS PRD'!$H:$H,0,0)),"")</f>
        <v/>
      </c>
      <c r="BX57" s="71"/>
      <c r="BY57" s="32"/>
      <c r="BZ57" s="72" t="str">
        <f t="array" ref="BZ57">IFERROR(IF(XLOOKUP(CONCAT(BX57,BY57),'MASTER PLAN'!$AB:$AB,'MASTER PLAN'!$J:$J,0,0)=0,"",XLOOKUP(CONCAT(BX57,BY57),'MASTER PLAN'!$AB:$AB,'MASTER PLAN'!$J:$J,0,0)),"")</f>
        <v/>
      </c>
      <c r="CA57" s="73" t="str">
        <f t="array" ref="CA57">IFERROR(IF(XLOOKUP(CONCAT(BX57,BY57),'PROCESOS PRD'!$J:$J,'PROCESOS PRD'!$H:$H,0,0)=0,"",XLOOKUP(CONCAT(BX57,BY57),'PROCESOS PRD'!$J:$J,'PROCESOS PRD'!$H:$H,0,0)),"")</f>
        <v/>
      </c>
      <c r="CB57" s="71"/>
      <c r="CC57" s="32"/>
      <c r="CD57" s="72" t="str">
        <f t="array" ref="CD57">IFERROR(IF(XLOOKUP(CONCAT(CB57,CC57),'MASTER PLAN'!$AB:$AB,'MASTER PLAN'!$J:$J,0,0)=0,"",XLOOKUP(CONCAT(CB57,CC57),'MASTER PLAN'!$AB:$AB,'MASTER PLAN'!$J:$J,0,0)),"")</f>
        <v/>
      </c>
      <c r="CE57" s="73" t="str">
        <f t="array" ref="CE57">IFERROR(IF(XLOOKUP(CONCAT(CB57,CC57),'PROCESOS PRD'!$J:$J,'PROCESOS PRD'!$H:$H,0,0)=0,"",XLOOKUP(CONCAT(CB57,CC57),'PROCESOS PRD'!$J:$J,'PROCESOS PRD'!$H:$H,0,0)),"")</f>
        <v/>
      </c>
      <c r="CF57" s="71"/>
      <c r="CG57" s="32"/>
      <c r="CH57" s="72" t="str">
        <f t="array" ref="CH57">IFERROR(IF(XLOOKUP(CONCAT(CF57,CG57),'MASTER PLAN'!$AB:$AB,'MASTER PLAN'!$J:$J,0,0)=0,"",XLOOKUP(CONCAT(CF57,CG57),'MASTER PLAN'!$AB:$AB,'MASTER PLAN'!$J:$J,0,0)),"")</f>
        <v/>
      </c>
      <c r="CI57" s="73" t="str">
        <f t="array" ref="CI57">IFERROR(IF(XLOOKUP(CONCAT(CF57,CG57),'PROCESOS PRD'!$J:$J,'PROCESOS PRD'!$H:$H,0,0)=0,"",XLOOKUP(CONCAT(CF57,CG57),'PROCESOS PRD'!$J:$J,'PROCESOS PRD'!$H:$H,0,0)),"")</f>
        <v/>
      </c>
      <c r="CJ57" s="71"/>
      <c r="CK57" s="32"/>
      <c r="CL57" s="72" t="str">
        <f t="array" ref="CL57">IFERROR(IF(XLOOKUP(CONCAT(CJ57,CK57),'MASTER PLAN'!$AB:$AB,'MASTER PLAN'!$J:$J,0,0)=0,"",XLOOKUP(CONCAT(CJ57,CK57),'MASTER PLAN'!$AB:$AB,'MASTER PLAN'!$J:$J,0,0)),"")</f>
        <v/>
      </c>
      <c r="CM57" s="73" t="str">
        <f t="array" ref="CM57">IFERROR(IF(XLOOKUP(CONCAT(CJ57,CK57),'PROCESOS PRD'!$J:$J,'PROCESOS PRD'!$H:$H,0,0)=0,"",XLOOKUP(CONCAT(CJ57,CK57),'PROCESOS PRD'!$J:$J,'PROCESOS PRD'!$H:$H,0,0)),"")</f>
        <v/>
      </c>
      <c r="CN57" s="71"/>
      <c r="CO57" s="32"/>
      <c r="CP57" s="72" t="str">
        <f t="array" ref="CP57">IFERROR(IF(XLOOKUP(CONCAT(CN57,CO57),'MASTER PLAN'!$AB:$AB,'MASTER PLAN'!$J:$J,0,0)=0,"",XLOOKUP(CONCAT(CN57,CO57),'MASTER PLAN'!$AB:$AB,'MASTER PLAN'!$J:$J,0,0)),"")</f>
        <v/>
      </c>
      <c r="CQ57" s="73" t="str">
        <f t="array" ref="CQ57">IFERROR(IF(XLOOKUP(CONCAT(CN57,CO57),'PROCESOS PRD'!$J:$J,'PROCESOS PRD'!$H:$H,0,0)=0,"",XLOOKUP(CONCAT(CN57,CO57),'PROCESOS PRD'!$J:$J,'PROCESOS PRD'!$H:$H,0,0)),"")</f>
        <v/>
      </c>
      <c r="CR57" s="70"/>
      <c r="CS57" s="71"/>
      <c r="CT57" s="32"/>
      <c r="CU57" s="72" t="str">
        <f t="array" ref="CU57">IFERROR(IF(XLOOKUP(CONCAT(CS57,CT57),'MASTER PLAN'!$AB:$AB,'MASTER PLAN'!$J:$J,0,0)=0,"",XLOOKUP(CONCAT(CS57,CT57),'MASTER PLAN'!$AB:$AB,'MASTER PLAN'!$J:$J,0,0)),"")</f>
        <v/>
      </c>
      <c r="CV57" s="73" t="str">
        <f t="array" ref="CV57">IFERROR(IF(XLOOKUP(CONCAT(CS57,CT57),'PROCESOS PRD'!$J:$J,'PROCESOS PRD'!$H:$H,0,0)=0,"",XLOOKUP(CONCAT(CS57,CT57),'PROCESOS PRD'!$J:$J,'PROCESOS PRD'!$H:$H,0,0)),"")</f>
        <v/>
      </c>
      <c r="CW57" s="71"/>
      <c r="CX57" s="32"/>
      <c r="CY57" s="72" t="str">
        <f t="array" ref="CY57">IFERROR(IF(XLOOKUP(CONCAT(CW57,CX57),'MASTER PLAN'!$AB:$AB,'MASTER PLAN'!$J:$J,0,0)=0,"",XLOOKUP(CONCAT(CW57,CX57),'MASTER PLAN'!$AB:$AB,'MASTER PLAN'!$J:$J,0,0)),"")</f>
        <v/>
      </c>
      <c r="CZ57" s="73" t="str">
        <f t="array" ref="CZ57">IFERROR(IF(XLOOKUP(CONCAT(CW57,CX57),'PROCESOS PRD'!$J:$J,'PROCESOS PRD'!$H:$H,0,0)=0,"",XLOOKUP(CONCAT(CW57,CX57),'PROCESOS PRD'!$J:$J,'PROCESOS PRD'!$H:$H,0,0)),"")</f>
        <v/>
      </c>
      <c r="DA57" s="71"/>
      <c r="DB57" s="32"/>
      <c r="DC57" s="72" t="str">
        <f t="array" ref="DC57">IFERROR(IF(XLOOKUP(CONCAT(DA57,DB57),'MASTER PLAN'!$AB:$AB,'MASTER PLAN'!$J:$J,0,0)=0,"",XLOOKUP(CONCAT(DA57,DB57),'MASTER PLAN'!$AB:$AB,'MASTER PLAN'!$J:$J,0,0)),"")</f>
        <v/>
      </c>
      <c r="DD57" s="73" t="str">
        <f t="array" ref="DD57">IFERROR(IF(XLOOKUP(CONCAT(DA57,DB57),'PROCESOS PRD'!$J:$J,'PROCESOS PRD'!$H:$H,0,0)=0,"",XLOOKUP(CONCAT(DA57,DB57),'PROCESOS PRD'!$J:$J,'PROCESOS PRD'!$H:$H,0,0)),"")</f>
        <v/>
      </c>
      <c r="DE57" s="71"/>
      <c r="DF57" s="32"/>
      <c r="DG57" s="72" t="str">
        <f t="array" ref="DG57">IFERROR(IF(XLOOKUP(CONCAT(DE57,DF57),'MASTER PLAN'!$AB:$AB,'MASTER PLAN'!$J:$J,0,0)=0,"",XLOOKUP(CONCAT(DE57,DF57),'MASTER PLAN'!$AB:$AB,'MASTER PLAN'!$J:$J,0,0)),"")</f>
        <v/>
      </c>
      <c r="DH57" s="73" t="str">
        <f t="array" ref="DH57">IFERROR(IF(XLOOKUP(CONCAT(DE57,DF57),'PROCESOS PRD'!$J:$J,'PROCESOS PRD'!$H:$H,0,0)=0,"",XLOOKUP(CONCAT(DE57,DF57),'PROCESOS PRD'!$J:$J,'PROCESOS PRD'!$H:$H,0,0)),"")</f>
        <v/>
      </c>
      <c r="DI57" s="71"/>
      <c r="DJ57" s="32"/>
      <c r="DK57" s="72" t="str">
        <f t="array" ref="DK57">IFERROR(IF(XLOOKUP(CONCAT(DI57,DJ57),'MASTER PLAN'!$AB:$AB,'MASTER PLAN'!$J:$J,0,0)=0,"",XLOOKUP(CONCAT(DI57,DJ57),'MASTER PLAN'!$AB:$AB,'MASTER PLAN'!$J:$J,0,0)),"")</f>
        <v/>
      </c>
      <c r="DL57" s="73" t="str">
        <f t="array" ref="DL57">IFERROR(IF(XLOOKUP(CONCAT(DI57,DJ57),'PROCESOS PRD'!$J:$J,'PROCESOS PRD'!$H:$H,0,0)=0,"",XLOOKUP(CONCAT(DI57,DJ57),'PROCESOS PRD'!$J:$J,'PROCESOS PRD'!$H:$H,0,0)),"")</f>
        <v/>
      </c>
      <c r="DM57" s="71"/>
      <c r="DN57" s="32"/>
      <c r="DO57" s="72" t="str">
        <f t="array" ref="DO57">IFERROR(IF(XLOOKUP(CONCAT(DM57,DN57),'MASTER PLAN'!$AB:$AB,'MASTER PLAN'!$J:$J,0,0)=0,"",XLOOKUP(CONCAT(DM57,DN57),'MASTER PLAN'!$AB:$AB,'MASTER PLAN'!$J:$J,0,0)),"")</f>
        <v/>
      </c>
      <c r="DP57" s="73" t="str">
        <f t="array" ref="DP57">IFERROR(IF(XLOOKUP(CONCAT(DM57,DN57),'PROCESOS PRD'!$J:$J,'PROCESOS PRD'!$H:$H,0,0)=0,"",XLOOKUP(CONCAT(DM57,DN57),'PROCESOS PRD'!$J:$J,'PROCESOS PRD'!$H:$H,0,0)),"")</f>
        <v/>
      </c>
      <c r="DQ57" s="70"/>
      <c r="DR57" s="71"/>
      <c r="DS57" s="32"/>
      <c r="DT57" s="72" t="str">
        <f t="array" ref="DT57">IFERROR(IF(XLOOKUP(CONCAT(DR57,DS57),'MASTER PLAN'!$AB:$AB,'MASTER PLAN'!$J:$J,0,0)=0,"",XLOOKUP(CONCAT(DR57,DS57),'MASTER PLAN'!$AB:$AB,'MASTER PLAN'!$J:$J,0,0)),"")</f>
        <v/>
      </c>
      <c r="DU57" s="73" t="str">
        <f t="array" ref="DU57">IFERROR(IF(XLOOKUP(CONCAT(DR57,DS57),'PROCESOS PRD'!$J:$J,'PROCESOS PRD'!$H:$H,0,0)=0,"",XLOOKUP(CONCAT(DR57,DS57),'PROCESOS PRD'!$J:$J,'PROCESOS PRD'!$H:$H,0,0)),"")</f>
        <v/>
      </c>
      <c r="DV57" s="71"/>
      <c r="DW57" s="32"/>
      <c r="DX57" s="72" t="str">
        <f t="array" ref="DX57">IFERROR(IF(XLOOKUP(CONCAT(DV57,DW57),'MASTER PLAN'!$AB:$AB,'MASTER PLAN'!$J:$J,0,0)=0,"",XLOOKUP(CONCAT(DV57,DW57),'MASTER PLAN'!$AB:$AB,'MASTER PLAN'!$J:$J,0,0)),"")</f>
        <v/>
      </c>
      <c r="DY57" s="73" t="str">
        <f t="array" ref="DY57">IFERROR(IF(XLOOKUP(CONCAT(DV57,DW57),'PROCESOS PRD'!$J:$J,'PROCESOS PRD'!$H:$H,0,0)=0,"",XLOOKUP(CONCAT(DV57,DW57),'PROCESOS PRD'!$J:$J,'PROCESOS PRD'!$H:$H,0,0)),"")</f>
        <v/>
      </c>
      <c r="DZ57" s="71"/>
      <c r="EA57" s="32"/>
      <c r="EB57" s="72" t="str">
        <f t="array" ref="EB57">IFERROR(IF(XLOOKUP(CONCAT(DZ57,EA57),'MASTER PLAN'!$AB:$AB,'MASTER PLAN'!$J:$J,0,0)=0,"",XLOOKUP(CONCAT(DZ57,EA57),'MASTER PLAN'!$AB:$AB,'MASTER PLAN'!$J:$J,0,0)),"")</f>
        <v/>
      </c>
      <c r="EC57" s="73" t="str">
        <f t="array" ref="EC57">IFERROR(IF(XLOOKUP(CONCAT(DZ57,EA57),'PROCESOS PRD'!$J:$J,'PROCESOS PRD'!$H:$H,0,0)=0,"",XLOOKUP(CONCAT(DZ57,EA57),'PROCESOS PRD'!$J:$J,'PROCESOS PRD'!$H:$H,0,0)),"")</f>
        <v/>
      </c>
      <c r="ED57" s="71"/>
      <c r="EE57" s="32"/>
      <c r="EF57" s="72" t="str">
        <f t="array" ref="EF57">IFERROR(IF(XLOOKUP(CONCAT(ED57,EE57),'MASTER PLAN'!$AB:$AB,'MASTER PLAN'!$J:$J,0,0)=0,"",XLOOKUP(CONCAT(ED57,EE57),'MASTER PLAN'!$AB:$AB,'MASTER PLAN'!$J:$J,0,0)),"")</f>
        <v/>
      </c>
      <c r="EG57" s="73" t="str">
        <f t="array" ref="EG57">IFERROR(IF(XLOOKUP(CONCAT(ED57,EE57),'PROCESOS PRD'!$J:$J,'PROCESOS PRD'!$H:$H,0,0)=0,"",XLOOKUP(CONCAT(ED57,EE57),'PROCESOS PRD'!$J:$J,'PROCESOS PRD'!$H:$H,0,0)),"")</f>
        <v/>
      </c>
      <c r="EH57" s="71"/>
      <c r="EI57" s="32"/>
      <c r="EJ57" s="72" t="str">
        <f t="array" ref="EJ57">IFERROR(IF(XLOOKUP(CONCAT(EH57,EI57),'MASTER PLAN'!$AB:$AB,'MASTER PLAN'!$J:$J,0,0)=0,"",XLOOKUP(CONCAT(EH57,EI57),'MASTER PLAN'!$AB:$AB,'MASTER PLAN'!$J:$J,0,0)),"")</f>
        <v/>
      </c>
      <c r="EK57" s="73" t="str">
        <f t="array" ref="EK57">IFERROR(IF(XLOOKUP(CONCAT(EH57,EI57),'PROCESOS PRD'!$J:$J,'PROCESOS PRD'!$H:$H,0,0)=0,"",XLOOKUP(CONCAT(EH57,EI57),'PROCESOS PRD'!$J:$J,'PROCESOS PRD'!$H:$H,0,0)),"")</f>
        <v/>
      </c>
      <c r="EL57" s="71"/>
      <c r="EM57" s="32"/>
      <c r="EN57" s="72" t="str">
        <f t="array" ref="EN57">IFERROR(IF(XLOOKUP(CONCAT(EL57,EM57),'MASTER PLAN'!$AB:$AB,'MASTER PLAN'!$J:$J,0,0)=0,"",XLOOKUP(CONCAT(EL57,EM57),'MASTER PLAN'!$AB:$AB,'MASTER PLAN'!$J:$J,0,0)),"")</f>
        <v/>
      </c>
      <c r="EO57" s="73" t="str">
        <f t="array" ref="EO57">IFERROR(IF(XLOOKUP(CONCAT(EL57,EM57),'PROCESOS PRD'!$J:$J,'PROCESOS PRD'!$H:$H,0,0)=0,"",XLOOKUP(CONCAT(EL57,EM57),'PROCESOS PRD'!$J:$J,'PROCESOS PRD'!$H:$H,0,0)),"")</f>
        <v/>
      </c>
      <c r="EP57" s="70"/>
      <c r="EQ57" s="71"/>
      <c r="ER57" s="32"/>
      <c r="ES57" s="72" t="str">
        <f t="array" ref="ES57">IFERROR(IF(XLOOKUP(CONCAT(EQ57,ER57),'MASTER PLAN'!$AB:$AB,'MASTER PLAN'!$J:$J,0,0)=0,"",XLOOKUP(CONCAT(EQ57,ER57),'MASTER PLAN'!$AB:$AB,'MASTER PLAN'!$J:$J,0,0)),"")</f>
        <v/>
      </c>
      <c r="ET57" s="73" t="str">
        <f t="array" ref="ET57">IFERROR(IF(XLOOKUP(CONCAT(EQ57,ER57),'PROCESOS PRD'!$J:$J,'PROCESOS PRD'!$H:$H,0,0)=0,"",XLOOKUP(CONCAT(EQ57,ER57),'PROCESOS PRD'!$J:$J,'PROCESOS PRD'!$H:$H,0,0)),"")</f>
        <v/>
      </c>
      <c r="EU57" s="71"/>
      <c r="EV57" s="32"/>
      <c r="EW57" s="72" t="str">
        <f t="array" ref="EW57">IFERROR(IF(XLOOKUP(CONCAT(EU57,EV57),'MASTER PLAN'!$AB:$AB,'MASTER PLAN'!$J:$J,0,0)=0,"",XLOOKUP(CONCAT(EU57,EV57),'MASTER PLAN'!$AB:$AB,'MASTER PLAN'!$J:$J,0,0)),"")</f>
        <v/>
      </c>
      <c r="EX57" s="73" t="str">
        <f t="array" ref="EX57">IFERROR(IF(XLOOKUP(CONCAT(EU57,EV57),'PROCESOS PRD'!$J:$J,'PROCESOS PRD'!$H:$H,0,0)=0,"",XLOOKUP(CONCAT(EU57,EV57),'PROCESOS PRD'!$J:$J,'PROCESOS PRD'!$H:$H,0,0)),"")</f>
        <v/>
      </c>
      <c r="EY57" s="71"/>
      <c r="EZ57" s="32"/>
      <c r="FA57" s="72" t="str">
        <f t="array" ref="FA57">IFERROR(IF(XLOOKUP(CONCAT(EY57,EZ57),'MASTER PLAN'!$AB:$AB,'MASTER PLAN'!$J:$J,0,0)=0,"",XLOOKUP(CONCAT(EY57,EZ57),'MASTER PLAN'!$AB:$AB,'MASTER PLAN'!$J:$J,0,0)),"")</f>
        <v/>
      </c>
      <c r="FB57" s="73" t="str">
        <f t="array" ref="FB57">IFERROR(IF(XLOOKUP(CONCAT(EY57,EZ57),'PROCESOS PRD'!$J:$J,'PROCESOS PRD'!$H:$H,0,0)=0,"",XLOOKUP(CONCAT(EY57,EZ57),'PROCESOS PRD'!$J:$J,'PROCESOS PRD'!$H:$H,0,0)),"")</f>
        <v/>
      </c>
      <c r="FC57" s="71"/>
      <c r="FD57" s="32"/>
      <c r="FE57" s="72" t="str">
        <f t="array" ref="FE57">IFERROR(IF(XLOOKUP(CONCAT(FC57,FD57),'MASTER PLAN'!$AB:$AB,'MASTER PLAN'!$J:$J,0,0)=0,"",XLOOKUP(CONCAT(FC57,FD57),'MASTER PLAN'!$AB:$AB,'MASTER PLAN'!$J:$J,0,0)),"")</f>
        <v/>
      </c>
      <c r="FF57" s="73" t="str">
        <f t="array" ref="FF57">IFERROR(IF(XLOOKUP(CONCAT(FC57,FD57),'PROCESOS PRD'!$J:$J,'PROCESOS PRD'!$H:$H,0,0)=0,"",XLOOKUP(CONCAT(FC57,FD57),'PROCESOS PRD'!$J:$J,'PROCESOS PRD'!$H:$H,0,0)),"")</f>
        <v/>
      </c>
      <c r="FG57" s="71"/>
      <c r="FH57" s="32"/>
      <c r="FI57" s="72" t="str">
        <f t="array" ref="FI57">IFERROR(IF(XLOOKUP(CONCAT(FG57,FH57),'MASTER PLAN'!$AB:$AB,'MASTER PLAN'!$J:$J,0,0)=0,"",XLOOKUP(CONCAT(FG57,FH57),'MASTER PLAN'!$AB:$AB,'MASTER PLAN'!$J:$J,0,0)),"")</f>
        <v/>
      </c>
      <c r="FJ57" s="73" t="str">
        <f t="array" ref="FJ57">IFERROR(IF(XLOOKUP(CONCAT(FG57,FH57),'PROCESOS PRD'!$J:$J,'PROCESOS PRD'!$H:$H,0,0)=0,"",XLOOKUP(CONCAT(FG57,FH57),'PROCESOS PRD'!$J:$J,'PROCESOS PRD'!$H:$H,0,0)),"")</f>
        <v/>
      </c>
      <c r="FK57" s="71"/>
      <c r="FL57" s="32"/>
      <c r="FM57" s="72" t="str">
        <f t="array" ref="FM57">IFERROR(IF(XLOOKUP(CONCAT(FK57,FL57),'MASTER PLAN'!$AB:$AB,'MASTER PLAN'!$J:$J,0,0)=0,"",XLOOKUP(CONCAT(FK57,FL57),'MASTER PLAN'!$AB:$AB,'MASTER PLAN'!$J:$J,0,0)),"")</f>
        <v/>
      </c>
      <c r="FN57" s="73" t="str">
        <f t="array" ref="FN57">IFERROR(IF(XLOOKUP(CONCAT(FK57,FL57),'PROCESOS PRD'!$J:$J,'PROCESOS PRD'!$H:$H,0,0)=0,"",XLOOKUP(CONCAT(FK57,FL57),'PROCESOS PRD'!$J:$J,'PROCESOS PRD'!$H:$H,0,0)),"")</f>
        <v/>
      </c>
      <c r="FO57" s="70"/>
      <c r="FP57" s="71"/>
      <c r="FQ57" s="32"/>
      <c r="FR57" s="72" t="str">
        <f t="array" ref="FR57">IFERROR(IF(XLOOKUP(CONCAT(FP57,FQ57),'MASTER PLAN'!$AB:$AB,'MASTER PLAN'!$J:$J,0,0)=0,"",XLOOKUP(CONCAT(FP57,FQ57),'MASTER PLAN'!$AB:$AB,'MASTER PLAN'!$J:$J,0,0)),"")</f>
        <v/>
      </c>
      <c r="FS57" s="73" t="str">
        <f t="array" ref="FS57">IFERROR(IF(XLOOKUP(CONCAT(FP57,FQ57),'PROCESOS PRD'!$J:$J,'PROCESOS PRD'!$H:$H,0,0)=0,"",XLOOKUP(CONCAT(FP57,FQ57),'PROCESOS PRD'!$J:$J,'PROCESOS PRD'!$H:$H,0,0)),"")</f>
        <v/>
      </c>
      <c r="FT57" s="71"/>
      <c r="FU57" s="32"/>
      <c r="FV57" s="72" t="str">
        <f t="array" ref="FV57">IFERROR(IF(XLOOKUP(CONCAT(FT57,FU57),'MASTER PLAN'!$AB:$AB,'MASTER PLAN'!$J:$J,0,0)=0,"",XLOOKUP(CONCAT(FT57,FU57),'MASTER PLAN'!$AB:$AB,'MASTER PLAN'!$J:$J,0,0)),"")</f>
        <v/>
      </c>
      <c r="FW57" s="73" t="str">
        <f t="array" ref="FW57">IFERROR(IF(XLOOKUP(CONCAT(FT57,FU57),'PROCESOS PRD'!$J:$J,'PROCESOS PRD'!$H:$H,0,0)=0,"",XLOOKUP(CONCAT(FT57,FU57),'PROCESOS PRD'!$J:$J,'PROCESOS PRD'!$H:$H,0,0)),"")</f>
        <v/>
      </c>
      <c r="FX57" s="71"/>
      <c r="FY57" s="32"/>
      <c r="FZ57" s="72" t="str">
        <f t="array" ref="FZ57">IFERROR(IF(XLOOKUP(CONCAT(FX57,FY57),'MASTER PLAN'!$AB:$AB,'MASTER PLAN'!$J:$J,0,0)=0,"",XLOOKUP(CONCAT(FX57,FY57),'MASTER PLAN'!$AB:$AB,'MASTER PLAN'!$J:$J,0,0)),"")</f>
        <v/>
      </c>
      <c r="GA57" s="73" t="str">
        <f t="array" ref="GA57">IFERROR(IF(XLOOKUP(CONCAT(FX57,FY57),'PROCESOS PRD'!$J:$J,'PROCESOS PRD'!$H:$H,0,0)=0,"",XLOOKUP(CONCAT(FX57,FY57),'PROCESOS PRD'!$J:$J,'PROCESOS PRD'!$H:$H,0,0)),"")</f>
        <v/>
      </c>
      <c r="GB57" s="71"/>
      <c r="GC57" s="32"/>
      <c r="GD57" s="72" t="str">
        <f t="array" ref="GD57">IFERROR(IF(XLOOKUP(CONCAT(GB57,GC57),'MASTER PLAN'!$AB:$AB,'MASTER PLAN'!$J:$J,0,0)=0,"",XLOOKUP(CONCAT(GB57,GC57),'MASTER PLAN'!$AB:$AB,'MASTER PLAN'!$J:$J,0,0)),"")</f>
        <v/>
      </c>
      <c r="GE57" s="73" t="str">
        <f t="array" ref="GE57">IFERROR(IF(XLOOKUP(CONCAT(GB57,GC57),'PROCESOS PRD'!$J:$J,'PROCESOS PRD'!$H:$H,0,0)=0,"",XLOOKUP(CONCAT(GB57,GC57),'PROCESOS PRD'!$J:$J,'PROCESOS PRD'!$H:$H,0,0)),"")</f>
        <v/>
      </c>
      <c r="GF57" s="71"/>
      <c r="GG57" s="32"/>
      <c r="GH57" s="72" t="str">
        <f t="array" ref="GH57">IFERROR(IF(XLOOKUP(CONCAT(GF57,GG57),'MASTER PLAN'!$AB:$AB,'MASTER PLAN'!$J:$J,0,0)=0,"",XLOOKUP(CONCAT(GF57,GG57),'MASTER PLAN'!$AB:$AB,'MASTER PLAN'!$J:$J,0,0)),"")</f>
        <v/>
      </c>
      <c r="GI57" s="73" t="str">
        <f t="array" ref="GI57">IFERROR(IF(XLOOKUP(CONCAT(GF57,GG57),'PROCESOS PRD'!$J:$J,'PROCESOS PRD'!$H:$H,0,0)=0,"",XLOOKUP(CONCAT(GF57,GG57),'PROCESOS PRD'!$J:$J,'PROCESOS PRD'!$H:$H,0,0)),"")</f>
        <v/>
      </c>
      <c r="GJ57" s="71"/>
      <c r="GK57" s="32"/>
      <c r="GL57" s="72" t="str">
        <f t="array" ref="GL57">IFERROR(IF(XLOOKUP(CONCAT(GJ57,GK57),'MASTER PLAN'!$AB:$AB,'MASTER PLAN'!$J:$J,0,0)=0,"",XLOOKUP(CONCAT(GJ57,GK57),'MASTER PLAN'!$AB:$AB,'MASTER PLAN'!$J:$J,0,0)),"")</f>
        <v/>
      </c>
      <c r="GM57" s="73" t="str">
        <f t="array" ref="GM57">IFERROR(IF(XLOOKUP(CONCAT(GJ57,GK57),'PROCESOS PRD'!$J:$J,'PROCESOS PRD'!$H:$H,0,0)=0,"",XLOOKUP(CONCAT(GJ57,GK57),'PROCESOS PRD'!$J:$J,'PROCESOS PRD'!$H:$H,0,0)),"")</f>
        <v/>
      </c>
      <c r="GN57" s="70"/>
      <c r="GO57" s="71"/>
      <c r="GP57" s="32"/>
      <c r="GQ57" s="72" t="str">
        <f t="array" ref="GQ57">IFERROR(IF(XLOOKUP(CONCAT(GO57,GP57),'MASTER PLAN'!$AB:$AB,'MASTER PLAN'!$J:$J,0,0)=0,"",XLOOKUP(CONCAT(GO57,GP57),'MASTER PLAN'!$AB:$AB,'MASTER PLAN'!$J:$J,0,0)),"")</f>
        <v/>
      </c>
      <c r="GR57" s="73" t="str">
        <f t="array" ref="GR57">IFERROR(IF(XLOOKUP(CONCAT(GO57,GP57),'PROCESOS PRD'!$J:$J,'PROCESOS PRD'!$H:$H,0,0)=0,"",XLOOKUP(CONCAT(GO57,GP57),'PROCESOS PRD'!$J:$J,'PROCESOS PRD'!$H:$H,0,0)),"")</f>
        <v/>
      </c>
      <c r="GS57" s="71"/>
      <c r="GT57" s="32"/>
      <c r="GU57" s="72" t="str">
        <f t="array" ref="GU57">IFERROR(IF(XLOOKUP(CONCAT(GS57,GT57),'MASTER PLAN'!$AB:$AB,'MASTER PLAN'!$J:$J,0,0)=0,"",XLOOKUP(CONCAT(GS57,GT57),'MASTER PLAN'!$AB:$AB,'MASTER PLAN'!$J:$J,0,0)),"")</f>
        <v/>
      </c>
      <c r="GV57" s="73" t="str">
        <f t="array" ref="GV57">IFERROR(IF(XLOOKUP(CONCAT(GS57,GT57),'PROCESOS PRD'!$J:$J,'PROCESOS PRD'!$H:$H,0,0)=0,"",XLOOKUP(CONCAT(GS57,GT57),'PROCESOS PRD'!$J:$J,'PROCESOS PRD'!$H:$H,0,0)),"")</f>
        <v/>
      </c>
      <c r="GW57" s="71"/>
      <c r="GX57" s="32"/>
      <c r="GY57" s="72" t="str">
        <f t="array" ref="GY57">IFERROR(IF(XLOOKUP(CONCAT(GW57,GX57),'MASTER PLAN'!$AB:$AB,'MASTER PLAN'!$J:$J,0,0)=0,"",XLOOKUP(CONCAT(GW57,GX57),'MASTER PLAN'!$AB:$AB,'MASTER PLAN'!$J:$J,0,0)),"")</f>
        <v/>
      </c>
      <c r="GZ57" s="73" t="str">
        <f t="array" ref="GZ57">IFERROR(IF(XLOOKUP(CONCAT(GW57,GX57),'PROCESOS PRD'!$J:$J,'PROCESOS PRD'!$H:$H,0,0)=0,"",XLOOKUP(CONCAT(GW57,GX57),'PROCESOS PRD'!$J:$J,'PROCESOS PRD'!$H:$H,0,0)),"")</f>
        <v/>
      </c>
      <c r="HA57" s="71"/>
      <c r="HB57" s="32"/>
      <c r="HC57" s="72" t="str">
        <f t="array" ref="HC57">IFERROR(IF(XLOOKUP(CONCAT(HA57,HB57),'MASTER PLAN'!$AB:$AB,'MASTER PLAN'!$J:$J,0,0)=0,"",XLOOKUP(CONCAT(HA57,HB57),'MASTER PLAN'!$AB:$AB,'MASTER PLAN'!$J:$J,0,0)),"")</f>
        <v/>
      </c>
      <c r="HD57" s="73" t="str">
        <f t="array" ref="HD57">IFERROR(IF(XLOOKUP(CONCAT(HA57,HB57),'PROCESOS PRD'!$J:$J,'PROCESOS PRD'!$H:$H,0,0)=0,"",XLOOKUP(CONCAT(HA57,HB57),'PROCESOS PRD'!$J:$J,'PROCESOS PRD'!$H:$H,0,0)),"")</f>
        <v/>
      </c>
      <c r="HE57" s="71"/>
      <c r="HF57" s="32"/>
      <c r="HG57" s="72" t="str">
        <f t="array" ref="HG57">IFERROR(IF(XLOOKUP(CONCAT(HE57,HF57),'MASTER PLAN'!$AB:$AB,'MASTER PLAN'!$J:$J,0,0)=0,"",XLOOKUP(CONCAT(HE57,HF57),'MASTER PLAN'!$AB:$AB,'MASTER PLAN'!$J:$J,0,0)),"")</f>
        <v/>
      </c>
      <c r="HH57" s="73" t="str">
        <f t="array" ref="HH57">IFERROR(IF(XLOOKUP(CONCAT(HE57,HF57),'PROCESOS PRD'!$J:$J,'PROCESOS PRD'!$H:$H,0,0)=0,"",XLOOKUP(CONCAT(HE57,HF57),'PROCESOS PRD'!$J:$J,'PROCESOS PRD'!$H:$H,0,0)),"")</f>
        <v/>
      </c>
      <c r="HI57" s="71"/>
      <c r="HJ57" s="32"/>
      <c r="HK57" s="72" t="str">
        <f t="array" ref="HK57">IFERROR(IF(XLOOKUP(CONCAT(HI57,HJ57),'MASTER PLAN'!$AB:$AB,'MASTER PLAN'!$J:$J,0,0)=0,"",XLOOKUP(CONCAT(HI57,HJ57),'MASTER PLAN'!$AB:$AB,'MASTER PLAN'!$J:$J,0,0)),"")</f>
        <v/>
      </c>
      <c r="HL57" s="73" t="str">
        <f t="array" ref="HL57">IFERROR(IF(XLOOKUP(CONCAT(HI57,HJ57),'PROCESOS PRD'!$J:$J,'PROCESOS PRD'!$H:$H,0,0)=0,"",XLOOKUP(CONCAT(HI57,HJ57),'PROCESOS PRD'!$J:$J,'PROCESOS PRD'!$H:$H,0,0)),"")</f>
        <v/>
      </c>
      <c r="HM57" s="70"/>
      <c r="HN57" s="71"/>
      <c r="HO57" s="32"/>
      <c r="HP57" s="72" t="str">
        <f t="array" ref="HP57">IFERROR(IF(XLOOKUP(CONCAT(HN57,HO57),'MASTER PLAN'!$AB:$AB,'MASTER PLAN'!$J:$J,0,0)=0,"",XLOOKUP(CONCAT(HN57,HO57),'MASTER PLAN'!$AB:$AB,'MASTER PLAN'!$J:$J,0,0)),"")</f>
        <v/>
      </c>
      <c r="HQ57" s="73" t="str">
        <f t="array" ref="HQ57">IFERROR(IF(XLOOKUP(CONCAT(HN57,HO57),'PROCESOS PRD'!$J:$J,'PROCESOS PRD'!$H:$H,0,0)=0,"",XLOOKUP(CONCAT(HN57,HO57),'PROCESOS PRD'!$J:$J,'PROCESOS PRD'!$H:$H,0,0)),"")</f>
        <v/>
      </c>
      <c r="HR57" s="71"/>
      <c r="HS57" s="32"/>
      <c r="HT57" s="72" t="str">
        <f t="array" ref="HT57">IFERROR(IF(XLOOKUP(CONCAT(HR57,HS57),'MASTER PLAN'!$AB:$AB,'MASTER PLAN'!$J:$J,0,0)=0,"",XLOOKUP(CONCAT(HR57,HS57),'MASTER PLAN'!$AB:$AB,'MASTER PLAN'!$J:$J,0,0)),"")</f>
        <v/>
      </c>
      <c r="HU57" s="73" t="str">
        <f t="array" ref="HU57">IFERROR(IF(XLOOKUP(CONCAT(HR57,HS57),'PROCESOS PRD'!$J:$J,'PROCESOS PRD'!$H:$H,0,0)=0,"",XLOOKUP(CONCAT(HR57,HS57),'PROCESOS PRD'!$J:$J,'PROCESOS PRD'!$H:$H,0,0)),"")</f>
        <v/>
      </c>
      <c r="HV57" s="71"/>
      <c r="HW57" s="32"/>
      <c r="HX57" s="72" t="str">
        <f t="array" ref="HX57">IFERROR(IF(XLOOKUP(CONCAT(HV57,HW57),'MASTER PLAN'!$AB:$AB,'MASTER PLAN'!$J:$J,0,0)=0,"",XLOOKUP(CONCAT(HV57,HW57),'MASTER PLAN'!$AB:$AB,'MASTER PLAN'!$J:$J,0,0)),"")</f>
        <v/>
      </c>
      <c r="HY57" s="73" t="str">
        <f t="array" ref="HY57">IFERROR(IF(XLOOKUP(CONCAT(HV57,HW57),'PROCESOS PRD'!$J:$J,'PROCESOS PRD'!$H:$H,0,0)=0,"",XLOOKUP(CONCAT(HV57,HW57),'PROCESOS PRD'!$J:$J,'PROCESOS PRD'!$H:$H,0,0)),"")</f>
        <v/>
      </c>
      <c r="HZ57" s="71"/>
      <c r="IA57" s="32"/>
      <c r="IB57" s="72" t="str">
        <f t="array" ref="IB57">IFERROR(IF(XLOOKUP(CONCAT(HZ57,IA57),'MASTER PLAN'!$AB:$AB,'MASTER PLAN'!$J:$J,0,0)=0,"",XLOOKUP(CONCAT(HZ57,IA57),'MASTER PLAN'!$AB:$AB,'MASTER PLAN'!$J:$J,0,0)),"")</f>
        <v/>
      </c>
      <c r="IC57" s="73" t="str">
        <f t="array" ref="IC57">IFERROR(IF(XLOOKUP(CONCAT(HZ57,IA57),'PROCESOS PRD'!$J:$J,'PROCESOS PRD'!$H:$H,0,0)=0,"",XLOOKUP(CONCAT(HZ57,IA57),'PROCESOS PRD'!$J:$J,'PROCESOS PRD'!$H:$H,0,0)),"")</f>
        <v/>
      </c>
      <c r="ID57" s="71"/>
      <c r="IE57" s="32"/>
      <c r="IF57" s="72" t="str">
        <f t="array" ref="IF57">IFERROR(IF(XLOOKUP(CONCAT(ID57,IE57),'MASTER PLAN'!$AB:$AB,'MASTER PLAN'!$J:$J,0,0)=0,"",XLOOKUP(CONCAT(ID57,IE57),'MASTER PLAN'!$AB:$AB,'MASTER PLAN'!$J:$J,0,0)),"")</f>
        <v/>
      </c>
      <c r="IG57" s="73" t="str">
        <f t="array" ref="IG57">IFERROR(IF(XLOOKUP(CONCAT(ID57,IE57),'PROCESOS PRD'!$J:$J,'PROCESOS PRD'!$H:$H,0,0)=0,"",XLOOKUP(CONCAT(ID57,IE57),'PROCESOS PRD'!$J:$J,'PROCESOS PRD'!$H:$H,0,0)),"")</f>
        <v/>
      </c>
      <c r="IH57" s="71"/>
      <c r="II57" s="32"/>
      <c r="IJ57" s="72" t="str">
        <f t="array" ref="IJ57">IFERROR(IF(XLOOKUP(CONCAT(IH57,II57),'MASTER PLAN'!$AB:$AB,'MASTER PLAN'!$J:$J,0,0)=0,"",XLOOKUP(CONCAT(IH57,II57),'MASTER PLAN'!$AB:$AB,'MASTER PLAN'!$J:$J,0,0)),"")</f>
        <v/>
      </c>
      <c r="IK57" s="73" t="str">
        <f t="array" ref="IK57">IFERROR(IF(XLOOKUP(CONCAT(IH57,II57),'PROCESOS PRD'!$J:$J,'PROCESOS PRD'!$H:$H,0,0)=0,"",XLOOKUP(CONCAT(IH57,II57),'PROCESOS PRD'!$J:$J,'PROCESOS PRD'!$H:$H,0,0)),"")</f>
        <v/>
      </c>
      <c r="IL57" s="70"/>
      <c r="IM57" s="71"/>
      <c r="IN57" s="32"/>
      <c r="IO57" s="72" t="str">
        <f t="array" ref="IO57">IFERROR(IF(XLOOKUP(CONCAT(IM57,IN57),'MASTER PLAN'!$AB:$AB,'MASTER PLAN'!$J:$J,0,0)=0,"",XLOOKUP(CONCAT(IM57,IN57),'MASTER PLAN'!$AB:$AB,'MASTER PLAN'!$J:$J,0,0)),"")</f>
        <v/>
      </c>
      <c r="IP57" s="73" t="str">
        <f t="array" ref="IP57">IFERROR(IF(XLOOKUP(CONCAT(IM57,IN57),'PROCESOS PRD'!$J:$J,'PROCESOS PRD'!$H:$H,0,0)=0,"",XLOOKUP(CONCAT(IM57,IN57),'PROCESOS PRD'!$J:$J,'PROCESOS PRD'!$H:$H,0,0)),"")</f>
        <v/>
      </c>
      <c r="IQ57" s="71"/>
      <c r="IR57" s="32"/>
      <c r="IS57" s="72" t="str">
        <f t="array" ref="IS57">IFERROR(IF(XLOOKUP(CONCAT(IQ57,IR57),'MASTER PLAN'!$AB:$AB,'MASTER PLAN'!$J:$J,0,0)=0,"",XLOOKUP(CONCAT(IQ57,IR57),'MASTER PLAN'!$AB:$AB,'MASTER PLAN'!$J:$J,0,0)),"")</f>
        <v/>
      </c>
      <c r="IT57" s="73" t="str">
        <f t="array" ref="IT57">IFERROR(IF(XLOOKUP(CONCAT(IQ57,IR57),'PROCESOS PRD'!$J:$J,'PROCESOS PRD'!$H:$H,0,0)=0,"",XLOOKUP(CONCAT(IQ57,IR57),'PROCESOS PRD'!$J:$J,'PROCESOS PRD'!$H:$H,0,0)),"")</f>
        <v/>
      </c>
      <c r="IU57" s="71"/>
      <c r="IV57" s="32"/>
      <c r="IW57" s="72" t="str">
        <f t="array" ref="IW57">IFERROR(IF(XLOOKUP(CONCAT(IU57,IV57),'MASTER PLAN'!$AB:$AB,'MASTER PLAN'!$J:$J,0,0)=0,"",XLOOKUP(CONCAT(IU57,IV57),'MASTER PLAN'!$AB:$AB,'MASTER PLAN'!$J:$J,0,0)),"")</f>
        <v/>
      </c>
      <c r="IX57" s="73" t="str">
        <f t="array" ref="IX57">IFERROR(IF(XLOOKUP(CONCAT(IU57,IV57),'PROCESOS PRD'!$J:$J,'PROCESOS PRD'!$H:$H,0,0)=0,"",XLOOKUP(CONCAT(IU57,IV57),'PROCESOS PRD'!$J:$J,'PROCESOS PRD'!$H:$H,0,0)),"")</f>
        <v/>
      </c>
      <c r="IY57" s="71"/>
      <c r="IZ57" s="32"/>
      <c r="JA57" s="72" t="str">
        <f t="array" ref="JA57">IFERROR(IF(XLOOKUP(CONCAT(IY57,IZ57),'MASTER PLAN'!$AB:$AB,'MASTER PLAN'!$J:$J,0,0)=0,"",XLOOKUP(CONCAT(IY57,IZ57),'MASTER PLAN'!$AB:$AB,'MASTER PLAN'!$J:$J,0,0)),"")</f>
        <v/>
      </c>
      <c r="JB57" s="73" t="str">
        <f t="array" ref="JB57">IFERROR(IF(XLOOKUP(CONCAT(IY57,IZ57),'PROCESOS PRD'!$J:$J,'PROCESOS PRD'!$H:$H,0,0)=0,"",XLOOKUP(CONCAT(IY57,IZ57),'PROCESOS PRD'!$J:$J,'PROCESOS PRD'!$H:$H,0,0)),"")</f>
        <v/>
      </c>
      <c r="JC57" s="71"/>
      <c r="JD57" s="32"/>
      <c r="JE57" s="72" t="str">
        <f t="array" ref="JE57">IFERROR(IF(XLOOKUP(CONCAT(JC57,JD57),'MASTER PLAN'!$AB:$AB,'MASTER PLAN'!$J:$J,0,0)=0,"",XLOOKUP(CONCAT(JC57,JD57),'MASTER PLAN'!$AB:$AB,'MASTER PLAN'!$J:$J,0,0)),"")</f>
        <v/>
      </c>
      <c r="JF57" s="73" t="str">
        <f t="array" ref="JF57">IFERROR(IF(XLOOKUP(CONCAT(JC57,JD57),'PROCESOS PRD'!$J:$J,'PROCESOS PRD'!$H:$H,0,0)=0,"",XLOOKUP(CONCAT(JC57,JD57),'PROCESOS PRD'!$J:$J,'PROCESOS PRD'!$H:$H,0,0)),"")</f>
        <v/>
      </c>
      <c r="JG57" s="71"/>
      <c r="JH57" s="32"/>
      <c r="JI57" s="72" t="str">
        <f t="array" ref="JI57">IFERROR(IF(XLOOKUP(CONCAT(JG57,JH57),'MASTER PLAN'!$AB:$AB,'MASTER PLAN'!$J:$J,0,0)=0,"",XLOOKUP(CONCAT(JG57,JH57),'MASTER PLAN'!$AB:$AB,'MASTER PLAN'!$J:$J,0,0)),"")</f>
        <v/>
      </c>
      <c r="JJ57" s="73" t="str">
        <f t="array" ref="JJ57">IFERROR(IF(XLOOKUP(CONCAT(JG57,JH57),'PROCESOS PRD'!$J:$J,'PROCESOS PRD'!$H:$H,0,0)=0,"",XLOOKUP(CONCAT(JG57,JH57),'PROCESOS PRD'!$J:$J,'PROCESOS PRD'!$H:$H,0,0)),"")</f>
        <v/>
      </c>
      <c r="JK57" s="70"/>
      <c r="JL57" s="71"/>
      <c r="JM57" s="32"/>
      <c r="JN57" s="72" t="str">
        <f t="array" ref="JN57">IFERROR(IF(XLOOKUP(CONCAT(JL57,JM57),'MASTER PLAN'!$AB:$AB,'MASTER PLAN'!$J:$J,0,0)=0,"",XLOOKUP(CONCAT(JL57,JM57),'MASTER PLAN'!$AB:$AB,'MASTER PLAN'!$J:$J,0,0)),"")</f>
        <v/>
      </c>
      <c r="JO57" s="73" t="str">
        <f t="array" ref="JO57">IFERROR(IF(XLOOKUP(CONCAT(JL57,JM57),'PROCESOS PRD'!$J:$J,'PROCESOS PRD'!$H:$H,0,0)=0,"",XLOOKUP(CONCAT(JL57,JM57),'PROCESOS PRD'!$J:$J,'PROCESOS PRD'!$H:$H,0,0)),"")</f>
        <v/>
      </c>
      <c r="JP57" s="71"/>
      <c r="JQ57" s="32"/>
      <c r="JR57" s="72" t="str">
        <f t="array" ref="JR57">IFERROR(IF(XLOOKUP(CONCAT(JP57,JQ57),'MASTER PLAN'!$AB:$AB,'MASTER PLAN'!$J:$J,0,0)=0,"",XLOOKUP(CONCAT(JP57,JQ57),'MASTER PLAN'!$AB:$AB,'MASTER PLAN'!$J:$J,0,0)),"")</f>
        <v/>
      </c>
      <c r="JS57" s="73" t="str">
        <f t="array" ref="JS57">IFERROR(IF(XLOOKUP(CONCAT(JP57,JQ57),'PROCESOS PRD'!$J:$J,'PROCESOS PRD'!$H:$H,0,0)=0,"",XLOOKUP(CONCAT(JP57,JQ57),'PROCESOS PRD'!$J:$J,'PROCESOS PRD'!$H:$H,0,0)),"")</f>
        <v/>
      </c>
      <c r="JT57" s="71"/>
      <c r="JU57" s="32"/>
      <c r="JV57" s="72" t="str">
        <f t="array" ref="JV57">IFERROR(IF(XLOOKUP(CONCAT(JT57,JU57),'MASTER PLAN'!$AB:$AB,'MASTER PLAN'!$J:$J,0,0)=0,"",XLOOKUP(CONCAT(JT57,JU57),'MASTER PLAN'!$AB:$AB,'MASTER PLAN'!$J:$J,0,0)),"")</f>
        <v/>
      </c>
      <c r="JW57" s="73" t="str">
        <f t="array" ref="JW57">IFERROR(IF(XLOOKUP(CONCAT(JT57,JU57),'PROCESOS PRD'!$J:$J,'PROCESOS PRD'!$H:$H,0,0)=0,"",XLOOKUP(CONCAT(JT57,JU57),'PROCESOS PRD'!$J:$J,'PROCESOS PRD'!$H:$H,0,0)),"")</f>
        <v/>
      </c>
      <c r="JX57" s="71"/>
      <c r="JY57" s="32"/>
      <c r="JZ57" s="72" t="str">
        <f t="array" ref="JZ57">IFERROR(IF(XLOOKUP(CONCAT(JX57,JY57),'MASTER PLAN'!$AB:$AB,'MASTER PLAN'!$J:$J,0,0)=0,"",XLOOKUP(CONCAT(JX57,JY57),'MASTER PLAN'!$AB:$AB,'MASTER PLAN'!$J:$J,0,0)),"")</f>
        <v/>
      </c>
      <c r="KA57" s="73" t="str">
        <f t="array" ref="KA57">IFERROR(IF(XLOOKUP(CONCAT(JX57,JY57),'PROCESOS PRD'!$J:$J,'PROCESOS PRD'!$H:$H,0,0)=0,"",XLOOKUP(CONCAT(JX57,JY57),'PROCESOS PRD'!$J:$J,'PROCESOS PRD'!$H:$H,0,0)),"")</f>
        <v/>
      </c>
      <c r="KB57" s="71"/>
      <c r="KC57" s="32"/>
      <c r="KD57" s="72" t="str">
        <f t="array" ref="KD57">IFERROR(IF(XLOOKUP(CONCAT(KB57,KC57),'MASTER PLAN'!$AB:$AB,'MASTER PLAN'!$J:$J,0,0)=0,"",XLOOKUP(CONCAT(KB57,KC57),'MASTER PLAN'!$AB:$AB,'MASTER PLAN'!$J:$J,0,0)),"")</f>
        <v/>
      </c>
      <c r="KE57" s="73" t="str">
        <f t="array" ref="KE57">IFERROR(IF(XLOOKUP(CONCAT(KB57,KC57),'PROCESOS PRD'!$J:$J,'PROCESOS PRD'!$H:$H,0,0)=0,"",XLOOKUP(CONCAT(KB57,KC57),'PROCESOS PRD'!$J:$J,'PROCESOS PRD'!$H:$H,0,0)),"")</f>
        <v/>
      </c>
      <c r="KF57" s="71"/>
      <c r="KG57" s="32"/>
      <c r="KH57" s="72" t="str">
        <f t="array" ref="KH57">IFERROR(IF(XLOOKUP(CONCAT(KF57,KG57),'MASTER PLAN'!$AB:$AB,'MASTER PLAN'!$J:$J,0,0)=0,"",XLOOKUP(CONCAT(KF57,KG57),'MASTER PLAN'!$AB:$AB,'MASTER PLAN'!$J:$J,0,0)),"")</f>
        <v/>
      </c>
      <c r="KI57" s="73" t="str">
        <f t="array" ref="KI57">IFERROR(IF(XLOOKUP(CONCAT(KF57,KG57),'PROCESOS PRD'!$J:$J,'PROCESOS PRD'!$H:$H,0,0)=0,"",XLOOKUP(CONCAT(KF57,KG57),'PROCESOS PRD'!$J:$J,'PROCESOS PRD'!$H:$H,0,0)),"")</f>
        <v/>
      </c>
      <c r="KJ57" s="70"/>
      <c r="KK57" s="70"/>
      <c r="KL57" s="70"/>
      <c r="KM57" s="70"/>
      <c r="KN57" s="70"/>
      <c r="KO57" s="70"/>
      <c r="KP57" s="70"/>
      <c r="KQ57" s="70"/>
      <c r="KR57" s="70"/>
      <c r="KS57" s="70"/>
      <c r="KT57" s="70"/>
      <c r="KU57" s="70"/>
      <c r="KV57" s="70"/>
      <c r="KW57" s="70"/>
      <c r="KX57" s="70"/>
      <c r="KY57" s="70"/>
      <c r="KZ57" s="70"/>
      <c r="LA57" s="70"/>
      <c r="LB57" s="70"/>
      <c r="LC57" s="70"/>
    </row>
    <row r="58" ht="15.75" customHeight="1">
      <c r="A58" s="42"/>
      <c r="B58" s="74"/>
      <c r="C58" s="69"/>
      <c r="D58" s="70"/>
      <c r="E58" s="71"/>
      <c r="F58" s="32"/>
      <c r="G58" s="72" t="str">
        <f t="array" ref="G58">IFERROR(IF(XLOOKUP(CONCAT(E58,F58),'MASTER PLAN'!$AB:$AB,'MASTER PLAN'!$J:$J,0,0)=0,"",XLOOKUP(CONCAT(E58,F58),'MASTER PLAN'!$AB:$AB,'MASTER PLAN'!$J:$J,0,0)),"")</f>
        <v/>
      </c>
      <c r="H58" s="73" t="str">
        <f t="array" ref="H58">IFERROR(IF(XLOOKUP(CONCAT(E58,F58),'PROCESOS PRD'!$J:$J,'PROCESOS PRD'!$H:$H,0,0)=0,"",XLOOKUP(CONCAT(E58,F58),'PROCESOS PRD'!$J:$J,'PROCESOS PRD'!$H:$H,0,0)),"")</f>
        <v/>
      </c>
      <c r="I58" s="71"/>
      <c r="J58" s="32"/>
      <c r="K58" s="72" t="str">
        <f t="array" ref="K58">IFERROR(IF(XLOOKUP(CONCAT(I58,J58),'MASTER PLAN'!$AB:$AB,'MASTER PLAN'!$J:$J,0,0)=0,"",XLOOKUP(CONCAT(I58,J58),'MASTER PLAN'!$AB:$AB,'MASTER PLAN'!$J:$J,0,0)),"")</f>
        <v/>
      </c>
      <c r="L58" s="73" t="str">
        <f t="array" ref="L58">IFERROR(IF(XLOOKUP(CONCAT(I58,J58),'PROCESOS PRD'!$J:$J,'PROCESOS PRD'!$H:$H,0,0)=0,"",XLOOKUP(CONCAT(I58,J58),'PROCESOS PRD'!$J:$J,'PROCESOS PRD'!$H:$H,0,0)),"")</f>
        <v/>
      </c>
      <c r="M58" s="71"/>
      <c r="N58" s="32"/>
      <c r="O58" s="72" t="str">
        <f t="array" ref="O58">IFERROR(IF(XLOOKUP(CONCAT(M58,N58),'MASTER PLAN'!$AB:$AB,'MASTER PLAN'!$J:$J,0,0)=0,"",XLOOKUP(CONCAT(M58,N58),'MASTER PLAN'!$AB:$AB,'MASTER PLAN'!$J:$J,0,0)),"")</f>
        <v/>
      </c>
      <c r="P58" s="73" t="str">
        <f t="array" ref="P58">IFERROR(IF(XLOOKUP(CONCAT(M58,N58),'PROCESOS PRD'!$J:$J,'PROCESOS PRD'!$H:$H,0,0)=0,"",XLOOKUP(CONCAT(M58,N58),'PROCESOS PRD'!$J:$J,'PROCESOS PRD'!$H:$H,0,0)),"")</f>
        <v/>
      </c>
      <c r="Q58" s="71"/>
      <c r="R58" s="32"/>
      <c r="S58" s="72" t="str">
        <f t="array" ref="S58">IFERROR(IF(XLOOKUP(CONCAT(Q58,R58),'MASTER PLAN'!$AB:$AB,'MASTER PLAN'!$J:$J,0,0)=0,"",XLOOKUP(CONCAT(Q58,R58),'MASTER PLAN'!$AB:$AB,'MASTER PLAN'!$J:$J,0,0)),"")</f>
        <v/>
      </c>
      <c r="T58" s="73" t="str">
        <f t="array" ref="T58">IFERROR(IF(XLOOKUP(CONCAT(Q58,R58),'PROCESOS PRD'!$J:$J,'PROCESOS PRD'!$H:$H,0,0)=0,"",XLOOKUP(CONCAT(Q58,R58),'PROCESOS PRD'!$J:$J,'PROCESOS PRD'!$H:$H,0,0)),"")</f>
        <v/>
      </c>
      <c r="U58" s="70"/>
      <c r="V58" s="71"/>
      <c r="W58" s="32"/>
      <c r="X58" s="72" t="str">
        <f t="array" ref="X58">IFERROR(IF(XLOOKUP(CONCAT(V58,W58),'MASTER PLAN'!$AB:$AB,'MASTER PLAN'!$J:$J,0,0)=0,"",XLOOKUP(CONCAT(V58,W58),'MASTER PLAN'!$AB:$AB,'MASTER PLAN'!$J:$J,0,0)),"")</f>
        <v/>
      </c>
      <c r="Y58" s="73" t="str">
        <f t="array" ref="Y58">IFERROR(IF(XLOOKUP(CONCAT(V58,W58),'PROCESOS PRD'!$J:$J,'PROCESOS PRD'!$H:$H,0,0)=0,"",XLOOKUP(CONCAT(V58,W58),'PROCESOS PRD'!$J:$J,'PROCESOS PRD'!$H:$H,0,0)),"")</f>
        <v/>
      </c>
      <c r="Z58" s="71"/>
      <c r="AA58" s="32"/>
      <c r="AB58" s="72" t="str">
        <f t="array" ref="AB58">IFERROR(IF(XLOOKUP(CONCAT(Z58,AA58),'MASTER PLAN'!$AB:$AB,'MASTER PLAN'!$J:$J,0,0)=0,"",XLOOKUP(CONCAT(Z58,AA58),'MASTER PLAN'!$AB:$AB,'MASTER PLAN'!$J:$J,0,0)),"")</f>
        <v/>
      </c>
      <c r="AC58" s="73" t="str">
        <f t="array" ref="AC58">IFERROR(IF(XLOOKUP(CONCAT(Z58,AA58),'PROCESOS PRD'!$J:$J,'PROCESOS PRD'!$H:$H,0,0)=0,"",XLOOKUP(CONCAT(Z58,AA58),'PROCESOS PRD'!$J:$J,'PROCESOS PRD'!$H:$H,0,0)),"")</f>
        <v/>
      </c>
      <c r="AD58" s="71"/>
      <c r="AE58" s="32"/>
      <c r="AF58" s="72" t="str">
        <f t="array" ref="AF58">IFERROR(IF(XLOOKUP(CONCAT(AD58,AE58),'MASTER PLAN'!$AB:$AB,'MASTER PLAN'!$J:$J,0,0)=0,"",XLOOKUP(CONCAT(AD58,AE58),'MASTER PLAN'!$AB:$AB,'MASTER PLAN'!$J:$J,0,0)),"")</f>
        <v/>
      </c>
      <c r="AG58" s="73" t="str">
        <f t="array" ref="AG58">IFERROR(IF(XLOOKUP(CONCAT(AD58,AE58),'PROCESOS PRD'!$J:$J,'PROCESOS PRD'!$H:$H,0,0)=0,"",XLOOKUP(CONCAT(AD58,AE58),'PROCESOS PRD'!$J:$J,'PROCESOS PRD'!$H:$H,0,0)),"")</f>
        <v/>
      </c>
      <c r="AH58" s="71"/>
      <c r="AI58" s="32"/>
      <c r="AJ58" s="72" t="str">
        <f t="array" ref="AJ58">IFERROR(IF(XLOOKUP(CONCAT(AH58,AI58),'MASTER PLAN'!$AB:$AB,'MASTER PLAN'!$J:$J,0,0)=0,"",XLOOKUP(CONCAT(AH58,AI58),'MASTER PLAN'!$AB:$AB,'MASTER PLAN'!$J:$J,0,0)),"")</f>
        <v/>
      </c>
      <c r="AK58" s="73" t="str">
        <f t="array" ref="AK58">IFERROR(IF(XLOOKUP(CONCAT(AH58,AI58),'PROCESOS PRD'!$J:$J,'PROCESOS PRD'!$H:$H,0,0)=0,"",XLOOKUP(CONCAT(AH58,AI58),'PROCESOS PRD'!$J:$J,'PROCESOS PRD'!$H:$H,0,0)),"")</f>
        <v/>
      </c>
      <c r="AL58" s="71"/>
      <c r="AM58" s="32"/>
      <c r="AN58" s="72" t="str">
        <f t="array" ref="AN58">IFERROR(IF(XLOOKUP(CONCAT(AL58,AM58),'MASTER PLAN'!$AB:$AB,'MASTER PLAN'!$J:$J,0,0)=0,"",XLOOKUP(CONCAT(AL58,AM58),'MASTER PLAN'!$AB:$AB,'MASTER PLAN'!$J:$J,0,0)),"")</f>
        <v/>
      </c>
      <c r="AO58" s="73" t="str">
        <f t="array" ref="AO58">IFERROR(IF(XLOOKUP(CONCAT(AL58,AM58),'PROCESOS PRD'!$J:$J,'PROCESOS PRD'!$H:$H,0,0)=0,"",XLOOKUP(CONCAT(AL58,AM58),'PROCESOS PRD'!$J:$J,'PROCESOS PRD'!$H:$H,0,0)),"")</f>
        <v/>
      </c>
      <c r="AP58" s="71"/>
      <c r="AQ58" s="32"/>
      <c r="AR58" s="72" t="str">
        <f t="array" ref="AR58">IFERROR(IF(XLOOKUP(CONCAT(AP58,AQ58),'MASTER PLAN'!$AB:$AB,'MASTER PLAN'!$J:$J,0,0)=0,"",XLOOKUP(CONCAT(AP58,AQ58),'MASTER PLAN'!$AB:$AB,'MASTER PLAN'!$J:$J,0,0)),"")</f>
        <v/>
      </c>
      <c r="AS58" s="73" t="str">
        <f t="array" ref="AS58">IFERROR(IF(XLOOKUP(CONCAT(AP58,AQ58),'PROCESOS PRD'!$J:$J,'PROCESOS PRD'!$H:$H,0,0)=0,"",XLOOKUP(CONCAT(AP58,AQ58),'PROCESOS PRD'!$J:$J,'PROCESOS PRD'!$H:$H,0,0)),"")</f>
        <v/>
      </c>
      <c r="AT58" s="70"/>
      <c r="AU58" s="71"/>
      <c r="AV58" s="32"/>
      <c r="AW58" s="72" t="str">
        <f t="array" ref="AW58">IFERROR(IF(XLOOKUP(CONCAT(AU58,AV58),'MASTER PLAN'!$AB:$AB,'MASTER PLAN'!$J:$J,0,0)=0,"",XLOOKUP(CONCAT(AU58,AV58),'MASTER PLAN'!$AB:$AB,'MASTER PLAN'!$J:$J,0,0)),"")</f>
        <v/>
      </c>
      <c r="AX58" s="73" t="str">
        <f t="array" ref="AX58">IFERROR(IF(XLOOKUP(CONCAT(AU58,AV58),'PROCESOS PRD'!$J:$J,'PROCESOS PRD'!$H:$H,0,0)=0,"",XLOOKUP(CONCAT(AU58,AV58),'PROCESOS PRD'!$J:$J,'PROCESOS PRD'!$H:$H,0,0)),"")</f>
        <v/>
      </c>
      <c r="AY58" s="71"/>
      <c r="AZ58" s="32"/>
      <c r="BA58" s="72" t="str">
        <f t="array" ref="BA58">IFERROR(IF(XLOOKUP(CONCAT(AY58,AZ58),'MASTER PLAN'!$AB:$AB,'MASTER PLAN'!$J:$J,0,0)=0,"",XLOOKUP(CONCAT(AY58,AZ58),'MASTER PLAN'!$AB:$AB,'MASTER PLAN'!$J:$J,0,0)),"")</f>
        <v/>
      </c>
      <c r="BB58" s="73" t="str">
        <f t="array" ref="BB58">IFERROR(IF(XLOOKUP(CONCAT(AY58,AZ58),'PROCESOS PRD'!$J:$J,'PROCESOS PRD'!$H:$H,0,0)=0,"",XLOOKUP(CONCAT(AY58,AZ58),'PROCESOS PRD'!$J:$J,'PROCESOS PRD'!$H:$H,0,0)),"")</f>
        <v/>
      </c>
      <c r="BC58" s="71"/>
      <c r="BD58" s="32"/>
      <c r="BE58" s="72" t="str">
        <f t="array" ref="BE58">IFERROR(IF(XLOOKUP(CONCAT(BC58,BD58),'MASTER PLAN'!$AB:$AB,'MASTER PLAN'!$J:$J,0,0)=0,"",XLOOKUP(CONCAT(BC58,BD58),'MASTER PLAN'!$AB:$AB,'MASTER PLAN'!$J:$J,0,0)),"")</f>
        <v/>
      </c>
      <c r="BF58" s="73" t="str">
        <f t="array" ref="BF58">IFERROR(IF(XLOOKUP(CONCAT(BC58,BD58),'PROCESOS PRD'!$J:$J,'PROCESOS PRD'!$H:$H,0,0)=0,"",XLOOKUP(CONCAT(BC58,BD58),'PROCESOS PRD'!$J:$J,'PROCESOS PRD'!$H:$H,0,0)),"")</f>
        <v/>
      </c>
      <c r="BG58" s="71"/>
      <c r="BH58" s="32"/>
      <c r="BI58" s="72" t="str">
        <f t="array" ref="BI58">IFERROR(IF(XLOOKUP(CONCAT(BG58,BH58),'MASTER PLAN'!$AB:$AB,'MASTER PLAN'!$J:$J,0,0)=0,"",XLOOKUP(CONCAT(BG58,BH58),'MASTER PLAN'!$AB:$AB,'MASTER PLAN'!$J:$J,0,0)),"")</f>
        <v/>
      </c>
      <c r="BJ58" s="73" t="str">
        <f t="array" ref="BJ58">IFERROR(IF(XLOOKUP(CONCAT(BG58,BH58),'PROCESOS PRD'!$J:$J,'PROCESOS PRD'!$H:$H,0,0)=0,"",XLOOKUP(CONCAT(BG58,BH58),'PROCESOS PRD'!$J:$J,'PROCESOS PRD'!$H:$H,0,0)),"")</f>
        <v/>
      </c>
      <c r="BK58" s="71"/>
      <c r="BL58" s="32"/>
      <c r="BM58" s="72" t="str">
        <f t="array" ref="BM58">IFERROR(IF(XLOOKUP(CONCAT(BK58,BL58),'MASTER PLAN'!$AB:$AB,'MASTER PLAN'!$J:$J,0,0)=0,"",XLOOKUP(CONCAT(BK58,BL58),'MASTER PLAN'!$AB:$AB,'MASTER PLAN'!$J:$J,0,0)),"")</f>
        <v/>
      </c>
      <c r="BN58" s="73" t="str">
        <f t="array" ref="BN58">IFERROR(IF(XLOOKUP(CONCAT(BK58,BL58),'PROCESOS PRD'!$J:$J,'PROCESOS PRD'!$H:$H,0,0)=0,"",XLOOKUP(CONCAT(BK58,BL58),'PROCESOS PRD'!$J:$J,'PROCESOS PRD'!$H:$H,0,0)),"")</f>
        <v/>
      </c>
      <c r="BO58" s="71"/>
      <c r="BP58" s="32"/>
      <c r="BQ58" s="72" t="str">
        <f t="array" ref="BQ58">IFERROR(IF(XLOOKUP(CONCAT(BO58,BP58),'MASTER PLAN'!$AB:$AB,'MASTER PLAN'!$J:$J,0,0)=0,"",XLOOKUP(CONCAT(BO58,BP58),'MASTER PLAN'!$AB:$AB,'MASTER PLAN'!$J:$J,0,0)),"")</f>
        <v/>
      </c>
      <c r="BR58" s="73" t="str">
        <f t="array" ref="BR58">IFERROR(IF(XLOOKUP(CONCAT(BO58,BP58),'PROCESOS PRD'!$J:$J,'PROCESOS PRD'!$H:$H,0,0)=0,"",XLOOKUP(CONCAT(BO58,BP58),'PROCESOS PRD'!$J:$J,'PROCESOS PRD'!$H:$H,0,0)),"")</f>
        <v/>
      </c>
      <c r="BS58" s="70"/>
      <c r="BT58" s="71"/>
      <c r="BU58" s="32"/>
      <c r="BV58" s="72" t="str">
        <f t="array" ref="BV58">IFERROR(IF(XLOOKUP(CONCAT(BT58,BU58),'MASTER PLAN'!$AB:$AB,'MASTER PLAN'!$J:$J,0,0)=0,"",XLOOKUP(CONCAT(BT58,BU58),'MASTER PLAN'!$AB:$AB,'MASTER PLAN'!$J:$J,0,0)),"")</f>
        <v/>
      </c>
      <c r="BW58" s="73" t="str">
        <f t="array" ref="BW58">IFERROR(IF(XLOOKUP(CONCAT(BT58,BU58),'PROCESOS PRD'!$J:$J,'PROCESOS PRD'!$H:$H,0,0)=0,"",XLOOKUP(CONCAT(BT58,BU58),'PROCESOS PRD'!$J:$J,'PROCESOS PRD'!$H:$H,0,0)),"")</f>
        <v/>
      </c>
      <c r="BX58" s="71"/>
      <c r="BY58" s="32"/>
      <c r="BZ58" s="72" t="str">
        <f t="array" ref="BZ58">IFERROR(IF(XLOOKUP(CONCAT(BX58,BY58),'MASTER PLAN'!$AB:$AB,'MASTER PLAN'!$J:$J,0,0)=0,"",XLOOKUP(CONCAT(BX58,BY58),'MASTER PLAN'!$AB:$AB,'MASTER PLAN'!$J:$J,0,0)),"")</f>
        <v/>
      </c>
      <c r="CA58" s="73" t="str">
        <f t="array" ref="CA58">IFERROR(IF(XLOOKUP(CONCAT(BX58,BY58),'PROCESOS PRD'!$J:$J,'PROCESOS PRD'!$H:$H,0,0)=0,"",XLOOKUP(CONCAT(BX58,BY58),'PROCESOS PRD'!$J:$J,'PROCESOS PRD'!$H:$H,0,0)),"")</f>
        <v/>
      </c>
      <c r="CB58" s="71"/>
      <c r="CC58" s="32"/>
      <c r="CD58" s="72" t="str">
        <f t="array" ref="CD58">IFERROR(IF(XLOOKUP(CONCAT(CB58,CC58),'MASTER PLAN'!$AB:$AB,'MASTER PLAN'!$J:$J,0,0)=0,"",XLOOKUP(CONCAT(CB58,CC58),'MASTER PLAN'!$AB:$AB,'MASTER PLAN'!$J:$J,0,0)),"")</f>
        <v/>
      </c>
      <c r="CE58" s="73" t="str">
        <f t="array" ref="CE58">IFERROR(IF(XLOOKUP(CONCAT(CB58,CC58),'PROCESOS PRD'!$J:$J,'PROCESOS PRD'!$H:$H,0,0)=0,"",XLOOKUP(CONCAT(CB58,CC58),'PROCESOS PRD'!$J:$J,'PROCESOS PRD'!$H:$H,0,0)),"")</f>
        <v/>
      </c>
      <c r="CF58" s="71"/>
      <c r="CG58" s="32"/>
      <c r="CH58" s="72" t="str">
        <f t="array" ref="CH58">IFERROR(IF(XLOOKUP(CONCAT(CF58,CG58),'MASTER PLAN'!$AB:$AB,'MASTER PLAN'!$J:$J,0,0)=0,"",XLOOKUP(CONCAT(CF58,CG58),'MASTER PLAN'!$AB:$AB,'MASTER PLAN'!$J:$J,0,0)),"")</f>
        <v/>
      </c>
      <c r="CI58" s="73" t="str">
        <f t="array" ref="CI58">IFERROR(IF(XLOOKUP(CONCAT(CF58,CG58),'PROCESOS PRD'!$J:$J,'PROCESOS PRD'!$H:$H,0,0)=0,"",XLOOKUP(CONCAT(CF58,CG58),'PROCESOS PRD'!$J:$J,'PROCESOS PRD'!$H:$H,0,0)),"")</f>
        <v/>
      </c>
      <c r="CJ58" s="71"/>
      <c r="CK58" s="32"/>
      <c r="CL58" s="72" t="str">
        <f t="array" ref="CL58">IFERROR(IF(XLOOKUP(CONCAT(CJ58,CK58),'MASTER PLAN'!$AB:$AB,'MASTER PLAN'!$J:$J,0,0)=0,"",XLOOKUP(CONCAT(CJ58,CK58),'MASTER PLAN'!$AB:$AB,'MASTER PLAN'!$J:$J,0,0)),"")</f>
        <v/>
      </c>
      <c r="CM58" s="73" t="str">
        <f t="array" ref="CM58">IFERROR(IF(XLOOKUP(CONCAT(CJ58,CK58),'PROCESOS PRD'!$J:$J,'PROCESOS PRD'!$H:$H,0,0)=0,"",XLOOKUP(CONCAT(CJ58,CK58),'PROCESOS PRD'!$J:$J,'PROCESOS PRD'!$H:$H,0,0)),"")</f>
        <v/>
      </c>
      <c r="CN58" s="71"/>
      <c r="CO58" s="32"/>
      <c r="CP58" s="72" t="str">
        <f t="array" ref="CP58">IFERROR(IF(XLOOKUP(CONCAT(CN58,CO58),'MASTER PLAN'!$AB:$AB,'MASTER PLAN'!$J:$J,0,0)=0,"",XLOOKUP(CONCAT(CN58,CO58),'MASTER PLAN'!$AB:$AB,'MASTER PLAN'!$J:$J,0,0)),"")</f>
        <v/>
      </c>
      <c r="CQ58" s="73" t="str">
        <f t="array" ref="CQ58">IFERROR(IF(XLOOKUP(CONCAT(CN58,CO58),'PROCESOS PRD'!$J:$J,'PROCESOS PRD'!$H:$H,0,0)=0,"",XLOOKUP(CONCAT(CN58,CO58),'PROCESOS PRD'!$J:$J,'PROCESOS PRD'!$H:$H,0,0)),"")</f>
        <v/>
      </c>
      <c r="CR58" s="70"/>
      <c r="CS58" s="71"/>
      <c r="CT58" s="32"/>
      <c r="CU58" s="72" t="str">
        <f t="array" ref="CU58">IFERROR(IF(XLOOKUP(CONCAT(CS58,CT58),'MASTER PLAN'!$AB:$AB,'MASTER PLAN'!$J:$J,0,0)=0,"",XLOOKUP(CONCAT(CS58,CT58),'MASTER PLAN'!$AB:$AB,'MASTER PLAN'!$J:$J,0,0)),"")</f>
        <v/>
      </c>
      <c r="CV58" s="73" t="str">
        <f t="array" ref="CV58">IFERROR(IF(XLOOKUP(CONCAT(CS58,CT58),'PROCESOS PRD'!$J:$J,'PROCESOS PRD'!$H:$H,0,0)=0,"",XLOOKUP(CONCAT(CS58,CT58),'PROCESOS PRD'!$J:$J,'PROCESOS PRD'!$H:$H,0,0)),"")</f>
        <v/>
      </c>
      <c r="CW58" s="71"/>
      <c r="CX58" s="32"/>
      <c r="CY58" s="72" t="str">
        <f t="array" ref="CY58">IFERROR(IF(XLOOKUP(CONCAT(CW58,CX58),'MASTER PLAN'!$AB:$AB,'MASTER PLAN'!$J:$J,0,0)=0,"",XLOOKUP(CONCAT(CW58,CX58),'MASTER PLAN'!$AB:$AB,'MASTER PLAN'!$J:$J,0,0)),"")</f>
        <v/>
      </c>
      <c r="CZ58" s="73" t="str">
        <f t="array" ref="CZ58">IFERROR(IF(XLOOKUP(CONCAT(CW58,CX58),'PROCESOS PRD'!$J:$J,'PROCESOS PRD'!$H:$H,0,0)=0,"",XLOOKUP(CONCAT(CW58,CX58),'PROCESOS PRD'!$J:$J,'PROCESOS PRD'!$H:$H,0,0)),"")</f>
        <v/>
      </c>
      <c r="DA58" s="71"/>
      <c r="DB58" s="32"/>
      <c r="DC58" s="72" t="str">
        <f t="array" ref="DC58">IFERROR(IF(XLOOKUP(CONCAT(DA58,DB58),'MASTER PLAN'!$AB:$AB,'MASTER PLAN'!$J:$J,0,0)=0,"",XLOOKUP(CONCAT(DA58,DB58),'MASTER PLAN'!$AB:$AB,'MASTER PLAN'!$J:$J,0,0)),"")</f>
        <v/>
      </c>
      <c r="DD58" s="73" t="str">
        <f t="array" ref="DD58">IFERROR(IF(XLOOKUP(CONCAT(DA58,DB58),'PROCESOS PRD'!$J:$J,'PROCESOS PRD'!$H:$H,0,0)=0,"",XLOOKUP(CONCAT(DA58,DB58),'PROCESOS PRD'!$J:$J,'PROCESOS PRD'!$H:$H,0,0)),"")</f>
        <v/>
      </c>
      <c r="DE58" s="71"/>
      <c r="DF58" s="32"/>
      <c r="DG58" s="72" t="str">
        <f t="array" ref="DG58">IFERROR(IF(XLOOKUP(CONCAT(DE58,DF58),'MASTER PLAN'!$AB:$AB,'MASTER PLAN'!$J:$J,0,0)=0,"",XLOOKUP(CONCAT(DE58,DF58),'MASTER PLAN'!$AB:$AB,'MASTER PLAN'!$J:$J,0,0)),"")</f>
        <v/>
      </c>
      <c r="DH58" s="73" t="str">
        <f t="array" ref="DH58">IFERROR(IF(XLOOKUP(CONCAT(DE58,DF58),'PROCESOS PRD'!$J:$J,'PROCESOS PRD'!$H:$H,0,0)=0,"",XLOOKUP(CONCAT(DE58,DF58),'PROCESOS PRD'!$J:$J,'PROCESOS PRD'!$H:$H,0,0)),"")</f>
        <v/>
      </c>
      <c r="DI58" s="71"/>
      <c r="DJ58" s="32"/>
      <c r="DK58" s="72" t="str">
        <f t="array" ref="DK58">IFERROR(IF(XLOOKUP(CONCAT(DI58,DJ58),'MASTER PLAN'!$AB:$AB,'MASTER PLAN'!$J:$J,0,0)=0,"",XLOOKUP(CONCAT(DI58,DJ58),'MASTER PLAN'!$AB:$AB,'MASTER PLAN'!$J:$J,0,0)),"")</f>
        <v/>
      </c>
      <c r="DL58" s="73" t="str">
        <f t="array" ref="DL58">IFERROR(IF(XLOOKUP(CONCAT(DI58,DJ58),'PROCESOS PRD'!$J:$J,'PROCESOS PRD'!$H:$H,0,0)=0,"",XLOOKUP(CONCAT(DI58,DJ58),'PROCESOS PRD'!$J:$J,'PROCESOS PRD'!$H:$H,0,0)),"")</f>
        <v/>
      </c>
      <c r="DM58" s="71"/>
      <c r="DN58" s="32"/>
      <c r="DO58" s="72" t="str">
        <f t="array" ref="DO58">IFERROR(IF(XLOOKUP(CONCAT(DM58,DN58),'MASTER PLAN'!$AB:$AB,'MASTER PLAN'!$J:$J,0,0)=0,"",XLOOKUP(CONCAT(DM58,DN58),'MASTER PLAN'!$AB:$AB,'MASTER PLAN'!$J:$J,0,0)),"")</f>
        <v/>
      </c>
      <c r="DP58" s="73" t="str">
        <f t="array" ref="DP58">IFERROR(IF(XLOOKUP(CONCAT(DM58,DN58),'PROCESOS PRD'!$J:$J,'PROCESOS PRD'!$H:$H,0,0)=0,"",XLOOKUP(CONCAT(DM58,DN58),'PROCESOS PRD'!$J:$J,'PROCESOS PRD'!$H:$H,0,0)),"")</f>
        <v/>
      </c>
      <c r="DQ58" s="70"/>
      <c r="DR58" s="71"/>
      <c r="DS58" s="32"/>
      <c r="DT58" s="72" t="str">
        <f t="array" ref="DT58">IFERROR(IF(XLOOKUP(CONCAT(DR58,DS58),'MASTER PLAN'!$AB:$AB,'MASTER PLAN'!$J:$J,0,0)=0,"",XLOOKUP(CONCAT(DR58,DS58),'MASTER PLAN'!$AB:$AB,'MASTER PLAN'!$J:$J,0,0)),"")</f>
        <v/>
      </c>
      <c r="DU58" s="73" t="str">
        <f t="array" ref="DU58">IFERROR(IF(XLOOKUP(CONCAT(DR58,DS58),'PROCESOS PRD'!$J:$J,'PROCESOS PRD'!$H:$H,0,0)=0,"",XLOOKUP(CONCAT(DR58,DS58),'PROCESOS PRD'!$J:$J,'PROCESOS PRD'!$H:$H,0,0)),"")</f>
        <v/>
      </c>
      <c r="DV58" s="71"/>
      <c r="DW58" s="32"/>
      <c r="DX58" s="72" t="str">
        <f t="array" ref="DX58">IFERROR(IF(XLOOKUP(CONCAT(DV58,DW58),'MASTER PLAN'!$AB:$AB,'MASTER PLAN'!$J:$J,0,0)=0,"",XLOOKUP(CONCAT(DV58,DW58),'MASTER PLAN'!$AB:$AB,'MASTER PLAN'!$J:$J,0,0)),"")</f>
        <v/>
      </c>
      <c r="DY58" s="73" t="str">
        <f t="array" ref="DY58">IFERROR(IF(XLOOKUP(CONCAT(DV58,DW58),'PROCESOS PRD'!$J:$J,'PROCESOS PRD'!$H:$H,0,0)=0,"",XLOOKUP(CONCAT(DV58,DW58),'PROCESOS PRD'!$J:$J,'PROCESOS PRD'!$H:$H,0,0)),"")</f>
        <v/>
      </c>
      <c r="DZ58" s="71"/>
      <c r="EA58" s="32"/>
      <c r="EB58" s="72" t="str">
        <f t="array" ref="EB58">IFERROR(IF(XLOOKUP(CONCAT(DZ58,EA58),'MASTER PLAN'!$AB:$AB,'MASTER PLAN'!$J:$J,0,0)=0,"",XLOOKUP(CONCAT(DZ58,EA58),'MASTER PLAN'!$AB:$AB,'MASTER PLAN'!$J:$J,0,0)),"")</f>
        <v/>
      </c>
      <c r="EC58" s="73" t="str">
        <f t="array" ref="EC58">IFERROR(IF(XLOOKUP(CONCAT(DZ58,EA58),'PROCESOS PRD'!$J:$J,'PROCESOS PRD'!$H:$H,0,0)=0,"",XLOOKUP(CONCAT(DZ58,EA58),'PROCESOS PRD'!$J:$J,'PROCESOS PRD'!$H:$H,0,0)),"")</f>
        <v/>
      </c>
      <c r="ED58" s="71"/>
      <c r="EE58" s="32"/>
      <c r="EF58" s="72" t="str">
        <f t="array" ref="EF58">IFERROR(IF(XLOOKUP(CONCAT(ED58,EE58),'MASTER PLAN'!$AB:$AB,'MASTER PLAN'!$J:$J,0,0)=0,"",XLOOKUP(CONCAT(ED58,EE58),'MASTER PLAN'!$AB:$AB,'MASTER PLAN'!$J:$J,0,0)),"")</f>
        <v/>
      </c>
      <c r="EG58" s="73" t="str">
        <f t="array" ref="EG58">IFERROR(IF(XLOOKUP(CONCAT(ED58,EE58),'PROCESOS PRD'!$J:$J,'PROCESOS PRD'!$H:$H,0,0)=0,"",XLOOKUP(CONCAT(ED58,EE58),'PROCESOS PRD'!$J:$J,'PROCESOS PRD'!$H:$H,0,0)),"")</f>
        <v/>
      </c>
      <c r="EH58" s="71"/>
      <c r="EI58" s="32"/>
      <c r="EJ58" s="72" t="str">
        <f t="array" ref="EJ58">IFERROR(IF(XLOOKUP(CONCAT(EH58,EI58),'MASTER PLAN'!$AB:$AB,'MASTER PLAN'!$J:$J,0,0)=0,"",XLOOKUP(CONCAT(EH58,EI58),'MASTER PLAN'!$AB:$AB,'MASTER PLAN'!$J:$J,0,0)),"")</f>
        <v/>
      </c>
      <c r="EK58" s="73" t="str">
        <f t="array" ref="EK58">IFERROR(IF(XLOOKUP(CONCAT(EH58,EI58),'PROCESOS PRD'!$J:$J,'PROCESOS PRD'!$H:$H,0,0)=0,"",XLOOKUP(CONCAT(EH58,EI58),'PROCESOS PRD'!$J:$J,'PROCESOS PRD'!$H:$H,0,0)),"")</f>
        <v/>
      </c>
      <c r="EL58" s="71"/>
      <c r="EM58" s="32"/>
      <c r="EN58" s="72" t="str">
        <f t="array" ref="EN58">IFERROR(IF(XLOOKUP(CONCAT(EL58,EM58),'MASTER PLAN'!$AB:$AB,'MASTER PLAN'!$J:$J,0,0)=0,"",XLOOKUP(CONCAT(EL58,EM58),'MASTER PLAN'!$AB:$AB,'MASTER PLAN'!$J:$J,0,0)),"")</f>
        <v/>
      </c>
      <c r="EO58" s="73" t="str">
        <f t="array" ref="EO58">IFERROR(IF(XLOOKUP(CONCAT(EL58,EM58),'PROCESOS PRD'!$J:$J,'PROCESOS PRD'!$H:$H,0,0)=0,"",XLOOKUP(CONCAT(EL58,EM58),'PROCESOS PRD'!$J:$J,'PROCESOS PRD'!$H:$H,0,0)),"")</f>
        <v/>
      </c>
      <c r="EP58" s="70"/>
      <c r="EQ58" s="71"/>
      <c r="ER58" s="32"/>
      <c r="ES58" s="72" t="str">
        <f t="array" ref="ES58">IFERROR(IF(XLOOKUP(CONCAT(EQ58,ER58),'MASTER PLAN'!$AB:$AB,'MASTER PLAN'!$J:$J,0,0)=0,"",XLOOKUP(CONCAT(EQ58,ER58),'MASTER PLAN'!$AB:$AB,'MASTER PLAN'!$J:$J,0,0)),"")</f>
        <v/>
      </c>
      <c r="ET58" s="73" t="str">
        <f t="array" ref="ET58">IFERROR(IF(XLOOKUP(CONCAT(EQ58,ER58),'PROCESOS PRD'!$J:$J,'PROCESOS PRD'!$H:$H,0,0)=0,"",XLOOKUP(CONCAT(EQ58,ER58),'PROCESOS PRD'!$J:$J,'PROCESOS PRD'!$H:$H,0,0)),"")</f>
        <v/>
      </c>
      <c r="EU58" s="71"/>
      <c r="EV58" s="32"/>
      <c r="EW58" s="72" t="str">
        <f t="array" ref="EW58">IFERROR(IF(XLOOKUP(CONCAT(EU58,EV58),'MASTER PLAN'!$AB:$AB,'MASTER PLAN'!$J:$J,0,0)=0,"",XLOOKUP(CONCAT(EU58,EV58),'MASTER PLAN'!$AB:$AB,'MASTER PLAN'!$J:$J,0,0)),"")</f>
        <v/>
      </c>
      <c r="EX58" s="73" t="str">
        <f t="array" ref="EX58">IFERROR(IF(XLOOKUP(CONCAT(EU58,EV58),'PROCESOS PRD'!$J:$J,'PROCESOS PRD'!$H:$H,0,0)=0,"",XLOOKUP(CONCAT(EU58,EV58),'PROCESOS PRD'!$J:$J,'PROCESOS PRD'!$H:$H,0,0)),"")</f>
        <v/>
      </c>
      <c r="EY58" s="71"/>
      <c r="EZ58" s="32"/>
      <c r="FA58" s="72" t="str">
        <f t="array" ref="FA58">IFERROR(IF(XLOOKUP(CONCAT(EY58,EZ58),'MASTER PLAN'!$AB:$AB,'MASTER PLAN'!$J:$J,0,0)=0,"",XLOOKUP(CONCAT(EY58,EZ58),'MASTER PLAN'!$AB:$AB,'MASTER PLAN'!$J:$J,0,0)),"")</f>
        <v/>
      </c>
      <c r="FB58" s="73" t="str">
        <f t="array" ref="FB58">IFERROR(IF(XLOOKUP(CONCAT(EY58,EZ58),'PROCESOS PRD'!$J:$J,'PROCESOS PRD'!$H:$H,0,0)=0,"",XLOOKUP(CONCAT(EY58,EZ58),'PROCESOS PRD'!$J:$J,'PROCESOS PRD'!$H:$H,0,0)),"")</f>
        <v/>
      </c>
      <c r="FC58" s="71"/>
      <c r="FD58" s="32"/>
      <c r="FE58" s="72" t="str">
        <f t="array" ref="FE58">IFERROR(IF(XLOOKUP(CONCAT(FC58,FD58),'MASTER PLAN'!$AB:$AB,'MASTER PLAN'!$J:$J,0,0)=0,"",XLOOKUP(CONCAT(FC58,FD58),'MASTER PLAN'!$AB:$AB,'MASTER PLAN'!$J:$J,0,0)),"")</f>
        <v/>
      </c>
      <c r="FF58" s="73" t="str">
        <f t="array" ref="FF58">IFERROR(IF(XLOOKUP(CONCAT(FC58,FD58),'PROCESOS PRD'!$J:$J,'PROCESOS PRD'!$H:$H,0,0)=0,"",XLOOKUP(CONCAT(FC58,FD58),'PROCESOS PRD'!$J:$J,'PROCESOS PRD'!$H:$H,0,0)),"")</f>
        <v/>
      </c>
      <c r="FG58" s="71"/>
      <c r="FH58" s="32"/>
      <c r="FI58" s="72" t="str">
        <f t="array" ref="FI58">IFERROR(IF(XLOOKUP(CONCAT(FG58,FH58),'MASTER PLAN'!$AB:$AB,'MASTER PLAN'!$J:$J,0,0)=0,"",XLOOKUP(CONCAT(FG58,FH58),'MASTER PLAN'!$AB:$AB,'MASTER PLAN'!$J:$J,0,0)),"")</f>
        <v/>
      </c>
      <c r="FJ58" s="73" t="str">
        <f t="array" ref="FJ58">IFERROR(IF(XLOOKUP(CONCAT(FG58,FH58),'PROCESOS PRD'!$J:$J,'PROCESOS PRD'!$H:$H,0,0)=0,"",XLOOKUP(CONCAT(FG58,FH58),'PROCESOS PRD'!$J:$J,'PROCESOS PRD'!$H:$H,0,0)),"")</f>
        <v/>
      </c>
      <c r="FK58" s="71"/>
      <c r="FL58" s="32"/>
      <c r="FM58" s="72" t="str">
        <f t="array" ref="FM58">IFERROR(IF(XLOOKUP(CONCAT(FK58,FL58),'MASTER PLAN'!$AB:$AB,'MASTER PLAN'!$J:$J,0,0)=0,"",XLOOKUP(CONCAT(FK58,FL58),'MASTER PLAN'!$AB:$AB,'MASTER PLAN'!$J:$J,0,0)),"")</f>
        <v/>
      </c>
      <c r="FN58" s="73" t="str">
        <f t="array" ref="FN58">IFERROR(IF(XLOOKUP(CONCAT(FK58,FL58),'PROCESOS PRD'!$J:$J,'PROCESOS PRD'!$H:$H,0,0)=0,"",XLOOKUP(CONCAT(FK58,FL58),'PROCESOS PRD'!$J:$J,'PROCESOS PRD'!$H:$H,0,0)),"")</f>
        <v/>
      </c>
      <c r="FO58" s="70"/>
      <c r="FP58" s="71"/>
      <c r="FQ58" s="32"/>
      <c r="FR58" s="72" t="str">
        <f t="array" ref="FR58">IFERROR(IF(XLOOKUP(CONCAT(FP58,FQ58),'MASTER PLAN'!$AB:$AB,'MASTER PLAN'!$J:$J,0,0)=0,"",XLOOKUP(CONCAT(FP58,FQ58),'MASTER PLAN'!$AB:$AB,'MASTER PLAN'!$J:$J,0,0)),"")</f>
        <v/>
      </c>
      <c r="FS58" s="73" t="str">
        <f t="array" ref="FS58">IFERROR(IF(XLOOKUP(CONCAT(FP58,FQ58),'PROCESOS PRD'!$J:$J,'PROCESOS PRD'!$H:$H,0,0)=0,"",XLOOKUP(CONCAT(FP58,FQ58),'PROCESOS PRD'!$J:$J,'PROCESOS PRD'!$H:$H,0,0)),"")</f>
        <v/>
      </c>
      <c r="FT58" s="71"/>
      <c r="FU58" s="32"/>
      <c r="FV58" s="72" t="str">
        <f t="array" ref="FV58">IFERROR(IF(XLOOKUP(CONCAT(FT58,FU58),'MASTER PLAN'!$AB:$AB,'MASTER PLAN'!$J:$J,0,0)=0,"",XLOOKUP(CONCAT(FT58,FU58),'MASTER PLAN'!$AB:$AB,'MASTER PLAN'!$J:$J,0,0)),"")</f>
        <v/>
      </c>
      <c r="FW58" s="73" t="str">
        <f t="array" ref="FW58">IFERROR(IF(XLOOKUP(CONCAT(FT58,FU58),'PROCESOS PRD'!$J:$J,'PROCESOS PRD'!$H:$H,0,0)=0,"",XLOOKUP(CONCAT(FT58,FU58),'PROCESOS PRD'!$J:$J,'PROCESOS PRD'!$H:$H,0,0)),"")</f>
        <v/>
      </c>
      <c r="FX58" s="71"/>
      <c r="FY58" s="32"/>
      <c r="FZ58" s="72" t="str">
        <f t="array" ref="FZ58">IFERROR(IF(XLOOKUP(CONCAT(FX58,FY58),'MASTER PLAN'!$AB:$AB,'MASTER PLAN'!$J:$J,0,0)=0,"",XLOOKUP(CONCAT(FX58,FY58),'MASTER PLAN'!$AB:$AB,'MASTER PLAN'!$J:$J,0,0)),"")</f>
        <v/>
      </c>
      <c r="GA58" s="73" t="str">
        <f t="array" ref="GA58">IFERROR(IF(XLOOKUP(CONCAT(FX58,FY58),'PROCESOS PRD'!$J:$J,'PROCESOS PRD'!$H:$H,0,0)=0,"",XLOOKUP(CONCAT(FX58,FY58),'PROCESOS PRD'!$J:$J,'PROCESOS PRD'!$H:$H,0,0)),"")</f>
        <v/>
      </c>
      <c r="GB58" s="71"/>
      <c r="GC58" s="32"/>
      <c r="GD58" s="72" t="str">
        <f t="array" ref="GD58">IFERROR(IF(XLOOKUP(CONCAT(GB58,GC58),'MASTER PLAN'!$AB:$AB,'MASTER PLAN'!$J:$J,0,0)=0,"",XLOOKUP(CONCAT(GB58,GC58),'MASTER PLAN'!$AB:$AB,'MASTER PLAN'!$J:$J,0,0)),"")</f>
        <v/>
      </c>
      <c r="GE58" s="73" t="str">
        <f t="array" ref="GE58">IFERROR(IF(XLOOKUP(CONCAT(GB58,GC58),'PROCESOS PRD'!$J:$J,'PROCESOS PRD'!$H:$H,0,0)=0,"",XLOOKUP(CONCAT(GB58,GC58),'PROCESOS PRD'!$J:$J,'PROCESOS PRD'!$H:$H,0,0)),"")</f>
        <v/>
      </c>
      <c r="GF58" s="71"/>
      <c r="GG58" s="32"/>
      <c r="GH58" s="72" t="str">
        <f t="array" ref="GH58">IFERROR(IF(XLOOKUP(CONCAT(GF58,GG58),'MASTER PLAN'!$AB:$AB,'MASTER PLAN'!$J:$J,0,0)=0,"",XLOOKUP(CONCAT(GF58,GG58),'MASTER PLAN'!$AB:$AB,'MASTER PLAN'!$J:$J,0,0)),"")</f>
        <v/>
      </c>
      <c r="GI58" s="73" t="str">
        <f t="array" ref="GI58">IFERROR(IF(XLOOKUP(CONCAT(GF58,GG58),'PROCESOS PRD'!$J:$J,'PROCESOS PRD'!$H:$H,0,0)=0,"",XLOOKUP(CONCAT(GF58,GG58),'PROCESOS PRD'!$J:$J,'PROCESOS PRD'!$H:$H,0,0)),"")</f>
        <v/>
      </c>
      <c r="GJ58" s="71"/>
      <c r="GK58" s="32"/>
      <c r="GL58" s="72" t="str">
        <f t="array" ref="GL58">IFERROR(IF(XLOOKUP(CONCAT(GJ58,GK58),'MASTER PLAN'!$AB:$AB,'MASTER PLAN'!$J:$J,0,0)=0,"",XLOOKUP(CONCAT(GJ58,GK58),'MASTER PLAN'!$AB:$AB,'MASTER PLAN'!$J:$J,0,0)),"")</f>
        <v/>
      </c>
      <c r="GM58" s="73" t="str">
        <f t="array" ref="GM58">IFERROR(IF(XLOOKUP(CONCAT(GJ58,GK58),'PROCESOS PRD'!$J:$J,'PROCESOS PRD'!$H:$H,0,0)=0,"",XLOOKUP(CONCAT(GJ58,GK58),'PROCESOS PRD'!$J:$J,'PROCESOS PRD'!$H:$H,0,0)),"")</f>
        <v/>
      </c>
      <c r="GN58" s="70"/>
      <c r="GO58" s="71"/>
      <c r="GP58" s="32"/>
      <c r="GQ58" s="72" t="str">
        <f t="array" ref="GQ58">IFERROR(IF(XLOOKUP(CONCAT(GO58,GP58),'MASTER PLAN'!$AB:$AB,'MASTER PLAN'!$J:$J,0,0)=0,"",XLOOKUP(CONCAT(GO58,GP58),'MASTER PLAN'!$AB:$AB,'MASTER PLAN'!$J:$J,0,0)),"")</f>
        <v/>
      </c>
      <c r="GR58" s="73" t="str">
        <f t="array" ref="GR58">IFERROR(IF(XLOOKUP(CONCAT(GO58,GP58),'PROCESOS PRD'!$J:$J,'PROCESOS PRD'!$H:$H,0,0)=0,"",XLOOKUP(CONCAT(GO58,GP58),'PROCESOS PRD'!$J:$J,'PROCESOS PRD'!$H:$H,0,0)),"")</f>
        <v/>
      </c>
      <c r="GS58" s="71"/>
      <c r="GT58" s="32"/>
      <c r="GU58" s="72" t="str">
        <f t="array" ref="GU58">IFERROR(IF(XLOOKUP(CONCAT(GS58,GT58),'MASTER PLAN'!$AB:$AB,'MASTER PLAN'!$J:$J,0,0)=0,"",XLOOKUP(CONCAT(GS58,GT58),'MASTER PLAN'!$AB:$AB,'MASTER PLAN'!$J:$J,0,0)),"")</f>
        <v/>
      </c>
      <c r="GV58" s="73" t="str">
        <f t="array" ref="GV58">IFERROR(IF(XLOOKUP(CONCAT(GS58,GT58),'PROCESOS PRD'!$J:$J,'PROCESOS PRD'!$H:$H,0,0)=0,"",XLOOKUP(CONCAT(GS58,GT58),'PROCESOS PRD'!$J:$J,'PROCESOS PRD'!$H:$H,0,0)),"")</f>
        <v/>
      </c>
      <c r="GW58" s="71"/>
      <c r="GX58" s="32"/>
      <c r="GY58" s="72" t="str">
        <f t="array" ref="GY58">IFERROR(IF(XLOOKUP(CONCAT(GW58,GX58),'MASTER PLAN'!$AB:$AB,'MASTER PLAN'!$J:$J,0,0)=0,"",XLOOKUP(CONCAT(GW58,GX58),'MASTER PLAN'!$AB:$AB,'MASTER PLAN'!$J:$J,0,0)),"")</f>
        <v/>
      </c>
      <c r="GZ58" s="73" t="str">
        <f t="array" ref="GZ58">IFERROR(IF(XLOOKUP(CONCAT(GW58,GX58),'PROCESOS PRD'!$J:$J,'PROCESOS PRD'!$H:$H,0,0)=0,"",XLOOKUP(CONCAT(GW58,GX58),'PROCESOS PRD'!$J:$J,'PROCESOS PRD'!$H:$H,0,0)),"")</f>
        <v/>
      </c>
      <c r="HA58" s="71"/>
      <c r="HB58" s="32"/>
      <c r="HC58" s="72" t="str">
        <f t="array" ref="HC58">IFERROR(IF(XLOOKUP(CONCAT(HA58,HB58),'MASTER PLAN'!$AB:$AB,'MASTER PLAN'!$J:$J,0,0)=0,"",XLOOKUP(CONCAT(HA58,HB58),'MASTER PLAN'!$AB:$AB,'MASTER PLAN'!$J:$J,0,0)),"")</f>
        <v/>
      </c>
      <c r="HD58" s="73" t="str">
        <f t="array" ref="HD58">IFERROR(IF(XLOOKUP(CONCAT(HA58,HB58),'PROCESOS PRD'!$J:$J,'PROCESOS PRD'!$H:$H,0,0)=0,"",XLOOKUP(CONCAT(HA58,HB58),'PROCESOS PRD'!$J:$J,'PROCESOS PRD'!$H:$H,0,0)),"")</f>
        <v/>
      </c>
      <c r="HE58" s="71"/>
      <c r="HF58" s="32"/>
      <c r="HG58" s="72" t="str">
        <f t="array" ref="HG58">IFERROR(IF(XLOOKUP(CONCAT(HE58,HF58),'MASTER PLAN'!$AB:$AB,'MASTER PLAN'!$J:$J,0,0)=0,"",XLOOKUP(CONCAT(HE58,HF58),'MASTER PLAN'!$AB:$AB,'MASTER PLAN'!$J:$J,0,0)),"")</f>
        <v/>
      </c>
      <c r="HH58" s="73" t="str">
        <f t="array" ref="HH58">IFERROR(IF(XLOOKUP(CONCAT(HE58,HF58),'PROCESOS PRD'!$J:$J,'PROCESOS PRD'!$H:$H,0,0)=0,"",XLOOKUP(CONCAT(HE58,HF58),'PROCESOS PRD'!$J:$J,'PROCESOS PRD'!$H:$H,0,0)),"")</f>
        <v/>
      </c>
      <c r="HI58" s="71"/>
      <c r="HJ58" s="32"/>
      <c r="HK58" s="72" t="str">
        <f t="array" ref="HK58">IFERROR(IF(XLOOKUP(CONCAT(HI58,HJ58),'MASTER PLAN'!$AB:$AB,'MASTER PLAN'!$J:$J,0,0)=0,"",XLOOKUP(CONCAT(HI58,HJ58),'MASTER PLAN'!$AB:$AB,'MASTER PLAN'!$J:$J,0,0)),"")</f>
        <v/>
      </c>
      <c r="HL58" s="73" t="str">
        <f t="array" ref="HL58">IFERROR(IF(XLOOKUP(CONCAT(HI58,HJ58),'PROCESOS PRD'!$J:$J,'PROCESOS PRD'!$H:$H,0,0)=0,"",XLOOKUP(CONCAT(HI58,HJ58),'PROCESOS PRD'!$J:$J,'PROCESOS PRD'!$H:$H,0,0)),"")</f>
        <v/>
      </c>
      <c r="HM58" s="70"/>
      <c r="HN58" s="71"/>
      <c r="HO58" s="32"/>
      <c r="HP58" s="72" t="str">
        <f t="array" ref="HP58">IFERROR(IF(XLOOKUP(CONCAT(HN58,HO58),'MASTER PLAN'!$AB:$AB,'MASTER PLAN'!$J:$J,0,0)=0,"",XLOOKUP(CONCAT(HN58,HO58),'MASTER PLAN'!$AB:$AB,'MASTER PLAN'!$J:$J,0,0)),"")</f>
        <v/>
      </c>
      <c r="HQ58" s="73" t="str">
        <f t="array" ref="HQ58">IFERROR(IF(XLOOKUP(CONCAT(HN58,HO58),'PROCESOS PRD'!$J:$J,'PROCESOS PRD'!$H:$H,0,0)=0,"",XLOOKUP(CONCAT(HN58,HO58),'PROCESOS PRD'!$J:$J,'PROCESOS PRD'!$H:$H,0,0)),"")</f>
        <v/>
      </c>
      <c r="HR58" s="71"/>
      <c r="HS58" s="32"/>
      <c r="HT58" s="72" t="str">
        <f t="array" ref="HT58">IFERROR(IF(XLOOKUP(CONCAT(HR58,HS58),'MASTER PLAN'!$AB:$AB,'MASTER PLAN'!$J:$J,0,0)=0,"",XLOOKUP(CONCAT(HR58,HS58),'MASTER PLAN'!$AB:$AB,'MASTER PLAN'!$J:$J,0,0)),"")</f>
        <v/>
      </c>
      <c r="HU58" s="73" t="str">
        <f t="array" ref="HU58">IFERROR(IF(XLOOKUP(CONCAT(HR58,HS58),'PROCESOS PRD'!$J:$J,'PROCESOS PRD'!$H:$H,0,0)=0,"",XLOOKUP(CONCAT(HR58,HS58),'PROCESOS PRD'!$J:$J,'PROCESOS PRD'!$H:$H,0,0)),"")</f>
        <v/>
      </c>
      <c r="HV58" s="71"/>
      <c r="HW58" s="32"/>
      <c r="HX58" s="72" t="str">
        <f t="array" ref="HX58">IFERROR(IF(XLOOKUP(CONCAT(HV58,HW58),'MASTER PLAN'!$AB:$AB,'MASTER PLAN'!$J:$J,0,0)=0,"",XLOOKUP(CONCAT(HV58,HW58),'MASTER PLAN'!$AB:$AB,'MASTER PLAN'!$J:$J,0,0)),"")</f>
        <v/>
      </c>
      <c r="HY58" s="73" t="str">
        <f t="array" ref="HY58">IFERROR(IF(XLOOKUP(CONCAT(HV58,HW58),'PROCESOS PRD'!$J:$J,'PROCESOS PRD'!$H:$H,0,0)=0,"",XLOOKUP(CONCAT(HV58,HW58),'PROCESOS PRD'!$J:$J,'PROCESOS PRD'!$H:$H,0,0)),"")</f>
        <v/>
      </c>
      <c r="HZ58" s="71"/>
      <c r="IA58" s="32"/>
      <c r="IB58" s="72" t="str">
        <f t="array" ref="IB58">IFERROR(IF(XLOOKUP(CONCAT(HZ58,IA58),'MASTER PLAN'!$AB:$AB,'MASTER PLAN'!$J:$J,0,0)=0,"",XLOOKUP(CONCAT(HZ58,IA58),'MASTER PLAN'!$AB:$AB,'MASTER PLAN'!$J:$J,0,0)),"")</f>
        <v/>
      </c>
      <c r="IC58" s="73" t="str">
        <f t="array" ref="IC58">IFERROR(IF(XLOOKUP(CONCAT(HZ58,IA58),'PROCESOS PRD'!$J:$J,'PROCESOS PRD'!$H:$H,0,0)=0,"",XLOOKUP(CONCAT(HZ58,IA58),'PROCESOS PRD'!$J:$J,'PROCESOS PRD'!$H:$H,0,0)),"")</f>
        <v/>
      </c>
      <c r="ID58" s="71"/>
      <c r="IE58" s="32"/>
      <c r="IF58" s="72" t="str">
        <f t="array" ref="IF58">IFERROR(IF(XLOOKUP(CONCAT(ID58,IE58),'MASTER PLAN'!$AB:$AB,'MASTER PLAN'!$J:$J,0,0)=0,"",XLOOKUP(CONCAT(ID58,IE58),'MASTER PLAN'!$AB:$AB,'MASTER PLAN'!$J:$J,0,0)),"")</f>
        <v/>
      </c>
      <c r="IG58" s="73" t="str">
        <f t="array" ref="IG58">IFERROR(IF(XLOOKUP(CONCAT(ID58,IE58),'PROCESOS PRD'!$J:$J,'PROCESOS PRD'!$H:$H,0,0)=0,"",XLOOKUP(CONCAT(ID58,IE58),'PROCESOS PRD'!$J:$J,'PROCESOS PRD'!$H:$H,0,0)),"")</f>
        <v/>
      </c>
      <c r="IH58" s="71"/>
      <c r="II58" s="32"/>
      <c r="IJ58" s="72" t="str">
        <f t="array" ref="IJ58">IFERROR(IF(XLOOKUP(CONCAT(IH58,II58),'MASTER PLAN'!$AB:$AB,'MASTER PLAN'!$J:$J,0,0)=0,"",XLOOKUP(CONCAT(IH58,II58),'MASTER PLAN'!$AB:$AB,'MASTER PLAN'!$J:$J,0,0)),"")</f>
        <v/>
      </c>
      <c r="IK58" s="73" t="str">
        <f t="array" ref="IK58">IFERROR(IF(XLOOKUP(CONCAT(IH58,II58),'PROCESOS PRD'!$J:$J,'PROCESOS PRD'!$H:$H,0,0)=0,"",XLOOKUP(CONCAT(IH58,II58),'PROCESOS PRD'!$J:$J,'PROCESOS PRD'!$H:$H,0,0)),"")</f>
        <v/>
      </c>
      <c r="IL58" s="70"/>
      <c r="IM58" s="71"/>
      <c r="IN58" s="32"/>
      <c r="IO58" s="72" t="str">
        <f t="array" ref="IO58">IFERROR(IF(XLOOKUP(CONCAT(IM58,IN58),'MASTER PLAN'!$AB:$AB,'MASTER PLAN'!$J:$J,0,0)=0,"",XLOOKUP(CONCAT(IM58,IN58),'MASTER PLAN'!$AB:$AB,'MASTER PLAN'!$J:$J,0,0)),"")</f>
        <v/>
      </c>
      <c r="IP58" s="73" t="str">
        <f t="array" ref="IP58">IFERROR(IF(XLOOKUP(CONCAT(IM58,IN58),'PROCESOS PRD'!$J:$J,'PROCESOS PRD'!$H:$H,0,0)=0,"",XLOOKUP(CONCAT(IM58,IN58),'PROCESOS PRD'!$J:$J,'PROCESOS PRD'!$H:$H,0,0)),"")</f>
        <v/>
      </c>
      <c r="IQ58" s="71"/>
      <c r="IR58" s="32"/>
      <c r="IS58" s="72" t="str">
        <f t="array" ref="IS58">IFERROR(IF(XLOOKUP(CONCAT(IQ58,IR58),'MASTER PLAN'!$AB:$AB,'MASTER PLAN'!$J:$J,0,0)=0,"",XLOOKUP(CONCAT(IQ58,IR58),'MASTER PLAN'!$AB:$AB,'MASTER PLAN'!$J:$J,0,0)),"")</f>
        <v/>
      </c>
      <c r="IT58" s="73" t="str">
        <f t="array" ref="IT58">IFERROR(IF(XLOOKUP(CONCAT(IQ58,IR58),'PROCESOS PRD'!$J:$J,'PROCESOS PRD'!$H:$H,0,0)=0,"",XLOOKUP(CONCAT(IQ58,IR58),'PROCESOS PRD'!$J:$J,'PROCESOS PRD'!$H:$H,0,0)),"")</f>
        <v/>
      </c>
      <c r="IU58" s="71"/>
      <c r="IV58" s="32"/>
      <c r="IW58" s="72" t="str">
        <f t="array" ref="IW58">IFERROR(IF(XLOOKUP(CONCAT(IU58,IV58),'MASTER PLAN'!$AB:$AB,'MASTER PLAN'!$J:$J,0,0)=0,"",XLOOKUP(CONCAT(IU58,IV58),'MASTER PLAN'!$AB:$AB,'MASTER PLAN'!$J:$J,0,0)),"")</f>
        <v/>
      </c>
      <c r="IX58" s="73" t="str">
        <f t="array" ref="IX58">IFERROR(IF(XLOOKUP(CONCAT(IU58,IV58),'PROCESOS PRD'!$J:$J,'PROCESOS PRD'!$H:$H,0,0)=0,"",XLOOKUP(CONCAT(IU58,IV58),'PROCESOS PRD'!$J:$J,'PROCESOS PRD'!$H:$H,0,0)),"")</f>
        <v/>
      </c>
      <c r="IY58" s="71"/>
      <c r="IZ58" s="32"/>
      <c r="JA58" s="72" t="str">
        <f t="array" ref="JA58">IFERROR(IF(XLOOKUP(CONCAT(IY58,IZ58),'MASTER PLAN'!$AB:$AB,'MASTER PLAN'!$J:$J,0,0)=0,"",XLOOKUP(CONCAT(IY58,IZ58),'MASTER PLAN'!$AB:$AB,'MASTER PLAN'!$J:$J,0,0)),"")</f>
        <v/>
      </c>
      <c r="JB58" s="73" t="str">
        <f t="array" ref="JB58">IFERROR(IF(XLOOKUP(CONCAT(IY58,IZ58),'PROCESOS PRD'!$J:$J,'PROCESOS PRD'!$H:$H,0,0)=0,"",XLOOKUP(CONCAT(IY58,IZ58),'PROCESOS PRD'!$J:$J,'PROCESOS PRD'!$H:$H,0,0)),"")</f>
        <v/>
      </c>
      <c r="JC58" s="71"/>
      <c r="JD58" s="32"/>
      <c r="JE58" s="72" t="str">
        <f t="array" ref="JE58">IFERROR(IF(XLOOKUP(CONCAT(JC58,JD58),'MASTER PLAN'!$AB:$AB,'MASTER PLAN'!$J:$J,0,0)=0,"",XLOOKUP(CONCAT(JC58,JD58),'MASTER PLAN'!$AB:$AB,'MASTER PLAN'!$J:$J,0,0)),"")</f>
        <v/>
      </c>
      <c r="JF58" s="73" t="str">
        <f t="array" ref="JF58">IFERROR(IF(XLOOKUP(CONCAT(JC58,JD58),'PROCESOS PRD'!$J:$J,'PROCESOS PRD'!$H:$H,0,0)=0,"",XLOOKUP(CONCAT(JC58,JD58),'PROCESOS PRD'!$J:$J,'PROCESOS PRD'!$H:$H,0,0)),"")</f>
        <v/>
      </c>
      <c r="JG58" s="71"/>
      <c r="JH58" s="32"/>
      <c r="JI58" s="72" t="str">
        <f t="array" ref="JI58">IFERROR(IF(XLOOKUP(CONCAT(JG58,JH58),'MASTER PLAN'!$AB:$AB,'MASTER PLAN'!$J:$J,0,0)=0,"",XLOOKUP(CONCAT(JG58,JH58),'MASTER PLAN'!$AB:$AB,'MASTER PLAN'!$J:$J,0,0)),"")</f>
        <v/>
      </c>
      <c r="JJ58" s="73" t="str">
        <f t="array" ref="JJ58">IFERROR(IF(XLOOKUP(CONCAT(JG58,JH58),'PROCESOS PRD'!$J:$J,'PROCESOS PRD'!$H:$H,0,0)=0,"",XLOOKUP(CONCAT(JG58,JH58),'PROCESOS PRD'!$J:$J,'PROCESOS PRD'!$H:$H,0,0)),"")</f>
        <v/>
      </c>
      <c r="JK58" s="70"/>
      <c r="JL58" s="71"/>
      <c r="JM58" s="32"/>
      <c r="JN58" s="72" t="str">
        <f t="array" ref="JN58">IFERROR(IF(XLOOKUP(CONCAT(JL58,JM58),'MASTER PLAN'!$AB:$AB,'MASTER PLAN'!$J:$J,0,0)=0,"",XLOOKUP(CONCAT(JL58,JM58),'MASTER PLAN'!$AB:$AB,'MASTER PLAN'!$J:$J,0,0)),"")</f>
        <v/>
      </c>
      <c r="JO58" s="73" t="str">
        <f t="array" ref="JO58">IFERROR(IF(XLOOKUP(CONCAT(JL58,JM58),'PROCESOS PRD'!$J:$J,'PROCESOS PRD'!$H:$H,0,0)=0,"",XLOOKUP(CONCAT(JL58,JM58),'PROCESOS PRD'!$J:$J,'PROCESOS PRD'!$H:$H,0,0)),"")</f>
        <v/>
      </c>
      <c r="JP58" s="71"/>
      <c r="JQ58" s="32"/>
      <c r="JR58" s="72" t="str">
        <f t="array" ref="JR58">IFERROR(IF(XLOOKUP(CONCAT(JP58,JQ58),'MASTER PLAN'!$AB:$AB,'MASTER PLAN'!$J:$J,0,0)=0,"",XLOOKUP(CONCAT(JP58,JQ58),'MASTER PLAN'!$AB:$AB,'MASTER PLAN'!$J:$J,0,0)),"")</f>
        <v/>
      </c>
      <c r="JS58" s="73" t="str">
        <f t="array" ref="JS58">IFERROR(IF(XLOOKUP(CONCAT(JP58,JQ58),'PROCESOS PRD'!$J:$J,'PROCESOS PRD'!$H:$H,0,0)=0,"",XLOOKUP(CONCAT(JP58,JQ58),'PROCESOS PRD'!$J:$J,'PROCESOS PRD'!$H:$H,0,0)),"")</f>
        <v/>
      </c>
      <c r="JT58" s="71"/>
      <c r="JU58" s="32"/>
      <c r="JV58" s="72" t="str">
        <f t="array" ref="JV58">IFERROR(IF(XLOOKUP(CONCAT(JT58,JU58),'MASTER PLAN'!$AB:$AB,'MASTER PLAN'!$J:$J,0,0)=0,"",XLOOKUP(CONCAT(JT58,JU58),'MASTER PLAN'!$AB:$AB,'MASTER PLAN'!$J:$J,0,0)),"")</f>
        <v/>
      </c>
      <c r="JW58" s="73" t="str">
        <f t="array" ref="JW58">IFERROR(IF(XLOOKUP(CONCAT(JT58,JU58),'PROCESOS PRD'!$J:$J,'PROCESOS PRD'!$H:$H,0,0)=0,"",XLOOKUP(CONCAT(JT58,JU58),'PROCESOS PRD'!$J:$J,'PROCESOS PRD'!$H:$H,0,0)),"")</f>
        <v/>
      </c>
      <c r="JX58" s="71"/>
      <c r="JY58" s="32"/>
      <c r="JZ58" s="72" t="str">
        <f t="array" ref="JZ58">IFERROR(IF(XLOOKUP(CONCAT(JX58,JY58),'MASTER PLAN'!$AB:$AB,'MASTER PLAN'!$J:$J,0,0)=0,"",XLOOKUP(CONCAT(JX58,JY58),'MASTER PLAN'!$AB:$AB,'MASTER PLAN'!$J:$J,0,0)),"")</f>
        <v/>
      </c>
      <c r="KA58" s="73" t="str">
        <f t="array" ref="KA58">IFERROR(IF(XLOOKUP(CONCAT(JX58,JY58),'PROCESOS PRD'!$J:$J,'PROCESOS PRD'!$H:$H,0,0)=0,"",XLOOKUP(CONCAT(JX58,JY58),'PROCESOS PRD'!$J:$J,'PROCESOS PRD'!$H:$H,0,0)),"")</f>
        <v/>
      </c>
      <c r="KB58" s="71"/>
      <c r="KC58" s="32"/>
      <c r="KD58" s="72" t="str">
        <f t="array" ref="KD58">IFERROR(IF(XLOOKUP(CONCAT(KB58,KC58),'MASTER PLAN'!$AB:$AB,'MASTER PLAN'!$J:$J,0,0)=0,"",XLOOKUP(CONCAT(KB58,KC58),'MASTER PLAN'!$AB:$AB,'MASTER PLAN'!$J:$J,0,0)),"")</f>
        <v/>
      </c>
      <c r="KE58" s="73" t="str">
        <f t="array" ref="KE58">IFERROR(IF(XLOOKUP(CONCAT(KB58,KC58),'PROCESOS PRD'!$J:$J,'PROCESOS PRD'!$H:$H,0,0)=0,"",XLOOKUP(CONCAT(KB58,KC58),'PROCESOS PRD'!$J:$J,'PROCESOS PRD'!$H:$H,0,0)),"")</f>
        <v/>
      </c>
      <c r="KF58" s="71"/>
      <c r="KG58" s="32"/>
      <c r="KH58" s="72" t="str">
        <f t="array" ref="KH58">IFERROR(IF(XLOOKUP(CONCAT(KF58,KG58),'MASTER PLAN'!$AB:$AB,'MASTER PLAN'!$J:$J,0,0)=0,"",XLOOKUP(CONCAT(KF58,KG58),'MASTER PLAN'!$AB:$AB,'MASTER PLAN'!$J:$J,0,0)),"")</f>
        <v/>
      </c>
      <c r="KI58" s="73" t="str">
        <f t="array" ref="KI58">IFERROR(IF(XLOOKUP(CONCAT(KF58,KG58),'PROCESOS PRD'!$J:$J,'PROCESOS PRD'!$H:$H,0,0)=0,"",XLOOKUP(CONCAT(KF58,KG58),'PROCESOS PRD'!$J:$J,'PROCESOS PRD'!$H:$H,0,0)),"")</f>
        <v/>
      </c>
      <c r="KJ58" s="70"/>
      <c r="KK58" s="70"/>
      <c r="KL58" s="70"/>
      <c r="KM58" s="70"/>
      <c r="KN58" s="70"/>
      <c r="KO58" s="70"/>
      <c r="KP58" s="70"/>
      <c r="KQ58" s="70"/>
      <c r="KR58" s="70"/>
      <c r="KS58" s="70"/>
      <c r="KT58" s="70"/>
      <c r="KU58" s="70"/>
      <c r="KV58" s="70"/>
      <c r="KW58" s="70"/>
      <c r="KX58" s="70"/>
      <c r="KY58" s="70"/>
      <c r="KZ58" s="70"/>
      <c r="LA58" s="70"/>
      <c r="LB58" s="70"/>
      <c r="LC58" s="70"/>
    </row>
    <row r="59" ht="15.75" customHeight="1">
      <c r="A59" s="42"/>
      <c r="B59" s="74"/>
      <c r="C59" s="69"/>
      <c r="D59" s="70"/>
      <c r="E59" s="71"/>
      <c r="F59" s="32"/>
      <c r="G59" s="72" t="str">
        <f t="array" ref="G59">IFERROR(IF(XLOOKUP(CONCAT(E59,F59),'MASTER PLAN'!$AB:$AB,'MASTER PLAN'!$J:$J,0,0)=0,"",XLOOKUP(CONCAT(E59,F59),'MASTER PLAN'!$AB:$AB,'MASTER PLAN'!$J:$J,0,0)),"")</f>
        <v/>
      </c>
      <c r="H59" s="73" t="str">
        <f t="array" ref="H59">IFERROR(IF(XLOOKUP(CONCAT(E59,F59),'PROCESOS PRD'!$J:$J,'PROCESOS PRD'!$H:$H,0,0)=0,"",XLOOKUP(CONCAT(E59,F59),'PROCESOS PRD'!$J:$J,'PROCESOS PRD'!$H:$H,0,0)),"")</f>
        <v/>
      </c>
      <c r="I59" s="71"/>
      <c r="J59" s="32"/>
      <c r="K59" s="72" t="str">
        <f t="array" ref="K59">IFERROR(IF(XLOOKUP(CONCAT(I59,J59),'MASTER PLAN'!$AB:$AB,'MASTER PLAN'!$J:$J,0,0)=0,"",XLOOKUP(CONCAT(I59,J59),'MASTER PLAN'!$AB:$AB,'MASTER PLAN'!$J:$J,0,0)),"")</f>
        <v/>
      </c>
      <c r="L59" s="73" t="str">
        <f t="array" ref="L59">IFERROR(IF(XLOOKUP(CONCAT(I59,J59),'PROCESOS PRD'!$J:$J,'PROCESOS PRD'!$H:$H,0,0)=0,"",XLOOKUP(CONCAT(I59,J59),'PROCESOS PRD'!$J:$J,'PROCESOS PRD'!$H:$H,0,0)),"")</f>
        <v/>
      </c>
      <c r="M59" s="71"/>
      <c r="N59" s="32"/>
      <c r="O59" s="72" t="str">
        <f t="array" ref="O59">IFERROR(IF(XLOOKUP(CONCAT(M59,N59),'MASTER PLAN'!$AB:$AB,'MASTER PLAN'!$J:$J,0,0)=0,"",XLOOKUP(CONCAT(M59,N59),'MASTER PLAN'!$AB:$AB,'MASTER PLAN'!$J:$J,0,0)),"")</f>
        <v/>
      </c>
      <c r="P59" s="73" t="str">
        <f t="array" ref="P59">IFERROR(IF(XLOOKUP(CONCAT(M59,N59),'PROCESOS PRD'!$J:$J,'PROCESOS PRD'!$H:$H,0,0)=0,"",XLOOKUP(CONCAT(M59,N59),'PROCESOS PRD'!$J:$J,'PROCESOS PRD'!$H:$H,0,0)),"")</f>
        <v/>
      </c>
      <c r="Q59" s="71"/>
      <c r="R59" s="32"/>
      <c r="S59" s="72" t="str">
        <f t="array" ref="S59">IFERROR(IF(XLOOKUP(CONCAT(Q59,R59),'MASTER PLAN'!$AB:$AB,'MASTER PLAN'!$J:$J,0,0)=0,"",XLOOKUP(CONCAT(Q59,R59),'MASTER PLAN'!$AB:$AB,'MASTER PLAN'!$J:$J,0,0)),"")</f>
        <v/>
      </c>
      <c r="T59" s="73" t="str">
        <f t="array" ref="T59">IFERROR(IF(XLOOKUP(CONCAT(Q59,R59),'PROCESOS PRD'!$J:$J,'PROCESOS PRD'!$H:$H,0,0)=0,"",XLOOKUP(CONCAT(Q59,R59),'PROCESOS PRD'!$J:$J,'PROCESOS PRD'!$H:$H,0,0)),"")</f>
        <v/>
      </c>
      <c r="U59" s="70"/>
      <c r="V59" s="71"/>
      <c r="W59" s="32"/>
      <c r="X59" s="72" t="str">
        <f t="array" ref="X59">IFERROR(IF(XLOOKUP(CONCAT(V59,W59),'MASTER PLAN'!$AB:$AB,'MASTER PLAN'!$J:$J,0,0)=0,"",XLOOKUP(CONCAT(V59,W59),'MASTER PLAN'!$AB:$AB,'MASTER PLAN'!$J:$J,0,0)),"")</f>
        <v/>
      </c>
      <c r="Y59" s="73" t="str">
        <f t="array" ref="Y59">IFERROR(IF(XLOOKUP(CONCAT(V59,W59),'PROCESOS PRD'!$J:$J,'PROCESOS PRD'!$H:$H,0,0)=0,"",XLOOKUP(CONCAT(V59,W59),'PROCESOS PRD'!$J:$J,'PROCESOS PRD'!$H:$H,0,0)),"")</f>
        <v/>
      </c>
      <c r="Z59" s="71"/>
      <c r="AA59" s="32"/>
      <c r="AB59" s="72" t="str">
        <f t="array" ref="AB59">IFERROR(IF(XLOOKUP(CONCAT(Z59,AA59),'MASTER PLAN'!$AB:$AB,'MASTER PLAN'!$J:$J,0,0)=0,"",XLOOKUP(CONCAT(Z59,AA59),'MASTER PLAN'!$AB:$AB,'MASTER PLAN'!$J:$J,0,0)),"")</f>
        <v/>
      </c>
      <c r="AC59" s="73" t="str">
        <f t="array" ref="AC59">IFERROR(IF(XLOOKUP(CONCAT(Z59,AA59),'PROCESOS PRD'!$J:$J,'PROCESOS PRD'!$H:$H,0,0)=0,"",XLOOKUP(CONCAT(Z59,AA59),'PROCESOS PRD'!$J:$J,'PROCESOS PRD'!$H:$H,0,0)),"")</f>
        <v/>
      </c>
      <c r="AD59" s="71"/>
      <c r="AE59" s="32"/>
      <c r="AF59" s="72" t="str">
        <f t="array" ref="AF59">IFERROR(IF(XLOOKUP(CONCAT(AD59,AE59),'MASTER PLAN'!$AB:$AB,'MASTER PLAN'!$J:$J,0,0)=0,"",XLOOKUP(CONCAT(AD59,AE59),'MASTER PLAN'!$AB:$AB,'MASTER PLAN'!$J:$J,0,0)),"")</f>
        <v/>
      </c>
      <c r="AG59" s="73" t="str">
        <f t="array" ref="AG59">IFERROR(IF(XLOOKUP(CONCAT(AD59,AE59),'PROCESOS PRD'!$J:$J,'PROCESOS PRD'!$H:$H,0,0)=0,"",XLOOKUP(CONCAT(AD59,AE59),'PROCESOS PRD'!$J:$J,'PROCESOS PRD'!$H:$H,0,0)),"")</f>
        <v/>
      </c>
      <c r="AH59" s="71"/>
      <c r="AI59" s="32"/>
      <c r="AJ59" s="72" t="str">
        <f t="array" ref="AJ59">IFERROR(IF(XLOOKUP(CONCAT(AH59,AI59),'MASTER PLAN'!$AB:$AB,'MASTER PLAN'!$J:$J,0,0)=0,"",XLOOKUP(CONCAT(AH59,AI59),'MASTER PLAN'!$AB:$AB,'MASTER PLAN'!$J:$J,0,0)),"")</f>
        <v/>
      </c>
      <c r="AK59" s="73" t="str">
        <f t="array" ref="AK59">IFERROR(IF(XLOOKUP(CONCAT(AH59,AI59),'PROCESOS PRD'!$J:$J,'PROCESOS PRD'!$H:$H,0,0)=0,"",XLOOKUP(CONCAT(AH59,AI59),'PROCESOS PRD'!$J:$J,'PROCESOS PRD'!$H:$H,0,0)),"")</f>
        <v/>
      </c>
      <c r="AL59" s="71"/>
      <c r="AM59" s="32"/>
      <c r="AN59" s="72" t="str">
        <f t="array" ref="AN59">IFERROR(IF(XLOOKUP(CONCAT(AL59,AM59),'MASTER PLAN'!$AB:$AB,'MASTER PLAN'!$J:$J,0,0)=0,"",XLOOKUP(CONCAT(AL59,AM59),'MASTER PLAN'!$AB:$AB,'MASTER PLAN'!$J:$J,0,0)),"")</f>
        <v/>
      </c>
      <c r="AO59" s="73" t="str">
        <f t="array" ref="AO59">IFERROR(IF(XLOOKUP(CONCAT(AL59,AM59),'PROCESOS PRD'!$J:$J,'PROCESOS PRD'!$H:$H,0,0)=0,"",XLOOKUP(CONCAT(AL59,AM59),'PROCESOS PRD'!$J:$J,'PROCESOS PRD'!$H:$H,0,0)),"")</f>
        <v/>
      </c>
      <c r="AP59" s="71"/>
      <c r="AQ59" s="32"/>
      <c r="AR59" s="72" t="str">
        <f t="array" ref="AR59">IFERROR(IF(XLOOKUP(CONCAT(AP59,AQ59),'MASTER PLAN'!$AB:$AB,'MASTER PLAN'!$J:$J,0,0)=0,"",XLOOKUP(CONCAT(AP59,AQ59),'MASTER PLAN'!$AB:$AB,'MASTER PLAN'!$J:$J,0,0)),"")</f>
        <v/>
      </c>
      <c r="AS59" s="73" t="str">
        <f t="array" ref="AS59">IFERROR(IF(XLOOKUP(CONCAT(AP59,AQ59),'PROCESOS PRD'!$J:$J,'PROCESOS PRD'!$H:$H,0,0)=0,"",XLOOKUP(CONCAT(AP59,AQ59),'PROCESOS PRD'!$J:$J,'PROCESOS PRD'!$H:$H,0,0)),"")</f>
        <v/>
      </c>
      <c r="AT59" s="70"/>
      <c r="AU59" s="71"/>
      <c r="AV59" s="32"/>
      <c r="AW59" s="72" t="str">
        <f t="array" ref="AW59">IFERROR(IF(XLOOKUP(CONCAT(AU59,AV59),'MASTER PLAN'!$AB:$AB,'MASTER PLAN'!$J:$J,0,0)=0,"",XLOOKUP(CONCAT(AU59,AV59),'MASTER PLAN'!$AB:$AB,'MASTER PLAN'!$J:$J,0,0)),"")</f>
        <v/>
      </c>
      <c r="AX59" s="73" t="str">
        <f t="array" ref="AX59">IFERROR(IF(XLOOKUP(CONCAT(AU59,AV59),'PROCESOS PRD'!$J:$J,'PROCESOS PRD'!$H:$H,0,0)=0,"",XLOOKUP(CONCAT(AU59,AV59),'PROCESOS PRD'!$J:$J,'PROCESOS PRD'!$H:$H,0,0)),"")</f>
        <v/>
      </c>
      <c r="AY59" s="71"/>
      <c r="AZ59" s="32"/>
      <c r="BA59" s="72" t="str">
        <f t="array" ref="BA59">IFERROR(IF(XLOOKUP(CONCAT(AY59,AZ59),'MASTER PLAN'!$AB:$AB,'MASTER PLAN'!$J:$J,0,0)=0,"",XLOOKUP(CONCAT(AY59,AZ59),'MASTER PLAN'!$AB:$AB,'MASTER PLAN'!$J:$J,0,0)),"")</f>
        <v/>
      </c>
      <c r="BB59" s="73" t="str">
        <f t="array" ref="BB59">IFERROR(IF(XLOOKUP(CONCAT(AY59,AZ59),'PROCESOS PRD'!$J:$J,'PROCESOS PRD'!$H:$H,0,0)=0,"",XLOOKUP(CONCAT(AY59,AZ59),'PROCESOS PRD'!$J:$J,'PROCESOS PRD'!$H:$H,0,0)),"")</f>
        <v/>
      </c>
      <c r="BC59" s="71"/>
      <c r="BD59" s="32"/>
      <c r="BE59" s="72" t="str">
        <f t="array" ref="BE59">IFERROR(IF(XLOOKUP(CONCAT(BC59,BD59),'MASTER PLAN'!$AB:$AB,'MASTER PLAN'!$J:$J,0,0)=0,"",XLOOKUP(CONCAT(BC59,BD59),'MASTER PLAN'!$AB:$AB,'MASTER PLAN'!$J:$J,0,0)),"")</f>
        <v/>
      </c>
      <c r="BF59" s="73" t="str">
        <f t="array" ref="BF59">IFERROR(IF(XLOOKUP(CONCAT(BC59,BD59),'PROCESOS PRD'!$J:$J,'PROCESOS PRD'!$H:$H,0,0)=0,"",XLOOKUP(CONCAT(BC59,BD59),'PROCESOS PRD'!$J:$J,'PROCESOS PRD'!$H:$H,0,0)),"")</f>
        <v/>
      </c>
      <c r="BG59" s="71"/>
      <c r="BH59" s="32"/>
      <c r="BI59" s="72" t="str">
        <f t="array" ref="BI59">IFERROR(IF(XLOOKUP(CONCAT(BG59,BH59),'MASTER PLAN'!$AB:$AB,'MASTER PLAN'!$J:$J,0,0)=0,"",XLOOKUP(CONCAT(BG59,BH59),'MASTER PLAN'!$AB:$AB,'MASTER PLAN'!$J:$J,0,0)),"")</f>
        <v/>
      </c>
      <c r="BJ59" s="73" t="str">
        <f t="array" ref="BJ59">IFERROR(IF(XLOOKUP(CONCAT(BG59,BH59),'PROCESOS PRD'!$J:$J,'PROCESOS PRD'!$H:$H,0,0)=0,"",XLOOKUP(CONCAT(BG59,BH59),'PROCESOS PRD'!$J:$J,'PROCESOS PRD'!$H:$H,0,0)),"")</f>
        <v/>
      </c>
      <c r="BK59" s="71"/>
      <c r="BL59" s="32"/>
      <c r="BM59" s="72" t="str">
        <f t="array" ref="BM59">IFERROR(IF(XLOOKUP(CONCAT(BK59,BL59),'MASTER PLAN'!$AB:$AB,'MASTER PLAN'!$J:$J,0,0)=0,"",XLOOKUP(CONCAT(BK59,BL59),'MASTER PLAN'!$AB:$AB,'MASTER PLAN'!$J:$J,0,0)),"")</f>
        <v/>
      </c>
      <c r="BN59" s="73" t="str">
        <f t="array" ref="BN59">IFERROR(IF(XLOOKUP(CONCAT(BK59,BL59),'PROCESOS PRD'!$J:$J,'PROCESOS PRD'!$H:$H,0,0)=0,"",XLOOKUP(CONCAT(BK59,BL59),'PROCESOS PRD'!$J:$J,'PROCESOS PRD'!$H:$H,0,0)),"")</f>
        <v/>
      </c>
      <c r="BO59" s="71"/>
      <c r="BP59" s="32"/>
      <c r="BQ59" s="72" t="str">
        <f t="array" ref="BQ59">IFERROR(IF(XLOOKUP(CONCAT(BO59,BP59),'MASTER PLAN'!$AB:$AB,'MASTER PLAN'!$J:$J,0,0)=0,"",XLOOKUP(CONCAT(BO59,BP59),'MASTER PLAN'!$AB:$AB,'MASTER PLAN'!$J:$J,0,0)),"")</f>
        <v/>
      </c>
      <c r="BR59" s="73" t="str">
        <f t="array" ref="BR59">IFERROR(IF(XLOOKUP(CONCAT(BO59,BP59),'PROCESOS PRD'!$J:$J,'PROCESOS PRD'!$H:$H,0,0)=0,"",XLOOKUP(CONCAT(BO59,BP59),'PROCESOS PRD'!$J:$J,'PROCESOS PRD'!$H:$H,0,0)),"")</f>
        <v/>
      </c>
      <c r="BS59" s="70"/>
      <c r="BT59" s="71"/>
      <c r="BU59" s="32"/>
      <c r="BV59" s="72" t="str">
        <f t="array" ref="BV59">IFERROR(IF(XLOOKUP(CONCAT(BT59,BU59),'MASTER PLAN'!$AB:$AB,'MASTER PLAN'!$J:$J,0,0)=0,"",XLOOKUP(CONCAT(BT59,BU59),'MASTER PLAN'!$AB:$AB,'MASTER PLAN'!$J:$J,0,0)),"")</f>
        <v/>
      </c>
      <c r="BW59" s="73" t="str">
        <f t="array" ref="BW59">IFERROR(IF(XLOOKUP(CONCAT(BT59,BU59),'PROCESOS PRD'!$J:$J,'PROCESOS PRD'!$H:$H,0,0)=0,"",XLOOKUP(CONCAT(BT59,BU59),'PROCESOS PRD'!$J:$J,'PROCESOS PRD'!$H:$H,0,0)),"")</f>
        <v/>
      </c>
      <c r="BX59" s="71"/>
      <c r="BY59" s="32"/>
      <c r="BZ59" s="72" t="str">
        <f t="array" ref="BZ59">IFERROR(IF(XLOOKUP(CONCAT(BX59,BY59),'MASTER PLAN'!$AB:$AB,'MASTER PLAN'!$J:$J,0,0)=0,"",XLOOKUP(CONCAT(BX59,BY59),'MASTER PLAN'!$AB:$AB,'MASTER PLAN'!$J:$J,0,0)),"")</f>
        <v/>
      </c>
      <c r="CA59" s="73" t="str">
        <f t="array" ref="CA59">IFERROR(IF(XLOOKUP(CONCAT(BX59,BY59),'PROCESOS PRD'!$J:$J,'PROCESOS PRD'!$H:$H,0,0)=0,"",XLOOKUP(CONCAT(BX59,BY59),'PROCESOS PRD'!$J:$J,'PROCESOS PRD'!$H:$H,0,0)),"")</f>
        <v/>
      </c>
      <c r="CB59" s="71"/>
      <c r="CC59" s="32"/>
      <c r="CD59" s="72" t="str">
        <f t="array" ref="CD59">IFERROR(IF(XLOOKUP(CONCAT(CB59,CC59),'MASTER PLAN'!$AB:$AB,'MASTER PLAN'!$J:$J,0,0)=0,"",XLOOKUP(CONCAT(CB59,CC59),'MASTER PLAN'!$AB:$AB,'MASTER PLAN'!$J:$J,0,0)),"")</f>
        <v/>
      </c>
      <c r="CE59" s="73" t="str">
        <f t="array" ref="CE59">IFERROR(IF(XLOOKUP(CONCAT(CB59,CC59),'PROCESOS PRD'!$J:$J,'PROCESOS PRD'!$H:$H,0,0)=0,"",XLOOKUP(CONCAT(CB59,CC59),'PROCESOS PRD'!$J:$J,'PROCESOS PRD'!$H:$H,0,0)),"")</f>
        <v/>
      </c>
      <c r="CF59" s="71"/>
      <c r="CG59" s="32"/>
      <c r="CH59" s="72" t="str">
        <f t="array" ref="CH59">IFERROR(IF(XLOOKUP(CONCAT(CF59,CG59),'MASTER PLAN'!$AB:$AB,'MASTER PLAN'!$J:$J,0,0)=0,"",XLOOKUP(CONCAT(CF59,CG59),'MASTER PLAN'!$AB:$AB,'MASTER PLAN'!$J:$J,0,0)),"")</f>
        <v/>
      </c>
      <c r="CI59" s="73" t="str">
        <f t="array" ref="CI59">IFERROR(IF(XLOOKUP(CONCAT(CF59,CG59),'PROCESOS PRD'!$J:$J,'PROCESOS PRD'!$H:$H,0,0)=0,"",XLOOKUP(CONCAT(CF59,CG59),'PROCESOS PRD'!$J:$J,'PROCESOS PRD'!$H:$H,0,0)),"")</f>
        <v/>
      </c>
      <c r="CJ59" s="71"/>
      <c r="CK59" s="32"/>
      <c r="CL59" s="72" t="str">
        <f t="array" ref="CL59">IFERROR(IF(XLOOKUP(CONCAT(CJ59,CK59),'MASTER PLAN'!$AB:$AB,'MASTER PLAN'!$J:$J,0,0)=0,"",XLOOKUP(CONCAT(CJ59,CK59),'MASTER PLAN'!$AB:$AB,'MASTER PLAN'!$J:$J,0,0)),"")</f>
        <v/>
      </c>
      <c r="CM59" s="73" t="str">
        <f t="array" ref="CM59">IFERROR(IF(XLOOKUP(CONCAT(CJ59,CK59),'PROCESOS PRD'!$J:$J,'PROCESOS PRD'!$H:$H,0,0)=0,"",XLOOKUP(CONCAT(CJ59,CK59),'PROCESOS PRD'!$J:$J,'PROCESOS PRD'!$H:$H,0,0)),"")</f>
        <v/>
      </c>
      <c r="CN59" s="71"/>
      <c r="CO59" s="32"/>
      <c r="CP59" s="72" t="str">
        <f t="array" ref="CP59">IFERROR(IF(XLOOKUP(CONCAT(CN59,CO59),'MASTER PLAN'!$AB:$AB,'MASTER PLAN'!$J:$J,0,0)=0,"",XLOOKUP(CONCAT(CN59,CO59),'MASTER PLAN'!$AB:$AB,'MASTER PLAN'!$J:$J,0,0)),"")</f>
        <v/>
      </c>
      <c r="CQ59" s="73" t="str">
        <f t="array" ref="CQ59">IFERROR(IF(XLOOKUP(CONCAT(CN59,CO59),'PROCESOS PRD'!$J:$J,'PROCESOS PRD'!$H:$H,0,0)=0,"",XLOOKUP(CONCAT(CN59,CO59),'PROCESOS PRD'!$J:$J,'PROCESOS PRD'!$H:$H,0,0)),"")</f>
        <v/>
      </c>
      <c r="CR59" s="70"/>
      <c r="CS59" s="71"/>
      <c r="CT59" s="32"/>
      <c r="CU59" s="72" t="str">
        <f t="array" ref="CU59">IFERROR(IF(XLOOKUP(CONCAT(CS59,CT59),'MASTER PLAN'!$AB:$AB,'MASTER PLAN'!$J:$J,0,0)=0,"",XLOOKUP(CONCAT(CS59,CT59),'MASTER PLAN'!$AB:$AB,'MASTER PLAN'!$J:$J,0,0)),"")</f>
        <v/>
      </c>
      <c r="CV59" s="73" t="str">
        <f t="array" ref="CV59">IFERROR(IF(XLOOKUP(CONCAT(CS59,CT59),'PROCESOS PRD'!$J:$J,'PROCESOS PRD'!$H:$H,0,0)=0,"",XLOOKUP(CONCAT(CS59,CT59),'PROCESOS PRD'!$J:$J,'PROCESOS PRD'!$H:$H,0,0)),"")</f>
        <v/>
      </c>
      <c r="CW59" s="71"/>
      <c r="CX59" s="32"/>
      <c r="CY59" s="72" t="str">
        <f t="array" ref="CY59">IFERROR(IF(XLOOKUP(CONCAT(CW59,CX59),'MASTER PLAN'!$AB:$AB,'MASTER PLAN'!$J:$J,0,0)=0,"",XLOOKUP(CONCAT(CW59,CX59),'MASTER PLAN'!$AB:$AB,'MASTER PLAN'!$J:$J,0,0)),"")</f>
        <v/>
      </c>
      <c r="CZ59" s="73" t="str">
        <f t="array" ref="CZ59">IFERROR(IF(XLOOKUP(CONCAT(CW59,CX59),'PROCESOS PRD'!$J:$J,'PROCESOS PRD'!$H:$H,0,0)=0,"",XLOOKUP(CONCAT(CW59,CX59),'PROCESOS PRD'!$J:$J,'PROCESOS PRD'!$H:$H,0,0)),"")</f>
        <v/>
      </c>
      <c r="DA59" s="71"/>
      <c r="DB59" s="32"/>
      <c r="DC59" s="72" t="str">
        <f t="array" ref="DC59">IFERROR(IF(XLOOKUP(CONCAT(DA59,DB59),'MASTER PLAN'!$AB:$AB,'MASTER PLAN'!$J:$J,0,0)=0,"",XLOOKUP(CONCAT(DA59,DB59),'MASTER PLAN'!$AB:$AB,'MASTER PLAN'!$J:$J,0,0)),"")</f>
        <v/>
      </c>
      <c r="DD59" s="73" t="str">
        <f t="array" ref="DD59">IFERROR(IF(XLOOKUP(CONCAT(DA59,DB59),'PROCESOS PRD'!$J:$J,'PROCESOS PRD'!$H:$H,0,0)=0,"",XLOOKUP(CONCAT(DA59,DB59),'PROCESOS PRD'!$J:$J,'PROCESOS PRD'!$H:$H,0,0)),"")</f>
        <v/>
      </c>
      <c r="DE59" s="71"/>
      <c r="DF59" s="32"/>
      <c r="DG59" s="72" t="str">
        <f t="array" ref="DG59">IFERROR(IF(XLOOKUP(CONCAT(DE59,DF59),'MASTER PLAN'!$AB:$AB,'MASTER PLAN'!$J:$J,0,0)=0,"",XLOOKUP(CONCAT(DE59,DF59),'MASTER PLAN'!$AB:$AB,'MASTER PLAN'!$J:$J,0,0)),"")</f>
        <v/>
      </c>
      <c r="DH59" s="73" t="str">
        <f t="array" ref="DH59">IFERROR(IF(XLOOKUP(CONCAT(DE59,DF59),'PROCESOS PRD'!$J:$J,'PROCESOS PRD'!$H:$H,0,0)=0,"",XLOOKUP(CONCAT(DE59,DF59),'PROCESOS PRD'!$J:$J,'PROCESOS PRD'!$H:$H,0,0)),"")</f>
        <v/>
      </c>
      <c r="DI59" s="71"/>
      <c r="DJ59" s="32"/>
      <c r="DK59" s="72" t="str">
        <f t="array" ref="DK59">IFERROR(IF(XLOOKUP(CONCAT(DI59,DJ59),'MASTER PLAN'!$AB:$AB,'MASTER PLAN'!$J:$J,0,0)=0,"",XLOOKUP(CONCAT(DI59,DJ59),'MASTER PLAN'!$AB:$AB,'MASTER PLAN'!$J:$J,0,0)),"")</f>
        <v/>
      </c>
      <c r="DL59" s="73" t="str">
        <f t="array" ref="DL59">IFERROR(IF(XLOOKUP(CONCAT(DI59,DJ59),'PROCESOS PRD'!$J:$J,'PROCESOS PRD'!$H:$H,0,0)=0,"",XLOOKUP(CONCAT(DI59,DJ59),'PROCESOS PRD'!$J:$J,'PROCESOS PRD'!$H:$H,0,0)),"")</f>
        <v/>
      </c>
      <c r="DM59" s="71"/>
      <c r="DN59" s="32"/>
      <c r="DO59" s="72" t="str">
        <f t="array" ref="DO59">IFERROR(IF(XLOOKUP(CONCAT(DM59,DN59),'MASTER PLAN'!$AB:$AB,'MASTER PLAN'!$J:$J,0,0)=0,"",XLOOKUP(CONCAT(DM59,DN59),'MASTER PLAN'!$AB:$AB,'MASTER PLAN'!$J:$J,0,0)),"")</f>
        <v/>
      </c>
      <c r="DP59" s="73" t="str">
        <f t="array" ref="DP59">IFERROR(IF(XLOOKUP(CONCAT(DM59,DN59),'PROCESOS PRD'!$J:$J,'PROCESOS PRD'!$H:$H,0,0)=0,"",XLOOKUP(CONCAT(DM59,DN59),'PROCESOS PRD'!$J:$J,'PROCESOS PRD'!$H:$H,0,0)),"")</f>
        <v/>
      </c>
      <c r="DQ59" s="70"/>
      <c r="DR59" s="71"/>
      <c r="DS59" s="32"/>
      <c r="DT59" s="72" t="str">
        <f t="array" ref="DT59">IFERROR(IF(XLOOKUP(CONCAT(DR59,DS59),'MASTER PLAN'!$AB:$AB,'MASTER PLAN'!$J:$J,0,0)=0,"",XLOOKUP(CONCAT(DR59,DS59),'MASTER PLAN'!$AB:$AB,'MASTER PLAN'!$J:$J,0,0)),"")</f>
        <v/>
      </c>
      <c r="DU59" s="73" t="str">
        <f t="array" ref="DU59">IFERROR(IF(XLOOKUP(CONCAT(DR59,DS59),'PROCESOS PRD'!$J:$J,'PROCESOS PRD'!$H:$H,0,0)=0,"",XLOOKUP(CONCAT(DR59,DS59),'PROCESOS PRD'!$J:$J,'PROCESOS PRD'!$H:$H,0,0)),"")</f>
        <v/>
      </c>
      <c r="DV59" s="71"/>
      <c r="DW59" s="32"/>
      <c r="DX59" s="72" t="str">
        <f t="array" ref="DX59">IFERROR(IF(XLOOKUP(CONCAT(DV59,DW59),'MASTER PLAN'!$AB:$AB,'MASTER PLAN'!$J:$J,0,0)=0,"",XLOOKUP(CONCAT(DV59,DW59),'MASTER PLAN'!$AB:$AB,'MASTER PLAN'!$J:$J,0,0)),"")</f>
        <v/>
      </c>
      <c r="DY59" s="73" t="str">
        <f t="array" ref="DY59">IFERROR(IF(XLOOKUP(CONCAT(DV59,DW59),'PROCESOS PRD'!$J:$J,'PROCESOS PRD'!$H:$H,0,0)=0,"",XLOOKUP(CONCAT(DV59,DW59),'PROCESOS PRD'!$J:$J,'PROCESOS PRD'!$H:$H,0,0)),"")</f>
        <v/>
      </c>
      <c r="DZ59" s="71"/>
      <c r="EA59" s="32"/>
      <c r="EB59" s="72" t="str">
        <f t="array" ref="EB59">IFERROR(IF(XLOOKUP(CONCAT(DZ59,EA59),'MASTER PLAN'!$AB:$AB,'MASTER PLAN'!$J:$J,0,0)=0,"",XLOOKUP(CONCAT(DZ59,EA59),'MASTER PLAN'!$AB:$AB,'MASTER PLAN'!$J:$J,0,0)),"")</f>
        <v/>
      </c>
      <c r="EC59" s="73" t="str">
        <f t="array" ref="EC59">IFERROR(IF(XLOOKUP(CONCAT(DZ59,EA59),'PROCESOS PRD'!$J:$J,'PROCESOS PRD'!$H:$H,0,0)=0,"",XLOOKUP(CONCAT(DZ59,EA59),'PROCESOS PRD'!$J:$J,'PROCESOS PRD'!$H:$H,0,0)),"")</f>
        <v/>
      </c>
      <c r="ED59" s="71"/>
      <c r="EE59" s="32"/>
      <c r="EF59" s="72" t="str">
        <f t="array" ref="EF59">IFERROR(IF(XLOOKUP(CONCAT(ED59,EE59),'MASTER PLAN'!$AB:$AB,'MASTER PLAN'!$J:$J,0,0)=0,"",XLOOKUP(CONCAT(ED59,EE59),'MASTER PLAN'!$AB:$AB,'MASTER PLAN'!$J:$J,0,0)),"")</f>
        <v/>
      </c>
      <c r="EG59" s="73" t="str">
        <f t="array" ref="EG59">IFERROR(IF(XLOOKUP(CONCAT(ED59,EE59),'PROCESOS PRD'!$J:$J,'PROCESOS PRD'!$H:$H,0,0)=0,"",XLOOKUP(CONCAT(ED59,EE59),'PROCESOS PRD'!$J:$J,'PROCESOS PRD'!$H:$H,0,0)),"")</f>
        <v/>
      </c>
      <c r="EH59" s="71"/>
      <c r="EI59" s="32"/>
      <c r="EJ59" s="72" t="str">
        <f t="array" ref="EJ59">IFERROR(IF(XLOOKUP(CONCAT(EH59,EI59),'MASTER PLAN'!$AB:$AB,'MASTER PLAN'!$J:$J,0,0)=0,"",XLOOKUP(CONCAT(EH59,EI59),'MASTER PLAN'!$AB:$AB,'MASTER PLAN'!$J:$J,0,0)),"")</f>
        <v/>
      </c>
      <c r="EK59" s="73" t="str">
        <f t="array" ref="EK59">IFERROR(IF(XLOOKUP(CONCAT(EH59,EI59),'PROCESOS PRD'!$J:$J,'PROCESOS PRD'!$H:$H,0,0)=0,"",XLOOKUP(CONCAT(EH59,EI59),'PROCESOS PRD'!$J:$J,'PROCESOS PRD'!$H:$H,0,0)),"")</f>
        <v/>
      </c>
      <c r="EL59" s="71"/>
      <c r="EM59" s="32"/>
      <c r="EN59" s="72" t="str">
        <f t="array" ref="EN59">IFERROR(IF(XLOOKUP(CONCAT(EL59,EM59),'MASTER PLAN'!$AB:$AB,'MASTER PLAN'!$J:$J,0,0)=0,"",XLOOKUP(CONCAT(EL59,EM59),'MASTER PLAN'!$AB:$AB,'MASTER PLAN'!$J:$J,0,0)),"")</f>
        <v/>
      </c>
      <c r="EO59" s="73" t="str">
        <f t="array" ref="EO59">IFERROR(IF(XLOOKUP(CONCAT(EL59,EM59),'PROCESOS PRD'!$J:$J,'PROCESOS PRD'!$H:$H,0,0)=0,"",XLOOKUP(CONCAT(EL59,EM59),'PROCESOS PRD'!$J:$J,'PROCESOS PRD'!$H:$H,0,0)),"")</f>
        <v/>
      </c>
      <c r="EP59" s="70"/>
      <c r="EQ59" s="71"/>
      <c r="ER59" s="32"/>
      <c r="ES59" s="72" t="str">
        <f t="array" ref="ES59">IFERROR(IF(XLOOKUP(CONCAT(EQ59,ER59),'MASTER PLAN'!$AB:$AB,'MASTER PLAN'!$J:$J,0,0)=0,"",XLOOKUP(CONCAT(EQ59,ER59),'MASTER PLAN'!$AB:$AB,'MASTER PLAN'!$J:$J,0,0)),"")</f>
        <v/>
      </c>
      <c r="ET59" s="73" t="str">
        <f t="array" ref="ET59">IFERROR(IF(XLOOKUP(CONCAT(EQ59,ER59),'PROCESOS PRD'!$J:$J,'PROCESOS PRD'!$H:$H,0,0)=0,"",XLOOKUP(CONCAT(EQ59,ER59),'PROCESOS PRD'!$J:$J,'PROCESOS PRD'!$H:$H,0,0)),"")</f>
        <v/>
      </c>
      <c r="EU59" s="71"/>
      <c r="EV59" s="32"/>
      <c r="EW59" s="72" t="str">
        <f t="array" ref="EW59">IFERROR(IF(XLOOKUP(CONCAT(EU59,EV59),'MASTER PLAN'!$AB:$AB,'MASTER PLAN'!$J:$J,0,0)=0,"",XLOOKUP(CONCAT(EU59,EV59),'MASTER PLAN'!$AB:$AB,'MASTER PLAN'!$J:$J,0,0)),"")</f>
        <v/>
      </c>
      <c r="EX59" s="73" t="str">
        <f t="array" ref="EX59">IFERROR(IF(XLOOKUP(CONCAT(EU59,EV59),'PROCESOS PRD'!$J:$J,'PROCESOS PRD'!$H:$H,0,0)=0,"",XLOOKUP(CONCAT(EU59,EV59),'PROCESOS PRD'!$J:$J,'PROCESOS PRD'!$H:$H,0,0)),"")</f>
        <v/>
      </c>
      <c r="EY59" s="71"/>
      <c r="EZ59" s="32"/>
      <c r="FA59" s="72" t="str">
        <f t="array" ref="FA59">IFERROR(IF(XLOOKUP(CONCAT(EY59,EZ59),'MASTER PLAN'!$AB:$AB,'MASTER PLAN'!$J:$J,0,0)=0,"",XLOOKUP(CONCAT(EY59,EZ59),'MASTER PLAN'!$AB:$AB,'MASTER PLAN'!$J:$J,0,0)),"")</f>
        <v/>
      </c>
      <c r="FB59" s="73" t="str">
        <f t="array" ref="FB59">IFERROR(IF(XLOOKUP(CONCAT(EY59,EZ59),'PROCESOS PRD'!$J:$J,'PROCESOS PRD'!$H:$H,0,0)=0,"",XLOOKUP(CONCAT(EY59,EZ59),'PROCESOS PRD'!$J:$J,'PROCESOS PRD'!$H:$H,0,0)),"")</f>
        <v/>
      </c>
      <c r="FC59" s="71"/>
      <c r="FD59" s="32"/>
      <c r="FE59" s="72" t="str">
        <f t="array" ref="FE59">IFERROR(IF(XLOOKUP(CONCAT(FC59,FD59),'MASTER PLAN'!$AB:$AB,'MASTER PLAN'!$J:$J,0,0)=0,"",XLOOKUP(CONCAT(FC59,FD59),'MASTER PLAN'!$AB:$AB,'MASTER PLAN'!$J:$J,0,0)),"")</f>
        <v/>
      </c>
      <c r="FF59" s="73" t="str">
        <f t="array" ref="FF59">IFERROR(IF(XLOOKUP(CONCAT(FC59,FD59),'PROCESOS PRD'!$J:$J,'PROCESOS PRD'!$H:$H,0,0)=0,"",XLOOKUP(CONCAT(FC59,FD59),'PROCESOS PRD'!$J:$J,'PROCESOS PRD'!$H:$H,0,0)),"")</f>
        <v/>
      </c>
      <c r="FG59" s="71"/>
      <c r="FH59" s="32"/>
      <c r="FI59" s="72" t="str">
        <f t="array" ref="FI59">IFERROR(IF(XLOOKUP(CONCAT(FG59,FH59),'MASTER PLAN'!$AB:$AB,'MASTER PLAN'!$J:$J,0,0)=0,"",XLOOKUP(CONCAT(FG59,FH59),'MASTER PLAN'!$AB:$AB,'MASTER PLAN'!$J:$J,0,0)),"")</f>
        <v/>
      </c>
      <c r="FJ59" s="73" t="str">
        <f t="array" ref="FJ59">IFERROR(IF(XLOOKUP(CONCAT(FG59,FH59),'PROCESOS PRD'!$J:$J,'PROCESOS PRD'!$H:$H,0,0)=0,"",XLOOKUP(CONCAT(FG59,FH59),'PROCESOS PRD'!$J:$J,'PROCESOS PRD'!$H:$H,0,0)),"")</f>
        <v/>
      </c>
      <c r="FK59" s="71"/>
      <c r="FL59" s="32"/>
      <c r="FM59" s="72" t="str">
        <f t="array" ref="FM59">IFERROR(IF(XLOOKUP(CONCAT(FK59,FL59),'MASTER PLAN'!$AB:$AB,'MASTER PLAN'!$J:$J,0,0)=0,"",XLOOKUP(CONCAT(FK59,FL59),'MASTER PLAN'!$AB:$AB,'MASTER PLAN'!$J:$J,0,0)),"")</f>
        <v/>
      </c>
      <c r="FN59" s="73" t="str">
        <f t="array" ref="FN59">IFERROR(IF(XLOOKUP(CONCAT(FK59,FL59),'PROCESOS PRD'!$J:$J,'PROCESOS PRD'!$H:$H,0,0)=0,"",XLOOKUP(CONCAT(FK59,FL59),'PROCESOS PRD'!$J:$J,'PROCESOS PRD'!$H:$H,0,0)),"")</f>
        <v/>
      </c>
      <c r="FO59" s="70"/>
      <c r="FP59" s="71"/>
      <c r="FQ59" s="32"/>
      <c r="FR59" s="72" t="str">
        <f t="array" ref="FR59">IFERROR(IF(XLOOKUP(CONCAT(FP59,FQ59),'MASTER PLAN'!$AB:$AB,'MASTER PLAN'!$J:$J,0,0)=0,"",XLOOKUP(CONCAT(FP59,FQ59),'MASTER PLAN'!$AB:$AB,'MASTER PLAN'!$J:$J,0,0)),"")</f>
        <v/>
      </c>
      <c r="FS59" s="73" t="str">
        <f t="array" ref="FS59">IFERROR(IF(XLOOKUP(CONCAT(FP59,FQ59),'PROCESOS PRD'!$J:$J,'PROCESOS PRD'!$H:$H,0,0)=0,"",XLOOKUP(CONCAT(FP59,FQ59),'PROCESOS PRD'!$J:$J,'PROCESOS PRD'!$H:$H,0,0)),"")</f>
        <v/>
      </c>
      <c r="FT59" s="71"/>
      <c r="FU59" s="32"/>
      <c r="FV59" s="72" t="str">
        <f t="array" ref="FV59">IFERROR(IF(XLOOKUP(CONCAT(FT59,FU59),'MASTER PLAN'!$AB:$AB,'MASTER PLAN'!$J:$J,0,0)=0,"",XLOOKUP(CONCAT(FT59,FU59),'MASTER PLAN'!$AB:$AB,'MASTER PLAN'!$J:$J,0,0)),"")</f>
        <v/>
      </c>
      <c r="FW59" s="73" t="str">
        <f t="array" ref="FW59">IFERROR(IF(XLOOKUP(CONCAT(FT59,FU59),'PROCESOS PRD'!$J:$J,'PROCESOS PRD'!$H:$H,0,0)=0,"",XLOOKUP(CONCAT(FT59,FU59),'PROCESOS PRD'!$J:$J,'PROCESOS PRD'!$H:$H,0,0)),"")</f>
        <v/>
      </c>
      <c r="FX59" s="71"/>
      <c r="FY59" s="32"/>
      <c r="FZ59" s="72" t="str">
        <f t="array" ref="FZ59">IFERROR(IF(XLOOKUP(CONCAT(FX59,FY59),'MASTER PLAN'!$AB:$AB,'MASTER PLAN'!$J:$J,0,0)=0,"",XLOOKUP(CONCAT(FX59,FY59),'MASTER PLAN'!$AB:$AB,'MASTER PLAN'!$J:$J,0,0)),"")</f>
        <v/>
      </c>
      <c r="GA59" s="73" t="str">
        <f t="array" ref="GA59">IFERROR(IF(XLOOKUP(CONCAT(FX59,FY59),'PROCESOS PRD'!$J:$J,'PROCESOS PRD'!$H:$H,0,0)=0,"",XLOOKUP(CONCAT(FX59,FY59),'PROCESOS PRD'!$J:$J,'PROCESOS PRD'!$H:$H,0,0)),"")</f>
        <v/>
      </c>
      <c r="GB59" s="71"/>
      <c r="GC59" s="32"/>
      <c r="GD59" s="72" t="str">
        <f t="array" ref="GD59">IFERROR(IF(XLOOKUP(CONCAT(GB59,GC59),'MASTER PLAN'!$AB:$AB,'MASTER PLAN'!$J:$J,0,0)=0,"",XLOOKUP(CONCAT(GB59,GC59),'MASTER PLAN'!$AB:$AB,'MASTER PLAN'!$J:$J,0,0)),"")</f>
        <v/>
      </c>
      <c r="GE59" s="73" t="str">
        <f t="array" ref="GE59">IFERROR(IF(XLOOKUP(CONCAT(GB59,GC59),'PROCESOS PRD'!$J:$J,'PROCESOS PRD'!$H:$H,0,0)=0,"",XLOOKUP(CONCAT(GB59,GC59),'PROCESOS PRD'!$J:$J,'PROCESOS PRD'!$H:$H,0,0)),"")</f>
        <v/>
      </c>
      <c r="GF59" s="71"/>
      <c r="GG59" s="32"/>
      <c r="GH59" s="72" t="str">
        <f t="array" ref="GH59">IFERROR(IF(XLOOKUP(CONCAT(GF59,GG59),'MASTER PLAN'!$AB:$AB,'MASTER PLAN'!$J:$J,0,0)=0,"",XLOOKUP(CONCAT(GF59,GG59),'MASTER PLAN'!$AB:$AB,'MASTER PLAN'!$J:$J,0,0)),"")</f>
        <v/>
      </c>
      <c r="GI59" s="73" t="str">
        <f t="array" ref="GI59">IFERROR(IF(XLOOKUP(CONCAT(GF59,GG59),'PROCESOS PRD'!$J:$J,'PROCESOS PRD'!$H:$H,0,0)=0,"",XLOOKUP(CONCAT(GF59,GG59),'PROCESOS PRD'!$J:$J,'PROCESOS PRD'!$H:$H,0,0)),"")</f>
        <v/>
      </c>
      <c r="GJ59" s="71"/>
      <c r="GK59" s="32"/>
      <c r="GL59" s="72" t="str">
        <f t="array" ref="GL59">IFERROR(IF(XLOOKUP(CONCAT(GJ59,GK59),'MASTER PLAN'!$AB:$AB,'MASTER PLAN'!$J:$J,0,0)=0,"",XLOOKUP(CONCAT(GJ59,GK59),'MASTER PLAN'!$AB:$AB,'MASTER PLAN'!$J:$J,0,0)),"")</f>
        <v/>
      </c>
      <c r="GM59" s="73" t="str">
        <f t="array" ref="GM59">IFERROR(IF(XLOOKUP(CONCAT(GJ59,GK59),'PROCESOS PRD'!$J:$J,'PROCESOS PRD'!$H:$H,0,0)=0,"",XLOOKUP(CONCAT(GJ59,GK59),'PROCESOS PRD'!$J:$J,'PROCESOS PRD'!$H:$H,0,0)),"")</f>
        <v/>
      </c>
      <c r="GN59" s="70"/>
      <c r="GO59" s="71"/>
      <c r="GP59" s="32"/>
      <c r="GQ59" s="72" t="str">
        <f t="array" ref="GQ59">IFERROR(IF(XLOOKUP(CONCAT(GO59,GP59),'MASTER PLAN'!$AB:$AB,'MASTER PLAN'!$J:$J,0,0)=0,"",XLOOKUP(CONCAT(GO59,GP59),'MASTER PLAN'!$AB:$AB,'MASTER PLAN'!$J:$J,0,0)),"")</f>
        <v/>
      </c>
      <c r="GR59" s="73" t="str">
        <f t="array" ref="GR59">IFERROR(IF(XLOOKUP(CONCAT(GO59,GP59),'PROCESOS PRD'!$J:$J,'PROCESOS PRD'!$H:$H,0,0)=0,"",XLOOKUP(CONCAT(GO59,GP59),'PROCESOS PRD'!$J:$J,'PROCESOS PRD'!$H:$H,0,0)),"")</f>
        <v/>
      </c>
      <c r="GS59" s="71"/>
      <c r="GT59" s="32"/>
      <c r="GU59" s="72" t="str">
        <f t="array" ref="GU59">IFERROR(IF(XLOOKUP(CONCAT(GS59,GT59),'MASTER PLAN'!$AB:$AB,'MASTER PLAN'!$J:$J,0,0)=0,"",XLOOKUP(CONCAT(GS59,GT59),'MASTER PLAN'!$AB:$AB,'MASTER PLAN'!$J:$J,0,0)),"")</f>
        <v/>
      </c>
      <c r="GV59" s="73" t="str">
        <f t="array" ref="GV59">IFERROR(IF(XLOOKUP(CONCAT(GS59,GT59),'PROCESOS PRD'!$J:$J,'PROCESOS PRD'!$H:$H,0,0)=0,"",XLOOKUP(CONCAT(GS59,GT59),'PROCESOS PRD'!$J:$J,'PROCESOS PRD'!$H:$H,0,0)),"")</f>
        <v/>
      </c>
      <c r="GW59" s="71"/>
      <c r="GX59" s="32"/>
      <c r="GY59" s="72" t="str">
        <f t="array" ref="GY59">IFERROR(IF(XLOOKUP(CONCAT(GW59,GX59),'MASTER PLAN'!$AB:$AB,'MASTER PLAN'!$J:$J,0,0)=0,"",XLOOKUP(CONCAT(GW59,GX59),'MASTER PLAN'!$AB:$AB,'MASTER PLAN'!$J:$J,0,0)),"")</f>
        <v/>
      </c>
      <c r="GZ59" s="73" t="str">
        <f t="array" ref="GZ59">IFERROR(IF(XLOOKUP(CONCAT(GW59,GX59),'PROCESOS PRD'!$J:$J,'PROCESOS PRD'!$H:$H,0,0)=0,"",XLOOKUP(CONCAT(GW59,GX59),'PROCESOS PRD'!$J:$J,'PROCESOS PRD'!$H:$H,0,0)),"")</f>
        <v/>
      </c>
      <c r="HA59" s="71"/>
      <c r="HB59" s="32"/>
      <c r="HC59" s="72" t="str">
        <f t="array" ref="HC59">IFERROR(IF(XLOOKUP(CONCAT(HA59,HB59),'MASTER PLAN'!$AB:$AB,'MASTER PLAN'!$J:$J,0,0)=0,"",XLOOKUP(CONCAT(HA59,HB59),'MASTER PLAN'!$AB:$AB,'MASTER PLAN'!$J:$J,0,0)),"")</f>
        <v/>
      </c>
      <c r="HD59" s="73" t="str">
        <f t="array" ref="HD59">IFERROR(IF(XLOOKUP(CONCAT(HA59,HB59),'PROCESOS PRD'!$J:$J,'PROCESOS PRD'!$H:$H,0,0)=0,"",XLOOKUP(CONCAT(HA59,HB59),'PROCESOS PRD'!$J:$J,'PROCESOS PRD'!$H:$H,0,0)),"")</f>
        <v/>
      </c>
      <c r="HE59" s="71"/>
      <c r="HF59" s="32"/>
      <c r="HG59" s="72" t="str">
        <f t="array" ref="HG59">IFERROR(IF(XLOOKUP(CONCAT(HE59,HF59),'MASTER PLAN'!$AB:$AB,'MASTER PLAN'!$J:$J,0,0)=0,"",XLOOKUP(CONCAT(HE59,HF59),'MASTER PLAN'!$AB:$AB,'MASTER PLAN'!$J:$J,0,0)),"")</f>
        <v/>
      </c>
      <c r="HH59" s="73" t="str">
        <f t="array" ref="HH59">IFERROR(IF(XLOOKUP(CONCAT(HE59,HF59),'PROCESOS PRD'!$J:$J,'PROCESOS PRD'!$H:$H,0,0)=0,"",XLOOKUP(CONCAT(HE59,HF59),'PROCESOS PRD'!$J:$J,'PROCESOS PRD'!$H:$H,0,0)),"")</f>
        <v/>
      </c>
      <c r="HI59" s="71"/>
      <c r="HJ59" s="32"/>
      <c r="HK59" s="72" t="str">
        <f t="array" ref="HK59">IFERROR(IF(XLOOKUP(CONCAT(HI59,HJ59),'MASTER PLAN'!$AB:$AB,'MASTER PLAN'!$J:$J,0,0)=0,"",XLOOKUP(CONCAT(HI59,HJ59),'MASTER PLAN'!$AB:$AB,'MASTER PLAN'!$J:$J,0,0)),"")</f>
        <v/>
      </c>
      <c r="HL59" s="73" t="str">
        <f t="array" ref="HL59">IFERROR(IF(XLOOKUP(CONCAT(HI59,HJ59),'PROCESOS PRD'!$J:$J,'PROCESOS PRD'!$H:$H,0,0)=0,"",XLOOKUP(CONCAT(HI59,HJ59),'PROCESOS PRD'!$J:$J,'PROCESOS PRD'!$H:$H,0,0)),"")</f>
        <v/>
      </c>
      <c r="HM59" s="70"/>
      <c r="HN59" s="71"/>
      <c r="HO59" s="32"/>
      <c r="HP59" s="72" t="str">
        <f t="array" ref="HP59">IFERROR(IF(XLOOKUP(CONCAT(HN59,HO59),'MASTER PLAN'!$AB:$AB,'MASTER PLAN'!$J:$J,0,0)=0,"",XLOOKUP(CONCAT(HN59,HO59),'MASTER PLAN'!$AB:$AB,'MASTER PLAN'!$J:$J,0,0)),"")</f>
        <v/>
      </c>
      <c r="HQ59" s="73" t="str">
        <f t="array" ref="HQ59">IFERROR(IF(XLOOKUP(CONCAT(HN59,HO59),'PROCESOS PRD'!$J:$J,'PROCESOS PRD'!$H:$H,0,0)=0,"",XLOOKUP(CONCAT(HN59,HO59),'PROCESOS PRD'!$J:$J,'PROCESOS PRD'!$H:$H,0,0)),"")</f>
        <v/>
      </c>
      <c r="HR59" s="71"/>
      <c r="HS59" s="32"/>
      <c r="HT59" s="72" t="str">
        <f t="array" ref="HT59">IFERROR(IF(XLOOKUP(CONCAT(HR59,HS59),'MASTER PLAN'!$AB:$AB,'MASTER PLAN'!$J:$J,0,0)=0,"",XLOOKUP(CONCAT(HR59,HS59),'MASTER PLAN'!$AB:$AB,'MASTER PLAN'!$J:$J,0,0)),"")</f>
        <v/>
      </c>
      <c r="HU59" s="73" t="str">
        <f t="array" ref="HU59">IFERROR(IF(XLOOKUP(CONCAT(HR59,HS59),'PROCESOS PRD'!$J:$J,'PROCESOS PRD'!$H:$H,0,0)=0,"",XLOOKUP(CONCAT(HR59,HS59),'PROCESOS PRD'!$J:$J,'PROCESOS PRD'!$H:$H,0,0)),"")</f>
        <v/>
      </c>
      <c r="HV59" s="71"/>
      <c r="HW59" s="32"/>
      <c r="HX59" s="72" t="str">
        <f t="array" ref="HX59">IFERROR(IF(XLOOKUP(CONCAT(HV59,HW59),'MASTER PLAN'!$AB:$AB,'MASTER PLAN'!$J:$J,0,0)=0,"",XLOOKUP(CONCAT(HV59,HW59),'MASTER PLAN'!$AB:$AB,'MASTER PLAN'!$J:$J,0,0)),"")</f>
        <v/>
      </c>
      <c r="HY59" s="73" t="str">
        <f t="array" ref="HY59">IFERROR(IF(XLOOKUP(CONCAT(HV59,HW59),'PROCESOS PRD'!$J:$J,'PROCESOS PRD'!$H:$H,0,0)=0,"",XLOOKUP(CONCAT(HV59,HW59),'PROCESOS PRD'!$J:$J,'PROCESOS PRD'!$H:$H,0,0)),"")</f>
        <v/>
      </c>
      <c r="HZ59" s="71"/>
      <c r="IA59" s="32"/>
      <c r="IB59" s="72" t="str">
        <f t="array" ref="IB59">IFERROR(IF(XLOOKUP(CONCAT(HZ59,IA59),'MASTER PLAN'!$AB:$AB,'MASTER PLAN'!$J:$J,0,0)=0,"",XLOOKUP(CONCAT(HZ59,IA59),'MASTER PLAN'!$AB:$AB,'MASTER PLAN'!$J:$J,0,0)),"")</f>
        <v/>
      </c>
      <c r="IC59" s="73" t="str">
        <f t="array" ref="IC59">IFERROR(IF(XLOOKUP(CONCAT(HZ59,IA59),'PROCESOS PRD'!$J:$J,'PROCESOS PRD'!$H:$H,0,0)=0,"",XLOOKUP(CONCAT(HZ59,IA59),'PROCESOS PRD'!$J:$J,'PROCESOS PRD'!$H:$H,0,0)),"")</f>
        <v/>
      </c>
      <c r="ID59" s="71"/>
      <c r="IE59" s="32"/>
      <c r="IF59" s="72" t="str">
        <f t="array" ref="IF59">IFERROR(IF(XLOOKUP(CONCAT(ID59,IE59),'MASTER PLAN'!$AB:$AB,'MASTER PLAN'!$J:$J,0,0)=0,"",XLOOKUP(CONCAT(ID59,IE59),'MASTER PLAN'!$AB:$AB,'MASTER PLAN'!$J:$J,0,0)),"")</f>
        <v/>
      </c>
      <c r="IG59" s="73" t="str">
        <f t="array" ref="IG59">IFERROR(IF(XLOOKUP(CONCAT(ID59,IE59),'PROCESOS PRD'!$J:$J,'PROCESOS PRD'!$H:$H,0,0)=0,"",XLOOKUP(CONCAT(ID59,IE59),'PROCESOS PRD'!$J:$J,'PROCESOS PRD'!$H:$H,0,0)),"")</f>
        <v/>
      </c>
      <c r="IH59" s="71"/>
      <c r="II59" s="32"/>
      <c r="IJ59" s="72" t="str">
        <f t="array" ref="IJ59">IFERROR(IF(XLOOKUP(CONCAT(IH59,II59),'MASTER PLAN'!$AB:$AB,'MASTER PLAN'!$J:$J,0,0)=0,"",XLOOKUP(CONCAT(IH59,II59),'MASTER PLAN'!$AB:$AB,'MASTER PLAN'!$J:$J,0,0)),"")</f>
        <v/>
      </c>
      <c r="IK59" s="73" t="str">
        <f t="array" ref="IK59">IFERROR(IF(XLOOKUP(CONCAT(IH59,II59),'PROCESOS PRD'!$J:$J,'PROCESOS PRD'!$H:$H,0,0)=0,"",XLOOKUP(CONCAT(IH59,II59),'PROCESOS PRD'!$J:$J,'PROCESOS PRD'!$H:$H,0,0)),"")</f>
        <v/>
      </c>
      <c r="IL59" s="70"/>
      <c r="IM59" s="71"/>
      <c r="IN59" s="32"/>
      <c r="IO59" s="72" t="str">
        <f t="array" ref="IO59">IFERROR(IF(XLOOKUP(CONCAT(IM59,IN59),'MASTER PLAN'!$AB:$AB,'MASTER PLAN'!$J:$J,0,0)=0,"",XLOOKUP(CONCAT(IM59,IN59),'MASTER PLAN'!$AB:$AB,'MASTER PLAN'!$J:$J,0,0)),"")</f>
        <v/>
      </c>
      <c r="IP59" s="73" t="str">
        <f t="array" ref="IP59">IFERROR(IF(XLOOKUP(CONCAT(IM59,IN59),'PROCESOS PRD'!$J:$J,'PROCESOS PRD'!$H:$H,0,0)=0,"",XLOOKUP(CONCAT(IM59,IN59),'PROCESOS PRD'!$J:$J,'PROCESOS PRD'!$H:$H,0,0)),"")</f>
        <v/>
      </c>
      <c r="IQ59" s="71"/>
      <c r="IR59" s="32"/>
      <c r="IS59" s="72" t="str">
        <f t="array" ref="IS59">IFERROR(IF(XLOOKUP(CONCAT(IQ59,IR59),'MASTER PLAN'!$AB:$AB,'MASTER PLAN'!$J:$J,0,0)=0,"",XLOOKUP(CONCAT(IQ59,IR59),'MASTER PLAN'!$AB:$AB,'MASTER PLAN'!$J:$J,0,0)),"")</f>
        <v/>
      </c>
      <c r="IT59" s="73" t="str">
        <f t="array" ref="IT59">IFERROR(IF(XLOOKUP(CONCAT(IQ59,IR59),'PROCESOS PRD'!$J:$J,'PROCESOS PRD'!$H:$H,0,0)=0,"",XLOOKUP(CONCAT(IQ59,IR59),'PROCESOS PRD'!$J:$J,'PROCESOS PRD'!$H:$H,0,0)),"")</f>
        <v/>
      </c>
      <c r="IU59" s="71"/>
      <c r="IV59" s="32"/>
      <c r="IW59" s="72" t="str">
        <f t="array" ref="IW59">IFERROR(IF(XLOOKUP(CONCAT(IU59,IV59),'MASTER PLAN'!$AB:$AB,'MASTER PLAN'!$J:$J,0,0)=0,"",XLOOKUP(CONCAT(IU59,IV59),'MASTER PLAN'!$AB:$AB,'MASTER PLAN'!$J:$J,0,0)),"")</f>
        <v/>
      </c>
      <c r="IX59" s="73" t="str">
        <f t="array" ref="IX59">IFERROR(IF(XLOOKUP(CONCAT(IU59,IV59),'PROCESOS PRD'!$J:$J,'PROCESOS PRD'!$H:$H,0,0)=0,"",XLOOKUP(CONCAT(IU59,IV59),'PROCESOS PRD'!$J:$J,'PROCESOS PRD'!$H:$H,0,0)),"")</f>
        <v/>
      </c>
      <c r="IY59" s="71"/>
      <c r="IZ59" s="32"/>
      <c r="JA59" s="72" t="str">
        <f t="array" ref="JA59">IFERROR(IF(XLOOKUP(CONCAT(IY59,IZ59),'MASTER PLAN'!$AB:$AB,'MASTER PLAN'!$J:$J,0,0)=0,"",XLOOKUP(CONCAT(IY59,IZ59),'MASTER PLAN'!$AB:$AB,'MASTER PLAN'!$J:$J,0,0)),"")</f>
        <v/>
      </c>
      <c r="JB59" s="73" t="str">
        <f t="array" ref="JB59">IFERROR(IF(XLOOKUP(CONCAT(IY59,IZ59),'PROCESOS PRD'!$J:$J,'PROCESOS PRD'!$H:$H,0,0)=0,"",XLOOKUP(CONCAT(IY59,IZ59),'PROCESOS PRD'!$J:$J,'PROCESOS PRD'!$H:$H,0,0)),"")</f>
        <v/>
      </c>
      <c r="JC59" s="71"/>
      <c r="JD59" s="32"/>
      <c r="JE59" s="72" t="str">
        <f t="array" ref="JE59">IFERROR(IF(XLOOKUP(CONCAT(JC59,JD59),'MASTER PLAN'!$AB:$AB,'MASTER PLAN'!$J:$J,0,0)=0,"",XLOOKUP(CONCAT(JC59,JD59),'MASTER PLAN'!$AB:$AB,'MASTER PLAN'!$J:$J,0,0)),"")</f>
        <v/>
      </c>
      <c r="JF59" s="73" t="str">
        <f t="array" ref="JF59">IFERROR(IF(XLOOKUP(CONCAT(JC59,JD59),'PROCESOS PRD'!$J:$J,'PROCESOS PRD'!$H:$H,0,0)=0,"",XLOOKUP(CONCAT(JC59,JD59),'PROCESOS PRD'!$J:$J,'PROCESOS PRD'!$H:$H,0,0)),"")</f>
        <v/>
      </c>
      <c r="JG59" s="71"/>
      <c r="JH59" s="32"/>
      <c r="JI59" s="72" t="str">
        <f t="array" ref="JI59">IFERROR(IF(XLOOKUP(CONCAT(JG59,JH59),'MASTER PLAN'!$AB:$AB,'MASTER PLAN'!$J:$J,0,0)=0,"",XLOOKUP(CONCAT(JG59,JH59),'MASTER PLAN'!$AB:$AB,'MASTER PLAN'!$J:$J,0,0)),"")</f>
        <v/>
      </c>
      <c r="JJ59" s="73" t="str">
        <f t="array" ref="JJ59">IFERROR(IF(XLOOKUP(CONCAT(JG59,JH59),'PROCESOS PRD'!$J:$J,'PROCESOS PRD'!$H:$H,0,0)=0,"",XLOOKUP(CONCAT(JG59,JH59),'PROCESOS PRD'!$J:$J,'PROCESOS PRD'!$H:$H,0,0)),"")</f>
        <v/>
      </c>
      <c r="JK59" s="70"/>
      <c r="JL59" s="71"/>
      <c r="JM59" s="32"/>
      <c r="JN59" s="72" t="str">
        <f t="array" ref="JN59">IFERROR(IF(XLOOKUP(CONCAT(JL59,JM59),'MASTER PLAN'!$AB:$AB,'MASTER PLAN'!$J:$J,0,0)=0,"",XLOOKUP(CONCAT(JL59,JM59),'MASTER PLAN'!$AB:$AB,'MASTER PLAN'!$J:$J,0,0)),"")</f>
        <v/>
      </c>
      <c r="JO59" s="73" t="str">
        <f t="array" ref="JO59">IFERROR(IF(XLOOKUP(CONCAT(JL59,JM59),'PROCESOS PRD'!$J:$J,'PROCESOS PRD'!$H:$H,0,0)=0,"",XLOOKUP(CONCAT(JL59,JM59),'PROCESOS PRD'!$J:$J,'PROCESOS PRD'!$H:$H,0,0)),"")</f>
        <v/>
      </c>
      <c r="JP59" s="71"/>
      <c r="JQ59" s="32"/>
      <c r="JR59" s="72" t="str">
        <f t="array" ref="JR59">IFERROR(IF(XLOOKUP(CONCAT(JP59,JQ59),'MASTER PLAN'!$AB:$AB,'MASTER PLAN'!$J:$J,0,0)=0,"",XLOOKUP(CONCAT(JP59,JQ59),'MASTER PLAN'!$AB:$AB,'MASTER PLAN'!$J:$J,0,0)),"")</f>
        <v/>
      </c>
      <c r="JS59" s="73" t="str">
        <f t="array" ref="JS59">IFERROR(IF(XLOOKUP(CONCAT(JP59,JQ59),'PROCESOS PRD'!$J:$J,'PROCESOS PRD'!$H:$H,0,0)=0,"",XLOOKUP(CONCAT(JP59,JQ59),'PROCESOS PRD'!$J:$J,'PROCESOS PRD'!$H:$H,0,0)),"")</f>
        <v/>
      </c>
      <c r="JT59" s="71"/>
      <c r="JU59" s="32"/>
      <c r="JV59" s="72" t="str">
        <f t="array" ref="JV59">IFERROR(IF(XLOOKUP(CONCAT(JT59,JU59),'MASTER PLAN'!$AB:$AB,'MASTER PLAN'!$J:$J,0,0)=0,"",XLOOKUP(CONCAT(JT59,JU59),'MASTER PLAN'!$AB:$AB,'MASTER PLAN'!$J:$J,0,0)),"")</f>
        <v/>
      </c>
      <c r="JW59" s="73" t="str">
        <f t="array" ref="JW59">IFERROR(IF(XLOOKUP(CONCAT(JT59,JU59),'PROCESOS PRD'!$J:$J,'PROCESOS PRD'!$H:$H,0,0)=0,"",XLOOKUP(CONCAT(JT59,JU59),'PROCESOS PRD'!$J:$J,'PROCESOS PRD'!$H:$H,0,0)),"")</f>
        <v/>
      </c>
      <c r="JX59" s="71"/>
      <c r="JY59" s="32"/>
      <c r="JZ59" s="72" t="str">
        <f t="array" ref="JZ59">IFERROR(IF(XLOOKUP(CONCAT(JX59,JY59),'MASTER PLAN'!$AB:$AB,'MASTER PLAN'!$J:$J,0,0)=0,"",XLOOKUP(CONCAT(JX59,JY59),'MASTER PLAN'!$AB:$AB,'MASTER PLAN'!$J:$J,0,0)),"")</f>
        <v/>
      </c>
      <c r="KA59" s="73" t="str">
        <f t="array" ref="KA59">IFERROR(IF(XLOOKUP(CONCAT(JX59,JY59),'PROCESOS PRD'!$J:$J,'PROCESOS PRD'!$H:$H,0,0)=0,"",XLOOKUP(CONCAT(JX59,JY59),'PROCESOS PRD'!$J:$J,'PROCESOS PRD'!$H:$H,0,0)),"")</f>
        <v/>
      </c>
      <c r="KB59" s="71"/>
      <c r="KC59" s="32"/>
      <c r="KD59" s="72" t="str">
        <f t="array" ref="KD59">IFERROR(IF(XLOOKUP(CONCAT(KB59,KC59),'MASTER PLAN'!$AB:$AB,'MASTER PLAN'!$J:$J,0,0)=0,"",XLOOKUP(CONCAT(KB59,KC59),'MASTER PLAN'!$AB:$AB,'MASTER PLAN'!$J:$J,0,0)),"")</f>
        <v/>
      </c>
      <c r="KE59" s="73" t="str">
        <f t="array" ref="KE59">IFERROR(IF(XLOOKUP(CONCAT(KB59,KC59),'PROCESOS PRD'!$J:$J,'PROCESOS PRD'!$H:$H,0,0)=0,"",XLOOKUP(CONCAT(KB59,KC59),'PROCESOS PRD'!$J:$J,'PROCESOS PRD'!$H:$H,0,0)),"")</f>
        <v/>
      </c>
      <c r="KF59" s="71"/>
      <c r="KG59" s="32"/>
      <c r="KH59" s="72" t="str">
        <f t="array" ref="KH59">IFERROR(IF(XLOOKUP(CONCAT(KF59,KG59),'MASTER PLAN'!$AB:$AB,'MASTER PLAN'!$J:$J,0,0)=0,"",XLOOKUP(CONCAT(KF59,KG59),'MASTER PLAN'!$AB:$AB,'MASTER PLAN'!$J:$J,0,0)),"")</f>
        <v/>
      </c>
      <c r="KI59" s="73" t="str">
        <f t="array" ref="KI59">IFERROR(IF(XLOOKUP(CONCAT(KF59,KG59),'PROCESOS PRD'!$J:$J,'PROCESOS PRD'!$H:$H,0,0)=0,"",XLOOKUP(CONCAT(KF59,KG59),'PROCESOS PRD'!$J:$J,'PROCESOS PRD'!$H:$H,0,0)),"")</f>
        <v/>
      </c>
      <c r="KJ59" s="70"/>
      <c r="KK59" s="70"/>
      <c r="KL59" s="70"/>
      <c r="KM59" s="70"/>
      <c r="KN59" s="70"/>
      <c r="KO59" s="70"/>
      <c r="KP59" s="70"/>
      <c r="KQ59" s="70"/>
      <c r="KR59" s="70"/>
      <c r="KS59" s="70"/>
      <c r="KT59" s="70"/>
      <c r="KU59" s="70"/>
      <c r="KV59" s="70"/>
      <c r="KW59" s="70"/>
      <c r="KX59" s="70"/>
      <c r="KY59" s="70"/>
      <c r="KZ59" s="70"/>
      <c r="LA59" s="70"/>
      <c r="LB59" s="70"/>
      <c r="LC59" s="70"/>
    </row>
    <row r="60" ht="15.75" customHeight="1">
      <c r="A60" s="42"/>
      <c r="B60" s="75"/>
      <c r="C60" s="76"/>
      <c r="D60" s="70"/>
      <c r="E60" s="77"/>
      <c r="F60" s="78"/>
      <c r="G60" s="79" t="str">
        <f t="array" ref="G60">IFERROR(IF(XLOOKUP(CONCAT(E60,F60),'MASTER PLAN'!$AB:$AB,'MASTER PLAN'!$J:$J,0,0)=0,"",XLOOKUP(CONCAT(E60,F60),'MASTER PLAN'!$AB:$AB,'MASTER PLAN'!$J:$J,0,0)),"")</f>
        <v/>
      </c>
      <c r="H60" s="80" t="str">
        <f t="array" ref="H60">IFERROR(IF(XLOOKUP(CONCAT(E60,F60),'PROCESOS PRD'!$J:$J,'PROCESOS PRD'!$H:$H,0,0)=0,"",XLOOKUP(CONCAT(E60,F60),'PROCESOS PRD'!$J:$J,'PROCESOS PRD'!$H:$H,0,0)),"")</f>
        <v/>
      </c>
      <c r="I60" s="77"/>
      <c r="J60" s="78"/>
      <c r="K60" s="79" t="str">
        <f t="array" ref="K60">IFERROR(IF(XLOOKUP(CONCAT(I60,J60),'MASTER PLAN'!$AB:$AB,'MASTER PLAN'!$J:$J,0,0)=0,"",XLOOKUP(CONCAT(I60,J60),'MASTER PLAN'!$AB:$AB,'MASTER PLAN'!$J:$J,0,0)),"")</f>
        <v/>
      </c>
      <c r="L60" s="80" t="str">
        <f t="array" ref="L60">IFERROR(IF(XLOOKUP(CONCAT(I60,J60),'PROCESOS PRD'!$J:$J,'PROCESOS PRD'!$H:$H,0,0)=0,"",XLOOKUP(CONCAT(I60,J60),'PROCESOS PRD'!$J:$J,'PROCESOS PRD'!$H:$H,0,0)),"")</f>
        <v/>
      </c>
      <c r="M60" s="77"/>
      <c r="N60" s="78"/>
      <c r="O60" s="79" t="str">
        <f t="array" ref="O60">IFERROR(IF(XLOOKUP(CONCAT(M60,N60),'MASTER PLAN'!$AB:$AB,'MASTER PLAN'!$J:$J,0,0)=0,"",XLOOKUP(CONCAT(M60,N60),'MASTER PLAN'!$AB:$AB,'MASTER PLAN'!$J:$J,0,0)),"")</f>
        <v/>
      </c>
      <c r="P60" s="80" t="str">
        <f t="array" ref="P60">IFERROR(IF(XLOOKUP(CONCAT(M60,N60),'PROCESOS PRD'!$J:$J,'PROCESOS PRD'!$H:$H,0,0)=0,"",XLOOKUP(CONCAT(M60,N60),'PROCESOS PRD'!$J:$J,'PROCESOS PRD'!$H:$H,0,0)),"")</f>
        <v/>
      </c>
      <c r="Q60" s="77"/>
      <c r="R60" s="78"/>
      <c r="S60" s="79" t="str">
        <f t="array" ref="S60">IFERROR(IF(XLOOKUP(CONCAT(Q60,R60),'MASTER PLAN'!$AB:$AB,'MASTER PLAN'!$J:$J,0,0)=0,"",XLOOKUP(CONCAT(Q60,R60),'MASTER PLAN'!$AB:$AB,'MASTER PLAN'!$J:$J,0,0)),"")</f>
        <v/>
      </c>
      <c r="T60" s="80" t="str">
        <f t="array" ref="T60">IFERROR(IF(XLOOKUP(CONCAT(Q60,R60),'PROCESOS PRD'!$J:$J,'PROCESOS PRD'!$H:$H,0,0)=0,"",XLOOKUP(CONCAT(Q60,R60),'PROCESOS PRD'!$J:$J,'PROCESOS PRD'!$H:$H,0,0)),"")</f>
        <v/>
      </c>
      <c r="U60" s="70"/>
      <c r="V60" s="77"/>
      <c r="W60" s="78"/>
      <c r="X60" s="79" t="str">
        <f t="array" ref="X60">IFERROR(IF(XLOOKUP(CONCAT(V60,W60),'MASTER PLAN'!$AB:$AB,'MASTER PLAN'!$J:$J,0,0)=0,"",XLOOKUP(CONCAT(V60,W60),'MASTER PLAN'!$AB:$AB,'MASTER PLAN'!$J:$J,0,0)),"")</f>
        <v/>
      </c>
      <c r="Y60" s="80" t="str">
        <f t="array" ref="Y60">IFERROR(IF(XLOOKUP(CONCAT(V60,W60),'PROCESOS PRD'!$J:$J,'PROCESOS PRD'!$H:$H,0,0)=0,"",XLOOKUP(CONCAT(V60,W60),'PROCESOS PRD'!$J:$J,'PROCESOS PRD'!$H:$H,0,0)),"")</f>
        <v/>
      </c>
      <c r="Z60" s="77"/>
      <c r="AA60" s="78"/>
      <c r="AB60" s="79" t="str">
        <f t="array" ref="AB60">IFERROR(IF(XLOOKUP(CONCAT(Z60,AA60),'MASTER PLAN'!$AB:$AB,'MASTER PLAN'!$J:$J,0,0)=0,"",XLOOKUP(CONCAT(Z60,AA60),'MASTER PLAN'!$AB:$AB,'MASTER PLAN'!$J:$J,0,0)),"")</f>
        <v/>
      </c>
      <c r="AC60" s="80" t="str">
        <f t="array" ref="AC60">IFERROR(IF(XLOOKUP(CONCAT(Z60,AA60),'PROCESOS PRD'!$J:$J,'PROCESOS PRD'!$H:$H,0,0)=0,"",XLOOKUP(CONCAT(Z60,AA60),'PROCESOS PRD'!$J:$J,'PROCESOS PRD'!$H:$H,0,0)),"")</f>
        <v/>
      </c>
      <c r="AD60" s="77"/>
      <c r="AE60" s="78"/>
      <c r="AF60" s="79" t="str">
        <f t="array" ref="AF60">IFERROR(IF(XLOOKUP(CONCAT(AD60,AE60),'MASTER PLAN'!$AB:$AB,'MASTER PLAN'!$J:$J,0,0)=0,"",XLOOKUP(CONCAT(AD60,AE60),'MASTER PLAN'!$AB:$AB,'MASTER PLAN'!$J:$J,0,0)),"")</f>
        <v/>
      </c>
      <c r="AG60" s="80" t="str">
        <f t="array" ref="AG60">IFERROR(IF(XLOOKUP(CONCAT(AD60,AE60),'PROCESOS PRD'!$J:$J,'PROCESOS PRD'!$H:$H,0,0)=0,"",XLOOKUP(CONCAT(AD60,AE60),'PROCESOS PRD'!$J:$J,'PROCESOS PRD'!$H:$H,0,0)),"")</f>
        <v/>
      </c>
      <c r="AH60" s="77"/>
      <c r="AI60" s="78"/>
      <c r="AJ60" s="79" t="str">
        <f t="array" ref="AJ60">IFERROR(IF(XLOOKUP(CONCAT(AH60,AI60),'MASTER PLAN'!$AB:$AB,'MASTER PLAN'!$J:$J,0,0)=0,"",XLOOKUP(CONCAT(AH60,AI60),'MASTER PLAN'!$AB:$AB,'MASTER PLAN'!$J:$J,0,0)),"")</f>
        <v/>
      </c>
      <c r="AK60" s="80" t="str">
        <f t="array" ref="AK60">IFERROR(IF(XLOOKUP(CONCAT(AH60,AI60),'PROCESOS PRD'!$J:$J,'PROCESOS PRD'!$H:$H,0,0)=0,"",XLOOKUP(CONCAT(AH60,AI60),'PROCESOS PRD'!$J:$J,'PROCESOS PRD'!$H:$H,0,0)),"")</f>
        <v/>
      </c>
      <c r="AL60" s="77"/>
      <c r="AM60" s="78"/>
      <c r="AN60" s="79" t="str">
        <f t="array" ref="AN60">IFERROR(IF(XLOOKUP(CONCAT(AL60,AM60),'MASTER PLAN'!$AB:$AB,'MASTER PLAN'!$J:$J,0,0)=0,"",XLOOKUP(CONCAT(AL60,AM60),'MASTER PLAN'!$AB:$AB,'MASTER PLAN'!$J:$J,0,0)),"")</f>
        <v/>
      </c>
      <c r="AO60" s="80" t="str">
        <f t="array" ref="AO60">IFERROR(IF(XLOOKUP(CONCAT(AL60,AM60),'PROCESOS PRD'!$J:$J,'PROCESOS PRD'!$H:$H,0,0)=0,"",XLOOKUP(CONCAT(AL60,AM60),'PROCESOS PRD'!$J:$J,'PROCESOS PRD'!$H:$H,0,0)),"")</f>
        <v/>
      </c>
      <c r="AP60" s="77"/>
      <c r="AQ60" s="78"/>
      <c r="AR60" s="79" t="str">
        <f t="array" ref="AR60">IFERROR(IF(XLOOKUP(CONCAT(AP60,AQ60),'MASTER PLAN'!$AB:$AB,'MASTER PLAN'!$J:$J,0,0)=0,"",XLOOKUP(CONCAT(AP60,AQ60),'MASTER PLAN'!$AB:$AB,'MASTER PLAN'!$J:$J,0,0)),"")</f>
        <v/>
      </c>
      <c r="AS60" s="80" t="str">
        <f t="array" ref="AS60">IFERROR(IF(XLOOKUP(CONCAT(AP60,AQ60),'PROCESOS PRD'!$J:$J,'PROCESOS PRD'!$H:$H,0,0)=0,"",XLOOKUP(CONCAT(AP60,AQ60),'PROCESOS PRD'!$J:$J,'PROCESOS PRD'!$H:$H,0,0)),"")</f>
        <v/>
      </c>
      <c r="AT60" s="70"/>
      <c r="AU60" s="77"/>
      <c r="AV60" s="78"/>
      <c r="AW60" s="79" t="str">
        <f t="array" ref="AW60">IFERROR(IF(XLOOKUP(CONCAT(AU60,AV60),'MASTER PLAN'!$AB:$AB,'MASTER PLAN'!$J:$J,0,0)=0,"",XLOOKUP(CONCAT(AU60,AV60),'MASTER PLAN'!$AB:$AB,'MASTER PLAN'!$J:$J,0,0)),"")</f>
        <v/>
      </c>
      <c r="AX60" s="80" t="str">
        <f t="array" ref="AX60">IFERROR(IF(XLOOKUP(CONCAT(AU60,AV60),'PROCESOS PRD'!$J:$J,'PROCESOS PRD'!$H:$H,0,0)=0,"",XLOOKUP(CONCAT(AU60,AV60),'PROCESOS PRD'!$J:$J,'PROCESOS PRD'!$H:$H,0,0)),"")</f>
        <v/>
      </c>
      <c r="AY60" s="77"/>
      <c r="AZ60" s="78"/>
      <c r="BA60" s="79" t="str">
        <f t="array" ref="BA60">IFERROR(IF(XLOOKUP(CONCAT(AY60,AZ60),'MASTER PLAN'!$AB:$AB,'MASTER PLAN'!$J:$J,0,0)=0,"",XLOOKUP(CONCAT(AY60,AZ60),'MASTER PLAN'!$AB:$AB,'MASTER PLAN'!$J:$J,0,0)),"")</f>
        <v/>
      </c>
      <c r="BB60" s="80" t="str">
        <f t="array" ref="BB60">IFERROR(IF(XLOOKUP(CONCAT(AY60,AZ60),'PROCESOS PRD'!$J:$J,'PROCESOS PRD'!$H:$H,0,0)=0,"",XLOOKUP(CONCAT(AY60,AZ60),'PROCESOS PRD'!$J:$J,'PROCESOS PRD'!$H:$H,0,0)),"")</f>
        <v/>
      </c>
      <c r="BC60" s="77"/>
      <c r="BD60" s="78"/>
      <c r="BE60" s="79" t="str">
        <f t="array" ref="BE60">IFERROR(IF(XLOOKUP(CONCAT(BC60,BD60),'MASTER PLAN'!$AB:$AB,'MASTER PLAN'!$J:$J,0,0)=0,"",XLOOKUP(CONCAT(BC60,BD60),'MASTER PLAN'!$AB:$AB,'MASTER PLAN'!$J:$J,0,0)),"")</f>
        <v/>
      </c>
      <c r="BF60" s="80" t="str">
        <f t="array" ref="BF60">IFERROR(IF(XLOOKUP(CONCAT(BC60,BD60),'PROCESOS PRD'!$J:$J,'PROCESOS PRD'!$H:$H,0,0)=0,"",XLOOKUP(CONCAT(BC60,BD60),'PROCESOS PRD'!$J:$J,'PROCESOS PRD'!$H:$H,0,0)),"")</f>
        <v/>
      </c>
      <c r="BG60" s="77"/>
      <c r="BH60" s="78"/>
      <c r="BI60" s="79" t="str">
        <f t="array" ref="BI60">IFERROR(IF(XLOOKUP(CONCAT(BG60,BH60),'MASTER PLAN'!$AB:$AB,'MASTER PLAN'!$J:$J,0,0)=0,"",XLOOKUP(CONCAT(BG60,BH60),'MASTER PLAN'!$AB:$AB,'MASTER PLAN'!$J:$J,0,0)),"")</f>
        <v/>
      </c>
      <c r="BJ60" s="80" t="str">
        <f t="array" ref="BJ60">IFERROR(IF(XLOOKUP(CONCAT(BG60,BH60),'PROCESOS PRD'!$J:$J,'PROCESOS PRD'!$H:$H,0,0)=0,"",XLOOKUP(CONCAT(BG60,BH60),'PROCESOS PRD'!$J:$J,'PROCESOS PRD'!$H:$H,0,0)),"")</f>
        <v/>
      </c>
      <c r="BK60" s="77"/>
      <c r="BL60" s="78"/>
      <c r="BM60" s="79" t="str">
        <f t="array" ref="BM60">IFERROR(IF(XLOOKUP(CONCAT(BK60,BL60),'MASTER PLAN'!$AB:$AB,'MASTER PLAN'!$J:$J,0,0)=0,"",XLOOKUP(CONCAT(BK60,BL60),'MASTER PLAN'!$AB:$AB,'MASTER PLAN'!$J:$J,0,0)),"")</f>
        <v/>
      </c>
      <c r="BN60" s="80" t="str">
        <f t="array" ref="BN60">IFERROR(IF(XLOOKUP(CONCAT(BK60,BL60),'PROCESOS PRD'!$J:$J,'PROCESOS PRD'!$H:$H,0,0)=0,"",XLOOKUP(CONCAT(BK60,BL60),'PROCESOS PRD'!$J:$J,'PROCESOS PRD'!$H:$H,0,0)),"")</f>
        <v/>
      </c>
      <c r="BO60" s="77"/>
      <c r="BP60" s="78"/>
      <c r="BQ60" s="79" t="str">
        <f t="array" ref="BQ60">IFERROR(IF(XLOOKUP(CONCAT(BO60,BP60),'MASTER PLAN'!$AB:$AB,'MASTER PLAN'!$J:$J,0,0)=0,"",XLOOKUP(CONCAT(BO60,BP60),'MASTER PLAN'!$AB:$AB,'MASTER PLAN'!$J:$J,0,0)),"")</f>
        <v/>
      </c>
      <c r="BR60" s="80" t="str">
        <f t="array" ref="BR60">IFERROR(IF(XLOOKUP(CONCAT(BO60,BP60),'PROCESOS PRD'!$J:$J,'PROCESOS PRD'!$H:$H,0,0)=0,"",XLOOKUP(CONCAT(BO60,BP60),'PROCESOS PRD'!$J:$J,'PROCESOS PRD'!$H:$H,0,0)),"")</f>
        <v/>
      </c>
      <c r="BS60" s="70"/>
      <c r="BT60" s="77"/>
      <c r="BU60" s="78"/>
      <c r="BV60" s="79" t="str">
        <f t="array" ref="BV60">IFERROR(IF(XLOOKUP(CONCAT(BT60,BU60),'MASTER PLAN'!$AB:$AB,'MASTER PLAN'!$J:$J,0,0)=0,"",XLOOKUP(CONCAT(BT60,BU60),'MASTER PLAN'!$AB:$AB,'MASTER PLAN'!$J:$J,0,0)),"")</f>
        <v/>
      </c>
      <c r="BW60" s="80" t="str">
        <f t="array" ref="BW60">IFERROR(IF(XLOOKUP(CONCAT(BT60,BU60),'PROCESOS PRD'!$J:$J,'PROCESOS PRD'!$H:$H,0,0)=0,"",XLOOKUP(CONCAT(BT60,BU60),'PROCESOS PRD'!$J:$J,'PROCESOS PRD'!$H:$H,0,0)),"")</f>
        <v/>
      </c>
      <c r="BX60" s="77"/>
      <c r="BY60" s="78"/>
      <c r="BZ60" s="79" t="str">
        <f t="array" ref="BZ60">IFERROR(IF(XLOOKUP(CONCAT(BX60,BY60),'MASTER PLAN'!$AB:$AB,'MASTER PLAN'!$J:$J,0,0)=0,"",XLOOKUP(CONCAT(BX60,BY60),'MASTER PLAN'!$AB:$AB,'MASTER PLAN'!$J:$J,0,0)),"")</f>
        <v/>
      </c>
      <c r="CA60" s="80" t="str">
        <f t="array" ref="CA60">IFERROR(IF(XLOOKUP(CONCAT(BX60,BY60),'PROCESOS PRD'!$J:$J,'PROCESOS PRD'!$H:$H,0,0)=0,"",XLOOKUP(CONCAT(BX60,BY60),'PROCESOS PRD'!$J:$J,'PROCESOS PRD'!$H:$H,0,0)),"")</f>
        <v/>
      </c>
      <c r="CB60" s="77"/>
      <c r="CC60" s="78"/>
      <c r="CD60" s="79" t="str">
        <f t="array" ref="CD60">IFERROR(IF(XLOOKUP(CONCAT(CB60,CC60),'MASTER PLAN'!$AB:$AB,'MASTER PLAN'!$J:$J,0,0)=0,"",XLOOKUP(CONCAT(CB60,CC60),'MASTER PLAN'!$AB:$AB,'MASTER PLAN'!$J:$J,0,0)),"")</f>
        <v/>
      </c>
      <c r="CE60" s="80" t="str">
        <f t="array" ref="CE60">IFERROR(IF(XLOOKUP(CONCAT(CB60,CC60),'PROCESOS PRD'!$J:$J,'PROCESOS PRD'!$H:$H,0,0)=0,"",XLOOKUP(CONCAT(CB60,CC60),'PROCESOS PRD'!$J:$J,'PROCESOS PRD'!$H:$H,0,0)),"")</f>
        <v/>
      </c>
      <c r="CF60" s="77"/>
      <c r="CG60" s="78"/>
      <c r="CH60" s="79" t="str">
        <f t="array" ref="CH60">IFERROR(IF(XLOOKUP(CONCAT(CF60,CG60),'MASTER PLAN'!$AB:$AB,'MASTER PLAN'!$J:$J,0,0)=0,"",XLOOKUP(CONCAT(CF60,CG60),'MASTER PLAN'!$AB:$AB,'MASTER PLAN'!$J:$J,0,0)),"")</f>
        <v/>
      </c>
      <c r="CI60" s="80" t="str">
        <f t="array" ref="CI60">IFERROR(IF(XLOOKUP(CONCAT(CF60,CG60),'PROCESOS PRD'!$J:$J,'PROCESOS PRD'!$H:$H,0,0)=0,"",XLOOKUP(CONCAT(CF60,CG60),'PROCESOS PRD'!$J:$J,'PROCESOS PRD'!$H:$H,0,0)),"")</f>
        <v/>
      </c>
      <c r="CJ60" s="77"/>
      <c r="CK60" s="78"/>
      <c r="CL60" s="79" t="str">
        <f t="array" ref="CL60">IFERROR(IF(XLOOKUP(CONCAT(CJ60,CK60),'MASTER PLAN'!$AB:$AB,'MASTER PLAN'!$J:$J,0,0)=0,"",XLOOKUP(CONCAT(CJ60,CK60),'MASTER PLAN'!$AB:$AB,'MASTER PLAN'!$J:$J,0,0)),"")</f>
        <v/>
      </c>
      <c r="CM60" s="80" t="str">
        <f t="array" ref="CM60">IFERROR(IF(XLOOKUP(CONCAT(CJ60,CK60),'PROCESOS PRD'!$J:$J,'PROCESOS PRD'!$H:$H,0,0)=0,"",XLOOKUP(CONCAT(CJ60,CK60),'PROCESOS PRD'!$J:$J,'PROCESOS PRD'!$H:$H,0,0)),"")</f>
        <v/>
      </c>
      <c r="CN60" s="77"/>
      <c r="CO60" s="78"/>
      <c r="CP60" s="79" t="str">
        <f t="array" ref="CP60">IFERROR(IF(XLOOKUP(CONCAT(CN60,CO60),'MASTER PLAN'!$AB:$AB,'MASTER PLAN'!$J:$J,0,0)=0,"",XLOOKUP(CONCAT(CN60,CO60),'MASTER PLAN'!$AB:$AB,'MASTER PLAN'!$J:$J,0,0)),"")</f>
        <v/>
      </c>
      <c r="CQ60" s="80" t="str">
        <f t="array" ref="CQ60">IFERROR(IF(XLOOKUP(CONCAT(CN60,CO60),'PROCESOS PRD'!$J:$J,'PROCESOS PRD'!$H:$H,0,0)=0,"",XLOOKUP(CONCAT(CN60,CO60),'PROCESOS PRD'!$J:$J,'PROCESOS PRD'!$H:$H,0,0)),"")</f>
        <v/>
      </c>
      <c r="CR60" s="70"/>
      <c r="CS60" s="77"/>
      <c r="CT60" s="78"/>
      <c r="CU60" s="79" t="str">
        <f t="array" ref="CU60">IFERROR(IF(XLOOKUP(CONCAT(CS60,CT60),'MASTER PLAN'!$AB:$AB,'MASTER PLAN'!$J:$J,0,0)=0,"",XLOOKUP(CONCAT(CS60,CT60),'MASTER PLAN'!$AB:$AB,'MASTER PLAN'!$J:$J,0,0)),"")</f>
        <v/>
      </c>
      <c r="CV60" s="80" t="str">
        <f t="array" ref="CV60">IFERROR(IF(XLOOKUP(CONCAT(CS60,CT60),'PROCESOS PRD'!$J:$J,'PROCESOS PRD'!$H:$H,0,0)=0,"",XLOOKUP(CONCAT(CS60,CT60),'PROCESOS PRD'!$J:$J,'PROCESOS PRD'!$H:$H,0,0)),"")</f>
        <v/>
      </c>
      <c r="CW60" s="77"/>
      <c r="CX60" s="78"/>
      <c r="CY60" s="79" t="str">
        <f t="array" ref="CY60">IFERROR(IF(XLOOKUP(CONCAT(CW60,CX60),'MASTER PLAN'!$AB:$AB,'MASTER PLAN'!$J:$J,0,0)=0,"",XLOOKUP(CONCAT(CW60,CX60),'MASTER PLAN'!$AB:$AB,'MASTER PLAN'!$J:$J,0,0)),"")</f>
        <v/>
      </c>
      <c r="CZ60" s="80" t="str">
        <f t="array" ref="CZ60">IFERROR(IF(XLOOKUP(CONCAT(CW60,CX60),'PROCESOS PRD'!$J:$J,'PROCESOS PRD'!$H:$H,0,0)=0,"",XLOOKUP(CONCAT(CW60,CX60),'PROCESOS PRD'!$J:$J,'PROCESOS PRD'!$H:$H,0,0)),"")</f>
        <v/>
      </c>
      <c r="DA60" s="77"/>
      <c r="DB60" s="78"/>
      <c r="DC60" s="79" t="str">
        <f t="array" ref="DC60">IFERROR(IF(XLOOKUP(CONCAT(DA60,DB60),'MASTER PLAN'!$AB:$AB,'MASTER PLAN'!$J:$J,0,0)=0,"",XLOOKUP(CONCAT(DA60,DB60),'MASTER PLAN'!$AB:$AB,'MASTER PLAN'!$J:$J,0,0)),"")</f>
        <v/>
      </c>
      <c r="DD60" s="80" t="str">
        <f t="array" ref="DD60">IFERROR(IF(XLOOKUP(CONCAT(DA60,DB60),'PROCESOS PRD'!$J:$J,'PROCESOS PRD'!$H:$H,0,0)=0,"",XLOOKUP(CONCAT(DA60,DB60),'PROCESOS PRD'!$J:$J,'PROCESOS PRD'!$H:$H,0,0)),"")</f>
        <v/>
      </c>
      <c r="DE60" s="77"/>
      <c r="DF60" s="78"/>
      <c r="DG60" s="79" t="str">
        <f t="array" ref="DG60">IFERROR(IF(XLOOKUP(CONCAT(DE60,DF60),'MASTER PLAN'!$AB:$AB,'MASTER PLAN'!$J:$J,0,0)=0,"",XLOOKUP(CONCAT(DE60,DF60),'MASTER PLAN'!$AB:$AB,'MASTER PLAN'!$J:$J,0,0)),"")</f>
        <v/>
      </c>
      <c r="DH60" s="80" t="str">
        <f t="array" ref="DH60">IFERROR(IF(XLOOKUP(CONCAT(DE60,DF60),'PROCESOS PRD'!$J:$J,'PROCESOS PRD'!$H:$H,0,0)=0,"",XLOOKUP(CONCAT(DE60,DF60),'PROCESOS PRD'!$J:$J,'PROCESOS PRD'!$H:$H,0,0)),"")</f>
        <v/>
      </c>
      <c r="DI60" s="77"/>
      <c r="DJ60" s="78"/>
      <c r="DK60" s="79" t="str">
        <f t="array" ref="DK60">IFERROR(IF(XLOOKUP(CONCAT(DI60,DJ60),'MASTER PLAN'!$AB:$AB,'MASTER PLAN'!$J:$J,0,0)=0,"",XLOOKUP(CONCAT(DI60,DJ60),'MASTER PLAN'!$AB:$AB,'MASTER PLAN'!$J:$J,0,0)),"")</f>
        <v/>
      </c>
      <c r="DL60" s="80" t="str">
        <f t="array" ref="DL60">IFERROR(IF(XLOOKUP(CONCAT(DI60,DJ60),'PROCESOS PRD'!$J:$J,'PROCESOS PRD'!$H:$H,0,0)=0,"",XLOOKUP(CONCAT(DI60,DJ60),'PROCESOS PRD'!$J:$J,'PROCESOS PRD'!$H:$H,0,0)),"")</f>
        <v/>
      </c>
      <c r="DM60" s="77"/>
      <c r="DN60" s="78"/>
      <c r="DO60" s="79" t="str">
        <f t="array" ref="DO60">IFERROR(IF(XLOOKUP(CONCAT(DM60,DN60),'MASTER PLAN'!$AB:$AB,'MASTER PLAN'!$J:$J,0,0)=0,"",XLOOKUP(CONCAT(DM60,DN60),'MASTER PLAN'!$AB:$AB,'MASTER PLAN'!$J:$J,0,0)),"")</f>
        <v/>
      </c>
      <c r="DP60" s="80" t="str">
        <f t="array" ref="DP60">IFERROR(IF(XLOOKUP(CONCAT(DM60,DN60),'PROCESOS PRD'!$J:$J,'PROCESOS PRD'!$H:$H,0,0)=0,"",XLOOKUP(CONCAT(DM60,DN60),'PROCESOS PRD'!$J:$J,'PROCESOS PRD'!$H:$H,0,0)),"")</f>
        <v/>
      </c>
      <c r="DQ60" s="70"/>
      <c r="DR60" s="77"/>
      <c r="DS60" s="78"/>
      <c r="DT60" s="79" t="str">
        <f t="array" ref="DT60">IFERROR(IF(XLOOKUP(CONCAT(DR60,DS60),'MASTER PLAN'!$AB:$AB,'MASTER PLAN'!$J:$J,0,0)=0,"",XLOOKUP(CONCAT(DR60,DS60),'MASTER PLAN'!$AB:$AB,'MASTER PLAN'!$J:$J,0,0)),"")</f>
        <v/>
      </c>
      <c r="DU60" s="80" t="str">
        <f t="array" ref="DU60">IFERROR(IF(XLOOKUP(CONCAT(DR60,DS60),'PROCESOS PRD'!$J:$J,'PROCESOS PRD'!$H:$H,0,0)=0,"",XLOOKUP(CONCAT(DR60,DS60),'PROCESOS PRD'!$J:$J,'PROCESOS PRD'!$H:$H,0,0)),"")</f>
        <v/>
      </c>
      <c r="DV60" s="77"/>
      <c r="DW60" s="78"/>
      <c r="DX60" s="79" t="str">
        <f t="array" ref="DX60">IFERROR(IF(XLOOKUP(CONCAT(DV60,DW60),'MASTER PLAN'!$AB:$AB,'MASTER PLAN'!$J:$J,0,0)=0,"",XLOOKUP(CONCAT(DV60,DW60),'MASTER PLAN'!$AB:$AB,'MASTER PLAN'!$J:$J,0,0)),"")</f>
        <v/>
      </c>
      <c r="DY60" s="80" t="str">
        <f t="array" ref="DY60">IFERROR(IF(XLOOKUP(CONCAT(DV60,DW60),'PROCESOS PRD'!$J:$J,'PROCESOS PRD'!$H:$H,0,0)=0,"",XLOOKUP(CONCAT(DV60,DW60),'PROCESOS PRD'!$J:$J,'PROCESOS PRD'!$H:$H,0,0)),"")</f>
        <v/>
      </c>
      <c r="DZ60" s="77"/>
      <c r="EA60" s="78"/>
      <c r="EB60" s="79" t="str">
        <f t="array" ref="EB60">IFERROR(IF(XLOOKUP(CONCAT(DZ60,EA60),'MASTER PLAN'!$AB:$AB,'MASTER PLAN'!$J:$J,0,0)=0,"",XLOOKUP(CONCAT(DZ60,EA60),'MASTER PLAN'!$AB:$AB,'MASTER PLAN'!$J:$J,0,0)),"")</f>
        <v/>
      </c>
      <c r="EC60" s="80" t="str">
        <f t="array" ref="EC60">IFERROR(IF(XLOOKUP(CONCAT(DZ60,EA60),'PROCESOS PRD'!$J:$J,'PROCESOS PRD'!$H:$H,0,0)=0,"",XLOOKUP(CONCAT(DZ60,EA60),'PROCESOS PRD'!$J:$J,'PROCESOS PRD'!$H:$H,0,0)),"")</f>
        <v/>
      </c>
      <c r="ED60" s="77"/>
      <c r="EE60" s="78"/>
      <c r="EF60" s="79" t="str">
        <f t="array" ref="EF60">IFERROR(IF(XLOOKUP(CONCAT(ED60,EE60),'MASTER PLAN'!$AB:$AB,'MASTER PLAN'!$J:$J,0,0)=0,"",XLOOKUP(CONCAT(ED60,EE60),'MASTER PLAN'!$AB:$AB,'MASTER PLAN'!$J:$J,0,0)),"")</f>
        <v/>
      </c>
      <c r="EG60" s="80" t="str">
        <f t="array" ref="EG60">IFERROR(IF(XLOOKUP(CONCAT(ED60,EE60),'PROCESOS PRD'!$J:$J,'PROCESOS PRD'!$H:$H,0,0)=0,"",XLOOKUP(CONCAT(ED60,EE60),'PROCESOS PRD'!$J:$J,'PROCESOS PRD'!$H:$H,0,0)),"")</f>
        <v/>
      </c>
      <c r="EH60" s="77"/>
      <c r="EI60" s="78"/>
      <c r="EJ60" s="79" t="str">
        <f t="array" ref="EJ60">IFERROR(IF(XLOOKUP(CONCAT(EH60,EI60),'MASTER PLAN'!$AB:$AB,'MASTER PLAN'!$J:$J,0,0)=0,"",XLOOKUP(CONCAT(EH60,EI60),'MASTER PLAN'!$AB:$AB,'MASTER PLAN'!$J:$J,0,0)),"")</f>
        <v/>
      </c>
      <c r="EK60" s="80" t="str">
        <f t="array" ref="EK60">IFERROR(IF(XLOOKUP(CONCAT(EH60,EI60),'PROCESOS PRD'!$J:$J,'PROCESOS PRD'!$H:$H,0,0)=0,"",XLOOKUP(CONCAT(EH60,EI60),'PROCESOS PRD'!$J:$J,'PROCESOS PRD'!$H:$H,0,0)),"")</f>
        <v/>
      </c>
      <c r="EL60" s="77"/>
      <c r="EM60" s="78"/>
      <c r="EN60" s="79" t="str">
        <f t="array" ref="EN60">IFERROR(IF(XLOOKUP(CONCAT(EL60,EM60),'MASTER PLAN'!$AB:$AB,'MASTER PLAN'!$J:$J,0,0)=0,"",XLOOKUP(CONCAT(EL60,EM60),'MASTER PLAN'!$AB:$AB,'MASTER PLAN'!$J:$J,0,0)),"")</f>
        <v/>
      </c>
      <c r="EO60" s="80" t="str">
        <f t="array" ref="EO60">IFERROR(IF(XLOOKUP(CONCAT(EL60,EM60),'PROCESOS PRD'!$J:$J,'PROCESOS PRD'!$H:$H,0,0)=0,"",XLOOKUP(CONCAT(EL60,EM60),'PROCESOS PRD'!$J:$J,'PROCESOS PRD'!$H:$H,0,0)),"")</f>
        <v/>
      </c>
      <c r="EP60" s="70"/>
      <c r="EQ60" s="77"/>
      <c r="ER60" s="78"/>
      <c r="ES60" s="79" t="str">
        <f t="array" ref="ES60">IFERROR(IF(XLOOKUP(CONCAT(EQ60,ER60),'MASTER PLAN'!$AB:$AB,'MASTER PLAN'!$J:$J,0,0)=0,"",XLOOKUP(CONCAT(EQ60,ER60),'MASTER PLAN'!$AB:$AB,'MASTER PLAN'!$J:$J,0,0)),"")</f>
        <v/>
      </c>
      <c r="ET60" s="80" t="str">
        <f t="array" ref="ET60">IFERROR(IF(XLOOKUP(CONCAT(EQ60,ER60),'PROCESOS PRD'!$J:$J,'PROCESOS PRD'!$H:$H,0,0)=0,"",XLOOKUP(CONCAT(EQ60,ER60),'PROCESOS PRD'!$J:$J,'PROCESOS PRD'!$H:$H,0,0)),"")</f>
        <v/>
      </c>
      <c r="EU60" s="77"/>
      <c r="EV60" s="78"/>
      <c r="EW60" s="79" t="str">
        <f t="array" ref="EW60">IFERROR(IF(XLOOKUP(CONCAT(EU60,EV60),'MASTER PLAN'!$AB:$AB,'MASTER PLAN'!$J:$J,0,0)=0,"",XLOOKUP(CONCAT(EU60,EV60),'MASTER PLAN'!$AB:$AB,'MASTER PLAN'!$J:$J,0,0)),"")</f>
        <v/>
      </c>
      <c r="EX60" s="80" t="str">
        <f t="array" ref="EX60">IFERROR(IF(XLOOKUP(CONCAT(EU60,EV60),'PROCESOS PRD'!$J:$J,'PROCESOS PRD'!$H:$H,0,0)=0,"",XLOOKUP(CONCAT(EU60,EV60),'PROCESOS PRD'!$J:$J,'PROCESOS PRD'!$H:$H,0,0)),"")</f>
        <v/>
      </c>
      <c r="EY60" s="77"/>
      <c r="EZ60" s="78"/>
      <c r="FA60" s="79" t="str">
        <f t="array" ref="FA60">IFERROR(IF(XLOOKUP(CONCAT(EY60,EZ60),'MASTER PLAN'!$AB:$AB,'MASTER PLAN'!$J:$J,0,0)=0,"",XLOOKUP(CONCAT(EY60,EZ60),'MASTER PLAN'!$AB:$AB,'MASTER PLAN'!$J:$J,0,0)),"")</f>
        <v/>
      </c>
      <c r="FB60" s="80" t="str">
        <f t="array" ref="FB60">IFERROR(IF(XLOOKUP(CONCAT(EY60,EZ60),'PROCESOS PRD'!$J:$J,'PROCESOS PRD'!$H:$H,0,0)=0,"",XLOOKUP(CONCAT(EY60,EZ60),'PROCESOS PRD'!$J:$J,'PROCESOS PRD'!$H:$H,0,0)),"")</f>
        <v/>
      </c>
      <c r="FC60" s="77"/>
      <c r="FD60" s="78"/>
      <c r="FE60" s="79" t="str">
        <f t="array" ref="FE60">IFERROR(IF(XLOOKUP(CONCAT(FC60,FD60),'MASTER PLAN'!$AB:$AB,'MASTER PLAN'!$J:$J,0,0)=0,"",XLOOKUP(CONCAT(FC60,FD60),'MASTER PLAN'!$AB:$AB,'MASTER PLAN'!$J:$J,0,0)),"")</f>
        <v/>
      </c>
      <c r="FF60" s="80" t="str">
        <f t="array" ref="FF60">IFERROR(IF(XLOOKUP(CONCAT(FC60,FD60),'PROCESOS PRD'!$J:$J,'PROCESOS PRD'!$H:$H,0,0)=0,"",XLOOKUP(CONCAT(FC60,FD60),'PROCESOS PRD'!$J:$J,'PROCESOS PRD'!$H:$H,0,0)),"")</f>
        <v/>
      </c>
      <c r="FG60" s="77"/>
      <c r="FH60" s="78"/>
      <c r="FI60" s="79" t="str">
        <f t="array" ref="FI60">IFERROR(IF(XLOOKUP(CONCAT(FG60,FH60),'MASTER PLAN'!$AB:$AB,'MASTER PLAN'!$J:$J,0,0)=0,"",XLOOKUP(CONCAT(FG60,FH60),'MASTER PLAN'!$AB:$AB,'MASTER PLAN'!$J:$J,0,0)),"")</f>
        <v/>
      </c>
      <c r="FJ60" s="80" t="str">
        <f t="array" ref="FJ60">IFERROR(IF(XLOOKUP(CONCAT(FG60,FH60),'PROCESOS PRD'!$J:$J,'PROCESOS PRD'!$H:$H,0,0)=0,"",XLOOKUP(CONCAT(FG60,FH60),'PROCESOS PRD'!$J:$J,'PROCESOS PRD'!$H:$H,0,0)),"")</f>
        <v/>
      </c>
      <c r="FK60" s="77"/>
      <c r="FL60" s="78"/>
      <c r="FM60" s="79" t="str">
        <f t="array" ref="FM60">IFERROR(IF(XLOOKUP(CONCAT(FK60,FL60),'MASTER PLAN'!$AB:$AB,'MASTER PLAN'!$J:$J,0,0)=0,"",XLOOKUP(CONCAT(FK60,FL60),'MASTER PLAN'!$AB:$AB,'MASTER PLAN'!$J:$J,0,0)),"")</f>
        <v/>
      </c>
      <c r="FN60" s="80" t="str">
        <f t="array" ref="FN60">IFERROR(IF(XLOOKUP(CONCAT(FK60,FL60),'PROCESOS PRD'!$J:$J,'PROCESOS PRD'!$H:$H,0,0)=0,"",XLOOKUP(CONCAT(FK60,FL60),'PROCESOS PRD'!$J:$J,'PROCESOS PRD'!$H:$H,0,0)),"")</f>
        <v/>
      </c>
      <c r="FO60" s="70"/>
      <c r="FP60" s="77"/>
      <c r="FQ60" s="78"/>
      <c r="FR60" s="79" t="str">
        <f t="array" ref="FR60">IFERROR(IF(XLOOKUP(CONCAT(FP60,FQ60),'MASTER PLAN'!$AB:$AB,'MASTER PLAN'!$J:$J,0,0)=0,"",XLOOKUP(CONCAT(FP60,FQ60),'MASTER PLAN'!$AB:$AB,'MASTER PLAN'!$J:$J,0,0)),"")</f>
        <v/>
      </c>
      <c r="FS60" s="80" t="str">
        <f t="array" ref="FS60">IFERROR(IF(XLOOKUP(CONCAT(FP60,FQ60),'PROCESOS PRD'!$J:$J,'PROCESOS PRD'!$H:$H,0,0)=0,"",XLOOKUP(CONCAT(FP60,FQ60),'PROCESOS PRD'!$J:$J,'PROCESOS PRD'!$H:$H,0,0)),"")</f>
        <v/>
      </c>
      <c r="FT60" s="77"/>
      <c r="FU60" s="78"/>
      <c r="FV60" s="79" t="str">
        <f t="array" ref="FV60">IFERROR(IF(XLOOKUP(CONCAT(FT60,FU60),'MASTER PLAN'!$AB:$AB,'MASTER PLAN'!$J:$J,0,0)=0,"",XLOOKUP(CONCAT(FT60,FU60),'MASTER PLAN'!$AB:$AB,'MASTER PLAN'!$J:$J,0,0)),"")</f>
        <v/>
      </c>
      <c r="FW60" s="80" t="str">
        <f t="array" ref="FW60">IFERROR(IF(XLOOKUP(CONCAT(FT60,FU60),'PROCESOS PRD'!$J:$J,'PROCESOS PRD'!$H:$H,0,0)=0,"",XLOOKUP(CONCAT(FT60,FU60),'PROCESOS PRD'!$J:$J,'PROCESOS PRD'!$H:$H,0,0)),"")</f>
        <v/>
      </c>
      <c r="FX60" s="77"/>
      <c r="FY60" s="78"/>
      <c r="FZ60" s="79" t="str">
        <f t="array" ref="FZ60">IFERROR(IF(XLOOKUP(CONCAT(FX60,FY60),'MASTER PLAN'!$AB:$AB,'MASTER PLAN'!$J:$J,0,0)=0,"",XLOOKUP(CONCAT(FX60,FY60),'MASTER PLAN'!$AB:$AB,'MASTER PLAN'!$J:$J,0,0)),"")</f>
        <v/>
      </c>
      <c r="GA60" s="80" t="str">
        <f t="array" ref="GA60">IFERROR(IF(XLOOKUP(CONCAT(FX60,FY60),'PROCESOS PRD'!$J:$J,'PROCESOS PRD'!$H:$H,0,0)=0,"",XLOOKUP(CONCAT(FX60,FY60),'PROCESOS PRD'!$J:$J,'PROCESOS PRD'!$H:$H,0,0)),"")</f>
        <v/>
      </c>
      <c r="GB60" s="77"/>
      <c r="GC60" s="78"/>
      <c r="GD60" s="79" t="str">
        <f t="array" ref="GD60">IFERROR(IF(XLOOKUP(CONCAT(GB60,GC60),'MASTER PLAN'!$AB:$AB,'MASTER PLAN'!$J:$J,0,0)=0,"",XLOOKUP(CONCAT(GB60,GC60),'MASTER PLAN'!$AB:$AB,'MASTER PLAN'!$J:$J,0,0)),"")</f>
        <v/>
      </c>
      <c r="GE60" s="80" t="str">
        <f t="array" ref="GE60">IFERROR(IF(XLOOKUP(CONCAT(GB60,GC60),'PROCESOS PRD'!$J:$J,'PROCESOS PRD'!$H:$H,0,0)=0,"",XLOOKUP(CONCAT(GB60,GC60),'PROCESOS PRD'!$J:$J,'PROCESOS PRD'!$H:$H,0,0)),"")</f>
        <v/>
      </c>
      <c r="GF60" s="77"/>
      <c r="GG60" s="78"/>
      <c r="GH60" s="79" t="str">
        <f t="array" ref="GH60">IFERROR(IF(XLOOKUP(CONCAT(GF60,GG60),'MASTER PLAN'!$AB:$AB,'MASTER PLAN'!$J:$J,0,0)=0,"",XLOOKUP(CONCAT(GF60,GG60),'MASTER PLAN'!$AB:$AB,'MASTER PLAN'!$J:$J,0,0)),"")</f>
        <v/>
      </c>
      <c r="GI60" s="80" t="str">
        <f t="array" ref="GI60">IFERROR(IF(XLOOKUP(CONCAT(GF60,GG60),'PROCESOS PRD'!$J:$J,'PROCESOS PRD'!$H:$H,0,0)=0,"",XLOOKUP(CONCAT(GF60,GG60),'PROCESOS PRD'!$J:$J,'PROCESOS PRD'!$H:$H,0,0)),"")</f>
        <v/>
      </c>
      <c r="GJ60" s="77"/>
      <c r="GK60" s="78"/>
      <c r="GL60" s="79" t="str">
        <f t="array" ref="GL60">IFERROR(IF(XLOOKUP(CONCAT(GJ60,GK60),'MASTER PLAN'!$AB:$AB,'MASTER PLAN'!$J:$J,0,0)=0,"",XLOOKUP(CONCAT(GJ60,GK60),'MASTER PLAN'!$AB:$AB,'MASTER PLAN'!$J:$J,0,0)),"")</f>
        <v/>
      </c>
      <c r="GM60" s="80" t="str">
        <f t="array" ref="GM60">IFERROR(IF(XLOOKUP(CONCAT(GJ60,GK60),'PROCESOS PRD'!$J:$J,'PROCESOS PRD'!$H:$H,0,0)=0,"",XLOOKUP(CONCAT(GJ60,GK60),'PROCESOS PRD'!$J:$J,'PROCESOS PRD'!$H:$H,0,0)),"")</f>
        <v/>
      </c>
      <c r="GN60" s="70"/>
      <c r="GO60" s="77"/>
      <c r="GP60" s="78"/>
      <c r="GQ60" s="79" t="str">
        <f t="array" ref="GQ60">IFERROR(IF(XLOOKUP(CONCAT(GO60,GP60),'MASTER PLAN'!$AB:$AB,'MASTER PLAN'!$J:$J,0,0)=0,"",XLOOKUP(CONCAT(GO60,GP60),'MASTER PLAN'!$AB:$AB,'MASTER PLAN'!$J:$J,0,0)),"")</f>
        <v/>
      </c>
      <c r="GR60" s="80" t="str">
        <f t="array" ref="GR60">IFERROR(IF(XLOOKUP(CONCAT(GO60,GP60),'PROCESOS PRD'!$J:$J,'PROCESOS PRD'!$H:$H,0,0)=0,"",XLOOKUP(CONCAT(GO60,GP60),'PROCESOS PRD'!$J:$J,'PROCESOS PRD'!$H:$H,0,0)),"")</f>
        <v/>
      </c>
      <c r="GS60" s="77"/>
      <c r="GT60" s="78"/>
      <c r="GU60" s="79" t="str">
        <f t="array" ref="GU60">IFERROR(IF(XLOOKUP(CONCAT(GS60,GT60),'MASTER PLAN'!$AB:$AB,'MASTER PLAN'!$J:$J,0,0)=0,"",XLOOKUP(CONCAT(GS60,GT60),'MASTER PLAN'!$AB:$AB,'MASTER PLAN'!$J:$J,0,0)),"")</f>
        <v/>
      </c>
      <c r="GV60" s="80" t="str">
        <f t="array" ref="GV60">IFERROR(IF(XLOOKUP(CONCAT(GS60,GT60),'PROCESOS PRD'!$J:$J,'PROCESOS PRD'!$H:$H,0,0)=0,"",XLOOKUP(CONCAT(GS60,GT60),'PROCESOS PRD'!$J:$J,'PROCESOS PRD'!$H:$H,0,0)),"")</f>
        <v/>
      </c>
      <c r="GW60" s="77"/>
      <c r="GX60" s="78"/>
      <c r="GY60" s="79" t="str">
        <f t="array" ref="GY60">IFERROR(IF(XLOOKUP(CONCAT(GW60,GX60),'MASTER PLAN'!$AB:$AB,'MASTER PLAN'!$J:$J,0,0)=0,"",XLOOKUP(CONCAT(GW60,GX60),'MASTER PLAN'!$AB:$AB,'MASTER PLAN'!$J:$J,0,0)),"")</f>
        <v/>
      </c>
      <c r="GZ60" s="80" t="str">
        <f t="array" ref="GZ60">IFERROR(IF(XLOOKUP(CONCAT(GW60,GX60),'PROCESOS PRD'!$J:$J,'PROCESOS PRD'!$H:$H,0,0)=0,"",XLOOKUP(CONCAT(GW60,GX60),'PROCESOS PRD'!$J:$J,'PROCESOS PRD'!$H:$H,0,0)),"")</f>
        <v/>
      </c>
      <c r="HA60" s="77"/>
      <c r="HB60" s="78"/>
      <c r="HC60" s="79" t="str">
        <f t="array" ref="HC60">IFERROR(IF(XLOOKUP(CONCAT(HA60,HB60),'MASTER PLAN'!$AB:$AB,'MASTER PLAN'!$J:$J,0,0)=0,"",XLOOKUP(CONCAT(HA60,HB60),'MASTER PLAN'!$AB:$AB,'MASTER PLAN'!$J:$J,0,0)),"")</f>
        <v/>
      </c>
      <c r="HD60" s="80" t="str">
        <f t="array" ref="HD60">IFERROR(IF(XLOOKUP(CONCAT(HA60,HB60),'PROCESOS PRD'!$J:$J,'PROCESOS PRD'!$H:$H,0,0)=0,"",XLOOKUP(CONCAT(HA60,HB60),'PROCESOS PRD'!$J:$J,'PROCESOS PRD'!$H:$H,0,0)),"")</f>
        <v/>
      </c>
      <c r="HE60" s="77"/>
      <c r="HF60" s="78"/>
      <c r="HG60" s="79" t="str">
        <f t="array" ref="HG60">IFERROR(IF(XLOOKUP(CONCAT(HE60,HF60),'MASTER PLAN'!$AB:$AB,'MASTER PLAN'!$J:$J,0,0)=0,"",XLOOKUP(CONCAT(HE60,HF60),'MASTER PLAN'!$AB:$AB,'MASTER PLAN'!$J:$J,0,0)),"")</f>
        <v/>
      </c>
      <c r="HH60" s="80" t="str">
        <f t="array" ref="HH60">IFERROR(IF(XLOOKUP(CONCAT(HE60,HF60),'PROCESOS PRD'!$J:$J,'PROCESOS PRD'!$H:$H,0,0)=0,"",XLOOKUP(CONCAT(HE60,HF60),'PROCESOS PRD'!$J:$J,'PROCESOS PRD'!$H:$H,0,0)),"")</f>
        <v/>
      </c>
      <c r="HI60" s="77"/>
      <c r="HJ60" s="78"/>
      <c r="HK60" s="79" t="str">
        <f t="array" ref="HK60">IFERROR(IF(XLOOKUP(CONCAT(HI60,HJ60),'MASTER PLAN'!$AB:$AB,'MASTER PLAN'!$J:$J,0,0)=0,"",XLOOKUP(CONCAT(HI60,HJ60),'MASTER PLAN'!$AB:$AB,'MASTER PLAN'!$J:$J,0,0)),"")</f>
        <v/>
      </c>
      <c r="HL60" s="80" t="str">
        <f t="array" ref="HL60">IFERROR(IF(XLOOKUP(CONCAT(HI60,HJ60),'PROCESOS PRD'!$J:$J,'PROCESOS PRD'!$H:$H,0,0)=0,"",XLOOKUP(CONCAT(HI60,HJ60),'PROCESOS PRD'!$J:$J,'PROCESOS PRD'!$H:$H,0,0)),"")</f>
        <v/>
      </c>
      <c r="HM60" s="70"/>
      <c r="HN60" s="77"/>
      <c r="HO60" s="78"/>
      <c r="HP60" s="79" t="str">
        <f t="array" ref="HP60">IFERROR(IF(XLOOKUP(CONCAT(HN60,HO60),'MASTER PLAN'!$AB:$AB,'MASTER PLAN'!$J:$J,0,0)=0,"",XLOOKUP(CONCAT(HN60,HO60),'MASTER PLAN'!$AB:$AB,'MASTER PLAN'!$J:$J,0,0)),"")</f>
        <v/>
      </c>
      <c r="HQ60" s="80" t="str">
        <f t="array" ref="HQ60">IFERROR(IF(XLOOKUP(CONCAT(HN60,HO60),'PROCESOS PRD'!$J:$J,'PROCESOS PRD'!$H:$H,0,0)=0,"",XLOOKUP(CONCAT(HN60,HO60),'PROCESOS PRD'!$J:$J,'PROCESOS PRD'!$H:$H,0,0)),"")</f>
        <v/>
      </c>
      <c r="HR60" s="77"/>
      <c r="HS60" s="78"/>
      <c r="HT60" s="79" t="str">
        <f t="array" ref="HT60">IFERROR(IF(XLOOKUP(CONCAT(HR60,HS60),'MASTER PLAN'!$AB:$AB,'MASTER PLAN'!$J:$J,0,0)=0,"",XLOOKUP(CONCAT(HR60,HS60),'MASTER PLAN'!$AB:$AB,'MASTER PLAN'!$J:$J,0,0)),"")</f>
        <v/>
      </c>
      <c r="HU60" s="80" t="str">
        <f t="array" ref="HU60">IFERROR(IF(XLOOKUP(CONCAT(HR60,HS60),'PROCESOS PRD'!$J:$J,'PROCESOS PRD'!$H:$H,0,0)=0,"",XLOOKUP(CONCAT(HR60,HS60),'PROCESOS PRD'!$J:$J,'PROCESOS PRD'!$H:$H,0,0)),"")</f>
        <v/>
      </c>
      <c r="HV60" s="77"/>
      <c r="HW60" s="78"/>
      <c r="HX60" s="79" t="str">
        <f t="array" ref="HX60">IFERROR(IF(XLOOKUP(CONCAT(HV60,HW60),'MASTER PLAN'!$AB:$AB,'MASTER PLAN'!$J:$J,0,0)=0,"",XLOOKUP(CONCAT(HV60,HW60),'MASTER PLAN'!$AB:$AB,'MASTER PLAN'!$J:$J,0,0)),"")</f>
        <v/>
      </c>
      <c r="HY60" s="80" t="str">
        <f t="array" ref="HY60">IFERROR(IF(XLOOKUP(CONCAT(HV60,HW60),'PROCESOS PRD'!$J:$J,'PROCESOS PRD'!$H:$H,0,0)=0,"",XLOOKUP(CONCAT(HV60,HW60),'PROCESOS PRD'!$J:$J,'PROCESOS PRD'!$H:$H,0,0)),"")</f>
        <v/>
      </c>
      <c r="HZ60" s="77"/>
      <c r="IA60" s="78"/>
      <c r="IB60" s="79" t="str">
        <f t="array" ref="IB60">IFERROR(IF(XLOOKUP(CONCAT(HZ60,IA60),'MASTER PLAN'!$AB:$AB,'MASTER PLAN'!$J:$J,0,0)=0,"",XLOOKUP(CONCAT(HZ60,IA60),'MASTER PLAN'!$AB:$AB,'MASTER PLAN'!$J:$J,0,0)),"")</f>
        <v/>
      </c>
      <c r="IC60" s="80" t="str">
        <f t="array" ref="IC60">IFERROR(IF(XLOOKUP(CONCAT(HZ60,IA60),'PROCESOS PRD'!$J:$J,'PROCESOS PRD'!$H:$H,0,0)=0,"",XLOOKUP(CONCAT(HZ60,IA60),'PROCESOS PRD'!$J:$J,'PROCESOS PRD'!$H:$H,0,0)),"")</f>
        <v/>
      </c>
      <c r="ID60" s="77"/>
      <c r="IE60" s="78"/>
      <c r="IF60" s="79" t="str">
        <f t="array" ref="IF60">IFERROR(IF(XLOOKUP(CONCAT(ID60,IE60),'MASTER PLAN'!$AB:$AB,'MASTER PLAN'!$J:$J,0,0)=0,"",XLOOKUP(CONCAT(ID60,IE60),'MASTER PLAN'!$AB:$AB,'MASTER PLAN'!$J:$J,0,0)),"")</f>
        <v/>
      </c>
      <c r="IG60" s="80" t="str">
        <f t="array" ref="IG60">IFERROR(IF(XLOOKUP(CONCAT(ID60,IE60),'PROCESOS PRD'!$J:$J,'PROCESOS PRD'!$H:$H,0,0)=0,"",XLOOKUP(CONCAT(ID60,IE60),'PROCESOS PRD'!$J:$J,'PROCESOS PRD'!$H:$H,0,0)),"")</f>
        <v/>
      </c>
      <c r="IH60" s="77"/>
      <c r="II60" s="78"/>
      <c r="IJ60" s="79" t="str">
        <f t="array" ref="IJ60">IFERROR(IF(XLOOKUP(CONCAT(IH60,II60),'MASTER PLAN'!$AB:$AB,'MASTER PLAN'!$J:$J,0,0)=0,"",XLOOKUP(CONCAT(IH60,II60),'MASTER PLAN'!$AB:$AB,'MASTER PLAN'!$J:$J,0,0)),"")</f>
        <v/>
      </c>
      <c r="IK60" s="80" t="str">
        <f t="array" ref="IK60">IFERROR(IF(XLOOKUP(CONCAT(IH60,II60),'PROCESOS PRD'!$J:$J,'PROCESOS PRD'!$H:$H,0,0)=0,"",XLOOKUP(CONCAT(IH60,II60),'PROCESOS PRD'!$J:$J,'PROCESOS PRD'!$H:$H,0,0)),"")</f>
        <v/>
      </c>
      <c r="IL60" s="70"/>
      <c r="IM60" s="77"/>
      <c r="IN60" s="78"/>
      <c r="IO60" s="79" t="str">
        <f t="array" ref="IO60">IFERROR(IF(XLOOKUP(CONCAT(IM60,IN60),'MASTER PLAN'!$AB:$AB,'MASTER PLAN'!$J:$J,0,0)=0,"",XLOOKUP(CONCAT(IM60,IN60),'MASTER PLAN'!$AB:$AB,'MASTER PLAN'!$J:$J,0,0)),"")</f>
        <v/>
      </c>
      <c r="IP60" s="80" t="str">
        <f t="array" ref="IP60">IFERROR(IF(XLOOKUP(CONCAT(IM60,IN60),'PROCESOS PRD'!$J:$J,'PROCESOS PRD'!$H:$H,0,0)=0,"",XLOOKUP(CONCAT(IM60,IN60),'PROCESOS PRD'!$J:$J,'PROCESOS PRD'!$H:$H,0,0)),"")</f>
        <v/>
      </c>
      <c r="IQ60" s="77"/>
      <c r="IR60" s="78"/>
      <c r="IS60" s="79" t="str">
        <f t="array" ref="IS60">IFERROR(IF(XLOOKUP(CONCAT(IQ60,IR60),'MASTER PLAN'!$AB:$AB,'MASTER PLAN'!$J:$J,0,0)=0,"",XLOOKUP(CONCAT(IQ60,IR60),'MASTER PLAN'!$AB:$AB,'MASTER PLAN'!$J:$J,0,0)),"")</f>
        <v/>
      </c>
      <c r="IT60" s="80" t="str">
        <f t="array" ref="IT60">IFERROR(IF(XLOOKUP(CONCAT(IQ60,IR60),'PROCESOS PRD'!$J:$J,'PROCESOS PRD'!$H:$H,0,0)=0,"",XLOOKUP(CONCAT(IQ60,IR60),'PROCESOS PRD'!$J:$J,'PROCESOS PRD'!$H:$H,0,0)),"")</f>
        <v/>
      </c>
      <c r="IU60" s="77"/>
      <c r="IV60" s="78"/>
      <c r="IW60" s="79" t="str">
        <f t="array" ref="IW60">IFERROR(IF(XLOOKUP(CONCAT(IU60,IV60),'MASTER PLAN'!$AB:$AB,'MASTER PLAN'!$J:$J,0,0)=0,"",XLOOKUP(CONCAT(IU60,IV60),'MASTER PLAN'!$AB:$AB,'MASTER PLAN'!$J:$J,0,0)),"")</f>
        <v/>
      </c>
      <c r="IX60" s="80" t="str">
        <f t="array" ref="IX60">IFERROR(IF(XLOOKUP(CONCAT(IU60,IV60),'PROCESOS PRD'!$J:$J,'PROCESOS PRD'!$H:$H,0,0)=0,"",XLOOKUP(CONCAT(IU60,IV60),'PROCESOS PRD'!$J:$J,'PROCESOS PRD'!$H:$H,0,0)),"")</f>
        <v/>
      </c>
      <c r="IY60" s="77"/>
      <c r="IZ60" s="78"/>
      <c r="JA60" s="79" t="str">
        <f t="array" ref="JA60">IFERROR(IF(XLOOKUP(CONCAT(IY60,IZ60),'MASTER PLAN'!$AB:$AB,'MASTER PLAN'!$J:$J,0,0)=0,"",XLOOKUP(CONCAT(IY60,IZ60),'MASTER PLAN'!$AB:$AB,'MASTER PLAN'!$J:$J,0,0)),"")</f>
        <v/>
      </c>
      <c r="JB60" s="80" t="str">
        <f t="array" ref="JB60">IFERROR(IF(XLOOKUP(CONCAT(IY60,IZ60),'PROCESOS PRD'!$J:$J,'PROCESOS PRD'!$H:$H,0,0)=0,"",XLOOKUP(CONCAT(IY60,IZ60),'PROCESOS PRD'!$J:$J,'PROCESOS PRD'!$H:$H,0,0)),"")</f>
        <v/>
      </c>
      <c r="JC60" s="77"/>
      <c r="JD60" s="78"/>
      <c r="JE60" s="79" t="str">
        <f t="array" ref="JE60">IFERROR(IF(XLOOKUP(CONCAT(JC60,JD60),'MASTER PLAN'!$AB:$AB,'MASTER PLAN'!$J:$J,0,0)=0,"",XLOOKUP(CONCAT(JC60,JD60),'MASTER PLAN'!$AB:$AB,'MASTER PLAN'!$J:$J,0,0)),"")</f>
        <v/>
      </c>
      <c r="JF60" s="80" t="str">
        <f t="array" ref="JF60">IFERROR(IF(XLOOKUP(CONCAT(JC60,JD60),'PROCESOS PRD'!$J:$J,'PROCESOS PRD'!$H:$H,0,0)=0,"",XLOOKUP(CONCAT(JC60,JD60),'PROCESOS PRD'!$J:$J,'PROCESOS PRD'!$H:$H,0,0)),"")</f>
        <v/>
      </c>
      <c r="JG60" s="77"/>
      <c r="JH60" s="78"/>
      <c r="JI60" s="79" t="str">
        <f t="array" ref="JI60">IFERROR(IF(XLOOKUP(CONCAT(JG60,JH60),'MASTER PLAN'!$AB:$AB,'MASTER PLAN'!$J:$J,0,0)=0,"",XLOOKUP(CONCAT(JG60,JH60),'MASTER PLAN'!$AB:$AB,'MASTER PLAN'!$J:$J,0,0)),"")</f>
        <v/>
      </c>
      <c r="JJ60" s="80" t="str">
        <f t="array" ref="JJ60">IFERROR(IF(XLOOKUP(CONCAT(JG60,JH60),'PROCESOS PRD'!$J:$J,'PROCESOS PRD'!$H:$H,0,0)=0,"",XLOOKUP(CONCAT(JG60,JH60),'PROCESOS PRD'!$J:$J,'PROCESOS PRD'!$H:$H,0,0)),"")</f>
        <v/>
      </c>
      <c r="JK60" s="70"/>
      <c r="JL60" s="77"/>
      <c r="JM60" s="78"/>
      <c r="JN60" s="79" t="str">
        <f t="array" ref="JN60">IFERROR(IF(XLOOKUP(CONCAT(JL60,JM60),'MASTER PLAN'!$AB:$AB,'MASTER PLAN'!$J:$J,0,0)=0,"",XLOOKUP(CONCAT(JL60,JM60),'MASTER PLAN'!$AB:$AB,'MASTER PLAN'!$J:$J,0,0)),"")</f>
        <v/>
      </c>
      <c r="JO60" s="80" t="str">
        <f t="array" ref="JO60">IFERROR(IF(XLOOKUP(CONCAT(JL60,JM60),'PROCESOS PRD'!$J:$J,'PROCESOS PRD'!$H:$H,0,0)=0,"",XLOOKUP(CONCAT(JL60,JM60),'PROCESOS PRD'!$J:$J,'PROCESOS PRD'!$H:$H,0,0)),"")</f>
        <v/>
      </c>
      <c r="JP60" s="77"/>
      <c r="JQ60" s="78"/>
      <c r="JR60" s="79" t="str">
        <f t="array" ref="JR60">IFERROR(IF(XLOOKUP(CONCAT(JP60,JQ60),'MASTER PLAN'!$AB:$AB,'MASTER PLAN'!$J:$J,0,0)=0,"",XLOOKUP(CONCAT(JP60,JQ60),'MASTER PLAN'!$AB:$AB,'MASTER PLAN'!$J:$J,0,0)),"")</f>
        <v/>
      </c>
      <c r="JS60" s="80" t="str">
        <f t="array" ref="JS60">IFERROR(IF(XLOOKUP(CONCAT(JP60,JQ60),'PROCESOS PRD'!$J:$J,'PROCESOS PRD'!$H:$H,0,0)=0,"",XLOOKUP(CONCAT(JP60,JQ60),'PROCESOS PRD'!$J:$J,'PROCESOS PRD'!$H:$H,0,0)),"")</f>
        <v/>
      </c>
      <c r="JT60" s="77"/>
      <c r="JU60" s="78"/>
      <c r="JV60" s="79" t="str">
        <f t="array" ref="JV60">IFERROR(IF(XLOOKUP(CONCAT(JT60,JU60),'MASTER PLAN'!$AB:$AB,'MASTER PLAN'!$J:$J,0,0)=0,"",XLOOKUP(CONCAT(JT60,JU60),'MASTER PLAN'!$AB:$AB,'MASTER PLAN'!$J:$J,0,0)),"")</f>
        <v/>
      </c>
      <c r="JW60" s="80" t="str">
        <f t="array" ref="JW60">IFERROR(IF(XLOOKUP(CONCAT(JT60,JU60),'PROCESOS PRD'!$J:$J,'PROCESOS PRD'!$H:$H,0,0)=0,"",XLOOKUP(CONCAT(JT60,JU60),'PROCESOS PRD'!$J:$J,'PROCESOS PRD'!$H:$H,0,0)),"")</f>
        <v/>
      </c>
      <c r="JX60" s="77"/>
      <c r="JY60" s="78"/>
      <c r="JZ60" s="79" t="str">
        <f t="array" ref="JZ60">IFERROR(IF(XLOOKUP(CONCAT(JX60,JY60),'MASTER PLAN'!$AB:$AB,'MASTER PLAN'!$J:$J,0,0)=0,"",XLOOKUP(CONCAT(JX60,JY60),'MASTER PLAN'!$AB:$AB,'MASTER PLAN'!$J:$J,0,0)),"")</f>
        <v/>
      </c>
      <c r="KA60" s="80" t="str">
        <f t="array" ref="KA60">IFERROR(IF(XLOOKUP(CONCAT(JX60,JY60),'PROCESOS PRD'!$J:$J,'PROCESOS PRD'!$H:$H,0,0)=0,"",XLOOKUP(CONCAT(JX60,JY60),'PROCESOS PRD'!$J:$J,'PROCESOS PRD'!$H:$H,0,0)),"")</f>
        <v/>
      </c>
      <c r="KB60" s="77"/>
      <c r="KC60" s="78"/>
      <c r="KD60" s="79" t="str">
        <f t="array" ref="KD60">IFERROR(IF(XLOOKUP(CONCAT(KB60,KC60),'MASTER PLAN'!$AB:$AB,'MASTER PLAN'!$J:$J,0,0)=0,"",XLOOKUP(CONCAT(KB60,KC60),'MASTER PLAN'!$AB:$AB,'MASTER PLAN'!$J:$J,0,0)),"")</f>
        <v/>
      </c>
      <c r="KE60" s="80" t="str">
        <f t="array" ref="KE60">IFERROR(IF(XLOOKUP(CONCAT(KB60,KC60),'PROCESOS PRD'!$J:$J,'PROCESOS PRD'!$H:$H,0,0)=0,"",XLOOKUP(CONCAT(KB60,KC60),'PROCESOS PRD'!$J:$J,'PROCESOS PRD'!$H:$H,0,0)),"")</f>
        <v/>
      </c>
      <c r="KF60" s="77"/>
      <c r="KG60" s="78"/>
      <c r="KH60" s="79" t="str">
        <f t="array" ref="KH60">IFERROR(IF(XLOOKUP(CONCAT(KF60,KG60),'MASTER PLAN'!$AB:$AB,'MASTER PLAN'!$J:$J,0,0)=0,"",XLOOKUP(CONCAT(KF60,KG60),'MASTER PLAN'!$AB:$AB,'MASTER PLAN'!$J:$J,0,0)),"")</f>
        <v/>
      </c>
      <c r="KI60" s="80" t="str">
        <f t="array" ref="KI60">IFERROR(IF(XLOOKUP(CONCAT(KF60,KG60),'PROCESOS PRD'!$J:$J,'PROCESOS PRD'!$H:$H,0,0)=0,"",XLOOKUP(CONCAT(KF60,KG60),'PROCESOS PRD'!$J:$J,'PROCESOS PRD'!$H:$H,0,0)),"")</f>
        <v/>
      </c>
      <c r="KJ60" s="70"/>
      <c r="KK60" s="70"/>
      <c r="KL60" s="70"/>
      <c r="KM60" s="70"/>
      <c r="KN60" s="70"/>
      <c r="KO60" s="70"/>
      <c r="KP60" s="70"/>
      <c r="KQ60" s="70"/>
      <c r="KR60" s="70"/>
      <c r="KS60" s="70"/>
      <c r="KT60" s="70"/>
      <c r="KU60" s="70"/>
      <c r="KV60" s="70"/>
      <c r="KW60" s="70"/>
      <c r="KX60" s="70"/>
      <c r="KY60" s="70"/>
      <c r="KZ60" s="70"/>
      <c r="LA60" s="70"/>
      <c r="LB60" s="70"/>
      <c r="LC60" s="70"/>
    </row>
    <row r="61" ht="15.75" customHeight="1">
      <c r="A61" s="42"/>
      <c r="B61" s="82">
        <v>16000.0</v>
      </c>
      <c r="C61" s="83" t="s">
        <v>240</v>
      </c>
      <c r="D61" s="42"/>
      <c r="E61" s="84"/>
      <c r="F61" s="85"/>
      <c r="G61" s="85"/>
      <c r="H61" s="86">
        <f>SUM(H52:H60)</f>
        <v>0</v>
      </c>
      <c r="I61" s="84"/>
      <c r="J61" s="85"/>
      <c r="K61" s="85"/>
      <c r="L61" s="86">
        <f>SUM(L52:L60)</f>
        <v>0</v>
      </c>
      <c r="M61" s="84"/>
      <c r="N61" s="85"/>
      <c r="O61" s="85"/>
      <c r="P61" s="86">
        <f>SUM(P52:P60)</f>
        <v>0</v>
      </c>
      <c r="Q61" s="84"/>
      <c r="R61" s="85"/>
      <c r="S61" s="85"/>
      <c r="T61" s="86">
        <f>SUM(T52:T60)</f>
        <v>0</v>
      </c>
      <c r="U61" s="42"/>
      <c r="V61" s="84"/>
      <c r="W61" s="85"/>
      <c r="X61" s="85"/>
      <c r="Y61" s="86">
        <f>SUM(Y52:Y60)</f>
        <v>0</v>
      </c>
      <c r="Z61" s="84"/>
      <c r="AA61" s="85"/>
      <c r="AB61" s="85"/>
      <c r="AC61" s="86">
        <f>SUM(AC52:AC60)</f>
        <v>0</v>
      </c>
      <c r="AD61" s="84"/>
      <c r="AE61" s="85"/>
      <c r="AF61" s="85"/>
      <c r="AG61" s="86">
        <f>SUM(AG52:AG60)</f>
        <v>0</v>
      </c>
      <c r="AH61" s="84"/>
      <c r="AI61" s="85"/>
      <c r="AJ61" s="85"/>
      <c r="AK61" s="86">
        <f>SUM(AK52:AK60)</f>
        <v>0</v>
      </c>
      <c r="AL61" s="84"/>
      <c r="AM61" s="85"/>
      <c r="AN61" s="85"/>
      <c r="AO61" s="86">
        <f>SUM(AO52:AO60)</f>
        <v>0</v>
      </c>
      <c r="AP61" s="84"/>
      <c r="AQ61" s="85"/>
      <c r="AR61" s="85"/>
      <c r="AS61" s="86">
        <f>SUM(AS52:AS60)</f>
        <v>0</v>
      </c>
      <c r="AT61" s="42"/>
      <c r="AU61" s="84"/>
      <c r="AV61" s="85"/>
      <c r="AW61" s="85"/>
      <c r="AX61" s="86">
        <f>SUM(AX52:AX60)</f>
        <v>0</v>
      </c>
      <c r="AY61" s="84"/>
      <c r="AZ61" s="85"/>
      <c r="BA61" s="85"/>
      <c r="BB61" s="86">
        <f>SUM(BB52:BB60)</f>
        <v>0</v>
      </c>
      <c r="BC61" s="84"/>
      <c r="BD61" s="85"/>
      <c r="BE61" s="85"/>
      <c r="BF61" s="86">
        <f>SUM(BF52:BF60)</f>
        <v>0</v>
      </c>
      <c r="BG61" s="84"/>
      <c r="BH61" s="85"/>
      <c r="BI61" s="85"/>
      <c r="BJ61" s="86">
        <f>SUM(BJ52:BJ60)</f>
        <v>0</v>
      </c>
      <c r="BK61" s="84"/>
      <c r="BL61" s="85"/>
      <c r="BM61" s="85"/>
      <c r="BN61" s="86">
        <f>SUM(BN52:BN60)</f>
        <v>0</v>
      </c>
      <c r="BO61" s="84"/>
      <c r="BP61" s="85"/>
      <c r="BQ61" s="85"/>
      <c r="BR61" s="86">
        <f>SUM(BR52:BR60)</f>
        <v>0</v>
      </c>
      <c r="BS61" s="42"/>
      <c r="BT61" s="84"/>
      <c r="BU61" s="85"/>
      <c r="BV61" s="85"/>
      <c r="BW61" s="86">
        <f>SUM(BW52:BW60)</f>
        <v>0</v>
      </c>
      <c r="BX61" s="84"/>
      <c r="BY61" s="85"/>
      <c r="BZ61" s="85"/>
      <c r="CA61" s="86">
        <f>SUM(CA52:CA60)</f>
        <v>5400</v>
      </c>
      <c r="CB61" s="84"/>
      <c r="CC61" s="85"/>
      <c r="CD61" s="85"/>
      <c r="CE61" s="86">
        <f>SUM(CE52:CE60)</f>
        <v>0</v>
      </c>
      <c r="CF61" s="84"/>
      <c r="CG61" s="85"/>
      <c r="CH61" s="85"/>
      <c r="CI61" s="86">
        <f>SUM(CI52:CI60)</f>
        <v>0</v>
      </c>
      <c r="CJ61" s="84"/>
      <c r="CK61" s="85"/>
      <c r="CL61" s="85"/>
      <c r="CM61" s="86">
        <f>SUM(CM52:CM60)</f>
        <v>0</v>
      </c>
      <c r="CN61" s="84"/>
      <c r="CO61" s="85"/>
      <c r="CP61" s="85"/>
      <c r="CQ61" s="86">
        <f>SUM(CQ52:CQ60)</f>
        <v>0</v>
      </c>
      <c r="CR61" s="42"/>
      <c r="CS61" s="84"/>
      <c r="CT61" s="85"/>
      <c r="CU61" s="85"/>
      <c r="CV61" s="86">
        <f>SUM(CV52:CV60)</f>
        <v>0</v>
      </c>
      <c r="CW61" s="84"/>
      <c r="CX61" s="85"/>
      <c r="CY61" s="85"/>
      <c r="CZ61" s="86">
        <f>SUM(CZ52:CZ60)</f>
        <v>20400</v>
      </c>
      <c r="DA61" s="84"/>
      <c r="DB61" s="85"/>
      <c r="DC61" s="85"/>
      <c r="DD61" s="86">
        <f>SUM(DD52:DD60)</f>
        <v>12000</v>
      </c>
      <c r="DE61" s="84"/>
      <c r="DF61" s="85"/>
      <c r="DG61" s="85"/>
      <c r="DH61" s="86">
        <f>SUM(DH52:DH60)</f>
        <v>3600</v>
      </c>
      <c r="DI61" s="84"/>
      <c r="DJ61" s="85"/>
      <c r="DK61" s="85"/>
      <c r="DL61" s="86">
        <f>SUM(DL52:DL60)</f>
        <v>0</v>
      </c>
      <c r="DM61" s="84"/>
      <c r="DN61" s="85"/>
      <c r="DO61" s="85"/>
      <c r="DP61" s="86">
        <f>SUM(DP52:DP60)</f>
        <v>0</v>
      </c>
      <c r="DQ61" s="42"/>
      <c r="DR61" s="84"/>
      <c r="DS61" s="85"/>
      <c r="DT61" s="85"/>
      <c r="DU61" s="86">
        <f>SUM(DU52:DU60)</f>
        <v>0</v>
      </c>
      <c r="DV61" s="84"/>
      <c r="DW61" s="85"/>
      <c r="DX61" s="85"/>
      <c r="DY61" s="86">
        <f>SUM(DY52:DY60)</f>
        <v>0</v>
      </c>
      <c r="DZ61" s="84"/>
      <c r="EA61" s="85"/>
      <c r="EB61" s="85"/>
      <c r="EC61" s="86">
        <f>SUM(EC52:EC60)</f>
        <v>0</v>
      </c>
      <c r="ED61" s="84"/>
      <c r="EE61" s="85"/>
      <c r="EF61" s="85"/>
      <c r="EG61" s="86">
        <f>SUM(EG52:EG60)</f>
        <v>0</v>
      </c>
      <c r="EH61" s="84"/>
      <c r="EI61" s="85"/>
      <c r="EJ61" s="85"/>
      <c r="EK61" s="86">
        <f>SUM(EK52:EK60)</f>
        <v>0</v>
      </c>
      <c r="EL61" s="84"/>
      <c r="EM61" s="85"/>
      <c r="EN61" s="85"/>
      <c r="EO61" s="86">
        <f>SUM(EO52:EO60)</f>
        <v>0</v>
      </c>
      <c r="EP61" s="42"/>
      <c r="EQ61" s="84"/>
      <c r="ER61" s="85"/>
      <c r="ES61" s="85"/>
      <c r="ET61" s="86">
        <f>SUM(ET52:ET60)</f>
        <v>0</v>
      </c>
      <c r="EU61" s="84"/>
      <c r="EV61" s="85"/>
      <c r="EW61" s="85"/>
      <c r="EX61" s="86">
        <f>SUM(EX52:EX60)</f>
        <v>0</v>
      </c>
      <c r="EY61" s="84"/>
      <c r="EZ61" s="85"/>
      <c r="FA61" s="85"/>
      <c r="FB61" s="86">
        <f>SUM(FB52:FB60)</f>
        <v>0</v>
      </c>
      <c r="FC61" s="84"/>
      <c r="FD61" s="85"/>
      <c r="FE61" s="85"/>
      <c r="FF61" s="86">
        <f>SUM(FF52:FF60)</f>
        <v>0</v>
      </c>
      <c r="FG61" s="84"/>
      <c r="FH61" s="85"/>
      <c r="FI61" s="85"/>
      <c r="FJ61" s="86">
        <f>SUM(FJ52:FJ60)</f>
        <v>0</v>
      </c>
      <c r="FK61" s="84"/>
      <c r="FL61" s="85"/>
      <c r="FM61" s="85"/>
      <c r="FN61" s="86">
        <f>SUM(FN52:FN60)</f>
        <v>0</v>
      </c>
      <c r="FO61" s="42"/>
      <c r="FP61" s="84"/>
      <c r="FQ61" s="85"/>
      <c r="FR61" s="85"/>
      <c r="FS61" s="86">
        <f>SUM(FS52:FS60)</f>
        <v>0</v>
      </c>
      <c r="FT61" s="84"/>
      <c r="FU61" s="85"/>
      <c r="FV61" s="85"/>
      <c r="FW61" s="86">
        <f>SUM(FW52:FW60)</f>
        <v>0</v>
      </c>
      <c r="FX61" s="84"/>
      <c r="FY61" s="85"/>
      <c r="FZ61" s="85"/>
      <c r="GA61" s="86">
        <f>SUM(GA52:GA60)</f>
        <v>0</v>
      </c>
      <c r="GB61" s="84"/>
      <c r="GC61" s="85"/>
      <c r="GD61" s="85"/>
      <c r="GE61" s="86">
        <f>SUM(GE52:GE60)</f>
        <v>0</v>
      </c>
      <c r="GF61" s="84"/>
      <c r="GG61" s="85"/>
      <c r="GH61" s="85"/>
      <c r="GI61" s="86">
        <f>SUM(GI52:GI60)</f>
        <v>0</v>
      </c>
      <c r="GJ61" s="84"/>
      <c r="GK61" s="85"/>
      <c r="GL61" s="85"/>
      <c r="GM61" s="86">
        <f>SUM(GM52:GM60)</f>
        <v>0</v>
      </c>
      <c r="GN61" s="42"/>
      <c r="GO61" s="84"/>
      <c r="GP61" s="85"/>
      <c r="GQ61" s="85"/>
      <c r="GR61" s="86">
        <f>SUM(GR52:GR60)</f>
        <v>0</v>
      </c>
      <c r="GS61" s="84"/>
      <c r="GT61" s="85"/>
      <c r="GU61" s="85"/>
      <c r="GV61" s="86">
        <f>SUM(GV52:GV60)</f>
        <v>0</v>
      </c>
      <c r="GW61" s="84"/>
      <c r="GX61" s="85"/>
      <c r="GY61" s="85"/>
      <c r="GZ61" s="86">
        <f>SUM(GZ52:GZ60)</f>
        <v>0</v>
      </c>
      <c r="HA61" s="84"/>
      <c r="HB61" s="85"/>
      <c r="HC61" s="85"/>
      <c r="HD61" s="86">
        <f>SUM(HD52:HD60)</f>
        <v>0</v>
      </c>
      <c r="HE61" s="84"/>
      <c r="HF61" s="85"/>
      <c r="HG61" s="85"/>
      <c r="HH61" s="86">
        <f>SUM(HH52:HH60)</f>
        <v>0</v>
      </c>
      <c r="HI61" s="84"/>
      <c r="HJ61" s="85"/>
      <c r="HK61" s="85"/>
      <c r="HL61" s="86">
        <f>SUM(HL52:HL60)</f>
        <v>0</v>
      </c>
      <c r="HM61" s="42"/>
      <c r="HN61" s="84"/>
      <c r="HO61" s="85"/>
      <c r="HP61" s="85"/>
      <c r="HQ61" s="86">
        <f>SUM(HQ52:HQ60)</f>
        <v>0</v>
      </c>
      <c r="HR61" s="84"/>
      <c r="HS61" s="85"/>
      <c r="HT61" s="85"/>
      <c r="HU61" s="86">
        <f>SUM(HU52:HU60)</f>
        <v>0</v>
      </c>
      <c r="HV61" s="84"/>
      <c r="HW61" s="85"/>
      <c r="HX61" s="85"/>
      <c r="HY61" s="86">
        <f>SUM(HY52:HY60)</f>
        <v>0</v>
      </c>
      <c r="HZ61" s="84"/>
      <c r="IA61" s="85"/>
      <c r="IB61" s="85"/>
      <c r="IC61" s="86">
        <f>SUM(IC52:IC60)</f>
        <v>0</v>
      </c>
      <c r="ID61" s="84"/>
      <c r="IE61" s="85"/>
      <c r="IF61" s="85"/>
      <c r="IG61" s="86">
        <f>SUM(IG52:IG60)</f>
        <v>0</v>
      </c>
      <c r="IH61" s="84"/>
      <c r="II61" s="85"/>
      <c r="IJ61" s="85"/>
      <c r="IK61" s="86">
        <f>SUM(IK52:IK60)</f>
        <v>0</v>
      </c>
      <c r="IL61" s="42"/>
      <c r="IM61" s="84"/>
      <c r="IN61" s="85"/>
      <c r="IO61" s="85"/>
      <c r="IP61" s="86">
        <f>SUM(IP52:IP60)</f>
        <v>0</v>
      </c>
      <c r="IQ61" s="84"/>
      <c r="IR61" s="85"/>
      <c r="IS61" s="85"/>
      <c r="IT61" s="86">
        <f>SUM(IT52:IT60)</f>
        <v>0</v>
      </c>
      <c r="IU61" s="84"/>
      <c r="IV61" s="85"/>
      <c r="IW61" s="85"/>
      <c r="IX61" s="86">
        <f>SUM(IX52:IX60)</f>
        <v>0</v>
      </c>
      <c r="IY61" s="84"/>
      <c r="IZ61" s="85"/>
      <c r="JA61" s="85"/>
      <c r="JB61" s="86">
        <f>SUM(JB52:JB60)</f>
        <v>0</v>
      </c>
      <c r="JC61" s="84"/>
      <c r="JD61" s="85"/>
      <c r="JE61" s="85"/>
      <c r="JF61" s="86">
        <f>SUM(JF52:JF60)</f>
        <v>0</v>
      </c>
      <c r="JG61" s="84"/>
      <c r="JH61" s="85"/>
      <c r="JI61" s="85"/>
      <c r="JJ61" s="86">
        <f>SUM(JJ52:JJ60)</f>
        <v>0</v>
      </c>
      <c r="JK61" s="42"/>
      <c r="JL61" s="84"/>
      <c r="JM61" s="85"/>
      <c r="JN61" s="85"/>
      <c r="JO61" s="86">
        <f>SUM(JO52:JO60)</f>
        <v>0</v>
      </c>
      <c r="JP61" s="84"/>
      <c r="JQ61" s="85"/>
      <c r="JR61" s="85"/>
      <c r="JS61" s="86">
        <f>SUM(JS52:JS60)</f>
        <v>0</v>
      </c>
      <c r="JT61" s="84"/>
      <c r="JU61" s="85"/>
      <c r="JV61" s="85"/>
      <c r="JW61" s="86">
        <f>SUM(JW52:JW60)</f>
        <v>0</v>
      </c>
      <c r="JX61" s="84"/>
      <c r="JY61" s="85"/>
      <c r="JZ61" s="85"/>
      <c r="KA61" s="86">
        <f>SUM(KA52:KA60)</f>
        <v>0</v>
      </c>
      <c r="KB61" s="84"/>
      <c r="KC61" s="85"/>
      <c r="KD61" s="85"/>
      <c r="KE61" s="86">
        <f>SUM(KE52:KE60)</f>
        <v>0</v>
      </c>
      <c r="KF61" s="84"/>
      <c r="KG61" s="85"/>
      <c r="KH61" s="85"/>
      <c r="KI61" s="86">
        <f>SUM(KI52:KI60)</f>
        <v>0</v>
      </c>
      <c r="KJ61" s="42"/>
      <c r="KK61" s="42"/>
      <c r="KL61" s="42"/>
      <c r="KM61" s="42"/>
      <c r="KN61" s="42"/>
      <c r="KO61" s="42"/>
      <c r="KP61" s="42"/>
      <c r="KQ61" s="42"/>
      <c r="KR61" s="42"/>
      <c r="KS61" s="42"/>
      <c r="KT61" s="42"/>
      <c r="KU61" s="42"/>
      <c r="KV61" s="42"/>
      <c r="KW61" s="42"/>
      <c r="KX61" s="42"/>
      <c r="KY61" s="42"/>
      <c r="KZ61" s="42"/>
      <c r="LA61" s="42"/>
      <c r="LB61" s="42"/>
      <c r="LC61" s="42"/>
    </row>
    <row r="62" ht="15.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2"/>
      <c r="BJ62" s="42"/>
      <c r="BK62" s="42"/>
      <c r="BL62" s="42"/>
      <c r="BM62" s="42"/>
      <c r="BN62" s="42"/>
      <c r="BO62" s="42"/>
      <c r="BP62" s="42"/>
      <c r="BQ62" s="42"/>
      <c r="BR62" s="42"/>
      <c r="BS62" s="42"/>
      <c r="BT62" s="42"/>
      <c r="BU62" s="42"/>
      <c r="BV62" s="42"/>
      <c r="BW62" s="42"/>
      <c r="BX62" s="42"/>
      <c r="BY62" s="42"/>
      <c r="BZ62" s="42"/>
      <c r="CA62" s="42"/>
      <c r="CB62" s="42"/>
      <c r="CC62" s="42"/>
      <c r="CD62" s="42"/>
      <c r="CE62" s="42"/>
      <c r="CF62" s="42"/>
      <c r="CG62" s="42"/>
      <c r="CH62" s="42"/>
      <c r="CI62" s="42"/>
      <c r="CJ62" s="42"/>
      <c r="CK62" s="42"/>
      <c r="CL62" s="42"/>
      <c r="CM62" s="42"/>
      <c r="CN62" s="42"/>
      <c r="CO62" s="42"/>
      <c r="CP62" s="42"/>
      <c r="CQ62" s="42"/>
      <c r="CR62" s="42"/>
      <c r="CS62" s="42"/>
      <c r="CT62" s="42"/>
      <c r="CU62" s="42"/>
      <c r="CV62" s="42"/>
      <c r="CW62" s="42"/>
      <c r="CX62" s="42"/>
      <c r="CY62" s="42"/>
      <c r="CZ62" s="42"/>
      <c r="DA62" s="42"/>
      <c r="DB62" s="42"/>
      <c r="DC62" s="42"/>
      <c r="DD62" s="42"/>
      <c r="DE62" s="42"/>
      <c r="DF62" s="42"/>
      <c r="DG62" s="42"/>
      <c r="DH62" s="42"/>
      <c r="DI62" s="42"/>
      <c r="DJ62" s="42"/>
      <c r="DK62" s="42"/>
      <c r="DL62" s="42"/>
      <c r="DM62" s="42"/>
      <c r="DN62" s="42"/>
      <c r="DO62" s="42"/>
      <c r="DP62" s="42"/>
      <c r="DQ62" s="42"/>
      <c r="DR62" s="42"/>
      <c r="DS62" s="42"/>
      <c r="DT62" s="42"/>
      <c r="DU62" s="42"/>
      <c r="DV62" s="42"/>
      <c r="DW62" s="42"/>
      <c r="DX62" s="42"/>
      <c r="DY62" s="42"/>
      <c r="DZ62" s="42"/>
      <c r="EA62" s="42"/>
      <c r="EB62" s="42"/>
      <c r="EC62" s="42"/>
      <c r="ED62" s="42"/>
      <c r="EE62" s="42"/>
      <c r="EF62" s="42"/>
      <c r="EG62" s="42"/>
      <c r="EH62" s="42"/>
      <c r="EI62" s="42"/>
      <c r="EJ62" s="42"/>
      <c r="EK62" s="42"/>
      <c r="EL62" s="42"/>
      <c r="EM62" s="42"/>
      <c r="EN62" s="42"/>
      <c r="EO62" s="42"/>
      <c r="EP62" s="42"/>
      <c r="EQ62" s="42"/>
      <c r="ER62" s="42"/>
      <c r="ES62" s="42"/>
      <c r="ET62" s="42"/>
      <c r="EU62" s="42"/>
      <c r="EV62" s="42"/>
      <c r="EW62" s="42"/>
      <c r="EX62" s="42"/>
      <c r="EY62" s="42"/>
      <c r="EZ62" s="42"/>
      <c r="FA62" s="42"/>
      <c r="FB62" s="42"/>
      <c r="FC62" s="42"/>
      <c r="FD62" s="42"/>
      <c r="FE62" s="42"/>
      <c r="FF62" s="42"/>
      <c r="FG62" s="42"/>
      <c r="FH62" s="42"/>
      <c r="FI62" s="42"/>
      <c r="FJ62" s="42"/>
      <c r="FK62" s="42"/>
      <c r="FL62" s="42"/>
      <c r="FM62" s="42"/>
      <c r="FN62" s="42"/>
      <c r="FO62" s="42"/>
      <c r="FP62" s="42"/>
      <c r="FQ62" s="42"/>
      <c r="FR62" s="42"/>
      <c r="FS62" s="42"/>
      <c r="FT62" s="42"/>
      <c r="FU62" s="42"/>
      <c r="FV62" s="42"/>
      <c r="FW62" s="42"/>
      <c r="FX62" s="42"/>
      <c r="FY62" s="42"/>
      <c r="FZ62" s="42"/>
      <c r="GA62" s="42"/>
      <c r="GB62" s="42"/>
      <c r="GC62" s="42"/>
      <c r="GD62" s="42"/>
      <c r="GE62" s="42"/>
      <c r="GF62" s="42"/>
      <c r="GG62" s="42"/>
      <c r="GH62" s="42"/>
      <c r="GI62" s="42"/>
      <c r="GJ62" s="42"/>
      <c r="GK62" s="42"/>
      <c r="GL62" s="42"/>
      <c r="GM62" s="42"/>
      <c r="GN62" s="42"/>
      <c r="GO62" s="42"/>
      <c r="GP62" s="42"/>
      <c r="GQ62" s="42"/>
      <c r="GR62" s="42"/>
      <c r="GS62" s="42"/>
      <c r="GT62" s="42"/>
      <c r="GU62" s="42"/>
      <c r="GV62" s="42"/>
      <c r="GW62" s="42"/>
      <c r="GX62" s="42"/>
      <c r="GY62" s="42"/>
      <c r="GZ62" s="42"/>
      <c r="HA62" s="42"/>
      <c r="HB62" s="42"/>
      <c r="HC62" s="42"/>
      <c r="HD62" s="42"/>
      <c r="HE62" s="42"/>
      <c r="HF62" s="42"/>
      <c r="HG62" s="42"/>
      <c r="HH62" s="42"/>
      <c r="HI62" s="42"/>
      <c r="HJ62" s="42"/>
      <c r="HK62" s="42"/>
      <c r="HL62" s="42"/>
      <c r="HM62" s="42"/>
      <c r="HN62" s="42"/>
      <c r="HO62" s="42"/>
      <c r="HP62" s="42"/>
      <c r="HQ62" s="42"/>
      <c r="HR62" s="42"/>
      <c r="HS62" s="42"/>
      <c r="HT62" s="42"/>
      <c r="HU62" s="42"/>
      <c r="HV62" s="42"/>
      <c r="HW62" s="42"/>
      <c r="HX62" s="42"/>
      <c r="HY62" s="42"/>
      <c r="HZ62" s="42"/>
      <c r="IA62" s="42"/>
      <c r="IB62" s="42"/>
      <c r="IC62" s="42"/>
      <c r="ID62" s="42"/>
      <c r="IE62" s="42"/>
      <c r="IF62" s="42"/>
      <c r="IG62" s="42"/>
      <c r="IH62" s="42"/>
      <c r="II62" s="42"/>
      <c r="IJ62" s="42"/>
      <c r="IK62" s="42"/>
      <c r="IL62" s="42"/>
      <c r="IM62" s="42"/>
      <c r="IN62" s="42"/>
      <c r="IO62" s="42"/>
      <c r="IP62" s="42"/>
      <c r="IQ62" s="42"/>
      <c r="IR62" s="42"/>
      <c r="IS62" s="42"/>
      <c r="IT62" s="42"/>
      <c r="IU62" s="42"/>
      <c r="IV62" s="42"/>
      <c r="IW62" s="42"/>
      <c r="IX62" s="42"/>
      <c r="IY62" s="42"/>
      <c r="IZ62" s="42"/>
      <c r="JA62" s="42"/>
      <c r="JB62" s="42"/>
      <c r="JC62" s="42"/>
      <c r="JD62" s="42"/>
      <c r="JE62" s="42"/>
      <c r="JF62" s="42"/>
      <c r="JG62" s="42"/>
      <c r="JH62" s="42"/>
      <c r="JI62" s="42"/>
      <c r="JJ62" s="42"/>
      <c r="JK62" s="42"/>
      <c r="JL62" s="42"/>
      <c r="JM62" s="42"/>
      <c r="JN62" s="42"/>
      <c r="JO62" s="42"/>
      <c r="JP62" s="42"/>
      <c r="JQ62" s="42"/>
      <c r="JR62" s="42"/>
      <c r="JS62" s="42"/>
      <c r="JT62" s="42"/>
      <c r="JU62" s="42"/>
      <c r="JV62" s="42"/>
      <c r="JW62" s="42"/>
      <c r="JX62" s="42"/>
      <c r="JY62" s="42"/>
      <c r="JZ62" s="42"/>
      <c r="KA62" s="42"/>
      <c r="KB62" s="42"/>
      <c r="KC62" s="42"/>
      <c r="KD62" s="42"/>
      <c r="KE62" s="42"/>
      <c r="KF62" s="42"/>
      <c r="KG62" s="42"/>
      <c r="KH62" s="42"/>
      <c r="KI62" s="42"/>
      <c r="KJ62" s="42"/>
      <c r="KK62" s="42"/>
      <c r="KL62" s="42"/>
      <c r="KM62" s="42"/>
      <c r="KN62" s="42"/>
      <c r="KO62" s="42"/>
      <c r="KP62" s="42"/>
      <c r="KQ62" s="42"/>
      <c r="KR62" s="42"/>
      <c r="KS62" s="42"/>
      <c r="KT62" s="42"/>
      <c r="KU62" s="42"/>
      <c r="KV62" s="42"/>
      <c r="KW62" s="42"/>
      <c r="KX62" s="42"/>
      <c r="KY62" s="42"/>
      <c r="KZ62" s="42"/>
      <c r="LA62" s="42"/>
      <c r="LB62" s="42"/>
      <c r="LC62" s="42"/>
    </row>
    <row r="63" ht="15.75" customHeight="1">
      <c r="A63" s="42"/>
      <c r="B63" s="87" t="s">
        <v>238</v>
      </c>
      <c r="C63" s="69"/>
      <c r="D63" s="67"/>
      <c r="E63" s="87" t="s">
        <v>239</v>
      </c>
      <c r="F63" s="88" t="s">
        <v>188</v>
      </c>
      <c r="G63" s="88" t="s">
        <v>4</v>
      </c>
      <c r="H63" s="89" t="s">
        <v>190</v>
      </c>
      <c r="I63" s="87" t="s">
        <v>239</v>
      </c>
      <c r="J63" s="88" t="s">
        <v>188</v>
      </c>
      <c r="K63" s="88" t="s">
        <v>4</v>
      </c>
      <c r="L63" s="89" t="s">
        <v>190</v>
      </c>
      <c r="M63" s="87" t="s">
        <v>239</v>
      </c>
      <c r="N63" s="88" t="s">
        <v>188</v>
      </c>
      <c r="O63" s="88" t="s">
        <v>4</v>
      </c>
      <c r="P63" s="89" t="s">
        <v>190</v>
      </c>
      <c r="Q63" s="87" t="s">
        <v>239</v>
      </c>
      <c r="R63" s="88" t="s">
        <v>188</v>
      </c>
      <c r="S63" s="88" t="s">
        <v>4</v>
      </c>
      <c r="T63" s="89" t="s">
        <v>190</v>
      </c>
      <c r="U63" s="67"/>
      <c r="V63" s="87" t="s">
        <v>239</v>
      </c>
      <c r="W63" s="88" t="s">
        <v>188</v>
      </c>
      <c r="X63" s="88" t="s">
        <v>4</v>
      </c>
      <c r="Y63" s="89" t="s">
        <v>190</v>
      </c>
      <c r="Z63" s="87" t="s">
        <v>239</v>
      </c>
      <c r="AA63" s="88" t="s">
        <v>188</v>
      </c>
      <c r="AB63" s="88" t="s">
        <v>4</v>
      </c>
      <c r="AC63" s="89" t="s">
        <v>190</v>
      </c>
      <c r="AD63" s="87" t="s">
        <v>239</v>
      </c>
      <c r="AE63" s="88" t="s">
        <v>188</v>
      </c>
      <c r="AF63" s="88" t="s">
        <v>4</v>
      </c>
      <c r="AG63" s="89" t="s">
        <v>190</v>
      </c>
      <c r="AH63" s="87" t="s">
        <v>239</v>
      </c>
      <c r="AI63" s="88" t="s">
        <v>188</v>
      </c>
      <c r="AJ63" s="88" t="s">
        <v>4</v>
      </c>
      <c r="AK63" s="89" t="s">
        <v>190</v>
      </c>
      <c r="AL63" s="87" t="s">
        <v>239</v>
      </c>
      <c r="AM63" s="88" t="s">
        <v>188</v>
      </c>
      <c r="AN63" s="88" t="s">
        <v>4</v>
      </c>
      <c r="AO63" s="89" t="s">
        <v>190</v>
      </c>
      <c r="AP63" s="87" t="s">
        <v>239</v>
      </c>
      <c r="AQ63" s="88" t="s">
        <v>188</v>
      </c>
      <c r="AR63" s="88" t="s">
        <v>4</v>
      </c>
      <c r="AS63" s="89" t="s">
        <v>190</v>
      </c>
      <c r="AT63" s="67"/>
      <c r="AU63" s="87" t="s">
        <v>239</v>
      </c>
      <c r="AV63" s="88" t="s">
        <v>188</v>
      </c>
      <c r="AW63" s="88" t="s">
        <v>4</v>
      </c>
      <c r="AX63" s="89" t="s">
        <v>190</v>
      </c>
      <c r="AY63" s="87" t="s">
        <v>239</v>
      </c>
      <c r="AZ63" s="88" t="s">
        <v>188</v>
      </c>
      <c r="BA63" s="88" t="s">
        <v>4</v>
      </c>
      <c r="BB63" s="89" t="s">
        <v>190</v>
      </c>
      <c r="BC63" s="87" t="s">
        <v>239</v>
      </c>
      <c r="BD63" s="88" t="s">
        <v>188</v>
      </c>
      <c r="BE63" s="88" t="s">
        <v>4</v>
      </c>
      <c r="BF63" s="89" t="s">
        <v>190</v>
      </c>
      <c r="BG63" s="87" t="s">
        <v>239</v>
      </c>
      <c r="BH63" s="88" t="s">
        <v>188</v>
      </c>
      <c r="BI63" s="88" t="s">
        <v>4</v>
      </c>
      <c r="BJ63" s="89" t="s">
        <v>190</v>
      </c>
      <c r="BK63" s="87" t="s">
        <v>239</v>
      </c>
      <c r="BL63" s="88" t="s">
        <v>188</v>
      </c>
      <c r="BM63" s="88" t="s">
        <v>4</v>
      </c>
      <c r="BN63" s="89" t="s">
        <v>190</v>
      </c>
      <c r="BO63" s="87" t="s">
        <v>239</v>
      </c>
      <c r="BP63" s="88" t="s">
        <v>188</v>
      </c>
      <c r="BQ63" s="88" t="s">
        <v>4</v>
      </c>
      <c r="BR63" s="89" t="s">
        <v>190</v>
      </c>
      <c r="BS63" s="67"/>
      <c r="BT63" s="87" t="s">
        <v>239</v>
      </c>
      <c r="BU63" s="88" t="s">
        <v>188</v>
      </c>
      <c r="BV63" s="88" t="s">
        <v>4</v>
      </c>
      <c r="BW63" s="89" t="s">
        <v>190</v>
      </c>
      <c r="BX63" s="87" t="s">
        <v>239</v>
      </c>
      <c r="BY63" s="88" t="s">
        <v>188</v>
      </c>
      <c r="BZ63" s="88" t="s">
        <v>4</v>
      </c>
      <c r="CA63" s="89" t="s">
        <v>190</v>
      </c>
      <c r="CB63" s="87" t="s">
        <v>239</v>
      </c>
      <c r="CC63" s="88" t="s">
        <v>188</v>
      </c>
      <c r="CD63" s="88" t="s">
        <v>4</v>
      </c>
      <c r="CE63" s="89" t="s">
        <v>190</v>
      </c>
      <c r="CF63" s="87" t="s">
        <v>239</v>
      </c>
      <c r="CG63" s="88" t="s">
        <v>188</v>
      </c>
      <c r="CH63" s="88" t="s">
        <v>4</v>
      </c>
      <c r="CI63" s="89" t="s">
        <v>190</v>
      </c>
      <c r="CJ63" s="87" t="s">
        <v>239</v>
      </c>
      <c r="CK63" s="88" t="s">
        <v>188</v>
      </c>
      <c r="CL63" s="88" t="s">
        <v>4</v>
      </c>
      <c r="CM63" s="89" t="s">
        <v>190</v>
      </c>
      <c r="CN63" s="87" t="s">
        <v>239</v>
      </c>
      <c r="CO63" s="88" t="s">
        <v>188</v>
      </c>
      <c r="CP63" s="88" t="s">
        <v>4</v>
      </c>
      <c r="CQ63" s="89" t="s">
        <v>190</v>
      </c>
      <c r="CR63" s="67"/>
      <c r="CS63" s="87" t="s">
        <v>239</v>
      </c>
      <c r="CT63" s="88" t="s">
        <v>188</v>
      </c>
      <c r="CU63" s="88" t="s">
        <v>4</v>
      </c>
      <c r="CV63" s="89" t="s">
        <v>190</v>
      </c>
      <c r="CW63" s="87" t="s">
        <v>239</v>
      </c>
      <c r="CX63" s="88" t="s">
        <v>188</v>
      </c>
      <c r="CY63" s="88" t="s">
        <v>4</v>
      </c>
      <c r="CZ63" s="89" t="s">
        <v>190</v>
      </c>
      <c r="DA63" s="87" t="s">
        <v>239</v>
      </c>
      <c r="DB63" s="88" t="s">
        <v>188</v>
      </c>
      <c r="DC63" s="88" t="s">
        <v>4</v>
      </c>
      <c r="DD63" s="89" t="s">
        <v>190</v>
      </c>
      <c r="DE63" s="87" t="s">
        <v>239</v>
      </c>
      <c r="DF63" s="88" t="s">
        <v>188</v>
      </c>
      <c r="DG63" s="88" t="s">
        <v>4</v>
      </c>
      <c r="DH63" s="89" t="s">
        <v>190</v>
      </c>
      <c r="DI63" s="87" t="s">
        <v>239</v>
      </c>
      <c r="DJ63" s="88" t="s">
        <v>188</v>
      </c>
      <c r="DK63" s="88" t="s">
        <v>4</v>
      </c>
      <c r="DL63" s="89" t="s">
        <v>190</v>
      </c>
      <c r="DM63" s="87" t="s">
        <v>239</v>
      </c>
      <c r="DN63" s="88" t="s">
        <v>188</v>
      </c>
      <c r="DO63" s="88" t="s">
        <v>4</v>
      </c>
      <c r="DP63" s="89" t="s">
        <v>190</v>
      </c>
      <c r="DQ63" s="67"/>
      <c r="DR63" s="87" t="s">
        <v>239</v>
      </c>
      <c r="DS63" s="88" t="s">
        <v>188</v>
      </c>
      <c r="DT63" s="88" t="s">
        <v>4</v>
      </c>
      <c r="DU63" s="89" t="s">
        <v>190</v>
      </c>
      <c r="DV63" s="87" t="s">
        <v>239</v>
      </c>
      <c r="DW63" s="88" t="s">
        <v>188</v>
      </c>
      <c r="DX63" s="88" t="s">
        <v>4</v>
      </c>
      <c r="DY63" s="89" t="s">
        <v>190</v>
      </c>
      <c r="DZ63" s="87" t="s">
        <v>239</v>
      </c>
      <c r="EA63" s="88" t="s">
        <v>188</v>
      </c>
      <c r="EB63" s="88" t="s">
        <v>4</v>
      </c>
      <c r="EC63" s="89" t="s">
        <v>190</v>
      </c>
      <c r="ED63" s="87" t="s">
        <v>239</v>
      </c>
      <c r="EE63" s="88" t="s">
        <v>188</v>
      </c>
      <c r="EF63" s="88" t="s">
        <v>4</v>
      </c>
      <c r="EG63" s="89" t="s">
        <v>190</v>
      </c>
      <c r="EH63" s="87" t="s">
        <v>239</v>
      </c>
      <c r="EI63" s="88" t="s">
        <v>188</v>
      </c>
      <c r="EJ63" s="88" t="s">
        <v>4</v>
      </c>
      <c r="EK63" s="89" t="s">
        <v>190</v>
      </c>
      <c r="EL63" s="87" t="s">
        <v>239</v>
      </c>
      <c r="EM63" s="88" t="s">
        <v>188</v>
      </c>
      <c r="EN63" s="88" t="s">
        <v>4</v>
      </c>
      <c r="EO63" s="89" t="s">
        <v>190</v>
      </c>
      <c r="EP63" s="67"/>
      <c r="EQ63" s="87" t="s">
        <v>239</v>
      </c>
      <c r="ER63" s="88" t="s">
        <v>188</v>
      </c>
      <c r="ES63" s="88" t="s">
        <v>4</v>
      </c>
      <c r="ET63" s="89" t="s">
        <v>190</v>
      </c>
      <c r="EU63" s="87" t="s">
        <v>239</v>
      </c>
      <c r="EV63" s="88" t="s">
        <v>188</v>
      </c>
      <c r="EW63" s="88" t="s">
        <v>4</v>
      </c>
      <c r="EX63" s="89" t="s">
        <v>190</v>
      </c>
      <c r="EY63" s="87" t="s">
        <v>239</v>
      </c>
      <c r="EZ63" s="88" t="s">
        <v>188</v>
      </c>
      <c r="FA63" s="88" t="s">
        <v>4</v>
      </c>
      <c r="FB63" s="89" t="s">
        <v>190</v>
      </c>
      <c r="FC63" s="87" t="s">
        <v>239</v>
      </c>
      <c r="FD63" s="88" t="s">
        <v>188</v>
      </c>
      <c r="FE63" s="88" t="s">
        <v>4</v>
      </c>
      <c r="FF63" s="89" t="s">
        <v>190</v>
      </c>
      <c r="FG63" s="87" t="s">
        <v>239</v>
      </c>
      <c r="FH63" s="88" t="s">
        <v>188</v>
      </c>
      <c r="FI63" s="88" t="s">
        <v>4</v>
      </c>
      <c r="FJ63" s="89" t="s">
        <v>190</v>
      </c>
      <c r="FK63" s="87" t="s">
        <v>239</v>
      </c>
      <c r="FL63" s="88" t="s">
        <v>188</v>
      </c>
      <c r="FM63" s="88" t="s">
        <v>4</v>
      </c>
      <c r="FN63" s="89" t="s">
        <v>190</v>
      </c>
      <c r="FO63" s="67"/>
      <c r="FP63" s="87" t="s">
        <v>239</v>
      </c>
      <c r="FQ63" s="88" t="s">
        <v>188</v>
      </c>
      <c r="FR63" s="88" t="s">
        <v>4</v>
      </c>
      <c r="FS63" s="89" t="s">
        <v>190</v>
      </c>
      <c r="FT63" s="87" t="s">
        <v>239</v>
      </c>
      <c r="FU63" s="88" t="s">
        <v>188</v>
      </c>
      <c r="FV63" s="88" t="s">
        <v>4</v>
      </c>
      <c r="FW63" s="89" t="s">
        <v>190</v>
      </c>
      <c r="FX63" s="87" t="s">
        <v>239</v>
      </c>
      <c r="FY63" s="88" t="s">
        <v>188</v>
      </c>
      <c r="FZ63" s="88" t="s">
        <v>4</v>
      </c>
      <c r="GA63" s="89" t="s">
        <v>190</v>
      </c>
      <c r="GB63" s="87" t="s">
        <v>239</v>
      </c>
      <c r="GC63" s="88" t="s">
        <v>188</v>
      </c>
      <c r="GD63" s="88" t="s">
        <v>4</v>
      </c>
      <c r="GE63" s="89" t="s">
        <v>190</v>
      </c>
      <c r="GF63" s="87" t="s">
        <v>239</v>
      </c>
      <c r="GG63" s="88" t="s">
        <v>188</v>
      </c>
      <c r="GH63" s="88" t="s">
        <v>4</v>
      </c>
      <c r="GI63" s="89" t="s">
        <v>190</v>
      </c>
      <c r="GJ63" s="87" t="s">
        <v>239</v>
      </c>
      <c r="GK63" s="88" t="s">
        <v>188</v>
      </c>
      <c r="GL63" s="88" t="s">
        <v>4</v>
      </c>
      <c r="GM63" s="89" t="s">
        <v>190</v>
      </c>
      <c r="GN63" s="67"/>
      <c r="GO63" s="87" t="s">
        <v>239</v>
      </c>
      <c r="GP63" s="88" t="s">
        <v>188</v>
      </c>
      <c r="GQ63" s="88" t="s">
        <v>4</v>
      </c>
      <c r="GR63" s="89" t="s">
        <v>190</v>
      </c>
      <c r="GS63" s="87" t="s">
        <v>239</v>
      </c>
      <c r="GT63" s="88" t="s">
        <v>188</v>
      </c>
      <c r="GU63" s="88" t="s">
        <v>4</v>
      </c>
      <c r="GV63" s="89" t="s">
        <v>190</v>
      </c>
      <c r="GW63" s="87" t="s">
        <v>239</v>
      </c>
      <c r="GX63" s="88" t="s">
        <v>188</v>
      </c>
      <c r="GY63" s="88" t="s">
        <v>4</v>
      </c>
      <c r="GZ63" s="89" t="s">
        <v>190</v>
      </c>
      <c r="HA63" s="87" t="s">
        <v>239</v>
      </c>
      <c r="HB63" s="88" t="s">
        <v>188</v>
      </c>
      <c r="HC63" s="88" t="s">
        <v>4</v>
      </c>
      <c r="HD63" s="89" t="s">
        <v>190</v>
      </c>
      <c r="HE63" s="87" t="s">
        <v>239</v>
      </c>
      <c r="HF63" s="88" t="s">
        <v>188</v>
      </c>
      <c r="HG63" s="88" t="s">
        <v>4</v>
      </c>
      <c r="HH63" s="89" t="s">
        <v>190</v>
      </c>
      <c r="HI63" s="87" t="s">
        <v>239</v>
      </c>
      <c r="HJ63" s="88" t="s">
        <v>188</v>
      </c>
      <c r="HK63" s="88" t="s">
        <v>4</v>
      </c>
      <c r="HL63" s="89" t="s">
        <v>190</v>
      </c>
      <c r="HM63" s="67"/>
      <c r="HN63" s="87" t="s">
        <v>239</v>
      </c>
      <c r="HO63" s="88" t="s">
        <v>188</v>
      </c>
      <c r="HP63" s="88" t="s">
        <v>4</v>
      </c>
      <c r="HQ63" s="89" t="s">
        <v>190</v>
      </c>
      <c r="HR63" s="87" t="s">
        <v>239</v>
      </c>
      <c r="HS63" s="88" t="s">
        <v>188</v>
      </c>
      <c r="HT63" s="88" t="s">
        <v>4</v>
      </c>
      <c r="HU63" s="89" t="s">
        <v>190</v>
      </c>
      <c r="HV63" s="87" t="s">
        <v>239</v>
      </c>
      <c r="HW63" s="88" t="s">
        <v>188</v>
      </c>
      <c r="HX63" s="88" t="s">
        <v>4</v>
      </c>
      <c r="HY63" s="89" t="s">
        <v>190</v>
      </c>
      <c r="HZ63" s="87" t="s">
        <v>239</v>
      </c>
      <c r="IA63" s="88" t="s">
        <v>188</v>
      </c>
      <c r="IB63" s="88" t="s">
        <v>4</v>
      </c>
      <c r="IC63" s="89" t="s">
        <v>190</v>
      </c>
      <c r="ID63" s="87" t="s">
        <v>239</v>
      </c>
      <c r="IE63" s="88" t="s">
        <v>188</v>
      </c>
      <c r="IF63" s="88" t="s">
        <v>4</v>
      </c>
      <c r="IG63" s="89" t="s">
        <v>190</v>
      </c>
      <c r="IH63" s="87" t="s">
        <v>239</v>
      </c>
      <c r="II63" s="88" t="s">
        <v>188</v>
      </c>
      <c r="IJ63" s="88" t="s">
        <v>4</v>
      </c>
      <c r="IK63" s="89" t="s">
        <v>190</v>
      </c>
      <c r="IL63" s="67"/>
      <c r="IM63" s="87" t="s">
        <v>239</v>
      </c>
      <c r="IN63" s="88" t="s">
        <v>188</v>
      </c>
      <c r="IO63" s="88" t="s">
        <v>4</v>
      </c>
      <c r="IP63" s="89" t="s">
        <v>190</v>
      </c>
      <c r="IQ63" s="87" t="s">
        <v>239</v>
      </c>
      <c r="IR63" s="88" t="s">
        <v>188</v>
      </c>
      <c r="IS63" s="88" t="s">
        <v>4</v>
      </c>
      <c r="IT63" s="89" t="s">
        <v>190</v>
      </c>
      <c r="IU63" s="87" t="s">
        <v>239</v>
      </c>
      <c r="IV63" s="88" t="s">
        <v>188</v>
      </c>
      <c r="IW63" s="88" t="s">
        <v>4</v>
      </c>
      <c r="IX63" s="89" t="s">
        <v>190</v>
      </c>
      <c r="IY63" s="87" t="s">
        <v>239</v>
      </c>
      <c r="IZ63" s="88" t="s">
        <v>188</v>
      </c>
      <c r="JA63" s="88" t="s">
        <v>4</v>
      </c>
      <c r="JB63" s="89" t="s">
        <v>190</v>
      </c>
      <c r="JC63" s="87" t="s">
        <v>239</v>
      </c>
      <c r="JD63" s="88" t="s">
        <v>188</v>
      </c>
      <c r="JE63" s="88" t="s">
        <v>4</v>
      </c>
      <c r="JF63" s="89" t="s">
        <v>190</v>
      </c>
      <c r="JG63" s="87" t="s">
        <v>239</v>
      </c>
      <c r="JH63" s="88" t="s">
        <v>188</v>
      </c>
      <c r="JI63" s="88" t="s">
        <v>4</v>
      </c>
      <c r="JJ63" s="89" t="s">
        <v>190</v>
      </c>
      <c r="JK63" s="67"/>
      <c r="JL63" s="87" t="s">
        <v>239</v>
      </c>
      <c r="JM63" s="88" t="s">
        <v>188</v>
      </c>
      <c r="JN63" s="88" t="s">
        <v>4</v>
      </c>
      <c r="JO63" s="89" t="s">
        <v>190</v>
      </c>
      <c r="JP63" s="87" t="s">
        <v>239</v>
      </c>
      <c r="JQ63" s="88" t="s">
        <v>188</v>
      </c>
      <c r="JR63" s="88" t="s">
        <v>4</v>
      </c>
      <c r="JS63" s="89" t="s">
        <v>190</v>
      </c>
      <c r="JT63" s="87" t="s">
        <v>239</v>
      </c>
      <c r="JU63" s="88" t="s">
        <v>188</v>
      </c>
      <c r="JV63" s="88" t="s">
        <v>4</v>
      </c>
      <c r="JW63" s="89" t="s">
        <v>190</v>
      </c>
      <c r="JX63" s="87" t="s">
        <v>239</v>
      </c>
      <c r="JY63" s="88" t="s">
        <v>188</v>
      </c>
      <c r="JZ63" s="88" t="s">
        <v>4</v>
      </c>
      <c r="KA63" s="89" t="s">
        <v>190</v>
      </c>
      <c r="KB63" s="87" t="s">
        <v>239</v>
      </c>
      <c r="KC63" s="88" t="s">
        <v>188</v>
      </c>
      <c r="KD63" s="88" t="s">
        <v>4</v>
      </c>
      <c r="KE63" s="89" t="s">
        <v>190</v>
      </c>
      <c r="KF63" s="87" t="s">
        <v>239</v>
      </c>
      <c r="KG63" s="88" t="s">
        <v>188</v>
      </c>
      <c r="KH63" s="88" t="s">
        <v>4</v>
      </c>
      <c r="KI63" s="89" t="s">
        <v>190</v>
      </c>
      <c r="KJ63" s="67"/>
      <c r="KK63" s="67"/>
      <c r="KL63" s="67"/>
      <c r="KM63" s="67"/>
      <c r="KN63" s="67"/>
      <c r="KO63" s="67"/>
      <c r="KP63" s="67"/>
      <c r="KQ63" s="67"/>
      <c r="KR63" s="67"/>
      <c r="KS63" s="67"/>
      <c r="KT63" s="67"/>
      <c r="KU63" s="67"/>
      <c r="KV63" s="67"/>
      <c r="KW63" s="67"/>
      <c r="KX63" s="67"/>
      <c r="KY63" s="67"/>
      <c r="KZ63" s="67"/>
      <c r="LA63" s="67"/>
      <c r="LB63" s="67"/>
      <c r="LC63" s="67"/>
    </row>
    <row r="64" ht="15.75" customHeight="1">
      <c r="A64" s="42"/>
      <c r="B64" s="68" t="s">
        <v>197</v>
      </c>
      <c r="C64" s="69"/>
      <c r="D64" s="70"/>
      <c r="E64" s="71"/>
      <c r="F64" s="32"/>
      <c r="G64" s="72" t="str">
        <f t="array" ref="G64">IFERROR(IF(XLOOKUP(CONCAT(E64,F64),'MASTER PLAN'!$AB:$AB,'MASTER PLAN'!$J:$J,0,0)=0,"",XLOOKUP(CONCAT(E64,F64),'MASTER PLAN'!$AB:$AB,'MASTER PLAN'!$J:$J,0,0)),"")</f>
        <v/>
      </c>
      <c r="H64" s="73" t="str">
        <f t="array" ref="H64">IFERROR(IF(XLOOKUP(CONCAT(E64,F64),'PROCESOS PRD'!$J:$J,'PROCESOS PRD'!$H:$H,0,0)=0,"",XLOOKUP(CONCAT(E64,F64),'PROCESOS PRD'!$J:$J,'PROCESOS PRD'!$H:$H,0,0)),"")</f>
        <v/>
      </c>
      <c r="I64" s="71"/>
      <c r="J64" s="32"/>
      <c r="K64" s="72" t="str">
        <f t="array" ref="K64">IFERROR(IF(XLOOKUP(CONCAT(I64,J64),'MASTER PLAN'!$AB:$AB,'MASTER PLAN'!$J:$J,0,0)=0,"",XLOOKUP(CONCAT(I64,J64),'MASTER PLAN'!$AB:$AB,'MASTER PLAN'!$J:$J,0,0)),"")</f>
        <v/>
      </c>
      <c r="L64" s="73" t="str">
        <f t="array" ref="L64">IFERROR(IF(XLOOKUP(CONCAT(I64,J64),'PROCESOS PRD'!$J:$J,'PROCESOS PRD'!$H:$H,0,0)=0,"",XLOOKUP(CONCAT(I64,J64),'PROCESOS PRD'!$J:$J,'PROCESOS PRD'!$H:$H,0,0)),"")</f>
        <v/>
      </c>
      <c r="M64" s="71"/>
      <c r="N64" s="32"/>
      <c r="O64" s="72" t="str">
        <f t="array" ref="O64">IFERROR(IF(XLOOKUP(CONCAT(M64,N64),'MASTER PLAN'!$AB:$AB,'MASTER PLAN'!$J:$J,0,0)=0,"",XLOOKUP(CONCAT(M64,N64),'MASTER PLAN'!$AB:$AB,'MASTER PLAN'!$J:$J,0,0)),"")</f>
        <v/>
      </c>
      <c r="P64" s="73" t="str">
        <f t="array" ref="P64">IFERROR(IF(XLOOKUP(CONCAT(M64,N64),'PROCESOS PRD'!$J:$J,'PROCESOS PRD'!$H:$H,0,0)=0,"",XLOOKUP(CONCAT(M64,N64),'PROCESOS PRD'!$J:$J,'PROCESOS PRD'!$H:$H,0,0)),"")</f>
        <v/>
      </c>
      <c r="Q64" s="71"/>
      <c r="R64" s="32"/>
      <c r="S64" s="72" t="str">
        <f t="array" ref="S64">IFERROR(IF(XLOOKUP(CONCAT(Q64,R64),'MASTER PLAN'!$AB:$AB,'MASTER PLAN'!$J:$J,0,0)=0,"",XLOOKUP(CONCAT(Q64,R64),'MASTER PLAN'!$AB:$AB,'MASTER PLAN'!$J:$J,0,0)),"")</f>
        <v/>
      </c>
      <c r="T64" s="73" t="str">
        <f t="array" ref="T64">IFERROR(IF(XLOOKUP(CONCAT(Q64,R64),'PROCESOS PRD'!$J:$J,'PROCESOS PRD'!$H:$H,0,0)=0,"",XLOOKUP(CONCAT(Q64,R64),'PROCESOS PRD'!$J:$J,'PROCESOS PRD'!$H:$H,0,0)),"")</f>
        <v/>
      </c>
      <c r="U64" s="70"/>
      <c r="V64" s="71"/>
      <c r="W64" s="32"/>
      <c r="X64" s="72" t="str">
        <f t="array" ref="X64">IFERROR(IF(XLOOKUP(CONCAT(V64,W64),'MASTER PLAN'!$AB:$AB,'MASTER PLAN'!$J:$J,0,0)=0,"",XLOOKUP(CONCAT(V64,W64),'MASTER PLAN'!$AB:$AB,'MASTER PLAN'!$J:$J,0,0)),"")</f>
        <v/>
      </c>
      <c r="Y64" s="73" t="str">
        <f t="array" ref="Y64">IFERROR(IF(XLOOKUP(CONCAT(V64,W64),'PROCESOS PRD'!$J:$J,'PROCESOS PRD'!$H:$H,0,0)=0,"",XLOOKUP(CONCAT(V64,W64),'PROCESOS PRD'!$J:$J,'PROCESOS PRD'!$H:$H,0,0)),"")</f>
        <v/>
      </c>
      <c r="Z64" s="71"/>
      <c r="AA64" s="32"/>
      <c r="AB64" s="72" t="str">
        <f t="array" ref="AB64">IFERROR(IF(XLOOKUP(CONCAT(Z64,AA64),'MASTER PLAN'!$AB:$AB,'MASTER PLAN'!$J:$J,0,0)=0,"",XLOOKUP(CONCAT(Z64,AA64),'MASTER PLAN'!$AB:$AB,'MASTER PLAN'!$J:$J,0,0)),"")</f>
        <v/>
      </c>
      <c r="AC64" s="73" t="str">
        <f t="array" ref="AC64">IFERROR(IF(XLOOKUP(CONCAT(Z64,AA64),'PROCESOS PRD'!$J:$J,'PROCESOS PRD'!$H:$H,0,0)=0,"",XLOOKUP(CONCAT(Z64,AA64),'PROCESOS PRD'!$J:$J,'PROCESOS PRD'!$H:$H,0,0)),"")</f>
        <v/>
      </c>
      <c r="AD64" s="71"/>
      <c r="AE64" s="32"/>
      <c r="AF64" s="72" t="str">
        <f t="array" ref="AF64">IFERROR(IF(XLOOKUP(CONCAT(AD64,AE64),'MASTER PLAN'!$AB:$AB,'MASTER PLAN'!$J:$J,0,0)=0,"",XLOOKUP(CONCAT(AD64,AE64),'MASTER PLAN'!$AB:$AB,'MASTER PLAN'!$J:$J,0,0)),"")</f>
        <v/>
      </c>
      <c r="AG64" s="73" t="str">
        <f t="array" ref="AG64">IFERROR(IF(XLOOKUP(CONCAT(AD64,AE64),'PROCESOS PRD'!$J:$J,'PROCESOS PRD'!$H:$H,0,0)=0,"",XLOOKUP(CONCAT(AD64,AE64),'PROCESOS PRD'!$J:$J,'PROCESOS PRD'!$H:$H,0,0)),"")</f>
        <v/>
      </c>
      <c r="AH64" s="71"/>
      <c r="AI64" s="32"/>
      <c r="AJ64" s="72" t="str">
        <f t="array" ref="AJ64">IFERROR(IF(XLOOKUP(CONCAT(AH64,AI64),'MASTER PLAN'!$AB:$AB,'MASTER PLAN'!$J:$J,0,0)=0,"",XLOOKUP(CONCAT(AH64,AI64),'MASTER PLAN'!$AB:$AB,'MASTER PLAN'!$J:$J,0,0)),"")</f>
        <v/>
      </c>
      <c r="AK64" s="73" t="str">
        <f t="array" ref="AK64">IFERROR(IF(XLOOKUP(CONCAT(AH64,AI64),'PROCESOS PRD'!$J:$J,'PROCESOS PRD'!$H:$H,0,0)=0,"",XLOOKUP(CONCAT(AH64,AI64),'PROCESOS PRD'!$J:$J,'PROCESOS PRD'!$H:$H,0,0)),"")</f>
        <v/>
      </c>
      <c r="AL64" s="71"/>
      <c r="AM64" s="32"/>
      <c r="AN64" s="72" t="str">
        <f t="array" ref="AN64">IFERROR(IF(XLOOKUP(CONCAT(AL64,AM64),'MASTER PLAN'!$AB:$AB,'MASTER PLAN'!$J:$J,0,0)=0,"",XLOOKUP(CONCAT(AL64,AM64),'MASTER PLAN'!$AB:$AB,'MASTER PLAN'!$J:$J,0,0)),"")</f>
        <v/>
      </c>
      <c r="AO64" s="73" t="str">
        <f t="array" ref="AO64">IFERROR(IF(XLOOKUP(CONCAT(AL64,AM64),'PROCESOS PRD'!$J:$J,'PROCESOS PRD'!$H:$H,0,0)=0,"",XLOOKUP(CONCAT(AL64,AM64),'PROCESOS PRD'!$J:$J,'PROCESOS PRD'!$H:$H,0,0)),"")</f>
        <v/>
      </c>
      <c r="AP64" s="71"/>
      <c r="AQ64" s="32"/>
      <c r="AR64" s="72" t="str">
        <f t="array" ref="AR64">IFERROR(IF(XLOOKUP(CONCAT(AP64,AQ64),'MASTER PLAN'!$AB:$AB,'MASTER PLAN'!$J:$J,0,0)=0,"",XLOOKUP(CONCAT(AP64,AQ64),'MASTER PLAN'!$AB:$AB,'MASTER PLAN'!$J:$J,0,0)),"")</f>
        <v/>
      </c>
      <c r="AS64" s="73" t="str">
        <f t="array" ref="AS64">IFERROR(IF(XLOOKUP(CONCAT(AP64,AQ64),'PROCESOS PRD'!$J:$J,'PROCESOS PRD'!$H:$H,0,0)=0,"",XLOOKUP(CONCAT(AP64,AQ64),'PROCESOS PRD'!$J:$J,'PROCESOS PRD'!$H:$H,0,0)),"")</f>
        <v/>
      </c>
      <c r="AT64" s="70"/>
      <c r="AU64" s="71">
        <v>1.402049286E9</v>
      </c>
      <c r="AV64" s="32">
        <v>10.0</v>
      </c>
      <c r="AW64" s="72" t="str">
        <f t="array" ref="AW64">IFERROR(IF(XLOOKUP(CONCAT(AU64,AV64),'MASTER PLAN'!$AB:$AB,'MASTER PLAN'!$J:$J,0,0)=0,"",XLOOKUP(CONCAT(AU64,AV64),'MASTER PLAN'!$AB:$AB,'MASTER PLAN'!$J:$J,0,0)),"")</f>
        <v>BOLSA HUNTINGTON 6-5"X3-5"X6-5"</v>
      </c>
      <c r="AX64" s="73">
        <f t="array" ref="AX64">IFERROR(IF(XLOOKUP(CONCAT(AU64,AV64),'PROCESOS PRD'!$J:$J,'PROCESOS PRD'!$H:$H,0,0)=0,"",XLOOKUP(CONCAT(AU64,AV64),'PROCESOS PRD'!$J:$J,'PROCESOS PRD'!$H:$H,0,0)),"")</f>
        <v>5400</v>
      </c>
      <c r="AY64" s="71">
        <v>1.402049362E9</v>
      </c>
      <c r="AZ64" s="32">
        <v>10.0</v>
      </c>
      <c r="BA64" s="72" t="str">
        <f t="array" ref="BA64">IFERROR(IF(XLOOKUP(CONCAT(AY64,AZ64),'MASTER PLAN'!$AB:$AB,'MASTER PLAN'!$J:$J,0,0)=0,"",XLOOKUP(CONCAT(AY64,AZ64),'MASTER PLAN'!$AB:$AB,'MASTER PLAN'!$J:$J,0,0)),"")</f>
        <v>BOLSA SCHWANKE KASTEN CO 10"X6"X8"</v>
      </c>
      <c r="BB64" s="73">
        <f t="array" ref="BB64">IFERROR(IF(XLOOKUP(CONCAT(AY64,AZ64),'PROCESOS PRD'!$J:$J,'PROCESOS PRD'!$H:$H,0,0)=0,"",XLOOKUP(CONCAT(AY64,AZ64),'PROCESOS PRD'!$J:$J,'PROCESOS PRD'!$H:$H,0,0)),"")</f>
        <v>2400</v>
      </c>
      <c r="BC64" s="71"/>
      <c r="BD64" s="32"/>
      <c r="BE64" s="72" t="str">
        <f t="array" ref="BE64">IFERROR(IF(XLOOKUP(CONCAT(BC64,BD64),'MASTER PLAN'!$AB:$AB,'MASTER PLAN'!$J:$J,0,0)=0,"",XLOOKUP(CONCAT(BC64,BD64),'MASTER PLAN'!$AB:$AB,'MASTER PLAN'!$J:$J,0,0)),"")</f>
        <v/>
      </c>
      <c r="BF64" s="73" t="str">
        <f t="array" ref="BF64">IFERROR(IF(XLOOKUP(CONCAT(BC64,BD64),'PROCESOS PRD'!$J:$J,'PROCESOS PRD'!$H:$H,0,0)=0,"",XLOOKUP(CONCAT(BC64,BD64),'PROCESOS PRD'!$J:$J,'PROCESOS PRD'!$H:$H,0,0)),"")</f>
        <v/>
      </c>
      <c r="BG64" s="71">
        <v>1.402049349E9</v>
      </c>
      <c r="BH64" s="32">
        <v>10.0</v>
      </c>
      <c r="BI64" s="72" t="str">
        <f t="array" ref="BI64">IFERROR(IF(XLOOKUP(CONCAT(BG64,BH64),'MASTER PLAN'!$AB:$AB,'MASTER PLAN'!$J:$J,0,0)=0,"",XLOOKUP(CONCAT(BG64,BH64),'MASTER PLAN'!$AB:$AB,'MASTER PLAN'!$J:$J,0,0)),"")</f>
        <v>BOLSA WSHM WOS 10"X6"X10" FA</v>
      </c>
      <c r="BJ64" s="73">
        <f t="array" ref="BJ64">IFERROR(IF(XLOOKUP(CONCAT(BG64,BH64),'PROCESOS PRD'!$J:$J,'PROCESOS PRD'!$H:$H,0,0)=0,"",XLOOKUP(CONCAT(BG64,BH64),'PROCESOS PRD'!$J:$J,'PROCESOS PRD'!$H:$H,0,0)),"")</f>
        <v>18000</v>
      </c>
      <c r="BK64" s="71">
        <v>1.402049349E9</v>
      </c>
      <c r="BL64" s="32">
        <v>10.0</v>
      </c>
      <c r="BM64" s="72" t="str">
        <f t="array" ref="BM64">IFERROR(IF(XLOOKUP(CONCAT(BK64,BL64),'MASTER PLAN'!$AB:$AB,'MASTER PLAN'!$J:$J,0,0)=0,"",XLOOKUP(CONCAT(BK64,BL64),'MASTER PLAN'!$AB:$AB,'MASTER PLAN'!$J:$J,0,0)),"")</f>
        <v>BOLSA WSHM WOS 10"X6"X10" FA</v>
      </c>
      <c r="BN64" s="73">
        <f t="array" ref="BN64">IFERROR(IF(XLOOKUP(CONCAT(BK64,BL64),'PROCESOS PRD'!$J:$J,'PROCESOS PRD'!$H:$H,0,0)=0,"",XLOOKUP(CONCAT(BK64,BL64),'PROCESOS PRD'!$J:$J,'PROCESOS PRD'!$H:$H,0,0)),"")</f>
        <v>18000</v>
      </c>
      <c r="BO64" s="71"/>
      <c r="BP64" s="32"/>
      <c r="BQ64" s="72" t="str">
        <f t="array" ref="BQ64">IFERROR(IF(XLOOKUP(CONCAT(BO64,BP64),'MASTER PLAN'!$AB:$AB,'MASTER PLAN'!$J:$J,0,0)=0,"",XLOOKUP(CONCAT(BO64,BP64),'MASTER PLAN'!$AB:$AB,'MASTER PLAN'!$J:$J,0,0)),"")</f>
        <v/>
      </c>
      <c r="BR64" s="73" t="str">
        <f t="array" ref="BR64">IFERROR(IF(XLOOKUP(CONCAT(BO64,BP64),'PROCESOS PRD'!$J:$J,'PROCESOS PRD'!$H:$H,0,0)=0,"",XLOOKUP(CONCAT(BO64,BP64),'PROCESOS PRD'!$J:$J,'PROCESOS PRD'!$H:$H,0,0)),"")</f>
        <v/>
      </c>
      <c r="BS64" s="70"/>
      <c r="BT64" s="71">
        <v>1.402048632E9</v>
      </c>
      <c r="BU64" s="32">
        <v>10.0</v>
      </c>
      <c r="BV64" s="72" t="str">
        <f t="array" ref="BV64">IFERROR(IF(XLOOKUP(CONCAT(BT64,BU64),'MASTER PLAN'!$AB:$AB,'MASTER PLAN'!$J:$J,0,0)=0,"",XLOOKUP(CONCAT(BT64,BU64),'MASTER PLAN'!$AB:$AB,'MASTER PLAN'!$J:$J,0,0)),"")</f>
        <v>BOLSA ROGERS ENTERPRISES 10"X4"X7-75"</v>
      </c>
      <c r="BW64" s="73">
        <f t="array" ref="BW64">IFERROR(IF(XLOOKUP(CONCAT(BT64,BU64),'PROCESOS PRD'!$J:$J,'PROCESOS PRD'!$H:$H,0,0)=0,"",XLOOKUP(CONCAT(BT64,BU64),'PROCESOS PRD'!$J:$J,'PROCESOS PRD'!$H:$H,0,0)),"")</f>
        <v>10500</v>
      </c>
      <c r="BX64" s="71">
        <v>1.402049318E9</v>
      </c>
      <c r="BY64" s="32">
        <v>10.0</v>
      </c>
      <c r="BZ64" s="72" t="str">
        <f t="array" ref="BZ64">IFERROR(IF(XLOOKUP(CONCAT(BX64,BY64),'MASTER PLAN'!$AB:$AB,'MASTER PLAN'!$J:$J,0,0)=0,"",XLOOKUP(CONCAT(BX64,BY64),'MASTER PLAN'!$AB:$AB,'MASTER PLAN'!$J:$J,0,0)),"")</f>
        <v>BOLSA WATERFALL JEWELERS 6-5"X3-5"X6-5"</v>
      </c>
      <c r="CA64" s="73">
        <f t="array" ref="CA64">IFERROR(IF(XLOOKUP(CONCAT(BX64,BY64),'PROCESOS PRD'!$J:$J,'PROCESOS PRD'!$H:$H,0,0)=0,"",XLOOKUP(CONCAT(BX64,BY64),'PROCESOS PRD'!$J:$J,'PROCESOS PRD'!$H:$H,0,0)),"")</f>
        <v>3600</v>
      </c>
      <c r="CB64" s="71">
        <v>1.402049402E9</v>
      </c>
      <c r="CC64" s="32">
        <v>10.0</v>
      </c>
      <c r="CD64" s="72" t="str">
        <f t="array" ref="CD64">IFERROR(IF(XLOOKUP(CONCAT(CB64,CC64),'MASTER PLAN'!$AB:$AB,'MASTER PLAN'!$J:$J,0,0)=0,"",XLOOKUP(CONCAT(CB64,CC64),'MASTER PLAN'!$AB:$AB,'MASTER PLAN'!$J:$J,0,0)),"")</f>
        <v>BOLSA LAWRENCE(GOLD CASTER)10-5"X5X8-25"</v>
      </c>
      <c r="CE64" s="73">
        <f t="array" ref="CE64">IFERROR(IF(XLOOKUP(CONCAT(CB64,CC64),'PROCESOS PRD'!$J:$J,'PROCESOS PRD'!$H:$H,0,0)=0,"",XLOOKUP(CONCAT(CB64,CC64),'PROCESOS PRD'!$J:$J,'PROCESOS PRD'!$H:$H,0,0)),"")</f>
        <v>3600</v>
      </c>
      <c r="CF64" s="71">
        <v>1.40204949E9</v>
      </c>
      <c r="CG64" s="32">
        <v>10.0</v>
      </c>
      <c r="CH64" s="72" t="str">
        <f t="array" ref="CH64">IFERROR(IF(XLOOKUP(CONCAT(CF64,CG64),'MASTER PLAN'!$AB:$AB,'MASTER PLAN'!$J:$J,0,0)=0,"",XLOOKUP(CONCAT(CF64,CG64),'MASTER PLAN'!$AB:$AB,'MASTER PLAN'!$J:$J,0,0)),"")</f>
        <v>BOLSA MAZZARESE 6-5"X3-5X6-5"</v>
      </c>
      <c r="CI64" s="73">
        <f t="array" ref="CI64">IFERROR(IF(XLOOKUP(CONCAT(CF64,CG64),'PROCESOS PRD'!$J:$J,'PROCESOS PRD'!$H:$H,0,0)=0,"",XLOOKUP(CONCAT(CF64,CG64),'PROCESOS PRD'!$J:$J,'PROCESOS PRD'!$H:$H,0,0)),"")</f>
        <v>1800</v>
      </c>
      <c r="CJ64" s="71">
        <v>1.402049559E9</v>
      </c>
      <c r="CK64" s="32">
        <v>10.0</v>
      </c>
      <c r="CL64" s="72" t="str">
        <f t="array" ref="CL64">IFERROR(IF(XLOOKUP(CONCAT(CJ64,CK64),'MASTER PLAN'!$AB:$AB,'MASTER PLAN'!$J:$J,0,0)=0,"",XLOOKUP(CONCAT(CJ64,CK64),'MASTER PLAN'!$AB:$AB,'MASTER PLAN'!$J:$J,0,0)),"")</f>
        <v>BOLSA JOYERIA GARZON 4.75"X3.5"X6"</v>
      </c>
      <c r="CM64" s="73">
        <f t="array" ref="CM64">IFERROR(IF(XLOOKUP(CONCAT(CJ64,CK64),'PROCESOS PRD'!$J:$J,'PROCESOS PRD'!$H:$H,0,0)=0,"",XLOOKUP(CONCAT(CJ64,CK64),'PROCESOS PRD'!$J:$J,'PROCESOS PRD'!$H:$H,0,0)),"")</f>
        <v>2400</v>
      </c>
      <c r="CN64" s="71"/>
      <c r="CO64" s="32"/>
      <c r="CP64" s="72" t="str">
        <f t="array" ref="CP64">IFERROR(IF(XLOOKUP(CONCAT(CN64,CO64),'MASTER PLAN'!$AB:$AB,'MASTER PLAN'!$J:$J,0,0)=0,"",XLOOKUP(CONCAT(CN64,CO64),'MASTER PLAN'!$AB:$AB,'MASTER PLAN'!$J:$J,0,0)),"")</f>
        <v/>
      </c>
      <c r="CQ64" s="73" t="str">
        <f t="array" ref="CQ64">IFERROR(IF(XLOOKUP(CONCAT(CN64,CO64),'PROCESOS PRD'!$J:$J,'PROCESOS PRD'!$H:$H,0,0)=0,"",XLOOKUP(CONCAT(CN64,CO64),'PROCESOS PRD'!$J:$J,'PROCESOS PRD'!$H:$H,0,0)),"")</f>
        <v/>
      </c>
      <c r="CR64" s="70"/>
      <c r="CS64" s="71">
        <v>1.402049448E9</v>
      </c>
      <c r="CT64" s="32">
        <v>10.0</v>
      </c>
      <c r="CU64" s="72" t="str">
        <f t="array" ref="CU64">IFERROR(IF(XLOOKUP(CONCAT(CS64,CT64),'MASTER PLAN'!$AB:$AB,'MASTER PLAN'!$J:$J,0,0)=0,"",XLOOKUP(CONCAT(CS64,CT64),'MASTER PLAN'!$AB:$AB,'MASTER PLAN'!$J:$J,0,0)),"")</f>
        <v>BOLSA CALDANI 6-5"X2-5"X5-5"</v>
      </c>
      <c r="CV64" s="73">
        <f t="array" ref="CV64">IFERROR(IF(XLOOKUP(CONCAT(CS64,CT64),'PROCESOS PRD'!$J:$J,'PROCESOS PRD'!$H:$H,0,0)=0,"",XLOOKUP(CONCAT(CS64,CT64),'PROCESOS PRD'!$J:$J,'PROCESOS PRD'!$H:$H,0,0)),"")</f>
        <v>1200</v>
      </c>
      <c r="CW64" s="71">
        <v>1.402049498E9</v>
      </c>
      <c r="CX64" s="32">
        <v>10.0</v>
      </c>
      <c r="CY64" s="72" t="str">
        <f t="array" ref="CY64">IFERROR(IF(XLOOKUP(CONCAT(CW64,CX64),'MASTER PLAN'!$AB:$AB,'MASTER PLAN'!$J:$J,0,0)=0,"",XLOOKUP(CONCAT(CW64,CX64),'MASTER PLAN'!$AB:$AB,'MASTER PLAN'!$J:$J,0,0)),"")</f>
        <v>BOLSA ALBERTS JEWELERS 6-5"X3-5"X6-5"</v>
      </c>
      <c r="CZ64" s="73">
        <f t="array" ref="CZ64">IFERROR(IF(XLOOKUP(CONCAT(CW64,CX64),'PROCESOS PRD'!$J:$J,'PROCESOS PRD'!$H:$H,0,0)=0,"",XLOOKUP(CONCAT(CW64,CX64),'PROCESOS PRD'!$J:$J,'PROCESOS PRD'!$H:$H,0,0)),"")</f>
        <v>8400</v>
      </c>
      <c r="DA64" s="71">
        <v>1.402049507E9</v>
      </c>
      <c r="DB64" s="32">
        <v>10.0</v>
      </c>
      <c r="DC64" s="72" t="str">
        <f t="array" ref="DC64">IFERROR(IF(XLOOKUP(CONCAT(DA64,DB64),'MASTER PLAN'!$AB:$AB,'MASTER PLAN'!$J:$J,0,0)=0,"",XLOOKUP(CONCAT(DA64,DB64),'MASTER PLAN'!$AB:$AB,'MASTER PLAN'!$J:$J,0,0)),"")</f>
        <v>BOLSA NA HOKU 159X90X210MM</v>
      </c>
      <c r="DD64" s="73">
        <f t="array" ref="DD64">IFERROR(IF(XLOOKUP(CONCAT(DA64,DB64),'PROCESOS PRD'!$J:$J,'PROCESOS PRD'!$H:$H,0,0)=0,"",XLOOKUP(CONCAT(DA64,DB64),'PROCESOS PRD'!$J:$J,'PROCESOS PRD'!$H:$H,0,0)),"")</f>
        <v>12000</v>
      </c>
      <c r="DE64" s="71">
        <v>1.402049507E9</v>
      </c>
      <c r="DF64" s="32">
        <v>20.0</v>
      </c>
      <c r="DG64" s="72" t="str">
        <f t="array" ref="DG64">IFERROR(IF(XLOOKUP(CONCAT(DE64,DF64),'MASTER PLAN'!$AB:$AB,'MASTER PLAN'!$J:$J,0,0)=0,"",XLOOKUP(CONCAT(DE64,DF64),'MASTER PLAN'!$AB:$AB,'MASTER PLAN'!$J:$J,0,0)),"")</f>
        <v>BOLSA PEARL FACTORY 159X90X210MM</v>
      </c>
      <c r="DH64" s="73">
        <f t="array" ref="DH64">IFERROR(IF(XLOOKUP(CONCAT(DE64,DF64),'PROCESOS PRD'!$J:$J,'PROCESOS PRD'!$H:$H,0,0)=0,"",XLOOKUP(CONCAT(DE64,DF64),'PROCESOS PRD'!$J:$J,'PROCESOS PRD'!$H:$H,0,0)),"")</f>
        <v>12000</v>
      </c>
      <c r="DI64" s="71">
        <v>1.402049437E9</v>
      </c>
      <c r="DJ64" s="32">
        <v>10.0</v>
      </c>
      <c r="DK64" s="72" t="str">
        <f t="array" ref="DK64">IFERROR(IF(XLOOKUP(CONCAT(DI64,DJ64),'MASTER PLAN'!$AB:$AB,'MASTER PLAN'!$J:$J,0,0)=0,"",XLOOKUP(CONCAT(DI64,DJ64),'MASTER PLAN'!$AB:$AB,'MASTER PLAN'!$J:$J,0,0)),"")</f>
        <v>BOLSA FINKS JWLS 10X5X10"</v>
      </c>
      <c r="DL64" s="73">
        <f t="array" ref="DL64">IFERROR(IF(XLOOKUP(CONCAT(DI64,DJ64),'PROCESOS PRD'!$J:$J,'PROCESOS PRD'!$H:$H,0,0)=0,"",XLOOKUP(CONCAT(DI64,DJ64),'PROCESOS PRD'!$J:$J,'PROCESOS PRD'!$H:$H,0,0)),"")</f>
        <v>3600</v>
      </c>
      <c r="DM64" s="71"/>
      <c r="DN64" s="32"/>
      <c r="DO64" s="72" t="str">
        <f t="array" ref="DO64">IFERROR(IF(XLOOKUP(CONCAT(DM64,DN64),'MASTER PLAN'!$AB:$AB,'MASTER PLAN'!$J:$J,0,0)=0,"",XLOOKUP(CONCAT(DM64,DN64),'MASTER PLAN'!$AB:$AB,'MASTER PLAN'!$J:$J,0,0)),"")</f>
        <v/>
      </c>
      <c r="DP64" s="73" t="str">
        <f t="array" ref="DP64">IFERROR(IF(XLOOKUP(CONCAT(DM64,DN64),'PROCESOS PRD'!$J:$J,'PROCESOS PRD'!$H:$H,0,0)=0,"",XLOOKUP(CONCAT(DM64,DN64),'PROCESOS PRD'!$J:$J,'PROCESOS PRD'!$H:$H,0,0)),"")</f>
        <v/>
      </c>
      <c r="DQ64" s="70"/>
      <c r="DR64" s="71"/>
      <c r="DS64" s="32"/>
      <c r="DT64" s="72" t="str">
        <f t="array" ref="DT64">IFERROR(IF(XLOOKUP(CONCAT(DR64,DS64),'MASTER PLAN'!$AB:$AB,'MASTER PLAN'!$J:$J,0,0)=0,"",XLOOKUP(CONCAT(DR64,DS64),'MASTER PLAN'!$AB:$AB,'MASTER PLAN'!$J:$J,0,0)),"")</f>
        <v/>
      </c>
      <c r="DU64" s="73" t="str">
        <f t="array" ref="DU64">IFERROR(IF(XLOOKUP(CONCAT(DR64,DS64),'PROCESOS PRD'!$J:$J,'PROCESOS PRD'!$H:$H,0,0)=0,"",XLOOKUP(CONCAT(DR64,DS64),'PROCESOS PRD'!$J:$J,'PROCESOS PRD'!$H:$H,0,0)),"")</f>
        <v/>
      </c>
      <c r="DV64" s="71"/>
      <c r="DW64" s="32"/>
      <c r="DX64" s="72" t="str">
        <f t="array" ref="DX64">IFERROR(IF(XLOOKUP(CONCAT(DV64,DW64),'MASTER PLAN'!$AB:$AB,'MASTER PLAN'!$J:$J,0,0)=0,"",XLOOKUP(CONCAT(DV64,DW64),'MASTER PLAN'!$AB:$AB,'MASTER PLAN'!$J:$J,0,0)),"")</f>
        <v/>
      </c>
      <c r="DY64" s="73" t="str">
        <f t="array" ref="DY64">IFERROR(IF(XLOOKUP(CONCAT(DV64,DW64),'PROCESOS PRD'!$J:$J,'PROCESOS PRD'!$H:$H,0,0)=0,"",XLOOKUP(CONCAT(DV64,DW64),'PROCESOS PRD'!$J:$J,'PROCESOS PRD'!$H:$H,0,0)),"")</f>
        <v/>
      </c>
      <c r="DZ64" s="71"/>
      <c r="EA64" s="32"/>
      <c r="EB64" s="72" t="str">
        <f t="array" ref="EB64">IFERROR(IF(XLOOKUP(CONCAT(DZ64,EA64),'MASTER PLAN'!$AB:$AB,'MASTER PLAN'!$J:$J,0,0)=0,"",XLOOKUP(CONCAT(DZ64,EA64),'MASTER PLAN'!$AB:$AB,'MASTER PLAN'!$J:$J,0,0)),"")</f>
        <v/>
      </c>
      <c r="EC64" s="73" t="str">
        <f t="array" ref="EC64">IFERROR(IF(XLOOKUP(CONCAT(DZ64,EA64),'PROCESOS PRD'!$J:$J,'PROCESOS PRD'!$H:$H,0,0)=0,"",XLOOKUP(CONCAT(DZ64,EA64),'PROCESOS PRD'!$J:$J,'PROCESOS PRD'!$H:$H,0,0)),"")</f>
        <v/>
      </c>
      <c r="ED64" s="71"/>
      <c r="EE64" s="32"/>
      <c r="EF64" s="72" t="str">
        <f t="array" ref="EF64">IFERROR(IF(XLOOKUP(CONCAT(ED64,EE64),'MASTER PLAN'!$AB:$AB,'MASTER PLAN'!$J:$J,0,0)=0,"",XLOOKUP(CONCAT(ED64,EE64),'MASTER PLAN'!$AB:$AB,'MASTER PLAN'!$J:$J,0,0)),"")</f>
        <v/>
      </c>
      <c r="EG64" s="73" t="str">
        <f t="array" ref="EG64">IFERROR(IF(XLOOKUP(CONCAT(ED64,EE64),'PROCESOS PRD'!$J:$J,'PROCESOS PRD'!$H:$H,0,0)=0,"",XLOOKUP(CONCAT(ED64,EE64),'PROCESOS PRD'!$J:$J,'PROCESOS PRD'!$H:$H,0,0)),"")</f>
        <v/>
      </c>
      <c r="EH64" s="71"/>
      <c r="EI64" s="32"/>
      <c r="EJ64" s="72" t="str">
        <f t="array" ref="EJ64">IFERROR(IF(XLOOKUP(CONCAT(EH64,EI64),'MASTER PLAN'!$AB:$AB,'MASTER PLAN'!$J:$J,0,0)=0,"",XLOOKUP(CONCAT(EH64,EI64),'MASTER PLAN'!$AB:$AB,'MASTER PLAN'!$J:$J,0,0)),"")</f>
        <v/>
      </c>
      <c r="EK64" s="73" t="str">
        <f t="array" ref="EK64">IFERROR(IF(XLOOKUP(CONCAT(EH64,EI64),'PROCESOS PRD'!$J:$J,'PROCESOS PRD'!$H:$H,0,0)=0,"",XLOOKUP(CONCAT(EH64,EI64),'PROCESOS PRD'!$J:$J,'PROCESOS PRD'!$H:$H,0,0)),"")</f>
        <v/>
      </c>
      <c r="EL64" s="71"/>
      <c r="EM64" s="32"/>
      <c r="EN64" s="72" t="str">
        <f t="array" ref="EN64">IFERROR(IF(XLOOKUP(CONCAT(EL64,EM64),'MASTER PLAN'!$AB:$AB,'MASTER PLAN'!$J:$J,0,0)=0,"",XLOOKUP(CONCAT(EL64,EM64),'MASTER PLAN'!$AB:$AB,'MASTER PLAN'!$J:$J,0,0)),"")</f>
        <v/>
      </c>
      <c r="EO64" s="73" t="str">
        <f t="array" ref="EO64">IFERROR(IF(XLOOKUP(CONCAT(EL64,EM64),'PROCESOS PRD'!$J:$J,'PROCESOS PRD'!$H:$H,0,0)=0,"",XLOOKUP(CONCAT(EL64,EM64),'PROCESOS PRD'!$J:$J,'PROCESOS PRD'!$H:$H,0,0)),"")</f>
        <v/>
      </c>
      <c r="EP64" s="70"/>
      <c r="EQ64" s="71"/>
      <c r="ER64" s="32"/>
      <c r="ES64" s="72" t="str">
        <f t="array" ref="ES64">IFERROR(IF(XLOOKUP(CONCAT(EQ64,ER64),'MASTER PLAN'!$AB:$AB,'MASTER PLAN'!$J:$J,0,0)=0,"",XLOOKUP(CONCAT(EQ64,ER64),'MASTER PLAN'!$AB:$AB,'MASTER PLAN'!$J:$J,0,0)),"")</f>
        <v/>
      </c>
      <c r="ET64" s="73" t="str">
        <f t="array" ref="ET64">IFERROR(IF(XLOOKUP(CONCAT(EQ64,ER64),'PROCESOS PRD'!$J:$J,'PROCESOS PRD'!$H:$H,0,0)=0,"",XLOOKUP(CONCAT(EQ64,ER64),'PROCESOS PRD'!$J:$J,'PROCESOS PRD'!$H:$H,0,0)),"")</f>
        <v/>
      </c>
      <c r="EU64" s="71"/>
      <c r="EV64" s="32"/>
      <c r="EW64" s="72" t="str">
        <f t="array" ref="EW64">IFERROR(IF(XLOOKUP(CONCAT(EU64,EV64),'MASTER PLAN'!$AB:$AB,'MASTER PLAN'!$J:$J,0,0)=0,"",XLOOKUP(CONCAT(EU64,EV64),'MASTER PLAN'!$AB:$AB,'MASTER PLAN'!$J:$J,0,0)),"")</f>
        <v/>
      </c>
      <c r="EX64" s="73" t="str">
        <f t="array" ref="EX64">IFERROR(IF(XLOOKUP(CONCAT(EU64,EV64),'PROCESOS PRD'!$J:$J,'PROCESOS PRD'!$H:$H,0,0)=0,"",XLOOKUP(CONCAT(EU64,EV64),'PROCESOS PRD'!$J:$J,'PROCESOS PRD'!$H:$H,0,0)),"")</f>
        <v/>
      </c>
      <c r="EY64" s="71"/>
      <c r="EZ64" s="32"/>
      <c r="FA64" s="72" t="str">
        <f t="array" ref="FA64">IFERROR(IF(XLOOKUP(CONCAT(EY64,EZ64),'MASTER PLAN'!$AB:$AB,'MASTER PLAN'!$J:$J,0,0)=0,"",XLOOKUP(CONCAT(EY64,EZ64),'MASTER PLAN'!$AB:$AB,'MASTER PLAN'!$J:$J,0,0)),"")</f>
        <v/>
      </c>
      <c r="FB64" s="73" t="str">
        <f t="array" ref="FB64">IFERROR(IF(XLOOKUP(CONCAT(EY64,EZ64),'PROCESOS PRD'!$J:$J,'PROCESOS PRD'!$H:$H,0,0)=0,"",XLOOKUP(CONCAT(EY64,EZ64),'PROCESOS PRD'!$J:$J,'PROCESOS PRD'!$H:$H,0,0)),"")</f>
        <v/>
      </c>
      <c r="FC64" s="71"/>
      <c r="FD64" s="32"/>
      <c r="FE64" s="72" t="str">
        <f t="array" ref="FE64">IFERROR(IF(XLOOKUP(CONCAT(FC64,FD64),'MASTER PLAN'!$AB:$AB,'MASTER PLAN'!$J:$J,0,0)=0,"",XLOOKUP(CONCAT(FC64,FD64),'MASTER PLAN'!$AB:$AB,'MASTER PLAN'!$J:$J,0,0)),"")</f>
        <v/>
      </c>
      <c r="FF64" s="73" t="str">
        <f t="array" ref="FF64">IFERROR(IF(XLOOKUP(CONCAT(FC64,FD64),'PROCESOS PRD'!$J:$J,'PROCESOS PRD'!$H:$H,0,0)=0,"",XLOOKUP(CONCAT(FC64,FD64),'PROCESOS PRD'!$J:$J,'PROCESOS PRD'!$H:$H,0,0)),"")</f>
        <v/>
      </c>
      <c r="FG64" s="71"/>
      <c r="FH64" s="32"/>
      <c r="FI64" s="72" t="str">
        <f t="array" ref="FI64">IFERROR(IF(XLOOKUP(CONCAT(FG64,FH64),'MASTER PLAN'!$AB:$AB,'MASTER PLAN'!$J:$J,0,0)=0,"",XLOOKUP(CONCAT(FG64,FH64),'MASTER PLAN'!$AB:$AB,'MASTER PLAN'!$J:$J,0,0)),"")</f>
        <v/>
      </c>
      <c r="FJ64" s="73" t="str">
        <f t="array" ref="FJ64">IFERROR(IF(XLOOKUP(CONCAT(FG64,FH64),'PROCESOS PRD'!$J:$J,'PROCESOS PRD'!$H:$H,0,0)=0,"",XLOOKUP(CONCAT(FG64,FH64),'PROCESOS PRD'!$J:$J,'PROCESOS PRD'!$H:$H,0,0)),"")</f>
        <v/>
      </c>
      <c r="FK64" s="71"/>
      <c r="FL64" s="32"/>
      <c r="FM64" s="72" t="str">
        <f t="array" ref="FM64">IFERROR(IF(XLOOKUP(CONCAT(FK64,FL64),'MASTER PLAN'!$AB:$AB,'MASTER PLAN'!$J:$J,0,0)=0,"",XLOOKUP(CONCAT(FK64,FL64),'MASTER PLAN'!$AB:$AB,'MASTER PLAN'!$J:$J,0,0)),"")</f>
        <v/>
      </c>
      <c r="FN64" s="73" t="str">
        <f t="array" ref="FN64">IFERROR(IF(XLOOKUP(CONCAT(FK64,FL64),'PROCESOS PRD'!$J:$J,'PROCESOS PRD'!$H:$H,0,0)=0,"",XLOOKUP(CONCAT(FK64,FL64),'PROCESOS PRD'!$J:$J,'PROCESOS PRD'!$H:$H,0,0)),"")</f>
        <v/>
      </c>
      <c r="FO64" s="70"/>
      <c r="FP64" s="71">
        <v>1.402049466E9</v>
      </c>
      <c r="FQ64" s="32">
        <v>10.0</v>
      </c>
      <c r="FR64" s="72" t="str">
        <f t="array" ref="FR64">IFERROR(IF(XLOOKUP(CONCAT(FP64,FQ64),'MASTER PLAN'!$AB:$AB,'MASTER PLAN'!$J:$J,0,0)=0,"",XLOOKUP(CONCAT(FP64,FQ64),'MASTER PLAN'!$AB:$AB,'MASTER PLAN'!$J:$J,0,0)),"")</f>
        <v>BOLSA ROGERS ENTERPRISES 10"X4"X7-75"</v>
      </c>
      <c r="FS64" s="73">
        <f t="array" ref="FS64">IFERROR(IF(XLOOKUP(CONCAT(FP64,FQ64),'PROCESOS PRD'!$J:$J,'PROCESOS PRD'!$H:$H,0,0)=0,"",XLOOKUP(CONCAT(FP64,FQ64),'PROCESOS PRD'!$J:$J,'PROCESOS PRD'!$H:$H,0,0)),"")</f>
        <v>36000</v>
      </c>
      <c r="FT64" s="71">
        <v>1.402049466E9</v>
      </c>
      <c r="FU64" s="32">
        <v>10.0</v>
      </c>
      <c r="FV64" s="72" t="str">
        <f t="array" ref="FV64">IFERROR(IF(XLOOKUP(CONCAT(FT64,FU64),'MASTER PLAN'!$AB:$AB,'MASTER PLAN'!$J:$J,0,0)=0,"",XLOOKUP(CONCAT(FT64,FU64),'MASTER PLAN'!$AB:$AB,'MASTER PLAN'!$J:$J,0,0)),"")</f>
        <v>BOLSA ROGERS ENTERPRISES 10"X4"X7-75"</v>
      </c>
      <c r="FW64" s="73">
        <f t="array" ref="FW64">IFERROR(IF(XLOOKUP(CONCAT(FT64,FU64),'PROCESOS PRD'!$J:$J,'PROCESOS PRD'!$H:$H,0,0)=0,"",XLOOKUP(CONCAT(FT64,FU64),'PROCESOS PRD'!$J:$J,'PROCESOS PRD'!$H:$H,0,0)),"")</f>
        <v>36000</v>
      </c>
      <c r="FX64" s="71"/>
      <c r="FY64" s="32"/>
      <c r="FZ64" s="72" t="str">
        <f t="array" ref="FZ64">IFERROR(IF(XLOOKUP(CONCAT(FX64,FY64),'MASTER PLAN'!$AB:$AB,'MASTER PLAN'!$J:$J,0,0)=0,"",XLOOKUP(CONCAT(FX64,FY64),'MASTER PLAN'!$AB:$AB,'MASTER PLAN'!$J:$J,0,0)),"")</f>
        <v/>
      </c>
      <c r="GA64" s="73" t="str">
        <f t="array" ref="GA64">IFERROR(IF(XLOOKUP(CONCAT(FX64,FY64),'PROCESOS PRD'!$J:$J,'PROCESOS PRD'!$H:$H,0,0)=0,"",XLOOKUP(CONCAT(FX64,FY64),'PROCESOS PRD'!$J:$J,'PROCESOS PRD'!$H:$H,0,0)),"")</f>
        <v/>
      </c>
      <c r="GB64" s="71"/>
      <c r="GC64" s="32"/>
      <c r="GD64" s="72" t="str">
        <f t="array" ref="GD64">IFERROR(IF(XLOOKUP(CONCAT(GB64,GC64),'MASTER PLAN'!$AB:$AB,'MASTER PLAN'!$J:$J,0,0)=0,"",XLOOKUP(CONCAT(GB64,GC64),'MASTER PLAN'!$AB:$AB,'MASTER PLAN'!$J:$J,0,0)),"")</f>
        <v/>
      </c>
      <c r="GE64" s="73" t="str">
        <f t="array" ref="GE64">IFERROR(IF(XLOOKUP(CONCAT(GB64,GC64),'PROCESOS PRD'!$J:$J,'PROCESOS PRD'!$H:$H,0,0)=0,"",XLOOKUP(CONCAT(GB64,GC64),'PROCESOS PRD'!$J:$J,'PROCESOS PRD'!$H:$H,0,0)),"")</f>
        <v/>
      </c>
      <c r="GF64" s="71"/>
      <c r="GG64" s="32"/>
      <c r="GH64" s="72" t="str">
        <f t="array" ref="GH64">IFERROR(IF(XLOOKUP(CONCAT(GF64,GG64),'MASTER PLAN'!$AB:$AB,'MASTER PLAN'!$J:$J,0,0)=0,"",XLOOKUP(CONCAT(GF64,GG64),'MASTER PLAN'!$AB:$AB,'MASTER PLAN'!$J:$J,0,0)),"")</f>
        <v/>
      </c>
      <c r="GI64" s="73" t="str">
        <f t="array" ref="GI64">IFERROR(IF(XLOOKUP(CONCAT(GF64,GG64),'PROCESOS PRD'!$J:$J,'PROCESOS PRD'!$H:$H,0,0)=0,"",XLOOKUP(CONCAT(GF64,GG64),'PROCESOS PRD'!$J:$J,'PROCESOS PRD'!$H:$H,0,0)),"")</f>
        <v/>
      </c>
      <c r="GJ64" s="71">
        <v>1.402049543E9</v>
      </c>
      <c r="GK64" s="32">
        <v>10.0</v>
      </c>
      <c r="GL64" s="72" t="str">
        <f t="array" ref="GL64">IFERROR(IF(XLOOKUP(CONCAT(GJ64,GK64),'MASTER PLAN'!$AB:$AB,'MASTER PLAN'!$J:$J,0,0)=0,"",XLOOKUP(CONCAT(GJ64,GK64),'MASTER PLAN'!$AB:$AB,'MASTER PLAN'!$J:$J,0,0)),"")</f>
        <v>BOLSA J-C- JEWELERS 10"X4"X8" -BLUE</v>
      </c>
      <c r="GM64" s="73">
        <f t="array" ref="GM64">IFERROR(IF(XLOOKUP(CONCAT(GJ64,GK64),'PROCESOS PRD'!$J:$J,'PROCESOS PRD'!$H:$H,0,0)=0,"",XLOOKUP(CONCAT(GJ64,GK64),'PROCESOS PRD'!$J:$J,'PROCESOS PRD'!$H:$H,0,0)),"")</f>
        <v>1800</v>
      </c>
      <c r="GN64" s="70"/>
      <c r="GO64" s="71">
        <v>1.402049543E9</v>
      </c>
      <c r="GP64" s="32">
        <v>10.0</v>
      </c>
      <c r="GQ64" s="72" t="str">
        <f t="array" ref="GQ64">IFERROR(IF(XLOOKUP(CONCAT(GO64,GP64),'MASTER PLAN'!$AB:$AB,'MASTER PLAN'!$J:$J,0,0)=0,"",XLOOKUP(CONCAT(GO64,GP64),'MASTER PLAN'!$AB:$AB,'MASTER PLAN'!$J:$J,0,0)),"")</f>
        <v>BOLSA J-C- JEWELERS 10"X4"X8" -BLUE</v>
      </c>
      <c r="GR64" s="73">
        <f t="array" ref="GR64">IFERROR(IF(XLOOKUP(CONCAT(GO64,GP64),'PROCESOS PRD'!$J:$J,'PROCESOS PRD'!$H:$H,0,0)=0,"",XLOOKUP(CONCAT(GO64,GP64),'PROCESOS PRD'!$J:$J,'PROCESOS PRD'!$H:$H,0,0)),"")</f>
        <v>1800</v>
      </c>
      <c r="GS64" s="71">
        <v>1.402049543E9</v>
      </c>
      <c r="GT64" s="32">
        <v>10.0</v>
      </c>
      <c r="GU64" s="72" t="str">
        <f t="array" ref="GU64">IFERROR(IF(XLOOKUP(CONCAT(GS64,GT64),'MASTER PLAN'!$AB:$AB,'MASTER PLAN'!$J:$J,0,0)=0,"",XLOOKUP(CONCAT(GS64,GT64),'MASTER PLAN'!$AB:$AB,'MASTER PLAN'!$J:$J,0,0)),"")</f>
        <v>BOLSA J-C- JEWELERS 10"X4"X8" -BLUE</v>
      </c>
      <c r="GV64" s="73">
        <f t="array" ref="GV64">IFERROR(IF(XLOOKUP(CONCAT(GS64,GT64),'PROCESOS PRD'!$J:$J,'PROCESOS PRD'!$H:$H,0,0)=0,"",XLOOKUP(CONCAT(GS64,GT64),'PROCESOS PRD'!$J:$J,'PROCESOS PRD'!$H:$H,0,0)),"")</f>
        <v>1800</v>
      </c>
      <c r="GW64" s="71">
        <v>1.402049543E9</v>
      </c>
      <c r="GX64" s="32">
        <v>10.0</v>
      </c>
      <c r="GY64" s="72" t="str">
        <f t="array" ref="GY64">IFERROR(IF(XLOOKUP(CONCAT(GW64,GX64),'MASTER PLAN'!$AB:$AB,'MASTER PLAN'!$J:$J,0,0)=0,"",XLOOKUP(CONCAT(GW64,GX64),'MASTER PLAN'!$AB:$AB,'MASTER PLAN'!$J:$J,0,0)),"")</f>
        <v>BOLSA J-C- JEWELERS 10"X4"X8" -BLUE</v>
      </c>
      <c r="GZ64" s="73">
        <f t="array" ref="GZ64">IFERROR(IF(XLOOKUP(CONCAT(GW64,GX64),'PROCESOS PRD'!$J:$J,'PROCESOS PRD'!$H:$H,0,0)=0,"",XLOOKUP(CONCAT(GW64,GX64),'PROCESOS PRD'!$J:$J,'PROCESOS PRD'!$H:$H,0,0)),"")</f>
        <v>1800</v>
      </c>
      <c r="HA64" s="71">
        <v>1.402049543E9</v>
      </c>
      <c r="HB64" s="32">
        <v>10.0</v>
      </c>
      <c r="HC64" s="72" t="str">
        <f t="array" ref="HC64">IFERROR(IF(XLOOKUP(CONCAT(HA64,HB64),'MASTER PLAN'!$AB:$AB,'MASTER PLAN'!$J:$J,0,0)=0,"",XLOOKUP(CONCAT(HA64,HB64),'MASTER PLAN'!$AB:$AB,'MASTER PLAN'!$J:$J,0,0)),"")</f>
        <v>BOLSA J-C- JEWELERS 10"X4"X8" -BLUE</v>
      </c>
      <c r="HD64" s="73">
        <f t="array" ref="HD64">IFERROR(IF(XLOOKUP(CONCAT(HA64,HB64),'PROCESOS PRD'!$J:$J,'PROCESOS PRD'!$H:$H,0,0)=0,"",XLOOKUP(CONCAT(HA64,HB64),'PROCESOS PRD'!$J:$J,'PROCESOS PRD'!$H:$H,0,0)),"")</f>
        <v>1800</v>
      </c>
      <c r="HE64" s="71">
        <v>1.402049543E9</v>
      </c>
      <c r="HF64" s="32">
        <v>10.0</v>
      </c>
      <c r="HG64" s="72" t="str">
        <f t="array" ref="HG64">IFERROR(IF(XLOOKUP(CONCAT(HE64,HF64),'MASTER PLAN'!$AB:$AB,'MASTER PLAN'!$J:$J,0,0)=0,"",XLOOKUP(CONCAT(HE64,HF64),'MASTER PLAN'!$AB:$AB,'MASTER PLAN'!$J:$J,0,0)),"")</f>
        <v>BOLSA J-C- JEWELERS 10"X4"X8" -BLUE</v>
      </c>
      <c r="HH64" s="73">
        <f t="array" ref="HH64">IFERROR(IF(XLOOKUP(CONCAT(HE64,HF64),'PROCESOS PRD'!$J:$J,'PROCESOS PRD'!$H:$H,0,0)=0,"",XLOOKUP(CONCAT(HE64,HF64),'PROCESOS PRD'!$J:$J,'PROCESOS PRD'!$H:$H,0,0)),"")</f>
        <v>1800</v>
      </c>
      <c r="HI64" s="71">
        <v>1.402049543E9</v>
      </c>
      <c r="HJ64" s="32">
        <v>10.0</v>
      </c>
      <c r="HK64" s="72" t="str">
        <f t="array" ref="HK64">IFERROR(IF(XLOOKUP(CONCAT(HI64,HJ64),'MASTER PLAN'!$AB:$AB,'MASTER PLAN'!$J:$J,0,0)=0,"",XLOOKUP(CONCAT(HI64,HJ64),'MASTER PLAN'!$AB:$AB,'MASTER PLAN'!$J:$J,0,0)),"")</f>
        <v>BOLSA J-C- JEWELERS 10"X4"X8" -BLUE</v>
      </c>
      <c r="HL64" s="73">
        <f t="array" ref="HL64">IFERROR(IF(XLOOKUP(CONCAT(HI64,HJ64),'PROCESOS PRD'!$J:$J,'PROCESOS PRD'!$H:$H,0,0)=0,"",XLOOKUP(CONCAT(HI64,HJ64),'PROCESOS PRD'!$J:$J,'PROCESOS PRD'!$H:$H,0,0)),"")</f>
        <v>1800</v>
      </c>
      <c r="HM64" s="70"/>
      <c r="HN64" s="71">
        <v>1.402049543E9</v>
      </c>
      <c r="HO64" s="32">
        <v>10.0</v>
      </c>
      <c r="HP64" s="72" t="str">
        <f t="array" ref="HP64">IFERROR(IF(XLOOKUP(CONCAT(HN64,HO64),'MASTER PLAN'!$AB:$AB,'MASTER PLAN'!$J:$J,0,0)=0,"",XLOOKUP(CONCAT(HN64,HO64),'MASTER PLAN'!$AB:$AB,'MASTER PLAN'!$J:$J,0,0)),"")</f>
        <v>BOLSA J-C- JEWELERS 10"X4"X8" -BLUE</v>
      </c>
      <c r="HQ64" s="73">
        <f t="array" ref="HQ64">IFERROR(IF(XLOOKUP(CONCAT(HN64,HO64),'PROCESOS PRD'!$J:$J,'PROCESOS PRD'!$H:$H,0,0)=0,"",XLOOKUP(CONCAT(HN64,HO64),'PROCESOS PRD'!$J:$J,'PROCESOS PRD'!$H:$H,0,0)),"")</f>
        <v>1800</v>
      </c>
      <c r="HR64" s="71">
        <v>1.402049543E9</v>
      </c>
      <c r="HS64" s="32">
        <v>10.0</v>
      </c>
      <c r="HT64" s="72" t="str">
        <f t="array" ref="HT64">IFERROR(IF(XLOOKUP(CONCAT(HR64,HS64),'MASTER PLAN'!$AB:$AB,'MASTER PLAN'!$J:$J,0,0)=0,"",XLOOKUP(CONCAT(HR64,HS64),'MASTER PLAN'!$AB:$AB,'MASTER PLAN'!$J:$J,0,0)),"")</f>
        <v>BOLSA J-C- JEWELERS 10"X4"X8" -BLUE</v>
      </c>
      <c r="HU64" s="73">
        <f t="array" ref="HU64">IFERROR(IF(XLOOKUP(CONCAT(HR64,HS64),'PROCESOS PRD'!$J:$J,'PROCESOS PRD'!$H:$H,0,0)=0,"",XLOOKUP(CONCAT(HR64,HS64),'PROCESOS PRD'!$J:$J,'PROCESOS PRD'!$H:$H,0,0)),"")</f>
        <v>1800</v>
      </c>
      <c r="HV64" s="71">
        <v>1.402049543E9</v>
      </c>
      <c r="HW64" s="32">
        <v>10.0</v>
      </c>
      <c r="HX64" s="72" t="str">
        <f t="array" ref="HX64">IFERROR(IF(XLOOKUP(CONCAT(HV64,HW64),'MASTER PLAN'!$AB:$AB,'MASTER PLAN'!$J:$J,0,0)=0,"",XLOOKUP(CONCAT(HV64,HW64),'MASTER PLAN'!$AB:$AB,'MASTER PLAN'!$J:$J,0,0)),"")</f>
        <v>BOLSA J-C- JEWELERS 10"X4"X8" -BLUE</v>
      </c>
      <c r="HY64" s="73">
        <f t="array" ref="HY64">IFERROR(IF(XLOOKUP(CONCAT(HV64,HW64),'PROCESOS PRD'!$J:$J,'PROCESOS PRD'!$H:$H,0,0)=0,"",XLOOKUP(CONCAT(HV64,HW64),'PROCESOS PRD'!$J:$J,'PROCESOS PRD'!$H:$H,0,0)),"")</f>
        <v>1800</v>
      </c>
      <c r="HZ64" s="71">
        <v>1.402049543E9</v>
      </c>
      <c r="IA64" s="32">
        <v>10.0</v>
      </c>
      <c r="IB64" s="72" t="str">
        <f t="array" ref="IB64">IFERROR(IF(XLOOKUP(CONCAT(HZ64,IA64),'MASTER PLAN'!$AB:$AB,'MASTER PLAN'!$J:$J,0,0)=0,"",XLOOKUP(CONCAT(HZ64,IA64),'MASTER PLAN'!$AB:$AB,'MASTER PLAN'!$J:$J,0,0)),"")</f>
        <v>BOLSA J-C- JEWELERS 10"X4"X8" -BLUE</v>
      </c>
      <c r="IC64" s="73">
        <f t="array" ref="IC64">IFERROR(IF(XLOOKUP(CONCAT(HZ64,IA64),'PROCESOS PRD'!$J:$J,'PROCESOS PRD'!$H:$H,0,0)=0,"",XLOOKUP(CONCAT(HZ64,IA64),'PROCESOS PRD'!$J:$J,'PROCESOS PRD'!$H:$H,0,0)),"")</f>
        <v>1800</v>
      </c>
      <c r="ID64" s="71">
        <v>1.402049543E9</v>
      </c>
      <c r="IE64" s="32">
        <v>10.0</v>
      </c>
      <c r="IF64" s="72" t="str">
        <f t="array" ref="IF64">IFERROR(IF(XLOOKUP(CONCAT(ID64,IE64),'MASTER PLAN'!$AB:$AB,'MASTER PLAN'!$J:$J,0,0)=0,"",XLOOKUP(CONCAT(ID64,IE64),'MASTER PLAN'!$AB:$AB,'MASTER PLAN'!$J:$J,0,0)),"")</f>
        <v>BOLSA J-C- JEWELERS 10"X4"X8" -BLUE</v>
      </c>
      <c r="IG64" s="73">
        <f t="array" ref="IG64">IFERROR(IF(XLOOKUP(CONCAT(ID64,IE64),'PROCESOS PRD'!$J:$J,'PROCESOS PRD'!$H:$H,0,0)=0,"",XLOOKUP(CONCAT(ID64,IE64),'PROCESOS PRD'!$J:$J,'PROCESOS PRD'!$H:$H,0,0)),"")</f>
        <v>1800</v>
      </c>
      <c r="IH64" s="71">
        <v>1.402049543E9</v>
      </c>
      <c r="II64" s="32">
        <v>10.0</v>
      </c>
      <c r="IJ64" s="72" t="str">
        <f t="array" ref="IJ64">IFERROR(IF(XLOOKUP(CONCAT(IH64,II64),'MASTER PLAN'!$AB:$AB,'MASTER PLAN'!$J:$J,0,0)=0,"",XLOOKUP(CONCAT(IH64,II64),'MASTER PLAN'!$AB:$AB,'MASTER PLAN'!$J:$J,0,0)),"")</f>
        <v>BOLSA J-C- JEWELERS 10"X4"X8" -BLUE</v>
      </c>
      <c r="IK64" s="73">
        <f t="array" ref="IK64">IFERROR(IF(XLOOKUP(CONCAT(IH64,II64),'PROCESOS PRD'!$J:$J,'PROCESOS PRD'!$H:$H,0,0)=0,"",XLOOKUP(CONCAT(IH64,II64),'PROCESOS PRD'!$J:$J,'PROCESOS PRD'!$H:$H,0,0)),"")</f>
        <v>1800</v>
      </c>
      <c r="IL64" s="70"/>
      <c r="IM64" s="71">
        <v>1.402049543E9</v>
      </c>
      <c r="IN64" s="32">
        <v>10.0</v>
      </c>
      <c r="IO64" s="72" t="str">
        <f t="array" ref="IO64">IFERROR(IF(XLOOKUP(CONCAT(IM64,IN64),'MASTER PLAN'!$AB:$AB,'MASTER PLAN'!$J:$J,0,0)=0,"",XLOOKUP(CONCAT(IM64,IN64),'MASTER PLAN'!$AB:$AB,'MASTER PLAN'!$J:$J,0,0)),"")</f>
        <v>BOLSA J-C- JEWELERS 10"X4"X8" -BLUE</v>
      </c>
      <c r="IP64" s="73">
        <f t="array" ref="IP64">IFERROR(IF(XLOOKUP(CONCAT(IM64,IN64),'PROCESOS PRD'!$J:$J,'PROCESOS PRD'!$H:$H,0,0)=0,"",XLOOKUP(CONCAT(IM64,IN64),'PROCESOS PRD'!$J:$J,'PROCESOS PRD'!$H:$H,0,0)),"")</f>
        <v>1800</v>
      </c>
      <c r="IQ64" s="71">
        <v>1.402049543E9</v>
      </c>
      <c r="IR64" s="32">
        <v>10.0</v>
      </c>
      <c r="IS64" s="72" t="str">
        <f t="array" ref="IS64">IFERROR(IF(XLOOKUP(CONCAT(IQ64,IR64),'MASTER PLAN'!$AB:$AB,'MASTER PLAN'!$J:$J,0,0)=0,"",XLOOKUP(CONCAT(IQ64,IR64),'MASTER PLAN'!$AB:$AB,'MASTER PLAN'!$J:$J,0,0)),"")</f>
        <v>BOLSA J-C- JEWELERS 10"X4"X8" -BLUE</v>
      </c>
      <c r="IT64" s="73">
        <f t="array" ref="IT64">IFERROR(IF(XLOOKUP(CONCAT(IQ64,IR64),'PROCESOS PRD'!$J:$J,'PROCESOS PRD'!$H:$H,0,0)=0,"",XLOOKUP(CONCAT(IQ64,IR64),'PROCESOS PRD'!$J:$J,'PROCESOS PRD'!$H:$H,0,0)),"")</f>
        <v>1800</v>
      </c>
      <c r="IU64" s="71">
        <v>1.402049543E9</v>
      </c>
      <c r="IV64" s="32">
        <v>10.0</v>
      </c>
      <c r="IW64" s="72" t="str">
        <f t="array" ref="IW64">IFERROR(IF(XLOOKUP(CONCAT(IU64,IV64),'MASTER PLAN'!$AB:$AB,'MASTER PLAN'!$J:$J,0,0)=0,"",XLOOKUP(CONCAT(IU64,IV64),'MASTER PLAN'!$AB:$AB,'MASTER PLAN'!$J:$J,0,0)),"")</f>
        <v>BOLSA J-C- JEWELERS 10"X4"X8" -BLUE</v>
      </c>
      <c r="IX64" s="73">
        <f t="array" ref="IX64">IFERROR(IF(XLOOKUP(CONCAT(IU64,IV64),'PROCESOS PRD'!$J:$J,'PROCESOS PRD'!$H:$H,0,0)=0,"",XLOOKUP(CONCAT(IU64,IV64),'PROCESOS PRD'!$J:$J,'PROCESOS PRD'!$H:$H,0,0)),"")</f>
        <v>1800</v>
      </c>
      <c r="IY64" s="71">
        <v>1.402049543E9</v>
      </c>
      <c r="IZ64" s="32">
        <v>10.0</v>
      </c>
      <c r="JA64" s="72" t="str">
        <f t="array" ref="JA64">IFERROR(IF(XLOOKUP(CONCAT(IY64,IZ64),'MASTER PLAN'!$AB:$AB,'MASTER PLAN'!$J:$J,0,0)=0,"",XLOOKUP(CONCAT(IY64,IZ64),'MASTER PLAN'!$AB:$AB,'MASTER PLAN'!$J:$J,0,0)),"")</f>
        <v>BOLSA J-C- JEWELERS 10"X4"X8" -BLUE</v>
      </c>
      <c r="JB64" s="73">
        <f t="array" ref="JB64">IFERROR(IF(XLOOKUP(CONCAT(IY64,IZ64),'PROCESOS PRD'!$J:$J,'PROCESOS PRD'!$H:$H,0,0)=0,"",XLOOKUP(CONCAT(IY64,IZ64),'PROCESOS PRD'!$J:$J,'PROCESOS PRD'!$H:$H,0,0)),"")</f>
        <v>1800</v>
      </c>
      <c r="JC64" s="71">
        <v>1.402049543E9</v>
      </c>
      <c r="JD64" s="32">
        <v>10.0</v>
      </c>
      <c r="JE64" s="72" t="str">
        <f t="array" ref="JE64">IFERROR(IF(XLOOKUP(CONCAT(JC64,JD64),'MASTER PLAN'!$AB:$AB,'MASTER PLAN'!$J:$J,0,0)=0,"",XLOOKUP(CONCAT(JC64,JD64),'MASTER PLAN'!$AB:$AB,'MASTER PLAN'!$J:$J,0,0)),"")</f>
        <v>BOLSA J-C- JEWELERS 10"X4"X8" -BLUE</v>
      </c>
      <c r="JF64" s="73">
        <f t="array" ref="JF64">IFERROR(IF(XLOOKUP(CONCAT(JC64,JD64),'PROCESOS PRD'!$J:$J,'PROCESOS PRD'!$H:$H,0,0)=0,"",XLOOKUP(CONCAT(JC64,JD64),'PROCESOS PRD'!$J:$J,'PROCESOS PRD'!$H:$H,0,0)),"")</f>
        <v>1800</v>
      </c>
      <c r="JG64" s="71">
        <v>1.402049543E9</v>
      </c>
      <c r="JH64" s="32">
        <v>10.0</v>
      </c>
      <c r="JI64" s="72" t="str">
        <f t="array" ref="JI64">IFERROR(IF(XLOOKUP(CONCAT(JG64,JH64),'MASTER PLAN'!$AB:$AB,'MASTER PLAN'!$J:$J,0,0)=0,"",XLOOKUP(CONCAT(JG64,JH64),'MASTER PLAN'!$AB:$AB,'MASTER PLAN'!$J:$J,0,0)),"")</f>
        <v>BOLSA J-C- JEWELERS 10"X4"X8" -BLUE</v>
      </c>
      <c r="JJ64" s="73">
        <f t="array" ref="JJ64">IFERROR(IF(XLOOKUP(CONCAT(JG64,JH64),'PROCESOS PRD'!$J:$J,'PROCESOS PRD'!$H:$H,0,0)=0,"",XLOOKUP(CONCAT(JG64,JH64),'PROCESOS PRD'!$J:$J,'PROCESOS PRD'!$H:$H,0,0)),"")</f>
        <v>1800</v>
      </c>
      <c r="JK64" s="70"/>
      <c r="JL64" s="71">
        <v>1.402049543E9</v>
      </c>
      <c r="JM64" s="32">
        <v>10.0</v>
      </c>
      <c r="JN64" s="72" t="str">
        <f t="array" ref="JN64">IFERROR(IF(XLOOKUP(CONCAT(JL64,JM64),'MASTER PLAN'!$AB:$AB,'MASTER PLAN'!$J:$J,0,0)=0,"",XLOOKUP(CONCAT(JL64,JM64),'MASTER PLAN'!$AB:$AB,'MASTER PLAN'!$J:$J,0,0)),"")</f>
        <v>BOLSA J-C- JEWELERS 10"X4"X8" -BLUE</v>
      </c>
      <c r="JO64" s="73">
        <f t="array" ref="JO64">IFERROR(IF(XLOOKUP(CONCAT(JL64,JM64),'PROCESOS PRD'!$J:$J,'PROCESOS PRD'!$H:$H,0,0)=0,"",XLOOKUP(CONCAT(JL64,JM64),'PROCESOS PRD'!$J:$J,'PROCESOS PRD'!$H:$H,0,0)),"")</f>
        <v>1800</v>
      </c>
      <c r="JP64" s="71">
        <v>1.402049543E9</v>
      </c>
      <c r="JQ64" s="32">
        <v>10.0</v>
      </c>
      <c r="JR64" s="72" t="str">
        <f t="array" ref="JR64">IFERROR(IF(XLOOKUP(CONCAT(JP64,JQ64),'MASTER PLAN'!$AB:$AB,'MASTER PLAN'!$J:$J,0,0)=0,"",XLOOKUP(CONCAT(JP64,JQ64),'MASTER PLAN'!$AB:$AB,'MASTER PLAN'!$J:$J,0,0)),"")</f>
        <v>BOLSA J-C- JEWELERS 10"X4"X8" -BLUE</v>
      </c>
      <c r="JS64" s="73">
        <f t="array" ref="JS64">IFERROR(IF(XLOOKUP(CONCAT(JP64,JQ64),'PROCESOS PRD'!$J:$J,'PROCESOS PRD'!$H:$H,0,0)=0,"",XLOOKUP(CONCAT(JP64,JQ64),'PROCESOS PRD'!$J:$J,'PROCESOS PRD'!$H:$H,0,0)),"")</f>
        <v>1800</v>
      </c>
      <c r="JT64" s="71">
        <v>1.402049543E9</v>
      </c>
      <c r="JU64" s="32">
        <v>10.0</v>
      </c>
      <c r="JV64" s="72" t="str">
        <f t="array" ref="JV64">IFERROR(IF(XLOOKUP(CONCAT(JT64,JU64),'MASTER PLAN'!$AB:$AB,'MASTER PLAN'!$J:$J,0,0)=0,"",XLOOKUP(CONCAT(JT64,JU64),'MASTER PLAN'!$AB:$AB,'MASTER PLAN'!$J:$J,0,0)),"")</f>
        <v>BOLSA J-C- JEWELERS 10"X4"X8" -BLUE</v>
      </c>
      <c r="JW64" s="73">
        <f t="array" ref="JW64">IFERROR(IF(XLOOKUP(CONCAT(JT64,JU64),'PROCESOS PRD'!$J:$J,'PROCESOS PRD'!$H:$H,0,0)=0,"",XLOOKUP(CONCAT(JT64,JU64),'PROCESOS PRD'!$J:$J,'PROCESOS PRD'!$H:$H,0,0)),"")</f>
        <v>1800</v>
      </c>
      <c r="JX64" s="71">
        <v>1.402049543E9</v>
      </c>
      <c r="JY64" s="32">
        <v>10.0</v>
      </c>
      <c r="JZ64" s="72" t="str">
        <f t="array" ref="JZ64">IFERROR(IF(XLOOKUP(CONCAT(JX64,JY64),'MASTER PLAN'!$AB:$AB,'MASTER PLAN'!$J:$J,0,0)=0,"",XLOOKUP(CONCAT(JX64,JY64),'MASTER PLAN'!$AB:$AB,'MASTER PLAN'!$J:$J,0,0)),"")</f>
        <v>BOLSA J-C- JEWELERS 10"X4"X8" -BLUE</v>
      </c>
      <c r="KA64" s="73">
        <f t="array" ref="KA64">IFERROR(IF(XLOOKUP(CONCAT(JX64,JY64),'PROCESOS PRD'!$J:$J,'PROCESOS PRD'!$H:$H,0,0)=0,"",XLOOKUP(CONCAT(JX64,JY64),'PROCESOS PRD'!$J:$J,'PROCESOS PRD'!$H:$H,0,0)),"")</f>
        <v>1800</v>
      </c>
      <c r="KB64" s="71">
        <v>1.402049543E9</v>
      </c>
      <c r="KC64" s="32">
        <v>10.0</v>
      </c>
      <c r="KD64" s="72" t="str">
        <f t="array" ref="KD64">IFERROR(IF(XLOOKUP(CONCAT(KB64,KC64),'MASTER PLAN'!$AB:$AB,'MASTER PLAN'!$J:$J,0,0)=0,"",XLOOKUP(CONCAT(KB64,KC64),'MASTER PLAN'!$AB:$AB,'MASTER PLAN'!$J:$J,0,0)),"")</f>
        <v>BOLSA J-C- JEWELERS 10"X4"X8" -BLUE</v>
      </c>
      <c r="KE64" s="73">
        <f t="array" ref="KE64">IFERROR(IF(XLOOKUP(CONCAT(KB64,KC64),'PROCESOS PRD'!$J:$J,'PROCESOS PRD'!$H:$H,0,0)=0,"",XLOOKUP(CONCAT(KB64,KC64),'PROCESOS PRD'!$J:$J,'PROCESOS PRD'!$H:$H,0,0)),"")</f>
        <v>1800</v>
      </c>
      <c r="KF64" s="71">
        <v>1.402049543E9</v>
      </c>
      <c r="KG64" s="32">
        <v>10.0</v>
      </c>
      <c r="KH64" s="72" t="str">
        <f t="array" ref="KH64">IFERROR(IF(XLOOKUP(CONCAT(KF64,KG64),'MASTER PLAN'!$AB:$AB,'MASTER PLAN'!$J:$J,0,0)=0,"",XLOOKUP(CONCAT(KF64,KG64),'MASTER PLAN'!$AB:$AB,'MASTER PLAN'!$J:$J,0,0)),"")</f>
        <v>BOLSA J-C- JEWELERS 10"X4"X8" -BLUE</v>
      </c>
      <c r="KI64" s="73">
        <f t="array" ref="KI64">IFERROR(IF(XLOOKUP(CONCAT(KF64,KG64),'PROCESOS PRD'!$J:$J,'PROCESOS PRD'!$H:$H,0,0)=0,"",XLOOKUP(CONCAT(KF64,KG64),'PROCESOS PRD'!$J:$J,'PROCESOS PRD'!$H:$H,0,0)),"")</f>
        <v>1800</v>
      </c>
      <c r="KJ64" s="70"/>
      <c r="KK64" s="70"/>
      <c r="KL64" s="70"/>
      <c r="KM64" s="70"/>
      <c r="KN64" s="70"/>
      <c r="KO64" s="70"/>
      <c r="KP64" s="70"/>
      <c r="KQ64" s="70"/>
      <c r="KR64" s="70"/>
      <c r="KS64" s="70"/>
      <c r="KT64" s="70"/>
      <c r="KU64" s="70"/>
      <c r="KV64" s="70"/>
      <c r="KW64" s="70"/>
      <c r="KX64" s="70"/>
      <c r="KY64" s="70"/>
      <c r="KZ64" s="70"/>
      <c r="LA64" s="70"/>
      <c r="LB64" s="70"/>
      <c r="LC64" s="70"/>
    </row>
    <row r="65" ht="15.75" customHeight="1">
      <c r="A65" s="42"/>
      <c r="B65" s="74"/>
      <c r="C65" s="69"/>
      <c r="D65" s="70"/>
      <c r="E65" s="71"/>
      <c r="F65" s="32"/>
      <c r="G65" s="72" t="str">
        <f t="array" ref="G65">IFERROR(IF(XLOOKUP(CONCAT(E65,F65),'MASTER PLAN'!$AB:$AB,'MASTER PLAN'!$J:$J,0,0)=0,"",XLOOKUP(CONCAT(E65,F65),'MASTER PLAN'!$AB:$AB,'MASTER PLAN'!$J:$J,0,0)),"")</f>
        <v/>
      </c>
      <c r="H65" s="73" t="str">
        <f t="array" ref="H65">IFERROR(IF(XLOOKUP(CONCAT(E65,F65),'PROCESOS PRD'!$J:$J,'PROCESOS PRD'!$H:$H,0,0)=0,"",XLOOKUP(CONCAT(E65,F65),'PROCESOS PRD'!$J:$J,'PROCESOS PRD'!$H:$H,0,0)),"")</f>
        <v/>
      </c>
      <c r="I65" s="71"/>
      <c r="J65" s="32"/>
      <c r="K65" s="72" t="str">
        <f t="array" ref="K65">IFERROR(IF(XLOOKUP(CONCAT(I65,J65),'MASTER PLAN'!$AB:$AB,'MASTER PLAN'!$J:$J,0,0)=0,"",XLOOKUP(CONCAT(I65,J65),'MASTER PLAN'!$AB:$AB,'MASTER PLAN'!$J:$J,0,0)),"")</f>
        <v/>
      </c>
      <c r="L65" s="73" t="str">
        <f t="array" ref="L65">IFERROR(IF(XLOOKUP(CONCAT(I65,J65),'PROCESOS PRD'!$J:$J,'PROCESOS PRD'!$H:$H,0,0)=0,"",XLOOKUP(CONCAT(I65,J65),'PROCESOS PRD'!$J:$J,'PROCESOS PRD'!$H:$H,0,0)),"")</f>
        <v/>
      </c>
      <c r="M65" s="71"/>
      <c r="N65" s="32"/>
      <c r="O65" s="72" t="str">
        <f t="array" ref="O65">IFERROR(IF(XLOOKUP(CONCAT(M65,N65),'MASTER PLAN'!$AB:$AB,'MASTER PLAN'!$J:$J,0,0)=0,"",XLOOKUP(CONCAT(M65,N65),'MASTER PLAN'!$AB:$AB,'MASTER PLAN'!$J:$J,0,0)),"")</f>
        <v/>
      </c>
      <c r="P65" s="73" t="str">
        <f t="array" ref="P65">IFERROR(IF(XLOOKUP(CONCAT(M65,N65),'PROCESOS PRD'!$J:$J,'PROCESOS PRD'!$H:$H,0,0)=0,"",XLOOKUP(CONCAT(M65,N65),'PROCESOS PRD'!$J:$J,'PROCESOS PRD'!$H:$H,0,0)),"")</f>
        <v/>
      </c>
      <c r="Q65" s="71"/>
      <c r="R65" s="32"/>
      <c r="S65" s="72" t="str">
        <f t="array" ref="S65">IFERROR(IF(XLOOKUP(CONCAT(Q65,R65),'MASTER PLAN'!$AB:$AB,'MASTER PLAN'!$J:$J,0,0)=0,"",XLOOKUP(CONCAT(Q65,R65),'MASTER PLAN'!$AB:$AB,'MASTER PLAN'!$J:$J,0,0)),"")</f>
        <v/>
      </c>
      <c r="T65" s="73" t="str">
        <f t="array" ref="T65">IFERROR(IF(XLOOKUP(CONCAT(Q65,R65),'PROCESOS PRD'!$J:$J,'PROCESOS PRD'!$H:$H,0,0)=0,"",XLOOKUP(CONCAT(Q65,R65),'PROCESOS PRD'!$J:$J,'PROCESOS PRD'!$H:$H,0,0)),"")</f>
        <v/>
      </c>
      <c r="U65" s="70"/>
      <c r="V65" s="71"/>
      <c r="W65" s="32"/>
      <c r="X65" s="72" t="str">
        <f t="array" ref="X65">IFERROR(IF(XLOOKUP(CONCAT(V65,W65),'MASTER PLAN'!$AB:$AB,'MASTER PLAN'!$J:$J,0,0)=0,"",XLOOKUP(CONCAT(V65,W65),'MASTER PLAN'!$AB:$AB,'MASTER PLAN'!$J:$J,0,0)),"")</f>
        <v/>
      </c>
      <c r="Y65" s="73" t="str">
        <f t="array" ref="Y65">IFERROR(IF(XLOOKUP(CONCAT(V65,W65),'PROCESOS PRD'!$J:$J,'PROCESOS PRD'!$H:$H,0,0)=0,"",XLOOKUP(CONCAT(V65,W65),'PROCESOS PRD'!$J:$J,'PROCESOS PRD'!$H:$H,0,0)),"")</f>
        <v/>
      </c>
      <c r="Z65" s="71"/>
      <c r="AA65" s="32"/>
      <c r="AB65" s="72" t="str">
        <f t="array" ref="AB65">IFERROR(IF(XLOOKUP(CONCAT(Z65,AA65),'MASTER PLAN'!$AB:$AB,'MASTER PLAN'!$J:$J,0,0)=0,"",XLOOKUP(CONCAT(Z65,AA65),'MASTER PLAN'!$AB:$AB,'MASTER PLAN'!$J:$J,0,0)),"")</f>
        <v/>
      </c>
      <c r="AC65" s="73" t="str">
        <f t="array" ref="AC65">IFERROR(IF(XLOOKUP(CONCAT(Z65,AA65),'PROCESOS PRD'!$J:$J,'PROCESOS PRD'!$H:$H,0,0)=0,"",XLOOKUP(CONCAT(Z65,AA65),'PROCESOS PRD'!$J:$J,'PROCESOS PRD'!$H:$H,0,0)),"")</f>
        <v/>
      </c>
      <c r="AD65" s="71"/>
      <c r="AE65" s="32"/>
      <c r="AF65" s="72" t="str">
        <f t="array" ref="AF65">IFERROR(IF(XLOOKUP(CONCAT(AD65,AE65),'MASTER PLAN'!$AB:$AB,'MASTER PLAN'!$J:$J,0,0)=0,"",XLOOKUP(CONCAT(AD65,AE65),'MASTER PLAN'!$AB:$AB,'MASTER PLAN'!$J:$J,0,0)),"")</f>
        <v/>
      </c>
      <c r="AG65" s="73" t="str">
        <f t="array" ref="AG65">IFERROR(IF(XLOOKUP(CONCAT(AD65,AE65),'PROCESOS PRD'!$J:$J,'PROCESOS PRD'!$H:$H,0,0)=0,"",XLOOKUP(CONCAT(AD65,AE65),'PROCESOS PRD'!$J:$J,'PROCESOS PRD'!$H:$H,0,0)),"")</f>
        <v/>
      </c>
      <c r="AH65" s="71"/>
      <c r="AI65" s="32"/>
      <c r="AJ65" s="72" t="str">
        <f t="array" ref="AJ65">IFERROR(IF(XLOOKUP(CONCAT(AH65,AI65),'MASTER PLAN'!$AB:$AB,'MASTER PLAN'!$J:$J,0,0)=0,"",XLOOKUP(CONCAT(AH65,AI65),'MASTER PLAN'!$AB:$AB,'MASTER PLAN'!$J:$J,0,0)),"")</f>
        <v/>
      </c>
      <c r="AK65" s="73" t="str">
        <f t="array" ref="AK65">IFERROR(IF(XLOOKUP(CONCAT(AH65,AI65),'PROCESOS PRD'!$J:$J,'PROCESOS PRD'!$H:$H,0,0)=0,"",XLOOKUP(CONCAT(AH65,AI65),'PROCESOS PRD'!$J:$J,'PROCESOS PRD'!$H:$H,0,0)),"")</f>
        <v/>
      </c>
      <c r="AL65" s="71"/>
      <c r="AM65" s="32"/>
      <c r="AN65" s="72" t="str">
        <f t="array" ref="AN65">IFERROR(IF(XLOOKUP(CONCAT(AL65,AM65),'MASTER PLAN'!$AB:$AB,'MASTER PLAN'!$J:$J,0,0)=0,"",XLOOKUP(CONCAT(AL65,AM65),'MASTER PLAN'!$AB:$AB,'MASTER PLAN'!$J:$J,0,0)),"")</f>
        <v/>
      </c>
      <c r="AO65" s="73" t="str">
        <f t="array" ref="AO65">IFERROR(IF(XLOOKUP(CONCAT(AL65,AM65),'PROCESOS PRD'!$J:$J,'PROCESOS PRD'!$H:$H,0,0)=0,"",XLOOKUP(CONCAT(AL65,AM65),'PROCESOS PRD'!$J:$J,'PROCESOS PRD'!$H:$H,0,0)),"")</f>
        <v/>
      </c>
      <c r="AP65" s="71"/>
      <c r="AQ65" s="32"/>
      <c r="AR65" s="72" t="str">
        <f t="array" ref="AR65">IFERROR(IF(XLOOKUP(CONCAT(AP65,AQ65),'MASTER PLAN'!$AB:$AB,'MASTER PLAN'!$J:$J,0,0)=0,"",XLOOKUP(CONCAT(AP65,AQ65),'MASTER PLAN'!$AB:$AB,'MASTER PLAN'!$J:$J,0,0)),"")</f>
        <v/>
      </c>
      <c r="AS65" s="73" t="str">
        <f t="array" ref="AS65">IFERROR(IF(XLOOKUP(CONCAT(AP65,AQ65),'PROCESOS PRD'!$J:$J,'PROCESOS PRD'!$H:$H,0,0)=0,"",XLOOKUP(CONCAT(AP65,AQ65),'PROCESOS PRD'!$J:$J,'PROCESOS PRD'!$H:$H,0,0)),"")</f>
        <v/>
      </c>
      <c r="AT65" s="70"/>
      <c r="AU65" s="71">
        <v>1.402049286E9</v>
      </c>
      <c r="AV65" s="32">
        <v>20.0</v>
      </c>
      <c r="AW65" s="72" t="str">
        <f t="array" ref="AW65">IFERROR(IF(XLOOKUP(CONCAT(AU65,AV65),'MASTER PLAN'!$AB:$AB,'MASTER PLAN'!$J:$J,0,0)=0,"",XLOOKUP(CONCAT(AU65,AV65),'MASTER PLAN'!$AB:$AB,'MASTER PLAN'!$J:$J,0,0)),"")</f>
        <v>BOLSA HUNTINGTON 8"X4"X10"</v>
      </c>
      <c r="AX65" s="73">
        <f t="array" ref="AX65">IFERROR(IF(XLOOKUP(CONCAT(AU65,AV65),'PROCESOS PRD'!$J:$J,'PROCESOS PRD'!$H:$H,0,0)=0,"",XLOOKUP(CONCAT(AU65,AV65),'PROCESOS PRD'!$J:$J,'PROCESOS PRD'!$H:$H,0,0)),"")</f>
        <v>2160</v>
      </c>
      <c r="AY65" s="71"/>
      <c r="AZ65" s="32"/>
      <c r="BA65" s="72" t="str">
        <f t="array" ref="BA65">IFERROR(IF(XLOOKUP(CONCAT(AY65,AZ65),'MASTER PLAN'!$AB:$AB,'MASTER PLAN'!$J:$J,0,0)=0,"",XLOOKUP(CONCAT(AY65,AZ65),'MASTER PLAN'!$AB:$AB,'MASTER PLAN'!$J:$J,0,0)),"")</f>
        <v/>
      </c>
      <c r="BB65" s="73" t="str">
        <f t="array" ref="BB65">IFERROR(IF(XLOOKUP(CONCAT(AY65,AZ65),'PROCESOS PRD'!$J:$J,'PROCESOS PRD'!$H:$H,0,0)=0,"",XLOOKUP(CONCAT(AY65,AZ65),'PROCESOS PRD'!$J:$J,'PROCESOS PRD'!$H:$H,0,0)),"")</f>
        <v/>
      </c>
      <c r="BC65" s="71"/>
      <c r="BD65" s="32"/>
      <c r="BE65" s="72" t="str">
        <f t="array" ref="BE65">IFERROR(IF(XLOOKUP(CONCAT(BC65,BD65),'MASTER PLAN'!$AB:$AB,'MASTER PLAN'!$J:$J,0,0)=0,"",XLOOKUP(CONCAT(BC65,BD65),'MASTER PLAN'!$AB:$AB,'MASTER PLAN'!$J:$J,0,0)),"")</f>
        <v/>
      </c>
      <c r="BF65" s="73" t="str">
        <f t="array" ref="BF65">IFERROR(IF(XLOOKUP(CONCAT(BC65,BD65),'PROCESOS PRD'!$J:$J,'PROCESOS PRD'!$H:$H,0,0)=0,"",XLOOKUP(CONCAT(BC65,BD65),'PROCESOS PRD'!$J:$J,'PROCESOS PRD'!$H:$H,0,0)),"")</f>
        <v/>
      </c>
      <c r="BG65" s="71">
        <v>1.402049349E9</v>
      </c>
      <c r="BH65" s="32">
        <v>20.0</v>
      </c>
      <c r="BI65" s="72" t="str">
        <f t="array" ref="BI65">IFERROR(IF(XLOOKUP(CONCAT(BG65,BH65),'MASTER PLAN'!$AB:$AB,'MASTER PLAN'!$J:$J,0,0)=0,"",XLOOKUP(CONCAT(BG65,BH65),'MASTER PLAN'!$AB:$AB,'MASTER PLAN'!$J:$J,0,0)),"")</f>
        <v>BOLSA WSHN WOS 17"X7"X14" FA</v>
      </c>
      <c r="BJ65" s="73">
        <f t="array" ref="BJ65">IFERROR(IF(XLOOKUP(CONCAT(BG65,BH65),'PROCESOS PRD'!$J:$J,'PROCESOS PRD'!$H:$H,0,0)=0,"",XLOOKUP(CONCAT(BG65,BH65),'PROCESOS PRD'!$J:$J,'PROCESOS PRD'!$H:$H,0,0)),"")</f>
        <v>9600</v>
      </c>
      <c r="BK65" s="71">
        <v>1.402049349E9</v>
      </c>
      <c r="BL65" s="32">
        <v>20.0</v>
      </c>
      <c r="BM65" s="72" t="str">
        <f t="array" ref="BM65">IFERROR(IF(XLOOKUP(CONCAT(BK65,BL65),'MASTER PLAN'!$AB:$AB,'MASTER PLAN'!$J:$J,0,0)=0,"",XLOOKUP(CONCAT(BK65,BL65),'MASTER PLAN'!$AB:$AB,'MASTER PLAN'!$J:$J,0,0)),"")</f>
        <v>BOLSA WSHN WOS 17"X7"X14" FA</v>
      </c>
      <c r="BN65" s="73">
        <f t="array" ref="BN65">IFERROR(IF(XLOOKUP(CONCAT(BK65,BL65),'PROCESOS PRD'!$J:$J,'PROCESOS PRD'!$H:$H,0,0)=0,"",XLOOKUP(CONCAT(BK65,BL65),'PROCESOS PRD'!$J:$J,'PROCESOS PRD'!$H:$H,0,0)),"")</f>
        <v>9600</v>
      </c>
      <c r="BO65" s="71"/>
      <c r="BP65" s="32"/>
      <c r="BQ65" s="72" t="str">
        <f t="array" ref="BQ65">IFERROR(IF(XLOOKUP(CONCAT(BO65,BP65),'MASTER PLAN'!$AB:$AB,'MASTER PLAN'!$J:$J,0,0)=0,"",XLOOKUP(CONCAT(BO65,BP65),'MASTER PLAN'!$AB:$AB,'MASTER PLAN'!$J:$J,0,0)),"")</f>
        <v/>
      </c>
      <c r="BR65" s="73" t="str">
        <f t="array" ref="BR65">IFERROR(IF(XLOOKUP(CONCAT(BO65,BP65),'PROCESOS PRD'!$J:$J,'PROCESOS PRD'!$H:$H,0,0)=0,"",XLOOKUP(CONCAT(BO65,BP65),'PROCESOS PRD'!$J:$J,'PROCESOS PRD'!$H:$H,0,0)),"")</f>
        <v/>
      </c>
      <c r="BS65" s="70"/>
      <c r="BT65" s="71"/>
      <c r="BU65" s="32"/>
      <c r="BV65" s="72" t="str">
        <f t="array" ref="BV65">IFERROR(IF(XLOOKUP(CONCAT(BT65,BU65),'MASTER PLAN'!$AB:$AB,'MASTER PLAN'!$J:$J,0,0)=0,"",XLOOKUP(CONCAT(BT65,BU65),'MASTER PLAN'!$AB:$AB,'MASTER PLAN'!$J:$J,0,0)),"")</f>
        <v/>
      </c>
      <c r="BW65" s="73" t="str">
        <f t="array" ref="BW65">IFERROR(IF(XLOOKUP(CONCAT(BT65,BU65),'PROCESOS PRD'!$J:$J,'PROCESOS PRD'!$H:$H,0,0)=0,"",XLOOKUP(CONCAT(BT65,BU65),'PROCESOS PRD'!$J:$J,'PROCESOS PRD'!$H:$H,0,0)),"")</f>
        <v/>
      </c>
      <c r="BX65" s="71">
        <v>1.402049318E9</v>
      </c>
      <c r="BY65" s="32">
        <v>20.0</v>
      </c>
      <c r="BZ65" s="72" t="str">
        <f t="array" ref="BZ65">IFERROR(IF(XLOOKUP(CONCAT(BX65,BY65),'MASTER PLAN'!$AB:$AB,'MASTER PLAN'!$J:$J,0,0)=0,"",XLOOKUP(CONCAT(BX65,BY65),'MASTER PLAN'!$AB:$AB,'MASTER PLAN'!$J:$J,0,0)),"")</f>
        <v>BOLSA WATERFALL JEWELERS 8"X4"X10"</v>
      </c>
      <c r="CA65" s="73">
        <f t="array" ref="CA65">IFERROR(IF(XLOOKUP(CONCAT(BX65,BY65),'PROCESOS PRD'!$J:$J,'PROCESOS PRD'!$H:$H,0,0)=0,"",XLOOKUP(CONCAT(BX65,BY65),'PROCESOS PRD'!$J:$J,'PROCESOS PRD'!$H:$H,0,0)),"")</f>
        <v>4800</v>
      </c>
      <c r="CB65" s="71">
        <v>1.402049444E9</v>
      </c>
      <c r="CC65" s="32">
        <v>10.0</v>
      </c>
      <c r="CD65" s="72" t="str">
        <f t="array" ref="CD65">IFERROR(IF(XLOOKUP(CONCAT(CB65,CC65),'MASTER PLAN'!$AB:$AB,'MASTER PLAN'!$J:$J,0,0)=0,"",XLOOKUP(CONCAT(CB65,CC65),'MASTER PLAN'!$AB:$AB,'MASTER PLAN'!$J:$J,0,0)),"")</f>
        <v>BOLSA AMERICUS DIAMOND 6-5X3-5X6-5</v>
      </c>
      <c r="CE65" s="73">
        <f t="array" ref="CE65">IFERROR(IF(XLOOKUP(CONCAT(CB65,CC65),'PROCESOS PRD'!$J:$J,'PROCESOS PRD'!$H:$H,0,0)=0,"",XLOOKUP(CONCAT(CB65,CC65),'PROCESOS PRD'!$J:$J,'PROCESOS PRD'!$H:$H,0,0)),"")</f>
        <v>3600</v>
      </c>
      <c r="CF65" s="71">
        <v>1.40204948E9</v>
      </c>
      <c r="CG65" s="32">
        <v>10.0</v>
      </c>
      <c r="CH65" s="72" t="str">
        <f t="array" ref="CH65">IFERROR(IF(XLOOKUP(CONCAT(CF65,CG65),'MASTER PLAN'!$AB:$AB,'MASTER PLAN'!$J:$J,0,0)=0,"",XLOOKUP(CONCAT(CF65,CG65),'MASTER PLAN'!$AB:$AB,'MASTER PLAN'!$J:$J,0,0)),"")</f>
        <v>BOLSA LEE BRANT  8"X4"X10"</v>
      </c>
      <c r="CI65" s="73">
        <f t="array" ref="CI65">IFERROR(IF(XLOOKUP(CONCAT(CF65,CG65),'PROCESOS PRD'!$J:$J,'PROCESOS PRD'!$H:$H,0,0)=0,"",XLOOKUP(CONCAT(CF65,CG65),'PROCESOS PRD'!$J:$J,'PROCESOS PRD'!$H:$H,0,0)),"")</f>
        <v>1200</v>
      </c>
      <c r="CJ65" s="71"/>
      <c r="CK65" s="32"/>
      <c r="CL65" s="72" t="str">
        <f t="array" ref="CL65">IFERROR(IF(XLOOKUP(CONCAT(CJ65,CK65),'MASTER PLAN'!$AB:$AB,'MASTER PLAN'!$J:$J,0,0)=0,"",XLOOKUP(CONCAT(CJ65,CK65),'MASTER PLAN'!$AB:$AB,'MASTER PLAN'!$J:$J,0,0)),"")</f>
        <v/>
      </c>
      <c r="CM65" s="73" t="str">
        <f t="array" ref="CM65">IFERROR(IF(XLOOKUP(CONCAT(CJ65,CK65),'PROCESOS PRD'!$J:$J,'PROCESOS PRD'!$H:$H,0,0)=0,"",XLOOKUP(CONCAT(CJ65,CK65),'PROCESOS PRD'!$J:$J,'PROCESOS PRD'!$H:$H,0,0)),"")</f>
        <v/>
      </c>
      <c r="CN65" s="71"/>
      <c r="CO65" s="32"/>
      <c r="CP65" s="72" t="str">
        <f t="array" ref="CP65">IFERROR(IF(XLOOKUP(CONCAT(CN65,CO65),'MASTER PLAN'!$AB:$AB,'MASTER PLAN'!$J:$J,0,0)=0,"",XLOOKUP(CONCAT(CN65,CO65),'MASTER PLAN'!$AB:$AB,'MASTER PLAN'!$J:$J,0,0)),"")</f>
        <v/>
      </c>
      <c r="CQ65" s="73" t="str">
        <f t="array" ref="CQ65">IFERROR(IF(XLOOKUP(CONCAT(CN65,CO65),'PROCESOS PRD'!$J:$J,'PROCESOS PRD'!$H:$H,0,0)=0,"",XLOOKUP(CONCAT(CN65,CO65),'PROCESOS PRD'!$J:$J,'PROCESOS PRD'!$H:$H,0,0)),"")</f>
        <v/>
      </c>
      <c r="CR65" s="70"/>
      <c r="CS65" s="71"/>
      <c r="CT65" s="32"/>
      <c r="CU65" s="72" t="str">
        <f t="array" ref="CU65">IFERROR(IF(XLOOKUP(CONCAT(CS65,CT65),'MASTER PLAN'!$AB:$AB,'MASTER PLAN'!$J:$J,0,0)=0,"",XLOOKUP(CONCAT(CS65,CT65),'MASTER PLAN'!$AB:$AB,'MASTER PLAN'!$J:$J,0,0)),"")</f>
        <v/>
      </c>
      <c r="CV65" s="73" t="str">
        <f t="array" ref="CV65">IFERROR(IF(XLOOKUP(CONCAT(CS65,CT65),'PROCESOS PRD'!$J:$J,'PROCESOS PRD'!$H:$H,0,0)=0,"",XLOOKUP(CONCAT(CS65,CT65),'PROCESOS PRD'!$J:$J,'PROCESOS PRD'!$H:$H,0,0)),"")</f>
        <v/>
      </c>
      <c r="CW65" s="71"/>
      <c r="CX65" s="32"/>
      <c r="CY65" s="72" t="str">
        <f t="array" ref="CY65">IFERROR(IF(XLOOKUP(CONCAT(CW65,CX65),'MASTER PLAN'!$AB:$AB,'MASTER PLAN'!$J:$J,0,0)=0,"",XLOOKUP(CONCAT(CW65,CX65),'MASTER PLAN'!$AB:$AB,'MASTER PLAN'!$J:$J,0,0)),"")</f>
        <v/>
      </c>
      <c r="CZ65" s="73" t="str">
        <f t="array" ref="CZ65">IFERROR(IF(XLOOKUP(CONCAT(CW65,CX65),'PROCESOS PRD'!$J:$J,'PROCESOS PRD'!$H:$H,0,0)=0,"",XLOOKUP(CONCAT(CW65,CX65),'PROCESOS PRD'!$J:$J,'PROCESOS PRD'!$H:$H,0,0)),"")</f>
        <v/>
      </c>
      <c r="DA65" s="71">
        <v>1.402049521E9</v>
      </c>
      <c r="DB65" s="32">
        <v>10.0</v>
      </c>
      <c r="DC65" s="72" t="str">
        <f t="array" ref="DC65">IFERROR(IF(XLOOKUP(CONCAT(DA65,DB65),'MASTER PLAN'!$AB:$AB,'MASTER PLAN'!$J:$J,0,0)=0,"",XLOOKUP(CONCAT(DA65,DB65),'MASTER PLAN'!$AB:$AB,'MASTER PLAN'!$J:$J,0,0)),"")</f>
        <v>BOLSA THE GEM LAB 6-5X3-5X6-5</v>
      </c>
      <c r="DD65" s="73">
        <f t="array" ref="DD65">IFERROR(IF(XLOOKUP(CONCAT(DA65,DB65),'PROCESOS PRD'!$J:$J,'PROCESOS PRD'!$H:$H,0,0)=0,"",XLOOKUP(CONCAT(DA65,DB65),'PROCESOS PRD'!$J:$J,'PROCESOS PRD'!$H:$H,0,0)),"")</f>
        <v>3000</v>
      </c>
      <c r="DE65" s="71">
        <v>1.402049421E9</v>
      </c>
      <c r="DF65" s="32">
        <v>10.0</v>
      </c>
      <c r="DG65" s="72" t="str">
        <f t="array" ref="DG65">IFERROR(IF(XLOOKUP(CONCAT(DE65,DF65),'MASTER PLAN'!$AB:$AB,'MASTER PLAN'!$J:$J,0,0)=0,"",XLOOKUP(CONCAT(DE65,DF65),'MASTER PLAN'!$AB:$AB,'MASTER PLAN'!$J:$J,0,0)),"")</f>
        <v>BOLSA WEDDING RING SHOP 9-75X4X6-5 IN FL</v>
      </c>
      <c r="DH65" s="73">
        <f t="array" ref="DH65">IFERROR(IF(XLOOKUP(CONCAT(DE65,DF65),'PROCESOS PRD'!$J:$J,'PROCESOS PRD'!$H:$H,0,0)=0,"",XLOOKUP(CONCAT(DE65,DF65),'PROCESOS PRD'!$J:$J,'PROCESOS PRD'!$H:$H,0,0)),"")</f>
        <v>2400</v>
      </c>
      <c r="DI65" s="71">
        <v>1.402049532E9</v>
      </c>
      <c r="DJ65" s="32">
        <v>10.0</v>
      </c>
      <c r="DK65" s="72" t="str">
        <f t="array" ref="DK65">IFERROR(IF(XLOOKUP(CONCAT(DI65,DJ65),'MASTER PLAN'!$AB:$AB,'MASTER PLAN'!$J:$J,0,0)=0,"",XLOOKUP(CONCAT(DI65,DJ65),'MASTER PLAN'!$AB:$AB,'MASTER PLAN'!$J:$J,0,0)),"")</f>
        <v>BOLSA CHARISMA JEWELERS 10"X 4"X 8"</v>
      </c>
      <c r="DL65" s="73">
        <f t="array" ref="DL65">IFERROR(IF(XLOOKUP(CONCAT(DI65,DJ65),'PROCESOS PRD'!$J:$J,'PROCESOS PRD'!$H:$H,0,0)=0,"",XLOOKUP(CONCAT(DI65,DJ65),'PROCESOS PRD'!$J:$J,'PROCESOS PRD'!$H:$H,0,0)),"")</f>
        <v>2400</v>
      </c>
      <c r="DM65" s="71"/>
      <c r="DN65" s="32"/>
      <c r="DO65" s="72" t="str">
        <f t="array" ref="DO65">IFERROR(IF(XLOOKUP(CONCAT(DM65,DN65),'MASTER PLAN'!$AB:$AB,'MASTER PLAN'!$J:$J,0,0)=0,"",XLOOKUP(CONCAT(DM65,DN65),'MASTER PLAN'!$AB:$AB,'MASTER PLAN'!$J:$J,0,0)),"")</f>
        <v/>
      </c>
      <c r="DP65" s="73" t="str">
        <f t="array" ref="DP65">IFERROR(IF(XLOOKUP(CONCAT(DM65,DN65),'PROCESOS PRD'!$J:$J,'PROCESOS PRD'!$H:$H,0,0)=0,"",XLOOKUP(CONCAT(DM65,DN65),'PROCESOS PRD'!$J:$J,'PROCESOS PRD'!$H:$H,0,0)),"")</f>
        <v/>
      </c>
      <c r="DQ65" s="70"/>
      <c r="DR65" s="71"/>
      <c r="DS65" s="32"/>
      <c r="DT65" s="72" t="str">
        <f t="array" ref="DT65">IFERROR(IF(XLOOKUP(CONCAT(DR65,DS65),'MASTER PLAN'!$AB:$AB,'MASTER PLAN'!$J:$J,0,0)=0,"",XLOOKUP(CONCAT(DR65,DS65),'MASTER PLAN'!$AB:$AB,'MASTER PLAN'!$J:$J,0,0)),"")</f>
        <v/>
      </c>
      <c r="DU65" s="73" t="str">
        <f t="array" ref="DU65">IFERROR(IF(XLOOKUP(CONCAT(DR65,DS65),'PROCESOS PRD'!$J:$J,'PROCESOS PRD'!$H:$H,0,0)=0,"",XLOOKUP(CONCAT(DR65,DS65),'PROCESOS PRD'!$J:$J,'PROCESOS PRD'!$H:$H,0,0)),"")</f>
        <v/>
      </c>
      <c r="DV65" s="71"/>
      <c r="DW65" s="32"/>
      <c r="DX65" s="72" t="str">
        <f t="array" ref="DX65">IFERROR(IF(XLOOKUP(CONCAT(DV65,DW65),'MASTER PLAN'!$AB:$AB,'MASTER PLAN'!$J:$J,0,0)=0,"",XLOOKUP(CONCAT(DV65,DW65),'MASTER PLAN'!$AB:$AB,'MASTER PLAN'!$J:$J,0,0)),"")</f>
        <v/>
      </c>
      <c r="DY65" s="73" t="str">
        <f t="array" ref="DY65">IFERROR(IF(XLOOKUP(CONCAT(DV65,DW65),'PROCESOS PRD'!$J:$J,'PROCESOS PRD'!$H:$H,0,0)=0,"",XLOOKUP(CONCAT(DV65,DW65),'PROCESOS PRD'!$J:$J,'PROCESOS PRD'!$H:$H,0,0)),"")</f>
        <v/>
      </c>
      <c r="DZ65" s="71"/>
      <c r="EA65" s="32"/>
      <c r="EB65" s="72" t="str">
        <f t="array" ref="EB65">IFERROR(IF(XLOOKUP(CONCAT(DZ65,EA65),'MASTER PLAN'!$AB:$AB,'MASTER PLAN'!$J:$J,0,0)=0,"",XLOOKUP(CONCAT(DZ65,EA65),'MASTER PLAN'!$AB:$AB,'MASTER PLAN'!$J:$J,0,0)),"")</f>
        <v/>
      </c>
      <c r="EC65" s="73" t="str">
        <f t="array" ref="EC65">IFERROR(IF(XLOOKUP(CONCAT(DZ65,EA65),'PROCESOS PRD'!$J:$J,'PROCESOS PRD'!$H:$H,0,0)=0,"",XLOOKUP(CONCAT(DZ65,EA65),'PROCESOS PRD'!$J:$J,'PROCESOS PRD'!$H:$H,0,0)),"")</f>
        <v/>
      </c>
      <c r="ED65" s="71"/>
      <c r="EE65" s="32"/>
      <c r="EF65" s="72" t="str">
        <f t="array" ref="EF65">IFERROR(IF(XLOOKUP(CONCAT(ED65,EE65),'MASTER PLAN'!$AB:$AB,'MASTER PLAN'!$J:$J,0,0)=0,"",XLOOKUP(CONCAT(ED65,EE65),'MASTER PLAN'!$AB:$AB,'MASTER PLAN'!$J:$J,0,0)),"")</f>
        <v/>
      </c>
      <c r="EG65" s="73" t="str">
        <f t="array" ref="EG65">IFERROR(IF(XLOOKUP(CONCAT(ED65,EE65),'PROCESOS PRD'!$J:$J,'PROCESOS PRD'!$H:$H,0,0)=0,"",XLOOKUP(CONCAT(ED65,EE65),'PROCESOS PRD'!$J:$J,'PROCESOS PRD'!$H:$H,0,0)),"")</f>
        <v/>
      </c>
      <c r="EH65" s="71"/>
      <c r="EI65" s="32"/>
      <c r="EJ65" s="72" t="str">
        <f t="array" ref="EJ65">IFERROR(IF(XLOOKUP(CONCAT(EH65,EI65),'MASTER PLAN'!$AB:$AB,'MASTER PLAN'!$J:$J,0,0)=0,"",XLOOKUP(CONCAT(EH65,EI65),'MASTER PLAN'!$AB:$AB,'MASTER PLAN'!$J:$J,0,0)),"")</f>
        <v/>
      </c>
      <c r="EK65" s="73" t="str">
        <f t="array" ref="EK65">IFERROR(IF(XLOOKUP(CONCAT(EH65,EI65),'PROCESOS PRD'!$J:$J,'PROCESOS PRD'!$H:$H,0,0)=0,"",XLOOKUP(CONCAT(EH65,EI65),'PROCESOS PRD'!$J:$J,'PROCESOS PRD'!$H:$H,0,0)),"")</f>
        <v/>
      </c>
      <c r="EL65" s="71"/>
      <c r="EM65" s="32"/>
      <c r="EN65" s="72" t="str">
        <f t="array" ref="EN65">IFERROR(IF(XLOOKUP(CONCAT(EL65,EM65),'MASTER PLAN'!$AB:$AB,'MASTER PLAN'!$J:$J,0,0)=0,"",XLOOKUP(CONCAT(EL65,EM65),'MASTER PLAN'!$AB:$AB,'MASTER PLAN'!$J:$J,0,0)),"")</f>
        <v/>
      </c>
      <c r="EO65" s="73" t="str">
        <f t="array" ref="EO65">IFERROR(IF(XLOOKUP(CONCAT(EL65,EM65),'PROCESOS PRD'!$J:$J,'PROCESOS PRD'!$H:$H,0,0)=0,"",XLOOKUP(CONCAT(EL65,EM65),'PROCESOS PRD'!$J:$J,'PROCESOS PRD'!$H:$H,0,0)),"")</f>
        <v/>
      </c>
      <c r="EP65" s="70"/>
      <c r="EQ65" s="71"/>
      <c r="ER65" s="32"/>
      <c r="ES65" s="72" t="str">
        <f t="array" ref="ES65">IFERROR(IF(XLOOKUP(CONCAT(EQ65,ER65),'MASTER PLAN'!$AB:$AB,'MASTER PLAN'!$J:$J,0,0)=0,"",XLOOKUP(CONCAT(EQ65,ER65),'MASTER PLAN'!$AB:$AB,'MASTER PLAN'!$J:$J,0,0)),"")</f>
        <v/>
      </c>
      <c r="ET65" s="73" t="str">
        <f t="array" ref="ET65">IFERROR(IF(XLOOKUP(CONCAT(EQ65,ER65),'PROCESOS PRD'!$J:$J,'PROCESOS PRD'!$H:$H,0,0)=0,"",XLOOKUP(CONCAT(EQ65,ER65),'PROCESOS PRD'!$J:$J,'PROCESOS PRD'!$H:$H,0,0)),"")</f>
        <v/>
      </c>
      <c r="EU65" s="71"/>
      <c r="EV65" s="32"/>
      <c r="EW65" s="72" t="str">
        <f t="array" ref="EW65">IFERROR(IF(XLOOKUP(CONCAT(EU65,EV65),'MASTER PLAN'!$AB:$AB,'MASTER PLAN'!$J:$J,0,0)=0,"",XLOOKUP(CONCAT(EU65,EV65),'MASTER PLAN'!$AB:$AB,'MASTER PLAN'!$J:$J,0,0)),"")</f>
        <v/>
      </c>
      <c r="EX65" s="73" t="str">
        <f t="array" ref="EX65">IFERROR(IF(XLOOKUP(CONCAT(EU65,EV65),'PROCESOS PRD'!$J:$J,'PROCESOS PRD'!$H:$H,0,0)=0,"",XLOOKUP(CONCAT(EU65,EV65),'PROCESOS PRD'!$J:$J,'PROCESOS PRD'!$H:$H,0,0)),"")</f>
        <v/>
      </c>
      <c r="EY65" s="71"/>
      <c r="EZ65" s="32"/>
      <c r="FA65" s="72" t="str">
        <f t="array" ref="FA65">IFERROR(IF(XLOOKUP(CONCAT(EY65,EZ65),'MASTER PLAN'!$AB:$AB,'MASTER PLAN'!$J:$J,0,0)=0,"",XLOOKUP(CONCAT(EY65,EZ65),'MASTER PLAN'!$AB:$AB,'MASTER PLAN'!$J:$J,0,0)),"")</f>
        <v/>
      </c>
      <c r="FB65" s="73" t="str">
        <f t="array" ref="FB65">IFERROR(IF(XLOOKUP(CONCAT(EY65,EZ65),'PROCESOS PRD'!$J:$J,'PROCESOS PRD'!$H:$H,0,0)=0,"",XLOOKUP(CONCAT(EY65,EZ65),'PROCESOS PRD'!$J:$J,'PROCESOS PRD'!$H:$H,0,0)),"")</f>
        <v/>
      </c>
      <c r="FC65" s="71"/>
      <c r="FD65" s="32"/>
      <c r="FE65" s="72" t="str">
        <f t="array" ref="FE65">IFERROR(IF(XLOOKUP(CONCAT(FC65,FD65),'MASTER PLAN'!$AB:$AB,'MASTER PLAN'!$J:$J,0,0)=0,"",XLOOKUP(CONCAT(FC65,FD65),'MASTER PLAN'!$AB:$AB,'MASTER PLAN'!$J:$J,0,0)),"")</f>
        <v/>
      </c>
      <c r="FF65" s="73" t="str">
        <f t="array" ref="FF65">IFERROR(IF(XLOOKUP(CONCAT(FC65,FD65),'PROCESOS PRD'!$J:$J,'PROCESOS PRD'!$H:$H,0,0)=0,"",XLOOKUP(CONCAT(FC65,FD65),'PROCESOS PRD'!$J:$J,'PROCESOS PRD'!$H:$H,0,0)),"")</f>
        <v/>
      </c>
      <c r="FG65" s="71"/>
      <c r="FH65" s="32"/>
      <c r="FI65" s="72" t="str">
        <f t="array" ref="FI65">IFERROR(IF(XLOOKUP(CONCAT(FG65,FH65),'MASTER PLAN'!$AB:$AB,'MASTER PLAN'!$J:$J,0,0)=0,"",XLOOKUP(CONCAT(FG65,FH65),'MASTER PLAN'!$AB:$AB,'MASTER PLAN'!$J:$J,0,0)),"")</f>
        <v/>
      </c>
      <c r="FJ65" s="73" t="str">
        <f t="array" ref="FJ65">IFERROR(IF(XLOOKUP(CONCAT(FG65,FH65),'PROCESOS PRD'!$J:$J,'PROCESOS PRD'!$H:$H,0,0)=0,"",XLOOKUP(CONCAT(FG65,FH65),'PROCESOS PRD'!$J:$J,'PROCESOS PRD'!$H:$H,0,0)),"")</f>
        <v/>
      </c>
      <c r="FK65" s="71"/>
      <c r="FL65" s="32"/>
      <c r="FM65" s="72" t="str">
        <f t="array" ref="FM65">IFERROR(IF(XLOOKUP(CONCAT(FK65,FL65),'MASTER PLAN'!$AB:$AB,'MASTER PLAN'!$J:$J,0,0)=0,"",XLOOKUP(CONCAT(FK65,FL65),'MASTER PLAN'!$AB:$AB,'MASTER PLAN'!$J:$J,0,0)),"")</f>
        <v/>
      </c>
      <c r="FN65" s="73" t="str">
        <f t="array" ref="FN65">IFERROR(IF(XLOOKUP(CONCAT(FK65,FL65),'PROCESOS PRD'!$J:$J,'PROCESOS PRD'!$H:$H,0,0)=0,"",XLOOKUP(CONCAT(FK65,FL65),'PROCESOS PRD'!$J:$J,'PROCESOS PRD'!$H:$H,0,0)),"")</f>
        <v/>
      </c>
      <c r="FO65" s="70"/>
      <c r="FP65" s="71"/>
      <c r="FQ65" s="32"/>
      <c r="FR65" s="72" t="str">
        <f t="array" ref="FR65">IFERROR(IF(XLOOKUP(CONCAT(FP65,FQ65),'MASTER PLAN'!$AB:$AB,'MASTER PLAN'!$J:$J,0,0)=0,"",XLOOKUP(CONCAT(FP65,FQ65),'MASTER PLAN'!$AB:$AB,'MASTER PLAN'!$J:$J,0,0)),"")</f>
        <v/>
      </c>
      <c r="FS65" s="73" t="str">
        <f t="array" ref="FS65">IFERROR(IF(XLOOKUP(CONCAT(FP65,FQ65),'PROCESOS PRD'!$J:$J,'PROCESOS PRD'!$H:$H,0,0)=0,"",XLOOKUP(CONCAT(FP65,FQ65),'PROCESOS PRD'!$J:$J,'PROCESOS PRD'!$H:$H,0,0)),"")</f>
        <v/>
      </c>
      <c r="FT65" s="71"/>
      <c r="FU65" s="32"/>
      <c r="FV65" s="72" t="str">
        <f t="array" ref="FV65">IFERROR(IF(XLOOKUP(CONCAT(FT65,FU65),'MASTER PLAN'!$AB:$AB,'MASTER PLAN'!$J:$J,0,0)=0,"",XLOOKUP(CONCAT(FT65,FU65),'MASTER PLAN'!$AB:$AB,'MASTER PLAN'!$J:$J,0,0)),"")</f>
        <v/>
      </c>
      <c r="FW65" s="73" t="str">
        <f t="array" ref="FW65">IFERROR(IF(XLOOKUP(CONCAT(FT65,FU65),'PROCESOS PRD'!$J:$J,'PROCESOS PRD'!$H:$H,0,0)=0,"",XLOOKUP(CONCAT(FT65,FU65),'PROCESOS PRD'!$J:$J,'PROCESOS PRD'!$H:$H,0,0)),"")</f>
        <v/>
      </c>
      <c r="FX65" s="71"/>
      <c r="FY65" s="32"/>
      <c r="FZ65" s="72" t="str">
        <f t="array" ref="FZ65">IFERROR(IF(XLOOKUP(CONCAT(FX65,FY65),'MASTER PLAN'!$AB:$AB,'MASTER PLAN'!$J:$J,0,0)=0,"",XLOOKUP(CONCAT(FX65,FY65),'MASTER PLAN'!$AB:$AB,'MASTER PLAN'!$J:$J,0,0)),"")</f>
        <v/>
      </c>
      <c r="GA65" s="73" t="str">
        <f t="array" ref="GA65">IFERROR(IF(XLOOKUP(CONCAT(FX65,FY65),'PROCESOS PRD'!$J:$J,'PROCESOS PRD'!$H:$H,0,0)=0,"",XLOOKUP(CONCAT(FX65,FY65),'PROCESOS PRD'!$J:$J,'PROCESOS PRD'!$H:$H,0,0)),"")</f>
        <v/>
      </c>
      <c r="GB65" s="71"/>
      <c r="GC65" s="32"/>
      <c r="GD65" s="72" t="str">
        <f t="array" ref="GD65">IFERROR(IF(XLOOKUP(CONCAT(GB65,GC65),'MASTER PLAN'!$AB:$AB,'MASTER PLAN'!$J:$J,0,0)=0,"",XLOOKUP(CONCAT(GB65,GC65),'MASTER PLAN'!$AB:$AB,'MASTER PLAN'!$J:$J,0,0)),"")</f>
        <v/>
      </c>
      <c r="GE65" s="73" t="str">
        <f t="array" ref="GE65">IFERROR(IF(XLOOKUP(CONCAT(GB65,GC65),'PROCESOS PRD'!$J:$J,'PROCESOS PRD'!$H:$H,0,0)=0,"",XLOOKUP(CONCAT(GB65,GC65),'PROCESOS PRD'!$J:$J,'PROCESOS PRD'!$H:$H,0,0)),"")</f>
        <v/>
      </c>
      <c r="GF65" s="71"/>
      <c r="GG65" s="32"/>
      <c r="GH65" s="72" t="str">
        <f t="array" ref="GH65">IFERROR(IF(XLOOKUP(CONCAT(GF65,GG65),'MASTER PLAN'!$AB:$AB,'MASTER PLAN'!$J:$J,0,0)=0,"",XLOOKUP(CONCAT(GF65,GG65),'MASTER PLAN'!$AB:$AB,'MASTER PLAN'!$J:$J,0,0)),"")</f>
        <v/>
      </c>
      <c r="GI65" s="73" t="str">
        <f t="array" ref="GI65">IFERROR(IF(XLOOKUP(CONCAT(GF65,GG65),'PROCESOS PRD'!$J:$J,'PROCESOS PRD'!$H:$H,0,0)=0,"",XLOOKUP(CONCAT(GF65,GG65),'PROCESOS PRD'!$J:$J,'PROCESOS PRD'!$H:$H,0,0)),"")</f>
        <v/>
      </c>
      <c r="GJ65" s="71"/>
      <c r="GK65" s="32"/>
      <c r="GL65" s="72" t="str">
        <f t="array" ref="GL65">IFERROR(IF(XLOOKUP(CONCAT(GJ65,GK65),'MASTER PLAN'!$AB:$AB,'MASTER PLAN'!$J:$J,0,0)=0,"",XLOOKUP(CONCAT(GJ65,GK65),'MASTER PLAN'!$AB:$AB,'MASTER PLAN'!$J:$J,0,0)),"")</f>
        <v/>
      </c>
      <c r="GM65" s="73" t="str">
        <f t="array" ref="GM65">IFERROR(IF(XLOOKUP(CONCAT(GJ65,GK65),'PROCESOS PRD'!$J:$J,'PROCESOS PRD'!$H:$H,0,0)=0,"",XLOOKUP(CONCAT(GJ65,GK65),'PROCESOS PRD'!$J:$J,'PROCESOS PRD'!$H:$H,0,0)),"")</f>
        <v/>
      </c>
      <c r="GN65" s="70"/>
      <c r="GO65" s="71"/>
      <c r="GP65" s="32"/>
      <c r="GQ65" s="72" t="str">
        <f t="array" ref="GQ65">IFERROR(IF(XLOOKUP(CONCAT(GO65,GP65),'MASTER PLAN'!$AB:$AB,'MASTER PLAN'!$J:$J,0,0)=0,"",XLOOKUP(CONCAT(GO65,GP65),'MASTER PLAN'!$AB:$AB,'MASTER PLAN'!$J:$J,0,0)),"")</f>
        <v/>
      </c>
      <c r="GR65" s="73" t="str">
        <f t="array" ref="GR65">IFERROR(IF(XLOOKUP(CONCAT(GO65,GP65),'PROCESOS PRD'!$J:$J,'PROCESOS PRD'!$H:$H,0,0)=0,"",XLOOKUP(CONCAT(GO65,GP65),'PROCESOS PRD'!$J:$J,'PROCESOS PRD'!$H:$H,0,0)),"")</f>
        <v/>
      </c>
      <c r="GS65" s="71"/>
      <c r="GT65" s="32"/>
      <c r="GU65" s="72" t="str">
        <f t="array" ref="GU65">IFERROR(IF(XLOOKUP(CONCAT(GS65,GT65),'MASTER PLAN'!$AB:$AB,'MASTER PLAN'!$J:$J,0,0)=0,"",XLOOKUP(CONCAT(GS65,GT65),'MASTER PLAN'!$AB:$AB,'MASTER PLAN'!$J:$J,0,0)),"")</f>
        <v/>
      </c>
      <c r="GV65" s="73" t="str">
        <f t="array" ref="GV65">IFERROR(IF(XLOOKUP(CONCAT(GS65,GT65),'PROCESOS PRD'!$J:$J,'PROCESOS PRD'!$H:$H,0,0)=0,"",XLOOKUP(CONCAT(GS65,GT65),'PROCESOS PRD'!$J:$J,'PROCESOS PRD'!$H:$H,0,0)),"")</f>
        <v/>
      </c>
      <c r="GW65" s="71"/>
      <c r="GX65" s="32"/>
      <c r="GY65" s="72" t="str">
        <f t="array" ref="GY65">IFERROR(IF(XLOOKUP(CONCAT(GW65,GX65),'MASTER PLAN'!$AB:$AB,'MASTER PLAN'!$J:$J,0,0)=0,"",XLOOKUP(CONCAT(GW65,GX65),'MASTER PLAN'!$AB:$AB,'MASTER PLAN'!$J:$J,0,0)),"")</f>
        <v/>
      </c>
      <c r="GZ65" s="73" t="str">
        <f t="array" ref="GZ65">IFERROR(IF(XLOOKUP(CONCAT(GW65,GX65),'PROCESOS PRD'!$J:$J,'PROCESOS PRD'!$H:$H,0,0)=0,"",XLOOKUP(CONCAT(GW65,GX65),'PROCESOS PRD'!$J:$J,'PROCESOS PRD'!$H:$H,0,0)),"")</f>
        <v/>
      </c>
      <c r="HA65" s="71"/>
      <c r="HB65" s="32"/>
      <c r="HC65" s="72" t="str">
        <f t="array" ref="HC65">IFERROR(IF(XLOOKUP(CONCAT(HA65,HB65),'MASTER PLAN'!$AB:$AB,'MASTER PLAN'!$J:$J,0,0)=0,"",XLOOKUP(CONCAT(HA65,HB65),'MASTER PLAN'!$AB:$AB,'MASTER PLAN'!$J:$J,0,0)),"")</f>
        <v/>
      </c>
      <c r="HD65" s="73" t="str">
        <f t="array" ref="HD65">IFERROR(IF(XLOOKUP(CONCAT(HA65,HB65),'PROCESOS PRD'!$J:$J,'PROCESOS PRD'!$H:$H,0,0)=0,"",XLOOKUP(CONCAT(HA65,HB65),'PROCESOS PRD'!$J:$J,'PROCESOS PRD'!$H:$H,0,0)),"")</f>
        <v/>
      </c>
      <c r="HE65" s="71">
        <v>1.402049568E9</v>
      </c>
      <c r="HF65" s="32">
        <v>10.0</v>
      </c>
      <c r="HG65" s="72" t="str">
        <f t="array" ref="HG65">IFERROR(IF(XLOOKUP(CONCAT(HE65,HF65),'MASTER PLAN'!$AB:$AB,'MASTER PLAN'!$J:$J,0,0)=0,"",XLOOKUP(CONCAT(HE65,HF65),'MASTER PLAN'!$AB:$AB,'MASTER PLAN'!$J:$J,0,0)),"")</f>
        <v>BOLSA SILEO 10X4X8 IN</v>
      </c>
      <c r="HH65" s="73">
        <f t="array" ref="HH65">IFERROR(IF(XLOOKUP(CONCAT(HE65,HF65),'PROCESOS PRD'!$J:$J,'PROCESOS PRD'!$H:$H,0,0)=0,"",XLOOKUP(CONCAT(HE65,HF65),'PROCESOS PRD'!$J:$J,'PROCESOS PRD'!$H:$H,0,0)),"")</f>
        <v>2400</v>
      </c>
      <c r="HI65" s="71"/>
      <c r="HJ65" s="32"/>
      <c r="HK65" s="72" t="str">
        <f t="array" ref="HK65">IFERROR(IF(XLOOKUP(CONCAT(HI65,HJ65),'MASTER PLAN'!$AB:$AB,'MASTER PLAN'!$J:$J,0,0)=0,"",XLOOKUP(CONCAT(HI65,HJ65),'MASTER PLAN'!$AB:$AB,'MASTER PLAN'!$J:$J,0,0)),"")</f>
        <v/>
      </c>
      <c r="HL65" s="73" t="str">
        <f t="array" ref="HL65">IFERROR(IF(XLOOKUP(CONCAT(HI65,HJ65),'PROCESOS PRD'!$J:$J,'PROCESOS PRD'!$H:$H,0,0)=0,"",XLOOKUP(CONCAT(HI65,HJ65),'PROCESOS PRD'!$J:$J,'PROCESOS PRD'!$H:$H,0,0)),"")</f>
        <v/>
      </c>
      <c r="HM65" s="70"/>
      <c r="HN65" s="71"/>
      <c r="HO65" s="32"/>
      <c r="HP65" s="72" t="str">
        <f t="array" ref="HP65">IFERROR(IF(XLOOKUP(CONCAT(HN65,HO65),'MASTER PLAN'!$AB:$AB,'MASTER PLAN'!$J:$J,0,0)=0,"",XLOOKUP(CONCAT(HN65,HO65),'MASTER PLAN'!$AB:$AB,'MASTER PLAN'!$J:$J,0,0)),"")</f>
        <v/>
      </c>
      <c r="HQ65" s="73" t="str">
        <f t="array" ref="HQ65">IFERROR(IF(XLOOKUP(CONCAT(HN65,HO65),'PROCESOS PRD'!$J:$J,'PROCESOS PRD'!$H:$H,0,0)=0,"",XLOOKUP(CONCAT(HN65,HO65),'PROCESOS PRD'!$J:$J,'PROCESOS PRD'!$H:$H,0,0)),"")</f>
        <v/>
      </c>
      <c r="HR65" s="71"/>
      <c r="HS65" s="32"/>
      <c r="HT65" s="72" t="str">
        <f t="array" ref="HT65">IFERROR(IF(XLOOKUP(CONCAT(HR65,HS65),'MASTER PLAN'!$AB:$AB,'MASTER PLAN'!$J:$J,0,0)=0,"",XLOOKUP(CONCAT(HR65,HS65),'MASTER PLAN'!$AB:$AB,'MASTER PLAN'!$J:$J,0,0)),"")</f>
        <v/>
      </c>
      <c r="HU65" s="73" t="str">
        <f t="array" ref="HU65">IFERROR(IF(XLOOKUP(CONCAT(HR65,HS65),'PROCESOS PRD'!$J:$J,'PROCESOS PRD'!$H:$H,0,0)=0,"",XLOOKUP(CONCAT(HR65,HS65),'PROCESOS PRD'!$J:$J,'PROCESOS PRD'!$H:$H,0,0)),"")</f>
        <v/>
      </c>
      <c r="HV65" s="71"/>
      <c r="HW65" s="32"/>
      <c r="HX65" s="72" t="str">
        <f t="array" ref="HX65">IFERROR(IF(XLOOKUP(CONCAT(HV65,HW65),'MASTER PLAN'!$AB:$AB,'MASTER PLAN'!$J:$J,0,0)=0,"",XLOOKUP(CONCAT(HV65,HW65),'MASTER PLAN'!$AB:$AB,'MASTER PLAN'!$J:$J,0,0)),"")</f>
        <v/>
      </c>
      <c r="HY65" s="73" t="str">
        <f t="array" ref="HY65">IFERROR(IF(XLOOKUP(CONCAT(HV65,HW65),'PROCESOS PRD'!$J:$J,'PROCESOS PRD'!$H:$H,0,0)=0,"",XLOOKUP(CONCAT(HV65,HW65),'PROCESOS PRD'!$J:$J,'PROCESOS PRD'!$H:$H,0,0)),"")</f>
        <v/>
      </c>
      <c r="HZ65" s="71"/>
      <c r="IA65" s="32"/>
      <c r="IB65" s="72" t="str">
        <f t="array" ref="IB65">IFERROR(IF(XLOOKUP(CONCAT(HZ65,IA65),'MASTER PLAN'!$AB:$AB,'MASTER PLAN'!$J:$J,0,0)=0,"",XLOOKUP(CONCAT(HZ65,IA65),'MASTER PLAN'!$AB:$AB,'MASTER PLAN'!$J:$J,0,0)),"")</f>
        <v/>
      </c>
      <c r="IC65" s="73" t="str">
        <f t="array" ref="IC65">IFERROR(IF(XLOOKUP(CONCAT(HZ65,IA65),'PROCESOS PRD'!$J:$J,'PROCESOS PRD'!$H:$H,0,0)=0,"",XLOOKUP(CONCAT(HZ65,IA65),'PROCESOS PRD'!$J:$J,'PROCESOS PRD'!$H:$H,0,0)),"")</f>
        <v/>
      </c>
      <c r="ID65" s="71"/>
      <c r="IE65" s="32"/>
      <c r="IF65" s="72" t="str">
        <f t="array" ref="IF65">IFERROR(IF(XLOOKUP(CONCAT(ID65,IE65),'MASTER PLAN'!$AB:$AB,'MASTER PLAN'!$J:$J,0,0)=0,"",XLOOKUP(CONCAT(ID65,IE65),'MASTER PLAN'!$AB:$AB,'MASTER PLAN'!$J:$J,0,0)),"")</f>
        <v/>
      </c>
      <c r="IG65" s="73" t="str">
        <f t="array" ref="IG65">IFERROR(IF(XLOOKUP(CONCAT(ID65,IE65),'PROCESOS PRD'!$J:$J,'PROCESOS PRD'!$H:$H,0,0)=0,"",XLOOKUP(CONCAT(ID65,IE65),'PROCESOS PRD'!$J:$J,'PROCESOS PRD'!$H:$H,0,0)),"")</f>
        <v/>
      </c>
      <c r="IH65" s="71"/>
      <c r="II65" s="32"/>
      <c r="IJ65" s="72" t="str">
        <f t="array" ref="IJ65">IFERROR(IF(XLOOKUP(CONCAT(IH65,II65),'MASTER PLAN'!$AB:$AB,'MASTER PLAN'!$J:$J,0,0)=0,"",XLOOKUP(CONCAT(IH65,II65),'MASTER PLAN'!$AB:$AB,'MASTER PLAN'!$J:$J,0,0)),"")</f>
        <v/>
      </c>
      <c r="IK65" s="73" t="str">
        <f t="array" ref="IK65">IFERROR(IF(XLOOKUP(CONCAT(IH65,II65),'PROCESOS PRD'!$J:$J,'PROCESOS PRD'!$H:$H,0,0)=0,"",XLOOKUP(CONCAT(IH65,II65),'PROCESOS PRD'!$J:$J,'PROCESOS PRD'!$H:$H,0,0)),"")</f>
        <v/>
      </c>
      <c r="IL65" s="70"/>
      <c r="IM65" s="71"/>
      <c r="IN65" s="32"/>
      <c r="IO65" s="72" t="str">
        <f t="array" ref="IO65">IFERROR(IF(XLOOKUP(CONCAT(IM65,IN65),'MASTER PLAN'!$AB:$AB,'MASTER PLAN'!$J:$J,0,0)=0,"",XLOOKUP(CONCAT(IM65,IN65),'MASTER PLAN'!$AB:$AB,'MASTER PLAN'!$J:$J,0,0)),"")</f>
        <v/>
      </c>
      <c r="IP65" s="73" t="str">
        <f t="array" ref="IP65">IFERROR(IF(XLOOKUP(CONCAT(IM65,IN65),'PROCESOS PRD'!$J:$J,'PROCESOS PRD'!$H:$H,0,0)=0,"",XLOOKUP(CONCAT(IM65,IN65),'PROCESOS PRD'!$J:$J,'PROCESOS PRD'!$H:$H,0,0)),"")</f>
        <v/>
      </c>
      <c r="IQ65" s="71"/>
      <c r="IR65" s="32"/>
      <c r="IS65" s="72" t="str">
        <f t="array" ref="IS65">IFERROR(IF(XLOOKUP(CONCAT(IQ65,IR65),'MASTER PLAN'!$AB:$AB,'MASTER PLAN'!$J:$J,0,0)=0,"",XLOOKUP(CONCAT(IQ65,IR65),'MASTER PLAN'!$AB:$AB,'MASTER PLAN'!$J:$J,0,0)),"")</f>
        <v/>
      </c>
      <c r="IT65" s="73" t="str">
        <f t="array" ref="IT65">IFERROR(IF(XLOOKUP(CONCAT(IQ65,IR65),'PROCESOS PRD'!$J:$J,'PROCESOS PRD'!$H:$H,0,0)=0,"",XLOOKUP(CONCAT(IQ65,IR65),'PROCESOS PRD'!$J:$J,'PROCESOS PRD'!$H:$H,0,0)),"")</f>
        <v/>
      </c>
      <c r="IU65" s="71"/>
      <c r="IV65" s="32"/>
      <c r="IW65" s="72" t="str">
        <f t="array" ref="IW65">IFERROR(IF(XLOOKUP(CONCAT(IU65,IV65),'MASTER PLAN'!$AB:$AB,'MASTER PLAN'!$J:$J,0,0)=0,"",XLOOKUP(CONCAT(IU65,IV65),'MASTER PLAN'!$AB:$AB,'MASTER PLAN'!$J:$J,0,0)),"")</f>
        <v/>
      </c>
      <c r="IX65" s="73" t="str">
        <f t="array" ref="IX65">IFERROR(IF(XLOOKUP(CONCAT(IU65,IV65),'PROCESOS PRD'!$J:$J,'PROCESOS PRD'!$H:$H,0,0)=0,"",XLOOKUP(CONCAT(IU65,IV65),'PROCESOS PRD'!$J:$J,'PROCESOS PRD'!$H:$H,0,0)),"")</f>
        <v/>
      </c>
      <c r="IY65" s="71"/>
      <c r="IZ65" s="32"/>
      <c r="JA65" s="72" t="str">
        <f t="array" ref="JA65">IFERROR(IF(XLOOKUP(CONCAT(IY65,IZ65),'MASTER PLAN'!$AB:$AB,'MASTER PLAN'!$J:$J,0,0)=0,"",XLOOKUP(CONCAT(IY65,IZ65),'MASTER PLAN'!$AB:$AB,'MASTER PLAN'!$J:$J,0,0)),"")</f>
        <v/>
      </c>
      <c r="JB65" s="73" t="str">
        <f t="array" ref="JB65">IFERROR(IF(XLOOKUP(CONCAT(IY65,IZ65),'PROCESOS PRD'!$J:$J,'PROCESOS PRD'!$H:$H,0,0)=0,"",XLOOKUP(CONCAT(IY65,IZ65),'PROCESOS PRD'!$J:$J,'PROCESOS PRD'!$H:$H,0,0)),"")</f>
        <v/>
      </c>
      <c r="JC65" s="71"/>
      <c r="JD65" s="32"/>
      <c r="JE65" s="72" t="str">
        <f t="array" ref="JE65">IFERROR(IF(XLOOKUP(CONCAT(JC65,JD65),'MASTER PLAN'!$AB:$AB,'MASTER PLAN'!$J:$J,0,0)=0,"",XLOOKUP(CONCAT(JC65,JD65),'MASTER PLAN'!$AB:$AB,'MASTER PLAN'!$J:$J,0,0)),"")</f>
        <v/>
      </c>
      <c r="JF65" s="73" t="str">
        <f t="array" ref="JF65">IFERROR(IF(XLOOKUP(CONCAT(JC65,JD65),'PROCESOS PRD'!$J:$J,'PROCESOS PRD'!$H:$H,0,0)=0,"",XLOOKUP(CONCAT(JC65,JD65),'PROCESOS PRD'!$J:$J,'PROCESOS PRD'!$H:$H,0,0)),"")</f>
        <v/>
      </c>
      <c r="JG65" s="71"/>
      <c r="JH65" s="32"/>
      <c r="JI65" s="72" t="str">
        <f t="array" ref="JI65">IFERROR(IF(XLOOKUP(CONCAT(JG65,JH65),'MASTER PLAN'!$AB:$AB,'MASTER PLAN'!$J:$J,0,0)=0,"",XLOOKUP(CONCAT(JG65,JH65),'MASTER PLAN'!$AB:$AB,'MASTER PLAN'!$J:$J,0,0)),"")</f>
        <v/>
      </c>
      <c r="JJ65" s="73" t="str">
        <f t="array" ref="JJ65">IFERROR(IF(XLOOKUP(CONCAT(JG65,JH65),'PROCESOS PRD'!$J:$J,'PROCESOS PRD'!$H:$H,0,0)=0,"",XLOOKUP(CONCAT(JG65,JH65),'PROCESOS PRD'!$J:$J,'PROCESOS PRD'!$H:$H,0,0)),"")</f>
        <v/>
      </c>
      <c r="JK65" s="70"/>
      <c r="JL65" s="71"/>
      <c r="JM65" s="32"/>
      <c r="JN65" s="72" t="str">
        <f t="array" ref="JN65">IFERROR(IF(XLOOKUP(CONCAT(JL65,JM65),'MASTER PLAN'!$AB:$AB,'MASTER PLAN'!$J:$J,0,0)=0,"",XLOOKUP(CONCAT(JL65,JM65),'MASTER PLAN'!$AB:$AB,'MASTER PLAN'!$J:$J,0,0)),"")</f>
        <v/>
      </c>
      <c r="JO65" s="73" t="str">
        <f t="array" ref="JO65">IFERROR(IF(XLOOKUP(CONCAT(JL65,JM65),'PROCESOS PRD'!$J:$J,'PROCESOS PRD'!$H:$H,0,0)=0,"",XLOOKUP(CONCAT(JL65,JM65),'PROCESOS PRD'!$J:$J,'PROCESOS PRD'!$H:$H,0,0)),"")</f>
        <v/>
      </c>
      <c r="JP65" s="71"/>
      <c r="JQ65" s="32"/>
      <c r="JR65" s="72" t="str">
        <f t="array" ref="JR65">IFERROR(IF(XLOOKUP(CONCAT(JP65,JQ65),'MASTER PLAN'!$AB:$AB,'MASTER PLAN'!$J:$J,0,0)=0,"",XLOOKUP(CONCAT(JP65,JQ65),'MASTER PLAN'!$AB:$AB,'MASTER PLAN'!$J:$J,0,0)),"")</f>
        <v/>
      </c>
      <c r="JS65" s="73" t="str">
        <f t="array" ref="JS65">IFERROR(IF(XLOOKUP(CONCAT(JP65,JQ65),'PROCESOS PRD'!$J:$J,'PROCESOS PRD'!$H:$H,0,0)=0,"",XLOOKUP(CONCAT(JP65,JQ65),'PROCESOS PRD'!$J:$J,'PROCESOS PRD'!$H:$H,0,0)),"")</f>
        <v/>
      </c>
      <c r="JT65" s="71"/>
      <c r="JU65" s="32"/>
      <c r="JV65" s="72" t="str">
        <f t="array" ref="JV65">IFERROR(IF(XLOOKUP(CONCAT(JT65,JU65),'MASTER PLAN'!$AB:$AB,'MASTER PLAN'!$J:$J,0,0)=0,"",XLOOKUP(CONCAT(JT65,JU65),'MASTER PLAN'!$AB:$AB,'MASTER PLAN'!$J:$J,0,0)),"")</f>
        <v/>
      </c>
      <c r="JW65" s="73" t="str">
        <f t="array" ref="JW65">IFERROR(IF(XLOOKUP(CONCAT(JT65,JU65),'PROCESOS PRD'!$J:$J,'PROCESOS PRD'!$H:$H,0,0)=0,"",XLOOKUP(CONCAT(JT65,JU65),'PROCESOS PRD'!$J:$J,'PROCESOS PRD'!$H:$H,0,0)),"")</f>
        <v/>
      </c>
      <c r="JX65" s="71"/>
      <c r="JY65" s="32"/>
      <c r="JZ65" s="72" t="str">
        <f t="array" ref="JZ65">IFERROR(IF(XLOOKUP(CONCAT(JX65,JY65),'MASTER PLAN'!$AB:$AB,'MASTER PLAN'!$J:$J,0,0)=0,"",XLOOKUP(CONCAT(JX65,JY65),'MASTER PLAN'!$AB:$AB,'MASTER PLAN'!$J:$J,0,0)),"")</f>
        <v/>
      </c>
      <c r="KA65" s="73" t="str">
        <f t="array" ref="KA65">IFERROR(IF(XLOOKUP(CONCAT(JX65,JY65),'PROCESOS PRD'!$J:$J,'PROCESOS PRD'!$H:$H,0,0)=0,"",XLOOKUP(CONCAT(JX65,JY65),'PROCESOS PRD'!$J:$J,'PROCESOS PRD'!$H:$H,0,0)),"")</f>
        <v/>
      </c>
      <c r="KB65" s="71"/>
      <c r="KC65" s="32"/>
      <c r="KD65" s="72" t="str">
        <f t="array" ref="KD65">IFERROR(IF(XLOOKUP(CONCAT(KB65,KC65),'MASTER PLAN'!$AB:$AB,'MASTER PLAN'!$J:$J,0,0)=0,"",XLOOKUP(CONCAT(KB65,KC65),'MASTER PLAN'!$AB:$AB,'MASTER PLAN'!$J:$J,0,0)),"")</f>
        <v/>
      </c>
      <c r="KE65" s="73" t="str">
        <f t="array" ref="KE65">IFERROR(IF(XLOOKUP(CONCAT(KB65,KC65),'PROCESOS PRD'!$J:$J,'PROCESOS PRD'!$H:$H,0,0)=0,"",XLOOKUP(CONCAT(KB65,KC65),'PROCESOS PRD'!$J:$J,'PROCESOS PRD'!$H:$H,0,0)),"")</f>
        <v/>
      </c>
      <c r="KF65" s="71"/>
      <c r="KG65" s="32"/>
      <c r="KH65" s="72" t="str">
        <f t="array" ref="KH65">IFERROR(IF(XLOOKUP(CONCAT(KF65,KG65),'MASTER PLAN'!$AB:$AB,'MASTER PLAN'!$J:$J,0,0)=0,"",XLOOKUP(CONCAT(KF65,KG65),'MASTER PLAN'!$AB:$AB,'MASTER PLAN'!$J:$J,0,0)),"")</f>
        <v/>
      </c>
      <c r="KI65" s="73" t="str">
        <f t="array" ref="KI65">IFERROR(IF(XLOOKUP(CONCAT(KF65,KG65),'PROCESOS PRD'!$J:$J,'PROCESOS PRD'!$H:$H,0,0)=0,"",XLOOKUP(CONCAT(KF65,KG65),'PROCESOS PRD'!$J:$J,'PROCESOS PRD'!$H:$H,0,0)),"")</f>
        <v/>
      </c>
      <c r="KJ65" s="70"/>
      <c r="KK65" s="70"/>
      <c r="KL65" s="70"/>
      <c r="KM65" s="70"/>
      <c r="KN65" s="70"/>
      <c r="KO65" s="70"/>
      <c r="KP65" s="70"/>
      <c r="KQ65" s="70"/>
      <c r="KR65" s="70"/>
      <c r="KS65" s="70"/>
      <c r="KT65" s="70"/>
      <c r="KU65" s="70"/>
      <c r="KV65" s="70"/>
      <c r="KW65" s="70"/>
      <c r="KX65" s="70"/>
      <c r="KY65" s="70"/>
      <c r="KZ65" s="70"/>
      <c r="LA65" s="70"/>
      <c r="LB65" s="70"/>
      <c r="LC65" s="70"/>
    </row>
    <row r="66" ht="15.75" customHeight="1">
      <c r="A66" s="42"/>
      <c r="B66" s="74"/>
      <c r="C66" s="69"/>
      <c r="D66" s="70"/>
      <c r="E66" s="71"/>
      <c r="F66" s="32"/>
      <c r="G66" s="72" t="str">
        <f t="array" ref="G66">IFERROR(IF(XLOOKUP(CONCAT(E66,F66),'MASTER PLAN'!$AB:$AB,'MASTER PLAN'!$J:$J,0,0)=0,"",XLOOKUP(CONCAT(E66,F66),'MASTER PLAN'!$AB:$AB,'MASTER PLAN'!$J:$J,0,0)),"")</f>
        <v/>
      </c>
      <c r="H66" s="73" t="str">
        <f t="array" ref="H66">IFERROR(IF(XLOOKUP(CONCAT(E66,F66),'PROCESOS PRD'!$J:$J,'PROCESOS PRD'!$H:$H,0,0)=0,"",XLOOKUP(CONCAT(E66,F66),'PROCESOS PRD'!$J:$J,'PROCESOS PRD'!$H:$H,0,0)),"")</f>
        <v/>
      </c>
      <c r="I66" s="71"/>
      <c r="J66" s="32"/>
      <c r="K66" s="72" t="str">
        <f t="array" ref="K66">IFERROR(IF(XLOOKUP(CONCAT(I66,J66),'MASTER PLAN'!$AB:$AB,'MASTER PLAN'!$J:$J,0,0)=0,"",XLOOKUP(CONCAT(I66,J66),'MASTER PLAN'!$AB:$AB,'MASTER PLAN'!$J:$J,0,0)),"")</f>
        <v/>
      </c>
      <c r="L66" s="73" t="str">
        <f t="array" ref="L66">IFERROR(IF(XLOOKUP(CONCAT(I66,J66),'PROCESOS PRD'!$J:$J,'PROCESOS PRD'!$H:$H,0,0)=0,"",XLOOKUP(CONCAT(I66,J66),'PROCESOS PRD'!$J:$J,'PROCESOS PRD'!$H:$H,0,0)),"")</f>
        <v/>
      </c>
      <c r="M66" s="71"/>
      <c r="N66" s="32"/>
      <c r="O66" s="72" t="str">
        <f t="array" ref="O66">IFERROR(IF(XLOOKUP(CONCAT(M66,N66),'MASTER PLAN'!$AB:$AB,'MASTER PLAN'!$J:$J,0,0)=0,"",XLOOKUP(CONCAT(M66,N66),'MASTER PLAN'!$AB:$AB,'MASTER PLAN'!$J:$J,0,0)),"")</f>
        <v/>
      </c>
      <c r="P66" s="73" t="str">
        <f t="array" ref="P66">IFERROR(IF(XLOOKUP(CONCAT(M66,N66),'PROCESOS PRD'!$J:$J,'PROCESOS PRD'!$H:$H,0,0)=0,"",XLOOKUP(CONCAT(M66,N66),'PROCESOS PRD'!$J:$J,'PROCESOS PRD'!$H:$H,0,0)),"")</f>
        <v/>
      </c>
      <c r="Q66" s="71"/>
      <c r="R66" s="32"/>
      <c r="S66" s="72" t="str">
        <f t="array" ref="S66">IFERROR(IF(XLOOKUP(CONCAT(Q66,R66),'MASTER PLAN'!$AB:$AB,'MASTER PLAN'!$J:$J,0,0)=0,"",XLOOKUP(CONCAT(Q66,R66),'MASTER PLAN'!$AB:$AB,'MASTER PLAN'!$J:$J,0,0)),"")</f>
        <v/>
      </c>
      <c r="T66" s="73" t="str">
        <f t="array" ref="T66">IFERROR(IF(XLOOKUP(CONCAT(Q66,R66),'PROCESOS PRD'!$J:$J,'PROCESOS PRD'!$H:$H,0,0)=0,"",XLOOKUP(CONCAT(Q66,R66),'PROCESOS PRD'!$J:$J,'PROCESOS PRD'!$H:$H,0,0)),"")</f>
        <v/>
      </c>
      <c r="U66" s="70"/>
      <c r="V66" s="71"/>
      <c r="W66" s="32"/>
      <c r="X66" s="72" t="str">
        <f t="array" ref="X66">IFERROR(IF(XLOOKUP(CONCAT(V66,W66),'MASTER PLAN'!$AB:$AB,'MASTER PLAN'!$J:$J,0,0)=0,"",XLOOKUP(CONCAT(V66,W66),'MASTER PLAN'!$AB:$AB,'MASTER PLAN'!$J:$J,0,0)),"")</f>
        <v/>
      </c>
      <c r="Y66" s="73" t="str">
        <f t="array" ref="Y66">IFERROR(IF(XLOOKUP(CONCAT(V66,W66),'PROCESOS PRD'!$J:$J,'PROCESOS PRD'!$H:$H,0,0)=0,"",XLOOKUP(CONCAT(V66,W66),'PROCESOS PRD'!$J:$J,'PROCESOS PRD'!$H:$H,0,0)),"")</f>
        <v/>
      </c>
      <c r="Z66" s="71"/>
      <c r="AA66" s="32"/>
      <c r="AB66" s="72" t="str">
        <f t="array" ref="AB66">IFERROR(IF(XLOOKUP(CONCAT(Z66,AA66),'MASTER PLAN'!$AB:$AB,'MASTER PLAN'!$J:$J,0,0)=0,"",XLOOKUP(CONCAT(Z66,AA66),'MASTER PLAN'!$AB:$AB,'MASTER PLAN'!$J:$J,0,0)),"")</f>
        <v/>
      </c>
      <c r="AC66" s="73" t="str">
        <f t="array" ref="AC66">IFERROR(IF(XLOOKUP(CONCAT(Z66,AA66),'PROCESOS PRD'!$J:$J,'PROCESOS PRD'!$H:$H,0,0)=0,"",XLOOKUP(CONCAT(Z66,AA66),'PROCESOS PRD'!$J:$J,'PROCESOS PRD'!$H:$H,0,0)),"")</f>
        <v/>
      </c>
      <c r="AD66" s="71"/>
      <c r="AE66" s="32"/>
      <c r="AF66" s="72" t="str">
        <f t="array" ref="AF66">IFERROR(IF(XLOOKUP(CONCAT(AD66,AE66),'MASTER PLAN'!$AB:$AB,'MASTER PLAN'!$J:$J,0,0)=0,"",XLOOKUP(CONCAT(AD66,AE66),'MASTER PLAN'!$AB:$AB,'MASTER PLAN'!$J:$J,0,0)),"")</f>
        <v/>
      </c>
      <c r="AG66" s="73" t="str">
        <f t="array" ref="AG66">IFERROR(IF(XLOOKUP(CONCAT(AD66,AE66),'PROCESOS PRD'!$J:$J,'PROCESOS PRD'!$H:$H,0,0)=0,"",XLOOKUP(CONCAT(AD66,AE66),'PROCESOS PRD'!$J:$J,'PROCESOS PRD'!$H:$H,0,0)),"")</f>
        <v/>
      </c>
      <c r="AH66" s="71"/>
      <c r="AI66" s="32"/>
      <c r="AJ66" s="72" t="str">
        <f t="array" ref="AJ66">IFERROR(IF(XLOOKUP(CONCAT(AH66,AI66),'MASTER PLAN'!$AB:$AB,'MASTER PLAN'!$J:$J,0,0)=0,"",XLOOKUP(CONCAT(AH66,AI66),'MASTER PLAN'!$AB:$AB,'MASTER PLAN'!$J:$J,0,0)),"")</f>
        <v/>
      </c>
      <c r="AK66" s="73" t="str">
        <f t="array" ref="AK66">IFERROR(IF(XLOOKUP(CONCAT(AH66,AI66),'PROCESOS PRD'!$J:$J,'PROCESOS PRD'!$H:$H,0,0)=0,"",XLOOKUP(CONCAT(AH66,AI66),'PROCESOS PRD'!$J:$J,'PROCESOS PRD'!$H:$H,0,0)),"")</f>
        <v/>
      </c>
      <c r="AL66" s="71"/>
      <c r="AM66" s="32"/>
      <c r="AN66" s="72" t="str">
        <f t="array" ref="AN66">IFERROR(IF(XLOOKUP(CONCAT(AL66,AM66),'MASTER PLAN'!$AB:$AB,'MASTER PLAN'!$J:$J,0,0)=0,"",XLOOKUP(CONCAT(AL66,AM66),'MASTER PLAN'!$AB:$AB,'MASTER PLAN'!$J:$J,0,0)),"")</f>
        <v/>
      </c>
      <c r="AO66" s="73" t="str">
        <f t="array" ref="AO66">IFERROR(IF(XLOOKUP(CONCAT(AL66,AM66),'PROCESOS PRD'!$J:$J,'PROCESOS PRD'!$H:$H,0,0)=0,"",XLOOKUP(CONCAT(AL66,AM66),'PROCESOS PRD'!$J:$J,'PROCESOS PRD'!$H:$H,0,0)),"")</f>
        <v/>
      </c>
      <c r="AP66" s="71"/>
      <c r="AQ66" s="32"/>
      <c r="AR66" s="72" t="str">
        <f t="array" ref="AR66">IFERROR(IF(XLOOKUP(CONCAT(AP66,AQ66),'MASTER PLAN'!$AB:$AB,'MASTER PLAN'!$J:$J,0,0)=0,"",XLOOKUP(CONCAT(AP66,AQ66),'MASTER PLAN'!$AB:$AB,'MASTER PLAN'!$J:$J,0,0)),"")</f>
        <v/>
      </c>
      <c r="AS66" s="73" t="str">
        <f t="array" ref="AS66">IFERROR(IF(XLOOKUP(CONCAT(AP66,AQ66),'PROCESOS PRD'!$J:$J,'PROCESOS PRD'!$H:$H,0,0)=0,"",XLOOKUP(CONCAT(AP66,AQ66),'PROCESOS PRD'!$J:$J,'PROCESOS PRD'!$H:$H,0,0)),"")</f>
        <v/>
      </c>
      <c r="AT66" s="70"/>
      <c r="AU66" s="71">
        <v>1.402049355E9</v>
      </c>
      <c r="AV66" s="32">
        <v>10.0</v>
      </c>
      <c r="AW66" s="72" t="str">
        <f t="array" ref="AW66">IFERROR(IF(XLOOKUP(CONCAT(AU66,AV66),'MASTER PLAN'!$AB:$AB,'MASTER PLAN'!$J:$J,0,0)=0,"",XLOOKUP(CONCAT(AU66,AV66),'MASTER PLAN'!$AB:$AB,'MASTER PLAN'!$J:$J,0,0)),"")</f>
        <v>BOLSA WALKER CHRISTOPHER 6-5X3X9</v>
      </c>
      <c r="AX66" s="73">
        <f t="array" ref="AX66">IFERROR(IF(XLOOKUP(CONCAT(AU66,AV66),'PROCESOS PRD'!$J:$J,'PROCESOS PRD'!$H:$H,0,0)=0,"",XLOOKUP(CONCAT(AU66,AV66),'PROCESOS PRD'!$J:$J,'PROCESOS PRD'!$H:$H,0,0)),"")</f>
        <v>1800</v>
      </c>
      <c r="AY66" s="71"/>
      <c r="AZ66" s="32"/>
      <c r="BA66" s="72" t="str">
        <f t="array" ref="BA66">IFERROR(IF(XLOOKUP(CONCAT(AY66,AZ66),'MASTER PLAN'!$AB:$AB,'MASTER PLAN'!$J:$J,0,0)=0,"",XLOOKUP(CONCAT(AY66,AZ66),'MASTER PLAN'!$AB:$AB,'MASTER PLAN'!$J:$J,0,0)),"")</f>
        <v/>
      </c>
      <c r="BB66" s="73" t="str">
        <f t="array" ref="BB66">IFERROR(IF(XLOOKUP(CONCAT(AY66,AZ66),'PROCESOS PRD'!$J:$J,'PROCESOS PRD'!$H:$H,0,0)=0,"",XLOOKUP(CONCAT(AY66,AZ66),'PROCESOS PRD'!$J:$J,'PROCESOS PRD'!$H:$H,0,0)),"")</f>
        <v/>
      </c>
      <c r="BC66" s="71"/>
      <c r="BD66" s="32"/>
      <c r="BE66" s="72" t="str">
        <f t="array" ref="BE66">IFERROR(IF(XLOOKUP(CONCAT(BC66,BD66),'MASTER PLAN'!$AB:$AB,'MASTER PLAN'!$J:$J,0,0)=0,"",XLOOKUP(CONCAT(BC66,BD66),'MASTER PLAN'!$AB:$AB,'MASTER PLAN'!$J:$J,0,0)),"")</f>
        <v/>
      </c>
      <c r="BF66" s="73" t="str">
        <f t="array" ref="BF66">IFERROR(IF(XLOOKUP(CONCAT(BC66,BD66),'PROCESOS PRD'!$J:$J,'PROCESOS PRD'!$H:$H,0,0)=0,"",XLOOKUP(CONCAT(BC66,BD66),'PROCESOS PRD'!$J:$J,'PROCESOS PRD'!$H:$H,0,0)),"")</f>
        <v/>
      </c>
      <c r="BG66" s="71">
        <v>1.40204935E9</v>
      </c>
      <c r="BH66" s="32">
        <v>10.0</v>
      </c>
      <c r="BI66" s="72" t="str">
        <f t="array" ref="BI66">IFERROR(IF(XLOOKUP(CONCAT(BG66,BH66),'MASTER PLAN'!$AB:$AB,'MASTER PLAN'!$J:$J,0,0)=0,"",XLOOKUP(CONCAT(BG66,BH66),'MASTER PLAN'!$AB:$AB,'MASTER PLAN'!$J:$J,0,0)),"")</f>
        <v>BOLSA WSMJ MAYORS WOS 6-5"X3-5"X6-5" FA</v>
      </c>
      <c r="BJ66" s="73">
        <f t="array" ref="BJ66">IFERROR(IF(XLOOKUP(CONCAT(BG66,BH66),'PROCESOS PRD'!$J:$J,'PROCESOS PRD'!$H:$H,0,0)=0,"",XLOOKUP(CONCAT(BG66,BH66),'PROCESOS PRD'!$J:$J,'PROCESOS PRD'!$H:$H,0,0)),"")</f>
        <v>4800</v>
      </c>
      <c r="BK66" s="71">
        <v>1.40204935E9</v>
      </c>
      <c r="BL66" s="32">
        <v>10.0</v>
      </c>
      <c r="BM66" s="72" t="str">
        <f t="array" ref="BM66">IFERROR(IF(XLOOKUP(CONCAT(BK66,BL66),'MASTER PLAN'!$AB:$AB,'MASTER PLAN'!$J:$J,0,0)=0,"",XLOOKUP(CONCAT(BK66,BL66),'MASTER PLAN'!$AB:$AB,'MASTER PLAN'!$J:$J,0,0)),"")</f>
        <v>BOLSA WSMJ MAYORS WOS 6-5"X3-5"X6-5" FA</v>
      </c>
      <c r="BN66" s="73">
        <f t="array" ref="BN66">IFERROR(IF(XLOOKUP(CONCAT(BK66,BL66),'PROCESOS PRD'!$J:$J,'PROCESOS PRD'!$H:$H,0,0)=0,"",XLOOKUP(CONCAT(BK66,BL66),'PROCESOS PRD'!$J:$J,'PROCESOS PRD'!$H:$H,0,0)),"")</f>
        <v>4800</v>
      </c>
      <c r="BO66" s="71"/>
      <c r="BP66" s="32"/>
      <c r="BQ66" s="72" t="str">
        <f t="array" ref="BQ66">IFERROR(IF(XLOOKUP(CONCAT(BO66,BP66),'MASTER PLAN'!$AB:$AB,'MASTER PLAN'!$J:$J,0,0)=0,"",XLOOKUP(CONCAT(BO66,BP66),'MASTER PLAN'!$AB:$AB,'MASTER PLAN'!$J:$J,0,0)),"")</f>
        <v/>
      </c>
      <c r="BR66" s="73" t="str">
        <f t="array" ref="BR66">IFERROR(IF(XLOOKUP(CONCAT(BO66,BP66),'PROCESOS PRD'!$J:$J,'PROCESOS PRD'!$H:$H,0,0)=0,"",XLOOKUP(CONCAT(BO66,BP66),'PROCESOS PRD'!$J:$J,'PROCESOS PRD'!$H:$H,0,0)),"")</f>
        <v/>
      </c>
      <c r="BS66" s="70"/>
      <c r="BT66" s="71"/>
      <c r="BU66" s="32"/>
      <c r="BV66" s="72" t="str">
        <f t="array" ref="BV66">IFERROR(IF(XLOOKUP(CONCAT(BT66,BU66),'MASTER PLAN'!$AB:$AB,'MASTER PLAN'!$J:$J,0,0)=0,"",XLOOKUP(CONCAT(BT66,BU66),'MASTER PLAN'!$AB:$AB,'MASTER PLAN'!$J:$J,0,0)),"")</f>
        <v/>
      </c>
      <c r="BW66" s="73" t="str">
        <f t="array" ref="BW66">IFERROR(IF(XLOOKUP(CONCAT(BT66,BU66),'PROCESOS PRD'!$J:$J,'PROCESOS PRD'!$H:$H,0,0)=0,"",XLOOKUP(CONCAT(BT66,BU66),'PROCESOS PRD'!$J:$J,'PROCESOS PRD'!$H:$H,0,0)),"")</f>
        <v/>
      </c>
      <c r="BX66" s="71">
        <v>1.402049351E9</v>
      </c>
      <c r="BY66" s="32">
        <v>10.0</v>
      </c>
      <c r="BZ66" s="72" t="str">
        <f t="array" ref="BZ66">IFERROR(IF(XLOOKUP(CONCAT(BX66,BY66),'MASTER PLAN'!$AB:$AB,'MASTER PLAN'!$J:$J,0,0)=0,"",XLOOKUP(CONCAT(BX66,BY66),'MASTER PLAN'!$AB:$AB,'MASTER PLAN'!$J:$J,0,0)),"")</f>
        <v>BOLSA WATERFALL JEWELERS 6-5"X3-5"X6-5"</v>
      </c>
      <c r="CA66" s="73">
        <f t="array" ref="CA66">IFERROR(IF(XLOOKUP(CONCAT(BX66,BY66),'PROCESOS PRD'!$J:$J,'PROCESOS PRD'!$H:$H,0,0)=0,"",XLOOKUP(CONCAT(BX66,BY66),'PROCESOS PRD'!$J:$J,'PROCESOS PRD'!$H:$H,0,0)),"")</f>
        <v>2400</v>
      </c>
      <c r="CB66" s="71">
        <v>1.402049419E9</v>
      </c>
      <c r="CC66" s="32">
        <v>10.0</v>
      </c>
      <c r="CD66" s="72" t="str">
        <f t="array" ref="CD66">IFERROR(IF(XLOOKUP(CONCAT(CB66,CC66),'MASTER PLAN'!$AB:$AB,'MASTER PLAN'!$J:$J,0,0)=0,"",XLOOKUP(CONCAT(CB66,CC66),'MASTER PLAN'!$AB:$AB,'MASTER PLAN'!$J:$J,0,0)),"")</f>
        <v>BOLSA COMERCIAL SORIA 10X4X8 IN FC</v>
      </c>
      <c r="CE66" s="73">
        <f t="array" ref="CE66">IFERROR(IF(XLOOKUP(CONCAT(CB66,CC66),'PROCESOS PRD'!$J:$J,'PROCESOS PRD'!$H:$H,0,0)=0,"",XLOOKUP(CONCAT(CB66,CC66),'PROCESOS PRD'!$J:$J,'PROCESOS PRD'!$H:$H,0,0)),"")</f>
        <v>1800</v>
      </c>
      <c r="CF66" s="71">
        <v>1.40204948E9</v>
      </c>
      <c r="CG66" s="32">
        <v>20.0</v>
      </c>
      <c r="CH66" s="72" t="str">
        <f t="array" ref="CH66">IFERROR(IF(XLOOKUP(CONCAT(CF66,CG66),'MASTER PLAN'!$AB:$AB,'MASTER PLAN'!$J:$J,0,0)=0,"",XLOOKUP(CONCAT(CF66,CG66),'MASTER PLAN'!$AB:$AB,'MASTER PLAN'!$J:$J,0,0)),"")</f>
        <v>BOLSA LEE BRANT  8"X4"X10"</v>
      </c>
      <c r="CI66" s="73">
        <f t="array" ref="CI66">IFERROR(IF(XLOOKUP(CONCAT(CF66,CG66),'PROCESOS PRD'!$J:$J,'PROCESOS PRD'!$H:$H,0,0)=0,"",XLOOKUP(CONCAT(CF66,CG66),'PROCESOS PRD'!$J:$J,'PROCESOS PRD'!$H:$H,0,0)),"")</f>
        <v>1200</v>
      </c>
      <c r="CJ66" s="71"/>
      <c r="CK66" s="32"/>
      <c r="CL66" s="72" t="str">
        <f t="array" ref="CL66">IFERROR(IF(XLOOKUP(CONCAT(CJ66,CK66),'MASTER PLAN'!$AB:$AB,'MASTER PLAN'!$J:$J,0,0)=0,"",XLOOKUP(CONCAT(CJ66,CK66),'MASTER PLAN'!$AB:$AB,'MASTER PLAN'!$J:$J,0,0)),"")</f>
        <v/>
      </c>
      <c r="CM66" s="73" t="str">
        <f t="array" ref="CM66">IFERROR(IF(XLOOKUP(CONCAT(CJ66,CK66),'PROCESOS PRD'!$J:$J,'PROCESOS PRD'!$H:$H,0,0)=0,"",XLOOKUP(CONCAT(CJ66,CK66),'PROCESOS PRD'!$J:$J,'PROCESOS PRD'!$H:$H,0,0)),"")</f>
        <v/>
      </c>
      <c r="CN66" s="71"/>
      <c r="CO66" s="32"/>
      <c r="CP66" s="72" t="str">
        <f t="array" ref="CP66">IFERROR(IF(XLOOKUP(CONCAT(CN66,CO66),'MASTER PLAN'!$AB:$AB,'MASTER PLAN'!$J:$J,0,0)=0,"",XLOOKUP(CONCAT(CN66,CO66),'MASTER PLAN'!$AB:$AB,'MASTER PLAN'!$J:$J,0,0)),"")</f>
        <v/>
      </c>
      <c r="CQ66" s="73" t="str">
        <f t="array" ref="CQ66">IFERROR(IF(XLOOKUP(CONCAT(CN66,CO66),'PROCESOS PRD'!$J:$J,'PROCESOS PRD'!$H:$H,0,0)=0,"",XLOOKUP(CONCAT(CN66,CO66),'PROCESOS PRD'!$J:$J,'PROCESOS PRD'!$H:$H,0,0)),"")</f>
        <v/>
      </c>
      <c r="CR66" s="70"/>
      <c r="CS66" s="71"/>
      <c r="CT66" s="32"/>
      <c r="CU66" s="72" t="str">
        <f t="array" ref="CU66">IFERROR(IF(XLOOKUP(CONCAT(CS66,CT66),'MASTER PLAN'!$AB:$AB,'MASTER PLAN'!$J:$J,0,0)=0,"",XLOOKUP(CONCAT(CS66,CT66),'MASTER PLAN'!$AB:$AB,'MASTER PLAN'!$J:$J,0,0)),"")</f>
        <v/>
      </c>
      <c r="CV66" s="73" t="str">
        <f t="array" ref="CV66">IFERROR(IF(XLOOKUP(CONCAT(CS66,CT66),'PROCESOS PRD'!$J:$J,'PROCESOS PRD'!$H:$H,0,0)=0,"",XLOOKUP(CONCAT(CS66,CT66),'PROCESOS PRD'!$J:$J,'PROCESOS PRD'!$H:$H,0,0)),"")</f>
        <v/>
      </c>
      <c r="CW66" s="71"/>
      <c r="CX66" s="32"/>
      <c r="CY66" s="72" t="str">
        <f t="array" ref="CY66">IFERROR(IF(XLOOKUP(CONCAT(CW66,CX66),'MASTER PLAN'!$AB:$AB,'MASTER PLAN'!$J:$J,0,0)=0,"",XLOOKUP(CONCAT(CW66,CX66),'MASTER PLAN'!$AB:$AB,'MASTER PLAN'!$J:$J,0,0)),"")</f>
        <v/>
      </c>
      <c r="CZ66" s="73" t="str">
        <f t="array" ref="CZ66">IFERROR(IF(XLOOKUP(CONCAT(CW66,CX66),'PROCESOS PRD'!$J:$J,'PROCESOS PRD'!$H:$H,0,0)=0,"",XLOOKUP(CONCAT(CW66,CX66),'PROCESOS PRD'!$J:$J,'PROCESOS PRD'!$H:$H,0,0)),"")</f>
        <v/>
      </c>
      <c r="DA66" s="71"/>
      <c r="DB66" s="32"/>
      <c r="DC66" s="72" t="str">
        <f t="array" ref="DC66">IFERROR(IF(XLOOKUP(CONCAT(DA66,DB66),'MASTER PLAN'!$AB:$AB,'MASTER PLAN'!$J:$J,0,0)=0,"",XLOOKUP(CONCAT(DA66,DB66),'MASTER PLAN'!$AB:$AB,'MASTER PLAN'!$J:$J,0,0)),"")</f>
        <v/>
      </c>
      <c r="DD66" s="73" t="str">
        <f t="array" ref="DD66">IFERROR(IF(XLOOKUP(CONCAT(DA66,DB66),'PROCESOS PRD'!$J:$J,'PROCESOS PRD'!$H:$H,0,0)=0,"",XLOOKUP(CONCAT(DA66,DB66),'PROCESOS PRD'!$J:$J,'PROCESOS PRD'!$H:$H,0,0)),"")</f>
        <v/>
      </c>
      <c r="DE66" s="71"/>
      <c r="DF66" s="32"/>
      <c r="DG66" s="72" t="str">
        <f t="array" ref="DG66">IFERROR(IF(XLOOKUP(CONCAT(DE66,DF66),'MASTER PLAN'!$AB:$AB,'MASTER PLAN'!$J:$J,0,0)=0,"",XLOOKUP(CONCAT(DE66,DF66),'MASTER PLAN'!$AB:$AB,'MASTER PLAN'!$J:$J,0,0)),"")</f>
        <v/>
      </c>
      <c r="DH66" s="73" t="str">
        <f t="array" ref="DH66">IFERROR(IF(XLOOKUP(CONCAT(DE66,DF66),'PROCESOS PRD'!$J:$J,'PROCESOS PRD'!$H:$H,0,0)=0,"",XLOOKUP(CONCAT(DE66,DF66),'PROCESOS PRD'!$J:$J,'PROCESOS PRD'!$H:$H,0,0)),"")</f>
        <v/>
      </c>
      <c r="DI66" s="71"/>
      <c r="DJ66" s="32"/>
      <c r="DK66" s="72" t="str">
        <f t="array" ref="DK66">IFERROR(IF(XLOOKUP(CONCAT(DI66,DJ66),'MASTER PLAN'!$AB:$AB,'MASTER PLAN'!$J:$J,0,0)=0,"",XLOOKUP(CONCAT(DI66,DJ66),'MASTER PLAN'!$AB:$AB,'MASTER PLAN'!$J:$J,0,0)),"")</f>
        <v/>
      </c>
      <c r="DL66" s="73" t="str">
        <f t="array" ref="DL66">IFERROR(IF(XLOOKUP(CONCAT(DI66,DJ66),'PROCESOS PRD'!$J:$J,'PROCESOS PRD'!$H:$H,0,0)=0,"",XLOOKUP(CONCAT(DI66,DJ66),'PROCESOS PRD'!$J:$J,'PROCESOS PRD'!$H:$H,0,0)),"")</f>
        <v/>
      </c>
      <c r="DM66" s="71"/>
      <c r="DN66" s="32"/>
      <c r="DO66" s="72" t="str">
        <f t="array" ref="DO66">IFERROR(IF(XLOOKUP(CONCAT(DM66,DN66),'MASTER PLAN'!$AB:$AB,'MASTER PLAN'!$J:$J,0,0)=0,"",XLOOKUP(CONCAT(DM66,DN66),'MASTER PLAN'!$AB:$AB,'MASTER PLAN'!$J:$J,0,0)),"")</f>
        <v/>
      </c>
      <c r="DP66" s="73" t="str">
        <f t="array" ref="DP66">IFERROR(IF(XLOOKUP(CONCAT(DM66,DN66),'PROCESOS PRD'!$J:$J,'PROCESOS PRD'!$H:$H,0,0)=0,"",XLOOKUP(CONCAT(DM66,DN66),'PROCESOS PRD'!$J:$J,'PROCESOS PRD'!$H:$H,0,0)),"")</f>
        <v/>
      </c>
      <c r="DQ66" s="70"/>
      <c r="DR66" s="71"/>
      <c r="DS66" s="32"/>
      <c r="DT66" s="72" t="str">
        <f t="array" ref="DT66">IFERROR(IF(XLOOKUP(CONCAT(DR66,DS66),'MASTER PLAN'!$AB:$AB,'MASTER PLAN'!$J:$J,0,0)=0,"",XLOOKUP(CONCAT(DR66,DS66),'MASTER PLAN'!$AB:$AB,'MASTER PLAN'!$J:$J,0,0)),"")</f>
        <v/>
      </c>
      <c r="DU66" s="73" t="str">
        <f t="array" ref="DU66">IFERROR(IF(XLOOKUP(CONCAT(DR66,DS66),'PROCESOS PRD'!$J:$J,'PROCESOS PRD'!$H:$H,0,0)=0,"",XLOOKUP(CONCAT(DR66,DS66),'PROCESOS PRD'!$J:$J,'PROCESOS PRD'!$H:$H,0,0)),"")</f>
        <v/>
      </c>
      <c r="DV66" s="71"/>
      <c r="DW66" s="32"/>
      <c r="DX66" s="72" t="str">
        <f t="array" ref="DX66">IFERROR(IF(XLOOKUP(CONCAT(DV66,DW66),'MASTER PLAN'!$AB:$AB,'MASTER PLAN'!$J:$J,0,0)=0,"",XLOOKUP(CONCAT(DV66,DW66),'MASTER PLAN'!$AB:$AB,'MASTER PLAN'!$J:$J,0,0)),"")</f>
        <v/>
      </c>
      <c r="DY66" s="73" t="str">
        <f t="array" ref="DY66">IFERROR(IF(XLOOKUP(CONCAT(DV66,DW66),'PROCESOS PRD'!$J:$J,'PROCESOS PRD'!$H:$H,0,0)=0,"",XLOOKUP(CONCAT(DV66,DW66),'PROCESOS PRD'!$J:$J,'PROCESOS PRD'!$H:$H,0,0)),"")</f>
        <v/>
      </c>
      <c r="DZ66" s="71"/>
      <c r="EA66" s="32"/>
      <c r="EB66" s="72" t="str">
        <f t="array" ref="EB66">IFERROR(IF(XLOOKUP(CONCAT(DZ66,EA66),'MASTER PLAN'!$AB:$AB,'MASTER PLAN'!$J:$J,0,0)=0,"",XLOOKUP(CONCAT(DZ66,EA66),'MASTER PLAN'!$AB:$AB,'MASTER PLAN'!$J:$J,0,0)),"")</f>
        <v/>
      </c>
      <c r="EC66" s="73" t="str">
        <f t="array" ref="EC66">IFERROR(IF(XLOOKUP(CONCAT(DZ66,EA66),'PROCESOS PRD'!$J:$J,'PROCESOS PRD'!$H:$H,0,0)=0,"",XLOOKUP(CONCAT(DZ66,EA66),'PROCESOS PRD'!$J:$J,'PROCESOS PRD'!$H:$H,0,0)),"")</f>
        <v/>
      </c>
      <c r="ED66" s="71"/>
      <c r="EE66" s="32"/>
      <c r="EF66" s="72" t="str">
        <f t="array" ref="EF66">IFERROR(IF(XLOOKUP(CONCAT(ED66,EE66),'MASTER PLAN'!$AB:$AB,'MASTER PLAN'!$J:$J,0,0)=0,"",XLOOKUP(CONCAT(ED66,EE66),'MASTER PLAN'!$AB:$AB,'MASTER PLAN'!$J:$J,0,0)),"")</f>
        <v/>
      </c>
      <c r="EG66" s="73" t="str">
        <f t="array" ref="EG66">IFERROR(IF(XLOOKUP(CONCAT(ED66,EE66),'PROCESOS PRD'!$J:$J,'PROCESOS PRD'!$H:$H,0,0)=0,"",XLOOKUP(CONCAT(ED66,EE66),'PROCESOS PRD'!$J:$J,'PROCESOS PRD'!$H:$H,0,0)),"")</f>
        <v/>
      </c>
      <c r="EH66" s="71"/>
      <c r="EI66" s="32"/>
      <c r="EJ66" s="72" t="str">
        <f t="array" ref="EJ66">IFERROR(IF(XLOOKUP(CONCAT(EH66,EI66),'MASTER PLAN'!$AB:$AB,'MASTER PLAN'!$J:$J,0,0)=0,"",XLOOKUP(CONCAT(EH66,EI66),'MASTER PLAN'!$AB:$AB,'MASTER PLAN'!$J:$J,0,0)),"")</f>
        <v/>
      </c>
      <c r="EK66" s="73" t="str">
        <f t="array" ref="EK66">IFERROR(IF(XLOOKUP(CONCAT(EH66,EI66),'PROCESOS PRD'!$J:$J,'PROCESOS PRD'!$H:$H,0,0)=0,"",XLOOKUP(CONCAT(EH66,EI66),'PROCESOS PRD'!$J:$J,'PROCESOS PRD'!$H:$H,0,0)),"")</f>
        <v/>
      </c>
      <c r="EL66" s="71"/>
      <c r="EM66" s="32"/>
      <c r="EN66" s="72" t="str">
        <f t="array" ref="EN66">IFERROR(IF(XLOOKUP(CONCAT(EL66,EM66),'MASTER PLAN'!$AB:$AB,'MASTER PLAN'!$J:$J,0,0)=0,"",XLOOKUP(CONCAT(EL66,EM66),'MASTER PLAN'!$AB:$AB,'MASTER PLAN'!$J:$J,0,0)),"")</f>
        <v/>
      </c>
      <c r="EO66" s="73" t="str">
        <f t="array" ref="EO66">IFERROR(IF(XLOOKUP(CONCAT(EL66,EM66),'PROCESOS PRD'!$J:$J,'PROCESOS PRD'!$H:$H,0,0)=0,"",XLOOKUP(CONCAT(EL66,EM66),'PROCESOS PRD'!$J:$J,'PROCESOS PRD'!$H:$H,0,0)),"")</f>
        <v/>
      </c>
      <c r="EP66" s="70"/>
      <c r="EQ66" s="71"/>
      <c r="ER66" s="32"/>
      <c r="ES66" s="72" t="str">
        <f t="array" ref="ES66">IFERROR(IF(XLOOKUP(CONCAT(EQ66,ER66),'MASTER PLAN'!$AB:$AB,'MASTER PLAN'!$J:$J,0,0)=0,"",XLOOKUP(CONCAT(EQ66,ER66),'MASTER PLAN'!$AB:$AB,'MASTER PLAN'!$J:$J,0,0)),"")</f>
        <v/>
      </c>
      <c r="ET66" s="73" t="str">
        <f t="array" ref="ET66">IFERROR(IF(XLOOKUP(CONCAT(EQ66,ER66),'PROCESOS PRD'!$J:$J,'PROCESOS PRD'!$H:$H,0,0)=0,"",XLOOKUP(CONCAT(EQ66,ER66),'PROCESOS PRD'!$J:$J,'PROCESOS PRD'!$H:$H,0,0)),"")</f>
        <v/>
      </c>
      <c r="EU66" s="71"/>
      <c r="EV66" s="32"/>
      <c r="EW66" s="72" t="str">
        <f t="array" ref="EW66">IFERROR(IF(XLOOKUP(CONCAT(EU66,EV66),'MASTER PLAN'!$AB:$AB,'MASTER PLAN'!$J:$J,0,0)=0,"",XLOOKUP(CONCAT(EU66,EV66),'MASTER PLAN'!$AB:$AB,'MASTER PLAN'!$J:$J,0,0)),"")</f>
        <v/>
      </c>
      <c r="EX66" s="73" t="str">
        <f t="array" ref="EX66">IFERROR(IF(XLOOKUP(CONCAT(EU66,EV66),'PROCESOS PRD'!$J:$J,'PROCESOS PRD'!$H:$H,0,0)=0,"",XLOOKUP(CONCAT(EU66,EV66),'PROCESOS PRD'!$J:$J,'PROCESOS PRD'!$H:$H,0,0)),"")</f>
        <v/>
      </c>
      <c r="EY66" s="71"/>
      <c r="EZ66" s="32"/>
      <c r="FA66" s="72" t="str">
        <f t="array" ref="FA66">IFERROR(IF(XLOOKUP(CONCAT(EY66,EZ66),'MASTER PLAN'!$AB:$AB,'MASTER PLAN'!$J:$J,0,0)=0,"",XLOOKUP(CONCAT(EY66,EZ66),'MASTER PLAN'!$AB:$AB,'MASTER PLAN'!$J:$J,0,0)),"")</f>
        <v/>
      </c>
      <c r="FB66" s="73" t="str">
        <f t="array" ref="FB66">IFERROR(IF(XLOOKUP(CONCAT(EY66,EZ66),'PROCESOS PRD'!$J:$J,'PROCESOS PRD'!$H:$H,0,0)=0,"",XLOOKUP(CONCAT(EY66,EZ66),'PROCESOS PRD'!$J:$J,'PROCESOS PRD'!$H:$H,0,0)),"")</f>
        <v/>
      </c>
      <c r="FC66" s="71"/>
      <c r="FD66" s="32"/>
      <c r="FE66" s="72" t="str">
        <f t="array" ref="FE66">IFERROR(IF(XLOOKUP(CONCAT(FC66,FD66),'MASTER PLAN'!$AB:$AB,'MASTER PLAN'!$J:$J,0,0)=0,"",XLOOKUP(CONCAT(FC66,FD66),'MASTER PLAN'!$AB:$AB,'MASTER PLAN'!$J:$J,0,0)),"")</f>
        <v/>
      </c>
      <c r="FF66" s="73" t="str">
        <f t="array" ref="FF66">IFERROR(IF(XLOOKUP(CONCAT(FC66,FD66),'PROCESOS PRD'!$J:$J,'PROCESOS PRD'!$H:$H,0,0)=0,"",XLOOKUP(CONCAT(FC66,FD66),'PROCESOS PRD'!$J:$J,'PROCESOS PRD'!$H:$H,0,0)),"")</f>
        <v/>
      </c>
      <c r="FG66" s="71"/>
      <c r="FH66" s="32"/>
      <c r="FI66" s="72" t="str">
        <f t="array" ref="FI66">IFERROR(IF(XLOOKUP(CONCAT(FG66,FH66),'MASTER PLAN'!$AB:$AB,'MASTER PLAN'!$J:$J,0,0)=0,"",XLOOKUP(CONCAT(FG66,FH66),'MASTER PLAN'!$AB:$AB,'MASTER PLAN'!$J:$J,0,0)),"")</f>
        <v/>
      </c>
      <c r="FJ66" s="73" t="str">
        <f t="array" ref="FJ66">IFERROR(IF(XLOOKUP(CONCAT(FG66,FH66),'PROCESOS PRD'!$J:$J,'PROCESOS PRD'!$H:$H,0,0)=0,"",XLOOKUP(CONCAT(FG66,FH66),'PROCESOS PRD'!$J:$J,'PROCESOS PRD'!$H:$H,0,0)),"")</f>
        <v/>
      </c>
      <c r="FK66" s="71"/>
      <c r="FL66" s="32"/>
      <c r="FM66" s="72" t="str">
        <f t="array" ref="FM66">IFERROR(IF(XLOOKUP(CONCAT(FK66,FL66),'MASTER PLAN'!$AB:$AB,'MASTER PLAN'!$J:$J,0,0)=0,"",XLOOKUP(CONCAT(FK66,FL66),'MASTER PLAN'!$AB:$AB,'MASTER PLAN'!$J:$J,0,0)),"")</f>
        <v/>
      </c>
      <c r="FN66" s="73" t="str">
        <f t="array" ref="FN66">IFERROR(IF(XLOOKUP(CONCAT(FK66,FL66),'PROCESOS PRD'!$J:$J,'PROCESOS PRD'!$H:$H,0,0)=0,"",XLOOKUP(CONCAT(FK66,FL66),'PROCESOS PRD'!$J:$J,'PROCESOS PRD'!$H:$H,0,0)),"")</f>
        <v/>
      </c>
      <c r="FO66" s="70"/>
      <c r="FP66" s="71"/>
      <c r="FQ66" s="32"/>
      <c r="FR66" s="72" t="str">
        <f t="array" ref="FR66">IFERROR(IF(XLOOKUP(CONCAT(FP66,FQ66),'MASTER PLAN'!$AB:$AB,'MASTER PLAN'!$J:$J,0,0)=0,"",XLOOKUP(CONCAT(FP66,FQ66),'MASTER PLAN'!$AB:$AB,'MASTER PLAN'!$J:$J,0,0)),"")</f>
        <v/>
      </c>
      <c r="FS66" s="73" t="str">
        <f t="array" ref="FS66">IFERROR(IF(XLOOKUP(CONCAT(FP66,FQ66),'PROCESOS PRD'!$J:$J,'PROCESOS PRD'!$H:$H,0,0)=0,"",XLOOKUP(CONCAT(FP66,FQ66),'PROCESOS PRD'!$J:$J,'PROCESOS PRD'!$H:$H,0,0)),"")</f>
        <v/>
      </c>
      <c r="FT66" s="71"/>
      <c r="FU66" s="32"/>
      <c r="FV66" s="72" t="str">
        <f t="array" ref="FV66">IFERROR(IF(XLOOKUP(CONCAT(FT66,FU66),'MASTER PLAN'!$AB:$AB,'MASTER PLAN'!$J:$J,0,0)=0,"",XLOOKUP(CONCAT(FT66,FU66),'MASTER PLAN'!$AB:$AB,'MASTER PLAN'!$J:$J,0,0)),"")</f>
        <v/>
      </c>
      <c r="FW66" s="73" t="str">
        <f t="array" ref="FW66">IFERROR(IF(XLOOKUP(CONCAT(FT66,FU66),'PROCESOS PRD'!$J:$J,'PROCESOS PRD'!$H:$H,0,0)=0,"",XLOOKUP(CONCAT(FT66,FU66),'PROCESOS PRD'!$J:$J,'PROCESOS PRD'!$H:$H,0,0)),"")</f>
        <v/>
      </c>
      <c r="FX66" s="71"/>
      <c r="FY66" s="32"/>
      <c r="FZ66" s="72" t="str">
        <f t="array" ref="FZ66">IFERROR(IF(XLOOKUP(CONCAT(FX66,FY66),'MASTER PLAN'!$AB:$AB,'MASTER PLAN'!$J:$J,0,0)=0,"",XLOOKUP(CONCAT(FX66,FY66),'MASTER PLAN'!$AB:$AB,'MASTER PLAN'!$J:$J,0,0)),"")</f>
        <v/>
      </c>
      <c r="GA66" s="73" t="str">
        <f t="array" ref="GA66">IFERROR(IF(XLOOKUP(CONCAT(FX66,FY66),'PROCESOS PRD'!$J:$J,'PROCESOS PRD'!$H:$H,0,0)=0,"",XLOOKUP(CONCAT(FX66,FY66),'PROCESOS PRD'!$J:$J,'PROCESOS PRD'!$H:$H,0,0)),"")</f>
        <v/>
      </c>
      <c r="GB66" s="71"/>
      <c r="GC66" s="32"/>
      <c r="GD66" s="72" t="str">
        <f t="array" ref="GD66">IFERROR(IF(XLOOKUP(CONCAT(GB66,GC66),'MASTER PLAN'!$AB:$AB,'MASTER PLAN'!$J:$J,0,0)=0,"",XLOOKUP(CONCAT(GB66,GC66),'MASTER PLAN'!$AB:$AB,'MASTER PLAN'!$J:$J,0,0)),"")</f>
        <v/>
      </c>
      <c r="GE66" s="73" t="str">
        <f t="array" ref="GE66">IFERROR(IF(XLOOKUP(CONCAT(GB66,GC66),'PROCESOS PRD'!$J:$J,'PROCESOS PRD'!$H:$H,0,0)=0,"",XLOOKUP(CONCAT(GB66,GC66),'PROCESOS PRD'!$J:$J,'PROCESOS PRD'!$H:$H,0,0)),"")</f>
        <v/>
      </c>
      <c r="GF66" s="71"/>
      <c r="GG66" s="32"/>
      <c r="GH66" s="72" t="str">
        <f t="array" ref="GH66">IFERROR(IF(XLOOKUP(CONCAT(GF66,GG66),'MASTER PLAN'!$AB:$AB,'MASTER PLAN'!$J:$J,0,0)=0,"",XLOOKUP(CONCAT(GF66,GG66),'MASTER PLAN'!$AB:$AB,'MASTER PLAN'!$J:$J,0,0)),"")</f>
        <v/>
      </c>
      <c r="GI66" s="73" t="str">
        <f t="array" ref="GI66">IFERROR(IF(XLOOKUP(CONCAT(GF66,GG66),'PROCESOS PRD'!$J:$J,'PROCESOS PRD'!$H:$H,0,0)=0,"",XLOOKUP(CONCAT(GF66,GG66),'PROCESOS PRD'!$J:$J,'PROCESOS PRD'!$H:$H,0,0)),"")</f>
        <v/>
      </c>
      <c r="GJ66" s="71"/>
      <c r="GK66" s="32"/>
      <c r="GL66" s="72" t="str">
        <f t="array" ref="GL66">IFERROR(IF(XLOOKUP(CONCAT(GJ66,GK66),'MASTER PLAN'!$AB:$AB,'MASTER PLAN'!$J:$J,0,0)=0,"",XLOOKUP(CONCAT(GJ66,GK66),'MASTER PLAN'!$AB:$AB,'MASTER PLAN'!$J:$J,0,0)),"")</f>
        <v/>
      </c>
      <c r="GM66" s="73" t="str">
        <f t="array" ref="GM66">IFERROR(IF(XLOOKUP(CONCAT(GJ66,GK66),'PROCESOS PRD'!$J:$J,'PROCESOS PRD'!$H:$H,0,0)=0,"",XLOOKUP(CONCAT(GJ66,GK66),'PROCESOS PRD'!$J:$J,'PROCESOS PRD'!$H:$H,0,0)),"")</f>
        <v/>
      </c>
      <c r="GN66" s="70"/>
      <c r="GO66" s="71"/>
      <c r="GP66" s="32"/>
      <c r="GQ66" s="72" t="str">
        <f t="array" ref="GQ66">IFERROR(IF(XLOOKUP(CONCAT(GO66,GP66),'MASTER PLAN'!$AB:$AB,'MASTER PLAN'!$J:$J,0,0)=0,"",XLOOKUP(CONCAT(GO66,GP66),'MASTER PLAN'!$AB:$AB,'MASTER PLAN'!$J:$J,0,0)),"")</f>
        <v/>
      </c>
      <c r="GR66" s="73" t="str">
        <f t="array" ref="GR66">IFERROR(IF(XLOOKUP(CONCAT(GO66,GP66),'PROCESOS PRD'!$J:$J,'PROCESOS PRD'!$H:$H,0,0)=0,"",XLOOKUP(CONCAT(GO66,GP66),'PROCESOS PRD'!$J:$J,'PROCESOS PRD'!$H:$H,0,0)),"")</f>
        <v/>
      </c>
      <c r="GS66" s="71"/>
      <c r="GT66" s="32"/>
      <c r="GU66" s="72" t="str">
        <f t="array" ref="GU66">IFERROR(IF(XLOOKUP(CONCAT(GS66,GT66),'MASTER PLAN'!$AB:$AB,'MASTER PLAN'!$J:$J,0,0)=0,"",XLOOKUP(CONCAT(GS66,GT66),'MASTER PLAN'!$AB:$AB,'MASTER PLAN'!$J:$J,0,0)),"")</f>
        <v/>
      </c>
      <c r="GV66" s="73" t="str">
        <f t="array" ref="GV66">IFERROR(IF(XLOOKUP(CONCAT(GS66,GT66),'PROCESOS PRD'!$J:$J,'PROCESOS PRD'!$H:$H,0,0)=0,"",XLOOKUP(CONCAT(GS66,GT66),'PROCESOS PRD'!$J:$J,'PROCESOS PRD'!$H:$H,0,0)),"")</f>
        <v/>
      </c>
      <c r="GW66" s="71"/>
      <c r="GX66" s="32"/>
      <c r="GY66" s="72" t="str">
        <f t="array" ref="GY66">IFERROR(IF(XLOOKUP(CONCAT(GW66,GX66),'MASTER PLAN'!$AB:$AB,'MASTER PLAN'!$J:$J,0,0)=0,"",XLOOKUP(CONCAT(GW66,GX66),'MASTER PLAN'!$AB:$AB,'MASTER PLAN'!$J:$J,0,0)),"")</f>
        <v/>
      </c>
      <c r="GZ66" s="73" t="str">
        <f t="array" ref="GZ66">IFERROR(IF(XLOOKUP(CONCAT(GW66,GX66),'PROCESOS PRD'!$J:$J,'PROCESOS PRD'!$H:$H,0,0)=0,"",XLOOKUP(CONCAT(GW66,GX66),'PROCESOS PRD'!$J:$J,'PROCESOS PRD'!$H:$H,0,0)),"")</f>
        <v/>
      </c>
      <c r="HA66" s="71"/>
      <c r="HB66" s="32"/>
      <c r="HC66" s="72" t="str">
        <f t="array" ref="HC66">IFERROR(IF(XLOOKUP(CONCAT(HA66,HB66),'MASTER PLAN'!$AB:$AB,'MASTER PLAN'!$J:$J,0,0)=0,"",XLOOKUP(CONCAT(HA66,HB66),'MASTER PLAN'!$AB:$AB,'MASTER PLAN'!$J:$J,0,0)),"")</f>
        <v/>
      </c>
      <c r="HD66" s="73" t="str">
        <f t="array" ref="HD66">IFERROR(IF(XLOOKUP(CONCAT(HA66,HB66),'PROCESOS PRD'!$J:$J,'PROCESOS PRD'!$H:$H,0,0)=0,"",XLOOKUP(CONCAT(HA66,HB66),'PROCESOS PRD'!$J:$J,'PROCESOS PRD'!$H:$H,0,0)),"")</f>
        <v/>
      </c>
      <c r="HE66" s="71"/>
      <c r="HF66" s="32"/>
      <c r="HG66" s="72" t="str">
        <f t="array" ref="HG66">IFERROR(IF(XLOOKUP(CONCAT(HE66,HF66),'MASTER PLAN'!$AB:$AB,'MASTER PLAN'!$J:$J,0,0)=0,"",XLOOKUP(CONCAT(HE66,HF66),'MASTER PLAN'!$AB:$AB,'MASTER PLAN'!$J:$J,0,0)),"")</f>
        <v/>
      </c>
      <c r="HH66" s="73" t="str">
        <f t="array" ref="HH66">IFERROR(IF(XLOOKUP(CONCAT(HE66,HF66),'PROCESOS PRD'!$J:$J,'PROCESOS PRD'!$H:$H,0,0)=0,"",XLOOKUP(CONCAT(HE66,HF66),'PROCESOS PRD'!$J:$J,'PROCESOS PRD'!$H:$H,0,0)),"")</f>
        <v/>
      </c>
      <c r="HI66" s="71"/>
      <c r="HJ66" s="32"/>
      <c r="HK66" s="72" t="str">
        <f t="array" ref="HK66">IFERROR(IF(XLOOKUP(CONCAT(HI66,HJ66),'MASTER PLAN'!$AB:$AB,'MASTER PLAN'!$J:$J,0,0)=0,"",XLOOKUP(CONCAT(HI66,HJ66),'MASTER PLAN'!$AB:$AB,'MASTER PLAN'!$J:$J,0,0)),"")</f>
        <v/>
      </c>
      <c r="HL66" s="73" t="str">
        <f t="array" ref="HL66">IFERROR(IF(XLOOKUP(CONCAT(HI66,HJ66),'PROCESOS PRD'!$J:$J,'PROCESOS PRD'!$H:$H,0,0)=0,"",XLOOKUP(CONCAT(HI66,HJ66),'PROCESOS PRD'!$J:$J,'PROCESOS PRD'!$H:$H,0,0)),"")</f>
        <v/>
      </c>
      <c r="HM66" s="70"/>
      <c r="HN66" s="71"/>
      <c r="HO66" s="32"/>
      <c r="HP66" s="72" t="str">
        <f t="array" ref="HP66">IFERROR(IF(XLOOKUP(CONCAT(HN66,HO66),'MASTER PLAN'!$AB:$AB,'MASTER PLAN'!$J:$J,0,0)=0,"",XLOOKUP(CONCAT(HN66,HO66),'MASTER PLAN'!$AB:$AB,'MASTER PLAN'!$J:$J,0,0)),"")</f>
        <v/>
      </c>
      <c r="HQ66" s="73" t="str">
        <f t="array" ref="HQ66">IFERROR(IF(XLOOKUP(CONCAT(HN66,HO66),'PROCESOS PRD'!$J:$J,'PROCESOS PRD'!$H:$H,0,0)=0,"",XLOOKUP(CONCAT(HN66,HO66),'PROCESOS PRD'!$J:$J,'PROCESOS PRD'!$H:$H,0,0)),"")</f>
        <v/>
      </c>
      <c r="HR66" s="71"/>
      <c r="HS66" s="32"/>
      <c r="HT66" s="72" t="str">
        <f t="array" ref="HT66">IFERROR(IF(XLOOKUP(CONCAT(HR66,HS66),'MASTER PLAN'!$AB:$AB,'MASTER PLAN'!$J:$J,0,0)=0,"",XLOOKUP(CONCAT(HR66,HS66),'MASTER PLAN'!$AB:$AB,'MASTER PLAN'!$J:$J,0,0)),"")</f>
        <v/>
      </c>
      <c r="HU66" s="73" t="str">
        <f t="array" ref="HU66">IFERROR(IF(XLOOKUP(CONCAT(HR66,HS66),'PROCESOS PRD'!$J:$J,'PROCESOS PRD'!$H:$H,0,0)=0,"",XLOOKUP(CONCAT(HR66,HS66),'PROCESOS PRD'!$J:$J,'PROCESOS PRD'!$H:$H,0,0)),"")</f>
        <v/>
      </c>
      <c r="HV66" s="71"/>
      <c r="HW66" s="32"/>
      <c r="HX66" s="72" t="str">
        <f t="array" ref="HX66">IFERROR(IF(XLOOKUP(CONCAT(HV66,HW66),'MASTER PLAN'!$AB:$AB,'MASTER PLAN'!$J:$J,0,0)=0,"",XLOOKUP(CONCAT(HV66,HW66),'MASTER PLAN'!$AB:$AB,'MASTER PLAN'!$J:$J,0,0)),"")</f>
        <v/>
      </c>
      <c r="HY66" s="73" t="str">
        <f t="array" ref="HY66">IFERROR(IF(XLOOKUP(CONCAT(HV66,HW66),'PROCESOS PRD'!$J:$J,'PROCESOS PRD'!$H:$H,0,0)=0,"",XLOOKUP(CONCAT(HV66,HW66),'PROCESOS PRD'!$J:$J,'PROCESOS PRD'!$H:$H,0,0)),"")</f>
        <v/>
      </c>
      <c r="HZ66" s="71"/>
      <c r="IA66" s="32"/>
      <c r="IB66" s="72" t="str">
        <f t="array" ref="IB66">IFERROR(IF(XLOOKUP(CONCAT(HZ66,IA66),'MASTER PLAN'!$AB:$AB,'MASTER PLAN'!$J:$J,0,0)=0,"",XLOOKUP(CONCAT(HZ66,IA66),'MASTER PLAN'!$AB:$AB,'MASTER PLAN'!$J:$J,0,0)),"")</f>
        <v/>
      </c>
      <c r="IC66" s="73" t="str">
        <f t="array" ref="IC66">IFERROR(IF(XLOOKUP(CONCAT(HZ66,IA66),'PROCESOS PRD'!$J:$J,'PROCESOS PRD'!$H:$H,0,0)=0,"",XLOOKUP(CONCAT(HZ66,IA66),'PROCESOS PRD'!$J:$J,'PROCESOS PRD'!$H:$H,0,0)),"")</f>
        <v/>
      </c>
      <c r="ID66" s="71"/>
      <c r="IE66" s="32"/>
      <c r="IF66" s="72" t="str">
        <f t="array" ref="IF66">IFERROR(IF(XLOOKUP(CONCAT(ID66,IE66),'MASTER PLAN'!$AB:$AB,'MASTER PLAN'!$J:$J,0,0)=0,"",XLOOKUP(CONCAT(ID66,IE66),'MASTER PLAN'!$AB:$AB,'MASTER PLAN'!$J:$J,0,0)),"")</f>
        <v/>
      </c>
      <c r="IG66" s="73" t="str">
        <f t="array" ref="IG66">IFERROR(IF(XLOOKUP(CONCAT(ID66,IE66),'PROCESOS PRD'!$J:$J,'PROCESOS PRD'!$H:$H,0,0)=0,"",XLOOKUP(CONCAT(ID66,IE66),'PROCESOS PRD'!$J:$J,'PROCESOS PRD'!$H:$H,0,0)),"")</f>
        <v/>
      </c>
      <c r="IH66" s="71"/>
      <c r="II66" s="32"/>
      <c r="IJ66" s="72" t="str">
        <f t="array" ref="IJ66">IFERROR(IF(XLOOKUP(CONCAT(IH66,II66),'MASTER PLAN'!$AB:$AB,'MASTER PLAN'!$J:$J,0,0)=0,"",XLOOKUP(CONCAT(IH66,II66),'MASTER PLAN'!$AB:$AB,'MASTER PLAN'!$J:$J,0,0)),"")</f>
        <v/>
      </c>
      <c r="IK66" s="73" t="str">
        <f t="array" ref="IK66">IFERROR(IF(XLOOKUP(CONCAT(IH66,II66),'PROCESOS PRD'!$J:$J,'PROCESOS PRD'!$H:$H,0,0)=0,"",XLOOKUP(CONCAT(IH66,II66),'PROCESOS PRD'!$J:$J,'PROCESOS PRD'!$H:$H,0,0)),"")</f>
        <v/>
      </c>
      <c r="IL66" s="70"/>
      <c r="IM66" s="71"/>
      <c r="IN66" s="32"/>
      <c r="IO66" s="72" t="str">
        <f t="array" ref="IO66">IFERROR(IF(XLOOKUP(CONCAT(IM66,IN66),'MASTER PLAN'!$AB:$AB,'MASTER PLAN'!$J:$J,0,0)=0,"",XLOOKUP(CONCAT(IM66,IN66),'MASTER PLAN'!$AB:$AB,'MASTER PLAN'!$J:$J,0,0)),"")</f>
        <v/>
      </c>
      <c r="IP66" s="73" t="str">
        <f t="array" ref="IP66">IFERROR(IF(XLOOKUP(CONCAT(IM66,IN66),'PROCESOS PRD'!$J:$J,'PROCESOS PRD'!$H:$H,0,0)=0,"",XLOOKUP(CONCAT(IM66,IN66),'PROCESOS PRD'!$J:$J,'PROCESOS PRD'!$H:$H,0,0)),"")</f>
        <v/>
      </c>
      <c r="IQ66" s="71"/>
      <c r="IR66" s="32"/>
      <c r="IS66" s="72" t="str">
        <f t="array" ref="IS66">IFERROR(IF(XLOOKUP(CONCAT(IQ66,IR66),'MASTER PLAN'!$AB:$AB,'MASTER PLAN'!$J:$J,0,0)=0,"",XLOOKUP(CONCAT(IQ66,IR66),'MASTER PLAN'!$AB:$AB,'MASTER PLAN'!$J:$J,0,0)),"")</f>
        <v/>
      </c>
      <c r="IT66" s="73" t="str">
        <f t="array" ref="IT66">IFERROR(IF(XLOOKUP(CONCAT(IQ66,IR66),'PROCESOS PRD'!$J:$J,'PROCESOS PRD'!$H:$H,0,0)=0,"",XLOOKUP(CONCAT(IQ66,IR66),'PROCESOS PRD'!$J:$J,'PROCESOS PRD'!$H:$H,0,0)),"")</f>
        <v/>
      </c>
      <c r="IU66" s="71"/>
      <c r="IV66" s="32"/>
      <c r="IW66" s="72" t="str">
        <f t="array" ref="IW66">IFERROR(IF(XLOOKUP(CONCAT(IU66,IV66),'MASTER PLAN'!$AB:$AB,'MASTER PLAN'!$J:$J,0,0)=0,"",XLOOKUP(CONCAT(IU66,IV66),'MASTER PLAN'!$AB:$AB,'MASTER PLAN'!$J:$J,0,0)),"")</f>
        <v/>
      </c>
      <c r="IX66" s="73" t="str">
        <f t="array" ref="IX66">IFERROR(IF(XLOOKUP(CONCAT(IU66,IV66),'PROCESOS PRD'!$J:$J,'PROCESOS PRD'!$H:$H,0,0)=0,"",XLOOKUP(CONCAT(IU66,IV66),'PROCESOS PRD'!$J:$J,'PROCESOS PRD'!$H:$H,0,0)),"")</f>
        <v/>
      </c>
      <c r="IY66" s="71"/>
      <c r="IZ66" s="32"/>
      <c r="JA66" s="72" t="str">
        <f t="array" ref="JA66">IFERROR(IF(XLOOKUP(CONCAT(IY66,IZ66),'MASTER PLAN'!$AB:$AB,'MASTER PLAN'!$J:$J,0,0)=0,"",XLOOKUP(CONCAT(IY66,IZ66),'MASTER PLAN'!$AB:$AB,'MASTER PLAN'!$J:$J,0,0)),"")</f>
        <v/>
      </c>
      <c r="JB66" s="73" t="str">
        <f t="array" ref="JB66">IFERROR(IF(XLOOKUP(CONCAT(IY66,IZ66),'PROCESOS PRD'!$J:$J,'PROCESOS PRD'!$H:$H,0,0)=0,"",XLOOKUP(CONCAT(IY66,IZ66),'PROCESOS PRD'!$J:$J,'PROCESOS PRD'!$H:$H,0,0)),"")</f>
        <v/>
      </c>
      <c r="JC66" s="71"/>
      <c r="JD66" s="32"/>
      <c r="JE66" s="72" t="str">
        <f t="array" ref="JE66">IFERROR(IF(XLOOKUP(CONCAT(JC66,JD66),'MASTER PLAN'!$AB:$AB,'MASTER PLAN'!$J:$J,0,0)=0,"",XLOOKUP(CONCAT(JC66,JD66),'MASTER PLAN'!$AB:$AB,'MASTER PLAN'!$J:$J,0,0)),"")</f>
        <v/>
      </c>
      <c r="JF66" s="73" t="str">
        <f t="array" ref="JF66">IFERROR(IF(XLOOKUP(CONCAT(JC66,JD66),'PROCESOS PRD'!$J:$J,'PROCESOS PRD'!$H:$H,0,0)=0,"",XLOOKUP(CONCAT(JC66,JD66),'PROCESOS PRD'!$J:$J,'PROCESOS PRD'!$H:$H,0,0)),"")</f>
        <v/>
      </c>
      <c r="JG66" s="71"/>
      <c r="JH66" s="32"/>
      <c r="JI66" s="72" t="str">
        <f t="array" ref="JI66">IFERROR(IF(XLOOKUP(CONCAT(JG66,JH66),'MASTER PLAN'!$AB:$AB,'MASTER PLAN'!$J:$J,0,0)=0,"",XLOOKUP(CONCAT(JG66,JH66),'MASTER PLAN'!$AB:$AB,'MASTER PLAN'!$J:$J,0,0)),"")</f>
        <v/>
      </c>
      <c r="JJ66" s="73" t="str">
        <f t="array" ref="JJ66">IFERROR(IF(XLOOKUP(CONCAT(JG66,JH66),'PROCESOS PRD'!$J:$J,'PROCESOS PRD'!$H:$H,0,0)=0,"",XLOOKUP(CONCAT(JG66,JH66),'PROCESOS PRD'!$J:$J,'PROCESOS PRD'!$H:$H,0,0)),"")</f>
        <v/>
      </c>
      <c r="JK66" s="70"/>
      <c r="JL66" s="71"/>
      <c r="JM66" s="32"/>
      <c r="JN66" s="72" t="str">
        <f t="array" ref="JN66">IFERROR(IF(XLOOKUP(CONCAT(JL66,JM66),'MASTER PLAN'!$AB:$AB,'MASTER PLAN'!$J:$J,0,0)=0,"",XLOOKUP(CONCAT(JL66,JM66),'MASTER PLAN'!$AB:$AB,'MASTER PLAN'!$J:$J,0,0)),"")</f>
        <v/>
      </c>
      <c r="JO66" s="73" t="str">
        <f t="array" ref="JO66">IFERROR(IF(XLOOKUP(CONCAT(JL66,JM66),'PROCESOS PRD'!$J:$J,'PROCESOS PRD'!$H:$H,0,0)=0,"",XLOOKUP(CONCAT(JL66,JM66),'PROCESOS PRD'!$J:$J,'PROCESOS PRD'!$H:$H,0,0)),"")</f>
        <v/>
      </c>
      <c r="JP66" s="71"/>
      <c r="JQ66" s="32"/>
      <c r="JR66" s="72" t="str">
        <f t="array" ref="JR66">IFERROR(IF(XLOOKUP(CONCAT(JP66,JQ66),'MASTER PLAN'!$AB:$AB,'MASTER PLAN'!$J:$J,0,0)=0,"",XLOOKUP(CONCAT(JP66,JQ66),'MASTER PLAN'!$AB:$AB,'MASTER PLAN'!$J:$J,0,0)),"")</f>
        <v/>
      </c>
      <c r="JS66" s="73" t="str">
        <f t="array" ref="JS66">IFERROR(IF(XLOOKUP(CONCAT(JP66,JQ66),'PROCESOS PRD'!$J:$J,'PROCESOS PRD'!$H:$H,0,0)=0,"",XLOOKUP(CONCAT(JP66,JQ66),'PROCESOS PRD'!$J:$J,'PROCESOS PRD'!$H:$H,0,0)),"")</f>
        <v/>
      </c>
      <c r="JT66" s="71"/>
      <c r="JU66" s="32"/>
      <c r="JV66" s="72" t="str">
        <f t="array" ref="JV66">IFERROR(IF(XLOOKUP(CONCAT(JT66,JU66),'MASTER PLAN'!$AB:$AB,'MASTER PLAN'!$J:$J,0,0)=0,"",XLOOKUP(CONCAT(JT66,JU66),'MASTER PLAN'!$AB:$AB,'MASTER PLAN'!$J:$J,0,0)),"")</f>
        <v/>
      </c>
      <c r="JW66" s="73" t="str">
        <f t="array" ref="JW66">IFERROR(IF(XLOOKUP(CONCAT(JT66,JU66),'PROCESOS PRD'!$J:$J,'PROCESOS PRD'!$H:$H,0,0)=0,"",XLOOKUP(CONCAT(JT66,JU66),'PROCESOS PRD'!$J:$J,'PROCESOS PRD'!$H:$H,0,0)),"")</f>
        <v/>
      </c>
      <c r="JX66" s="71"/>
      <c r="JY66" s="32"/>
      <c r="JZ66" s="72" t="str">
        <f t="array" ref="JZ66">IFERROR(IF(XLOOKUP(CONCAT(JX66,JY66),'MASTER PLAN'!$AB:$AB,'MASTER PLAN'!$J:$J,0,0)=0,"",XLOOKUP(CONCAT(JX66,JY66),'MASTER PLAN'!$AB:$AB,'MASTER PLAN'!$J:$J,0,0)),"")</f>
        <v/>
      </c>
      <c r="KA66" s="73" t="str">
        <f t="array" ref="KA66">IFERROR(IF(XLOOKUP(CONCAT(JX66,JY66),'PROCESOS PRD'!$J:$J,'PROCESOS PRD'!$H:$H,0,0)=0,"",XLOOKUP(CONCAT(JX66,JY66),'PROCESOS PRD'!$J:$J,'PROCESOS PRD'!$H:$H,0,0)),"")</f>
        <v/>
      </c>
      <c r="KB66" s="71"/>
      <c r="KC66" s="32"/>
      <c r="KD66" s="72" t="str">
        <f t="array" ref="KD66">IFERROR(IF(XLOOKUP(CONCAT(KB66,KC66),'MASTER PLAN'!$AB:$AB,'MASTER PLAN'!$J:$J,0,0)=0,"",XLOOKUP(CONCAT(KB66,KC66),'MASTER PLAN'!$AB:$AB,'MASTER PLAN'!$J:$J,0,0)),"")</f>
        <v/>
      </c>
      <c r="KE66" s="73" t="str">
        <f t="array" ref="KE66">IFERROR(IF(XLOOKUP(CONCAT(KB66,KC66),'PROCESOS PRD'!$J:$J,'PROCESOS PRD'!$H:$H,0,0)=0,"",XLOOKUP(CONCAT(KB66,KC66),'PROCESOS PRD'!$J:$J,'PROCESOS PRD'!$H:$H,0,0)),"")</f>
        <v/>
      </c>
      <c r="KF66" s="71"/>
      <c r="KG66" s="32"/>
      <c r="KH66" s="72" t="str">
        <f t="array" ref="KH66">IFERROR(IF(XLOOKUP(CONCAT(KF66,KG66),'MASTER PLAN'!$AB:$AB,'MASTER PLAN'!$J:$J,0,0)=0,"",XLOOKUP(CONCAT(KF66,KG66),'MASTER PLAN'!$AB:$AB,'MASTER PLAN'!$J:$J,0,0)),"")</f>
        <v/>
      </c>
      <c r="KI66" s="73" t="str">
        <f t="array" ref="KI66">IFERROR(IF(XLOOKUP(CONCAT(KF66,KG66),'PROCESOS PRD'!$J:$J,'PROCESOS PRD'!$H:$H,0,0)=0,"",XLOOKUP(CONCAT(KF66,KG66),'PROCESOS PRD'!$J:$J,'PROCESOS PRD'!$H:$H,0,0)),"")</f>
        <v/>
      </c>
      <c r="KJ66" s="70"/>
      <c r="KK66" s="70"/>
      <c r="KL66" s="70"/>
      <c r="KM66" s="70"/>
      <c r="KN66" s="70"/>
      <c r="KO66" s="70"/>
      <c r="KP66" s="70"/>
      <c r="KQ66" s="70"/>
      <c r="KR66" s="70"/>
      <c r="KS66" s="70"/>
      <c r="KT66" s="70"/>
      <c r="KU66" s="70"/>
      <c r="KV66" s="70"/>
      <c r="KW66" s="70"/>
      <c r="KX66" s="70"/>
      <c r="KY66" s="70"/>
      <c r="KZ66" s="70"/>
      <c r="LA66" s="70"/>
      <c r="LB66" s="70"/>
      <c r="LC66" s="70"/>
    </row>
    <row r="67" ht="15.75" customHeight="1">
      <c r="A67" s="42"/>
      <c r="B67" s="74"/>
      <c r="C67" s="69"/>
      <c r="D67" s="70"/>
      <c r="E67" s="71"/>
      <c r="F67" s="32"/>
      <c r="G67" s="72" t="str">
        <f t="array" ref="G67">IFERROR(IF(XLOOKUP(CONCAT(E67,F67),'MASTER PLAN'!$AB:$AB,'MASTER PLAN'!$J:$J,0,0)=0,"",XLOOKUP(CONCAT(E67,F67),'MASTER PLAN'!$AB:$AB,'MASTER PLAN'!$J:$J,0,0)),"")</f>
        <v/>
      </c>
      <c r="H67" s="73" t="str">
        <f t="array" ref="H67">IFERROR(IF(XLOOKUP(CONCAT(E67,F67),'PROCESOS PRD'!$J:$J,'PROCESOS PRD'!$H:$H,0,0)=0,"",XLOOKUP(CONCAT(E67,F67),'PROCESOS PRD'!$J:$J,'PROCESOS PRD'!$H:$H,0,0)),"")</f>
        <v/>
      </c>
      <c r="I67" s="71"/>
      <c r="J67" s="32"/>
      <c r="K67" s="72" t="str">
        <f t="array" ref="K67">IFERROR(IF(XLOOKUP(CONCAT(I67,J67),'MASTER PLAN'!$AB:$AB,'MASTER PLAN'!$J:$J,0,0)=0,"",XLOOKUP(CONCAT(I67,J67),'MASTER PLAN'!$AB:$AB,'MASTER PLAN'!$J:$J,0,0)),"")</f>
        <v/>
      </c>
      <c r="L67" s="73" t="str">
        <f t="array" ref="L67">IFERROR(IF(XLOOKUP(CONCAT(I67,J67),'PROCESOS PRD'!$J:$J,'PROCESOS PRD'!$H:$H,0,0)=0,"",XLOOKUP(CONCAT(I67,J67),'PROCESOS PRD'!$J:$J,'PROCESOS PRD'!$H:$H,0,0)),"")</f>
        <v/>
      </c>
      <c r="M67" s="71"/>
      <c r="N67" s="32"/>
      <c r="O67" s="72" t="str">
        <f t="array" ref="O67">IFERROR(IF(XLOOKUP(CONCAT(M67,N67),'MASTER PLAN'!$AB:$AB,'MASTER PLAN'!$J:$J,0,0)=0,"",XLOOKUP(CONCAT(M67,N67),'MASTER PLAN'!$AB:$AB,'MASTER PLAN'!$J:$J,0,0)),"")</f>
        <v/>
      </c>
      <c r="P67" s="73" t="str">
        <f t="array" ref="P67">IFERROR(IF(XLOOKUP(CONCAT(M67,N67),'PROCESOS PRD'!$J:$J,'PROCESOS PRD'!$H:$H,0,0)=0,"",XLOOKUP(CONCAT(M67,N67),'PROCESOS PRD'!$J:$J,'PROCESOS PRD'!$H:$H,0,0)),"")</f>
        <v/>
      </c>
      <c r="Q67" s="71"/>
      <c r="R67" s="32"/>
      <c r="S67" s="72" t="str">
        <f t="array" ref="S67">IFERROR(IF(XLOOKUP(CONCAT(Q67,R67),'MASTER PLAN'!$AB:$AB,'MASTER PLAN'!$J:$J,0,0)=0,"",XLOOKUP(CONCAT(Q67,R67),'MASTER PLAN'!$AB:$AB,'MASTER PLAN'!$J:$J,0,0)),"")</f>
        <v/>
      </c>
      <c r="T67" s="73" t="str">
        <f t="array" ref="T67">IFERROR(IF(XLOOKUP(CONCAT(Q67,R67),'PROCESOS PRD'!$J:$J,'PROCESOS PRD'!$H:$H,0,0)=0,"",XLOOKUP(CONCAT(Q67,R67),'PROCESOS PRD'!$J:$J,'PROCESOS PRD'!$H:$H,0,0)),"")</f>
        <v/>
      </c>
      <c r="U67" s="70"/>
      <c r="V67" s="71"/>
      <c r="W67" s="32"/>
      <c r="X67" s="72" t="str">
        <f t="array" ref="X67">IFERROR(IF(XLOOKUP(CONCAT(V67,W67),'MASTER PLAN'!$AB:$AB,'MASTER PLAN'!$J:$J,0,0)=0,"",XLOOKUP(CONCAT(V67,W67),'MASTER PLAN'!$AB:$AB,'MASTER PLAN'!$J:$J,0,0)),"")</f>
        <v/>
      </c>
      <c r="Y67" s="73" t="str">
        <f t="array" ref="Y67">IFERROR(IF(XLOOKUP(CONCAT(V67,W67),'PROCESOS PRD'!$J:$J,'PROCESOS PRD'!$H:$H,0,0)=0,"",XLOOKUP(CONCAT(V67,W67),'PROCESOS PRD'!$J:$J,'PROCESOS PRD'!$H:$H,0,0)),"")</f>
        <v/>
      </c>
      <c r="Z67" s="71"/>
      <c r="AA67" s="32"/>
      <c r="AB67" s="72" t="str">
        <f t="array" ref="AB67">IFERROR(IF(XLOOKUP(CONCAT(Z67,AA67),'MASTER PLAN'!$AB:$AB,'MASTER PLAN'!$J:$J,0,0)=0,"",XLOOKUP(CONCAT(Z67,AA67),'MASTER PLAN'!$AB:$AB,'MASTER PLAN'!$J:$J,0,0)),"")</f>
        <v/>
      </c>
      <c r="AC67" s="73" t="str">
        <f t="array" ref="AC67">IFERROR(IF(XLOOKUP(CONCAT(Z67,AA67),'PROCESOS PRD'!$J:$J,'PROCESOS PRD'!$H:$H,0,0)=0,"",XLOOKUP(CONCAT(Z67,AA67),'PROCESOS PRD'!$J:$J,'PROCESOS PRD'!$H:$H,0,0)),"")</f>
        <v/>
      </c>
      <c r="AD67" s="71"/>
      <c r="AE67" s="32"/>
      <c r="AF67" s="72" t="str">
        <f t="array" ref="AF67">IFERROR(IF(XLOOKUP(CONCAT(AD67,AE67),'MASTER PLAN'!$AB:$AB,'MASTER PLAN'!$J:$J,0,0)=0,"",XLOOKUP(CONCAT(AD67,AE67),'MASTER PLAN'!$AB:$AB,'MASTER PLAN'!$J:$J,0,0)),"")</f>
        <v/>
      </c>
      <c r="AG67" s="73" t="str">
        <f t="array" ref="AG67">IFERROR(IF(XLOOKUP(CONCAT(AD67,AE67),'PROCESOS PRD'!$J:$J,'PROCESOS PRD'!$H:$H,0,0)=0,"",XLOOKUP(CONCAT(AD67,AE67),'PROCESOS PRD'!$J:$J,'PROCESOS PRD'!$H:$H,0,0)),"")</f>
        <v/>
      </c>
      <c r="AH67" s="71"/>
      <c r="AI67" s="32"/>
      <c r="AJ67" s="72" t="str">
        <f t="array" ref="AJ67">IFERROR(IF(XLOOKUP(CONCAT(AH67,AI67),'MASTER PLAN'!$AB:$AB,'MASTER PLAN'!$J:$J,0,0)=0,"",XLOOKUP(CONCAT(AH67,AI67),'MASTER PLAN'!$AB:$AB,'MASTER PLAN'!$J:$J,0,0)),"")</f>
        <v/>
      </c>
      <c r="AK67" s="73" t="str">
        <f t="array" ref="AK67">IFERROR(IF(XLOOKUP(CONCAT(AH67,AI67),'PROCESOS PRD'!$J:$J,'PROCESOS PRD'!$H:$H,0,0)=0,"",XLOOKUP(CONCAT(AH67,AI67),'PROCESOS PRD'!$J:$J,'PROCESOS PRD'!$H:$H,0,0)),"")</f>
        <v/>
      </c>
      <c r="AL67" s="71"/>
      <c r="AM67" s="32"/>
      <c r="AN67" s="72" t="str">
        <f t="array" ref="AN67">IFERROR(IF(XLOOKUP(CONCAT(AL67,AM67),'MASTER PLAN'!$AB:$AB,'MASTER PLAN'!$J:$J,0,0)=0,"",XLOOKUP(CONCAT(AL67,AM67),'MASTER PLAN'!$AB:$AB,'MASTER PLAN'!$J:$J,0,0)),"")</f>
        <v/>
      </c>
      <c r="AO67" s="73" t="str">
        <f t="array" ref="AO67">IFERROR(IF(XLOOKUP(CONCAT(AL67,AM67),'PROCESOS PRD'!$J:$J,'PROCESOS PRD'!$H:$H,0,0)=0,"",XLOOKUP(CONCAT(AL67,AM67),'PROCESOS PRD'!$J:$J,'PROCESOS PRD'!$H:$H,0,0)),"")</f>
        <v/>
      </c>
      <c r="AP67" s="71"/>
      <c r="AQ67" s="32"/>
      <c r="AR67" s="72" t="str">
        <f t="array" ref="AR67">IFERROR(IF(XLOOKUP(CONCAT(AP67,AQ67),'MASTER PLAN'!$AB:$AB,'MASTER PLAN'!$J:$J,0,0)=0,"",XLOOKUP(CONCAT(AP67,AQ67),'MASTER PLAN'!$AB:$AB,'MASTER PLAN'!$J:$J,0,0)),"")</f>
        <v/>
      </c>
      <c r="AS67" s="73" t="str">
        <f t="array" ref="AS67">IFERROR(IF(XLOOKUP(CONCAT(AP67,AQ67),'PROCESOS PRD'!$J:$J,'PROCESOS PRD'!$H:$H,0,0)=0,"",XLOOKUP(CONCAT(AP67,AQ67),'PROCESOS PRD'!$J:$J,'PROCESOS PRD'!$H:$H,0,0)),"")</f>
        <v/>
      </c>
      <c r="AT67" s="70"/>
      <c r="AU67" s="71"/>
      <c r="AV67" s="32"/>
      <c r="AW67" s="72" t="str">
        <f t="array" ref="AW67">IFERROR(IF(XLOOKUP(CONCAT(AU67,AV67),'MASTER PLAN'!$AB:$AB,'MASTER PLAN'!$J:$J,0,0)=0,"",XLOOKUP(CONCAT(AU67,AV67),'MASTER PLAN'!$AB:$AB,'MASTER PLAN'!$J:$J,0,0)),"")</f>
        <v/>
      </c>
      <c r="AX67" s="73" t="str">
        <f t="array" ref="AX67">IFERROR(IF(XLOOKUP(CONCAT(AU67,AV67),'PROCESOS PRD'!$J:$J,'PROCESOS PRD'!$H:$H,0,0)=0,"",XLOOKUP(CONCAT(AU67,AV67),'PROCESOS PRD'!$J:$J,'PROCESOS PRD'!$H:$H,0,0)),"")</f>
        <v/>
      </c>
      <c r="AY67" s="71"/>
      <c r="AZ67" s="32"/>
      <c r="BA67" s="72" t="str">
        <f t="array" ref="BA67">IFERROR(IF(XLOOKUP(CONCAT(AY67,AZ67),'MASTER PLAN'!$AB:$AB,'MASTER PLAN'!$J:$J,0,0)=0,"",XLOOKUP(CONCAT(AY67,AZ67),'MASTER PLAN'!$AB:$AB,'MASTER PLAN'!$J:$J,0,0)),"")</f>
        <v/>
      </c>
      <c r="BB67" s="73" t="str">
        <f t="array" ref="BB67">IFERROR(IF(XLOOKUP(CONCAT(AY67,AZ67),'PROCESOS PRD'!$J:$J,'PROCESOS PRD'!$H:$H,0,0)=0,"",XLOOKUP(CONCAT(AY67,AZ67),'PROCESOS PRD'!$J:$J,'PROCESOS PRD'!$H:$H,0,0)),"")</f>
        <v/>
      </c>
      <c r="BC67" s="71"/>
      <c r="BD67" s="32"/>
      <c r="BE67" s="72" t="str">
        <f t="array" ref="BE67">IFERROR(IF(XLOOKUP(CONCAT(BC67,BD67),'MASTER PLAN'!$AB:$AB,'MASTER PLAN'!$J:$J,0,0)=0,"",XLOOKUP(CONCAT(BC67,BD67),'MASTER PLAN'!$AB:$AB,'MASTER PLAN'!$J:$J,0,0)),"")</f>
        <v/>
      </c>
      <c r="BF67" s="73" t="str">
        <f t="array" ref="BF67">IFERROR(IF(XLOOKUP(CONCAT(BC67,BD67),'PROCESOS PRD'!$J:$J,'PROCESOS PRD'!$H:$H,0,0)=0,"",XLOOKUP(CONCAT(BC67,BD67),'PROCESOS PRD'!$J:$J,'PROCESOS PRD'!$H:$H,0,0)),"")</f>
        <v/>
      </c>
      <c r="BG67" s="71">
        <v>1.40204935E9</v>
      </c>
      <c r="BH67" s="32">
        <v>20.0</v>
      </c>
      <c r="BI67" s="72" t="str">
        <f t="array" ref="BI67">IFERROR(IF(XLOOKUP(CONCAT(BG67,BH67),'MASTER PLAN'!$AB:$AB,'MASTER PLAN'!$J:$J,0,0)=0,"",XLOOKUP(CONCAT(BG67,BH67),'MASTER PLAN'!$AB:$AB,'MASTER PLAN'!$J:$J,0,0)),"")</f>
        <v>BOLSA WSMJ MAYORS WOS 10"X6"X10" FA</v>
      </c>
      <c r="BJ67" s="73">
        <f t="array" ref="BJ67">IFERROR(IF(XLOOKUP(CONCAT(BG67,BH67),'PROCESOS PRD'!$J:$J,'PROCESOS PRD'!$H:$H,0,0)=0,"",XLOOKUP(CONCAT(BG67,BH67),'PROCESOS PRD'!$J:$J,'PROCESOS PRD'!$H:$H,0,0)),"")</f>
        <v>14400</v>
      </c>
      <c r="BK67" s="71">
        <v>1.40204935E9</v>
      </c>
      <c r="BL67" s="32">
        <v>20.0</v>
      </c>
      <c r="BM67" s="72" t="str">
        <f t="array" ref="BM67">IFERROR(IF(XLOOKUP(CONCAT(BK67,BL67),'MASTER PLAN'!$AB:$AB,'MASTER PLAN'!$J:$J,0,0)=0,"",XLOOKUP(CONCAT(BK67,BL67),'MASTER PLAN'!$AB:$AB,'MASTER PLAN'!$J:$J,0,0)),"")</f>
        <v>BOLSA WSMJ MAYORS WOS 10"X6"X10" FA</v>
      </c>
      <c r="BN67" s="73">
        <f t="array" ref="BN67">IFERROR(IF(XLOOKUP(CONCAT(BK67,BL67),'PROCESOS PRD'!$J:$J,'PROCESOS PRD'!$H:$H,0,0)=0,"",XLOOKUP(CONCAT(BK67,BL67),'PROCESOS PRD'!$J:$J,'PROCESOS PRD'!$H:$H,0,0)),"")</f>
        <v>14400</v>
      </c>
      <c r="BO67" s="71"/>
      <c r="BP67" s="32"/>
      <c r="BQ67" s="72" t="str">
        <f t="array" ref="BQ67">IFERROR(IF(XLOOKUP(CONCAT(BO67,BP67),'MASTER PLAN'!$AB:$AB,'MASTER PLAN'!$J:$J,0,0)=0,"",XLOOKUP(CONCAT(BO67,BP67),'MASTER PLAN'!$AB:$AB,'MASTER PLAN'!$J:$J,0,0)),"")</f>
        <v/>
      </c>
      <c r="BR67" s="73" t="str">
        <f t="array" ref="BR67">IFERROR(IF(XLOOKUP(CONCAT(BO67,BP67),'PROCESOS PRD'!$J:$J,'PROCESOS PRD'!$H:$H,0,0)=0,"",XLOOKUP(CONCAT(BO67,BP67),'PROCESOS PRD'!$J:$J,'PROCESOS PRD'!$H:$H,0,0)),"")</f>
        <v/>
      </c>
      <c r="BS67" s="70"/>
      <c r="BT67" s="71"/>
      <c r="BU67" s="32"/>
      <c r="BV67" s="72" t="str">
        <f t="array" ref="BV67">IFERROR(IF(XLOOKUP(CONCAT(BT67,BU67),'MASTER PLAN'!$AB:$AB,'MASTER PLAN'!$J:$J,0,0)=0,"",XLOOKUP(CONCAT(BT67,BU67),'MASTER PLAN'!$AB:$AB,'MASTER PLAN'!$J:$J,0,0)),"")</f>
        <v/>
      </c>
      <c r="BW67" s="73" t="str">
        <f t="array" ref="BW67">IFERROR(IF(XLOOKUP(CONCAT(BT67,BU67),'PROCESOS PRD'!$J:$J,'PROCESOS PRD'!$H:$H,0,0)=0,"",XLOOKUP(CONCAT(BT67,BU67),'PROCESOS PRD'!$J:$J,'PROCESOS PRD'!$H:$H,0,0)),"")</f>
        <v/>
      </c>
      <c r="BX67" s="71">
        <v>1.402049351E9</v>
      </c>
      <c r="BY67" s="32">
        <v>20.0</v>
      </c>
      <c r="BZ67" s="72" t="str">
        <f t="array" ref="BZ67">IFERROR(IF(XLOOKUP(CONCAT(BX67,BY67),'MASTER PLAN'!$AB:$AB,'MASTER PLAN'!$J:$J,0,0)=0,"",XLOOKUP(CONCAT(BX67,BY67),'MASTER PLAN'!$AB:$AB,'MASTER PLAN'!$J:$J,0,0)),"")</f>
        <v>BOLSA WATERFALL JEWELERS 8"X4"X10"</v>
      </c>
      <c r="CA67" s="73">
        <f t="array" ref="CA67">IFERROR(IF(XLOOKUP(CONCAT(BX67,BY67),'PROCESOS PRD'!$J:$J,'PROCESOS PRD'!$H:$H,0,0)=0,"",XLOOKUP(CONCAT(BX67,BY67),'PROCESOS PRD'!$J:$J,'PROCESOS PRD'!$H:$H,0,0)),"")</f>
        <v>1200</v>
      </c>
      <c r="CB67" s="71">
        <v>1.402049419E9</v>
      </c>
      <c r="CC67" s="32">
        <v>20.0</v>
      </c>
      <c r="CD67" s="72" t="str">
        <f t="array" ref="CD67">IFERROR(IF(XLOOKUP(CONCAT(CB67,CC67),'MASTER PLAN'!$AB:$AB,'MASTER PLAN'!$J:$J,0,0)=0,"",XLOOKUP(CONCAT(CB67,CC67),'MASTER PLAN'!$AB:$AB,'MASTER PLAN'!$J:$J,0,0)),"")</f>
        <v>BOLSA COMERCIAL SORIA 6-5X3-5X6-5 IN FC</v>
      </c>
      <c r="CE67" s="73">
        <f t="array" ref="CE67">IFERROR(IF(XLOOKUP(CONCAT(CB67,CC67),'PROCESOS PRD'!$J:$J,'PROCESOS PRD'!$H:$H,0,0)=0,"",XLOOKUP(CONCAT(CB67,CC67),'PROCESOS PRD'!$J:$J,'PROCESOS PRD'!$H:$H,0,0)),"")</f>
        <v>1800</v>
      </c>
      <c r="CF67" s="71">
        <v>1.402049321E9</v>
      </c>
      <c r="CG67" s="32">
        <v>10.0</v>
      </c>
      <c r="CH67" s="72" t="str">
        <f t="array" ref="CH67">IFERROR(IF(XLOOKUP(CONCAT(CF67,CG67),'MASTER PLAN'!$AB:$AB,'MASTER PLAN'!$J:$J,0,0)=0,"",XLOOKUP(CONCAT(CF67,CG67),'MASTER PLAN'!$AB:$AB,'MASTER PLAN'!$J:$J,0,0)),"")</f>
        <v>BOLSA BRILLANTI 6-5"X3-5"X6-5"</v>
      </c>
      <c r="CI67" s="73">
        <f t="array" ref="CI67">IFERROR(IF(XLOOKUP(CONCAT(CF67,CG67),'PROCESOS PRD'!$J:$J,'PROCESOS PRD'!$H:$H,0,0)=0,"",XLOOKUP(CONCAT(CF67,CG67),'PROCESOS PRD'!$J:$J,'PROCESOS PRD'!$H:$H,0,0)),"")</f>
        <v>3000</v>
      </c>
      <c r="CJ67" s="71"/>
      <c r="CK67" s="32"/>
      <c r="CL67" s="72" t="str">
        <f t="array" ref="CL67">IFERROR(IF(XLOOKUP(CONCAT(CJ67,CK67),'MASTER PLAN'!$AB:$AB,'MASTER PLAN'!$J:$J,0,0)=0,"",XLOOKUP(CONCAT(CJ67,CK67),'MASTER PLAN'!$AB:$AB,'MASTER PLAN'!$J:$J,0,0)),"")</f>
        <v/>
      </c>
      <c r="CM67" s="73" t="str">
        <f t="array" ref="CM67">IFERROR(IF(XLOOKUP(CONCAT(CJ67,CK67),'PROCESOS PRD'!$J:$J,'PROCESOS PRD'!$H:$H,0,0)=0,"",XLOOKUP(CONCAT(CJ67,CK67),'PROCESOS PRD'!$J:$J,'PROCESOS PRD'!$H:$H,0,0)),"")</f>
        <v/>
      </c>
      <c r="CN67" s="71"/>
      <c r="CO67" s="32"/>
      <c r="CP67" s="72" t="str">
        <f t="array" ref="CP67">IFERROR(IF(XLOOKUP(CONCAT(CN67,CO67),'MASTER PLAN'!$AB:$AB,'MASTER PLAN'!$J:$J,0,0)=0,"",XLOOKUP(CONCAT(CN67,CO67),'MASTER PLAN'!$AB:$AB,'MASTER PLAN'!$J:$J,0,0)),"")</f>
        <v/>
      </c>
      <c r="CQ67" s="73" t="str">
        <f t="array" ref="CQ67">IFERROR(IF(XLOOKUP(CONCAT(CN67,CO67),'PROCESOS PRD'!$J:$J,'PROCESOS PRD'!$H:$H,0,0)=0,"",XLOOKUP(CONCAT(CN67,CO67),'PROCESOS PRD'!$J:$J,'PROCESOS PRD'!$H:$H,0,0)),"")</f>
        <v/>
      </c>
      <c r="CR67" s="70"/>
      <c r="CS67" s="71"/>
      <c r="CT67" s="32"/>
      <c r="CU67" s="72" t="str">
        <f t="array" ref="CU67">IFERROR(IF(XLOOKUP(CONCAT(CS67,CT67),'MASTER PLAN'!$AB:$AB,'MASTER PLAN'!$J:$J,0,0)=0,"",XLOOKUP(CONCAT(CS67,CT67),'MASTER PLAN'!$AB:$AB,'MASTER PLAN'!$J:$J,0,0)),"")</f>
        <v/>
      </c>
      <c r="CV67" s="73" t="str">
        <f t="array" ref="CV67">IFERROR(IF(XLOOKUP(CONCAT(CS67,CT67),'PROCESOS PRD'!$J:$J,'PROCESOS PRD'!$H:$H,0,0)=0,"",XLOOKUP(CONCAT(CS67,CT67),'PROCESOS PRD'!$J:$J,'PROCESOS PRD'!$H:$H,0,0)),"")</f>
        <v/>
      </c>
      <c r="CW67" s="71"/>
      <c r="CX67" s="32"/>
      <c r="CY67" s="72" t="str">
        <f t="array" ref="CY67">IFERROR(IF(XLOOKUP(CONCAT(CW67,CX67),'MASTER PLAN'!$AB:$AB,'MASTER PLAN'!$J:$J,0,0)=0,"",XLOOKUP(CONCAT(CW67,CX67),'MASTER PLAN'!$AB:$AB,'MASTER PLAN'!$J:$J,0,0)),"")</f>
        <v/>
      </c>
      <c r="CZ67" s="73" t="str">
        <f t="array" ref="CZ67">IFERROR(IF(XLOOKUP(CONCAT(CW67,CX67),'PROCESOS PRD'!$J:$J,'PROCESOS PRD'!$H:$H,0,0)=0,"",XLOOKUP(CONCAT(CW67,CX67),'PROCESOS PRD'!$J:$J,'PROCESOS PRD'!$H:$H,0,0)),"")</f>
        <v/>
      </c>
      <c r="DA67" s="71"/>
      <c r="DB67" s="32"/>
      <c r="DC67" s="72" t="str">
        <f t="array" ref="DC67">IFERROR(IF(XLOOKUP(CONCAT(DA67,DB67),'MASTER PLAN'!$AB:$AB,'MASTER PLAN'!$J:$J,0,0)=0,"",XLOOKUP(CONCAT(DA67,DB67),'MASTER PLAN'!$AB:$AB,'MASTER PLAN'!$J:$J,0,0)),"")</f>
        <v/>
      </c>
      <c r="DD67" s="73" t="str">
        <f t="array" ref="DD67">IFERROR(IF(XLOOKUP(CONCAT(DA67,DB67),'PROCESOS PRD'!$J:$J,'PROCESOS PRD'!$H:$H,0,0)=0,"",XLOOKUP(CONCAT(DA67,DB67),'PROCESOS PRD'!$J:$J,'PROCESOS PRD'!$H:$H,0,0)),"")</f>
        <v/>
      </c>
      <c r="DE67" s="71"/>
      <c r="DF67" s="32"/>
      <c r="DG67" s="72" t="str">
        <f t="array" ref="DG67">IFERROR(IF(XLOOKUP(CONCAT(DE67,DF67),'MASTER PLAN'!$AB:$AB,'MASTER PLAN'!$J:$J,0,0)=0,"",XLOOKUP(CONCAT(DE67,DF67),'MASTER PLAN'!$AB:$AB,'MASTER PLAN'!$J:$J,0,0)),"")</f>
        <v/>
      </c>
      <c r="DH67" s="73" t="str">
        <f t="array" ref="DH67">IFERROR(IF(XLOOKUP(CONCAT(DE67,DF67),'PROCESOS PRD'!$J:$J,'PROCESOS PRD'!$H:$H,0,0)=0,"",XLOOKUP(CONCAT(DE67,DF67),'PROCESOS PRD'!$J:$J,'PROCESOS PRD'!$H:$H,0,0)),"")</f>
        <v/>
      </c>
      <c r="DI67" s="71"/>
      <c r="DJ67" s="32"/>
      <c r="DK67" s="72" t="str">
        <f t="array" ref="DK67">IFERROR(IF(XLOOKUP(CONCAT(DI67,DJ67),'MASTER PLAN'!$AB:$AB,'MASTER PLAN'!$J:$J,0,0)=0,"",XLOOKUP(CONCAT(DI67,DJ67),'MASTER PLAN'!$AB:$AB,'MASTER PLAN'!$J:$J,0,0)),"")</f>
        <v/>
      </c>
      <c r="DL67" s="73" t="str">
        <f t="array" ref="DL67">IFERROR(IF(XLOOKUP(CONCAT(DI67,DJ67),'PROCESOS PRD'!$J:$J,'PROCESOS PRD'!$H:$H,0,0)=0,"",XLOOKUP(CONCAT(DI67,DJ67),'PROCESOS PRD'!$J:$J,'PROCESOS PRD'!$H:$H,0,0)),"")</f>
        <v/>
      </c>
      <c r="DM67" s="71"/>
      <c r="DN67" s="32"/>
      <c r="DO67" s="72" t="str">
        <f t="array" ref="DO67">IFERROR(IF(XLOOKUP(CONCAT(DM67,DN67),'MASTER PLAN'!$AB:$AB,'MASTER PLAN'!$J:$J,0,0)=0,"",XLOOKUP(CONCAT(DM67,DN67),'MASTER PLAN'!$AB:$AB,'MASTER PLAN'!$J:$J,0,0)),"")</f>
        <v/>
      </c>
      <c r="DP67" s="73" t="str">
        <f t="array" ref="DP67">IFERROR(IF(XLOOKUP(CONCAT(DM67,DN67),'PROCESOS PRD'!$J:$J,'PROCESOS PRD'!$H:$H,0,0)=0,"",XLOOKUP(CONCAT(DM67,DN67),'PROCESOS PRD'!$J:$J,'PROCESOS PRD'!$H:$H,0,0)),"")</f>
        <v/>
      </c>
      <c r="DQ67" s="70"/>
      <c r="DR67" s="71"/>
      <c r="DS67" s="32"/>
      <c r="DT67" s="72" t="str">
        <f t="array" ref="DT67">IFERROR(IF(XLOOKUP(CONCAT(DR67,DS67),'MASTER PLAN'!$AB:$AB,'MASTER PLAN'!$J:$J,0,0)=0,"",XLOOKUP(CONCAT(DR67,DS67),'MASTER PLAN'!$AB:$AB,'MASTER PLAN'!$J:$J,0,0)),"")</f>
        <v/>
      </c>
      <c r="DU67" s="73" t="str">
        <f t="array" ref="DU67">IFERROR(IF(XLOOKUP(CONCAT(DR67,DS67),'PROCESOS PRD'!$J:$J,'PROCESOS PRD'!$H:$H,0,0)=0,"",XLOOKUP(CONCAT(DR67,DS67),'PROCESOS PRD'!$J:$J,'PROCESOS PRD'!$H:$H,0,0)),"")</f>
        <v/>
      </c>
      <c r="DV67" s="71"/>
      <c r="DW67" s="32"/>
      <c r="DX67" s="72" t="str">
        <f t="array" ref="DX67">IFERROR(IF(XLOOKUP(CONCAT(DV67,DW67),'MASTER PLAN'!$AB:$AB,'MASTER PLAN'!$J:$J,0,0)=0,"",XLOOKUP(CONCAT(DV67,DW67),'MASTER PLAN'!$AB:$AB,'MASTER PLAN'!$J:$J,0,0)),"")</f>
        <v/>
      </c>
      <c r="DY67" s="73" t="str">
        <f t="array" ref="DY67">IFERROR(IF(XLOOKUP(CONCAT(DV67,DW67),'PROCESOS PRD'!$J:$J,'PROCESOS PRD'!$H:$H,0,0)=0,"",XLOOKUP(CONCAT(DV67,DW67),'PROCESOS PRD'!$J:$J,'PROCESOS PRD'!$H:$H,0,0)),"")</f>
        <v/>
      </c>
      <c r="DZ67" s="71"/>
      <c r="EA67" s="32"/>
      <c r="EB67" s="72" t="str">
        <f t="array" ref="EB67">IFERROR(IF(XLOOKUP(CONCAT(DZ67,EA67),'MASTER PLAN'!$AB:$AB,'MASTER PLAN'!$J:$J,0,0)=0,"",XLOOKUP(CONCAT(DZ67,EA67),'MASTER PLAN'!$AB:$AB,'MASTER PLAN'!$J:$J,0,0)),"")</f>
        <v/>
      </c>
      <c r="EC67" s="73" t="str">
        <f t="array" ref="EC67">IFERROR(IF(XLOOKUP(CONCAT(DZ67,EA67),'PROCESOS PRD'!$J:$J,'PROCESOS PRD'!$H:$H,0,0)=0,"",XLOOKUP(CONCAT(DZ67,EA67),'PROCESOS PRD'!$J:$J,'PROCESOS PRD'!$H:$H,0,0)),"")</f>
        <v/>
      </c>
      <c r="ED67" s="71"/>
      <c r="EE67" s="32"/>
      <c r="EF67" s="72" t="str">
        <f t="array" ref="EF67">IFERROR(IF(XLOOKUP(CONCAT(ED67,EE67),'MASTER PLAN'!$AB:$AB,'MASTER PLAN'!$J:$J,0,0)=0,"",XLOOKUP(CONCAT(ED67,EE67),'MASTER PLAN'!$AB:$AB,'MASTER PLAN'!$J:$J,0,0)),"")</f>
        <v/>
      </c>
      <c r="EG67" s="73" t="str">
        <f t="array" ref="EG67">IFERROR(IF(XLOOKUP(CONCAT(ED67,EE67),'PROCESOS PRD'!$J:$J,'PROCESOS PRD'!$H:$H,0,0)=0,"",XLOOKUP(CONCAT(ED67,EE67),'PROCESOS PRD'!$J:$J,'PROCESOS PRD'!$H:$H,0,0)),"")</f>
        <v/>
      </c>
      <c r="EH67" s="71"/>
      <c r="EI67" s="32"/>
      <c r="EJ67" s="72" t="str">
        <f t="array" ref="EJ67">IFERROR(IF(XLOOKUP(CONCAT(EH67,EI67),'MASTER PLAN'!$AB:$AB,'MASTER PLAN'!$J:$J,0,0)=0,"",XLOOKUP(CONCAT(EH67,EI67),'MASTER PLAN'!$AB:$AB,'MASTER PLAN'!$J:$J,0,0)),"")</f>
        <v/>
      </c>
      <c r="EK67" s="73" t="str">
        <f t="array" ref="EK67">IFERROR(IF(XLOOKUP(CONCAT(EH67,EI67),'PROCESOS PRD'!$J:$J,'PROCESOS PRD'!$H:$H,0,0)=0,"",XLOOKUP(CONCAT(EH67,EI67),'PROCESOS PRD'!$J:$J,'PROCESOS PRD'!$H:$H,0,0)),"")</f>
        <v/>
      </c>
      <c r="EL67" s="71"/>
      <c r="EM67" s="32"/>
      <c r="EN67" s="72" t="str">
        <f t="array" ref="EN67">IFERROR(IF(XLOOKUP(CONCAT(EL67,EM67),'MASTER PLAN'!$AB:$AB,'MASTER PLAN'!$J:$J,0,0)=0,"",XLOOKUP(CONCAT(EL67,EM67),'MASTER PLAN'!$AB:$AB,'MASTER PLAN'!$J:$J,0,0)),"")</f>
        <v/>
      </c>
      <c r="EO67" s="73" t="str">
        <f t="array" ref="EO67">IFERROR(IF(XLOOKUP(CONCAT(EL67,EM67),'PROCESOS PRD'!$J:$J,'PROCESOS PRD'!$H:$H,0,0)=0,"",XLOOKUP(CONCAT(EL67,EM67),'PROCESOS PRD'!$J:$J,'PROCESOS PRD'!$H:$H,0,0)),"")</f>
        <v/>
      </c>
      <c r="EP67" s="70"/>
      <c r="EQ67" s="71"/>
      <c r="ER67" s="32"/>
      <c r="ES67" s="72" t="str">
        <f t="array" ref="ES67">IFERROR(IF(XLOOKUP(CONCAT(EQ67,ER67),'MASTER PLAN'!$AB:$AB,'MASTER PLAN'!$J:$J,0,0)=0,"",XLOOKUP(CONCAT(EQ67,ER67),'MASTER PLAN'!$AB:$AB,'MASTER PLAN'!$J:$J,0,0)),"")</f>
        <v/>
      </c>
      <c r="ET67" s="73" t="str">
        <f t="array" ref="ET67">IFERROR(IF(XLOOKUP(CONCAT(EQ67,ER67),'PROCESOS PRD'!$J:$J,'PROCESOS PRD'!$H:$H,0,0)=0,"",XLOOKUP(CONCAT(EQ67,ER67),'PROCESOS PRD'!$J:$J,'PROCESOS PRD'!$H:$H,0,0)),"")</f>
        <v/>
      </c>
      <c r="EU67" s="71"/>
      <c r="EV67" s="32"/>
      <c r="EW67" s="72" t="str">
        <f t="array" ref="EW67">IFERROR(IF(XLOOKUP(CONCAT(EU67,EV67),'MASTER PLAN'!$AB:$AB,'MASTER PLAN'!$J:$J,0,0)=0,"",XLOOKUP(CONCAT(EU67,EV67),'MASTER PLAN'!$AB:$AB,'MASTER PLAN'!$J:$J,0,0)),"")</f>
        <v/>
      </c>
      <c r="EX67" s="73" t="str">
        <f t="array" ref="EX67">IFERROR(IF(XLOOKUP(CONCAT(EU67,EV67),'PROCESOS PRD'!$J:$J,'PROCESOS PRD'!$H:$H,0,0)=0,"",XLOOKUP(CONCAT(EU67,EV67),'PROCESOS PRD'!$J:$J,'PROCESOS PRD'!$H:$H,0,0)),"")</f>
        <v/>
      </c>
      <c r="EY67" s="71"/>
      <c r="EZ67" s="32"/>
      <c r="FA67" s="72" t="str">
        <f t="array" ref="FA67">IFERROR(IF(XLOOKUP(CONCAT(EY67,EZ67),'MASTER PLAN'!$AB:$AB,'MASTER PLAN'!$J:$J,0,0)=0,"",XLOOKUP(CONCAT(EY67,EZ67),'MASTER PLAN'!$AB:$AB,'MASTER PLAN'!$J:$J,0,0)),"")</f>
        <v/>
      </c>
      <c r="FB67" s="73" t="str">
        <f t="array" ref="FB67">IFERROR(IF(XLOOKUP(CONCAT(EY67,EZ67),'PROCESOS PRD'!$J:$J,'PROCESOS PRD'!$H:$H,0,0)=0,"",XLOOKUP(CONCAT(EY67,EZ67),'PROCESOS PRD'!$J:$J,'PROCESOS PRD'!$H:$H,0,0)),"")</f>
        <v/>
      </c>
      <c r="FC67" s="71"/>
      <c r="FD67" s="32"/>
      <c r="FE67" s="72" t="str">
        <f t="array" ref="FE67">IFERROR(IF(XLOOKUP(CONCAT(FC67,FD67),'MASTER PLAN'!$AB:$AB,'MASTER PLAN'!$J:$J,0,0)=0,"",XLOOKUP(CONCAT(FC67,FD67),'MASTER PLAN'!$AB:$AB,'MASTER PLAN'!$J:$J,0,0)),"")</f>
        <v/>
      </c>
      <c r="FF67" s="73" t="str">
        <f t="array" ref="FF67">IFERROR(IF(XLOOKUP(CONCAT(FC67,FD67),'PROCESOS PRD'!$J:$J,'PROCESOS PRD'!$H:$H,0,0)=0,"",XLOOKUP(CONCAT(FC67,FD67),'PROCESOS PRD'!$J:$J,'PROCESOS PRD'!$H:$H,0,0)),"")</f>
        <v/>
      </c>
      <c r="FG67" s="71"/>
      <c r="FH67" s="32"/>
      <c r="FI67" s="72" t="str">
        <f t="array" ref="FI67">IFERROR(IF(XLOOKUP(CONCAT(FG67,FH67),'MASTER PLAN'!$AB:$AB,'MASTER PLAN'!$J:$J,0,0)=0,"",XLOOKUP(CONCAT(FG67,FH67),'MASTER PLAN'!$AB:$AB,'MASTER PLAN'!$J:$J,0,0)),"")</f>
        <v/>
      </c>
      <c r="FJ67" s="73" t="str">
        <f t="array" ref="FJ67">IFERROR(IF(XLOOKUP(CONCAT(FG67,FH67),'PROCESOS PRD'!$J:$J,'PROCESOS PRD'!$H:$H,0,0)=0,"",XLOOKUP(CONCAT(FG67,FH67),'PROCESOS PRD'!$J:$J,'PROCESOS PRD'!$H:$H,0,0)),"")</f>
        <v/>
      </c>
      <c r="FK67" s="71"/>
      <c r="FL67" s="32"/>
      <c r="FM67" s="72" t="str">
        <f t="array" ref="FM67">IFERROR(IF(XLOOKUP(CONCAT(FK67,FL67),'MASTER PLAN'!$AB:$AB,'MASTER PLAN'!$J:$J,0,0)=0,"",XLOOKUP(CONCAT(FK67,FL67),'MASTER PLAN'!$AB:$AB,'MASTER PLAN'!$J:$J,0,0)),"")</f>
        <v/>
      </c>
      <c r="FN67" s="73" t="str">
        <f t="array" ref="FN67">IFERROR(IF(XLOOKUP(CONCAT(FK67,FL67),'PROCESOS PRD'!$J:$J,'PROCESOS PRD'!$H:$H,0,0)=0,"",XLOOKUP(CONCAT(FK67,FL67),'PROCESOS PRD'!$J:$J,'PROCESOS PRD'!$H:$H,0,0)),"")</f>
        <v/>
      </c>
      <c r="FO67" s="70"/>
      <c r="FP67" s="71"/>
      <c r="FQ67" s="32"/>
      <c r="FR67" s="72" t="str">
        <f t="array" ref="FR67">IFERROR(IF(XLOOKUP(CONCAT(FP67,FQ67),'MASTER PLAN'!$AB:$AB,'MASTER PLAN'!$J:$J,0,0)=0,"",XLOOKUP(CONCAT(FP67,FQ67),'MASTER PLAN'!$AB:$AB,'MASTER PLAN'!$J:$J,0,0)),"")</f>
        <v/>
      </c>
      <c r="FS67" s="73" t="str">
        <f t="array" ref="FS67">IFERROR(IF(XLOOKUP(CONCAT(FP67,FQ67),'PROCESOS PRD'!$J:$J,'PROCESOS PRD'!$H:$H,0,0)=0,"",XLOOKUP(CONCAT(FP67,FQ67),'PROCESOS PRD'!$J:$J,'PROCESOS PRD'!$H:$H,0,0)),"")</f>
        <v/>
      </c>
      <c r="FT67" s="71"/>
      <c r="FU67" s="32"/>
      <c r="FV67" s="72" t="str">
        <f t="array" ref="FV67">IFERROR(IF(XLOOKUP(CONCAT(FT67,FU67),'MASTER PLAN'!$AB:$AB,'MASTER PLAN'!$J:$J,0,0)=0,"",XLOOKUP(CONCAT(FT67,FU67),'MASTER PLAN'!$AB:$AB,'MASTER PLAN'!$J:$J,0,0)),"")</f>
        <v/>
      </c>
      <c r="FW67" s="73" t="str">
        <f t="array" ref="FW67">IFERROR(IF(XLOOKUP(CONCAT(FT67,FU67),'PROCESOS PRD'!$J:$J,'PROCESOS PRD'!$H:$H,0,0)=0,"",XLOOKUP(CONCAT(FT67,FU67),'PROCESOS PRD'!$J:$J,'PROCESOS PRD'!$H:$H,0,0)),"")</f>
        <v/>
      </c>
      <c r="FX67" s="71"/>
      <c r="FY67" s="32"/>
      <c r="FZ67" s="72" t="str">
        <f t="array" ref="FZ67">IFERROR(IF(XLOOKUP(CONCAT(FX67,FY67),'MASTER PLAN'!$AB:$AB,'MASTER PLAN'!$J:$J,0,0)=0,"",XLOOKUP(CONCAT(FX67,FY67),'MASTER PLAN'!$AB:$AB,'MASTER PLAN'!$J:$J,0,0)),"")</f>
        <v/>
      </c>
      <c r="GA67" s="73" t="str">
        <f t="array" ref="GA67">IFERROR(IF(XLOOKUP(CONCAT(FX67,FY67),'PROCESOS PRD'!$J:$J,'PROCESOS PRD'!$H:$H,0,0)=0,"",XLOOKUP(CONCAT(FX67,FY67),'PROCESOS PRD'!$J:$J,'PROCESOS PRD'!$H:$H,0,0)),"")</f>
        <v/>
      </c>
      <c r="GB67" s="71"/>
      <c r="GC67" s="32"/>
      <c r="GD67" s="72" t="str">
        <f t="array" ref="GD67">IFERROR(IF(XLOOKUP(CONCAT(GB67,GC67),'MASTER PLAN'!$AB:$AB,'MASTER PLAN'!$J:$J,0,0)=0,"",XLOOKUP(CONCAT(GB67,GC67),'MASTER PLAN'!$AB:$AB,'MASTER PLAN'!$J:$J,0,0)),"")</f>
        <v/>
      </c>
      <c r="GE67" s="73" t="str">
        <f t="array" ref="GE67">IFERROR(IF(XLOOKUP(CONCAT(GB67,GC67),'PROCESOS PRD'!$J:$J,'PROCESOS PRD'!$H:$H,0,0)=0,"",XLOOKUP(CONCAT(GB67,GC67),'PROCESOS PRD'!$J:$J,'PROCESOS PRD'!$H:$H,0,0)),"")</f>
        <v/>
      </c>
      <c r="GF67" s="71"/>
      <c r="GG67" s="32"/>
      <c r="GH67" s="72" t="str">
        <f t="array" ref="GH67">IFERROR(IF(XLOOKUP(CONCAT(GF67,GG67),'MASTER PLAN'!$AB:$AB,'MASTER PLAN'!$J:$J,0,0)=0,"",XLOOKUP(CONCAT(GF67,GG67),'MASTER PLAN'!$AB:$AB,'MASTER PLAN'!$J:$J,0,0)),"")</f>
        <v/>
      </c>
      <c r="GI67" s="73" t="str">
        <f t="array" ref="GI67">IFERROR(IF(XLOOKUP(CONCAT(GF67,GG67),'PROCESOS PRD'!$J:$J,'PROCESOS PRD'!$H:$H,0,0)=0,"",XLOOKUP(CONCAT(GF67,GG67),'PROCESOS PRD'!$J:$J,'PROCESOS PRD'!$H:$H,0,0)),"")</f>
        <v/>
      </c>
      <c r="GJ67" s="71"/>
      <c r="GK67" s="32"/>
      <c r="GL67" s="72" t="str">
        <f t="array" ref="GL67">IFERROR(IF(XLOOKUP(CONCAT(GJ67,GK67),'MASTER PLAN'!$AB:$AB,'MASTER PLAN'!$J:$J,0,0)=0,"",XLOOKUP(CONCAT(GJ67,GK67),'MASTER PLAN'!$AB:$AB,'MASTER PLAN'!$J:$J,0,0)),"")</f>
        <v/>
      </c>
      <c r="GM67" s="73" t="str">
        <f t="array" ref="GM67">IFERROR(IF(XLOOKUP(CONCAT(GJ67,GK67),'PROCESOS PRD'!$J:$J,'PROCESOS PRD'!$H:$H,0,0)=0,"",XLOOKUP(CONCAT(GJ67,GK67),'PROCESOS PRD'!$J:$J,'PROCESOS PRD'!$H:$H,0,0)),"")</f>
        <v/>
      </c>
      <c r="GN67" s="70"/>
      <c r="GO67" s="71"/>
      <c r="GP67" s="32"/>
      <c r="GQ67" s="72" t="str">
        <f t="array" ref="GQ67">IFERROR(IF(XLOOKUP(CONCAT(GO67,GP67),'MASTER PLAN'!$AB:$AB,'MASTER PLAN'!$J:$J,0,0)=0,"",XLOOKUP(CONCAT(GO67,GP67),'MASTER PLAN'!$AB:$AB,'MASTER PLAN'!$J:$J,0,0)),"")</f>
        <v/>
      </c>
      <c r="GR67" s="73" t="str">
        <f t="array" ref="GR67">IFERROR(IF(XLOOKUP(CONCAT(GO67,GP67),'PROCESOS PRD'!$J:$J,'PROCESOS PRD'!$H:$H,0,0)=0,"",XLOOKUP(CONCAT(GO67,GP67),'PROCESOS PRD'!$J:$J,'PROCESOS PRD'!$H:$H,0,0)),"")</f>
        <v/>
      </c>
      <c r="GS67" s="71"/>
      <c r="GT67" s="32"/>
      <c r="GU67" s="72" t="str">
        <f t="array" ref="GU67">IFERROR(IF(XLOOKUP(CONCAT(GS67,GT67),'MASTER PLAN'!$AB:$AB,'MASTER PLAN'!$J:$J,0,0)=0,"",XLOOKUP(CONCAT(GS67,GT67),'MASTER PLAN'!$AB:$AB,'MASTER PLAN'!$J:$J,0,0)),"")</f>
        <v/>
      </c>
      <c r="GV67" s="73" t="str">
        <f t="array" ref="GV67">IFERROR(IF(XLOOKUP(CONCAT(GS67,GT67),'PROCESOS PRD'!$J:$J,'PROCESOS PRD'!$H:$H,0,0)=0,"",XLOOKUP(CONCAT(GS67,GT67),'PROCESOS PRD'!$J:$J,'PROCESOS PRD'!$H:$H,0,0)),"")</f>
        <v/>
      </c>
      <c r="GW67" s="71"/>
      <c r="GX67" s="32"/>
      <c r="GY67" s="72" t="str">
        <f t="array" ref="GY67">IFERROR(IF(XLOOKUP(CONCAT(GW67,GX67),'MASTER PLAN'!$AB:$AB,'MASTER PLAN'!$J:$J,0,0)=0,"",XLOOKUP(CONCAT(GW67,GX67),'MASTER PLAN'!$AB:$AB,'MASTER PLAN'!$J:$J,0,0)),"")</f>
        <v/>
      </c>
      <c r="GZ67" s="73" t="str">
        <f t="array" ref="GZ67">IFERROR(IF(XLOOKUP(CONCAT(GW67,GX67),'PROCESOS PRD'!$J:$J,'PROCESOS PRD'!$H:$H,0,0)=0,"",XLOOKUP(CONCAT(GW67,GX67),'PROCESOS PRD'!$J:$J,'PROCESOS PRD'!$H:$H,0,0)),"")</f>
        <v/>
      </c>
      <c r="HA67" s="71"/>
      <c r="HB67" s="32"/>
      <c r="HC67" s="72" t="str">
        <f t="array" ref="HC67">IFERROR(IF(XLOOKUP(CONCAT(HA67,HB67),'MASTER PLAN'!$AB:$AB,'MASTER PLAN'!$J:$J,0,0)=0,"",XLOOKUP(CONCAT(HA67,HB67),'MASTER PLAN'!$AB:$AB,'MASTER PLAN'!$J:$J,0,0)),"")</f>
        <v/>
      </c>
      <c r="HD67" s="73" t="str">
        <f t="array" ref="HD67">IFERROR(IF(XLOOKUP(CONCAT(HA67,HB67),'PROCESOS PRD'!$J:$J,'PROCESOS PRD'!$H:$H,0,0)=0,"",XLOOKUP(CONCAT(HA67,HB67),'PROCESOS PRD'!$J:$J,'PROCESOS PRD'!$H:$H,0,0)),"")</f>
        <v/>
      </c>
      <c r="HE67" s="71"/>
      <c r="HF67" s="32"/>
      <c r="HG67" s="72" t="str">
        <f t="array" ref="HG67">IFERROR(IF(XLOOKUP(CONCAT(HE67,HF67),'MASTER PLAN'!$AB:$AB,'MASTER PLAN'!$J:$J,0,0)=0,"",XLOOKUP(CONCAT(HE67,HF67),'MASTER PLAN'!$AB:$AB,'MASTER PLAN'!$J:$J,0,0)),"")</f>
        <v/>
      </c>
      <c r="HH67" s="73" t="str">
        <f t="array" ref="HH67">IFERROR(IF(XLOOKUP(CONCAT(HE67,HF67),'PROCESOS PRD'!$J:$J,'PROCESOS PRD'!$H:$H,0,0)=0,"",XLOOKUP(CONCAT(HE67,HF67),'PROCESOS PRD'!$J:$J,'PROCESOS PRD'!$H:$H,0,0)),"")</f>
        <v/>
      </c>
      <c r="HI67" s="71"/>
      <c r="HJ67" s="32"/>
      <c r="HK67" s="72" t="str">
        <f t="array" ref="HK67">IFERROR(IF(XLOOKUP(CONCAT(HI67,HJ67),'MASTER PLAN'!$AB:$AB,'MASTER PLAN'!$J:$J,0,0)=0,"",XLOOKUP(CONCAT(HI67,HJ67),'MASTER PLAN'!$AB:$AB,'MASTER PLAN'!$J:$J,0,0)),"")</f>
        <v/>
      </c>
      <c r="HL67" s="73" t="str">
        <f t="array" ref="HL67">IFERROR(IF(XLOOKUP(CONCAT(HI67,HJ67),'PROCESOS PRD'!$J:$J,'PROCESOS PRD'!$H:$H,0,0)=0,"",XLOOKUP(CONCAT(HI67,HJ67),'PROCESOS PRD'!$J:$J,'PROCESOS PRD'!$H:$H,0,0)),"")</f>
        <v/>
      </c>
      <c r="HM67" s="70"/>
      <c r="HN67" s="71"/>
      <c r="HO67" s="32"/>
      <c r="HP67" s="72" t="str">
        <f t="array" ref="HP67">IFERROR(IF(XLOOKUP(CONCAT(HN67,HO67),'MASTER PLAN'!$AB:$AB,'MASTER PLAN'!$J:$J,0,0)=0,"",XLOOKUP(CONCAT(HN67,HO67),'MASTER PLAN'!$AB:$AB,'MASTER PLAN'!$J:$J,0,0)),"")</f>
        <v/>
      </c>
      <c r="HQ67" s="73" t="str">
        <f t="array" ref="HQ67">IFERROR(IF(XLOOKUP(CONCAT(HN67,HO67),'PROCESOS PRD'!$J:$J,'PROCESOS PRD'!$H:$H,0,0)=0,"",XLOOKUP(CONCAT(HN67,HO67),'PROCESOS PRD'!$J:$J,'PROCESOS PRD'!$H:$H,0,0)),"")</f>
        <v/>
      </c>
      <c r="HR67" s="71"/>
      <c r="HS67" s="32"/>
      <c r="HT67" s="72" t="str">
        <f t="array" ref="HT67">IFERROR(IF(XLOOKUP(CONCAT(HR67,HS67),'MASTER PLAN'!$AB:$AB,'MASTER PLAN'!$J:$J,0,0)=0,"",XLOOKUP(CONCAT(HR67,HS67),'MASTER PLAN'!$AB:$AB,'MASTER PLAN'!$J:$J,0,0)),"")</f>
        <v/>
      </c>
      <c r="HU67" s="73" t="str">
        <f t="array" ref="HU67">IFERROR(IF(XLOOKUP(CONCAT(HR67,HS67),'PROCESOS PRD'!$J:$J,'PROCESOS PRD'!$H:$H,0,0)=0,"",XLOOKUP(CONCAT(HR67,HS67),'PROCESOS PRD'!$J:$J,'PROCESOS PRD'!$H:$H,0,0)),"")</f>
        <v/>
      </c>
      <c r="HV67" s="71"/>
      <c r="HW67" s="32"/>
      <c r="HX67" s="72" t="str">
        <f t="array" ref="HX67">IFERROR(IF(XLOOKUP(CONCAT(HV67,HW67),'MASTER PLAN'!$AB:$AB,'MASTER PLAN'!$J:$J,0,0)=0,"",XLOOKUP(CONCAT(HV67,HW67),'MASTER PLAN'!$AB:$AB,'MASTER PLAN'!$J:$J,0,0)),"")</f>
        <v/>
      </c>
      <c r="HY67" s="73" t="str">
        <f t="array" ref="HY67">IFERROR(IF(XLOOKUP(CONCAT(HV67,HW67),'PROCESOS PRD'!$J:$J,'PROCESOS PRD'!$H:$H,0,0)=0,"",XLOOKUP(CONCAT(HV67,HW67),'PROCESOS PRD'!$J:$J,'PROCESOS PRD'!$H:$H,0,0)),"")</f>
        <v/>
      </c>
      <c r="HZ67" s="71"/>
      <c r="IA67" s="32"/>
      <c r="IB67" s="72" t="str">
        <f t="array" ref="IB67">IFERROR(IF(XLOOKUP(CONCAT(HZ67,IA67),'MASTER PLAN'!$AB:$AB,'MASTER PLAN'!$J:$J,0,0)=0,"",XLOOKUP(CONCAT(HZ67,IA67),'MASTER PLAN'!$AB:$AB,'MASTER PLAN'!$J:$J,0,0)),"")</f>
        <v/>
      </c>
      <c r="IC67" s="73" t="str">
        <f t="array" ref="IC67">IFERROR(IF(XLOOKUP(CONCAT(HZ67,IA67),'PROCESOS PRD'!$J:$J,'PROCESOS PRD'!$H:$H,0,0)=0,"",XLOOKUP(CONCAT(HZ67,IA67),'PROCESOS PRD'!$J:$J,'PROCESOS PRD'!$H:$H,0,0)),"")</f>
        <v/>
      </c>
      <c r="ID67" s="71"/>
      <c r="IE67" s="32"/>
      <c r="IF67" s="72" t="str">
        <f t="array" ref="IF67">IFERROR(IF(XLOOKUP(CONCAT(ID67,IE67),'MASTER PLAN'!$AB:$AB,'MASTER PLAN'!$J:$J,0,0)=0,"",XLOOKUP(CONCAT(ID67,IE67),'MASTER PLAN'!$AB:$AB,'MASTER PLAN'!$J:$J,0,0)),"")</f>
        <v/>
      </c>
      <c r="IG67" s="73" t="str">
        <f t="array" ref="IG67">IFERROR(IF(XLOOKUP(CONCAT(ID67,IE67),'PROCESOS PRD'!$J:$J,'PROCESOS PRD'!$H:$H,0,0)=0,"",XLOOKUP(CONCAT(ID67,IE67),'PROCESOS PRD'!$J:$J,'PROCESOS PRD'!$H:$H,0,0)),"")</f>
        <v/>
      </c>
      <c r="IH67" s="71"/>
      <c r="II67" s="32"/>
      <c r="IJ67" s="72" t="str">
        <f t="array" ref="IJ67">IFERROR(IF(XLOOKUP(CONCAT(IH67,II67),'MASTER PLAN'!$AB:$AB,'MASTER PLAN'!$J:$J,0,0)=0,"",XLOOKUP(CONCAT(IH67,II67),'MASTER PLAN'!$AB:$AB,'MASTER PLAN'!$J:$J,0,0)),"")</f>
        <v/>
      </c>
      <c r="IK67" s="73" t="str">
        <f t="array" ref="IK67">IFERROR(IF(XLOOKUP(CONCAT(IH67,II67),'PROCESOS PRD'!$J:$J,'PROCESOS PRD'!$H:$H,0,0)=0,"",XLOOKUP(CONCAT(IH67,II67),'PROCESOS PRD'!$J:$J,'PROCESOS PRD'!$H:$H,0,0)),"")</f>
        <v/>
      </c>
      <c r="IL67" s="70"/>
      <c r="IM67" s="71"/>
      <c r="IN67" s="32"/>
      <c r="IO67" s="72" t="str">
        <f t="array" ref="IO67">IFERROR(IF(XLOOKUP(CONCAT(IM67,IN67),'MASTER PLAN'!$AB:$AB,'MASTER PLAN'!$J:$J,0,0)=0,"",XLOOKUP(CONCAT(IM67,IN67),'MASTER PLAN'!$AB:$AB,'MASTER PLAN'!$J:$J,0,0)),"")</f>
        <v/>
      </c>
      <c r="IP67" s="73" t="str">
        <f t="array" ref="IP67">IFERROR(IF(XLOOKUP(CONCAT(IM67,IN67),'PROCESOS PRD'!$J:$J,'PROCESOS PRD'!$H:$H,0,0)=0,"",XLOOKUP(CONCAT(IM67,IN67),'PROCESOS PRD'!$J:$J,'PROCESOS PRD'!$H:$H,0,0)),"")</f>
        <v/>
      </c>
      <c r="IQ67" s="71"/>
      <c r="IR67" s="32"/>
      <c r="IS67" s="72" t="str">
        <f t="array" ref="IS67">IFERROR(IF(XLOOKUP(CONCAT(IQ67,IR67),'MASTER PLAN'!$AB:$AB,'MASTER PLAN'!$J:$J,0,0)=0,"",XLOOKUP(CONCAT(IQ67,IR67),'MASTER PLAN'!$AB:$AB,'MASTER PLAN'!$J:$J,0,0)),"")</f>
        <v/>
      </c>
      <c r="IT67" s="73" t="str">
        <f t="array" ref="IT67">IFERROR(IF(XLOOKUP(CONCAT(IQ67,IR67),'PROCESOS PRD'!$J:$J,'PROCESOS PRD'!$H:$H,0,0)=0,"",XLOOKUP(CONCAT(IQ67,IR67),'PROCESOS PRD'!$J:$J,'PROCESOS PRD'!$H:$H,0,0)),"")</f>
        <v/>
      </c>
      <c r="IU67" s="71"/>
      <c r="IV67" s="32"/>
      <c r="IW67" s="72" t="str">
        <f t="array" ref="IW67">IFERROR(IF(XLOOKUP(CONCAT(IU67,IV67),'MASTER PLAN'!$AB:$AB,'MASTER PLAN'!$J:$J,0,0)=0,"",XLOOKUP(CONCAT(IU67,IV67),'MASTER PLAN'!$AB:$AB,'MASTER PLAN'!$J:$J,0,0)),"")</f>
        <v/>
      </c>
      <c r="IX67" s="73" t="str">
        <f t="array" ref="IX67">IFERROR(IF(XLOOKUP(CONCAT(IU67,IV67),'PROCESOS PRD'!$J:$J,'PROCESOS PRD'!$H:$H,0,0)=0,"",XLOOKUP(CONCAT(IU67,IV67),'PROCESOS PRD'!$J:$J,'PROCESOS PRD'!$H:$H,0,0)),"")</f>
        <v/>
      </c>
      <c r="IY67" s="71"/>
      <c r="IZ67" s="32"/>
      <c r="JA67" s="72" t="str">
        <f t="array" ref="JA67">IFERROR(IF(XLOOKUP(CONCAT(IY67,IZ67),'MASTER PLAN'!$AB:$AB,'MASTER PLAN'!$J:$J,0,0)=0,"",XLOOKUP(CONCAT(IY67,IZ67),'MASTER PLAN'!$AB:$AB,'MASTER PLAN'!$J:$J,0,0)),"")</f>
        <v/>
      </c>
      <c r="JB67" s="73" t="str">
        <f t="array" ref="JB67">IFERROR(IF(XLOOKUP(CONCAT(IY67,IZ67),'PROCESOS PRD'!$J:$J,'PROCESOS PRD'!$H:$H,0,0)=0,"",XLOOKUP(CONCAT(IY67,IZ67),'PROCESOS PRD'!$J:$J,'PROCESOS PRD'!$H:$H,0,0)),"")</f>
        <v/>
      </c>
      <c r="JC67" s="71"/>
      <c r="JD67" s="32"/>
      <c r="JE67" s="72" t="str">
        <f t="array" ref="JE67">IFERROR(IF(XLOOKUP(CONCAT(JC67,JD67),'MASTER PLAN'!$AB:$AB,'MASTER PLAN'!$J:$J,0,0)=0,"",XLOOKUP(CONCAT(JC67,JD67),'MASTER PLAN'!$AB:$AB,'MASTER PLAN'!$J:$J,0,0)),"")</f>
        <v/>
      </c>
      <c r="JF67" s="73" t="str">
        <f t="array" ref="JF67">IFERROR(IF(XLOOKUP(CONCAT(JC67,JD67),'PROCESOS PRD'!$J:$J,'PROCESOS PRD'!$H:$H,0,0)=0,"",XLOOKUP(CONCAT(JC67,JD67),'PROCESOS PRD'!$J:$J,'PROCESOS PRD'!$H:$H,0,0)),"")</f>
        <v/>
      </c>
      <c r="JG67" s="71"/>
      <c r="JH67" s="32"/>
      <c r="JI67" s="72" t="str">
        <f t="array" ref="JI67">IFERROR(IF(XLOOKUP(CONCAT(JG67,JH67),'MASTER PLAN'!$AB:$AB,'MASTER PLAN'!$J:$J,0,0)=0,"",XLOOKUP(CONCAT(JG67,JH67),'MASTER PLAN'!$AB:$AB,'MASTER PLAN'!$J:$J,0,0)),"")</f>
        <v/>
      </c>
      <c r="JJ67" s="73" t="str">
        <f t="array" ref="JJ67">IFERROR(IF(XLOOKUP(CONCAT(JG67,JH67),'PROCESOS PRD'!$J:$J,'PROCESOS PRD'!$H:$H,0,0)=0,"",XLOOKUP(CONCAT(JG67,JH67),'PROCESOS PRD'!$J:$J,'PROCESOS PRD'!$H:$H,0,0)),"")</f>
        <v/>
      </c>
      <c r="JK67" s="70"/>
      <c r="JL67" s="71"/>
      <c r="JM67" s="32"/>
      <c r="JN67" s="72" t="str">
        <f t="array" ref="JN67">IFERROR(IF(XLOOKUP(CONCAT(JL67,JM67),'MASTER PLAN'!$AB:$AB,'MASTER PLAN'!$J:$J,0,0)=0,"",XLOOKUP(CONCAT(JL67,JM67),'MASTER PLAN'!$AB:$AB,'MASTER PLAN'!$J:$J,0,0)),"")</f>
        <v/>
      </c>
      <c r="JO67" s="73" t="str">
        <f t="array" ref="JO67">IFERROR(IF(XLOOKUP(CONCAT(JL67,JM67),'PROCESOS PRD'!$J:$J,'PROCESOS PRD'!$H:$H,0,0)=0,"",XLOOKUP(CONCAT(JL67,JM67),'PROCESOS PRD'!$J:$J,'PROCESOS PRD'!$H:$H,0,0)),"")</f>
        <v/>
      </c>
      <c r="JP67" s="71"/>
      <c r="JQ67" s="32"/>
      <c r="JR67" s="72" t="str">
        <f t="array" ref="JR67">IFERROR(IF(XLOOKUP(CONCAT(JP67,JQ67),'MASTER PLAN'!$AB:$AB,'MASTER PLAN'!$J:$J,0,0)=0,"",XLOOKUP(CONCAT(JP67,JQ67),'MASTER PLAN'!$AB:$AB,'MASTER PLAN'!$J:$J,0,0)),"")</f>
        <v/>
      </c>
      <c r="JS67" s="73" t="str">
        <f t="array" ref="JS67">IFERROR(IF(XLOOKUP(CONCAT(JP67,JQ67),'PROCESOS PRD'!$J:$J,'PROCESOS PRD'!$H:$H,0,0)=0,"",XLOOKUP(CONCAT(JP67,JQ67),'PROCESOS PRD'!$J:$J,'PROCESOS PRD'!$H:$H,0,0)),"")</f>
        <v/>
      </c>
      <c r="JT67" s="71"/>
      <c r="JU67" s="32"/>
      <c r="JV67" s="72" t="str">
        <f t="array" ref="JV67">IFERROR(IF(XLOOKUP(CONCAT(JT67,JU67),'MASTER PLAN'!$AB:$AB,'MASTER PLAN'!$J:$J,0,0)=0,"",XLOOKUP(CONCAT(JT67,JU67),'MASTER PLAN'!$AB:$AB,'MASTER PLAN'!$J:$J,0,0)),"")</f>
        <v/>
      </c>
      <c r="JW67" s="73" t="str">
        <f t="array" ref="JW67">IFERROR(IF(XLOOKUP(CONCAT(JT67,JU67),'PROCESOS PRD'!$J:$J,'PROCESOS PRD'!$H:$H,0,0)=0,"",XLOOKUP(CONCAT(JT67,JU67),'PROCESOS PRD'!$J:$J,'PROCESOS PRD'!$H:$H,0,0)),"")</f>
        <v/>
      </c>
      <c r="JX67" s="71"/>
      <c r="JY67" s="32"/>
      <c r="JZ67" s="72" t="str">
        <f t="array" ref="JZ67">IFERROR(IF(XLOOKUP(CONCAT(JX67,JY67),'MASTER PLAN'!$AB:$AB,'MASTER PLAN'!$J:$J,0,0)=0,"",XLOOKUP(CONCAT(JX67,JY67),'MASTER PLAN'!$AB:$AB,'MASTER PLAN'!$J:$J,0,0)),"")</f>
        <v/>
      </c>
      <c r="KA67" s="73" t="str">
        <f t="array" ref="KA67">IFERROR(IF(XLOOKUP(CONCAT(JX67,JY67),'PROCESOS PRD'!$J:$J,'PROCESOS PRD'!$H:$H,0,0)=0,"",XLOOKUP(CONCAT(JX67,JY67),'PROCESOS PRD'!$J:$J,'PROCESOS PRD'!$H:$H,0,0)),"")</f>
        <v/>
      </c>
      <c r="KB67" s="71"/>
      <c r="KC67" s="32"/>
      <c r="KD67" s="72" t="str">
        <f t="array" ref="KD67">IFERROR(IF(XLOOKUP(CONCAT(KB67,KC67),'MASTER PLAN'!$AB:$AB,'MASTER PLAN'!$J:$J,0,0)=0,"",XLOOKUP(CONCAT(KB67,KC67),'MASTER PLAN'!$AB:$AB,'MASTER PLAN'!$J:$J,0,0)),"")</f>
        <v/>
      </c>
      <c r="KE67" s="73" t="str">
        <f t="array" ref="KE67">IFERROR(IF(XLOOKUP(CONCAT(KB67,KC67),'PROCESOS PRD'!$J:$J,'PROCESOS PRD'!$H:$H,0,0)=0,"",XLOOKUP(CONCAT(KB67,KC67),'PROCESOS PRD'!$J:$J,'PROCESOS PRD'!$H:$H,0,0)),"")</f>
        <v/>
      </c>
      <c r="KF67" s="71"/>
      <c r="KG67" s="32"/>
      <c r="KH67" s="72" t="str">
        <f t="array" ref="KH67">IFERROR(IF(XLOOKUP(CONCAT(KF67,KG67),'MASTER PLAN'!$AB:$AB,'MASTER PLAN'!$J:$J,0,0)=0,"",XLOOKUP(CONCAT(KF67,KG67),'MASTER PLAN'!$AB:$AB,'MASTER PLAN'!$J:$J,0,0)),"")</f>
        <v/>
      </c>
      <c r="KI67" s="73" t="str">
        <f t="array" ref="KI67">IFERROR(IF(XLOOKUP(CONCAT(KF67,KG67),'PROCESOS PRD'!$J:$J,'PROCESOS PRD'!$H:$H,0,0)=0,"",XLOOKUP(CONCAT(KF67,KG67),'PROCESOS PRD'!$J:$J,'PROCESOS PRD'!$H:$H,0,0)),"")</f>
        <v/>
      </c>
      <c r="KJ67" s="70"/>
      <c r="KK67" s="70"/>
      <c r="KL67" s="70"/>
      <c r="KM67" s="70"/>
      <c r="KN67" s="70"/>
      <c r="KO67" s="70"/>
      <c r="KP67" s="70"/>
      <c r="KQ67" s="70"/>
      <c r="KR67" s="70"/>
      <c r="KS67" s="70"/>
      <c r="KT67" s="70"/>
      <c r="KU67" s="70"/>
      <c r="KV67" s="70"/>
      <c r="KW67" s="70"/>
      <c r="KX67" s="70"/>
      <c r="KY67" s="70"/>
      <c r="KZ67" s="70"/>
      <c r="LA67" s="70"/>
      <c r="LB67" s="70"/>
      <c r="LC67" s="70"/>
    </row>
    <row r="68" ht="15.75" customHeight="1">
      <c r="A68" s="42"/>
      <c r="B68" s="74"/>
      <c r="C68" s="69"/>
      <c r="D68" s="70"/>
      <c r="E68" s="71"/>
      <c r="F68" s="32"/>
      <c r="G68" s="72" t="str">
        <f t="array" ref="G68">IFERROR(IF(XLOOKUP(CONCAT(E68,F68),'MASTER PLAN'!$AB:$AB,'MASTER PLAN'!$J:$J,0,0)=0,"",XLOOKUP(CONCAT(E68,F68),'MASTER PLAN'!$AB:$AB,'MASTER PLAN'!$J:$J,0,0)),"")</f>
        <v/>
      </c>
      <c r="H68" s="73" t="str">
        <f t="array" ref="H68">IFERROR(IF(XLOOKUP(CONCAT(E68,F68),'PROCESOS PRD'!$J:$J,'PROCESOS PRD'!$H:$H,0,0)=0,"",XLOOKUP(CONCAT(E68,F68),'PROCESOS PRD'!$J:$J,'PROCESOS PRD'!$H:$H,0,0)),"")</f>
        <v/>
      </c>
      <c r="I68" s="71"/>
      <c r="J68" s="32"/>
      <c r="K68" s="72" t="str">
        <f t="array" ref="K68">IFERROR(IF(XLOOKUP(CONCAT(I68,J68),'MASTER PLAN'!$AB:$AB,'MASTER PLAN'!$J:$J,0,0)=0,"",XLOOKUP(CONCAT(I68,J68),'MASTER PLAN'!$AB:$AB,'MASTER PLAN'!$J:$J,0,0)),"")</f>
        <v/>
      </c>
      <c r="L68" s="73" t="str">
        <f t="array" ref="L68">IFERROR(IF(XLOOKUP(CONCAT(I68,J68),'PROCESOS PRD'!$J:$J,'PROCESOS PRD'!$H:$H,0,0)=0,"",XLOOKUP(CONCAT(I68,J68),'PROCESOS PRD'!$J:$J,'PROCESOS PRD'!$H:$H,0,0)),"")</f>
        <v/>
      </c>
      <c r="M68" s="71"/>
      <c r="N68" s="32"/>
      <c r="O68" s="72" t="str">
        <f t="array" ref="O68">IFERROR(IF(XLOOKUP(CONCAT(M68,N68),'MASTER PLAN'!$AB:$AB,'MASTER PLAN'!$J:$J,0,0)=0,"",XLOOKUP(CONCAT(M68,N68),'MASTER PLAN'!$AB:$AB,'MASTER PLAN'!$J:$J,0,0)),"")</f>
        <v/>
      </c>
      <c r="P68" s="73" t="str">
        <f t="array" ref="P68">IFERROR(IF(XLOOKUP(CONCAT(M68,N68),'PROCESOS PRD'!$J:$J,'PROCESOS PRD'!$H:$H,0,0)=0,"",XLOOKUP(CONCAT(M68,N68),'PROCESOS PRD'!$J:$J,'PROCESOS PRD'!$H:$H,0,0)),"")</f>
        <v/>
      </c>
      <c r="Q68" s="71"/>
      <c r="R68" s="32"/>
      <c r="S68" s="72" t="str">
        <f t="array" ref="S68">IFERROR(IF(XLOOKUP(CONCAT(Q68,R68),'MASTER PLAN'!$AB:$AB,'MASTER PLAN'!$J:$J,0,0)=0,"",XLOOKUP(CONCAT(Q68,R68),'MASTER PLAN'!$AB:$AB,'MASTER PLAN'!$J:$J,0,0)),"")</f>
        <v/>
      </c>
      <c r="T68" s="73" t="str">
        <f t="array" ref="T68">IFERROR(IF(XLOOKUP(CONCAT(Q68,R68),'PROCESOS PRD'!$J:$J,'PROCESOS PRD'!$H:$H,0,0)=0,"",XLOOKUP(CONCAT(Q68,R68),'PROCESOS PRD'!$J:$J,'PROCESOS PRD'!$H:$H,0,0)),"")</f>
        <v/>
      </c>
      <c r="U68" s="70"/>
      <c r="V68" s="71"/>
      <c r="W68" s="32"/>
      <c r="X68" s="72" t="str">
        <f t="array" ref="X68">IFERROR(IF(XLOOKUP(CONCAT(V68,W68),'MASTER PLAN'!$AB:$AB,'MASTER PLAN'!$J:$J,0,0)=0,"",XLOOKUP(CONCAT(V68,W68),'MASTER PLAN'!$AB:$AB,'MASTER PLAN'!$J:$J,0,0)),"")</f>
        <v/>
      </c>
      <c r="Y68" s="73" t="str">
        <f t="array" ref="Y68">IFERROR(IF(XLOOKUP(CONCAT(V68,W68),'PROCESOS PRD'!$J:$J,'PROCESOS PRD'!$H:$H,0,0)=0,"",XLOOKUP(CONCAT(V68,W68),'PROCESOS PRD'!$J:$J,'PROCESOS PRD'!$H:$H,0,0)),"")</f>
        <v/>
      </c>
      <c r="Z68" s="71"/>
      <c r="AA68" s="32"/>
      <c r="AB68" s="72" t="str">
        <f t="array" ref="AB68">IFERROR(IF(XLOOKUP(CONCAT(Z68,AA68),'MASTER PLAN'!$AB:$AB,'MASTER PLAN'!$J:$J,0,0)=0,"",XLOOKUP(CONCAT(Z68,AA68),'MASTER PLAN'!$AB:$AB,'MASTER PLAN'!$J:$J,0,0)),"")</f>
        <v/>
      </c>
      <c r="AC68" s="73" t="str">
        <f t="array" ref="AC68">IFERROR(IF(XLOOKUP(CONCAT(Z68,AA68),'PROCESOS PRD'!$J:$J,'PROCESOS PRD'!$H:$H,0,0)=0,"",XLOOKUP(CONCAT(Z68,AA68),'PROCESOS PRD'!$J:$J,'PROCESOS PRD'!$H:$H,0,0)),"")</f>
        <v/>
      </c>
      <c r="AD68" s="71"/>
      <c r="AE68" s="32"/>
      <c r="AF68" s="72" t="str">
        <f t="array" ref="AF68">IFERROR(IF(XLOOKUP(CONCAT(AD68,AE68),'MASTER PLAN'!$AB:$AB,'MASTER PLAN'!$J:$J,0,0)=0,"",XLOOKUP(CONCAT(AD68,AE68),'MASTER PLAN'!$AB:$AB,'MASTER PLAN'!$J:$J,0,0)),"")</f>
        <v/>
      </c>
      <c r="AG68" s="73" t="str">
        <f t="array" ref="AG68">IFERROR(IF(XLOOKUP(CONCAT(AD68,AE68),'PROCESOS PRD'!$J:$J,'PROCESOS PRD'!$H:$H,0,0)=0,"",XLOOKUP(CONCAT(AD68,AE68),'PROCESOS PRD'!$J:$J,'PROCESOS PRD'!$H:$H,0,0)),"")</f>
        <v/>
      </c>
      <c r="AH68" s="71"/>
      <c r="AI68" s="32"/>
      <c r="AJ68" s="72" t="str">
        <f t="array" ref="AJ68">IFERROR(IF(XLOOKUP(CONCAT(AH68,AI68),'MASTER PLAN'!$AB:$AB,'MASTER PLAN'!$J:$J,0,0)=0,"",XLOOKUP(CONCAT(AH68,AI68),'MASTER PLAN'!$AB:$AB,'MASTER PLAN'!$J:$J,0,0)),"")</f>
        <v/>
      </c>
      <c r="AK68" s="73" t="str">
        <f t="array" ref="AK68">IFERROR(IF(XLOOKUP(CONCAT(AH68,AI68),'PROCESOS PRD'!$J:$J,'PROCESOS PRD'!$H:$H,0,0)=0,"",XLOOKUP(CONCAT(AH68,AI68),'PROCESOS PRD'!$J:$J,'PROCESOS PRD'!$H:$H,0,0)),"")</f>
        <v/>
      </c>
      <c r="AL68" s="71"/>
      <c r="AM68" s="32"/>
      <c r="AN68" s="72" t="str">
        <f t="array" ref="AN68">IFERROR(IF(XLOOKUP(CONCAT(AL68,AM68),'MASTER PLAN'!$AB:$AB,'MASTER PLAN'!$J:$J,0,0)=0,"",XLOOKUP(CONCAT(AL68,AM68),'MASTER PLAN'!$AB:$AB,'MASTER PLAN'!$J:$J,0,0)),"")</f>
        <v/>
      </c>
      <c r="AO68" s="73" t="str">
        <f t="array" ref="AO68">IFERROR(IF(XLOOKUP(CONCAT(AL68,AM68),'PROCESOS PRD'!$J:$J,'PROCESOS PRD'!$H:$H,0,0)=0,"",XLOOKUP(CONCAT(AL68,AM68),'PROCESOS PRD'!$J:$J,'PROCESOS PRD'!$H:$H,0,0)),"")</f>
        <v/>
      </c>
      <c r="AP68" s="71"/>
      <c r="AQ68" s="32"/>
      <c r="AR68" s="72" t="str">
        <f t="array" ref="AR68">IFERROR(IF(XLOOKUP(CONCAT(AP68,AQ68),'MASTER PLAN'!$AB:$AB,'MASTER PLAN'!$J:$J,0,0)=0,"",XLOOKUP(CONCAT(AP68,AQ68),'MASTER PLAN'!$AB:$AB,'MASTER PLAN'!$J:$J,0,0)),"")</f>
        <v/>
      </c>
      <c r="AS68" s="73" t="str">
        <f t="array" ref="AS68">IFERROR(IF(XLOOKUP(CONCAT(AP68,AQ68),'PROCESOS PRD'!$J:$J,'PROCESOS PRD'!$H:$H,0,0)=0,"",XLOOKUP(CONCAT(AP68,AQ68),'PROCESOS PRD'!$J:$J,'PROCESOS PRD'!$H:$H,0,0)),"")</f>
        <v/>
      </c>
      <c r="AT68" s="70"/>
      <c r="AU68" s="71"/>
      <c r="AV68" s="32"/>
      <c r="AW68" s="72" t="str">
        <f t="array" ref="AW68">IFERROR(IF(XLOOKUP(CONCAT(AU68,AV68),'MASTER PLAN'!$AB:$AB,'MASTER PLAN'!$J:$J,0,0)=0,"",XLOOKUP(CONCAT(AU68,AV68),'MASTER PLAN'!$AB:$AB,'MASTER PLAN'!$J:$J,0,0)),"")</f>
        <v/>
      </c>
      <c r="AX68" s="73" t="str">
        <f t="array" ref="AX68">IFERROR(IF(XLOOKUP(CONCAT(AU68,AV68),'PROCESOS PRD'!$J:$J,'PROCESOS PRD'!$H:$H,0,0)=0,"",XLOOKUP(CONCAT(AU68,AV68),'PROCESOS PRD'!$J:$J,'PROCESOS PRD'!$H:$H,0,0)),"")</f>
        <v/>
      </c>
      <c r="AY68" s="71"/>
      <c r="AZ68" s="32"/>
      <c r="BA68" s="72" t="str">
        <f t="array" ref="BA68">IFERROR(IF(XLOOKUP(CONCAT(AY68,AZ68),'MASTER PLAN'!$AB:$AB,'MASTER PLAN'!$J:$J,0,0)=0,"",XLOOKUP(CONCAT(AY68,AZ68),'MASTER PLAN'!$AB:$AB,'MASTER PLAN'!$J:$J,0,0)),"")</f>
        <v/>
      </c>
      <c r="BB68" s="73" t="str">
        <f t="array" ref="BB68">IFERROR(IF(XLOOKUP(CONCAT(AY68,AZ68),'PROCESOS PRD'!$J:$J,'PROCESOS PRD'!$H:$H,0,0)=0,"",XLOOKUP(CONCAT(AY68,AZ68),'PROCESOS PRD'!$J:$J,'PROCESOS PRD'!$H:$H,0,0)),"")</f>
        <v/>
      </c>
      <c r="BC68" s="71"/>
      <c r="BD68" s="32"/>
      <c r="BE68" s="72" t="str">
        <f t="array" ref="BE68">IFERROR(IF(XLOOKUP(CONCAT(BC68,BD68),'MASTER PLAN'!$AB:$AB,'MASTER PLAN'!$J:$J,0,0)=0,"",XLOOKUP(CONCAT(BC68,BD68),'MASTER PLAN'!$AB:$AB,'MASTER PLAN'!$J:$J,0,0)),"")</f>
        <v/>
      </c>
      <c r="BF68" s="73" t="str">
        <f t="array" ref="BF68">IFERROR(IF(XLOOKUP(CONCAT(BC68,BD68),'PROCESOS PRD'!$J:$J,'PROCESOS PRD'!$H:$H,0,0)=0,"",XLOOKUP(CONCAT(BC68,BD68),'PROCESOS PRD'!$J:$J,'PROCESOS PRD'!$H:$H,0,0)),"")</f>
        <v/>
      </c>
      <c r="BG68" s="71">
        <v>1.40204935E9</v>
      </c>
      <c r="BH68" s="32">
        <v>30.0</v>
      </c>
      <c r="BI68" s="72" t="str">
        <f t="array" ref="BI68">IFERROR(IF(XLOOKUP(CONCAT(BG68,BH68),'MASTER PLAN'!$AB:$AB,'MASTER PLAN'!$J:$J,0,0)=0,"",XLOOKUP(CONCAT(BG68,BH68),'MASTER PLAN'!$AB:$AB,'MASTER PLAN'!$J:$J,0,0)),"")</f>
        <v>BOLSA WSMJ MAYORS WOS 17"X7"X14" FA</v>
      </c>
      <c r="BJ68" s="73">
        <f t="array" ref="BJ68">IFERROR(IF(XLOOKUP(CONCAT(BG68,BH68),'PROCESOS PRD'!$J:$J,'PROCESOS PRD'!$H:$H,0,0)=0,"",XLOOKUP(CONCAT(BG68,BH68),'PROCESOS PRD'!$J:$J,'PROCESOS PRD'!$H:$H,0,0)),"")</f>
        <v>9600</v>
      </c>
      <c r="BK68" s="71">
        <v>1.40204935E9</v>
      </c>
      <c r="BL68" s="32">
        <v>30.0</v>
      </c>
      <c r="BM68" s="72" t="str">
        <f t="array" ref="BM68">IFERROR(IF(XLOOKUP(CONCAT(BK68,BL68),'MASTER PLAN'!$AB:$AB,'MASTER PLAN'!$J:$J,0,0)=0,"",XLOOKUP(CONCAT(BK68,BL68),'MASTER PLAN'!$AB:$AB,'MASTER PLAN'!$J:$J,0,0)),"")</f>
        <v>BOLSA WSMJ MAYORS WOS 17"X7"X14" FA</v>
      </c>
      <c r="BN68" s="73">
        <f t="array" ref="BN68">IFERROR(IF(XLOOKUP(CONCAT(BK68,BL68),'PROCESOS PRD'!$J:$J,'PROCESOS PRD'!$H:$H,0,0)=0,"",XLOOKUP(CONCAT(BK68,BL68),'PROCESOS PRD'!$J:$J,'PROCESOS PRD'!$H:$H,0,0)),"")</f>
        <v>9600</v>
      </c>
      <c r="BO68" s="71"/>
      <c r="BP68" s="32"/>
      <c r="BQ68" s="72" t="str">
        <f t="array" ref="BQ68">IFERROR(IF(XLOOKUP(CONCAT(BO68,BP68),'MASTER PLAN'!$AB:$AB,'MASTER PLAN'!$J:$J,0,0)=0,"",XLOOKUP(CONCAT(BO68,BP68),'MASTER PLAN'!$AB:$AB,'MASTER PLAN'!$J:$J,0,0)),"")</f>
        <v/>
      </c>
      <c r="BR68" s="73" t="str">
        <f t="array" ref="BR68">IFERROR(IF(XLOOKUP(CONCAT(BO68,BP68),'PROCESOS PRD'!$J:$J,'PROCESOS PRD'!$H:$H,0,0)=0,"",XLOOKUP(CONCAT(BO68,BP68),'PROCESOS PRD'!$J:$J,'PROCESOS PRD'!$H:$H,0,0)),"")</f>
        <v/>
      </c>
      <c r="BS68" s="70"/>
      <c r="BT68" s="71"/>
      <c r="BU68" s="32"/>
      <c r="BV68" s="72" t="str">
        <f t="array" ref="BV68">IFERROR(IF(XLOOKUP(CONCAT(BT68,BU68),'MASTER PLAN'!$AB:$AB,'MASTER PLAN'!$J:$J,0,0)=0,"",XLOOKUP(CONCAT(BT68,BU68),'MASTER PLAN'!$AB:$AB,'MASTER PLAN'!$J:$J,0,0)),"")</f>
        <v/>
      </c>
      <c r="BW68" s="73" t="str">
        <f t="array" ref="BW68">IFERROR(IF(XLOOKUP(CONCAT(BT68,BU68),'PROCESOS PRD'!$J:$J,'PROCESOS PRD'!$H:$H,0,0)=0,"",XLOOKUP(CONCAT(BT68,BU68),'PROCESOS PRD'!$J:$J,'PROCESOS PRD'!$H:$H,0,0)),"")</f>
        <v/>
      </c>
      <c r="BX68" s="71">
        <v>1.402049358E9</v>
      </c>
      <c r="BY68" s="32">
        <v>10.0</v>
      </c>
      <c r="BZ68" s="72" t="str">
        <f t="array" ref="BZ68">IFERROR(IF(XLOOKUP(CONCAT(BX68,BY68),'MASTER PLAN'!$AB:$AB,'MASTER PLAN'!$J:$J,0,0)=0,"",XLOOKUP(CONCAT(BX68,BY68),'MASTER PLAN'!$AB:$AB,'MASTER PLAN'!$J:$J,0,0)),"")</f>
        <v>BOLSA JON'S FINE JEWELRY 5"X4"X7"</v>
      </c>
      <c r="CA68" s="73">
        <f t="array" ref="CA68">IFERROR(IF(XLOOKUP(CONCAT(BX68,BY68),'PROCESOS PRD'!$J:$J,'PROCESOS PRD'!$H:$H,0,0)=0,"",XLOOKUP(CONCAT(BX68,BY68),'PROCESOS PRD'!$J:$J,'PROCESOS PRD'!$H:$H,0,0)),"")</f>
        <v>1200</v>
      </c>
      <c r="CB68" s="71">
        <v>1.402049475E9</v>
      </c>
      <c r="CC68" s="32">
        <v>10.0</v>
      </c>
      <c r="CD68" s="72" t="str">
        <f t="array" ref="CD68">IFERROR(IF(XLOOKUP(CONCAT(CB68,CC68),'MASTER PLAN'!$AB:$AB,'MASTER PLAN'!$J:$J,0,0)=0,"",XLOOKUP(CONCAT(CB68,CC68),'MASTER PLAN'!$AB:$AB,'MASTER PLAN'!$J:$J,0,0)),"")</f>
        <v>BOLSA ROTTERMOND 9-75"X4"X7"</v>
      </c>
      <c r="CE68" s="73">
        <f t="array" ref="CE68">IFERROR(IF(XLOOKUP(CONCAT(CB68,CC68),'PROCESOS PRD'!$J:$J,'PROCESOS PRD'!$H:$H,0,0)=0,"",XLOOKUP(CONCAT(CB68,CC68),'PROCESOS PRD'!$J:$J,'PROCESOS PRD'!$H:$H,0,0)),"")</f>
        <v>1800</v>
      </c>
      <c r="CF68" s="71"/>
      <c r="CG68" s="32"/>
      <c r="CH68" s="72" t="str">
        <f t="array" ref="CH68">IFERROR(IF(XLOOKUP(CONCAT(CF68,CG68),'MASTER PLAN'!$AB:$AB,'MASTER PLAN'!$J:$J,0,0)=0,"",XLOOKUP(CONCAT(CF68,CG68),'MASTER PLAN'!$AB:$AB,'MASTER PLAN'!$J:$J,0,0)),"")</f>
        <v/>
      </c>
      <c r="CI68" s="73" t="str">
        <f t="array" ref="CI68">IFERROR(IF(XLOOKUP(CONCAT(CF68,CG68),'PROCESOS PRD'!$J:$J,'PROCESOS PRD'!$H:$H,0,0)=0,"",XLOOKUP(CONCAT(CF68,CG68),'PROCESOS PRD'!$J:$J,'PROCESOS PRD'!$H:$H,0,0)),"")</f>
        <v/>
      </c>
      <c r="CJ68" s="71"/>
      <c r="CK68" s="32"/>
      <c r="CL68" s="72" t="str">
        <f t="array" ref="CL68">IFERROR(IF(XLOOKUP(CONCAT(CJ68,CK68),'MASTER PLAN'!$AB:$AB,'MASTER PLAN'!$J:$J,0,0)=0,"",XLOOKUP(CONCAT(CJ68,CK68),'MASTER PLAN'!$AB:$AB,'MASTER PLAN'!$J:$J,0,0)),"")</f>
        <v/>
      </c>
      <c r="CM68" s="73" t="str">
        <f t="array" ref="CM68">IFERROR(IF(XLOOKUP(CONCAT(CJ68,CK68),'PROCESOS PRD'!$J:$J,'PROCESOS PRD'!$H:$H,0,0)=0,"",XLOOKUP(CONCAT(CJ68,CK68),'PROCESOS PRD'!$J:$J,'PROCESOS PRD'!$H:$H,0,0)),"")</f>
        <v/>
      </c>
      <c r="CN68" s="71"/>
      <c r="CO68" s="32"/>
      <c r="CP68" s="72" t="str">
        <f t="array" ref="CP68">IFERROR(IF(XLOOKUP(CONCAT(CN68,CO68),'MASTER PLAN'!$AB:$AB,'MASTER PLAN'!$J:$J,0,0)=0,"",XLOOKUP(CONCAT(CN68,CO68),'MASTER PLAN'!$AB:$AB,'MASTER PLAN'!$J:$J,0,0)),"")</f>
        <v/>
      </c>
      <c r="CQ68" s="73" t="str">
        <f t="array" ref="CQ68">IFERROR(IF(XLOOKUP(CONCAT(CN68,CO68),'PROCESOS PRD'!$J:$J,'PROCESOS PRD'!$H:$H,0,0)=0,"",XLOOKUP(CONCAT(CN68,CO68),'PROCESOS PRD'!$J:$J,'PROCESOS PRD'!$H:$H,0,0)),"")</f>
        <v/>
      </c>
      <c r="CR68" s="70"/>
      <c r="CS68" s="71"/>
      <c r="CT68" s="32"/>
      <c r="CU68" s="72" t="str">
        <f t="array" ref="CU68">IFERROR(IF(XLOOKUP(CONCAT(CS68,CT68),'MASTER PLAN'!$AB:$AB,'MASTER PLAN'!$J:$J,0,0)=0,"",XLOOKUP(CONCAT(CS68,CT68),'MASTER PLAN'!$AB:$AB,'MASTER PLAN'!$J:$J,0,0)),"")</f>
        <v/>
      </c>
      <c r="CV68" s="73" t="str">
        <f t="array" ref="CV68">IFERROR(IF(XLOOKUP(CONCAT(CS68,CT68),'PROCESOS PRD'!$J:$J,'PROCESOS PRD'!$H:$H,0,0)=0,"",XLOOKUP(CONCAT(CS68,CT68),'PROCESOS PRD'!$J:$J,'PROCESOS PRD'!$H:$H,0,0)),"")</f>
        <v/>
      </c>
      <c r="CW68" s="71"/>
      <c r="CX68" s="32"/>
      <c r="CY68" s="72" t="str">
        <f t="array" ref="CY68">IFERROR(IF(XLOOKUP(CONCAT(CW68,CX68),'MASTER PLAN'!$AB:$AB,'MASTER PLAN'!$J:$J,0,0)=0,"",XLOOKUP(CONCAT(CW68,CX68),'MASTER PLAN'!$AB:$AB,'MASTER PLAN'!$J:$J,0,0)),"")</f>
        <v/>
      </c>
      <c r="CZ68" s="73" t="str">
        <f t="array" ref="CZ68">IFERROR(IF(XLOOKUP(CONCAT(CW68,CX68),'PROCESOS PRD'!$J:$J,'PROCESOS PRD'!$H:$H,0,0)=0,"",XLOOKUP(CONCAT(CW68,CX68),'PROCESOS PRD'!$J:$J,'PROCESOS PRD'!$H:$H,0,0)),"")</f>
        <v/>
      </c>
      <c r="DA68" s="71"/>
      <c r="DB68" s="32"/>
      <c r="DC68" s="72" t="str">
        <f t="array" ref="DC68">IFERROR(IF(XLOOKUP(CONCAT(DA68,DB68),'MASTER PLAN'!$AB:$AB,'MASTER PLAN'!$J:$J,0,0)=0,"",XLOOKUP(CONCAT(DA68,DB68),'MASTER PLAN'!$AB:$AB,'MASTER PLAN'!$J:$J,0,0)),"")</f>
        <v/>
      </c>
      <c r="DD68" s="73" t="str">
        <f t="array" ref="DD68">IFERROR(IF(XLOOKUP(CONCAT(DA68,DB68),'PROCESOS PRD'!$J:$J,'PROCESOS PRD'!$H:$H,0,0)=0,"",XLOOKUP(CONCAT(DA68,DB68),'PROCESOS PRD'!$J:$J,'PROCESOS PRD'!$H:$H,0,0)),"")</f>
        <v/>
      </c>
      <c r="DE68" s="71"/>
      <c r="DF68" s="32"/>
      <c r="DG68" s="72" t="str">
        <f t="array" ref="DG68">IFERROR(IF(XLOOKUP(CONCAT(DE68,DF68),'MASTER PLAN'!$AB:$AB,'MASTER PLAN'!$J:$J,0,0)=0,"",XLOOKUP(CONCAT(DE68,DF68),'MASTER PLAN'!$AB:$AB,'MASTER PLAN'!$J:$J,0,0)),"")</f>
        <v/>
      </c>
      <c r="DH68" s="73" t="str">
        <f t="array" ref="DH68">IFERROR(IF(XLOOKUP(CONCAT(DE68,DF68),'PROCESOS PRD'!$J:$J,'PROCESOS PRD'!$H:$H,0,0)=0,"",XLOOKUP(CONCAT(DE68,DF68),'PROCESOS PRD'!$J:$J,'PROCESOS PRD'!$H:$H,0,0)),"")</f>
        <v/>
      </c>
      <c r="DI68" s="71"/>
      <c r="DJ68" s="32"/>
      <c r="DK68" s="72" t="str">
        <f t="array" ref="DK68">IFERROR(IF(XLOOKUP(CONCAT(DI68,DJ68),'MASTER PLAN'!$AB:$AB,'MASTER PLAN'!$J:$J,0,0)=0,"",XLOOKUP(CONCAT(DI68,DJ68),'MASTER PLAN'!$AB:$AB,'MASTER PLAN'!$J:$J,0,0)),"")</f>
        <v/>
      </c>
      <c r="DL68" s="73" t="str">
        <f t="array" ref="DL68">IFERROR(IF(XLOOKUP(CONCAT(DI68,DJ68),'PROCESOS PRD'!$J:$J,'PROCESOS PRD'!$H:$H,0,0)=0,"",XLOOKUP(CONCAT(DI68,DJ68),'PROCESOS PRD'!$J:$J,'PROCESOS PRD'!$H:$H,0,0)),"")</f>
        <v/>
      </c>
      <c r="DM68" s="71"/>
      <c r="DN68" s="32"/>
      <c r="DO68" s="72" t="str">
        <f t="array" ref="DO68">IFERROR(IF(XLOOKUP(CONCAT(DM68,DN68),'MASTER PLAN'!$AB:$AB,'MASTER PLAN'!$J:$J,0,0)=0,"",XLOOKUP(CONCAT(DM68,DN68),'MASTER PLAN'!$AB:$AB,'MASTER PLAN'!$J:$J,0,0)),"")</f>
        <v/>
      </c>
      <c r="DP68" s="73" t="str">
        <f t="array" ref="DP68">IFERROR(IF(XLOOKUP(CONCAT(DM68,DN68),'PROCESOS PRD'!$J:$J,'PROCESOS PRD'!$H:$H,0,0)=0,"",XLOOKUP(CONCAT(DM68,DN68),'PROCESOS PRD'!$J:$J,'PROCESOS PRD'!$H:$H,0,0)),"")</f>
        <v/>
      </c>
      <c r="DQ68" s="70"/>
      <c r="DR68" s="71"/>
      <c r="DS68" s="32"/>
      <c r="DT68" s="72" t="str">
        <f t="array" ref="DT68">IFERROR(IF(XLOOKUP(CONCAT(DR68,DS68),'MASTER PLAN'!$AB:$AB,'MASTER PLAN'!$J:$J,0,0)=0,"",XLOOKUP(CONCAT(DR68,DS68),'MASTER PLAN'!$AB:$AB,'MASTER PLAN'!$J:$J,0,0)),"")</f>
        <v/>
      </c>
      <c r="DU68" s="73" t="str">
        <f t="array" ref="DU68">IFERROR(IF(XLOOKUP(CONCAT(DR68,DS68),'PROCESOS PRD'!$J:$J,'PROCESOS PRD'!$H:$H,0,0)=0,"",XLOOKUP(CONCAT(DR68,DS68),'PROCESOS PRD'!$J:$J,'PROCESOS PRD'!$H:$H,0,0)),"")</f>
        <v/>
      </c>
      <c r="DV68" s="71"/>
      <c r="DW68" s="32"/>
      <c r="DX68" s="72" t="str">
        <f t="array" ref="DX68">IFERROR(IF(XLOOKUP(CONCAT(DV68,DW68),'MASTER PLAN'!$AB:$AB,'MASTER PLAN'!$J:$J,0,0)=0,"",XLOOKUP(CONCAT(DV68,DW68),'MASTER PLAN'!$AB:$AB,'MASTER PLAN'!$J:$J,0,0)),"")</f>
        <v/>
      </c>
      <c r="DY68" s="73" t="str">
        <f t="array" ref="DY68">IFERROR(IF(XLOOKUP(CONCAT(DV68,DW68),'PROCESOS PRD'!$J:$J,'PROCESOS PRD'!$H:$H,0,0)=0,"",XLOOKUP(CONCAT(DV68,DW68),'PROCESOS PRD'!$J:$J,'PROCESOS PRD'!$H:$H,0,0)),"")</f>
        <v/>
      </c>
      <c r="DZ68" s="71"/>
      <c r="EA68" s="32"/>
      <c r="EB68" s="72" t="str">
        <f t="array" ref="EB68">IFERROR(IF(XLOOKUP(CONCAT(DZ68,EA68),'MASTER PLAN'!$AB:$AB,'MASTER PLAN'!$J:$J,0,0)=0,"",XLOOKUP(CONCAT(DZ68,EA68),'MASTER PLAN'!$AB:$AB,'MASTER PLAN'!$J:$J,0,0)),"")</f>
        <v/>
      </c>
      <c r="EC68" s="73" t="str">
        <f t="array" ref="EC68">IFERROR(IF(XLOOKUP(CONCAT(DZ68,EA68),'PROCESOS PRD'!$J:$J,'PROCESOS PRD'!$H:$H,0,0)=0,"",XLOOKUP(CONCAT(DZ68,EA68),'PROCESOS PRD'!$J:$J,'PROCESOS PRD'!$H:$H,0,0)),"")</f>
        <v/>
      </c>
      <c r="ED68" s="71"/>
      <c r="EE68" s="32"/>
      <c r="EF68" s="72" t="str">
        <f t="array" ref="EF68">IFERROR(IF(XLOOKUP(CONCAT(ED68,EE68),'MASTER PLAN'!$AB:$AB,'MASTER PLAN'!$J:$J,0,0)=0,"",XLOOKUP(CONCAT(ED68,EE68),'MASTER PLAN'!$AB:$AB,'MASTER PLAN'!$J:$J,0,0)),"")</f>
        <v/>
      </c>
      <c r="EG68" s="73" t="str">
        <f t="array" ref="EG68">IFERROR(IF(XLOOKUP(CONCAT(ED68,EE68),'PROCESOS PRD'!$J:$J,'PROCESOS PRD'!$H:$H,0,0)=0,"",XLOOKUP(CONCAT(ED68,EE68),'PROCESOS PRD'!$J:$J,'PROCESOS PRD'!$H:$H,0,0)),"")</f>
        <v/>
      </c>
      <c r="EH68" s="71"/>
      <c r="EI68" s="32"/>
      <c r="EJ68" s="72" t="str">
        <f t="array" ref="EJ68">IFERROR(IF(XLOOKUP(CONCAT(EH68,EI68),'MASTER PLAN'!$AB:$AB,'MASTER PLAN'!$J:$J,0,0)=0,"",XLOOKUP(CONCAT(EH68,EI68),'MASTER PLAN'!$AB:$AB,'MASTER PLAN'!$J:$J,0,0)),"")</f>
        <v/>
      </c>
      <c r="EK68" s="73" t="str">
        <f t="array" ref="EK68">IFERROR(IF(XLOOKUP(CONCAT(EH68,EI68),'PROCESOS PRD'!$J:$J,'PROCESOS PRD'!$H:$H,0,0)=0,"",XLOOKUP(CONCAT(EH68,EI68),'PROCESOS PRD'!$J:$J,'PROCESOS PRD'!$H:$H,0,0)),"")</f>
        <v/>
      </c>
      <c r="EL68" s="71"/>
      <c r="EM68" s="32"/>
      <c r="EN68" s="72" t="str">
        <f t="array" ref="EN68">IFERROR(IF(XLOOKUP(CONCAT(EL68,EM68),'MASTER PLAN'!$AB:$AB,'MASTER PLAN'!$J:$J,0,0)=0,"",XLOOKUP(CONCAT(EL68,EM68),'MASTER PLAN'!$AB:$AB,'MASTER PLAN'!$J:$J,0,0)),"")</f>
        <v/>
      </c>
      <c r="EO68" s="73" t="str">
        <f t="array" ref="EO68">IFERROR(IF(XLOOKUP(CONCAT(EL68,EM68),'PROCESOS PRD'!$J:$J,'PROCESOS PRD'!$H:$H,0,0)=0,"",XLOOKUP(CONCAT(EL68,EM68),'PROCESOS PRD'!$J:$J,'PROCESOS PRD'!$H:$H,0,0)),"")</f>
        <v/>
      </c>
      <c r="EP68" s="70"/>
      <c r="EQ68" s="71"/>
      <c r="ER68" s="32"/>
      <c r="ES68" s="72" t="str">
        <f t="array" ref="ES68">IFERROR(IF(XLOOKUP(CONCAT(EQ68,ER68),'MASTER PLAN'!$AB:$AB,'MASTER PLAN'!$J:$J,0,0)=0,"",XLOOKUP(CONCAT(EQ68,ER68),'MASTER PLAN'!$AB:$AB,'MASTER PLAN'!$J:$J,0,0)),"")</f>
        <v/>
      </c>
      <c r="ET68" s="73" t="str">
        <f t="array" ref="ET68">IFERROR(IF(XLOOKUP(CONCAT(EQ68,ER68),'PROCESOS PRD'!$J:$J,'PROCESOS PRD'!$H:$H,0,0)=0,"",XLOOKUP(CONCAT(EQ68,ER68),'PROCESOS PRD'!$J:$J,'PROCESOS PRD'!$H:$H,0,0)),"")</f>
        <v/>
      </c>
      <c r="EU68" s="71"/>
      <c r="EV68" s="32"/>
      <c r="EW68" s="72" t="str">
        <f t="array" ref="EW68">IFERROR(IF(XLOOKUP(CONCAT(EU68,EV68),'MASTER PLAN'!$AB:$AB,'MASTER PLAN'!$J:$J,0,0)=0,"",XLOOKUP(CONCAT(EU68,EV68),'MASTER PLAN'!$AB:$AB,'MASTER PLAN'!$J:$J,0,0)),"")</f>
        <v/>
      </c>
      <c r="EX68" s="73" t="str">
        <f t="array" ref="EX68">IFERROR(IF(XLOOKUP(CONCAT(EU68,EV68),'PROCESOS PRD'!$J:$J,'PROCESOS PRD'!$H:$H,0,0)=0,"",XLOOKUP(CONCAT(EU68,EV68),'PROCESOS PRD'!$J:$J,'PROCESOS PRD'!$H:$H,0,0)),"")</f>
        <v/>
      </c>
      <c r="EY68" s="71"/>
      <c r="EZ68" s="32"/>
      <c r="FA68" s="72" t="str">
        <f t="array" ref="FA68">IFERROR(IF(XLOOKUP(CONCAT(EY68,EZ68),'MASTER PLAN'!$AB:$AB,'MASTER PLAN'!$J:$J,0,0)=0,"",XLOOKUP(CONCAT(EY68,EZ68),'MASTER PLAN'!$AB:$AB,'MASTER PLAN'!$J:$J,0,0)),"")</f>
        <v/>
      </c>
      <c r="FB68" s="73" t="str">
        <f t="array" ref="FB68">IFERROR(IF(XLOOKUP(CONCAT(EY68,EZ68),'PROCESOS PRD'!$J:$J,'PROCESOS PRD'!$H:$H,0,0)=0,"",XLOOKUP(CONCAT(EY68,EZ68),'PROCESOS PRD'!$J:$J,'PROCESOS PRD'!$H:$H,0,0)),"")</f>
        <v/>
      </c>
      <c r="FC68" s="71"/>
      <c r="FD68" s="32"/>
      <c r="FE68" s="72" t="str">
        <f t="array" ref="FE68">IFERROR(IF(XLOOKUP(CONCAT(FC68,FD68),'MASTER PLAN'!$AB:$AB,'MASTER PLAN'!$J:$J,0,0)=0,"",XLOOKUP(CONCAT(FC68,FD68),'MASTER PLAN'!$AB:$AB,'MASTER PLAN'!$J:$J,0,0)),"")</f>
        <v/>
      </c>
      <c r="FF68" s="73" t="str">
        <f t="array" ref="FF68">IFERROR(IF(XLOOKUP(CONCAT(FC68,FD68),'PROCESOS PRD'!$J:$J,'PROCESOS PRD'!$H:$H,0,0)=0,"",XLOOKUP(CONCAT(FC68,FD68),'PROCESOS PRD'!$J:$J,'PROCESOS PRD'!$H:$H,0,0)),"")</f>
        <v/>
      </c>
      <c r="FG68" s="71"/>
      <c r="FH68" s="32"/>
      <c r="FI68" s="72" t="str">
        <f t="array" ref="FI68">IFERROR(IF(XLOOKUP(CONCAT(FG68,FH68),'MASTER PLAN'!$AB:$AB,'MASTER PLAN'!$J:$J,0,0)=0,"",XLOOKUP(CONCAT(FG68,FH68),'MASTER PLAN'!$AB:$AB,'MASTER PLAN'!$J:$J,0,0)),"")</f>
        <v/>
      </c>
      <c r="FJ68" s="73" t="str">
        <f t="array" ref="FJ68">IFERROR(IF(XLOOKUP(CONCAT(FG68,FH68),'PROCESOS PRD'!$J:$J,'PROCESOS PRD'!$H:$H,0,0)=0,"",XLOOKUP(CONCAT(FG68,FH68),'PROCESOS PRD'!$J:$J,'PROCESOS PRD'!$H:$H,0,0)),"")</f>
        <v/>
      </c>
      <c r="FK68" s="71"/>
      <c r="FL68" s="32"/>
      <c r="FM68" s="72" t="str">
        <f t="array" ref="FM68">IFERROR(IF(XLOOKUP(CONCAT(FK68,FL68),'MASTER PLAN'!$AB:$AB,'MASTER PLAN'!$J:$J,0,0)=0,"",XLOOKUP(CONCAT(FK68,FL68),'MASTER PLAN'!$AB:$AB,'MASTER PLAN'!$J:$J,0,0)),"")</f>
        <v/>
      </c>
      <c r="FN68" s="73" t="str">
        <f t="array" ref="FN68">IFERROR(IF(XLOOKUP(CONCAT(FK68,FL68),'PROCESOS PRD'!$J:$J,'PROCESOS PRD'!$H:$H,0,0)=0,"",XLOOKUP(CONCAT(FK68,FL68),'PROCESOS PRD'!$J:$J,'PROCESOS PRD'!$H:$H,0,0)),"")</f>
        <v/>
      </c>
      <c r="FO68" s="70"/>
      <c r="FP68" s="71"/>
      <c r="FQ68" s="32"/>
      <c r="FR68" s="72" t="str">
        <f t="array" ref="FR68">IFERROR(IF(XLOOKUP(CONCAT(FP68,FQ68),'MASTER PLAN'!$AB:$AB,'MASTER PLAN'!$J:$J,0,0)=0,"",XLOOKUP(CONCAT(FP68,FQ68),'MASTER PLAN'!$AB:$AB,'MASTER PLAN'!$J:$J,0,0)),"")</f>
        <v/>
      </c>
      <c r="FS68" s="73" t="str">
        <f t="array" ref="FS68">IFERROR(IF(XLOOKUP(CONCAT(FP68,FQ68),'PROCESOS PRD'!$J:$J,'PROCESOS PRD'!$H:$H,0,0)=0,"",XLOOKUP(CONCAT(FP68,FQ68),'PROCESOS PRD'!$J:$J,'PROCESOS PRD'!$H:$H,0,0)),"")</f>
        <v/>
      </c>
      <c r="FT68" s="71"/>
      <c r="FU68" s="32"/>
      <c r="FV68" s="72" t="str">
        <f t="array" ref="FV68">IFERROR(IF(XLOOKUP(CONCAT(FT68,FU68),'MASTER PLAN'!$AB:$AB,'MASTER PLAN'!$J:$J,0,0)=0,"",XLOOKUP(CONCAT(FT68,FU68),'MASTER PLAN'!$AB:$AB,'MASTER PLAN'!$J:$J,0,0)),"")</f>
        <v/>
      </c>
      <c r="FW68" s="73" t="str">
        <f t="array" ref="FW68">IFERROR(IF(XLOOKUP(CONCAT(FT68,FU68),'PROCESOS PRD'!$J:$J,'PROCESOS PRD'!$H:$H,0,0)=0,"",XLOOKUP(CONCAT(FT68,FU68),'PROCESOS PRD'!$J:$J,'PROCESOS PRD'!$H:$H,0,0)),"")</f>
        <v/>
      </c>
      <c r="FX68" s="71"/>
      <c r="FY68" s="32"/>
      <c r="FZ68" s="72" t="str">
        <f t="array" ref="FZ68">IFERROR(IF(XLOOKUP(CONCAT(FX68,FY68),'MASTER PLAN'!$AB:$AB,'MASTER PLAN'!$J:$J,0,0)=0,"",XLOOKUP(CONCAT(FX68,FY68),'MASTER PLAN'!$AB:$AB,'MASTER PLAN'!$J:$J,0,0)),"")</f>
        <v/>
      </c>
      <c r="GA68" s="73" t="str">
        <f t="array" ref="GA68">IFERROR(IF(XLOOKUP(CONCAT(FX68,FY68),'PROCESOS PRD'!$J:$J,'PROCESOS PRD'!$H:$H,0,0)=0,"",XLOOKUP(CONCAT(FX68,FY68),'PROCESOS PRD'!$J:$J,'PROCESOS PRD'!$H:$H,0,0)),"")</f>
        <v/>
      </c>
      <c r="GB68" s="71"/>
      <c r="GC68" s="32"/>
      <c r="GD68" s="72" t="str">
        <f t="array" ref="GD68">IFERROR(IF(XLOOKUP(CONCAT(GB68,GC68),'MASTER PLAN'!$AB:$AB,'MASTER PLAN'!$J:$J,0,0)=0,"",XLOOKUP(CONCAT(GB68,GC68),'MASTER PLAN'!$AB:$AB,'MASTER PLAN'!$J:$J,0,0)),"")</f>
        <v/>
      </c>
      <c r="GE68" s="73" t="str">
        <f t="array" ref="GE68">IFERROR(IF(XLOOKUP(CONCAT(GB68,GC68),'PROCESOS PRD'!$J:$J,'PROCESOS PRD'!$H:$H,0,0)=0,"",XLOOKUP(CONCAT(GB68,GC68),'PROCESOS PRD'!$J:$J,'PROCESOS PRD'!$H:$H,0,0)),"")</f>
        <v/>
      </c>
      <c r="GF68" s="71"/>
      <c r="GG68" s="32"/>
      <c r="GH68" s="72" t="str">
        <f t="array" ref="GH68">IFERROR(IF(XLOOKUP(CONCAT(GF68,GG68),'MASTER PLAN'!$AB:$AB,'MASTER PLAN'!$J:$J,0,0)=0,"",XLOOKUP(CONCAT(GF68,GG68),'MASTER PLAN'!$AB:$AB,'MASTER PLAN'!$J:$J,0,0)),"")</f>
        <v/>
      </c>
      <c r="GI68" s="73" t="str">
        <f t="array" ref="GI68">IFERROR(IF(XLOOKUP(CONCAT(GF68,GG68),'PROCESOS PRD'!$J:$J,'PROCESOS PRD'!$H:$H,0,0)=0,"",XLOOKUP(CONCAT(GF68,GG68),'PROCESOS PRD'!$J:$J,'PROCESOS PRD'!$H:$H,0,0)),"")</f>
        <v/>
      </c>
      <c r="GJ68" s="71"/>
      <c r="GK68" s="32"/>
      <c r="GL68" s="72" t="str">
        <f t="array" ref="GL68">IFERROR(IF(XLOOKUP(CONCAT(GJ68,GK68),'MASTER PLAN'!$AB:$AB,'MASTER PLAN'!$J:$J,0,0)=0,"",XLOOKUP(CONCAT(GJ68,GK68),'MASTER PLAN'!$AB:$AB,'MASTER PLAN'!$J:$J,0,0)),"")</f>
        <v/>
      </c>
      <c r="GM68" s="73" t="str">
        <f t="array" ref="GM68">IFERROR(IF(XLOOKUP(CONCAT(GJ68,GK68),'PROCESOS PRD'!$J:$J,'PROCESOS PRD'!$H:$H,0,0)=0,"",XLOOKUP(CONCAT(GJ68,GK68),'PROCESOS PRD'!$J:$J,'PROCESOS PRD'!$H:$H,0,0)),"")</f>
        <v/>
      </c>
      <c r="GN68" s="70"/>
      <c r="GO68" s="71"/>
      <c r="GP68" s="32"/>
      <c r="GQ68" s="72" t="str">
        <f t="array" ref="GQ68">IFERROR(IF(XLOOKUP(CONCAT(GO68,GP68),'MASTER PLAN'!$AB:$AB,'MASTER PLAN'!$J:$J,0,0)=0,"",XLOOKUP(CONCAT(GO68,GP68),'MASTER PLAN'!$AB:$AB,'MASTER PLAN'!$J:$J,0,0)),"")</f>
        <v/>
      </c>
      <c r="GR68" s="73" t="str">
        <f t="array" ref="GR68">IFERROR(IF(XLOOKUP(CONCAT(GO68,GP68),'PROCESOS PRD'!$J:$J,'PROCESOS PRD'!$H:$H,0,0)=0,"",XLOOKUP(CONCAT(GO68,GP68),'PROCESOS PRD'!$J:$J,'PROCESOS PRD'!$H:$H,0,0)),"")</f>
        <v/>
      </c>
      <c r="GS68" s="71"/>
      <c r="GT68" s="32"/>
      <c r="GU68" s="72" t="str">
        <f t="array" ref="GU68">IFERROR(IF(XLOOKUP(CONCAT(GS68,GT68),'MASTER PLAN'!$AB:$AB,'MASTER PLAN'!$J:$J,0,0)=0,"",XLOOKUP(CONCAT(GS68,GT68),'MASTER PLAN'!$AB:$AB,'MASTER PLAN'!$J:$J,0,0)),"")</f>
        <v/>
      </c>
      <c r="GV68" s="73" t="str">
        <f t="array" ref="GV68">IFERROR(IF(XLOOKUP(CONCAT(GS68,GT68),'PROCESOS PRD'!$J:$J,'PROCESOS PRD'!$H:$H,0,0)=0,"",XLOOKUP(CONCAT(GS68,GT68),'PROCESOS PRD'!$J:$J,'PROCESOS PRD'!$H:$H,0,0)),"")</f>
        <v/>
      </c>
      <c r="GW68" s="71"/>
      <c r="GX68" s="32"/>
      <c r="GY68" s="72" t="str">
        <f t="array" ref="GY68">IFERROR(IF(XLOOKUP(CONCAT(GW68,GX68),'MASTER PLAN'!$AB:$AB,'MASTER PLAN'!$J:$J,0,0)=0,"",XLOOKUP(CONCAT(GW68,GX68),'MASTER PLAN'!$AB:$AB,'MASTER PLAN'!$J:$J,0,0)),"")</f>
        <v/>
      </c>
      <c r="GZ68" s="73" t="str">
        <f t="array" ref="GZ68">IFERROR(IF(XLOOKUP(CONCAT(GW68,GX68),'PROCESOS PRD'!$J:$J,'PROCESOS PRD'!$H:$H,0,0)=0,"",XLOOKUP(CONCAT(GW68,GX68),'PROCESOS PRD'!$J:$J,'PROCESOS PRD'!$H:$H,0,0)),"")</f>
        <v/>
      </c>
      <c r="HA68" s="71"/>
      <c r="HB68" s="32"/>
      <c r="HC68" s="72" t="str">
        <f t="array" ref="HC68">IFERROR(IF(XLOOKUP(CONCAT(HA68,HB68),'MASTER PLAN'!$AB:$AB,'MASTER PLAN'!$J:$J,0,0)=0,"",XLOOKUP(CONCAT(HA68,HB68),'MASTER PLAN'!$AB:$AB,'MASTER PLAN'!$J:$J,0,0)),"")</f>
        <v/>
      </c>
      <c r="HD68" s="73" t="str">
        <f t="array" ref="HD68">IFERROR(IF(XLOOKUP(CONCAT(HA68,HB68),'PROCESOS PRD'!$J:$J,'PROCESOS PRD'!$H:$H,0,0)=0,"",XLOOKUP(CONCAT(HA68,HB68),'PROCESOS PRD'!$J:$J,'PROCESOS PRD'!$H:$H,0,0)),"")</f>
        <v/>
      </c>
      <c r="HE68" s="71"/>
      <c r="HF68" s="32"/>
      <c r="HG68" s="72" t="str">
        <f t="array" ref="HG68">IFERROR(IF(XLOOKUP(CONCAT(HE68,HF68),'MASTER PLAN'!$AB:$AB,'MASTER PLAN'!$J:$J,0,0)=0,"",XLOOKUP(CONCAT(HE68,HF68),'MASTER PLAN'!$AB:$AB,'MASTER PLAN'!$J:$J,0,0)),"")</f>
        <v/>
      </c>
      <c r="HH68" s="73" t="str">
        <f t="array" ref="HH68">IFERROR(IF(XLOOKUP(CONCAT(HE68,HF68),'PROCESOS PRD'!$J:$J,'PROCESOS PRD'!$H:$H,0,0)=0,"",XLOOKUP(CONCAT(HE68,HF68),'PROCESOS PRD'!$J:$J,'PROCESOS PRD'!$H:$H,0,0)),"")</f>
        <v/>
      </c>
      <c r="HI68" s="71"/>
      <c r="HJ68" s="32"/>
      <c r="HK68" s="72" t="str">
        <f t="array" ref="HK68">IFERROR(IF(XLOOKUP(CONCAT(HI68,HJ68),'MASTER PLAN'!$AB:$AB,'MASTER PLAN'!$J:$J,0,0)=0,"",XLOOKUP(CONCAT(HI68,HJ68),'MASTER PLAN'!$AB:$AB,'MASTER PLAN'!$J:$J,0,0)),"")</f>
        <v/>
      </c>
      <c r="HL68" s="73" t="str">
        <f t="array" ref="HL68">IFERROR(IF(XLOOKUP(CONCAT(HI68,HJ68),'PROCESOS PRD'!$J:$J,'PROCESOS PRD'!$H:$H,0,0)=0,"",XLOOKUP(CONCAT(HI68,HJ68),'PROCESOS PRD'!$J:$J,'PROCESOS PRD'!$H:$H,0,0)),"")</f>
        <v/>
      </c>
      <c r="HM68" s="70"/>
      <c r="HN68" s="71"/>
      <c r="HO68" s="32"/>
      <c r="HP68" s="72" t="str">
        <f t="array" ref="HP68">IFERROR(IF(XLOOKUP(CONCAT(HN68,HO68),'MASTER PLAN'!$AB:$AB,'MASTER PLAN'!$J:$J,0,0)=0,"",XLOOKUP(CONCAT(HN68,HO68),'MASTER PLAN'!$AB:$AB,'MASTER PLAN'!$J:$J,0,0)),"")</f>
        <v/>
      </c>
      <c r="HQ68" s="73" t="str">
        <f t="array" ref="HQ68">IFERROR(IF(XLOOKUP(CONCAT(HN68,HO68),'PROCESOS PRD'!$J:$J,'PROCESOS PRD'!$H:$H,0,0)=0,"",XLOOKUP(CONCAT(HN68,HO68),'PROCESOS PRD'!$J:$J,'PROCESOS PRD'!$H:$H,0,0)),"")</f>
        <v/>
      </c>
      <c r="HR68" s="71"/>
      <c r="HS68" s="32"/>
      <c r="HT68" s="72" t="str">
        <f t="array" ref="HT68">IFERROR(IF(XLOOKUP(CONCAT(HR68,HS68),'MASTER PLAN'!$AB:$AB,'MASTER PLAN'!$J:$J,0,0)=0,"",XLOOKUP(CONCAT(HR68,HS68),'MASTER PLAN'!$AB:$AB,'MASTER PLAN'!$J:$J,0,0)),"")</f>
        <v/>
      </c>
      <c r="HU68" s="73" t="str">
        <f t="array" ref="HU68">IFERROR(IF(XLOOKUP(CONCAT(HR68,HS68),'PROCESOS PRD'!$J:$J,'PROCESOS PRD'!$H:$H,0,0)=0,"",XLOOKUP(CONCAT(HR68,HS68),'PROCESOS PRD'!$J:$J,'PROCESOS PRD'!$H:$H,0,0)),"")</f>
        <v/>
      </c>
      <c r="HV68" s="71"/>
      <c r="HW68" s="32"/>
      <c r="HX68" s="72" t="str">
        <f t="array" ref="HX68">IFERROR(IF(XLOOKUP(CONCAT(HV68,HW68),'MASTER PLAN'!$AB:$AB,'MASTER PLAN'!$J:$J,0,0)=0,"",XLOOKUP(CONCAT(HV68,HW68),'MASTER PLAN'!$AB:$AB,'MASTER PLAN'!$J:$J,0,0)),"")</f>
        <v/>
      </c>
      <c r="HY68" s="73" t="str">
        <f t="array" ref="HY68">IFERROR(IF(XLOOKUP(CONCAT(HV68,HW68),'PROCESOS PRD'!$J:$J,'PROCESOS PRD'!$H:$H,0,0)=0,"",XLOOKUP(CONCAT(HV68,HW68),'PROCESOS PRD'!$J:$J,'PROCESOS PRD'!$H:$H,0,0)),"")</f>
        <v/>
      </c>
      <c r="HZ68" s="71"/>
      <c r="IA68" s="32"/>
      <c r="IB68" s="72" t="str">
        <f t="array" ref="IB68">IFERROR(IF(XLOOKUP(CONCAT(HZ68,IA68),'MASTER PLAN'!$AB:$AB,'MASTER PLAN'!$J:$J,0,0)=0,"",XLOOKUP(CONCAT(HZ68,IA68),'MASTER PLAN'!$AB:$AB,'MASTER PLAN'!$J:$J,0,0)),"")</f>
        <v/>
      </c>
      <c r="IC68" s="73" t="str">
        <f t="array" ref="IC68">IFERROR(IF(XLOOKUP(CONCAT(HZ68,IA68),'PROCESOS PRD'!$J:$J,'PROCESOS PRD'!$H:$H,0,0)=0,"",XLOOKUP(CONCAT(HZ68,IA68),'PROCESOS PRD'!$J:$J,'PROCESOS PRD'!$H:$H,0,0)),"")</f>
        <v/>
      </c>
      <c r="ID68" s="71"/>
      <c r="IE68" s="32"/>
      <c r="IF68" s="72" t="str">
        <f t="array" ref="IF68">IFERROR(IF(XLOOKUP(CONCAT(ID68,IE68),'MASTER PLAN'!$AB:$AB,'MASTER PLAN'!$J:$J,0,0)=0,"",XLOOKUP(CONCAT(ID68,IE68),'MASTER PLAN'!$AB:$AB,'MASTER PLAN'!$J:$J,0,0)),"")</f>
        <v/>
      </c>
      <c r="IG68" s="73" t="str">
        <f t="array" ref="IG68">IFERROR(IF(XLOOKUP(CONCAT(ID68,IE68),'PROCESOS PRD'!$J:$J,'PROCESOS PRD'!$H:$H,0,0)=0,"",XLOOKUP(CONCAT(ID68,IE68),'PROCESOS PRD'!$J:$J,'PROCESOS PRD'!$H:$H,0,0)),"")</f>
        <v/>
      </c>
      <c r="IH68" s="71"/>
      <c r="II68" s="32"/>
      <c r="IJ68" s="72" t="str">
        <f t="array" ref="IJ68">IFERROR(IF(XLOOKUP(CONCAT(IH68,II68),'MASTER PLAN'!$AB:$AB,'MASTER PLAN'!$J:$J,0,0)=0,"",XLOOKUP(CONCAT(IH68,II68),'MASTER PLAN'!$AB:$AB,'MASTER PLAN'!$J:$J,0,0)),"")</f>
        <v/>
      </c>
      <c r="IK68" s="73" t="str">
        <f t="array" ref="IK68">IFERROR(IF(XLOOKUP(CONCAT(IH68,II68),'PROCESOS PRD'!$J:$J,'PROCESOS PRD'!$H:$H,0,0)=0,"",XLOOKUP(CONCAT(IH68,II68),'PROCESOS PRD'!$J:$J,'PROCESOS PRD'!$H:$H,0,0)),"")</f>
        <v/>
      </c>
      <c r="IL68" s="70"/>
      <c r="IM68" s="71"/>
      <c r="IN68" s="32"/>
      <c r="IO68" s="72" t="str">
        <f t="array" ref="IO68">IFERROR(IF(XLOOKUP(CONCAT(IM68,IN68),'MASTER PLAN'!$AB:$AB,'MASTER PLAN'!$J:$J,0,0)=0,"",XLOOKUP(CONCAT(IM68,IN68),'MASTER PLAN'!$AB:$AB,'MASTER PLAN'!$J:$J,0,0)),"")</f>
        <v/>
      </c>
      <c r="IP68" s="73" t="str">
        <f t="array" ref="IP68">IFERROR(IF(XLOOKUP(CONCAT(IM68,IN68),'PROCESOS PRD'!$J:$J,'PROCESOS PRD'!$H:$H,0,0)=0,"",XLOOKUP(CONCAT(IM68,IN68),'PROCESOS PRD'!$J:$J,'PROCESOS PRD'!$H:$H,0,0)),"")</f>
        <v/>
      </c>
      <c r="IQ68" s="71"/>
      <c r="IR68" s="32"/>
      <c r="IS68" s="72" t="str">
        <f t="array" ref="IS68">IFERROR(IF(XLOOKUP(CONCAT(IQ68,IR68),'MASTER PLAN'!$AB:$AB,'MASTER PLAN'!$J:$J,0,0)=0,"",XLOOKUP(CONCAT(IQ68,IR68),'MASTER PLAN'!$AB:$AB,'MASTER PLAN'!$J:$J,0,0)),"")</f>
        <v/>
      </c>
      <c r="IT68" s="73" t="str">
        <f t="array" ref="IT68">IFERROR(IF(XLOOKUP(CONCAT(IQ68,IR68),'PROCESOS PRD'!$J:$J,'PROCESOS PRD'!$H:$H,0,0)=0,"",XLOOKUP(CONCAT(IQ68,IR68),'PROCESOS PRD'!$J:$J,'PROCESOS PRD'!$H:$H,0,0)),"")</f>
        <v/>
      </c>
      <c r="IU68" s="71"/>
      <c r="IV68" s="32"/>
      <c r="IW68" s="72" t="str">
        <f t="array" ref="IW68">IFERROR(IF(XLOOKUP(CONCAT(IU68,IV68),'MASTER PLAN'!$AB:$AB,'MASTER PLAN'!$J:$J,0,0)=0,"",XLOOKUP(CONCAT(IU68,IV68),'MASTER PLAN'!$AB:$AB,'MASTER PLAN'!$J:$J,0,0)),"")</f>
        <v/>
      </c>
      <c r="IX68" s="73" t="str">
        <f t="array" ref="IX68">IFERROR(IF(XLOOKUP(CONCAT(IU68,IV68),'PROCESOS PRD'!$J:$J,'PROCESOS PRD'!$H:$H,0,0)=0,"",XLOOKUP(CONCAT(IU68,IV68),'PROCESOS PRD'!$J:$J,'PROCESOS PRD'!$H:$H,0,0)),"")</f>
        <v/>
      </c>
      <c r="IY68" s="71"/>
      <c r="IZ68" s="32"/>
      <c r="JA68" s="72" t="str">
        <f t="array" ref="JA68">IFERROR(IF(XLOOKUP(CONCAT(IY68,IZ68),'MASTER PLAN'!$AB:$AB,'MASTER PLAN'!$J:$J,0,0)=0,"",XLOOKUP(CONCAT(IY68,IZ68),'MASTER PLAN'!$AB:$AB,'MASTER PLAN'!$J:$J,0,0)),"")</f>
        <v/>
      </c>
      <c r="JB68" s="73" t="str">
        <f t="array" ref="JB68">IFERROR(IF(XLOOKUP(CONCAT(IY68,IZ68),'PROCESOS PRD'!$J:$J,'PROCESOS PRD'!$H:$H,0,0)=0,"",XLOOKUP(CONCAT(IY68,IZ68),'PROCESOS PRD'!$J:$J,'PROCESOS PRD'!$H:$H,0,0)),"")</f>
        <v/>
      </c>
      <c r="JC68" s="71"/>
      <c r="JD68" s="32"/>
      <c r="JE68" s="72" t="str">
        <f t="array" ref="JE68">IFERROR(IF(XLOOKUP(CONCAT(JC68,JD68),'MASTER PLAN'!$AB:$AB,'MASTER PLAN'!$J:$J,0,0)=0,"",XLOOKUP(CONCAT(JC68,JD68),'MASTER PLAN'!$AB:$AB,'MASTER PLAN'!$J:$J,0,0)),"")</f>
        <v/>
      </c>
      <c r="JF68" s="73" t="str">
        <f t="array" ref="JF68">IFERROR(IF(XLOOKUP(CONCAT(JC68,JD68),'PROCESOS PRD'!$J:$J,'PROCESOS PRD'!$H:$H,0,0)=0,"",XLOOKUP(CONCAT(JC68,JD68),'PROCESOS PRD'!$J:$J,'PROCESOS PRD'!$H:$H,0,0)),"")</f>
        <v/>
      </c>
      <c r="JG68" s="71"/>
      <c r="JH68" s="32"/>
      <c r="JI68" s="72" t="str">
        <f t="array" ref="JI68">IFERROR(IF(XLOOKUP(CONCAT(JG68,JH68),'MASTER PLAN'!$AB:$AB,'MASTER PLAN'!$J:$J,0,0)=0,"",XLOOKUP(CONCAT(JG68,JH68),'MASTER PLAN'!$AB:$AB,'MASTER PLAN'!$J:$J,0,0)),"")</f>
        <v/>
      </c>
      <c r="JJ68" s="73" t="str">
        <f t="array" ref="JJ68">IFERROR(IF(XLOOKUP(CONCAT(JG68,JH68),'PROCESOS PRD'!$J:$J,'PROCESOS PRD'!$H:$H,0,0)=0,"",XLOOKUP(CONCAT(JG68,JH68),'PROCESOS PRD'!$J:$J,'PROCESOS PRD'!$H:$H,0,0)),"")</f>
        <v/>
      </c>
      <c r="JK68" s="70"/>
      <c r="JL68" s="71"/>
      <c r="JM68" s="32"/>
      <c r="JN68" s="72" t="str">
        <f t="array" ref="JN68">IFERROR(IF(XLOOKUP(CONCAT(JL68,JM68),'MASTER PLAN'!$AB:$AB,'MASTER PLAN'!$J:$J,0,0)=0,"",XLOOKUP(CONCAT(JL68,JM68),'MASTER PLAN'!$AB:$AB,'MASTER PLAN'!$J:$J,0,0)),"")</f>
        <v/>
      </c>
      <c r="JO68" s="73" t="str">
        <f t="array" ref="JO68">IFERROR(IF(XLOOKUP(CONCAT(JL68,JM68),'PROCESOS PRD'!$J:$J,'PROCESOS PRD'!$H:$H,0,0)=0,"",XLOOKUP(CONCAT(JL68,JM68),'PROCESOS PRD'!$J:$J,'PROCESOS PRD'!$H:$H,0,0)),"")</f>
        <v/>
      </c>
      <c r="JP68" s="71"/>
      <c r="JQ68" s="32"/>
      <c r="JR68" s="72" t="str">
        <f t="array" ref="JR68">IFERROR(IF(XLOOKUP(CONCAT(JP68,JQ68),'MASTER PLAN'!$AB:$AB,'MASTER PLAN'!$J:$J,0,0)=0,"",XLOOKUP(CONCAT(JP68,JQ68),'MASTER PLAN'!$AB:$AB,'MASTER PLAN'!$J:$J,0,0)),"")</f>
        <v/>
      </c>
      <c r="JS68" s="73" t="str">
        <f t="array" ref="JS68">IFERROR(IF(XLOOKUP(CONCAT(JP68,JQ68),'PROCESOS PRD'!$J:$J,'PROCESOS PRD'!$H:$H,0,0)=0,"",XLOOKUP(CONCAT(JP68,JQ68),'PROCESOS PRD'!$J:$J,'PROCESOS PRD'!$H:$H,0,0)),"")</f>
        <v/>
      </c>
      <c r="JT68" s="71"/>
      <c r="JU68" s="32"/>
      <c r="JV68" s="72" t="str">
        <f t="array" ref="JV68">IFERROR(IF(XLOOKUP(CONCAT(JT68,JU68),'MASTER PLAN'!$AB:$AB,'MASTER PLAN'!$J:$J,0,0)=0,"",XLOOKUP(CONCAT(JT68,JU68),'MASTER PLAN'!$AB:$AB,'MASTER PLAN'!$J:$J,0,0)),"")</f>
        <v/>
      </c>
      <c r="JW68" s="73" t="str">
        <f t="array" ref="JW68">IFERROR(IF(XLOOKUP(CONCAT(JT68,JU68),'PROCESOS PRD'!$J:$J,'PROCESOS PRD'!$H:$H,0,0)=0,"",XLOOKUP(CONCAT(JT68,JU68),'PROCESOS PRD'!$J:$J,'PROCESOS PRD'!$H:$H,0,0)),"")</f>
        <v/>
      </c>
      <c r="JX68" s="71"/>
      <c r="JY68" s="32"/>
      <c r="JZ68" s="72" t="str">
        <f t="array" ref="JZ68">IFERROR(IF(XLOOKUP(CONCAT(JX68,JY68),'MASTER PLAN'!$AB:$AB,'MASTER PLAN'!$J:$J,0,0)=0,"",XLOOKUP(CONCAT(JX68,JY68),'MASTER PLAN'!$AB:$AB,'MASTER PLAN'!$J:$J,0,0)),"")</f>
        <v/>
      </c>
      <c r="KA68" s="73" t="str">
        <f t="array" ref="KA68">IFERROR(IF(XLOOKUP(CONCAT(JX68,JY68),'PROCESOS PRD'!$J:$J,'PROCESOS PRD'!$H:$H,0,0)=0,"",XLOOKUP(CONCAT(JX68,JY68),'PROCESOS PRD'!$J:$J,'PROCESOS PRD'!$H:$H,0,0)),"")</f>
        <v/>
      </c>
      <c r="KB68" s="71"/>
      <c r="KC68" s="32"/>
      <c r="KD68" s="72" t="str">
        <f t="array" ref="KD68">IFERROR(IF(XLOOKUP(CONCAT(KB68,KC68),'MASTER PLAN'!$AB:$AB,'MASTER PLAN'!$J:$J,0,0)=0,"",XLOOKUP(CONCAT(KB68,KC68),'MASTER PLAN'!$AB:$AB,'MASTER PLAN'!$J:$J,0,0)),"")</f>
        <v/>
      </c>
      <c r="KE68" s="73" t="str">
        <f t="array" ref="KE68">IFERROR(IF(XLOOKUP(CONCAT(KB68,KC68),'PROCESOS PRD'!$J:$J,'PROCESOS PRD'!$H:$H,0,0)=0,"",XLOOKUP(CONCAT(KB68,KC68),'PROCESOS PRD'!$J:$J,'PROCESOS PRD'!$H:$H,0,0)),"")</f>
        <v/>
      </c>
      <c r="KF68" s="71"/>
      <c r="KG68" s="32"/>
      <c r="KH68" s="72" t="str">
        <f t="array" ref="KH68">IFERROR(IF(XLOOKUP(CONCAT(KF68,KG68),'MASTER PLAN'!$AB:$AB,'MASTER PLAN'!$J:$J,0,0)=0,"",XLOOKUP(CONCAT(KF68,KG68),'MASTER PLAN'!$AB:$AB,'MASTER PLAN'!$J:$J,0,0)),"")</f>
        <v/>
      </c>
      <c r="KI68" s="73" t="str">
        <f t="array" ref="KI68">IFERROR(IF(XLOOKUP(CONCAT(KF68,KG68),'PROCESOS PRD'!$J:$J,'PROCESOS PRD'!$H:$H,0,0)=0,"",XLOOKUP(CONCAT(KF68,KG68),'PROCESOS PRD'!$J:$J,'PROCESOS PRD'!$H:$H,0,0)),"")</f>
        <v/>
      </c>
      <c r="KJ68" s="70"/>
      <c r="KK68" s="70"/>
      <c r="KL68" s="70"/>
      <c r="KM68" s="70"/>
      <c r="KN68" s="70"/>
      <c r="KO68" s="70"/>
      <c r="KP68" s="70"/>
      <c r="KQ68" s="70"/>
      <c r="KR68" s="70"/>
      <c r="KS68" s="70"/>
      <c r="KT68" s="70"/>
      <c r="KU68" s="70"/>
      <c r="KV68" s="70"/>
      <c r="KW68" s="70"/>
      <c r="KX68" s="70"/>
      <c r="KY68" s="70"/>
      <c r="KZ68" s="70"/>
      <c r="LA68" s="70"/>
      <c r="LB68" s="70"/>
      <c r="LC68" s="70"/>
    </row>
    <row r="69" ht="15.75" customHeight="1">
      <c r="A69" s="42"/>
      <c r="B69" s="74"/>
      <c r="C69" s="69"/>
      <c r="D69" s="70"/>
      <c r="E69" s="71"/>
      <c r="F69" s="32"/>
      <c r="G69" s="72" t="str">
        <f t="array" ref="G69">IFERROR(IF(XLOOKUP(CONCAT(E69,F69),'MASTER PLAN'!$AB:$AB,'MASTER PLAN'!$J:$J,0,0)=0,"",XLOOKUP(CONCAT(E69,F69),'MASTER PLAN'!$AB:$AB,'MASTER PLAN'!$J:$J,0,0)),"")</f>
        <v/>
      </c>
      <c r="H69" s="73" t="str">
        <f t="array" ref="H69">IFERROR(IF(XLOOKUP(CONCAT(E69,F69),'PROCESOS PRD'!$J:$J,'PROCESOS PRD'!$H:$H,0,0)=0,"",XLOOKUP(CONCAT(E69,F69),'PROCESOS PRD'!$J:$J,'PROCESOS PRD'!$H:$H,0,0)),"")</f>
        <v/>
      </c>
      <c r="I69" s="71"/>
      <c r="J69" s="32"/>
      <c r="K69" s="72" t="str">
        <f t="array" ref="K69">IFERROR(IF(XLOOKUP(CONCAT(I69,J69),'MASTER PLAN'!$AB:$AB,'MASTER PLAN'!$J:$J,0,0)=0,"",XLOOKUP(CONCAT(I69,J69),'MASTER PLAN'!$AB:$AB,'MASTER PLAN'!$J:$J,0,0)),"")</f>
        <v/>
      </c>
      <c r="L69" s="73" t="str">
        <f t="array" ref="L69">IFERROR(IF(XLOOKUP(CONCAT(I69,J69),'PROCESOS PRD'!$J:$J,'PROCESOS PRD'!$H:$H,0,0)=0,"",XLOOKUP(CONCAT(I69,J69),'PROCESOS PRD'!$J:$J,'PROCESOS PRD'!$H:$H,0,0)),"")</f>
        <v/>
      </c>
      <c r="M69" s="71"/>
      <c r="N69" s="32"/>
      <c r="O69" s="72" t="str">
        <f t="array" ref="O69">IFERROR(IF(XLOOKUP(CONCAT(M69,N69),'MASTER PLAN'!$AB:$AB,'MASTER PLAN'!$J:$J,0,0)=0,"",XLOOKUP(CONCAT(M69,N69),'MASTER PLAN'!$AB:$AB,'MASTER PLAN'!$J:$J,0,0)),"")</f>
        <v/>
      </c>
      <c r="P69" s="73" t="str">
        <f t="array" ref="P69">IFERROR(IF(XLOOKUP(CONCAT(M69,N69),'PROCESOS PRD'!$J:$J,'PROCESOS PRD'!$H:$H,0,0)=0,"",XLOOKUP(CONCAT(M69,N69),'PROCESOS PRD'!$J:$J,'PROCESOS PRD'!$H:$H,0,0)),"")</f>
        <v/>
      </c>
      <c r="Q69" s="71"/>
      <c r="R69" s="32"/>
      <c r="S69" s="72" t="str">
        <f t="array" ref="S69">IFERROR(IF(XLOOKUP(CONCAT(Q69,R69),'MASTER PLAN'!$AB:$AB,'MASTER PLAN'!$J:$J,0,0)=0,"",XLOOKUP(CONCAT(Q69,R69),'MASTER PLAN'!$AB:$AB,'MASTER PLAN'!$J:$J,0,0)),"")</f>
        <v/>
      </c>
      <c r="T69" s="73" t="str">
        <f t="array" ref="T69">IFERROR(IF(XLOOKUP(CONCAT(Q69,R69),'PROCESOS PRD'!$J:$J,'PROCESOS PRD'!$H:$H,0,0)=0,"",XLOOKUP(CONCAT(Q69,R69),'PROCESOS PRD'!$J:$J,'PROCESOS PRD'!$H:$H,0,0)),"")</f>
        <v/>
      </c>
      <c r="U69" s="70"/>
      <c r="V69" s="71"/>
      <c r="W69" s="32"/>
      <c r="X69" s="72" t="str">
        <f t="array" ref="X69">IFERROR(IF(XLOOKUP(CONCAT(V69,W69),'MASTER PLAN'!$AB:$AB,'MASTER PLAN'!$J:$J,0,0)=0,"",XLOOKUP(CONCAT(V69,W69),'MASTER PLAN'!$AB:$AB,'MASTER PLAN'!$J:$J,0,0)),"")</f>
        <v/>
      </c>
      <c r="Y69" s="73" t="str">
        <f t="array" ref="Y69">IFERROR(IF(XLOOKUP(CONCAT(V69,W69),'PROCESOS PRD'!$J:$J,'PROCESOS PRD'!$H:$H,0,0)=0,"",XLOOKUP(CONCAT(V69,W69),'PROCESOS PRD'!$J:$J,'PROCESOS PRD'!$H:$H,0,0)),"")</f>
        <v/>
      </c>
      <c r="Z69" s="71"/>
      <c r="AA69" s="32"/>
      <c r="AB69" s="72" t="str">
        <f t="array" ref="AB69">IFERROR(IF(XLOOKUP(CONCAT(Z69,AA69),'MASTER PLAN'!$AB:$AB,'MASTER PLAN'!$J:$J,0,0)=0,"",XLOOKUP(CONCAT(Z69,AA69),'MASTER PLAN'!$AB:$AB,'MASTER PLAN'!$J:$J,0,0)),"")</f>
        <v/>
      </c>
      <c r="AC69" s="73" t="str">
        <f t="array" ref="AC69">IFERROR(IF(XLOOKUP(CONCAT(Z69,AA69),'PROCESOS PRD'!$J:$J,'PROCESOS PRD'!$H:$H,0,0)=0,"",XLOOKUP(CONCAT(Z69,AA69),'PROCESOS PRD'!$J:$J,'PROCESOS PRD'!$H:$H,0,0)),"")</f>
        <v/>
      </c>
      <c r="AD69" s="71"/>
      <c r="AE69" s="32"/>
      <c r="AF69" s="72" t="str">
        <f t="array" ref="AF69">IFERROR(IF(XLOOKUP(CONCAT(AD69,AE69),'MASTER PLAN'!$AB:$AB,'MASTER PLAN'!$J:$J,0,0)=0,"",XLOOKUP(CONCAT(AD69,AE69),'MASTER PLAN'!$AB:$AB,'MASTER PLAN'!$J:$J,0,0)),"")</f>
        <v/>
      </c>
      <c r="AG69" s="73" t="str">
        <f t="array" ref="AG69">IFERROR(IF(XLOOKUP(CONCAT(AD69,AE69),'PROCESOS PRD'!$J:$J,'PROCESOS PRD'!$H:$H,0,0)=0,"",XLOOKUP(CONCAT(AD69,AE69),'PROCESOS PRD'!$J:$J,'PROCESOS PRD'!$H:$H,0,0)),"")</f>
        <v/>
      </c>
      <c r="AH69" s="71"/>
      <c r="AI69" s="32"/>
      <c r="AJ69" s="72" t="str">
        <f t="array" ref="AJ69">IFERROR(IF(XLOOKUP(CONCAT(AH69,AI69),'MASTER PLAN'!$AB:$AB,'MASTER PLAN'!$J:$J,0,0)=0,"",XLOOKUP(CONCAT(AH69,AI69),'MASTER PLAN'!$AB:$AB,'MASTER PLAN'!$J:$J,0,0)),"")</f>
        <v/>
      </c>
      <c r="AK69" s="73" t="str">
        <f t="array" ref="AK69">IFERROR(IF(XLOOKUP(CONCAT(AH69,AI69),'PROCESOS PRD'!$J:$J,'PROCESOS PRD'!$H:$H,0,0)=0,"",XLOOKUP(CONCAT(AH69,AI69),'PROCESOS PRD'!$J:$J,'PROCESOS PRD'!$H:$H,0,0)),"")</f>
        <v/>
      </c>
      <c r="AL69" s="71"/>
      <c r="AM69" s="32"/>
      <c r="AN69" s="72" t="str">
        <f t="array" ref="AN69">IFERROR(IF(XLOOKUP(CONCAT(AL69,AM69),'MASTER PLAN'!$AB:$AB,'MASTER PLAN'!$J:$J,0,0)=0,"",XLOOKUP(CONCAT(AL69,AM69),'MASTER PLAN'!$AB:$AB,'MASTER PLAN'!$J:$J,0,0)),"")</f>
        <v/>
      </c>
      <c r="AO69" s="73" t="str">
        <f t="array" ref="AO69">IFERROR(IF(XLOOKUP(CONCAT(AL69,AM69),'PROCESOS PRD'!$J:$J,'PROCESOS PRD'!$H:$H,0,0)=0,"",XLOOKUP(CONCAT(AL69,AM69),'PROCESOS PRD'!$J:$J,'PROCESOS PRD'!$H:$H,0,0)),"")</f>
        <v/>
      </c>
      <c r="AP69" s="71"/>
      <c r="AQ69" s="32"/>
      <c r="AR69" s="72" t="str">
        <f t="array" ref="AR69">IFERROR(IF(XLOOKUP(CONCAT(AP69,AQ69),'MASTER PLAN'!$AB:$AB,'MASTER PLAN'!$J:$J,0,0)=0,"",XLOOKUP(CONCAT(AP69,AQ69),'MASTER PLAN'!$AB:$AB,'MASTER PLAN'!$J:$J,0,0)),"")</f>
        <v/>
      </c>
      <c r="AS69" s="73" t="str">
        <f t="array" ref="AS69">IFERROR(IF(XLOOKUP(CONCAT(AP69,AQ69),'PROCESOS PRD'!$J:$J,'PROCESOS PRD'!$H:$H,0,0)=0,"",XLOOKUP(CONCAT(AP69,AQ69),'PROCESOS PRD'!$J:$J,'PROCESOS PRD'!$H:$H,0,0)),"")</f>
        <v/>
      </c>
      <c r="AT69" s="70"/>
      <c r="AU69" s="71"/>
      <c r="AV69" s="32"/>
      <c r="AW69" s="72" t="str">
        <f t="array" ref="AW69">IFERROR(IF(XLOOKUP(CONCAT(AU69,AV69),'MASTER PLAN'!$AB:$AB,'MASTER PLAN'!$J:$J,0,0)=0,"",XLOOKUP(CONCAT(AU69,AV69),'MASTER PLAN'!$AB:$AB,'MASTER PLAN'!$J:$J,0,0)),"")</f>
        <v/>
      </c>
      <c r="AX69" s="73" t="str">
        <f t="array" ref="AX69">IFERROR(IF(XLOOKUP(CONCAT(AU69,AV69),'PROCESOS PRD'!$J:$J,'PROCESOS PRD'!$H:$H,0,0)=0,"",XLOOKUP(CONCAT(AU69,AV69),'PROCESOS PRD'!$J:$J,'PROCESOS PRD'!$H:$H,0,0)),"")</f>
        <v/>
      </c>
      <c r="AY69" s="71"/>
      <c r="AZ69" s="32"/>
      <c r="BA69" s="72" t="str">
        <f t="array" ref="BA69">IFERROR(IF(XLOOKUP(CONCAT(AY69,AZ69),'MASTER PLAN'!$AB:$AB,'MASTER PLAN'!$J:$J,0,0)=0,"",XLOOKUP(CONCAT(AY69,AZ69),'MASTER PLAN'!$AB:$AB,'MASTER PLAN'!$J:$J,0,0)),"")</f>
        <v/>
      </c>
      <c r="BB69" s="73" t="str">
        <f t="array" ref="BB69">IFERROR(IF(XLOOKUP(CONCAT(AY69,AZ69),'PROCESOS PRD'!$J:$J,'PROCESOS PRD'!$H:$H,0,0)=0,"",XLOOKUP(CONCAT(AY69,AZ69),'PROCESOS PRD'!$J:$J,'PROCESOS PRD'!$H:$H,0,0)),"")</f>
        <v/>
      </c>
      <c r="BC69" s="71"/>
      <c r="BD69" s="32"/>
      <c r="BE69" s="72" t="str">
        <f t="array" ref="BE69">IFERROR(IF(XLOOKUP(CONCAT(BC69,BD69),'MASTER PLAN'!$AB:$AB,'MASTER PLAN'!$J:$J,0,0)=0,"",XLOOKUP(CONCAT(BC69,BD69),'MASTER PLAN'!$AB:$AB,'MASTER PLAN'!$J:$J,0,0)),"")</f>
        <v/>
      </c>
      <c r="BF69" s="73" t="str">
        <f t="array" ref="BF69">IFERROR(IF(XLOOKUP(CONCAT(BC69,BD69),'PROCESOS PRD'!$J:$J,'PROCESOS PRD'!$H:$H,0,0)=0,"",XLOOKUP(CONCAT(BC69,BD69),'PROCESOS PRD'!$J:$J,'PROCESOS PRD'!$H:$H,0,0)),"")</f>
        <v/>
      </c>
      <c r="BG69" s="71"/>
      <c r="BH69" s="32"/>
      <c r="BI69" s="72" t="str">
        <f t="array" ref="BI69">IFERROR(IF(XLOOKUP(CONCAT(BG69,BH69),'MASTER PLAN'!$AB:$AB,'MASTER PLAN'!$J:$J,0,0)=0,"",XLOOKUP(CONCAT(BG69,BH69),'MASTER PLAN'!$AB:$AB,'MASTER PLAN'!$J:$J,0,0)),"")</f>
        <v/>
      </c>
      <c r="BJ69" s="73" t="str">
        <f t="array" ref="BJ69">IFERROR(IF(XLOOKUP(CONCAT(BG69,BH69),'PROCESOS PRD'!$J:$J,'PROCESOS PRD'!$H:$H,0,0)=0,"",XLOOKUP(CONCAT(BG69,BH69),'PROCESOS PRD'!$J:$J,'PROCESOS PRD'!$H:$H,0,0)),"")</f>
        <v/>
      </c>
      <c r="BK69" s="71"/>
      <c r="BL69" s="32"/>
      <c r="BM69" s="72" t="str">
        <f t="array" ref="BM69">IFERROR(IF(XLOOKUP(CONCAT(BK69,BL69),'MASTER PLAN'!$AB:$AB,'MASTER PLAN'!$J:$J,0,0)=0,"",XLOOKUP(CONCAT(BK69,BL69),'MASTER PLAN'!$AB:$AB,'MASTER PLAN'!$J:$J,0,0)),"")</f>
        <v/>
      </c>
      <c r="BN69" s="73" t="str">
        <f t="array" ref="BN69">IFERROR(IF(XLOOKUP(CONCAT(BK69,BL69),'PROCESOS PRD'!$J:$J,'PROCESOS PRD'!$H:$H,0,0)=0,"",XLOOKUP(CONCAT(BK69,BL69),'PROCESOS PRD'!$J:$J,'PROCESOS PRD'!$H:$H,0,0)),"")</f>
        <v/>
      </c>
      <c r="BO69" s="71"/>
      <c r="BP69" s="32"/>
      <c r="BQ69" s="72" t="str">
        <f t="array" ref="BQ69">IFERROR(IF(XLOOKUP(CONCAT(BO69,BP69),'MASTER PLAN'!$AB:$AB,'MASTER PLAN'!$J:$J,0,0)=0,"",XLOOKUP(CONCAT(BO69,BP69),'MASTER PLAN'!$AB:$AB,'MASTER PLAN'!$J:$J,0,0)),"")</f>
        <v/>
      </c>
      <c r="BR69" s="73" t="str">
        <f t="array" ref="BR69">IFERROR(IF(XLOOKUP(CONCAT(BO69,BP69),'PROCESOS PRD'!$J:$J,'PROCESOS PRD'!$H:$H,0,0)=0,"",XLOOKUP(CONCAT(BO69,BP69),'PROCESOS PRD'!$J:$J,'PROCESOS PRD'!$H:$H,0,0)),"")</f>
        <v/>
      </c>
      <c r="BS69" s="70"/>
      <c r="BT69" s="71"/>
      <c r="BU69" s="32"/>
      <c r="BV69" s="72" t="str">
        <f t="array" ref="BV69">IFERROR(IF(XLOOKUP(CONCAT(BT69,BU69),'MASTER PLAN'!$AB:$AB,'MASTER PLAN'!$J:$J,0,0)=0,"",XLOOKUP(CONCAT(BT69,BU69),'MASTER PLAN'!$AB:$AB,'MASTER PLAN'!$J:$J,0,0)),"")</f>
        <v/>
      </c>
      <c r="BW69" s="73" t="str">
        <f t="array" ref="BW69">IFERROR(IF(XLOOKUP(CONCAT(BT69,BU69),'PROCESOS PRD'!$J:$J,'PROCESOS PRD'!$H:$H,0,0)=0,"",XLOOKUP(CONCAT(BT69,BU69),'PROCESOS PRD'!$J:$J,'PROCESOS PRD'!$H:$H,0,0)),"")</f>
        <v/>
      </c>
      <c r="BX69" s="71"/>
      <c r="BY69" s="32"/>
      <c r="BZ69" s="72" t="str">
        <f t="array" ref="BZ69">IFERROR(IF(XLOOKUP(CONCAT(BX69,BY69),'MASTER PLAN'!$AB:$AB,'MASTER PLAN'!$J:$J,0,0)=0,"",XLOOKUP(CONCAT(BX69,BY69),'MASTER PLAN'!$AB:$AB,'MASTER PLAN'!$J:$J,0,0)),"")</f>
        <v/>
      </c>
      <c r="CA69" s="73" t="str">
        <f t="array" ref="CA69">IFERROR(IF(XLOOKUP(CONCAT(BX69,BY69),'PROCESOS PRD'!$J:$J,'PROCESOS PRD'!$H:$H,0,0)=0,"",XLOOKUP(CONCAT(BX69,BY69),'PROCESOS PRD'!$J:$J,'PROCESOS PRD'!$H:$H,0,0)),"")</f>
        <v/>
      </c>
      <c r="CB69" s="71"/>
      <c r="CC69" s="32"/>
      <c r="CD69" s="72" t="str">
        <f t="array" ref="CD69">IFERROR(IF(XLOOKUP(CONCAT(CB69,CC69),'MASTER PLAN'!$AB:$AB,'MASTER PLAN'!$J:$J,0,0)=0,"",XLOOKUP(CONCAT(CB69,CC69),'MASTER PLAN'!$AB:$AB,'MASTER PLAN'!$J:$J,0,0)),"")</f>
        <v/>
      </c>
      <c r="CE69" s="73" t="str">
        <f t="array" ref="CE69">IFERROR(IF(XLOOKUP(CONCAT(CB69,CC69),'PROCESOS PRD'!$J:$J,'PROCESOS PRD'!$H:$H,0,0)=0,"",XLOOKUP(CONCAT(CB69,CC69),'PROCESOS PRD'!$J:$J,'PROCESOS PRD'!$H:$H,0,0)),"")</f>
        <v/>
      </c>
      <c r="CF69" s="71"/>
      <c r="CG69" s="32"/>
      <c r="CH69" s="72" t="str">
        <f t="array" ref="CH69">IFERROR(IF(XLOOKUP(CONCAT(CF69,CG69),'MASTER PLAN'!$AB:$AB,'MASTER PLAN'!$J:$J,0,0)=0,"",XLOOKUP(CONCAT(CF69,CG69),'MASTER PLAN'!$AB:$AB,'MASTER PLAN'!$J:$J,0,0)),"")</f>
        <v/>
      </c>
      <c r="CI69" s="73" t="str">
        <f t="array" ref="CI69">IFERROR(IF(XLOOKUP(CONCAT(CF69,CG69),'PROCESOS PRD'!$J:$J,'PROCESOS PRD'!$H:$H,0,0)=0,"",XLOOKUP(CONCAT(CF69,CG69),'PROCESOS PRD'!$J:$J,'PROCESOS PRD'!$H:$H,0,0)),"")</f>
        <v/>
      </c>
      <c r="CJ69" s="71"/>
      <c r="CK69" s="32"/>
      <c r="CL69" s="72" t="str">
        <f t="array" ref="CL69">IFERROR(IF(XLOOKUP(CONCAT(CJ69,CK69),'MASTER PLAN'!$AB:$AB,'MASTER PLAN'!$J:$J,0,0)=0,"",XLOOKUP(CONCAT(CJ69,CK69),'MASTER PLAN'!$AB:$AB,'MASTER PLAN'!$J:$J,0,0)),"")</f>
        <v/>
      </c>
      <c r="CM69" s="73" t="str">
        <f t="array" ref="CM69">IFERROR(IF(XLOOKUP(CONCAT(CJ69,CK69),'PROCESOS PRD'!$J:$J,'PROCESOS PRD'!$H:$H,0,0)=0,"",XLOOKUP(CONCAT(CJ69,CK69),'PROCESOS PRD'!$J:$J,'PROCESOS PRD'!$H:$H,0,0)),"")</f>
        <v/>
      </c>
      <c r="CN69" s="71"/>
      <c r="CO69" s="32"/>
      <c r="CP69" s="72" t="str">
        <f t="array" ref="CP69">IFERROR(IF(XLOOKUP(CONCAT(CN69,CO69),'MASTER PLAN'!$AB:$AB,'MASTER PLAN'!$J:$J,0,0)=0,"",XLOOKUP(CONCAT(CN69,CO69),'MASTER PLAN'!$AB:$AB,'MASTER PLAN'!$J:$J,0,0)),"")</f>
        <v/>
      </c>
      <c r="CQ69" s="73" t="str">
        <f t="array" ref="CQ69">IFERROR(IF(XLOOKUP(CONCAT(CN69,CO69),'PROCESOS PRD'!$J:$J,'PROCESOS PRD'!$H:$H,0,0)=0,"",XLOOKUP(CONCAT(CN69,CO69),'PROCESOS PRD'!$J:$J,'PROCESOS PRD'!$H:$H,0,0)),"")</f>
        <v/>
      </c>
      <c r="CR69" s="70"/>
      <c r="CS69" s="71"/>
      <c r="CT69" s="32"/>
      <c r="CU69" s="72" t="str">
        <f t="array" ref="CU69">IFERROR(IF(XLOOKUP(CONCAT(CS69,CT69),'MASTER PLAN'!$AB:$AB,'MASTER PLAN'!$J:$J,0,0)=0,"",XLOOKUP(CONCAT(CS69,CT69),'MASTER PLAN'!$AB:$AB,'MASTER PLAN'!$J:$J,0,0)),"")</f>
        <v/>
      </c>
      <c r="CV69" s="73" t="str">
        <f t="array" ref="CV69">IFERROR(IF(XLOOKUP(CONCAT(CS69,CT69),'PROCESOS PRD'!$J:$J,'PROCESOS PRD'!$H:$H,0,0)=0,"",XLOOKUP(CONCAT(CS69,CT69),'PROCESOS PRD'!$J:$J,'PROCESOS PRD'!$H:$H,0,0)),"")</f>
        <v/>
      </c>
      <c r="CW69" s="71"/>
      <c r="CX69" s="32"/>
      <c r="CY69" s="72" t="str">
        <f t="array" ref="CY69">IFERROR(IF(XLOOKUP(CONCAT(CW69,CX69),'MASTER PLAN'!$AB:$AB,'MASTER PLAN'!$J:$J,0,0)=0,"",XLOOKUP(CONCAT(CW69,CX69),'MASTER PLAN'!$AB:$AB,'MASTER PLAN'!$J:$J,0,0)),"")</f>
        <v/>
      </c>
      <c r="CZ69" s="73" t="str">
        <f t="array" ref="CZ69">IFERROR(IF(XLOOKUP(CONCAT(CW69,CX69),'PROCESOS PRD'!$J:$J,'PROCESOS PRD'!$H:$H,0,0)=0,"",XLOOKUP(CONCAT(CW69,CX69),'PROCESOS PRD'!$J:$J,'PROCESOS PRD'!$H:$H,0,0)),"")</f>
        <v/>
      </c>
      <c r="DA69" s="71"/>
      <c r="DB69" s="32"/>
      <c r="DC69" s="72" t="str">
        <f t="array" ref="DC69">IFERROR(IF(XLOOKUP(CONCAT(DA69,DB69),'MASTER PLAN'!$AB:$AB,'MASTER PLAN'!$J:$J,0,0)=0,"",XLOOKUP(CONCAT(DA69,DB69),'MASTER PLAN'!$AB:$AB,'MASTER PLAN'!$J:$J,0,0)),"")</f>
        <v/>
      </c>
      <c r="DD69" s="73" t="str">
        <f t="array" ref="DD69">IFERROR(IF(XLOOKUP(CONCAT(DA69,DB69),'PROCESOS PRD'!$J:$J,'PROCESOS PRD'!$H:$H,0,0)=0,"",XLOOKUP(CONCAT(DA69,DB69),'PROCESOS PRD'!$J:$J,'PROCESOS PRD'!$H:$H,0,0)),"")</f>
        <v/>
      </c>
      <c r="DE69" s="71"/>
      <c r="DF69" s="32"/>
      <c r="DG69" s="72" t="str">
        <f t="array" ref="DG69">IFERROR(IF(XLOOKUP(CONCAT(DE69,DF69),'MASTER PLAN'!$AB:$AB,'MASTER PLAN'!$J:$J,0,0)=0,"",XLOOKUP(CONCAT(DE69,DF69),'MASTER PLAN'!$AB:$AB,'MASTER PLAN'!$J:$J,0,0)),"")</f>
        <v/>
      </c>
      <c r="DH69" s="73" t="str">
        <f t="array" ref="DH69">IFERROR(IF(XLOOKUP(CONCAT(DE69,DF69),'PROCESOS PRD'!$J:$J,'PROCESOS PRD'!$H:$H,0,0)=0,"",XLOOKUP(CONCAT(DE69,DF69),'PROCESOS PRD'!$J:$J,'PROCESOS PRD'!$H:$H,0,0)),"")</f>
        <v/>
      </c>
      <c r="DI69" s="71"/>
      <c r="DJ69" s="32"/>
      <c r="DK69" s="72" t="str">
        <f t="array" ref="DK69">IFERROR(IF(XLOOKUP(CONCAT(DI69,DJ69),'MASTER PLAN'!$AB:$AB,'MASTER PLAN'!$J:$J,0,0)=0,"",XLOOKUP(CONCAT(DI69,DJ69),'MASTER PLAN'!$AB:$AB,'MASTER PLAN'!$J:$J,0,0)),"")</f>
        <v/>
      </c>
      <c r="DL69" s="73" t="str">
        <f t="array" ref="DL69">IFERROR(IF(XLOOKUP(CONCAT(DI69,DJ69),'PROCESOS PRD'!$J:$J,'PROCESOS PRD'!$H:$H,0,0)=0,"",XLOOKUP(CONCAT(DI69,DJ69),'PROCESOS PRD'!$J:$J,'PROCESOS PRD'!$H:$H,0,0)),"")</f>
        <v/>
      </c>
      <c r="DM69" s="71"/>
      <c r="DN69" s="32"/>
      <c r="DO69" s="72" t="str">
        <f t="array" ref="DO69">IFERROR(IF(XLOOKUP(CONCAT(DM69,DN69),'MASTER PLAN'!$AB:$AB,'MASTER PLAN'!$J:$J,0,0)=0,"",XLOOKUP(CONCAT(DM69,DN69),'MASTER PLAN'!$AB:$AB,'MASTER PLAN'!$J:$J,0,0)),"")</f>
        <v/>
      </c>
      <c r="DP69" s="73" t="str">
        <f t="array" ref="DP69">IFERROR(IF(XLOOKUP(CONCAT(DM69,DN69),'PROCESOS PRD'!$J:$J,'PROCESOS PRD'!$H:$H,0,0)=0,"",XLOOKUP(CONCAT(DM69,DN69),'PROCESOS PRD'!$J:$J,'PROCESOS PRD'!$H:$H,0,0)),"")</f>
        <v/>
      </c>
      <c r="DQ69" s="70"/>
      <c r="DR69" s="71"/>
      <c r="DS69" s="32"/>
      <c r="DT69" s="72" t="str">
        <f t="array" ref="DT69">IFERROR(IF(XLOOKUP(CONCAT(DR69,DS69),'MASTER PLAN'!$AB:$AB,'MASTER PLAN'!$J:$J,0,0)=0,"",XLOOKUP(CONCAT(DR69,DS69),'MASTER PLAN'!$AB:$AB,'MASTER PLAN'!$J:$J,0,0)),"")</f>
        <v/>
      </c>
      <c r="DU69" s="73" t="str">
        <f t="array" ref="DU69">IFERROR(IF(XLOOKUP(CONCAT(DR69,DS69),'PROCESOS PRD'!$J:$J,'PROCESOS PRD'!$H:$H,0,0)=0,"",XLOOKUP(CONCAT(DR69,DS69),'PROCESOS PRD'!$J:$J,'PROCESOS PRD'!$H:$H,0,0)),"")</f>
        <v/>
      </c>
      <c r="DV69" s="71"/>
      <c r="DW69" s="32"/>
      <c r="DX69" s="72" t="str">
        <f t="array" ref="DX69">IFERROR(IF(XLOOKUP(CONCAT(DV69,DW69),'MASTER PLAN'!$AB:$AB,'MASTER PLAN'!$J:$J,0,0)=0,"",XLOOKUP(CONCAT(DV69,DW69),'MASTER PLAN'!$AB:$AB,'MASTER PLAN'!$J:$J,0,0)),"")</f>
        <v/>
      </c>
      <c r="DY69" s="73" t="str">
        <f t="array" ref="DY69">IFERROR(IF(XLOOKUP(CONCAT(DV69,DW69),'PROCESOS PRD'!$J:$J,'PROCESOS PRD'!$H:$H,0,0)=0,"",XLOOKUP(CONCAT(DV69,DW69),'PROCESOS PRD'!$J:$J,'PROCESOS PRD'!$H:$H,0,0)),"")</f>
        <v/>
      </c>
      <c r="DZ69" s="71"/>
      <c r="EA69" s="32"/>
      <c r="EB69" s="72" t="str">
        <f t="array" ref="EB69">IFERROR(IF(XLOOKUP(CONCAT(DZ69,EA69),'MASTER PLAN'!$AB:$AB,'MASTER PLAN'!$J:$J,0,0)=0,"",XLOOKUP(CONCAT(DZ69,EA69),'MASTER PLAN'!$AB:$AB,'MASTER PLAN'!$J:$J,0,0)),"")</f>
        <v/>
      </c>
      <c r="EC69" s="73" t="str">
        <f t="array" ref="EC69">IFERROR(IF(XLOOKUP(CONCAT(DZ69,EA69),'PROCESOS PRD'!$J:$J,'PROCESOS PRD'!$H:$H,0,0)=0,"",XLOOKUP(CONCAT(DZ69,EA69),'PROCESOS PRD'!$J:$J,'PROCESOS PRD'!$H:$H,0,0)),"")</f>
        <v/>
      </c>
      <c r="ED69" s="71"/>
      <c r="EE69" s="32"/>
      <c r="EF69" s="72" t="str">
        <f t="array" ref="EF69">IFERROR(IF(XLOOKUP(CONCAT(ED69,EE69),'MASTER PLAN'!$AB:$AB,'MASTER PLAN'!$J:$J,0,0)=0,"",XLOOKUP(CONCAT(ED69,EE69),'MASTER PLAN'!$AB:$AB,'MASTER PLAN'!$J:$J,0,0)),"")</f>
        <v/>
      </c>
      <c r="EG69" s="73" t="str">
        <f t="array" ref="EG69">IFERROR(IF(XLOOKUP(CONCAT(ED69,EE69),'PROCESOS PRD'!$J:$J,'PROCESOS PRD'!$H:$H,0,0)=0,"",XLOOKUP(CONCAT(ED69,EE69),'PROCESOS PRD'!$J:$J,'PROCESOS PRD'!$H:$H,0,0)),"")</f>
        <v/>
      </c>
      <c r="EH69" s="71"/>
      <c r="EI69" s="32"/>
      <c r="EJ69" s="72" t="str">
        <f t="array" ref="EJ69">IFERROR(IF(XLOOKUP(CONCAT(EH69,EI69),'MASTER PLAN'!$AB:$AB,'MASTER PLAN'!$J:$J,0,0)=0,"",XLOOKUP(CONCAT(EH69,EI69),'MASTER PLAN'!$AB:$AB,'MASTER PLAN'!$J:$J,0,0)),"")</f>
        <v/>
      </c>
      <c r="EK69" s="73" t="str">
        <f t="array" ref="EK69">IFERROR(IF(XLOOKUP(CONCAT(EH69,EI69),'PROCESOS PRD'!$J:$J,'PROCESOS PRD'!$H:$H,0,0)=0,"",XLOOKUP(CONCAT(EH69,EI69),'PROCESOS PRD'!$J:$J,'PROCESOS PRD'!$H:$H,0,0)),"")</f>
        <v/>
      </c>
      <c r="EL69" s="71"/>
      <c r="EM69" s="32"/>
      <c r="EN69" s="72" t="str">
        <f t="array" ref="EN69">IFERROR(IF(XLOOKUP(CONCAT(EL69,EM69),'MASTER PLAN'!$AB:$AB,'MASTER PLAN'!$J:$J,0,0)=0,"",XLOOKUP(CONCAT(EL69,EM69),'MASTER PLAN'!$AB:$AB,'MASTER PLAN'!$J:$J,0,0)),"")</f>
        <v/>
      </c>
      <c r="EO69" s="73" t="str">
        <f t="array" ref="EO69">IFERROR(IF(XLOOKUP(CONCAT(EL69,EM69),'PROCESOS PRD'!$J:$J,'PROCESOS PRD'!$H:$H,0,0)=0,"",XLOOKUP(CONCAT(EL69,EM69),'PROCESOS PRD'!$J:$J,'PROCESOS PRD'!$H:$H,0,0)),"")</f>
        <v/>
      </c>
      <c r="EP69" s="70"/>
      <c r="EQ69" s="71"/>
      <c r="ER69" s="32"/>
      <c r="ES69" s="72" t="str">
        <f t="array" ref="ES69">IFERROR(IF(XLOOKUP(CONCAT(EQ69,ER69),'MASTER PLAN'!$AB:$AB,'MASTER PLAN'!$J:$J,0,0)=0,"",XLOOKUP(CONCAT(EQ69,ER69),'MASTER PLAN'!$AB:$AB,'MASTER PLAN'!$J:$J,0,0)),"")</f>
        <v/>
      </c>
      <c r="ET69" s="73" t="str">
        <f t="array" ref="ET69">IFERROR(IF(XLOOKUP(CONCAT(EQ69,ER69),'PROCESOS PRD'!$J:$J,'PROCESOS PRD'!$H:$H,0,0)=0,"",XLOOKUP(CONCAT(EQ69,ER69),'PROCESOS PRD'!$J:$J,'PROCESOS PRD'!$H:$H,0,0)),"")</f>
        <v/>
      </c>
      <c r="EU69" s="71"/>
      <c r="EV69" s="32"/>
      <c r="EW69" s="72" t="str">
        <f t="array" ref="EW69">IFERROR(IF(XLOOKUP(CONCAT(EU69,EV69),'MASTER PLAN'!$AB:$AB,'MASTER PLAN'!$J:$J,0,0)=0,"",XLOOKUP(CONCAT(EU69,EV69),'MASTER PLAN'!$AB:$AB,'MASTER PLAN'!$J:$J,0,0)),"")</f>
        <v/>
      </c>
      <c r="EX69" s="73" t="str">
        <f t="array" ref="EX69">IFERROR(IF(XLOOKUP(CONCAT(EU69,EV69),'PROCESOS PRD'!$J:$J,'PROCESOS PRD'!$H:$H,0,0)=0,"",XLOOKUP(CONCAT(EU69,EV69),'PROCESOS PRD'!$J:$J,'PROCESOS PRD'!$H:$H,0,0)),"")</f>
        <v/>
      </c>
      <c r="EY69" s="71"/>
      <c r="EZ69" s="32"/>
      <c r="FA69" s="72" t="str">
        <f t="array" ref="FA69">IFERROR(IF(XLOOKUP(CONCAT(EY69,EZ69),'MASTER PLAN'!$AB:$AB,'MASTER PLAN'!$J:$J,0,0)=0,"",XLOOKUP(CONCAT(EY69,EZ69),'MASTER PLAN'!$AB:$AB,'MASTER PLAN'!$J:$J,0,0)),"")</f>
        <v/>
      </c>
      <c r="FB69" s="73" t="str">
        <f t="array" ref="FB69">IFERROR(IF(XLOOKUP(CONCAT(EY69,EZ69),'PROCESOS PRD'!$J:$J,'PROCESOS PRD'!$H:$H,0,0)=0,"",XLOOKUP(CONCAT(EY69,EZ69),'PROCESOS PRD'!$J:$J,'PROCESOS PRD'!$H:$H,0,0)),"")</f>
        <v/>
      </c>
      <c r="FC69" s="71"/>
      <c r="FD69" s="32"/>
      <c r="FE69" s="72" t="str">
        <f t="array" ref="FE69">IFERROR(IF(XLOOKUP(CONCAT(FC69,FD69),'MASTER PLAN'!$AB:$AB,'MASTER PLAN'!$J:$J,0,0)=0,"",XLOOKUP(CONCAT(FC69,FD69),'MASTER PLAN'!$AB:$AB,'MASTER PLAN'!$J:$J,0,0)),"")</f>
        <v/>
      </c>
      <c r="FF69" s="73" t="str">
        <f t="array" ref="FF69">IFERROR(IF(XLOOKUP(CONCAT(FC69,FD69),'PROCESOS PRD'!$J:$J,'PROCESOS PRD'!$H:$H,0,0)=0,"",XLOOKUP(CONCAT(FC69,FD69),'PROCESOS PRD'!$J:$J,'PROCESOS PRD'!$H:$H,0,0)),"")</f>
        <v/>
      </c>
      <c r="FG69" s="71"/>
      <c r="FH69" s="32"/>
      <c r="FI69" s="72" t="str">
        <f t="array" ref="FI69">IFERROR(IF(XLOOKUP(CONCAT(FG69,FH69),'MASTER PLAN'!$AB:$AB,'MASTER PLAN'!$J:$J,0,0)=0,"",XLOOKUP(CONCAT(FG69,FH69),'MASTER PLAN'!$AB:$AB,'MASTER PLAN'!$J:$J,0,0)),"")</f>
        <v/>
      </c>
      <c r="FJ69" s="73" t="str">
        <f t="array" ref="FJ69">IFERROR(IF(XLOOKUP(CONCAT(FG69,FH69),'PROCESOS PRD'!$J:$J,'PROCESOS PRD'!$H:$H,0,0)=0,"",XLOOKUP(CONCAT(FG69,FH69),'PROCESOS PRD'!$J:$J,'PROCESOS PRD'!$H:$H,0,0)),"")</f>
        <v/>
      </c>
      <c r="FK69" s="71"/>
      <c r="FL69" s="32"/>
      <c r="FM69" s="72" t="str">
        <f t="array" ref="FM69">IFERROR(IF(XLOOKUP(CONCAT(FK69,FL69),'MASTER PLAN'!$AB:$AB,'MASTER PLAN'!$J:$J,0,0)=0,"",XLOOKUP(CONCAT(FK69,FL69),'MASTER PLAN'!$AB:$AB,'MASTER PLAN'!$J:$J,0,0)),"")</f>
        <v/>
      </c>
      <c r="FN69" s="73" t="str">
        <f t="array" ref="FN69">IFERROR(IF(XLOOKUP(CONCAT(FK69,FL69),'PROCESOS PRD'!$J:$J,'PROCESOS PRD'!$H:$H,0,0)=0,"",XLOOKUP(CONCAT(FK69,FL69),'PROCESOS PRD'!$J:$J,'PROCESOS PRD'!$H:$H,0,0)),"")</f>
        <v/>
      </c>
      <c r="FO69" s="70"/>
      <c r="FP69" s="71"/>
      <c r="FQ69" s="32"/>
      <c r="FR69" s="72" t="str">
        <f t="array" ref="FR69">IFERROR(IF(XLOOKUP(CONCAT(FP69,FQ69),'MASTER PLAN'!$AB:$AB,'MASTER PLAN'!$J:$J,0,0)=0,"",XLOOKUP(CONCAT(FP69,FQ69),'MASTER PLAN'!$AB:$AB,'MASTER PLAN'!$J:$J,0,0)),"")</f>
        <v/>
      </c>
      <c r="FS69" s="73" t="str">
        <f t="array" ref="FS69">IFERROR(IF(XLOOKUP(CONCAT(FP69,FQ69),'PROCESOS PRD'!$J:$J,'PROCESOS PRD'!$H:$H,0,0)=0,"",XLOOKUP(CONCAT(FP69,FQ69),'PROCESOS PRD'!$J:$J,'PROCESOS PRD'!$H:$H,0,0)),"")</f>
        <v/>
      </c>
      <c r="FT69" s="71"/>
      <c r="FU69" s="32"/>
      <c r="FV69" s="72" t="str">
        <f t="array" ref="FV69">IFERROR(IF(XLOOKUP(CONCAT(FT69,FU69),'MASTER PLAN'!$AB:$AB,'MASTER PLAN'!$J:$J,0,0)=0,"",XLOOKUP(CONCAT(FT69,FU69),'MASTER PLAN'!$AB:$AB,'MASTER PLAN'!$J:$J,0,0)),"")</f>
        <v/>
      </c>
      <c r="FW69" s="73" t="str">
        <f t="array" ref="FW69">IFERROR(IF(XLOOKUP(CONCAT(FT69,FU69),'PROCESOS PRD'!$J:$J,'PROCESOS PRD'!$H:$H,0,0)=0,"",XLOOKUP(CONCAT(FT69,FU69),'PROCESOS PRD'!$J:$J,'PROCESOS PRD'!$H:$H,0,0)),"")</f>
        <v/>
      </c>
      <c r="FX69" s="71"/>
      <c r="FY69" s="32"/>
      <c r="FZ69" s="72" t="str">
        <f t="array" ref="FZ69">IFERROR(IF(XLOOKUP(CONCAT(FX69,FY69),'MASTER PLAN'!$AB:$AB,'MASTER PLAN'!$J:$J,0,0)=0,"",XLOOKUP(CONCAT(FX69,FY69),'MASTER PLAN'!$AB:$AB,'MASTER PLAN'!$J:$J,0,0)),"")</f>
        <v/>
      </c>
      <c r="GA69" s="73" t="str">
        <f t="array" ref="GA69">IFERROR(IF(XLOOKUP(CONCAT(FX69,FY69),'PROCESOS PRD'!$J:$J,'PROCESOS PRD'!$H:$H,0,0)=0,"",XLOOKUP(CONCAT(FX69,FY69),'PROCESOS PRD'!$J:$J,'PROCESOS PRD'!$H:$H,0,0)),"")</f>
        <v/>
      </c>
      <c r="GB69" s="71"/>
      <c r="GC69" s="32"/>
      <c r="GD69" s="72" t="str">
        <f t="array" ref="GD69">IFERROR(IF(XLOOKUP(CONCAT(GB69,GC69),'MASTER PLAN'!$AB:$AB,'MASTER PLAN'!$J:$J,0,0)=0,"",XLOOKUP(CONCAT(GB69,GC69),'MASTER PLAN'!$AB:$AB,'MASTER PLAN'!$J:$J,0,0)),"")</f>
        <v/>
      </c>
      <c r="GE69" s="73" t="str">
        <f t="array" ref="GE69">IFERROR(IF(XLOOKUP(CONCAT(GB69,GC69),'PROCESOS PRD'!$J:$J,'PROCESOS PRD'!$H:$H,0,0)=0,"",XLOOKUP(CONCAT(GB69,GC69),'PROCESOS PRD'!$J:$J,'PROCESOS PRD'!$H:$H,0,0)),"")</f>
        <v/>
      </c>
      <c r="GF69" s="71"/>
      <c r="GG69" s="32"/>
      <c r="GH69" s="72" t="str">
        <f t="array" ref="GH69">IFERROR(IF(XLOOKUP(CONCAT(GF69,GG69),'MASTER PLAN'!$AB:$AB,'MASTER PLAN'!$J:$J,0,0)=0,"",XLOOKUP(CONCAT(GF69,GG69),'MASTER PLAN'!$AB:$AB,'MASTER PLAN'!$J:$J,0,0)),"")</f>
        <v/>
      </c>
      <c r="GI69" s="73" t="str">
        <f t="array" ref="GI69">IFERROR(IF(XLOOKUP(CONCAT(GF69,GG69),'PROCESOS PRD'!$J:$J,'PROCESOS PRD'!$H:$H,0,0)=0,"",XLOOKUP(CONCAT(GF69,GG69),'PROCESOS PRD'!$J:$J,'PROCESOS PRD'!$H:$H,0,0)),"")</f>
        <v/>
      </c>
      <c r="GJ69" s="71"/>
      <c r="GK69" s="32"/>
      <c r="GL69" s="72" t="str">
        <f t="array" ref="GL69">IFERROR(IF(XLOOKUP(CONCAT(GJ69,GK69),'MASTER PLAN'!$AB:$AB,'MASTER PLAN'!$J:$J,0,0)=0,"",XLOOKUP(CONCAT(GJ69,GK69),'MASTER PLAN'!$AB:$AB,'MASTER PLAN'!$J:$J,0,0)),"")</f>
        <v/>
      </c>
      <c r="GM69" s="73" t="str">
        <f t="array" ref="GM69">IFERROR(IF(XLOOKUP(CONCAT(GJ69,GK69),'PROCESOS PRD'!$J:$J,'PROCESOS PRD'!$H:$H,0,0)=0,"",XLOOKUP(CONCAT(GJ69,GK69),'PROCESOS PRD'!$J:$J,'PROCESOS PRD'!$H:$H,0,0)),"")</f>
        <v/>
      </c>
      <c r="GN69" s="70"/>
      <c r="GO69" s="71"/>
      <c r="GP69" s="32"/>
      <c r="GQ69" s="72" t="str">
        <f t="array" ref="GQ69">IFERROR(IF(XLOOKUP(CONCAT(GO69,GP69),'MASTER PLAN'!$AB:$AB,'MASTER PLAN'!$J:$J,0,0)=0,"",XLOOKUP(CONCAT(GO69,GP69),'MASTER PLAN'!$AB:$AB,'MASTER PLAN'!$J:$J,0,0)),"")</f>
        <v/>
      </c>
      <c r="GR69" s="73" t="str">
        <f t="array" ref="GR69">IFERROR(IF(XLOOKUP(CONCAT(GO69,GP69),'PROCESOS PRD'!$J:$J,'PROCESOS PRD'!$H:$H,0,0)=0,"",XLOOKUP(CONCAT(GO69,GP69),'PROCESOS PRD'!$J:$J,'PROCESOS PRD'!$H:$H,0,0)),"")</f>
        <v/>
      </c>
      <c r="GS69" s="71"/>
      <c r="GT69" s="32"/>
      <c r="GU69" s="72" t="str">
        <f t="array" ref="GU69">IFERROR(IF(XLOOKUP(CONCAT(GS69,GT69),'MASTER PLAN'!$AB:$AB,'MASTER PLAN'!$J:$J,0,0)=0,"",XLOOKUP(CONCAT(GS69,GT69),'MASTER PLAN'!$AB:$AB,'MASTER PLAN'!$J:$J,0,0)),"")</f>
        <v/>
      </c>
      <c r="GV69" s="73" t="str">
        <f t="array" ref="GV69">IFERROR(IF(XLOOKUP(CONCAT(GS69,GT69),'PROCESOS PRD'!$J:$J,'PROCESOS PRD'!$H:$H,0,0)=0,"",XLOOKUP(CONCAT(GS69,GT69),'PROCESOS PRD'!$J:$J,'PROCESOS PRD'!$H:$H,0,0)),"")</f>
        <v/>
      </c>
      <c r="GW69" s="71"/>
      <c r="GX69" s="32"/>
      <c r="GY69" s="72" t="str">
        <f t="array" ref="GY69">IFERROR(IF(XLOOKUP(CONCAT(GW69,GX69),'MASTER PLAN'!$AB:$AB,'MASTER PLAN'!$J:$J,0,0)=0,"",XLOOKUP(CONCAT(GW69,GX69),'MASTER PLAN'!$AB:$AB,'MASTER PLAN'!$J:$J,0,0)),"")</f>
        <v/>
      </c>
      <c r="GZ69" s="73" t="str">
        <f t="array" ref="GZ69">IFERROR(IF(XLOOKUP(CONCAT(GW69,GX69),'PROCESOS PRD'!$J:$J,'PROCESOS PRD'!$H:$H,0,0)=0,"",XLOOKUP(CONCAT(GW69,GX69),'PROCESOS PRD'!$J:$J,'PROCESOS PRD'!$H:$H,0,0)),"")</f>
        <v/>
      </c>
      <c r="HA69" s="71"/>
      <c r="HB69" s="32"/>
      <c r="HC69" s="72" t="str">
        <f t="array" ref="HC69">IFERROR(IF(XLOOKUP(CONCAT(HA69,HB69),'MASTER PLAN'!$AB:$AB,'MASTER PLAN'!$J:$J,0,0)=0,"",XLOOKUP(CONCAT(HA69,HB69),'MASTER PLAN'!$AB:$AB,'MASTER PLAN'!$J:$J,0,0)),"")</f>
        <v/>
      </c>
      <c r="HD69" s="73" t="str">
        <f t="array" ref="HD69">IFERROR(IF(XLOOKUP(CONCAT(HA69,HB69),'PROCESOS PRD'!$J:$J,'PROCESOS PRD'!$H:$H,0,0)=0,"",XLOOKUP(CONCAT(HA69,HB69),'PROCESOS PRD'!$J:$J,'PROCESOS PRD'!$H:$H,0,0)),"")</f>
        <v/>
      </c>
      <c r="HE69" s="71"/>
      <c r="HF69" s="32"/>
      <c r="HG69" s="72" t="str">
        <f t="array" ref="HG69">IFERROR(IF(XLOOKUP(CONCAT(HE69,HF69),'MASTER PLAN'!$AB:$AB,'MASTER PLAN'!$J:$J,0,0)=0,"",XLOOKUP(CONCAT(HE69,HF69),'MASTER PLAN'!$AB:$AB,'MASTER PLAN'!$J:$J,0,0)),"")</f>
        <v/>
      </c>
      <c r="HH69" s="73" t="str">
        <f t="array" ref="HH69">IFERROR(IF(XLOOKUP(CONCAT(HE69,HF69),'PROCESOS PRD'!$J:$J,'PROCESOS PRD'!$H:$H,0,0)=0,"",XLOOKUP(CONCAT(HE69,HF69),'PROCESOS PRD'!$J:$J,'PROCESOS PRD'!$H:$H,0,0)),"")</f>
        <v/>
      </c>
      <c r="HI69" s="71"/>
      <c r="HJ69" s="32"/>
      <c r="HK69" s="72" t="str">
        <f t="array" ref="HK69">IFERROR(IF(XLOOKUP(CONCAT(HI69,HJ69),'MASTER PLAN'!$AB:$AB,'MASTER PLAN'!$J:$J,0,0)=0,"",XLOOKUP(CONCAT(HI69,HJ69),'MASTER PLAN'!$AB:$AB,'MASTER PLAN'!$J:$J,0,0)),"")</f>
        <v/>
      </c>
      <c r="HL69" s="73" t="str">
        <f t="array" ref="HL69">IFERROR(IF(XLOOKUP(CONCAT(HI69,HJ69),'PROCESOS PRD'!$J:$J,'PROCESOS PRD'!$H:$H,0,0)=0,"",XLOOKUP(CONCAT(HI69,HJ69),'PROCESOS PRD'!$J:$J,'PROCESOS PRD'!$H:$H,0,0)),"")</f>
        <v/>
      </c>
      <c r="HM69" s="70"/>
      <c r="HN69" s="71"/>
      <c r="HO69" s="32"/>
      <c r="HP69" s="72" t="str">
        <f t="array" ref="HP69">IFERROR(IF(XLOOKUP(CONCAT(HN69,HO69),'MASTER PLAN'!$AB:$AB,'MASTER PLAN'!$J:$J,0,0)=0,"",XLOOKUP(CONCAT(HN69,HO69),'MASTER PLAN'!$AB:$AB,'MASTER PLAN'!$J:$J,0,0)),"")</f>
        <v/>
      </c>
      <c r="HQ69" s="73" t="str">
        <f t="array" ref="HQ69">IFERROR(IF(XLOOKUP(CONCAT(HN69,HO69),'PROCESOS PRD'!$J:$J,'PROCESOS PRD'!$H:$H,0,0)=0,"",XLOOKUP(CONCAT(HN69,HO69),'PROCESOS PRD'!$J:$J,'PROCESOS PRD'!$H:$H,0,0)),"")</f>
        <v/>
      </c>
      <c r="HR69" s="71"/>
      <c r="HS69" s="32"/>
      <c r="HT69" s="72" t="str">
        <f t="array" ref="HT69">IFERROR(IF(XLOOKUP(CONCAT(HR69,HS69),'MASTER PLAN'!$AB:$AB,'MASTER PLAN'!$J:$J,0,0)=0,"",XLOOKUP(CONCAT(HR69,HS69),'MASTER PLAN'!$AB:$AB,'MASTER PLAN'!$J:$J,0,0)),"")</f>
        <v/>
      </c>
      <c r="HU69" s="73" t="str">
        <f t="array" ref="HU69">IFERROR(IF(XLOOKUP(CONCAT(HR69,HS69),'PROCESOS PRD'!$J:$J,'PROCESOS PRD'!$H:$H,0,0)=0,"",XLOOKUP(CONCAT(HR69,HS69),'PROCESOS PRD'!$J:$J,'PROCESOS PRD'!$H:$H,0,0)),"")</f>
        <v/>
      </c>
      <c r="HV69" s="71"/>
      <c r="HW69" s="32"/>
      <c r="HX69" s="72" t="str">
        <f t="array" ref="HX69">IFERROR(IF(XLOOKUP(CONCAT(HV69,HW69),'MASTER PLAN'!$AB:$AB,'MASTER PLAN'!$J:$J,0,0)=0,"",XLOOKUP(CONCAT(HV69,HW69),'MASTER PLAN'!$AB:$AB,'MASTER PLAN'!$J:$J,0,0)),"")</f>
        <v/>
      </c>
      <c r="HY69" s="73" t="str">
        <f t="array" ref="HY69">IFERROR(IF(XLOOKUP(CONCAT(HV69,HW69),'PROCESOS PRD'!$J:$J,'PROCESOS PRD'!$H:$H,0,0)=0,"",XLOOKUP(CONCAT(HV69,HW69),'PROCESOS PRD'!$J:$J,'PROCESOS PRD'!$H:$H,0,0)),"")</f>
        <v/>
      </c>
      <c r="HZ69" s="71"/>
      <c r="IA69" s="32"/>
      <c r="IB69" s="72" t="str">
        <f t="array" ref="IB69">IFERROR(IF(XLOOKUP(CONCAT(HZ69,IA69),'MASTER PLAN'!$AB:$AB,'MASTER PLAN'!$J:$J,0,0)=0,"",XLOOKUP(CONCAT(HZ69,IA69),'MASTER PLAN'!$AB:$AB,'MASTER PLAN'!$J:$J,0,0)),"")</f>
        <v/>
      </c>
      <c r="IC69" s="73" t="str">
        <f t="array" ref="IC69">IFERROR(IF(XLOOKUP(CONCAT(HZ69,IA69),'PROCESOS PRD'!$J:$J,'PROCESOS PRD'!$H:$H,0,0)=0,"",XLOOKUP(CONCAT(HZ69,IA69),'PROCESOS PRD'!$J:$J,'PROCESOS PRD'!$H:$H,0,0)),"")</f>
        <v/>
      </c>
      <c r="ID69" s="71"/>
      <c r="IE69" s="32"/>
      <c r="IF69" s="72" t="str">
        <f t="array" ref="IF69">IFERROR(IF(XLOOKUP(CONCAT(ID69,IE69),'MASTER PLAN'!$AB:$AB,'MASTER PLAN'!$J:$J,0,0)=0,"",XLOOKUP(CONCAT(ID69,IE69),'MASTER PLAN'!$AB:$AB,'MASTER PLAN'!$J:$J,0,0)),"")</f>
        <v/>
      </c>
      <c r="IG69" s="73" t="str">
        <f t="array" ref="IG69">IFERROR(IF(XLOOKUP(CONCAT(ID69,IE69),'PROCESOS PRD'!$J:$J,'PROCESOS PRD'!$H:$H,0,0)=0,"",XLOOKUP(CONCAT(ID69,IE69),'PROCESOS PRD'!$J:$J,'PROCESOS PRD'!$H:$H,0,0)),"")</f>
        <v/>
      </c>
      <c r="IH69" s="71"/>
      <c r="II69" s="32"/>
      <c r="IJ69" s="72" t="str">
        <f t="array" ref="IJ69">IFERROR(IF(XLOOKUP(CONCAT(IH69,II69),'MASTER PLAN'!$AB:$AB,'MASTER PLAN'!$J:$J,0,0)=0,"",XLOOKUP(CONCAT(IH69,II69),'MASTER PLAN'!$AB:$AB,'MASTER PLAN'!$J:$J,0,0)),"")</f>
        <v/>
      </c>
      <c r="IK69" s="73" t="str">
        <f t="array" ref="IK69">IFERROR(IF(XLOOKUP(CONCAT(IH69,II69),'PROCESOS PRD'!$J:$J,'PROCESOS PRD'!$H:$H,0,0)=0,"",XLOOKUP(CONCAT(IH69,II69),'PROCESOS PRD'!$J:$J,'PROCESOS PRD'!$H:$H,0,0)),"")</f>
        <v/>
      </c>
      <c r="IL69" s="70"/>
      <c r="IM69" s="71"/>
      <c r="IN69" s="32"/>
      <c r="IO69" s="72" t="str">
        <f t="array" ref="IO69">IFERROR(IF(XLOOKUP(CONCAT(IM69,IN69),'MASTER PLAN'!$AB:$AB,'MASTER PLAN'!$J:$J,0,0)=0,"",XLOOKUP(CONCAT(IM69,IN69),'MASTER PLAN'!$AB:$AB,'MASTER PLAN'!$J:$J,0,0)),"")</f>
        <v/>
      </c>
      <c r="IP69" s="73" t="str">
        <f t="array" ref="IP69">IFERROR(IF(XLOOKUP(CONCAT(IM69,IN69),'PROCESOS PRD'!$J:$J,'PROCESOS PRD'!$H:$H,0,0)=0,"",XLOOKUP(CONCAT(IM69,IN69),'PROCESOS PRD'!$J:$J,'PROCESOS PRD'!$H:$H,0,0)),"")</f>
        <v/>
      </c>
      <c r="IQ69" s="71"/>
      <c r="IR69" s="32"/>
      <c r="IS69" s="72" t="str">
        <f t="array" ref="IS69">IFERROR(IF(XLOOKUP(CONCAT(IQ69,IR69),'MASTER PLAN'!$AB:$AB,'MASTER PLAN'!$J:$J,0,0)=0,"",XLOOKUP(CONCAT(IQ69,IR69),'MASTER PLAN'!$AB:$AB,'MASTER PLAN'!$J:$J,0,0)),"")</f>
        <v/>
      </c>
      <c r="IT69" s="73" t="str">
        <f t="array" ref="IT69">IFERROR(IF(XLOOKUP(CONCAT(IQ69,IR69),'PROCESOS PRD'!$J:$J,'PROCESOS PRD'!$H:$H,0,0)=0,"",XLOOKUP(CONCAT(IQ69,IR69),'PROCESOS PRD'!$J:$J,'PROCESOS PRD'!$H:$H,0,0)),"")</f>
        <v/>
      </c>
      <c r="IU69" s="71"/>
      <c r="IV69" s="32"/>
      <c r="IW69" s="72" t="str">
        <f t="array" ref="IW69">IFERROR(IF(XLOOKUP(CONCAT(IU69,IV69),'MASTER PLAN'!$AB:$AB,'MASTER PLAN'!$J:$J,0,0)=0,"",XLOOKUP(CONCAT(IU69,IV69),'MASTER PLAN'!$AB:$AB,'MASTER PLAN'!$J:$J,0,0)),"")</f>
        <v/>
      </c>
      <c r="IX69" s="73" t="str">
        <f t="array" ref="IX69">IFERROR(IF(XLOOKUP(CONCAT(IU69,IV69),'PROCESOS PRD'!$J:$J,'PROCESOS PRD'!$H:$H,0,0)=0,"",XLOOKUP(CONCAT(IU69,IV69),'PROCESOS PRD'!$J:$J,'PROCESOS PRD'!$H:$H,0,0)),"")</f>
        <v/>
      </c>
      <c r="IY69" s="71"/>
      <c r="IZ69" s="32"/>
      <c r="JA69" s="72" t="str">
        <f t="array" ref="JA69">IFERROR(IF(XLOOKUP(CONCAT(IY69,IZ69),'MASTER PLAN'!$AB:$AB,'MASTER PLAN'!$J:$J,0,0)=0,"",XLOOKUP(CONCAT(IY69,IZ69),'MASTER PLAN'!$AB:$AB,'MASTER PLAN'!$J:$J,0,0)),"")</f>
        <v/>
      </c>
      <c r="JB69" s="73" t="str">
        <f t="array" ref="JB69">IFERROR(IF(XLOOKUP(CONCAT(IY69,IZ69),'PROCESOS PRD'!$J:$J,'PROCESOS PRD'!$H:$H,0,0)=0,"",XLOOKUP(CONCAT(IY69,IZ69),'PROCESOS PRD'!$J:$J,'PROCESOS PRD'!$H:$H,0,0)),"")</f>
        <v/>
      </c>
      <c r="JC69" s="71"/>
      <c r="JD69" s="32"/>
      <c r="JE69" s="72" t="str">
        <f t="array" ref="JE69">IFERROR(IF(XLOOKUP(CONCAT(JC69,JD69),'MASTER PLAN'!$AB:$AB,'MASTER PLAN'!$J:$J,0,0)=0,"",XLOOKUP(CONCAT(JC69,JD69),'MASTER PLAN'!$AB:$AB,'MASTER PLAN'!$J:$J,0,0)),"")</f>
        <v/>
      </c>
      <c r="JF69" s="73" t="str">
        <f t="array" ref="JF69">IFERROR(IF(XLOOKUP(CONCAT(JC69,JD69),'PROCESOS PRD'!$J:$J,'PROCESOS PRD'!$H:$H,0,0)=0,"",XLOOKUP(CONCAT(JC69,JD69),'PROCESOS PRD'!$J:$J,'PROCESOS PRD'!$H:$H,0,0)),"")</f>
        <v/>
      </c>
      <c r="JG69" s="71"/>
      <c r="JH69" s="32"/>
      <c r="JI69" s="72" t="str">
        <f t="array" ref="JI69">IFERROR(IF(XLOOKUP(CONCAT(JG69,JH69),'MASTER PLAN'!$AB:$AB,'MASTER PLAN'!$J:$J,0,0)=0,"",XLOOKUP(CONCAT(JG69,JH69),'MASTER PLAN'!$AB:$AB,'MASTER PLAN'!$J:$J,0,0)),"")</f>
        <v/>
      </c>
      <c r="JJ69" s="73" t="str">
        <f t="array" ref="JJ69">IFERROR(IF(XLOOKUP(CONCAT(JG69,JH69),'PROCESOS PRD'!$J:$J,'PROCESOS PRD'!$H:$H,0,0)=0,"",XLOOKUP(CONCAT(JG69,JH69),'PROCESOS PRD'!$J:$J,'PROCESOS PRD'!$H:$H,0,0)),"")</f>
        <v/>
      </c>
      <c r="JK69" s="70"/>
      <c r="JL69" s="71"/>
      <c r="JM69" s="32"/>
      <c r="JN69" s="72" t="str">
        <f t="array" ref="JN69">IFERROR(IF(XLOOKUP(CONCAT(JL69,JM69),'MASTER PLAN'!$AB:$AB,'MASTER PLAN'!$J:$J,0,0)=0,"",XLOOKUP(CONCAT(JL69,JM69),'MASTER PLAN'!$AB:$AB,'MASTER PLAN'!$J:$J,0,0)),"")</f>
        <v/>
      </c>
      <c r="JO69" s="73" t="str">
        <f t="array" ref="JO69">IFERROR(IF(XLOOKUP(CONCAT(JL69,JM69),'PROCESOS PRD'!$J:$J,'PROCESOS PRD'!$H:$H,0,0)=0,"",XLOOKUP(CONCAT(JL69,JM69),'PROCESOS PRD'!$J:$J,'PROCESOS PRD'!$H:$H,0,0)),"")</f>
        <v/>
      </c>
      <c r="JP69" s="71"/>
      <c r="JQ69" s="32"/>
      <c r="JR69" s="72" t="str">
        <f t="array" ref="JR69">IFERROR(IF(XLOOKUP(CONCAT(JP69,JQ69),'MASTER PLAN'!$AB:$AB,'MASTER PLAN'!$J:$J,0,0)=0,"",XLOOKUP(CONCAT(JP69,JQ69),'MASTER PLAN'!$AB:$AB,'MASTER PLAN'!$J:$J,0,0)),"")</f>
        <v/>
      </c>
      <c r="JS69" s="73" t="str">
        <f t="array" ref="JS69">IFERROR(IF(XLOOKUP(CONCAT(JP69,JQ69),'PROCESOS PRD'!$J:$J,'PROCESOS PRD'!$H:$H,0,0)=0,"",XLOOKUP(CONCAT(JP69,JQ69),'PROCESOS PRD'!$J:$J,'PROCESOS PRD'!$H:$H,0,0)),"")</f>
        <v/>
      </c>
      <c r="JT69" s="71"/>
      <c r="JU69" s="32"/>
      <c r="JV69" s="72" t="str">
        <f t="array" ref="JV69">IFERROR(IF(XLOOKUP(CONCAT(JT69,JU69),'MASTER PLAN'!$AB:$AB,'MASTER PLAN'!$J:$J,0,0)=0,"",XLOOKUP(CONCAT(JT69,JU69),'MASTER PLAN'!$AB:$AB,'MASTER PLAN'!$J:$J,0,0)),"")</f>
        <v/>
      </c>
      <c r="JW69" s="73" t="str">
        <f t="array" ref="JW69">IFERROR(IF(XLOOKUP(CONCAT(JT69,JU69),'PROCESOS PRD'!$J:$J,'PROCESOS PRD'!$H:$H,0,0)=0,"",XLOOKUP(CONCAT(JT69,JU69),'PROCESOS PRD'!$J:$J,'PROCESOS PRD'!$H:$H,0,0)),"")</f>
        <v/>
      </c>
      <c r="JX69" s="71"/>
      <c r="JY69" s="32"/>
      <c r="JZ69" s="72" t="str">
        <f t="array" ref="JZ69">IFERROR(IF(XLOOKUP(CONCAT(JX69,JY69),'MASTER PLAN'!$AB:$AB,'MASTER PLAN'!$J:$J,0,0)=0,"",XLOOKUP(CONCAT(JX69,JY69),'MASTER PLAN'!$AB:$AB,'MASTER PLAN'!$J:$J,0,0)),"")</f>
        <v/>
      </c>
      <c r="KA69" s="73" t="str">
        <f t="array" ref="KA69">IFERROR(IF(XLOOKUP(CONCAT(JX69,JY69),'PROCESOS PRD'!$J:$J,'PROCESOS PRD'!$H:$H,0,0)=0,"",XLOOKUP(CONCAT(JX69,JY69),'PROCESOS PRD'!$J:$J,'PROCESOS PRD'!$H:$H,0,0)),"")</f>
        <v/>
      </c>
      <c r="KB69" s="71"/>
      <c r="KC69" s="32"/>
      <c r="KD69" s="72" t="str">
        <f t="array" ref="KD69">IFERROR(IF(XLOOKUP(CONCAT(KB69,KC69),'MASTER PLAN'!$AB:$AB,'MASTER PLAN'!$J:$J,0,0)=0,"",XLOOKUP(CONCAT(KB69,KC69),'MASTER PLAN'!$AB:$AB,'MASTER PLAN'!$J:$J,0,0)),"")</f>
        <v/>
      </c>
      <c r="KE69" s="73" t="str">
        <f t="array" ref="KE69">IFERROR(IF(XLOOKUP(CONCAT(KB69,KC69),'PROCESOS PRD'!$J:$J,'PROCESOS PRD'!$H:$H,0,0)=0,"",XLOOKUP(CONCAT(KB69,KC69),'PROCESOS PRD'!$J:$J,'PROCESOS PRD'!$H:$H,0,0)),"")</f>
        <v/>
      </c>
      <c r="KF69" s="71"/>
      <c r="KG69" s="32"/>
      <c r="KH69" s="72" t="str">
        <f t="array" ref="KH69">IFERROR(IF(XLOOKUP(CONCAT(KF69,KG69),'MASTER PLAN'!$AB:$AB,'MASTER PLAN'!$J:$J,0,0)=0,"",XLOOKUP(CONCAT(KF69,KG69),'MASTER PLAN'!$AB:$AB,'MASTER PLAN'!$J:$J,0,0)),"")</f>
        <v/>
      </c>
      <c r="KI69" s="73" t="str">
        <f t="array" ref="KI69">IFERROR(IF(XLOOKUP(CONCAT(KF69,KG69),'PROCESOS PRD'!$J:$J,'PROCESOS PRD'!$H:$H,0,0)=0,"",XLOOKUP(CONCAT(KF69,KG69),'PROCESOS PRD'!$J:$J,'PROCESOS PRD'!$H:$H,0,0)),"")</f>
        <v/>
      </c>
      <c r="KJ69" s="70"/>
      <c r="KK69" s="70"/>
      <c r="KL69" s="70"/>
      <c r="KM69" s="70"/>
      <c r="KN69" s="70"/>
      <c r="KO69" s="70"/>
      <c r="KP69" s="70"/>
      <c r="KQ69" s="70"/>
      <c r="KR69" s="70"/>
      <c r="KS69" s="70"/>
      <c r="KT69" s="70"/>
      <c r="KU69" s="70"/>
      <c r="KV69" s="70"/>
      <c r="KW69" s="70"/>
      <c r="KX69" s="70"/>
      <c r="KY69" s="70"/>
      <c r="KZ69" s="70"/>
      <c r="LA69" s="70"/>
      <c r="LB69" s="70"/>
      <c r="LC69" s="70"/>
    </row>
    <row r="70" ht="15.75" customHeight="1">
      <c r="A70" s="42"/>
      <c r="B70" s="74"/>
      <c r="C70" s="69"/>
      <c r="D70" s="70"/>
      <c r="E70" s="71"/>
      <c r="F70" s="32"/>
      <c r="G70" s="72" t="str">
        <f t="array" ref="G70">IFERROR(IF(XLOOKUP(CONCAT(E70,F70),'MASTER PLAN'!$AB:$AB,'MASTER PLAN'!$J:$J,0,0)=0,"",XLOOKUP(CONCAT(E70,F70),'MASTER PLAN'!$AB:$AB,'MASTER PLAN'!$J:$J,0,0)),"")</f>
        <v/>
      </c>
      <c r="H70" s="73" t="str">
        <f t="array" ref="H70">IFERROR(IF(XLOOKUP(CONCAT(E70,F70),'PROCESOS PRD'!$J:$J,'PROCESOS PRD'!$H:$H,0,0)=0,"",XLOOKUP(CONCAT(E70,F70),'PROCESOS PRD'!$J:$J,'PROCESOS PRD'!$H:$H,0,0)),"")</f>
        <v/>
      </c>
      <c r="I70" s="71"/>
      <c r="J70" s="32"/>
      <c r="K70" s="72" t="str">
        <f t="array" ref="K70">IFERROR(IF(XLOOKUP(CONCAT(I70,J70),'MASTER PLAN'!$AB:$AB,'MASTER PLAN'!$J:$J,0,0)=0,"",XLOOKUP(CONCAT(I70,J70),'MASTER PLAN'!$AB:$AB,'MASTER PLAN'!$J:$J,0,0)),"")</f>
        <v/>
      </c>
      <c r="L70" s="73" t="str">
        <f t="array" ref="L70">IFERROR(IF(XLOOKUP(CONCAT(I70,J70),'PROCESOS PRD'!$J:$J,'PROCESOS PRD'!$H:$H,0,0)=0,"",XLOOKUP(CONCAT(I70,J70),'PROCESOS PRD'!$J:$J,'PROCESOS PRD'!$H:$H,0,0)),"")</f>
        <v/>
      </c>
      <c r="M70" s="71"/>
      <c r="N70" s="32"/>
      <c r="O70" s="72" t="str">
        <f t="array" ref="O70">IFERROR(IF(XLOOKUP(CONCAT(M70,N70),'MASTER PLAN'!$AB:$AB,'MASTER PLAN'!$J:$J,0,0)=0,"",XLOOKUP(CONCAT(M70,N70),'MASTER PLAN'!$AB:$AB,'MASTER PLAN'!$J:$J,0,0)),"")</f>
        <v/>
      </c>
      <c r="P70" s="73" t="str">
        <f t="array" ref="P70">IFERROR(IF(XLOOKUP(CONCAT(M70,N70),'PROCESOS PRD'!$J:$J,'PROCESOS PRD'!$H:$H,0,0)=0,"",XLOOKUP(CONCAT(M70,N70),'PROCESOS PRD'!$J:$J,'PROCESOS PRD'!$H:$H,0,0)),"")</f>
        <v/>
      </c>
      <c r="Q70" s="71"/>
      <c r="R70" s="32"/>
      <c r="S70" s="72" t="str">
        <f t="array" ref="S70">IFERROR(IF(XLOOKUP(CONCAT(Q70,R70),'MASTER PLAN'!$AB:$AB,'MASTER PLAN'!$J:$J,0,0)=0,"",XLOOKUP(CONCAT(Q70,R70),'MASTER PLAN'!$AB:$AB,'MASTER PLAN'!$J:$J,0,0)),"")</f>
        <v/>
      </c>
      <c r="T70" s="73" t="str">
        <f t="array" ref="T70">IFERROR(IF(XLOOKUP(CONCAT(Q70,R70),'PROCESOS PRD'!$J:$J,'PROCESOS PRD'!$H:$H,0,0)=0,"",XLOOKUP(CONCAT(Q70,R70),'PROCESOS PRD'!$J:$J,'PROCESOS PRD'!$H:$H,0,0)),"")</f>
        <v/>
      </c>
      <c r="U70" s="70"/>
      <c r="V70" s="71"/>
      <c r="W70" s="32"/>
      <c r="X70" s="72" t="str">
        <f t="array" ref="X70">IFERROR(IF(XLOOKUP(CONCAT(V70,W70),'MASTER PLAN'!$AB:$AB,'MASTER PLAN'!$J:$J,0,0)=0,"",XLOOKUP(CONCAT(V70,W70),'MASTER PLAN'!$AB:$AB,'MASTER PLAN'!$J:$J,0,0)),"")</f>
        <v/>
      </c>
      <c r="Y70" s="73" t="str">
        <f t="array" ref="Y70">IFERROR(IF(XLOOKUP(CONCAT(V70,W70),'PROCESOS PRD'!$J:$J,'PROCESOS PRD'!$H:$H,0,0)=0,"",XLOOKUP(CONCAT(V70,W70),'PROCESOS PRD'!$J:$J,'PROCESOS PRD'!$H:$H,0,0)),"")</f>
        <v/>
      </c>
      <c r="Z70" s="71"/>
      <c r="AA70" s="32"/>
      <c r="AB70" s="72" t="str">
        <f t="array" ref="AB70">IFERROR(IF(XLOOKUP(CONCAT(Z70,AA70),'MASTER PLAN'!$AB:$AB,'MASTER PLAN'!$J:$J,0,0)=0,"",XLOOKUP(CONCAT(Z70,AA70),'MASTER PLAN'!$AB:$AB,'MASTER PLAN'!$J:$J,0,0)),"")</f>
        <v/>
      </c>
      <c r="AC70" s="73" t="str">
        <f t="array" ref="AC70">IFERROR(IF(XLOOKUP(CONCAT(Z70,AA70),'PROCESOS PRD'!$J:$J,'PROCESOS PRD'!$H:$H,0,0)=0,"",XLOOKUP(CONCAT(Z70,AA70),'PROCESOS PRD'!$J:$J,'PROCESOS PRD'!$H:$H,0,0)),"")</f>
        <v/>
      </c>
      <c r="AD70" s="71"/>
      <c r="AE70" s="32"/>
      <c r="AF70" s="72" t="str">
        <f t="array" ref="AF70">IFERROR(IF(XLOOKUP(CONCAT(AD70,AE70),'MASTER PLAN'!$AB:$AB,'MASTER PLAN'!$J:$J,0,0)=0,"",XLOOKUP(CONCAT(AD70,AE70),'MASTER PLAN'!$AB:$AB,'MASTER PLAN'!$J:$J,0,0)),"")</f>
        <v/>
      </c>
      <c r="AG70" s="73" t="str">
        <f t="array" ref="AG70">IFERROR(IF(XLOOKUP(CONCAT(AD70,AE70),'PROCESOS PRD'!$J:$J,'PROCESOS PRD'!$H:$H,0,0)=0,"",XLOOKUP(CONCAT(AD70,AE70),'PROCESOS PRD'!$J:$J,'PROCESOS PRD'!$H:$H,0,0)),"")</f>
        <v/>
      </c>
      <c r="AH70" s="71"/>
      <c r="AI70" s="32"/>
      <c r="AJ70" s="72" t="str">
        <f t="array" ref="AJ70">IFERROR(IF(XLOOKUP(CONCAT(AH70,AI70),'MASTER PLAN'!$AB:$AB,'MASTER PLAN'!$J:$J,0,0)=0,"",XLOOKUP(CONCAT(AH70,AI70),'MASTER PLAN'!$AB:$AB,'MASTER PLAN'!$J:$J,0,0)),"")</f>
        <v/>
      </c>
      <c r="AK70" s="73" t="str">
        <f t="array" ref="AK70">IFERROR(IF(XLOOKUP(CONCAT(AH70,AI70),'PROCESOS PRD'!$J:$J,'PROCESOS PRD'!$H:$H,0,0)=0,"",XLOOKUP(CONCAT(AH70,AI70),'PROCESOS PRD'!$J:$J,'PROCESOS PRD'!$H:$H,0,0)),"")</f>
        <v/>
      </c>
      <c r="AL70" s="71"/>
      <c r="AM70" s="32"/>
      <c r="AN70" s="72" t="str">
        <f t="array" ref="AN70">IFERROR(IF(XLOOKUP(CONCAT(AL70,AM70),'MASTER PLAN'!$AB:$AB,'MASTER PLAN'!$J:$J,0,0)=0,"",XLOOKUP(CONCAT(AL70,AM70),'MASTER PLAN'!$AB:$AB,'MASTER PLAN'!$J:$J,0,0)),"")</f>
        <v/>
      </c>
      <c r="AO70" s="73" t="str">
        <f t="array" ref="AO70">IFERROR(IF(XLOOKUP(CONCAT(AL70,AM70),'PROCESOS PRD'!$J:$J,'PROCESOS PRD'!$H:$H,0,0)=0,"",XLOOKUP(CONCAT(AL70,AM70),'PROCESOS PRD'!$J:$J,'PROCESOS PRD'!$H:$H,0,0)),"")</f>
        <v/>
      </c>
      <c r="AP70" s="71"/>
      <c r="AQ70" s="32"/>
      <c r="AR70" s="72" t="str">
        <f t="array" ref="AR70">IFERROR(IF(XLOOKUP(CONCAT(AP70,AQ70),'MASTER PLAN'!$AB:$AB,'MASTER PLAN'!$J:$J,0,0)=0,"",XLOOKUP(CONCAT(AP70,AQ70),'MASTER PLAN'!$AB:$AB,'MASTER PLAN'!$J:$J,0,0)),"")</f>
        <v/>
      </c>
      <c r="AS70" s="73" t="str">
        <f t="array" ref="AS70">IFERROR(IF(XLOOKUP(CONCAT(AP70,AQ70),'PROCESOS PRD'!$J:$J,'PROCESOS PRD'!$H:$H,0,0)=0,"",XLOOKUP(CONCAT(AP70,AQ70),'PROCESOS PRD'!$J:$J,'PROCESOS PRD'!$H:$H,0,0)),"")</f>
        <v/>
      </c>
      <c r="AT70" s="70"/>
      <c r="AU70" s="71"/>
      <c r="AV70" s="32"/>
      <c r="AW70" s="72" t="str">
        <f t="array" ref="AW70">IFERROR(IF(XLOOKUP(CONCAT(AU70,AV70),'MASTER PLAN'!$AB:$AB,'MASTER PLAN'!$J:$J,0,0)=0,"",XLOOKUP(CONCAT(AU70,AV70),'MASTER PLAN'!$AB:$AB,'MASTER PLAN'!$J:$J,0,0)),"")</f>
        <v/>
      </c>
      <c r="AX70" s="73" t="str">
        <f t="array" ref="AX70">IFERROR(IF(XLOOKUP(CONCAT(AU70,AV70),'PROCESOS PRD'!$J:$J,'PROCESOS PRD'!$H:$H,0,0)=0,"",XLOOKUP(CONCAT(AU70,AV70),'PROCESOS PRD'!$J:$J,'PROCESOS PRD'!$H:$H,0,0)),"")</f>
        <v/>
      </c>
      <c r="AY70" s="71"/>
      <c r="AZ70" s="32"/>
      <c r="BA70" s="72" t="str">
        <f t="array" ref="BA70">IFERROR(IF(XLOOKUP(CONCAT(AY70,AZ70),'MASTER PLAN'!$AB:$AB,'MASTER PLAN'!$J:$J,0,0)=0,"",XLOOKUP(CONCAT(AY70,AZ70),'MASTER PLAN'!$AB:$AB,'MASTER PLAN'!$J:$J,0,0)),"")</f>
        <v/>
      </c>
      <c r="BB70" s="73" t="str">
        <f t="array" ref="BB70">IFERROR(IF(XLOOKUP(CONCAT(AY70,AZ70),'PROCESOS PRD'!$J:$J,'PROCESOS PRD'!$H:$H,0,0)=0,"",XLOOKUP(CONCAT(AY70,AZ70),'PROCESOS PRD'!$J:$J,'PROCESOS PRD'!$H:$H,0,0)),"")</f>
        <v/>
      </c>
      <c r="BC70" s="71"/>
      <c r="BD70" s="32"/>
      <c r="BE70" s="72" t="str">
        <f t="array" ref="BE70">IFERROR(IF(XLOOKUP(CONCAT(BC70,BD70),'MASTER PLAN'!$AB:$AB,'MASTER PLAN'!$J:$J,0,0)=0,"",XLOOKUP(CONCAT(BC70,BD70),'MASTER PLAN'!$AB:$AB,'MASTER PLAN'!$J:$J,0,0)),"")</f>
        <v/>
      </c>
      <c r="BF70" s="73" t="str">
        <f t="array" ref="BF70">IFERROR(IF(XLOOKUP(CONCAT(BC70,BD70),'PROCESOS PRD'!$J:$J,'PROCESOS PRD'!$H:$H,0,0)=0,"",XLOOKUP(CONCAT(BC70,BD70),'PROCESOS PRD'!$J:$J,'PROCESOS PRD'!$H:$H,0,0)),"")</f>
        <v/>
      </c>
      <c r="BG70" s="71"/>
      <c r="BH70" s="32"/>
      <c r="BI70" s="72" t="str">
        <f t="array" ref="BI70">IFERROR(IF(XLOOKUP(CONCAT(BG70,BH70),'MASTER PLAN'!$AB:$AB,'MASTER PLAN'!$J:$J,0,0)=0,"",XLOOKUP(CONCAT(BG70,BH70),'MASTER PLAN'!$AB:$AB,'MASTER PLAN'!$J:$J,0,0)),"")</f>
        <v/>
      </c>
      <c r="BJ70" s="73" t="str">
        <f t="array" ref="BJ70">IFERROR(IF(XLOOKUP(CONCAT(BG70,BH70),'PROCESOS PRD'!$J:$J,'PROCESOS PRD'!$H:$H,0,0)=0,"",XLOOKUP(CONCAT(BG70,BH70),'PROCESOS PRD'!$J:$J,'PROCESOS PRD'!$H:$H,0,0)),"")</f>
        <v/>
      </c>
      <c r="BK70" s="71"/>
      <c r="BL70" s="32"/>
      <c r="BM70" s="72" t="str">
        <f t="array" ref="BM70">IFERROR(IF(XLOOKUP(CONCAT(BK70,BL70),'MASTER PLAN'!$AB:$AB,'MASTER PLAN'!$J:$J,0,0)=0,"",XLOOKUP(CONCAT(BK70,BL70),'MASTER PLAN'!$AB:$AB,'MASTER PLAN'!$J:$J,0,0)),"")</f>
        <v/>
      </c>
      <c r="BN70" s="73" t="str">
        <f t="array" ref="BN70">IFERROR(IF(XLOOKUP(CONCAT(BK70,BL70),'PROCESOS PRD'!$J:$J,'PROCESOS PRD'!$H:$H,0,0)=0,"",XLOOKUP(CONCAT(BK70,BL70),'PROCESOS PRD'!$J:$J,'PROCESOS PRD'!$H:$H,0,0)),"")</f>
        <v/>
      </c>
      <c r="BO70" s="71"/>
      <c r="BP70" s="32"/>
      <c r="BQ70" s="72" t="str">
        <f t="array" ref="BQ70">IFERROR(IF(XLOOKUP(CONCAT(BO70,BP70),'MASTER PLAN'!$AB:$AB,'MASTER PLAN'!$J:$J,0,0)=0,"",XLOOKUP(CONCAT(BO70,BP70),'MASTER PLAN'!$AB:$AB,'MASTER PLAN'!$J:$J,0,0)),"")</f>
        <v/>
      </c>
      <c r="BR70" s="73" t="str">
        <f t="array" ref="BR70">IFERROR(IF(XLOOKUP(CONCAT(BO70,BP70),'PROCESOS PRD'!$J:$J,'PROCESOS PRD'!$H:$H,0,0)=0,"",XLOOKUP(CONCAT(BO70,BP70),'PROCESOS PRD'!$J:$J,'PROCESOS PRD'!$H:$H,0,0)),"")</f>
        <v/>
      </c>
      <c r="BS70" s="70"/>
      <c r="BT70" s="71"/>
      <c r="BU70" s="32"/>
      <c r="BV70" s="72" t="str">
        <f t="array" ref="BV70">IFERROR(IF(XLOOKUP(CONCAT(BT70,BU70),'MASTER PLAN'!$AB:$AB,'MASTER PLAN'!$J:$J,0,0)=0,"",XLOOKUP(CONCAT(BT70,BU70),'MASTER PLAN'!$AB:$AB,'MASTER PLAN'!$J:$J,0,0)),"")</f>
        <v/>
      </c>
      <c r="BW70" s="73" t="str">
        <f t="array" ref="BW70">IFERROR(IF(XLOOKUP(CONCAT(BT70,BU70),'PROCESOS PRD'!$J:$J,'PROCESOS PRD'!$H:$H,0,0)=0,"",XLOOKUP(CONCAT(BT70,BU70),'PROCESOS PRD'!$J:$J,'PROCESOS PRD'!$H:$H,0,0)),"")</f>
        <v/>
      </c>
      <c r="BX70" s="71"/>
      <c r="BY70" s="32"/>
      <c r="BZ70" s="72" t="str">
        <f t="array" ref="BZ70">IFERROR(IF(XLOOKUP(CONCAT(BX70,BY70),'MASTER PLAN'!$AB:$AB,'MASTER PLAN'!$J:$J,0,0)=0,"",XLOOKUP(CONCAT(BX70,BY70),'MASTER PLAN'!$AB:$AB,'MASTER PLAN'!$J:$J,0,0)),"")</f>
        <v/>
      </c>
      <c r="CA70" s="73" t="str">
        <f t="array" ref="CA70">IFERROR(IF(XLOOKUP(CONCAT(BX70,BY70),'PROCESOS PRD'!$J:$J,'PROCESOS PRD'!$H:$H,0,0)=0,"",XLOOKUP(CONCAT(BX70,BY70),'PROCESOS PRD'!$J:$J,'PROCESOS PRD'!$H:$H,0,0)),"")</f>
        <v/>
      </c>
      <c r="CB70" s="71"/>
      <c r="CC70" s="32"/>
      <c r="CD70" s="72" t="str">
        <f t="array" ref="CD70">IFERROR(IF(XLOOKUP(CONCAT(CB70,CC70),'MASTER PLAN'!$AB:$AB,'MASTER PLAN'!$J:$J,0,0)=0,"",XLOOKUP(CONCAT(CB70,CC70),'MASTER PLAN'!$AB:$AB,'MASTER PLAN'!$J:$J,0,0)),"")</f>
        <v/>
      </c>
      <c r="CE70" s="73" t="str">
        <f t="array" ref="CE70">IFERROR(IF(XLOOKUP(CONCAT(CB70,CC70),'PROCESOS PRD'!$J:$J,'PROCESOS PRD'!$H:$H,0,0)=0,"",XLOOKUP(CONCAT(CB70,CC70),'PROCESOS PRD'!$J:$J,'PROCESOS PRD'!$H:$H,0,0)),"")</f>
        <v/>
      </c>
      <c r="CF70" s="71"/>
      <c r="CG70" s="32"/>
      <c r="CH70" s="72" t="str">
        <f t="array" ref="CH70">IFERROR(IF(XLOOKUP(CONCAT(CF70,CG70),'MASTER PLAN'!$AB:$AB,'MASTER PLAN'!$J:$J,0,0)=0,"",XLOOKUP(CONCAT(CF70,CG70),'MASTER PLAN'!$AB:$AB,'MASTER PLAN'!$J:$J,0,0)),"")</f>
        <v/>
      </c>
      <c r="CI70" s="73" t="str">
        <f t="array" ref="CI70">IFERROR(IF(XLOOKUP(CONCAT(CF70,CG70),'PROCESOS PRD'!$J:$J,'PROCESOS PRD'!$H:$H,0,0)=0,"",XLOOKUP(CONCAT(CF70,CG70),'PROCESOS PRD'!$J:$J,'PROCESOS PRD'!$H:$H,0,0)),"")</f>
        <v/>
      </c>
      <c r="CJ70" s="71"/>
      <c r="CK70" s="32"/>
      <c r="CL70" s="72" t="str">
        <f t="array" ref="CL70">IFERROR(IF(XLOOKUP(CONCAT(CJ70,CK70),'MASTER PLAN'!$AB:$AB,'MASTER PLAN'!$J:$J,0,0)=0,"",XLOOKUP(CONCAT(CJ70,CK70),'MASTER PLAN'!$AB:$AB,'MASTER PLAN'!$J:$J,0,0)),"")</f>
        <v/>
      </c>
      <c r="CM70" s="73" t="str">
        <f t="array" ref="CM70">IFERROR(IF(XLOOKUP(CONCAT(CJ70,CK70),'PROCESOS PRD'!$J:$J,'PROCESOS PRD'!$H:$H,0,0)=0,"",XLOOKUP(CONCAT(CJ70,CK70),'PROCESOS PRD'!$J:$J,'PROCESOS PRD'!$H:$H,0,0)),"")</f>
        <v/>
      </c>
      <c r="CN70" s="71"/>
      <c r="CO70" s="32"/>
      <c r="CP70" s="72" t="str">
        <f t="array" ref="CP70">IFERROR(IF(XLOOKUP(CONCAT(CN70,CO70),'MASTER PLAN'!$AB:$AB,'MASTER PLAN'!$J:$J,0,0)=0,"",XLOOKUP(CONCAT(CN70,CO70),'MASTER PLAN'!$AB:$AB,'MASTER PLAN'!$J:$J,0,0)),"")</f>
        <v/>
      </c>
      <c r="CQ70" s="73" t="str">
        <f t="array" ref="CQ70">IFERROR(IF(XLOOKUP(CONCAT(CN70,CO70),'PROCESOS PRD'!$J:$J,'PROCESOS PRD'!$H:$H,0,0)=0,"",XLOOKUP(CONCAT(CN70,CO70),'PROCESOS PRD'!$J:$J,'PROCESOS PRD'!$H:$H,0,0)),"")</f>
        <v/>
      </c>
      <c r="CR70" s="70"/>
      <c r="CS70" s="71"/>
      <c r="CT70" s="32"/>
      <c r="CU70" s="72" t="str">
        <f t="array" ref="CU70">IFERROR(IF(XLOOKUP(CONCAT(CS70,CT70),'MASTER PLAN'!$AB:$AB,'MASTER PLAN'!$J:$J,0,0)=0,"",XLOOKUP(CONCAT(CS70,CT70),'MASTER PLAN'!$AB:$AB,'MASTER PLAN'!$J:$J,0,0)),"")</f>
        <v/>
      </c>
      <c r="CV70" s="73" t="str">
        <f t="array" ref="CV70">IFERROR(IF(XLOOKUP(CONCAT(CS70,CT70),'PROCESOS PRD'!$J:$J,'PROCESOS PRD'!$H:$H,0,0)=0,"",XLOOKUP(CONCAT(CS70,CT70),'PROCESOS PRD'!$J:$J,'PROCESOS PRD'!$H:$H,0,0)),"")</f>
        <v/>
      </c>
      <c r="CW70" s="71"/>
      <c r="CX70" s="32"/>
      <c r="CY70" s="72" t="str">
        <f t="array" ref="CY70">IFERROR(IF(XLOOKUP(CONCAT(CW70,CX70),'MASTER PLAN'!$AB:$AB,'MASTER PLAN'!$J:$J,0,0)=0,"",XLOOKUP(CONCAT(CW70,CX70),'MASTER PLAN'!$AB:$AB,'MASTER PLAN'!$J:$J,0,0)),"")</f>
        <v/>
      </c>
      <c r="CZ70" s="73" t="str">
        <f t="array" ref="CZ70">IFERROR(IF(XLOOKUP(CONCAT(CW70,CX70),'PROCESOS PRD'!$J:$J,'PROCESOS PRD'!$H:$H,0,0)=0,"",XLOOKUP(CONCAT(CW70,CX70),'PROCESOS PRD'!$J:$J,'PROCESOS PRD'!$H:$H,0,0)),"")</f>
        <v/>
      </c>
      <c r="DA70" s="71"/>
      <c r="DB70" s="32"/>
      <c r="DC70" s="72" t="str">
        <f t="array" ref="DC70">IFERROR(IF(XLOOKUP(CONCAT(DA70,DB70),'MASTER PLAN'!$AB:$AB,'MASTER PLAN'!$J:$J,0,0)=0,"",XLOOKUP(CONCAT(DA70,DB70),'MASTER PLAN'!$AB:$AB,'MASTER PLAN'!$J:$J,0,0)),"")</f>
        <v/>
      </c>
      <c r="DD70" s="73" t="str">
        <f t="array" ref="DD70">IFERROR(IF(XLOOKUP(CONCAT(DA70,DB70),'PROCESOS PRD'!$J:$J,'PROCESOS PRD'!$H:$H,0,0)=0,"",XLOOKUP(CONCAT(DA70,DB70),'PROCESOS PRD'!$J:$J,'PROCESOS PRD'!$H:$H,0,0)),"")</f>
        <v/>
      </c>
      <c r="DE70" s="71"/>
      <c r="DF70" s="32"/>
      <c r="DG70" s="72" t="str">
        <f t="array" ref="DG70">IFERROR(IF(XLOOKUP(CONCAT(DE70,DF70),'MASTER PLAN'!$AB:$AB,'MASTER PLAN'!$J:$J,0,0)=0,"",XLOOKUP(CONCAT(DE70,DF70),'MASTER PLAN'!$AB:$AB,'MASTER PLAN'!$J:$J,0,0)),"")</f>
        <v/>
      </c>
      <c r="DH70" s="73" t="str">
        <f t="array" ref="DH70">IFERROR(IF(XLOOKUP(CONCAT(DE70,DF70),'PROCESOS PRD'!$J:$J,'PROCESOS PRD'!$H:$H,0,0)=0,"",XLOOKUP(CONCAT(DE70,DF70),'PROCESOS PRD'!$J:$J,'PROCESOS PRD'!$H:$H,0,0)),"")</f>
        <v/>
      </c>
      <c r="DI70" s="71"/>
      <c r="DJ70" s="32"/>
      <c r="DK70" s="72" t="str">
        <f t="array" ref="DK70">IFERROR(IF(XLOOKUP(CONCAT(DI70,DJ70),'MASTER PLAN'!$AB:$AB,'MASTER PLAN'!$J:$J,0,0)=0,"",XLOOKUP(CONCAT(DI70,DJ70),'MASTER PLAN'!$AB:$AB,'MASTER PLAN'!$J:$J,0,0)),"")</f>
        <v/>
      </c>
      <c r="DL70" s="73" t="str">
        <f t="array" ref="DL70">IFERROR(IF(XLOOKUP(CONCAT(DI70,DJ70),'PROCESOS PRD'!$J:$J,'PROCESOS PRD'!$H:$H,0,0)=0,"",XLOOKUP(CONCAT(DI70,DJ70),'PROCESOS PRD'!$J:$J,'PROCESOS PRD'!$H:$H,0,0)),"")</f>
        <v/>
      </c>
      <c r="DM70" s="71"/>
      <c r="DN70" s="32"/>
      <c r="DO70" s="72" t="str">
        <f t="array" ref="DO70">IFERROR(IF(XLOOKUP(CONCAT(DM70,DN70),'MASTER PLAN'!$AB:$AB,'MASTER PLAN'!$J:$J,0,0)=0,"",XLOOKUP(CONCAT(DM70,DN70),'MASTER PLAN'!$AB:$AB,'MASTER PLAN'!$J:$J,0,0)),"")</f>
        <v/>
      </c>
      <c r="DP70" s="73" t="str">
        <f t="array" ref="DP70">IFERROR(IF(XLOOKUP(CONCAT(DM70,DN70),'PROCESOS PRD'!$J:$J,'PROCESOS PRD'!$H:$H,0,0)=0,"",XLOOKUP(CONCAT(DM70,DN70),'PROCESOS PRD'!$J:$J,'PROCESOS PRD'!$H:$H,0,0)),"")</f>
        <v/>
      </c>
      <c r="DQ70" s="70"/>
      <c r="DR70" s="71"/>
      <c r="DS70" s="32"/>
      <c r="DT70" s="72" t="str">
        <f t="array" ref="DT70">IFERROR(IF(XLOOKUP(CONCAT(DR70,DS70),'MASTER PLAN'!$AB:$AB,'MASTER PLAN'!$J:$J,0,0)=0,"",XLOOKUP(CONCAT(DR70,DS70),'MASTER PLAN'!$AB:$AB,'MASTER PLAN'!$J:$J,0,0)),"")</f>
        <v/>
      </c>
      <c r="DU70" s="73" t="str">
        <f t="array" ref="DU70">IFERROR(IF(XLOOKUP(CONCAT(DR70,DS70),'PROCESOS PRD'!$J:$J,'PROCESOS PRD'!$H:$H,0,0)=0,"",XLOOKUP(CONCAT(DR70,DS70),'PROCESOS PRD'!$J:$J,'PROCESOS PRD'!$H:$H,0,0)),"")</f>
        <v/>
      </c>
      <c r="DV70" s="71"/>
      <c r="DW70" s="32"/>
      <c r="DX70" s="72" t="str">
        <f t="array" ref="DX70">IFERROR(IF(XLOOKUP(CONCAT(DV70,DW70),'MASTER PLAN'!$AB:$AB,'MASTER PLAN'!$J:$J,0,0)=0,"",XLOOKUP(CONCAT(DV70,DW70),'MASTER PLAN'!$AB:$AB,'MASTER PLAN'!$J:$J,0,0)),"")</f>
        <v/>
      </c>
      <c r="DY70" s="73" t="str">
        <f t="array" ref="DY70">IFERROR(IF(XLOOKUP(CONCAT(DV70,DW70),'PROCESOS PRD'!$J:$J,'PROCESOS PRD'!$H:$H,0,0)=0,"",XLOOKUP(CONCAT(DV70,DW70),'PROCESOS PRD'!$J:$J,'PROCESOS PRD'!$H:$H,0,0)),"")</f>
        <v/>
      </c>
      <c r="DZ70" s="71"/>
      <c r="EA70" s="32"/>
      <c r="EB70" s="72" t="str">
        <f t="array" ref="EB70">IFERROR(IF(XLOOKUP(CONCAT(DZ70,EA70),'MASTER PLAN'!$AB:$AB,'MASTER PLAN'!$J:$J,0,0)=0,"",XLOOKUP(CONCAT(DZ70,EA70),'MASTER PLAN'!$AB:$AB,'MASTER PLAN'!$J:$J,0,0)),"")</f>
        <v/>
      </c>
      <c r="EC70" s="73" t="str">
        <f t="array" ref="EC70">IFERROR(IF(XLOOKUP(CONCAT(DZ70,EA70),'PROCESOS PRD'!$J:$J,'PROCESOS PRD'!$H:$H,0,0)=0,"",XLOOKUP(CONCAT(DZ70,EA70),'PROCESOS PRD'!$J:$J,'PROCESOS PRD'!$H:$H,0,0)),"")</f>
        <v/>
      </c>
      <c r="ED70" s="71"/>
      <c r="EE70" s="32"/>
      <c r="EF70" s="72" t="str">
        <f t="array" ref="EF70">IFERROR(IF(XLOOKUP(CONCAT(ED70,EE70),'MASTER PLAN'!$AB:$AB,'MASTER PLAN'!$J:$J,0,0)=0,"",XLOOKUP(CONCAT(ED70,EE70),'MASTER PLAN'!$AB:$AB,'MASTER PLAN'!$J:$J,0,0)),"")</f>
        <v/>
      </c>
      <c r="EG70" s="73" t="str">
        <f t="array" ref="EG70">IFERROR(IF(XLOOKUP(CONCAT(ED70,EE70),'PROCESOS PRD'!$J:$J,'PROCESOS PRD'!$H:$H,0,0)=0,"",XLOOKUP(CONCAT(ED70,EE70),'PROCESOS PRD'!$J:$J,'PROCESOS PRD'!$H:$H,0,0)),"")</f>
        <v/>
      </c>
      <c r="EH70" s="71"/>
      <c r="EI70" s="32"/>
      <c r="EJ70" s="72" t="str">
        <f t="array" ref="EJ70">IFERROR(IF(XLOOKUP(CONCAT(EH70,EI70),'MASTER PLAN'!$AB:$AB,'MASTER PLAN'!$J:$J,0,0)=0,"",XLOOKUP(CONCAT(EH70,EI70),'MASTER PLAN'!$AB:$AB,'MASTER PLAN'!$J:$J,0,0)),"")</f>
        <v/>
      </c>
      <c r="EK70" s="73" t="str">
        <f t="array" ref="EK70">IFERROR(IF(XLOOKUP(CONCAT(EH70,EI70),'PROCESOS PRD'!$J:$J,'PROCESOS PRD'!$H:$H,0,0)=0,"",XLOOKUP(CONCAT(EH70,EI70),'PROCESOS PRD'!$J:$J,'PROCESOS PRD'!$H:$H,0,0)),"")</f>
        <v/>
      </c>
      <c r="EL70" s="71"/>
      <c r="EM70" s="32"/>
      <c r="EN70" s="72" t="str">
        <f t="array" ref="EN70">IFERROR(IF(XLOOKUP(CONCAT(EL70,EM70),'MASTER PLAN'!$AB:$AB,'MASTER PLAN'!$J:$J,0,0)=0,"",XLOOKUP(CONCAT(EL70,EM70),'MASTER PLAN'!$AB:$AB,'MASTER PLAN'!$J:$J,0,0)),"")</f>
        <v/>
      </c>
      <c r="EO70" s="73" t="str">
        <f t="array" ref="EO70">IFERROR(IF(XLOOKUP(CONCAT(EL70,EM70),'PROCESOS PRD'!$J:$J,'PROCESOS PRD'!$H:$H,0,0)=0,"",XLOOKUP(CONCAT(EL70,EM70),'PROCESOS PRD'!$J:$J,'PROCESOS PRD'!$H:$H,0,0)),"")</f>
        <v/>
      </c>
      <c r="EP70" s="70"/>
      <c r="EQ70" s="71"/>
      <c r="ER70" s="32"/>
      <c r="ES70" s="72" t="str">
        <f t="array" ref="ES70">IFERROR(IF(XLOOKUP(CONCAT(EQ70,ER70),'MASTER PLAN'!$AB:$AB,'MASTER PLAN'!$J:$J,0,0)=0,"",XLOOKUP(CONCAT(EQ70,ER70),'MASTER PLAN'!$AB:$AB,'MASTER PLAN'!$J:$J,0,0)),"")</f>
        <v/>
      </c>
      <c r="ET70" s="73" t="str">
        <f t="array" ref="ET70">IFERROR(IF(XLOOKUP(CONCAT(EQ70,ER70),'PROCESOS PRD'!$J:$J,'PROCESOS PRD'!$H:$H,0,0)=0,"",XLOOKUP(CONCAT(EQ70,ER70),'PROCESOS PRD'!$J:$J,'PROCESOS PRD'!$H:$H,0,0)),"")</f>
        <v/>
      </c>
      <c r="EU70" s="71"/>
      <c r="EV70" s="32"/>
      <c r="EW70" s="72" t="str">
        <f t="array" ref="EW70">IFERROR(IF(XLOOKUP(CONCAT(EU70,EV70),'MASTER PLAN'!$AB:$AB,'MASTER PLAN'!$J:$J,0,0)=0,"",XLOOKUP(CONCAT(EU70,EV70),'MASTER PLAN'!$AB:$AB,'MASTER PLAN'!$J:$J,0,0)),"")</f>
        <v/>
      </c>
      <c r="EX70" s="73" t="str">
        <f t="array" ref="EX70">IFERROR(IF(XLOOKUP(CONCAT(EU70,EV70),'PROCESOS PRD'!$J:$J,'PROCESOS PRD'!$H:$H,0,0)=0,"",XLOOKUP(CONCAT(EU70,EV70),'PROCESOS PRD'!$J:$J,'PROCESOS PRD'!$H:$H,0,0)),"")</f>
        <v/>
      </c>
      <c r="EY70" s="71"/>
      <c r="EZ70" s="32"/>
      <c r="FA70" s="72" t="str">
        <f t="array" ref="FA70">IFERROR(IF(XLOOKUP(CONCAT(EY70,EZ70),'MASTER PLAN'!$AB:$AB,'MASTER PLAN'!$J:$J,0,0)=0,"",XLOOKUP(CONCAT(EY70,EZ70),'MASTER PLAN'!$AB:$AB,'MASTER PLAN'!$J:$J,0,0)),"")</f>
        <v/>
      </c>
      <c r="FB70" s="73" t="str">
        <f t="array" ref="FB70">IFERROR(IF(XLOOKUP(CONCAT(EY70,EZ70),'PROCESOS PRD'!$J:$J,'PROCESOS PRD'!$H:$H,0,0)=0,"",XLOOKUP(CONCAT(EY70,EZ70),'PROCESOS PRD'!$J:$J,'PROCESOS PRD'!$H:$H,0,0)),"")</f>
        <v/>
      </c>
      <c r="FC70" s="71"/>
      <c r="FD70" s="32"/>
      <c r="FE70" s="72" t="str">
        <f t="array" ref="FE70">IFERROR(IF(XLOOKUP(CONCAT(FC70,FD70),'MASTER PLAN'!$AB:$AB,'MASTER PLAN'!$J:$J,0,0)=0,"",XLOOKUP(CONCAT(FC70,FD70),'MASTER PLAN'!$AB:$AB,'MASTER PLAN'!$J:$J,0,0)),"")</f>
        <v/>
      </c>
      <c r="FF70" s="73" t="str">
        <f t="array" ref="FF70">IFERROR(IF(XLOOKUP(CONCAT(FC70,FD70),'PROCESOS PRD'!$J:$J,'PROCESOS PRD'!$H:$H,0,0)=0,"",XLOOKUP(CONCAT(FC70,FD70),'PROCESOS PRD'!$J:$J,'PROCESOS PRD'!$H:$H,0,0)),"")</f>
        <v/>
      </c>
      <c r="FG70" s="71"/>
      <c r="FH70" s="32"/>
      <c r="FI70" s="72" t="str">
        <f t="array" ref="FI70">IFERROR(IF(XLOOKUP(CONCAT(FG70,FH70),'MASTER PLAN'!$AB:$AB,'MASTER PLAN'!$J:$J,0,0)=0,"",XLOOKUP(CONCAT(FG70,FH70),'MASTER PLAN'!$AB:$AB,'MASTER PLAN'!$J:$J,0,0)),"")</f>
        <v/>
      </c>
      <c r="FJ70" s="73" t="str">
        <f t="array" ref="FJ70">IFERROR(IF(XLOOKUP(CONCAT(FG70,FH70),'PROCESOS PRD'!$J:$J,'PROCESOS PRD'!$H:$H,0,0)=0,"",XLOOKUP(CONCAT(FG70,FH70),'PROCESOS PRD'!$J:$J,'PROCESOS PRD'!$H:$H,0,0)),"")</f>
        <v/>
      </c>
      <c r="FK70" s="71"/>
      <c r="FL70" s="32"/>
      <c r="FM70" s="72" t="str">
        <f t="array" ref="FM70">IFERROR(IF(XLOOKUP(CONCAT(FK70,FL70),'MASTER PLAN'!$AB:$AB,'MASTER PLAN'!$J:$J,0,0)=0,"",XLOOKUP(CONCAT(FK70,FL70),'MASTER PLAN'!$AB:$AB,'MASTER PLAN'!$J:$J,0,0)),"")</f>
        <v/>
      </c>
      <c r="FN70" s="73" t="str">
        <f t="array" ref="FN70">IFERROR(IF(XLOOKUP(CONCAT(FK70,FL70),'PROCESOS PRD'!$J:$J,'PROCESOS PRD'!$H:$H,0,0)=0,"",XLOOKUP(CONCAT(FK70,FL70),'PROCESOS PRD'!$J:$J,'PROCESOS PRD'!$H:$H,0,0)),"")</f>
        <v/>
      </c>
      <c r="FO70" s="70"/>
      <c r="FP70" s="71"/>
      <c r="FQ70" s="32"/>
      <c r="FR70" s="72" t="str">
        <f t="array" ref="FR70">IFERROR(IF(XLOOKUP(CONCAT(FP70,FQ70),'MASTER PLAN'!$AB:$AB,'MASTER PLAN'!$J:$J,0,0)=0,"",XLOOKUP(CONCAT(FP70,FQ70),'MASTER PLAN'!$AB:$AB,'MASTER PLAN'!$J:$J,0,0)),"")</f>
        <v/>
      </c>
      <c r="FS70" s="73" t="str">
        <f t="array" ref="FS70">IFERROR(IF(XLOOKUP(CONCAT(FP70,FQ70),'PROCESOS PRD'!$J:$J,'PROCESOS PRD'!$H:$H,0,0)=0,"",XLOOKUP(CONCAT(FP70,FQ70),'PROCESOS PRD'!$J:$J,'PROCESOS PRD'!$H:$H,0,0)),"")</f>
        <v/>
      </c>
      <c r="FT70" s="71"/>
      <c r="FU70" s="32"/>
      <c r="FV70" s="72" t="str">
        <f t="array" ref="FV70">IFERROR(IF(XLOOKUP(CONCAT(FT70,FU70),'MASTER PLAN'!$AB:$AB,'MASTER PLAN'!$J:$J,0,0)=0,"",XLOOKUP(CONCAT(FT70,FU70),'MASTER PLAN'!$AB:$AB,'MASTER PLAN'!$J:$J,0,0)),"")</f>
        <v/>
      </c>
      <c r="FW70" s="73" t="str">
        <f t="array" ref="FW70">IFERROR(IF(XLOOKUP(CONCAT(FT70,FU70),'PROCESOS PRD'!$J:$J,'PROCESOS PRD'!$H:$H,0,0)=0,"",XLOOKUP(CONCAT(FT70,FU70),'PROCESOS PRD'!$J:$J,'PROCESOS PRD'!$H:$H,0,0)),"")</f>
        <v/>
      </c>
      <c r="FX70" s="71"/>
      <c r="FY70" s="32"/>
      <c r="FZ70" s="72" t="str">
        <f t="array" ref="FZ70">IFERROR(IF(XLOOKUP(CONCAT(FX70,FY70),'MASTER PLAN'!$AB:$AB,'MASTER PLAN'!$J:$J,0,0)=0,"",XLOOKUP(CONCAT(FX70,FY70),'MASTER PLAN'!$AB:$AB,'MASTER PLAN'!$J:$J,0,0)),"")</f>
        <v/>
      </c>
      <c r="GA70" s="73" t="str">
        <f t="array" ref="GA70">IFERROR(IF(XLOOKUP(CONCAT(FX70,FY70),'PROCESOS PRD'!$J:$J,'PROCESOS PRD'!$H:$H,0,0)=0,"",XLOOKUP(CONCAT(FX70,FY70),'PROCESOS PRD'!$J:$J,'PROCESOS PRD'!$H:$H,0,0)),"")</f>
        <v/>
      </c>
      <c r="GB70" s="71"/>
      <c r="GC70" s="32"/>
      <c r="GD70" s="72" t="str">
        <f t="array" ref="GD70">IFERROR(IF(XLOOKUP(CONCAT(GB70,GC70),'MASTER PLAN'!$AB:$AB,'MASTER PLAN'!$J:$J,0,0)=0,"",XLOOKUP(CONCAT(GB70,GC70),'MASTER PLAN'!$AB:$AB,'MASTER PLAN'!$J:$J,0,0)),"")</f>
        <v/>
      </c>
      <c r="GE70" s="73" t="str">
        <f t="array" ref="GE70">IFERROR(IF(XLOOKUP(CONCAT(GB70,GC70),'PROCESOS PRD'!$J:$J,'PROCESOS PRD'!$H:$H,0,0)=0,"",XLOOKUP(CONCAT(GB70,GC70),'PROCESOS PRD'!$J:$J,'PROCESOS PRD'!$H:$H,0,0)),"")</f>
        <v/>
      </c>
      <c r="GF70" s="71"/>
      <c r="GG70" s="32"/>
      <c r="GH70" s="72" t="str">
        <f t="array" ref="GH70">IFERROR(IF(XLOOKUP(CONCAT(GF70,GG70),'MASTER PLAN'!$AB:$AB,'MASTER PLAN'!$J:$J,0,0)=0,"",XLOOKUP(CONCAT(GF70,GG70),'MASTER PLAN'!$AB:$AB,'MASTER PLAN'!$J:$J,0,0)),"")</f>
        <v/>
      </c>
      <c r="GI70" s="73" t="str">
        <f t="array" ref="GI70">IFERROR(IF(XLOOKUP(CONCAT(GF70,GG70),'PROCESOS PRD'!$J:$J,'PROCESOS PRD'!$H:$H,0,0)=0,"",XLOOKUP(CONCAT(GF70,GG70),'PROCESOS PRD'!$J:$J,'PROCESOS PRD'!$H:$H,0,0)),"")</f>
        <v/>
      </c>
      <c r="GJ70" s="71"/>
      <c r="GK70" s="32"/>
      <c r="GL70" s="72" t="str">
        <f t="array" ref="GL70">IFERROR(IF(XLOOKUP(CONCAT(GJ70,GK70),'MASTER PLAN'!$AB:$AB,'MASTER PLAN'!$J:$J,0,0)=0,"",XLOOKUP(CONCAT(GJ70,GK70),'MASTER PLAN'!$AB:$AB,'MASTER PLAN'!$J:$J,0,0)),"")</f>
        <v/>
      </c>
      <c r="GM70" s="73" t="str">
        <f t="array" ref="GM70">IFERROR(IF(XLOOKUP(CONCAT(GJ70,GK70),'PROCESOS PRD'!$J:$J,'PROCESOS PRD'!$H:$H,0,0)=0,"",XLOOKUP(CONCAT(GJ70,GK70),'PROCESOS PRD'!$J:$J,'PROCESOS PRD'!$H:$H,0,0)),"")</f>
        <v/>
      </c>
      <c r="GN70" s="70"/>
      <c r="GO70" s="71"/>
      <c r="GP70" s="32"/>
      <c r="GQ70" s="72" t="str">
        <f t="array" ref="GQ70">IFERROR(IF(XLOOKUP(CONCAT(GO70,GP70),'MASTER PLAN'!$AB:$AB,'MASTER PLAN'!$J:$J,0,0)=0,"",XLOOKUP(CONCAT(GO70,GP70),'MASTER PLAN'!$AB:$AB,'MASTER PLAN'!$J:$J,0,0)),"")</f>
        <v/>
      </c>
      <c r="GR70" s="73" t="str">
        <f t="array" ref="GR70">IFERROR(IF(XLOOKUP(CONCAT(GO70,GP70),'PROCESOS PRD'!$J:$J,'PROCESOS PRD'!$H:$H,0,0)=0,"",XLOOKUP(CONCAT(GO70,GP70),'PROCESOS PRD'!$J:$J,'PROCESOS PRD'!$H:$H,0,0)),"")</f>
        <v/>
      </c>
      <c r="GS70" s="71"/>
      <c r="GT70" s="32"/>
      <c r="GU70" s="72" t="str">
        <f t="array" ref="GU70">IFERROR(IF(XLOOKUP(CONCAT(GS70,GT70),'MASTER PLAN'!$AB:$AB,'MASTER PLAN'!$J:$J,0,0)=0,"",XLOOKUP(CONCAT(GS70,GT70),'MASTER PLAN'!$AB:$AB,'MASTER PLAN'!$J:$J,0,0)),"")</f>
        <v/>
      </c>
      <c r="GV70" s="73" t="str">
        <f t="array" ref="GV70">IFERROR(IF(XLOOKUP(CONCAT(GS70,GT70),'PROCESOS PRD'!$J:$J,'PROCESOS PRD'!$H:$H,0,0)=0,"",XLOOKUP(CONCAT(GS70,GT70),'PROCESOS PRD'!$J:$J,'PROCESOS PRD'!$H:$H,0,0)),"")</f>
        <v/>
      </c>
      <c r="GW70" s="71"/>
      <c r="GX70" s="32"/>
      <c r="GY70" s="72" t="str">
        <f t="array" ref="GY70">IFERROR(IF(XLOOKUP(CONCAT(GW70,GX70),'MASTER PLAN'!$AB:$AB,'MASTER PLAN'!$J:$J,0,0)=0,"",XLOOKUP(CONCAT(GW70,GX70),'MASTER PLAN'!$AB:$AB,'MASTER PLAN'!$J:$J,0,0)),"")</f>
        <v/>
      </c>
      <c r="GZ70" s="73" t="str">
        <f t="array" ref="GZ70">IFERROR(IF(XLOOKUP(CONCAT(GW70,GX70),'PROCESOS PRD'!$J:$J,'PROCESOS PRD'!$H:$H,0,0)=0,"",XLOOKUP(CONCAT(GW70,GX70),'PROCESOS PRD'!$J:$J,'PROCESOS PRD'!$H:$H,0,0)),"")</f>
        <v/>
      </c>
      <c r="HA70" s="71"/>
      <c r="HB70" s="32"/>
      <c r="HC70" s="72" t="str">
        <f t="array" ref="HC70">IFERROR(IF(XLOOKUP(CONCAT(HA70,HB70),'MASTER PLAN'!$AB:$AB,'MASTER PLAN'!$J:$J,0,0)=0,"",XLOOKUP(CONCAT(HA70,HB70),'MASTER PLAN'!$AB:$AB,'MASTER PLAN'!$J:$J,0,0)),"")</f>
        <v/>
      </c>
      <c r="HD70" s="73" t="str">
        <f t="array" ref="HD70">IFERROR(IF(XLOOKUP(CONCAT(HA70,HB70),'PROCESOS PRD'!$J:$J,'PROCESOS PRD'!$H:$H,0,0)=0,"",XLOOKUP(CONCAT(HA70,HB70),'PROCESOS PRD'!$J:$J,'PROCESOS PRD'!$H:$H,0,0)),"")</f>
        <v/>
      </c>
      <c r="HE70" s="71"/>
      <c r="HF70" s="32"/>
      <c r="HG70" s="72" t="str">
        <f t="array" ref="HG70">IFERROR(IF(XLOOKUP(CONCAT(HE70,HF70),'MASTER PLAN'!$AB:$AB,'MASTER PLAN'!$J:$J,0,0)=0,"",XLOOKUP(CONCAT(HE70,HF70),'MASTER PLAN'!$AB:$AB,'MASTER PLAN'!$J:$J,0,0)),"")</f>
        <v/>
      </c>
      <c r="HH70" s="73" t="str">
        <f t="array" ref="HH70">IFERROR(IF(XLOOKUP(CONCAT(HE70,HF70),'PROCESOS PRD'!$J:$J,'PROCESOS PRD'!$H:$H,0,0)=0,"",XLOOKUP(CONCAT(HE70,HF70),'PROCESOS PRD'!$J:$J,'PROCESOS PRD'!$H:$H,0,0)),"")</f>
        <v/>
      </c>
      <c r="HI70" s="71"/>
      <c r="HJ70" s="32"/>
      <c r="HK70" s="72" t="str">
        <f t="array" ref="HK70">IFERROR(IF(XLOOKUP(CONCAT(HI70,HJ70),'MASTER PLAN'!$AB:$AB,'MASTER PLAN'!$J:$J,0,0)=0,"",XLOOKUP(CONCAT(HI70,HJ70),'MASTER PLAN'!$AB:$AB,'MASTER PLAN'!$J:$J,0,0)),"")</f>
        <v/>
      </c>
      <c r="HL70" s="73" t="str">
        <f t="array" ref="HL70">IFERROR(IF(XLOOKUP(CONCAT(HI70,HJ70),'PROCESOS PRD'!$J:$J,'PROCESOS PRD'!$H:$H,0,0)=0,"",XLOOKUP(CONCAT(HI70,HJ70),'PROCESOS PRD'!$J:$J,'PROCESOS PRD'!$H:$H,0,0)),"")</f>
        <v/>
      </c>
      <c r="HM70" s="70"/>
      <c r="HN70" s="71"/>
      <c r="HO70" s="32"/>
      <c r="HP70" s="72" t="str">
        <f t="array" ref="HP70">IFERROR(IF(XLOOKUP(CONCAT(HN70,HO70),'MASTER PLAN'!$AB:$AB,'MASTER PLAN'!$J:$J,0,0)=0,"",XLOOKUP(CONCAT(HN70,HO70),'MASTER PLAN'!$AB:$AB,'MASTER PLAN'!$J:$J,0,0)),"")</f>
        <v/>
      </c>
      <c r="HQ70" s="73" t="str">
        <f t="array" ref="HQ70">IFERROR(IF(XLOOKUP(CONCAT(HN70,HO70),'PROCESOS PRD'!$J:$J,'PROCESOS PRD'!$H:$H,0,0)=0,"",XLOOKUP(CONCAT(HN70,HO70),'PROCESOS PRD'!$J:$J,'PROCESOS PRD'!$H:$H,0,0)),"")</f>
        <v/>
      </c>
      <c r="HR70" s="71"/>
      <c r="HS70" s="32"/>
      <c r="HT70" s="72" t="str">
        <f t="array" ref="HT70">IFERROR(IF(XLOOKUP(CONCAT(HR70,HS70),'MASTER PLAN'!$AB:$AB,'MASTER PLAN'!$J:$J,0,0)=0,"",XLOOKUP(CONCAT(HR70,HS70),'MASTER PLAN'!$AB:$AB,'MASTER PLAN'!$J:$J,0,0)),"")</f>
        <v/>
      </c>
      <c r="HU70" s="73" t="str">
        <f t="array" ref="HU70">IFERROR(IF(XLOOKUP(CONCAT(HR70,HS70),'PROCESOS PRD'!$J:$J,'PROCESOS PRD'!$H:$H,0,0)=0,"",XLOOKUP(CONCAT(HR70,HS70),'PROCESOS PRD'!$J:$J,'PROCESOS PRD'!$H:$H,0,0)),"")</f>
        <v/>
      </c>
      <c r="HV70" s="71"/>
      <c r="HW70" s="32"/>
      <c r="HX70" s="72" t="str">
        <f t="array" ref="HX70">IFERROR(IF(XLOOKUP(CONCAT(HV70,HW70),'MASTER PLAN'!$AB:$AB,'MASTER PLAN'!$J:$J,0,0)=0,"",XLOOKUP(CONCAT(HV70,HW70),'MASTER PLAN'!$AB:$AB,'MASTER PLAN'!$J:$J,0,0)),"")</f>
        <v/>
      </c>
      <c r="HY70" s="73" t="str">
        <f t="array" ref="HY70">IFERROR(IF(XLOOKUP(CONCAT(HV70,HW70),'PROCESOS PRD'!$J:$J,'PROCESOS PRD'!$H:$H,0,0)=0,"",XLOOKUP(CONCAT(HV70,HW70),'PROCESOS PRD'!$J:$J,'PROCESOS PRD'!$H:$H,0,0)),"")</f>
        <v/>
      </c>
      <c r="HZ70" s="71"/>
      <c r="IA70" s="32"/>
      <c r="IB70" s="72" t="str">
        <f t="array" ref="IB70">IFERROR(IF(XLOOKUP(CONCAT(HZ70,IA70),'MASTER PLAN'!$AB:$AB,'MASTER PLAN'!$J:$J,0,0)=0,"",XLOOKUP(CONCAT(HZ70,IA70),'MASTER PLAN'!$AB:$AB,'MASTER PLAN'!$J:$J,0,0)),"")</f>
        <v/>
      </c>
      <c r="IC70" s="73" t="str">
        <f t="array" ref="IC70">IFERROR(IF(XLOOKUP(CONCAT(HZ70,IA70),'PROCESOS PRD'!$J:$J,'PROCESOS PRD'!$H:$H,0,0)=0,"",XLOOKUP(CONCAT(HZ70,IA70),'PROCESOS PRD'!$J:$J,'PROCESOS PRD'!$H:$H,0,0)),"")</f>
        <v/>
      </c>
      <c r="ID70" s="71"/>
      <c r="IE70" s="32"/>
      <c r="IF70" s="72" t="str">
        <f t="array" ref="IF70">IFERROR(IF(XLOOKUP(CONCAT(ID70,IE70),'MASTER PLAN'!$AB:$AB,'MASTER PLAN'!$J:$J,0,0)=0,"",XLOOKUP(CONCAT(ID70,IE70),'MASTER PLAN'!$AB:$AB,'MASTER PLAN'!$J:$J,0,0)),"")</f>
        <v/>
      </c>
      <c r="IG70" s="73" t="str">
        <f t="array" ref="IG70">IFERROR(IF(XLOOKUP(CONCAT(ID70,IE70),'PROCESOS PRD'!$J:$J,'PROCESOS PRD'!$H:$H,0,0)=0,"",XLOOKUP(CONCAT(ID70,IE70),'PROCESOS PRD'!$J:$J,'PROCESOS PRD'!$H:$H,0,0)),"")</f>
        <v/>
      </c>
      <c r="IH70" s="71"/>
      <c r="II70" s="32"/>
      <c r="IJ70" s="72" t="str">
        <f t="array" ref="IJ70">IFERROR(IF(XLOOKUP(CONCAT(IH70,II70),'MASTER PLAN'!$AB:$AB,'MASTER PLAN'!$J:$J,0,0)=0,"",XLOOKUP(CONCAT(IH70,II70),'MASTER PLAN'!$AB:$AB,'MASTER PLAN'!$J:$J,0,0)),"")</f>
        <v/>
      </c>
      <c r="IK70" s="73" t="str">
        <f t="array" ref="IK70">IFERROR(IF(XLOOKUP(CONCAT(IH70,II70),'PROCESOS PRD'!$J:$J,'PROCESOS PRD'!$H:$H,0,0)=0,"",XLOOKUP(CONCAT(IH70,II70),'PROCESOS PRD'!$J:$J,'PROCESOS PRD'!$H:$H,0,0)),"")</f>
        <v/>
      </c>
      <c r="IL70" s="70"/>
      <c r="IM70" s="71"/>
      <c r="IN70" s="32"/>
      <c r="IO70" s="72" t="str">
        <f t="array" ref="IO70">IFERROR(IF(XLOOKUP(CONCAT(IM70,IN70),'MASTER PLAN'!$AB:$AB,'MASTER PLAN'!$J:$J,0,0)=0,"",XLOOKUP(CONCAT(IM70,IN70),'MASTER PLAN'!$AB:$AB,'MASTER PLAN'!$J:$J,0,0)),"")</f>
        <v/>
      </c>
      <c r="IP70" s="73" t="str">
        <f t="array" ref="IP70">IFERROR(IF(XLOOKUP(CONCAT(IM70,IN70),'PROCESOS PRD'!$J:$J,'PROCESOS PRD'!$H:$H,0,0)=0,"",XLOOKUP(CONCAT(IM70,IN70),'PROCESOS PRD'!$J:$J,'PROCESOS PRD'!$H:$H,0,0)),"")</f>
        <v/>
      </c>
      <c r="IQ70" s="71"/>
      <c r="IR70" s="32"/>
      <c r="IS70" s="72" t="str">
        <f t="array" ref="IS70">IFERROR(IF(XLOOKUP(CONCAT(IQ70,IR70),'MASTER PLAN'!$AB:$AB,'MASTER PLAN'!$J:$J,0,0)=0,"",XLOOKUP(CONCAT(IQ70,IR70),'MASTER PLAN'!$AB:$AB,'MASTER PLAN'!$J:$J,0,0)),"")</f>
        <v/>
      </c>
      <c r="IT70" s="73" t="str">
        <f t="array" ref="IT70">IFERROR(IF(XLOOKUP(CONCAT(IQ70,IR70),'PROCESOS PRD'!$J:$J,'PROCESOS PRD'!$H:$H,0,0)=0,"",XLOOKUP(CONCAT(IQ70,IR70),'PROCESOS PRD'!$J:$J,'PROCESOS PRD'!$H:$H,0,0)),"")</f>
        <v/>
      </c>
      <c r="IU70" s="71"/>
      <c r="IV70" s="32"/>
      <c r="IW70" s="72" t="str">
        <f t="array" ref="IW70">IFERROR(IF(XLOOKUP(CONCAT(IU70,IV70),'MASTER PLAN'!$AB:$AB,'MASTER PLAN'!$J:$J,0,0)=0,"",XLOOKUP(CONCAT(IU70,IV70),'MASTER PLAN'!$AB:$AB,'MASTER PLAN'!$J:$J,0,0)),"")</f>
        <v/>
      </c>
      <c r="IX70" s="73" t="str">
        <f t="array" ref="IX70">IFERROR(IF(XLOOKUP(CONCAT(IU70,IV70),'PROCESOS PRD'!$J:$J,'PROCESOS PRD'!$H:$H,0,0)=0,"",XLOOKUP(CONCAT(IU70,IV70),'PROCESOS PRD'!$J:$J,'PROCESOS PRD'!$H:$H,0,0)),"")</f>
        <v/>
      </c>
      <c r="IY70" s="71"/>
      <c r="IZ70" s="32"/>
      <c r="JA70" s="72" t="str">
        <f t="array" ref="JA70">IFERROR(IF(XLOOKUP(CONCAT(IY70,IZ70),'MASTER PLAN'!$AB:$AB,'MASTER PLAN'!$J:$J,0,0)=0,"",XLOOKUP(CONCAT(IY70,IZ70),'MASTER PLAN'!$AB:$AB,'MASTER PLAN'!$J:$J,0,0)),"")</f>
        <v/>
      </c>
      <c r="JB70" s="73" t="str">
        <f t="array" ref="JB70">IFERROR(IF(XLOOKUP(CONCAT(IY70,IZ70),'PROCESOS PRD'!$J:$J,'PROCESOS PRD'!$H:$H,0,0)=0,"",XLOOKUP(CONCAT(IY70,IZ70),'PROCESOS PRD'!$J:$J,'PROCESOS PRD'!$H:$H,0,0)),"")</f>
        <v/>
      </c>
      <c r="JC70" s="71"/>
      <c r="JD70" s="32"/>
      <c r="JE70" s="72" t="str">
        <f t="array" ref="JE70">IFERROR(IF(XLOOKUP(CONCAT(JC70,JD70),'MASTER PLAN'!$AB:$AB,'MASTER PLAN'!$J:$J,0,0)=0,"",XLOOKUP(CONCAT(JC70,JD70),'MASTER PLAN'!$AB:$AB,'MASTER PLAN'!$J:$J,0,0)),"")</f>
        <v/>
      </c>
      <c r="JF70" s="73" t="str">
        <f t="array" ref="JF70">IFERROR(IF(XLOOKUP(CONCAT(JC70,JD70),'PROCESOS PRD'!$J:$J,'PROCESOS PRD'!$H:$H,0,0)=0,"",XLOOKUP(CONCAT(JC70,JD70),'PROCESOS PRD'!$J:$J,'PROCESOS PRD'!$H:$H,0,0)),"")</f>
        <v/>
      </c>
      <c r="JG70" s="71"/>
      <c r="JH70" s="32"/>
      <c r="JI70" s="72" t="str">
        <f t="array" ref="JI70">IFERROR(IF(XLOOKUP(CONCAT(JG70,JH70),'MASTER PLAN'!$AB:$AB,'MASTER PLAN'!$J:$J,0,0)=0,"",XLOOKUP(CONCAT(JG70,JH70),'MASTER PLAN'!$AB:$AB,'MASTER PLAN'!$J:$J,0,0)),"")</f>
        <v/>
      </c>
      <c r="JJ70" s="73" t="str">
        <f t="array" ref="JJ70">IFERROR(IF(XLOOKUP(CONCAT(JG70,JH70),'PROCESOS PRD'!$J:$J,'PROCESOS PRD'!$H:$H,0,0)=0,"",XLOOKUP(CONCAT(JG70,JH70),'PROCESOS PRD'!$J:$J,'PROCESOS PRD'!$H:$H,0,0)),"")</f>
        <v/>
      </c>
      <c r="JK70" s="70"/>
      <c r="JL70" s="71"/>
      <c r="JM70" s="32"/>
      <c r="JN70" s="72" t="str">
        <f t="array" ref="JN70">IFERROR(IF(XLOOKUP(CONCAT(JL70,JM70),'MASTER PLAN'!$AB:$AB,'MASTER PLAN'!$J:$J,0,0)=0,"",XLOOKUP(CONCAT(JL70,JM70),'MASTER PLAN'!$AB:$AB,'MASTER PLAN'!$J:$J,0,0)),"")</f>
        <v/>
      </c>
      <c r="JO70" s="73" t="str">
        <f t="array" ref="JO70">IFERROR(IF(XLOOKUP(CONCAT(JL70,JM70),'PROCESOS PRD'!$J:$J,'PROCESOS PRD'!$H:$H,0,0)=0,"",XLOOKUP(CONCAT(JL70,JM70),'PROCESOS PRD'!$J:$J,'PROCESOS PRD'!$H:$H,0,0)),"")</f>
        <v/>
      </c>
      <c r="JP70" s="71"/>
      <c r="JQ70" s="32"/>
      <c r="JR70" s="72" t="str">
        <f t="array" ref="JR70">IFERROR(IF(XLOOKUP(CONCAT(JP70,JQ70),'MASTER PLAN'!$AB:$AB,'MASTER PLAN'!$J:$J,0,0)=0,"",XLOOKUP(CONCAT(JP70,JQ70),'MASTER PLAN'!$AB:$AB,'MASTER PLAN'!$J:$J,0,0)),"")</f>
        <v/>
      </c>
      <c r="JS70" s="73" t="str">
        <f t="array" ref="JS70">IFERROR(IF(XLOOKUP(CONCAT(JP70,JQ70),'PROCESOS PRD'!$J:$J,'PROCESOS PRD'!$H:$H,0,0)=0,"",XLOOKUP(CONCAT(JP70,JQ70),'PROCESOS PRD'!$J:$J,'PROCESOS PRD'!$H:$H,0,0)),"")</f>
        <v/>
      </c>
      <c r="JT70" s="71"/>
      <c r="JU70" s="32"/>
      <c r="JV70" s="72" t="str">
        <f t="array" ref="JV70">IFERROR(IF(XLOOKUP(CONCAT(JT70,JU70),'MASTER PLAN'!$AB:$AB,'MASTER PLAN'!$J:$J,0,0)=0,"",XLOOKUP(CONCAT(JT70,JU70),'MASTER PLAN'!$AB:$AB,'MASTER PLAN'!$J:$J,0,0)),"")</f>
        <v/>
      </c>
      <c r="JW70" s="73" t="str">
        <f t="array" ref="JW70">IFERROR(IF(XLOOKUP(CONCAT(JT70,JU70),'PROCESOS PRD'!$J:$J,'PROCESOS PRD'!$H:$H,0,0)=0,"",XLOOKUP(CONCAT(JT70,JU70),'PROCESOS PRD'!$J:$J,'PROCESOS PRD'!$H:$H,0,0)),"")</f>
        <v/>
      </c>
      <c r="JX70" s="71"/>
      <c r="JY70" s="32"/>
      <c r="JZ70" s="72" t="str">
        <f t="array" ref="JZ70">IFERROR(IF(XLOOKUP(CONCAT(JX70,JY70),'MASTER PLAN'!$AB:$AB,'MASTER PLAN'!$J:$J,0,0)=0,"",XLOOKUP(CONCAT(JX70,JY70),'MASTER PLAN'!$AB:$AB,'MASTER PLAN'!$J:$J,0,0)),"")</f>
        <v/>
      </c>
      <c r="KA70" s="73" t="str">
        <f t="array" ref="KA70">IFERROR(IF(XLOOKUP(CONCAT(JX70,JY70),'PROCESOS PRD'!$J:$J,'PROCESOS PRD'!$H:$H,0,0)=0,"",XLOOKUP(CONCAT(JX70,JY70),'PROCESOS PRD'!$J:$J,'PROCESOS PRD'!$H:$H,0,0)),"")</f>
        <v/>
      </c>
      <c r="KB70" s="71"/>
      <c r="KC70" s="32"/>
      <c r="KD70" s="72" t="str">
        <f t="array" ref="KD70">IFERROR(IF(XLOOKUP(CONCAT(KB70,KC70),'MASTER PLAN'!$AB:$AB,'MASTER PLAN'!$J:$J,0,0)=0,"",XLOOKUP(CONCAT(KB70,KC70),'MASTER PLAN'!$AB:$AB,'MASTER PLAN'!$J:$J,0,0)),"")</f>
        <v/>
      </c>
      <c r="KE70" s="73" t="str">
        <f t="array" ref="KE70">IFERROR(IF(XLOOKUP(CONCAT(KB70,KC70),'PROCESOS PRD'!$J:$J,'PROCESOS PRD'!$H:$H,0,0)=0,"",XLOOKUP(CONCAT(KB70,KC70),'PROCESOS PRD'!$J:$J,'PROCESOS PRD'!$H:$H,0,0)),"")</f>
        <v/>
      </c>
      <c r="KF70" s="71"/>
      <c r="KG70" s="32"/>
      <c r="KH70" s="72" t="str">
        <f t="array" ref="KH70">IFERROR(IF(XLOOKUP(CONCAT(KF70,KG70),'MASTER PLAN'!$AB:$AB,'MASTER PLAN'!$J:$J,0,0)=0,"",XLOOKUP(CONCAT(KF70,KG70),'MASTER PLAN'!$AB:$AB,'MASTER PLAN'!$J:$J,0,0)),"")</f>
        <v/>
      </c>
      <c r="KI70" s="73" t="str">
        <f t="array" ref="KI70">IFERROR(IF(XLOOKUP(CONCAT(KF70,KG70),'PROCESOS PRD'!$J:$J,'PROCESOS PRD'!$H:$H,0,0)=0,"",XLOOKUP(CONCAT(KF70,KG70),'PROCESOS PRD'!$J:$J,'PROCESOS PRD'!$H:$H,0,0)),"")</f>
        <v/>
      </c>
      <c r="KJ70" s="70"/>
      <c r="KK70" s="70"/>
      <c r="KL70" s="70"/>
      <c r="KM70" s="70"/>
      <c r="KN70" s="70"/>
      <c r="KO70" s="70"/>
      <c r="KP70" s="70"/>
      <c r="KQ70" s="70"/>
      <c r="KR70" s="70"/>
      <c r="KS70" s="70"/>
      <c r="KT70" s="70"/>
      <c r="KU70" s="70"/>
      <c r="KV70" s="70"/>
      <c r="KW70" s="70"/>
      <c r="KX70" s="70"/>
      <c r="KY70" s="70"/>
      <c r="KZ70" s="70"/>
      <c r="LA70" s="70"/>
      <c r="LB70" s="70"/>
      <c r="LC70" s="70"/>
    </row>
    <row r="71" ht="15.75" customHeight="1">
      <c r="A71" s="42"/>
      <c r="B71" s="74"/>
      <c r="C71" s="69"/>
      <c r="D71" s="70"/>
      <c r="E71" s="71"/>
      <c r="F71" s="32"/>
      <c r="G71" s="72" t="str">
        <f t="array" ref="G71">IFERROR(IF(XLOOKUP(CONCAT(E71,F71),'MASTER PLAN'!$AB:$AB,'MASTER PLAN'!$J:$J,0,0)=0,"",XLOOKUP(CONCAT(E71,F71),'MASTER PLAN'!$AB:$AB,'MASTER PLAN'!$J:$J,0,0)),"")</f>
        <v/>
      </c>
      <c r="H71" s="73" t="str">
        <f t="array" ref="H71">IFERROR(IF(XLOOKUP(CONCAT(E71,F71),'PROCESOS PRD'!$J:$J,'PROCESOS PRD'!$H:$H,0,0)=0,"",XLOOKUP(CONCAT(E71,F71),'PROCESOS PRD'!$J:$J,'PROCESOS PRD'!$H:$H,0,0)),"")</f>
        <v/>
      </c>
      <c r="I71" s="71"/>
      <c r="J71" s="32"/>
      <c r="K71" s="72" t="str">
        <f t="array" ref="K71">IFERROR(IF(XLOOKUP(CONCAT(I71,J71),'MASTER PLAN'!$AB:$AB,'MASTER PLAN'!$J:$J,0,0)=0,"",XLOOKUP(CONCAT(I71,J71),'MASTER PLAN'!$AB:$AB,'MASTER PLAN'!$J:$J,0,0)),"")</f>
        <v/>
      </c>
      <c r="L71" s="73" t="str">
        <f t="array" ref="L71">IFERROR(IF(XLOOKUP(CONCAT(I71,J71),'PROCESOS PRD'!$J:$J,'PROCESOS PRD'!$H:$H,0,0)=0,"",XLOOKUP(CONCAT(I71,J71),'PROCESOS PRD'!$J:$J,'PROCESOS PRD'!$H:$H,0,0)),"")</f>
        <v/>
      </c>
      <c r="M71" s="71"/>
      <c r="N71" s="32"/>
      <c r="O71" s="72" t="str">
        <f t="array" ref="O71">IFERROR(IF(XLOOKUP(CONCAT(M71,N71),'MASTER PLAN'!$AB:$AB,'MASTER PLAN'!$J:$J,0,0)=0,"",XLOOKUP(CONCAT(M71,N71),'MASTER PLAN'!$AB:$AB,'MASTER PLAN'!$J:$J,0,0)),"")</f>
        <v/>
      </c>
      <c r="P71" s="73" t="str">
        <f t="array" ref="P71">IFERROR(IF(XLOOKUP(CONCAT(M71,N71),'PROCESOS PRD'!$J:$J,'PROCESOS PRD'!$H:$H,0,0)=0,"",XLOOKUP(CONCAT(M71,N71),'PROCESOS PRD'!$J:$J,'PROCESOS PRD'!$H:$H,0,0)),"")</f>
        <v/>
      </c>
      <c r="Q71" s="71"/>
      <c r="R71" s="32"/>
      <c r="S71" s="72" t="str">
        <f t="array" ref="S71">IFERROR(IF(XLOOKUP(CONCAT(Q71,R71),'MASTER PLAN'!$AB:$AB,'MASTER PLAN'!$J:$J,0,0)=0,"",XLOOKUP(CONCAT(Q71,R71),'MASTER PLAN'!$AB:$AB,'MASTER PLAN'!$J:$J,0,0)),"")</f>
        <v/>
      </c>
      <c r="T71" s="73" t="str">
        <f t="array" ref="T71">IFERROR(IF(XLOOKUP(CONCAT(Q71,R71),'PROCESOS PRD'!$J:$J,'PROCESOS PRD'!$H:$H,0,0)=0,"",XLOOKUP(CONCAT(Q71,R71),'PROCESOS PRD'!$J:$J,'PROCESOS PRD'!$H:$H,0,0)),"")</f>
        <v/>
      </c>
      <c r="U71" s="70"/>
      <c r="V71" s="71"/>
      <c r="W71" s="32"/>
      <c r="X71" s="72" t="str">
        <f t="array" ref="X71">IFERROR(IF(XLOOKUP(CONCAT(V71,W71),'MASTER PLAN'!$AB:$AB,'MASTER PLAN'!$J:$J,0,0)=0,"",XLOOKUP(CONCAT(V71,W71),'MASTER PLAN'!$AB:$AB,'MASTER PLAN'!$J:$J,0,0)),"")</f>
        <v/>
      </c>
      <c r="Y71" s="73" t="str">
        <f t="array" ref="Y71">IFERROR(IF(XLOOKUP(CONCAT(V71,W71),'PROCESOS PRD'!$J:$J,'PROCESOS PRD'!$H:$H,0,0)=0,"",XLOOKUP(CONCAT(V71,W71),'PROCESOS PRD'!$J:$J,'PROCESOS PRD'!$H:$H,0,0)),"")</f>
        <v/>
      </c>
      <c r="Z71" s="71"/>
      <c r="AA71" s="32"/>
      <c r="AB71" s="72" t="str">
        <f t="array" ref="AB71">IFERROR(IF(XLOOKUP(CONCAT(Z71,AA71),'MASTER PLAN'!$AB:$AB,'MASTER PLAN'!$J:$J,0,0)=0,"",XLOOKUP(CONCAT(Z71,AA71),'MASTER PLAN'!$AB:$AB,'MASTER PLAN'!$J:$J,0,0)),"")</f>
        <v/>
      </c>
      <c r="AC71" s="73" t="str">
        <f t="array" ref="AC71">IFERROR(IF(XLOOKUP(CONCAT(Z71,AA71),'PROCESOS PRD'!$J:$J,'PROCESOS PRD'!$H:$H,0,0)=0,"",XLOOKUP(CONCAT(Z71,AA71),'PROCESOS PRD'!$J:$J,'PROCESOS PRD'!$H:$H,0,0)),"")</f>
        <v/>
      </c>
      <c r="AD71" s="71"/>
      <c r="AE71" s="32"/>
      <c r="AF71" s="72" t="str">
        <f t="array" ref="AF71">IFERROR(IF(XLOOKUP(CONCAT(AD71,AE71),'MASTER PLAN'!$AB:$AB,'MASTER PLAN'!$J:$J,0,0)=0,"",XLOOKUP(CONCAT(AD71,AE71),'MASTER PLAN'!$AB:$AB,'MASTER PLAN'!$J:$J,0,0)),"")</f>
        <v/>
      </c>
      <c r="AG71" s="73" t="str">
        <f t="array" ref="AG71">IFERROR(IF(XLOOKUP(CONCAT(AD71,AE71),'PROCESOS PRD'!$J:$J,'PROCESOS PRD'!$H:$H,0,0)=0,"",XLOOKUP(CONCAT(AD71,AE71),'PROCESOS PRD'!$J:$J,'PROCESOS PRD'!$H:$H,0,0)),"")</f>
        <v/>
      </c>
      <c r="AH71" s="71"/>
      <c r="AI71" s="32"/>
      <c r="AJ71" s="72" t="str">
        <f t="array" ref="AJ71">IFERROR(IF(XLOOKUP(CONCAT(AH71,AI71),'MASTER PLAN'!$AB:$AB,'MASTER PLAN'!$J:$J,0,0)=0,"",XLOOKUP(CONCAT(AH71,AI71),'MASTER PLAN'!$AB:$AB,'MASTER PLAN'!$J:$J,0,0)),"")</f>
        <v/>
      </c>
      <c r="AK71" s="73" t="str">
        <f t="array" ref="AK71">IFERROR(IF(XLOOKUP(CONCAT(AH71,AI71),'PROCESOS PRD'!$J:$J,'PROCESOS PRD'!$H:$H,0,0)=0,"",XLOOKUP(CONCAT(AH71,AI71),'PROCESOS PRD'!$J:$J,'PROCESOS PRD'!$H:$H,0,0)),"")</f>
        <v/>
      </c>
      <c r="AL71" s="71"/>
      <c r="AM71" s="32"/>
      <c r="AN71" s="72" t="str">
        <f t="array" ref="AN71">IFERROR(IF(XLOOKUP(CONCAT(AL71,AM71),'MASTER PLAN'!$AB:$AB,'MASTER PLAN'!$J:$J,0,0)=0,"",XLOOKUP(CONCAT(AL71,AM71),'MASTER PLAN'!$AB:$AB,'MASTER PLAN'!$J:$J,0,0)),"")</f>
        <v/>
      </c>
      <c r="AO71" s="73" t="str">
        <f t="array" ref="AO71">IFERROR(IF(XLOOKUP(CONCAT(AL71,AM71),'PROCESOS PRD'!$J:$J,'PROCESOS PRD'!$H:$H,0,0)=0,"",XLOOKUP(CONCAT(AL71,AM71),'PROCESOS PRD'!$J:$J,'PROCESOS PRD'!$H:$H,0,0)),"")</f>
        <v/>
      </c>
      <c r="AP71" s="71"/>
      <c r="AQ71" s="32"/>
      <c r="AR71" s="72" t="str">
        <f t="array" ref="AR71">IFERROR(IF(XLOOKUP(CONCAT(AP71,AQ71),'MASTER PLAN'!$AB:$AB,'MASTER PLAN'!$J:$J,0,0)=0,"",XLOOKUP(CONCAT(AP71,AQ71),'MASTER PLAN'!$AB:$AB,'MASTER PLAN'!$J:$J,0,0)),"")</f>
        <v/>
      </c>
      <c r="AS71" s="73" t="str">
        <f t="array" ref="AS71">IFERROR(IF(XLOOKUP(CONCAT(AP71,AQ71),'PROCESOS PRD'!$J:$J,'PROCESOS PRD'!$H:$H,0,0)=0,"",XLOOKUP(CONCAT(AP71,AQ71),'PROCESOS PRD'!$J:$J,'PROCESOS PRD'!$H:$H,0,0)),"")</f>
        <v/>
      </c>
      <c r="AT71" s="70"/>
      <c r="AU71" s="71"/>
      <c r="AV71" s="32"/>
      <c r="AW71" s="72" t="str">
        <f t="array" ref="AW71">IFERROR(IF(XLOOKUP(CONCAT(AU71,AV71),'MASTER PLAN'!$AB:$AB,'MASTER PLAN'!$J:$J,0,0)=0,"",XLOOKUP(CONCAT(AU71,AV71),'MASTER PLAN'!$AB:$AB,'MASTER PLAN'!$J:$J,0,0)),"")</f>
        <v/>
      </c>
      <c r="AX71" s="73" t="str">
        <f t="array" ref="AX71">IFERROR(IF(XLOOKUP(CONCAT(AU71,AV71),'PROCESOS PRD'!$J:$J,'PROCESOS PRD'!$H:$H,0,0)=0,"",XLOOKUP(CONCAT(AU71,AV71),'PROCESOS PRD'!$J:$J,'PROCESOS PRD'!$H:$H,0,0)),"")</f>
        <v/>
      </c>
      <c r="AY71" s="71"/>
      <c r="AZ71" s="32"/>
      <c r="BA71" s="72" t="str">
        <f t="array" ref="BA71">IFERROR(IF(XLOOKUP(CONCAT(AY71,AZ71),'MASTER PLAN'!$AB:$AB,'MASTER PLAN'!$J:$J,0,0)=0,"",XLOOKUP(CONCAT(AY71,AZ71),'MASTER PLAN'!$AB:$AB,'MASTER PLAN'!$J:$J,0,0)),"")</f>
        <v/>
      </c>
      <c r="BB71" s="73" t="str">
        <f t="array" ref="BB71">IFERROR(IF(XLOOKUP(CONCAT(AY71,AZ71),'PROCESOS PRD'!$J:$J,'PROCESOS PRD'!$H:$H,0,0)=0,"",XLOOKUP(CONCAT(AY71,AZ71),'PROCESOS PRD'!$J:$J,'PROCESOS PRD'!$H:$H,0,0)),"")</f>
        <v/>
      </c>
      <c r="BC71" s="71"/>
      <c r="BD71" s="32"/>
      <c r="BE71" s="72" t="str">
        <f t="array" ref="BE71">IFERROR(IF(XLOOKUP(CONCAT(BC71,BD71),'MASTER PLAN'!$AB:$AB,'MASTER PLAN'!$J:$J,0,0)=0,"",XLOOKUP(CONCAT(BC71,BD71),'MASTER PLAN'!$AB:$AB,'MASTER PLAN'!$J:$J,0,0)),"")</f>
        <v/>
      </c>
      <c r="BF71" s="73" t="str">
        <f t="array" ref="BF71">IFERROR(IF(XLOOKUP(CONCAT(BC71,BD71),'PROCESOS PRD'!$J:$J,'PROCESOS PRD'!$H:$H,0,0)=0,"",XLOOKUP(CONCAT(BC71,BD71),'PROCESOS PRD'!$J:$J,'PROCESOS PRD'!$H:$H,0,0)),"")</f>
        <v/>
      </c>
      <c r="BG71" s="71"/>
      <c r="BH71" s="32"/>
      <c r="BI71" s="72" t="str">
        <f t="array" ref="BI71">IFERROR(IF(XLOOKUP(CONCAT(BG71,BH71),'MASTER PLAN'!$AB:$AB,'MASTER PLAN'!$J:$J,0,0)=0,"",XLOOKUP(CONCAT(BG71,BH71),'MASTER PLAN'!$AB:$AB,'MASTER PLAN'!$J:$J,0,0)),"")</f>
        <v/>
      </c>
      <c r="BJ71" s="73" t="str">
        <f t="array" ref="BJ71">IFERROR(IF(XLOOKUP(CONCAT(BG71,BH71),'PROCESOS PRD'!$J:$J,'PROCESOS PRD'!$H:$H,0,0)=0,"",XLOOKUP(CONCAT(BG71,BH71),'PROCESOS PRD'!$J:$J,'PROCESOS PRD'!$H:$H,0,0)),"")</f>
        <v/>
      </c>
      <c r="BK71" s="71"/>
      <c r="BL71" s="32"/>
      <c r="BM71" s="72" t="str">
        <f t="array" ref="BM71">IFERROR(IF(XLOOKUP(CONCAT(BK71,BL71),'MASTER PLAN'!$AB:$AB,'MASTER PLAN'!$J:$J,0,0)=0,"",XLOOKUP(CONCAT(BK71,BL71),'MASTER PLAN'!$AB:$AB,'MASTER PLAN'!$J:$J,0,0)),"")</f>
        <v/>
      </c>
      <c r="BN71" s="73" t="str">
        <f t="array" ref="BN71">IFERROR(IF(XLOOKUP(CONCAT(BK71,BL71),'PROCESOS PRD'!$J:$J,'PROCESOS PRD'!$H:$H,0,0)=0,"",XLOOKUP(CONCAT(BK71,BL71),'PROCESOS PRD'!$J:$J,'PROCESOS PRD'!$H:$H,0,0)),"")</f>
        <v/>
      </c>
      <c r="BO71" s="71"/>
      <c r="BP71" s="32"/>
      <c r="BQ71" s="72" t="str">
        <f t="array" ref="BQ71">IFERROR(IF(XLOOKUP(CONCAT(BO71,BP71),'MASTER PLAN'!$AB:$AB,'MASTER PLAN'!$J:$J,0,0)=0,"",XLOOKUP(CONCAT(BO71,BP71),'MASTER PLAN'!$AB:$AB,'MASTER PLAN'!$J:$J,0,0)),"")</f>
        <v/>
      </c>
      <c r="BR71" s="73" t="str">
        <f t="array" ref="BR71">IFERROR(IF(XLOOKUP(CONCAT(BO71,BP71),'PROCESOS PRD'!$J:$J,'PROCESOS PRD'!$H:$H,0,0)=0,"",XLOOKUP(CONCAT(BO71,BP71),'PROCESOS PRD'!$J:$J,'PROCESOS PRD'!$H:$H,0,0)),"")</f>
        <v/>
      </c>
      <c r="BS71" s="70"/>
      <c r="BT71" s="71"/>
      <c r="BU71" s="32"/>
      <c r="BV71" s="72" t="str">
        <f t="array" ref="BV71">IFERROR(IF(XLOOKUP(CONCAT(BT71,BU71),'MASTER PLAN'!$AB:$AB,'MASTER PLAN'!$J:$J,0,0)=0,"",XLOOKUP(CONCAT(BT71,BU71),'MASTER PLAN'!$AB:$AB,'MASTER PLAN'!$J:$J,0,0)),"")</f>
        <v/>
      </c>
      <c r="BW71" s="73" t="str">
        <f t="array" ref="BW71">IFERROR(IF(XLOOKUP(CONCAT(BT71,BU71),'PROCESOS PRD'!$J:$J,'PROCESOS PRD'!$H:$H,0,0)=0,"",XLOOKUP(CONCAT(BT71,BU71),'PROCESOS PRD'!$J:$J,'PROCESOS PRD'!$H:$H,0,0)),"")</f>
        <v/>
      </c>
      <c r="BX71" s="71"/>
      <c r="BY71" s="32"/>
      <c r="BZ71" s="72" t="str">
        <f t="array" ref="BZ71">IFERROR(IF(XLOOKUP(CONCAT(BX71,BY71),'MASTER PLAN'!$AB:$AB,'MASTER PLAN'!$J:$J,0,0)=0,"",XLOOKUP(CONCAT(BX71,BY71),'MASTER PLAN'!$AB:$AB,'MASTER PLAN'!$J:$J,0,0)),"")</f>
        <v/>
      </c>
      <c r="CA71" s="73" t="str">
        <f t="array" ref="CA71">IFERROR(IF(XLOOKUP(CONCAT(BX71,BY71),'PROCESOS PRD'!$J:$J,'PROCESOS PRD'!$H:$H,0,0)=0,"",XLOOKUP(CONCAT(BX71,BY71),'PROCESOS PRD'!$J:$J,'PROCESOS PRD'!$H:$H,0,0)),"")</f>
        <v/>
      </c>
      <c r="CB71" s="71"/>
      <c r="CC71" s="32"/>
      <c r="CD71" s="72" t="str">
        <f t="array" ref="CD71">IFERROR(IF(XLOOKUP(CONCAT(CB71,CC71),'MASTER PLAN'!$AB:$AB,'MASTER PLAN'!$J:$J,0,0)=0,"",XLOOKUP(CONCAT(CB71,CC71),'MASTER PLAN'!$AB:$AB,'MASTER PLAN'!$J:$J,0,0)),"")</f>
        <v/>
      </c>
      <c r="CE71" s="73" t="str">
        <f t="array" ref="CE71">IFERROR(IF(XLOOKUP(CONCAT(CB71,CC71),'PROCESOS PRD'!$J:$J,'PROCESOS PRD'!$H:$H,0,0)=0,"",XLOOKUP(CONCAT(CB71,CC71),'PROCESOS PRD'!$J:$J,'PROCESOS PRD'!$H:$H,0,0)),"")</f>
        <v/>
      </c>
      <c r="CF71" s="71"/>
      <c r="CG71" s="32"/>
      <c r="CH71" s="72" t="str">
        <f t="array" ref="CH71">IFERROR(IF(XLOOKUP(CONCAT(CF71,CG71),'MASTER PLAN'!$AB:$AB,'MASTER PLAN'!$J:$J,0,0)=0,"",XLOOKUP(CONCAT(CF71,CG71),'MASTER PLAN'!$AB:$AB,'MASTER PLAN'!$J:$J,0,0)),"")</f>
        <v/>
      </c>
      <c r="CI71" s="73" t="str">
        <f t="array" ref="CI71">IFERROR(IF(XLOOKUP(CONCAT(CF71,CG71),'PROCESOS PRD'!$J:$J,'PROCESOS PRD'!$H:$H,0,0)=0,"",XLOOKUP(CONCAT(CF71,CG71),'PROCESOS PRD'!$J:$J,'PROCESOS PRD'!$H:$H,0,0)),"")</f>
        <v/>
      </c>
      <c r="CJ71" s="71"/>
      <c r="CK71" s="32"/>
      <c r="CL71" s="72" t="str">
        <f t="array" ref="CL71">IFERROR(IF(XLOOKUP(CONCAT(CJ71,CK71),'MASTER PLAN'!$AB:$AB,'MASTER PLAN'!$J:$J,0,0)=0,"",XLOOKUP(CONCAT(CJ71,CK71),'MASTER PLAN'!$AB:$AB,'MASTER PLAN'!$J:$J,0,0)),"")</f>
        <v/>
      </c>
      <c r="CM71" s="73" t="str">
        <f t="array" ref="CM71">IFERROR(IF(XLOOKUP(CONCAT(CJ71,CK71),'PROCESOS PRD'!$J:$J,'PROCESOS PRD'!$H:$H,0,0)=0,"",XLOOKUP(CONCAT(CJ71,CK71),'PROCESOS PRD'!$J:$J,'PROCESOS PRD'!$H:$H,0,0)),"")</f>
        <v/>
      </c>
      <c r="CN71" s="71"/>
      <c r="CO71" s="32"/>
      <c r="CP71" s="72" t="str">
        <f t="array" ref="CP71">IFERROR(IF(XLOOKUP(CONCAT(CN71,CO71),'MASTER PLAN'!$AB:$AB,'MASTER PLAN'!$J:$J,0,0)=0,"",XLOOKUP(CONCAT(CN71,CO71),'MASTER PLAN'!$AB:$AB,'MASTER PLAN'!$J:$J,0,0)),"")</f>
        <v/>
      </c>
      <c r="CQ71" s="73" t="str">
        <f t="array" ref="CQ71">IFERROR(IF(XLOOKUP(CONCAT(CN71,CO71),'PROCESOS PRD'!$J:$J,'PROCESOS PRD'!$H:$H,0,0)=0,"",XLOOKUP(CONCAT(CN71,CO71),'PROCESOS PRD'!$J:$J,'PROCESOS PRD'!$H:$H,0,0)),"")</f>
        <v/>
      </c>
      <c r="CR71" s="70"/>
      <c r="CS71" s="71"/>
      <c r="CT71" s="32"/>
      <c r="CU71" s="72" t="str">
        <f t="array" ref="CU71">IFERROR(IF(XLOOKUP(CONCAT(CS71,CT71),'MASTER PLAN'!$AB:$AB,'MASTER PLAN'!$J:$J,0,0)=0,"",XLOOKUP(CONCAT(CS71,CT71),'MASTER PLAN'!$AB:$AB,'MASTER PLAN'!$J:$J,0,0)),"")</f>
        <v/>
      </c>
      <c r="CV71" s="73" t="str">
        <f t="array" ref="CV71">IFERROR(IF(XLOOKUP(CONCAT(CS71,CT71),'PROCESOS PRD'!$J:$J,'PROCESOS PRD'!$H:$H,0,0)=0,"",XLOOKUP(CONCAT(CS71,CT71),'PROCESOS PRD'!$J:$J,'PROCESOS PRD'!$H:$H,0,0)),"")</f>
        <v/>
      </c>
      <c r="CW71" s="71"/>
      <c r="CX71" s="32"/>
      <c r="CY71" s="72" t="str">
        <f t="array" ref="CY71">IFERROR(IF(XLOOKUP(CONCAT(CW71,CX71),'MASTER PLAN'!$AB:$AB,'MASTER PLAN'!$J:$J,0,0)=0,"",XLOOKUP(CONCAT(CW71,CX71),'MASTER PLAN'!$AB:$AB,'MASTER PLAN'!$J:$J,0,0)),"")</f>
        <v/>
      </c>
      <c r="CZ71" s="73" t="str">
        <f t="array" ref="CZ71">IFERROR(IF(XLOOKUP(CONCAT(CW71,CX71),'PROCESOS PRD'!$J:$J,'PROCESOS PRD'!$H:$H,0,0)=0,"",XLOOKUP(CONCAT(CW71,CX71),'PROCESOS PRD'!$J:$J,'PROCESOS PRD'!$H:$H,0,0)),"")</f>
        <v/>
      </c>
      <c r="DA71" s="71"/>
      <c r="DB71" s="32"/>
      <c r="DC71" s="72" t="str">
        <f t="array" ref="DC71">IFERROR(IF(XLOOKUP(CONCAT(DA71,DB71),'MASTER PLAN'!$AB:$AB,'MASTER PLAN'!$J:$J,0,0)=0,"",XLOOKUP(CONCAT(DA71,DB71),'MASTER PLAN'!$AB:$AB,'MASTER PLAN'!$J:$J,0,0)),"")</f>
        <v/>
      </c>
      <c r="DD71" s="73" t="str">
        <f t="array" ref="DD71">IFERROR(IF(XLOOKUP(CONCAT(DA71,DB71),'PROCESOS PRD'!$J:$J,'PROCESOS PRD'!$H:$H,0,0)=0,"",XLOOKUP(CONCAT(DA71,DB71),'PROCESOS PRD'!$J:$J,'PROCESOS PRD'!$H:$H,0,0)),"")</f>
        <v/>
      </c>
      <c r="DE71" s="71"/>
      <c r="DF71" s="32"/>
      <c r="DG71" s="72" t="str">
        <f t="array" ref="DG71">IFERROR(IF(XLOOKUP(CONCAT(DE71,DF71),'MASTER PLAN'!$AB:$AB,'MASTER PLAN'!$J:$J,0,0)=0,"",XLOOKUP(CONCAT(DE71,DF71),'MASTER PLAN'!$AB:$AB,'MASTER PLAN'!$J:$J,0,0)),"")</f>
        <v/>
      </c>
      <c r="DH71" s="73" t="str">
        <f t="array" ref="DH71">IFERROR(IF(XLOOKUP(CONCAT(DE71,DF71),'PROCESOS PRD'!$J:$J,'PROCESOS PRD'!$H:$H,0,0)=0,"",XLOOKUP(CONCAT(DE71,DF71),'PROCESOS PRD'!$J:$J,'PROCESOS PRD'!$H:$H,0,0)),"")</f>
        <v/>
      </c>
      <c r="DI71" s="71"/>
      <c r="DJ71" s="32"/>
      <c r="DK71" s="72" t="str">
        <f t="array" ref="DK71">IFERROR(IF(XLOOKUP(CONCAT(DI71,DJ71),'MASTER PLAN'!$AB:$AB,'MASTER PLAN'!$J:$J,0,0)=0,"",XLOOKUP(CONCAT(DI71,DJ71),'MASTER PLAN'!$AB:$AB,'MASTER PLAN'!$J:$J,0,0)),"")</f>
        <v/>
      </c>
      <c r="DL71" s="73" t="str">
        <f t="array" ref="DL71">IFERROR(IF(XLOOKUP(CONCAT(DI71,DJ71),'PROCESOS PRD'!$J:$J,'PROCESOS PRD'!$H:$H,0,0)=0,"",XLOOKUP(CONCAT(DI71,DJ71),'PROCESOS PRD'!$J:$J,'PROCESOS PRD'!$H:$H,0,0)),"")</f>
        <v/>
      </c>
      <c r="DM71" s="71"/>
      <c r="DN71" s="32"/>
      <c r="DO71" s="72" t="str">
        <f t="array" ref="DO71">IFERROR(IF(XLOOKUP(CONCAT(DM71,DN71),'MASTER PLAN'!$AB:$AB,'MASTER PLAN'!$J:$J,0,0)=0,"",XLOOKUP(CONCAT(DM71,DN71),'MASTER PLAN'!$AB:$AB,'MASTER PLAN'!$J:$J,0,0)),"")</f>
        <v/>
      </c>
      <c r="DP71" s="73" t="str">
        <f t="array" ref="DP71">IFERROR(IF(XLOOKUP(CONCAT(DM71,DN71),'PROCESOS PRD'!$J:$J,'PROCESOS PRD'!$H:$H,0,0)=0,"",XLOOKUP(CONCAT(DM71,DN71),'PROCESOS PRD'!$J:$J,'PROCESOS PRD'!$H:$H,0,0)),"")</f>
        <v/>
      </c>
      <c r="DQ71" s="70"/>
      <c r="DR71" s="71"/>
      <c r="DS71" s="32"/>
      <c r="DT71" s="72" t="str">
        <f t="array" ref="DT71">IFERROR(IF(XLOOKUP(CONCAT(DR71,DS71),'MASTER PLAN'!$AB:$AB,'MASTER PLAN'!$J:$J,0,0)=0,"",XLOOKUP(CONCAT(DR71,DS71),'MASTER PLAN'!$AB:$AB,'MASTER PLAN'!$J:$J,0,0)),"")</f>
        <v/>
      </c>
      <c r="DU71" s="73" t="str">
        <f t="array" ref="DU71">IFERROR(IF(XLOOKUP(CONCAT(DR71,DS71),'PROCESOS PRD'!$J:$J,'PROCESOS PRD'!$H:$H,0,0)=0,"",XLOOKUP(CONCAT(DR71,DS71),'PROCESOS PRD'!$J:$J,'PROCESOS PRD'!$H:$H,0,0)),"")</f>
        <v/>
      </c>
      <c r="DV71" s="71"/>
      <c r="DW71" s="32"/>
      <c r="DX71" s="72" t="str">
        <f t="array" ref="DX71">IFERROR(IF(XLOOKUP(CONCAT(DV71,DW71),'MASTER PLAN'!$AB:$AB,'MASTER PLAN'!$J:$J,0,0)=0,"",XLOOKUP(CONCAT(DV71,DW71),'MASTER PLAN'!$AB:$AB,'MASTER PLAN'!$J:$J,0,0)),"")</f>
        <v/>
      </c>
      <c r="DY71" s="73" t="str">
        <f t="array" ref="DY71">IFERROR(IF(XLOOKUP(CONCAT(DV71,DW71),'PROCESOS PRD'!$J:$J,'PROCESOS PRD'!$H:$H,0,0)=0,"",XLOOKUP(CONCAT(DV71,DW71),'PROCESOS PRD'!$J:$J,'PROCESOS PRD'!$H:$H,0,0)),"")</f>
        <v/>
      </c>
      <c r="DZ71" s="71"/>
      <c r="EA71" s="32"/>
      <c r="EB71" s="72" t="str">
        <f t="array" ref="EB71">IFERROR(IF(XLOOKUP(CONCAT(DZ71,EA71),'MASTER PLAN'!$AB:$AB,'MASTER PLAN'!$J:$J,0,0)=0,"",XLOOKUP(CONCAT(DZ71,EA71),'MASTER PLAN'!$AB:$AB,'MASTER PLAN'!$J:$J,0,0)),"")</f>
        <v/>
      </c>
      <c r="EC71" s="73" t="str">
        <f t="array" ref="EC71">IFERROR(IF(XLOOKUP(CONCAT(DZ71,EA71),'PROCESOS PRD'!$J:$J,'PROCESOS PRD'!$H:$H,0,0)=0,"",XLOOKUP(CONCAT(DZ71,EA71),'PROCESOS PRD'!$J:$J,'PROCESOS PRD'!$H:$H,0,0)),"")</f>
        <v/>
      </c>
      <c r="ED71" s="71"/>
      <c r="EE71" s="32"/>
      <c r="EF71" s="72" t="str">
        <f t="array" ref="EF71">IFERROR(IF(XLOOKUP(CONCAT(ED71,EE71),'MASTER PLAN'!$AB:$AB,'MASTER PLAN'!$J:$J,0,0)=0,"",XLOOKUP(CONCAT(ED71,EE71),'MASTER PLAN'!$AB:$AB,'MASTER PLAN'!$J:$J,0,0)),"")</f>
        <v/>
      </c>
      <c r="EG71" s="73" t="str">
        <f t="array" ref="EG71">IFERROR(IF(XLOOKUP(CONCAT(ED71,EE71),'PROCESOS PRD'!$J:$J,'PROCESOS PRD'!$H:$H,0,0)=0,"",XLOOKUP(CONCAT(ED71,EE71),'PROCESOS PRD'!$J:$J,'PROCESOS PRD'!$H:$H,0,0)),"")</f>
        <v/>
      </c>
      <c r="EH71" s="71"/>
      <c r="EI71" s="32"/>
      <c r="EJ71" s="72" t="str">
        <f t="array" ref="EJ71">IFERROR(IF(XLOOKUP(CONCAT(EH71,EI71),'MASTER PLAN'!$AB:$AB,'MASTER PLAN'!$J:$J,0,0)=0,"",XLOOKUP(CONCAT(EH71,EI71),'MASTER PLAN'!$AB:$AB,'MASTER PLAN'!$J:$J,0,0)),"")</f>
        <v/>
      </c>
      <c r="EK71" s="73" t="str">
        <f t="array" ref="EK71">IFERROR(IF(XLOOKUP(CONCAT(EH71,EI71),'PROCESOS PRD'!$J:$J,'PROCESOS PRD'!$H:$H,0,0)=0,"",XLOOKUP(CONCAT(EH71,EI71),'PROCESOS PRD'!$J:$J,'PROCESOS PRD'!$H:$H,0,0)),"")</f>
        <v/>
      </c>
      <c r="EL71" s="71"/>
      <c r="EM71" s="32"/>
      <c r="EN71" s="72" t="str">
        <f t="array" ref="EN71">IFERROR(IF(XLOOKUP(CONCAT(EL71,EM71),'MASTER PLAN'!$AB:$AB,'MASTER PLAN'!$J:$J,0,0)=0,"",XLOOKUP(CONCAT(EL71,EM71),'MASTER PLAN'!$AB:$AB,'MASTER PLAN'!$J:$J,0,0)),"")</f>
        <v/>
      </c>
      <c r="EO71" s="73" t="str">
        <f t="array" ref="EO71">IFERROR(IF(XLOOKUP(CONCAT(EL71,EM71),'PROCESOS PRD'!$J:$J,'PROCESOS PRD'!$H:$H,0,0)=0,"",XLOOKUP(CONCAT(EL71,EM71),'PROCESOS PRD'!$J:$J,'PROCESOS PRD'!$H:$H,0,0)),"")</f>
        <v/>
      </c>
      <c r="EP71" s="70"/>
      <c r="EQ71" s="71"/>
      <c r="ER71" s="32"/>
      <c r="ES71" s="72" t="str">
        <f t="array" ref="ES71">IFERROR(IF(XLOOKUP(CONCAT(EQ71,ER71),'MASTER PLAN'!$AB:$AB,'MASTER PLAN'!$J:$J,0,0)=0,"",XLOOKUP(CONCAT(EQ71,ER71),'MASTER PLAN'!$AB:$AB,'MASTER PLAN'!$J:$J,0,0)),"")</f>
        <v/>
      </c>
      <c r="ET71" s="73" t="str">
        <f t="array" ref="ET71">IFERROR(IF(XLOOKUP(CONCAT(EQ71,ER71),'PROCESOS PRD'!$J:$J,'PROCESOS PRD'!$H:$H,0,0)=0,"",XLOOKUP(CONCAT(EQ71,ER71),'PROCESOS PRD'!$J:$J,'PROCESOS PRD'!$H:$H,0,0)),"")</f>
        <v/>
      </c>
      <c r="EU71" s="71"/>
      <c r="EV71" s="32"/>
      <c r="EW71" s="72" t="str">
        <f t="array" ref="EW71">IFERROR(IF(XLOOKUP(CONCAT(EU71,EV71),'MASTER PLAN'!$AB:$AB,'MASTER PLAN'!$J:$J,0,0)=0,"",XLOOKUP(CONCAT(EU71,EV71),'MASTER PLAN'!$AB:$AB,'MASTER PLAN'!$J:$J,0,0)),"")</f>
        <v/>
      </c>
      <c r="EX71" s="73" t="str">
        <f t="array" ref="EX71">IFERROR(IF(XLOOKUP(CONCAT(EU71,EV71),'PROCESOS PRD'!$J:$J,'PROCESOS PRD'!$H:$H,0,0)=0,"",XLOOKUP(CONCAT(EU71,EV71),'PROCESOS PRD'!$J:$J,'PROCESOS PRD'!$H:$H,0,0)),"")</f>
        <v/>
      </c>
      <c r="EY71" s="71"/>
      <c r="EZ71" s="32"/>
      <c r="FA71" s="72" t="str">
        <f t="array" ref="FA71">IFERROR(IF(XLOOKUP(CONCAT(EY71,EZ71),'MASTER PLAN'!$AB:$AB,'MASTER PLAN'!$J:$J,0,0)=0,"",XLOOKUP(CONCAT(EY71,EZ71),'MASTER PLAN'!$AB:$AB,'MASTER PLAN'!$J:$J,0,0)),"")</f>
        <v/>
      </c>
      <c r="FB71" s="73" t="str">
        <f t="array" ref="FB71">IFERROR(IF(XLOOKUP(CONCAT(EY71,EZ71),'PROCESOS PRD'!$J:$J,'PROCESOS PRD'!$H:$H,0,0)=0,"",XLOOKUP(CONCAT(EY71,EZ71),'PROCESOS PRD'!$J:$J,'PROCESOS PRD'!$H:$H,0,0)),"")</f>
        <v/>
      </c>
      <c r="FC71" s="71"/>
      <c r="FD71" s="32"/>
      <c r="FE71" s="72" t="str">
        <f t="array" ref="FE71">IFERROR(IF(XLOOKUP(CONCAT(FC71,FD71),'MASTER PLAN'!$AB:$AB,'MASTER PLAN'!$J:$J,0,0)=0,"",XLOOKUP(CONCAT(FC71,FD71),'MASTER PLAN'!$AB:$AB,'MASTER PLAN'!$J:$J,0,0)),"")</f>
        <v/>
      </c>
      <c r="FF71" s="73" t="str">
        <f t="array" ref="FF71">IFERROR(IF(XLOOKUP(CONCAT(FC71,FD71),'PROCESOS PRD'!$J:$J,'PROCESOS PRD'!$H:$H,0,0)=0,"",XLOOKUP(CONCAT(FC71,FD71),'PROCESOS PRD'!$J:$J,'PROCESOS PRD'!$H:$H,0,0)),"")</f>
        <v/>
      </c>
      <c r="FG71" s="71"/>
      <c r="FH71" s="32"/>
      <c r="FI71" s="72" t="str">
        <f t="array" ref="FI71">IFERROR(IF(XLOOKUP(CONCAT(FG71,FH71),'MASTER PLAN'!$AB:$AB,'MASTER PLAN'!$J:$J,0,0)=0,"",XLOOKUP(CONCAT(FG71,FH71),'MASTER PLAN'!$AB:$AB,'MASTER PLAN'!$J:$J,0,0)),"")</f>
        <v/>
      </c>
      <c r="FJ71" s="73" t="str">
        <f t="array" ref="FJ71">IFERROR(IF(XLOOKUP(CONCAT(FG71,FH71),'PROCESOS PRD'!$J:$J,'PROCESOS PRD'!$H:$H,0,0)=0,"",XLOOKUP(CONCAT(FG71,FH71),'PROCESOS PRD'!$J:$J,'PROCESOS PRD'!$H:$H,0,0)),"")</f>
        <v/>
      </c>
      <c r="FK71" s="71"/>
      <c r="FL71" s="32"/>
      <c r="FM71" s="72" t="str">
        <f t="array" ref="FM71">IFERROR(IF(XLOOKUP(CONCAT(FK71,FL71),'MASTER PLAN'!$AB:$AB,'MASTER PLAN'!$J:$J,0,0)=0,"",XLOOKUP(CONCAT(FK71,FL71),'MASTER PLAN'!$AB:$AB,'MASTER PLAN'!$J:$J,0,0)),"")</f>
        <v/>
      </c>
      <c r="FN71" s="73" t="str">
        <f t="array" ref="FN71">IFERROR(IF(XLOOKUP(CONCAT(FK71,FL71),'PROCESOS PRD'!$J:$J,'PROCESOS PRD'!$H:$H,0,0)=0,"",XLOOKUP(CONCAT(FK71,FL71),'PROCESOS PRD'!$J:$J,'PROCESOS PRD'!$H:$H,0,0)),"")</f>
        <v/>
      </c>
      <c r="FO71" s="70"/>
      <c r="FP71" s="71"/>
      <c r="FQ71" s="32"/>
      <c r="FR71" s="72" t="str">
        <f t="array" ref="FR71">IFERROR(IF(XLOOKUP(CONCAT(FP71,FQ71),'MASTER PLAN'!$AB:$AB,'MASTER PLAN'!$J:$J,0,0)=0,"",XLOOKUP(CONCAT(FP71,FQ71),'MASTER PLAN'!$AB:$AB,'MASTER PLAN'!$J:$J,0,0)),"")</f>
        <v/>
      </c>
      <c r="FS71" s="73" t="str">
        <f t="array" ref="FS71">IFERROR(IF(XLOOKUP(CONCAT(FP71,FQ71),'PROCESOS PRD'!$J:$J,'PROCESOS PRD'!$H:$H,0,0)=0,"",XLOOKUP(CONCAT(FP71,FQ71),'PROCESOS PRD'!$J:$J,'PROCESOS PRD'!$H:$H,0,0)),"")</f>
        <v/>
      </c>
      <c r="FT71" s="71"/>
      <c r="FU71" s="32"/>
      <c r="FV71" s="72" t="str">
        <f t="array" ref="FV71">IFERROR(IF(XLOOKUP(CONCAT(FT71,FU71),'MASTER PLAN'!$AB:$AB,'MASTER PLAN'!$J:$J,0,0)=0,"",XLOOKUP(CONCAT(FT71,FU71),'MASTER PLAN'!$AB:$AB,'MASTER PLAN'!$J:$J,0,0)),"")</f>
        <v/>
      </c>
      <c r="FW71" s="73" t="str">
        <f t="array" ref="FW71">IFERROR(IF(XLOOKUP(CONCAT(FT71,FU71),'PROCESOS PRD'!$J:$J,'PROCESOS PRD'!$H:$H,0,0)=0,"",XLOOKUP(CONCAT(FT71,FU71),'PROCESOS PRD'!$J:$J,'PROCESOS PRD'!$H:$H,0,0)),"")</f>
        <v/>
      </c>
      <c r="FX71" s="71"/>
      <c r="FY71" s="32"/>
      <c r="FZ71" s="72" t="str">
        <f t="array" ref="FZ71">IFERROR(IF(XLOOKUP(CONCAT(FX71,FY71),'MASTER PLAN'!$AB:$AB,'MASTER PLAN'!$J:$J,0,0)=0,"",XLOOKUP(CONCAT(FX71,FY71),'MASTER PLAN'!$AB:$AB,'MASTER PLAN'!$J:$J,0,0)),"")</f>
        <v/>
      </c>
      <c r="GA71" s="73" t="str">
        <f t="array" ref="GA71">IFERROR(IF(XLOOKUP(CONCAT(FX71,FY71),'PROCESOS PRD'!$J:$J,'PROCESOS PRD'!$H:$H,0,0)=0,"",XLOOKUP(CONCAT(FX71,FY71),'PROCESOS PRD'!$J:$J,'PROCESOS PRD'!$H:$H,0,0)),"")</f>
        <v/>
      </c>
      <c r="GB71" s="71"/>
      <c r="GC71" s="32"/>
      <c r="GD71" s="72" t="str">
        <f t="array" ref="GD71">IFERROR(IF(XLOOKUP(CONCAT(GB71,GC71),'MASTER PLAN'!$AB:$AB,'MASTER PLAN'!$J:$J,0,0)=0,"",XLOOKUP(CONCAT(GB71,GC71),'MASTER PLAN'!$AB:$AB,'MASTER PLAN'!$J:$J,0,0)),"")</f>
        <v/>
      </c>
      <c r="GE71" s="73" t="str">
        <f t="array" ref="GE71">IFERROR(IF(XLOOKUP(CONCAT(GB71,GC71),'PROCESOS PRD'!$J:$J,'PROCESOS PRD'!$H:$H,0,0)=0,"",XLOOKUP(CONCAT(GB71,GC71),'PROCESOS PRD'!$J:$J,'PROCESOS PRD'!$H:$H,0,0)),"")</f>
        <v/>
      </c>
      <c r="GF71" s="71"/>
      <c r="GG71" s="32"/>
      <c r="GH71" s="72" t="str">
        <f t="array" ref="GH71">IFERROR(IF(XLOOKUP(CONCAT(GF71,GG71),'MASTER PLAN'!$AB:$AB,'MASTER PLAN'!$J:$J,0,0)=0,"",XLOOKUP(CONCAT(GF71,GG71),'MASTER PLAN'!$AB:$AB,'MASTER PLAN'!$J:$J,0,0)),"")</f>
        <v/>
      </c>
      <c r="GI71" s="73" t="str">
        <f t="array" ref="GI71">IFERROR(IF(XLOOKUP(CONCAT(GF71,GG71),'PROCESOS PRD'!$J:$J,'PROCESOS PRD'!$H:$H,0,0)=0,"",XLOOKUP(CONCAT(GF71,GG71),'PROCESOS PRD'!$J:$J,'PROCESOS PRD'!$H:$H,0,0)),"")</f>
        <v/>
      </c>
      <c r="GJ71" s="71"/>
      <c r="GK71" s="32"/>
      <c r="GL71" s="72" t="str">
        <f t="array" ref="GL71">IFERROR(IF(XLOOKUP(CONCAT(GJ71,GK71),'MASTER PLAN'!$AB:$AB,'MASTER PLAN'!$J:$J,0,0)=0,"",XLOOKUP(CONCAT(GJ71,GK71),'MASTER PLAN'!$AB:$AB,'MASTER PLAN'!$J:$J,0,0)),"")</f>
        <v/>
      </c>
      <c r="GM71" s="73" t="str">
        <f t="array" ref="GM71">IFERROR(IF(XLOOKUP(CONCAT(GJ71,GK71),'PROCESOS PRD'!$J:$J,'PROCESOS PRD'!$H:$H,0,0)=0,"",XLOOKUP(CONCAT(GJ71,GK71),'PROCESOS PRD'!$J:$J,'PROCESOS PRD'!$H:$H,0,0)),"")</f>
        <v/>
      </c>
      <c r="GN71" s="70"/>
      <c r="GO71" s="71"/>
      <c r="GP71" s="32"/>
      <c r="GQ71" s="72" t="str">
        <f t="array" ref="GQ71">IFERROR(IF(XLOOKUP(CONCAT(GO71,GP71),'MASTER PLAN'!$AB:$AB,'MASTER PLAN'!$J:$J,0,0)=0,"",XLOOKUP(CONCAT(GO71,GP71),'MASTER PLAN'!$AB:$AB,'MASTER PLAN'!$J:$J,0,0)),"")</f>
        <v/>
      </c>
      <c r="GR71" s="73" t="str">
        <f t="array" ref="GR71">IFERROR(IF(XLOOKUP(CONCAT(GO71,GP71),'PROCESOS PRD'!$J:$J,'PROCESOS PRD'!$H:$H,0,0)=0,"",XLOOKUP(CONCAT(GO71,GP71),'PROCESOS PRD'!$J:$J,'PROCESOS PRD'!$H:$H,0,0)),"")</f>
        <v/>
      </c>
      <c r="GS71" s="71"/>
      <c r="GT71" s="32"/>
      <c r="GU71" s="72" t="str">
        <f t="array" ref="GU71">IFERROR(IF(XLOOKUP(CONCAT(GS71,GT71),'MASTER PLAN'!$AB:$AB,'MASTER PLAN'!$J:$J,0,0)=0,"",XLOOKUP(CONCAT(GS71,GT71),'MASTER PLAN'!$AB:$AB,'MASTER PLAN'!$J:$J,0,0)),"")</f>
        <v/>
      </c>
      <c r="GV71" s="73" t="str">
        <f t="array" ref="GV71">IFERROR(IF(XLOOKUP(CONCAT(GS71,GT71),'PROCESOS PRD'!$J:$J,'PROCESOS PRD'!$H:$H,0,0)=0,"",XLOOKUP(CONCAT(GS71,GT71),'PROCESOS PRD'!$J:$J,'PROCESOS PRD'!$H:$H,0,0)),"")</f>
        <v/>
      </c>
      <c r="GW71" s="71"/>
      <c r="GX71" s="32"/>
      <c r="GY71" s="72" t="str">
        <f t="array" ref="GY71">IFERROR(IF(XLOOKUP(CONCAT(GW71,GX71),'MASTER PLAN'!$AB:$AB,'MASTER PLAN'!$J:$J,0,0)=0,"",XLOOKUP(CONCAT(GW71,GX71),'MASTER PLAN'!$AB:$AB,'MASTER PLAN'!$J:$J,0,0)),"")</f>
        <v/>
      </c>
      <c r="GZ71" s="73" t="str">
        <f t="array" ref="GZ71">IFERROR(IF(XLOOKUP(CONCAT(GW71,GX71),'PROCESOS PRD'!$J:$J,'PROCESOS PRD'!$H:$H,0,0)=0,"",XLOOKUP(CONCAT(GW71,GX71),'PROCESOS PRD'!$J:$J,'PROCESOS PRD'!$H:$H,0,0)),"")</f>
        <v/>
      </c>
      <c r="HA71" s="71"/>
      <c r="HB71" s="32"/>
      <c r="HC71" s="72" t="str">
        <f t="array" ref="HC71">IFERROR(IF(XLOOKUP(CONCAT(HA71,HB71),'MASTER PLAN'!$AB:$AB,'MASTER PLAN'!$J:$J,0,0)=0,"",XLOOKUP(CONCAT(HA71,HB71),'MASTER PLAN'!$AB:$AB,'MASTER PLAN'!$J:$J,0,0)),"")</f>
        <v/>
      </c>
      <c r="HD71" s="73" t="str">
        <f t="array" ref="HD71">IFERROR(IF(XLOOKUP(CONCAT(HA71,HB71),'PROCESOS PRD'!$J:$J,'PROCESOS PRD'!$H:$H,0,0)=0,"",XLOOKUP(CONCAT(HA71,HB71),'PROCESOS PRD'!$J:$J,'PROCESOS PRD'!$H:$H,0,0)),"")</f>
        <v/>
      </c>
      <c r="HE71" s="71"/>
      <c r="HF71" s="32"/>
      <c r="HG71" s="72" t="str">
        <f t="array" ref="HG71">IFERROR(IF(XLOOKUP(CONCAT(HE71,HF71),'MASTER PLAN'!$AB:$AB,'MASTER PLAN'!$J:$J,0,0)=0,"",XLOOKUP(CONCAT(HE71,HF71),'MASTER PLAN'!$AB:$AB,'MASTER PLAN'!$J:$J,0,0)),"")</f>
        <v/>
      </c>
      <c r="HH71" s="73" t="str">
        <f t="array" ref="HH71">IFERROR(IF(XLOOKUP(CONCAT(HE71,HF71),'PROCESOS PRD'!$J:$J,'PROCESOS PRD'!$H:$H,0,0)=0,"",XLOOKUP(CONCAT(HE71,HF71),'PROCESOS PRD'!$J:$J,'PROCESOS PRD'!$H:$H,0,0)),"")</f>
        <v/>
      </c>
      <c r="HI71" s="71"/>
      <c r="HJ71" s="32"/>
      <c r="HK71" s="72" t="str">
        <f t="array" ref="HK71">IFERROR(IF(XLOOKUP(CONCAT(HI71,HJ71),'MASTER PLAN'!$AB:$AB,'MASTER PLAN'!$J:$J,0,0)=0,"",XLOOKUP(CONCAT(HI71,HJ71),'MASTER PLAN'!$AB:$AB,'MASTER PLAN'!$J:$J,0,0)),"")</f>
        <v/>
      </c>
      <c r="HL71" s="73" t="str">
        <f t="array" ref="HL71">IFERROR(IF(XLOOKUP(CONCAT(HI71,HJ71),'PROCESOS PRD'!$J:$J,'PROCESOS PRD'!$H:$H,0,0)=0,"",XLOOKUP(CONCAT(HI71,HJ71),'PROCESOS PRD'!$J:$J,'PROCESOS PRD'!$H:$H,0,0)),"")</f>
        <v/>
      </c>
      <c r="HM71" s="70"/>
      <c r="HN71" s="71"/>
      <c r="HO71" s="32"/>
      <c r="HP71" s="72" t="str">
        <f t="array" ref="HP71">IFERROR(IF(XLOOKUP(CONCAT(HN71,HO71),'MASTER PLAN'!$AB:$AB,'MASTER PLAN'!$J:$J,0,0)=0,"",XLOOKUP(CONCAT(HN71,HO71),'MASTER PLAN'!$AB:$AB,'MASTER PLAN'!$J:$J,0,0)),"")</f>
        <v/>
      </c>
      <c r="HQ71" s="73" t="str">
        <f t="array" ref="HQ71">IFERROR(IF(XLOOKUP(CONCAT(HN71,HO71),'PROCESOS PRD'!$J:$J,'PROCESOS PRD'!$H:$H,0,0)=0,"",XLOOKUP(CONCAT(HN71,HO71),'PROCESOS PRD'!$J:$J,'PROCESOS PRD'!$H:$H,0,0)),"")</f>
        <v/>
      </c>
      <c r="HR71" s="71"/>
      <c r="HS71" s="32"/>
      <c r="HT71" s="72" t="str">
        <f t="array" ref="HT71">IFERROR(IF(XLOOKUP(CONCAT(HR71,HS71),'MASTER PLAN'!$AB:$AB,'MASTER PLAN'!$J:$J,0,0)=0,"",XLOOKUP(CONCAT(HR71,HS71),'MASTER PLAN'!$AB:$AB,'MASTER PLAN'!$J:$J,0,0)),"")</f>
        <v/>
      </c>
      <c r="HU71" s="73" t="str">
        <f t="array" ref="HU71">IFERROR(IF(XLOOKUP(CONCAT(HR71,HS71),'PROCESOS PRD'!$J:$J,'PROCESOS PRD'!$H:$H,0,0)=0,"",XLOOKUP(CONCAT(HR71,HS71),'PROCESOS PRD'!$J:$J,'PROCESOS PRD'!$H:$H,0,0)),"")</f>
        <v/>
      </c>
      <c r="HV71" s="71"/>
      <c r="HW71" s="32"/>
      <c r="HX71" s="72" t="str">
        <f t="array" ref="HX71">IFERROR(IF(XLOOKUP(CONCAT(HV71,HW71),'MASTER PLAN'!$AB:$AB,'MASTER PLAN'!$J:$J,0,0)=0,"",XLOOKUP(CONCAT(HV71,HW71),'MASTER PLAN'!$AB:$AB,'MASTER PLAN'!$J:$J,0,0)),"")</f>
        <v/>
      </c>
      <c r="HY71" s="73" t="str">
        <f t="array" ref="HY71">IFERROR(IF(XLOOKUP(CONCAT(HV71,HW71),'PROCESOS PRD'!$J:$J,'PROCESOS PRD'!$H:$H,0,0)=0,"",XLOOKUP(CONCAT(HV71,HW71),'PROCESOS PRD'!$J:$J,'PROCESOS PRD'!$H:$H,0,0)),"")</f>
        <v/>
      </c>
      <c r="HZ71" s="71"/>
      <c r="IA71" s="32"/>
      <c r="IB71" s="72" t="str">
        <f t="array" ref="IB71">IFERROR(IF(XLOOKUP(CONCAT(HZ71,IA71),'MASTER PLAN'!$AB:$AB,'MASTER PLAN'!$J:$J,0,0)=0,"",XLOOKUP(CONCAT(HZ71,IA71),'MASTER PLAN'!$AB:$AB,'MASTER PLAN'!$J:$J,0,0)),"")</f>
        <v/>
      </c>
      <c r="IC71" s="73" t="str">
        <f t="array" ref="IC71">IFERROR(IF(XLOOKUP(CONCAT(HZ71,IA71),'PROCESOS PRD'!$J:$J,'PROCESOS PRD'!$H:$H,0,0)=0,"",XLOOKUP(CONCAT(HZ71,IA71),'PROCESOS PRD'!$J:$J,'PROCESOS PRD'!$H:$H,0,0)),"")</f>
        <v/>
      </c>
      <c r="ID71" s="71"/>
      <c r="IE71" s="32"/>
      <c r="IF71" s="72" t="str">
        <f t="array" ref="IF71">IFERROR(IF(XLOOKUP(CONCAT(ID71,IE71),'MASTER PLAN'!$AB:$AB,'MASTER PLAN'!$J:$J,0,0)=0,"",XLOOKUP(CONCAT(ID71,IE71),'MASTER PLAN'!$AB:$AB,'MASTER PLAN'!$J:$J,0,0)),"")</f>
        <v/>
      </c>
      <c r="IG71" s="73" t="str">
        <f t="array" ref="IG71">IFERROR(IF(XLOOKUP(CONCAT(ID71,IE71),'PROCESOS PRD'!$J:$J,'PROCESOS PRD'!$H:$H,0,0)=0,"",XLOOKUP(CONCAT(ID71,IE71),'PROCESOS PRD'!$J:$J,'PROCESOS PRD'!$H:$H,0,0)),"")</f>
        <v/>
      </c>
      <c r="IH71" s="71"/>
      <c r="II71" s="32"/>
      <c r="IJ71" s="72" t="str">
        <f t="array" ref="IJ71">IFERROR(IF(XLOOKUP(CONCAT(IH71,II71),'MASTER PLAN'!$AB:$AB,'MASTER PLAN'!$J:$J,0,0)=0,"",XLOOKUP(CONCAT(IH71,II71),'MASTER PLAN'!$AB:$AB,'MASTER PLAN'!$J:$J,0,0)),"")</f>
        <v/>
      </c>
      <c r="IK71" s="73" t="str">
        <f t="array" ref="IK71">IFERROR(IF(XLOOKUP(CONCAT(IH71,II71),'PROCESOS PRD'!$J:$J,'PROCESOS PRD'!$H:$H,0,0)=0,"",XLOOKUP(CONCAT(IH71,II71),'PROCESOS PRD'!$J:$J,'PROCESOS PRD'!$H:$H,0,0)),"")</f>
        <v/>
      </c>
      <c r="IL71" s="70"/>
      <c r="IM71" s="71"/>
      <c r="IN71" s="32"/>
      <c r="IO71" s="72" t="str">
        <f t="array" ref="IO71">IFERROR(IF(XLOOKUP(CONCAT(IM71,IN71),'MASTER PLAN'!$AB:$AB,'MASTER PLAN'!$J:$J,0,0)=0,"",XLOOKUP(CONCAT(IM71,IN71),'MASTER PLAN'!$AB:$AB,'MASTER PLAN'!$J:$J,0,0)),"")</f>
        <v/>
      </c>
      <c r="IP71" s="73" t="str">
        <f t="array" ref="IP71">IFERROR(IF(XLOOKUP(CONCAT(IM71,IN71),'PROCESOS PRD'!$J:$J,'PROCESOS PRD'!$H:$H,0,0)=0,"",XLOOKUP(CONCAT(IM71,IN71),'PROCESOS PRD'!$J:$J,'PROCESOS PRD'!$H:$H,0,0)),"")</f>
        <v/>
      </c>
      <c r="IQ71" s="71"/>
      <c r="IR71" s="32"/>
      <c r="IS71" s="72" t="str">
        <f t="array" ref="IS71">IFERROR(IF(XLOOKUP(CONCAT(IQ71,IR71),'MASTER PLAN'!$AB:$AB,'MASTER PLAN'!$J:$J,0,0)=0,"",XLOOKUP(CONCAT(IQ71,IR71),'MASTER PLAN'!$AB:$AB,'MASTER PLAN'!$J:$J,0,0)),"")</f>
        <v/>
      </c>
      <c r="IT71" s="73" t="str">
        <f t="array" ref="IT71">IFERROR(IF(XLOOKUP(CONCAT(IQ71,IR71),'PROCESOS PRD'!$J:$J,'PROCESOS PRD'!$H:$H,0,0)=0,"",XLOOKUP(CONCAT(IQ71,IR71),'PROCESOS PRD'!$J:$J,'PROCESOS PRD'!$H:$H,0,0)),"")</f>
        <v/>
      </c>
      <c r="IU71" s="71"/>
      <c r="IV71" s="32"/>
      <c r="IW71" s="72" t="str">
        <f t="array" ref="IW71">IFERROR(IF(XLOOKUP(CONCAT(IU71,IV71),'MASTER PLAN'!$AB:$AB,'MASTER PLAN'!$J:$J,0,0)=0,"",XLOOKUP(CONCAT(IU71,IV71),'MASTER PLAN'!$AB:$AB,'MASTER PLAN'!$J:$J,0,0)),"")</f>
        <v/>
      </c>
      <c r="IX71" s="73" t="str">
        <f t="array" ref="IX71">IFERROR(IF(XLOOKUP(CONCAT(IU71,IV71),'PROCESOS PRD'!$J:$J,'PROCESOS PRD'!$H:$H,0,0)=0,"",XLOOKUP(CONCAT(IU71,IV71),'PROCESOS PRD'!$J:$J,'PROCESOS PRD'!$H:$H,0,0)),"")</f>
        <v/>
      </c>
      <c r="IY71" s="71"/>
      <c r="IZ71" s="32"/>
      <c r="JA71" s="72" t="str">
        <f t="array" ref="JA71">IFERROR(IF(XLOOKUP(CONCAT(IY71,IZ71),'MASTER PLAN'!$AB:$AB,'MASTER PLAN'!$J:$J,0,0)=0,"",XLOOKUP(CONCAT(IY71,IZ71),'MASTER PLAN'!$AB:$AB,'MASTER PLAN'!$J:$J,0,0)),"")</f>
        <v/>
      </c>
      <c r="JB71" s="73" t="str">
        <f t="array" ref="JB71">IFERROR(IF(XLOOKUP(CONCAT(IY71,IZ71),'PROCESOS PRD'!$J:$J,'PROCESOS PRD'!$H:$H,0,0)=0,"",XLOOKUP(CONCAT(IY71,IZ71),'PROCESOS PRD'!$J:$J,'PROCESOS PRD'!$H:$H,0,0)),"")</f>
        <v/>
      </c>
      <c r="JC71" s="71"/>
      <c r="JD71" s="32"/>
      <c r="JE71" s="72" t="str">
        <f t="array" ref="JE71">IFERROR(IF(XLOOKUP(CONCAT(JC71,JD71),'MASTER PLAN'!$AB:$AB,'MASTER PLAN'!$J:$J,0,0)=0,"",XLOOKUP(CONCAT(JC71,JD71),'MASTER PLAN'!$AB:$AB,'MASTER PLAN'!$J:$J,0,0)),"")</f>
        <v/>
      </c>
      <c r="JF71" s="73" t="str">
        <f t="array" ref="JF71">IFERROR(IF(XLOOKUP(CONCAT(JC71,JD71),'PROCESOS PRD'!$J:$J,'PROCESOS PRD'!$H:$H,0,0)=0,"",XLOOKUP(CONCAT(JC71,JD71),'PROCESOS PRD'!$J:$J,'PROCESOS PRD'!$H:$H,0,0)),"")</f>
        <v/>
      </c>
      <c r="JG71" s="71"/>
      <c r="JH71" s="32"/>
      <c r="JI71" s="72" t="str">
        <f t="array" ref="JI71">IFERROR(IF(XLOOKUP(CONCAT(JG71,JH71),'MASTER PLAN'!$AB:$AB,'MASTER PLAN'!$J:$J,0,0)=0,"",XLOOKUP(CONCAT(JG71,JH71),'MASTER PLAN'!$AB:$AB,'MASTER PLAN'!$J:$J,0,0)),"")</f>
        <v/>
      </c>
      <c r="JJ71" s="73" t="str">
        <f t="array" ref="JJ71">IFERROR(IF(XLOOKUP(CONCAT(JG71,JH71),'PROCESOS PRD'!$J:$J,'PROCESOS PRD'!$H:$H,0,0)=0,"",XLOOKUP(CONCAT(JG71,JH71),'PROCESOS PRD'!$J:$J,'PROCESOS PRD'!$H:$H,0,0)),"")</f>
        <v/>
      </c>
      <c r="JK71" s="70"/>
      <c r="JL71" s="71"/>
      <c r="JM71" s="32"/>
      <c r="JN71" s="72" t="str">
        <f t="array" ref="JN71">IFERROR(IF(XLOOKUP(CONCAT(JL71,JM71),'MASTER PLAN'!$AB:$AB,'MASTER PLAN'!$J:$J,0,0)=0,"",XLOOKUP(CONCAT(JL71,JM71),'MASTER PLAN'!$AB:$AB,'MASTER PLAN'!$J:$J,0,0)),"")</f>
        <v/>
      </c>
      <c r="JO71" s="73" t="str">
        <f t="array" ref="JO71">IFERROR(IF(XLOOKUP(CONCAT(JL71,JM71),'PROCESOS PRD'!$J:$J,'PROCESOS PRD'!$H:$H,0,0)=0,"",XLOOKUP(CONCAT(JL71,JM71),'PROCESOS PRD'!$J:$J,'PROCESOS PRD'!$H:$H,0,0)),"")</f>
        <v/>
      </c>
      <c r="JP71" s="71"/>
      <c r="JQ71" s="32"/>
      <c r="JR71" s="72" t="str">
        <f t="array" ref="JR71">IFERROR(IF(XLOOKUP(CONCAT(JP71,JQ71),'MASTER PLAN'!$AB:$AB,'MASTER PLAN'!$J:$J,0,0)=0,"",XLOOKUP(CONCAT(JP71,JQ71),'MASTER PLAN'!$AB:$AB,'MASTER PLAN'!$J:$J,0,0)),"")</f>
        <v/>
      </c>
      <c r="JS71" s="73" t="str">
        <f t="array" ref="JS71">IFERROR(IF(XLOOKUP(CONCAT(JP71,JQ71),'PROCESOS PRD'!$J:$J,'PROCESOS PRD'!$H:$H,0,0)=0,"",XLOOKUP(CONCAT(JP71,JQ71),'PROCESOS PRD'!$J:$J,'PROCESOS PRD'!$H:$H,0,0)),"")</f>
        <v/>
      </c>
      <c r="JT71" s="71"/>
      <c r="JU71" s="32"/>
      <c r="JV71" s="72" t="str">
        <f t="array" ref="JV71">IFERROR(IF(XLOOKUP(CONCAT(JT71,JU71),'MASTER PLAN'!$AB:$AB,'MASTER PLAN'!$J:$J,0,0)=0,"",XLOOKUP(CONCAT(JT71,JU71),'MASTER PLAN'!$AB:$AB,'MASTER PLAN'!$J:$J,0,0)),"")</f>
        <v/>
      </c>
      <c r="JW71" s="73" t="str">
        <f t="array" ref="JW71">IFERROR(IF(XLOOKUP(CONCAT(JT71,JU71),'PROCESOS PRD'!$J:$J,'PROCESOS PRD'!$H:$H,0,0)=0,"",XLOOKUP(CONCAT(JT71,JU71),'PROCESOS PRD'!$J:$J,'PROCESOS PRD'!$H:$H,0,0)),"")</f>
        <v/>
      </c>
      <c r="JX71" s="71"/>
      <c r="JY71" s="32"/>
      <c r="JZ71" s="72" t="str">
        <f t="array" ref="JZ71">IFERROR(IF(XLOOKUP(CONCAT(JX71,JY71),'MASTER PLAN'!$AB:$AB,'MASTER PLAN'!$J:$J,0,0)=0,"",XLOOKUP(CONCAT(JX71,JY71),'MASTER PLAN'!$AB:$AB,'MASTER PLAN'!$J:$J,0,0)),"")</f>
        <v/>
      </c>
      <c r="KA71" s="73" t="str">
        <f t="array" ref="KA71">IFERROR(IF(XLOOKUP(CONCAT(JX71,JY71),'PROCESOS PRD'!$J:$J,'PROCESOS PRD'!$H:$H,0,0)=0,"",XLOOKUP(CONCAT(JX71,JY71),'PROCESOS PRD'!$J:$J,'PROCESOS PRD'!$H:$H,0,0)),"")</f>
        <v/>
      </c>
      <c r="KB71" s="71"/>
      <c r="KC71" s="32"/>
      <c r="KD71" s="72" t="str">
        <f t="array" ref="KD71">IFERROR(IF(XLOOKUP(CONCAT(KB71,KC71),'MASTER PLAN'!$AB:$AB,'MASTER PLAN'!$J:$J,0,0)=0,"",XLOOKUP(CONCAT(KB71,KC71),'MASTER PLAN'!$AB:$AB,'MASTER PLAN'!$J:$J,0,0)),"")</f>
        <v/>
      </c>
      <c r="KE71" s="73" t="str">
        <f t="array" ref="KE71">IFERROR(IF(XLOOKUP(CONCAT(KB71,KC71),'PROCESOS PRD'!$J:$J,'PROCESOS PRD'!$H:$H,0,0)=0,"",XLOOKUP(CONCAT(KB71,KC71),'PROCESOS PRD'!$J:$J,'PROCESOS PRD'!$H:$H,0,0)),"")</f>
        <v/>
      </c>
      <c r="KF71" s="71"/>
      <c r="KG71" s="32"/>
      <c r="KH71" s="72" t="str">
        <f t="array" ref="KH71">IFERROR(IF(XLOOKUP(CONCAT(KF71,KG71),'MASTER PLAN'!$AB:$AB,'MASTER PLAN'!$J:$J,0,0)=0,"",XLOOKUP(CONCAT(KF71,KG71),'MASTER PLAN'!$AB:$AB,'MASTER PLAN'!$J:$J,0,0)),"")</f>
        <v/>
      </c>
      <c r="KI71" s="73" t="str">
        <f t="array" ref="KI71">IFERROR(IF(XLOOKUP(CONCAT(KF71,KG71),'PROCESOS PRD'!$J:$J,'PROCESOS PRD'!$H:$H,0,0)=0,"",XLOOKUP(CONCAT(KF71,KG71),'PROCESOS PRD'!$J:$J,'PROCESOS PRD'!$H:$H,0,0)),"")</f>
        <v/>
      </c>
      <c r="KJ71" s="70"/>
      <c r="KK71" s="70"/>
      <c r="KL71" s="70"/>
      <c r="KM71" s="70"/>
      <c r="KN71" s="70"/>
      <c r="KO71" s="70"/>
      <c r="KP71" s="70"/>
      <c r="KQ71" s="70"/>
      <c r="KR71" s="70"/>
      <c r="KS71" s="70"/>
      <c r="KT71" s="70"/>
      <c r="KU71" s="70"/>
      <c r="KV71" s="70"/>
      <c r="KW71" s="70"/>
      <c r="KX71" s="70"/>
      <c r="KY71" s="70"/>
      <c r="KZ71" s="70"/>
      <c r="LA71" s="70"/>
      <c r="LB71" s="70"/>
      <c r="LC71" s="70"/>
    </row>
    <row r="72" ht="15.75" customHeight="1">
      <c r="A72" s="42"/>
      <c r="B72" s="75"/>
      <c r="C72" s="76"/>
      <c r="D72" s="70"/>
      <c r="E72" s="77"/>
      <c r="F72" s="78"/>
      <c r="G72" s="79" t="str">
        <f t="array" ref="G72">IFERROR(IF(XLOOKUP(CONCAT(E72,F72),'MASTER PLAN'!$AB:$AB,'MASTER PLAN'!$J:$J,0,0)=0,"",XLOOKUP(CONCAT(E72,F72),'MASTER PLAN'!$AB:$AB,'MASTER PLAN'!$J:$J,0,0)),"")</f>
        <v/>
      </c>
      <c r="H72" s="80" t="str">
        <f t="array" ref="H72">IFERROR(IF(XLOOKUP(CONCAT(E72,F72),'PROCESOS PRD'!$J:$J,'PROCESOS PRD'!$H:$H,0,0)=0,"",XLOOKUP(CONCAT(E72,F72),'PROCESOS PRD'!$J:$J,'PROCESOS PRD'!$H:$H,0,0)),"")</f>
        <v/>
      </c>
      <c r="I72" s="77"/>
      <c r="J72" s="78"/>
      <c r="K72" s="79" t="str">
        <f t="array" ref="K72">IFERROR(IF(XLOOKUP(CONCAT(I72,J72),'MASTER PLAN'!$AB:$AB,'MASTER PLAN'!$J:$J,0,0)=0,"",XLOOKUP(CONCAT(I72,J72),'MASTER PLAN'!$AB:$AB,'MASTER PLAN'!$J:$J,0,0)),"")</f>
        <v/>
      </c>
      <c r="L72" s="80" t="str">
        <f t="array" ref="L72">IFERROR(IF(XLOOKUP(CONCAT(I72,J72),'PROCESOS PRD'!$J:$J,'PROCESOS PRD'!$H:$H,0,0)=0,"",XLOOKUP(CONCAT(I72,J72),'PROCESOS PRD'!$J:$J,'PROCESOS PRD'!$H:$H,0,0)),"")</f>
        <v/>
      </c>
      <c r="M72" s="77"/>
      <c r="N72" s="78"/>
      <c r="O72" s="79" t="str">
        <f t="array" ref="O72">IFERROR(IF(XLOOKUP(CONCAT(M72,N72),'MASTER PLAN'!$AB:$AB,'MASTER PLAN'!$J:$J,0,0)=0,"",XLOOKUP(CONCAT(M72,N72),'MASTER PLAN'!$AB:$AB,'MASTER PLAN'!$J:$J,0,0)),"")</f>
        <v/>
      </c>
      <c r="P72" s="80" t="str">
        <f t="array" ref="P72">IFERROR(IF(XLOOKUP(CONCAT(M72,N72),'PROCESOS PRD'!$J:$J,'PROCESOS PRD'!$H:$H,0,0)=0,"",XLOOKUP(CONCAT(M72,N72),'PROCESOS PRD'!$J:$J,'PROCESOS PRD'!$H:$H,0,0)),"")</f>
        <v/>
      </c>
      <c r="Q72" s="77"/>
      <c r="R72" s="78"/>
      <c r="S72" s="79" t="str">
        <f t="array" ref="S72">IFERROR(IF(XLOOKUP(CONCAT(Q72,R72),'MASTER PLAN'!$AB:$AB,'MASTER PLAN'!$J:$J,0,0)=0,"",XLOOKUP(CONCAT(Q72,R72),'MASTER PLAN'!$AB:$AB,'MASTER PLAN'!$J:$J,0,0)),"")</f>
        <v/>
      </c>
      <c r="T72" s="80" t="str">
        <f t="array" ref="T72">IFERROR(IF(XLOOKUP(CONCAT(Q72,R72),'PROCESOS PRD'!$J:$J,'PROCESOS PRD'!$H:$H,0,0)=0,"",XLOOKUP(CONCAT(Q72,R72),'PROCESOS PRD'!$J:$J,'PROCESOS PRD'!$H:$H,0,0)),"")</f>
        <v/>
      </c>
      <c r="U72" s="70"/>
      <c r="V72" s="77"/>
      <c r="W72" s="78"/>
      <c r="X72" s="79" t="str">
        <f t="array" ref="X72">IFERROR(IF(XLOOKUP(CONCAT(V72,W72),'MASTER PLAN'!$AB:$AB,'MASTER PLAN'!$J:$J,0,0)=0,"",XLOOKUP(CONCAT(V72,W72),'MASTER PLAN'!$AB:$AB,'MASTER PLAN'!$J:$J,0,0)),"")</f>
        <v/>
      </c>
      <c r="Y72" s="80" t="str">
        <f t="array" ref="Y72">IFERROR(IF(XLOOKUP(CONCAT(V72,W72),'PROCESOS PRD'!$J:$J,'PROCESOS PRD'!$H:$H,0,0)=0,"",XLOOKUP(CONCAT(V72,W72),'PROCESOS PRD'!$J:$J,'PROCESOS PRD'!$H:$H,0,0)),"")</f>
        <v/>
      </c>
      <c r="Z72" s="77"/>
      <c r="AA72" s="78"/>
      <c r="AB72" s="79" t="str">
        <f t="array" ref="AB72">IFERROR(IF(XLOOKUP(CONCAT(Z72,AA72),'MASTER PLAN'!$AB:$AB,'MASTER PLAN'!$J:$J,0,0)=0,"",XLOOKUP(CONCAT(Z72,AA72),'MASTER PLAN'!$AB:$AB,'MASTER PLAN'!$J:$J,0,0)),"")</f>
        <v/>
      </c>
      <c r="AC72" s="80" t="str">
        <f t="array" ref="AC72">IFERROR(IF(XLOOKUP(CONCAT(Z72,AA72),'PROCESOS PRD'!$J:$J,'PROCESOS PRD'!$H:$H,0,0)=0,"",XLOOKUP(CONCAT(Z72,AA72),'PROCESOS PRD'!$J:$J,'PROCESOS PRD'!$H:$H,0,0)),"")</f>
        <v/>
      </c>
      <c r="AD72" s="77"/>
      <c r="AE72" s="78"/>
      <c r="AF72" s="79" t="str">
        <f t="array" ref="AF72">IFERROR(IF(XLOOKUP(CONCAT(AD72,AE72),'MASTER PLAN'!$AB:$AB,'MASTER PLAN'!$J:$J,0,0)=0,"",XLOOKUP(CONCAT(AD72,AE72),'MASTER PLAN'!$AB:$AB,'MASTER PLAN'!$J:$J,0,0)),"")</f>
        <v/>
      </c>
      <c r="AG72" s="80" t="str">
        <f t="array" ref="AG72">IFERROR(IF(XLOOKUP(CONCAT(AD72,AE72),'PROCESOS PRD'!$J:$J,'PROCESOS PRD'!$H:$H,0,0)=0,"",XLOOKUP(CONCAT(AD72,AE72),'PROCESOS PRD'!$J:$J,'PROCESOS PRD'!$H:$H,0,0)),"")</f>
        <v/>
      </c>
      <c r="AH72" s="77"/>
      <c r="AI72" s="78"/>
      <c r="AJ72" s="79" t="str">
        <f t="array" ref="AJ72">IFERROR(IF(XLOOKUP(CONCAT(AH72,AI72),'MASTER PLAN'!$AB:$AB,'MASTER PLAN'!$J:$J,0,0)=0,"",XLOOKUP(CONCAT(AH72,AI72),'MASTER PLAN'!$AB:$AB,'MASTER PLAN'!$J:$J,0,0)),"")</f>
        <v/>
      </c>
      <c r="AK72" s="80" t="str">
        <f t="array" ref="AK72">IFERROR(IF(XLOOKUP(CONCAT(AH72,AI72),'PROCESOS PRD'!$J:$J,'PROCESOS PRD'!$H:$H,0,0)=0,"",XLOOKUP(CONCAT(AH72,AI72),'PROCESOS PRD'!$J:$J,'PROCESOS PRD'!$H:$H,0,0)),"")</f>
        <v/>
      </c>
      <c r="AL72" s="77"/>
      <c r="AM72" s="78"/>
      <c r="AN72" s="79" t="str">
        <f t="array" ref="AN72">IFERROR(IF(XLOOKUP(CONCAT(AL72,AM72),'MASTER PLAN'!$AB:$AB,'MASTER PLAN'!$J:$J,0,0)=0,"",XLOOKUP(CONCAT(AL72,AM72),'MASTER PLAN'!$AB:$AB,'MASTER PLAN'!$J:$J,0,0)),"")</f>
        <v/>
      </c>
      <c r="AO72" s="80" t="str">
        <f t="array" ref="AO72">IFERROR(IF(XLOOKUP(CONCAT(AL72,AM72),'PROCESOS PRD'!$J:$J,'PROCESOS PRD'!$H:$H,0,0)=0,"",XLOOKUP(CONCAT(AL72,AM72),'PROCESOS PRD'!$J:$J,'PROCESOS PRD'!$H:$H,0,0)),"")</f>
        <v/>
      </c>
      <c r="AP72" s="77"/>
      <c r="AQ72" s="78"/>
      <c r="AR72" s="79" t="str">
        <f t="array" ref="AR72">IFERROR(IF(XLOOKUP(CONCAT(AP72,AQ72),'MASTER PLAN'!$AB:$AB,'MASTER PLAN'!$J:$J,0,0)=0,"",XLOOKUP(CONCAT(AP72,AQ72),'MASTER PLAN'!$AB:$AB,'MASTER PLAN'!$J:$J,0,0)),"")</f>
        <v/>
      </c>
      <c r="AS72" s="80" t="str">
        <f t="array" ref="AS72">IFERROR(IF(XLOOKUP(CONCAT(AP72,AQ72),'PROCESOS PRD'!$J:$J,'PROCESOS PRD'!$H:$H,0,0)=0,"",XLOOKUP(CONCAT(AP72,AQ72),'PROCESOS PRD'!$J:$J,'PROCESOS PRD'!$H:$H,0,0)),"")</f>
        <v/>
      </c>
      <c r="AT72" s="70"/>
      <c r="AU72" s="77"/>
      <c r="AV72" s="78"/>
      <c r="AW72" s="79" t="str">
        <f t="array" ref="AW72">IFERROR(IF(XLOOKUP(CONCAT(AU72,AV72),'MASTER PLAN'!$AB:$AB,'MASTER PLAN'!$J:$J,0,0)=0,"",XLOOKUP(CONCAT(AU72,AV72),'MASTER PLAN'!$AB:$AB,'MASTER PLAN'!$J:$J,0,0)),"")</f>
        <v/>
      </c>
      <c r="AX72" s="80" t="str">
        <f t="array" ref="AX72">IFERROR(IF(XLOOKUP(CONCAT(AU72,AV72),'PROCESOS PRD'!$J:$J,'PROCESOS PRD'!$H:$H,0,0)=0,"",XLOOKUP(CONCAT(AU72,AV72),'PROCESOS PRD'!$J:$J,'PROCESOS PRD'!$H:$H,0,0)),"")</f>
        <v/>
      </c>
      <c r="AY72" s="77"/>
      <c r="AZ72" s="78"/>
      <c r="BA72" s="79" t="str">
        <f t="array" ref="BA72">IFERROR(IF(XLOOKUP(CONCAT(AY72,AZ72),'MASTER PLAN'!$AB:$AB,'MASTER PLAN'!$J:$J,0,0)=0,"",XLOOKUP(CONCAT(AY72,AZ72),'MASTER PLAN'!$AB:$AB,'MASTER PLAN'!$J:$J,0,0)),"")</f>
        <v/>
      </c>
      <c r="BB72" s="80" t="str">
        <f t="array" ref="BB72">IFERROR(IF(XLOOKUP(CONCAT(AY72,AZ72),'PROCESOS PRD'!$J:$J,'PROCESOS PRD'!$H:$H,0,0)=0,"",XLOOKUP(CONCAT(AY72,AZ72),'PROCESOS PRD'!$J:$J,'PROCESOS PRD'!$H:$H,0,0)),"")</f>
        <v/>
      </c>
      <c r="BC72" s="77"/>
      <c r="BD72" s="78"/>
      <c r="BE72" s="79" t="str">
        <f t="array" ref="BE72">IFERROR(IF(XLOOKUP(CONCAT(BC72,BD72),'MASTER PLAN'!$AB:$AB,'MASTER PLAN'!$J:$J,0,0)=0,"",XLOOKUP(CONCAT(BC72,BD72),'MASTER PLAN'!$AB:$AB,'MASTER PLAN'!$J:$J,0,0)),"")</f>
        <v/>
      </c>
      <c r="BF72" s="80" t="str">
        <f t="array" ref="BF72">IFERROR(IF(XLOOKUP(CONCAT(BC72,BD72),'PROCESOS PRD'!$J:$J,'PROCESOS PRD'!$H:$H,0,0)=0,"",XLOOKUP(CONCAT(BC72,BD72),'PROCESOS PRD'!$J:$J,'PROCESOS PRD'!$H:$H,0,0)),"")</f>
        <v/>
      </c>
      <c r="BG72" s="77"/>
      <c r="BH72" s="78"/>
      <c r="BI72" s="79" t="str">
        <f t="array" ref="BI72">IFERROR(IF(XLOOKUP(CONCAT(BG72,BH72),'MASTER PLAN'!$AB:$AB,'MASTER PLAN'!$J:$J,0,0)=0,"",XLOOKUP(CONCAT(BG72,BH72),'MASTER PLAN'!$AB:$AB,'MASTER PLAN'!$J:$J,0,0)),"")</f>
        <v/>
      </c>
      <c r="BJ72" s="80" t="str">
        <f t="array" ref="BJ72">IFERROR(IF(XLOOKUP(CONCAT(BG72,BH72),'PROCESOS PRD'!$J:$J,'PROCESOS PRD'!$H:$H,0,0)=0,"",XLOOKUP(CONCAT(BG72,BH72),'PROCESOS PRD'!$J:$J,'PROCESOS PRD'!$H:$H,0,0)),"")</f>
        <v/>
      </c>
      <c r="BK72" s="77"/>
      <c r="BL72" s="78"/>
      <c r="BM72" s="79" t="str">
        <f t="array" ref="BM72">IFERROR(IF(XLOOKUP(CONCAT(BK72,BL72),'MASTER PLAN'!$AB:$AB,'MASTER PLAN'!$J:$J,0,0)=0,"",XLOOKUP(CONCAT(BK72,BL72),'MASTER PLAN'!$AB:$AB,'MASTER PLAN'!$J:$J,0,0)),"")</f>
        <v/>
      </c>
      <c r="BN72" s="80" t="str">
        <f t="array" ref="BN72">IFERROR(IF(XLOOKUP(CONCAT(BK72,BL72),'PROCESOS PRD'!$J:$J,'PROCESOS PRD'!$H:$H,0,0)=0,"",XLOOKUP(CONCAT(BK72,BL72),'PROCESOS PRD'!$J:$J,'PROCESOS PRD'!$H:$H,0,0)),"")</f>
        <v/>
      </c>
      <c r="BO72" s="77"/>
      <c r="BP72" s="78"/>
      <c r="BQ72" s="79" t="str">
        <f t="array" ref="BQ72">IFERROR(IF(XLOOKUP(CONCAT(BO72,BP72),'MASTER PLAN'!$AB:$AB,'MASTER PLAN'!$J:$J,0,0)=0,"",XLOOKUP(CONCAT(BO72,BP72),'MASTER PLAN'!$AB:$AB,'MASTER PLAN'!$J:$J,0,0)),"")</f>
        <v/>
      </c>
      <c r="BR72" s="80" t="str">
        <f t="array" ref="BR72">IFERROR(IF(XLOOKUP(CONCAT(BO72,BP72),'PROCESOS PRD'!$J:$J,'PROCESOS PRD'!$H:$H,0,0)=0,"",XLOOKUP(CONCAT(BO72,BP72),'PROCESOS PRD'!$J:$J,'PROCESOS PRD'!$H:$H,0,0)),"")</f>
        <v/>
      </c>
      <c r="BS72" s="70"/>
      <c r="BT72" s="77"/>
      <c r="BU72" s="78"/>
      <c r="BV72" s="79" t="str">
        <f t="array" ref="BV72">IFERROR(IF(XLOOKUP(CONCAT(BT72,BU72),'MASTER PLAN'!$AB:$AB,'MASTER PLAN'!$J:$J,0,0)=0,"",XLOOKUP(CONCAT(BT72,BU72),'MASTER PLAN'!$AB:$AB,'MASTER PLAN'!$J:$J,0,0)),"")</f>
        <v/>
      </c>
      <c r="BW72" s="80" t="str">
        <f t="array" ref="BW72">IFERROR(IF(XLOOKUP(CONCAT(BT72,BU72),'PROCESOS PRD'!$J:$J,'PROCESOS PRD'!$H:$H,0,0)=0,"",XLOOKUP(CONCAT(BT72,BU72),'PROCESOS PRD'!$J:$J,'PROCESOS PRD'!$H:$H,0,0)),"")</f>
        <v/>
      </c>
      <c r="BX72" s="77"/>
      <c r="BY72" s="78"/>
      <c r="BZ72" s="79" t="str">
        <f t="array" ref="BZ72">IFERROR(IF(XLOOKUP(CONCAT(BX72,BY72),'MASTER PLAN'!$AB:$AB,'MASTER PLAN'!$J:$J,0,0)=0,"",XLOOKUP(CONCAT(BX72,BY72),'MASTER PLAN'!$AB:$AB,'MASTER PLAN'!$J:$J,0,0)),"")</f>
        <v/>
      </c>
      <c r="CA72" s="80" t="str">
        <f t="array" ref="CA72">IFERROR(IF(XLOOKUP(CONCAT(BX72,BY72),'PROCESOS PRD'!$J:$J,'PROCESOS PRD'!$H:$H,0,0)=0,"",XLOOKUP(CONCAT(BX72,BY72),'PROCESOS PRD'!$J:$J,'PROCESOS PRD'!$H:$H,0,0)),"")</f>
        <v/>
      </c>
      <c r="CB72" s="77"/>
      <c r="CC72" s="78"/>
      <c r="CD72" s="79" t="str">
        <f t="array" ref="CD72">IFERROR(IF(XLOOKUP(CONCAT(CB72,CC72),'MASTER PLAN'!$AB:$AB,'MASTER PLAN'!$J:$J,0,0)=0,"",XLOOKUP(CONCAT(CB72,CC72),'MASTER PLAN'!$AB:$AB,'MASTER PLAN'!$J:$J,0,0)),"")</f>
        <v/>
      </c>
      <c r="CE72" s="80" t="str">
        <f t="array" ref="CE72">IFERROR(IF(XLOOKUP(CONCAT(CB72,CC72),'PROCESOS PRD'!$J:$J,'PROCESOS PRD'!$H:$H,0,0)=0,"",XLOOKUP(CONCAT(CB72,CC72),'PROCESOS PRD'!$J:$J,'PROCESOS PRD'!$H:$H,0,0)),"")</f>
        <v/>
      </c>
      <c r="CF72" s="77"/>
      <c r="CG72" s="78"/>
      <c r="CH72" s="79" t="str">
        <f t="array" ref="CH72">IFERROR(IF(XLOOKUP(CONCAT(CF72,CG72),'MASTER PLAN'!$AB:$AB,'MASTER PLAN'!$J:$J,0,0)=0,"",XLOOKUP(CONCAT(CF72,CG72),'MASTER PLAN'!$AB:$AB,'MASTER PLAN'!$J:$J,0,0)),"")</f>
        <v/>
      </c>
      <c r="CI72" s="80" t="str">
        <f t="array" ref="CI72">IFERROR(IF(XLOOKUP(CONCAT(CF72,CG72),'PROCESOS PRD'!$J:$J,'PROCESOS PRD'!$H:$H,0,0)=0,"",XLOOKUP(CONCAT(CF72,CG72),'PROCESOS PRD'!$J:$J,'PROCESOS PRD'!$H:$H,0,0)),"")</f>
        <v/>
      </c>
      <c r="CJ72" s="77"/>
      <c r="CK72" s="78"/>
      <c r="CL72" s="79" t="str">
        <f t="array" ref="CL72">IFERROR(IF(XLOOKUP(CONCAT(CJ72,CK72),'MASTER PLAN'!$AB:$AB,'MASTER PLAN'!$J:$J,0,0)=0,"",XLOOKUP(CONCAT(CJ72,CK72),'MASTER PLAN'!$AB:$AB,'MASTER PLAN'!$J:$J,0,0)),"")</f>
        <v/>
      </c>
      <c r="CM72" s="80" t="str">
        <f t="array" ref="CM72">IFERROR(IF(XLOOKUP(CONCAT(CJ72,CK72),'PROCESOS PRD'!$J:$J,'PROCESOS PRD'!$H:$H,0,0)=0,"",XLOOKUP(CONCAT(CJ72,CK72),'PROCESOS PRD'!$J:$J,'PROCESOS PRD'!$H:$H,0,0)),"")</f>
        <v/>
      </c>
      <c r="CN72" s="77"/>
      <c r="CO72" s="78"/>
      <c r="CP72" s="79" t="str">
        <f t="array" ref="CP72">IFERROR(IF(XLOOKUP(CONCAT(CN72,CO72),'MASTER PLAN'!$AB:$AB,'MASTER PLAN'!$J:$J,0,0)=0,"",XLOOKUP(CONCAT(CN72,CO72),'MASTER PLAN'!$AB:$AB,'MASTER PLAN'!$J:$J,0,0)),"")</f>
        <v/>
      </c>
      <c r="CQ72" s="80" t="str">
        <f t="array" ref="CQ72">IFERROR(IF(XLOOKUP(CONCAT(CN72,CO72),'PROCESOS PRD'!$J:$J,'PROCESOS PRD'!$H:$H,0,0)=0,"",XLOOKUP(CONCAT(CN72,CO72),'PROCESOS PRD'!$J:$J,'PROCESOS PRD'!$H:$H,0,0)),"")</f>
        <v/>
      </c>
      <c r="CR72" s="70"/>
      <c r="CS72" s="77"/>
      <c r="CT72" s="78"/>
      <c r="CU72" s="79" t="str">
        <f t="array" ref="CU72">IFERROR(IF(XLOOKUP(CONCAT(CS72,CT72),'MASTER PLAN'!$AB:$AB,'MASTER PLAN'!$J:$J,0,0)=0,"",XLOOKUP(CONCAT(CS72,CT72),'MASTER PLAN'!$AB:$AB,'MASTER PLAN'!$J:$J,0,0)),"")</f>
        <v/>
      </c>
      <c r="CV72" s="80" t="str">
        <f t="array" ref="CV72">IFERROR(IF(XLOOKUP(CONCAT(CS72,CT72),'PROCESOS PRD'!$J:$J,'PROCESOS PRD'!$H:$H,0,0)=0,"",XLOOKUP(CONCAT(CS72,CT72),'PROCESOS PRD'!$J:$J,'PROCESOS PRD'!$H:$H,0,0)),"")</f>
        <v/>
      </c>
      <c r="CW72" s="77"/>
      <c r="CX72" s="78"/>
      <c r="CY72" s="79" t="str">
        <f t="array" ref="CY72">IFERROR(IF(XLOOKUP(CONCAT(CW72,CX72),'MASTER PLAN'!$AB:$AB,'MASTER PLAN'!$J:$J,0,0)=0,"",XLOOKUP(CONCAT(CW72,CX72),'MASTER PLAN'!$AB:$AB,'MASTER PLAN'!$J:$J,0,0)),"")</f>
        <v/>
      </c>
      <c r="CZ72" s="80" t="str">
        <f t="array" ref="CZ72">IFERROR(IF(XLOOKUP(CONCAT(CW72,CX72),'PROCESOS PRD'!$J:$J,'PROCESOS PRD'!$H:$H,0,0)=0,"",XLOOKUP(CONCAT(CW72,CX72),'PROCESOS PRD'!$J:$J,'PROCESOS PRD'!$H:$H,0,0)),"")</f>
        <v/>
      </c>
      <c r="DA72" s="77"/>
      <c r="DB72" s="78"/>
      <c r="DC72" s="79" t="str">
        <f t="array" ref="DC72">IFERROR(IF(XLOOKUP(CONCAT(DA72,DB72),'MASTER PLAN'!$AB:$AB,'MASTER PLAN'!$J:$J,0,0)=0,"",XLOOKUP(CONCAT(DA72,DB72),'MASTER PLAN'!$AB:$AB,'MASTER PLAN'!$J:$J,0,0)),"")</f>
        <v/>
      </c>
      <c r="DD72" s="80" t="str">
        <f t="array" ref="DD72">IFERROR(IF(XLOOKUP(CONCAT(DA72,DB72),'PROCESOS PRD'!$J:$J,'PROCESOS PRD'!$H:$H,0,0)=0,"",XLOOKUP(CONCAT(DA72,DB72),'PROCESOS PRD'!$J:$J,'PROCESOS PRD'!$H:$H,0,0)),"")</f>
        <v/>
      </c>
      <c r="DE72" s="77"/>
      <c r="DF72" s="78"/>
      <c r="DG72" s="79" t="str">
        <f t="array" ref="DG72">IFERROR(IF(XLOOKUP(CONCAT(DE72,DF72),'MASTER PLAN'!$AB:$AB,'MASTER PLAN'!$J:$J,0,0)=0,"",XLOOKUP(CONCAT(DE72,DF72),'MASTER PLAN'!$AB:$AB,'MASTER PLAN'!$J:$J,0,0)),"")</f>
        <v/>
      </c>
      <c r="DH72" s="80" t="str">
        <f t="array" ref="DH72">IFERROR(IF(XLOOKUP(CONCAT(DE72,DF72),'PROCESOS PRD'!$J:$J,'PROCESOS PRD'!$H:$H,0,0)=0,"",XLOOKUP(CONCAT(DE72,DF72),'PROCESOS PRD'!$J:$J,'PROCESOS PRD'!$H:$H,0,0)),"")</f>
        <v/>
      </c>
      <c r="DI72" s="77"/>
      <c r="DJ72" s="78"/>
      <c r="DK72" s="79" t="str">
        <f t="array" ref="DK72">IFERROR(IF(XLOOKUP(CONCAT(DI72,DJ72),'MASTER PLAN'!$AB:$AB,'MASTER PLAN'!$J:$J,0,0)=0,"",XLOOKUP(CONCAT(DI72,DJ72),'MASTER PLAN'!$AB:$AB,'MASTER PLAN'!$J:$J,0,0)),"")</f>
        <v/>
      </c>
      <c r="DL72" s="80" t="str">
        <f t="array" ref="DL72">IFERROR(IF(XLOOKUP(CONCAT(DI72,DJ72),'PROCESOS PRD'!$J:$J,'PROCESOS PRD'!$H:$H,0,0)=0,"",XLOOKUP(CONCAT(DI72,DJ72),'PROCESOS PRD'!$J:$J,'PROCESOS PRD'!$H:$H,0,0)),"")</f>
        <v/>
      </c>
      <c r="DM72" s="77"/>
      <c r="DN72" s="78"/>
      <c r="DO72" s="79" t="str">
        <f t="array" ref="DO72">IFERROR(IF(XLOOKUP(CONCAT(DM72,DN72),'MASTER PLAN'!$AB:$AB,'MASTER PLAN'!$J:$J,0,0)=0,"",XLOOKUP(CONCAT(DM72,DN72),'MASTER PLAN'!$AB:$AB,'MASTER PLAN'!$J:$J,0,0)),"")</f>
        <v/>
      </c>
      <c r="DP72" s="80" t="str">
        <f t="array" ref="DP72">IFERROR(IF(XLOOKUP(CONCAT(DM72,DN72),'PROCESOS PRD'!$J:$J,'PROCESOS PRD'!$H:$H,0,0)=0,"",XLOOKUP(CONCAT(DM72,DN72),'PROCESOS PRD'!$J:$J,'PROCESOS PRD'!$H:$H,0,0)),"")</f>
        <v/>
      </c>
      <c r="DQ72" s="70"/>
      <c r="DR72" s="77"/>
      <c r="DS72" s="78"/>
      <c r="DT72" s="79" t="str">
        <f t="array" ref="DT72">IFERROR(IF(XLOOKUP(CONCAT(DR72,DS72),'MASTER PLAN'!$AB:$AB,'MASTER PLAN'!$J:$J,0,0)=0,"",XLOOKUP(CONCAT(DR72,DS72),'MASTER PLAN'!$AB:$AB,'MASTER PLAN'!$J:$J,0,0)),"")</f>
        <v/>
      </c>
      <c r="DU72" s="80" t="str">
        <f t="array" ref="DU72">IFERROR(IF(XLOOKUP(CONCAT(DR72,DS72),'PROCESOS PRD'!$J:$J,'PROCESOS PRD'!$H:$H,0,0)=0,"",XLOOKUP(CONCAT(DR72,DS72),'PROCESOS PRD'!$J:$J,'PROCESOS PRD'!$H:$H,0,0)),"")</f>
        <v/>
      </c>
      <c r="DV72" s="77"/>
      <c r="DW72" s="78"/>
      <c r="DX72" s="79" t="str">
        <f t="array" ref="DX72">IFERROR(IF(XLOOKUP(CONCAT(DV72,DW72),'MASTER PLAN'!$AB:$AB,'MASTER PLAN'!$J:$J,0,0)=0,"",XLOOKUP(CONCAT(DV72,DW72),'MASTER PLAN'!$AB:$AB,'MASTER PLAN'!$J:$J,0,0)),"")</f>
        <v/>
      </c>
      <c r="DY72" s="80" t="str">
        <f t="array" ref="DY72">IFERROR(IF(XLOOKUP(CONCAT(DV72,DW72),'PROCESOS PRD'!$J:$J,'PROCESOS PRD'!$H:$H,0,0)=0,"",XLOOKUP(CONCAT(DV72,DW72),'PROCESOS PRD'!$J:$J,'PROCESOS PRD'!$H:$H,0,0)),"")</f>
        <v/>
      </c>
      <c r="DZ72" s="77"/>
      <c r="EA72" s="78"/>
      <c r="EB72" s="79" t="str">
        <f t="array" ref="EB72">IFERROR(IF(XLOOKUP(CONCAT(DZ72,EA72),'MASTER PLAN'!$AB:$AB,'MASTER PLAN'!$J:$J,0,0)=0,"",XLOOKUP(CONCAT(DZ72,EA72),'MASTER PLAN'!$AB:$AB,'MASTER PLAN'!$J:$J,0,0)),"")</f>
        <v/>
      </c>
      <c r="EC72" s="80" t="str">
        <f t="array" ref="EC72">IFERROR(IF(XLOOKUP(CONCAT(DZ72,EA72),'PROCESOS PRD'!$J:$J,'PROCESOS PRD'!$H:$H,0,0)=0,"",XLOOKUP(CONCAT(DZ72,EA72),'PROCESOS PRD'!$J:$J,'PROCESOS PRD'!$H:$H,0,0)),"")</f>
        <v/>
      </c>
      <c r="ED72" s="77"/>
      <c r="EE72" s="78"/>
      <c r="EF72" s="79" t="str">
        <f t="array" ref="EF72">IFERROR(IF(XLOOKUP(CONCAT(ED72,EE72),'MASTER PLAN'!$AB:$AB,'MASTER PLAN'!$J:$J,0,0)=0,"",XLOOKUP(CONCAT(ED72,EE72),'MASTER PLAN'!$AB:$AB,'MASTER PLAN'!$J:$J,0,0)),"")</f>
        <v/>
      </c>
      <c r="EG72" s="80" t="str">
        <f t="array" ref="EG72">IFERROR(IF(XLOOKUP(CONCAT(ED72,EE72),'PROCESOS PRD'!$J:$J,'PROCESOS PRD'!$H:$H,0,0)=0,"",XLOOKUP(CONCAT(ED72,EE72),'PROCESOS PRD'!$J:$J,'PROCESOS PRD'!$H:$H,0,0)),"")</f>
        <v/>
      </c>
      <c r="EH72" s="77"/>
      <c r="EI72" s="78"/>
      <c r="EJ72" s="79" t="str">
        <f t="array" ref="EJ72">IFERROR(IF(XLOOKUP(CONCAT(EH72,EI72),'MASTER PLAN'!$AB:$AB,'MASTER PLAN'!$J:$J,0,0)=0,"",XLOOKUP(CONCAT(EH72,EI72),'MASTER PLAN'!$AB:$AB,'MASTER PLAN'!$J:$J,0,0)),"")</f>
        <v/>
      </c>
      <c r="EK72" s="80" t="str">
        <f t="array" ref="EK72">IFERROR(IF(XLOOKUP(CONCAT(EH72,EI72),'PROCESOS PRD'!$J:$J,'PROCESOS PRD'!$H:$H,0,0)=0,"",XLOOKUP(CONCAT(EH72,EI72),'PROCESOS PRD'!$J:$J,'PROCESOS PRD'!$H:$H,0,0)),"")</f>
        <v/>
      </c>
      <c r="EL72" s="77"/>
      <c r="EM72" s="78"/>
      <c r="EN72" s="79" t="str">
        <f t="array" ref="EN72">IFERROR(IF(XLOOKUP(CONCAT(EL72,EM72),'MASTER PLAN'!$AB:$AB,'MASTER PLAN'!$J:$J,0,0)=0,"",XLOOKUP(CONCAT(EL72,EM72),'MASTER PLAN'!$AB:$AB,'MASTER PLAN'!$J:$J,0,0)),"")</f>
        <v/>
      </c>
      <c r="EO72" s="80" t="str">
        <f t="array" ref="EO72">IFERROR(IF(XLOOKUP(CONCAT(EL72,EM72),'PROCESOS PRD'!$J:$J,'PROCESOS PRD'!$H:$H,0,0)=0,"",XLOOKUP(CONCAT(EL72,EM72),'PROCESOS PRD'!$J:$J,'PROCESOS PRD'!$H:$H,0,0)),"")</f>
        <v/>
      </c>
      <c r="EP72" s="70"/>
      <c r="EQ72" s="77"/>
      <c r="ER72" s="78"/>
      <c r="ES72" s="79" t="str">
        <f t="array" ref="ES72">IFERROR(IF(XLOOKUP(CONCAT(EQ72,ER72),'MASTER PLAN'!$AB:$AB,'MASTER PLAN'!$J:$J,0,0)=0,"",XLOOKUP(CONCAT(EQ72,ER72),'MASTER PLAN'!$AB:$AB,'MASTER PLAN'!$J:$J,0,0)),"")</f>
        <v/>
      </c>
      <c r="ET72" s="80" t="str">
        <f t="array" ref="ET72">IFERROR(IF(XLOOKUP(CONCAT(EQ72,ER72),'PROCESOS PRD'!$J:$J,'PROCESOS PRD'!$H:$H,0,0)=0,"",XLOOKUP(CONCAT(EQ72,ER72),'PROCESOS PRD'!$J:$J,'PROCESOS PRD'!$H:$H,0,0)),"")</f>
        <v/>
      </c>
      <c r="EU72" s="77"/>
      <c r="EV72" s="78"/>
      <c r="EW72" s="79" t="str">
        <f t="array" ref="EW72">IFERROR(IF(XLOOKUP(CONCAT(EU72,EV72),'MASTER PLAN'!$AB:$AB,'MASTER PLAN'!$J:$J,0,0)=0,"",XLOOKUP(CONCAT(EU72,EV72),'MASTER PLAN'!$AB:$AB,'MASTER PLAN'!$J:$J,0,0)),"")</f>
        <v/>
      </c>
      <c r="EX72" s="80" t="str">
        <f t="array" ref="EX72">IFERROR(IF(XLOOKUP(CONCAT(EU72,EV72),'PROCESOS PRD'!$J:$J,'PROCESOS PRD'!$H:$H,0,0)=0,"",XLOOKUP(CONCAT(EU72,EV72),'PROCESOS PRD'!$J:$J,'PROCESOS PRD'!$H:$H,0,0)),"")</f>
        <v/>
      </c>
      <c r="EY72" s="77"/>
      <c r="EZ72" s="78"/>
      <c r="FA72" s="79" t="str">
        <f t="array" ref="FA72">IFERROR(IF(XLOOKUP(CONCAT(EY72,EZ72),'MASTER PLAN'!$AB:$AB,'MASTER PLAN'!$J:$J,0,0)=0,"",XLOOKUP(CONCAT(EY72,EZ72),'MASTER PLAN'!$AB:$AB,'MASTER PLAN'!$J:$J,0,0)),"")</f>
        <v/>
      </c>
      <c r="FB72" s="80" t="str">
        <f t="array" ref="FB72">IFERROR(IF(XLOOKUP(CONCAT(EY72,EZ72),'PROCESOS PRD'!$J:$J,'PROCESOS PRD'!$H:$H,0,0)=0,"",XLOOKUP(CONCAT(EY72,EZ72),'PROCESOS PRD'!$J:$J,'PROCESOS PRD'!$H:$H,0,0)),"")</f>
        <v/>
      </c>
      <c r="FC72" s="77"/>
      <c r="FD72" s="78"/>
      <c r="FE72" s="79" t="str">
        <f t="array" ref="FE72">IFERROR(IF(XLOOKUP(CONCAT(FC72,FD72),'MASTER PLAN'!$AB:$AB,'MASTER PLAN'!$J:$J,0,0)=0,"",XLOOKUP(CONCAT(FC72,FD72),'MASTER PLAN'!$AB:$AB,'MASTER PLAN'!$J:$J,0,0)),"")</f>
        <v/>
      </c>
      <c r="FF72" s="80" t="str">
        <f t="array" ref="FF72">IFERROR(IF(XLOOKUP(CONCAT(FC72,FD72),'PROCESOS PRD'!$J:$J,'PROCESOS PRD'!$H:$H,0,0)=0,"",XLOOKUP(CONCAT(FC72,FD72),'PROCESOS PRD'!$J:$J,'PROCESOS PRD'!$H:$H,0,0)),"")</f>
        <v/>
      </c>
      <c r="FG72" s="77"/>
      <c r="FH72" s="78"/>
      <c r="FI72" s="79" t="str">
        <f t="array" ref="FI72">IFERROR(IF(XLOOKUP(CONCAT(FG72,FH72),'MASTER PLAN'!$AB:$AB,'MASTER PLAN'!$J:$J,0,0)=0,"",XLOOKUP(CONCAT(FG72,FH72),'MASTER PLAN'!$AB:$AB,'MASTER PLAN'!$J:$J,0,0)),"")</f>
        <v/>
      </c>
      <c r="FJ72" s="80" t="str">
        <f t="array" ref="FJ72">IFERROR(IF(XLOOKUP(CONCAT(FG72,FH72),'PROCESOS PRD'!$J:$J,'PROCESOS PRD'!$H:$H,0,0)=0,"",XLOOKUP(CONCAT(FG72,FH72),'PROCESOS PRD'!$J:$J,'PROCESOS PRD'!$H:$H,0,0)),"")</f>
        <v/>
      </c>
      <c r="FK72" s="77"/>
      <c r="FL72" s="78"/>
      <c r="FM72" s="79" t="str">
        <f t="array" ref="FM72">IFERROR(IF(XLOOKUP(CONCAT(FK72,FL72),'MASTER PLAN'!$AB:$AB,'MASTER PLAN'!$J:$J,0,0)=0,"",XLOOKUP(CONCAT(FK72,FL72),'MASTER PLAN'!$AB:$AB,'MASTER PLAN'!$J:$J,0,0)),"")</f>
        <v/>
      </c>
      <c r="FN72" s="80" t="str">
        <f t="array" ref="FN72">IFERROR(IF(XLOOKUP(CONCAT(FK72,FL72),'PROCESOS PRD'!$J:$J,'PROCESOS PRD'!$H:$H,0,0)=0,"",XLOOKUP(CONCAT(FK72,FL72),'PROCESOS PRD'!$J:$J,'PROCESOS PRD'!$H:$H,0,0)),"")</f>
        <v/>
      </c>
      <c r="FO72" s="70"/>
      <c r="FP72" s="77"/>
      <c r="FQ72" s="78"/>
      <c r="FR72" s="79" t="str">
        <f t="array" ref="FR72">IFERROR(IF(XLOOKUP(CONCAT(FP72,FQ72),'MASTER PLAN'!$AB:$AB,'MASTER PLAN'!$J:$J,0,0)=0,"",XLOOKUP(CONCAT(FP72,FQ72),'MASTER PLAN'!$AB:$AB,'MASTER PLAN'!$J:$J,0,0)),"")</f>
        <v/>
      </c>
      <c r="FS72" s="80" t="str">
        <f t="array" ref="FS72">IFERROR(IF(XLOOKUP(CONCAT(FP72,FQ72),'PROCESOS PRD'!$J:$J,'PROCESOS PRD'!$H:$H,0,0)=0,"",XLOOKUP(CONCAT(FP72,FQ72),'PROCESOS PRD'!$J:$J,'PROCESOS PRD'!$H:$H,0,0)),"")</f>
        <v/>
      </c>
      <c r="FT72" s="77"/>
      <c r="FU72" s="78"/>
      <c r="FV72" s="79" t="str">
        <f t="array" ref="FV72">IFERROR(IF(XLOOKUP(CONCAT(FT72,FU72),'MASTER PLAN'!$AB:$AB,'MASTER PLAN'!$J:$J,0,0)=0,"",XLOOKUP(CONCAT(FT72,FU72),'MASTER PLAN'!$AB:$AB,'MASTER PLAN'!$J:$J,0,0)),"")</f>
        <v/>
      </c>
      <c r="FW72" s="80" t="str">
        <f t="array" ref="FW72">IFERROR(IF(XLOOKUP(CONCAT(FT72,FU72),'PROCESOS PRD'!$J:$J,'PROCESOS PRD'!$H:$H,0,0)=0,"",XLOOKUP(CONCAT(FT72,FU72),'PROCESOS PRD'!$J:$J,'PROCESOS PRD'!$H:$H,0,0)),"")</f>
        <v/>
      </c>
      <c r="FX72" s="77"/>
      <c r="FY72" s="78"/>
      <c r="FZ72" s="79" t="str">
        <f t="array" ref="FZ72">IFERROR(IF(XLOOKUP(CONCAT(FX72,FY72),'MASTER PLAN'!$AB:$AB,'MASTER PLAN'!$J:$J,0,0)=0,"",XLOOKUP(CONCAT(FX72,FY72),'MASTER PLAN'!$AB:$AB,'MASTER PLAN'!$J:$J,0,0)),"")</f>
        <v/>
      </c>
      <c r="GA72" s="80" t="str">
        <f t="array" ref="GA72">IFERROR(IF(XLOOKUP(CONCAT(FX72,FY72),'PROCESOS PRD'!$J:$J,'PROCESOS PRD'!$H:$H,0,0)=0,"",XLOOKUP(CONCAT(FX72,FY72),'PROCESOS PRD'!$J:$J,'PROCESOS PRD'!$H:$H,0,0)),"")</f>
        <v/>
      </c>
      <c r="GB72" s="77"/>
      <c r="GC72" s="78"/>
      <c r="GD72" s="79" t="str">
        <f t="array" ref="GD72">IFERROR(IF(XLOOKUP(CONCAT(GB72,GC72),'MASTER PLAN'!$AB:$AB,'MASTER PLAN'!$J:$J,0,0)=0,"",XLOOKUP(CONCAT(GB72,GC72),'MASTER PLAN'!$AB:$AB,'MASTER PLAN'!$J:$J,0,0)),"")</f>
        <v/>
      </c>
      <c r="GE72" s="80" t="str">
        <f t="array" ref="GE72">IFERROR(IF(XLOOKUP(CONCAT(GB72,GC72),'PROCESOS PRD'!$J:$J,'PROCESOS PRD'!$H:$H,0,0)=0,"",XLOOKUP(CONCAT(GB72,GC72),'PROCESOS PRD'!$J:$J,'PROCESOS PRD'!$H:$H,0,0)),"")</f>
        <v/>
      </c>
      <c r="GF72" s="77"/>
      <c r="GG72" s="78"/>
      <c r="GH72" s="79" t="str">
        <f t="array" ref="GH72">IFERROR(IF(XLOOKUP(CONCAT(GF72,GG72),'MASTER PLAN'!$AB:$AB,'MASTER PLAN'!$J:$J,0,0)=0,"",XLOOKUP(CONCAT(GF72,GG72),'MASTER PLAN'!$AB:$AB,'MASTER PLAN'!$J:$J,0,0)),"")</f>
        <v/>
      </c>
      <c r="GI72" s="80" t="str">
        <f t="array" ref="GI72">IFERROR(IF(XLOOKUP(CONCAT(GF72,GG72),'PROCESOS PRD'!$J:$J,'PROCESOS PRD'!$H:$H,0,0)=0,"",XLOOKUP(CONCAT(GF72,GG72),'PROCESOS PRD'!$J:$J,'PROCESOS PRD'!$H:$H,0,0)),"")</f>
        <v/>
      </c>
      <c r="GJ72" s="77"/>
      <c r="GK72" s="78"/>
      <c r="GL72" s="79" t="str">
        <f t="array" ref="GL72">IFERROR(IF(XLOOKUP(CONCAT(GJ72,GK72),'MASTER PLAN'!$AB:$AB,'MASTER PLAN'!$J:$J,0,0)=0,"",XLOOKUP(CONCAT(GJ72,GK72),'MASTER PLAN'!$AB:$AB,'MASTER PLAN'!$J:$J,0,0)),"")</f>
        <v/>
      </c>
      <c r="GM72" s="80" t="str">
        <f t="array" ref="GM72">IFERROR(IF(XLOOKUP(CONCAT(GJ72,GK72),'PROCESOS PRD'!$J:$J,'PROCESOS PRD'!$H:$H,0,0)=0,"",XLOOKUP(CONCAT(GJ72,GK72),'PROCESOS PRD'!$J:$J,'PROCESOS PRD'!$H:$H,0,0)),"")</f>
        <v/>
      </c>
      <c r="GN72" s="70"/>
      <c r="GO72" s="77"/>
      <c r="GP72" s="78"/>
      <c r="GQ72" s="79" t="str">
        <f t="array" ref="GQ72">IFERROR(IF(XLOOKUP(CONCAT(GO72,GP72),'MASTER PLAN'!$AB:$AB,'MASTER PLAN'!$J:$J,0,0)=0,"",XLOOKUP(CONCAT(GO72,GP72),'MASTER PLAN'!$AB:$AB,'MASTER PLAN'!$J:$J,0,0)),"")</f>
        <v/>
      </c>
      <c r="GR72" s="80" t="str">
        <f t="array" ref="GR72">IFERROR(IF(XLOOKUP(CONCAT(GO72,GP72),'PROCESOS PRD'!$J:$J,'PROCESOS PRD'!$H:$H,0,0)=0,"",XLOOKUP(CONCAT(GO72,GP72),'PROCESOS PRD'!$J:$J,'PROCESOS PRD'!$H:$H,0,0)),"")</f>
        <v/>
      </c>
      <c r="GS72" s="77"/>
      <c r="GT72" s="78"/>
      <c r="GU72" s="79" t="str">
        <f t="array" ref="GU72">IFERROR(IF(XLOOKUP(CONCAT(GS72,GT72),'MASTER PLAN'!$AB:$AB,'MASTER PLAN'!$J:$J,0,0)=0,"",XLOOKUP(CONCAT(GS72,GT72),'MASTER PLAN'!$AB:$AB,'MASTER PLAN'!$J:$J,0,0)),"")</f>
        <v/>
      </c>
      <c r="GV72" s="80" t="str">
        <f t="array" ref="GV72">IFERROR(IF(XLOOKUP(CONCAT(GS72,GT72),'PROCESOS PRD'!$J:$J,'PROCESOS PRD'!$H:$H,0,0)=0,"",XLOOKUP(CONCAT(GS72,GT72),'PROCESOS PRD'!$J:$J,'PROCESOS PRD'!$H:$H,0,0)),"")</f>
        <v/>
      </c>
      <c r="GW72" s="77"/>
      <c r="GX72" s="78"/>
      <c r="GY72" s="79" t="str">
        <f t="array" ref="GY72">IFERROR(IF(XLOOKUP(CONCAT(GW72,GX72),'MASTER PLAN'!$AB:$AB,'MASTER PLAN'!$J:$J,0,0)=0,"",XLOOKUP(CONCAT(GW72,GX72),'MASTER PLAN'!$AB:$AB,'MASTER PLAN'!$J:$J,0,0)),"")</f>
        <v/>
      </c>
      <c r="GZ72" s="80" t="str">
        <f t="array" ref="GZ72">IFERROR(IF(XLOOKUP(CONCAT(GW72,GX72),'PROCESOS PRD'!$J:$J,'PROCESOS PRD'!$H:$H,0,0)=0,"",XLOOKUP(CONCAT(GW72,GX72),'PROCESOS PRD'!$J:$J,'PROCESOS PRD'!$H:$H,0,0)),"")</f>
        <v/>
      </c>
      <c r="HA72" s="77"/>
      <c r="HB72" s="78"/>
      <c r="HC72" s="79" t="str">
        <f t="array" ref="HC72">IFERROR(IF(XLOOKUP(CONCAT(HA72,HB72),'MASTER PLAN'!$AB:$AB,'MASTER PLAN'!$J:$J,0,0)=0,"",XLOOKUP(CONCAT(HA72,HB72),'MASTER PLAN'!$AB:$AB,'MASTER PLAN'!$J:$J,0,0)),"")</f>
        <v/>
      </c>
      <c r="HD72" s="80" t="str">
        <f t="array" ref="HD72">IFERROR(IF(XLOOKUP(CONCAT(HA72,HB72),'PROCESOS PRD'!$J:$J,'PROCESOS PRD'!$H:$H,0,0)=0,"",XLOOKUP(CONCAT(HA72,HB72),'PROCESOS PRD'!$J:$J,'PROCESOS PRD'!$H:$H,0,0)),"")</f>
        <v/>
      </c>
      <c r="HE72" s="77"/>
      <c r="HF72" s="78"/>
      <c r="HG72" s="79" t="str">
        <f t="array" ref="HG72">IFERROR(IF(XLOOKUP(CONCAT(HE72,HF72),'MASTER PLAN'!$AB:$AB,'MASTER PLAN'!$J:$J,0,0)=0,"",XLOOKUP(CONCAT(HE72,HF72),'MASTER PLAN'!$AB:$AB,'MASTER PLAN'!$J:$J,0,0)),"")</f>
        <v/>
      </c>
      <c r="HH72" s="80" t="str">
        <f t="array" ref="HH72">IFERROR(IF(XLOOKUP(CONCAT(HE72,HF72),'PROCESOS PRD'!$J:$J,'PROCESOS PRD'!$H:$H,0,0)=0,"",XLOOKUP(CONCAT(HE72,HF72),'PROCESOS PRD'!$J:$J,'PROCESOS PRD'!$H:$H,0,0)),"")</f>
        <v/>
      </c>
      <c r="HI72" s="77"/>
      <c r="HJ72" s="78"/>
      <c r="HK72" s="79" t="str">
        <f t="array" ref="HK72">IFERROR(IF(XLOOKUP(CONCAT(HI72,HJ72),'MASTER PLAN'!$AB:$AB,'MASTER PLAN'!$J:$J,0,0)=0,"",XLOOKUP(CONCAT(HI72,HJ72),'MASTER PLAN'!$AB:$AB,'MASTER PLAN'!$J:$J,0,0)),"")</f>
        <v/>
      </c>
      <c r="HL72" s="80" t="str">
        <f t="array" ref="HL72">IFERROR(IF(XLOOKUP(CONCAT(HI72,HJ72),'PROCESOS PRD'!$J:$J,'PROCESOS PRD'!$H:$H,0,0)=0,"",XLOOKUP(CONCAT(HI72,HJ72),'PROCESOS PRD'!$J:$J,'PROCESOS PRD'!$H:$H,0,0)),"")</f>
        <v/>
      </c>
      <c r="HM72" s="70"/>
      <c r="HN72" s="77"/>
      <c r="HO72" s="78"/>
      <c r="HP72" s="79" t="str">
        <f t="array" ref="HP72">IFERROR(IF(XLOOKUP(CONCAT(HN72,HO72),'MASTER PLAN'!$AB:$AB,'MASTER PLAN'!$J:$J,0,0)=0,"",XLOOKUP(CONCAT(HN72,HO72),'MASTER PLAN'!$AB:$AB,'MASTER PLAN'!$J:$J,0,0)),"")</f>
        <v/>
      </c>
      <c r="HQ72" s="80" t="str">
        <f t="array" ref="HQ72">IFERROR(IF(XLOOKUP(CONCAT(HN72,HO72),'PROCESOS PRD'!$J:$J,'PROCESOS PRD'!$H:$H,0,0)=0,"",XLOOKUP(CONCAT(HN72,HO72),'PROCESOS PRD'!$J:$J,'PROCESOS PRD'!$H:$H,0,0)),"")</f>
        <v/>
      </c>
      <c r="HR72" s="77"/>
      <c r="HS72" s="78"/>
      <c r="HT72" s="79" t="str">
        <f t="array" ref="HT72">IFERROR(IF(XLOOKUP(CONCAT(HR72,HS72),'MASTER PLAN'!$AB:$AB,'MASTER PLAN'!$J:$J,0,0)=0,"",XLOOKUP(CONCAT(HR72,HS72),'MASTER PLAN'!$AB:$AB,'MASTER PLAN'!$J:$J,0,0)),"")</f>
        <v/>
      </c>
      <c r="HU72" s="80" t="str">
        <f t="array" ref="HU72">IFERROR(IF(XLOOKUP(CONCAT(HR72,HS72),'PROCESOS PRD'!$J:$J,'PROCESOS PRD'!$H:$H,0,0)=0,"",XLOOKUP(CONCAT(HR72,HS72),'PROCESOS PRD'!$J:$J,'PROCESOS PRD'!$H:$H,0,0)),"")</f>
        <v/>
      </c>
      <c r="HV72" s="77"/>
      <c r="HW72" s="78"/>
      <c r="HX72" s="79" t="str">
        <f t="array" ref="HX72">IFERROR(IF(XLOOKUP(CONCAT(HV72,HW72),'MASTER PLAN'!$AB:$AB,'MASTER PLAN'!$J:$J,0,0)=0,"",XLOOKUP(CONCAT(HV72,HW72),'MASTER PLAN'!$AB:$AB,'MASTER PLAN'!$J:$J,0,0)),"")</f>
        <v/>
      </c>
      <c r="HY72" s="80" t="str">
        <f t="array" ref="HY72">IFERROR(IF(XLOOKUP(CONCAT(HV72,HW72),'PROCESOS PRD'!$J:$J,'PROCESOS PRD'!$H:$H,0,0)=0,"",XLOOKUP(CONCAT(HV72,HW72),'PROCESOS PRD'!$J:$J,'PROCESOS PRD'!$H:$H,0,0)),"")</f>
        <v/>
      </c>
      <c r="HZ72" s="77"/>
      <c r="IA72" s="78"/>
      <c r="IB72" s="79" t="str">
        <f t="array" ref="IB72">IFERROR(IF(XLOOKUP(CONCAT(HZ72,IA72),'MASTER PLAN'!$AB:$AB,'MASTER PLAN'!$J:$J,0,0)=0,"",XLOOKUP(CONCAT(HZ72,IA72),'MASTER PLAN'!$AB:$AB,'MASTER PLAN'!$J:$J,0,0)),"")</f>
        <v/>
      </c>
      <c r="IC72" s="80" t="str">
        <f t="array" ref="IC72">IFERROR(IF(XLOOKUP(CONCAT(HZ72,IA72),'PROCESOS PRD'!$J:$J,'PROCESOS PRD'!$H:$H,0,0)=0,"",XLOOKUP(CONCAT(HZ72,IA72),'PROCESOS PRD'!$J:$J,'PROCESOS PRD'!$H:$H,0,0)),"")</f>
        <v/>
      </c>
      <c r="ID72" s="77"/>
      <c r="IE72" s="78"/>
      <c r="IF72" s="79" t="str">
        <f t="array" ref="IF72">IFERROR(IF(XLOOKUP(CONCAT(ID72,IE72),'MASTER PLAN'!$AB:$AB,'MASTER PLAN'!$J:$J,0,0)=0,"",XLOOKUP(CONCAT(ID72,IE72),'MASTER PLAN'!$AB:$AB,'MASTER PLAN'!$J:$J,0,0)),"")</f>
        <v/>
      </c>
      <c r="IG72" s="80" t="str">
        <f t="array" ref="IG72">IFERROR(IF(XLOOKUP(CONCAT(ID72,IE72),'PROCESOS PRD'!$J:$J,'PROCESOS PRD'!$H:$H,0,0)=0,"",XLOOKUP(CONCAT(ID72,IE72),'PROCESOS PRD'!$J:$J,'PROCESOS PRD'!$H:$H,0,0)),"")</f>
        <v/>
      </c>
      <c r="IH72" s="77"/>
      <c r="II72" s="78"/>
      <c r="IJ72" s="79" t="str">
        <f t="array" ref="IJ72">IFERROR(IF(XLOOKUP(CONCAT(IH72,II72),'MASTER PLAN'!$AB:$AB,'MASTER PLAN'!$J:$J,0,0)=0,"",XLOOKUP(CONCAT(IH72,II72),'MASTER PLAN'!$AB:$AB,'MASTER PLAN'!$J:$J,0,0)),"")</f>
        <v/>
      </c>
      <c r="IK72" s="80" t="str">
        <f t="array" ref="IK72">IFERROR(IF(XLOOKUP(CONCAT(IH72,II72),'PROCESOS PRD'!$J:$J,'PROCESOS PRD'!$H:$H,0,0)=0,"",XLOOKUP(CONCAT(IH72,II72),'PROCESOS PRD'!$J:$J,'PROCESOS PRD'!$H:$H,0,0)),"")</f>
        <v/>
      </c>
      <c r="IL72" s="70"/>
      <c r="IM72" s="77"/>
      <c r="IN72" s="78"/>
      <c r="IO72" s="79" t="str">
        <f t="array" ref="IO72">IFERROR(IF(XLOOKUP(CONCAT(IM72,IN72),'MASTER PLAN'!$AB:$AB,'MASTER PLAN'!$J:$J,0,0)=0,"",XLOOKUP(CONCAT(IM72,IN72),'MASTER PLAN'!$AB:$AB,'MASTER PLAN'!$J:$J,0,0)),"")</f>
        <v/>
      </c>
      <c r="IP72" s="80" t="str">
        <f t="array" ref="IP72">IFERROR(IF(XLOOKUP(CONCAT(IM72,IN72),'PROCESOS PRD'!$J:$J,'PROCESOS PRD'!$H:$H,0,0)=0,"",XLOOKUP(CONCAT(IM72,IN72),'PROCESOS PRD'!$J:$J,'PROCESOS PRD'!$H:$H,0,0)),"")</f>
        <v/>
      </c>
      <c r="IQ72" s="77"/>
      <c r="IR72" s="78"/>
      <c r="IS72" s="79" t="str">
        <f t="array" ref="IS72">IFERROR(IF(XLOOKUP(CONCAT(IQ72,IR72),'MASTER PLAN'!$AB:$AB,'MASTER PLAN'!$J:$J,0,0)=0,"",XLOOKUP(CONCAT(IQ72,IR72),'MASTER PLAN'!$AB:$AB,'MASTER PLAN'!$J:$J,0,0)),"")</f>
        <v/>
      </c>
      <c r="IT72" s="80" t="str">
        <f t="array" ref="IT72">IFERROR(IF(XLOOKUP(CONCAT(IQ72,IR72),'PROCESOS PRD'!$J:$J,'PROCESOS PRD'!$H:$H,0,0)=0,"",XLOOKUP(CONCAT(IQ72,IR72),'PROCESOS PRD'!$J:$J,'PROCESOS PRD'!$H:$H,0,0)),"")</f>
        <v/>
      </c>
      <c r="IU72" s="77"/>
      <c r="IV72" s="78"/>
      <c r="IW72" s="79" t="str">
        <f t="array" ref="IW72">IFERROR(IF(XLOOKUP(CONCAT(IU72,IV72),'MASTER PLAN'!$AB:$AB,'MASTER PLAN'!$J:$J,0,0)=0,"",XLOOKUP(CONCAT(IU72,IV72),'MASTER PLAN'!$AB:$AB,'MASTER PLAN'!$J:$J,0,0)),"")</f>
        <v/>
      </c>
      <c r="IX72" s="80" t="str">
        <f t="array" ref="IX72">IFERROR(IF(XLOOKUP(CONCAT(IU72,IV72),'PROCESOS PRD'!$J:$J,'PROCESOS PRD'!$H:$H,0,0)=0,"",XLOOKUP(CONCAT(IU72,IV72),'PROCESOS PRD'!$J:$J,'PROCESOS PRD'!$H:$H,0,0)),"")</f>
        <v/>
      </c>
      <c r="IY72" s="77"/>
      <c r="IZ72" s="78"/>
      <c r="JA72" s="79" t="str">
        <f t="array" ref="JA72">IFERROR(IF(XLOOKUP(CONCAT(IY72,IZ72),'MASTER PLAN'!$AB:$AB,'MASTER PLAN'!$J:$J,0,0)=0,"",XLOOKUP(CONCAT(IY72,IZ72),'MASTER PLAN'!$AB:$AB,'MASTER PLAN'!$J:$J,0,0)),"")</f>
        <v/>
      </c>
      <c r="JB72" s="80" t="str">
        <f t="array" ref="JB72">IFERROR(IF(XLOOKUP(CONCAT(IY72,IZ72),'PROCESOS PRD'!$J:$J,'PROCESOS PRD'!$H:$H,0,0)=0,"",XLOOKUP(CONCAT(IY72,IZ72),'PROCESOS PRD'!$J:$J,'PROCESOS PRD'!$H:$H,0,0)),"")</f>
        <v/>
      </c>
      <c r="JC72" s="77"/>
      <c r="JD72" s="78"/>
      <c r="JE72" s="79" t="str">
        <f t="array" ref="JE72">IFERROR(IF(XLOOKUP(CONCAT(JC72,JD72),'MASTER PLAN'!$AB:$AB,'MASTER PLAN'!$J:$J,0,0)=0,"",XLOOKUP(CONCAT(JC72,JD72),'MASTER PLAN'!$AB:$AB,'MASTER PLAN'!$J:$J,0,0)),"")</f>
        <v/>
      </c>
      <c r="JF72" s="80" t="str">
        <f t="array" ref="JF72">IFERROR(IF(XLOOKUP(CONCAT(JC72,JD72),'PROCESOS PRD'!$J:$J,'PROCESOS PRD'!$H:$H,0,0)=0,"",XLOOKUP(CONCAT(JC72,JD72),'PROCESOS PRD'!$J:$J,'PROCESOS PRD'!$H:$H,0,0)),"")</f>
        <v/>
      </c>
      <c r="JG72" s="77"/>
      <c r="JH72" s="78"/>
      <c r="JI72" s="79" t="str">
        <f t="array" ref="JI72">IFERROR(IF(XLOOKUP(CONCAT(JG72,JH72),'MASTER PLAN'!$AB:$AB,'MASTER PLAN'!$J:$J,0,0)=0,"",XLOOKUP(CONCAT(JG72,JH72),'MASTER PLAN'!$AB:$AB,'MASTER PLAN'!$J:$J,0,0)),"")</f>
        <v/>
      </c>
      <c r="JJ72" s="80" t="str">
        <f t="array" ref="JJ72">IFERROR(IF(XLOOKUP(CONCAT(JG72,JH72),'PROCESOS PRD'!$J:$J,'PROCESOS PRD'!$H:$H,0,0)=0,"",XLOOKUP(CONCAT(JG72,JH72),'PROCESOS PRD'!$J:$J,'PROCESOS PRD'!$H:$H,0,0)),"")</f>
        <v/>
      </c>
      <c r="JK72" s="70"/>
      <c r="JL72" s="77"/>
      <c r="JM72" s="78"/>
      <c r="JN72" s="79" t="str">
        <f t="array" ref="JN72">IFERROR(IF(XLOOKUP(CONCAT(JL72,JM72),'MASTER PLAN'!$AB:$AB,'MASTER PLAN'!$J:$J,0,0)=0,"",XLOOKUP(CONCAT(JL72,JM72),'MASTER PLAN'!$AB:$AB,'MASTER PLAN'!$J:$J,0,0)),"")</f>
        <v/>
      </c>
      <c r="JO72" s="80" t="str">
        <f t="array" ref="JO72">IFERROR(IF(XLOOKUP(CONCAT(JL72,JM72),'PROCESOS PRD'!$J:$J,'PROCESOS PRD'!$H:$H,0,0)=0,"",XLOOKUP(CONCAT(JL72,JM72),'PROCESOS PRD'!$J:$J,'PROCESOS PRD'!$H:$H,0,0)),"")</f>
        <v/>
      </c>
      <c r="JP72" s="77"/>
      <c r="JQ72" s="78"/>
      <c r="JR72" s="79" t="str">
        <f t="array" ref="JR72">IFERROR(IF(XLOOKUP(CONCAT(JP72,JQ72),'MASTER PLAN'!$AB:$AB,'MASTER PLAN'!$J:$J,0,0)=0,"",XLOOKUP(CONCAT(JP72,JQ72),'MASTER PLAN'!$AB:$AB,'MASTER PLAN'!$J:$J,0,0)),"")</f>
        <v/>
      </c>
      <c r="JS72" s="80" t="str">
        <f t="array" ref="JS72">IFERROR(IF(XLOOKUP(CONCAT(JP72,JQ72),'PROCESOS PRD'!$J:$J,'PROCESOS PRD'!$H:$H,0,0)=0,"",XLOOKUP(CONCAT(JP72,JQ72),'PROCESOS PRD'!$J:$J,'PROCESOS PRD'!$H:$H,0,0)),"")</f>
        <v/>
      </c>
      <c r="JT72" s="77"/>
      <c r="JU72" s="78"/>
      <c r="JV72" s="79" t="str">
        <f t="array" ref="JV72">IFERROR(IF(XLOOKUP(CONCAT(JT72,JU72),'MASTER PLAN'!$AB:$AB,'MASTER PLAN'!$J:$J,0,0)=0,"",XLOOKUP(CONCAT(JT72,JU72),'MASTER PLAN'!$AB:$AB,'MASTER PLAN'!$J:$J,0,0)),"")</f>
        <v/>
      </c>
      <c r="JW72" s="80" t="str">
        <f t="array" ref="JW72">IFERROR(IF(XLOOKUP(CONCAT(JT72,JU72),'PROCESOS PRD'!$J:$J,'PROCESOS PRD'!$H:$H,0,0)=0,"",XLOOKUP(CONCAT(JT72,JU72),'PROCESOS PRD'!$J:$J,'PROCESOS PRD'!$H:$H,0,0)),"")</f>
        <v/>
      </c>
      <c r="JX72" s="77"/>
      <c r="JY72" s="78"/>
      <c r="JZ72" s="79" t="str">
        <f t="array" ref="JZ72">IFERROR(IF(XLOOKUP(CONCAT(JX72,JY72),'MASTER PLAN'!$AB:$AB,'MASTER PLAN'!$J:$J,0,0)=0,"",XLOOKUP(CONCAT(JX72,JY72),'MASTER PLAN'!$AB:$AB,'MASTER PLAN'!$J:$J,0,0)),"")</f>
        <v/>
      </c>
      <c r="KA72" s="80" t="str">
        <f t="array" ref="KA72">IFERROR(IF(XLOOKUP(CONCAT(JX72,JY72),'PROCESOS PRD'!$J:$J,'PROCESOS PRD'!$H:$H,0,0)=0,"",XLOOKUP(CONCAT(JX72,JY72),'PROCESOS PRD'!$J:$J,'PROCESOS PRD'!$H:$H,0,0)),"")</f>
        <v/>
      </c>
      <c r="KB72" s="77"/>
      <c r="KC72" s="78"/>
      <c r="KD72" s="79" t="str">
        <f t="array" ref="KD72">IFERROR(IF(XLOOKUP(CONCAT(KB72,KC72),'MASTER PLAN'!$AB:$AB,'MASTER PLAN'!$J:$J,0,0)=0,"",XLOOKUP(CONCAT(KB72,KC72),'MASTER PLAN'!$AB:$AB,'MASTER PLAN'!$J:$J,0,0)),"")</f>
        <v/>
      </c>
      <c r="KE72" s="80" t="str">
        <f t="array" ref="KE72">IFERROR(IF(XLOOKUP(CONCAT(KB72,KC72),'PROCESOS PRD'!$J:$J,'PROCESOS PRD'!$H:$H,0,0)=0,"",XLOOKUP(CONCAT(KB72,KC72),'PROCESOS PRD'!$J:$J,'PROCESOS PRD'!$H:$H,0,0)),"")</f>
        <v/>
      </c>
      <c r="KF72" s="77"/>
      <c r="KG72" s="78"/>
      <c r="KH72" s="79" t="str">
        <f t="array" ref="KH72">IFERROR(IF(XLOOKUP(CONCAT(KF72,KG72),'MASTER PLAN'!$AB:$AB,'MASTER PLAN'!$J:$J,0,0)=0,"",XLOOKUP(CONCAT(KF72,KG72),'MASTER PLAN'!$AB:$AB,'MASTER PLAN'!$J:$J,0,0)),"")</f>
        <v/>
      </c>
      <c r="KI72" s="80" t="str">
        <f t="array" ref="KI72">IFERROR(IF(XLOOKUP(CONCAT(KF72,KG72),'PROCESOS PRD'!$J:$J,'PROCESOS PRD'!$H:$H,0,0)=0,"",XLOOKUP(CONCAT(KF72,KG72),'PROCESOS PRD'!$J:$J,'PROCESOS PRD'!$H:$H,0,0)),"")</f>
        <v/>
      </c>
      <c r="KJ72" s="70"/>
      <c r="KK72" s="70"/>
      <c r="KL72" s="70"/>
      <c r="KM72" s="70"/>
      <c r="KN72" s="70"/>
      <c r="KO72" s="70"/>
      <c r="KP72" s="70"/>
      <c r="KQ72" s="70"/>
      <c r="KR72" s="70"/>
      <c r="KS72" s="70"/>
      <c r="KT72" s="70"/>
      <c r="KU72" s="70"/>
      <c r="KV72" s="70"/>
      <c r="KW72" s="70"/>
      <c r="KX72" s="70"/>
      <c r="KY72" s="70"/>
      <c r="KZ72" s="70"/>
      <c r="LA72" s="70"/>
      <c r="LB72" s="70"/>
      <c r="LC72" s="70"/>
    </row>
    <row r="73" ht="15.75" customHeight="1">
      <c r="A73" s="42"/>
      <c r="B73" s="82">
        <v>16000.0</v>
      </c>
      <c r="C73" s="83" t="s">
        <v>240</v>
      </c>
      <c r="D73" s="42"/>
      <c r="E73" s="84"/>
      <c r="F73" s="85"/>
      <c r="G73" s="85"/>
      <c r="H73" s="86">
        <f>SUM(H64:H72)</f>
        <v>0</v>
      </c>
      <c r="I73" s="84"/>
      <c r="J73" s="85"/>
      <c r="K73" s="85"/>
      <c r="L73" s="86">
        <f>SUM(L64:L72)</f>
        <v>0</v>
      </c>
      <c r="M73" s="84"/>
      <c r="N73" s="85"/>
      <c r="O73" s="85"/>
      <c r="P73" s="86">
        <f>SUM(P64:P72)</f>
        <v>0</v>
      </c>
      <c r="Q73" s="84"/>
      <c r="R73" s="85"/>
      <c r="S73" s="85"/>
      <c r="T73" s="86">
        <f>SUM(T64:T72)</f>
        <v>0</v>
      </c>
      <c r="U73" s="42"/>
      <c r="V73" s="84"/>
      <c r="W73" s="85"/>
      <c r="X73" s="85"/>
      <c r="Y73" s="86">
        <f>SUM(Y64:Y72)</f>
        <v>0</v>
      </c>
      <c r="Z73" s="84"/>
      <c r="AA73" s="85"/>
      <c r="AB73" s="85"/>
      <c r="AC73" s="86">
        <f>SUM(AC64:AC72)</f>
        <v>0</v>
      </c>
      <c r="AD73" s="84"/>
      <c r="AE73" s="85"/>
      <c r="AF73" s="85"/>
      <c r="AG73" s="86">
        <f>SUM(AG64:AG72)</f>
        <v>0</v>
      </c>
      <c r="AH73" s="84"/>
      <c r="AI73" s="85"/>
      <c r="AJ73" s="85"/>
      <c r="AK73" s="86">
        <f>SUM(AK64:AK72)</f>
        <v>0</v>
      </c>
      <c r="AL73" s="84"/>
      <c r="AM73" s="85"/>
      <c r="AN73" s="85"/>
      <c r="AO73" s="86">
        <f>SUM(AO64:AO72)</f>
        <v>0</v>
      </c>
      <c r="AP73" s="84"/>
      <c r="AQ73" s="85"/>
      <c r="AR73" s="85"/>
      <c r="AS73" s="86">
        <f>SUM(AS64:AS72)</f>
        <v>0</v>
      </c>
      <c r="AT73" s="42"/>
      <c r="AU73" s="84"/>
      <c r="AV73" s="85"/>
      <c r="AW73" s="85"/>
      <c r="AX73" s="86">
        <f>SUM(AX64:AX72)</f>
        <v>9360</v>
      </c>
      <c r="AY73" s="84"/>
      <c r="AZ73" s="85"/>
      <c r="BA73" s="85"/>
      <c r="BB73" s="86">
        <f>SUM(BB64:BB72)</f>
        <v>2400</v>
      </c>
      <c r="BC73" s="84"/>
      <c r="BD73" s="85"/>
      <c r="BE73" s="85"/>
      <c r="BF73" s="86">
        <f>SUM(BF64:BF72)</f>
        <v>0</v>
      </c>
      <c r="BG73" s="84"/>
      <c r="BH73" s="85"/>
      <c r="BI73" s="85"/>
      <c r="BJ73" s="86">
        <f>SUM(BJ64:BJ72)</f>
        <v>56400</v>
      </c>
      <c r="BK73" s="84"/>
      <c r="BL73" s="85"/>
      <c r="BM73" s="85"/>
      <c r="BN73" s="86">
        <f>SUM(BN64:BN72)</f>
        <v>56400</v>
      </c>
      <c r="BO73" s="84"/>
      <c r="BP73" s="85"/>
      <c r="BQ73" s="85"/>
      <c r="BR73" s="86">
        <f>SUM(BR64:BR72)</f>
        <v>0</v>
      </c>
      <c r="BS73" s="42"/>
      <c r="BT73" s="84"/>
      <c r="BU73" s="85"/>
      <c r="BV73" s="85"/>
      <c r="BW73" s="86">
        <f>SUM(BW64:BW72)</f>
        <v>10500</v>
      </c>
      <c r="BX73" s="84"/>
      <c r="BY73" s="85"/>
      <c r="BZ73" s="85"/>
      <c r="CA73" s="86">
        <f>SUM(CA64:CA72)</f>
        <v>13200</v>
      </c>
      <c r="CB73" s="84"/>
      <c r="CC73" s="85"/>
      <c r="CD73" s="85"/>
      <c r="CE73" s="86">
        <f>SUM(CE64:CE72)</f>
        <v>12600</v>
      </c>
      <c r="CF73" s="84"/>
      <c r="CG73" s="85"/>
      <c r="CH73" s="85"/>
      <c r="CI73" s="86">
        <f>SUM(CI64:CI72)</f>
        <v>7200</v>
      </c>
      <c r="CJ73" s="84"/>
      <c r="CK73" s="85"/>
      <c r="CL73" s="85"/>
      <c r="CM73" s="86">
        <f>SUM(CM64:CM72)</f>
        <v>2400</v>
      </c>
      <c r="CN73" s="84"/>
      <c r="CO73" s="85"/>
      <c r="CP73" s="85"/>
      <c r="CQ73" s="86">
        <f>SUM(CQ64:CQ72)</f>
        <v>0</v>
      </c>
      <c r="CR73" s="42"/>
      <c r="CS73" s="84"/>
      <c r="CT73" s="85"/>
      <c r="CU73" s="85"/>
      <c r="CV73" s="86">
        <f>SUM(CV64:CV72)</f>
        <v>1200</v>
      </c>
      <c r="CW73" s="84"/>
      <c r="CX73" s="85"/>
      <c r="CY73" s="85"/>
      <c r="CZ73" s="86">
        <f>SUM(CZ64:CZ72)</f>
        <v>8400</v>
      </c>
      <c r="DA73" s="84"/>
      <c r="DB73" s="85"/>
      <c r="DC73" s="85"/>
      <c r="DD73" s="86">
        <f>SUM(DD64:DD72)</f>
        <v>15000</v>
      </c>
      <c r="DE73" s="84"/>
      <c r="DF73" s="85"/>
      <c r="DG73" s="85"/>
      <c r="DH73" s="86">
        <f>SUM(DH64:DH72)</f>
        <v>14400</v>
      </c>
      <c r="DI73" s="84"/>
      <c r="DJ73" s="85"/>
      <c r="DK73" s="85"/>
      <c r="DL73" s="86">
        <f>SUM(DL64:DL72)</f>
        <v>6000</v>
      </c>
      <c r="DM73" s="84"/>
      <c r="DN73" s="85"/>
      <c r="DO73" s="85"/>
      <c r="DP73" s="86">
        <f>SUM(DP64:DP72)</f>
        <v>0</v>
      </c>
      <c r="DQ73" s="42"/>
      <c r="DR73" s="84"/>
      <c r="DS73" s="85"/>
      <c r="DT73" s="85"/>
      <c r="DU73" s="86">
        <f>SUM(DU64:DU72)</f>
        <v>0</v>
      </c>
      <c r="DV73" s="84"/>
      <c r="DW73" s="85"/>
      <c r="DX73" s="85"/>
      <c r="DY73" s="86">
        <f>SUM(DY64:DY72)</f>
        <v>0</v>
      </c>
      <c r="DZ73" s="84"/>
      <c r="EA73" s="85"/>
      <c r="EB73" s="85"/>
      <c r="EC73" s="86">
        <f>SUM(EC64:EC72)</f>
        <v>0</v>
      </c>
      <c r="ED73" s="84"/>
      <c r="EE73" s="85"/>
      <c r="EF73" s="85"/>
      <c r="EG73" s="86">
        <f>SUM(EG64:EG72)</f>
        <v>0</v>
      </c>
      <c r="EH73" s="84"/>
      <c r="EI73" s="85"/>
      <c r="EJ73" s="85"/>
      <c r="EK73" s="86">
        <f>SUM(EK64:EK72)</f>
        <v>0</v>
      </c>
      <c r="EL73" s="84"/>
      <c r="EM73" s="85"/>
      <c r="EN73" s="85"/>
      <c r="EO73" s="86">
        <f>SUM(EO64:EO72)</f>
        <v>0</v>
      </c>
      <c r="EP73" s="42"/>
      <c r="EQ73" s="84"/>
      <c r="ER73" s="85"/>
      <c r="ES73" s="85"/>
      <c r="ET73" s="86">
        <f>SUM(ET64:ET72)</f>
        <v>0</v>
      </c>
      <c r="EU73" s="84"/>
      <c r="EV73" s="85"/>
      <c r="EW73" s="85"/>
      <c r="EX73" s="86">
        <f>SUM(EX64:EX72)</f>
        <v>0</v>
      </c>
      <c r="EY73" s="84"/>
      <c r="EZ73" s="85"/>
      <c r="FA73" s="85"/>
      <c r="FB73" s="86">
        <f>SUM(FB64:FB72)</f>
        <v>0</v>
      </c>
      <c r="FC73" s="84"/>
      <c r="FD73" s="85"/>
      <c r="FE73" s="85"/>
      <c r="FF73" s="86">
        <f>SUM(FF64:FF72)</f>
        <v>0</v>
      </c>
      <c r="FG73" s="84"/>
      <c r="FH73" s="85"/>
      <c r="FI73" s="85"/>
      <c r="FJ73" s="86">
        <f>SUM(FJ64:FJ72)</f>
        <v>0</v>
      </c>
      <c r="FK73" s="84"/>
      <c r="FL73" s="85"/>
      <c r="FM73" s="85"/>
      <c r="FN73" s="86">
        <f>SUM(FN64:FN72)</f>
        <v>0</v>
      </c>
      <c r="FO73" s="42"/>
      <c r="FP73" s="84"/>
      <c r="FQ73" s="85"/>
      <c r="FR73" s="85"/>
      <c r="FS73" s="86">
        <f>SUM(FS64:FS72)</f>
        <v>36000</v>
      </c>
      <c r="FT73" s="84"/>
      <c r="FU73" s="85"/>
      <c r="FV73" s="85"/>
      <c r="FW73" s="86">
        <f>SUM(FW64:FW72)</f>
        <v>36000</v>
      </c>
      <c r="FX73" s="84"/>
      <c r="FY73" s="85"/>
      <c r="FZ73" s="85"/>
      <c r="GA73" s="86">
        <f>SUM(GA64:GA72)</f>
        <v>0</v>
      </c>
      <c r="GB73" s="84"/>
      <c r="GC73" s="85"/>
      <c r="GD73" s="85"/>
      <c r="GE73" s="86">
        <f>SUM(GE64:GE72)</f>
        <v>0</v>
      </c>
      <c r="GF73" s="84"/>
      <c r="GG73" s="85"/>
      <c r="GH73" s="85"/>
      <c r="GI73" s="86">
        <f>SUM(GI64:GI72)</f>
        <v>0</v>
      </c>
      <c r="GJ73" s="84"/>
      <c r="GK73" s="85"/>
      <c r="GL73" s="85"/>
      <c r="GM73" s="86">
        <f>SUM(GM64:GM72)</f>
        <v>1800</v>
      </c>
      <c r="GN73" s="42"/>
      <c r="GO73" s="84"/>
      <c r="GP73" s="85"/>
      <c r="GQ73" s="85"/>
      <c r="GR73" s="86">
        <f>SUM(GR64:GR72)</f>
        <v>1800</v>
      </c>
      <c r="GS73" s="84"/>
      <c r="GT73" s="85"/>
      <c r="GU73" s="85"/>
      <c r="GV73" s="86">
        <f>SUM(GV64:GV72)</f>
        <v>1800</v>
      </c>
      <c r="GW73" s="84"/>
      <c r="GX73" s="85"/>
      <c r="GY73" s="85"/>
      <c r="GZ73" s="86">
        <f>SUM(GZ64:GZ72)</f>
        <v>1800</v>
      </c>
      <c r="HA73" s="84"/>
      <c r="HB73" s="85"/>
      <c r="HC73" s="85"/>
      <c r="HD73" s="86">
        <f>SUM(HD64:HD72)</f>
        <v>1800</v>
      </c>
      <c r="HE73" s="84"/>
      <c r="HF73" s="85"/>
      <c r="HG73" s="85"/>
      <c r="HH73" s="86">
        <f>SUM(HH64:HH72)</f>
        <v>4200</v>
      </c>
      <c r="HI73" s="84"/>
      <c r="HJ73" s="85"/>
      <c r="HK73" s="85"/>
      <c r="HL73" s="86">
        <f>SUM(HL64:HL72)</f>
        <v>1800</v>
      </c>
      <c r="HM73" s="42"/>
      <c r="HN73" s="84"/>
      <c r="HO73" s="85"/>
      <c r="HP73" s="85"/>
      <c r="HQ73" s="86">
        <f>SUM(HQ64:HQ72)</f>
        <v>1800</v>
      </c>
      <c r="HR73" s="84"/>
      <c r="HS73" s="85"/>
      <c r="HT73" s="85"/>
      <c r="HU73" s="86">
        <f>SUM(HU64:HU72)</f>
        <v>1800</v>
      </c>
      <c r="HV73" s="84"/>
      <c r="HW73" s="85"/>
      <c r="HX73" s="85"/>
      <c r="HY73" s="86">
        <f>SUM(HY64:HY72)</f>
        <v>1800</v>
      </c>
      <c r="HZ73" s="84"/>
      <c r="IA73" s="85"/>
      <c r="IB73" s="85"/>
      <c r="IC73" s="86">
        <f>SUM(IC64:IC72)</f>
        <v>1800</v>
      </c>
      <c r="ID73" s="84"/>
      <c r="IE73" s="85"/>
      <c r="IF73" s="85"/>
      <c r="IG73" s="86">
        <f>SUM(IG64:IG72)</f>
        <v>1800</v>
      </c>
      <c r="IH73" s="84"/>
      <c r="II73" s="85"/>
      <c r="IJ73" s="85"/>
      <c r="IK73" s="86">
        <f>SUM(IK64:IK72)</f>
        <v>1800</v>
      </c>
      <c r="IL73" s="42"/>
      <c r="IM73" s="84"/>
      <c r="IN73" s="85"/>
      <c r="IO73" s="85"/>
      <c r="IP73" s="86">
        <f>SUM(IP64:IP72)</f>
        <v>1800</v>
      </c>
      <c r="IQ73" s="84"/>
      <c r="IR73" s="85"/>
      <c r="IS73" s="85"/>
      <c r="IT73" s="86">
        <f>SUM(IT64:IT72)</f>
        <v>1800</v>
      </c>
      <c r="IU73" s="84"/>
      <c r="IV73" s="85"/>
      <c r="IW73" s="85"/>
      <c r="IX73" s="86">
        <f>SUM(IX64:IX72)</f>
        <v>1800</v>
      </c>
      <c r="IY73" s="84"/>
      <c r="IZ73" s="85"/>
      <c r="JA73" s="85"/>
      <c r="JB73" s="86">
        <f>SUM(JB64:JB72)</f>
        <v>1800</v>
      </c>
      <c r="JC73" s="84"/>
      <c r="JD73" s="85"/>
      <c r="JE73" s="85"/>
      <c r="JF73" s="86">
        <f>SUM(JF64:JF72)</f>
        <v>1800</v>
      </c>
      <c r="JG73" s="84"/>
      <c r="JH73" s="85"/>
      <c r="JI73" s="85"/>
      <c r="JJ73" s="86">
        <f>SUM(JJ64:JJ72)</f>
        <v>1800</v>
      </c>
      <c r="JK73" s="42"/>
      <c r="JL73" s="84"/>
      <c r="JM73" s="85"/>
      <c r="JN73" s="85"/>
      <c r="JO73" s="86">
        <f>SUM(JO64:JO72)</f>
        <v>1800</v>
      </c>
      <c r="JP73" s="84"/>
      <c r="JQ73" s="85"/>
      <c r="JR73" s="85"/>
      <c r="JS73" s="86">
        <f>SUM(JS64:JS72)</f>
        <v>1800</v>
      </c>
      <c r="JT73" s="84"/>
      <c r="JU73" s="85"/>
      <c r="JV73" s="85"/>
      <c r="JW73" s="86">
        <f>SUM(JW64:JW72)</f>
        <v>1800</v>
      </c>
      <c r="JX73" s="84"/>
      <c r="JY73" s="85"/>
      <c r="JZ73" s="85"/>
      <c r="KA73" s="86">
        <f>SUM(KA64:KA72)</f>
        <v>1800</v>
      </c>
      <c r="KB73" s="84"/>
      <c r="KC73" s="85"/>
      <c r="KD73" s="85"/>
      <c r="KE73" s="86">
        <f>SUM(KE64:KE72)</f>
        <v>1800</v>
      </c>
      <c r="KF73" s="84"/>
      <c r="KG73" s="85"/>
      <c r="KH73" s="85"/>
      <c r="KI73" s="86">
        <f>SUM(KI64:KI72)</f>
        <v>1800</v>
      </c>
      <c r="KJ73" s="42"/>
      <c r="KK73" s="42"/>
      <c r="KL73" s="42"/>
      <c r="KM73" s="42"/>
      <c r="KN73" s="42"/>
      <c r="KO73" s="42"/>
      <c r="KP73" s="42"/>
      <c r="KQ73" s="42"/>
      <c r="KR73" s="42"/>
      <c r="KS73" s="42"/>
      <c r="KT73" s="42"/>
      <c r="KU73" s="42"/>
      <c r="KV73" s="42"/>
      <c r="KW73" s="42"/>
      <c r="KX73" s="42"/>
      <c r="KY73" s="42"/>
      <c r="KZ73" s="42"/>
      <c r="LA73" s="42"/>
      <c r="LB73" s="42"/>
      <c r="LC73" s="42"/>
    </row>
    <row r="74" ht="15.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2"/>
      <c r="BJ74" s="42"/>
      <c r="BK74" s="42"/>
      <c r="BL74" s="42"/>
      <c r="BM74" s="42"/>
      <c r="BN74" s="42"/>
      <c r="BO74" s="42"/>
      <c r="BP74" s="42"/>
      <c r="BQ74" s="42"/>
      <c r="BR74" s="42"/>
      <c r="BS74" s="42"/>
      <c r="BT74" s="42"/>
      <c r="BU74" s="42"/>
      <c r="BV74" s="42"/>
      <c r="BW74" s="42"/>
      <c r="BX74" s="42"/>
      <c r="BY74" s="42"/>
      <c r="BZ74" s="42"/>
      <c r="CA74" s="42"/>
      <c r="CB74" s="42"/>
      <c r="CC74" s="42"/>
      <c r="CD74" s="42"/>
      <c r="CE74" s="42"/>
      <c r="CF74" s="42"/>
      <c r="CG74" s="42"/>
      <c r="CH74" s="42"/>
      <c r="CI74" s="42"/>
      <c r="CJ74" s="42"/>
      <c r="CK74" s="42"/>
      <c r="CL74" s="42"/>
      <c r="CM74" s="42"/>
      <c r="CN74" s="42"/>
      <c r="CO74" s="42"/>
      <c r="CP74" s="42"/>
      <c r="CQ74" s="42"/>
      <c r="CR74" s="42"/>
      <c r="CS74" s="42"/>
      <c r="CT74" s="42"/>
      <c r="CU74" s="42"/>
      <c r="CV74" s="42"/>
      <c r="CW74" s="42"/>
      <c r="CX74" s="42"/>
      <c r="CY74" s="42"/>
      <c r="CZ74" s="42"/>
      <c r="DA74" s="42"/>
      <c r="DB74" s="42"/>
      <c r="DC74" s="42"/>
      <c r="DD74" s="42"/>
      <c r="DE74" s="42"/>
      <c r="DF74" s="42"/>
      <c r="DG74" s="42"/>
      <c r="DH74" s="42"/>
      <c r="DI74" s="42"/>
      <c r="DJ74" s="42"/>
      <c r="DK74" s="42"/>
      <c r="DL74" s="42"/>
      <c r="DM74" s="42"/>
      <c r="DN74" s="42"/>
      <c r="DO74" s="42"/>
      <c r="DP74" s="42"/>
      <c r="DQ74" s="42"/>
      <c r="DR74" s="42"/>
      <c r="DS74" s="42"/>
      <c r="DT74" s="42"/>
      <c r="DU74" s="42"/>
      <c r="DV74" s="42"/>
      <c r="DW74" s="42"/>
      <c r="DX74" s="42"/>
      <c r="DY74" s="42"/>
      <c r="DZ74" s="42"/>
      <c r="EA74" s="42"/>
      <c r="EB74" s="42"/>
      <c r="EC74" s="42"/>
      <c r="ED74" s="42"/>
      <c r="EE74" s="42"/>
      <c r="EF74" s="42"/>
      <c r="EG74" s="42"/>
      <c r="EH74" s="42"/>
      <c r="EI74" s="42"/>
      <c r="EJ74" s="42"/>
      <c r="EK74" s="42"/>
      <c r="EL74" s="42"/>
      <c r="EM74" s="42"/>
      <c r="EN74" s="42"/>
      <c r="EO74" s="42"/>
      <c r="EP74" s="42"/>
      <c r="EQ74" s="42"/>
      <c r="ER74" s="42"/>
      <c r="ES74" s="42"/>
      <c r="ET74" s="42"/>
      <c r="EU74" s="42"/>
      <c r="EV74" s="42"/>
      <c r="EW74" s="42"/>
      <c r="EX74" s="42"/>
      <c r="EY74" s="42"/>
      <c r="EZ74" s="42"/>
      <c r="FA74" s="42"/>
      <c r="FB74" s="42"/>
      <c r="FC74" s="42"/>
      <c r="FD74" s="42"/>
      <c r="FE74" s="42"/>
      <c r="FF74" s="42"/>
      <c r="FG74" s="42"/>
      <c r="FH74" s="42"/>
      <c r="FI74" s="42"/>
      <c r="FJ74" s="42"/>
      <c r="FK74" s="42"/>
      <c r="FL74" s="42"/>
      <c r="FM74" s="42"/>
      <c r="FN74" s="42"/>
      <c r="FO74" s="42"/>
      <c r="FP74" s="42"/>
      <c r="FQ74" s="42"/>
      <c r="FR74" s="42"/>
      <c r="FS74" s="42"/>
      <c r="FT74" s="42"/>
      <c r="FU74" s="42"/>
      <c r="FV74" s="42"/>
      <c r="FW74" s="42"/>
      <c r="FX74" s="42"/>
      <c r="FY74" s="42"/>
      <c r="FZ74" s="42"/>
      <c r="GA74" s="42"/>
      <c r="GB74" s="42"/>
      <c r="GC74" s="42"/>
      <c r="GD74" s="42"/>
      <c r="GE74" s="42"/>
      <c r="GF74" s="42"/>
      <c r="GG74" s="42"/>
      <c r="GH74" s="42"/>
      <c r="GI74" s="42"/>
      <c r="GJ74" s="42"/>
      <c r="GK74" s="42"/>
      <c r="GL74" s="42"/>
      <c r="GM74" s="42"/>
      <c r="GN74" s="42"/>
      <c r="GO74" s="42"/>
      <c r="GP74" s="42"/>
      <c r="GQ74" s="42"/>
      <c r="GR74" s="42"/>
      <c r="GS74" s="42"/>
      <c r="GT74" s="42"/>
      <c r="GU74" s="42"/>
      <c r="GV74" s="42"/>
      <c r="GW74" s="42"/>
      <c r="GX74" s="42"/>
      <c r="GY74" s="42"/>
      <c r="GZ74" s="42"/>
      <c r="HA74" s="42"/>
      <c r="HB74" s="42"/>
      <c r="HC74" s="42"/>
      <c r="HD74" s="42"/>
      <c r="HE74" s="42"/>
      <c r="HF74" s="42"/>
      <c r="HG74" s="42"/>
      <c r="HH74" s="42"/>
      <c r="HI74" s="42"/>
      <c r="HJ74" s="42"/>
      <c r="HK74" s="42"/>
      <c r="HL74" s="42"/>
      <c r="HM74" s="42"/>
      <c r="HN74" s="42"/>
      <c r="HO74" s="42"/>
      <c r="HP74" s="42"/>
      <c r="HQ74" s="42"/>
      <c r="HR74" s="42"/>
      <c r="HS74" s="42"/>
      <c r="HT74" s="42"/>
      <c r="HU74" s="42"/>
      <c r="HV74" s="42"/>
      <c r="HW74" s="42"/>
      <c r="HX74" s="42"/>
      <c r="HY74" s="42"/>
      <c r="HZ74" s="42"/>
      <c r="IA74" s="42"/>
      <c r="IB74" s="42"/>
      <c r="IC74" s="42"/>
      <c r="ID74" s="42"/>
      <c r="IE74" s="42"/>
      <c r="IF74" s="42"/>
      <c r="IG74" s="42"/>
      <c r="IH74" s="42"/>
      <c r="II74" s="42"/>
      <c r="IJ74" s="42"/>
      <c r="IK74" s="42"/>
      <c r="IL74" s="42"/>
      <c r="IM74" s="42"/>
      <c r="IN74" s="42"/>
      <c r="IO74" s="42"/>
      <c r="IP74" s="42"/>
      <c r="IQ74" s="42"/>
      <c r="IR74" s="42"/>
      <c r="IS74" s="42"/>
      <c r="IT74" s="42"/>
      <c r="IU74" s="42"/>
      <c r="IV74" s="42"/>
      <c r="IW74" s="42"/>
      <c r="IX74" s="42"/>
      <c r="IY74" s="42"/>
      <c r="IZ74" s="42"/>
      <c r="JA74" s="42"/>
      <c r="JB74" s="42"/>
      <c r="JC74" s="42"/>
      <c r="JD74" s="42"/>
      <c r="JE74" s="42"/>
      <c r="JF74" s="42"/>
      <c r="JG74" s="42"/>
      <c r="JH74" s="42"/>
      <c r="JI74" s="42"/>
      <c r="JJ74" s="42"/>
      <c r="JK74" s="42"/>
      <c r="JL74" s="42"/>
      <c r="JM74" s="42"/>
      <c r="JN74" s="42"/>
      <c r="JO74" s="42"/>
      <c r="JP74" s="42"/>
      <c r="JQ74" s="42"/>
      <c r="JR74" s="42"/>
      <c r="JS74" s="42"/>
      <c r="JT74" s="42"/>
      <c r="JU74" s="42"/>
      <c r="JV74" s="42"/>
      <c r="JW74" s="42"/>
      <c r="JX74" s="42"/>
      <c r="JY74" s="42"/>
      <c r="JZ74" s="42"/>
      <c r="KA74" s="42"/>
      <c r="KB74" s="42"/>
      <c r="KC74" s="42"/>
      <c r="KD74" s="42"/>
      <c r="KE74" s="42"/>
      <c r="KF74" s="42"/>
      <c r="KG74" s="42"/>
      <c r="KH74" s="42"/>
      <c r="KI74" s="42"/>
      <c r="KJ74" s="42"/>
      <c r="KK74" s="42"/>
      <c r="KL74" s="42"/>
      <c r="KM74" s="42"/>
      <c r="KN74" s="42"/>
      <c r="KO74" s="42"/>
      <c r="KP74" s="42"/>
      <c r="KQ74" s="42"/>
      <c r="KR74" s="42"/>
      <c r="KS74" s="42"/>
      <c r="KT74" s="42"/>
      <c r="KU74" s="42"/>
      <c r="KV74" s="42"/>
      <c r="KW74" s="42"/>
      <c r="KX74" s="42"/>
      <c r="KY74" s="42"/>
      <c r="KZ74" s="42"/>
      <c r="LA74" s="42"/>
      <c r="LB74" s="42"/>
      <c r="LC74" s="42"/>
    </row>
    <row r="75" ht="15.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42"/>
      <c r="BK75" s="42"/>
      <c r="BL75" s="42"/>
      <c r="BM75" s="42"/>
      <c r="BN75" s="42"/>
      <c r="BO75" s="42"/>
      <c r="BP75" s="42"/>
      <c r="BQ75" s="42"/>
      <c r="BR75" s="42"/>
      <c r="BS75" s="42"/>
      <c r="BT75" s="42"/>
      <c r="BU75" s="42"/>
      <c r="BV75" s="42"/>
      <c r="BW75" s="42"/>
      <c r="BX75" s="42"/>
      <c r="BY75" s="42"/>
      <c r="BZ75" s="42"/>
      <c r="CA75" s="42"/>
      <c r="CB75" s="42"/>
      <c r="CC75" s="42"/>
      <c r="CD75" s="42"/>
      <c r="CE75" s="42"/>
      <c r="CF75" s="42"/>
      <c r="CG75" s="42"/>
      <c r="CH75" s="42"/>
      <c r="CI75" s="42"/>
      <c r="CJ75" s="42"/>
      <c r="CK75" s="42"/>
      <c r="CL75" s="42"/>
      <c r="CM75" s="42"/>
      <c r="CN75" s="42"/>
      <c r="CO75" s="42"/>
      <c r="CP75" s="42"/>
      <c r="CQ75" s="42"/>
      <c r="CR75" s="42"/>
      <c r="CS75" s="42"/>
      <c r="CT75" s="42"/>
      <c r="CU75" s="42"/>
      <c r="CV75" s="42"/>
      <c r="CW75" s="42"/>
      <c r="CX75" s="42"/>
      <c r="CY75" s="42"/>
      <c r="CZ75" s="42"/>
      <c r="DA75" s="42"/>
      <c r="DB75" s="42"/>
      <c r="DC75" s="42"/>
      <c r="DD75" s="42"/>
      <c r="DE75" s="42"/>
      <c r="DF75" s="42"/>
      <c r="DG75" s="42"/>
      <c r="DH75" s="42"/>
      <c r="DI75" s="42"/>
      <c r="DJ75" s="42"/>
      <c r="DK75" s="42"/>
      <c r="DL75" s="42"/>
      <c r="DM75" s="42"/>
      <c r="DN75" s="42"/>
      <c r="DO75" s="42"/>
      <c r="DP75" s="42"/>
      <c r="DQ75" s="42"/>
      <c r="DR75" s="42"/>
      <c r="DS75" s="42"/>
      <c r="DT75" s="42"/>
      <c r="DU75" s="42"/>
      <c r="DV75" s="42"/>
      <c r="DW75" s="42"/>
      <c r="DX75" s="42"/>
      <c r="DY75" s="42"/>
      <c r="DZ75" s="42"/>
      <c r="EA75" s="42"/>
      <c r="EB75" s="42"/>
      <c r="EC75" s="42"/>
      <c r="ED75" s="42"/>
      <c r="EE75" s="42"/>
      <c r="EF75" s="42"/>
      <c r="EG75" s="42"/>
      <c r="EH75" s="42"/>
      <c r="EI75" s="42"/>
      <c r="EJ75" s="42"/>
      <c r="EK75" s="42"/>
      <c r="EL75" s="42"/>
      <c r="EM75" s="42"/>
      <c r="EN75" s="42"/>
      <c r="EO75" s="42"/>
      <c r="EP75" s="42"/>
      <c r="EQ75" s="42"/>
      <c r="ER75" s="42"/>
      <c r="ES75" s="42"/>
      <c r="ET75" s="42"/>
      <c r="EU75" s="42"/>
      <c r="EV75" s="42"/>
      <c r="EW75" s="42"/>
      <c r="EX75" s="42"/>
      <c r="EY75" s="42"/>
      <c r="EZ75" s="42"/>
      <c r="FA75" s="42"/>
      <c r="FB75" s="42"/>
      <c r="FC75" s="42"/>
      <c r="FD75" s="42"/>
      <c r="FE75" s="42"/>
      <c r="FF75" s="42"/>
      <c r="FG75" s="42"/>
      <c r="FH75" s="42"/>
      <c r="FI75" s="42"/>
      <c r="FJ75" s="42"/>
      <c r="FK75" s="42"/>
      <c r="FL75" s="42"/>
      <c r="FM75" s="42"/>
      <c r="FN75" s="42"/>
      <c r="FO75" s="42"/>
      <c r="FP75" s="42"/>
      <c r="FQ75" s="42"/>
      <c r="FR75" s="42"/>
      <c r="FS75" s="42"/>
      <c r="FT75" s="42"/>
      <c r="FU75" s="42"/>
      <c r="FV75" s="42"/>
      <c r="FW75" s="42"/>
      <c r="FX75" s="42"/>
      <c r="FY75" s="42"/>
      <c r="FZ75" s="42"/>
      <c r="GA75" s="42"/>
      <c r="GB75" s="42"/>
      <c r="GC75" s="42"/>
      <c r="GD75" s="42"/>
      <c r="GE75" s="42"/>
      <c r="GF75" s="42"/>
      <c r="GG75" s="42"/>
      <c r="GH75" s="42"/>
      <c r="GI75" s="42"/>
      <c r="GJ75" s="42"/>
      <c r="GK75" s="42"/>
      <c r="GL75" s="42"/>
      <c r="GM75" s="42"/>
      <c r="GN75" s="42"/>
      <c r="GO75" s="42"/>
      <c r="GP75" s="42"/>
      <c r="GQ75" s="42"/>
      <c r="GR75" s="42"/>
      <c r="GS75" s="42"/>
      <c r="GT75" s="42"/>
      <c r="GU75" s="42"/>
      <c r="GV75" s="42"/>
      <c r="GW75" s="42"/>
      <c r="GX75" s="42"/>
      <c r="GY75" s="42"/>
      <c r="GZ75" s="42"/>
      <c r="HA75" s="42"/>
      <c r="HB75" s="42"/>
      <c r="HC75" s="42"/>
      <c r="HD75" s="42"/>
      <c r="HE75" s="42"/>
      <c r="HF75" s="42"/>
      <c r="HG75" s="42"/>
      <c r="HH75" s="42"/>
      <c r="HI75" s="42"/>
      <c r="HJ75" s="42"/>
      <c r="HK75" s="42"/>
      <c r="HL75" s="42"/>
      <c r="HM75" s="42"/>
      <c r="HN75" s="42"/>
      <c r="HO75" s="42"/>
      <c r="HP75" s="42"/>
      <c r="HQ75" s="42"/>
      <c r="HR75" s="42"/>
      <c r="HS75" s="42"/>
      <c r="HT75" s="42"/>
      <c r="HU75" s="42"/>
      <c r="HV75" s="42"/>
      <c r="HW75" s="42"/>
      <c r="HX75" s="42"/>
      <c r="HY75" s="42"/>
      <c r="HZ75" s="42"/>
      <c r="IA75" s="42"/>
      <c r="IB75" s="42"/>
      <c r="IC75" s="42"/>
      <c r="ID75" s="42"/>
      <c r="IE75" s="42"/>
      <c r="IF75" s="42"/>
      <c r="IG75" s="42"/>
      <c r="IH75" s="42"/>
      <c r="II75" s="42"/>
      <c r="IJ75" s="42"/>
      <c r="IK75" s="42"/>
      <c r="IL75" s="42"/>
      <c r="IM75" s="42"/>
      <c r="IN75" s="42"/>
      <c r="IO75" s="42"/>
      <c r="IP75" s="42"/>
      <c r="IQ75" s="42"/>
      <c r="IR75" s="42"/>
      <c r="IS75" s="42"/>
      <c r="IT75" s="42"/>
      <c r="IU75" s="42"/>
      <c r="IV75" s="42"/>
      <c r="IW75" s="42"/>
      <c r="IX75" s="42"/>
      <c r="IY75" s="42"/>
      <c r="IZ75" s="42"/>
      <c r="JA75" s="42"/>
      <c r="JB75" s="42"/>
      <c r="JC75" s="42"/>
      <c r="JD75" s="42"/>
      <c r="JE75" s="42"/>
      <c r="JF75" s="42"/>
      <c r="JG75" s="42"/>
      <c r="JH75" s="42"/>
      <c r="JI75" s="42"/>
      <c r="JJ75" s="42"/>
      <c r="JK75" s="42"/>
      <c r="JL75" s="42"/>
      <c r="JM75" s="42"/>
      <c r="JN75" s="42"/>
      <c r="JO75" s="42"/>
      <c r="JP75" s="42"/>
      <c r="JQ75" s="42"/>
      <c r="JR75" s="42"/>
      <c r="JS75" s="42"/>
      <c r="JT75" s="42"/>
      <c r="JU75" s="42"/>
      <c r="JV75" s="42"/>
      <c r="JW75" s="42"/>
      <c r="JX75" s="42"/>
      <c r="JY75" s="42"/>
      <c r="JZ75" s="42"/>
      <c r="KA75" s="42"/>
      <c r="KB75" s="42"/>
      <c r="KC75" s="42"/>
      <c r="KD75" s="42"/>
      <c r="KE75" s="42"/>
      <c r="KF75" s="42"/>
      <c r="KG75" s="42"/>
      <c r="KH75" s="42"/>
      <c r="KI75" s="42"/>
      <c r="KJ75" s="42"/>
      <c r="KK75" s="42"/>
      <c r="KL75" s="42"/>
      <c r="KM75" s="42"/>
      <c r="KN75" s="42"/>
      <c r="KO75" s="42"/>
      <c r="KP75" s="42"/>
      <c r="KQ75" s="42"/>
      <c r="KR75" s="42"/>
      <c r="KS75" s="42"/>
      <c r="KT75" s="42"/>
      <c r="KU75" s="42"/>
      <c r="KV75" s="42"/>
      <c r="KW75" s="42"/>
      <c r="KX75" s="42"/>
      <c r="KY75" s="42"/>
      <c r="KZ75" s="42"/>
      <c r="LA75" s="42"/>
      <c r="LB75" s="42"/>
      <c r="LC75" s="42"/>
    </row>
    <row r="76" ht="15.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c r="BR76" s="42"/>
      <c r="BS76" s="42"/>
      <c r="BT76" s="42"/>
      <c r="BU76" s="42"/>
      <c r="BV76" s="42"/>
      <c r="BW76" s="42"/>
      <c r="BX76" s="42"/>
      <c r="BY76" s="42"/>
      <c r="BZ76" s="42"/>
      <c r="CA76" s="42"/>
      <c r="CB76" s="42"/>
      <c r="CC76" s="42"/>
      <c r="CD76" s="42"/>
      <c r="CE76" s="42"/>
      <c r="CF76" s="42"/>
      <c r="CG76" s="42"/>
      <c r="CH76" s="42"/>
      <c r="CI76" s="42"/>
      <c r="CJ76" s="42"/>
      <c r="CK76" s="42"/>
      <c r="CL76" s="42"/>
      <c r="CM76" s="42"/>
      <c r="CN76" s="42"/>
      <c r="CO76" s="42"/>
      <c r="CP76" s="42"/>
      <c r="CQ76" s="42"/>
      <c r="CR76" s="42"/>
      <c r="CS76" s="42"/>
      <c r="CT76" s="42"/>
      <c r="CU76" s="42"/>
      <c r="CV76" s="42"/>
      <c r="CW76" s="42"/>
      <c r="CX76" s="42"/>
      <c r="CY76" s="42"/>
      <c r="CZ76" s="42"/>
      <c r="DA76" s="42"/>
      <c r="DB76" s="42"/>
      <c r="DC76" s="42"/>
      <c r="DD76" s="42"/>
      <c r="DE76" s="42"/>
      <c r="DF76" s="42"/>
      <c r="DG76" s="42"/>
      <c r="DH76" s="42"/>
      <c r="DI76" s="42"/>
      <c r="DJ76" s="42"/>
      <c r="DK76" s="42"/>
      <c r="DL76" s="42"/>
      <c r="DM76" s="42"/>
      <c r="DN76" s="42"/>
      <c r="DO76" s="42"/>
      <c r="DP76" s="42"/>
      <c r="DQ76" s="42"/>
      <c r="DR76" s="42"/>
      <c r="DS76" s="42"/>
      <c r="DT76" s="42"/>
      <c r="DU76" s="42"/>
      <c r="DV76" s="42"/>
      <c r="DW76" s="42"/>
      <c r="DX76" s="42"/>
      <c r="DY76" s="42"/>
      <c r="DZ76" s="42"/>
      <c r="EA76" s="42"/>
      <c r="EB76" s="42"/>
      <c r="EC76" s="42"/>
      <c r="ED76" s="42"/>
      <c r="EE76" s="42"/>
      <c r="EF76" s="42"/>
      <c r="EG76" s="42"/>
      <c r="EH76" s="42"/>
      <c r="EI76" s="42"/>
      <c r="EJ76" s="42"/>
      <c r="EK76" s="42"/>
      <c r="EL76" s="42"/>
      <c r="EM76" s="42"/>
      <c r="EN76" s="42"/>
      <c r="EO76" s="42"/>
      <c r="EP76" s="42"/>
      <c r="EQ76" s="42"/>
      <c r="ER76" s="42"/>
      <c r="ES76" s="42"/>
      <c r="ET76" s="42"/>
      <c r="EU76" s="42"/>
      <c r="EV76" s="42"/>
      <c r="EW76" s="42"/>
      <c r="EX76" s="42"/>
      <c r="EY76" s="42"/>
      <c r="EZ76" s="42"/>
      <c r="FA76" s="42"/>
      <c r="FB76" s="42"/>
      <c r="FC76" s="42"/>
      <c r="FD76" s="42"/>
      <c r="FE76" s="42"/>
      <c r="FF76" s="42"/>
      <c r="FG76" s="42"/>
      <c r="FH76" s="42"/>
      <c r="FI76" s="42"/>
      <c r="FJ76" s="42"/>
      <c r="FK76" s="42"/>
      <c r="FL76" s="42"/>
      <c r="FM76" s="42"/>
      <c r="FN76" s="42"/>
      <c r="FO76" s="42"/>
      <c r="FP76" s="42"/>
      <c r="FQ76" s="42"/>
      <c r="FR76" s="42"/>
      <c r="FS76" s="42"/>
      <c r="FT76" s="42"/>
      <c r="FU76" s="42"/>
      <c r="FV76" s="42"/>
      <c r="FW76" s="42"/>
      <c r="FX76" s="42"/>
      <c r="FY76" s="42"/>
      <c r="FZ76" s="42"/>
      <c r="GA76" s="42"/>
      <c r="GB76" s="42"/>
      <c r="GC76" s="42"/>
      <c r="GD76" s="42"/>
      <c r="GE76" s="42"/>
      <c r="GF76" s="42"/>
      <c r="GG76" s="42"/>
      <c r="GH76" s="42"/>
      <c r="GI76" s="42"/>
      <c r="GJ76" s="42"/>
      <c r="GK76" s="42"/>
      <c r="GL76" s="42"/>
      <c r="GM76" s="42"/>
      <c r="GN76" s="42"/>
      <c r="GO76" s="42"/>
      <c r="GP76" s="42"/>
      <c r="GQ76" s="42"/>
      <c r="GR76" s="42"/>
      <c r="GS76" s="42"/>
      <c r="GT76" s="42"/>
      <c r="GU76" s="42"/>
      <c r="GV76" s="42"/>
      <c r="GW76" s="42"/>
      <c r="GX76" s="42"/>
      <c r="GY76" s="42"/>
      <c r="GZ76" s="42"/>
      <c r="HA76" s="42"/>
      <c r="HB76" s="42"/>
      <c r="HC76" s="42"/>
      <c r="HD76" s="42"/>
      <c r="HE76" s="42"/>
      <c r="HF76" s="42"/>
      <c r="HG76" s="42"/>
      <c r="HH76" s="42"/>
      <c r="HI76" s="42"/>
      <c r="HJ76" s="42"/>
      <c r="HK76" s="42"/>
      <c r="HL76" s="42"/>
      <c r="HM76" s="42"/>
      <c r="HN76" s="42"/>
      <c r="HO76" s="42"/>
      <c r="HP76" s="42"/>
      <c r="HQ76" s="42"/>
      <c r="HR76" s="42"/>
      <c r="HS76" s="42"/>
      <c r="HT76" s="42"/>
      <c r="HU76" s="42"/>
      <c r="HV76" s="42"/>
      <c r="HW76" s="42"/>
      <c r="HX76" s="42"/>
      <c r="HY76" s="42"/>
      <c r="HZ76" s="42"/>
      <c r="IA76" s="42"/>
      <c r="IB76" s="42"/>
      <c r="IC76" s="42"/>
      <c r="ID76" s="42"/>
      <c r="IE76" s="42"/>
      <c r="IF76" s="42"/>
      <c r="IG76" s="42"/>
      <c r="IH76" s="42"/>
      <c r="II76" s="42"/>
      <c r="IJ76" s="42"/>
      <c r="IK76" s="42"/>
      <c r="IL76" s="42"/>
      <c r="IM76" s="42"/>
      <c r="IN76" s="42"/>
      <c r="IO76" s="42"/>
      <c r="IP76" s="42"/>
      <c r="IQ76" s="42"/>
      <c r="IR76" s="42"/>
      <c r="IS76" s="42"/>
      <c r="IT76" s="42"/>
      <c r="IU76" s="42"/>
      <c r="IV76" s="42"/>
      <c r="IW76" s="42"/>
      <c r="IX76" s="42"/>
      <c r="IY76" s="42"/>
      <c r="IZ76" s="42"/>
      <c r="JA76" s="42"/>
      <c r="JB76" s="42"/>
      <c r="JC76" s="42"/>
      <c r="JD76" s="42"/>
      <c r="JE76" s="42"/>
      <c r="JF76" s="42"/>
      <c r="JG76" s="42"/>
      <c r="JH76" s="42"/>
      <c r="JI76" s="42"/>
      <c r="JJ76" s="42"/>
      <c r="JK76" s="42"/>
      <c r="JL76" s="42"/>
      <c r="JM76" s="42"/>
      <c r="JN76" s="42"/>
      <c r="JO76" s="42"/>
      <c r="JP76" s="42"/>
      <c r="JQ76" s="42"/>
      <c r="JR76" s="42"/>
      <c r="JS76" s="42"/>
      <c r="JT76" s="42"/>
      <c r="JU76" s="42"/>
      <c r="JV76" s="42"/>
      <c r="JW76" s="42"/>
      <c r="JX76" s="42"/>
      <c r="JY76" s="42"/>
      <c r="JZ76" s="42"/>
      <c r="KA76" s="42"/>
      <c r="KB76" s="42"/>
      <c r="KC76" s="42"/>
      <c r="KD76" s="42"/>
      <c r="KE76" s="42"/>
      <c r="KF76" s="42"/>
      <c r="KG76" s="42"/>
      <c r="KH76" s="42"/>
      <c r="KI76" s="42"/>
      <c r="KJ76" s="42"/>
      <c r="KK76" s="42"/>
      <c r="KL76" s="42"/>
      <c r="KM76" s="42"/>
      <c r="KN76" s="42"/>
      <c r="KO76" s="42"/>
      <c r="KP76" s="42"/>
      <c r="KQ76" s="42"/>
      <c r="KR76" s="42"/>
      <c r="KS76" s="42"/>
      <c r="KT76" s="42"/>
      <c r="KU76" s="42"/>
      <c r="KV76" s="42"/>
      <c r="KW76" s="42"/>
      <c r="KX76" s="42"/>
      <c r="KY76" s="42"/>
      <c r="KZ76" s="42"/>
      <c r="LA76" s="42"/>
      <c r="LB76" s="42"/>
      <c r="LC76" s="42"/>
    </row>
    <row r="77" ht="15.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c r="BW77" s="42"/>
      <c r="BX77" s="42"/>
      <c r="BY77" s="42"/>
      <c r="BZ77" s="42"/>
      <c r="CA77" s="42"/>
      <c r="CB77" s="42"/>
      <c r="CC77" s="42"/>
      <c r="CD77" s="42"/>
      <c r="CE77" s="42"/>
      <c r="CF77" s="42"/>
      <c r="CG77" s="42"/>
      <c r="CH77" s="42"/>
      <c r="CI77" s="42"/>
      <c r="CJ77" s="42"/>
      <c r="CK77" s="42"/>
      <c r="CL77" s="42"/>
      <c r="CM77" s="42"/>
      <c r="CN77" s="42"/>
      <c r="CO77" s="42"/>
      <c r="CP77" s="42"/>
      <c r="CQ77" s="42"/>
      <c r="CR77" s="42"/>
      <c r="CS77" s="42"/>
      <c r="CT77" s="42"/>
      <c r="CU77" s="42"/>
      <c r="CV77" s="42"/>
      <c r="CW77" s="42"/>
      <c r="CX77" s="42"/>
      <c r="CY77" s="42"/>
      <c r="CZ77" s="42"/>
      <c r="DA77" s="42"/>
      <c r="DB77" s="42"/>
      <c r="DC77" s="42"/>
      <c r="DD77" s="42"/>
      <c r="DE77" s="42"/>
      <c r="DF77" s="42"/>
      <c r="DG77" s="42"/>
      <c r="DH77" s="42"/>
      <c r="DI77" s="42"/>
      <c r="DJ77" s="42"/>
      <c r="DK77" s="42"/>
      <c r="DL77" s="42"/>
      <c r="DM77" s="42"/>
      <c r="DN77" s="42"/>
      <c r="DO77" s="42"/>
      <c r="DP77" s="42"/>
      <c r="DQ77" s="42"/>
      <c r="DR77" s="42"/>
      <c r="DS77" s="42"/>
      <c r="DT77" s="42"/>
      <c r="DU77" s="42"/>
      <c r="DV77" s="42"/>
      <c r="DW77" s="42"/>
      <c r="DX77" s="42"/>
      <c r="DY77" s="42"/>
      <c r="DZ77" s="42"/>
      <c r="EA77" s="42"/>
      <c r="EB77" s="42"/>
      <c r="EC77" s="42"/>
      <c r="ED77" s="42"/>
      <c r="EE77" s="42"/>
      <c r="EF77" s="42"/>
      <c r="EG77" s="42"/>
      <c r="EH77" s="42"/>
      <c r="EI77" s="42"/>
      <c r="EJ77" s="42"/>
      <c r="EK77" s="42"/>
      <c r="EL77" s="42"/>
      <c r="EM77" s="42"/>
      <c r="EN77" s="42"/>
      <c r="EO77" s="42"/>
      <c r="EP77" s="42"/>
      <c r="EQ77" s="42"/>
      <c r="ER77" s="42"/>
      <c r="ES77" s="42"/>
      <c r="ET77" s="42"/>
      <c r="EU77" s="42"/>
      <c r="EV77" s="42"/>
      <c r="EW77" s="42"/>
      <c r="EX77" s="42"/>
      <c r="EY77" s="42"/>
      <c r="EZ77" s="42"/>
      <c r="FA77" s="42"/>
      <c r="FB77" s="42"/>
      <c r="FC77" s="42"/>
      <c r="FD77" s="42"/>
      <c r="FE77" s="42"/>
      <c r="FF77" s="42"/>
      <c r="FG77" s="42"/>
      <c r="FH77" s="42"/>
      <c r="FI77" s="42"/>
      <c r="FJ77" s="42"/>
      <c r="FK77" s="42"/>
      <c r="FL77" s="42"/>
      <c r="FM77" s="42"/>
      <c r="FN77" s="42"/>
      <c r="FO77" s="42"/>
      <c r="FP77" s="42"/>
      <c r="FQ77" s="42"/>
      <c r="FR77" s="42"/>
      <c r="FS77" s="42"/>
      <c r="FT77" s="42"/>
      <c r="FU77" s="42"/>
      <c r="FV77" s="42"/>
      <c r="FW77" s="42"/>
      <c r="FX77" s="42"/>
      <c r="FY77" s="42"/>
      <c r="FZ77" s="42"/>
      <c r="GA77" s="42"/>
      <c r="GB77" s="42"/>
      <c r="GC77" s="42"/>
      <c r="GD77" s="42"/>
      <c r="GE77" s="42"/>
      <c r="GF77" s="42"/>
      <c r="GG77" s="42"/>
      <c r="GH77" s="42"/>
      <c r="GI77" s="42"/>
      <c r="GJ77" s="42"/>
      <c r="GK77" s="42"/>
      <c r="GL77" s="42"/>
      <c r="GM77" s="42"/>
      <c r="GN77" s="42"/>
      <c r="GO77" s="42"/>
      <c r="GP77" s="42"/>
      <c r="GQ77" s="42"/>
      <c r="GR77" s="42"/>
      <c r="GS77" s="42"/>
      <c r="GT77" s="42"/>
      <c r="GU77" s="42"/>
      <c r="GV77" s="42"/>
      <c r="GW77" s="42"/>
      <c r="GX77" s="42"/>
      <c r="GY77" s="42"/>
      <c r="GZ77" s="42"/>
      <c r="HA77" s="42"/>
      <c r="HB77" s="42"/>
      <c r="HC77" s="42"/>
      <c r="HD77" s="42"/>
      <c r="HE77" s="42"/>
      <c r="HF77" s="42"/>
      <c r="HG77" s="42"/>
      <c r="HH77" s="42"/>
      <c r="HI77" s="42"/>
      <c r="HJ77" s="42"/>
      <c r="HK77" s="42"/>
      <c r="HL77" s="42"/>
      <c r="HM77" s="42"/>
      <c r="HN77" s="42"/>
      <c r="HO77" s="42"/>
      <c r="HP77" s="42"/>
      <c r="HQ77" s="42"/>
      <c r="HR77" s="42"/>
      <c r="HS77" s="42"/>
      <c r="HT77" s="42"/>
      <c r="HU77" s="42"/>
      <c r="HV77" s="42"/>
      <c r="HW77" s="42"/>
      <c r="HX77" s="42"/>
      <c r="HY77" s="42"/>
      <c r="HZ77" s="42"/>
      <c r="IA77" s="42"/>
      <c r="IB77" s="42"/>
      <c r="IC77" s="42"/>
      <c r="ID77" s="42"/>
      <c r="IE77" s="42"/>
      <c r="IF77" s="42"/>
      <c r="IG77" s="42"/>
      <c r="IH77" s="42"/>
      <c r="II77" s="42"/>
      <c r="IJ77" s="42"/>
      <c r="IK77" s="42"/>
      <c r="IL77" s="42"/>
      <c r="IM77" s="42"/>
      <c r="IN77" s="42"/>
      <c r="IO77" s="42"/>
      <c r="IP77" s="42"/>
      <c r="IQ77" s="42"/>
      <c r="IR77" s="42"/>
      <c r="IS77" s="42"/>
      <c r="IT77" s="42"/>
      <c r="IU77" s="42"/>
      <c r="IV77" s="42"/>
      <c r="IW77" s="42"/>
      <c r="IX77" s="42"/>
      <c r="IY77" s="42"/>
      <c r="IZ77" s="42"/>
      <c r="JA77" s="42"/>
      <c r="JB77" s="42"/>
      <c r="JC77" s="42"/>
      <c r="JD77" s="42"/>
      <c r="JE77" s="42"/>
      <c r="JF77" s="42"/>
      <c r="JG77" s="42"/>
      <c r="JH77" s="42"/>
      <c r="JI77" s="42"/>
      <c r="JJ77" s="42"/>
      <c r="JK77" s="42"/>
      <c r="JL77" s="42"/>
      <c r="JM77" s="42"/>
      <c r="JN77" s="42"/>
      <c r="JO77" s="42"/>
      <c r="JP77" s="42"/>
      <c r="JQ77" s="42"/>
      <c r="JR77" s="42"/>
      <c r="JS77" s="42"/>
      <c r="JT77" s="42"/>
      <c r="JU77" s="42"/>
      <c r="JV77" s="42"/>
      <c r="JW77" s="42"/>
      <c r="JX77" s="42"/>
      <c r="JY77" s="42"/>
      <c r="JZ77" s="42"/>
      <c r="KA77" s="42"/>
      <c r="KB77" s="42"/>
      <c r="KC77" s="42"/>
      <c r="KD77" s="42"/>
      <c r="KE77" s="42"/>
      <c r="KF77" s="42"/>
      <c r="KG77" s="42"/>
      <c r="KH77" s="42"/>
      <c r="KI77" s="42"/>
      <c r="KJ77" s="42"/>
      <c r="KK77" s="42"/>
      <c r="KL77" s="42"/>
      <c r="KM77" s="42"/>
      <c r="KN77" s="42"/>
      <c r="KO77" s="42"/>
      <c r="KP77" s="42"/>
      <c r="KQ77" s="42"/>
      <c r="KR77" s="42"/>
      <c r="KS77" s="42"/>
      <c r="KT77" s="42"/>
      <c r="KU77" s="42"/>
      <c r="KV77" s="42"/>
      <c r="KW77" s="42"/>
      <c r="KX77" s="42"/>
      <c r="KY77" s="42"/>
      <c r="KZ77" s="42"/>
      <c r="LA77" s="42"/>
      <c r="LB77" s="42"/>
      <c r="LC77" s="42"/>
    </row>
    <row r="78" ht="15.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42"/>
      <c r="BX78" s="42"/>
      <c r="BY78" s="42"/>
      <c r="BZ78" s="42"/>
      <c r="CA78" s="42"/>
      <c r="CB78" s="42"/>
      <c r="CC78" s="42"/>
      <c r="CD78" s="42"/>
      <c r="CE78" s="42"/>
      <c r="CF78" s="42"/>
      <c r="CG78" s="42"/>
      <c r="CH78" s="42"/>
      <c r="CI78" s="42"/>
      <c r="CJ78" s="42"/>
      <c r="CK78" s="42"/>
      <c r="CL78" s="42"/>
      <c r="CM78" s="42"/>
      <c r="CN78" s="42"/>
      <c r="CO78" s="42"/>
      <c r="CP78" s="42"/>
      <c r="CQ78" s="42"/>
      <c r="CR78" s="42"/>
      <c r="CS78" s="42"/>
      <c r="CT78" s="42"/>
      <c r="CU78" s="42"/>
      <c r="CV78" s="42"/>
      <c r="CW78" s="42"/>
      <c r="CX78" s="42"/>
      <c r="CY78" s="42"/>
      <c r="CZ78" s="42"/>
      <c r="DA78" s="42"/>
      <c r="DB78" s="42"/>
      <c r="DC78" s="42"/>
      <c r="DD78" s="42"/>
      <c r="DE78" s="42"/>
      <c r="DF78" s="42"/>
      <c r="DG78" s="42"/>
      <c r="DH78" s="42"/>
      <c r="DI78" s="42"/>
      <c r="DJ78" s="42"/>
      <c r="DK78" s="42"/>
      <c r="DL78" s="42"/>
      <c r="DM78" s="42"/>
      <c r="DN78" s="42"/>
      <c r="DO78" s="42"/>
      <c r="DP78" s="42"/>
      <c r="DQ78" s="42"/>
      <c r="DR78" s="42"/>
      <c r="DS78" s="42"/>
      <c r="DT78" s="42"/>
      <c r="DU78" s="42"/>
      <c r="DV78" s="42"/>
      <c r="DW78" s="42"/>
      <c r="DX78" s="42"/>
      <c r="DY78" s="42"/>
      <c r="DZ78" s="42"/>
      <c r="EA78" s="42"/>
      <c r="EB78" s="42"/>
      <c r="EC78" s="42"/>
      <c r="ED78" s="42"/>
      <c r="EE78" s="42"/>
      <c r="EF78" s="42"/>
      <c r="EG78" s="42"/>
      <c r="EH78" s="42"/>
      <c r="EI78" s="42"/>
      <c r="EJ78" s="42"/>
      <c r="EK78" s="42"/>
      <c r="EL78" s="42"/>
      <c r="EM78" s="42"/>
      <c r="EN78" s="42"/>
      <c r="EO78" s="42"/>
      <c r="EP78" s="42"/>
      <c r="EQ78" s="42"/>
      <c r="ER78" s="42"/>
      <c r="ES78" s="42"/>
      <c r="ET78" s="42"/>
      <c r="EU78" s="42"/>
      <c r="EV78" s="42"/>
      <c r="EW78" s="42"/>
      <c r="EX78" s="42"/>
      <c r="EY78" s="42"/>
      <c r="EZ78" s="42"/>
      <c r="FA78" s="42"/>
      <c r="FB78" s="42"/>
      <c r="FC78" s="42"/>
      <c r="FD78" s="42"/>
      <c r="FE78" s="42"/>
      <c r="FF78" s="42"/>
      <c r="FG78" s="42"/>
      <c r="FH78" s="42"/>
      <c r="FI78" s="42"/>
      <c r="FJ78" s="42"/>
      <c r="FK78" s="42"/>
      <c r="FL78" s="42"/>
      <c r="FM78" s="42"/>
      <c r="FN78" s="42"/>
      <c r="FO78" s="42"/>
      <c r="FP78" s="42"/>
      <c r="FQ78" s="42"/>
      <c r="FR78" s="42"/>
      <c r="FS78" s="42"/>
      <c r="FT78" s="42"/>
      <c r="FU78" s="42"/>
      <c r="FV78" s="42"/>
      <c r="FW78" s="42"/>
      <c r="FX78" s="42"/>
      <c r="FY78" s="42"/>
      <c r="FZ78" s="42"/>
      <c r="GA78" s="42"/>
      <c r="GB78" s="42"/>
      <c r="GC78" s="42"/>
      <c r="GD78" s="42"/>
      <c r="GE78" s="42"/>
      <c r="GF78" s="42"/>
      <c r="GG78" s="42"/>
      <c r="GH78" s="42"/>
      <c r="GI78" s="42"/>
      <c r="GJ78" s="42"/>
      <c r="GK78" s="42"/>
      <c r="GL78" s="42"/>
      <c r="GM78" s="42"/>
      <c r="GN78" s="42"/>
      <c r="GO78" s="42"/>
      <c r="GP78" s="42"/>
      <c r="GQ78" s="42"/>
      <c r="GR78" s="42"/>
      <c r="GS78" s="42"/>
      <c r="GT78" s="42"/>
      <c r="GU78" s="42"/>
      <c r="GV78" s="42"/>
      <c r="GW78" s="42"/>
      <c r="GX78" s="42"/>
      <c r="GY78" s="42"/>
      <c r="GZ78" s="42"/>
      <c r="HA78" s="42"/>
      <c r="HB78" s="42"/>
      <c r="HC78" s="42"/>
      <c r="HD78" s="42"/>
      <c r="HE78" s="42"/>
      <c r="HF78" s="42"/>
      <c r="HG78" s="42"/>
      <c r="HH78" s="42"/>
      <c r="HI78" s="42"/>
      <c r="HJ78" s="42"/>
      <c r="HK78" s="42"/>
      <c r="HL78" s="42"/>
      <c r="HM78" s="42"/>
      <c r="HN78" s="42"/>
      <c r="HO78" s="42"/>
      <c r="HP78" s="42"/>
      <c r="HQ78" s="42"/>
      <c r="HR78" s="42"/>
      <c r="HS78" s="42"/>
      <c r="HT78" s="42"/>
      <c r="HU78" s="42"/>
      <c r="HV78" s="42"/>
      <c r="HW78" s="42"/>
      <c r="HX78" s="42"/>
      <c r="HY78" s="42"/>
      <c r="HZ78" s="42"/>
      <c r="IA78" s="42"/>
      <c r="IB78" s="42"/>
      <c r="IC78" s="42"/>
      <c r="ID78" s="42"/>
      <c r="IE78" s="42"/>
      <c r="IF78" s="42"/>
      <c r="IG78" s="42"/>
      <c r="IH78" s="42"/>
      <c r="II78" s="42"/>
      <c r="IJ78" s="42"/>
      <c r="IK78" s="42"/>
      <c r="IL78" s="42"/>
      <c r="IM78" s="42"/>
      <c r="IN78" s="42"/>
      <c r="IO78" s="42"/>
      <c r="IP78" s="42"/>
      <c r="IQ78" s="42"/>
      <c r="IR78" s="42"/>
      <c r="IS78" s="42"/>
      <c r="IT78" s="42"/>
      <c r="IU78" s="42"/>
      <c r="IV78" s="42"/>
      <c r="IW78" s="42"/>
      <c r="IX78" s="42"/>
      <c r="IY78" s="42"/>
      <c r="IZ78" s="42"/>
      <c r="JA78" s="42"/>
      <c r="JB78" s="42"/>
      <c r="JC78" s="42"/>
      <c r="JD78" s="42"/>
      <c r="JE78" s="42"/>
      <c r="JF78" s="42"/>
      <c r="JG78" s="42"/>
      <c r="JH78" s="42"/>
      <c r="JI78" s="42"/>
      <c r="JJ78" s="42"/>
      <c r="JK78" s="42"/>
      <c r="JL78" s="42"/>
      <c r="JM78" s="42"/>
      <c r="JN78" s="42"/>
      <c r="JO78" s="42"/>
      <c r="JP78" s="42"/>
      <c r="JQ78" s="42"/>
      <c r="JR78" s="42"/>
      <c r="JS78" s="42"/>
      <c r="JT78" s="42"/>
      <c r="JU78" s="42"/>
      <c r="JV78" s="42"/>
      <c r="JW78" s="42"/>
      <c r="JX78" s="42"/>
      <c r="JY78" s="42"/>
      <c r="JZ78" s="42"/>
      <c r="KA78" s="42"/>
      <c r="KB78" s="42"/>
      <c r="KC78" s="42"/>
      <c r="KD78" s="42"/>
      <c r="KE78" s="42"/>
      <c r="KF78" s="42"/>
      <c r="KG78" s="42"/>
      <c r="KH78" s="42"/>
      <c r="KI78" s="42"/>
      <c r="KJ78" s="42"/>
      <c r="KK78" s="42"/>
      <c r="KL78" s="42"/>
      <c r="KM78" s="42"/>
      <c r="KN78" s="42"/>
      <c r="KO78" s="42"/>
      <c r="KP78" s="42"/>
      <c r="KQ78" s="42"/>
      <c r="KR78" s="42"/>
      <c r="KS78" s="42"/>
      <c r="KT78" s="42"/>
      <c r="KU78" s="42"/>
      <c r="KV78" s="42"/>
      <c r="KW78" s="42"/>
      <c r="KX78" s="42"/>
      <c r="KY78" s="42"/>
      <c r="KZ78" s="42"/>
      <c r="LA78" s="42"/>
      <c r="LB78" s="42"/>
      <c r="LC78" s="42"/>
    </row>
    <row r="79" ht="15.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42"/>
      <c r="CV79" s="42"/>
      <c r="CW79" s="42"/>
      <c r="CX79" s="42"/>
      <c r="CY79" s="42"/>
      <c r="CZ79" s="42"/>
      <c r="DA79" s="42"/>
      <c r="DB79" s="42"/>
      <c r="DC79" s="42"/>
      <c r="DD79" s="42"/>
      <c r="DE79" s="42"/>
      <c r="DF79" s="42"/>
      <c r="DG79" s="42"/>
      <c r="DH79" s="42"/>
      <c r="DI79" s="42"/>
      <c r="DJ79" s="42"/>
      <c r="DK79" s="42"/>
      <c r="DL79" s="42"/>
      <c r="DM79" s="42"/>
      <c r="DN79" s="42"/>
      <c r="DO79" s="42"/>
      <c r="DP79" s="42"/>
      <c r="DQ79" s="42"/>
      <c r="DR79" s="42"/>
      <c r="DS79" s="42"/>
      <c r="DT79" s="42"/>
      <c r="DU79" s="42"/>
      <c r="DV79" s="42"/>
      <c r="DW79" s="42"/>
      <c r="DX79" s="42"/>
      <c r="DY79" s="42"/>
      <c r="DZ79" s="42"/>
      <c r="EA79" s="42"/>
      <c r="EB79" s="42"/>
      <c r="EC79" s="42"/>
      <c r="ED79" s="42"/>
      <c r="EE79" s="42"/>
      <c r="EF79" s="42"/>
      <c r="EG79" s="42"/>
      <c r="EH79" s="42"/>
      <c r="EI79" s="42"/>
      <c r="EJ79" s="42"/>
      <c r="EK79" s="42"/>
      <c r="EL79" s="42"/>
      <c r="EM79" s="42"/>
      <c r="EN79" s="42"/>
      <c r="EO79" s="42"/>
      <c r="EP79" s="42"/>
      <c r="EQ79" s="42"/>
      <c r="ER79" s="42"/>
      <c r="ES79" s="42"/>
      <c r="ET79" s="42"/>
      <c r="EU79" s="42"/>
      <c r="EV79" s="42"/>
      <c r="EW79" s="42"/>
      <c r="EX79" s="42"/>
      <c r="EY79" s="42"/>
      <c r="EZ79" s="42"/>
      <c r="FA79" s="42"/>
      <c r="FB79" s="42"/>
      <c r="FC79" s="42"/>
      <c r="FD79" s="42"/>
      <c r="FE79" s="42"/>
      <c r="FF79" s="42"/>
      <c r="FG79" s="42"/>
      <c r="FH79" s="42"/>
      <c r="FI79" s="42"/>
      <c r="FJ79" s="42"/>
      <c r="FK79" s="42"/>
      <c r="FL79" s="42"/>
      <c r="FM79" s="42"/>
      <c r="FN79" s="42"/>
      <c r="FO79" s="42"/>
      <c r="FP79" s="42"/>
      <c r="FQ79" s="42"/>
      <c r="FR79" s="42"/>
      <c r="FS79" s="42"/>
      <c r="FT79" s="42"/>
      <c r="FU79" s="42"/>
      <c r="FV79" s="42"/>
      <c r="FW79" s="42"/>
      <c r="FX79" s="42"/>
      <c r="FY79" s="42"/>
      <c r="FZ79" s="42"/>
      <c r="GA79" s="42"/>
      <c r="GB79" s="42"/>
      <c r="GC79" s="42"/>
      <c r="GD79" s="42"/>
      <c r="GE79" s="42"/>
      <c r="GF79" s="42"/>
      <c r="GG79" s="42"/>
      <c r="GH79" s="42"/>
      <c r="GI79" s="42"/>
      <c r="GJ79" s="42"/>
      <c r="GK79" s="42"/>
      <c r="GL79" s="42"/>
      <c r="GM79" s="42"/>
      <c r="GN79" s="42"/>
      <c r="GO79" s="42"/>
      <c r="GP79" s="42"/>
      <c r="GQ79" s="42"/>
      <c r="GR79" s="42"/>
      <c r="GS79" s="42"/>
      <c r="GT79" s="42"/>
      <c r="GU79" s="42"/>
      <c r="GV79" s="42"/>
      <c r="GW79" s="42"/>
      <c r="GX79" s="42"/>
      <c r="GY79" s="42"/>
      <c r="GZ79" s="42"/>
      <c r="HA79" s="42"/>
      <c r="HB79" s="42"/>
      <c r="HC79" s="42"/>
      <c r="HD79" s="42"/>
      <c r="HE79" s="42"/>
      <c r="HF79" s="42"/>
      <c r="HG79" s="42"/>
      <c r="HH79" s="42"/>
      <c r="HI79" s="42"/>
      <c r="HJ79" s="42"/>
      <c r="HK79" s="42"/>
      <c r="HL79" s="42"/>
      <c r="HM79" s="42"/>
      <c r="HN79" s="42"/>
      <c r="HO79" s="42"/>
      <c r="HP79" s="42"/>
      <c r="HQ79" s="42"/>
      <c r="HR79" s="42"/>
      <c r="HS79" s="42"/>
      <c r="HT79" s="42"/>
      <c r="HU79" s="42"/>
      <c r="HV79" s="42"/>
      <c r="HW79" s="42"/>
      <c r="HX79" s="42"/>
      <c r="HY79" s="42"/>
      <c r="HZ79" s="42"/>
      <c r="IA79" s="42"/>
      <c r="IB79" s="42"/>
      <c r="IC79" s="42"/>
      <c r="ID79" s="42"/>
      <c r="IE79" s="42"/>
      <c r="IF79" s="42"/>
      <c r="IG79" s="42"/>
      <c r="IH79" s="42"/>
      <c r="II79" s="42"/>
      <c r="IJ79" s="42"/>
      <c r="IK79" s="42"/>
      <c r="IL79" s="42"/>
      <c r="IM79" s="42"/>
      <c r="IN79" s="42"/>
      <c r="IO79" s="42"/>
      <c r="IP79" s="42"/>
      <c r="IQ79" s="42"/>
      <c r="IR79" s="42"/>
      <c r="IS79" s="42"/>
      <c r="IT79" s="42"/>
      <c r="IU79" s="42"/>
      <c r="IV79" s="42"/>
      <c r="IW79" s="42"/>
      <c r="IX79" s="42"/>
      <c r="IY79" s="42"/>
      <c r="IZ79" s="42"/>
      <c r="JA79" s="42"/>
      <c r="JB79" s="42"/>
      <c r="JC79" s="42"/>
      <c r="JD79" s="42"/>
      <c r="JE79" s="42"/>
      <c r="JF79" s="42"/>
      <c r="JG79" s="42"/>
      <c r="JH79" s="42"/>
      <c r="JI79" s="42"/>
      <c r="JJ79" s="42"/>
      <c r="JK79" s="42"/>
      <c r="JL79" s="42"/>
      <c r="JM79" s="42"/>
      <c r="JN79" s="42"/>
      <c r="JO79" s="42"/>
      <c r="JP79" s="42"/>
      <c r="JQ79" s="42"/>
      <c r="JR79" s="42"/>
      <c r="JS79" s="42"/>
      <c r="JT79" s="42"/>
      <c r="JU79" s="42"/>
      <c r="JV79" s="42"/>
      <c r="JW79" s="42"/>
      <c r="JX79" s="42"/>
      <c r="JY79" s="42"/>
      <c r="JZ79" s="42"/>
      <c r="KA79" s="42"/>
      <c r="KB79" s="42"/>
      <c r="KC79" s="42"/>
      <c r="KD79" s="42"/>
      <c r="KE79" s="42"/>
      <c r="KF79" s="42"/>
      <c r="KG79" s="42"/>
      <c r="KH79" s="42"/>
      <c r="KI79" s="42"/>
      <c r="KJ79" s="42"/>
      <c r="KK79" s="42"/>
      <c r="KL79" s="42"/>
      <c r="KM79" s="42"/>
      <c r="KN79" s="42"/>
      <c r="KO79" s="42"/>
      <c r="KP79" s="42"/>
      <c r="KQ79" s="42"/>
      <c r="KR79" s="42"/>
      <c r="KS79" s="42"/>
      <c r="KT79" s="42"/>
      <c r="KU79" s="42"/>
      <c r="KV79" s="42"/>
      <c r="KW79" s="42"/>
      <c r="KX79" s="42"/>
      <c r="KY79" s="42"/>
      <c r="KZ79" s="42"/>
      <c r="LA79" s="42"/>
      <c r="LB79" s="42"/>
      <c r="LC79" s="42"/>
    </row>
    <row r="80" ht="15.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c r="CD80" s="42"/>
      <c r="CE80" s="42"/>
      <c r="CF80" s="42"/>
      <c r="CG80" s="42"/>
      <c r="CH80" s="42"/>
      <c r="CI80" s="42"/>
      <c r="CJ80" s="42"/>
      <c r="CK80" s="42"/>
      <c r="CL80" s="42"/>
      <c r="CM80" s="42"/>
      <c r="CN80" s="42"/>
      <c r="CO80" s="42"/>
      <c r="CP80" s="42"/>
      <c r="CQ80" s="42"/>
      <c r="CR80" s="42"/>
      <c r="CS80" s="42"/>
      <c r="CT80" s="42"/>
      <c r="CU80" s="42"/>
      <c r="CV80" s="42"/>
      <c r="CW80" s="42"/>
      <c r="CX80" s="42"/>
      <c r="CY80" s="42"/>
      <c r="CZ80" s="42"/>
      <c r="DA80" s="42"/>
      <c r="DB80" s="42"/>
      <c r="DC80" s="42"/>
      <c r="DD80" s="42"/>
      <c r="DE80" s="42"/>
      <c r="DF80" s="42"/>
      <c r="DG80" s="42"/>
      <c r="DH80" s="42"/>
      <c r="DI80" s="42"/>
      <c r="DJ80" s="42"/>
      <c r="DK80" s="42"/>
      <c r="DL80" s="42"/>
      <c r="DM80" s="42"/>
      <c r="DN80" s="42"/>
      <c r="DO80" s="42"/>
      <c r="DP80" s="42"/>
      <c r="DQ80" s="42"/>
      <c r="DR80" s="42"/>
      <c r="DS80" s="42"/>
      <c r="DT80" s="42"/>
      <c r="DU80" s="42"/>
      <c r="DV80" s="42"/>
      <c r="DW80" s="42"/>
      <c r="DX80" s="42"/>
      <c r="DY80" s="42"/>
      <c r="DZ80" s="42"/>
      <c r="EA80" s="42"/>
      <c r="EB80" s="42"/>
      <c r="EC80" s="42"/>
      <c r="ED80" s="42"/>
      <c r="EE80" s="42"/>
      <c r="EF80" s="42"/>
      <c r="EG80" s="42"/>
      <c r="EH80" s="42"/>
      <c r="EI80" s="42"/>
      <c r="EJ80" s="42"/>
      <c r="EK80" s="42"/>
      <c r="EL80" s="42"/>
      <c r="EM80" s="42"/>
      <c r="EN80" s="42"/>
      <c r="EO80" s="42"/>
      <c r="EP80" s="42"/>
      <c r="EQ80" s="42"/>
      <c r="ER80" s="42"/>
      <c r="ES80" s="42"/>
      <c r="ET80" s="42"/>
      <c r="EU80" s="42"/>
      <c r="EV80" s="42"/>
      <c r="EW80" s="42"/>
      <c r="EX80" s="42"/>
      <c r="EY80" s="42"/>
      <c r="EZ80" s="42"/>
      <c r="FA80" s="42"/>
      <c r="FB80" s="42"/>
      <c r="FC80" s="42"/>
      <c r="FD80" s="42"/>
      <c r="FE80" s="42"/>
      <c r="FF80" s="42"/>
      <c r="FG80" s="42"/>
      <c r="FH80" s="42"/>
      <c r="FI80" s="42"/>
      <c r="FJ80" s="42"/>
      <c r="FK80" s="42"/>
      <c r="FL80" s="42"/>
      <c r="FM80" s="42"/>
      <c r="FN80" s="42"/>
      <c r="FO80" s="42"/>
      <c r="FP80" s="42"/>
      <c r="FQ80" s="42"/>
      <c r="FR80" s="42"/>
      <c r="FS80" s="42"/>
      <c r="FT80" s="42"/>
      <c r="FU80" s="42"/>
      <c r="FV80" s="42"/>
      <c r="FW80" s="42"/>
      <c r="FX80" s="42"/>
      <c r="FY80" s="42"/>
      <c r="FZ80" s="42"/>
      <c r="GA80" s="42"/>
      <c r="GB80" s="42"/>
      <c r="GC80" s="42"/>
      <c r="GD80" s="42"/>
      <c r="GE80" s="42"/>
      <c r="GF80" s="42"/>
      <c r="GG80" s="42"/>
      <c r="GH80" s="42"/>
      <c r="GI80" s="42"/>
      <c r="GJ80" s="42"/>
      <c r="GK80" s="42"/>
      <c r="GL80" s="42"/>
      <c r="GM80" s="42"/>
      <c r="GN80" s="42"/>
      <c r="GO80" s="42"/>
      <c r="GP80" s="42"/>
      <c r="GQ80" s="42"/>
      <c r="GR80" s="42"/>
      <c r="GS80" s="42"/>
      <c r="GT80" s="42"/>
      <c r="GU80" s="42"/>
      <c r="GV80" s="42"/>
      <c r="GW80" s="42"/>
      <c r="GX80" s="42"/>
      <c r="GY80" s="42"/>
      <c r="GZ80" s="42"/>
      <c r="HA80" s="42"/>
      <c r="HB80" s="42"/>
      <c r="HC80" s="42"/>
      <c r="HD80" s="42"/>
      <c r="HE80" s="42"/>
      <c r="HF80" s="42"/>
      <c r="HG80" s="42"/>
      <c r="HH80" s="42"/>
      <c r="HI80" s="42"/>
      <c r="HJ80" s="42"/>
      <c r="HK80" s="42"/>
      <c r="HL80" s="42"/>
      <c r="HM80" s="42"/>
      <c r="HN80" s="42"/>
      <c r="HO80" s="42"/>
      <c r="HP80" s="42"/>
      <c r="HQ80" s="42"/>
      <c r="HR80" s="42"/>
      <c r="HS80" s="42"/>
      <c r="HT80" s="42"/>
      <c r="HU80" s="42"/>
      <c r="HV80" s="42"/>
      <c r="HW80" s="42"/>
      <c r="HX80" s="42"/>
      <c r="HY80" s="42"/>
      <c r="HZ80" s="42"/>
      <c r="IA80" s="42"/>
      <c r="IB80" s="42"/>
      <c r="IC80" s="42"/>
      <c r="ID80" s="42"/>
      <c r="IE80" s="42"/>
      <c r="IF80" s="42"/>
      <c r="IG80" s="42"/>
      <c r="IH80" s="42"/>
      <c r="II80" s="42"/>
      <c r="IJ80" s="42"/>
      <c r="IK80" s="42"/>
      <c r="IL80" s="42"/>
      <c r="IM80" s="42"/>
      <c r="IN80" s="42"/>
      <c r="IO80" s="42"/>
      <c r="IP80" s="42"/>
      <c r="IQ80" s="42"/>
      <c r="IR80" s="42"/>
      <c r="IS80" s="42"/>
      <c r="IT80" s="42"/>
      <c r="IU80" s="42"/>
      <c r="IV80" s="42"/>
      <c r="IW80" s="42"/>
      <c r="IX80" s="42"/>
      <c r="IY80" s="42"/>
      <c r="IZ80" s="42"/>
      <c r="JA80" s="42"/>
      <c r="JB80" s="42"/>
      <c r="JC80" s="42"/>
      <c r="JD80" s="42"/>
      <c r="JE80" s="42"/>
      <c r="JF80" s="42"/>
      <c r="JG80" s="42"/>
      <c r="JH80" s="42"/>
      <c r="JI80" s="42"/>
      <c r="JJ80" s="42"/>
      <c r="JK80" s="42"/>
      <c r="JL80" s="42"/>
      <c r="JM80" s="42"/>
      <c r="JN80" s="42"/>
      <c r="JO80" s="42"/>
      <c r="JP80" s="42"/>
      <c r="JQ80" s="42"/>
      <c r="JR80" s="42"/>
      <c r="JS80" s="42"/>
      <c r="JT80" s="42"/>
      <c r="JU80" s="42"/>
      <c r="JV80" s="42"/>
      <c r="JW80" s="42"/>
      <c r="JX80" s="42"/>
      <c r="JY80" s="42"/>
      <c r="JZ80" s="42"/>
      <c r="KA80" s="42"/>
      <c r="KB80" s="42"/>
      <c r="KC80" s="42"/>
      <c r="KD80" s="42"/>
      <c r="KE80" s="42"/>
      <c r="KF80" s="42"/>
      <c r="KG80" s="42"/>
      <c r="KH80" s="42"/>
      <c r="KI80" s="42"/>
      <c r="KJ80" s="42"/>
      <c r="KK80" s="42"/>
      <c r="KL80" s="42"/>
      <c r="KM80" s="42"/>
      <c r="KN80" s="42"/>
      <c r="KO80" s="42"/>
      <c r="KP80" s="42"/>
      <c r="KQ80" s="42"/>
      <c r="KR80" s="42"/>
      <c r="KS80" s="42"/>
      <c r="KT80" s="42"/>
      <c r="KU80" s="42"/>
      <c r="KV80" s="42"/>
      <c r="KW80" s="42"/>
      <c r="KX80" s="42"/>
      <c r="KY80" s="42"/>
      <c r="KZ80" s="42"/>
      <c r="LA80" s="42"/>
      <c r="LB80" s="42"/>
      <c r="LC80" s="42"/>
    </row>
    <row r="81" ht="15.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2"/>
      <c r="CJ81" s="42"/>
      <c r="CK81" s="42"/>
      <c r="CL81" s="42"/>
      <c r="CM81" s="42"/>
      <c r="CN81" s="42"/>
      <c r="CO81" s="42"/>
      <c r="CP81" s="42"/>
      <c r="CQ81" s="42"/>
      <c r="CR81" s="42"/>
      <c r="CS81" s="42"/>
      <c r="CT81" s="42"/>
      <c r="CU81" s="42"/>
      <c r="CV81" s="42"/>
      <c r="CW81" s="42"/>
      <c r="CX81" s="42"/>
      <c r="CY81" s="42"/>
      <c r="CZ81" s="42"/>
      <c r="DA81" s="42"/>
      <c r="DB81" s="42"/>
      <c r="DC81" s="42"/>
      <c r="DD81" s="42"/>
      <c r="DE81" s="42"/>
      <c r="DF81" s="42"/>
      <c r="DG81" s="42"/>
      <c r="DH81" s="42"/>
      <c r="DI81" s="42"/>
      <c r="DJ81" s="42"/>
      <c r="DK81" s="42"/>
      <c r="DL81" s="42"/>
      <c r="DM81" s="42"/>
      <c r="DN81" s="42"/>
      <c r="DO81" s="42"/>
      <c r="DP81" s="42"/>
      <c r="DQ81" s="42"/>
      <c r="DR81" s="42"/>
      <c r="DS81" s="42"/>
      <c r="DT81" s="42"/>
      <c r="DU81" s="42"/>
      <c r="DV81" s="42"/>
      <c r="DW81" s="42"/>
      <c r="DX81" s="42"/>
      <c r="DY81" s="42"/>
      <c r="DZ81" s="42"/>
      <c r="EA81" s="42"/>
      <c r="EB81" s="42"/>
      <c r="EC81" s="42"/>
      <c r="ED81" s="42"/>
      <c r="EE81" s="42"/>
      <c r="EF81" s="42"/>
      <c r="EG81" s="42"/>
      <c r="EH81" s="42"/>
      <c r="EI81" s="42"/>
      <c r="EJ81" s="42"/>
      <c r="EK81" s="42"/>
      <c r="EL81" s="42"/>
      <c r="EM81" s="42"/>
      <c r="EN81" s="42"/>
      <c r="EO81" s="42"/>
      <c r="EP81" s="42"/>
      <c r="EQ81" s="42"/>
      <c r="ER81" s="42"/>
      <c r="ES81" s="42"/>
      <c r="ET81" s="42"/>
      <c r="EU81" s="42"/>
      <c r="EV81" s="42"/>
      <c r="EW81" s="42"/>
      <c r="EX81" s="42"/>
      <c r="EY81" s="42"/>
      <c r="EZ81" s="42"/>
      <c r="FA81" s="42"/>
      <c r="FB81" s="42"/>
      <c r="FC81" s="42"/>
      <c r="FD81" s="42"/>
      <c r="FE81" s="42"/>
      <c r="FF81" s="42"/>
      <c r="FG81" s="42"/>
      <c r="FH81" s="42"/>
      <c r="FI81" s="42"/>
      <c r="FJ81" s="42"/>
      <c r="FK81" s="42"/>
      <c r="FL81" s="42"/>
      <c r="FM81" s="42"/>
      <c r="FN81" s="42"/>
      <c r="FO81" s="42"/>
      <c r="FP81" s="42"/>
      <c r="FQ81" s="42"/>
      <c r="FR81" s="42"/>
      <c r="FS81" s="42"/>
      <c r="FT81" s="42"/>
      <c r="FU81" s="42"/>
      <c r="FV81" s="42"/>
      <c r="FW81" s="42"/>
      <c r="FX81" s="42"/>
      <c r="FY81" s="42"/>
      <c r="FZ81" s="42"/>
      <c r="GA81" s="42"/>
      <c r="GB81" s="42"/>
      <c r="GC81" s="42"/>
      <c r="GD81" s="42"/>
      <c r="GE81" s="42"/>
      <c r="GF81" s="42"/>
      <c r="GG81" s="42"/>
      <c r="GH81" s="42"/>
      <c r="GI81" s="42"/>
      <c r="GJ81" s="42"/>
      <c r="GK81" s="42"/>
      <c r="GL81" s="42"/>
      <c r="GM81" s="42"/>
      <c r="GN81" s="42"/>
      <c r="GO81" s="42"/>
      <c r="GP81" s="42"/>
      <c r="GQ81" s="42"/>
      <c r="GR81" s="42"/>
      <c r="GS81" s="42"/>
      <c r="GT81" s="42"/>
      <c r="GU81" s="42"/>
      <c r="GV81" s="42"/>
      <c r="GW81" s="42"/>
      <c r="GX81" s="42"/>
      <c r="GY81" s="42"/>
      <c r="GZ81" s="42"/>
      <c r="HA81" s="42"/>
      <c r="HB81" s="42"/>
      <c r="HC81" s="42"/>
      <c r="HD81" s="42"/>
      <c r="HE81" s="42"/>
      <c r="HF81" s="42"/>
      <c r="HG81" s="42"/>
      <c r="HH81" s="42"/>
      <c r="HI81" s="42"/>
      <c r="HJ81" s="42"/>
      <c r="HK81" s="42"/>
      <c r="HL81" s="42"/>
      <c r="HM81" s="42"/>
      <c r="HN81" s="42"/>
      <c r="HO81" s="42"/>
      <c r="HP81" s="42"/>
      <c r="HQ81" s="42"/>
      <c r="HR81" s="42"/>
      <c r="HS81" s="42"/>
      <c r="HT81" s="42"/>
      <c r="HU81" s="42"/>
      <c r="HV81" s="42"/>
      <c r="HW81" s="42"/>
      <c r="HX81" s="42"/>
      <c r="HY81" s="42"/>
      <c r="HZ81" s="42"/>
      <c r="IA81" s="42"/>
      <c r="IB81" s="42"/>
      <c r="IC81" s="42"/>
      <c r="ID81" s="42"/>
      <c r="IE81" s="42"/>
      <c r="IF81" s="42"/>
      <c r="IG81" s="42"/>
      <c r="IH81" s="42"/>
      <c r="II81" s="42"/>
      <c r="IJ81" s="42"/>
      <c r="IK81" s="42"/>
      <c r="IL81" s="42"/>
      <c r="IM81" s="42"/>
      <c r="IN81" s="42"/>
      <c r="IO81" s="42"/>
      <c r="IP81" s="42"/>
      <c r="IQ81" s="42"/>
      <c r="IR81" s="42"/>
      <c r="IS81" s="42"/>
      <c r="IT81" s="42"/>
      <c r="IU81" s="42"/>
      <c r="IV81" s="42"/>
      <c r="IW81" s="42"/>
      <c r="IX81" s="42"/>
      <c r="IY81" s="42"/>
      <c r="IZ81" s="42"/>
      <c r="JA81" s="42"/>
      <c r="JB81" s="42"/>
      <c r="JC81" s="42"/>
      <c r="JD81" s="42"/>
      <c r="JE81" s="42"/>
      <c r="JF81" s="42"/>
      <c r="JG81" s="42"/>
      <c r="JH81" s="42"/>
      <c r="JI81" s="42"/>
      <c r="JJ81" s="42"/>
      <c r="JK81" s="42"/>
      <c r="JL81" s="42"/>
      <c r="JM81" s="42"/>
      <c r="JN81" s="42"/>
      <c r="JO81" s="42"/>
      <c r="JP81" s="42"/>
      <c r="JQ81" s="42"/>
      <c r="JR81" s="42"/>
      <c r="JS81" s="42"/>
      <c r="JT81" s="42"/>
      <c r="JU81" s="42"/>
      <c r="JV81" s="42"/>
      <c r="JW81" s="42"/>
      <c r="JX81" s="42"/>
      <c r="JY81" s="42"/>
      <c r="JZ81" s="42"/>
      <c r="KA81" s="42"/>
      <c r="KB81" s="42"/>
      <c r="KC81" s="42"/>
      <c r="KD81" s="42"/>
      <c r="KE81" s="42"/>
      <c r="KF81" s="42"/>
      <c r="KG81" s="42"/>
      <c r="KH81" s="42"/>
      <c r="KI81" s="42"/>
      <c r="KJ81" s="42"/>
      <c r="KK81" s="42"/>
      <c r="KL81" s="42"/>
      <c r="KM81" s="42"/>
      <c r="KN81" s="42"/>
      <c r="KO81" s="42"/>
      <c r="KP81" s="42"/>
      <c r="KQ81" s="42"/>
      <c r="KR81" s="42"/>
      <c r="KS81" s="42"/>
      <c r="KT81" s="42"/>
      <c r="KU81" s="42"/>
      <c r="KV81" s="42"/>
      <c r="KW81" s="42"/>
      <c r="KX81" s="42"/>
      <c r="KY81" s="42"/>
      <c r="KZ81" s="42"/>
      <c r="LA81" s="42"/>
      <c r="LB81" s="42"/>
      <c r="LC81" s="42"/>
    </row>
    <row r="82" ht="15.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c r="BR82" s="42"/>
      <c r="BS82" s="42"/>
      <c r="BT82" s="42"/>
      <c r="BU82" s="42"/>
      <c r="BV82" s="42"/>
      <c r="BW82" s="42"/>
      <c r="BX82" s="42"/>
      <c r="BY82" s="42"/>
      <c r="BZ82" s="42"/>
      <c r="CA82" s="42"/>
      <c r="CB82" s="42"/>
      <c r="CC82" s="42"/>
      <c r="CD82" s="42"/>
      <c r="CE82" s="42"/>
      <c r="CF82" s="42"/>
      <c r="CG82" s="42"/>
      <c r="CH82" s="42"/>
      <c r="CI82" s="42"/>
      <c r="CJ82" s="42"/>
      <c r="CK82" s="42"/>
      <c r="CL82" s="42"/>
      <c r="CM82" s="42"/>
      <c r="CN82" s="42"/>
      <c r="CO82" s="42"/>
      <c r="CP82" s="42"/>
      <c r="CQ82" s="42"/>
      <c r="CR82" s="42"/>
      <c r="CS82" s="42"/>
      <c r="CT82" s="42"/>
      <c r="CU82" s="42"/>
      <c r="CV82" s="42"/>
      <c r="CW82" s="42"/>
      <c r="CX82" s="42"/>
      <c r="CY82" s="42"/>
      <c r="CZ82" s="42"/>
      <c r="DA82" s="42"/>
      <c r="DB82" s="42"/>
      <c r="DC82" s="42"/>
      <c r="DD82" s="42"/>
      <c r="DE82" s="42"/>
      <c r="DF82" s="42"/>
      <c r="DG82" s="42"/>
      <c r="DH82" s="42"/>
      <c r="DI82" s="42"/>
      <c r="DJ82" s="42"/>
      <c r="DK82" s="42"/>
      <c r="DL82" s="42"/>
      <c r="DM82" s="42"/>
      <c r="DN82" s="42"/>
      <c r="DO82" s="42"/>
      <c r="DP82" s="42"/>
      <c r="DQ82" s="42"/>
      <c r="DR82" s="42"/>
      <c r="DS82" s="42"/>
      <c r="DT82" s="42"/>
      <c r="DU82" s="42"/>
      <c r="DV82" s="42"/>
      <c r="DW82" s="42"/>
      <c r="DX82" s="42"/>
      <c r="DY82" s="42"/>
      <c r="DZ82" s="42"/>
      <c r="EA82" s="42"/>
      <c r="EB82" s="42"/>
      <c r="EC82" s="42"/>
      <c r="ED82" s="42"/>
      <c r="EE82" s="42"/>
      <c r="EF82" s="42"/>
      <c r="EG82" s="42"/>
      <c r="EH82" s="42"/>
      <c r="EI82" s="42"/>
      <c r="EJ82" s="42"/>
      <c r="EK82" s="42"/>
      <c r="EL82" s="42"/>
      <c r="EM82" s="42"/>
      <c r="EN82" s="42"/>
      <c r="EO82" s="42"/>
      <c r="EP82" s="42"/>
      <c r="EQ82" s="42"/>
      <c r="ER82" s="42"/>
      <c r="ES82" s="42"/>
      <c r="ET82" s="42"/>
      <c r="EU82" s="42"/>
      <c r="EV82" s="42"/>
      <c r="EW82" s="42"/>
      <c r="EX82" s="42"/>
      <c r="EY82" s="42"/>
      <c r="EZ82" s="42"/>
      <c r="FA82" s="42"/>
      <c r="FB82" s="42"/>
      <c r="FC82" s="42"/>
      <c r="FD82" s="42"/>
      <c r="FE82" s="42"/>
      <c r="FF82" s="42"/>
      <c r="FG82" s="42"/>
      <c r="FH82" s="42"/>
      <c r="FI82" s="42"/>
      <c r="FJ82" s="42"/>
      <c r="FK82" s="42"/>
      <c r="FL82" s="42"/>
      <c r="FM82" s="42"/>
      <c r="FN82" s="42"/>
      <c r="FO82" s="42"/>
      <c r="FP82" s="42"/>
      <c r="FQ82" s="42"/>
      <c r="FR82" s="42"/>
      <c r="FS82" s="42"/>
      <c r="FT82" s="42"/>
      <c r="FU82" s="42"/>
      <c r="FV82" s="42"/>
      <c r="FW82" s="42"/>
      <c r="FX82" s="42"/>
      <c r="FY82" s="42"/>
      <c r="FZ82" s="42"/>
      <c r="GA82" s="42"/>
      <c r="GB82" s="42"/>
      <c r="GC82" s="42"/>
      <c r="GD82" s="42"/>
      <c r="GE82" s="42"/>
      <c r="GF82" s="42"/>
      <c r="GG82" s="42"/>
      <c r="GH82" s="42"/>
      <c r="GI82" s="42"/>
      <c r="GJ82" s="42"/>
      <c r="GK82" s="42"/>
      <c r="GL82" s="42"/>
      <c r="GM82" s="42"/>
      <c r="GN82" s="42"/>
      <c r="GO82" s="42"/>
      <c r="GP82" s="42"/>
      <c r="GQ82" s="42"/>
      <c r="GR82" s="42"/>
      <c r="GS82" s="42"/>
      <c r="GT82" s="42"/>
      <c r="GU82" s="42"/>
      <c r="GV82" s="42"/>
      <c r="GW82" s="42"/>
      <c r="GX82" s="42"/>
      <c r="GY82" s="42"/>
      <c r="GZ82" s="42"/>
      <c r="HA82" s="42"/>
      <c r="HB82" s="42"/>
      <c r="HC82" s="42"/>
      <c r="HD82" s="42"/>
      <c r="HE82" s="42"/>
      <c r="HF82" s="42"/>
      <c r="HG82" s="42"/>
      <c r="HH82" s="42"/>
      <c r="HI82" s="42"/>
      <c r="HJ82" s="42"/>
      <c r="HK82" s="42"/>
      <c r="HL82" s="42"/>
      <c r="HM82" s="42"/>
      <c r="HN82" s="42"/>
      <c r="HO82" s="42"/>
      <c r="HP82" s="42"/>
      <c r="HQ82" s="42"/>
      <c r="HR82" s="42"/>
      <c r="HS82" s="42"/>
      <c r="HT82" s="42"/>
      <c r="HU82" s="42"/>
      <c r="HV82" s="42"/>
      <c r="HW82" s="42"/>
      <c r="HX82" s="42"/>
      <c r="HY82" s="42"/>
      <c r="HZ82" s="42"/>
      <c r="IA82" s="42"/>
      <c r="IB82" s="42"/>
      <c r="IC82" s="42"/>
      <c r="ID82" s="42"/>
      <c r="IE82" s="42"/>
      <c r="IF82" s="42"/>
      <c r="IG82" s="42"/>
      <c r="IH82" s="42"/>
      <c r="II82" s="42"/>
      <c r="IJ82" s="42"/>
      <c r="IK82" s="42"/>
      <c r="IL82" s="42"/>
      <c r="IM82" s="42"/>
      <c r="IN82" s="42"/>
      <c r="IO82" s="42"/>
      <c r="IP82" s="42"/>
      <c r="IQ82" s="42"/>
      <c r="IR82" s="42"/>
      <c r="IS82" s="42"/>
      <c r="IT82" s="42"/>
      <c r="IU82" s="42"/>
      <c r="IV82" s="42"/>
      <c r="IW82" s="42"/>
      <c r="IX82" s="42"/>
      <c r="IY82" s="42"/>
      <c r="IZ82" s="42"/>
      <c r="JA82" s="42"/>
      <c r="JB82" s="42"/>
      <c r="JC82" s="42"/>
      <c r="JD82" s="42"/>
      <c r="JE82" s="42"/>
      <c r="JF82" s="42"/>
      <c r="JG82" s="42"/>
      <c r="JH82" s="42"/>
      <c r="JI82" s="42"/>
      <c r="JJ82" s="42"/>
      <c r="JK82" s="42"/>
      <c r="JL82" s="42"/>
      <c r="JM82" s="42"/>
      <c r="JN82" s="42"/>
      <c r="JO82" s="42"/>
      <c r="JP82" s="42"/>
      <c r="JQ82" s="42"/>
      <c r="JR82" s="42"/>
      <c r="JS82" s="42"/>
      <c r="JT82" s="42"/>
      <c r="JU82" s="42"/>
      <c r="JV82" s="42"/>
      <c r="JW82" s="42"/>
      <c r="JX82" s="42"/>
      <c r="JY82" s="42"/>
      <c r="JZ82" s="42"/>
      <c r="KA82" s="42"/>
      <c r="KB82" s="42"/>
      <c r="KC82" s="42"/>
      <c r="KD82" s="42"/>
      <c r="KE82" s="42"/>
      <c r="KF82" s="42"/>
      <c r="KG82" s="42"/>
      <c r="KH82" s="42"/>
      <c r="KI82" s="42"/>
      <c r="KJ82" s="42"/>
      <c r="KK82" s="42"/>
      <c r="KL82" s="42"/>
      <c r="KM82" s="42"/>
      <c r="KN82" s="42"/>
      <c r="KO82" s="42"/>
      <c r="KP82" s="42"/>
      <c r="KQ82" s="42"/>
      <c r="KR82" s="42"/>
      <c r="KS82" s="42"/>
      <c r="KT82" s="42"/>
      <c r="KU82" s="42"/>
      <c r="KV82" s="42"/>
      <c r="KW82" s="42"/>
      <c r="KX82" s="42"/>
      <c r="KY82" s="42"/>
      <c r="KZ82" s="42"/>
      <c r="LA82" s="42"/>
      <c r="LB82" s="42"/>
      <c r="LC82" s="42"/>
    </row>
    <row r="83" ht="15.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2"/>
      <c r="CL83" s="42"/>
      <c r="CM83" s="42"/>
      <c r="CN83" s="42"/>
      <c r="CO83" s="42"/>
      <c r="CP83" s="42"/>
      <c r="CQ83" s="42"/>
      <c r="CR83" s="42"/>
      <c r="CS83" s="42"/>
      <c r="CT83" s="42"/>
      <c r="CU83" s="42"/>
      <c r="CV83" s="42"/>
      <c r="CW83" s="42"/>
      <c r="CX83" s="42"/>
      <c r="CY83" s="42"/>
      <c r="CZ83" s="42"/>
      <c r="DA83" s="42"/>
      <c r="DB83" s="42"/>
      <c r="DC83" s="42"/>
      <c r="DD83" s="42"/>
      <c r="DE83" s="42"/>
      <c r="DF83" s="42"/>
      <c r="DG83" s="42"/>
      <c r="DH83" s="42"/>
      <c r="DI83" s="42"/>
      <c r="DJ83" s="42"/>
      <c r="DK83" s="42"/>
      <c r="DL83" s="42"/>
      <c r="DM83" s="42"/>
      <c r="DN83" s="42"/>
      <c r="DO83" s="42"/>
      <c r="DP83" s="42"/>
      <c r="DQ83" s="42"/>
      <c r="DR83" s="42"/>
      <c r="DS83" s="42"/>
      <c r="DT83" s="42"/>
      <c r="DU83" s="42"/>
      <c r="DV83" s="42"/>
      <c r="DW83" s="42"/>
      <c r="DX83" s="42"/>
      <c r="DY83" s="42"/>
      <c r="DZ83" s="42"/>
      <c r="EA83" s="42"/>
      <c r="EB83" s="42"/>
      <c r="EC83" s="42"/>
      <c r="ED83" s="42"/>
      <c r="EE83" s="42"/>
      <c r="EF83" s="42"/>
      <c r="EG83" s="42"/>
      <c r="EH83" s="42"/>
      <c r="EI83" s="42"/>
      <c r="EJ83" s="42"/>
      <c r="EK83" s="42"/>
      <c r="EL83" s="42"/>
      <c r="EM83" s="42"/>
      <c r="EN83" s="42"/>
      <c r="EO83" s="42"/>
      <c r="EP83" s="42"/>
      <c r="EQ83" s="42"/>
      <c r="ER83" s="42"/>
      <c r="ES83" s="42"/>
      <c r="ET83" s="42"/>
      <c r="EU83" s="42"/>
      <c r="EV83" s="42"/>
      <c r="EW83" s="42"/>
      <c r="EX83" s="42"/>
      <c r="EY83" s="42"/>
      <c r="EZ83" s="42"/>
      <c r="FA83" s="42"/>
      <c r="FB83" s="42"/>
      <c r="FC83" s="42"/>
      <c r="FD83" s="42"/>
      <c r="FE83" s="42"/>
      <c r="FF83" s="42"/>
      <c r="FG83" s="42"/>
      <c r="FH83" s="42"/>
      <c r="FI83" s="42"/>
      <c r="FJ83" s="42"/>
      <c r="FK83" s="42"/>
      <c r="FL83" s="42"/>
      <c r="FM83" s="42"/>
      <c r="FN83" s="42"/>
      <c r="FO83" s="42"/>
      <c r="FP83" s="42"/>
      <c r="FQ83" s="42"/>
      <c r="FR83" s="42"/>
      <c r="FS83" s="42"/>
      <c r="FT83" s="42"/>
      <c r="FU83" s="42"/>
      <c r="FV83" s="42"/>
      <c r="FW83" s="42"/>
      <c r="FX83" s="42"/>
      <c r="FY83" s="42"/>
      <c r="FZ83" s="42"/>
      <c r="GA83" s="42"/>
      <c r="GB83" s="42"/>
      <c r="GC83" s="42"/>
      <c r="GD83" s="42"/>
      <c r="GE83" s="42"/>
      <c r="GF83" s="42"/>
      <c r="GG83" s="42"/>
      <c r="GH83" s="42"/>
      <c r="GI83" s="42"/>
      <c r="GJ83" s="42"/>
      <c r="GK83" s="42"/>
      <c r="GL83" s="42"/>
      <c r="GM83" s="42"/>
      <c r="GN83" s="42"/>
      <c r="GO83" s="42"/>
      <c r="GP83" s="42"/>
      <c r="GQ83" s="42"/>
      <c r="GR83" s="42"/>
      <c r="GS83" s="42"/>
      <c r="GT83" s="42"/>
      <c r="GU83" s="42"/>
      <c r="GV83" s="42"/>
      <c r="GW83" s="42"/>
      <c r="GX83" s="42"/>
      <c r="GY83" s="42"/>
      <c r="GZ83" s="42"/>
      <c r="HA83" s="42"/>
      <c r="HB83" s="42"/>
      <c r="HC83" s="42"/>
      <c r="HD83" s="42"/>
      <c r="HE83" s="42"/>
      <c r="HF83" s="42"/>
      <c r="HG83" s="42"/>
      <c r="HH83" s="42"/>
      <c r="HI83" s="42"/>
      <c r="HJ83" s="42"/>
      <c r="HK83" s="42"/>
      <c r="HL83" s="42"/>
      <c r="HM83" s="42"/>
      <c r="HN83" s="42"/>
      <c r="HO83" s="42"/>
      <c r="HP83" s="42"/>
      <c r="HQ83" s="42"/>
      <c r="HR83" s="42"/>
      <c r="HS83" s="42"/>
      <c r="HT83" s="42"/>
      <c r="HU83" s="42"/>
      <c r="HV83" s="42"/>
      <c r="HW83" s="42"/>
      <c r="HX83" s="42"/>
      <c r="HY83" s="42"/>
      <c r="HZ83" s="42"/>
      <c r="IA83" s="42"/>
      <c r="IB83" s="42"/>
      <c r="IC83" s="42"/>
      <c r="ID83" s="42"/>
      <c r="IE83" s="42"/>
      <c r="IF83" s="42"/>
      <c r="IG83" s="42"/>
      <c r="IH83" s="42"/>
      <c r="II83" s="42"/>
      <c r="IJ83" s="42"/>
      <c r="IK83" s="42"/>
      <c r="IL83" s="42"/>
      <c r="IM83" s="42"/>
      <c r="IN83" s="42"/>
      <c r="IO83" s="42"/>
      <c r="IP83" s="42"/>
      <c r="IQ83" s="42"/>
      <c r="IR83" s="42"/>
      <c r="IS83" s="42"/>
      <c r="IT83" s="42"/>
      <c r="IU83" s="42"/>
      <c r="IV83" s="42"/>
      <c r="IW83" s="42"/>
      <c r="IX83" s="42"/>
      <c r="IY83" s="42"/>
      <c r="IZ83" s="42"/>
      <c r="JA83" s="42"/>
      <c r="JB83" s="42"/>
      <c r="JC83" s="42"/>
      <c r="JD83" s="42"/>
      <c r="JE83" s="42"/>
      <c r="JF83" s="42"/>
      <c r="JG83" s="42"/>
      <c r="JH83" s="42"/>
      <c r="JI83" s="42"/>
      <c r="JJ83" s="42"/>
      <c r="JK83" s="42"/>
      <c r="JL83" s="42"/>
      <c r="JM83" s="42"/>
      <c r="JN83" s="42"/>
      <c r="JO83" s="42"/>
      <c r="JP83" s="42"/>
      <c r="JQ83" s="42"/>
      <c r="JR83" s="42"/>
      <c r="JS83" s="42"/>
      <c r="JT83" s="42"/>
      <c r="JU83" s="42"/>
      <c r="JV83" s="42"/>
      <c r="JW83" s="42"/>
      <c r="JX83" s="42"/>
      <c r="JY83" s="42"/>
      <c r="JZ83" s="42"/>
      <c r="KA83" s="42"/>
      <c r="KB83" s="42"/>
      <c r="KC83" s="42"/>
      <c r="KD83" s="42"/>
      <c r="KE83" s="42"/>
      <c r="KF83" s="42"/>
      <c r="KG83" s="42"/>
      <c r="KH83" s="42"/>
      <c r="KI83" s="42"/>
      <c r="KJ83" s="42"/>
      <c r="KK83" s="42"/>
      <c r="KL83" s="42"/>
      <c r="KM83" s="42"/>
      <c r="KN83" s="42"/>
      <c r="KO83" s="42"/>
      <c r="KP83" s="42"/>
      <c r="KQ83" s="42"/>
      <c r="KR83" s="42"/>
      <c r="KS83" s="42"/>
      <c r="KT83" s="42"/>
      <c r="KU83" s="42"/>
      <c r="KV83" s="42"/>
      <c r="KW83" s="42"/>
      <c r="KX83" s="42"/>
      <c r="KY83" s="42"/>
      <c r="KZ83" s="42"/>
      <c r="LA83" s="42"/>
      <c r="LB83" s="42"/>
      <c r="LC83" s="42"/>
    </row>
    <row r="84" ht="15.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c r="BW84" s="42"/>
      <c r="BX84" s="42"/>
      <c r="BY84" s="42"/>
      <c r="BZ84" s="42"/>
      <c r="CA84" s="42"/>
      <c r="CB84" s="42"/>
      <c r="CC84" s="42"/>
      <c r="CD84" s="42"/>
      <c r="CE84" s="42"/>
      <c r="CF84" s="42"/>
      <c r="CG84" s="42"/>
      <c r="CH84" s="42"/>
      <c r="CI84" s="42"/>
      <c r="CJ84" s="42"/>
      <c r="CK84" s="42"/>
      <c r="CL84" s="42"/>
      <c r="CM84" s="42"/>
      <c r="CN84" s="42"/>
      <c r="CO84" s="42"/>
      <c r="CP84" s="42"/>
      <c r="CQ84" s="42"/>
      <c r="CR84" s="42"/>
      <c r="CS84" s="42"/>
      <c r="CT84" s="42"/>
      <c r="CU84" s="42"/>
      <c r="CV84" s="42"/>
      <c r="CW84" s="42"/>
      <c r="CX84" s="42"/>
      <c r="CY84" s="42"/>
      <c r="CZ84" s="42"/>
      <c r="DA84" s="42"/>
      <c r="DB84" s="42"/>
      <c r="DC84" s="42"/>
      <c r="DD84" s="42"/>
      <c r="DE84" s="42"/>
      <c r="DF84" s="42"/>
      <c r="DG84" s="42"/>
      <c r="DH84" s="42"/>
      <c r="DI84" s="42"/>
      <c r="DJ84" s="42"/>
      <c r="DK84" s="42"/>
      <c r="DL84" s="42"/>
      <c r="DM84" s="42"/>
      <c r="DN84" s="42"/>
      <c r="DO84" s="42"/>
      <c r="DP84" s="42"/>
      <c r="DQ84" s="42"/>
      <c r="DR84" s="42"/>
      <c r="DS84" s="42"/>
      <c r="DT84" s="42"/>
      <c r="DU84" s="42"/>
      <c r="DV84" s="42"/>
      <c r="DW84" s="42"/>
      <c r="DX84" s="42"/>
      <c r="DY84" s="42"/>
      <c r="DZ84" s="42"/>
      <c r="EA84" s="42"/>
      <c r="EB84" s="42"/>
      <c r="EC84" s="42"/>
      <c r="ED84" s="42"/>
      <c r="EE84" s="42"/>
      <c r="EF84" s="42"/>
      <c r="EG84" s="42"/>
      <c r="EH84" s="42"/>
      <c r="EI84" s="42"/>
      <c r="EJ84" s="42"/>
      <c r="EK84" s="42"/>
      <c r="EL84" s="42"/>
      <c r="EM84" s="42"/>
      <c r="EN84" s="42"/>
      <c r="EO84" s="42"/>
      <c r="EP84" s="42"/>
      <c r="EQ84" s="42"/>
      <c r="ER84" s="42"/>
      <c r="ES84" s="42"/>
      <c r="ET84" s="42"/>
      <c r="EU84" s="42"/>
      <c r="EV84" s="42"/>
      <c r="EW84" s="42"/>
      <c r="EX84" s="42"/>
      <c r="EY84" s="42"/>
      <c r="EZ84" s="42"/>
      <c r="FA84" s="42"/>
      <c r="FB84" s="42"/>
      <c r="FC84" s="42"/>
      <c r="FD84" s="42"/>
      <c r="FE84" s="42"/>
      <c r="FF84" s="42"/>
      <c r="FG84" s="42"/>
      <c r="FH84" s="42"/>
      <c r="FI84" s="42"/>
      <c r="FJ84" s="42"/>
      <c r="FK84" s="42"/>
      <c r="FL84" s="42"/>
      <c r="FM84" s="42"/>
      <c r="FN84" s="42"/>
      <c r="FO84" s="42"/>
      <c r="FP84" s="42"/>
      <c r="FQ84" s="42"/>
      <c r="FR84" s="42"/>
      <c r="FS84" s="42"/>
      <c r="FT84" s="42"/>
      <c r="FU84" s="42"/>
      <c r="FV84" s="42"/>
      <c r="FW84" s="42"/>
      <c r="FX84" s="42"/>
      <c r="FY84" s="42"/>
      <c r="FZ84" s="42"/>
      <c r="GA84" s="42"/>
      <c r="GB84" s="42"/>
      <c r="GC84" s="42"/>
      <c r="GD84" s="42"/>
      <c r="GE84" s="42"/>
      <c r="GF84" s="42"/>
      <c r="GG84" s="42"/>
      <c r="GH84" s="42"/>
      <c r="GI84" s="42"/>
      <c r="GJ84" s="42"/>
      <c r="GK84" s="42"/>
      <c r="GL84" s="42"/>
      <c r="GM84" s="42"/>
      <c r="GN84" s="42"/>
      <c r="GO84" s="42"/>
      <c r="GP84" s="42"/>
      <c r="GQ84" s="42"/>
      <c r="GR84" s="42"/>
      <c r="GS84" s="42"/>
      <c r="GT84" s="42"/>
      <c r="GU84" s="42"/>
      <c r="GV84" s="42"/>
      <c r="GW84" s="42"/>
      <c r="GX84" s="42"/>
      <c r="GY84" s="42"/>
      <c r="GZ84" s="42"/>
      <c r="HA84" s="42"/>
      <c r="HB84" s="42"/>
      <c r="HC84" s="42"/>
      <c r="HD84" s="42"/>
      <c r="HE84" s="42"/>
      <c r="HF84" s="42"/>
      <c r="HG84" s="42"/>
      <c r="HH84" s="42"/>
      <c r="HI84" s="42"/>
      <c r="HJ84" s="42"/>
      <c r="HK84" s="42"/>
      <c r="HL84" s="42"/>
      <c r="HM84" s="42"/>
      <c r="HN84" s="42"/>
      <c r="HO84" s="42"/>
      <c r="HP84" s="42"/>
      <c r="HQ84" s="42"/>
      <c r="HR84" s="42"/>
      <c r="HS84" s="42"/>
      <c r="HT84" s="42"/>
      <c r="HU84" s="42"/>
      <c r="HV84" s="42"/>
      <c r="HW84" s="42"/>
      <c r="HX84" s="42"/>
      <c r="HY84" s="42"/>
      <c r="HZ84" s="42"/>
      <c r="IA84" s="42"/>
      <c r="IB84" s="42"/>
      <c r="IC84" s="42"/>
      <c r="ID84" s="42"/>
      <c r="IE84" s="42"/>
      <c r="IF84" s="42"/>
      <c r="IG84" s="42"/>
      <c r="IH84" s="42"/>
      <c r="II84" s="42"/>
      <c r="IJ84" s="42"/>
      <c r="IK84" s="42"/>
      <c r="IL84" s="42"/>
      <c r="IM84" s="42"/>
      <c r="IN84" s="42"/>
      <c r="IO84" s="42"/>
      <c r="IP84" s="42"/>
      <c r="IQ84" s="42"/>
      <c r="IR84" s="42"/>
      <c r="IS84" s="42"/>
      <c r="IT84" s="42"/>
      <c r="IU84" s="42"/>
      <c r="IV84" s="42"/>
      <c r="IW84" s="42"/>
      <c r="IX84" s="42"/>
      <c r="IY84" s="42"/>
      <c r="IZ84" s="42"/>
      <c r="JA84" s="42"/>
      <c r="JB84" s="42"/>
      <c r="JC84" s="42"/>
      <c r="JD84" s="42"/>
      <c r="JE84" s="42"/>
      <c r="JF84" s="42"/>
      <c r="JG84" s="42"/>
      <c r="JH84" s="42"/>
      <c r="JI84" s="42"/>
      <c r="JJ84" s="42"/>
      <c r="JK84" s="42"/>
      <c r="JL84" s="42"/>
      <c r="JM84" s="42"/>
      <c r="JN84" s="42"/>
      <c r="JO84" s="42"/>
      <c r="JP84" s="42"/>
      <c r="JQ84" s="42"/>
      <c r="JR84" s="42"/>
      <c r="JS84" s="42"/>
      <c r="JT84" s="42"/>
      <c r="JU84" s="42"/>
      <c r="JV84" s="42"/>
      <c r="JW84" s="42"/>
      <c r="JX84" s="42"/>
      <c r="JY84" s="42"/>
      <c r="JZ84" s="42"/>
      <c r="KA84" s="42"/>
      <c r="KB84" s="42"/>
      <c r="KC84" s="42"/>
      <c r="KD84" s="42"/>
      <c r="KE84" s="42"/>
      <c r="KF84" s="42"/>
      <c r="KG84" s="42"/>
      <c r="KH84" s="42"/>
      <c r="KI84" s="42"/>
      <c r="KJ84" s="42"/>
      <c r="KK84" s="42"/>
      <c r="KL84" s="42"/>
      <c r="KM84" s="42"/>
      <c r="KN84" s="42"/>
      <c r="KO84" s="42"/>
      <c r="KP84" s="42"/>
      <c r="KQ84" s="42"/>
      <c r="KR84" s="42"/>
      <c r="KS84" s="42"/>
      <c r="KT84" s="42"/>
      <c r="KU84" s="42"/>
      <c r="KV84" s="42"/>
      <c r="KW84" s="42"/>
      <c r="KX84" s="42"/>
      <c r="KY84" s="42"/>
      <c r="KZ84" s="42"/>
      <c r="LA84" s="42"/>
      <c r="LB84" s="42"/>
      <c r="LC84" s="42"/>
    </row>
    <row r="85" ht="15.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2"/>
      <c r="CJ85" s="42"/>
      <c r="CK85" s="42"/>
      <c r="CL85" s="42"/>
      <c r="CM85" s="42"/>
      <c r="CN85" s="42"/>
      <c r="CO85" s="42"/>
      <c r="CP85" s="42"/>
      <c r="CQ85" s="42"/>
      <c r="CR85" s="42"/>
      <c r="CS85" s="42"/>
      <c r="CT85" s="42"/>
      <c r="CU85" s="42"/>
      <c r="CV85" s="42"/>
      <c r="CW85" s="42"/>
      <c r="CX85" s="42"/>
      <c r="CY85" s="42"/>
      <c r="CZ85" s="42"/>
      <c r="DA85" s="42"/>
      <c r="DB85" s="42"/>
      <c r="DC85" s="42"/>
      <c r="DD85" s="42"/>
      <c r="DE85" s="42"/>
      <c r="DF85" s="42"/>
      <c r="DG85" s="42"/>
      <c r="DH85" s="42"/>
      <c r="DI85" s="42"/>
      <c r="DJ85" s="42"/>
      <c r="DK85" s="42"/>
      <c r="DL85" s="42"/>
      <c r="DM85" s="42"/>
      <c r="DN85" s="42"/>
      <c r="DO85" s="42"/>
      <c r="DP85" s="42"/>
      <c r="DQ85" s="42"/>
      <c r="DR85" s="42"/>
      <c r="DS85" s="42"/>
      <c r="DT85" s="42"/>
      <c r="DU85" s="42"/>
      <c r="DV85" s="42"/>
      <c r="DW85" s="42"/>
      <c r="DX85" s="42"/>
      <c r="DY85" s="42"/>
      <c r="DZ85" s="42"/>
      <c r="EA85" s="42"/>
      <c r="EB85" s="42"/>
      <c r="EC85" s="42"/>
      <c r="ED85" s="42"/>
      <c r="EE85" s="42"/>
      <c r="EF85" s="42"/>
      <c r="EG85" s="42"/>
      <c r="EH85" s="42"/>
      <c r="EI85" s="42"/>
      <c r="EJ85" s="42"/>
      <c r="EK85" s="42"/>
      <c r="EL85" s="42"/>
      <c r="EM85" s="42"/>
      <c r="EN85" s="42"/>
      <c r="EO85" s="42"/>
      <c r="EP85" s="42"/>
      <c r="EQ85" s="42"/>
      <c r="ER85" s="42"/>
      <c r="ES85" s="42"/>
      <c r="ET85" s="42"/>
      <c r="EU85" s="42"/>
      <c r="EV85" s="42"/>
      <c r="EW85" s="42"/>
      <c r="EX85" s="42"/>
      <c r="EY85" s="42"/>
      <c r="EZ85" s="42"/>
      <c r="FA85" s="42"/>
      <c r="FB85" s="42"/>
      <c r="FC85" s="42"/>
      <c r="FD85" s="42"/>
      <c r="FE85" s="42"/>
      <c r="FF85" s="42"/>
      <c r="FG85" s="42"/>
      <c r="FH85" s="42"/>
      <c r="FI85" s="42"/>
      <c r="FJ85" s="42"/>
      <c r="FK85" s="42"/>
      <c r="FL85" s="42"/>
      <c r="FM85" s="42"/>
      <c r="FN85" s="42"/>
      <c r="FO85" s="42"/>
      <c r="FP85" s="42"/>
      <c r="FQ85" s="42"/>
      <c r="FR85" s="42"/>
      <c r="FS85" s="42"/>
      <c r="FT85" s="42"/>
      <c r="FU85" s="42"/>
      <c r="FV85" s="42"/>
      <c r="FW85" s="42"/>
      <c r="FX85" s="42"/>
      <c r="FY85" s="42"/>
      <c r="FZ85" s="42"/>
      <c r="GA85" s="42"/>
      <c r="GB85" s="42"/>
      <c r="GC85" s="42"/>
      <c r="GD85" s="42"/>
      <c r="GE85" s="42"/>
      <c r="GF85" s="42"/>
      <c r="GG85" s="42"/>
      <c r="GH85" s="42"/>
      <c r="GI85" s="42"/>
      <c r="GJ85" s="42"/>
      <c r="GK85" s="42"/>
      <c r="GL85" s="42"/>
      <c r="GM85" s="42"/>
      <c r="GN85" s="42"/>
      <c r="GO85" s="42"/>
      <c r="GP85" s="42"/>
      <c r="GQ85" s="42"/>
      <c r="GR85" s="42"/>
      <c r="GS85" s="42"/>
      <c r="GT85" s="42"/>
      <c r="GU85" s="42"/>
      <c r="GV85" s="42"/>
      <c r="GW85" s="42"/>
      <c r="GX85" s="42"/>
      <c r="GY85" s="42"/>
      <c r="GZ85" s="42"/>
      <c r="HA85" s="42"/>
      <c r="HB85" s="42"/>
      <c r="HC85" s="42"/>
      <c r="HD85" s="42"/>
      <c r="HE85" s="42"/>
      <c r="HF85" s="42"/>
      <c r="HG85" s="42"/>
      <c r="HH85" s="42"/>
      <c r="HI85" s="42"/>
      <c r="HJ85" s="42"/>
      <c r="HK85" s="42"/>
      <c r="HL85" s="42"/>
      <c r="HM85" s="42"/>
      <c r="HN85" s="42"/>
      <c r="HO85" s="42"/>
      <c r="HP85" s="42"/>
      <c r="HQ85" s="42"/>
      <c r="HR85" s="42"/>
      <c r="HS85" s="42"/>
      <c r="HT85" s="42"/>
      <c r="HU85" s="42"/>
      <c r="HV85" s="42"/>
      <c r="HW85" s="42"/>
      <c r="HX85" s="42"/>
      <c r="HY85" s="42"/>
      <c r="HZ85" s="42"/>
      <c r="IA85" s="42"/>
      <c r="IB85" s="42"/>
      <c r="IC85" s="42"/>
      <c r="ID85" s="42"/>
      <c r="IE85" s="42"/>
      <c r="IF85" s="42"/>
      <c r="IG85" s="42"/>
      <c r="IH85" s="42"/>
      <c r="II85" s="42"/>
      <c r="IJ85" s="42"/>
      <c r="IK85" s="42"/>
      <c r="IL85" s="42"/>
      <c r="IM85" s="42"/>
      <c r="IN85" s="42"/>
      <c r="IO85" s="42"/>
      <c r="IP85" s="42"/>
      <c r="IQ85" s="42"/>
      <c r="IR85" s="42"/>
      <c r="IS85" s="42"/>
      <c r="IT85" s="42"/>
      <c r="IU85" s="42"/>
      <c r="IV85" s="42"/>
      <c r="IW85" s="42"/>
      <c r="IX85" s="42"/>
      <c r="IY85" s="42"/>
      <c r="IZ85" s="42"/>
      <c r="JA85" s="42"/>
      <c r="JB85" s="42"/>
      <c r="JC85" s="42"/>
      <c r="JD85" s="42"/>
      <c r="JE85" s="42"/>
      <c r="JF85" s="42"/>
      <c r="JG85" s="42"/>
      <c r="JH85" s="42"/>
      <c r="JI85" s="42"/>
      <c r="JJ85" s="42"/>
      <c r="JK85" s="42"/>
      <c r="JL85" s="42"/>
      <c r="JM85" s="42"/>
      <c r="JN85" s="42"/>
      <c r="JO85" s="42"/>
      <c r="JP85" s="42"/>
      <c r="JQ85" s="42"/>
      <c r="JR85" s="42"/>
      <c r="JS85" s="42"/>
      <c r="JT85" s="42"/>
      <c r="JU85" s="42"/>
      <c r="JV85" s="42"/>
      <c r="JW85" s="42"/>
      <c r="JX85" s="42"/>
      <c r="JY85" s="42"/>
      <c r="JZ85" s="42"/>
      <c r="KA85" s="42"/>
      <c r="KB85" s="42"/>
      <c r="KC85" s="42"/>
      <c r="KD85" s="42"/>
      <c r="KE85" s="42"/>
      <c r="KF85" s="42"/>
      <c r="KG85" s="42"/>
      <c r="KH85" s="42"/>
      <c r="KI85" s="42"/>
      <c r="KJ85" s="42"/>
      <c r="KK85" s="42"/>
      <c r="KL85" s="42"/>
      <c r="KM85" s="42"/>
      <c r="KN85" s="42"/>
      <c r="KO85" s="42"/>
      <c r="KP85" s="42"/>
      <c r="KQ85" s="42"/>
      <c r="KR85" s="42"/>
      <c r="KS85" s="42"/>
      <c r="KT85" s="42"/>
      <c r="KU85" s="42"/>
      <c r="KV85" s="42"/>
      <c r="KW85" s="42"/>
      <c r="KX85" s="42"/>
      <c r="KY85" s="42"/>
      <c r="KZ85" s="42"/>
      <c r="LA85" s="42"/>
      <c r="LB85" s="42"/>
      <c r="LC85" s="42"/>
    </row>
    <row r="86" ht="15.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c r="BX86" s="42"/>
      <c r="BY86" s="42"/>
      <c r="BZ86" s="42"/>
      <c r="CA86" s="42"/>
      <c r="CB86" s="42"/>
      <c r="CC86" s="42"/>
      <c r="CD86" s="42"/>
      <c r="CE86" s="42"/>
      <c r="CF86" s="42"/>
      <c r="CG86" s="42"/>
      <c r="CH86" s="42"/>
      <c r="CI86" s="42"/>
      <c r="CJ86" s="42"/>
      <c r="CK86" s="42"/>
      <c r="CL86" s="42"/>
      <c r="CM86" s="42"/>
      <c r="CN86" s="42"/>
      <c r="CO86" s="42"/>
      <c r="CP86" s="42"/>
      <c r="CQ86" s="42"/>
      <c r="CR86" s="42"/>
      <c r="CS86" s="42"/>
      <c r="CT86" s="42"/>
      <c r="CU86" s="42"/>
      <c r="CV86" s="42"/>
      <c r="CW86" s="42"/>
      <c r="CX86" s="42"/>
      <c r="CY86" s="42"/>
      <c r="CZ86" s="42"/>
      <c r="DA86" s="42"/>
      <c r="DB86" s="42"/>
      <c r="DC86" s="42"/>
      <c r="DD86" s="42"/>
      <c r="DE86" s="42"/>
      <c r="DF86" s="42"/>
      <c r="DG86" s="42"/>
      <c r="DH86" s="42"/>
      <c r="DI86" s="42"/>
      <c r="DJ86" s="42"/>
      <c r="DK86" s="42"/>
      <c r="DL86" s="42"/>
      <c r="DM86" s="42"/>
      <c r="DN86" s="42"/>
      <c r="DO86" s="42"/>
      <c r="DP86" s="42"/>
      <c r="DQ86" s="42"/>
      <c r="DR86" s="42"/>
      <c r="DS86" s="42"/>
      <c r="DT86" s="42"/>
      <c r="DU86" s="42"/>
      <c r="DV86" s="42"/>
      <c r="DW86" s="42"/>
      <c r="DX86" s="42"/>
      <c r="DY86" s="42"/>
      <c r="DZ86" s="42"/>
      <c r="EA86" s="42"/>
      <c r="EB86" s="42"/>
      <c r="EC86" s="42"/>
      <c r="ED86" s="42"/>
      <c r="EE86" s="42"/>
      <c r="EF86" s="42"/>
      <c r="EG86" s="42"/>
      <c r="EH86" s="42"/>
      <c r="EI86" s="42"/>
      <c r="EJ86" s="42"/>
      <c r="EK86" s="42"/>
      <c r="EL86" s="42"/>
      <c r="EM86" s="42"/>
      <c r="EN86" s="42"/>
      <c r="EO86" s="42"/>
      <c r="EP86" s="42"/>
      <c r="EQ86" s="42"/>
      <c r="ER86" s="42"/>
      <c r="ES86" s="42"/>
      <c r="ET86" s="42"/>
      <c r="EU86" s="42"/>
      <c r="EV86" s="42"/>
      <c r="EW86" s="42"/>
      <c r="EX86" s="42"/>
      <c r="EY86" s="42"/>
      <c r="EZ86" s="42"/>
      <c r="FA86" s="42"/>
      <c r="FB86" s="42"/>
      <c r="FC86" s="42"/>
      <c r="FD86" s="42"/>
      <c r="FE86" s="42"/>
      <c r="FF86" s="42"/>
      <c r="FG86" s="42"/>
      <c r="FH86" s="42"/>
      <c r="FI86" s="42"/>
      <c r="FJ86" s="42"/>
      <c r="FK86" s="42"/>
      <c r="FL86" s="42"/>
      <c r="FM86" s="42"/>
      <c r="FN86" s="42"/>
      <c r="FO86" s="42"/>
      <c r="FP86" s="42"/>
      <c r="FQ86" s="42"/>
      <c r="FR86" s="42"/>
      <c r="FS86" s="42"/>
      <c r="FT86" s="42"/>
      <c r="FU86" s="42"/>
      <c r="FV86" s="42"/>
      <c r="FW86" s="42"/>
      <c r="FX86" s="42"/>
      <c r="FY86" s="42"/>
      <c r="FZ86" s="42"/>
      <c r="GA86" s="42"/>
      <c r="GB86" s="42"/>
      <c r="GC86" s="42"/>
      <c r="GD86" s="42"/>
      <c r="GE86" s="42"/>
      <c r="GF86" s="42"/>
      <c r="GG86" s="42"/>
      <c r="GH86" s="42"/>
      <c r="GI86" s="42"/>
      <c r="GJ86" s="42"/>
      <c r="GK86" s="42"/>
      <c r="GL86" s="42"/>
      <c r="GM86" s="42"/>
      <c r="GN86" s="42"/>
      <c r="GO86" s="42"/>
      <c r="GP86" s="42"/>
      <c r="GQ86" s="42"/>
      <c r="GR86" s="42"/>
      <c r="GS86" s="42"/>
      <c r="GT86" s="42"/>
      <c r="GU86" s="42"/>
      <c r="GV86" s="42"/>
      <c r="GW86" s="42"/>
      <c r="GX86" s="42"/>
      <c r="GY86" s="42"/>
      <c r="GZ86" s="42"/>
      <c r="HA86" s="42"/>
      <c r="HB86" s="42"/>
      <c r="HC86" s="42"/>
      <c r="HD86" s="42"/>
      <c r="HE86" s="42"/>
      <c r="HF86" s="42"/>
      <c r="HG86" s="42"/>
      <c r="HH86" s="42"/>
      <c r="HI86" s="42"/>
      <c r="HJ86" s="42"/>
      <c r="HK86" s="42"/>
      <c r="HL86" s="42"/>
      <c r="HM86" s="42"/>
      <c r="HN86" s="42"/>
      <c r="HO86" s="42"/>
      <c r="HP86" s="42"/>
      <c r="HQ86" s="42"/>
      <c r="HR86" s="42"/>
      <c r="HS86" s="42"/>
      <c r="HT86" s="42"/>
      <c r="HU86" s="42"/>
      <c r="HV86" s="42"/>
      <c r="HW86" s="42"/>
      <c r="HX86" s="42"/>
      <c r="HY86" s="42"/>
      <c r="HZ86" s="42"/>
      <c r="IA86" s="42"/>
      <c r="IB86" s="42"/>
      <c r="IC86" s="42"/>
      <c r="ID86" s="42"/>
      <c r="IE86" s="42"/>
      <c r="IF86" s="42"/>
      <c r="IG86" s="42"/>
      <c r="IH86" s="42"/>
      <c r="II86" s="42"/>
      <c r="IJ86" s="42"/>
      <c r="IK86" s="42"/>
      <c r="IL86" s="42"/>
      <c r="IM86" s="42"/>
      <c r="IN86" s="42"/>
      <c r="IO86" s="42"/>
      <c r="IP86" s="42"/>
      <c r="IQ86" s="42"/>
      <c r="IR86" s="42"/>
      <c r="IS86" s="42"/>
      <c r="IT86" s="42"/>
      <c r="IU86" s="42"/>
      <c r="IV86" s="42"/>
      <c r="IW86" s="42"/>
      <c r="IX86" s="42"/>
      <c r="IY86" s="42"/>
      <c r="IZ86" s="42"/>
      <c r="JA86" s="42"/>
      <c r="JB86" s="42"/>
      <c r="JC86" s="42"/>
      <c r="JD86" s="42"/>
      <c r="JE86" s="42"/>
      <c r="JF86" s="42"/>
      <c r="JG86" s="42"/>
      <c r="JH86" s="42"/>
      <c r="JI86" s="42"/>
      <c r="JJ86" s="42"/>
      <c r="JK86" s="42"/>
      <c r="JL86" s="42"/>
      <c r="JM86" s="42"/>
      <c r="JN86" s="42"/>
      <c r="JO86" s="42"/>
      <c r="JP86" s="42"/>
      <c r="JQ86" s="42"/>
      <c r="JR86" s="42"/>
      <c r="JS86" s="42"/>
      <c r="JT86" s="42"/>
      <c r="JU86" s="42"/>
      <c r="JV86" s="42"/>
      <c r="JW86" s="42"/>
      <c r="JX86" s="42"/>
      <c r="JY86" s="42"/>
      <c r="JZ86" s="42"/>
      <c r="KA86" s="42"/>
      <c r="KB86" s="42"/>
      <c r="KC86" s="42"/>
      <c r="KD86" s="42"/>
      <c r="KE86" s="42"/>
      <c r="KF86" s="42"/>
      <c r="KG86" s="42"/>
      <c r="KH86" s="42"/>
      <c r="KI86" s="42"/>
      <c r="KJ86" s="42"/>
      <c r="KK86" s="42"/>
      <c r="KL86" s="42"/>
      <c r="KM86" s="42"/>
      <c r="KN86" s="42"/>
      <c r="KO86" s="42"/>
      <c r="KP86" s="42"/>
      <c r="KQ86" s="42"/>
      <c r="KR86" s="42"/>
      <c r="KS86" s="42"/>
      <c r="KT86" s="42"/>
      <c r="KU86" s="42"/>
      <c r="KV86" s="42"/>
      <c r="KW86" s="42"/>
      <c r="KX86" s="42"/>
      <c r="KY86" s="42"/>
      <c r="KZ86" s="42"/>
      <c r="LA86" s="42"/>
      <c r="LB86" s="42"/>
      <c r="LC86" s="42"/>
    </row>
    <row r="87" ht="15.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42"/>
      <c r="CL87" s="42"/>
      <c r="CM87" s="42"/>
      <c r="CN87" s="42"/>
      <c r="CO87" s="42"/>
      <c r="CP87" s="42"/>
      <c r="CQ87" s="42"/>
      <c r="CR87" s="42"/>
      <c r="CS87" s="42"/>
      <c r="CT87" s="42"/>
      <c r="CU87" s="42"/>
      <c r="CV87" s="42"/>
      <c r="CW87" s="42"/>
      <c r="CX87" s="42"/>
      <c r="CY87" s="42"/>
      <c r="CZ87" s="42"/>
      <c r="DA87" s="42"/>
      <c r="DB87" s="42"/>
      <c r="DC87" s="42"/>
      <c r="DD87" s="42"/>
      <c r="DE87" s="42"/>
      <c r="DF87" s="42"/>
      <c r="DG87" s="42"/>
      <c r="DH87" s="42"/>
      <c r="DI87" s="42"/>
      <c r="DJ87" s="42"/>
      <c r="DK87" s="42"/>
      <c r="DL87" s="42"/>
      <c r="DM87" s="42"/>
      <c r="DN87" s="42"/>
      <c r="DO87" s="42"/>
      <c r="DP87" s="42"/>
      <c r="DQ87" s="42"/>
      <c r="DR87" s="42"/>
      <c r="DS87" s="42"/>
      <c r="DT87" s="42"/>
      <c r="DU87" s="42"/>
      <c r="DV87" s="42"/>
      <c r="DW87" s="42"/>
      <c r="DX87" s="42"/>
      <c r="DY87" s="42"/>
      <c r="DZ87" s="42"/>
      <c r="EA87" s="42"/>
      <c r="EB87" s="42"/>
      <c r="EC87" s="42"/>
      <c r="ED87" s="42"/>
      <c r="EE87" s="42"/>
      <c r="EF87" s="42"/>
      <c r="EG87" s="42"/>
      <c r="EH87" s="42"/>
      <c r="EI87" s="42"/>
      <c r="EJ87" s="42"/>
      <c r="EK87" s="42"/>
      <c r="EL87" s="42"/>
      <c r="EM87" s="42"/>
      <c r="EN87" s="42"/>
      <c r="EO87" s="42"/>
      <c r="EP87" s="42"/>
      <c r="EQ87" s="42"/>
      <c r="ER87" s="42"/>
      <c r="ES87" s="42"/>
      <c r="ET87" s="42"/>
      <c r="EU87" s="42"/>
      <c r="EV87" s="42"/>
      <c r="EW87" s="42"/>
      <c r="EX87" s="42"/>
      <c r="EY87" s="42"/>
      <c r="EZ87" s="42"/>
      <c r="FA87" s="42"/>
      <c r="FB87" s="42"/>
      <c r="FC87" s="42"/>
      <c r="FD87" s="42"/>
      <c r="FE87" s="42"/>
      <c r="FF87" s="42"/>
      <c r="FG87" s="42"/>
      <c r="FH87" s="42"/>
      <c r="FI87" s="42"/>
      <c r="FJ87" s="42"/>
      <c r="FK87" s="42"/>
      <c r="FL87" s="42"/>
      <c r="FM87" s="42"/>
      <c r="FN87" s="42"/>
      <c r="FO87" s="42"/>
      <c r="FP87" s="42"/>
      <c r="FQ87" s="42"/>
      <c r="FR87" s="42"/>
      <c r="FS87" s="42"/>
      <c r="FT87" s="42"/>
      <c r="FU87" s="42"/>
      <c r="FV87" s="42"/>
      <c r="FW87" s="42"/>
      <c r="FX87" s="42"/>
      <c r="FY87" s="42"/>
      <c r="FZ87" s="42"/>
      <c r="GA87" s="42"/>
      <c r="GB87" s="42"/>
      <c r="GC87" s="42"/>
      <c r="GD87" s="42"/>
      <c r="GE87" s="42"/>
      <c r="GF87" s="42"/>
      <c r="GG87" s="42"/>
      <c r="GH87" s="42"/>
      <c r="GI87" s="42"/>
      <c r="GJ87" s="42"/>
      <c r="GK87" s="42"/>
      <c r="GL87" s="42"/>
      <c r="GM87" s="42"/>
      <c r="GN87" s="42"/>
      <c r="GO87" s="42"/>
      <c r="GP87" s="42"/>
      <c r="GQ87" s="42"/>
      <c r="GR87" s="42"/>
      <c r="GS87" s="42"/>
      <c r="GT87" s="42"/>
      <c r="GU87" s="42"/>
      <c r="GV87" s="42"/>
      <c r="GW87" s="42"/>
      <c r="GX87" s="42"/>
      <c r="GY87" s="42"/>
      <c r="GZ87" s="42"/>
      <c r="HA87" s="42"/>
      <c r="HB87" s="42"/>
      <c r="HC87" s="42"/>
      <c r="HD87" s="42"/>
      <c r="HE87" s="42"/>
      <c r="HF87" s="42"/>
      <c r="HG87" s="42"/>
      <c r="HH87" s="42"/>
      <c r="HI87" s="42"/>
      <c r="HJ87" s="42"/>
      <c r="HK87" s="42"/>
      <c r="HL87" s="42"/>
      <c r="HM87" s="42"/>
      <c r="HN87" s="42"/>
      <c r="HO87" s="42"/>
      <c r="HP87" s="42"/>
      <c r="HQ87" s="42"/>
      <c r="HR87" s="42"/>
      <c r="HS87" s="42"/>
      <c r="HT87" s="42"/>
      <c r="HU87" s="42"/>
      <c r="HV87" s="42"/>
      <c r="HW87" s="42"/>
      <c r="HX87" s="42"/>
      <c r="HY87" s="42"/>
      <c r="HZ87" s="42"/>
      <c r="IA87" s="42"/>
      <c r="IB87" s="42"/>
      <c r="IC87" s="42"/>
      <c r="ID87" s="42"/>
      <c r="IE87" s="42"/>
      <c r="IF87" s="42"/>
      <c r="IG87" s="42"/>
      <c r="IH87" s="42"/>
      <c r="II87" s="42"/>
      <c r="IJ87" s="42"/>
      <c r="IK87" s="42"/>
      <c r="IL87" s="42"/>
      <c r="IM87" s="42"/>
      <c r="IN87" s="42"/>
      <c r="IO87" s="42"/>
      <c r="IP87" s="42"/>
      <c r="IQ87" s="42"/>
      <c r="IR87" s="42"/>
      <c r="IS87" s="42"/>
      <c r="IT87" s="42"/>
      <c r="IU87" s="42"/>
      <c r="IV87" s="42"/>
      <c r="IW87" s="42"/>
      <c r="IX87" s="42"/>
      <c r="IY87" s="42"/>
      <c r="IZ87" s="42"/>
      <c r="JA87" s="42"/>
      <c r="JB87" s="42"/>
      <c r="JC87" s="42"/>
      <c r="JD87" s="42"/>
      <c r="JE87" s="42"/>
      <c r="JF87" s="42"/>
      <c r="JG87" s="42"/>
      <c r="JH87" s="42"/>
      <c r="JI87" s="42"/>
      <c r="JJ87" s="42"/>
      <c r="JK87" s="42"/>
      <c r="JL87" s="42"/>
      <c r="JM87" s="42"/>
      <c r="JN87" s="42"/>
      <c r="JO87" s="42"/>
      <c r="JP87" s="42"/>
      <c r="JQ87" s="42"/>
      <c r="JR87" s="42"/>
      <c r="JS87" s="42"/>
      <c r="JT87" s="42"/>
      <c r="JU87" s="42"/>
      <c r="JV87" s="42"/>
      <c r="JW87" s="42"/>
      <c r="JX87" s="42"/>
      <c r="JY87" s="42"/>
      <c r="JZ87" s="42"/>
      <c r="KA87" s="42"/>
      <c r="KB87" s="42"/>
      <c r="KC87" s="42"/>
      <c r="KD87" s="42"/>
      <c r="KE87" s="42"/>
      <c r="KF87" s="42"/>
      <c r="KG87" s="42"/>
      <c r="KH87" s="42"/>
      <c r="KI87" s="42"/>
      <c r="KJ87" s="42"/>
      <c r="KK87" s="42"/>
      <c r="KL87" s="42"/>
      <c r="KM87" s="42"/>
      <c r="KN87" s="42"/>
      <c r="KO87" s="42"/>
      <c r="KP87" s="42"/>
      <c r="KQ87" s="42"/>
      <c r="KR87" s="42"/>
      <c r="KS87" s="42"/>
      <c r="KT87" s="42"/>
      <c r="KU87" s="42"/>
      <c r="KV87" s="42"/>
      <c r="KW87" s="42"/>
      <c r="KX87" s="42"/>
      <c r="KY87" s="42"/>
      <c r="KZ87" s="42"/>
      <c r="LA87" s="42"/>
      <c r="LB87" s="42"/>
      <c r="LC87" s="42"/>
    </row>
    <row r="88" ht="15.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c r="BX88" s="42"/>
      <c r="BY88" s="42"/>
      <c r="BZ88" s="42"/>
      <c r="CA88" s="42"/>
      <c r="CB88" s="42"/>
      <c r="CC88" s="42"/>
      <c r="CD88" s="42"/>
      <c r="CE88" s="42"/>
      <c r="CF88" s="42"/>
      <c r="CG88" s="42"/>
      <c r="CH88" s="42"/>
      <c r="CI88" s="42"/>
      <c r="CJ88" s="42"/>
      <c r="CK88" s="42"/>
      <c r="CL88" s="42"/>
      <c r="CM88" s="42"/>
      <c r="CN88" s="42"/>
      <c r="CO88" s="42"/>
      <c r="CP88" s="42"/>
      <c r="CQ88" s="42"/>
      <c r="CR88" s="42"/>
      <c r="CS88" s="42"/>
      <c r="CT88" s="42"/>
      <c r="CU88" s="42"/>
      <c r="CV88" s="42"/>
      <c r="CW88" s="42"/>
      <c r="CX88" s="42"/>
      <c r="CY88" s="42"/>
      <c r="CZ88" s="42"/>
      <c r="DA88" s="42"/>
      <c r="DB88" s="42"/>
      <c r="DC88" s="42"/>
      <c r="DD88" s="42"/>
      <c r="DE88" s="42"/>
      <c r="DF88" s="42"/>
      <c r="DG88" s="42"/>
      <c r="DH88" s="42"/>
      <c r="DI88" s="42"/>
      <c r="DJ88" s="42"/>
      <c r="DK88" s="42"/>
      <c r="DL88" s="42"/>
      <c r="DM88" s="42"/>
      <c r="DN88" s="42"/>
      <c r="DO88" s="42"/>
      <c r="DP88" s="42"/>
      <c r="DQ88" s="42"/>
      <c r="DR88" s="42"/>
      <c r="DS88" s="42"/>
      <c r="DT88" s="42"/>
      <c r="DU88" s="42"/>
      <c r="DV88" s="42"/>
      <c r="DW88" s="42"/>
      <c r="DX88" s="42"/>
      <c r="DY88" s="42"/>
      <c r="DZ88" s="42"/>
      <c r="EA88" s="42"/>
      <c r="EB88" s="42"/>
      <c r="EC88" s="42"/>
      <c r="ED88" s="42"/>
      <c r="EE88" s="42"/>
      <c r="EF88" s="42"/>
      <c r="EG88" s="42"/>
      <c r="EH88" s="42"/>
      <c r="EI88" s="42"/>
      <c r="EJ88" s="42"/>
      <c r="EK88" s="42"/>
      <c r="EL88" s="42"/>
      <c r="EM88" s="42"/>
      <c r="EN88" s="42"/>
      <c r="EO88" s="42"/>
      <c r="EP88" s="42"/>
      <c r="EQ88" s="42"/>
      <c r="ER88" s="42"/>
      <c r="ES88" s="42"/>
      <c r="ET88" s="42"/>
      <c r="EU88" s="42"/>
      <c r="EV88" s="42"/>
      <c r="EW88" s="42"/>
      <c r="EX88" s="42"/>
      <c r="EY88" s="42"/>
      <c r="EZ88" s="42"/>
      <c r="FA88" s="42"/>
      <c r="FB88" s="42"/>
      <c r="FC88" s="42"/>
      <c r="FD88" s="42"/>
      <c r="FE88" s="42"/>
      <c r="FF88" s="42"/>
      <c r="FG88" s="42"/>
      <c r="FH88" s="42"/>
      <c r="FI88" s="42"/>
      <c r="FJ88" s="42"/>
      <c r="FK88" s="42"/>
      <c r="FL88" s="42"/>
      <c r="FM88" s="42"/>
      <c r="FN88" s="42"/>
      <c r="FO88" s="42"/>
      <c r="FP88" s="42"/>
      <c r="FQ88" s="42"/>
      <c r="FR88" s="42"/>
      <c r="FS88" s="42"/>
      <c r="FT88" s="42"/>
      <c r="FU88" s="42"/>
      <c r="FV88" s="42"/>
      <c r="FW88" s="42"/>
      <c r="FX88" s="42"/>
      <c r="FY88" s="42"/>
      <c r="FZ88" s="42"/>
      <c r="GA88" s="42"/>
      <c r="GB88" s="42"/>
      <c r="GC88" s="42"/>
      <c r="GD88" s="42"/>
      <c r="GE88" s="42"/>
      <c r="GF88" s="42"/>
      <c r="GG88" s="42"/>
      <c r="GH88" s="42"/>
      <c r="GI88" s="42"/>
      <c r="GJ88" s="42"/>
      <c r="GK88" s="42"/>
      <c r="GL88" s="42"/>
      <c r="GM88" s="42"/>
      <c r="GN88" s="42"/>
      <c r="GO88" s="42"/>
      <c r="GP88" s="42"/>
      <c r="GQ88" s="42"/>
      <c r="GR88" s="42"/>
      <c r="GS88" s="42"/>
      <c r="GT88" s="42"/>
      <c r="GU88" s="42"/>
      <c r="GV88" s="42"/>
      <c r="GW88" s="42"/>
      <c r="GX88" s="42"/>
      <c r="GY88" s="42"/>
      <c r="GZ88" s="42"/>
      <c r="HA88" s="42"/>
      <c r="HB88" s="42"/>
      <c r="HC88" s="42"/>
      <c r="HD88" s="42"/>
      <c r="HE88" s="42"/>
      <c r="HF88" s="42"/>
      <c r="HG88" s="42"/>
      <c r="HH88" s="42"/>
      <c r="HI88" s="42"/>
      <c r="HJ88" s="42"/>
      <c r="HK88" s="42"/>
      <c r="HL88" s="42"/>
      <c r="HM88" s="42"/>
      <c r="HN88" s="42"/>
      <c r="HO88" s="42"/>
      <c r="HP88" s="42"/>
      <c r="HQ88" s="42"/>
      <c r="HR88" s="42"/>
      <c r="HS88" s="42"/>
      <c r="HT88" s="42"/>
      <c r="HU88" s="42"/>
      <c r="HV88" s="42"/>
      <c r="HW88" s="42"/>
      <c r="HX88" s="42"/>
      <c r="HY88" s="42"/>
      <c r="HZ88" s="42"/>
      <c r="IA88" s="42"/>
      <c r="IB88" s="42"/>
      <c r="IC88" s="42"/>
      <c r="ID88" s="42"/>
      <c r="IE88" s="42"/>
      <c r="IF88" s="42"/>
      <c r="IG88" s="42"/>
      <c r="IH88" s="42"/>
      <c r="II88" s="42"/>
      <c r="IJ88" s="42"/>
      <c r="IK88" s="42"/>
      <c r="IL88" s="42"/>
      <c r="IM88" s="42"/>
      <c r="IN88" s="42"/>
      <c r="IO88" s="42"/>
      <c r="IP88" s="42"/>
      <c r="IQ88" s="42"/>
      <c r="IR88" s="42"/>
      <c r="IS88" s="42"/>
      <c r="IT88" s="42"/>
      <c r="IU88" s="42"/>
      <c r="IV88" s="42"/>
      <c r="IW88" s="42"/>
      <c r="IX88" s="42"/>
      <c r="IY88" s="42"/>
      <c r="IZ88" s="42"/>
      <c r="JA88" s="42"/>
      <c r="JB88" s="42"/>
      <c r="JC88" s="42"/>
      <c r="JD88" s="42"/>
      <c r="JE88" s="42"/>
      <c r="JF88" s="42"/>
      <c r="JG88" s="42"/>
      <c r="JH88" s="42"/>
      <c r="JI88" s="42"/>
      <c r="JJ88" s="42"/>
      <c r="JK88" s="42"/>
      <c r="JL88" s="42"/>
      <c r="JM88" s="42"/>
      <c r="JN88" s="42"/>
      <c r="JO88" s="42"/>
      <c r="JP88" s="42"/>
      <c r="JQ88" s="42"/>
      <c r="JR88" s="42"/>
      <c r="JS88" s="42"/>
      <c r="JT88" s="42"/>
      <c r="JU88" s="42"/>
      <c r="JV88" s="42"/>
      <c r="JW88" s="42"/>
      <c r="JX88" s="42"/>
      <c r="JY88" s="42"/>
      <c r="JZ88" s="42"/>
      <c r="KA88" s="42"/>
      <c r="KB88" s="42"/>
      <c r="KC88" s="42"/>
      <c r="KD88" s="42"/>
      <c r="KE88" s="42"/>
      <c r="KF88" s="42"/>
      <c r="KG88" s="42"/>
      <c r="KH88" s="42"/>
      <c r="KI88" s="42"/>
      <c r="KJ88" s="42"/>
      <c r="KK88" s="42"/>
      <c r="KL88" s="42"/>
      <c r="KM88" s="42"/>
      <c r="KN88" s="42"/>
      <c r="KO88" s="42"/>
      <c r="KP88" s="42"/>
      <c r="KQ88" s="42"/>
      <c r="KR88" s="42"/>
      <c r="KS88" s="42"/>
      <c r="KT88" s="42"/>
      <c r="KU88" s="42"/>
      <c r="KV88" s="42"/>
      <c r="KW88" s="42"/>
      <c r="KX88" s="42"/>
      <c r="KY88" s="42"/>
      <c r="KZ88" s="42"/>
      <c r="LA88" s="42"/>
      <c r="LB88" s="42"/>
      <c r="LC88" s="42"/>
    </row>
    <row r="89" ht="15.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2"/>
      <c r="CJ89" s="42"/>
      <c r="CK89" s="42"/>
      <c r="CL89" s="42"/>
      <c r="CM89" s="42"/>
      <c r="CN89" s="42"/>
      <c r="CO89" s="42"/>
      <c r="CP89" s="42"/>
      <c r="CQ89" s="42"/>
      <c r="CR89" s="42"/>
      <c r="CS89" s="42"/>
      <c r="CT89" s="42"/>
      <c r="CU89" s="42"/>
      <c r="CV89" s="42"/>
      <c r="CW89" s="42"/>
      <c r="CX89" s="42"/>
      <c r="CY89" s="42"/>
      <c r="CZ89" s="42"/>
      <c r="DA89" s="42"/>
      <c r="DB89" s="42"/>
      <c r="DC89" s="42"/>
      <c r="DD89" s="42"/>
      <c r="DE89" s="42"/>
      <c r="DF89" s="42"/>
      <c r="DG89" s="42"/>
      <c r="DH89" s="42"/>
      <c r="DI89" s="42"/>
      <c r="DJ89" s="42"/>
      <c r="DK89" s="42"/>
      <c r="DL89" s="42"/>
      <c r="DM89" s="42"/>
      <c r="DN89" s="42"/>
      <c r="DO89" s="42"/>
      <c r="DP89" s="42"/>
      <c r="DQ89" s="42"/>
      <c r="DR89" s="42"/>
      <c r="DS89" s="42"/>
      <c r="DT89" s="42"/>
      <c r="DU89" s="42"/>
      <c r="DV89" s="42"/>
      <c r="DW89" s="42"/>
      <c r="DX89" s="42"/>
      <c r="DY89" s="42"/>
      <c r="DZ89" s="42"/>
      <c r="EA89" s="42"/>
      <c r="EB89" s="42"/>
      <c r="EC89" s="42"/>
      <c r="ED89" s="42"/>
      <c r="EE89" s="42"/>
      <c r="EF89" s="42"/>
      <c r="EG89" s="42"/>
      <c r="EH89" s="42"/>
      <c r="EI89" s="42"/>
      <c r="EJ89" s="42"/>
      <c r="EK89" s="42"/>
      <c r="EL89" s="42"/>
      <c r="EM89" s="42"/>
      <c r="EN89" s="42"/>
      <c r="EO89" s="42"/>
      <c r="EP89" s="42"/>
      <c r="EQ89" s="42"/>
      <c r="ER89" s="42"/>
      <c r="ES89" s="42"/>
      <c r="ET89" s="42"/>
      <c r="EU89" s="42"/>
      <c r="EV89" s="42"/>
      <c r="EW89" s="42"/>
      <c r="EX89" s="42"/>
      <c r="EY89" s="42"/>
      <c r="EZ89" s="42"/>
      <c r="FA89" s="42"/>
      <c r="FB89" s="42"/>
      <c r="FC89" s="42"/>
      <c r="FD89" s="42"/>
      <c r="FE89" s="42"/>
      <c r="FF89" s="42"/>
      <c r="FG89" s="42"/>
      <c r="FH89" s="42"/>
      <c r="FI89" s="42"/>
      <c r="FJ89" s="42"/>
      <c r="FK89" s="42"/>
      <c r="FL89" s="42"/>
      <c r="FM89" s="42"/>
      <c r="FN89" s="42"/>
      <c r="FO89" s="42"/>
      <c r="FP89" s="42"/>
      <c r="FQ89" s="42"/>
      <c r="FR89" s="42"/>
      <c r="FS89" s="42"/>
      <c r="FT89" s="42"/>
      <c r="FU89" s="42"/>
      <c r="FV89" s="42"/>
      <c r="FW89" s="42"/>
      <c r="FX89" s="42"/>
      <c r="FY89" s="42"/>
      <c r="FZ89" s="42"/>
      <c r="GA89" s="42"/>
      <c r="GB89" s="42"/>
      <c r="GC89" s="42"/>
      <c r="GD89" s="42"/>
      <c r="GE89" s="42"/>
      <c r="GF89" s="42"/>
      <c r="GG89" s="42"/>
      <c r="GH89" s="42"/>
      <c r="GI89" s="42"/>
      <c r="GJ89" s="42"/>
      <c r="GK89" s="42"/>
      <c r="GL89" s="42"/>
      <c r="GM89" s="42"/>
      <c r="GN89" s="42"/>
      <c r="GO89" s="42"/>
      <c r="GP89" s="42"/>
      <c r="GQ89" s="42"/>
      <c r="GR89" s="42"/>
      <c r="GS89" s="42"/>
      <c r="GT89" s="42"/>
      <c r="GU89" s="42"/>
      <c r="GV89" s="42"/>
      <c r="GW89" s="42"/>
      <c r="GX89" s="42"/>
      <c r="GY89" s="42"/>
      <c r="GZ89" s="42"/>
      <c r="HA89" s="42"/>
      <c r="HB89" s="42"/>
      <c r="HC89" s="42"/>
      <c r="HD89" s="42"/>
      <c r="HE89" s="42"/>
      <c r="HF89" s="42"/>
      <c r="HG89" s="42"/>
      <c r="HH89" s="42"/>
      <c r="HI89" s="42"/>
      <c r="HJ89" s="42"/>
      <c r="HK89" s="42"/>
      <c r="HL89" s="42"/>
      <c r="HM89" s="42"/>
      <c r="HN89" s="42"/>
      <c r="HO89" s="42"/>
      <c r="HP89" s="42"/>
      <c r="HQ89" s="42"/>
      <c r="HR89" s="42"/>
      <c r="HS89" s="42"/>
      <c r="HT89" s="42"/>
      <c r="HU89" s="42"/>
      <c r="HV89" s="42"/>
      <c r="HW89" s="42"/>
      <c r="HX89" s="42"/>
      <c r="HY89" s="42"/>
      <c r="HZ89" s="42"/>
      <c r="IA89" s="42"/>
      <c r="IB89" s="42"/>
      <c r="IC89" s="42"/>
      <c r="ID89" s="42"/>
      <c r="IE89" s="42"/>
      <c r="IF89" s="42"/>
      <c r="IG89" s="42"/>
      <c r="IH89" s="42"/>
      <c r="II89" s="42"/>
      <c r="IJ89" s="42"/>
      <c r="IK89" s="42"/>
      <c r="IL89" s="42"/>
      <c r="IM89" s="42"/>
      <c r="IN89" s="42"/>
      <c r="IO89" s="42"/>
      <c r="IP89" s="42"/>
      <c r="IQ89" s="42"/>
      <c r="IR89" s="42"/>
      <c r="IS89" s="42"/>
      <c r="IT89" s="42"/>
      <c r="IU89" s="42"/>
      <c r="IV89" s="42"/>
      <c r="IW89" s="42"/>
      <c r="IX89" s="42"/>
      <c r="IY89" s="42"/>
      <c r="IZ89" s="42"/>
      <c r="JA89" s="42"/>
      <c r="JB89" s="42"/>
      <c r="JC89" s="42"/>
      <c r="JD89" s="42"/>
      <c r="JE89" s="42"/>
      <c r="JF89" s="42"/>
      <c r="JG89" s="42"/>
      <c r="JH89" s="42"/>
      <c r="JI89" s="42"/>
      <c r="JJ89" s="42"/>
      <c r="JK89" s="42"/>
      <c r="JL89" s="42"/>
      <c r="JM89" s="42"/>
      <c r="JN89" s="42"/>
      <c r="JO89" s="42"/>
      <c r="JP89" s="42"/>
      <c r="JQ89" s="42"/>
      <c r="JR89" s="42"/>
      <c r="JS89" s="42"/>
      <c r="JT89" s="42"/>
      <c r="JU89" s="42"/>
      <c r="JV89" s="42"/>
      <c r="JW89" s="42"/>
      <c r="JX89" s="42"/>
      <c r="JY89" s="42"/>
      <c r="JZ89" s="42"/>
      <c r="KA89" s="42"/>
      <c r="KB89" s="42"/>
      <c r="KC89" s="42"/>
      <c r="KD89" s="42"/>
      <c r="KE89" s="42"/>
      <c r="KF89" s="42"/>
      <c r="KG89" s="42"/>
      <c r="KH89" s="42"/>
      <c r="KI89" s="42"/>
      <c r="KJ89" s="42"/>
      <c r="KK89" s="42"/>
      <c r="KL89" s="42"/>
      <c r="KM89" s="42"/>
      <c r="KN89" s="42"/>
      <c r="KO89" s="42"/>
      <c r="KP89" s="42"/>
      <c r="KQ89" s="42"/>
      <c r="KR89" s="42"/>
      <c r="KS89" s="42"/>
      <c r="KT89" s="42"/>
      <c r="KU89" s="42"/>
      <c r="KV89" s="42"/>
      <c r="KW89" s="42"/>
      <c r="KX89" s="42"/>
      <c r="KY89" s="42"/>
      <c r="KZ89" s="42"/>
      <c r="LA89" s="42"/>
      <c r="LB89" s="42"/>
      <c r="LC89" s="42"/>
    </row>
    <row r="90" ht="15.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c r="BV90" s="42"/>
      <c r="BW90" s="42"/>
      <c r="BX90" s="42"/>
      <c r="BY90" s="42"/>
      <c r="BZ90" s="42"/>
      <c r="CA90" s="42"/>
      <c r="CB90" s="42"/>
      <c r="CC90" s="42"/>
      <c r="CD90" s="42"/>
      <c r="CE90" s="42"/>
      <c r="CF90" s="42"/>
      <c r="CG90" s="42"/>
      <c r="CH90" s="42"/>
      <c r="CI90" s="42"/>
      <c r="CJ90" s="42"/>
      <c r="CK90" s="42"/>
      <c r="CL90" s="42"/>
      <c r="CM90" s="42"/>
      <c r="CN90" s="42"/>
      <c r="CO90" s="42"/>
      <c r="CP90" s="42"/>
      <c r="CQ90" s="42"/>
      <c r="CR90" s="42"/>
      <c r="CS90" s="42"/>
      <c r="CT90" s="42"/>
      <c r="CU90" s="42"/>
      <c r="CV90" s="42"/>
      <c r="CW90" s="42"/>
      <c r="CX90" s="42"/>
      <c r="CY90" s="42"/>
      <c r="CZ90" s="42"/>
      <c r="DA90" s="42"/>
      <c r="DB90" s="42"/>
      <c r="DC90" s="42"/>
      <c r="DD90" s="42"/>
      <c r="DE90" s="42"/>
      <c r="DF90" s="42"/>
      <c r="DG90" s="42"/>
      <c r="DH90" s="42"/>
      <c r="DI90" s="42"/>
      <c r="DJ90" s="42"/>
      <c r="DK90" s="42"/>
      <c r="DL90" s="42"/>
      <c r="DM90" s="42"/>
      <c r="DN90" s="42"/>
      <c r="DO90" s="42"/>
      <c r="DP90" s="42"/>
      <c r="DQ90" s="42"/>
      <c r="DR90" s="42"/>
      <c r="DS90" s="42"/>
      <c r="DT90" s="42"/>
      <c r="DU90" s="42"/>
      <c r="DV90" s="42"/>
      <c r="DW90" s="42"/>
      <c r="DX90" s="42"/>
      <c r="DY90" s="42"/>
      <c r="DZ90" s="42"/>
      <c r="EA90" s="42"/>
      <c r="EB90" s="42"/>
      <c r="EC90" s="42"/>
      <c r="ED90" s="42"/>
      <c r="EE90" s="42"/>
      <c r="EF90" s="42"/>
      <c r="EG90" s="42"/>
      <c r="EH90" s="42"/>
      <c r="EI90" s="42"/>
      <c r="EJ90" s="42"/>
      <c r="EK90" s="42"/>
      <c r="EL90" s="42"/>
      <c r="EM90" s="42"/>
      <c r="EN90" s="42"/>
      <c r="EO90" s="42"/>
      <c r="EP90" s="42"/>
      <c r="EQ90" s="42"/>
      <c r="ER90" s="42"/>
      <c r="ES90" s="42"/>
      <c r="ET90" s="42"/>
      <c r="EU90" s="42"/>
      <c r="EV90" s="42"/>
      <c r="EW90" s="42"/>
      <c r="EX90" s="42"/>
      <c r="EY90" s="42"/>
      <c r="EZ90" s="42"/>
      <c r="FA90" s="42"/>
      <c r="FB90" s="42"/>
      <c r="FC90" s="42"/>
      <c r="FD90" s="42"/>
      <c r="FE90" s="42"/>
      <c r="FF90" s="42"/>
      <c r="FG90" s="42"/>
      <c r="FH90" s="42"/>
      <c r="FI90" s="42"/>
      <c r="FJ90" s="42"/>
      <c r="FK90" s="42"/>
      <c r="FL90" s="42"/>
      <c r="FM90" s="42"/>
      <c r="FN90" s="42"/>
      <c r="FO90" s="42"/>
      <c r="FP90" s="42"/>
      <c r="FQ90" s="42"/>
      <c r="FR90" s="42"/>
      <c r="FS90" s="42"/>
      <c r="FT90" s="42"/>
      <c r="FU90" s="42"/>
      <c r="FV90" s="42"/>
      <c r="FW90" s="42"/>
      <c r="FX90" s="42"/>
      <c r="FY90" s="42"/>
      <c r="FZ90" s="42"/>
      <c r="GA90" s="42"/>
      <c r="GB90" s="42"/>
      <c r="GC90" s="42"/>
      <c r="GD90" s="42"/>
      <c r="GE90" s="42"/>
      <c r="GF90" s="42"/>
      <c r="GG90" s="42"/>
      <c r="GH90" s="42"/>
      <c r="GI90" s="42"/>
      <c r="GJ90" s="42"/>
      <c r="GK90" s="42"/>
      <c r="GL90" s="42"/>
      <c r="GM90" s="42"/>
      <c r="GN90" s="42"/>
      <c r="GO90" s="42"/>
      <c r="GP90" s="42"/>
      <c r="GQ90" s="42"/>
      <c r="GR90" s="42"/>
      <c r="GS90" s="42"/>
      <c r="GT90" s="42"/>
      <c r="GU90" s="42"/>
      <c r="GV90" s="42"/>
      <c r="GW90" s="42"/>
      <c r="GX90" s="42"/>
      <c r="GY90" s="42"/>
      <c r="GZ90" s="42"/>
      <c r="HA90" s="42"/>
      <c r="HB90" s="42"/>
      <c r="HC90" s="42"/>
      <c r="HD90" s="42"/>
      <c r="HE90" s="42"/>
      <c r="HF90" s="42"/>
      <c r="HG90" s="42"/>
      <c r="HH90" s="42"/>
      <c r="HI90" s="42"/>
      <c r="HJ90" s="42"/>
      <c r="HK90" s="42"/>
      <c r="HL90" s="42"/>
      <c r="HM90" s="42"/>
      <c r="HN90" s="42"/>
      <c r="HO90" s="42"/>
      <c r="HP90" s="42"/>
      <c r="HQ90" s="42"/>
      <c r="HR90" s="42"/>
      <c r="HS90" s="42"/>
      <c r="HT90" s="42"/>
      <c r="HU90" s="42"/>
      <c r="HV90" s="42"/>
      <c r="HW90" s="42"/>
      <c r="HX90" s="42"/>
      <c r="HY90" s="42"/>
      <c r="HZ90" s="42"/>
      <c r="IA90" s="42"/>
      <c r="IB90" s="42"/>
      <c r="IC90" s="42"/>
      <c r="ID90" s="42"/>
      <c r="IE90" s="42"/>
      <c r="IF90" s="42"/>
      <c r="IG90" s="42"/>
      <c r="IH90" s="42"/>
      <c r="II90" s="42"/>
      <c r="IJ90" s="42"/>
      <c r="IK90" s="42"/>
      <c r="IL90" s="42"/>
      <c r="IM90" s="42"/>
      <c r="IN90" s="42"/>
      <c r="IO90" s="42"/>
      <c r="IP90" s="42"/>
      <c r="IQ90" s="42"/>
      <c r="IR90" s="42"/>
      <c r="IS90" s="42"/>
      <c r="IT90" s="42"/>
      <c r="IU90" s="42"/>
      <c r="IV90" s="42"/>
      <c r="IW90" s="42"/>
      <c r="IX90" s="42"/>
      <c r="IY90" s="42"/>
      <c r="IZ90" s="42"/>
      <c r="JA90" s="42"/>
      <c r="JB90" s="42"/>
      <c r="JC90" s="42"/>
      <c r="JD90" s="42"/>
      <c r="JE90" s="42"/>
      <c r="JF90" s="42"/>
      <c r="JG90" s="42"/>
      <c r="JH90" s="42"/>
      <c r="JI90" s="42"/>
      <c r="JJ90" s="42"/>
      <c r="JK90" s="42"/>
      <c r="JL90" s="42"/>
      <c r="JM90" s="42"/>
      <c r="JN90" s="42"/>
      <c r="JO90" s="42"/>
      <c r="JP90" s="42"/>
      <c r="JQ90" s="42"/>
      <c r="JR90" s="42"/>
      <c r="JS90" s="42"/>
      <c r="JT90" s="42"/>
      <c r="JU90" s="42"/>
      <c r="JV90" s="42"/>
      <c r="JW90" s="42"/>
      <c r="JX90" s="42"/>
      <c r="JY90" s="42"/>
      <c r="JZ90" s="42"/>
      <c r="KA90" s="42"/>
      <c r="KB90" s="42"/>
      <c r="KC90" s="42"/>
      <c r="KD90" s="42"/>
      <c r="KE90" s="42"/>
      <c r="KF90" s="42"/>
      <c r="KG90" s="42"/>
      <c r="KH90" s="42"/>
      <c r="KI90" s="42"/>
      <c r="KJ90" s="42"/>
      <c r="KK90" s="42"/>
      <c r="KL90" s="42"/>
      <c r="KM90" s="42"/>
      <c r="KN90" s="42"/>
      <c r="KO90" s="42"/>
      <c r="KP90" s="42"/>
      <c r="KQ90" s="42"/>
      <c r="KR90" s="42"/>
      <c r="KS90" s="42"/>
      <c r="KT90" s="42"/>
      <c r="KU90" s="42"/>
      <c r="KV90" s="42"/>
      <c r="KW90" s="42"/>
      <c r="KX90" s="42"/>
      <c r="KY90" s="42"/>
      <c r="KZ90" s="42"/>
      <c r="LA90" s="42"/>
      <c r="LB90" s="42"/>
      <c r="LC90" s="42"/>
    </row>
    <row r="91" ht="15.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c r="CV91" s="42"/>
      <c r="CW91" s="42"/>
      <c r="CX91" s="42"/>
      <c r="CY91" s="42"/>
      <c r="CZ91" s="42"/>
      <c r="DA91" s="42"/>
      <c r="DB91" s="42"/>
      <c r="DC91" s="42"/>
      <c r="DD91" s="42"/>
      <c r="DE91" s="42"/>
      <c r="DF91" s="42"/>
      <c r="DG91" s="42"/>
      <c r="DH91" s="42"/>
      <c r="DI91" s="42"/>
      <c r="DJ91" s="42"/>
      <c r="DK91" s="42"/>
      <c r="DL91" s="42"/>
      <c r="DM91" s="42"/>
      <c r="DN91" s="42"/>
      <c r="DO91" s="42"/>
      <c r="DP91" s="42"/>
      <c r="DQ91" s="42"/>
      <c r="DR91" s="42"/>
      <c r="DS91" s="42"/>
      <c r="DT91" s="42"/>
      <c r="DU91" s="42"/>
      <c r="DV91" s="42"/>
      <c r="DW91" s="42"/>
      <c r="DX91" s="42"/>
      <c r="DY91" s="42"/>
      <c r="DZ91" s="42"/>
      <c r="EA91" s="42"/>
      <c r="EB91" s="42"/>
      <c r="EC91" s="42"/>
      <c r="ED91" s="42"/>
      <c r="EE91" s="42"/>
      <c r="EF91" s="42"/>
      <c r="EG91" s="42"/>
      <c r="EH91" s="42"/>
      <c r="EI91" s="42"/>
      <c r="EJ91" s="42"/>
      <c r="EK91" s="42"/>
      <c r="EL91" s="42"/>
      <c r="EM91" s="42"/>
      <c r="EN91" s="42"/>
      <c r="EO91" s="42"/>
      <c r="EP91" s="42"/>
      <c r="EQ91" s="42"/>
      <c r="ER91" s="42"/>
      <c r="ES91" s="42"/>
      <c r="ET91" s="42"/>
      <c r="EU91" s="42"/>
      <c r="EV91" s="42"/>
      <c r="EW91" s="42"/>
      <c r="EX91" s="42"/>
      <c r="EY91" s="42"/>
      <c r="EZ91" s="42"/>
      <c r="FA91" s="42"/>
      <c r="FB91" s="42"/>
      <c r="FC91" s="42"/>
      <c r="FD91" s="42"/>
      <c r="FE91" s="42"/>
      <c r="FF91" s="42"/>
      <c r="FG91" s="42"/>
      <c r="FH91" s="42"/>
      <c r="FI91" s="42"/>
      <c r="FJ91" s="42"/>
      <c r="FK91" s="42"/>
      <c r="FL91" s="42"/>
      <c r="FM91" s="42"/>
      <c r="FN91" s="42"/>
      <c r="FO91" s="42"/>
      <c r="FP91" s="42"/>
      <c r="FQ91" s="42"/>
      <c r="FR91" s="42"/>
      <c r="FS91" s="42"/>
      <c r="FT91" s="42"/>
      <c r="FU91" s="42"/>
      <c r="FV91" s="42"/>
      <c r="FW91" s="42"/>
      <c r="FX91" s="42"/>
      <c r="FY91" s="42"/>
      <c r="FZ91" s="42"/>
      <c r="GA91" s="42"/>
      <c r="GB91" s="42"/>
      <c r="GC91" s="42"/>
      <c r="GD91" s="42"/>
      <c r="GE91" s="42"/>
      <c r="GF91" s="42"/>
      <c r="GG91" s="42"/>
      <c r="GH91" s="42"/>
      <c r="GI91" s="42"/>
      <c r="GJ91" s="42"/>
      <c r="GK91" s="42"/>
      <c r="GL91" s="42"/>
      <c r="GM91" s="42"/>
      <c r="GN91" s="42"/>
      <c r="GO91" s="42"/>
      <c r="GP91" s="42"/>
      <c r="GQ91" s="42"/>
      <c r="GR91" s="42"/>
      <c r="GS91" s="42"/>
      <c r="GT91" s="42"/>
      <c r="GU91" s="42"/>
      <c r="GV91" s="42"/>
      <c r="GW91" s="42"/>
      <c r="GX91" s="42"/>
      <c r="GY91" s="42"/>
      <c r="GZ91" s="42"/>
      <c r="HA91" s="42"/>
      <c r="HB91" s="42"/>
      <c r="HC91" s="42"/>
      <c r="HD91" s="42"/>
      <c r="HE91" s="42"/>
      <c r="HF91" s="42"/>
      <c r="HG91" s="42"/>
      <c r="HH91" s="42"/>
      <c r="HI91" s="42"/>
      <c r="HJ91" s="42"/>
      <c r="HK91" s="42"/>
      <c r="HL91" s="42"/>
      <c r="HM91" s="42"/>
      <c r="HN91" s="42"/>
      <c r="HO91" s="42"/>
      <c r="HP91" s="42"/>
      <c r="HQ91" s="42"/>
      <c r="HR91" s="42"/>
      <c r="HS91" s="42"/>
      <c r="HT91" s="42"/>
      <c r="HU91" s="42"/>
      <c r="HV91" s="42"/>
      <c r="HW91" s="42"/>
      <c r="HX91" s="42"/>
      <c r="HY91" s="42"/>
      <c r="HZ91" s="42"/>
      <c r="IA91" s="42"/>
      <c r="IB91" s="42"/>
      <c r="IC91" s="42"/>
      <c r="ID91" s="42"/>
      <c r="IE91" s="42"/>
      <c r="IF91" s="42"/>
      <c r="IG91" s="42"/>
      <c r="IH91" s="42"/>
      <c r="II91" s="42"/>
      <c r="IJ91" s="42"/>
      <c r="IK91" s="42"/>
      <c r="IL91" s="42"/>
      <c r="IM91" s="42"/>
      <c r="IN91" s="42"/>
      <c r="IO91" s="42"/>
      <c r="IP91" s="42"/>
      <c r="IQ91" s="42"/>
      <c r="IR91" s="42"/>
      <c r="IS91" s="42"/>
      <c r="IT91" s="42"/>
      <c r="IU91" s="42"/>
      <c r="IV91" s="42"/>
      <c r="IW91" s="42"/>
      <c r="IX91" s="42"/>
      <c r="IY91" s="42"/>
      <c r="IZ91" s="42"/>
      <c r="JA91" s="42"/>
      <c r="JB91" s="42"/>
      <c r="JC91" s="42"/>
      <c r="JD91" s="42"/>
      <c r="JE91" s="42"/>
      <c r="JF91" s="42"/>
      <c r="JG91" s="42"/>
      <c r="JH91" s="42"/>
      <c r="JI91" s="42"/>
      <c r="JJ91" s="42"/>
      <c r="JK91" s="42"/>
      <c r="JL91" s="42"/>
      <c r="JM91" s="42"/>
      <c r="JN91" s="42"/>
      <c r="JO91" s="42"/>
      <c r="JP91" s="42"/>
      <c r="JQ91" s="42"/>
      <c r="JR91" s="42"/>
      <c r="JS91" s="42"/>
      <c r="JT91" s="42"/>
      <c r="JU91" s="42"/>
      <c r="JV91" s="42"/>
      <c r="JW91" s="42"/>
      <c r="JX91" s="42"/>
      <c r="JY91" s="42"/>
      <c r="JZ91" s="42"/>
      <c r="KA91" s="42"/>
      <c r="KB91" s="42"/>
      <c r="KC91" s="42"/>
      <c r="KD91" s="42"/>
      <c r="KE91" s="42"/>
      <c r="KF91" s="42"/>
      <c r="KG91" s="42"/>
      <c r="KH91" s="42"/>
      <c r="KI91" s="42"/>
      <c r="KJ91" s="42"/>
      <c r="KK91" s="42"/>
      <c r="KL91" s="42"/>
      <c r="KM91" s="42"/>
      <c r="KN91" s="42"/>
      <c r="KO91" s="42"/>
      <c r="KP91" s="42"/>
      <c r="KQ91" s="42"/>
      <c r="KR91" s="42"/>
      <c r="KS91" s="42"/>
      <c r="KT91" s="42"/>
      <c r="KU91" s="42"/>
      <c r="KV91" s="42"/>
      <c r="KW91" s="42"/>
      <c r="KX91" s="42"/>
      <c r="KY91" s="42"/>
      <c r="KZ91" s="42"/>
      <c r="LA91" s="42"/>
      <c r="LB91" s="42"/>
      <c r="LC91" s="42"/>
    </row>
    <row r="92" ht="15.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c r="BX92" s="42"/>
      <c r="BY92" s="42"/>
      <c r="BZ92" s="42"/>
      <c r="CA92" s="42"/>
      <c r="CB92" s="42"/>
      <c r="CC92" s="42"/>
      <c r="CD92" s="42"/>
      <c r="CE92" s="42"/>
      <c r="CF92" s="42"/>
      <c r="CG92" s="42"/>
      <c r="CH92" s="42"/>
      <c r="CI92" s="42"/>
      <c r="CJ92" s="42"/>
      <c r="CK92" s="42"/>
      <c r="CL92" s="42"/>
      <c r="CM92" s="42"/>
      <c r="CN92" s="42"/>
      <c r="CO92" s="42"/>
      <c r="CP92" s="42"/>
      <c r="CQ92" s="42"/>
      <c r="CR92" s="42"/>
      <c r="CS92" s="42"/>
      <c r="CT92" s="42"/>
      <c r="CU92" s="42"/>
      <c r="CV92" s="42"/>
      <c r="CW92" s="42"/>
      <c r="CX92" s="42"/>
      <c r="CY92" s="42"/>
      <c r="CZ92" s="42"/>
      <c r="DA92" s="42"/>
      <c r="DB92" s="42"/>
      <c r="DC92" s="42"/>
      <c r="DD92" s="42"/>
      <c r="DE92" s="42"/>
      <c r="DF92" s="42"/>
      <c r="DG92" s="42"/>
      <c r="DH92" s="42"/>
      <c r="DI92" s="42"/>
      <c r="DJ92" s="42"/>
      <c r="DK92" s="42"/>
      <c r="DL92" s="42"/>
      <c r="DM92" s="42"/>
      <c r="DN92" s="42"/>
      <c r="DO92" s="42"/>
      <c r="DP92" s="42"/>
      <c r="DQ92" s="42"/>
      <c r="DR92" s="42"/>
      <c r="DS92" s="42"/>
      <c r="DT92" s="42"/>
      <c r="DU92" s="42"/>
      <c r="DV92" s="42"/>
      <c r="DW92" s="42"/>
      <c r="DX92" s="42"/>
      <c r="DY92" s="42"/>
      <c r="DZ92" s="42"/>
      <c r="EA92" s="42"/>
      <c r="EB92" s="42"/>
      <c r="EC92" s="42"/>
      <c r="ED92" s="42"/>
      <c r="EE92" s="42"/>
      <c r="EF92" s="42"/>
      <c r="EG92" s="42"/>
      <c r="EH92" s="42"/>
      <c r="EI92" s="42"/>
      <c r="EJ92" s="42"/>
      <c r="EK92" s="42"/>
      <c r="EL92" s="42"/>
      <c r="EM92" s="42"/>
      <c r="EN92" s="42"/>
      <c r="EO92" s="42"/>
      <c r="EP92" s="42"/>
      <c r="EQ92" s="42"/>
      <c r="ER92" s="42"/>
      <c r="ES92" s="42"/>
      <c r="ET92" s="42"/>
      <c r="EU92" s="42"/>
      <c r="EV92" s="42"/>
      <c r="EW92" s="42"/>
      <c r="EX92" s="42"/>
      <c r="EY92" s="42"/>
      <c r="EZ92" s="42"/>
      <c r="FA92" s="42"/>
      <c r="FB92" s="42"/>
      <c r="FC92" s="42"/>
      <c r="FD92" s="42"/>
      <c r="FE92" s="42"/>
      <c r="FF92" s="42"/>
      <c r="FG92" s="42"/>
      <c r="FH92" s="42"/>
      <c r="FI92" s="42"/>
      <c r="FJ92" s="42"/>
      <c r="FK92" s="42"/>
      <c r="FL92" s="42"/>
      <c r="FM92" s="42"/>
      <c r="FN92" s="42"/>
      <c r="FO92" s="42"/>
      <c r="FP92" s="42"/>
      <c r="FQ92" s="42"/>
      <c r="FR92" s="42"/>
      <c r="FS92" s="42"/>
      <c r="FT92" s="42"/>
      <c r="FU92" s="42"/>
      <c r="FV92" s="42"/>
      <c r="FW92" s="42"/>
      <c r="FX92" s="42"/>
      <c r="FY92" s="42"/>
      <c r="FZ92" s="42"/>
      <c r="GA92" s="42"/>
      <c r="GB92" s="42"/>
      <c r="GC92" s="42"/>
      <c r="GD92" s="42"/>
      <c r="GE92" s="42"/>
      <c r="GF92" s="42"/>
      <c r="GG92" s="42"/>
      <c r="GH92" s="42"/>
      <c r="GI92" s="42"/>
      <c r="GJ92" s="42"/>
      <c r="GK92" s="42"/>
      <c r="GL92" s="42"/>
      <c r="GM92" s="42"/>
      <c r="GN92" s="42"/>
      <c r="GO92" s="42"/>
      <c r="GP92" s="42"/>
      <c r="GQ92" s="42"/>
      <c r="GR92" s="42"/>
      <c r="GS92" s="42"/>
      <c r="GT92" s="42"/>
      <c r="GU92" s="42"/>
      <c r="GV92" s="42"/>
      <c r="GW92" s="42"/>
      <c r="GX92" s="42"/>
      <c r="GY92" s="42"/>
      <c r="GZ92" s="42"/>
      <c r="HA92" s="42"/>
      <c r="HB92" s="42"/>
      <c r="HC92" s="42"/>
      <c r="HD92" s="42"/>
      <c r="HE92" s="42"/>
      <c r="HF92" s="42"/>
      <c r="HG92" s="42"/>
      <c r="HH92" s="42"/>
      <c r="HI92" s="42"/>
      <c r="HJ92" s="42"/>
      <c r="HK92" s="42"/>
      <c r="HL92" s="42"/>
      <c r="HM92" s="42"/>
      <c r="HN92" s="42"/>
      <c r="HO92" s="42"/>
      <c r="HP92" s="42"/>
      <c r="HQ92" s="42"/>
      <c r="HR92" s="42"/>
      <c r="HS92" s="42"/>
      <c r="HT92" s="42"/>
      <c r="HU92" s="42"/>
      <c r="HV92" s="42"/>
      <c r="HW92" s="42"/>
      <c r="HX92" s="42"/>
      <c r="HY92" s="42"/>
      <c r="HZ92" s="42"/>
      <c r="IA92" s="42"/>
      <c r="IB92" s="42"/>
      <c r="IC92" s="42"/>
      <c r="ID92" s="42"/>
      <c r="IE92" s="42"/>
      <c r="IF92" s="42"/>
      <c r="IG92" s="42"/>
      <c r="IH92" s="42"/>
      <c r="II92" s="42"/>
      <c r="IJ92" s="42"/>
      <c r="IK92" s="42"/>
      <c r="IL92" s="42"/>
      <c r="IM92" s="42"/>
      <c r="IN92" s="42"/>
      <c r="IO92" s="42"/>
      <c r="IP92" s="42"/>
      <c r="IQ92" s="42"/>
      <c r="IR92" s="42"/>
      <c r="IS92" s="42"/>
      <c r="IT92" s="42"/>
      <c r="IU92" s="42"/>
      <c r="IV92" s="42"/>
      <c r="IW92" s="42"/>
      <c r="IX92" s="42"/>
      <c r="IY92" s="42"/>
      <c r="IZ92" s="42"/>
      <c r="JA92" s="42"/>
      <c r="JB92" s="42"/>
      <c r="JC92" s="42"/>
      <c r="JD92" s="42"/>
      <c r="JE92" s="42"/>
      <c r="JF92" s="42"/>
      <c r="JG92" s="42"/>
      <c r="JH92" s="42"/>
      <c r="JI92" s="42"/>
      <c r="JJ92" s="42"/>
      <c r="JK92" s="42"/>
      <c r="JL92" s="42"/>
      <c r="JM92" s="42"/>
      <c r="JN92" s="42"/>
      <c r="JO92" s="42"/>
      <c r="JP92" s="42"/>
      <c r="JQ92" s="42"/>
      <c r="JR92" s="42"/>
      <c r="JS92" s="42"/>
      <c r="JT92" s="42"/>
      <c r="JU92" s="42"/>
      <c r="JV92" s="42"/>
      <c r="JW92" s="42"/>
      <c r="JX92" s="42"/>
      <c r="JY92" s="42"/>
      <c r="JZ92" s="42"/>
      <c r="KA92" s="42"/>
      <c r="KB92" s="42"/>
      <c r="KC92" s="42"/>
      <c r="KD92" s="42"/>
      <c r="KE92" s="42"/>
      <c r="KF92" s="42"/>
      <c r="KG92" s="42"/>
      <c r="KH92" s="42"/>
      <c r="KI92" s="42"/>
      <c r="KJ92" s="42"/>
      <c r="KK92" s="42"/>
      <c r="KL92" s="42"/>
      <c r="KM92" s="42"/>
      <c r="KN92" s="42"/>
      <c r="KO92" s="42"/>
      <c r="KP92" s="42"/>
      <c r="KQ92" s="42"/>
      <c r="KR92" s="42"/>
      <c r="KS92" s="42"/>
      <c r="KT92" s="42"/>
      <c r="KU92" s="42"/>
      <c r="KV92" s="42"/>
      <c r="KW92" s="42"/>
      <c r="KX92" s="42"/>
      <c r="KY92" s="42"/>
      <c r="KZ92" s="42"/>
      <c r="LA92" s="42"/>
      <c r="LB92" s="42"/>
      <c r="LC92" s="42"/>
    </row>
    <row r="93" ht="15.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c r="BR93" s="42"/>
      <c r="BS93" s="42"/>
      <c r="BT93" s="42"/>
      <c r="BU93" s="42"/>
      <c r="BV93" s="42"/>
      <c r="BW93" s="42"/>
      <c r="BX93" s="42"/>
      <c r="BY93" s="42"/>
      <c r="BZ93" s="42"/>
      <c r="CA93" s="42"/>
      <c r="CB93" s="42"/>
      <c r="CC93" s="42"/>
      <c r="CD93" s="42"/>
      <c r="CE93" s="42"/>
      <c r="CF93" s="42"/>
      <c r="CG93" s="42"/>
      <c r="CH93" s="42"/>
      <c r="CI93" s="42"/>
      <c r="CJ93" s="42"/>
      <c r="CK93" s="42"/>
      <c r="CL93" s="42"/>
      <c r="CM93" s="42"/>
      <c r="CN93" s="42"/>
      <c r="CO93" s="42"/>
      <c r="CP93" s="42"/>
      <c r="CQ93" s="42"/>
      <c r="CR93" s="42"/>
      <c r="CS93" s="42"/>
      <c r="CT93" s="42"/>
      <c r="CU93" s="42"/>
      <c r="CV93" s="42"/>
      <c r="CW93" s="42"/>
      <c r="CX93" s="42"/>
      <c r="CY93" s="42"/>
      <c r="CZ93" s="42"/>
      <c r="DA93" s="42"/>
      <c r="DB93" s="42"/>
      <c r="DC93" s="42"/>
      <c r="DD93" s="42"/>
      <c r="DE93" s="42"/>
      <c r="DF93" s="42"/>
      <c r="DG93" s="42"/>
      <c r="DH93" s="42"/>
      <c r="DI93" s="42"/>
      <c r="DJ93" s="42"/>
      <c r="DK93" s="42"/>
      <c r="DL93" s="42"/>
      <c r="DM93" s="42"/>
      <c r="DN93" s="42"/>
      <c r="DO93" s="42"/>
      <c r="DP93" s="42"/>
      <c r="DQ93" s="42"/>
      <c r="DR93" s="42"/>
      <c r="DS93" s="42"/>
      <c r="DT93" s="42"/>
      <c r="DU93" s="42"/>
      <c r="DV93" s="42"/>
      <c r="DW93" s="42"/>
      <c r="DX93" s="42"/>
      <c r="DY93" s="42"/>
      <c r="DZ93" s="42"/>
      <c r="EA93" s="42"/>
      <c r="EB93" s="42"/>
      <c r="EC93" s="42"/>
      <c r="ED93" s="42"/>
      <c r="EE93" s="42"/>
      <c r="EF93" s="42"/>
      <c r="EG93" s="42"/>
      <c r="EH93" s="42"/>
      <c r="EI93" s="42"/>
      <c r="EJ93" s="42"/>
      <c r="EK93" s="42"/>
      <c r="EL93" s="42"/>
      <c r="EM93" s="42"/>
      <c r="EN93" s="42"/>
      <c r="EO93" s="42"/>
      <c r="EP93" s="42"/>
      <c r="EQ93" s="42"/>
      <c r="ER93" s="42"/>
      <c r="ES93" s="42"/>
      <c r="ET93" s="42"/>
      <c r="EU93" s="42"/>
      <c r="EV93" s="42"/>
      <c r="EW93" s="42"/>
      <c r="EX93" s="42"/>
      <c r="EY93" s="42"/>
      <c r="EZ93" s="42"/>
      <c r="FA93" s="42"/>
      <c r="FB93" s="42"/>
      <c r="FC93" s="42"/>
      <c r="FD93" s="42"/>
      <c r="FE93" s="42"/>
      <c r="FF93" s="42"/>
      <c r="FG93" s="42"/>
      <c r="FH93" s="42"/>
      <c r="FI93" s="42"/>
      <c r="FJ93" s="42"/>
      <c r="FK93" s="42"/>
      <c r="FL93" s="42"/>
      <c r="FM93" s="42"/>
      <c r="FN93" s="42"/>
      <c r="FO93" s="42"/>
      <c r="FP93" s="42"/>
      <c r="FQ93" s="42"/>
      <c r="FR93" s="42"/>
      <c r="FS93" s="42"/>
      <c r="FT93" s="42"/>
      <c r="FU93" s="42"/>
      <c r="FV93" s="42"/>
      <c r="FW93" s="42"/>
      <c r="FX93" s="42"/>
      <c r="FY93" s="42"/>
      <c r="FZ93" s="42"/>
      <c r="GA93" s="42"/>
      <c r="GB93" s="42"/>
      <c r="GC93" s="42"/>
      <c r="GD93" s="42"/>
      <c r="GE93" s="42"/>
      <c r="GF93" s="42"/>
      <c r="GG93" s="42"/>
      <c r="GH93" s="42"/>
      <c r="GI93" s="42"/>
      <c r="GJ93" s="42"/>
      <c r="GK93" s="42"/>
      <c r="GL93" s="42"/>
      <c r="GM93" s="42"/>
      <c r="GN93" s="42"/>
      <c r="GO93" s="42"/>
      <c r="GP93" s="42"/>
      <c r="GQ93" s="42"/>
      <c r="GR93" s="42"/>
      <c r="GS93" s="42"/>
      <c r="GT93" s="42"/>
      <c r="GU93" s="42"/>
      <c r="GV93" s="42"/>
      <c r="GW93" s="42"/>
      <c r="GX93" s="42"/>
      <c r="GY93" s="42"/>
      <c r="GZ93" s="42"/>
      <c r="HA93" s="42"/>
      <c r="HB93" s="42"/>
      <c r="HC93" s="42"/>
      <c r="HD93" s="42"/>
      <c r="HE93" s="42"/>
      <c r="HF93" s="42"/>
      <c r="HG93" s="42"/>
      <c r="HH93" s="42"/>
      <c r="HI93" s="42"/>
      <c r="HJ93" s="42"/>
      <c r="HK93" s="42"/>
      <c r="HL93" s="42"/>
      <c r="HM93" s="42"/>
      <c r="HN93" s="42"/>
      <c r="HO93" s="42"/>
      <c r="HP93" s="42"/>
      <c r="HQ93" s="42"/>
      <c r="HR93" s="42"/>
      <c r="HS93" s="42"/>
      <c r="HT93" s="42"/>
      <c r="HU93" s="42"/>
      <c r="HV93" s="42"/>
      <c r="HW93" s="42"/>
      <c r="HX93" s="42"/>
      <c r="HY93" s="42"/>
      <c r="HZ93" s="42"/>
      <c r="IA93" s="42"/>
      <c r="IB93" s="42"/>
      <c r="IC93" s="42"/>
      <c r="ID93" s="42"/>
      <c r="IE93" s="42"/>
      <c r="IF93" s="42"/>
      <c r="IG93" s="42"/>
      <c r="IH93" s="42"/>
      <c r="II93" s="42"/>
      <c r="IJ93" s="42"/>
      <c r="IK93" s="42"/>
      <c r="IL93" s="42"/>
      <c r="IM93" s="42"/>
      <c r="IN93" s="42"/>
      <c r="IO93" s="42"/>
      <c r="IP93" s="42"/>
      <c r="IQ93" s="42"/>
      <c r="IR93" s="42"/>
      <c r="IS93" s="42"/>
      <c r="IT93" s="42"/>
      <c r="IU93" s="42"/>
      <c r="IV93" s="42"/>
      <c r="IW93" s="42"/>
      <c r="IX93" s="42"/>
      <c r="IY93" s="42"/>
      <c r="IZ93" s="42"/>
      <c r="JA93" s="42"/>
      <c r="JB93" s="42"/>
      <c r="JC93" s="42"/>
      <c r="JD93" s="42"/>
      <c r="JE93" s="42"/>
      <c r="JF93" s="42"/>
      <c r="JG93" s="42"/>
      <c r="JH93" s="42"/>
      <c r="JI93" s="42"/>
      <c r="JJ93" s="42"/>
      <c r="JK93" s="42"/>
      <c r="JL93" s="42"/>
      <c r="JM93" s="42"/>
      <c r="JN93" s="42"/>
      <c r="JO93" s="42"/>
      <c r="JP93" s="42"/>
      <c r="JQ93" s="42"/>
      <c r="JR93" s="42"/>
      <c r="JS93" s="42"/>
      <c r="JT93" s="42"/>
      <c r="JU93" s="42"/>
      <c r="JV93" s="42"/>
      <c r="JW93" s="42"/>
      <c r="JX93" s="42"/>
      <c r="JY93" s="42"/>
      <c r="JZ93" s="42"/>
      <c r="KA93" s="42"/>
      <c r="KB93" s="42"/>
      <c r="KC93" s="42"/>
      <c r="KD93" s="42"/>
      <c r="KE93" s="42"/>
      <c r="KF93" s="42"/>
      <c r="KG93" s="42"/>
      <c r="KH93" s="42"/>
      <c r="KI93" s="42"/>
      <c r="KJ93" s="42"/>
      <c r="KK93" s="42"/>
      <c r="KL93" s="42"/>
      <c r="KM93" s="42"/>
      <c r="KN93" s="42"/>
      <c r="KO93" s="42"/>
      <c r="KP93" s="42"/>
      <c r="KQ93" s="42"/>
      <c r="KR93" s="42"/>
      <c r="KS93" s="42"/>
      <c r="KT93" s="42"/>
      <c r="KU93" s="42"/>
      <c r="KV93" s="42"/>
      <c r="KW93" s="42"/>
      <c r="KX93" s="42"/>
      <c r="KY93" s="42"/>
      <c r="KZ93" s="42"/>
      <c r="LA93" s="42"/>
      <c r="LB93" s="42"/>
      <c r="LC93" s="42"/>
    </row>
    <row r="94" ht="15.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c r="CV94" s="42"/>
      <c r="CW94" s="42"/>
      <c r="CX94" s="42"/>
      <c r="CY94" s="42"/>
      <c r="CZ94" s="42"/>
      <c r="DA94" s="42"/>
      <c r="DB94" s="42"/>
      <c r="DC94" s="42"/>
      <c r="DD94" s="42"/>
      <c r="DE94" s="42"/>
      <c r="DF94" s="42"/>
      <c r="DG94" s="42"/>
      <c r="DH94" s="42"/>
      <c r="DI94" s="42"/>
      <c r="DJ94" s="42"/>
      <c r="DK94" s="42"/>
      <c r="DL94" s="42"/>
      <c r="DM94" s="42"/>
      <c r="DN94" s="42"/>
      <c r="DO94" s="42"/>
      <c r="DP94" s="42"/>
      <c r="DQ94" s="42"/>
      <c r="DR94" s="42"/>
      <c r="DS94" s="42"/>
      <c r="DT94" s="42"/>
      <c r="DU94" s="42"/>
      <c r="DV94" s="42"/>
      <c r="DW94" s="42"/>
      <c r="DX94" s="42"/>
      <c r="DY94" s="42"/>
      <c r="DZ94" s="42"/>
      <c r="EA94" s="42"/>
      <c r="EB94" s="42"/>
      <c r="EC94" s="42"/>
      <c r="ED94" s="42"/>
      <c r="EE94" s="42"/>
      <c r="EF94" s="42"/>
      <c r="EG94" s="42"/>
      <c r="EH94" s="42"/>
      <c r="EI94" s="42"/>
      <c r="EJ94" s="42"/>
      <c r="EK94" s="42"/>
      <c r="EL94" s="42"/>
      <c r="EM94" s="42"/>
      <c r="EN94" s="42"/>
      <c r="EO94" s="42"/>
      <c r="EP94" s="42"/>
      <c r="EQ94" s="42"/>
      <c r="ER94" s="42"/>
      <c r="ES94" s="42"/>
      <c r="ET94" s="42"/>
      <c r="EU94" s="42"/>
      <c r="EV94" s="42"/>
      <c r="EW94" s="42"/>
      <c r="EX94" s="42"/>
      <c r="EY94" s="42"/>
      <c r="EZ94" s="42"/>
      <c r="FA94" s="42"/>
      <c r="FB94" s="42"/>
      <c r="FC94" s="42"/>
      <c r="FD94" s="42"/>
      <c r="FE94" s="42"/>
      <c r="FF94" s="42"/>
      <c r="FG94" s="42"/>
      <c r="FH94" s="42"/>
      <c r="FI94" s="42"/>
      <c r="FJ94" s="42"/>
      <c r="FK94" s="42"/>
      <c r="FL94" s="42"/>
      <c r="FM94" s="42"/>
      <c r="FN94" s="42"/>
      <c r="FO94" s="42"/>
      <c r="FP94" s="42"/>
      <c r="FQ94" s="42"/>
      <c r="FR94" s="42"/>
      <c r="FS94" s="42"/>
      <c r="FT94" s="42"/>
      <c r="FU94" s="42"/>
      <c r="FV94" s="42"/>
      <c r="FW94" s="42"/>
      <c r="FX94" s="42"/>
      <c r="FY94" s="42"/>
      <c r="FZ94" s="42"/>
      <c r="GA94" s="42"/>
      <c r="GB94" s="42"/>
      <c r="GC94" s="42"/>
      <c r="GD94" s="42"/>
      <c r="GE94" s="42"/>
      <c r="GF94" s="42"/>
      <c r="GG94" s="42"/>
      <c r="GH94" s="42"/>
      <c r="GI94" s="42"/>
      <c r="GJ94" s="42"/>
      <c r="GK94" s="42"/>
      <c r="GL94" s="42"/>
      <c r="GM94" s="42"/>
      <c r="GN94" s="42"/>
      <c r="GO94" s="42"/>
      <c r="GP94" s="42"/>
      <c r="GQ94" s="42"/>
      <c r="GR94" s="42"/>
      <c r="GS94" s="42"/>
      <c r="GT94" s="42"/>
      <c r="GU94" s="42"/>
      <c r="GV94" s="42"/>
      <c r="GW94" s="42"/>
      <c r="GX94" s="42"/>
      <c r="GY94" s="42"/>
      <c r="GZ94" s="42"/>
      <c r="HA94" s="42"/>
      <c r="HB94" s="42"/>
      <c r="HC94" s="42"/>
      <c r="HD94" s="42"/>
      <c r="HE94" s="42"/>
      <c r="HF94" s="42"/>
      <c r="HG94" s="42"/>
      <c r="HH94" s="42"/>
      <c r="HI94" s="42"/>
      <c r="HJ94" s="42"/>
      <c r="HK94" s="42"/>
      <c r="HL94" s="42"/>
      <c r="HM94" s="42"/>
      <c r="HN94" s="42"/>
      <c r="HO94" s="42"/>
      <c r="HP94" s="42"/>
      <c r="HQ94" s="42"/>
      <c r="HR94" s="42"/>
      <c r="HS94" s="42"/>
      <c r="HT94" s="42"/>
      <c r="HU94" s="42"/>
      <c r="HV94" s="42"/>
      <c r="HW94" s="42"/>
      <c r="HX94" s="42"/>
      <c r="HY94" s="42"/>
      <c r="HZ94" s="42"/>
      <c r="IA94" s="42"/>
      <c r="IB94" s="42"/>
      <c r="IC94" s="42"/>
      <c r="ID94" s="42"/>
      <c r="IE94" s="42"/>
      <c r="IF94" s="42"/>
      <c r="IG94" s="42"/>
      <c r="IH94" s="42"/>
      <c r="II94" s="42"/>
      <c r="IJ94" s="42"/>
      <c r="IK94" s="42"/>
      <c r="IL94" s="42"/>
      <c r="IM94" s="42"/>
      <c r="IN94" s="42"/>
      <c r="IO94" s="42"/>
      <c r="IP94" s="42"/>
      <c r="IQ94" s="42"/>
      <c r="IR94" s="42"/>
      <c r="IS94" s="42"/>
      <c r="IT94" s="42"/>
      <c r="IU94" s="42"/>
      <c r="IV94" s="42"/>
      <c r="IW94" s="42"/>
      <c r="IX94" s="42"/>
      <c r="IY94" s="42"/>
      <c r="IZ94" s="42"/>
      <c r="JA94" s="42"/>
      <c r="JB94" s="42"/>
      <c r="JC94" s="42"/>
      <c r="JD94" s="42"/>
      <c r="JE94" s="42"/>
      <c r="JF94" s="42"/>
      <c r="JG94" s="42"/>
      <c r="JH94" s="42"/>
      <c r="JI94" s="42"/>
      <c r="JJ94" s="42"/>
      <c r="JK94" s="42"/>
      <c r="JL94" s="42"/>
      <c r="JM94" s="42"/>
      <c r="JN94" s="42"/>
      <c r="JO94" s="42"/>
      <c r="JP94" s="42"/>
      <c r="JQ94" s="42"/>
      <c r="JR94" s="42"/>
      <c r="JS94" s="42"/>
      <c r="JT94" s="42"/>
      <c r="JU94" s="42"/>
      <c r="JV94" s="42"/>
      <c r="JW94" s="42"/>
      <c r="JX94" s="42"/>
      <c r="JY94" s="42"/>
      <c r="JZ94" s="42"/>
      <c r="KA94" s="42"/>
      <c r="KB94" s="42"/>
      <c r="KC94" s="42"/>
      <c r="KD94" s="42"/>
      <c r="KE94" s="42"/>
      <c r="KF94" s="42"/>
      <c r="KG94" s="42"/>
      <c r="KH94" s="42"/>
      <c r="KI94" s="42"/>
      <c r="KJ94" s="42"/>
      <c r="KK94" s="42"/>
      <c r="KL94" s="42"/>
      <c r="KM94" s="42"/>
      <c r="KN94" s="42"/>
      <c r="KO94" s="42"/>
      <c r="KP94" s="42"/>
      <c r="KQ94" s="42"/>
      <c r="KR94" s="42"/>
      <c r="KS94" s="42"/>
      <c r="KT94" s="42"/>
      <c r="KU94" s="42"/>
      <c r="KV94" s="42"/>
      <c r="KW94" s="42"/>
      <c r="KX94" s="42"/>
      <c r="KY94" s="42"/>
      <c r="KZ94" s="42"/>
      <c r="LA94" s="42"/>
      <c r="LB94" s="42"/>
      <c r="LC94" s="42"/>
    </row>
    <row r="95" ht="15.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42"/>
      <c r="CL95" s="42"/>
      <c r="CM95" s="42"/>
      <c r="CN95" s="42"/>
      <c r="CO95" s="42"/>
      <c r="CP95" s="42"/>
      <c r="CQ95" s="42"/>
      <c r="CR95" s="42"/>
      <c r="CS95" s="42"/>
      <c r="CT95" s="42"/>
      <c r="CU95" s="42"/>
      <c r="CV95" s="42"/>
      <c r="CW95" s="42"/>
      <c r="CX95" s="42"/>
      <c r="CY95" s="42"/>
      <c r="CZ95" s="42"/>
      <c r="DA95" s="42"/>
      <c r="DB95" s="42"/>
      <c r="DC95" s="42"/>
      <c r="DD95" s="42"/>
      <c r="DE95" s="42"/>
      <c r="DF95" s="42"/>
      <c r="DG95" s="42"/>
      <c r="DH95" s="42"/>
      <c r="DI95" s="42"/>
      <c r="DJ95" s="42"/>
      <c r="DK95" s="42"/>
      <c r="DL95" s="42"/>
      <c r="DM95" s="42"/>
      <c r="DN95" s="42"/>
      <c r="DO95" s="42"/>
      <c r="DP95" s="42"/>
      <c r="DQ95" s="42"/>
      <c r="DR95" s="42"/>
      <c r="DS95" s="42"/>
      <c r="DT95" s="42"/>
      <c r="DU95" s="42"/>
      <c r="DV95" s="42"/>
      <c r="DW95" s="42"/>
      <c r="DX95" s="42"/>
      <c r="DY95" s="42"/>
      <c r="DZ95" s="42"/>
      <c r="EA95" s="42"/>
      <c r="EB95" s="42"/>
      <c r="EC95" s="42"/>
      <c r="ED95" s="42"/>
      <c r="EE95" s="42"/>
      <c r="EF95" s="42"/>
      <c r="EG95" s="42"/>
      <c r="EH95" s="42"/>
      <c r="EI95" s="42"/>
      <c r="EJ95" s="42"/>
      <c r="EK95" s="42"/>
      <c r="EL95" s="42"/>
      <c r="EM95" s="42"/>
      <c r="EN95" s="42"/>
      <c r="EO95" s="42"/>
      <c r="EP95" s="42"/>
      <c r="EQ95" s="42"/>
      <c r="ER95" s="42"/>
      <c r="ES95" s="42"/>
      <c r="ET95" s="42"/>
      <c r="EU95" s="42"/>
      <c r="EV95" s="42"/>
      <c r="EW95" s="42"/>
      <c r="EX95" s="42"/>
      <c r="EY95" s="42"/>
      <c r="EZ95" s="42"/>
      <c r="FA95" s="42"/>
      <c r="FB95" s="42"/>
      <c r="FC95" s="42"/>
      <c r="FD95" s="42"/>
      <c r="FE95" s="42"/>
      <c r="FF95" s="42"/>
      <c r="FG95" s="42"/>
      <c r="FH95" s="42"/>
      <c r="FI95" s="42"/>
      <c r="FJ95" s="42"/>
      <c r="FK95" s="42"/>
      <c r="FL95" s="42"/>
      <c r="FM95" s="42"/>
      <c r="FN95" s="42"/>
      <c r="FO95" s="42"/>
      <c r="FP95" s="42"/>
      <c r="FQ95" s="42"/>
      <c r="FR95" s="42"/>
      <c r="FS95" s="42"/>
      <c r="FT95" s="42"/>
      <c r="FU95" s="42"/>
      <c r="FV95" s="42"/>
      <c r="FW95" s="42"/>
      <c r="FX95" s="42"/>
      <c r="FY95" s="42"/>
      <c r="FZ95" s="42"/>
      <c r="GA95" s="42"/>
      <c r="GB95" s="42"/>
      <c r="GC95" s="42"/>
      <c r="GD95" s="42"/>
      <c r="GE95" s="42"/>
      <c r="GF95" s="42"/>
      <c r="GG95" s="42"/>
      <c r="GH95" s="42"/>
      <c r="GI95" s="42"/>
      <c r="GJ95" s="42"/>
      <c r="GK95" s="42"/>
      <c r="GL95" s="42"/>
      <c r="GM95" s="42"/>
      <c r="GN95" s="42"/>
      <c r="GO95" s="42"/>
      <c r="GP95" s="42"/>
      <c r="GQ95" s="42"/>
      <c r="GR95" s="42"/>
      <c r="GS95" s="42"/>
      <c r="GT95" s="42"/>
      <c r="GU95" s="42"/>
      <c r="GV95" s="42"/>
      <c r="GW95" s="42"/>
      <c r="GX95" s="42"/>
      <c r="GY95" s="42"/>
      <c r="GZ95" s="42"/>
      <c r="HA95" s="42"/>
      <c r="HB95" s="42"/>
      <c r="HC95" s="42"/>
      <c r="HD95" s="42"/>
      <c r="HE95" s="42"/>
      <c r="HF95" s="42"/>
      <c r="HG95" s="42"/>
      <c r="HH95" s="42"/>
      <c r="HI95" s="42"/>
      <c r="HJ95" s="42"/>
      <c r="HK95" s="42"/>
      <c r="HL95" s="42"/>
      <c r="HM95" s="42"/>
      <c r="HN95" s="42"/>
      <c r="HO95" s="42"/>
      <c r="HP95" s="42"/>
      <c r="HQ95" s="42"/>
      <c r="HR95" s="42"/>
      <c r="HS95" s="42"/>
      <c r="HT95" s="42"/>
      <c r="HU95" s="42"/>
      <c r="HV95" s="42"/>
      <c r="HW95" s="42"/>
      <c r="HX95" s="42"/>
      <c r="HY95" s="42"/>
      <c r="HZ95" s="42"/>
      <c r="IA95" s="42"/>
      <c r="IB95" s="42"/>
      <c r="IC95" s="42"/>
      <c r="ID95" s="42"/>
      <c r="IE95" s="42"/>
      <c r="IF95" s="42"/>
      <c r="IG95" s="42"/>
      <c r="IH95" s="42"/>
      <c r="II95" s="42"/>
      <c r="IJ95" s="42"/>
      <c r="IK95" s="42"/>
      <c r="IL95" s="42"/>
      <c r="IM95" s="42"/>
      <c r="IN95" s="42"/>
      <c r="IO95" s="42"/>
      <c r="IP95" s="42"/>
      <c r="IQ95" s="42"/>
      <c r="IR95" s="42"/>
      <c r="IS95" s="42"/>
      <c r="IT95" s="42"/>
      <c r="IU95" s="42"/>
      <c r="IV95" s="42"/>
      <c r="IW95" s="42"/>
      <c r="IX95" s="42"/>
      <c r="IY95" s="42"/>
      <c r="IZ95" s="42"/>
      <c r="JA95" s="42"/>
      <c r="JB95" s="42"/>
      <c r="JC95" s="42"/>
      <c r="JD95" s="42"/>
      <c r="JE95" s="42"/>
      <c r="JF95" s="42"/>
      <c r="JG95" s="42"/>
      <c r="JH95" s="42"/>
      <c r="JI95" s="42"/>
      <c r="JJ95" s="42"/>
      <c r="JK95" s="42"/>
      <c r="JL95" s="42"/>
      <c r="JM95" s="42"/>
      <c r="JN95" s="42"/>
      <c r="JO95" s="42"/>
      <c r="JP95" s="42"/>
      <c r="JQ95" s="42"/>
      <c r="JR95" s="42"/>
      <c r="JS95" s="42"/>
      <c r="JT95" s="42"/>
      <c r="JU95" s="42"/>
      <c r="JV95" s="42"/>
      <c r="JW95" s="42"/>
      <c r="JX95" s="42"/>
      <c r="JY95" s="42"/>
      <c r="JZ95" s="42"/>
      <c r="KA95" s="42"/>
      <c r="KB95" s="42"/>
      <c r="KC95" s="42"/>
      <c r="KD95" s="42"/>
      <c r="KE95" s="42"/>
      <c r="KF95" s="42"/>
      <c r="KG95" s="42"/>
      <c r="KH95" s="42"/>
      <c r="KI95" s="42"/>
      <c r="KJ95" s="42"/>
      <c r="KK95" s="42"/>
      <c r="KL95" s="42"/>
      <c r="KM95" s="42"/>
      <c r="KN95" s="42"/>
      <c r="KO95" s="42"/>
      <c r="KP95" s="42"/>
      <c r="KQ95" s="42"/>
      <c r="KR95" s="42"/>
      <c r="KS95" s="42"/>
      <c r="KT95" s="42"/>
      <c r="KU95" s="42"/>
      <c r="KV95" s="42"/>
      <c r="KW95" s="42"/>
      <c r="KX95" s="42"/>
      <c r="KY95" s="42"/>
      <c r="KZ95" s="42"/>
      <c r="LA95" s="42"/>
      <c r="LB95" s="42"/>
      <c r="LC95" s="42"/>
    </row>
    <row r="96" ht="15.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c r="BR96" s="42"/>
      <c r="BS96" s="42"/>
      <c r="BT96" s="42"/>
      <c r="BU96" s="42"/>
      <c r="BV96" s="42"/>
      <c r="BW96" s="42"/>
      <c r="BX96" s="42"/>
      <c r="BY96" s="42"/>
      <c r="BZ96" s="42"/>
      <c r="CA96" s="42"/>
      <c r="CB96" s="42"/>
      <c r="CC96" s="42"/>
      <c r="CD96" s="42"/>
      <c r="CE96" s="42"/>
      <c r="CF96" s="42"/>
      <c r="CG96" s="42"/>
      <c r="CH96" s="42"/>
      <c r="CI96" s="42"/>
      <c r="CJ96" s="42"/>
      <c r="CK96" s="42"/>
      <c r="CL96" s="42"/>
      <c r="CM96" s="42"/>
      <c r="CN96" s="42"/>
      <c r="CO96" s="42"/>
      <c r="CP96" s="42"/>
      <c r="CQ96" s="42"/>
      <c r="CR96" s="42"/>
      <c r="CS96" s="42"/>
      <c r="CT96" s="42"/>
      <c r="CU96" s="42"/>
      <c r="CV96" s="42"/>
      <c r="CW96" s="42"/>
      <c r="CX96" s="42"/>
      <c r="CY96" s="42"/>
      <c r="CZ96" s="42"/>
      <c r="DA96" s="42"/>
      <c r="DB96" s="42"/>
      <c r="DC96" s="42"/>
      <c r="DD96" s="42"/>
      <c r="DE96" s="42"/>
      <c r="DF96" s="42"/>
      <c r="DG96" s="42"/>
      <c r="DH96" s="42"/>
      <c r="DI96" s="42"/>
      <c r="DJ96" s="42"/>
      <c r="DK96" s="42"/>
      <c r="DL96" s="42"/>
      <c r="DM96" s="42"/>
      <c r="DN96" s="42"/>
      <c r="DO96" s="42"/>
      <c r="DP96" s="42"/>
      <c r="DQ96" s="42"/>
      <c r="DR96" s="42"/>
      <c r="DS96" s="42"/>
      <c r="DT96" s="42"/>
      <c r="DU96" s="42"/>
      <c r="DV96" s="42"/>
      <c r="DW96" s="42"/>
      <c r="DX96" s="42"/>
      <c r="DY96" s="42"/>
      <c r="DZ96" s="42"/>
      <c r="EA96" s="42"/>
      <c r="EB96" s="42"/>
      <c r="EC96" s="42"/>
      <c r="ED96" s="42"/>
      <c r="EE96" s="42"/>
      <c r="EF96" s="42"/>
      <c r="EG96" s="42"/>
      <c r="EH96" s="42"/>
      <c r="EI96" s="42"/>
      <c r="EJ96" s="42"/>
      <c r="EK96" s="42"/>
      <c r="EL96" s="42"/>
      <c r="EM96" s="42"/>
      <c r="EN96" s="42"/>
      <c r="EO96" s="42"/>
      <c r="EP96" s="42"/>
      <c r="EQ96" s="42"/>
      <c r="ER96" s="42"/>
      <c r="ES96" s="42"/>
      <c r="ET96" s="42"/>
      <c r="EU96" s="42"/>
      <c r="EV96" s="42"/>
      <c r="EW96" s="42"/>
      <c r="EX96" s="42"/>
      <c r="EY96" s="42"/>
      <c r="EZ96" s="42"/>
      <c r="FA96" s="42"/>
      <c r="FB96" s="42"/>
      <c r="FC96" s="42"/>
      <c r="FD96" s="42"/>
      <c r="FE96" s="42"/>
      <c r="FF96" s="42"/>
      <c r="FG96" s="42"/>
      <c r="FH96" s="42"/>
      <c r="FI96" s="42"/>
      <c r="FJ96" s="42"/>
      <c r="FK96" s="42"/>
      <c r="FL96" s="42"/>
      <c r="FM96" s="42"/>
      <c r="FN96" s="42"/>
      <c r="FO96" s="42"/>
      <c r="FP96" s="42"/>
      <c r="FQ96" s="42"/>
      <c r="FR96" s="42"/>
      <c r="FS96" s="42"/>
      <c r="FT96" s="42"/>
      <c r="FU96" s="42"/>
      <c r="FV96" s="42"/>
      <c r="FW96" s="42"/>
      <c r="FX96" s="42"/>
      <c r="FY96" s="42"/>
      <c r="FZ96" s="42"/>
      <c r="GA96" s="42"/>
      <c r="GB96" s="42"/>
      <c r="GC96" s="42"/>
      <c r="GD96" s="42"/>
      <c r="GE96" s="42"/>
      <c r="GF96" s="42"/>
      <c r="GG96" s="42"/>
      <c r="GH96" s="42"/>
      <c r="GI96" s="42"/>
      <c r="GJ96" s="42"/>
      <c r="GK96" s="42"/>
      <c r="GL96" s="42"/>
      <c r="GM96" s="42"/>
      <c r="GN96" s="42"/>
      <c r="GO96" s="42"/>
      <c r="GP96" s="42"/>
      <c r="GQ96" s="42"/>
      <c r="GR96" s="42"/>
      <c r="GS96" s="42"/>
      <c r="GT96" s="42"/>
      <c r="GU96" s="42"/>
      <c r="GV96" s="42"/>
      <c r="GW96" s="42"/>
      <c r="GX96" s="42"/>
      <c r="GY96" s="42"/>
      <c r="GZ96" s="42"/>
      <c r="HA96" s="42"/>
      <c r="HB96" s="42"/>
      <c r="HC96" s="42"/>
      <c r="HD96" s="42"/>
      <c r="HE96" s="42"/>
      <c r="HF96" s="42"/>
      <c r="HG96" s="42"/>
      <c r="HH96" s="42"/>
      <c r="HI96" s="42"/>
      <c r="HJ96" s="42"/>
      <c r="HK96" s="42"/>
      <c r="HL96" s="42"/>
      <c r="HM96" s="42"/>
      <c r="HN96" s="42"/>
      <c r="HO96" s="42"/>
      <c r="HP96" s="42"/>
      <c r="HQ96" s="42"/>
      <c r="HR96" s="42"/>
      <c r="HS96" s="42"/>
      <c r="HT96" s="42"/>
      <c r="HU96" s="42"/>
      <c r="HV96" s="42"/>
      <c r="HW96" s="42"/>
      <c r="HX96" s="42"/>
      <c r="HY96" s="42"/>
      <c r="HZ96" s="42"/>
      <c r="IA96" s="42"/>
      <c r="IB96" s="42"/>
      <c r="IC96" s="42"/>
      <c r="ID96" s="42"/>
      <c r="IE96" s="42"/>
      <c r="IF96" s="42"/>
      <c r="IG96" s="42"/>
      <c r="IH96" s="42"/>
      <c r="II96" s="42"/>
      <c r="IJ96" s="42"/>
      <c r="IK96" s="42"/>
      <c r="IL96" s="42"/>
      <c r="IM96" s="42"/>
      <c r="IN96" s="42"/>
      <c r="IO96" s="42"/>
      <c r="IP96" s="42"/>
      <c r="IQ96" s="42"/>
      <c r="IR96" s="42"/>
      <c r="IS96" s="42"/>
      <c r="IT96" s="42"/>
      <c r="IU96" s="42"/>
      <c r="IV96" s="42"/>
      <c r="IW96" s="42"/>
      <c r="IX96" s="42"/>
      <c r="IY96" s="42"/>
      <c r="IZ96" s="42"/>
      <c r="JA96" s="42"/>
      <c r="JB96" s="42"/>
      <c r="JC96" s="42"/>
      <c r="JD96" s="42"/>
      <c r="JE96" s="42"/>
      <c r="JF96" s="42"/>
      <c r="JG96" s="42"/>
      <c r="JH96" s="42"/>
      <c r="JI96" s="42"/>
      <c r="JJ96" s="42"/>
      <c r="JK96" s="42"/>
      <c r="JL96" s="42"/>
      <c r="JM96" s="42"/>
      <c r="JN96" s="42"/>
      <c r="JO96" s="42"/>
      <c r="JP96" s="42"/>
      <c r="JQ96" s="42"/>
      <c r="JR96" s="42"/>
      <c r="JS96" s="42"/>
      <c r="JT96" s="42"/>
      <c r="JU96" s="42"/>
      <c r="JV96" s="42"/>
      <c r="JW96" s="42"/>
      <c r="JX96" s="42"/>
      <c r="JY96" s="42"/>
      <c r="JZ96" s="42"/>
      <c r="KA96" s="42"/>
      <c r="KB96" s="42"/>
      <c r="KC96" s="42"/>
      <c r="KD96" s="42"/>
      <c r="KE96" s="42"/>
      <c r="KF96" s="42"/>
      <c r="KG96" s="42"/>
      <c r="KH96" s="42"/>
      <c r="KI96" s="42"/>
      <c r="KJ96" s="42"/>
      <c r="KK96" s="42"/>
      <c r="KL96" s="42"/>
      <c r="KM96" s="42"/>
      <c r="KN96" s="42"/>
      <c r="KO96" s="42"/>
      <c r="KP96" s="42"/>
      <c r="KQ96" s="42"/>
      <c r="KR96" s="42"/>
      <c r="KS96" s="42"/>
      <c r="KT96" s="42"/>
      <c r="KU96" s="42"/>
      <c r="KV96" s="42"/>
      <c r="KW96" s="42"/>
      <c r="KX96" s="42"/>
      <c r="KY96" s="42"/>
      <c r="KZ96" s="42"/>
      <c r="LA96" s="42"/>
      <c r="LB96" s="42"/>
      <c r="LC96" s="42"/>
    </row>
    <row r="97" ht="15.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c r="CV97" s="42"/>
      <c r="CW97" s="42"/>
      <c r="CX97" s="42"/>
      <c r="CY97" s="42"/>
      <c r="CZ97" s="42"/>
      <c r="DA97" s="42"/>
      <c r="DB97" s="42"/>
      <c r="DC97" s="42"/>
      <c r="DD97" s="42"/>
      <c r="DE97" s="42"/>
      <c r="DF97" s="42"/>
      <c r="DG97" s="42"/>
      <c r="DH97" s="42"/>
      <c r="DI97" s="42"/>
      <c r="DJ97" s="42"/>
      <c r="DK97" s="42"/>
      <c r="DL97" s="42"/>
      <c r="DM97" s="42"/>
      <c r="DN97" s="42"/>
      <c r="DO97" s="42"/>
      <c r="DP97" s="42"/>
      <c r="DQ97" s="42"/>
      <c r="DR97" s="42"/>
      <c r="DS97" s="42"/>
      <c r="DT97" s="42"/>
      <c r="DU97" s="42"/>
      <c r="DV97" s="42"/>
      <c r="DW97" s="42"/>
      <c r="DX97" s="42"/>
      <c r="DY97" s="42"/>
      <c r="DZ97" s="42"/>
      <c r="EA97" s="42"/>
      <c r="EB97" s="42"/>
      <c r="EC97" s="42"/>
      <c r="ED97" s="42"/>
      <c r="EE97" s="42"/>
      <c r="EF97" s="42"/>
      <c r="EG97" s="42"/>
      <c r="EH97" s="42"/>
      <c r="EI97" s="42"/>
      <c r="EJ97" s="42"/>
      <c r="EK97" s="42"/>
      <c r="EL97" s="42"/>
      <c r="EM97" s="42"/>
      <c r="EN97" s="42"/>
      <c r="EO97" s="42"/>
      <c r="EP97" s="42"/>
      <c r="EQ97" s="42"/>
      <c r="ER97" s="42"/>
      <c r="ES97" s="42"/>
      <c r="ET97" s="42"/>
      <c r="EU97" s="42"/>
      <c r="EV97" s="42"/>
      <c r="EW97" s="42"/>
      <c r="EX97" s="42"/>
      <c r="EY97" s="42"/>
      <c r="EZ97" s="42"/>
      <c r="FA97" s="42"/>
      <c r="FB97" s="42"/>
      <c r="FC97" s="42"/>
      <c r="FD97" s="42"/>
      <c r="FE97" s="42"/>
      <c r="FF97" s="42"/>
      <c r="FG97" s="42"/>
      <c r="FH97" s="42"/>
      <c r="FI97" s="42"/>
      <c r="FJ97" s="42"/>
      <c r="FK97" s="42"/>
      <c r="FL97" s="42"/>
      <c r="FM97" s="42"/>
      <c r="FN97" s="42"/>
      <c r="FO97" s="42"/>
      <c r="FP97" s="42"/>
      <c r="FQ97" s="42"/>
      <c r="FR97" s="42"/>
      <c r="FS97" s="42"/>
      <c r="FT97" s="42"/>
      <c r="FU97" s="42"/>
      <c r="FV97" s="42"/>
      <c r="FW97" s="42"/>
      <c r="FX97" s="42"/>
      <c r="FY97" s="42"/>
      <c r="FZ97" s="42"/>
      <c r="GA97" s="42"/>
      <c r="GB97" s="42"/>
      <c r="GC97" s="42"/>
      <c r="GD97" s="42"/>
      <c r="GE97" s="42"/>
      <c r="GF97" s="42"/>
      <c r="GG97" s="42"/>
      <c r="GH97" s="42"/>
      <c r="GI97" s="42"/>
      <c r="GJ97" s="42"/>
      <c r="GK97" s="42"/>
      <c r="GL97" s="42"/>
      <c r="GM97" s="42"/>
      <c r="GN97" s="42"/>
      <c r="GO97" s="42"/>
      <c r="GP97" s="42"/>
      <c r="GQ97" s="42"/>
      <c r="GR97" s="42"/>
      <c r="GS97" s="42"/>
      <c r="GT97" s="42"/>
      <c r="GU97" s="42"/>
      <c r="GV97" s="42"/>
      <c r="GW97" s="42"/>
      <c r="GX97" s="42"/>
      <c r="GY97" s="42"/>
      <c r="GZ97" s="42"/>
      <c r="HA97" s="42"/>
      <c r="HB97" s="42"/>
      <c r="HC97" s="42"/>
      <c r="HD97" s="42"/>
      <c r="HE97" s="42"/>
      <c r="HF97" s="42"/>
      <c r="HG97" s="42"/>
      <c r="HH97" s="42"/>
      <c r="HI97" s="42"/>
      <c r="HJ97" s="42"/>
      <c r="HK97" s="42"/>
      <c r="HL97" s="42"/>
      <c r="HM97" s="42"/>
      <c r="HN97" s="42"/>
      <c r="HO97" s="42"/>
      <c r="HP97" s="42"/>
      <c r="HQ97" s="42"/>
      <c r="HR97" s="42"/>
      <c r="HS97" s="42"/>
      <c r="HT97" s="42"/>
      <c r="HU97" s="42"/>
      <c r="HV97" s="42"/>
      <c r="HW97" s="42"/>
      <c r="HX97" s="42"/>
      <c r="HY97" s="42"/>
      <c r="HZ97" s="42"/>
      <c r="IA97" s="42"/>
      <c r="IB97" s="42"/>
      <c r="IC97" s="42"/>
      <c r="ID97" s="42"/>
      <c r="IE97" s="42"/>
      <c r="IF97" s="42"/>
      <c r="IG97" s="42"/>
      <c r="IH97" s="42"/>
      <c r="II97" s="42"/>
      <c r="IJ97" s="42"/>
      <c r="IK97" s="42"/>
      <c r="IL97" s="42"/>
      <c r="IM97" s="42"/>
      <c r="IN97" s="42"/>
      <c r="IO97" s="42"/>
      <c r="IP97" s="42"/>
      <c r="IQ97" s="42"/>
      <c r="IR97" s="42"/>
      <c r="IS97" s="42"/>
      <c r="IT97" s="42"/>
      <c r="IU97" s="42"/>
      <c r="IV97" s="42"/>
      <c r="IW97" s="42"/>
      <c r="IX97" s="42"/>
      <c r="IY97" s="42"/>
      <c r="IZ97" s="42"/>
      <c r="JA97" s="42"/>
      <c r="JB97" s="42"/>
      <c r="JC97" s="42"/>
      <c r="JD97" s="42"/>
      <c r="JE97" s="42"/>
      <c r="JF97" s="42"/>
      <c r="JG97" s="42"/>
      <c r="JH97" s="42"/>
      <c r="JI97" s="42"/>
      <c r="JJ97" s="42"/>
      <c r="JK97" s="42"/>
      <c r="JL97" s="42"/>
      <c r="JM97" s="42"/>
      <c r="JN97" s="42"/>
      <c r="JO97" s="42"/>
      <c r="JP97" s="42"/>
      <c r="JQ97" s="42"/>
      <c r="JR97" s="42"/>
      <c r="JS97" s="42"/>
      <c r="JT97" s="42"/>
      <c r="JU97" s="42"/>
      <c r="JV97" s="42"/>
      <c r="JW97" s="42"/>
      <c r="JX97" s="42"/>
      <c r="JY97" s="42"/>
      <c r="JZ97" s="42"/>
      <c r="KA97" s="42"/>
      <c r="KB97" s="42"/>
      <c r="KC97" s="42"/>
      <c r="KD97" s="42"/>
      <c r="KE97" s="42"/>
      <c r="KF97" s="42"/>
      <c r="KG97" s="42"/>
      <c r="KH97" s="42"/>
      <c r="KI97" s="42"/>
      <c r="KJ97" s="42"/>
      <c r="KK97" s="42"/>
      <c r="KL97" s="42"/>
      <c r="KM97" s="42"/>
      <c r="KN97" s="42"/>
      <c r="KO97" s="42"/>
      <c r="KP97" s="42"/>
      <c r="KQ97" s="42"/>
      <c r="KR97" s="42"/>
      <c r="KS97" s="42"/>
      <c r="KT97" s="42"/>
      <c r="KU97" s="42"/>
      <c r="KV97" s="42"/>
      <c r="KW97" s="42"/>
      <c r="KX97" s="42"/>
      <c r="KY97" s="42"/>
      <c r="KZ97" s="42"/>
      <c r="LA97" s="42"/>
      <c r="LB97" s="42"/>
      <c r="LC97" s="42"/>
    </row>
    <row r="98" ht="15.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c r="BR98" s="42"/>
      <c r="BS98" s="42"/>
      <c r="BT98" s="42"/>
      <c r="BU98" s="42"/>
      <c r="BV98" s="42"/>
      <c r="BW98" s="42"/>
      <c r="BX98" s="42"/>
      <c r="BY98" s="42"/>
      <c r="BZ98" s="42"/>
      <c r="CA98" s="42"/>
      <c r="CB98" s="42"/>
      <c r="CC98" s="42"/>
      <c r="CD98" s="42"/>
      <c r="CE98" s="42"/>
      <c r="CF98" s="42"/>
      <c r="CG98" s="42"/>
      <c r="CH98" s="42"/>
      <c r="CI98" s="42"/>
      <c r="CJ98" s="42"/>
      <c r="CK98" s="42"/>
      <c r="CL98" s="42"/>
      <c r="CM98" s="42"/>
      <c r="CN98" s="42"/>
      <c r="CO98" s="42"/>
      <c r="CP98" s="42"/>
      <c r="CQ98" s="42"/>
      <c r="CR98" s="42"/>
      <c r="CS98" s="42"/>
      <c r="CT98" s="42"/>
      <c r="CU98" s="42"/>
      <c r="CV98" s="42"/>
      <c r="CW98" s="42"/>
      <c r="CX98" s="42"/>
      <c r="CY98" s="42"/>
      <c r="CZ98" s="42"/>
      <c r="DA98" s="42"/>
      <c r="DB98" s="42"/>
      <c r="DC98" s="42"/>
      <c r="DD98" s="42"/>
      <c r="DE98" s="42"/>
      <c r="DF98" s="42"/>
      <c r="DG98" s="42"/>
      <c r="DH98" s="42"/>
      <c r="DI98" s="42"/>
      <c r="DJ98" s="42"/>
      <c r="DK98" s="42"/>
      <c r="DL98" s="42"/>
      <c r="DM98" s="42"/>
      <c r="DN98" s="42"/>
      <c r="DO98" s="42"/>
      <c r="DP98" s="42"/>
      <c r="DQ98" s="42"/>
      <c r="DR98" s="42"/>
      <c r="DS98" s="42"/>
      <c r="DT98" s="42"/>
      <c r="DU98" s="42"/>
      <c r="DV98" s="42"/>
      <c r="DW98" s="42"/>
      <c r="DX98" s="42"/>
      <c r="DY98" s="42"/>
      <c r="DZ98" s="42"/>
      <c r="EA98" s="42"/>
      <c r="EB98" s="42"/>
      <c r="EC98" s="42"/>
      <c r="ED98" s="42"/>
      <c r="EE98" s="42"/>
      <c r="EF98" s="42"/>
      <c r="EG98" s="42"/>
      <c r="EH98" s="42"/>
      <c r="EI98" s="42"/>
      <c r="EJ98" s="42"/>
      <c r="EK98" s="42"/>
      <c r="EL98" s="42"/>
      <c r="EM98" s="42"/>
      <c r="EN98" s="42"/>
      <c r="EO98" s="42"/>
      <c r="EP98" s="42"/>
      <c r="EQ98" s="42"/>
      <c r="ER98" s="42"/>
      <c r="ES98" s="42"/>
      <c r="ET98" s="42"/>
      <c r="EU98" s="42"/>
      <c r="EV98" s="42"/>
      <c r="EW98" s="42"/>
      <c r="EX98" s="42"/>
      <c r="EY98" s="42"/>
      <c r="EZ98" s="42"/>
      <c r="FA98" s="42"/>
      <c r="FB98" s="42"/>
      <c r="FC98" s="42"/>
      <c r="FD98" s="42"/>
      <c r="FE98" s="42"/>
      <c r="FF98" s="42"/>
      <c r="FG98" s="42"/>
      <c r="FH98" s="42"/>
      <c r="FI98" s="42"/>
      <c r="FJ98" s="42"/>
      <c r="FK98" s="42"/>
      <c r="FL98" s="42"/>
      <c r="FM98" s="42"/>
      <c r="FN98" s="42"/>
      <c r="FO98" s="42"/>
      <c r="FP98" s="42"/>
      <c r="FQ98" s="42"/>
      <c r="FR98" s="42"/>
      <c r="FS98" s="42"/>
      <c r="FT98" s="42"/>
      <c r="FU98" s="42"/>
      <c r="FV98" s="42"/>
      <c r="FW98" s="42"/>
      <c r="FX98" s="42"/>
      <c r="FY98" s="42"/>
      <c r="FZ98" s="42"/>
      <c r="GA98" s="42"/>
      <c r="GB98" s="42"/>
      <c r="GC98" s="42"/>
      <c r="GD98" s="42"/>
      <c r="GE98" s="42"/>
      <c r="GF98" s="42"/>
      <c r="GG98" s="42"/>
      <c r="GH98" s="42"/>
      <c r="GI98" s="42"/>
      <c r="GJ98" s="42"/>
      <c r="GK98" s="42"/>
      <c r="GL98" s="42"/>
      <c r="GM98" s="42"/>
      <c r="GN98" s="42"/>
      <c r="GO98" s="42"/>
      <c r="GP98" s="42"/>
      <c r="GQ98" s="42"/>
      <c r="GR98" s="42"/>
      <c r="GS98" s="42"/>
      <c r="GT98" s="42"/>
      <c r="GU98" s="42"/>
      <c r="GV98" s="42"/>
      <c r="GW98" s="42"/>
      <c r="GX98" s="42"/>
      <c r="GY98" s="42"/>
      <c r="GZ98" s="42"/>
      <c r="HA98" s="42"/>
      <c r="HB98" s="42"/>
      <c r="HC98" s="42"/>
      <c r="HD98" s="42"/>
      <c r="HE98" s="42"/>
      <c r="HF98" s="42"/>
      <c r="HG98" s="42"/>
      <c r="HH98" s="42"/>
      <c r="HI98" s="42"/>
      <c r="HJ98" s="42"/>
      <c r="HK98" s="42"/>
      <c r="HL98" s="42"/>
      <c r="HM98" s="42"/>
      <c r="HN98" s="42"/>
      <c r="HO98" s="42"/>
      <c r="HP98" s="42"/>
      <c r="HQ98" s="42"/>
      <c r="HR98" s="42"/>
      <c r="HS98" s="42"/>
      <c r="HT98" s="42"/>
      <c r="HU98" s="42"/>
      <c r="HV98" s="42"/>
      <c r="HW98" s="42"/>
      <c r="HX98" s="42"/>
      <c r="HY98" s="42"/>
      <c r="HZ98" s="42"/>
      <c r="IA98" s="42"/>
      <c r="IB98" s="42"/>
      <c r="IC98" s="42"/>
      <c r="ID98" s="42"/>
      <c r="IE98" s="42"/>
      <c r="IF98" s="42"/>
      <c r="IG98" s="42"/>
      <c r="IH98" s="42"/>
      <c r="II98" s="42"/>
      <c r="IJ98" s="42"/>
      <c r="IK98" s="42"/>
      <c r="IL98" s="42"/>
      <c r="IM98" s="42"/>
      <c r="IN98" s="42"/>
      <c r="IO98" s="42"/>
      <c r="IP98" s="42"/>
      <c r="IQ98" s="42"/>
      <c r="IR98" s="42"/>
      <c r="IS98" s="42"/>
      <c r="IT98" s="42"/>
      <c r="IU98" s="42"/>
      <c r="IV98" s="42"/>
      <c r="IW98" s="42"/>
      <c r="IX98" s="42"/>
      <c r="IY98" s="42"/>
      <c r="IZ98" s="42"/>
      <c r="JA98" s="42"/>
      <c r="JB98" s="42"/>
      <c r="JC98" s="42"/>
      <c r="JD98" s="42"/>
      <c r="JE98" s="42"/>
      <c r="JF98" s="42"/>
      <c r="JG98" s="42"/>
      <c r="JH98" s="42"/>
      <c r="JI98" s="42"/>
      <c r="JJ98" s="42"/>
      <c r="JK98" s="42"/>
      <c r="JL98" s="42"/>
      <c r="JM98" s="42"/>
      <c r="JN98" s="42"/>
      <c r="JO98" s="42"/>
      <c r="JP98" s="42"/>
      <c r="JQ98" s="42"/>
      <c r="JR98" s="42"/>
      <c r="JS98" s="42"/>
      <c r="JT98" s="42"/>
      <c r="JU98" s="42"/>
      <c r="JV98" s="42"/>
      <c r="JW98" s="42"/>
      <c r="JX98" s="42"/>
      <c r="JY98" s="42"/>
      <c r="JZ98" s="42"/>
      <c r="KA98" s="42"/>
      <c r="KB98" s="42"/>
      <c r="KC98" s="42"/>
      <c r="KD98" s="42"/>
      <c r="KE98" s="42"/>
      <c r="KF98" s="42"/>
      <c r="KG98" s="42"/>
      <c r="KH98" s="42"/>
      <c r="KI98" s="42"/>
      <c r="KJ98" s="42"/>
      <c r="KK98" s="42"/>
      <c r="KL98" s="42"/>
      <c r="KM98" s="42"/>
      <c r="KN98" s="42"/>
      <c r="KO98" s="42"/>
      <c r="KP98" s="42"/>
      <c r="KQ98" s="42"/>
      <c r="KR98" s="42"/>
      <c r="KS98" s="42"/>
      <c r="KT98" s="42"/>
      <c r="KU98" s="42"/>
      <c r="KV98" s="42"/>
      <c r="KW98" s="42"/>
      <c r="KX98" s="42"/>
      <c r="KY98" s="42"/>
      <c r="KZ98" s="42"/>
      <c r="LA98" s="42"/>
      <c r="LB98" s="42"/>
      <c r="LC98" s="42"/>
    </row>
    <row r="99" ht="15.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42"/>
      <c r="CL99" s="42"/>
      <c r="CM99" s="42"/>
      <c r="CN99" s="42"/>
      <c r="CO99" s="42"/>
      <c r="CP99" s="42"/>
      <c r="CQ99" s="42"/>
      <c r="CR99" s="42"/>
      <c r="CS99" s="42"/>
      <c r="CT99" s="42"/>
      <c r="CU99" s="42"/>
      <c r="CV99" s="42"/>
      <c r="CW99" s="42"/>
      <c r="CX99" s="42"/>
      <c r="CY99" s="42"/>
      <c r="CZ99" s="42"/>
      <c r="DA99" s="42"/>
      <c r="DB99" s="42"/>
      <c r="DC99" s="42"/>
      <c r="DD99" s="42"/>
      <c r="DE99" s="42"/>
      <c r="DF99" s="42"/>
      <c r="DG99" s="42"/>
      <c r="DH99" s="42"/>
      <c r="DI99" s="42"/>
      <c r="DJ99" s="42"/>
      <c r="DK99" s="42"/>
      <c r="DL99" s="42"/>
      <c r="DM99" s="42"/>
      <c r="DN99" s="42"/>
      <c r="DO99" s="42"/>
      <c r="DP99" s="42"/>
      <c r="DQ99" s="42"/>
      <c r="DR99" s="42"/>
      <c r="DS99" s="42"/>
      <c r="DT99" s="42"/>
      <c r="DU99" s="42"/>
      <c r="DV99" s="42"/>
      <c r="DW99" s="42"/>
      <c r="DX99" s="42"/>
      <c r="DY99" s="42"/>
      <c r="DZ99" s="42"/>
      <c r="EA99" s="42"/>
      <c r="EB99" s="42"/>
      <c r="EC99" s="42"/>
      <c r="ED99" s="42"/>
      <c r="EE99" s="42"/>
      <c r="EF99" s="42"/>
      <c r="EG99" s="42"/>
      <c r="EH99" s="42"/>
      <c r="EI99" s="42"/>
      <c r="EJ99" s="42"/>
      <c r="EK99" s="42"/>
      <c r="EL99" s="42"/>
      <c r="EM99" s="42"/>
      <c r="EN99" s="42"/>
      <c r="EO99" s="42"/>
      <c r="EP99" s="42"/>
      <c r="EQ99" s="42"/>
      <c r="ER99" s="42"/>
      <c r="ES99" s="42"/>
      <c r="ET99" s="42"/>
      <c r="EU99" s="42"/>
      <c r="EV99" s="42"/>
      <c r="EW99" s="42"/>
      <c r="EX99" s="42"/>
      <c r="EY99" s="42"/>
      <c r="EZ99" s="42"/>
      <c r="FA99" s="42"/>
      <c r="FB99" s="42"/>
      <c r="FC99" s="42"/>
      <c r="FD99" s="42"/>
      <c r="FE99" s="42"/>
      <c r="FF99" s="42"/>
      <c r="FG99" s="42"/>
      <c r="FH99" s="42"/>
      <c r="FI99" s="42"/>
      <c r="FJ99" s="42"/>
      <c r="FK99" s="42"/>
      <c r="FL99" s="42"/>
      <c r="FM99" s="42"/>
      <c r="FN99" s="42"/>
      <c r="FO99" s="42"/>
      <c r="FP99" s="42"/>
      <c r="FQ99" s="42"/>
      <c r="FR99" s="42"/>
      <c r="FS99" s="42"/>
      <c r="FT99" s="42"/>
      <c r="FU99" s="42"/>
      <c r="FV99" s="42"/>
      <c r="FW99" s="42"/>
      <c r="FX99" s="42"/>
      <c r="FY99" s="42"/>
      <c r="FZ99" s="42"/>
      <c r="GA99" s="42"/>
      <c r="GB99" s="42"/>
      <c r="GC99" s="42"/>
      <c r="GD99" s="42"/>
      <c r="GE99" s="42"/>
      <c r="GF99" s="42"/>
      <c r="GG99" s="42"/>
      <c r="GH99" s="42"/>
      <c r="GI99" s="42"/>
      <c r="GJ99" s="42"/>
      <c r="GK99" s="42"/>
      <c r="GL99" s="42"/>
      <c r="GM99" s="42"/>
      <c r="GN99" s="42"/>
      <c r="GO99" s="42"/>
      <c r="GP99" s="42"/>
      <c r="GQ99" s="42"/>
      <c r="GR99" s="42"/>
      <c r="GS99" s="42"/>
      <c r="GT99" s="42"/>
      <c r="GU99" s="42"/>
      <c r="GV99" s="42"/>
      <c r="GW99" s="42"/>
      <c r="GX99" s="42"/>
      <c r="GY99" s="42"/>
      <c r="GZ99" s="42"/>
      <c r="HA99" s="42"/>
      <c r="HB99" s="42"/>
      <c r="HC99" s="42"/>
      <c r="HD99" s="42"/>
      <c r="HE99" s="42"/>
      <c r="HF99" s="42"/>
      <c r="HG99" s="42"/>
      <c r="HH99" s="42"/>
      <c r="HI99" s="42"/>
      <c r="HJ99" s="42"/>
      <c r="HK99" s="42"/>
      <c r="HL99" s="42"/>
      <c r="HM99" s="42"/>
      <c r="HN99" s="42"/>
      <c r="HO99" s="42"/>
      <c r="HP99" s="42"/>
      <c r="HQ99" s="42"/>
      <c r="HR99" s="42"/>
      <c r="HS99" s="42"/>
      <c r="HT99" s="42"/>
      <c r="HU99" s="42"/>
      <c r="HV99" s="42"/>
      <c r="HW99" s="42"/>
      <c r="HX99" s="42"/>
      <c r="HY99" s="42"/>
      <c r="HZ99" s="42"/>
      <c r="IA99" s="42"/>
      <c r="IB99" s="42"/>
      <c r="IC99" s="42"/>
      <c r="ID99" s="42"/>
      <c r="IE99" s="42"/>
      <c r="IF99" s="42"/>
      <c r="IG99" s="42"/>
      <c r="IH99" s="42"/>
      <c r="II99" s="42"/>
      <c r="IJ99" s="42"/>
      <c r="IK99" s="42"/>
      <c r="IL99" s="42"/>
      <c r="IM99" s="42"/>
      <c r="IN99" s="42"/>
      <c r="IO99" s="42"/>
      <c r="IP99" s="42"/>
      <c r="IQ99" s="42"/>
      <c r="IR99" s="42"/>
      <c r="IS99" s="42"/>
      <c r="IT99" s="42"/>
      <c r="IU99" s="42"/>
      <c r="IV99" s="42"/>
      <c r="IW99" s="42"/>
      <c r="IX99" s="42"/>
      <c r="IY99" s="42"/>
      <c r="IZ99" s="42"/>
      <c r="JA99" s="42"/>
      <c r="JB99" s="42"/>
      <c r="JC99" s="42"/>
      <c r="JD99" s="42"/>
      <c r="JE99" s="42"/>
      <c r="JF99" s="42"/>
      <c r="JG99" s="42"/>
      <c r="JH99" s="42"/>
      <c r="JI99" s="42"/>
      <c r="JJ99" s="42"/>
      <c r="JK99" s="42"/>
      <c r="JL99" s="42"/>
      <c r="JM99" s="42"/>
      <c r="JN99" s="42"/>
      <c r="JO99" s="42"/>
      <c r="JP99" s="42"/>
      <c r="JQ99" s="42"/>
      <c r="JR99" s="42"/>
      <c r="JS99" s="42"/>
      <c r="JT99" s="42"/>
      <c r="JU99" s="42"/>
      <c r="JV99" s="42"/>
      <c r="JW99" s="42"/>
      <c r="JX99" s="42"/>
      <c r="JY99" s="42"/>
      <c r="JZ99" s="42"/>
      <c r="KA99" s="42"/>
      <c r="KB99" s="42"/>
      <c r="KC99" s="42"/>
      <c r="KD99" s="42"/>
      <c r="KE99" s="42"/>
      <c r="KF99" s="42"/>
      <c r="KG99" s="42"/>
      <c r="KH99" s="42"/>
      <c r="KI99" s="42"/>
      <c r="KJ99" s="42"/>
      <c r="KK99" s="42"/>
      <c r="KL99" s="42"/>
      <c r="KM99" s="42"/>
      <c r="KN99" s="42"/>
      <c r="KO99" s="42"/>
      <c r="KP99" s="42"/>
      <c r="KQ99" s="42"/>
      <c r="KR99" s="42"/>
      <c r="KS99" s="42"/>
      <c r="KT99" s="42"/>
      <c r="KU99" s="42"/>
      <c r="KV99" s="42"/>
      <c r="KW99" s="42"/>
      <c r="KX99" s="42"/>
      <c r="KY99" s="42"/>
      <c r="KZ99" s="42"/>
      <c r="LA99" s="42"/>
      <c r="LB99" s="42"/>
      <c r="LC99" s="42"/>
    </row>
    <row r="100" ht="15.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c r="CV100" s="42"/>
      <c r="CW100" s="42"/>
      <c r="CX100" s="42"/>
      <c r="CY100" s="42"/>
      <c r="CZ100" s="42"/>
      <c r="DA100" s="42"/>
      <c r="DB100" s="42"/>
      <c r="DC100" s="42"/>
      <c r="DD100" s="42"/>
      <c r="DE100" s="42"/>
      <c r="DF100" s="42"/>
      <c r="DG100" s="42"/>
      <c r="DH100" s="42"/>
      <c r="DI100" s="42"/>
      <c r="DJ100" s="42"/>
      <c r="DK100" s="42"/>
      <c r="DL100" s="42"/>
      <c r="DM100" s="42"/>
      <c r="DN100" s="42"/>
      <c r="DO100" s="42"/>
      <c r="DP100" s="42"/>
      <c r="DQ100" s="42"/>
      <c r="DR100" s="42"/>
      <c r="DS100" s="42"/>
      <c r="DT100" s="42"/>
      <c r="DU100" s="42"/>
      <c r="DV100" s="42"/>
      <c r="DW100" s="42"/>
      <c r="DX100" s="42"/>
      <c r="DY100" s="42"/>
      <c r="DZ100" s="42"/>
      <c r="EA100" s="42"/>
      <c r="EB100" s="42"/>
      <c r="EC100" s="42"/>
      <c r="ED100" s="42"/>
      <c r="EE100" s="42"/>
      <c r="EF100" s="42"/>
      <c r="EG100" s="42"/>
      <c r="EH100" s="42"/>
      <c r="EI100" s="42"/>
      <c r="EJ100" s="42"/>
      <c r="EK100" s="42"/>
      <c r="EL100" s="42"/>
      <c r="EM100" s="42"/>
      <c r="EN100" s="42"/>
      <c r="EO100" s="42"/>
      <c r="EP100" s="42"/>
      <c r="EQ100" s="42"/>
      <c r="ER100" s="42"/>
      <c r="ES100" s="42"/>
      <c r="ET100" s="42"/>
      <c r="EU100" s="42"/>
      <c r="EV100" s="42"/>
      <c r="EW100" s="42"/>
      <c r="EX100" s="42"/>
      <c r="EY100" s="42"/>
      <c r="EZ100" s="42"/>
      <c r="FA100" s="42"/>
      <c r="FB100" s="42"/>
      <c r="FC100" s="42"/>
      <c r="FD100" s="42"/>
      <c r="FE100" s="42"/>
      <c r="FF100" s="42"/>
      <c r="FG100" s="42"/>
      <c r="FH100" s="42"/>
      <c r="FI100" s="42"/>
      <c r="FJ100" s="42"/>
      <c r="FK100" s="42"/>
      <c r="FL100" s="42"/>
      <c r="FM100" s="42"/>
      <c r="FN100" s="42"/>
      <c r="FO100" s="42"/>
      <c r="FP100" s="42"/>
      <c r="FQ100" s="42"/>
      <c r="FR100" s="42"/>
      <c r="FS100" s="42"/>
      <c r="FT100" s="42"/>
      <c r="FU100" s="42"/>
      <c r="FV100" s="42"/>
      <c r="FW100" s="42"/>
      <c r="FX100" s="42"/>
      <c r="FY100" s="42"/>
      <c r="FZ100" s="42"/>
      <c r="GA100" s="42"/>
      <c r="GB100" s="42"/>
      <c r="GC100" s="42"/>
      <c r="GD100" s="42"/>
      <c r="GE100" s="42"/>
      <c r="GF100" s="42"/>
      <c r="GG100" s="42"/>
      <c r="GH100" s="42"/>
      <c r="GI100" s="42"/>
      <c r="GJ100" s="42"/>
      <c r="GK100" s="42"/>
      <c r="GL100" s="42"/>
      <c r="GM100" s="42"/>
      <c r="GN100" s="42"/>
      <c r="GO100" s="42"/>
      <c r="GP100" s="42"/>
      <c r="GQ100" s="42"/>
      <c r="GR100" s="42"/>
      <c r="GS100" s="42"/>
      <c r="GT100" s="42"/>
      <c r="GU100" s="42"/>
      <c r="GV100" s="42"/>
      <c r="GW100" s="42"/>
      <c r="GX100" s="42"/>
      <c r="GY100" s="42"/>
      <c r="GZ100" s="42"/>
      <c r="HA100" s="42"/>
      <c r="HB100" s="42"/>
      <c r="HC100" s="42"/>
      <c r="HD100" s="42"/>
      <c r="HE100" s="42"/>
      <c r="HF100" s="42"/>
      <c r="HG100" s="42"/>
      <c r="HH100" s="42"/>
      <c r="HI100" s="42"/>
      <c r="HJ100" s="42"/>
      <c r="HK100" s="42"/>
      <c r="HL100" s="42"/>
      <c r="HM100" s="42"/>
      <c r="HN100" s="42"/>
      <c r="HO100" s="42"/>
      <c r="HP100" s="42"/>
      <c r="HQ100" s="42"/>
      <c r="HR100" s="42"/>
      <c r="HS100" s="42"/>
      <c r="HT100" s="42"/>
      <c r="HU100" s="42"/>
      <c r="HV100" s="42"/>
      <c r="HW100" s="42"/>
      <c r="HX100" s="42"/>
      <c r="HY100" s="42"/>
      <c r="HZ100" s="42"/>
      <c r="IA100" s="42"/>
      <c r="IB100" s="42"/>
      <c r="IC100" s="42"/>
      <c r="ID100" s="42"/>
      <c r="IE100" s="42"/>
      <c r="IF100" s="42"/>
      <c r="IG100" s="42"/>
      <c r="IH100" s="42"/>
      <c r="II100" s="42"/>
      <c r="IJ100" s="42"/>
      <c r="IK100" s="42"/>
      <c r="IL100" s="42"/>
      <c r="IM100" s="42"/>
      <c r="IN100" s="42"/>
      <c r="IO100" s="42"/>
      <c r="IP100" s="42"/>
      <c r="IQ100" s="42"/>
      <c r="IR100" s="42"/>
      <c r="IS100" s="42"/>
      <c r="IT100" s="42"/>
      <c r="IU100" s="42"/>
      <c r="IV100" s="42"/>
      <c r="IW100" s="42"/>
      <c r="IX100" s="42"/>
      <c r="IY100" s="42"/>
      <c r="IZ100" s="42"/>
      <c r="JA100" s="42"/>
      <c r="JB100" s="42"/>
      <c r="JC100" s="42"/>
      <c r="JD100" s="42"/>
      <c r="JE100" s="42"/>
      <c r="JF100" s="42"/>
      <c r="JG100" s="42"/>
      <c r="JH100" s="42"/>
      <c r="JI100" s="42"/>
      <c r="JJ100" s="42"/>
      <c r="JK100" s="42"/>
      <c r="JL100" s="42"/>
      <c r="JM100" s="42"/>
      <c r="JN100" s="42"/>
      <c r="JO100" s="42"/>
      <c r="JP100" s="42"/>
      <c r="JQ100" s="42"/>
      <c r="JR100" s="42"/>
      <c r="JS100" s="42"/>
      <c r="JT100" s="42"/>
      <c r="JU100" s="42"/>
      <c r="JV100" s="42"/>
      <c r="JW100" s="42"/>
      <c r="JX100" s="42"/>
      <c r="JY100" s="42"/>
      <c r="JZ100" s="42"/>
      <c r="KA100" s="42"/>
      <c r="KB100" s="42"/>
      <c r="KC100" s="42"/>
      <c r="KD100" s="42"/>
      <c r="KE100" s="42"/>
      <c r="KF100" s="42"/>
      <c r="KG100" s="42"/>
      <c r="KH100" s="42"/>
      <c r="KI100" s="42"/>
      <c r="KJ100" s="42"/>
      <c r="KK100" s="42"/>
      <c r="KL100" s="42"/>
      <c r="KM100" s="42"/>
      <c r="KN100" s="42"/>
      <c r="KO100" s="42"/>
      <c r="KP100" s="42"/>
      <c r="KQ100" s="42"/>
      <c r="KR100" s="42"/>
      <c r="KS100" s="42"/>
      <c r="KT100" s="42"/>
      <c r="KU100" s="42"/>
      <c r="KV100" s="42"/>
      <c r="KW100" s="42"/>
      <c r="KX100" s="42"/>
      <c r="KY100" s="42"/>
      <c r="KZ100" s="42"/>
      <c r="LA100" s="42"/>
      <c r="LB100" s="42"/>
      <c r="LC100" s="42"/>
    </row>
    <row r="101" ht="15.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42"/>
      <c r="BP101" s="42"/>
      <c r="BQ101" s="42"/>
      <c r="BR101" s="42"/>
      <c r="BS101" s="42"/>
      <c r="BT101" s="42"/>
      <c r="BU101" s="42"/>
      <c r="BV101" s="42"/>
      <c r="BW101" s="42"/>
      <c r="BX101" s="42"/>
      <c r="BY101" s="42"/>
      <c r="BZ101" s="42"/>
      <c r="CA101" s="42"/>
      <c r="CB101" s="42"/>
      <c r="CC101" s="42"/>
      <c r="CD101" s="42"/>
      <c r="CE101" s="42"/>
      <c r="CF101" s="42"/>
      <c r="CG101" s="42"/>
      <c r="CH101" s="42"/>
      <c r="CI101" s="42"/>
      <c r="CJ101" s="42"/>
      <c r="CK101" s="42"/>
      <c r="CL101" s="42"/>
      <c r="CM101" s="42"/>
      <c r="CN101" s="42"/>
      <c r="CO101" s="42"/>
      <c r="CP101" s="42"/>
      <c r="CQ101" s="42"/>
      <c r="CR101" s="42"/>
      <c r="CS101" s="42"/>
      <c r="CT101" s="42"/>
      <c r="CU101" s="42"/>
      <c r="CV101" s="42"/>
      <c r="CW101" s="42"/>
      <c r="CX101" s="42"/>
      <c r="CY101" s="42"/>
      <c r="CZ101" s="42"/>
      <c r="DA101" s="42"/>
      <c r="DB101" s="42"/>
      <c r="DC101" s="42"/>
      <c r="DD101" s="42"/>
      <c r="DE101" s="42"/>
      <c r="DF101" s="42"/>
      <c r="DG101" s="42"/>
      <c r="DH101" s="42"/>
      <c r="DI101" s="42"/>
      <c r="DJ101" s="42"/>
      <c r="DK101" s="42"/>
      <c r="DL101" s="42"/>
      <c r="DM101" s="42"/>
      <c r="DN101" s="42"/>
      <c r="DO101" s="42"/>
      <c r="DP101" s="42"/>
      <c r="DQ101" s="42"/>
      <c r="DR101" s="42"/>
      <c r="DS101" s="42"/>
      <c r="DT101" s="42"/>
      <c r="DU101" s="42"/>
      <c r="DV101" s="42"/>
      <c r="DW101" s="42"/>
      <c r="DX101" s="42"/>
      <c r="DY101" s="42"/>
      <c r="DZ101" s="42"/>
      <c r="EA101" s="42"/>
      <c r="EB101" s="42"/>
      <c r="EC101" s="42"/>
      <c r="ED101" s="42"/>
      <c r="EE101" s="42"/>
      <c r="EF101" s="42"/>
      <c r="EG101" s="42"/>
      <c r="EH101" s="42"/>
      <c r="EI101" s="42"/>
      <c r="EJ101" s="42"/>
      <c r="EK101" s="42"/>
      <c r="EL101" s="42"/>
      <c r="EM101" s="42"/>
      <c r="EN101" s="42"/>
      <c r="EO101" s="42"/>
      <c r="EP101" s="42"/>
      <c r="EQ101" s="42"/>
      <c r="ER101" s="42"/>
      <c r="ES101" s="42"/>
      <c r="ET101" s="42"/>
      <c r="EU101" s="42"/>
      <c r="EV101" s="42"/>
      <c r="EW101" s="42"/>
      <c r="EX101" s="42"/>
      <c r="EY101" s="42"/>
      <c r="EZ101" s="42"/>
      <c r="FA101" s="42"/>
      <c r="FB101" s="42"/>
      <c r="FC101" s="42"/>
      <c r="FD101" s="42"/>
      <c r="FE101" s="42"/>
      <c r="FF101" s="42"/>
      <c r="FG101" s="42"/>
      <c r="FH101" s="42"/>
      <c r="FI101" s="42"/>
      <c r="FJ101" s="42"/>
      <c r="FK101" s="42"/>
      <c r="FL101" s="42"/>
      <c r="FM101" s="42"/>
      <c r="FN101" s="42"/>
      <c r="FO101" s="42"/>
      <c r="FP101" s="42"/>
      <c r="FQ101" s="42"/>
      <c r="FR101" s="42"/>
      <c r="FS101" s="42"/>
      <c r="FT101" s="42"/>
      <c r="FU101" s="42"/>
      <c r="FV101" s="42"/>
      <c r="FW101" s="42"/>
      <c r="FX101" s="42"/>
      <c r="FY101" s="42"/>
      <c r="FZ101" s="42"/>
      <c r="GA101" s="42"/>
      <c r="GB101" s="42"/>
      <c r="GC101" s="42"/>
      <c r="GD101" s="42"/>
      <c r="GE101" s="42"/>
      <c r="GF101" s="42"/>
      <c r="GG101" s="42"/>
      <c r="GH101" s="42"/>
      <c r="GI101" s="42"/>
      <c r="GJ101" s="42"/>
      <c r="GK101" s="42"/>
      <c r="GL101" s="42"/>
      <c r="GM101" s="42"/>
      <c r="GN101" s="42"/>
      <c r="GO101" s="42"/>
      <c r="GP101" s="42"/>
      <c r="GQ101" s="42"/>
      <c r="GR101" s="42"/>
      <c r="GS101" s="42"/>
      <c r="GT101" s="42"/>
      <c r="GU101" s="42"/>
      <c r="GV101" s="42"/>
      <c r="GW101" s="42"/>
      <c r="GX101" s="42"/>
      <c r="GY101" s="42"/>
      <c r="GZ101" s="42"/>
      <c r="HA101" s="42"/>
      <c r="HB101" s="42"/>
      <c r="HC101" s="42"/>
      <c r="HD101" s="42"/>
      <c r="HE101" s="42"/>
      <c r="HF101" s="42"/>
      <c r="HG101" s="42"/>
      <c r="HH101" s="42"/>
      <c r="HI101" s="42"/>
      <c r="HJ101" s="42"/>
      <c r="HK101" s="42"/>
      <c r="HL101" s="42"/>
      <c r="HM101" s="42"/>
      <c r="HN101" s="42"/>
      <c r="HO101" s="42"/>
      <c r="HP101" s="42"/>
      <c r="HQ101" s="42"/>
      <c r="HR101" s="42"/>
      <c r="HS101" s="42"/>
      <c r="HT101" s="42"/>
      <c r="HU101" s="42"/>
      <c r="HV101" s="42"/>
      <c r="HW101" s="42"/>
      <c r="HX101" s="42"/>
      <c r="HY101" s="42"/>
      <c r="HZ101" s="42"/>
      <c r="IA101" s="42"/>
      <c r="IB101" s="42"/>
      <c r="IC101" s="42"/>
      <c r="ID101" s="42"/>
      <c r="IE101" s="42"/>
      <c r="IF101" s="42"/>
      <c r="IG101" s="42"/>
      <c r="IH101" s="42"/>
      <c r="II101" s="42"/>
      <c r="IJ101" s="42"/>
      <c r="IK101" s="42"/>
      <c r="IL101" s="42"/>
      <c r="IM101" s="42"/>
      <c r="IN101" s="42"/>
      <c r="IO101" s="42"/>
      <c r="IP101" s="42"/>
      <c r="IQ101" s="42"/>
      <c r="IR101" s="42"/>
      <c r="IS101" s="42"/>
      <c r="IT101" s="42"/>
      <c r="IU101" s="42"/>
      <c r="IV101" s="42"/>
      <c r="IW101" s="42"/>
      <c r="IX101" s="42"/>
      <c r="IY101" s="42"/>
      <c r="IZ101" s="42"/>
      <c r="JA101" s="42"/>
      <c r="JB101" s="42"/>
      <c r="JC101" s="42"/>
      <c r="JD101" s="42"/>
      <c r="JE101" s="42"/>
      <c r="JF101" s="42"/>
      <c r="JG101" s="42"/>
      <c r="JH101" s="42"/>
      <c r="JI101" s="42"/>
      <c r="JJ101" s="42"/>
      <c r="JK101" s="42"/>
      <c r="JL101" s="42"/>
      <c r="JM101" s="42"/>
      <c r="JN101" s="42"/>
      <c r="JO101" s="42"/>
      <c r="JP101" s="42"/>
      <c r="JQ101" s="42"/>
      <c r="JR101" s="42"/>
      <c r="JS101" s="42"/>
      <c r="JT101" s="42"/>
      <c r="JU101" s="42"/>
      <c r="JV101" s="42"/>
      <c r="JW101" s="42"/>
      <c r="JX101" s="42"/>
      <c r="JY101" s="42"/>
      <c r="JZ101" s="42"/>
      <c r="KA101" s="42"/>
      <c r="KB101" s="42"/>
      <c r="KC101" s="42"/>
      <c r="KD101" s="42"/>
      <c r="KE101" s="42"/>
      <c r="KF101" s="42"/>
      <c r="KG101" s="42"/>
      <c r="KH101" s="42"/>
      <c r="KI101" s="42"/>
      <c r="KJ101" s="42"/>
      <c r="KK101" s="42"/>
      <c r="KL101" s="42"/>
      <c r="KM101" s="42"/>
      <c r="KN101" s="42"/>
      <c r="KO101" s="42"/>
      <c r="KP101" s="42"/>
      <c r="KQ101" s="42"/>
      <c r="KR101" s="42"/>
      <c r="KS101" s="42"/>
      <c r="KT101" s="42"/>
      <c r="KU101" s="42"/>
      <c r="KV101" s="42"/>
      <c r="KW101" s="42"/>
      <c r="KX101" s="42"/>
      <c r="KY101" s="42"/>
      <c r="KZ101" s="42"/>
      <c r="LA101" s="42"/>
      <c r="LB101" s="42"/>
      <c r="LC101" s="42"/>
    </row>
    <row r="102"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42"/>
      <c r="BH102" s="42"/>
      <c r="BI102" s="42"/>
      <c r="BJ102" s="42"/>
      <c r="BK102" s="42"/>
      <c r="BL102" s="42"/>
      <c r="BM102" s="42"/>
      <c r="BN102" s="42"/>
      <c r="BO102" s="42"/>
      <c r="BP102" s="42"/>
      <c r="BQ102" s="42"/>
      <c r="BR102" s="42"/>
      <c r="BS102" s="42"/>
      <c r="BT102" s="42"/>
      <c r="BU102" s="42"/>
      <c r="BV102" s="42"/>
      <c r="BW102" s="42"/>
      <c r="BX102" s="42"/>
      <c r="BY102" s="42"/>
      <c r="BZ102" s="42"/>
      <c r="CA102" s="42"/>
      <c r="CB102" s="42"/>
      <c r="CC102" s="42"/>
      <c r="CD102" s="42"/>
      <c r="CE102" s="42"/>
      <c r="CF102" s="42"/>
      <c r="CG102" s="42"/>
      <c r="CH102" s="42"/>
      <c r="CI102" s="42"/>
      <c r="CJ102" s="42"/>
      <c r="CK102" s="42"/>
      <c r="CL102" s="42"/>
      <c r="CM102" s="42"/>
      <c r="CN102" s="42"/>
      <c r="CO102" s="42"/>
      <c r="CP102" s="42"/>
      <c r="CQ102" s="42"/>
      <c r="CR102" s="42"/>
      <c r="CS102" s="42"/>
      <c r="CT102" s="42"/>
      <c r="CU102" s="42"/>
      <c r="CV102" s="42"/>
      <c r="CW102" s="42"/>
      <c r="CX102" s="42"/>
      <c r="CY102" s="42"/>
      <c r="CZ102" s="42"/>
      <c r="DA102" s="42"/>
      <c r="DB102" s="42"/>
      <c r="DC102" s="42"/>
      <c r="DD102" s="42"/>
      <c r="DE102" s="42"/>
      <c r="DF102" s="42"/>
      <c r="DG102" s="42"/>
      <c r="DH102" s="42"/>
      <c r="DI102" s="42"/>
      <c r="DJ102" s="42"/>
      <c r="DK102" s="42"/>
      <c r="DL102" s="42"/>
      <c r="DM102" s="42"/>
      <c r="DN102" s="42"/>
      <c r="DO102" s="42"/>
      <c r="DP102" s="42"/>
      <c r="DQ102" s="42"/>
      <c r="DR102" s="42"/>
      <c r="DS102" s="42"/>
      <c r="DT102" s="42"/>
      <c r="DU102" s="42"/>
      <c r="DV102" s="42"/>
      <c r="DW102" s="42"/>
      <c r="DX102" s="42"/>
      <c r="DY102" s="42"/>
      <c r="DZ102" s="42"/>
      <c r="EA102" s="42"/>
      <c r="EB102" s="42"/>
      <c r="EC102" s="42"/>
      <c r="ED102" s="42"/>
      <c r="EE102" s="42"/>
      <c r="EF102" s="42"/>
      <c r="EG102" s="42"/>
      <c r="EH102" s="42"/>
      <c r="EI102" s="42"/>
      <c r="EJ102" s="42"/>
      <c r="EK102" s="42"/>
      <c r="EL102" s="42"/>
      <c r="EM102" s="42"/>
      <c r="EN102" s="42"/>
      <c r="EO102" s="42"/>
      <c r="EP102" s="42"/>
      <c r="EQ102" s="42"/>
      <c r="ER102" s="42"/>
      <c r="ES102" s="42"/>
      <c r="ET102" s="42"/>
      <c r="EU102" s="42"/>
      <c r="EV102" s="42"/>
      <c r="EW102" s="42"/>
      <c r="EX102" s="42"/>
      <c r="EY102" s="42"/>
      <c r="EZ102" s="42"/>
      <c r="FA102" s="42"/>
      <c r="FB102" s="42"/>
      <c r="FC102" s="42"/>
      <c r="FD102" s="42"/>
      <c r="FE102" s="42"/>
      <c r="FF102" s="42"/>
      <c r="FG102" s="42"/>
      <c r="FH102" s="42"/>
      <c r="FI102" s="42"/>
      <c r="FJ102" s="42"/>
      <c r="FK102" s="42"/>
      <c r="FL102" s="42"/>
      <c r="FM102" s="42"/>
      <c r="FN102" s="42"/>
      <c r="FO102" s="42"/>
      <c r="FP102" s="42"/>
      <c r="FQ102" s="42"/>
      <c r="FR102" s="42"/>
      <c r="FS102" s="42"/>
      <c r="FT102" s="42"/>
      <c r="FU102" s="42"/>
      <c r="FV102" s="42"/>
      <c r="FW102" s="42"/>
      <c r="FX102" s="42"/>
      <c r="FY102" s="42"/>
      <c r="FZ102" s="42"/>
      <c r="GA102" s="42"/>
      <c r="GB102" s="42"/>
      <c r="GC102" s="42"/>
      <c r="GD102" s="42"/>
      <c r="GE102" s="42"/>
      <c r="GF102" s="42"/>
      <c r="GG102" s="42"/>
      <c r="GH102" s="42"/>
      <c r="GI102" s="42"/>
      <c r="GJ102" s="42"/>
      <c r="GK102" s="42"/>
      <c r="GL102" s="42"/>
      <c r="GM102" s="42"/>
      <c r="GN102" s="42"/>
      <c r="GO102" s="42"/>
      <c r="GP102" s="42"/>
      <c r="GQ102" s="42"/>
      <c r="GR102" s="42"/>
      <c r="GS102" s="42"/>
      <c r="GT102" s="42"/>
      <c r="GU102" s="42"/>
      <c r="GV102" s="42"/>
      <c r="GW102" s="42"/>
      <c r="GX102" s="42"/>
      <c r="GY102" s="42"/>
      <c r="GZ102" s="42"/>
      <c r="HA102" s="42"/>
      <c r="HB102" s="42"/>
      <c r="HC102" s="42"/>
      <c r="HD102" s="42"/>
      <c r="HE102" s="42"/>
      <c r="HF102" s="42"/>
      <c r="HG102" s="42"/>
      <c r="HH102" s="42"/>
      <c r="HI102" s="42"/>
      <c r="HJ102" s="42"/>
      <c r="HK102" s="42"/>
      <c r="HL102" s="42"/>
      <c r="HM102" s="42"/>
      <c r="HN102" s="42"/>
      <c r="HO102" s="42"/>
      <c r="HP102" s="42"/>
      <c r="HQ102" s="42"/>
      <c r="HR102" s="42"/>
      <c r="HS102" s="42"/>
      <c r="HT102" s="42"/>
      <c r="HU102" s="42"/>
      <c r="HV102" s="42"/>
      <c r="HW102" s="42"/>
      <c r="HX102" s="42"/>
      <c r="HY102" s="42"/>
      <c r="HZ102" s="42"/>
      <c r="IA102" s="42"/>
      <c r="IB102" s="42"/>
      <c r="IC102" s="42"/>
      <c r="ID102" s="42"/>
      <c r="IE102" s="42"/>
      <c r="IF102" s="42"/>
      <c r="IG102" s="42"/>
      <c r="IH102" s="42"/>
      <c r="II102" s="42"/>
      <c r="IJ102" s="42"/>
      <c r="IK102" s="42"/>
      <c r="IL102" s="42"/>
      <c r="IM102" s="42"/>
      <c r="IN102" s="42"/>
      <c r="IO102" s="42"/>
      <c r="IP102" s="42"/>
      <c r="IQ102" s="42"/>
      <c r="IR102" s="42"/>
      <c r="IS102" s="42"/>
      <c r="IT102" s="42"/>
      <c r="IU102" s="42"/>
      <c r="IV102" s="42"/>
      <c r="IW102" s="42"/>
      <c r="IX102" s="42"/>
      <c r="IY102" s="42"/>
      <c r="IZ102" s="42"/>
      <c r="JA102" s="42"/>
      <c r="JB102" s="42"/>
      <c r="JC102" s="42"/>
      <c r="JD102" s="42"/>
      <c r="JE102" s="42"/>
      <c r="JF102" s="42"/>
      <c r="JG102" s="42"/>
      <c r="JH102" s="42"/>
      <c r="JI102" s="42"/>
      <c r="JJ102" s="42"/>
      <c r="JK102" s="42"/>
      <c r="JL102" s="42"/>
      <c r="JM102" s="42"/>
      <c r="JN102" s="42"/>
      <c r="JO102" s="42"/>
      <c r="JP102" s="42"/>
      <c r="JQ102" s="42"/>
      <c r="JR102" s="42"/>
      <c r="JS102" s="42"/>
      <c r="JT102" s="42"/>
      <c r="JU102" s="42"/>
      <c r="JV102" s="42"/>
      <c r="JW102" s="42"/>
      <c r="JX102" s="42"/>
      <c r="JY102" s="42"/>
      <c r="JZ102" s="42"/>
      <c r="KA102" s="42"/>
      <c r="KB102" s="42"/>
      <c r="KC102" s="42"/>
      <c r="KD102" s="42"/>
      <c r="KE102" s="42"/>
      <c r="KF102" s="42"/>
      <c r="KG102" s="42"/>
      <c r="KH102" s="42"/>
      <c r="KI102" s="42"/>
      <c r="KJ102" s="42"/>
      <c r="KK102" s="42"/>
      <c r="KL102" s="42"/>
      <c r="KM102" s="42"/>
      <c r="KN102" s="42"/>
      <c r="KO102" s="42"/>
      <c r="KP102" s="42"/>
      <c r="KQ102" s="42"/>
      <c r="KR102" s="42"/>
      <c r="KS102" s="42"/>
      <c r="KT102" s="42"/>
      <c r="KU102" s="42"/>
      <c r="KV102" s="42"/>
      <c r="KW102" s="42"/>
      <c r="KX102" s="42"/>
      <c r="KY102" s="42"/>
      <c r="KZ102" s="42"/>
      <c r="LA102" s="42"/>
      <c r="LB102" s="42"/>
      <c r="LC102" s="42"/>
    </row>
    <row r="103" ht="15.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c r="CV103" s="42"/>
      <c r="CW103" s="42"/>
      <c r="CX103" s="42"/>
      <c r="CY103" s="42"/>
      <c r="CZ103" s="42"/>
      <c r="DA103" s="42"/>
      <c r="DB103" s="42"/>
      <c r="DC103" s="42"/>
      <c r="DD103" s="42"/>
      <c r="DE103" s="42"/>
      <c r="DF103" s="42"/>
      <c r="DG103" s="42"/>
      <c r="DH103" s="42"/>
      <c r="DI103" s="42"/>
      <c r="DJ103" s="42"/>
      <c r="DK103" s="42"/>
      <c r="DL103" s="42"/>
      <c r="DM103" s="42"/>
      <c r="DN103" s="42"/>
      <c r="DO103" s="42"/>
      <c r="DP103" s="42"/>
      <c r="DQ103" s="42"/>
      <c r="DR103" s="42"/>
      <c r="DS103" s="42"/>
      <c r="DT103" s="42"/>
      <c r="DU103" s="42"/>
      <c r="DV103" s="42"/>
      <c r="DW103" s="42"/>
      <c r="DX103" s="42"/>
      <c r="DY103" s="42"/>
      <c r="DZ103" s="42"/>
      <c r="EA103" s="42"/>
      <c r="EB103" s="42"/>
      <c r="EC103" s="42"/>
      <c r="ED103" s="42"/>
      <c r="EE103" s="42"/>
      <c r="EF103" s="42"/>
      <c r="EG103" s="42"/>
      <c r="EH103" s="42"/>
      <c r="EI103" s="42"/>
      <c r="EJ103" s="42"/>
      <c r="EK103" s="42"/>
      <c r="EL103" s="42"/>
      <c r="EM103" s="42"/>
      <c r="EN103" s="42"/>
      <c r="EO103" s="42"/>
      <c r="EP103" s="42"/>
      <c r="EQ103" s="42"/>
      <c r="ER103" s="42"/>
      <c r="ES103" s="42"/>
      <c r="ET103" s="42"/>
      <c r="EU103" s="42"/>
      <c r="EV103" s="42"/>
      <c r="EW103" s="42"/>
      <c r="EX103" s="42"/>
      <c r="EY103" s="42"/>
      <c r="EZ103" s="42"/>
      <c r="FA103" s="42"/>
      <c r="FB103" s="42"/>
      <c r="FC103" s="42"/>
      <c r="FD103" s="42"/>
      <c r="FE103" s="42"/>
      <c r="FF103" s="42"/>
      <c r="FG103" s="42"/>
      <c r="FH103" s="42"/>
      <c r="FI103" s="42"/>
      <c r="FJ103" s="42"/>
      <c r="FK103" s="42"/>
      <c r="FL103" s="42"/>
      <c r="FM103" s="42"/>
      <c r="FN103" s="42"/>
      <c r="FO103" s="42"/>
      <c r="FP103" s="42"/>
      <c r="FQ103" s="42"/>
      <c r="FR103" s="42"/>
      <c r="FS103" s="42"/>
      <c r="FT103" s="42"/>
      <c r="FU103" s="42"/>
      <c r="FV103" s="42"/>
      <c r="FW103" s="42"/>
      <c r="FX103" s="42"/>
      <c r="FY103" s="42"/>
      <c r="FZ103" s="42"/>
      <c r="GA103" s="42"/>
      <c r="GB103" s="42"/>
      <c r="GC103" s="42"/>
      <c r="GD103" s="42"/>
      <c r="GE103" s="42"/>
      <c r="GF103" s="42"/>
      <c r="GG103" s="42"/>
      <c r="GH103" s="42"/>
      <c r="GI103" s="42"/>
      <c r="GJ103" s="42"/>
      <c r="GK103" s="42"/>
      <c r="GL103" s="42"/>
      <c r="GM103" s="42"/>
      <c r="GN103" s="42"/>
      <c r="GO103" s="42"/>
      <c r="GP103" s="42"/>
      <c r="GQ103" s="42"/>
      <c r="GR103" s="42"/>
      <c r="GS103" s="42"/>
      <c r="GT103" s="42"/>
      <c r="GU103" s="42"/>
      <c r="GV103" s="42"/>
      <c r="GW103" s="42"/>
      <c r="GX103" s="42"/>
      <c r="GY103" s="42"/>
      <c r="GZ103" s="42"/>
      <c r="HA103" s="42"/>
      <c r="HB103" s="42"/>
      <c r="HC103" s="42"/>
      <c r="HD103" s="42"/>
      <c r="HE103" s="42"/>
      <c r="HF103" s="42"/>
      <c r="HG103" s="42"/>
      <c r="HH103" s="42"/>
      <c r="HI103" s="42"/>
      <c r="HJ103" s="42"/>
      <c r="HK103" s="42"/>
      <c r="HL103" s="42"/>
      <c r="HM103" s="42"/>
      <c r="HN103" s="42"/>
      <c r="HO103" s="42"/>
      <c r="HP103" s="42"/>
      <c r="HQ103" s="42"/>
      <c r="HR103" s="42"/>
      <c r="HS103" s="42"/>
      <c r="HT103" s="42"/>
      <c r="HU103" s="42"/>
      <c r="HV103" s="42"/>
      <c r="HW103" s="42"/>
      <c r="HX103" s="42"/>
      <c r="HY103" s="42"/>
      <c r="HZ103" s="42"/>
      <c r="IA103" s="42"/>
      <c r="IB103" s="42"/>
      <c r="IC103" s="42"/>
      <c r="ID103" s="42"/>
      <c r="IE103" s="42"/>
      <c r="IF103" s="42"/>
      <c r="IG103" s="42"/>
      <c r="IH103" s="42"/>
      <c r="II103" s="42"/>
      <c r="IJ103" s="42"/>
      <c r="IK103" s="42"/>
      <c r="IL103" s="42"/>
      <c r="IM103" s="42"/>
      <c r="IN103" s="42"/>
      <c r="IO103" s="42"/>
      <c r="IP103" s="42"/>
      <c r="IQ103" s="42"/>
      <c r="IR103" s="42"/>
      <c r="IS103" s="42"/>
      <c r="IT103" s="42"/>
      <c r="IU103" s="42"/>
      <c r="IV103" s="42"/>
      <c r="IW103" s="42"/>
      <c r="IX103" s="42"/>
      <c r="IY103" s="42"/>
      <c r="IZ103" s="42"/>
      <c r="JA103" s="42"/>
      <c r="JB103" s="42"/>
      <c r="JC103" s="42"/>
      <c r="JD103" s="42"/>
      <c r="JE103" s="42"/>
      <c r="JF103" s="42"/>
      <c r="JG103" s="42"/>
      <c r="JH103" s="42"/>
      <c r="JI103" s="42"/>
      <c r="JJ103" s="42"/>
      <c r="JK103" s="42"/>
      <c r="JL103" s="42"/>
      <c r="JM103" s="42"/>
      <c r="JN103" s="42"/>
      <c r="JO103" s="42"/>
      <c r="JP103" s="42"/>
      <c r="JQ103" s="42"/>
      <c r="JR103" s="42"/>
      <c r="JS103" s="42"/>
      <c r="JT103" s="42"/>
      <c r="JU103" s="42"/>
      <c r="JV103" s="42"/>
      <c r="JW103" s="42"/>
      <c r="JX103" s="42"/>
      <c r="JY103" s="42"/>
      <c r="JZ103" s="42"/>
      <c r="KA103" s="42"/>
      <c r="KB103" s="42"/>
      <c r="KC103" s="42"/>
      <c r="KD103" s="42"/>
      <c r="KE103" s="42"/>
      <c r="KF103" s="42"/>
      <c r="KG103" s="42"/>
      <c r="KH103" s="42"/>
      <c r="KI103" s="42"/>
      <c r="KJ103" s="42"/>
      <c r="KK103" s="42"/>
      <c r="KL103" s="42"/>
      <c r="KM103" s="42"/>
      <c r="KN103" s="42"/>
      <c r="KO103" s="42"/>
      <c r="KP103" s="42"/>
      <c r="KQ103" s="42"/>
      <c r="KR103" s="42"/>
      <c r="KS103" s="42"/>
      <c r="KT103" s="42"/>
      <c r="KU103" s="42"/>
      <c r="KV103" s="42"/>
      <c r="KW103" s="42"/>
      <c r="KX103" s="42"/>
      <c r="KY103" s="42"/>
      <c r="KZ103" s="42"/>
      <c r="LA103" s="42"/>
      <c r="LB103" s="42"/>
      <c r="LC103" s="42"/>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2"/>
      <c r="BH104" s="42"/>
      <c r="BI104" s="42"/>
      <c r="BJ104" s="42"/>
      <c r="BK104" s="42"/>
      <c r="BL104" s="42"/>
      <c r="BM104" s="42"/>
      <c r="BN104" s="42"/>
      <c r="BO104" s="42"/>
      <c r="BP104" s="42"/>
      <c r="BQ104" s="42"/>
      <c r="BR104" s="42"/>
      <c r="BS104" s="42"/>
      <c r="BT104" s="42"/>
      <c r="BU104" s="42"/>
      <c r="BV104" s="42"/>
      <c r="BW104" s="42"/>
      <c r="BX104" s="42"/>
      <c r="BY104" s="42"/>
      <c r="BZ104" s="42"/>
      <c r="CA104" s="42"/>
      <c r="CB104" s="42"/>
      <c r="CC104" s="42"/>
      <c r="CD104" s="42"/>
      <c r="CE104" s="42"/>
      <c r="CF104" s="42"/>
      <c r="CG104" s="42"/>
      <c r="CH104" s="42"/>
      <c r="CI104" s="42"/>
      <c r="CJ104" s="42"/>
      <c r="CK104" s="42"/>
      <c r="CL104" s="42"/>
      <c r="CM104" s="42"/>
      <c r="CN104" s="42"/>
      <c r="CO104" s="42"/>
      <c r="CP104" s="42"/>
      <c r="CQ104" s="42"/>
      <c r="CR104" s="42"/>
      <c r="CS104" s="42"/>
      <c r="CT104" s="42"/>
      <c r="CU104" s="42"/>
      <c r="CV104" s="42"/>
      <c r="CW104" s="42"/>
      <c r="CX104" s="42"/>
      <c r="CY104" s="42"/>
      <c r="CZ104" s="42"/>
      <c r="DA104" s="42"/>
      <c r="DB104" s="42"/>
      <c r="DC104" s="42"/>
      <c r="DD104" s="42"/>
      <c r="DE104" s="42"/>
      <c r="DF104" s="42"/>
      <c r="DG104" s="42"/>
      <c r="DH104" s="42"/>
      <c r="DI104" s="42"/>
      <c r="DJ104" s="42"/>
      <c r="DK104" s="42"/>
      <c r="DL104" s="42"/>
      <c r="DM104" s="42"/>
      <c r="DN104" s="42"/>
      <c r="DO104" s="42"/>
      <c r="DP104" s="42"/>
      <c r="DQ104" s="42"/>
      <c r="DR104" s="42"/>
      <c r="DS104" s="42"/>
      <c r="DT104" s="42"/>
      <c r="DU104" s="42"/>
      <c r="DV104" s="42"/>
      <c r="DW104" s="42"/>
      <c r="DX104" s="42"/>
      <c r="DY104" s="42"/>
      <c r="DZ104" s="42"/>
      <c r="EA104" s="42"/>
      <c r="EB104" s="42"/>
      <c r="EC104" s="42"/>
      <c r="ED104" s="42"/>
      <c r="EE104" s="42"/>
      <c r="EF104" s="42"/>
      <c r="EG104" s="42"/>
      <c r="EH104" s="42"/>
      <c r="EI104" s="42"/>
      <c r="EJ104" s="42"/>
      <c r="EK104" s="42"/>
      <c r="EL104" s="42"/>
      <c r="EM104" s="42"/>
      <c r="EN104" s="42"/>
      <c r="EO104" s="42"/>
      <c r="EP104" s="42"/>
      <c r="EQ104" s="42"/>
      <c r="ER104" s="42"/>
      <c r="ES104" s="42"/>
      <c r="ET104" s="42"/>
      <c r="EU104" s="42"/>
      <c r="EV104" s="42"/>
      <c r="EW104" s="42"/>
      <c r="EX104" s="42"/>
      <c r="EY104" s="42"/>
      <c r="EZ104" s="42"/>
      <c r="FA104" s="42"/>
      <c r="FB104" s="42"/>
      <c r="FC104" s="42"/>
      <c r="FD104" s="42"/>
      <c r="FE104" s="42"/>
      <c r="FF104" s="42"/>
      <c r="FG104" s="42"/>
      <c r="FH104" s="42"/>
      <c r="FI104" s="42"/>
      <c r="FJ104" s="42"/>
      <c r="FK104" s="42"/>
      <c r="FL104" s="42"/>
      <c r="FM104" s="42"/>
      <c r="FN104" s="42"/>
      <c r="FO104" s="42"/>
      <c r="FP104" s="42"/>
      <c r="FQ104" s="42"/>
      <c r="FR104" s="42"/>
      <c r="FS104" s="42"/>
      <c r="FT104" s="42"/>
      <c r="FU104" s="42"/>
      <c r="FV104" s="42"/>
      <c r="FW104" s="42"/>
      <c r="FX104" s="42"/>
      <c r="FY104" s="42"/>
      <c r="FZ104" s="42"/>
      <c r="GA104" s="42"/>
      <c r="GB104" s="42"/>
      <c r="GC104" s="42"/>
      <c r="GD104" s="42"/>
      <c r="GE104" s="42"/>
      <c r="GF104" s="42"/>
      <c r="GG104" s="42"/>
      <c r="GH104" s="42"/>
      <c r="GI104" s="42"/>
      <c r="GJ104" s="42"/>
      <c r="GK104" s="42"/>
      <c r="GL104" s="42"/>
      <c r="GM104" s="42"/>
      <c r="GN104" s="42"/>
      <c r="GO104" s="42"/>
      <c r="GP104" s="42"/>
      <c r="GQ104" s="42"/>
      <c r="GR104" s="42"/>
      <c r="GS104" s="42"/>
      <c r="GT104" s="42"/>
      <c r="GU104" s="42"/>
      <c r="GV104" s="42"/>
      <c r="GW104" s="42"/>
      <c r="GX104" s="42"/>
      <c r="GY104" s="42"/>
      <c r="GZ104" s="42"/>
      <c r="HA104" s="42"/>
      <c r="HB104" s="42"/>
      <c r="HC104" s="42"/>
      <c r="HD104" s="42"/>
      <c r="HE104" s="42"/>
      <c r="HF104" s="42"/>
      <c r="HG104" s="42"/>
      <c r="HH104" s="42"/>
      <c r="HI104" s="42"/>
      <c r="HJ104" s="42"/>
      <c r="HK104" s="42"/>
      <c r="HL104" s="42"/>
      <c r="HM104" s="42"/>
      <c r="HN104" s="42"/>
      <c r="HO104" s="42"/>
      <c r="HP104" s="42"/>
      <c r="HQ104" s="42"/>
      <c r="HR104" s="42"/>
      <c r="HS104" s="42"/>
      <c r="HT104" s="42"/>
      <c r="HU104" s="42"/>
      <c r="HV104" s="42"/>
      <c r="HW104" s="42"/>
      <c r="HX104" s="42"/>
      <c r="HY104" s="42"/>
      <c r="HZ104" s="42"/>
      <c r="IA104" s="42"/>
      <c r="IB104" s="42"/>
      <c r="IC104" s="42"/>
      <c r="ID104" s="42"/>
      <c r="IE104" s="42"/>
      <c r="IF104" s="42"/>
      <c r="IG104" s="42"/>
      <c r="IH104" s="42"/>
      <c r="II104" s="42"/>
      <c r="IJ104" s="42"/>
      <c r="IK104" s="42"/>
      <c r="IL104" s="42"/>
      <c r="IM104" s="42"/>
      <c r="IN104" s="42"/>
      <c r="IO104" s="42"/>
      <c r="IP104" s="42"/>
      <c r="IQ104" s="42"/>
      <c r="IR104" s="42"/>
      <c r="IS104" s="42"/>
      <c r="IT104" s="42"/>
      <c r="IU104" s="42"/>
      <c r="IV104" s="42"/>
      <c r="IW104" s="42"/>
      <c r="IX104" s="42"/>
      <c r="IY104" s="42"/>
      <c r="IZ104" s="42"/>
      <c r="JA104" s="42"/>
      <c r="JB104" s="42"/>
      <c r="JC104" s="42"/>
      <c r="JD104" s="42"/>
      <c r="JE104" s="42"/>
      <c r="JF104" s="42"/>
      <c r="JG104" s="42"/>
      <c r="JH104" s="42"/>
      <c r="JI104" s="42"/>
      <c r="JJ104" s="42"/>
      <c r="JK104" s="42"/>
      <c r="JL104" s="42"/>
      <c r="JM104" s="42"/>
      <c r="JN104" s="42"/>
      <c r="JO104" s="42"/>
      <c r="JP104" s="42"/>
      <c r="JQ104" s="42"/>
      <c r="JR104" s="42"/>
      <c r="JS104" s="42"/>
      <c r="JT104" s="42"/>
      <c r="JU104" s="42"/>
      <c r="JV104" s="42"/>
      <c r="JW104" s="42"/>
      <c r="JX104" s="42"/>
      <c r="JY104" s="42"/>
      <c r="JZ104" s="42"/>
      <c r="KA104" s="42"/>
      <c r="KB104" s="42"/>
      <c r="KC104" s="42"/>
      <c r="KD104" s="42"/>
      <c r="KE104" s="42"/>
      <c r="KF104" s="42"/>
      <c r="KG104" s="42"/>
      <c r="KH104" s="42"/>
      <c r="KI104" s="42"/>
      <c r="KJ104" s="42"/>
      <c r="KK104" s="42"/>
      <c r="KL104" s="42"/>
      <c r="KM104" s="42"/>
      <c r="KN104" s="42"/>
      <c r="KO104" s="42"/>
      <c r="KP104" s="42"/>
      <c r="KQ104" s="42"/>
      <c r="KR104" s="42"/>
      <c r="KS104" s="42"/>
      <c r="KT104" s="42"/>
      <c r="KU104" s="42"/>
      <c r="KV104" s="42"/>
      <c r="KW104" s="42"/>
      <c r="KX104" s="42"/>
      <c r="KY104" s="42"/>
      <c r="KZ104" s="42"/>
      <c r="LA104" s="42"/>
      <c r="LB104" s="42"/>
      <c r="LC104" s="42"/>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42"/>
      <c r="BO105" s="42"/>
      <c r="BP105" s="42"/>
      <c r="BQ105" s="42"/>
      <c r="BR105" s="42"/>
      <c r="BS105" s="42"/>
      <c r="BT105" s="42"/>
      <c r="BU105" s="42"/>
      <c r="BV105" s="42"/>
      <c r="BW105" s="42"/>
      <c r="BX105" s="42"/>
      <c r="BY105" s="42"/>
      <c r="BZ105" s="42"/>
      <c r="CA105" s="42"/>
      <c r="CB105" s="42"/>
      <c r="CC105" s="42"/>
      <c r="CD105" s="42"/>
      <c r="CE105" s="42"/>
      <c r="CF105" s="42"/>
      <c r="CG105" s="42"/>
      <c r="CH105" s="42"/>
      <c r="CI105" s="42"/>
      <c r="CJ105" s="42"/>
      <c r="CK105" s="42"/>
      <c r="CL105" s="42"/>
      <c r="CM105" s="42"/>
      <c r="CN105" s="42"/>
      <c r="CO105" s="42"/>
      <c r="CP105" s="42"/>
      <c r="CQ105" s="42"/>
      <c r="CR105" s="42"/>
      <c r="CS105" s="42"/>
      <c r="CT105" s="42"/>
      <c r="CU105" s="42"/>
      <c r="CV105" s="42"/>
      <c r="CW105" s="42"/>
      <c r="CX105" s="42"/>
      <c r="CY105" s="42"/>
      <c r="CZ105" s="42"/>
      <c r="DA105" s="42"/>
      <c r="DB105" s="42"/>
      <c r="DC105" s="42"/>
      <c r="DD105" s="42"/>
      <c r="DE105" s="42"/>
      <c r="DF105" s="42"/>
      <c r="DG105" s="42"/>
      <c r="DH105" s="42"/>
      <c r="DI105" s="42"/>
      <c r="DJ105" s="42"/>
      <c r="DK105" s="42"/>
      <c r="DL105" s="42"/>
      <c r="DM105" s="42"/>
      <c r="DN105" s="42"/>
      <c r="DO105" s="42"/>
      <c r="DP105" s="42"/>
      <c r="DQ105" s="42"/>
      <c r="DR105" s="42"/>
      <c r="DS105" s="42"/>
      <c r="DT105" s="42"/>
      <c r="DU105" s="42"/>
      <c r="DV105" s="42"/>
      <c r="DW105" s="42"/>
      <c r="DX105" s="42"/>
      <c r="DY105" s="42"/>
      <c r="DZ105" s="42"/>
      <c r="EA105" s="42"/>
      <c r="EB105" s="42"/>
      <c r="EC105" s="42"/>
      <c r="ED105" s="42"/>
      <c r="EE105" s="42"/>
      <c r="EF105" s="42"/>
      <c r="EG105" s="42"/>
      <c r="EH105" s="42"/>
      <c r="EI105" s="42"/>
      <c r="EJ105" s="42"/>
      <c r="EK105" s="42"/>
      <c r="EL105" s="42"/>
      <c r="EM105" s="42"/>
      <c r="EN105" s="42"/>
      <c r="EO105" s="42"/>
      <c r="EP105" s="42"/>
      <c r="EQ105" s="42"/>
      <c r="ER105" s="42"/>
      <c r="ES105" s="42"/>
      <c r="ET105" s="42"/>
      <c r="EU105" s="42"/>
      <c r="EV105" s="42"/>
      <c r="EW105" s="42"/>
      <c r="EX105" s="42"/>
      <c r="EY105" s="42"/>
      <c r="EZ105" s="42"/>
      <c r="FA105" s="42"/>
      <c r="FB105" s="42"/>
      <c r="FC105" s="42"/>
      <c r="FD105" s="42"/>
      <c r="FE105" s="42"/>
      <c r="FF105" s="42"/>
      <c r="FG105" s="42"/>
      <c r="FH105" s="42"/>
      <c r="FI105" s="42"/>
      <c r="FJ105" s="42"/>
      <c r="FK105" s="42"/>
      <c r="FL105" s="42"/>
      <c r="FM105" s="42"/>
      <c r="FN105" s="42"/>
      <c r="FO105" s="42"/>
      <c r="FP105" s="42"/>
      <c r="FQ105" s="42"/>
      <c r="FR105" s="42"/>
      <c r="FS105" s="42"/>
      <c r="FT105" s="42"/>
      <c r="FU105" s="42"/>
      <c r="FV105" s="42"/>
      <c r="FW105" s="42"/>
      <c r="FX105" s="42"/>
      <c r="FY105" s="42"/>
      <c r="FZ105" s="42"/>
      <c r="GA105" s="42"/>
      <c r="GB105" s="42"/>
      <c r="GC105" s="42"/>
      <c r="GD105" s="42"/>
      <c r="GE105" s="42"/>
      <c r="GF105" s="42"/>
      <c r="GG105" s="42"/>
      <c r="GH105" s="42"/>
      <c r="GI105" s="42"/>
      <c r="GJ105" s="42"/>
      <c r="GK105" s="42"/>
      <c r="GL105" s="42"/>
      <c r="GM105" s="42"/>
      <c r="GN105" s="42"/>
      <c r="GO105" s="42"/>
      <c r="GP105" s="42"/>
      <c r="GQ105" s="42"/>
      <c r="GR105" s="42"/>
      <c r="GS105" s="42"/>
      <c r="GT105" s="42"/>
      <c r="GU105" s="42"/>
      <c r="GV105" s="42"/>
      <c r="GW105" s="42"/>
      <c r="GX105" s="42"/>
      <c r="GY105" s="42"/>
      <c r="GZ105" s="42"/>
      <c r="HA105" s="42"/>
      <c r="HB105" s="42"/>
      <c r="HC105" s="42"/>
      <c r="HD105" s="42"/>
      <c r="HE105" s="42"/>
      <c r="HF105" s="42"/>
      <c r="HG105" s="42"/>
      <c r="HH105" s="42"/>
      <c r="HI105" s="42"/>
      <c r="HJ105" s="42"/>
      <c r="HK105" s="42"/>
      <c r="HL105" s="42"/>
      <c r="HM105" s="42"/>
      <c r="HN105" s="42"/>
      <c r="HO105" s="42"/>
      <c r="HP105" s="42"/>
      <c r="HQ105" s="42"/>
      <c r="HR105" s="42"/>
      <c r="HS105" s="42"/>
      <c r="HT105" s="42"/>
      <c r="HU105" s="42"/>
      <c r="HV105" s="42"/>
      <c r="HW105" s="42"/>
      <c r="HX105" s="42"/>
      <c r="HY105" s="42"/>
      <c r="HZ105" s="42"/>
      <c r="IA105" s="42"/>
      <c r="IB105" s="42"/>
      <c r="IC105" s="42"/>
      <c r="ID105" s="42"/>
      <c r="IE105" s="42"/>
      <c r="IF105" s="42"/>
      <c r="IG105" s="42"/>
      <c r="IH105" s="42"/>
      <c r="II105" s="42"/>
      <c r="IJ105" s="42"/>
      <c r="IK105" s="42"/>
      <c r="IL105" s="42"/>
      <c r="IM105" s="42"/>
      <c r="IN105" s="42"/>
      <c r="IO105" s="42"/>
      <c r="IP105" s="42"/>
      <c r="IQ105" s="42"/>
      <c r="IR105" s="42"/>
      <c r="IS105" s="42"/>
      <c r="IT105" s="42"/>
      <c r="IU105" s="42"/>
      <c r="IV105" s="42"/>
      <c r="IW105" s="42"/>
      <c r="IX105" s="42"/>
      <c r="IY105" s="42"/>
      <c r="IZ105" s="42"/>
      <c r="JA105" s="42"/>
      <c r="JB105" s="42"/>
      <c r="JC105" s="42"/>
      <c r="JD105" s="42"/>
      <c r="JE105" s="42"/>
      <c r="JF105" s="42"/>
      <c r="JG105" s="42"/>
      <c r="JH105" s="42"/>
      <c r="JI105" s="42"/>
      <c r="JJ105" s="42"/>
      <c r="JK105" s="42"/>
      <c r="JL105" s="42"/>
      <c r="JM105" s="42"/>
      <c r="JN105" s="42"/>
      <c r="JO105" s="42"/>
      <c r="JP105" s="42"/>
      <c r="JQ105" s="42"/>
      <c r="JR105" s="42"/>
      <c r="JS105" s="42"/>
      <c r="JT105" s="42"/>
      <c r="JU105" s="42"/>
      <c r="JV105" s="42"/>
      <c r="JW105" s="42"/>
      <c r="JX105" s="42"/>
      <c r="JY105" s="42"/>
      <c r="JZ105" s="42"/>
      <c r="KA105" s="42"/>
      <c r="KB105" s="42"/>
      <c r="KC105" s="42"/>
      <c r="KD105" s="42"/>
      <c r="KE105" s="42"/>
      <c r="KF105" s="42"/>
      <c r="KG105" s="42"/>
      <c r="KH105" s="42"/>
      <c r="KI105" s="42"/>
      <c r="KJ105" s="42"/>
      <c r="KK105" s="42"/>
      <c r="KL105" s="42"/>
      <c r="KM105" s="42"/>
      <c r="KN105" s="42"/>
      <c r="KO105" s="42"/>
      <c r="KP105" s="42"/>
      <c r="KQ105" s="42"/>
      <c r="KR105" s="42"/>
      <c r="KS105" s="42"/>
      <c r="KT105" s="42"/>
      <c r="KU105" s="42"/>
      <c r="KV105" s="42"/>
      <c r="KW105" s="42"/>
      <c r="KX105" s="42"/>
      <c r="KY105" s="42"/>
      <c r="KZ105" s="42"/>
      <c r="LA105" s="42"/>
      <c r="LB105" s="42"/>
      <c r="LC105" s="42"/>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c r="CV106" s="42"/>
      <c r="CW106" s="42"/>
      <c r="CX106" s="42"/>
      <c r="CY106" s="42"/>
      <c r="CZ106" s="42"/>
      <c r="DA106" s="42"/>
      <c r="DB106" s="42"/>
      <c r="DC106" s="42"/>
      <c r="DD106" s="42"/>
      <c r="DE106" s="42"/>
      <c r="DF106" s="42"/>
      <c r="DG106" s="42"/>
      <c r="DH106" s="42"/>
      <c r="DI106" s="42"/>
      <c r="DJ106" s="42"/>
      <c r="DK106" s="42"/>
      <c r="DL106" s="42"/>
      <c r="DM106" s="42"/>
      <c r="DN106" s="42"/>
      <c r="DO106" s="42"/>
      <c r="DP106" s="42"/>
      <c r="DQ106" s="42"/>
      <c r="DR106" s="42"/>
      <c r="DS106" s="42"/>
      <c r="DT106" s="42"/>
      <c r="DU106" s="42"/>
      <c r="DV106" s="42"/>
      <c r="DW106" s="42"/>
      <c r="DX106" s="42"/>
      <c r="DY106" s="42"/>
      <c r="DZ106" s="42"/>
      <c r="EA106" s="42"/>
      <c r="EB106" s="42"/>
      <c r="EC106" s="42"/>
      <c r="ED106" s="42"/>
      <c r="EE106" s="42"/>
      <c r="EF106" s="42"/>
      <c r="EG106" s="42"/>
      <c r="EH106" s="42"/>
      <c r="EI106" s="42"/>
      <c r="EJ106" s="42"/>
      <c r="EK106" s="42"/>
      <c r="EL106" s="42"/>
      <c r="EM106" s="42"/>
      <c r="EN106" s="42"/>
      <c r="EO106" s="42"/>
      <c r="EP106" s="42"/>
      <c r="EQ106" s="42"/>
      <c r="ER106" s="42"/>
      <c r="ES106" s="42"/>
      <c r="ET106" s="42"/>
      <c r="EU106" s="42"/>
      <c r="EV106" s="42"/>
      <c r="EW106" s="42"/>
      <c r="EX106" s="42"/>
      <c r="EY106" s="42"/>
      <c r="EZ106" s="42"/>
      <c r="FA106" s="42"/>
      <c r="FB106" s="42"/>
      <c r="FC106" s="42"/>
      <c r="FD106" s="42"/>
      <c r="FE106" s="42"/>
      <c r="FF106" s="42"/>
      <c r="FG106" s="42"/>
      <c r="FH106" s="42"/>
      <c r="FI106" s="42"/>
      <c r="FJ106" s="42"/>
      <c r="FK106" s="42"/>
      <c r="FL106" s="42"/>
      <c r="FM106" s="42"/>
      <c r="FN106" s="42"/>
      <c r="FO106" s="42"/>
      <c r="FP106" s="42"/>
      <c r="FQ106" s="42"/>
      <c r="FR106" s="42"/>
      <c r="FS106" s="42"/>
      <c r="FT106" s="42"/>
      <c r="FU106" s="42"/>
      <c r="FV106" s="42"/>
      <c r="FW106" s="42"/>
      <c r="FX106" s="42"/>
      <c r="FY106" s="42"/>
      <c r="FZ106" s="42"/>
      <c r="GA106" s="42"/>
      <c r="GB106" s="42"/>
      <c r="GC106" s="42"/>
      <c r="GD106" s="42"/>
      <c r="GE106" s="42"/>
      <c r="GF106" s="42"/>
      <c r="GG106" s="42"/>
      <c r="GH106" s="42"/>
      <c r="GI106" s="42"/>
      <c r="GJ106" s="42"/>
      <c r="GK106" s="42"/>
      <c r="GL106" s="42"/>
      <c r="GM106" s="42"/>
      <c r="GN106" s="42"/>
      <c r="GO106" s="42"/>
      <c r="GP106" s="42"/>
      <c r="GQ106" s="42"/>
      <c r="GR106" s="42"/>
      <c r="GS106" s="42"/>
      <c r="GT106" s="42"/>
      <c r="GU106" s="42"/>
      <c r="GV106" s="42"/>
      <c r="GW106" s="42"/>
      <c r="GX106" s="42"/>
      <c r="GY106" s="42"/>
      <c r="GZ106" s="42"/>
      <c r="HA106" s="42"/>
      <c r="HB106" s="42"/>
      <c r="HC106" s="42"/>
      <c r="HD106" s="42"/>
      <c r="HE106" s="42"/>
      <c r="HF106" s="42"/>
      <c r="HG106" s="42"/>
      <c r="HH106" s="42"/>
      <c r="HI106" s="42"/>
      <c r="HJ106" s="42"/>
      <c r="HK106" s="42"/>
      <c r="HL106" s="42"/>
      <c r="HM106" s="42"/>
      <c r="HN106" s="42"/>
      <c r="HO106" s="42"/>
      <c r="HP106" s="42"/>
      <c r="HQ106" s="42"/>
      <c r="HR106" s="42"/>
      <c r="HS106" s="42"/>
      <c r="HT106" s="42"/>
      <c r="HU106" s="42"/>
      <c r="HV106" s="42"/>
      <c r="HW106" s="42"/>
      <c r="HX106" s="42"/>
      <c r="HY106" s="42"/>
      <c r="HZ106" s="42"/>
      <c r="IA106" s="42"/>
      <c r="IB106" s="42"/>
      <c r="IC106" s="42"/>
      <c r="ID106" s="42"/>
      <c r="IE106" s="42"/>
      <c r="IF106" s="42"/>
      <c r="IG106" s="42"/>
      <c r="IH106" s="42"/>
      <c r="II106" s="42"/>
      <c r="IJ106" s="42"/>
      <c r="IK106" s="42"/>
      <c r="IL106" s="42"/>
      <c r="IM106" s="42"/>
      <c r="IN106" s="42"/>
      <c r="IO106" s="42"/>
      <c r="IP106" s="42"/>
      <c r="IQ106" s="42"/>
      <c r="IR106" s="42"/>
      <c r="IS106" s="42"/>
      <c r="IT106" s="42"/>
      <c r="IU106" s="42"/>
      <c r="IV106" s="42"/>
      <c r="IW106" s="42"/>
      <c r="IX106" s="42"/>
      <c r="IY106" s="42"/>
      <c r="IZ106" s="42"/>
      <c r="JA106" s="42"/>
      <c r="JB106" s="42"/>
      <c r="JC106" s="42"/>
      <c r="JD106" s="42"/>
      <c r="JE106" s="42"/>
      <c r="JF106" s="42"/>
      <c r="JG106" s="42"/>
      <c r="JH106" s="42"/>
      <c r="JI106" s="42"/>
      <c r="JJ106" s="42"/>
      <c r="JK106" s="42"/>
      <c r="JL106" s="42"/>
      <c r="JM106" s="42"/>
      <c r="JN106" s="42"/>
      <c r="JO106" s="42"/>
      <c r="JP106" s="42"/>
      <c r="JQ106" s="42"/>
      <c r="JR106" s="42"/>
      <c r="JS106" s="42"/>
      <c r="JT106" s="42"/>
      <c r="JU106" s="42"/>
      <c r="JV106" s="42"/>
      <c r="JW106" s="42"/>
      <c r="JX106" s="42"/>
      <c r="JY106" s="42"/>
      <c r="JZ106" s="42"/>
      <c r="KA106" s="42"/>
      <c r="KB106" s="42"/>
      <c r="KC106" s="42"/>
      <c r="KD106" s="42"/>
      <c r="KE106" s="42"/>
      <c r="KF106" s="42"/>
      <c r="KG106" s="42"/>
      <c r="KH106" s="42"/>
      <c r="KI106" s="42"/>
      <c r="KJ106" s="42"/>
      <c r="KK106" s="42"/>
      <c r="KL106" s="42"/>
      <c r="KM106" s="42"/>
      <c r="KN106" s="42"/>
      <c r="KO106" s="42"/>
      <c r="KP106" s="42"/>
      <c r="KQ106" s="42"/>
      <c r="KR106" s="42"/>
      <c r="KS106" s="42"/>
      <c r="KT106" s="42"/>
      <c r="KU106" s="42"/>
      <c r="KV106" s="42"/>
      <c r="KW106" s="42"/>
      <c r="KX106" s="42"/>
      <c r="KY106" s="42"/>
      <c r="KZ106" s="42"/>
      <c r="LA106" s="42"/>
      <c r="LB106" s="42"/>
      <c r="LC106" s="42"/>
    </row>
    <row r="107" ht="15.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c r="BD107" s="42"/>
      <c r="BE107" s="42"/>
      <c r="BF107" s="42"/>
      <c r="BG107" s="42"/>
      <c r="BH107" s="42"/>
      <c r="BI107" s="42"/>
      <c r="BJ107" s="42"/>
      <c r="BK107" s="42"/>
      <c r="BL107" s="42"/>
      <c r="BM107" s="42"/>
      <c r="BN107" s="42"/>
      <c r="BO107" s="42"/>
      <c r="BP107" s="42"/>
      <c r="BQ107" s="42"/>
      <c r="BR107" s="42"/>
      <c r="BS107" s="42"/>
      <c r="BT107" s="42"/>
      <c r="BU107" s="42"/>
      <c r="BV107" s="42"/>
      <c r="BW107" s="42"/>
      <c r="BX107" s="42"/>
      <c r="BY107" s="42"/>
      <c r="BZ107" s="42"/>
      <c r="CA107" s="42"/>
      <c r="CB107" s="42"/>
      <c r="CC107" s="42"/>
      <c r="CD107" s="42"/>
      <c r="CE107" s="42"/>
      <c r="CF107" s="42"/>
      <c r="CG107" s="42"/>
      <c r="CH107" s="42"/>
      <c r="CI107" s="42"/>
      <c r="CJ107" s="42"/>
      <c r="CK107" s="42"/>
      <c r="CL107" s="42"/>
      <c r="CM107" s="42"/>
      <c r="CN107" s="42"/>
      <c r="CO107" s="42"/>
      <c r="CP107" s="42"/>
      <c r="CQ107" s="42"/>
      <c r="CR107" s="42"/>
      <c r="CS107" s="42"/>
      <c r="CT107" s="42"/>
      <c r="CU107" s="42"/>
      <c r="CV107" s="42"/>
      <c r="CW107" s="42"/>
      <c r="CX107" s="42"/>
      <c r="CY107" s="42"/>
      <c r="CZ107" s="42"/>
      <c r="DA107" s="42"/>
      <c r="DB107" s="42"/>
      <c r="DC107" s="42"/>
      <c r="DD107" s="42"/>
      <c r="DE107" s="42"/>
      <c r="DF107" s="42"/>
      <c r="DG107" s="42"/>
      <c r="DH107" s="42"/>
      <c r="DI107" s="42"/>
      <c r="DJ107" s="42"/>
      <c r="DK107" s="42"/>
      <c r="DL107" s="42"/>
      <c r="DM107" s="42"/>
      <c r="DN107" s="42"/>
      <c r="DO107" s="42"/>
      <c r="DP107" s="42"/>
      <c r="DQ107" s="42"/>
      <c r="DR107" s="42"/>
      <c r="DS107" s="42"/>
      <c r="DT107" s="42"/>
      <c r="DU107" s="42"/>
      <c r="DV107" s="42"/>
      <c r="DW107" s="42"/>
      <c r="DX107" s="42"/>
      <c r="DY107" s="42"/>
      <c r="DZ107" s="42"/>
      <c r="EA107" s="42"/>
      <c r="EB107" s="42"/>
      <c r="EC107" s="42"/>
      <c r="ED107" s="42"/>
      <c r="EE107" s="42"/>
      <c r="EF107" s="42"/>
      <c r="EG107" s="42"/>
      <c r="EH107" s="42"/>
      <c r="EI107" s="42"/>
      <c r="EJ107" s="42"/>
      <c r="EK107" s="42"/>
      <c r="EL107" s="42"/>
      <c r="EM107" s="42"/>
      <c r="EN107" s="42"/>
      <c r="EO107" s="42"/>
      <c r="EP107" s="42"/>
      <c r="EQ107" s="42"/>
      <c r="ER107" s="42"/>
      <c r="ES107" s="42"/>
      <c r="ET107" s="42"/>
      <c r="EU107" s="42"/>
      <c r="EV107" s="42"/>
      <c r="EW107" s="42"/>
      <c r="EX107" s="42"/>
      <c r="EY107" s="42"/>
      <c r="EZ107" s="42"/>
      <c r="FA107" s="42"/>
      <c r="FB107" s="42"/>
      <c r="FC107" s="42"/>
      <c r="FD107" s="42"/>
      <c r="FE107" s="42"/>
      <c r="FF107" s="42"/>
      <c r="FG107" s="42"/>
      <c r="FH107" s="42"/>
      <c r="FI107" s="42"/>
      <c r="FJ107" s="42"/>
      <c r="FK107" s="42"/>
      <c r="FL107" s="42"/>
      <c r="FM107" s="42"/>
      <c r="FN107" s="42"/>
      <c r="FO107" s="42"/>
      <c r="FP107" s="42"/>
      <c r="FQ107" s="42"/>
      <c r="FR107" s="42"/>
      <c r="FS107" s="42"/>
      <c r="FT107" s="42"/>
      <c r="FU107" s="42"/>
      <c r="FV107" s="42"/>
      <c r="FW107" s="42"/>
      <c r="FX107" s="42"/>
      <c r="FY107" s="42"/>
      <c r="FZ107" s="42"/>
      <c r="GA107" s="42"/>
      <c r="GB107" s="42"/>
      <c r="GC107" s="42"/>
      <c r="GD107" s="42"/>
      <c r="GE107" s="42"/>
      <c r="GF107" s="42"/>
      <c r="GG107" s="42"/>
      <c r="GH107" s="42"/>
      <c r="GI107" s="42"/>
      <c r="GJ107" s="42"/>
      <c r="GK107" s="42"/>
      <c r="GL107" s="42"/>
      <c r="GM107" s="42"/>
      <c r="GN107" s="42"/>
      <c r="GO107" s="42"/>
      <c r="GP107" s="42"/>
      <c r="GQ107" s="42"/>
      <c r="GR107" s="42"/>
      <c r="GS107" s="42"/>
      <c r="GT107" s="42"/>
      <c r="GU107" s="42"/>
      <c r="GV107" s="42"/>
      <c r="GW107" s="42"/>
      <c r="GX107" s="42"/>
      <c r="GY107" s="42"/>
      <c r="GZ107" s="42"/>
      <c r="HA107" s="42"/>
      <c r="HB107" s="42"/>
      <c r="HC107" s="42"/>
      <c r="HD107" s="42"/>
      <c r="HE107" s="42"/>
      <c r="HF107" s="42"/>
      <c r="HG107" s="42"/>
      <c r="HH107" s="42"/>
      <c r="HI107" s="42"/>
      <c r="HJ107" s="42"/>
      <c r="HK107" s="42"/>
      <c r="HL107" s="42"/>
      <c r="HM107" s="42"/>
      <c r="HN107" s="42"/>
      <c r="HO107" s="42"/>
      <c r="HP107" s="42"/>
      <c r="HQ107" s="42"/>
      <c r="HR107" s="42"/>
      <c r="HS107" s="42"/>
      <c r="HT107" s="42"/>
      <c r="HU107" s="42"/>
      <c r="HV107" s="42"/>
      <c r="HW107" s="42"/>
      <c r="HX107" s="42"/>
      <c r="HY107" s="42"/>
      <c r="HZ107" s="42"/>
      <c r="IA107" s="42"/>
      <c r="IB107" s="42"/>
      <c r="IC107" s="42"/>
      <c r="ID107" s="42"/>
      <c r="IE107" s="42"/>
      <c r="IF107" s="42"/>
      <c r="IG107" s="42"/>
      <c r="IH107" s="42"/>
      <c r="II107" s="42"/>
      <c r="IJ107" s="42"/>
      <c r="IK107" s="42"/>
      <c r="IL107" s="42"/>
      <c r="IM107" s="42"/>
      <c r="IN107" s="42"/>
      <c r="IO107" s="42"/>
      <c r="IP107" s="42"/>
      <c r="IQ107" s="42"/>
      <c r="IR107" s="42"/>
      <c r="IS107" s="42"/>
      <c r="IT107" s="42"/>
      <c r="IU107" s="42"/>
      <c r="IV107" s="42"/>
      <c r="IW107" s="42"/>
      <c r="IX107" s="42"/>
      <c r="IY107" s="42"/>
      <c r="IZ107" s="42"/>
      <c r="JA107" s="42"/>
      <c r="JB107" s="42"/>
      <c r="JC107" s="42"/>
      <c r="JD107" s="42"/>
      <c r="JE107" s="42"/>
      <c r="JF107" s="42"/>
      <c r="JG107" s="42"/>
      <c r="JH107" s="42"/>
      <c r="JI107" s="42"/>
      <c r="JJ107" s="42"/>
      <c r="JK107" s="42"/>
      <c r="JL107" s="42"/>
      <c r="JM107" s="42"/>
      <c r="JN107" s="42"/>
      <c r="JO107" s="42"/>
      <c r="JP107" s="42"/>
      <c r="JQ107" s="42"/>
      <c r="JR107" s="42"/>
      <c r="JS107" s="42"/>
      <c r="JT107" s="42"/>
      <c r="JU107" s="42"/>
      <c r="JV107" s="42"/>
      <c r="JW107" s="42"/>
      <c r="JX107" s="42"/>
      <c r="JY107" s="42"/>
      <c r="JZ107" s="42"/>
      <c r="KA107" s="42"/>
      <c r="KB107" s="42"/>
      <c r="KC107" s="42"/>
      <c r="KD107" s="42"/>
      <c r="KE107" s="42"/>
      <c r="KF107" s="42"/>
      <c r="KG107" s="42"/>
      <c r="KH107" s="42"/>
      <c r="KI107" s="42"/>
      <c r="KJ107" s="42"/>
      <c r="KK107" s="42"/>
      <c r="KL107" s="42"/>
      <c r="KM107" s="42"/>
      <c r="KN107" s="42"/>
      <c r="KO107" s="42"/>
      <c r="KP107" s="42"/>
      <c r="KQ107" s="42"/>
      <c r="KR107" s="42"/>
      <c r="KS107" s="42"/>
      <c r="KT107" s="42"/>
      <c r="KU107" s="42"/>
      <c r="KV107" s="42"/>
      <c r="KW107" s="42"/>
      <c r="KX107" s="42"/>
      <c r="KY107" s="42"/>
      <c r="KZ107" s="42"/>
      <c r="LA107" s="42"/>
      <c r="LB107" s="42"/>
      <c r="LC107" s="42"/>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c r="BD108" s="42"/>
      <c r="BE108" s="42"/>
      <c r="BF108" s="42"/>
      <c r="BG108" s="42"/>
      <c r="BH108" s="42"/>
      <c r="BI108" s="42"/>
      <c r="BJ108" s="42"/>
      <c r="BK108" s="42"/>
      <c r="BL108" s="42"/>
      <c r="BM108" s="42"/>
      <c r="BN108" s="42"/>
      <c r="BO108" s="42"/>
      <c r="BP108" s="42"/>
      <c r="BQ108" s="42"/>
      <c r="BR108" s="42"/>
      <c r="BS108" s="42"/>
      <c r="BT108" s="42"/>
      <c r="BU108" s="42"/>
      <c r="BV108" s="42"/>
      <c r="BW108" s="42"/>
      <c r="BX108" s="42"/>
      <c r="BY108" s="42"/>
      <c r="BZ108" s="42"/>
      <c r="CA108" s="42"/>
      <c r="CB108" s="42"/>
      <c r="CC108" s="42"/>
      <c r="CD108" s="42"/>
      <c r="CE108" s="42"/>
      <c r="CF108" s="42"/>
      <c r="CG108" s="42"/>
      <c r="CH108" s="42"/>
      <c r="CI108" s="42"/>
      <c r="CJ108" s="42"/>
      <c r="CK108" s="42"/>
      <c r="CL108" s="42"/>
      <c r="CM108" s="42"/>
      <c r="CN108" s="42"/>
      <c r="CO108" s="42"/>
      <c r="CP108" s="42"/>
      <c r="CQ108" s="42"/>
      <c r="CR108" s="42"/>
      <c r="CS108" s="42"/>
      <c r="CT108" s="42"/>
      <c r="CU108" s="42"/>
      <c r="CV108" s="42"/>
      <c r="CW108" s="42"/>
      <c r="CX108" s="42"/>
      <c r="CY108" s="42"/>
      <c r="CZ108" s="42"/>
      <c r="DA108" s="42"/>
      <c r="DB108" s="42"/>
      <c r="DC108" s="42"/>
      <c r="DD108" s="42"/>
      <c r="DE108" s="42"/>
      <c r="DF108" s="42"/>
      <c r="DG108" s="42"/>
      <c r="DH108" s="42"/>
      <c r="DI108" s="42"/>
      <c r="DJ108" s="42"/>
      <c r="DK108" s="42"/>
      <c r="DL108" s="42"/>
      <c r="DM108" s="42"/>
      <c r="DN108" s="42"/>
      <c r="DO108" s="42"/>
      <c r="DP108" s="42"/>
      <c r="DQ108" s="42"/>
      <c r="DR108" s="42"/>
      <c r="DS108" s="42"/>
      <c r="DT108" s="42"/>
      <c r="DU108" s="42"/>
      <c r="DV108" s="42"/>
      <c r="DW108" s="42"/>
      <c r="DX108" s="42"/>
      <c r="DY108" s="42"/>
      <c r="DZ108" s="42"/>
      <c r="EA108" s="42"/>
      <c r="EB108" s="42"/>
      <c r="EC108" s="42"/>
      <c r="ED108" s="42"/>
      <c r="EE108" s="42"/>
      <c r="EF108" s="42"/>
      <c r="EG108" s="42"/>
      <c r="EH108" s="42"/>
      <c r="EI108" s="42"/>
      <c r="EJ108" s="42"/>
      <c r="EK108" s="42"/>
      <c r="EL108" s="42"/>
      <c r="EM108" s="42"/>
      <c r="EN108" s="42"/>
      <c r="EO108" s="42"/>
      <c r="EP108" s="42"/>
      <c r="EQ108" s="42"/>
      <c r="ER108" s="42"/>
      <c r="ES108" s="42"/>
      <c r="ET108" s="42"/>
      <c r="EU108" s="42"/>
      <c r="EV108" s="42"/>
      <c r="EW108" s="42"/>
      <c r="EX108" s="42"/>
      <c r="EY108" s="42"/>
      <c r="EZ108" s="42"/>
      <c r="FA108" s="42"/>
      <c r="FB108" s="42"/>
      <c r="FC108" s="42"/>
      <c r="FD108" s="42"/>
      <c r="FE108" s="42"/>
      <c r="FF108" s="42"/>
      <c r="FG108" s="42"/>
      <c r="FH108" s="42"/>
      <c r="FI108" s="42"/>
      <c r="FJ108" s="42"/>
      <c r="FK108" s="42"/>
      <c r="FL108" s="42"/>
      <c r="FM108" s="42"/>
      <c r="FN108" s="42"/>
      <c r="FO108" s="42"/>
      <c r="FP108" s="42"/>
      <c r="FQ108" s="42"/>
      <c r="FR108" s="42"/>
      <c r="FS108" s="42"/>
      <c r="FT108" s="42"/>
      <c r="FU108" s="42"/>
      <c r="FV108" s="42"/>
      <c r="FW108" s="42"/>
      <c r="FX108" s="42"/>
      <c r="FY108" s="42"/>
      <c r="FZ108" s="42"/>
      <c r="GA108" s="42"/>
      <c r="GB108" s="42"/>
      <c r="GC108" s="42"/>
      <c r="GD108" s="42"/>
      <c r="GE108" s="42"/>
      <c r="GF108" s="42"/>
      <c r="GG108" s="42"/>
      <c r="GH108" s="42"/>
      <c r="GI108" s="42"/>
      <c r="GJ108" s="42"/>
      <c r="GK108" s="42"/>
      <c r="GL108" s="42"/>
      <c r="GM108" s="42"/>
      <c r="GN108" s="42"/>
      <c r="GO108" s="42"/>
      <c r="GP108" s="42"/>
      <c r="GQ108" s="42"/>
      <c r="GR108" s="42"/>
      <c r="GS108" s="42"/>
      <c r="GT108" s="42"/>
      <c r="GU108" s="42"/>
      <c r="GV108" s="42"/>
      <c r="GW108" s="42"/>
      <c r="GX108" s="42"/>
      <c r="GY108" s="42"/>
      <c r="GZ108" s="42"/>
      <c r="HA108" s="42"/>
      <c r="HB108" s="42"/>
      <c r="HC108" s="42"/>
      <c r="HD108" s="42"/>
      <c r="HE108" s="42"/>
      <c r="HF108" s="42"/>
      <c r="HG108" s="42"/>
      <c r="HH108" s="42"/>
      <c r="HI108" s="42"/>
      <c r="HJ108" s="42"/>
      <c r="HK108" s="42"/>
      <c r="HL108" s="42"/>
      <c r="HM108" s="42"/>
      <c r="HN108" s="42"/>
      <c r="HO108" s="42"/>
      <c r="HP108" s="42"/>
      <c r="HQ108" s="42"/>
      <c r="HR108" s="42"/>
      <c r="HS108" s="42"/>
      <c r="HT108" s="42"/>
      <c r="HU108" s="42"/>
      <c r="HV108" s="42"/>
      <c r="HW108" s="42"/>
      <c r="HX108" s="42"/>
      <c r="HY108" s="42"/>
      <c r="HZ108" s="42"/>
      <c r="IA108" s="42"/>
      <c r="IB108" s="42"/>
      <c r="IC108" s="42"/>
      <c r="ID108" s="42"/>
      <c r="IE108" s="42"/>
      <c r="IF108" s="42"/>
      <c r="IG108" s="42"/>
      <c r="IH108" s="42"/>
      <c r="II108" s="42"/>
      <c r="IJ108" s="42"/>
      <c r="IK108" s="42"/>
      <c r="IL108" s="42"/>
      <c r="IM108" s="42"/>
      <c r="IN108" s="42"/>
      <c r="IO108" s="42"/>
      <c r="IP108" s="42"/>
      <c r="IQ108" s="42"/>
      <c r="IR108" s="42"/>
      <c r="IS108" s="42"/>
      <c r="IT108" s="42"/>
      <c r="IU108" s="42"/>
      <c r="IV108" s="42"/>
      <c r="IW108" s="42"/>
      <c r="IX108" s="42"/>
      <c r="IY108" s="42"/>
      <c r="IZ108" s="42"/>
      <c r="JA108" s="42"/>
      <c r="JB108" s="42"/>
      <c r="JC108" s="42"/>
      <c r="JD108" s="42"/>
      <c r="JE108" s="42"/>
      <c r="JF108" s="42"/>
      <c r="JG108" s="42"/>
      <c r="JH108" s="42"/>
      <c r="JI108" s="42"/>
      <c r="JJ108" s="42"/>
      <c r="JK108" s="42"/>
      <c r="JL108" s="42"/>
      <c r="JM108" s="42"/>
      <c r="JN108" s="42"/>
      <c r="JO108" s="42"/>
      <c r="JP108" s="42"/>
      <c r="JQ108" s="42"/>
      <c r="JR108" s="42"/>
      <c r="JS108" s="42"/>
      <c r="JT108" s="42"/>
      <c r="JU108" s="42"/>
      <c r="JV108" s="42"/>
      <c r="JW108" s="42"/>
      <c r="JX108" s="42"/>
      <c r="JY108" s="42"/>
      <c r="JZ108" s="42"/>
      <c r="KA108" s="42"/>
      <c r="KB108" s="42"/>
      <c r="KC108" s="42"/>
      <c r="KD108" s="42"/>
      <c r="KE108" s="42"/>
      <c r="KF108" s="42"/>
      <c r="KG108" s="42"/>
      <c r="KH108" s="42"/>
      <c r="KI108" s="42"/>
      <c r="KJ108" s="42"/>
      <c r="KK108" s="42"/>
      <c r="KL108" s="42"/>
      <c r="KM108" s="42"/>
      <c r="KN108" s="42"/>
      <c r="KO108" s="42"/>
      <c r="KP108" s="42"/>
      <c r="KQ108" s="42"/>
      <c r="KR108" s="42"/>
      <c r="KS108" s="42"/>
      <c r="KT108" s="42"/>
      <c r="KU108" s="42"/>
      <c r="KV108" s="42"/>
      <c r="KW108" s="42"/>
      <c r="KX108" s="42"/>
      <c r="KY108" s="42"/>
      <c r="KZ108" s="42"/>
      <c r="LA108" s="42"/>
      <c r="LB108" s="42"/>
      <c r="LC108" s="42"/>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c r="CV109" s="42"/>
      <c r="CW109" s="42"/>
      <c r="CX109" s="42"/>
      <c r="CY109" s="42"/>
      <c r="CZ109" s="42"/>
      <c r="DA109" s="42"/>
      <c r="DB109" s="42"/>
      <c r="DC109" s="42"/>
      <c r="DD109" s="42"/>
      <c r="DE109" s="42"/>
      <c r="DF109" s="42"/>
      <c r="DG109" s="42"/>
      <c r="DH109" s="42"/>
      <c r="DI109" s="42"/>
      <c r="DJ109" s="42"/>
      <c r="DK109" s="42"/>
      <c r="DL109" s="42"/>
      <c r="DM109" s="42"/>
      <c r="DN109" s="42"/>
      <c r="DO109" s="42"/>
      <c r="DP109" s="42"/>
      <c r="DQ109" s="42"/>
      <c r="DR109" s="42"/>
      <c r="DS109" s="42"/>
      <c r="DT109" s="42"/>
      <c r="DU109" s="42"/>
      <c r="DV109" s="42"/>
      <c r="DW109" s="42"/>
      <c r="DX109" s="42"/>
      <c r="DY109" s="42"/>
      <c r="DZ109" s="42"/>
      <c r="EA109" s="42"/>
      <c r="EB109" s="42"/>
      <c r="EC109" s="42"/>
      <c r="ED109" s="42"/>
      <c r="EE109" s="42"/>
      <c r="EF109" s="42"/>
      <c r="EG109" s="42"/>
      <c r="EH109" s="42"/>
      <c r="EI109" s="42"/>
      <c r="EJ109" s="42"/>
      <c r="EK109" s="42"/>
      <c r="EL109" s="42"/>
      <c r="EM109" s="42"/>
      <c r="EN109" s="42"/>
      <c r="EO109" s="42"/>
      <c r="EP109" s="42"/>
      <c r="EQ109" s="42"/>
      <c r="ER109" s="42"/>
      <c r="ES109" s="42"/>
      <c r="ET109" s="42"/>
      <c r="EU109" s="42"/>
      <c r="EV109" s="42"/>
      <c r="EW109" s="42"/>
      <c r="EX109" s="42"/>
      <c r="EY109" s="42"/>
      <c r="EZ109" s="42"/>
      <c r="FA109" s="42"/>
      <c r="FB109" s="42"/>
      <c r="FC109" s="42"/>
      <c r="FD109" s="42"/>
      <c r="FE109" s="42"/>
      <c r="FF109" s="42"/>
      <c r="FG109" s="42"/>
      <c r="FH109" s="42"/>
      <c r="FI109" s="42"/>
      <c r="FJ109" s="42"/>
      <c r="FK109" s="42"/>
      <c r="FL109" s="42"/>
      <c r="FM109" s="42"/>
      <c r="FN109" s="42"/>
      <c r="FO109" s="42"/>
      <c r="FP109" s="42"/>
      <c r="FQ109" s="42"/>
      <c r="FR109" s="42"/>
      <c r="FS109" s="42"/>
      <c r="FT109" s="42"/>
      <c r="FU109" s="42"/>
      <c r="FV109" s="42"/>
      <c r="FW109" s="42"/>
      <c r="FX109" s="42"/>
      <c r="FY109" s="42"/>
      <c r="FZ109" s="42"/>
      <c r="GA109" s="42"/>
      <c r="GB109" s="42"/>
      <c r="GC109" s="42"/>
      <c r="GD109" s="42"/>
      <c r="GE109" s="42"/>
      <c r="GF109" s="42"/>
      <c r="GG109" s="42"/>
      <c r="GH109" s="42"/>
      <c r="GI109" s="42"/>
      <c r="GJ109" s="42"/>
      <c r="GK109" s="42"/>
      <c r="GL109" s="42"/>
      <c r="GM109" s="42"/>
      <c r="GN109" s="42"/>
      <c r="GO109" s="42"/>
      <c r="GP109" s="42"/>
      <c r="GQ109" s="42"/>
      <c r="GR109" s="42"/>
      <c r="GS109" s="42"/>
      <c r="GT109" s="42"/>
      <c r="GU109" s="42"/>
      <c r="GV109" s="42"/>
      <c r="GW109" s="42"/>
      <c r="GX109" s="42"/>
      <c r="GY109" s="42"/>
      <c r="GZ109" s="42"/>
      <c r="HA109" s="42"/>
      <c r="HB109" s="42"/>
      <c r="HC109" s="42"/>
      <c r="HD109" s="42"/>
      <c r="HE109" s="42"/>
      <c r="HF109" s="42"/>
      <c r="HG109" s="42"/>
      <c r="HH109" s="42"/>
      <c r="HI109" s="42"/>
      <c r="HJ109" s="42"/>
      <c r="HK109" s="42"/>
      <c r="HL109" s="42"/>
      <c r="HM109" s="42"/>
      <c r="HN109" s="42"/>
      <c r="HO109" s="42"/>
      <c r="HP109" s="42"/>
      <c r="HQ109" s="42"/>
      <c r="HR109" s="42"/>
      <c r="HS109" s="42"/>
      <c r="HT109" s="42"/>
      <c r="HU109" s="42"/>
      <c r="HV109" s="42"/>
      <c r="HW109" s="42"/>
      <c r="HX109" s="42"/>
      <c r="HY109" s="42"/>
      <c r="HZ109" s="42"/>
      <c r="IA109" s="42"/>
      <c r="IB109" s="42"/>
      <c r="IC109" s="42"/>
      <c r="ID109" s="42"/>
      <c r="IE109" s="42"/>
      <c r="IF109" s="42"/>
      <c r="IG109" s="42"/>
      <c r="IH109" s="42"/>
      <c r="II109" s="42"/>
      <c r="IJ109" s="42"/>
      <c r="IK109" s="42"/>
      <c r="IL109" s="42"/>
      <c r="IM109" s="42"/>
      <c r="IN109" s="42"/>
      <c r="IO109" s="42"/>
      <c r="IP109" s="42"/>
      <c r="IQ109" s="42"/>
      <c r="IR109" s="42"/>
      <c r="IS109" s="42"/>
      <c r="IT109" s="42"/>
      <c r="IU109" s="42"/>
      <c r="IV109" s="42"/>
      <c r="IW109" s="42"/>
      <c r="IX109" s="42"/>
      <c r="IY109" s="42"/>
      <c r="IZ109" s="42"/>
      <c r="JA109" s="42"/>
      <c r="JB109" s="42"/>
      <c r="JC109" s="42"/>
      <c r="JD109" s="42"/>
      <c r="JE109" s="42"/>
      <c r="JF109" s="42"/>
      <c r="JG109" s="42"/>
      <c r="JH109" s="42"/>
      <c r="JI109" s="42"/>
      <c r="JJ109" s="42"/>
      <c r="JK109" s="42"/>
      <c r="JL109" s="42"/>
      <c r="JM109" s="42"/>
      <c r="JN109" s="42"/>
      <c r="JO109" s="42"/>
      <c r="JP109" s="42"/>
      <c r="JQ109" s="42"/>
      <c r="JR109" s="42"/>
      <c r="JS109" s="42"/>
      <c r="JT109" s="42"/>
      <c r="JU109" s="42"/>
      <c r="JV109" s="42"/>
      <c r="JW109" s="42"/>
      <c r="JX109" s="42"/>
      <c r="JY109" s="42"/>
      <c r="JZ109" s="42"/>
      <c r="KA109" s="42"/>
      <c r="KB109" s="42"/>
      <c r="KC109" s="42"/>
      <c r="KD109" s="42"/>
      <c r="KE109" s="42"/>
      <c r="KF109" s="42"/>
      <c r="KG109" s="42"/>
      <c r="KH109" s="42"/>
      <c r="KI109" s="42"/>
      <c r="KJ109" s="42"/>
      <c r="KK109" s="42"/>
      <c r="KL109" s="42"/>
      <c r="KM109" s="42"/>
      <c r="KN109" s="42"/>
      <c r="KO109" s="42"/>
      <c r="KP109" s="42"/>
      <c r="KQ109" s="42"/>
      <c r="KR109" s="42"/>
      <c r="KS109" s="42"/>
      <c r="KT109" s="42"/>
      <c r="KU109" s="42"/>
      <c r="KV109" s="42"/>
      <c r="KW109" s="42"/>
      <c r="KX109" s="42"/>
      <c r="KY109" s="42"/>
      <c r="KZ109" s="42"/>
      <c r="LA109" s="42"/>
      <c r="LB109" s="42"/>
      <c r="LC109" s="42"/>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2"/>
      <c r="BH110" s="42"/>
      <c r="BI110" s="42"/>
      <c r="BJ110" s="42"/>
      <c r="BK110" s="42"/>
      <c r="BL110" s="42"/>
      <c r="BM110" s="42"/>
      <c r="BN110" s="42"/>
      <c r="BO110" s="42"/>
      <c r="BP110" s="42"/>
      <c r="BQ110" s="42"/>
      <c r="BR110" s="42"/>
      <c r="BS110" s="42"/>
      <c r="BT110" s="42"/>
      <c r="BU110" s="42"/>
      <c r="BV110" s="42"/>
      <c r="BW110" s="42"/>
      <c r="BX110" s="42"/>
      <c r="BY110" s="42"/>
      <c r="BZ110" s="42"/>
      <c r="CA110" s="42"/>
      <c r="CB110" s="42"/>
      <c r="CC110" s="42"/>
      <c r="CD110" s="42"/>
      <c r="CE110" s="42"/>
      <c r="CF110" s="42"/>
      <c r="CG110" s="42"/>
      <c r="CH110" s="42"/>
      <c r="CI110" s="42"/>
      <c r="CJ110" s="42"/>
      <c r="CK110" s="42"/>
      <c r="CL110" s="42"/>
      <c r="CM110" s="42"/>
      <c r="CN110" s="42"/>
      <c r="CO110" s="42"/>
      <c r="CP110" s="42"/>
      <c r="CQ110" s="42"/>
      <c r="CR110" s="42"/>
      <c r="CS110" s="42"/>
      <c r="CT110" s="42"/>
      <c r="CU110" s="42"/>
      <c r="CV110" s="42"/>
      <c r="CW110" s="42"/>
      <c r="CX110" s="42"/>
      <c r="CY110" s="42"/>
      <c r="CZ110" s="42"/>
      <c r="DA110" s="42"/>
      <c r="DB110" s="42"/>
      <c r="DC110" s="42"/>
      <c r="DD110" s="42"/>
      <c r="DE110" s="42"/>
      <c r="DF110" s="42"/>
      <c r="DG110" s="42"/>
      <c r="DH110" s="42"/>
      <c r="DI110" s="42"/>
      <c r="DJ110" s="42"/>
      <c r="DK110" s="42"/>
      <c r="DL110" s="42"/>
      <c r="DM110" s="42"/>
      <c r="DN110" s="42"/>
      <c r="DO110" s="42"/>
      <c r="DP110" s="42"/>
      <c r="DQ110" s="42"/>
      <c r="DR110" s="42"/>
      <c r="DS110" s="42"/>
      <c r="DT110" s="42"/>
      <c r="DU110" s="42"/>
      <c r="DV110" s="42"/>
      <c r="DW110" s="42"/>
      <c r="DX110" s="42"/>
      <c r="DY110" s="42"/>
      <c r="DZ110" s="42"/>
      <c r="EA110" s="42"/>
      <c r="EB110" s="42"/>
      <c r="EC110" s="42"/>
      <c r="ED110" s="42"/>
      <c r="EE110" s="42"/>
      <c r="EF110" s="42"/>
      <c r="EG110" s="42"/>
      <c r="EH110" s="42"/>
      <c r="EI110" s="42"/>
      <c r="EJ110" s="42"/>
      <c r="EK110" s="42"/>
      <c r="EL110" s="42"/>
      <c r="EM110" s="42"/>
      <c r="EN110" s="42"/>
      <c r="EO110" s="42"/>
      <c r="EP110" s="42"/>
      <c r="EQ110" s="42"/>
      <c r="ER110" s="42"/>
      <c r="ES110" s="42"/>
      <c r="ET110" s="42"/>
      <c r="EU110" s="42"/>
      <c r="EV110" s="42"/>
      <c r="EW110" s="42"/>
      <c r="EX110" s="42"/>
      <c r="EY110" s="42"/>
      <c r="EZ110" s="42"/>
      <c r="FA110" s="42"/>
      <c r="FB110" s="42"/>
      <c r="FC110" s="42"/>
      <c r="FD110" s="42"/>
      <c r="FE110" s="42"/>
      <c r="FF110" s="42"/>
      <c r="FG110" s="42"/>
      <c r="FH110" s="42"/>
      <c r="FI110" s="42"/>
      <c r="FJ110" s="42"/>
      <c r="FK110" s="42"/>
      <c r="FL110" s="42"/>
      <c r="FM110" s="42"/>
      <c r="FN110" s="42"/>
      <c r="FO110" s="42"/>
      <c r="FP110" s="42"/>
      <c r="FQ110" s="42"/>
      <c r="FR110" s="42"/>
      <c r="FS110" s="42"/>
      <c r="FT110" s="42"/>
      <c r="FU110" s="42"/>
      <c r="FV110" s="42"/>
      <c r="FW110" s="42"/>
      <c r="FX110" s="42"/>
      <c r="FY110" s="42"/>
      <c r="FZ110" s="42"/>
      <c r="GA110" s="42"/>
      <c r="GB110" s="42"/>
      <c r="GC110" s="42"/>
      <c r="GD110" s="42"/>
      <c r="GE110" s="42"/>
      <c r="GF110" s="42"/>
      <c r="GG110" s="42"/>
      <c r="GH110" s="42"/>
      <c r="GI110" s="42"/>
      <c r="GJ110" s="42"/>
      <c r="GK110" s="42"/>
      <c r="GL110" s="42"/>
      <c r="GM110" s="42"/>
      <c r="GN110" s="42"/>
      <c r="GO110" s="42"/>
      <c r="GP110" s="42"/>
      <c r="GQ110" s="42"/>
      <c r="GR110" s="42"/>
      <c r="GS110" s="42"/>
      <c r="GT110" s="42"/>
      <c r="GU110" s="42"/>
      <c r="GV110" s="42"/>
      <c r="GW110" s="42"/>
      <c r="GX110" s="42"/>
      <c r="GY110" s="42"/>
      <c r="GZ110" s="42"/>
      <c r="HA110" s="42"/>
      <c r="HB110" s="42"/>
      <c r="HC110" s="42"/>
      <c r="HD110" s="42"/>
      <c r="HE110" s="42"/>
      <c r="HF110" s="42"/>
      <c r="HG110" s="42"/>
      <c r="HH110" s="42"/>
      <c r="HI110" s="42"/>
      <c r="HJ110" s="42"/>
      <c r="HK110" s="42"/>
      <c r="HL110" s="42"/>
      <c r="HM110" s="42"/>
      <c r="HN110" s="42"/>
      <c r="HO110" s="42"/>
      <c r="HP110" s="42"/>
      <c r="HQ110" s="42"/>
      <c r="HR110" s="42"/>
      <c r="HS110" s="42"/>
      <c r="HT110" s="42"/>
      <c r="HU110" s="42"/>
      <c r="HV110" s="42"/>
      <c r="HW110" s="42"/>
      <c r="HX110" s="42"/>
      <c r="HY110" s="42"/>
      <c r="HZ110" s="42"/>
      <c r="IA110" s="42"/>
      <c r="IB110" s="42"/>
      <c r="IC110" s="42"/>
      <c r="ID110" s="42"/>
      <c r="IE110" s="42"/>
      <c r="IF110" s="42"/>
      <c r="IG110" s="42"/>
      <c r="IH110" s="42"/>
      <c r="II110" s="42"/>
      <c r="IJ110" s="42"/>
      <c r="IK110" s="42"/>
      <c r="IL110" s="42"/>
      <c r="IM110" s="42"/>
      <c r="IN110" s="42"/>
      <c r="IO110" s="42"/>
      <c r="IP110" s="42"/>
      <c r="IQ110" s="42"/>
      <c r="IR110" s="42"/>
      <c r="IS110" s="42"/>
      <c r="IT110" s="42"/>
      <c r="IU110" s="42"/>
      <c r="IV110" s="42"/>
      <c r="IW110" s="42"/>
      <c r="IX110" s="42"/>
      <c r="IY110" s="42"/>
      <c r="IZ110" s="42"/>
      <c r="JA110" s="42"/>
      <c r="JB110" s="42"/>
      <c r="JC110" s="42"/>
      <c r="JD110" s="42"/>
      <c r="JE110" s="42"/>
      <c r="JF110" s="42"/>
      <c r="JG110" s="42"/>
      <c r="JH110" s="42"/>
      <c r="JI110" s="42"/>
      <c r="JJ110" s="42"/>
      <c r="JK110" s="42"/>
      <c r="JL110" s="42"/>
      <c r="JM110" s="42"/>
      <c r="JN110" s="42"/>
      <c r="JO110" s="42"/>
      <c r="JP110" s="42"/>
      <c r="JQ110" s="42"/>
      <c r="JR110" s="42"/>
      <c r="JS110" s="42"/>
      <c r="JT110" s="42"/>
      <c r="JU110" s="42"/>
      <c r="JV110" s="42"/>
      <c r="JW110" s="42"/>
      <c r="JX110" s="42"/>
      <c r="JY110" s="42"/>
      <c r="JZ110" s="42"/>
      <c r="KA110" s="42"/>
      <c r="KB110" s="42"/>
      <c r="KC110" s="42"/>
      <c r="KD110" s="42"/>
      <c r="KE110" s="42"/>
      <c r="KF110" s="42"/>
      <c r="KG110" s="42"/>
      <c r="KH110" s="42"/>
      <c r="KI110" s="42"/>
      <c r="KJ110" s="42"/>
      <c r="KK110" s="42"/>
      <c r="KL110" s="42"/>
      <c r="KM110" s="42"/>
      <c r="KN110" s="42"/>
      <c r="KO110" s="42"/>
      <c r="KP110" s="42"/>
      <c r="KQ110" s="42"/>
      <c r="KR110" s="42"/>
      <c r="KS110" s="42"/>
      <c r="KT110" s="42"/>
      <c r="KU110" s="42"/>
      <c r="KV110" s="42"/>
      <c r="KW110" s="42"/>
      <c r="KX110" s="42"/>
      <c r="KY110" s="42"/>
      <c r="KZ110" s="42"/>
      <c r="LA110" s="42"/>
      <c r="LB110" s="42"/>
      <c r="LC110" s="42"/>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c r="BR111" s="42"/>
      <c r="BS111" s="42"/>
      <c r="BT111" s="42"/>
      <c r="BU111" s="42"/>
      <c r="BV111" s="42"/>
      <c r="BW111" s="42"/>
      <c r="BX111" s="42"/>
      <c r="BY111" s="42"/>
      <c r="BZ111" s="42"/>
      <c r="CA111" s="42"/>
      <c r="CB111" s="42"/>
      <c r="CC111" s="42"/>
      <c r="CD111" s="42"/>
      <c r="CE111" s="42"/>
      <c r="CF111" s="42"/>
      <c r="CG111" s="42"/>
      <c r="CH111" s="42"/>
      <c r="CI111" s="42"/>
      <c r="CJ111" s="42"/>
      <c r="CK111" s="42"/>
      <c r="CL111" s="42"/>
      <c r="CM111" s="42"/>
      <c r="CN111" s="42"/>
      <c r="CO111" s="42"/>
      <c r="CP111" s="42"/>
      <c r="CQ111" s="42"/>
      <c r="CR111" s="42"/>
      <c r="CS111" s="42"/>
      <c r="CT111" s="42"/>
      <c r="CU111" s="42"/>
      <c r="CV111" s="42"/>
      <c r="CW111" s="42"/>
      <c r="CX111" s="42"/>
      <c r="CY111" s="42"/>
      <c r="CZ111" s="42"/>
      <c r="DA111" s="42"/>
      <c r="DB111" s="42"/>
      <c r="DC111" s="42"/>
      <c r="DD111" s="42"/>
      <c r="DE111" s="42"/>
      <c r="DF111" s="42"/>
      <c r="DG111" s="42"/>
      <c r="DH111" s="42"/>
      <c r="DI111" s="42"/>
      <c r="DJ111" s="42"/>
      <c r="DK111" s="42"/>
      <c r="DL111" s="42"/>
      <c r="DM111" s="42"/>
      <c r="DN111" s="42"/>
      <c r="DO111" s="42"/>
      <c r="DP111" s="42"/>
      <c r="DQ111" s="42"/>
      <c r="DR111" s="42"/>
      <c r="DS111" s="42"/>
      <c r="DT111" s="42"/>
      <c r="DU111" s="42"/>
      <c r="DV111" s="42"/>
      <c r="DW111" s="42"/>
      <c r="DX111" s="42"/>
      <c r="DY111" s="42"/>
      <c r="DZ111" s="42"/>
      <c r="EA111" s="42"/>
      <c r="EB111" s="42"/>
      <c r="EC111" s="42"/>
      <c r="ED111" s="42"/>
      <c r="EE111" s="42"/>
      <c r="EF111" s="42"/>
      <c r="EG111" s="42"/>
      <c r="EH111" s="42"/>
      <c r="EI111" s="42"/>
      <c r="EJ111" s="42"/>
      <c r="EK111" s="42"/>
      <c r="EL111" s="42"/>
      <c r="EM111" s="42"/>
      <c r="EN111" s="42"/>
      <c r="EO111" s="42"/>
      <c r="EP111" s="42"/>
      <c r="EQ111" s="42"/>
      <c r="ER111" s="42"/>
      <c r="ES111" s="42"/>
      <c r="ET111" s="42"/>
      <c r="EU111" s="42"/>
      <c r="EV111" s="42"/>
      <c r="EW111" s="42"/>
      <c r="EX111" s="42"/>
      <c r="EY111" s="42"/>
      <c r="EZ111" s="42"/>
      <c r="FA111" s="42"/>
      <c r="FB111" s="42"/>
      <c r="FC111" s="42"/>
      <c r="FD111" s="42"/>
      <c r="FE111" s="42"/>
      <c r="FF111" s="42"/>
      <c r="FG111" s="42"/>
      <c r="FH111" s="42"/>
      <c r="FI111" s="42"/>
      <c r="FJ111" s="42"/>
      <c r="FK111" s="42"/>
      <c r="FL111" s="42"/>
      <c r="FM111" s="42"/>
      <c r="FN111" s="42"/>
      <c r="FO111" s="42"/>
      <c r="FP111" s="42"/>
      <c r="FQ111" s="42"/>
      <c r="FR111" s="42"/>
      <c r="FS111" s="42"/>
      <c r="FT111" s="42"/>
      <c r="FU111" s="42"/>
      <c r="FV111" s="42"/>
      <c r="FW111" s="42"/>
      <c r="FX111" s="42"/>
      <c r="FY111" s="42"/>
      <c r="FZ111" s="42"/>
      <c r="GA111" s="42"/>
      <c r="GB111" s="42"/>
      <c r="GC111" s="42"/>
      <c r="GD111" s="42"/>
      <c r="GE111" s="42"/>
      <c r="GF111" s="42"/>
      <c r="GG111" s="42"/>
      <c r="GH111" s="42"/>
      <c r="GI111" s="42"/>
      <c r="GJ111" s="42"/>
      <c r="GK111" s="42"/>
      <c r="GL111" s="42"/>
      <c r="GM111" s="42"/>
      <c r="GN111" s="42"/>
      <c r="GO111" s="42"/>
      <c r="GP111" s="42"/>
      <c r="GQ111" s="42"/>
      <c r="GR111" s="42"/>
      <c r="GS111" s="42"/>
      <c r="GT111" s="42"/>
      <c r="GU111" s="42"/>
      <c r="GV111" s="42"/>
      <c r="GW111" s="42"/>
      <c r="GX111" s="42"/>
      <c r="GY111" s="42"/>
      <c r="GZ111" s="42"/>
      <c r="HA111" s="42"/>
      <c r="HB111" s="42"/>
      <c r="HC111" s="42"/>
      <c r="HD111" s="42"/>
      <c r="HE111" s="42"/>
      <c r="HF111" s="42"/>
      <c r="HG111" s="42"/>
      <c r="HH111" s="42"/>
      <c r="HI111" s="42"/>
      <c r="HJ111" s="42"/>
      <c r="HK111" s="42"/>
      <c r="HL111" s="42"/>
      <c r="HM111" s="42"/>
      <c r="HN111" s="42"/>
      <c r="HO111" s="42"/>
      <c r="HP111" s="42"/>
      <c r="HQ111" s="42"/>
      <c r="HR111" s="42"/>
      <c r="HS111" s="42"/>
      <c r="HT111" s="42"/>
      <c r="HU111" s="42"/>
      <c r="HV111" s="42"/>
      <c r="HW111" s="42"/>
      <c r="HX111" s="42"/>
      <c r="HY111" s="42"/>
      <c r="HZ111" s="42"/>
      <c r="IA111" s="42"/>
      <c r="IB111" s="42"/>
      <c r="IC111" s="42"/>
      <c r="ID111" s="42"/>
      <c r="IE111" s="42"/>
      <c r="IF111" s="42"/>
      <c r="IG111" s="42"/>
      <c r="IH111" s="42"/>
      <c r="II111" s="42"/>
      <c r="IJ111" s="42"/>
      <c r="IK111" s="42"/>
      <c r="IL111" s="42"/>
      <c r="IM111" s="42"/>
      <c r="IN111" s="42"/>
      <c r="IO111" s="42"/>
      <c r="IP111" s="42"/>
      <c r="IQ111" s="42"/>
      <c r="IR111" s="42"/>
      <c r="IS111" s="42"/>
      <c r="IT111" s="42"/>
      <c r="IU111" s="42"/>
      <c r="IV111" s="42"/>
      <c r="IW111" s="42"/>
      <c r="IX111" s="42"/>
      <c r="IY111" s="42"/>
      <c r="IZ111" s="42"/>
      <c r="JA111" s="42"/>
      <c r="JB111" s="42"/>
      <c r="JC111" s="42"/>
      <c r="JD111" s="42"/>
      <c r="JE111" s="42"/>
      <c r="JF111" s="42"/>
      <c r="JG111" s="42"/>
      <c r="JH111" s="42"/>
      <c r="JI111" s="42"/>
      <c r="JJ111" s="42"/>
      <c r="JK111" s="42"/>
      <c r="JL111" s="42"/>
      <c r="JM111" s="42"/>
      <c r="JN111" s="42"/>
      <c r="JO111" s="42"/>
      <c r="JP111" s="42"/>
      <c r="JQ111" s="42"/>
      <c r="JR111" s="42"/>
      <c r="JS111" s="42"/>
      <c r="JT111" s="42"/>
      <c r="JU111" s="42"/>
      <c r="JV111" s="42"/>
      <c r="JW111" s="42"/>
      <c r="JX111" s="42"/>
      <c r="JY111" s="42"/>
      <c r="JZ111" s="42"/>
      <c r="KA111" s="42"/>
      <c r="KB111" s="42"/>
      <c r="KC111" s="42"/>
      <c r="KD111" s="42"/>
      <c r="KE111" s="42"/>
      <c r="KF111" s="42"/>
      <c r="KG111" s="42"/>
      <c r="KH111" s="42"/>
      <c r="KI111" s="42"/>
      <c r="KJ111" s="42"/>
      <c r="KK111" s="42"/>
      <c r="KL111" s="42"/>
      <c r="KM111" s="42"/>
      <c r="KN111" s="42"/>
      <c r="KO111" s="42"/>
      <c r="KP111" s="42"/>
      <c r="KQ111" s="42"/>
      <c r="KR111" s="42"/>
      <c r="KS111" s="42"/>
      <c r="KT111" s="42"/>
      <c r="KU111" s="42"/>
      <c r="KV111" s="42"/>
      <c r="KW111" s="42"/>
      <c r="KX111" s="42"/>
      <c r="KY111" s="42"/>
      <c r="KZ111" s="42"/>
      <c r="LA111" s="42"/>
      <c r="LB111" s="42"/>
      <c r="LC111" s="42"/>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c r="BR112" s="42"/>
      <c r="BS112" s="42"/>
      <c r="BT112" s="42"/>
      <c r="BU112" s="42"/>
      <c r="BV112" s="42"/>
      <c r="BW112" s="42"/>
      <c r="BX112" s="42"/>
      <c r="BY112" s="42"/>
      <c r="BZ112" s="42"/>
      <c r="CA112" s="42"/>
      <c r="CB112" s="42"/>
      <c r="CC112" s="42"/>
      <c r="CD112" s="42"/>
      <c r="CE112" s="42"/>
      <c r="CF112" s="42"/>
      <c r="CG112" s="42"/>
      <c r="CH112" s="42"/>
      <c r="CI112" s="42"/>
      <c r="CJ112" s="42"/>
      <c r="CK112" s="42"/>
      <c r="CL112" s="42"/>
      <c r="CM112" s="42"/>
      <c r="CN112" s="42"/>
      <c r="CO112" s="42"/>
      <c r="CP112" s="42"/>
      <c r="CQ112" s="42"/>
      <c r="CR112" s="42"/>
      <c r="CS112" s="42"/>
      <c r="CT112" s="42"/>
      <c r="CU112" s="42"/>
      <c r="CV112" s="42"/>
      <c r="CW112" s="42"/>
      <c r="CX112" s="42"/>
      <c r="CY112" s="42"/>
      <c r="CZ112" s="42"/>
      <c r="DA112" s="42"/>
      <c r="DB112" s="42"/>
      <c r="DC112" s="42"/>
      <c r="DD112" s="42"/>
      <c r="DE112" s="42"/>
      <c r="DF112" s="42"/>
      <c r="DG112" s="42"/>
      <c r="DH112" s="42"/>
      <c r="DI112" s="42"/>
      <c r="DJ112" s="42"/>
      <c r="DK112" s="42"/>
      <c r="DL112" s="42"/>
      <c r="DM112" s="42"/>
      <c r="DN112" s="42"/>
      <c r="DO112" s="42"/>
      <c r="DP112" s="42"/>
      <c r="DQ112" s="42"/>
      <c r="DR112" s="42"/>
      <c r="DS112" s="42"/>
      <c r="DT112" s="42"/>
      <c r="DU112" s="42"/>
      <c r="DV112" s="42"/>
      <c r="DW112" s="42"/>
      <c r="DX112" s="42"/>
      <c r="DY112" s="42"/>
      <c r="DZ112" s="42"/>
      <c r="EA112" s="42"/>
      <c r="EB112" s="42"/>
      <c r="EC112" s="42"/>
      <c r="ED112" s="42"/>
      <c r="EE112" s="42"/>
      <c r="EF112" s="42"/>
      <c r="EG112" s="42"/>
      <c r="EH112" s="42"/>
      <c r="EI112" s="42"/>
      <c r="EJ112" s="42"/>
      <c r="EK112" s="42"/>
      <c r="EL112" s="42"/>
      <c r="EM112" s="42"/>
      <c r="EN112" s="42"/>
      <c r="EO112" s="42"/>
      <c r="EP112" s="42"/>
      <c r="EQ112" s="42"/>
      <c r="ER112" s="42"/>
      <c r="ES112" s="42"/>
      <c r="ET112" s="42"/>
      <c r="EU112" s="42"/>
      <c r="EV112" s="42"/>
      <c r="EW112" s="42"/>
      <c r="EX112" s="42"/>
      <c r="EY112" s="42"/>
      <c r="EZ112" s="42"/>
      <c r="FA112" s="42"/>
      <c r="FB112" s="42"/>
      <c r="FC112" s="42"/>
      <c r="FD112" s="42"/>
      <c r="FE112" s="42"/>
      <c r="FF112" s="42"/>
      <c r="FG112" s="42"/>
      <c r="FH112" s="42"/>
      <c r="FI112" s="42"/>
      <c r="FJ112" s="42"/>
      <c r="FK112" s="42"/>
      <c r="FL112" s="42"/>
      <c r="FM112" s="42"/>
      <c r="FN112" s="42"/>
      <c r="FO112" s="42"/>
      <c r="FP112" s="42"/>
      <c r="FQ112" s="42"/>
      <c r="FR112" s="42"/>
      <c r="FS112" s="42"/>
      <c r="FT112" s="42"/>
      <c r="FU112" s="42"/>
      <c r="FV112" s="42"/>
      <c r="FW112" s="42"/>
      <c r="FX112" s="42"/>
      <c r="FY112" s="42"/>
      <c r="FZ112" s="42"/>
      <c r="GA112" s="42"/>
      <c r="GB112" s="42"/>
      <c r="GC112" s="42"/>
      <c r="GD112" s="42"/>
      <c r="GE112" s="42"/>
      <c r="GF112" s="42"/>
      <c r="GG112" s="42"/>
      <c r="GH112" s="42"/>
      <c r="GI112" s="42"/>
      <c r="GJ112" s="42"/>
      <c r="GK112" s="42"/>
      <c r="GL112" s="42"/>
      <c r="GM112" s="42"/>
      <c r="GN112" s="42"/>
      <c r="GO112" s="42"/>
      <c r="GP112" s="42"/>
      <c r="GQ112" s="42"/>
      <c r="GR112" s="42"/>
      <c r="GS112" s="42"/>
      <c r="GT112" s="42"/>
      <c r="GU112" s="42"/>
      <c r="GV112" s="42"/>
      <c r="GW112" s="42"/>
      <c r="GX112" s="42"/>
      <c r="GY112" s="42"/>
      <c r="GZ112" s="42"/>
      <c r="HA112" s="42"/>
      <c r="HB112" s="42"/>
      <c r="HC112" s="42"/>
      <c r="HD112" s="42"/>
      <c r="HE112" s="42"/>
      <c r="HF112" s="42"/>
      <c r="HG112" s="42"/>
      <c r="HH112" s="42"/>
      <c r="HI112" s="42"/>
      <c r="HJ112" s="42"/>
      <c r="HK112" s="42"/>
      <c r="HL112" s="42"/>
      <c r="HM112" s="42"/>
      <c r="HN112" s="42"/>
      <c r="HO112" s="42"/>
      <c r="HP112" s="42"/>
      <c r="HQ112" s="42"/>
      <c r="HR112" s="42"/>
      <c r="HS112" s="42"/>
      <c r="HT112" s="42"/>
      <c r="HU112" s="42"/>
      <c r="HV112" s="42"/>
      <c r="HW112" s="42"/>
      <c r="HX112" s="42"/>
      <c r="HY112" s="42"/>
      <c r="HZ112" s="42"/>
      <c r="IA112" s="42"/>
      <c r="IB112" s="42"/>
      <c r="IC112" s="42"/>
      <c r="ID112" s="42"/>
      <c r="IE112" s="42"/>
      <c r="IF112" s="42"/>
      <c r="IG112" s="42"/>
      <c r="IH112" s="42"/>
      <c r="II112" s="42"/>
      <c r="IJ112" s="42"/>
      <c r="IK112" s="42"/>
      <c r="IL112" s="42"/>
      <c r="IM112" s="42"/>
      <c r="IN112" s="42"/>
      <c r="IO112" s="42"/>
      <c r="IP112" s="42"/>
      <c r="IQ112" s="42"/>
      <c r="IR112" s="42"/>
      <c r="IS112" s="42"/>
      <c r="IT112" s="42"/>
      <c r="IU112" s="42"/>
      <c r="IV112" s="42"/>
      <c r="IW112" s="42"/>
      <c r="IX112" s="42"/>
      <c r="IY112" s="42"/>
      <c r="IZ112" s="42"/>
      <c r="JA112" s="42"/>
      <c r="JB112" s="42"/>
      <c r="JC112" s="42"/>
      <c r="JD112" s="42"/>
      <c r="JE112" s="42"/>
      <c r="JF112" s="42"/>
      <c r="JG112" s="42"/>
      <c r="JH112" s="42"/>
      <c r="JI112" s="42"/>
      <c r="JJ112" s="42"/>
      <c r="JK112" s="42"/>
      <c r="JL112" s="42"/>
      <c r="JM112" s="42"/>
      <c r="JN112" s="42"/>
      <c r="JO112" s="42"/>
      <c r="JP112" s="42"/>
      <c r="JQ112" s="42"/>
      <c r="JR112" s="42"/>
      <c r="JS112" s="42"/>
      <c r="JT112" s="42"/>
      <c r="JU112" s="42"/>
      <c r="JV112" s="42"/>
      <c r="JW112" s="42"/>
      <c r="JX112" s="42"/>
      <c r="JY112" s="42"/>
      <c r="JZ112" s="42"/>
      <c r="KA112" s="42"/>
      <c r="KB112" s="42"/>
      <c r="KC112" s="42"/>
      <c r="KD112" s="42"/>
      <c r="KE112" s="42"/>
      <c r="KF112" s="42"/>
      <c r="KG112" s="42"/>
      <c r="KH112" s="42"/>
      <c r="KI112" s="42"/>
      <c r="KJ112" s="42"/>
      <c r="KK112" s="42"/>
      <c r="KL112" s="42"/>
      <c r="KM112" s="42"/>
      <c r="KN112" s="42"/>
      <c r="KO112" s="42"/>
      <c r="KP112" s="42"/>
      <c r="KQ112" s="42"/>
      <c r="KR112" s="42"/>
      <c r="KS112" s="42"/>
      <c r="KT112" s="42"/>
      <c r="KU112" s="42"/>
      <c r="KV112" s="42"/>
      <c r="KW112" s="42"/>
      <c r="KX112" s="42"/>
      <c r="KY112" s="42"/>
      <c r="KZ112" s="42"/>
      <c r="LA112" s="42"/>
      <c r="LB112" s="42"/>
      <c r="LC112" s="42"/>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c r="BR113" s="42"/>
      <c r="BS113" s="42"/>
      <c r="BT113" s="42"/>
      <c r="BU113" s="42"/>
      <c r="BV113" s="42"/>
      <c r="BW113" s="42"/>
      <c r="BX113" s="42"/>
      <c r="BY113" s="42"/>
      <c r="BZ113" s="42"/>
      <c r="CA113" s="42"/>
      <c r="CB113" s="42"/>
      <c r="CC113" s="42"/>
      <c r="CD113" s="42"/>
      <c r="CE113" s="42"/>
      <c r="CF113" s="42"/>
      <c r="CG113" s="42"/>
      <c r="CH113" s="42"/>
      <c r="CI113" s="42"/>
      <c r="CJ113" s="42"/>
      <c r="CK113" s="42"/>
      <c r="CL113" s="42"/>
      <c r="CM113" s="42"/>
      <c r="CN113" s="42"/>
      <c r="CO113" s="42"/>
      <c r="CP113" s="42"/>
      <c r="CQ113" s="42"/>
      <c r="CR113" s="42"/>
      <c r="CS113" s="42"/>
      <c r="CT113" s="42"/>
      <c r="CU113" s="42"/>
      <c r="CV113" s="42"/>
      <c r="CW113" s="42"/>
      <c r="CX113" s="42"/>
      <c r="CY113" s="42"/>
      <c r="CZ113" s="42"/>
      <c r="DA113" s="42"/>
      <c r="DB113" s="42"/>
      <c r="DC113" s="42"/>
      <c r="DD113" s="42"/>
      <c r="DE113" s="42"/>
      <c r="DF113" s="42"/>
      <c r="DG113" s="42"/>
      <c r="DH113" s="42"/>
      <c r="DI113" s="42"/>
      <c r="DJ113" s="42"/>
      <c r="DK113" s="42"/>
      <c r="DL113" s="42"/>
      <c r="DM113" s="42"/>
      <c r="DN113" s="42"/>
      <c r="DO113" s="42"/>
      <c r="DP113" s="42"/>
      <c r="DQ113" s="42"/>
      <c r="DR113" s="42"/>
      <c r="DS113" s="42"/>
      <c r="DT113" s="42"/>
      <c r="DU113" s="42"/>
      <c r="DV113" s="42"/>
      <c r="DW113" s="42"/>
      <c r="DX113" s="42"/>
      <c r="DY113" s="42"/>
      <c r="DZ113" s="42"/>
      <c r="EA113" s="42"/>
      <c r="EB113" s="42"/>
      <c r="EC113" s="42"/>
      <c r="ED113" s="42"/>
      <c r="EE113" s="42"/>
      <c r="EF113" s="42"/>
      <c r="EG113" s="42"/>
      <c r="EH113" s="42"/>
      <c r="EI113" s="42"/>
      <c r="EJ113" s="42"/>
      <c r="EK113" s="42"/>
      <c r="EL113" s="42"/>
      <c r="EM113" s="42"/>
      <c r="EN113" s="42"/>
      <c r="EO113" s="42"/>
      <c r="EP113" s="42"/>
      <c r="EQ113" s="42"/>
      <c r="ER113" s="42"/>
      <c r="ES113" s="42"/>
      <c r="ET113" s="42"/>
      <c r="EU113" s="42"/>
      <c r="EV113" s="42"/>
      <c r="EW113" s="42"/>
      <c r="EX113" s="42"/>
      <c r="EY113" s="42"/>
      <c r="EZ113" s="42"/>
      <c r="FA113" s="42"/>
      <c r="FB113" s="42"/>
      <c r="FC113" s="42"/>
      <c r="FD113" s="42"/>
      <c r="FE113" s="42"/>
      <c r="FF113" s="42"/>
      <c r="FG113" s="42"/>
      <c r="FH113" s="42"/>
      <c r="FI113" s="42"/>
      <c r="FJ113" s="42"/>
      <c r="FK113" s="42"/>
      <c r="FL113" s="42"/>
      <c r="FM113" s="42"/>
      <c r="FN113" s="42"/>
      <c r="FO113" s="42"/>
      <c r="FP113" s="42"/>
      <c r="FQ113" s="42"/>
      <c r="FR113" s="42"/>
      <c r="FS113" s="42"/>
      <c r="FT113" s="42"/>
      <c r="FU113" s="42"/>
      <c r="FV113" s="42"/>
      <c r="FW113" s="42"/>
      <c r="FX113" s="42"/>
      <c r="FY113" s="42"/>
      <c r="FZ113" s="42"/>
      <c r="GA113" s="42"/>
      <c r="GB113" s="42"/>
      <c r="GC113" s="42"/>
      <c r="GD113" s="42"/>
      <c r="GE113" s="42"/>
      <c r="GF113" s="42"/>
      <c r="GG113" s="42"/>
      <c r="GH113" s="42"/>
      <c r="GI113" s="42"/>
      <c r="GJ113" s="42"/>
      <c r="GK113" s="42"/>
      <c r="GL113" s="42"/>
      <c r="GM113" s="42"/>
      <c r="GN113" s="42"/>
      <c r="GO113" s="42"/>
      <c r="GP113" s="42"/>
      <c r="GQ113" s="42"/>
      <c r="GR113" s="42"/>
      <c r="GS113" s="42"/>
      <c r="GT113" s="42"/>
      <c r="GU113" s="42"/>
      <c r="GV113" s="42"/>
      <c r="GW113" s="42"/>
      <c r="GX113" s="42"/>
      <c r="GY113" s="42"/>
      <c r="GZ113" s="42"/>
      <c r="HA113" s="42"/>
      <c r="HB113" s="42"/>
      <c r="HC113" s="42"/>
      <c r="HD113" s="42"/>
      <c r="HE113" s="42"/>
      <c r="HF113" s="42"/>
      <c r="HG113" s="42"/>
      <c r="HH113" s="42"/>
      <c r="HI113" s="42"/>
      <c r="HJ113" s="42"/>
      <c r="HK113" s="42"/>
      <c r="HL113" s="42"/>
      <c r="HM113" s="42"/>
      <c r="HN113" s="42"/>
      <c r="HO113" s="42"/>
      <c r="HP113" s="42"/>
      <c r="HQ113" s="42"/>
      <c r="HR113" s="42"/>
      <c r="HS113" s="42"/>
      <c r="HT113" s="42"/>
      <c r="HU113" s="42"/>
      <c r="HV113" s="42"/>
      <c r="HW113" s="42"/>
      <c r="HX113" s="42"/>
      <c r="HY113" s="42"/>
      <c r="HZ113" s="42"/>
      <c r="IA113" s="42"/>
      <c r="IB113" s="42"/>
      <c r="IC113" s="42"/>
      <c r="ID113" s="42"/>
      <c r="IE113" s="42"/>
      <c r="IF113" s="42"/>
      <c r="IG113" s="42"/>
      <c r="IH113" s="42"/>
      <c r="II113" s="42"/>
      <c r="IJ113" s="42"/>
      <c r="IK113" s="42"/>
      <c r="IL113" s="42"/>
      <c r="IM113" s="42"/>
      <c r="IN113" s="42"/>
      <c r="IO113" s="42"/>
      <c r="IP113" s="42"/>
      <c r="IQ113" s="42"/>
      <c r="IR113" s="42"/>
      <c r="IS113" s="42"/>
      <c r="IT113" s="42"/>
      <c r="IU113" s="42"/>
      <c r="IV113" s="42"/>
      <c r="IW113" s="42"/>
      <c r="IX113" s="42"/>
      <c r="IY113" s="42"/>
      <c r="IZ113" s="42"/>
      <c r="JA113" s="42"/>
      <c r="JB113" s="42"/>
      <c r="JC113" s="42"/>
      <c r="JD113" s="42"/>
      <c r="JE113" s="42"/>
      <c r="JF113" s="42"/>
      <c r="JG113" s="42"/>
      <c r="JH113" s="42"/>
      <c r="JI113" s="42"/>
      <c r="JJ113" s="42"/>
      <c r="JK113" s="42"/>
      <c r="JL113" s="42"/>
      <c r="JM113" s="42"/>
      <c r="JN113" s="42"/>
      <c r="JO113" s="42"/>
      <c r="JP113" s="42"/>
      <c r="JQ113" s="42"/>
      <c r="JR113" s="42"/>
      <c r="JS113" s="42"/>
      <c r="JT113" s="42"/>
      <c r="JU113" s="42"/>
      <c r="JV113" s="42"/>
      <c r="JW113" s="42"/>
      <c r="JX113" s="42"/>
      <c r="JY113" s="42"/>
      <c r="JZ113" s="42"/>
      <c r="KA113" s="42"/>
      <c r="KB113" s="42"/>
      <c r="KC113" s="42"/>
      <c r="KD113" s="42"/>
      <c r="KE113" s="42"/>
      <c r="KF113" s="42"/>
      <c r="KG113" s="42"/>
      <c r="KH113" s="42"/>
      <c r="KI113" s="42"/>
      <c r="KJ113" s="42"/>
      <c r="KK113" s="42"/>
      <c r="KL113" s="42"/>
      <c r="KM113" s="42"/>
      <c r="KN113" s="42"/>
      <c r="KO113" s="42"/>
      <c r="KP113" s="42"/>
      <c r="KQ113" s="42"/>
      <c r="KR113" s="42"/>
      <c r="KS113" s="42"/>
      <c r="KT113" s="42"/>
      <c r="KU113" s="42"/>
      <c r="KV113" s="42"/>
      <c r="KW113" s="42"/>
      <c r="KX113" s="42"/>
      <c r="KY113" s="42"/>
      <c r="KZ113" s="42"/>
      <c r="LA113" s="42"/>
      <c r="LB113" s="42"/>
      <c r="LC113" s="42"/>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42"/>
      <c r="BH114" s="42"/>
      <c r="BI114" s="42"/>
      <c r="BJ114" s="42"/>
      <c r="BK114" s="42"/>
      <c r="BL114" s="42"/>
      <c r="BM114" s="42"/>
      <c r="BN114" s="42"/>
      <c r="BO114" s="42"/>
      <c r="BP114" s="42"/>
      <c r="BQ114" s="42"/>
      <c r="BR114" s="42"/>
      <c r="BS114" s="42"/>
      <c r="BT114" s="42"/>
      <c r="BU114" s="42"/>
      <c r="BV114" s="42"/>
      <c r="BW114" s="42"/>
      <c r="BX114" s="42"/>
      <c r="BY114" s="42"/>
      <c r="BZ114" s="42"/>
      <c r="CA114" s="42"/>
      <c r="CB114" s="42"/>
      <c r="CC114" s="42"/>
      <c r="CD114" s="42"/>
      <c r="CE114" s="42"/>
      <c r="CF114" s="42"/>
      <c r="CG114" s="42"/>
      <c r="CH114" s="42"/>
      <c r="CI114" s="42"/>
      <c r="CJ114" s="42"/>
      <c r="CK114" s="42"/>
      <c r="CL114" s="42"/>
      <c r="CM114" s="42"/>
      <c r="CN114" s="42"/>
      <c r="CO114" s="42"/>
      <c r="CP114" s="42"/>
      <c r="CQ114" s="42"/>
      <c r="CR114" s="42"/>
      <c r="CS114" s="42"/>
      <c r="CT114" s="42"/>
      <c r="CU114" s="42"/>
      <c r="CV114" s="42"/>
      <c r="CW114" s="42"/>
      <c r="CX114" s="42"/>
      <c r="CY114" s="42"/>
      <c r="CZ114" s="42"/>
      <c r="DA114" s="42"/>
      <c r="DB114" s="42"/>
      <c r="DC114" s="42"/>
      <c r="DD114" s="42"/>
      <c r="DE114" s="42"/>
      <c r="DF114" s="42"/>
      <c r="DG114" s="42"/>
      <c r="DH114" s="42"/>
      <c r="DI114" s="42"/>
      <c r="DJ114" s="42"/>
      <c r="DK114" s="42"/>
      <c r="DL114" s="42"/>
      <c r="DM114" s="42"/>
      <c r="DN114" s="42"/>
      <c r="DO114" s="42"/>
      <c r="DP114" s="42"/>
      <c r="DQ114" s="42"/>
      <c r="DR114" s="42"/>
      <c r="DS114" s="42"/>
      <c r="DT114" s="42"/>
      <c r="DU114" s="42"/>
      <c r="DV114" s="42"/>
      <c r="DW114" s="42"/>
      <c r="DX114" s="42"/>
      <c r="DY114" s="42"/>
      <c r="DZ114" s="42"/>
      <c r="EA114" s="42"/>
      <c r="EB114" s="42"/>
      <c r="EC114" s="42"/>
      <c r="ED114" s="42"/>
      <c r="EE114" s="42"/>
      <c r="EF114" s="42"/>
      <c r="EG114" s="42"/>
      <c r="EH114" s="42"/>
      <c r="EI114" s="42"/>
      <c r="EJ114" s="42"/>
      <c r="EK114" s="42"/>
      <c r="EL114" s="42"/>
      <c r="EM114" s="42"/>
      <c r="EN114" s="42"/>
      <c r="EO114" s="42"/>
      <c r="EP114" s="42"/>
      <c r="EQ114" s="42"/>
      <c r="ER114" s="42"/>
      <c r="ES114" s="42"/>
      <c r="ET114" s="42"/>
      <c r="EU114" s="42"/>
      <c r="EV114" s="42"/>
      <c r="EW114" s="42"/>
      <c r="EX114" s="42"/>
      <c r="EY114" s="42"/>
      <c r="EZ114" s="42"/>
      <c r="FA114" s="42"/>
      <c r="FB114" s="42"/>
      <c r="FC114" s="42"/>
      <c r="FD114" s="42"/>
      <c r="FE114" s="42"/>
      <c r="FF114" s="42"/>
      <c r="FG114" s="42"/>
      <c r="FH114" s="42"/>
      <c r="FI114" s="42"/>
      <c r="FJ114" s="42"/>
      <c r="FK114" s="42"/>
      <c r="FL114" s="42"/>
      <c r="FM114" s="42"/>
      <c r="FN114" s="42"/>
      <c r="FO114" s="42"/>
      <c r="FP114" s="42"/>
      <c r="FQ114" s="42"/>
      <c r="FR114" s="42"/>
      <c r="FS114" s="42"/>
      <c r="FT114" s="42"/>
      <c r="FU114" s="42"/>
      <c r="FV114" s="42"/>
      <c r="FW114" s="42"/>
      <c r="FX114" s="42"/>
      <c r="FY114" s="42"/>
      <c r="FZ114" s="42"/>
      <c r="GA114" s="42"/>
      <c r="GB114" s="42"/>
      <c r="GC114" s="42"/>
      <c r="GD114" s="42"/>
      <c r="GE114" s="42"/>
      <c r="GF114" s="42"/>
      <c r="GG114" s="42"/>
      <c r="GH114" s="42"/>
      <c r="GI114" s="42"/>
      <c r="GJ114" s="42"/>
      <c r="GK114" s="42"/>
      <c r="GL114" s="42"/>
      <c r="GM114" s="42"/>
      <c r="GN114" s="42"/>
      <c r="GO114" s="42"/>
      <c r="GP114" s="42"/>
      <c r="GQ114" s="42"/>
      <c r="GR114" s="42"/>
      <c r="GS114" s="42"/>
      <c r="GT114" s="42"/>
      <c r="GU114" s="42"/>
      <c r="GV114" s="42"/>
      <c r="GW114" s="42"/>
      <c r="GX114" s="42"/>
      <c r="GY114" s="42"/>
      <c r="GZ114" s="42"/>
      <c r="HA114" s="42"/>
      <c r="HB114" s="42"/>
      <c r="HC114" s="42"/>
      <c r="HD114" s="42"/>
      <c r="HE114" s="42"/>
      <c r="HF114" s="42"/>
      <c r="HG114" s="42"/>
      <c r="HH114" s="42"/>
      <c r="HI114" s="42"/>
      <c r="HJ114" s="42"/>
      <c r="HK114" s="42"/>
      <c r="HL114" s="42"/>
      <c r="HM114" s="42"/>
      <c r="HN114" s="42"/>
      <c r="HO114" s="42"/>
      <c r="HP114" s="42"/>
      <c r="HQ114" s="42"/>
      <c r="HR114" s="42"/>
      <c r="HS114" s="42"/>
      <c r="HT114" s="42"/>
      <c r="HU114" s="42"/>
      <c r="HV114" s="42"/>
      <c r="HW114" s="42"/>
      <c r="HX114" s="42"/>
      <c r="HY114" s="42"/>
      <c r="HZ114" s="42"/>
      <c r="IA114" s="42"/>
      <c r="IB114" s="42"/>
      <c r="IC114" s="42"/>
      <c r="ID114" s="42"/>
      <c r="IE114" s="42"/>
      <c r="IF114" s="42"/>
      <c r="IG114" s="42"/>
      <c r="IH114" s="42"/>
      <c r="II114" s="42"/>
      <c r="IJ114" s="42"/>
      <c r="IK114" s="42"/>
      <c r="IL114" s="42"/>
      <c r="IM114" s="42"/>
      <c r="IN114" s="42"/>
      <c r="IO114" s="42"/>
      <c r="IP114" s="42"/>
      <c r="IQ114" s="42"/>
      <c r="IR114" s="42"/>
      <c r="IS114" s="42"/>
      <c r="IT114" s="42"/>
      <c r="IU114" s="42"/>
      <c r="IV114" s="42"/>
      <c r="IW114" s="42"/>
      <c r="IX114" s="42"/>
      <c r="IY114" s="42"/>
      <c r="IZ114" s="42"/>
      <c r="JA114" s="42"/>
      <c r="JB114" s="42"/>
      <c r="JC114" s="42"/>
      <c r="JD114" s="42"/>
      <c r="JE114" s="42"/>
      <c r="JF114" s="42"/>
      <c r="JG114" s="42"/>
      <c r="JH114" s="42"/>
      <c r="JI114" s="42"/>
      <c r="JJ114" s="42"/>
      <c r="JK114" s="42"/>
      <c r="JL114" s="42"/>
      <c r="JM114" s="42"/>
      <c r="JN114" s="42"/>
      <c r="JO114" s="42"/>
      <c r="JP114" s="42"/>
      <c r="JQ114" s="42"/>
      <c r="JR114" s="42"/>
      <c r="JS114" s="42"/>
      <c r="JT114" s="42"/>
      <c r="JU114" s="42"/>
      <c r="JV114" s="42"/>
      <c r="JW114" s="42"/>
      <c r="JX114" s="42"/>
      <c r="JY114" s="42"/>
      <c r="JZ114" s="42"/>
      <c r="KA114" s="42"/>
      <c r="KB114" s="42"/>
      <c r="KC114" s="42"/>
      <c r="KD114" s="42"/>
      <c r="KE114" s="42"/>
      <c r="KF114" s="42"/>
      <c r="KG114" s="42"/>
      <c r="KH114" s="42"/>
      <c r="KI114" s="42"/>
      <c r="KJ114" s="42"/>
      <c r="KK114" s="42"/>
      <c r="KL114" s="42"/>
      <c r="KM114" s="42"/>
      <c r="KN114" s="42"/>
      <c r="KO114" s="42"/>
      <c r="KP114" s="42"/>
      <c r="KQ114" s="42"/>
      <c r="KR114" s="42"/>
      <c r="KS114" s="42"/>
      <c r="KT114" s="42"/>
      <c r="KU114" s="42"/>
      <c r="KV114" s="42"/>
      <c r="KW114" s="42"/>
      <c r="KX114" s="42"/>
      <c r="KY114" s="42"/>
      <c r="KZ114" s="42"/>
      <c r="LA114" s="42"/>
      <c r="LB114" s="42"/>
      <c r="LC114" s="42"/>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42"/>
      <c r="BH115" s="42"/>
      <c r="BI115" s="42"/>
      <c r="BJ115" s="42"/>
      <c r="BK115" s="42"/>
      <c r="BL115" s="42"/>
      <c r="BM115" s="42"/>
      <c r="BN115" s="42"/>
      <c r="BO115" s="42"/>
      <c r="BP115" s="42"/>
      <c r="BQ115" s="42"/>
      <c r="BR115" s="42"/>
      <c r="BS115" s="42"/>
      <c r="BT115" s="42"/>
      <c r="BU115" s="42"/>
      <c r="BV115" s="42"/>
      <c r="BW115" s="42"/>
      <c r="BX115" s="42"/>
      <c r="BY115" s="42"/>
      <c r="BZ115" s="42"/>
      <c r="CA115" s="42"/>
      <c r="CB115" s="42"/>
      <c r="CC115" s="42"/>
      <c r="CD115" s="42"/>
      <c r="CE115" s="42"/>
      <c r="CF115" s="42"/>
      <c r="CG115" s="42"/>
      <c r="CH115" s="42"/>
      <c r="CI115" s="42"/>
      <c r="CJ115" s="42"/>
      <c r="CK115" s="42"/>
      <c r="CL115" s="42"/>
      <c r="CM115" s="42"/>
      <c r="CN115" s="42"/>
      <c r="CO115" s="42"/>
      <c r="CP115" s="42"/>
      <c r="CQ115" s="42"/>
      <c r="CR115" s="42"/>
      <c r="CS115" s="42"/>
      <c r="CT115" s="42"/>
      <c r="CU115" s="42"/>
      <c r="CV115" s="42"/>
      <c r="CW115" s="42"/>
      <c r="CX115" s="42"/>
      <c r="CY115" s="42"/>
      <c r="CZ115" s="42"/>
      <c r="DA115" s="42"/>
      <c r="DB115" s="42"/>
      <c r="DC115" s="42"/>
      <c r="DD115" s="42"/>
      <c r="DE115" s="42"/>
      <c r="DF115" s="42"/>
      <c r="DG115" s="42"/>
      <c r="DH115" s="42"/>
      <c r="DI115" s="42"/>
      <c r="DJ115" s="42"/>
      <c r="DK115" s="42"/>
      <c r="DL115" s="42"/>
      <c r="DM115" s="42"/>
      <c r="DN115" s="42"/>
      <c r="DO115" s="42"/>
      <c r="DP115" s="42"/>
      <c r="DQ115" s="42"/>
      <c r="DR115" s="42"/>
      <c r="DS115" s="42"/>
      <c r="DT115" s="42"/>
      <c r="DU115" s="42"/>
      <c r="DV115" s="42"/>
      <c r="DW115" s="42"/>
      <c r="DX115" s="42"/>
      <c r="DY115" s="42"/>
      <c r="DZ115" s="42"/>
      <c r="EA115" s="42"/>
      <c r="EB115" s="42"/>
      <c r="EC115" s="42"/>
      <c r="ED115" s="42"/>
      <c r="EE115" s="42"/>
      <c r="EF115" s="42"/>
      <c r="EG115" s="42"/>
      <c r="EH115" s="42"/>
      <c r="EI115" s="42"/>
      <c r="EJ115" s="42"/>
      <c r="EK115" s="42"/>
      <c r="EL115" s="42"/>
      <c r="EM115" s="42"/>
      <c r="EN115" s="42"/>
      <c r="EO115" s="42"/>
      <c r="EP115" s="42"/>
      <c r="EQ115" s="42"/>
      <c r="ER115" s="42"/>
      <c r="ES115" s="42"/>
      <c r="ET115" s="42"/>
      <c r="EU115" s="42"/>
      <c r="EV115" s="42"/>
      <c r="EW115" s="42"/>
      <c r="EX115" s="42"/>
      <c r="EY115" s="42"/>
      <c r="EZ115" s="42"/>
      <c r="FA115" s="42"/>
      <c r="FB115" s="42"/>
      <c r="FC115" s="42"/>
      <c r="FD115" s="42"/>
      <c r="FE115" s="42"/>
      <c r="FF115" s="42"/>
      <c r="FG115" s="42"/>
      <c r="FH115" s="42"/>
      <c r="FI115" s="42"/>
      <c r="FJ115" s="42"/>
      <c r="FK115" s="42"/>
      <c r="FL115" s="42"/>
      <c r="FM115" s="42"/>
      <c r="FN115" s="42"/>
      <c r="FO115" s="42"/>
      <c r="FP115" s="42"/>
      <c r="FQ115" s="42"/>
      <c r="FR115" s="42"/>
      <c r="FS115" s="42"/>
      <c r="FT115" s="42"/>
      <c r="FU115" s="42"/>
      <c r="FV115" s="42"/>
      <c r="FW115" s="42"/>
      <c r="FX115" s="42"/>
      <c r="FY115" s="42"/>
      <c r="FZ115" s="42"/>
      <c r="GA115" s="42"/>
      <c r="GB115" s="42"/>
      <c r="GC115" s="42"/>
      <c r="GD115" s="42"/>
      <c r="GE115" s="42"/>
      <c r="GF115" s="42"/>
      <c r="GG115" s="42"/>
      <c r="GH115" s="42"/>
      <c r="GI115" s="42"/>
      <c r="GJ115" s="42"/>
      <c r="GK115" s="42"/>
      <c r="GL115" s="42"/>
      <c r="GM115" s="42"/>
      <c r="GN115" s="42"/>
      <c r="GO115" s="42"/>
      <c r="GP115" s="42"/>
      <c r="GQ115" s="42"/>
      <c r="GR115" s="42"/>
      <c r="GS115" s="42"/>
      <c r="GT115" s="42"/>
      <c r="GU115" s="42"/>
      <c r="GV115" s="42"/>
      <c r="GW115" s="42"/>
      <c r="GX115" s="42"/>
      <c r="GY115" s="42"/>
      <c r="GZ115" s="42"/>
      <c r="HA115" s="42"/>
      <c r="HB115" s="42"/>
      <c r="HC115" s="42"/>
      <c r="HD115" s="42"/>
      <c r="HE115" s="42"/>
      <c r="HF115" s="42"/>
      <c r="HG115" s="42"/>
      <c r="HH115" s="42"/>
      <c r="HI115" s="42"/>
      <c r="HJ115" s="42"/>
      <c r="HK115" s="42"/>
      <c r="HL115" s="42"/>
      <c r="HM115" s="42"/>
      <c r="HN115" s="42"/>
      <c r="HO115" s="42"/>
      <c r="HP115" s="42"/>
      <c r="HQ115" s="42"/>
      <c r="HR115" s="42"/>
      <c r="HS115" s="42"/>
      <c r="HT115" s="42"/>
      <c r="HU115" s="42"/>
      <c r="HV115" s="42"/>
      <c r="HW115" s="42"/>
      <c r="HX115" s="42"/>
      <c r="HY115" s="42"/>
      <c r="HZ115" s="42"/>
      <c r="IA115" s="42"/>
      <c r="IB115" s="42"/>
      <c r="IC115" s="42"/>
      <c r="ID115" s="42"/>
      <c r="IE115" s="42"/>
      <c r="IF115" s="42"/>
      <c r="IG115" s="42"/>
      <c r="IH115" s="42"/>
      <c r="II115" s="42"/>
      <c r="IJ115" s="42"/>
      <c r="IK115" s="42"/>
      <c r="IL115" s="42"/>
      <c r="IM115" s="42"/>
      <c r="IN115" s="42"/>
      <c r="IO115" s="42"/>
      <c r="IP115" s="42"/>
      <c r="IQ115" s="42"/>
      <c r="IR115" s="42"/>
      <c r="IS115" s="42"/>
      <c r="IT115" s="42"/>
      <c r="IU115" s="42"/>
      <c r="IV115" s="42"/>
      <c r="IW115" s="42"/>
      <c r="IX115" s="42"/>
      <c r="IY115" s="42"/>
      <c r="IZ115" s="42"/>
      <c r="JA115" s="42"/>
      <c r="JB115" s="42"/>
      <c r="JC115" s="42"/>
      <c r="JD115" s="42"/>
      <c r="JE115" s="42"/>
      <c r="JF115" s="42"/>
      <c r="JG115" s="42"/>
      <c r="JH115" s="42"/>
      <c r="JI115" s="42"/>
      <c r="JJ115" s="42"/>
      <c r="JK115" s="42"/>
      <c r="JL115" s="42"/>
      <c r="JM115" s="42"/>
      <c r="JN115" s="42"/>
      <c r="JO115" s="42"/>
      <c r="JP115" s="42"/>
      <c r="JQ115" s="42"/>
      <c r="JR115" s="42"/>
      <c r="JS115" s="42"/>
      <c r="JT115" s="42"/>
      <c r="JU115" s="42"/>
      <c r="JV115" s="42"/>
      <c r="JW115" s="42"/>
      <c r="JX115" s="42"/>
      <c r="JY115" s="42"/>
      <c r="JZ115" s="42"/>
      <c r="KA115" s="42"/>
      <c r="KB115" s="42"/>
      <c r="KC115" s="42"/>
      <c r="KD115" s="42"/>
      <c r="KE115" s="42"/>
      <c r="KF115" s="42"/>
      <c r="KG115" s="42"/>
      <c r="KH115" s="42"/>
      <c r="KI115" s="42"/>
      <c r="KJ115" s="42"/>
      <c r="KK115" s="42"/>
      <c r="KL115" s="42"/>
      <c r="KM115" s="42"/>
      <c r="KN115" s="42"/>
      <c r="KO115" s="42"/>
      <c r="KP115" s="42"/>
      <c r="KQ115" s="42"/>
      <c r="KR115" s="42"/>
      <c r="KS115" s="42"/>
      <c r="KT115" s="42"/>
      <c r="KU115" s="42"/>
      <c r="KV115" s="42"/>
      <c r="KW115" s="42"/>
      <c r="KX115" s="42"/>
      <c r="KY115" s="42"/>
      <c r="KZ115" s="42"/>
      <c r="LA115" s="42"/>
      <c r="LB115" s="42"/>
      <c r="LC115" s="42"/>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42"/>
      <c r="BD116" s="42"/>
      <c r="BE116" s="42"/>
      <c r="BF116" s="42"/>
      <c r="BG116" s="42"/>
      <c r="BH116" s="42"/>
      <c r="BI116" s="42"/>
      <c r="BJ116" s="42"/>
      <c r="BK116" s="42"/>
      <c r="BL116" s="42"/>
      <c r="BM116" s="42"/>
      <c r="BN116" s="42"/>
      <c r="BO116" s="42"/>
      <c r="BP116" s="42"/>
      <c r="BQ116" s="42"/>
      <c r="BR116" s="42"/>
      <c r="BS116" s="42"/>
      <c r="BT116" s="42"/>
      <c r="BU116" s="42"/>
      <c r="BV116" s="42"/>
      <c r="BW116" s="42"/>
      <c r="BX116" s="42"/>
      <c r="BY116" s="42"/>
      <c r="BZ116" s="42"/>
      <c r="CA116" s="42"/>
      <c r="CB116" s="42"/>
      <c r="CC116" s="42"/>
      <c r="CD116" s="42"/>
      <c r="CE116" s="42"/>
      <c r="CF116" s="42"/>
      <c r="CG116" s="42"/>
      <c r="CH116" s="42"/>
      <c r="CI116" s="42"/>
      <c r="CJ116" s="42"/>
      <c r="CK116" s="42"/>
      <c r="CL116" s="42"/>
      <c r="CM116" s="42"/>
      <c r="CN116" s="42"/>
      <c r="CO116" s="42"/>
      <c r="CP116" s="42"/>
      <c r="CQ116" s="42"/>
      <c r="CR116" s="42"/>
      <c r="CS116" s="42"/>
      <c r="CT116" s="42"/>
      <c r="CU116" s="42"/>
      <c r="CV116" s="42"/>
      <c r="CW116" s="42"/>
      <c r="CX116" s="42"/>
      <c r="CY116" s="42"/>
      <c r="CZ116" s="42"/>
      <c r="DA116" s="42"/>
      <c r="DB116" s="42"/>
      <c r="DC116" s="42"/>
      <c r="DD116" s="42"/>
      <c r="DE116" s="42"/>
      <c r="DF116" s="42"/>
      <c r="DG116" s="42"/>
      <c r="DH116" s="42"/>
      <c r="DI116" s="42"/>
      <c r="DJ116" s="42"/>
      <c r="DK116" s="42"/>
      <c r="DL116" s="42"/>
      <c r="DM116" s="42"/>
      <c r="DN116" s="42"/>
      <c r="DO116" s="42"/>
      <c r="DP116" s="42"/>
      <c r="DQ116" s="42"/>
      <c r="DR116" s="42"/>
      <c r="DS116" s="42"/>
      <c r="DT116" s="42"/>
      <c r="DU116" s="42"/>
      <c r="DV116" s="42"/>
      <c r="DW116" s="42"/>
      <c r="DX116" s="42"/>
      <c r="DY116" s="42"/>
      <c r="DZ116" s="42"/>
      <c r="EA116" s="42"/>
      <c r="EB116" s="42"/>
      <c r="EC116" s="42"/>
      <c r="ED116" s="42"/>
      <c r="EE116" s="42"/>
      <c r="EF116" s="42"/>
      <c r="EG116" s="42"/>
      <c r="EH116" s="42"/>
      <c r="EI116" s="42"/>
      <c r="EJ116" s="42"/>
      <c r="EK116" s="42"/>
      <c r="EL116" s="42"/>
      <c r="EM116" s="42"/>
      <c r="EN116" s="42"/>
      <c r="EO116" s="42"/>
      <c r="EP116" s="42"/>
      <c r="EQ116" s="42"/>
      <c r="ER116" s="42"/>
      <c r="ES116" s="42"/>
      <c r="ET116" s="42"/>
      <c r="EU116" s="42"/>
      <c r="EV116" s="42"/>
      <c r="EW116" s="42"/>
      <c r="EX116" s="42"/>
      <c r="EY116" s="42"/>
      <c r="EZ116" s="42"/>
      <c r="FA116" s="42"/>
      <c r="FB116" s="42"/>
      <c r="FC116" s="42"/>
      <c r="FD116" s="42"/>
      <c r="FE116" s="42"/>
      <c r="FF116" s="42"/>
      <c r="FG116" s="42"/>
      <c r="FH116" s="42"/>
      <c r="FI116" s="42"/>
      <c r="FJ116" s="42"/>
      <c r="FK116" s="42"/>
      <c r="FL116" s="42"/>
      <c r="FM116" s="42"/>
      <c r="FN116" s="42"/>
      <c r="FO116" s="42"/>
      <c r="FP116" s="42"/>
      <c r="FQ116" s="42"/>
      <c r="FR116" s="42"/>
      <c r="FS116" s="42"/>
      <c r="FT116" s="42"/>
      <c r="FU116" s="42"/>
      <c r="FV116" s="42"/>
      <c r="FW116" s="42"/>
      <c r="FX116" s="42"/>
      <c r="FY116" s="42"/>
      <c r="FZ116" s="42"/>
      <c r="GA116" s="42"/>
      <c r="GB116" s="42"/>
      <c r="GC116" s="42"/>
      <c r="GD116" s="42"/>
      <c r="GE116" s="42"/>
      <c r="GF116" s="42"/>
      <c r="GG116" s="42"/>
      <c r="GH116" s="42"/>
      <c r="GI116" s="42"/>
      <c r="GJ116" s="42"/>
      <c r="GK116" s="42"/>
      <c r="GL116" s="42"/>
      <c r="GM116" s="42"/>
      <c r="GN116" s="42"/>
      <c r="GO116" s="42"/>
      <c r="GP116" s="42"/>
      <c r="GQ116" s="42"/>
      <c r="GR116" s="42"/>
      <c r="GS116" s="42"/>
      <c r="GT116" s="42"/>
      <c r="GU116" s="42"/>
      <c r="GV116" s="42"/>
      <c r="GW116" s="42"/>
      <c r="GX116" s="42"/>
      <c r="GY116" s="42"/>
      <c r="GZ116" s="42"/>
      <c r="HA116" s="42"/>
      <c r="HB116" s="42"/>
      <c r="HC116" s="42"/>
      <c r="HD116" s="42"/>
      <c r="HE116" s="42"/>
      <c r="HF116" s="42"/>
      <c r="HG116" s="42"/>
      <c r="HH116" s="42"/>
      <c r="HI116" s="42"/>
      <c r="HJ116" s="42"/>
      <c r="HK116" s="42"/>
      <c r="HL116" s="42"/>
      <c r="HM116" s="42"/>
      <c r="HN116" s="42"/>
      <c r="HO116" s="42"/>
      <c r="HP116" s="42"/>
      <c r="HQ116" s="42"/>
      <c r="HR116" s="42"/>
      <c r="HS116" s="42"/>
      <c r="HT116" s="42"/>
      <c r="HU116" s="42"/>
      <c r="HV116" s="42"/>
      <c r="HW116" s="42"/>
      <c r="HX116" s="42"/>
      <c r="HY116" s="42"/>
      <c r="HZ116" s="42"/>
      <c r="IA116" s="42"/>
      <c r="IB116" s="42"/>
      <c r="IC116" s="42"/>
      <c r="ID116" s="42"/>
      <c r="IE116" s="42"/>
      <c r="IF116" s="42"/>
      <c r="IG116" s="42"/>
      <c r="IH116" s="42"/>
      <c r="II116" s="42"/>
      <c r="IJ116" s="42"/>
      <c r="IK116" s="42"/>
      <c r="IL116" s="42"/>
      <c r="IM116" s="42"/>
      <c r="IN116" s="42"/>
      <c r="IO116" s="42"/>
      <c r="IP116" s="42"/>
      <c r="IQ116" s="42"/>
      <c r="IR116" s="42"/>
      <c r="IS116" s="42"/>
      <c r="IT116" s="42"/>
      <c r="IU116" s="42"/>
      <c r="IV116" s="42"/>
      <c r="IW116" s="42"/>
      <c r="IX116" s="42"/>
      <c r="IY116" s="42"/>
      <c r="IZ116" s="42"/>
      <c r="JA116" s="42"/>
      <c r="JB116" s="42"/>
      <c r="JC116" s="42"/>
      <c r="JD116" s="42"/>
      <c r="JE116" s="42"/>
      <c r="JF116" s="42"/>
      <c r="JG116" s="42"/>
      <c r="JH116" s="42"/>
      <c r="JI116" s="42"/>
      <c r="JJ116" s="42"/>
      <c r="JK116" s="42"/>
      <c r="JL116" s="42"/>
      <c r="JM116" s="42"/>
      <c r="JN116" s="42"/>
      <c r="JO116" s="42"/>
      <c r="JP116" s="42"/>
      <c r="JQ116" s="42"/>
      <c r="JR116" s="42"/>
      <c r="JS116" s="42"/>
      <c r="JT116" s="42"/>
      <c r="JU116" s="42"/>
      <c r="JV116" s="42"/>
      <c r="JW116" s="42"/>
      <c r="JX116" s="42"/>
      <c r="JY116" s="42"/>
      <c r="JZ116" s="42"/>
      <c r="KA116" s="42"/>
      <c r="KB116" s="42"/>
      <c r="KC116" s="42"/>
      <c r="KD116" s="42"/>
      <c r="KE116" s="42"/>
      <c r="KF116" s="42"/>
      <c r="KG116" s="42"/>
      <c r="KH116" s="42"/>
      <c r="KI116" s="42"/>
      <c r="KJ116" s="42"/>
      <c r="KK116" s="42"/>
      <c r="KL116" s="42"/>
      <c r="KM116" s="42"/>
      <c r="KN116" s="42"/>
      <c r="KO116" s="42"/>
      <c r="KP116" s="42"/>
      <c r="KQ116" s="42"/>
      <c r="KR116" s="42"/>
      <c r="KS116" s="42"/>
      <c r="KT116" s="42"/>
      <c r="KU116" s="42"/>
      <c r="KV116" s="42"/>
      <c r="KW116" s="42"/>
      <c r="KX116" s="42"/>
      <c r="KY116" s="42"/>
      <c r="KZ116" s="42"/>
      <c r="LA116" s="42"/>
      <c r="LB116" s="42"/>
      <c r="LC116" s="42"/>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c r="BC117" s="42"/>
      <c r="BD117" s="42"/>
      <c r="BE117" s="42"/>
      <c r="BF117" s="42"/>
      <c r="BG117" s="42"/>
      <c r="BH117" s="42"/>
      <c r="BI117" s="42"/>
      <c r="BJ117" s="42"/>
      <c r="BK117" s="42"/>
      <c r="BL117" s="42"/>
      <c r="BM117" s="42"/>
      <c r="BN117" s="42"/>
      <c r="BO117" s="42"/>
      <c r="BP117" s="42"/>
      <c r="BQ117" s="42"/>
      <c r="BR117" s="42"/>
      <c r="BS117" s="42"/>
      <c r="BT117" s="42"/>
      <c r="BU117" s="42"/>
      <c r="BV117" s="42"/>
      <c r="BW117" s="42"/>
      <c r="BX117" s="42"/>
      <c r="BY117" s="42"/>
      <c r="BZ117" s="42"/>
      <c r="CA117" s="42"/>
      <c r="CB117" s="42"/>
      <c r="CC117" s="42"/>
      <c r="CD117" s="42"/>
      <c r="CE117" s="42"/>
      <c r="CF117" s="42"/>
      <c r="CG117" s="42"/>
      <c r="CH117" s="42"/>
      <c r="CI117" s="42"/>
      <c r="CJ117" s="42"/>
      <c r="CK117" s="42"/>
      <c r="CL117" s="42"/>
      <c r="CM117" s="42"/>
      <c r="CN117" s="42"/>
      <c r="CO117" s="42"/>
      <c r="CP117" s="42"/>
      <c r="CQ117" s="42"/>
      <c r="CR117" s="42"/>
      <c r="CS117" s="42"/>
      <c r="CT117" s="42"/>
      <c r="CU117" s="42"/>
      <c r="CV117" s="42"/>
      <c r="CW117" s="42"/>
      <c r="CX117" s="42"/>
      <c r="CY117" s="42"/>
      <c r="CZ117" s="42"/>
      <c r="DA117" s="42"/>
      <c r="DB117" s="42"/>
      <c r="DC117" s="42"/>
      <c r="DD117" s="42"/>
      <c r="DE117" s="42"/>
      <c r="DF117" s="42"/>
      <c r="DG117" s="42"/>
      <c r="DH117" s="42"/>
      <c r="DI117" s="42"/>
      <c r="DJ117" s="42"/>
      <c r="DK117" s="42"/>
      <c r="DL117" s="42"/>
      <c r="DM117" s="42"/>
      <c r="DN117" s="42"/>
      <c r="DO117" s="42"/>
      <c r="DP117" s="42"/>
      <c r="DQ117" s="42"/>
      <c r="DR117" s="42"/>
      <c r="DS117" s="42"/>
      <c r="DT117" s="42"/>
      <c r="DU117" s="42"/>
      <c r="DV117" s="42"/>
      <c r="DW117" s="42"/>
      <c r="DX117" s="42"/>
      <c r="DY117" s="42"/>
      <c r="DZ117" s="42"/>
      <c r="EA117" s="42"/>
      <c r="EB117" s="42"/>
      <c r="EC117" s="42"/>
      <c r="ED117" s="42"/>
      <c r="EE117" s="42"/>
      <c r="EF117" s="42"/>
      <c r="EG117" s="42"/>
      <c r="EH117" s="42"/>
      <c r="EI117" s="42"/>
      <c r="EJ117" s="42"/>
      <c r="EK117" s="42"/>
      <c r="EL117" s="42"/>
      <c r="EM117" s="42"/>
      <c r="EN117" s="42"/>
      <c r="EO117" s="42"/>
      <c r="EP117" s="42"/>
      <c r="EQ117" s="42"/>
      <c r="ER117" s="42"/>
      <c r="ES117" s="42"/>
      <c r="ET117" s="42"/>
      <c r="EU117" s="42"/>
      <c r="EV117" s="42"/>
      <c r="EW117" s="42"/>
      <c r="EX117" s="42"/>
      <c r="EY117" s="42"/>
      <c r="EZ117" s="42"/>
      <c r="FA117" s="42"/>
      <c r="FB117" s="42"/>
      <c r="FC117" s="42"/>
      <c r="FD117" s="42"/>
      <c r="FE117" s="42"/>
      <c r="FF117" s="42"/>
      <c r="FG117" s="42"/>
      <c r="FH117" s="42"/>
      <c r="FI117" s="42"/>
      <c r="FJ117" s="42"/>
      <c r="FK117" s="42"/>
      <c r="FL117" s="42"/>
      <c r="FM117" s="42"/>
      <c r="FN117" s="42"/>
      <c r="FO117" s="42"/>
      <c r="FP117" s="42"/>
      <c r="FQ117" s="42"/>
      <c r="FR117" s="42"/>
      <c r="FS117" s="42"/>
      <c r="FT117" s="42"/>
      <c r="FU117" s="42"/>
      <c r="FV117" s="42"/>
      <c r="FW117" s="42"/>
      <c r="FX117" s="42"/>
      <c r="FY117" s="42"/>
      <c r="FZ117" s="42"/>
      <c r="GA117" s="42"/>
      <c r="GB117" s="42"/>
      <c r="GC117" s="42"/>
      <c r="GD117" s="42"/>
      <c r="GE117" s="42"/>
      <c r="GF117" s="42"/>
      <c r="GG117" s="42"/>
      <c r="GH117" s="42"/>
      <c r="GI117" s="42"/>
      <c r="GJ117" s="42"/>
      <c r="GK117" s="42"/>
      <c r="GL117" s="42"/>
      <c r="GM117" s="42"/>
      <c r="GN117" s="42"/>
      <c r="GO117" s="42"/>
      <c r="GP117" s="42"/>
      <c r="GQ117" s="42"/>
      <c r="GR117" s="42"/>
      <c r="GS117" s="42"/>
      <c r="GT117" s="42"/>
      <c r="GU117" s="42"/>
      <c r="GV117" s="42"/>
      <c r="GW117" s="42"/>
      <c r="GX117" s="42"/>
      <c r="GY117" s="42"/>
      <c r="GZ117" s="42"/>
      <c r="HA117" s="42"/>
      <c r="HB117" s="42"/>
      <c r="HC117" s="42"/>
      <c r="HD117" s="42"/>
      <c r="HE117" s="42"/>
      <c r="HF117" s="42"/>
      <c r="HG117" s="42"/>
      <c r="HH117" s="42"/>
      <c r="HI117" s="42"/>
      <c r="HJ117" s="42"/>
      <c r="HK117" s="42"/>
      <c r="HL117" s="42"/>
      <c r="HM117" s="42"/>
      <c r="HN117" s="42"/>
      <c r="HO117" s="42"/>
      <c r="HP117" s="42"/>
      <c r="HQ117" s="42"/>
      <c r="HR117" s="42"/>
      <c r="HS117" s="42"/>
      <c r="HT117" s="42"/>
      <c r="HU117" s="42"/>
      <c r="HV117" s="42"/>
      <c r="HW117" s="42"/>
      <c r="HX117" s="42"/>
      <c r="HY117" s="42"/>
      <c r="HZ117" s="42"/>
      <c r="IA117" s="42"/>
      <c r="IB117" s="42"/>
      <c r="IC117" s="42"/>
      <c r="ID117" s="42"/>
      <c r="IE117" s="42"/>
      <c r="IF117" s="42"/>
      <c r="IG117" s="42"/>
      <c r="IH117" s="42"/>
      <c r="II117" s="42"/>
      <c r="IJ117" s="42"/>
      <c r="IK117" s="42"/>
      <c r="IL117" s="42"/>
      <c r="IM117" s="42"/>
      <c r="IN117" s="42"/>
      <c r="IO117" s="42"/>
      <c r="IP117" s="42"/>
      <c r="IQ117" s="42"/>
      <c r="IR117" s="42"/>
      <c r="IS117" s="42"/>
      <c r="IT117" s="42"/>
      <c r="IU117" s="42"/>
      <c r="IV117" s="42"/>
      <c r="IW117" s="42"/>
      <c r="IX117" s="42"/>
      <c r="IY117" s="42"/>
      <c r="IZ117" s="42"/>
      <c r="JA117" s="42"/>
      <c r="JB117" s="42"/>
      <c r="JC117" s="42"/>
      <c r="JD117" s="42"/>
      <c r="JE117" s="42"/>
      <c r="JF117" s="42"/>
      <c r="JG117" s="42"/>
      <c r="JH117" s="42"/>
      <c r="JI117" s="42"/>
      <c r="JJ117" s="42"/>
      <c r="JK117" s="42"/>
      <c r="JL117" s="42"/>
      <c r="JM117" s="42"/>
      <c r="JN117" s="42"/>
      <c r="JO117" s="42"/>
      <c r="JP117" s="42"/>
      <c r="JQ117" s="42"/>
      <c r="JR117" s="42"/>
      <c r="JS117" s="42"/>
      <c r="JT117" s="42"/>
      <c r="JU117" s="42"/>
      <c r="JV117" s="42"/>
      <c r="JW117" s="42"/>
      <c r="JX117" s="42"/>
      <c r="JY117" s="42"/>
      <c r="JZ117" s="42"/>
      <c r="KA117" s="42"/>
      <c r="KB117" s="42"/>
      <c r="KC117" s="42"/>
      <c r="KD117" s="42"/>
      <c r="KE117" s="42"/>
      <c r="KF117" s="42"/>
      <c r="KG117" s="42"/>
      <c r="KH117" s="42"/>
      <c r="KI117" s="42"/>
      <c r="KJ117" s="42"/>
      <c r="KK117" s="42"/>
      <c r="KL117" s="42"/>
      <c r="KM117" s="42"/>
      <c r="KN117" s="42"/>
      <c r="KO117" s="42"/>
      <c r="KP117" s="42"/>
      <c r="KQ117" s="42"/>
      <c r="KR117" s="42"/>
      <c r="KS117" s="42"/>
      <c r="KT117" s="42"/>
      <c r="KU117" s="42"/>
      <c r="KV117" s="42"/>
      <c r="KW117" s="42"/>
      <c r="KX117" s="42"/>
      <c r="KY117" s="42"/>
      <c r="KZ117" s="42"/>
      <c r="LA117" s="42"/>
      <c r="LB117" s="42"/>
      <c r="LC117" s="42"/>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c r="BR118" s="42"/>
      <c r="BS118" s="42"/>
      <c r="BT118" s="42"/>
      <c r="BU118" s="42"/>
      <c r="BV118" s="42"/>
      <c r="BW118" s="42"/>
      <c r="BX118" s="42"/>
      <c r="BY118" s="42"/>
      <c r="BZ118" s="42"/>
      <c r="CA118" s="42"/>
      <c r="CB118" s="42"/>
      <c r="CC118" s="42"/>
      <c r="CD118" s="42"/>
      <c r="CE118" s="42"/>
      <c r="CF118" s="42"/>
      <c r="CG118" s="42"/>
      <c r="CH118" s="42"/>
      <c r="CI118" s="42"/>
      <c r="CJ118" s="42"/>
      <c r="CK118" s="42"/>
      <c r="CL118" s="42"/>
      <c r="CM118" s="42"/>
      <c r="CN118" s="42"/>
      <c r="CO118" s="42"/>
      <c r="CP118" s="42"/>
      <c r="CQ118" s="42"/>
      <c r="CR118" s="42"/>
      <c r="CS118" s="42"/>
      <c r="CT118" s="42"/>
      <c r="CU118" s="42"/>
      <c r="CV118" s="42"/>
      <c r="CW118" s="42"/>
      <c r="CX118" s="42"/>
      <c r="CY118" s="42"/>
      <c r="CZ118" s="42"/>
      <c r="DA118" s="42"/>
      <c r="DB118" s="42"/>
      <c r="DC118" s="42"/>
      <c r="DD118" s="42"/>
      <c r="DE118" s="42"/>
      <c r="DF118" s="42"/>
      <c r="DG118" s="42"/>
      <c r="DH118" s="42"/>
      <c r="DI118" s="42"/>
      <c r="DJ118" s="42"/>
      <c r="DK118" s="42"/>
      <c r="DL118" s="42"/>
      <c r="DM118" s="42"/>
      <c r="DN118" s="42"/>
      <c r="DO118" s="42"/>
      <c r="DP118" s="42"/>
      <c r="DQ118" s="42"/>
      <c r="DR118" s="42"/>
      <c r="DS118" s="42"/>
      <c r="DT118" s="42"/>
      <c r="DU118" s="42"/>
      <c r="DV118" s="42"/>
      <c r="DW118" s="42"/>
      <c r="DX118" s="42"/>
      <c r="DY118" s="42"/>
      <c r="DZ118" s="42"/>
      <c r="EA118" s="42"/>
      <c r="EB118" s="42"/>
      <c r="EC118" s="42"/>
      <c r="ED118" s="42"/>
      <c r="EE118" s="42"/>
      <c r="EF118" s="42"/>
      <c r="EG118" s="42"/>
      <c r="EH118" s="42"/>
      <c r="EI118" s="42"/>
      <c r="EJ118" s="42"/>
      <c r="EK118" s="42"/>
      <c r="EL118" s="42"/>
      <c r="EM118" s="42"/>
      <c r="EN118" s="42"/>
      <c r="EO118" s="42"/>
      <c r="EP118" s="42"/>
      <c r="EQ118" s="42"/>
      <c r="ER118" s="42"/>
      <c r="ES118" s="42"/>
      <c r="ET118" s="42"/>
      <c r="EU118" s="42"/>
      <c r="EV118" s="42"/>
      <c r="EW118" s="42"/>
      <c r="EX118" s="42"/>
      <c r="EY118" s="42"/>
      <c r="EZ118" s="42"/>
      <c r="FA118" s="42"/>
      <c r="FB118" s="42"/>
      <c r="FC118" s="42"/>
      <c r="FD118" s="42"/>
      <c r="FE118" s="42"/>
      <c r="FF118" s="42"/>
      <c r="FG118" s="42"/>
      <c r="FH118" s="42"/>
      <c r="FI118" s="42"/>
      <c r="FJ118" s="42"/>
      <c r="FK118" s="42"/>
      <c r="FL118" s="42"/>
      <c r="FM118" s="42"/>
      <c r="FN118" s="42"/>
      <c r="FO118" s="42"/>
      <c r="FP118" s="42"/>
      <c r="FQ118" s="42"/>
      <c r="FR118" s="42"/>
      <c r="FS118" s="42"/>
      <c r="FT118" s="42"/>
      <c r="FU118" s="42"/>
      <c r="FV118" s="42"/>
      <c r="FW118" s="42"/>
      <c r="FX118" s="42"/>
      <c r="FY118" s="42"/>
      <c r="FZ118" s="42"/>
      <c r="GA118" s="42"/>
      <c r="GB118" s="42"/>
      <c r="GC118" s="42"/>
      <c r="GD118" s="42"/>
      <c r="GE118" s="42"/>
      <c r="GF118" s="42"/>
      <c r="GG118" s="42"/>
      <c r="GH118" s="42"/>
      <c r="GI118" s="42"/>
      <c r="GJ118" s="42"/>
      <c r="GK118" s="42"/>
      <c r="GL118" s="42"/>
      <c r="GM118" s="42"/>
      <c r="GN118" s="42"/>
      <c r="GO118" s="42"/>
      <c r="GP118" s="42"/>
      <c r="GQ118" s="42"/>
      <c r="GR118" s="42"/>
      <c r="GS118" s="42"/>
      <c r="GT118" s="42"/>
      <c r="GU118" s="42"/>
      <c r="GV118" s="42"/>
      <c r="GW118" s="42"/>
      <c r="GX118" s="42"/>
      <c r="GY118" s="42"/>
      <c r="GZ118" s="42"/>
      <c r="HA118" s="42"/>
      <c r="HB118" s="42"/>
      <c r="HC118" s="42"/>
      <c r="HD118" s="42"/>
      <c r="HE118" s="42"/>
      <c r="HF118" s="42"/>
      <c r="HG118" s="42"/>
      <c r="HH118" s="42"/>
      <c r="HI118" s="42"/>
      <c r="HJ118" s="42"/>
      <c r="HK118" s="42"/>
      <c r="HL118" s="42"/>
      <c r="HM118" s="42"/>
      <c r="HN118" s="42"/>
      <c r="HO118" s="42"/>
      <c r="HP118" s="42"/>
      <c r="HQ118" s="42"/>
      <c r="HR118" s="42"/>
      <c r="HS118" s="42"/>
      <c r="HT118" s="42"/>
      <c r="HU118" s="42"/>
      <c r="HV118" s="42"/>
      <c r="HW118" s="42"/>
      <c r="HX118" s="42"/>
      <c r="HY118" s="42"/>
      <c r="HZ118" s="42"/>
      <c r="IA118" s="42"/>
      <c r="IB118" s="42"/>
      <c r="IC118" s="42"/>
      <c r="ID118" s="42"/>
      <c r="IE118" s="42"/>
      <c r="IF118" s="42"/>
      <c r="IG118" s="42"/>
      <c r="IH118" s="42"/>
      <c r="II118" s="42"/>
      <c r="IJ118" s="42"/>
      <c r="IK118" s="42"/>
      <c r="IL118" s="42"/>
      <c r="IM118" s="42"/>
      <c r="IN118" s="42"/>
      <c r="IO118" s="42"/>
      <c r="IP118" s="42"/>
      <c r="IQ118" s="42"/>
      <c r="IR118" s="42"/>
      <c r="IS118" s="42"/>
      <c r="IT118" s="42"/>
      <c r="IU118" s="42"/>
      <c r="IV118" s="42"/>
      <c r="IW118" s="42"/>
      <c r="IX118" s="42"/>
      <c r="IY118" s="42"/>
      <c r="IZ118" s="42"/>
      <c r="JA118" s="42"/>
      <c r="JB118" s="42"/>
      <c r="JC118" s="42"/>
      <c r="JD118" s="42"/>
      <c r="JE118" s="42"/>
      <c r="JF118" s="42"/>
      <c r="JG118" s="42"/>
      <c r="JH118" s="42"/>
      <c r="JI118" s="42"/>
      <c r="JJ118" s="42"/>
      <c r="JK118" s="42"/>
      <c r="JL118" s="42"/>
      <c r="JM118" s="42"/>
      <c r="JN118" s="42"/>
      <c r="JO118" s="42"/>
      <c r="JP118" s="42"/>
      <c r="JQ118" s="42"/>
      <c r="JR118" s="42"/>
      <c r="JS118" s="42"/>
      <c r="JT118" s="42"/>
      <c r="JU118" s="42"/>
      <c r="JV118" s="42"/>
      <c r="JW118" s="42"/>
      <c r="JX118" s="42"/>
      <c r="JY118" s="42"/>
      <c r="JZ118" s="42"/>
      <c r="KA118" s="42"/>
      <c r="KB118" s="42"/>
      <c r="KC118" s="42"/>
      <c r="KD118" s="42"/>
      <c r="KE118" s="42"/>
      <c r="KF118" s="42"/>
      <c r="KG118" s="42"/>
      <c r="KH118" s="42"/>
      <c r="KI118" s="42"/>
      <c r="KJ118" s="42"/>
      <c r="KK118" s="42"/>
      <c r="KL118" s="42"/>
      <c r="KM118" s="42"/>
      <c r="KN118" s="42"/>
      <c r="KO118" s="42"/>
      <c r="KP118" s="42"/>
      <c r="KQ118" s="42"/>
      <c r="KR118" s="42"/>
      <c r="KS118" s="42"/>
      <c r="KT118" s="42"/>
      <c r="KU118" s="42"/>
      <c r="KV118" s="42"/>
      <c r="KW118" s="42"/>
      <c r="KX118" s="42"/>
      <c r="KY118" s="42"/>
      <c r="KZ118" s="42"/>
      <c r="LA118" s="42"/>
      <c r="LB118" s="42"/>
      <c r="LC118" s="42"/>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c r="BR119" s="42"/>
      <c r="BS119" s="42"/>
      <c r="BT119" s="42"/>
      <c r="BU119" s="42"/>
      <c r="BV119" s="42"/>
      <c r="BW119" s="42"/>
      <c r="BX119" s="42"/>
      <c r="BY119" s="42"/>
      <c r="BZ119" s="42"/>
      <c r="CA119" s="42"/>
      <c r="CB119" s="42"/>
      <c r="CC119" s="42"/>
      <c r="CD119" s="42"/>
      <c r="CE119" s="42"/>
      <c r="CF119" s="42"/>
      <c r="CG119" s="42"/>
      <c r="CH119" s="42"/>
      <c r="CI119" s="42"/>
      <c r="CJ119" s="42"/>
      <c r="CK119" s="42"/>
      <c r="CL119" s="42"/>
      <c r="CM119" s="42"/>
      <c r="CN119" s="42"/>
      <c r="CO119" s="42"/>
      <c r="CP119" s="42"/>
      <c r="CQ119" s="42"/>
      <c r="CR119" s="42"/>
      <c r="CS119" s="42"/>
      <c r="CT119" s="42"/>
      <c r="CU119" s="42"/>
      <c r="CV119" s="42"/>
      <c r="CW119" s="42"/>
      <c r="CX119" s="42"/>
      <c r="CY119" s="42"/>
      <c r="CZ119" s="42"/>
      <c r="DA119" s="42"/>
      <c r="DB119" s="42"/>
      <c r="DC119" s="42"/>
      <c r="DD119" s="42"/>
      <c r="DE119" s="42"/>
      <c r="DF119" s="42"/>
      <c r="DG119" s="42"/>
      <c r="DH119" s="42"/>
      <c r="DI119" s="42"/>
      <c r="DJ119" s="42"/>
      <c r="DK119" s="42"/>
      <c r="DL119" s="42"/>
      <c r="DM119" s="42"/>
      <c r="DN119" s="42"/>
      <c r="DO119" s="42"/>
      <c r="DP119" s="42"/>
      <c r="DQ119" s="42"/>
      <c r="DR119" s="42"/>
      <c r="DS119" s="42"/>
      <c r="DT119" s="42"/>
      <c r="DU119" s="42"/>
      <c r="DV119" s="42"/>
      <c r="DW119" s="42"/>
      <c r="DX119" s="42"/>
      <c r="DY119" s="42"/>
      <c r="DZ119" s="42"/>
      <c r="EA119" s="42"/>
      <c r="EB119" s="42"/>
      <c r="EC119" s="42"/>
      <c r="ED119" s="42"/>
      <c r="EE119" s="42"/>
      <c r="EF119" s="42"/>
      <c r="EG119" s="42"/>
      <c r="EH119" s="42"/>
      <c r="EI119" s="42"/>
      <c r="EJ119" s="42"/>
      <c r="EK119" s="42"/>
      <c r="EL119" s="42"/>
      <c r="EM119" s="42"/>
      <c r="EN119" s="42"/>
      <c r="EO119" s="42"/>
      <c r="EP119" s="42"/>
      <c r="EQ119" s="42"/>
      <c r="ER119" s="42"/>
      <c r="ES119" s="42"/>
      <c r="ET119" s="42"/>
      <c r="EU119" s="42"/>
      <c r="EV119" s="42"/>
      <c r="EW119" s="42"/>
      <c r="EX119" s="42"/>
      <c r="EY119" s="42"/>
      <c r="EZ119" s="42"/>
      <c r="FA119" s="42"/>
      <c r="FB119" s="42"/>
      <c r="FC119" s="42"/>
      <c r="FD119" s="42"/>
      <c r="FE119" s="42"/>
      <c r="FF119" s="42"/>
      <c r="FG119" s="42"/>
      <c r="FH119" s="42"/>
      <c r="FI119" s="42"/>
      <c r="FJ119" s="42"/>
      <c r="FK119" s="42"/>
      <c r="FL119" s="42"/>
      <c r="FM119" s="42"/>
      <c r="FN119" s="42"/>
      <c r="FO119" s="42"/>
      <c r="FP119" s="42"/>
      <c r="FQ119" s="42"/>
      <c r="FR119" s="42"/>
      <c r="FS119" s="42"/>
      <c r="FT119" s="42"/>
      <c r="FU119" s="42"/>
      <c r="FV119" s="42"/>
      <c r="FW119" s="42"/>
      <c r="FX119" s="42"/>
      <c r="FY119" s="42"/>
      <c r="FZ119" s="42"/>
      <c r="GA119" s="42"/>
      <c r="GB119" s="42"/>
      <c r="GC119" s="42"/>
      <c r="GD119" s="42"/>
      <c r="GE119" s="42"/>
      <c r="GF119" s="42"/>
      <c r="GG119" s="42"/>
      <c r="GH119" s="42"/>
      <c r="GI119" s="42"/>
      <c r="GJ119" s="42"/>
      <c r="GK119" s="42"/>
      <c r="GL119" s="42"/>
      <c r="GM119" s="42"/>
      <c r="GN119" s="42"/>
      <c r="GO119" s="42"/>
      <c r="GP119" s="42"/>
      <c r="GQ119" s="42"/>
      <c r="GR119" s="42"/>
      <c r="GS119" s="42"/>
      <c r="GT119" s="42"/>
      <c r="GU119" s="42"/>
      <c r="GV119" s="42"/>
      <c r="GW119" s="42"/>
      <c r="GX119" s="42"/>
      <c r="GY119" s="42"/>
      <c r="GZ119" s="42"/>
      <c r="HA119" s="42"/>
      <c r="HB119" s="42"/>
      <c r="HC119" s="42"/>
      <c r="HD119" s="42"/>
      <c r="HE119" s="42"/>
      <c r="HF119" s="42"/>
      <c r="HG119" s="42"/>
      <c r="HH119" s="42"/>
      <c r="HI119" s="42"/>
      <c r="HJ119" s="42"/>
      <c r="HK119" s="42"/>
      <c r="HL119" s="42"/>
      <c r="HM119" s="42"/>
      <c r="HN119" s="42"/>
      <c r="HO119" s="42"/>
      <c r="HP119" s="42"/>
      <c r="HQ119" s="42"/>
      <c r="HR119" s="42"/>
      <c r="HS119" s="42"/>
      <c r="HT119" s="42"/>
      <c r="HU119" s="42"/>
      <c r="HV119" s="42"/>
      <c r="HW119" s="42"/>
      <c r="HX119" s="42"/>
      <c r="HY119" s="42"/>
      <c r="HZ119" s="42"/>
      <c r="IA119" s="42"/>
      <c r="IB119" s="42"/>
      <c r="IC119" s="42"/>
      <c r="ID119" s="42"/>
      <c r="IE119" s="42"/>
      <c r="IF119" s="42"/>
      <c r="IG119" s="42"/>
      <c r="IH119" s="42"/>
      <c r="II119" s="42"/>
      <c r="IJ119" s="42"/>
      <c r="IK119" s="42"/>
      <c r="IL119" s="42"/>
      <c r="IM119" s="42"/>
      <c r="IN119" s="42"/>
      <c r="IO119" s="42"/>
      <c r="IP119" s="42"/>
      <c r="IQ119" s="42"/>
      <c r="IR119" s="42"/>
      <c r="IS119" s="42"/>
      <c r="IT119" s="42"/>
      <c r="IU119" s="42"/>
      <c r="IV119" s="42"/>
      <c r="IW119" s="42"/>
      <c r="IX119" s="42"/>
      <c r="IY119" s="42"/>
      <c r="IZ119" s="42"/>
      <c r="JA119" s="42"/>
      <c r="JB119" s="42"/>
      <c r="JC119" s="42"/>
      <c r="JD119" s="42"/>
      <c r="JE119" s="42"/>
      <c r="JF119" s="42"/>
      <c r="JG119" s="42"/>
      <c r="JH119" s="42"/>
      <c r="JI119" s="42"/>
      <c r="JJ119" s="42"/>
      <c r="JK119" s="42"/>
      <c r="JL119" s="42"/>
      <c r="JM119" s="42"/>
      <c r="JN119" s="42"/>
      <c r="JO119" s="42"/>
      <c r="JP119" s="42"/>
      <c r="JQ119" s="42"/>
      <c r="JR119" s="42"/>
      <c r="JS119" s="42"/>
      <c r="JT119" s="42"/>
      <c r="JU119" s="42"/>
      <c r="JV119" s="42"/>
      <c r="JW119" s="42"/>
      <c r="JX119" s="42"/>
      <c r="JY119" s="42"/>
      <c r="JZ119" s="42"/>
      <c r="KA119" s="42"/>
      <c r="KB119" s="42"/>
      <c r="KC119" s="42"/>
      <c r="KD119" s="42"/>
      <c r="KE119" s="42"/>
      <c r="KF119" s="42"/>
      <c r="KG119" s="42"/>
      <c r="KH119" s="42"/>
      <c r="KI119" s="42"/>
      <c r="KJ119" s="42"/>
      <c r="KK119" s="42"/>
      <c r="KL119" s="42"/>
      <c r="KM119" s="42"/>
      <c r="KN119" s="42"/>
      <c r="KO119" s="42"/>
      <c r="KP119" s="42"/>
      <c r="KQ119" s="42"/>
      <c r="KR119" s="42"/>
      <c r="KS119" s="42"/>
      <c r="KT119" s="42"/>
      <c r="KU119" s="42"/>
      <c r="KV119" s="42"/>
      <c r="KW119" s="42"/>
      <c r="KX119" s="42"/>
      <c r="KY119" s="42"/>
      <c r="KZ119" s="42"/>
      <c r="LA119" s="42"/>
      <c r="LB119" s="42"/>
      <c r="LC119" s="42"/>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42"/>
      <c r="BP120" s="42"/>
      <c r="BQ120" s="42"/>
      <c r="BR120" s="42"/>
      <c r="BS120" s="42"/>
      <c r="BT120" s="42"/>
      <c r="BU120" s="42"/>
      <c r="BV120" s="42"/>
      <c r="BW120" s="42"/>
      <c r="BX120" s="42"/>
      <c r="BY120" s="42"/>
      <c r="BZ120" s="42"/>
      <c r="CA120" s="42"/>
      <c r="CB120" s="42"/>
      <c r="CC120" s="42"/>
      <c r="CD120" s="42"/>
      <c r="CE120" s="42"/>
      <c r="CF120" s="42"/>
      <c r="CG120" s="42"/>
      <c r="CH120" s="42"/>
      <c r="CI120" s="42"/>
      <c r="CJ120" s="42"/>
      <c r="CK120" s="42"/>
      <c r="CL120" s="42"/>
      <c r="CM120" s="42"/>
      <c r="CN120" s="42"/>
      <c r="CO120" s="42"/>
      <c r="CP120" s="42"/>
      <c r="CQ120" s="42"/>
      <c r="CR120" s="42"/>
      <c r="CS120" s="42"/>
      <c r="CT120" s="42"/>
      <c r="CU120" s="42"/>
      <c r="CV120" s="42"/>
      <c r="CW120" s="42"/>
      <c r="CX120" s="42"/>
      <c r="CY120" s="42"/>
      <c r="CZ120" s="42"/>
      <c r="DA120" s="42"/>
      <c r="DB120" s="42"/>
      <c r="DC120" s="42"/>
      <c r="DD120" s="42"/>
      <c r="DE120" s="42"/>
      <c r="DF120" s="42"/>
      <c r="DG120" s="42"/>
      <c r="DH120" s="42"/>
      <c r="DI120" s="42"/>
      <c r="DJ120" s="42"/>
      <c r="DK120" s="42"/>
      <c r="DL120" s="42"/>
      <c r="DM120" s="42"/>
      <c r="DN120" s="42"/>
      <c r="DO120" s="42"/>
      <c r="DP120" s="42"/>
      <c r="DQ120" s="42"/>
      <c r="DR120" s="42"/>
      <c r="DS120" s="42"/>
      <c r="DT120" s="42"/>
      <c r="DU120" s="42"/>
      <c r="DV120" s="42"/>
      <c r="DW120" s="42"/>
      <c r="DX120" s="42"/>
      <c r="DY120" s="42"/>
      <c r="DZ120" s="42"/>
      <c r="EA120" s="42"/>
      <c r="EB120" s="42"/>
      <c r="EC120" s="42"/>
      <c r="ED120" s="42"/>
      <c r="EE120" s="42"/>
      <c r="EF120" s="42"/>
      <c r="EG120" s="42"/>
      <c r="EH120" s="42"/>
      <c r="EI120" s="42"/>
      <c r="EJ120" s="42"/>
      <c r="EK120" s="42"/>
      <c r="EL120" s="42"/>
      <c r="EM120" s="42"/>
      <c r="EN120" s="42"/>
      <c r="EO120" s="42"/>
      <c r="EP120" s="42"/>
      <c r="EQ120" s="42"/>
      <c r="ER120" s="42"/>
      <c r="ES120" s="42"/>
      <c r="ET120" s="42"/>
      <c r="EU120" s="42"/>
      <c r="EV120" s="42"/>
      <c r="EW120" s="42"/>
      <c r="EX120" s="42"/>
      <c r="EY120" s="42"/>
      <c r="EZ120" s="42"/>
      <c r="FA120" s="42"/>
      <c r="FB120" s="42"/>
      <c r="FC120" s="42"/>
      <c r="FD120" s="42"/>
      <c r="FE120" s="42"/>
      <c r="FF120" s="42"/>
      <c r="FG120" s="42"/>
      <c r="FH120" s="42"/>
      <c r="FI120" s="42"/>
      <c r="FJ120" s="42"/>
      <c r="FK120" s="42"/>
      <c r="FL120" s="42"/>
      <c r="FM120" s="42"/>
      <c r="FN120" s="42"/>
      <c r="FO120" s="42"/>
      <c r="FP120" s="42"/>
      <c r="FQ120" s="42"/>
      <c r="FR120" s="42"/>
      <c r="FS120" s="42"/>
      <c r="FT120" s="42"/>
      <c r="FU120" s="42"/>
      <c r="FV120" s="42"/>
      <c r="FW120" s="42"/>
      <c r="FX120" s="42"/>
      <c r="FY120" s="42"/>
      <c r="FZ120" s="42"/>
      <c r="GA120" s="42"/>
      <c r="GB120" s="42"/>
      <c r="GC120" s="42"/>
      <c r="GD120" s="42"/>
      <c r="GE120" s="42"/>
      <c r="GF120" s="42"/>
      <c r="GG120" s="42"/>
      <c r="GH120" s="42"/>
      <c r="GI120" s="42"/>
      <c r="GJ120" s="42"/>
      <c r="GK120" s="42"/>
      <c r="GL120" s="42"/>
      <c r="GM120" s="42"/>
      <c r="GN120" s="42"/>
      <c r="GO120" s="42"/>
      <c r="GP120" s="42"/>
      <c r="GQ120" s="42"/>
      <c r="GR120" s="42"/>
      <c r="GS120" s="42"/>
      <c r="GT120" s="42"/>
      <c r="GU120" s="42"/>
      <c r="GV120" s="42"/>
      <c r="GW120" s="42"/>
      <c r="GX120" s="42"/>
      <c r="GY120" s="42"/>
      <c r="GZ120" s="42"/>
      <c r="HA120" s="42"/>
      <c r="HB120" s="42"/>
      <c r="HC120" s="42"/>
      <c r="HD120" s="42"/>
      <c r="HE120" s="42"/>
      <c r="HF120" s="42"/>
      <c r="HG120" s="42"/>
      <c r="HH120" s="42"/>
      <c r="HI120" s="42"/>
      <c r="HJ120" s="42"/>
      <c r="HK120" s="42"/>
      <c r="HL120" s="42"/>
      <c r="HM120" s="42"/>
      <c r="HN120" s="42"/>
      <c r="HO120" s="42"/>
      <c r="HP120" s="42"/>
      <c r="HQ120" s="42"/>
      <c r="HR120" s="42"/>
      <c r="HS120" s="42"/>
      <c r="HT120" s="42"/>
      <c r="HU120" s="42"/>
      <c r="HV120" s="42"/>
      <c r="HW120" s="42"/>
      <c r="HX120" s="42"/>
      <c r="HY120" s="42"/>
      <c r="HZ120" s="42"/>
      <c r="IA120" s="42"/>
      <c r="IB120" s="42"/>
      <c r="IC120" s="42"/>
      <c r="ID120" s="42"/>
      <c r="IE120" s="42"/>
      <c r="IF120" s="42"/>
      <c r="IG120" s="42"/>
      <c r="IH120" s="42"/>
      <c r="II120" s="42"/>
      <c r="IJ120" s="42"/>
      <c r="IK120" s="42"/>
      <c r="IL120" s="42"/>
      <c r="IM120" s="42"/>
      <c r="IN120" s="42"/>
      <c r="IO120" s="42"/>
      <c r="IP120" s="42"/>
      <c r="IQ120" s="42"/>
      <c r="IR120" s="42"/>
      <c r="IS120" s="42"/>
      <c r="IT120" s="42"/>
      <c r="IU120" s="42"/>
      <c r="IV120" s="42"/>
      <c r="IW120" s="42"/>
      <c r="IX120" s="42"/>
      <c r="IY120" s="42"/>
      <c r="IZ120" s="42"/>
      <c r="JA120" s="42"/>
      <c r="JB120" s="42"/>
      <c r="JC120" s="42"/>
      <c r="JD120" s="42"/>
      <c r="JE120" s="42"/>
      <c r="JF120" s="42"/>
      <c r="JG120" s="42"/>
      <c r="JH120" s="42"/>
      <c r="JI120" s="42"/>
      <c r="JJ120" s="42"/>
      <c r="JK120" s="42"/>
      <c r="JL120" s="42"/>
      <c r="JM120" s="42"/>
      <c r="JN120" s="42"/>
      <c r="JO120" s="42"/>
      <c r="JP120" s="42"/>
      <c r="JQ120" s="42"/>
      <c r="JR120" s="42"/>
      <c r="JS120" s="42"/>
      <c r="JT120" s="42"/>
      <c r="JU120" s="42"/>
      <c r="JV120" s="42"/>
      <c r="JW120" s="42"/>
      <c r="JX120" s="42"/>
      <c r="JY120" s="42"/>
      <c r="JZ120" s="42"/>
      <c r="KA120" s="42"/>
      <c r="KB120" s="42"/>
      <c r="KC120" s="42"/>
      <c r="KD120" s="42"/>
      <c r="KE120" s="42"/>
      <c r="KF120" s="42"/>
      <c r="KG120" s="42"/>
      <c r="KH120" s="42"/>
      <c r="KI120" s="42"/>
      <c r="KJ120" s="42"/>
      <c r="KK120" s="42"/>
      <c r="KL120" s="42"/>
      <c r="KM120" s="42"/>
      <c r="KN120" s="42"/>
      <c r="KO120" s="42"/>
      <c r="KP120" s="42"/>
      <c r="KQ120" s="42"/>
      <c r="KR120" s="42"/>
      <c r="KS120" s="42"/>
      <c r="KT120" s="42"/>
      <c r="KU120" s="42"/>
      <c r="KV120" s="42"/>
      <c r="KW120" s="42"/>
      <c r="KX120" s="42"/>
      <c r="KY120" s="42"/>
      <c r="KZ120" s="42"/>
      <c r="LA120" s="42"/>
      <c r="LB120" s="42"/>
      <c r="LC120" s="42"/>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c r="BR121" s="42"/>
      <c r="BS121" s="42"/>
      <c r="BT121" s="42"/>
      <c r="BU121" s="42"/>
      <c r="BV121" s="42"/>
      <c r="BW121" s="42"/>
      <c r="BX121" s="42"/>
      <c r="BY121" s="42"/>
      <c r="BZ121" s="42"/>
      <c r="CA121" s="42"/>
      <c r="CB121" s="42"/>
      <c r="CC121" s="42"/>
      <c r="CD121" s="42"/>
      <c r="CE121" s="42"/>
      <c r="CF121" s="42"/>
      <c r="CG121" s="42"/>
      <c r="CH121" s="42"/>
      <c r="CI121" s="42"/>
      <c r="CJ121" s="42"/>
      <c r="CK121" s="42"/>
      <c r="CL121" s="42"/>
      <c r="CM121" s="42"/>
      <c r="CN121" s="42"/>
      <c r="CO121" s="42"/>
      <c r="CP121" s="42"/>
      <c r="CQ121" s="42"/>
      <c r="CR121" s="42"/>
      <c r="CS121" s="42"/>
      <c r="CT121" s="42"/>
      <c r="CU121" s="42"/>
      <c r="CV121" s="42"/>
      <c r="CW121" s="42"/>
      <c r="CX121" s="42"/>
      <c r="CY121" s="42"/>
      <c r="CZ121" s="42"/>
      <c r="DA121" s="42"/>
      <c r="DB121" s="42"/>
      <c r="DC121" s="42"/>
      <c r="DD121" s="42"/>
      <c r="DE121" s="42"/>
      <c r="DF121" s="42"/>
      <c r="DG121" s="42"/>
      <c r="DH121" s="42"/>
      <c r="DI121" s="42"/>
      <c r="DJ121" s="42"/>
      <c r="DK121" s="42"/>
      <c r="DL121" s="42"/>
      <c r="DM121" s="42"/>
      <c r="DN121" s="42"/>
      <c r="DO121" s="42"/>
      <c r="DP121" s="42"/>
      <c r="DQ121" s="42"/>
      <c r="DR121" s="42"/>
      <c r="DS121" s="42"/>
      <c r="DT121" s="42"/>
      <c r="DU121" s="42"/>
      <c r="DV121" s="42"/>
      <c r="DW121" s="42"/>
      <c r="DX121" s="42"/>
      <c r="DY121" s="42"/>
      <c r="DZ121" s="42"/>
      <c r="EA121" s="42"/>
      <c r="EB121" s="42"/>
      <c r="EC121" s="42"/>
      <c r="ED121" s="42"/>
      <c r="EE121" s="42"/>
      <c r="EF121" s="42"/>
      <c r="EG121" s="42"/>
      <c r="EH121" s="42"/>
      <c r="EI121" s="42"/>
      <c r="EJ121" s="42"/>
      <c r="EK121" s="42"/>
      <c r="EL121" s="42"/>
      <c r="EM121" s="42"/>
      <c r="EN121" s="42"/>
      <c r="EO121" s="42"/>
      <c r="EP121" s="42"/>
      <c r="EQ121" s="42"/>
      <c r="ER121" s="42"/>
      <c r="ES121" s="42"/>
      <c r="ET121" s="42"/>
      <c r="EU121" s="42"/>
      <c r="EV121" s="42"/>
      <c r="EW121" s="42"/>
      <c r="EX121" s="42"/>
      <c r="EY121" s="42"/>
      <c r="EZ121" s="42"/>
      <c r="FA121" s="42"/>
      <c r="FB121" s="42"/>
      <c r="FC121" s="42"/>
      <c r="FD121" s="42"/>
      <c r="FE121" s="42"/>
      <c r="FF121" s="42"/>
      <c r="FG121" s="42"/>
      <c r="FH121" s="42"/>
      <c r="FI121" s="42"/>
      <c r="FJ121" s="42"/>
      <c r="FK121" s="42"/>
      <c r="FL121" s="42"/>
      <c r="FM121" s="42"/>
      <c r="FN121" s="42"/>
      <c r="FO121" s="42"/>
      <c r="FP121" s="42"/>
      <c r="FQ121" s="42"/>
      <c r="FR121" s="42"/>
      <c r="FS121" s="42"/>
      <c r="FT121" s="42"/>
      <c r="FU121" s="42"/>
      <c r="FV121" s="42"/>
      <c r="FW121" s="42"/>
      <c r="FX121" s="42"/>
      <c r="FY121" s="42"/>
      <c r="FZ121" s="42"/>
      <c r="GA121" s="42"/>
      <c r="GB121" s="42"/>
      <c r="GC121" s="42"/>
      <c r="GD121" s="42"/>
      <c r="GE121" s="42"/>
      <c r="GF121" s="42"/>
      <c r="GG121" s="42"/>
      <c r="GH121" s="42"/>
      <c r="GI121" s="42"/>
      <c r="GJ121" s="42"/>
      <c r="GK121" s="42"/>
      <c r="GL121" s="42"/>
      <c r="GM121" s="42"/>
      <c r="GN121" s="42"/>
      <c r="GO121" s="42"/>
      <c r="GP121" s="42"/>
      <c r="GQ121" s="42"/>
      <c r="GR121" s="42"/>
      <c r="GS121" s="42"/>
      <c r="GT121" s="42"/>
      <c r="GU121" s="42"/>
      <c r="GV121" s="42"/>
      <c r="GW121" s="42"/>
      <c r="GX121" s="42"/>
      <c r="GY121" s="42"/>
      <c r="GZ121" s="42"/>
      <c r="HA121" s="42"/>
      <c r="HB121" s="42"/>
      <c r="HC121" s="42"/>
      <c r="HD121" s="42"/>
      <c r="HE121" s="42"/>
      <c r="HF121" s="42"/>
      <c r="HG121" s="42"/>
      <c r="HH121" s="42"/>
      <c r="HI121" s="42"/>
      <c r="HJ121" s="42"/>
      <c r="HK121" s="42"/>
      <c r="HL121" s="42"/>
      <c r="HM121" s="42"/>
      <c r="HN121" s="42"/>
      <c r="HO121" s="42"/>
      <c r="HP121" s="42"/>
      <c r="HQ121" s="42"/>
      <c r="HR121" s="42"/>
      <c r="HS121" s="42"/>
      <c r="HT121" s="42"/>
      <c r="HU121" s="42"/>
      <c r="HV121" s="42"/>
      <c r="HW121" s="42"/>
      <c r="HX121" s="42"/>
      <c r="HY121" s="42"/>
      <c r="HZ121" s="42"/>
      <c r="IA121" s="42"/>
      <c r="IB121" s="42"/>
      <c r="IC121" s="42"/>
      <c r="ID121" s="42"/>
      <c r="IE121" s="42"/>
      <c r="IF121" s="42"/>
      <c r="IG121" s="42"/>
      <c r="IH121" s="42"/>
      <c r="II121" s="42"/>
      <c r="IJ121" s="42"/>
      <c r="IK121" s="42"/>
      <c r="IL121" s="42"/>
      <c r="IM121" s="42"/>
      <c r="IN121" s="42"/>
      <c r="IO121" s="42"/>
      <c r="IP121" s="42"/>
      <c r="IQ121" s="42"/>
      <c r="IR121" s="42"/>
      <c r="IS121" s="42"/>
      <c r="IT121" s="42"/>
      <c r="IU121" s="42"/>
      <c r="IV121" s="42"/>
      <c r="IW121" s="42"/>
      <c r="IX121" s="42"/>
      <c r="IY121" s="42"/>
      <c r="IZ121" s="42"/>
      <c r="JA121" s="42"/>
      <c r="JB121" s="42"/>
      <c r="JC121" s="42"/>
      <c r="JD121" s="42"/>
      <c r="JE121" s="42"/>
      <c r="JF121" s="42"/>
      <c r="JG121" s="42"/>
      <c r="JH121" s="42"/>
      <c r="JI121" s="42"/>
      <c r="JJ121" s="42"/>
      <c r="JK121" s="42"/>
      <c r="JL121" s="42"/>
      <c r="JM121" s="42"/>
      <c r="JN121" s="42"/>
      <c r="JO121" s="42"/>
      <c r="JP121" s="42"/>
      <c r="JQ121" s="42"/>
      <c r="JR121" s="42"/>
      <c r="JS121" s="42"/>
      <c r="JT121" s="42"/>
      <c r="JU121" s="42"/>
      <c r="JV121" s="42"/>
      <c r="JW121" s="42"/>
      <c r="JX121" s="42"/>
      <c r="JY121" s="42"/>
      <c r="JZ121" s="42"/>
      <c r="KA121" s="42"/>
      <c r="KB121" s="42"/>
      <c r="KC121" s="42"/>
      <c r="KD121" s="42"/>
      <c r="KE121" s="42"/>
      <c r="KF121" s="42"/>
      <c r="KG121" s="42"/>
      <c r="KH121" s="42"/>
      <c r="KI121" s="42"/>
      <c r="KJ121" s="42"/>
      <c r="KK121" s="42"/>
      <c r="KL121" s="42"/>
      <c r="KM121" s="42"/>
      <c r="KN121" s="42"/>
      <c r="KO121" s="42"/>
      <c r="KP121" s="42"/>
      <c r="KQ121" s="42"/>
      <c r="KR121" s="42"/>
      <c r="KS121" s="42"/>
      <c r="KT121" s="42"/>
      <c r="KU121" s="42"/>
      <c r="KV121" s="42"/>
      <c r="KW121" s="42"/>
      <c r="KX121" s="42"/>
      <c r="KY121" s="42"/>
      <c r="KZ121" s="42"/>
      <c r="LA121" s="42"/>
      <c r="LB121" s="42"/>
      <c r="LC121" s="42"/>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c r="BR122" s="42"/>
      <c r="BS122" s="42"/>
      <c r="BT122" s="42"/>
      <c r="BU122" s="42"/>
      <c r="BV122" s="42"/>
      <c r="BW122" s="42"/>
      <c r="BX122" s="42"/>
      <c r="BY122" s="42"/>
      <c r="BZ122" s="42"/>
      <c r="CA122" s="42"/>
      <c r="CB122" s="42"/>
      <c r="CC122" s="42"/>
      <c r="CD122" s="42"/>
      <c r="CE122" s="42"/>
      <c r="CF122" s="42"/>
      <c r="CG122" s="42"/>
      <c r="CH122" s="42"/>
      <c r="CI122" s="42"/>
      <c r="CJ122" s="42"/>
      <c r="CK122" s="42"/>
      <c r="CL122" s="42"/>
      <c r="CM122" s="42"/>
      <c r="CN122" s="42"/>
      <c r="CO122" s="42"/>
      <c r="CP122" s="42"/>
      <c r="CQ122" s="42"/>
      <c r="CR122" s="42"/>
      <c r="CS122" s="42"/>
      <c r="CT122" s="42"/>
      <c r="CU122" s="42"/>
      <c r="CV122" s="42"/>
      <c r="CW122" s="42"/>
      <c r="CX122" s="42"/>
      <c r="CY122" s="42"/>
      <c r="CZ122" s="42"/>
      <c r="DA122" s="42"/>
      <c r="DB122" s="42"/>
      <c r="DC122" s="42"/>
      <c r="DD122" s="42"/>
      <c r="DE122" s="42"/>
      <c r="DF122" s="42"/>
      <c r="DG122" s="42"/>
      <c r="DH122" s="42"/>
      <c r="DI122" s="42"/>
      <c r="DJ122" s="42"/>
      <c r="DK122" s="42"/>
      <c r="DL122" s="42"/>
      <c r="DM122" s="42"/>
      <c r="DN122" s="42"/>
      <c r="DO122" s="42"/>
      <c r="DP122" s="42"/>
      <c r="DQ122" s="42"/>
      <c r="DR122" s="42"/>
      <c r="DS122" s="42"/>
      <c r="DT122" s="42"/>
      <c r="DU122" s="42"/>
      <c r="DV122" s="42"/>
      <c r="DW122" s="42"/>
      <c r="DX122" s="42"/>
      <c r="DY122" s="42"/>
      <c r="DZ122" s="42"/>
      <c r="EA122" s="42"/>
      <c r="EB122" s="42"/>
      <c r="EC122" s="42"/>
      <c r="ED122" s="42"/>
      <c r="EE122" s="42"/>
      <c r="EF122" s="42"/>
      <c r="EG122" s="42"/>
      <c r="EH122" s="42"/>
      <c r="EI122" s="42"/>
      <c r="EJ122" s="42"/>
      <c r="EK122" s="42"/>
      <c r="EL122" s="42"/>
      <c r="EM122" s="42"/>
      <c r="EN122" s="42"/>
      <c r="EO122" s="42"/>
      <c r="EP122" s="42"/>
      <c r="EQ122" s="42"/>
      <c r="ER122" s="42"/>
      <c r="ES122" s="42"/>
      <c r="ET122" s="42"/>
      <c r="EU122" s="42"/>
      <c r="EV122" s="42"/>
      <c r="EW122" s="42"/>
      <c r="EX122" s="42"/>
      <c r="EY122" s="42"/>
      <c r="EZ122" s="42"/>
      <c r="FA122" s="42"/>
      <c r="FB122" s="42"/>
      <c r="FC122" s="42"/>
      <c r="FD122" s="42"/>
      <c r="FE122" s="42"/>
      <c r="FF122" s="42"/>
      <c r="FG122" s="42"/>
      <c r="FH122" s="42"/>
      <c r="FI122" s="42"/>
      <c r="FJ122" s="42"/>
      <c r="FK122" s="42"/>
      <c r="FL122" s="42"/>
      <c r="FM122" s="42"/>
      <c r="FN122" s="42"/>
      <c r="FO122" s="42"/>
      <c r="FP122" s="42"/>
      <c r="FQ122" s="42"/>
      <c r="FR122" s="42"/>
      <c r="FS122" s="42"/>
      <c r="FT122" s="42"/>
      <c r="FU122" s="42"/>
      <c r="FV122" s="42"/>
      <c r="FW122" s="42"/>
      <c r="FX122" s="42"/>
      <c r="FY122" s="42"/>
      <c r="FZ122" s="42"/>
      <c r="GA122" s="42"/>
      <c r="GB122" s="42"/>
      <c r="GC122" s="42"/>
      <c r="GD122" s="42"/>
      <c r="GE122" s="42"/>
      <c r="GF122" s="42"/>
      <c r="GG122" s="42"/>
      <c r="GH122" s="42"/>
      <c r="GI122" s="42"/>
      <c r="GJ122" s="42"/>
      <c r="GK122" s="42"/>
      <c r="GL122" s="42"/>
      <c r="GM122" s="42"/>
      <c r="GN122" s="42"/>
      <c r="GO122" s="42"/>
      <c r="GP122" s="42"/>
      <c r="GQ122" s="42"/>
      <c r="GR122" s="42"/>
      <c r="GS122" s="42"/>
      <c r="GT122" s="42"/>
      <c r="GU122" s="42"/>
      <c r="GV122" s="42"/>
      <c r="GW122" s="42"/>
      <c r="GX122" s="42"/>
      <c r="GY122" s="42"/>
      <c r="GZ122" s="42"/>
      <c r="HA122" s="42"/>
      <c r="HB122" s="42"/>
      <c r="HC122" s="42"/>
      <c r="HD122" s="42"/>
      <c r="HE122" s="42"/>
      <c r="HF122" s="42"/>
      <c r="HG122" s="42"/>
      <c r="HH122" s="42"/>
      <c r="HI122" s="42"/>
      <c r="HJ122" s="42"/>
      <c r="HK122" s="42"/>
      <c r="HL122" s="42"/>
      <c r="HM122" s="42"/>
      <c r="HN122" s="42"/>
      <c r="HO122" s="42"/>
      <c r="HP122" s="42"/>
      <c r="HQ122" s="42"/>
      <c r="HR122" s="42"/>
      <c r="HS122" s="42"/>
      <c r="HT122" s="42"/>
      <c r="HU122" s="42"/>
      <c r="HV122" s="42"/>
      <c r="HW122" s="42"/>
      <c r="HX122" s="42"/>
      <c r="HY122" s="42"/>
      <c r="HZ122" s="42"/>
      <c r="IA122" s="42"/>
      <c r="IB122" s="42"/>
      <c r="IC122" s="42"/>
      <c r="ID122" s="42"/>
      <c r="IE122" s="42"/>
      <c r="IF122" s="42"/>
      <c r="IG122" s="42"/>
      <c r="IH122" s="42"/>
      <c r="II122" s="42"/>
      <c r="IJ122" s="42"/>
      <c r="IK122" s="42"/>
      <c r="IL122" s="42"/>
      <c r="IM122" s="42"/>
      <c r="IN122" s="42"/>
      <c r="IO122" s="42"/>
      <c r="IP122" s="42"/>
      <c r="IQ122" s="42"/>
      <c r="IR122" s="42"/>
      <c r="IS122" s="42"/>
      <c r="IT122" s="42"/>
      <c r="IU122" s="42"/>
      <c r="IV122" s="42"/>
      <c r="IW122" s="42"/>
      <c r="IX122" s="42"/>
      <c r="IY122" s="42"/>
      <c r="IZ122" s="42"/>
      <c r="JA122" s="42"/>
      <c r="JB122" s="42"/>
      <c r="JC122" s="42"/>
      <c r="JD122" s="42"/>
      <c r="JE122" s="42"/>
      <c r="JF122" s="42"/>
      <c r="JG122" s="42"/>
      <c r="JH122" s="42"/>
      <c r="JI122" s="42"/>
      <c r="JJ122" s="42"/>
      <c r="JK122" s="42"/>
      <c r="JL122" s="42"/>
      <c r="JM122" s="42"/>
      <c r="JN122" s="42"/>
      <c r="JO122" s="42"/>
      <c r="JP122" s="42"/>
      <c r="JQ122" s="42"/>
      <c r="JR122" s="42"/>
      <c r="JS122" s="42"/>
      <c r="JT122" s="42"/>
      <c r="JU122" s="42"/>
      <c r="JV122" s="42"/>
      <c r="JW122" s="42"/>
      <c r="JX122" s="42"/>
      <c r="JY122" s="42"/>
      <c r="JZ122" s="42"/>
      <c r="KA122" s="42"/>
      <c r="KB122" s="42"/>
      <c r="KC122" s="42"/>
      <c r="KD122" s="42"/>
      <c r="KE122" s="42"/>
      <c r="KF122" s="42"/>
      <c r="KG122" s="42"/>
      <c r="KH122" s="42"/>
      <c r="KI122" s="42"/>
      <c r="KJ122" s="42"/>
      <c r="KK122" s="42"/>
      <c r="KL122" s="42"/>
      <c r="KM122" s="42"/>
      <c r="KN122" s="42"/>
      <c r="KO122" s="42"/>
      <c r="KP122" s="42"/>
      <c r="KQ122" s="42"/>
      <c r="KR122" s="42"/>
      <c r="KS122" s="42"/>
      <c r="KT122" s="42"/>
      <c r="KU122" s="42"/>
      <c r="KV122" s="42"/>
      <c r="KW122" s="42"/>
      <c r="KX122" s="42"/>
      <c r="KY122" s="42"/>
      <c r="KZ122" s="42"/>
      <c r="LA122" s="42"/>
      <c r="LB122" s="42"/>
      <c r="LC122" s="42"/>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c r="BW123" s="42"/>
      <c r="BX123" s="42"/>
      <c r="BY123" s="42"/>
      <c r="BZ123" s="42"/>
      <c r="CA123" s="42"/>
      <c r="CB123" s="42"/>
      <c r="CC123" s="42"/>
      <c r="CD123" s="42"/>
      <c r="CE123" s="42"/>
      <c r="CF123" s="42"/>
      <c r="CG123" s="42"/>
      <c r="CH123" s="42"/>
      <c r="CI123" s="42"/>
      <c r="CJ123" s="42"/>
      <c r="CK123" s="42"/>
      <c r="CL123" s="42"/>
      <c r="CM123" s="42"/>
      <c r="CN123" s="42"/>
      <c r="CO123" s="42"/>
      <c r="CP123" s="42"/>
      <c r="CQ123" s="42"/>
      <c r="CR123" s="42"/>
      <c r="CS123" s="42"/>
      <c r="CT123" s="42"/>
      <c r="CU123" s="42"/>
      <c r="CV123" s="42"/>
      <c r="CW123" s="42"/>
      <c r="CX123" s="42"/>
      <c r="CY123" s="42"/>
      <c r="CZ123" s="42"/>
      <c r="DA123" s="42"/>
      <c r="DB123" s="42"/>
      <c r="DC123" s="42"/>
      <c r="DD123" s="42"/>
      <c r="DE123" s="42"/>
      <c r="DF123" s="42"/>
      <c r="DG123" s="42"/>
      <c r="DH123" s="42"/>
      <c r="DI123" s="42"/>
      <c r="DJ123" s="42"/>
      <c r="DK123" s="42"/>
      <c r="DL123" s="42"/>
      <c r="DM123" s="42"/>
      <c r="DN123" s="42"/>
      <c r="DO123" s="42"/>
      <c r="DP123" s="42"/>
      <c r="DQ123" s="42"/>
      <c r="DR123" s="42"/>
      <c r="DS123" s="42"/>
      <c r="DT123" s="42"/>
      <c r="DU123" s="42"/>
      <c r="DV123" s="42"/>
      <c r="DW123" s="42"/>
      <c r="DX123" s="42"/>
      <c r="DY123" s="42"/>
      <c r="DZ123" s="42"/>
      <c r="EA123" s="42"/>
      <c r="EB123" s="42"/>
      <c r="EC123" s="42"/>
      <c r="ED123" s="42"/>
      <c r="EE123" s="42"/>
      <c r="EF123" s="42"/>
      <c r="EG123" s="42"/>
      <c r="EH123" s="42"/>
      <c r="EI123" s="42"/>
      <c r="EJ123" s="42"/>
      <c r="EK123" s="42"/>
      <c r="EL123" s="42"/>
      <c r="EM123" s="42"/>
      <c r="EN123" s="42"/>
      <c r="EO123" s="42"/>
      <c r="EP123" s="42"/>
      <c r="EQ123" s="42"/>
      <c r="ER123" s="42"/>
      <c r="ES123" s="42"/>
      <c r="ET123" s="42"/>
      <c r="EU123" s="42"/>
      <c r="EV123" s="42"/>
      <c r="EW123" s="42"/>
      <c r="EX123" s="42"/>
      <c r="EY123" s="42"/>
      <c r="EZ123" s="42"/>
      <c r="FA123" s="42"/>
      <c r="FB123" s="42"/>
      <c r="FC123" s="42"/>
      <c r="FD123" s="42"/>
      <c r="FE123" s="42"/>
      <c r="FF123" s="42"/>
      <c r="FG123" s="42"/>
      <c r="FH123" s="42"/>
      <c r="FI123" s="42"/>
      <c r="FJ123" s="42"/>
      <c r="FK123" s="42"/>
      <c r="FL123" s="42"/>
      <c r="FM123" s="42"/>
      <c r="FN123" s="42"/>
      <c r="FO123" s="42"/>
      <c r="FP123" s="42"/>
      <c r="FQ123" s="42"/>
      <c r="FR123" s="42"/>
      <c r="FS123" s="42"/>
      <c r="FT123" s="42"/>
      <c r="FU123" s="42"/>
      <c r="FV123" s="42"/>
      <c r="FW123" s="42"/>
      <c r="FX123" s="42"/>
      <c r="FY123" s="42"/>
      <c r="FZ123" s="42"/>
      <c r="GA123" s="42"/>
      <c r="GB123" s="42"/>
      <c r="GC123" s="42"/>
      <c r="GD123" s="42"/>
      <c r="GE123" s="42"/>
      <c r="GF123" s="42"/>
      <c r="GG123" s="42"/>
      <c r="GH123" s="42"/>
      <c r="GI123" s="42"/>
      <c r="GJ123" s="42"/>
      <c r="GK123" s="42"/>
      <c r="GL123" s="42"/>
      <c r="GM123" s="42"/>
      <c r="GN123" s="42"/>
      <c r="GO123" s="42"/>
      <c r="GP123" s="42"/>
      <c r="GQ123" s="42"/>
      <c r="GR123" s="42"/>
      <c r="GS123" s="42"/>
      <c r="GT123" s="42"/>
      <c r="GU123" s="42"/>
      <c r="GV123" s="42"/>
      <c r="GW123" s="42"/>
      <c r="GX123" s="42"/>
      <c r="GY123" s="42"/>
      <c r="GZ123" s="42"/>
      <c r="HA123" s="42"/>
      <c r="HB123" s="42"/>
      <c r="HC123" s="42"/>
      <c r="HD123" s="42"/>
      <c r="HE123" s="42"/>
      <c r="HF123" s="42"/>
      <c r="HG123" s="42"/>
      <c r="HH123" s="42"/>
      <c r="HI123" s="42"/>
      <c r="HJ123" s="42"/>
      <c r="HK123" s="42"/>
      <c r="HL123" s="42"/>
      <c r="HM123" s="42"/>
      <c r="HN123" s="42"/>
      <c r="HO123" s="42"/>
      <c r="HP123" s="42"/>
      <c r="HQ123" s="42"/>
      <c r="HR123" s="42"/>
      <c r="HS123" s="42"/>
      <c r="HT123" s="42"/>
      <c r="HU123" s="42"/>
      <c r="HV123" s="42"/>
      <c r="HW123" s="42"/>
      <c r="HX123" s="42"/>
      <c r="HY123" s="42"/>
      <c r="HZ123" s="42"/>
      <c r="IA123" s="42"/>
      <c r="IB123" s="42"/>
      <c r="IC123" s="42"/>
      <c r="ID123" s="42"/>
      <c r="IE123" s="42"/>
      <c r="IF123" s="42"/>
      <c r="IG123" s="42"/>
      <c r="IH123" s="42"/>
      <c r="II123" s="42"/>
      <c r="IJ123" s="42"/>
      <c r="IK123" s="42"/>
      <c r="IL123" s="42"/>
      <c r="IM123" s="42"/>
      <c r="IN123" s="42"/>
      <c r="IO123" s="42"/>
      <c r="IP123" s="42"/>
      <c r="IQ123" s="42"/>
      <c r="IR123" s="42"/>
      <c r="IS123" s="42"/>
      <c r="IT123" s="42"/>
      <c r="IU123" s="42"/>
      <c r="IV123" s="42"/>
      <c r="IW123" s="42"/>
      <c r="IX123" s="42"/>
      <c r="IY123" s="42"/>
      <c r="IZ123" s="42"/>
      <c r="JA123" s="42"/>
      <c r="JB123" s="42"/>
      <c r="JC123" s="42"/>
      <c r="JD123" s="42"/>
      <c r="JE123" s="42"/>
      <c r="JF123" s="42"/>
      <c r="JG123" s="42"/>
      <c r="JH123" s="42"/>
      <c r="JI123" s="42"/>
      <c r="JJ123" s="42"/>
      <c r="JK123" s="42"/>
      <c r="JL123" s="42"/>
      <c r="JM123" s="42"/>
      <c r="JN123" s="42"/>
      <c r="JO123" s="42"/>
      <c r="JP123" s="42"/>
      <c r="JQ123" s="42"/>
      <c r="JR123" s="42"/>
      <c r="JS123" s="42"/>
      <c r="JT123" s="42"/>
      <c r="JU123" s="42"/>
      <c r="JV123" s="42"/>
      <c r="JW123" s="42"/>
      <c r="JX123" s="42"/>
      <c r="JY123" s="42"/>
      <c r="JZ123" s="42"/>
      <c r="KA123" s="42"/>
      <c r="KB123" s="42"/>
      <c r="KC123" s="42"/>
      <c r="KD123" s="42"/>
      <c r="KE123" s="42"/>
      <c r="KF123" s="42"/>
      <c r="KG123" s="42"/>
      <c r="KH123" s="42"/>
      <c r="KI123" s="42"/>
      <c r="KJ123" s="42"/>
      <c r="KK123" s="42"/>
      <c r="KL123" s="42"/>
      <c r="KM123" s="42"/>
      <c r="KN123" s="42"/>
      <c r="KO123" s="42"/>
      <c r="KP123" s="42"/>
      <c r="KQ123" s="42"/>
      <c r="KR123" s="42"/>
      <c r="KS123" s="42"/>
      <c r="KT123" s="42"/>
      <c r="KU123" s="42"/>
      <c r="KV123" s="42"/>
      <c r="KW123" s="42"/>
      <c r="KX123" s="42"/>
      <c r="KY123" s="42"/>
      <c r="KZ123" s="42"/>
      <c r="LA123" s="42"/>
      <c r="LB123" s="42"/>
      <c r="LC123" s="42"/>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c r="BV124" s="42"/>
      <c r="BW124" s="42"/>
      <c r="BX124" s="42"/>
      <c r="BY124" s="42"/>
      <c r="BZ124" s="42"/>
      <c r="CA124" s="42"/>
      <c r="CB124" s="42"/>
      <c r="CC124" s="42"/>
      <c r="CD124" s="42"/>
      <c r="CE124" s="42"/>
      <c r="CF124" s="42"/>
      <c r="CG124" s="42"/>
      <c r="CH124" s="42"/>
      <c r="CI124" s="42"/>
      <c r="CJ124" s="42"/>
      <c r="CK124" s="42"/>
      <c r="CL124" s="42"/>
      <c r="CM124" s="42"/>
      <c r="CN124" s="42"/>
      <c r="CO124" s="42"/>
      <c r="CP124" s="42"/>
      <c r="CQ124" s="42"/>
      <c r="CR124" s="42"/>
      <c r="CS124" s="42"/>
      <c r="CT124" s="42"/>
      <c r="CU124" s="42"/>
      <c r="CV124" s="42"/>
      <c r="CW124" s="42"/>
      <c r="CX124" s="42"/>
      <c r="CY124" s="42"/>
      <c r="CZ124" s="42"/>
      <c r="DA124" s="42"/>
      <c r="DB124" s="42"/>
      <c r="DC124" s="42"/>
      <c r="DD124" s="42"/>
      <c r="DE124" s="42"/>
      <c r="DF124" s="42"/>
      <c r="DG124" s="42"/>
      <c r="DH124" s="42"/>
      <c r="DI124" s="42"/>
      <c r="DJ124" s="42"/>
      <c r="DK124" s="42"/>
      <c r="DL124" s="42"/>
      <c r="DM124" s="42"/>
      <c r="DN124" s="42"/>
      <c r="DO124" s="42"/>
      <c r="DP124" s="42"/>
      <c r="DQ124" s="42"/>
      <c r="DR124" s="42"/>
      <c r="DS124" s="42"/>
      <c r="DT124" s="42"/>
      <c r="DU124" s="42"/>
      <c r="DV124" s="42"/>
      <c r="DW124" s="42"/>
      <c r="DX124" s="42"/>
      <c r="DY124" s="42"/>
      <c r="DZ124" s="42"/>
      <c r="EA124" s="42"/>
      <c r="EB124" s="42"/>
      <c r="EC124" s="42"/>
      <c r="ED124" s="42"/>
      <c r="EE124" s="42"/>
      <c r="EF124" s="42"/>
      <c r="EG124" s="42"/>
      <c r="EH124" s="42"/>
      <c r="EI124" s="42"/>
      <c r="EJ124" s="42"/>
      <c r="EK124" s="42"/>
      <c r="EL124" s="42"/>
      <c r="EM124" s="42"/>
      <c r="EN124" s="42"/>
      <c r="EO124" s="42"/>
      <c r="EP124" s="42"/>
      <c r="EQ124" s="42"/>
      <c r="ER124" s="42"/>
      <c r="ES124" s="42"/>
      <c r="ET124" s="42"/>
      <c r="EU124" s="42"/>
      <c r="EV124" s="42"/>
      <c r="EW124" s="42"/>
      <c r="EX124" s="42"/>
      <c r="EY124" s="42"/>
      <c r="EZ124" s="42"/>
      <c r="FA124" s="42"/>
      <c r="FB124" s="42"/>
      <c r="FC124" s="42"/>
      <c r="FD124" s="42"/>
      <c r="FE124" s="42"/>
      <c r="FF124" s="42"/>
      <c r="FG124" s="42"/>
      <c r="FH124" s="42"/>
      <c r="FI124" s="42"/>
      <c r="FJ124" s="42"/>
      <c r="FK124" s="42"/>
      <c r="FL124" s="42"/>
      <c r="FM124" s="42"/>
      <c r="FN124" s="42"/>
      <c r="FO124" s="42"/>
      <c r="FP124" s="42"/>
      <c r="FQ124" s="42"/>
      <c r="FR124" s="42"/>
      <c r="FS124" s="42"/>
      <c r="FT124" s="42"/>
      <c r="FU124" s="42"/>
      <c r="FV124" s="42"/>
      <c r="FW124" s="42"/>
      <c r="FX124" s="42"/>
      <c r="FY124" s="42"/>
      <c r="FZ124" s="42"/>
      <c r="GA124" s="42"/>
      <c r="GB124" s="42"/>
      <c r="GC124" s="42"/>
      <c r="GD124" s="42"/>
      <c r="GE124" s="42"/>
      <c r="GF124" s="42"/>
      <c r="GG124" s="42"/>
      <c r="GH124" s="42"/>
      <c r="GI124" s="42"/>
      <c r="GJ124" s="42"/>
      <c r="GK124" s="42"/>
      <c r="GL124" s="42"/>
      <c r="GM124" s="42"/>
      <c r="GN124" s="42"/>
      <c r="GO124" s="42"/>
      <c r="GP124" s="42"/>
      <c r="GQ124" s="42"/>
      <c r="GR124" s="42"/>
      <c r="GS124" s="42"/>
      <c r="GT124" s="42"/>
      <c r="GU124" s="42"/>
      <c r="GV124" s="42"/>
      <c r="GW124" s="42"/>
      <c r="GX124" s="42"/>
      <c r="GY124" s="42"/>
      <c r="GZ124" s="42"/>
      <c r="HA124" s="42"/>
      <c r="HB124" s="42"/>
      <c r="HC124" s="42"/>
      <c r="HD124" s="42"/>
      <c r="HE124" s="42"/>
      <c r="HF124" s="42"/>
      <c r="HG124" s="42"/>
      <c r="HH124" s="42"/>
      <c r="HI124" s="42"/>
      <c r="HJ124" s="42"/>
      <c r="HK124" s="42"/>
      <c r="HL124" s="42"/>
      <c r="HM124" s="42"/>
      <c r="HN124" s="42"/>
      <c r="HO124" s="42"/>
      <c r="HP124" s="42"/>
      <c r="HQ124" s="42"/>
      <c r="HR124" s="42"/>
      <c r="HS124" s="42"/>
      <c r="HT124" s="42"/>
      <c r="HU124" s="42"/>
      <c r="HV124" s="42"/>
      <c r="HW124" s="42"/>
      <c r="HX124" s="42"/>
      <c r="HY124" s="42"/>
      <c r="HZ124" s="42"/>
      <c r="IA124" s="42"/>
      <c r="IB124" s="42"/>
      <c r="IC124" s="42"/>
      <c r="ID124" s="42"/>
      <c r="IE124" s="42"/>
      <c r="IF124" s="42"/>
      <c r="IG124" s="42"/>
      <c r="IH124" s="42"/>
      <c r="II124" s="42"/>
      <c r="IJ124" s="42"/>
      <c r="IK124" s="42"/>
      <c r="IL124" s="42"/>
      <c r="IM124" s="42"/>
      <c r="IN124" s="42"/>
      <c r="IO124" s="42"/>
      <c r="IP124" s="42"/>
      <c r="IQ124" s="42"/>
      <c r="IR124" s="42"/>
      <c r="IS124" s="42"/>
      <c r="IT124" s="42"/>
      <c r="IU124" s="42"/>
      <c r="IV124" s="42"/>
      <c r="IW124" s="42"/>
      <c r="IX124" s="42"/>
      <c r="IY124" s="42"/>
      <c r="IZ124" s="42"/>
      <c r="JA124" s="42"/>
      <c r="JB124" s="42"/>
      <c r="JC124" s="42"/>
      <c r="JD124" s="42"/>
      <c r="JE124" s="42"/>
      <c r="JF124" s="42"/>
      <c r="JG124" s="42"/>
      <c r="JH124" s="42"/>
      <c r="JI124" s="42"/>
      <c r="JJ124" s="42"/>
      <c r="JK124" s="42"/>
      <c r="JL124" s="42"/>
      <c r="JM124" s="42"/>
      <c r="JN124" s="42"/>
      <c r="JO124" s="42"/>
      <c r="JP124" s="42"/>
      <c r="JQ124" s="42"/>
      <c r="JR124" s="42"/>
      <c r="JS124" s="42"/>
      <c r="JT124" s="42"/>
      <c r="JU124" s="42"/>
      <c r="JV124" s="42"/>
      <c r="JW124" s="42"/>
      <c r="JX124" s="42"/>
      <c r="JY124" s="42"/>
      <c r="JZ124" s="42"/>
      <c r="KA124" s="42"/>
      <c r="KB124" s="42"/>
      <c r="KC124" s="42"/>
      <c r="KD124" s="42"/>
      <c r="KE124" s="42"/>
      <c r="KF124" s="42"/>
      <c r="KG124" s="42"/>
      <c r="KH124" s="42"/>
      <c r="KI124" s="42"/>
      <c r="KJ124" s="42"/>
      <c r="KK124" s="42"/>
      <c r="KL124" s="42"/>
      <c r="KM124" s="42"/>
      <c r="KN124" s="42"/>
      <c r="KO124" s="42"/>
      <c r="KP124" s="42"/>
      <c r="KQ124" s="42"/>
      <c r="KR124" s="42"/>
      <c r="KS124" s="42"/>
      <c r="KT124" s="42"/>
      <c r="KU124" s="42"/>
      <c r="KV124" s="42"/>
      <c r="KW124" s="42"/>
      <c r="KX124" s="42"/>
      <c r="KY124" s="42"/>
      <c r="KZ124" s="42"/>
      <c r="LA124" s="42"/>
      <c r="LB124" s="42"/>
      <c r="LC124" s="42"/>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c r="BR125" s="42"/>
      <c r="BS125" s="42"/>
      <c r="BT125" s="42"/>
      <c r="BU125" s="42"/>
      <c r="BV125" s="42"/>
      <c r="BW125" s="42"/>
      <c r="BX125" s="42"/>
      <c r="BY125" s="42"/>
      <c r="BZ125" s="42"/>
      <c r="CA125" s="42"/>
      <c r="CB125" s="42"/>
      <c r="CC125" s="42"/>
      <c r="CD125" s="42"/>
      <c r="CE125" s="42"/>
      <c r="CF125" s="42"/>
      <c r="CG125" s="42"/>
      <c r="CH125" s="42"/>
      <c r="CI125" s="42"/>
      <c r="CJ125" s="42"/>
      <c r="CK125" s="42"/>
      <c r="CL125" s="42"/>
      <c r="CM125" s="42"/>
      <c r="CN125" s="42"/>
      <c r="CO125" s="42"/>
      <c r="CP125" s="42"/>
      <c r="CQ125" s="42"/>
      <c r="CR125" s="42"/>
      <c r="CS125" s="42"/>
      <c r="CT125" s="42"/>
      <c r="CU125" s="42"/>
      <c r="CV125" s="42"/>
      <c r="CW125" s="42"/>
      <c r="CX125" s="42"/>
      <c r="CY125" s="42"/>
      <c r="CZ125" s="42"/>
      <c r="DA125" s="42"/>
      <c r="DB125" s="42"/>
      <c r="DC125" s="42"/>
      <c r="DD125" s="42"/>
      <c r="DE125" s="42"/>
      <c r="DF125" s="42"/>
      <c r="DG125" s="42"/>
      <c r="DH125" s="42"/>
      <c r="DI125" s="42"/>
      <c r="DJ125" s="42"/>
      <c r="DK125" s="42"/>
      <c r="DL125" s="42"/>
      <c r="DM125" s="42"/>
      <c r="DN125" s="42"/>
      <c r="DO125" s="42"/>
      <c r="DP125" s="42"/>
      <c r="DQ125" s="42"/>
      <c r="DR125" s="42"/>
      <c r="DS125" s="42"/>
      <c r="DT125" s="42"/>
      <c r="DU125" s="42"/>
      <c r="DV125" s="42"/>
      <c r="DW125" s="42"/>
      <c r="DX125" s="42"/>
      <c r="DY125" s="42"/>
      <c r="DZ125" s="42"/>
      <c r="EA125" s="42"/>
      <c r="EB125" s="42"/>
      <c r="EC125" s="42"/>
      <c r="ED125" s="42"/>
      <c r="EE125" s="42"/>
      <c r="EF125" s="42"/>
      <c r="EG125" s="42"/>
      <c r="EH125" s="42"/>
      <c r="EI125" s="42"/>
      <c r="EJ125" s="42"/>
      <c r="EK125" s="42"/>
      <c r="EL125" s="42"/>
      <c r="EM125" s="42"/>
      <c r="EN125" s="42"/>
      <c r="EO125" s="42"/>
      <c r="EP125" s="42"/>
      <c r="EQ125" s="42"/>
      <c r="ER125" s="42"/>
      <c r="ES125" s="42"/>
      <c r="ET125" s="42"/>
      <c r="EU125" s="42"/>
      <c r="EV125" s="42"/>
      <c r="EW125" s="42"/>
      <c r="EX125" s="42"/>
      <c r="EY125" s="42"/>
      <c r="EZ125" s="42"/>
      <c r="FA125" s="42"/>
      <c r="FB125" s="42"/>
      <c r="FC125" s="42"/>
      <c r="FD125" s="42"/>
      <c r="FE125" s="42"/>
      <c r="FF125" s="42"/>
      <c r="FG125" s="42"/>
      <c r="FH125" s="42"/>
      <c r="FI125" s="42"/>
      <c r="FJ125" s="42"/>
      <c r="FK125" s="42"/>
      <c r="FL125" s="42"/>
      <c r="FM125" s="42"/>
      <c r="FN125" s="42"/>
      <c r="FO125" s="42"/>
      <c r="FP125" s="42"/>
      <c r="FQ125" s="42"/>
      <c r="FR125" s="42"/>
      <c r="FS125" s="42"/>
      <c r="FT125" s="42"/>
      <c r="FU125" s="42"/>
      <c r="FV125" s="42"/>
      <c r="FW125" s="42"/>
      <c r="FX125" s="42"/>
      <c r="FY125" s="42"/>
      <c r="FZ125" s="42"/>
      <c r="GA125" s="42"/>
      <c r="GB125" s="42"/>
      <c r="GC125" s="42"/>
      <c r="GD125" s="42"/>
      <c r="GE125" s="42"/>
      <c r="GF125" s="42"/>
      <c r="GG125" s="42"/>
      <c r="GH125" s="42"/>
      <c r="GI125" s="42"/>
      <c r="GJ125" s="42"/>
      <c r="GK125" s="42"/>
      <c r="GL125" s="42"/>
      <c r="GM125" s="42"/>
      <c r="GN125" s="42"/>
      <c r="GO125" s="42"/>
      <c r="GP125" s="42"/>
      <c r="GQ125" s="42"/>
      <c r="GR125" s="42"/>
      <c r="GS125" s="42"/>
      <c r="GT125" s="42"/>
      <c r="GU125" s="42"/>
      <c r="GV125" s="42"/>
      <c r="GW125" s="42"/>
      <c r="GX125" s="42"/>
      <c r="GY125" s="42"/>
      <c r="GZ125" s="42"/>
      <c r="HA125" s="42"/>
      <c r="HB125" s="42"/>
      <c r="HC125" s="42"/>
      <c r="HD125" s="42"/>
      <c r="HE125" s="42"/>
      <c r="HF125" s="42"/>
      <c r="HG125" s="42"/>
      <c r="HH125" s="42"/>
      <c r="HI125" s="42"/>
      <c r="HJ125" s="42"/>
      <c r="HK125" s="42"/>
      <c r="HL125" s="42"/>
      <c r="HM125" s="42"/>
      <c r="HN125" s="42"/>
      <c r="HO125" s="42"/>
      <c r="HP125" s="42"/>
      <c r="HQ125" s="42"/>
      <c r="HR125" s="42"/>
      <c r="HS125" s="42"/>
      <c r="HT125" s="42"/>
      <c r="HU125" s="42"/>
      <c r="HV125" s="42"/>
      <c r="HW125" s="42"/>
      <c r="HX125" s="42"/>
      <c r="HY125" s="42"/>
      <c r="HZ125" s="42"/>
      <c r="IA125" s="42"/>
      <c r="IB125" s="42"/>
      <c r="IC125" s="42"/>
      <c r="ID125" s="42"/>
      <c r="IE125" s="42"/>
      <c r="IF125" s="42"/>
      <c r="IG125" s="42"/>
      <c r="IH125" s="42"/>
      <c r="II125" s="42"/>
      <c r="IJ125" s="42"/>
      <c r="IK125" s="42"/>
      <c r="IL125" s="42"/>
      <c r="IM125" s="42"/>
      <c r="IN125" s="42"/>
      <c r="IO125" s="42"/>
      <c r="IP125" s="42"/>
      <c r="IQ125" s="42"/>
      <c r="IR125" s="42"/>
      <c r="IS125" s="42"/>
      <c r="IT125" s="42"/>
      <c r="IU125" s="42"/>
      <c r="IV125" s="42"/>
      <c r="IW125" s="42"/>
      <c r="IX125" s="42"/>
      <c r="IY125" s="42"/>
      <c r="IZ125" s="42"/>
      <c r="JA125" s="42"/>
      <c r="JB125" s="42"/>
      <c r="JC125" s="42"/>
      <c r="JD125" s="42"/>
      <c r="JE125" s="42"/>
      <c r="JF125" s="42"/>
      <c r="JG125" s="42"/>
      <c r="JH125" s="42"/>
      <c r="JI125" s="42"/>
      <c r="JJ125" s="42"/>
      <c r="JK125" s="42"/>
      <c r="JL125" s="42"/>
      <c r="JM125" s="42"/>
      <c r="JN125" s="42"/>
      <c r="JO125" s="42"/>
      <c r="JP125" s="42"/>
      <c r="JQ125" s="42"/>
      <c r="JR125" s="42"/>
      <c r="JS125" s="42"/>
      <c r="JT125" s="42"/>
      <c r="JU125" s="42"/>
      <c r="JV125" s="42"/>
      <c r="JW125" s="42"/>
      <c r="JX125" s="42"/>
      <c r="JY125" s="42"/>
      <c r="JZ125" s="42"/>
      <c r="KA125" s="42"/>
      <c r="KB125" s="42"/>
      <c r="KC125" s="42"/>
      <c r="KD125" s="42"/>
      <c r="KE125" s="42"/>
      <c r="KF125" s="42"/>
      <c r="KG125" s="42"/>
      <c r="KH125" s="42"/>
      <c r="KI125" s="42"/>
      <c r="KJ125" s="42"/>
      <c r="KK125" s="42"/>
      <c r="KL125" s="42"/>
      <c r="KM125" s="42"/>
      <c r="KN125" s="42"/>
      <c r="KO125" s="42"/>
      <c r="KP125" s="42"/>
      <c r="KQ125" s="42"/>
      <c r="KR125" s="42"/>
      <c r="KS125" s="42"/>
      <c r="KT125" s="42"/>
      <c r="KU125" s="42"/>
      <c r="KV125" s="42"/>
      <c r="KW125" s="42"/>
      <c r="KX125" s="42"/>
      <c r="KY125" s="42"/>
      <c r="KZ125" s="42"/>
      <c r="LA125" s="42"/>
      <c r="LB125" s="42"/>
      <c r="LC125" s="42"/>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c r="BR126" s="42"/>
      <c r="BS126" s="42"/>
      <c r="BT126" s="42"/>
      <c r="BU126" s="42"/>
      <c r="BV126" s="42"/>
      <c r="BW126" s="42"/>
      <c r="BX126" s="42"/>
      <c r="BY126" s="42"/>
      <c r="BZ126" s="42"/>
      <c r="CA126" s="42"/>
      <c r="CB126" s="42"/>
      <c r="CC126" s="42"/>
      <c r="CD126" s="42"/>
      <c r="CE126" s="42"/>
      <c r="CF126" s="42"/>
      <c r="CG126" s="42"/>
      <c r="CH126" s="42"/>
      <c r="CI126" s="42"/>
      <c r="CJ126" s="42"/>
      <c r="CK126" s="42"/>
      <c r="CL126" s="42"/>
      <c r="CM126" s="42"/>
      <c r="CN126" s="42"/>
      <c r="CO126" s="42"/>
      <c r="CP126" s="42"/>
      <c r="CQ126" s="42"/>
      <c r="CR126" s="42"/>
      <c r="CS126" s="42"/>
      <c r="CT126" s="42"/>
      <c r="CU126" s="42"/>
      <c r="CV126" s="42"/>
      <c r="CW126" s="42"/>
      <c r="CX126" s="42"/>
      <c r="CY126" s="42"/>
      <c r="CZ126" s="42"/>
      <c r="DA126" s="42"/>
      <c r="DB126" s="42"/>
      <c r="DC126" s="42"/>
      <c r="DD126" s="42"/>
      <c r="DE126" s="42"/>
      <c r="DF126" s="42"/>
      <c r="DG126" s="42"/>
      <c r="DH126" s="42"/>
      <c r="DI126" s="42"/>
      <c r="DJ126" s="42"/>
      <c r="DK126" s="42"/>
      <c r="DL126" s="42"/>
      <c r="DM126" s="42"/>
      <c r="DN126" s="42"/>
      <c r="DO126" s="42"/>
      <c r="DP126" s="42"/>
      <c r="DQ126" s="42"/>
      <c r="DR126" s="42"/>
      <c r="DS126" s="42"/>
      <c r="DT126" s="42"/>
      <c r="DU126" s="42"/>
      <c r="DV126" s="42"/>
      <c r="DW126" s="42"/>
      <c r="DX126" s="42"/>
      <c r="DY126" s="42"/>
      <c r="DZ126" s="42"/>
      <c r="EA126" s="42"/>
      <c r="EB126" s="42"/>
      <c r="EC126" s="42"/>
      <c r="ED126" s="42"/>
      <c r="EE126" s="42"/>
      <c r="EF126" s="42"/>
      <c r="EG126" s="42"/>
      <c r="EH126" s="42"/>
      <c r="EI126" s="42"/>
      <c r="EJ126" s="42"/>
      <c r="EK126" s="42"/>
      <c r="EL126" s="42"/>
      <c r="EM126" s="42"/>
      <c r="EN126" s="42"/>
      <c r="EO126" s="42"/>
      <c r="EP126" s="42"/>
      <c r="EQ126" s="42"/>
      <c r="ER126" s="42"/>
      <c r="ES126" s="42"/>
      <c r="ET126" s="42"/>
      <c r="EU126" s="42"/>
      <c r="EV126" s="42"/>
      <c r="EW126" s="42"/>
      <c r="EX126" s="42"/>
      <c r="EY126" s="42"/>
      <c r="EZ126" s="42"/>
      <c r="FA126" s="42"/>
      <c r="FB126" s="42"/>
      <c r="FC126" s="42"/>
      <c r="FD126" s="42"/>
      <c r="FE126" s="42"/>
      <c r="FF126" s="42"/>
      <c r="FG126" s="42"/>
      <c r="FH126" s="42"/>
      <c r="FI126" s="42"/>
      <c r="FJ126" s="42"/>
      <c r="FK126" s="42"/>
      <c r="FL126" s="42"/>
      <c r="FM126" s="42"/>
      <c r="FN126" s="42"/>
      <c r="FO126" s="42"/>
      <c r="FP126" s="42"/>
      <c r="FQ126" s="42"/>
      <c r="FR126" s="42"/>
      <c r="FS126" s="42"/>
      <c r="FT126" s="42"/>
      <c r="FU126" s="42"/>
      <c r="FV126" s="42"/>
      <c r="FW126" s="42"/>
      <c r="FX126" s="42"/>
      <c r="FY126" s="42"/>
      <c r="FZ126" s="42"/>
      <c r="GA126" s="42"/>
      <c r="GB126" s="42"/>
      <c r="GC126" s="42"/>
      <c r="GD126" s="42"/>
      <c r="GE126" s="42"/>
      <c r="GF126" s="42"/>
      <c r="GG126" s="42"/>
      <c r="GH126" s="42"/>
      <c r="GI126" s="42"/>
      <c r="GJ126" s="42"/>
      <c r="GK126" s="42"/>
      <c r="GL126" s="42"/>
      <c r="GM126" s="42"/>
      <c r="GN126" s="42"/>
      <c r="GO126" s="42"/>
      <c r="GP126" s="42"/>
      <c r="GQ126" s="42"/>
      <c r="GR126" s="42"/>
      <c r="GS126" s="42"/>
      <c r="GT126" s="42"/>
      <c r="GU126" s="42"/>
      <c r="GV126" s="42"/>
      <c r="GW126" s="42"/>
      <c r="GX126" s="42"/>
      <c r="GY126" s="42"/>
      <c r="GZ126" s="42"/>
      <c r="HA126" s="42"/>
      <c r="HB126" s="42"/>
      <c r="HC126" s="42"/>
      <c r="HD126" s="42"/>
      <c r="HE126" s="42"/>
      <c r="HF126" s="42"/>
      <c r="HG126" s="42"/>
      <c r="HH126" s="42"/>
      <c r="HI126" s="42"/>
      <c r="HJ126" s="42"/>
      <c r="HK126" s="42"/>
      <c r="HL126" s="42"/>
      <c r="HM126" s="42"/>
      <c r="HN126" s="42"/>
      <c r="HO126" s="42"/>
      <c r="HP126" s="42"/>
      <c r="HQ126" s="42"/>
      <c r="HR126" s="42"/>
      <c r="HS126" s="42"/>
      <c r="HT126" s="42"/>
      <c r="HU126" s="42"/>
      <c r="HV126" s="42"/>
      <c r="HW126" s="42"/>
      <c r="HX126" s="42"/>
      <c r="HY126" s="42"/>
      <c r="HZ126" s="42"/>
      <c r="IA126" s="42"/>
      <c r="IB126" s="42"/>
      <c r="IC126" s="42"/>
      <c r="ID126" s="42"/>
      <c r="IE126" s="42"/>
      <c r="IF126" s="42"/>
      <c r="IG126" s="42"/>
      <c r="IH126" s="42"/>
      <c r="II126" s="42"/>
      <c r="IJ126" s="42"/>
      <c r="IK126" s="42"/>
      <c r="IL126" s="42"/>
      <c r="IM126" s="42"/>
      <c r="IN126" s="42"/>
      <c r="IO126" s="42"/>
      <c r="IP126" s="42"/>
      <c r="IQ126" s="42"/>
      <c r="IR126" s="42"/>
      <c r="IS126" s="42"/>
      <c r="IT126" s="42"/>
      <c r="IU126" s="42"/>
      <c r="IV126" s="42"/>
      <c r="IW126" s="42"/>
      <c r="IX126" s="42"/>
      <c r="IY126" s="42"/>
      <c r="IZ126" s="42"/>
      <c r="JA126" s="42"/>
      <c r="JB126" s="42"/>
      <c r="JC126" s="42"/>
      <c r="JD126" s="42"/>
      <c r="JE126" s="42"/>
      <c r="JF126" s="42"/>
      <c r="JG126" s="42"/>
      <c r="JH126" s="42"/>
      <c r="JI126" s="42"/>
      <c r="JJ126" s="42"/>
      <c r="JK126" s="42"/>
      <c r="JL126" s="42"/>
      <c r="JM126" s="42"/>
      <c r="JN126" s="42"/>
      <c r="JO126" s="42"/>
      <c r="JP126" s="42"/>
      <c r="JQ126" s="42"/>
      <c r="JR126" s="42"/>
      <c r="JS126" s="42"/>
      <c r="JT126" s="42"/>
      <c r="JU126" s="42"/>
      <c r="JV126" s="42"/>
      <c r="JW126" s="42"/>
      <c r="JX126" s="42"/>
      <c r="JY126" s="42"/>
      <c r="JZ126" s="42"/>
      <c r="KA126" s="42"/>
      <c r="KB126" s="42"/>
      <c r="KC126" s="42"/>
      <c r="KD126" s="42"/>
      <c r="KE126" s="42"/>
      <c r="KF126" s="42"/>
      <c r="KG126" s="42"/>
      <c r="KH126" s="42"/>
      <c r="KI126" s="42"/>
      <c r="KJ126" s="42"/>
      <c r="KK126" s="42"/>
      <c r="KL126" s="42"/>
      <c r="KM126" s="42"/>
      <c r="KN126" s="42"/>
      <c r="KO126" s="42"/>
      <c r="KP126" s="42"/>
      <c r="KQ126" s="42"/>
      <c r="KR126" s="42"/>
      <c r="KS126" s="42"/>
      <c r="KT126" s="42"/>
      <c r="KU126" s="42"/>
      <c r="KV126" s="42"/>
      <c r="KW126" s="42"/>
      <c r="KX126" s="42"/>
      <c r="KY126" s="42"/>
      <c r="KZ126" s="42"/>
      <c r="LA126" s="42"/>
      <c r="LB126" s="42"/>
      <c r="LC126" s="4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c r="BR127" s="42"/>
      <c r="BS127" s="42"/>
      <c r="BT127" s="42"/>
      <c r="BU127" s="42"/>
      <c r="BV127" s="42"/>
      <c r="BW127" s="42"/>
      <c r="BX127" s="42"/>
      <c r="BY127" s="42"/>
      <c r="BZ127" s="42"/>
      <c r="CA127" s="42"/>
      <c r="CB127" s="42"/>
      <c r="CC127" s="42"/>
      <c r="CD127" s="42"/>
      <c r="CE127" s="42"/>
      <c r="CF127" s="42"/>
      <c r="CG127" s="42"/>
      <c r="CH127" s="42"/>
      <c r="CI127" s="42"/>
      <c r="CJ127" s="42"/>
      <c r="CK127" s="42"/>
      <c r="CL127" s="42"/>
      <c r="CM127" s="42"/>
      <c r="CN127" s="42"/>
      <c r="CO127" s="42"/>
      <c r="CP127" s="42"/>
      <c r="CQ127" s="42"/>
      <c r="CR127" s="42"/>
      <c r="CS127" s="42"/>
      <c r="CT127" s="42"/>
      <c r="CU127" s="42"/>
      <c r="CV127" s="42"/>
      <c r="CW127" s="42"/>
      <c r="CX127" s="42"/>
      <c r="CY127" s="42"/>
      <c r="CZ127" s="42"/>
      <c r="DA127" s="42"/>
      <c r="DB127" s="42"/>
      <c r="DC127" s="42"/>
      <c r="DD127" s="42"/>
      <c r="DE127" s="42"/>
      <c r="DF127" s="42"/>
      <c r="DG127" s="42"/>
      <c r="DH127" s="42"/>
      <c r="DI127" s="42"/>
      <c r="DJ127" s="42"/>
      <c r="DK127" s="42"/>
      <c r="DL127" s="42"/>
      <c r="DM127" s="42"/>
      <c r="DN127" s="42"/>
      <c r="DO127" s="42"/>
      <c r="DP127" s="42"/>
      <c r="DQ127" s="42"/>
      <c r="DR127" s="42"/>
      <c r="DS127" s="42"/>
      <c r="DT127" s="42"/>
      <c r="DU127" s="42"/>
      <c r="DV127" s="42"/>
      <c r="DW127" s="42"/>
      <c r="DX127" s="42"/>
      <c r="DY127" s="42"/>
      <c r="DZ127" s="42"/>
      <c r="EA127" s="42"/>
      <c r="EB127" s="42"/>
      <c r="EC127" s="42"/>
      <c r="ED127" s="42"/>
      <c r="EE127" s="42"/>
      <c r="EF127" s="42"/>
      <c r="EG127" s="42"/>
      <c r="EH127" s="42"/>
      <c r="EI127" s="42"/>
      <c r="EJ127" s="42"/>
      <c r="EK127" s="42"/>
      <c r="EL127" s="42"/>
      <c r="EM127" s="42"/>
      <c r="EN127" s="42"/>
      <c r="EO127" s="42"/>
      <c r="EP127" s="42"/>
      <c r="EQ127" s="42"/>
      <c r="ER127" s="42"/>
      <c r="ES127" s="42"/>
      <c r="ET127" s="42"/>
      <c r="EU127" s="42"/>
      <c r="EV127" s="42"/>
      <c r="EW127" s="42"/>
      <c r="EX127" s="42"/>
      <c r="EY127" s="42"/>
      <c r="EZ127" s="42"/>
      <c r="FA127" s="42"/>
      <c r="FB127" s="42"/>
      <c r="FC127" s="42"/>
      <c r="FD127" s="42"/>
      <c r="FE127" s="42"/>
      <c r="FF127" s="42"/>
      <c r="FG127" s="42"/>
      <c r="FH127" s="42"/>
      <c r="FI127" s="42"/>
      <c r="FJ127" s="42"/>
      <c r="FK127" s="42"/>
      <c r="FL127" s="42"/>
      <c r="FM127" s="42"/>
      <c r="FN127" s="42"/>
      <c r="FO127" s="42"/>
      <c r="FP127" s="42"/>
      <c r="FQ127" s="42"/>
      <c r="FR127" s="42"/>
      <c r="FS127" s="42"/>
      <c r="FT127" s="42"/>
      <c r="FU127" s="42"/>
      <c r="FV127" s="42"/>
      <c r="FW127" s="42"/>
      <c r="FX127" s="42"/>
      <c r="FY127" s="42"/>
      <c r="FZ127" s="42"/>
      <c r="GA127" s="42"/>
      <c r="GB127" s="42"/>
      <c r="GC127" s="42"/>
      <c r="GD127" s="42"/>
      <c r="GE127" s="42"/>
      <c r="GF127" s="42"/>
      <c r="GG127" s="42"/>
      <c r="GH127" s="42"/>
      <c r="GI127" s="42"/>
      <c r="GJ127" s="42"/>
      <c r="GK127" s="42"/>
      <c r="GL127" s="42"/>
      <c r="GM127" s="42"/>
      <c r="GN127" s="42"/>
      <c r="GO127" s="42"/>
      <c r="GP127" s="42"/>
      <c r="GQ127" s="42"/>
      <c r="GR127" s="42"/>
      <c r="GS127" s="42"/>
      <c r="GT127" s="42"/>
      <c r="GU127" s="42"/>
      <c r="GV127" s="42"/>
      <c r="GW127" s="42"/>
      <c r="GX127" s="42"/>
      <c r="GY127" s="42"/>
      <c r="GZ127" s="42"/>
      <c r="HA127" s="42"/>
      <c r="HB127" s="42"/>
      <c r="HC127" s="42"/>
      <c r="HD127" s="42"/>
      <c r="HE127" s="42"/>
      <c r="HF127" s="42"/>
      <c r="HG127" s="42"/>
      <c r="HH127" s="42"/>
      <c r="HI127" s="42"/>
      <c r="HJ127" s="42"/>
      <c r="HK127" s="42"/>
      <c r="HL127" s="42"/>
      <c r="HM127" s="42"/>
      <c r="HN127" s="42"/>
      <c r="HO127" s="42"/>
      <c r="HP127" s="42"/>
      <c r="HQ127" s="42"/>
      <c r="HR127" s="42"/>
      <c r="HS127" s="42"/>
      <c r="HT127" s="42"/>
      <c r="HU127" s="42"/>
      <c r="HV127" s="42"/>
      <c r="HW127" s="42"/>
      <c r="HX127" s="42"/>
      <c r="HY127" s="42"/>
      <c r="HZ127" s="42"/>
      <c r="IA127" s="42"/>
      <c r="IB127" s="42"/>
      <c r="IC127" s="42"/>
      <c r="ID127" s="42"/>
      <c r="IE127" s="42"/>
      <c r="IF127" s="42"/>
      <c r="IG127" s="42"/>
      <c r="IH127" s="42"/>
      <c r="II127" s="42"/>
      <c r="IJ127" s="42"/>
      <c r="IK127" s="42"/>
      <c r="IL127" s="42"/>
      <c r="IM127" s="42"/>
      <c r="IN127" s="42"/>
      <c r="IO127" s="42"/>
      <c r="IP127" s="42"/>
      <c r="IQ127" s="42"/>
      <c r="IR127" s="42"/>
      <c r="IS127" s="42"/>
      <c r="IT127" s="42"/>
      <c r="IU127" s="42"/>
      <c r="IV127" s="42"/>
      <c r="IW127" s="42"/>
      <c r="IX127" s="42"/>
      <c r="IY127" s="42"/>
      <c r="IZ127" s="42"/>
      <c r="JA127" s="42"/>
      <c r="JB127" s="42"/>
      <c r="JC127" s="42"/>
      <c r="JD127" s="42"/>
      <c r="JE127" s="42"/>
      <c r="JF127" s="42"/>
      <c r="JG127" s="42"/>
      <c r="JH127" s="42"/>
      <c r="JI127" s="42"/>
      <c r="JJ127" s="42"/>
      <c r="JK127" s="42"/>
      <c r="JL127" s="42"/>
      <c r="JM127" s="42"/>
      <c r="JN127" s="42"/>
      <c r="JO127" s="42"/>
      <c r="JP127" s="42"/>
      <c r="JQ127" s="42"/>
      <c r="JR127" s="42"/>
      <c r="JS127" s="42"/>
      <c r="JT127" s="42"/>
      <c r="JU127" s="42"/>
      <c r="JV127" s="42"/>
      <c r="JW127" s="42"/>
      <c r="JX127" s="42"/>
      <c r="JY127" s="42"/>
      <c r="JZ127" s="42"/>
      <c r="KA127" s="42"/>
      <c r="KB127" s="42"/>
      <c r="KC127" s="42"/>
      <c r="KD127" s="42"/>
      <c r="KE127" s="42"/>
      <c r="KF127" s="42"/>
      <c r="KG127" s="42"/>
      <c r="KH127" s="42"/>
      <c r="KI127" s="42"/>
      <c r="KJ127" s="42"/>
      <c r="KK127" s="42"/>
      <c r="KL127" s="42"/>
      <c r="KM127" s="42"/>
      <c r="KN127" s="42"/>
      <c r="KO127" s="42"/>
      <c r="KP127" s="42"/>
      <c r="KQ127" s="42"/>
      <c r="KR127" s="42"/>
      <c r="KS127" s="42"/>
      <c r="KT127" s="42"/>
      <c r="KU127" s="42"/>
      <c r="KV127" s="42"/>
      <c r="KW127" s="42"/>
      <c r="KX127" s="42"/>
      <c r="KY127" s="42"/>
      <c r="KZ127" s="42"/>
      <c r="LA127" s="42"/>
      <c r="LB127" s="42"/>
      <c r="LC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c r="BX128" s="42"/>
      <c r="BY128" s="42"/>
      <c r="BZ128" s="42"/>
      <c r="CA128" s="42"/>
      <c r="CB128" s="42"/>
      <c r="CC128" s="42"/>
      <c r="CD128" s="42"/>
      <c r="CE128" s="42"/>
      <c r="CF128" s="42"/>
      <c r="CG128" s="42"/>
      <c r="CH128" s="42"/>
      <c r="CI128" s="42"/>
      <c r="CJ128" s="42"/>
      <c r="CK128" s="42"/>
      <c r="CL128" s="42"/>
      <c r="CM128" s="42"/>
      <c r="CN128" s="42"/>
      <c r="CO128" s="42"/>
      <c r="CP128" s="42"/>
      <c r="CQ128" s="42"/>
      <c r="CR128" s="42"/>
      <c r="CS128" s="42"/>
      <c r="CT128" s="42"/>
      <c r="CU128" s="42"/>
      <c r="CV128" s="42"/>
      <c r="CW128" s="42"/>
      <c r="CX128" s="42"/>
      <c r="CY128" s="42"/>
      <c r="CZ128" s="42"/>
      <c r="DA128" s="42"/>
      <c r="DB128" s="42"/>
      <c r="DC128" s="42"/>
      <c r="DD128" s="42"/>
      <c r="DE128" s="42"/>
      <c r="DF128" s="42"/>
      <c r="DG128" s="42"/>
      <c r="DH128" s="42"/>
      <c r="DI128" s="42"/>
      <c r="DJ128" s="42"/>
      <c r="DK128" s="42"/>
      <c r="DL128" s="42"/>
      <c r="DM128" s="42"/>
      <c r="DN128" s="42"/>
      <c r="DO128" s="42"/>
      <c r="DP128" s="42"/>
      <c r="DQ128" s="42"/>
      <c r="DR128" s="42"/>
      <c r="DS128" s="42"/>
      <c r="DT128" s="42"/>
      <c r="DU128" s="42"/>
      <c r="DV128" s="42"/>
      <c r="DW128" s="42"/>
      <c r="DX128" s="42"/>
      <c r="DY128" s="42"/>
      <c r="DZ128" s="42"/>
      <c r="EA128" s="42"/>
      <c r="EB128" s="42"/>
      <c r="EC128" s="42"/>
      <c r="ED128" s="42"/>
      <c r="EE128" s="42"/>
      <c r="EF128" s="42"/>
      <c r="EG128" s="42"/>
      <c r="EH128" s="42"/>
      <c r="EI128" s="42"/>
      <c r="EJ128" s="42"/>
      <c r="EK128" s="42"/>
      <c r="EL128" s="42"/>
      <c r="EM128" s="42"/>
      <c r="EN128" s="42"/>
      <c r="EO128" s="42"/>
      <c r="EP128" s="42"/>
      <c r="EQ128" s="42"/>
      <c r="ER128" s="42"/>
      <c r="ES128" s="42"/>
      <c r="ET128" s="42"/>
      <c r="EU128" s="42"/>
      <c r="EV128" s="42"/>
      <c r="EW128" s="42"/>
      <c r="EX128" s="42"/>
      <c r="EY128" s="42"/>
      <c r="EZ128" s="42"/>
      <c r="FA128" s="42"/>
      <c r="FB128" s="42"/>
      <c r="FC128" s="42"/>
      <c r="FD128" s="42"/>
      <c r="FE128" s="42"/>
      <c r="FF128" s="42"/>
      <c r="FG128" s="42"/>
      <c r="FH128" s="42"/>
      <c r="FI128" s="42"/>
      <c r="FJ128" s="42"/>
      <c r="FK128" s="42"/>
      <c r="FL128" s="42"/>
      <c r="FM128" s="42"/>
      <c r="FN128" s="42"/>
      <c r="FO128" s="42"/>
      <c r="FP128" s="42"/>
      <c r="FQ128" s="42"/>
      <c r="FR128" s="42"/>
      <c r="FS128" s="42"/>
      <c r="FT128" s="42"/>
      <c r="FU128" s="42"/>
      <c r="FV128" s="42"/>
      <c r="FW128" s="42"/>
      <c r="FX128" s="42"/>
      <c r="FY128" s="42"/>
      <c r="FZ128" s="42"/>
      <c r="GA128" s="42"/>
      <c r="GB128" s="42"/>
      <c r="GC128" s="42"/>
      <c r="GD128" s="42"/>
      <c r="GE128" s="42"/>
      <c r="GF128" s="42"/>
      <c r="GG128" s="42"/>
      <c r="GH128" s="42"/>
      <c r="GI128" s="42"/>
      <c r="GJ128" s="42"/>
      <c r="GK128" s="42"/>
      <c r="GL128" s="42"/>
      <c r="GM128" s="42"/>
      <c r="GN128" s="42"/>
      <c r="GO128" s="42"/>
      <c r="GP128" s="42"/>
      <c r="GQ128" s="42"/>
      <c r="GR128" s="42"/>
      <c r="GS128" s="42"/>
      <c r="GT128" s="42"/>
      <c r="GU128" s="42"/>
      <c r="GV128" s="42"/>
      <c r="GW128" s="42"/>
      <c r="GX128" s="42"/>
      <c r="GY128" s="42"/>
      <c r="GZ128" s="42"/>
      <c r="HA128" s="42"/>
      <c r="HB128" s="42"/>
      <c r="HC128" s="42"/>
      <c r="HD128" s="42"/>
      <c r="HE128" s="42"/>
      <c r="HF128" s="42"/>
      <c r="HG128" s="42"/>
      <c r="HH128" s="42"/>
      <c r="HI128" s="42"/>
      <c r="HJ128" s="42"/>
      <c r="HK128" s="42"/>
      <c r="HL128" s="42"/>
      <c r="HM128" s="42"/>
      <c r="HN128" s="42"/>
      <c r="HO128" s="42"/>
      <c r="HP128" s="42"/>
      <c r="HQ128" s="42"/>
      <c r="HR128" s="42"/>
      <c r="HS128" s="42"/>
      <c r="HT128" s="42"/>
      <c r="HU128" s="42"/>
      <c r="HV128" s="42"/>
      <c r="HW128" s="42"/>
      <c r="HX128" s="42"/>
      <c r="HY128" s="42"/>
      <c r="HZ128" s="42"/>
      <c r="IA128" s="42"/>
      <c r="IB128" s="42"/>
      <c r="IC128" s="42"/>
      <c r="ID128" s="42"/>
      <c r="IE128" s="42"/>
      <c r="IF128" s="42"/>
      <c r="IG128" s="42"/>
      <c r="IH128" s="42"/>
      <c r="II128" s="42"/>
      <c r="IJ128" s="42"/>
      <c r="IK128" s="42"/>
      <c r="IL128" s="42"/>
      <c r="IM128" s="42"/>
      <c r="IN128" s="42"/>
      <c r="IO128" s="42"/>
      <c r="IP128" s="42"/>
      <c r="IQ128" s="42"/>
      <c r="IR128" s="42"/>
      <c r="IS128" s="42"/>
      <c r="IT128" s="42"/>
      <c r="IU128" s="42"/>
      <c r="IV128" s="42"/>
      <c r="IW128" s="42"/>
      <c r="IX128" s="42"/>
      <c r="IY128" s="42"/>
      <c r="IZ128" s="42"/>
      <c r="JA128" s="42"/>
      <c r="JB128" s="42"/>
      <c r="JC128" s="42"/>
      <c r="JD128" s="42"/>
      <c r="JE128" s="42"/>
      <c r="JF128" s="42"/>
      <c r="JG128" s="42"/>
      <c r="JH128" s="42"/>
      <c r="JI128" s="42"/>
      <c r="JJ128" s="42"/>
      <c r="JK128" s="42"/>
      <c r="JL128" s="42"/>
      <c r="JM128" s="42"/>
      <c r="JN128" s="42"/>
      <c r="JO128" s="42"/>
      <c r="JP128" s="42"/>
      <c r="JQ128" s="42"/>
      <c r="JR128" s="42"/>
      <c r="JS128" s="42"/>
      <c r="JT128" s="42"/>
      <c r="JU128" s="42"/>
      <c r="JV128" s="42"/>
      <c r="JW128" s="42"/>
      <c r="JX128" s="42"/>
      <c r="JY128" s="42"/>
      <c r="JZ128" s="42"/>
      <c r="KA128" s="42"/>
      <c r="KB128" s="42"/>
      <c r="KC128" s="42"/>
      <c r="KD128" s="42"/>
      <c r="KE128" s="42"/>
      <c r="KF128" s="42"/>
      <c r="KG128" s="42"/>
      <c r="KH128" s="42"/>
      <c r="KI128" s="42"/>
      <c r="KJ128" s="42"/>
      <c r="KK128" s="42"/>
      <c r="KL128" s="42"/>
      <c r="KM128" s="42"/>
      <c r="KN128" s="42"/>
      <c r="KO128" s="42"/>
      <c r="KP128" s="42"/>
      <c r="KQ128" s="42"/>
      <c r="KR128" s="42"/>
      <c r="KS128" s="42"/>
      <c r="KT128" s="42"/>
      <c r="KU128" s="42"/>
      <c r="KV128" s="42"/>
      <c r="KW128" s="42"/>
      <c r="KX128" s="42"/>
      <c r="KY128" s="42"/>
      <c r="KZ128" s="42"/>
      <c r="LA128" s="42"/>
      <c r="LB128" s="42"/>
      <c r="LC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c r="BR129" s="42"/>
      <c r="BS129" s="42"/>
      <c r="BT129" s="42"/>
      <c r="BU129" s="42"/>
      <c r="BV129" s="42"/>
      <c r="BW129" s="42"/>
      <c r="BX129" s="42"/>
      <c r="BY129" s="42"/>
      <c r="BZ129" s="42"/>
      <c r="CA129" s="42"/>
      <c r="CB129" s="42"/>
      <c r="CC129" s="42"/>
      <c r="CD129" s="42"/>
      <c r="CE129" s="42"/>
      <c r="CF129" s="42"/>
      <c r="CG129" s="42"/>
      <c r="CH129" s="42"/>
      <c r="CI129" s="42"/>
      <c r="CJ129" s="42"/>
      <c r="CK129" s="42"/>
      <c r="CL129" s="42"/>
      <c r="CM129" s="42"/>
      <c r="CN129" s="42"/>
      <c r="CO129" s="42"/>
      <c r="CP129" s="42"/>
      <c r="CQ129" s="42"/>
      <c r="CR129" s="42"/>
      <c r="CS129" s="42"/>
      <c r="CT129" s="42"/>
      <c r="CU129" s="42"/>
      <c r="CV129" s="42"/>
      <c r="CW129" s="42"/>
      <c r="CX129" s="42"/>
      <c r="CY129" s="42"/>
      <c r="CZ129" s="42"/>
      <c r="DA129" s="42"/>
      <c r="DB129" s="42"/>
      <c r="DC129" s="42"/>
      <c r="DD129" s="42"/>
      <c r="DE129" s="42"/>
      <c r="DF129" s="42"/>
      <c r="DG129" s="42"/>
      <c r="DH129" s="42"/>
      <c r="DI129" s="42"/>
      <c r="DJ129" s="42"/>
      <c r="DK129" s="42"/>
      <c r="DL129" s="42"/>
      <c r="DM129" s="42"/>
      <c r="DN129" s="42"/>
      <c r="DO129" s="42"/>
      <c r="DP129" s="42"/>
      <c r="DQ129" s="42"/>
      <c r="DR129" s="42"/>
      <c r="DS129" s="42"/>
      <c r="DT129" s="42"/>
      <c r="DU129" s="42"/>
      <c r="DV129" s="42"/>
      <c r="DW129" s="42"/>
      <c r="DX129" s="42"/>
      <c r="DY129" s="42"/>
      <c r="DZ129" s="42"/>
      <c r="EA129" s="42"/>
      <c r="EB129" s="42"/>
      <c r="EC129" s="42"/>
      <c r="ED129" s="42"/>
      <c r="EE129" s="42"/>
      <c r="EF129" s="42"/>
      <c r="EG129" s="42"/>
      <c r="EH129" s="42"/>
      <c r="EI129" s="42"/>
      <c r="EJ129" s="42"/>
      <c r="EK129" s="42"/>
      <c r="EL129" s="42"/>
      <c r="EM129" s="42"/>
      <c r="EN129" s="42"/>
      <c r="EO129" s="42"/>
      <c r="EP129" s="42"/>
      <c r="EQ129" s="42"/>
      <c r="ER129" s="42"/>
      <c r="ES129" s="42"/>
      <c r="ET129" s="42"/>
      <c r="EU129" s="42"/>
      <c r="EV129" s="42"/>
      <c r="EW129" s="42"/>
      <c r="EX129" s="42"/>
      <c r="EY129" s="42"/>
      <c r="EZ129" s="42"/>
      <c r="FA129" s="42"/>
      <c r="FB129" s="42"/>
      <c r="FC129" s="42"/>
      <c r="FD129" s="42"/>
      <c r="FE129" s="42"/>
      <c r="FF129" s="42"/>
      <c r="FG129" s="42"/>
      <c r="FH129" s="42"/>
      <c r="FI129" s="42"/>
      <c r="FJ129" s="42"/>
      <c r="FK129" s="42"/>
      <c r="FL129" s="42"/>
      <c r="FM129" s="42"/>
      <c r="FN129" s="42"/>
      <c r="FO129" s="42"/>
      <c r="FP129" s="42"/>
      <c r="FQ129" s="42"/>
      <c r="FR129" s="42"/>
      <c r="FS129" s="42"/>
      <c r="FT129" s="42"/>
      <c r="FU129" s="42"/>
      <c r="FV129" s="42"/>
      <c r="FW129" s="42"/>
      <c r="FX129" s="42"/>
      <c r="FY129" s="42"/>
      <c r="FZ129" s="42"/>
      <c r="GA129" s="42"/>
      <c r="GB129" s="42"/>
      <c r="GC129" s="42"/>
      <c r="GD129" s="42"/>
      <c r="GE129" s="42"/>
      <c r="GF129" s="42"/>
      <c r="GG129" s="42"/>
      <c r="GH129" s="42"/>
      <c r="GI129" s="42"/>
      <c r="GJ129" s="42"/>
      <c r="GK129" s="42"/>
      <c r="GL129" s="42"/>
      <c r="GM129" s="42"/>
      <c r="GN129" s="42"/>
      <c r="GO129" s="42"/>
      <c r="GP129" s="42"/>
      <c r="GQ129" s="42"/>
      <c r="GR129" s="42"/>
      <c r="GS129" s="42"/>
      <c r="GT129" s="42"/>
      <c r="GU129" s="42"/>
      <c r="GV129" s="42"/>
      <c r="GW129" s="42"/>
      <c r="GX129" s="42"/>
      <c r="GY129" s="42"/>
      <c r="GZ129" s="42"/>
      <c r="HA129" s="42"/>
      <c r="HB129" s="42"/>
      <c r="HC129" s="42"/>
      <c r="HD129" s="42"/>
      <c r="HE129" s="42"/>
      <c r="HF129" s="42"/>
      <c r="HG129" s="42"/>
      <c r="HH129" s="42"/>
      <c r="HI129" s="42"/>
      <c r="HJ129" s="42"/>
      <c r="HK129" s="42"/>
      <c r="HL129" s="42"/>
      <c r="HM129" s="42"/>
      <c r="HN129" s="42"/>
      <c r="HO129" s="42"/>
      <c r="HP129" s="42"/>
      <c r="HQ129" s="42"/>
      <c r="HR129" s="42"/>
      <c r="HS129" s="42"/>
      <c r="HT129" s="42"/>
      <c r="HU129" s="42"/>
      <c r="HV129" s="42"/>
      <c r="HW129" s="42"/>
      <c r="HX129" s="42"/>
      <c r="HY129" s="42"/>
      <c r="HZ129" s="42"/>
      <c r="IA129" s="42"/>
      <c r="IB129" s="42"/>
      <c r="IC129" s="42"/>
      <c r="ID129" s="42"/>
      <c r="IE129" s="42"/>
      <c r="IF129" s="42"/>
      <c r="IG129" s="42"/>
      <c r="IH129" s="42"/>
      <c r="II129" s="42"/>
      <c r="IJ129" s="42"/>
      <c r="IK129" s="42"/>
      <c r="IL129" s="42"/>
      <c r="IM129" s="42"/>
      <c r="IN129" s="42"/>
      <c r="IO129" s="42"/>
      <c r="IP129" s="42"/>
      <c r="IQ129" s="42"/>
      <c r="IR129" s="42"/>
      <c r="IS129" s="42"/>
      <c r="IT129" s="42"/>
      <c r="IU129" s="42"/>
      <c r="IV129" s="42"/>
      <c r="IW129" s="42"/>
      <c r="IX129" s="42"/>
      <c r="IY129" s="42"/>
      <c r="IZ129" s="42"/>
      <c r="JA129" s="42"/>
      <c r="JB129" s="42"/>
      <c r="JC129" s="42"/>
      <c r="JD129" s="42"/>
      <c r="JE129" s="42"/>
      <c r="JF129" s="42"/>
      <c r="JG129" s="42"/>
      <c r="JH129" s="42"/>
      <c r="JI129" s="42"/>
      <c r="JJ129" s="42"/>
      <c r="JK129" s="42"/>
      <c r="JL129" s="42"/>
      <c r="JM129" s="42"/>
      <c r="JN129" s="42"/>
      <c r="JO129" s="42"/>
      <c r="JP129" s="42"/>
      <c r="JQ129" s="42"/>
      <c r="JR129" s="42"/>
      <c r="JS129" s="42"/>
      <c r="JT129" s="42"/>
      <c r="JU129" s="42"/>
      <c r="JV129" s="42"/>
      <c r="JW129" s="42"/>
      <c r="JX129" s="42"/>
      <c r="JY129" s="42"/>
      <c r="JZ129" s="42"/>
      <c r="KA129" s="42"/>
      <c r="KB129" s="42"/>
      <c r="KC129" s="42"/>
      <c r="KD129" s="42"/>
      <c r="KE129" s="42"/>
      <c r="KF129" s="42"/>
      <c r="KG129" s="42"/>
      <c r="KH129" s="42"/>
      <c r="KI129" s="42"/>
      <c r="KJ129" s="42"/>
      <c r="KK129" s="42"/>
      <c r="KL129" s="42"/>
      <c r="KM129" s="42"/>
      <c r="KN129" s="42"/>
      <c r="KO129" s="42"/>
      <c r="KP129" s="42"/>
      <c r="KQ129" s="42"/>
      <c r="KR129" s="42"/>
      <c r="KS129" s="42"/>
      <c r="KT129" s="42"/>
      <c r="KU129" s="42"/>
      <c r="KV129" s="42"/>
      <c r="KW129" s="42"/>
      <c r="KX129" s="42"/>
      <c r="KY129" s="42"/>
      <c r="KZ129" s="42"/>
      <c r="LA129" s="42"/>
      <c r="LB129" s="42"/>
      <c r="LC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c r="BR130" s="42"/>
      <c r="BS130" s="42"/>
      <c r="BT130" s="42"/>
      <c r="BU130" s="42"/>
      <c r="BV130" s="42"/>
      <c r="BW130" s="42"/>
      <c r="BX130" s="42"/>
      <c r="BY130" s="42"/>
      <c r="BZ130" s="42"/>
      <c r="CA130" s="42"/>
      <c r="CB130" s="42"/>
      <c r="CC130" s="42"/>
      <c r="CD130" s="42"/>
      <c r="CE130" s="42"/>
      <c r="CF130" s="42"/>
      <c r="CG130" s="42"/>
      <c r="CH130" s="42"/>
      <c r="CI130" s="42"/>
      <c r="CJ130" s="42"/>
      <c r="CK130" s="42"/>
      <c r="CL130" s="42"/>
      <c r="CM130" s="42"/>
      <c r="CN130" s="42"/>
      <c r="CO130" s="42"/>
      <c r="CP130" s="42"/>
      <c r="CQ130" s="42"/>
      <c r="CR130" s="42"/>
      <c r="CS130" s="42"/>
      <c r="CT130" s="42"/>
      <c r="CU130" s="42"/>
      <c r="CV130" s="42"/>
      <c r="CW130" s="42"/>
      <c r="CX130" s="42"/>
      <c r="CY130" s="42"/>
      <c r="CZ130" s="42"/>
      <c r="DA130" s="42"/>
      <c r="DB130" s="42"/>
      <c r="DC130" s="42"/>
      <c r="DD130" s="42"/>
      <c r="DE130" s="42"/>
      <c r="DF130" s="42"/>
      <c r="DG130" s="42"/>
      <c r="DH130" s="42"/>
      <c r="DI130" s="42"/>
      <c r="DJ130" s="42"/>
      <c r="DK130" s="42"/>
      <c r="DL130" s="42"/>
      <c r="DM130" s="42"/>
      <c r="DN130" s="42"/>
      <c r="DO130" s="42"/>
      <c r="DP130" s="42"/>
      <c r="DQ130" s="42"/>
      <c r="DR130" s="42"/>
      <c r="DS130" s="42"/>
      <c r="DT130" s="42"/>
      <c r="DU130" s="42"/>
      <c r="DV130" s="42"/>
      <c r="DW130" s="42"/>
      <c r="DX130" s="42"/>
      <c r="DY130" s="42"/>
      <c r="DZ130" s="42"/>
      <c r="EA130" s="42"/>
      <c r="EB130" s="42"/>
      <c r="EC130" s="42"/>
      <c r="ED130" s="42"/>
      <c r="EE130" s="42"/>
      <c r="EF130" s="42"/>
      <c r="EG130" s="42"/>
      <c r="EH130" s="42"/>
      <c r="EI130" s="42"/>
      <c r="EJ130" s="42"/>
      <c r="EK130" s="42"/>
      <c r="EL130" s="42"/>
      <c r="EM130" s="42"/>
      <c r="EN130" s="42"/>
      <c r="EO130" s="42"/>
      <c r="EP130" s="42"/>
      <c r="EQ130" s="42"/>
      <c r="ER130" s="42"/>
      <c r="ES130" s="42"/>
      <c r="ET130" s="42"/>
      <c r="EU130" s="42"/>
      <c r="EV130" s="42"/>
      <c r="EW130" s="42"/>
      <c r="EX130" s="42"/>
      <c r="EY130" s="42"/>
      <c r="EZ130" s="42"/>
      <c r="FA130" s="42"/>
      <c r="FB130" s="42"/>
      <c r="FC130" s="42"/>
      <c r="FD130" s="42"/>
      <c r="FE130" s="42"/>
      <c r="FF130" s="42"/>
      <c r="FG130" s="42"/>
      <c r="FH130" s="42"/>
      <c r="FI130" s="42"/>
      <c r="FJ130" s="42"/>
      <c r="FK130" s="42"/>
      <c r="FL130" s="42"/>
      <c r="FM130" s="42"/>
      <c r="FN130" s="42"/>
      <c r="FO130" s="42"/>
      <c r="FP130" s="42"/>
      <c r="FQ130" s="42"/>
      <c r="FR130" s="42"/>
      <c r="FS130" s="42"/>
      <c r="FT130" s="42"/>
      <c r="FU130" s="42"/>
      <c r="FV130" s="42"/>
      <c r="FW130" s="42"/>
      <c r="FX130" s="42"/>
      <c r="FY130" s="42"/>
      <c r="FZ130" s="42"/>
      <c r="GA130" s="42"/>
      <c r="GB130" s="42"/>
      <c r="GC130" s="42"/>
      <c r="GD130" s="42"/>
      <c r="GE130" s="42"/>
      <c r="GF130" s="42"/>
      <c r="GG130" s="42"/>
      <c r="GH130" s="42"/>
      <c r="GI130" s="42"/>
      <c r="GJ130" s="42"/>
      <c r="GK130" s="42"/>
      <c r="GL130" s="42"/>
      <c r="GM130" s="42"/>
      <c r="GN130" s="42"/>
      <c r="GO130" s="42"/>
      <c r="GP130" s="42"/>
      <c r="GQ130" s="42"/>
      <c r="GR130" s="42"/>
      <c r="GS130" s="42"/>
      <c r="GT130" s="42"/>
      <c r="GU130" s="42"/>
      <c r="GV130" s="42"/>
      <c r="GW130" s="42"/>
      <c r="GX130" s="42"/>
      <c r="GY130" s="42"/>
      <c r="GZ130" s="42"/>
      <c r="HA130" s="42"/>
      <c r="HB130" s="42"/>
      <c r="HC130" s="42"/>
      <c r="HD130" s="42"/>
      <c r="HE130" s="42"/>
      <c r="HF130" s="42"/>
      <c r="HG130" s="42"/>
      <c r="HH130" s="42"/>
      <c r="HI130" s="42"/>
      <c r="HJ130" s="42"/>
      <c r="HK130" s="42"/>
      <c r="HL130" s="42"/>
      <c r="HM130" s="42"/>
      <c r="HN130" s="42"/>
      <c r="HO130" s="42"/>
      <c r="HP130" s="42"/>
      <c r="HQ130" s="42"/>
      <c r="HR130" s="42"/>
      <c r="HS130" s="42"/>
      <c r="HT130" s="42"/>
      <c r="HU130" s="42"/>
      <c r="HV130" s="42"/>
      <c r="HW130" s="42"/>
      <c r="HX130" s="42"/>
      <c r="HY130" s="42"/>
      <c r="HZ130" s="42"/>
      <c r="IA130" s="42"/>
      <c r="IB130" s="42"/>
      <c r="IC130" s="42"/>
      <c r="ID130" s="42"/>
      <c r="IE130" s="42"/>
      <c r="IF130" s="42"/>
      <c r="IG130" s="42"/>
      <c r="IH130" s="42"/>
      <c r="II130" s="42"/>
      <c r="IJ130" s="42"/>
      <c r="IK130" s="42"/>
      <c r="IL130" s="42"/>
      <c r="IM130" s="42"/>
      <c r="IN130" s="42"/>
      <c r="IO130" s="42"/>
      <c r="IP130" s="42"/>
      <c r="IQ130" s="42"/>
      <c r="IR130" s="42"/>
      <c r="IS130" s="42"/>
      <c r="IT130" s="42"/>
      <c r="IU130" s="42"/>
      <c r="IV130" s="42"/>
      <c r="IW130" s="42"/>
      <c r="IX130" s="42"/>
      <c r="IY130" s="42"/>
      <c r="IZ130" s="42"/>
      <c r="JA130" s="42"/>
      <c r="JB130" s="42"/>
      <c r="JC130" s="42"/>
      <c r="JD130" s="42"/>
      <c r="JE130" s="42"/>
      <c r="JF130" s="42"/>
      <c r="JG130" s="42"/>
      <c r="JH130" s="42"/>
      <c r="JI130" s="42"/>
      <c r="JJ130" s="42"/>
      <c r="JK130" s="42"/>
      <c r="JL130" s="42"/>
      <c r="JM130" s="42"/>
      <c r="JN130" s="42"/>
      <c r="JO130" s="42"/>
      <c r="JP130" s="42"/>
      <c r="JQ130" s="42"/>
      <c r="JR130" s="42"/>
      <c r="JS130" s="42"/>
      <c r="JT130" s="42"/>
      <c r="JU130" s="42"/>
      <c r="JV130" s="42"/>
      <c r="JW130" s="42"/>
      <c r="JX130" s="42"/>
      <c r="JY130" s="42"/>
      <c r="JZ130" s="42"/>
      <c r="KA130" s="42"/>
      <c r="KB130" s="42"/>
      <c r="KC130" s="42"/>
      <c r="KD130" s="42"/>
      <c r="KE130" s="42"/>
      <c r="KF130" s="42"/>
      <c r="KG130" s="42"/>
      <c r="KH130" s="42"/>
      <c r="KI130" s="42"/>
      <c r="KJ130" s="42"/>
      <c r="KK130" s="42"/>
      <c r="KL130" s="42"/>
      <c r="KM130" s="42"/>
      <c r="KN130" s="42"/>
      <c r="KO130" s="42"/>
      <c r="KP130" s="42"/>
      <c r="KQ130" s="42"/>
      <c r="KR130" s="42"/>
      <c r="KS130" s="42"/>
      <c r="KT130" s="42"/>
      <c r="KU130" s="42"/>
      <c r="KV130" s="42"/>
      <c r="KW130" s="42"/>
      <c r="KX130" s="42"/>
      <c r="KY130" s="42"/>
      <c r="KZ130" s="42"/>
      <c r="LA130" s="42"/>
      <c r="LB130" s="42"/>
      <c r="LC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c r="BD131" s="42"/>
      <c r="BE131" s="42"/>
      <c r="BF131" s="42"/>
      <c r="BG131" s="42"/>
      <c r="BH131" s="42"/>
      <c r="BI131" s="42"/>
      <c r="BJ131" s="42"/>
      <c r="BK131" s="42"/>
      <c r="BL131" s="42"/>
      <c r="BM131" s="42"/>
      <c r="BN131" s="42"/>
      <c r="BO131" s="42"/>
      <c r="BP131" s="42"/>
      <c r="BQ131" s="42"/>
      <c r="BR131" s="42"/>
      <c r="BS131" s="42"/>
      <c r="BT131" s="42"/>
      <c r="BU131" s="42"/>
      <c r="BV131" s="42"/>
      <c r="BW131" s="42"/>
      <c r="BX131" s="42"/>
      <c r="BY131" s="42"/>
      <c r="BZ131" s="42"/>
      <c r="CA131" s="42"/>
      <c r="CB131" s="42"/>
      <c r="CC131" s="42"/>
      <c r="CD131" s="42"/>
      <c r="CE131" s="42"/>
      <c r="CF131" s="42"/>
      <c r="CG131" s="42"/>
      <c r="CH131" s="42"/>
      <c r="CI131" s="42"/>
      <c r="CJ131" s="42"/>
      <c r="CK131" s="42"/>
      <c r="CL131" s="42"/>
      <c r="CM131" s="42"/>
      <c r="CN131" s="42"/>
      <c r="CO131" s="42"/>
      <c r="CP131" s="42"/>
      <c r="CQ131" s="42"/>
      <c r="CR131" s="42"/>
      <c r="CS131" s="42"/>
      <c r="CT131" s="42"/>
      <c r="CU131" s="42"/>
      <c r="CV131" s="42"/>
      <c r="CW131" s="42"/>
      <c r="CX131" s="42"/>
      <c r="CY131" s="42"/>
      <c r="CZ131" s="42"/>
      <c r="DA131" s="42"/>
      <c r="DB131" s="42"/>
      <c r="DC131" s="42"/>
      <c r="DD131" s="42"/>
      <c r="DE131" s="42"/>
      <c r="DF131" s="42"/>
      <c r="DG131" s="42"/>
      <c r="DH131" s="42"/>
      <c r="DI131" s="42"/>
      <c r="DJ131" s="42"/>
      <c r="DK131" s="42"/>
      <c r="DL131" s="42"/>
      <c r="DM131" s="42"/>
      <c r="DN131" s="42"/>
      <c r="DO131" s="42"/>
      <c r="DP131" s="42"/>
      <c r="DQ131" s="42"/>
      <c r="DR131" s="42"/>
      <c r="DS131" s="42"/>
      <c r="DT131" s="42"/>
      <c r="DU131" s="42"/>
      <c r="DV131" s="42"/>
      <c r="DW131" s="42"/>
      <c r="DX131" s="42"/>
      <c r="DY131" s="42"/>
      <c r="DZ131" s="42"/>
      <c r="EA131" s="42"/>
      <c r="EB131" s="42"/>
      <c r="EC131" s="42"/>
      <c r="ED131" s="42"/>
      <c r="EE131" s="42"/>
      <c r="EF131" s="42"/>
      <c r="EG131" s="42"/>
      <c r="EH131" s="42"/>
      <c r="EI131" s="42"/>
      <c r="EJ131" s="42"/>
      <c r="EK131" s="42"/>
      <c r="EL131" s="42"/>
      <c r="EM131" s="42"/>
      <c r="EN131" s="42"/>
      <c r="EO131" s="42"/>
      <c r="EP131" s="42"/>
      <c r="EQ131" s="42"/>
      <c r="ER131" s="42"/>
      <c r="ES131" s="42"/>
      <c r="ET131" s="42"/>
      <c r="EU131" s="42"/>
      <c r="EV131" s="42"/>
      <c r="EW131" s="42"/>
      <c r="EX131" s="42"/>
      <c r="EY131" s="42"/>
      <c r="EZ131" s="42"/>
      <c r="FA131" s="42"/>
      <c r="FB131" s="42"/>
      <c r="FC131" s="42"/>
      <c r="FD131" s="42"/>
      <c r="FE131" s="42"/>
      <c r="FF131" s="42"/>
      <c r="FG131" s="42"/>
      <c r="FH131" s="42"/>
      <c r="FI131" s="42"/>
      <c r="FJ131" s="42"/>
      <c r="FK131" s="42"/>
      <c r="FL131" s="42"/>
      <c r="FM131" s="42"/>
      <c r="FN131" s="42"/>
      <c r="FO131" s="42"/>
      <c r="FP131" s="42"/>
      <c r="FQ131" s="42"/>
      <c r="FR131" s="42"/>
      <c r="FS131" s="42"/>
      <c r="FT131" s="42"/>
      <c r="FU131" s="42"/>
      <c r="FV131" s="42"/>
      <c r="FW131" s="42"/>
      <c r="FX131" s="42"/>
      <c r="FY131" s="42"/>
      <c r="FZ131" s="42"/>
      <c r="GA131" s="42"/>
      <c r="GB131" s="42"/>
      <c r="GC131" s="42"/>
      <c r="GD131" s="42"/>
      <c r="GE131" s="42"/>
      <c r="GF131" s="42"/>
      <c r="GG131" s="42"/>
      <c r="GH131" s="42"/>
      <c r="GI131" s="42"/>
      <c r="GJ131" s="42"/>
      <c r="GK131" s="42"/>
      <c r="GL131" s="42"/>
      <c r="GM131" s="42"/>
      <c r="GN131" s="42"/>
      <c r="GO131" s="42"/>
      <c r="GP131" s="42"/>
      <c r="GQ131" s="42"/>
      <c r="GR131" s="42"/>
      <c r="GS131" s="42"/>
      <c r="GT131" s="42"/>
      <c r="GU131" s="42"/>
      <c r="GV131" s="42"/>
      <c r="GW131" s="42"/>
      <c r="GX131" s="42"/>
      <c r="GY131" s="42"/>
      <c r="GZ131" s="42"/>
      <c r="HA131" s="42"/>
      <c r="HB131" s="42"/>
      <c r="HC131" s="42"/>
      <c r="HD131" s="42"/>
      <c r="HE131" s="42"/>
      <c r="HF131" s="42"/>
      <c r="HG131" s="42"/>
      <c r="HH131" s="42"/>
      <c r="HI131" s="42"/>
      <c r="HJ131" s="42"/>
      <c r="HK131" s="42"/>
      <c r="HL131" s="42"/>
      <c r="HM131" s="42"/>
      <c r="HN131" s="42"/>
      <c r="HO131" s="42"/>
      <c r="HP131" s="42"/>
      <c r="HQ131" s="42"/>
      <c r="HR131" s="42"/>
      <c r="HS131" s="42"/>
      <c r="HT131" s="42"/>
      <c r="HU131" s="42"/>
      <c r="HV131" s="42"/>
      <c r="HW131" s="42"/>
      <c r="HX131" s="42"/>
      <c r="HY131" s="42"/>
      <c r="HZ131" s="42"/>
      <c r="IA131" s="42"/>
      <c r="IB131" s="42"/>
      <c r="IC131" s="42"/>
      <c r="ID131" s="42"/>
      <c r="IE131" s="42"/>
      <c r="IF131" s="42"/>
      <c r="IG131" s="42"/>
      <c r="IH131" s="42"/>
      <c r="II131" s="42"/>
      <c r="IJ131" s="42"/>
      <c r="IK131" s="42"/>
      <c r="IL131" s="42"/>
      <c r="IM131" s="42"/>
      <c r="IN131" s="42"/>
      <c r="IO131" s="42"/>
      <c r="IP131" s="42"/>
      <c r="IQ131" s="42"/>
      <c r="IR131" s="42"/>
      <c r="IS131" s="42"/>
      <c r="IT131" s="42"/>
      <c r="IU131" s="42"/>
      <c r="IV131" s="42"/>
      <c r="IW131" s="42"/>
      <c r="IX131" s="42"/>
      <c r="IY131" s="42"/>
      <c r="IZ131" s="42"/>
      <c r="JA131" s="42"/>
      <c r="JB131" s="42"/>
      <c r="JC131" s="42"/>
      <c r="JD131" s="42"/>
      <c r="JE131" s="42"/>
      <c r="JF131" s="42"/>
      <c r="JG131" s="42"/>
      <c r="JH131" s="42"/>
      <c r="JI131" s="42"/>
      <c r="JJ131" s="42"/>
      <c r="JK131" s="42"/>
      <c r="JL131" s="42"/>
      <c r="JM131" s="42"/>
      <c r="JN131" s="42"/>
      <c r="JO131" s="42"/>
      <c r="JP131" s="42"/>
      <c r="JQ131" s="42"/>
      <c r="JR131" s="42"/>
      <c r="JS131" s="42"/>
      <c r="JT131" s="42"/>
      <c r="JU131" s="42"/>
      <c r="JV131" s="42"/>
      <c r="JW131" s="42"/>
      <c r="JX131" s="42"/>
      <c r="JY131" s="42"/>
      <c r="JZ131" s="42"/>
      <c r="KA131" s="42"/>
      <c r="KB131" s="42"/>
      <c r="KC131" s="42"/>
      <c r="KD131" s="42"/>
      <c r="KE131" s="42"/>
      <c r="KF131" s="42"/>
      <c r="KG131" s="42"/>
      <c r="KH131" s="42"/>
      <c r="KI131" s="42"/>
      <c r="KJ131" s="42"/>
      <c r="KK131" s="42"/>
      <c r="KL131" s="42"/>
      <c r="KM131" s="42"/>
      <c r="KN131" s="42"/>
      <c r="KO131" s="42"/>
      <c r="KP131" s="42"/>
      <c r="KQ131" s="42"/>
      <c r="KR131" s="42"/>
      <c r="KS131" s="42"/>
      <c r="KT131" s="42"/>
      <c r="KU131" s="42"/>
      <c r="KV131" s="42"/>
      <c r="KW131" s="42"/>
      <c r="KX131" s="42"/>
      <c r="KY131" s="42"/>
      <c r="KZ131" s="42"/>
      <c r="LA131" s="42"/>
      <c r="LB131" s="42"/>
      <c r="LC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c r="BD132" s="42"/>
      <c r="BE132" s="42"/>
      <c r="BF132" s="42"/>
      <c r="BG132" s="42"/>
      <c r="BH132" s="42"/>
      <c r="BI132" s="42"/>
      <c r="BJ132" s="42"/>
      <c r="BK132" s="42"/>
      <c r="BL132" s="42"/>
      <c r="BM132" s="42"/>
      <c r="BN132" s="42"/>
      <c r="BO132" s="42"/>
      <c r="BP132" s="42"/>
      <c r="BQ132" s="42"/>
      <c r="BR132" s="42"/>
      <c r="BS132" s="42"/>
      <c r="BT132" s="42"/>
      <c r="BU132" s="42"/>
      <c r="BV132" s="42"/>
      <c r="BW132" s="42"/>
      <c r="BX132" s="42"/>
      <c r="BY132" s="42"/>
      <c r="BZ132" s="42"/>
      <c r="CA132" s="42"/>
      <c r="CB132" s="42"/>
      <c r="CC132" s="42"/>
      <c r="CD132" s="42"/>
      <c r="CE132" s="42"/>
      <c r="CF132" s="42"/>
      <c r="CG132" s="42"/>
      <c r="CH132" s="42"/>
      <c r="CI132" s="42"/>
      <c r="CJ132" s="42"/>
      <c r="CK132" s="42"/>
      <c r="CL132" s="42"/>
      <c r="CM132" s="42"/>
      <c r="CN132" s="42"/>
      <c r="CO132" s="42"/>
      <c r="CP132" s="42"/>
      <c r="CQ132" s="42"/>
      <c r="CR132" s="42"/>
      <c r="CS132" s="42"/>
      <c r="CT132" s="42"/>
      <c r="CU132" s="42"/>
      <c r="CV132" s="42"/>
      <c r="CW132" s="42"/>
      <c r="CX132" s="42"/>
      <c r="CY132" s="42"/>
      <c r="CZ132" s="42"/>
      <c r="DA132" s="42"/>
      <c r="DB132" s="42"/>
      <c r="DC132" s="42"/>
      <c r="DD132" s="42"/>
      <c r="DE132" s="42"/>
      <c r="DF132" s="42"/>
      <c r="DG132" s="42"/>
      <c r="DH132" s="42"/>
      <c r="DI132" s="42"/>
      <c r="DJ132" s="42"/>
      <c r="DK132" s="42"/>
      <c r="DL132" s="42"/>
      <c r="DM132" s="42"/>
      <c r="DN132" s="42"/>
      <c r="DO132" s="42"/>
      <c r="DP132" s="42"/>
      <c r="DQ132" s="42"/>
      <c r="DR132" s="42"/>
      <c r="DS132" s="42"/>
      <c r="DT132" s="42"/>
      <c r="DU132" s="42"/>
      <c r="DV132" s="42"/>
      <c r="DW132" s="42"/>
      <c r="DX132" s="42"/>
      <c r="DY132" s="42"/>
      <c r="DZ132" s="42"/>
      <c r="EA132" s="42"/>
      <c r="EB132" s="42"/>
      <c r="EC132" s="42"/>
      <c r="ED132" s="42"/>
      <c r="EE132" s="42"/>
      <c r="EF132" s="42"/>
      <c r="EG132" s="42"/>
      <c r="EH132" s="42"/>
      <c r="EI132" s="42"/>
      <c r="EJ132" s="42"/>
      <c r="EK132" s="42"/>
      <c r="EL132" s="42"/>
      <c r="EM132" s="42"/>
      <c r="EN132" s="42"/>
      <c r="EO132" s="42"/>
      <c r="EP132" s="42"/>
      <c r="EQ132" s="42"/>
      <c r="ER132" s="42"/>
      <c r="ES132" s="42"/>
      <c r="ET132" s="42"/>
      <c r="EU132" s="42"/>
      <c r="EV132" s="42"/>
      <c r="EW132" s="42"/>
      <c r="EX132" s="42"/>
      <c r="EY132" s="42"/>
      <c r="EZ132" s="42"/>
      <c r="FA132" s="42"/>
      <c r="FB132" s="42"/>
      <c r="FC132" s="42"/>
      <c r="FD132" s="42"/>
      <c r="FE132" s="42"/>
      <c r="FF132" s="42"/>
      <c r="FG132" s="42"/>
      <c r="FH132" s="42"/>
      <c r="FI132" s="42"/>
      <c r="FJ132" s="42"/>
      <c r="FK132" s="42"/>
      <c r="FL132" s="42"/>
      <c r="FM132" s="42"/>
      <c r="FN132" s="42"/>
      <c r="FO132" s="42"/>
      <c r="FP132" s="42"/>
      <c r="FQ132" s="42"/>
      <c r="FR132" s="42"/>
      <c r="FS132" s="42"/>
      <c r="FT132" s="42"/>
      <c r="FU132" s="42"/>
      <c r="FV132" s="42"/>
      <c r="FW132" s="42"/>
      <c r="FX132" s="42"/>
      <c r="FY132" s="42"/>
      <c r="FZ132" s="42"/>
      <c r="GA132" s="42"/>
      <c r="GB132" s="42"/>
      <c r="GC132" s="42"/>
      <c r="GD132" s="42"/>
      <c r="GE132" s="42"/>
      <c r="GF132" s="42"/>
      <c r="GG132" s="42"/>
      <c r="GH132" s="42"/>
      <c r="GI132" s="42"/>
      <c r="GJ132" s="42"/>
      <c r="GK132" s="42"/>
      <c r="GL132" s="42"/>
      <c r="GM132" s="42"/>
      <c r="GN132" s="42"/>
      <c r="GO132" s="42"/>
      <c r="GP132" s="42"/>
      <c r="GQ132" s="42"/>
      <c r="GR132" s="42"/>
      <c r="GS132" s="42"/>
      <c r="GT132" s="42"/>
      <c r="GU132" s="42"/>
      <c r="GV132" s="42"/>
      <c r="GW132" s="42"/>
      <c r="GX132" s="42"/>
      <c r="GY132" s="42"/>
      <c r="GZ132" s="42"/>
      <c r="HA132" s="42"/>
      <c r="HB132" s="42"/>
      <c r="HC132" s="42"/>
      <c r="HD132" s="42"/>
      <c r="HE132" s="42"/>
      <c r="HF132" s="42"/>
      <c r="HG132" s="42"/>
      <c r="HH132" s="42"/>
      <c r="HI132" s="42"/>
      <c r="HJ132" s="42"/>
      <c r="HK132" s="42"/>
      <c r="HL132" s="42"/>
      <c r="HM132" s="42"/>
      <c r="HN132" s="42"/>
      <c r="HO132" s="42"/>
      <c r="HP132" s="42"/>
      <c r="HQ132" s="42"/>
      <c r="HR132" s="42"/>
      <c r="HS132" s="42"/>
      <c r="HT132" s="42"/>
      <c r="HU132" s="42"/>
      <c r="HV132" s="42"/>
      <c r="HW132" s="42"/>
      <c r="HX132" s="42"/>
      <c r="HY132" s="42"/>
      <c r="HZ132" s="42"/>
      <c r="IA132" s="42"/>
      <c r="IB132" s="42"/>
      <c r="IC132" s="42"/>
      <c r="ID132" s="42"/>
      <c r="IE132" s="42"/>
      <c r="IF132" s="42"/>
      <c r="IG132" s="42"/>
      <c r="IH132" s="42"/>
      <c r="II132" s="42"/>
      <c r="IJ132" s="42"/>
      <c r="IK132" s="42"/>
      <c r="IL132" s="42"/>
      <c r="IM132" s="42"/>
      <c r="IN132" s="42"/>
      <c r="IO132" s="42"/>
      <c r="IP132" s="42"/>
      <c r="IQ132" s="42"/>
      <c r="IR132" s="42"/>
      <c r="IS132" s="42"/>
      <c r="IT132" s="42"/>
      <c r="IU132" s="42"/>
      <c r="IV132" s="42"/>
      <c r="IW132" s="42"/>
      <c r="IX132" s="42"/>
      <c r="IY132" s="42"/>
      <c r="IZ132" s="42"/>
      <c r="JA132" s="42"/>
      <c r="JB132" s="42"/>
      <c r="JC132" s="42"/>
      <c r="JD132" s="42"/>
      <c r="JE132" s="42"/>
      <c r="JF132" s="42"/>
      <c r="JG132" s="42"/>
      <c r="JH132" s="42"/>
      <c r="JI132" s="42"/>
      <c r="JJ132" s="42"/>
      <c r="JK132" s="42"/>
      <c r="JL132" s="42"/>
      <c r="JM132" s="42"/>
      <c r="JN132" s="42"/>
      <c r="JO132" s="42"/>
      <c r="JP132" s="42"/>
      <c r="JQ132" s="42"/>
      <c r="JR132" s="42"/>
      <c r="JS132" s="42"/>
      <c r="JT132" s="42"/>
      <c r="JU132" s="42"/>
      <c r="JV132" s="42"/>
      <c r="JW132" s="42"/>
      <c r="JX132" s="42"/>
      <c r="JY132" s="42"/>
      <c r="JZ132" s="42"/>
      <c r="KA132" s="42"/>
      <c r="KB132" s="42"/>
      <c r="KC132" s="42"/>
      <c r="KD132" s="42"/>
      <c r="KE132" s="42"/>
      <c r="KF132" s="42"/>
      <c r="KG132" s="42"/>
      <c r="KH132" s="42"/>
      <c r="KI132" s="42"/>
      <c r="KJ132" s="42"/>
      <c r="KK132" s="42"/>
      <c r="KL132" s="42"/>
      <c r="KM132" s="42"/>
      <c r="KN132" s="42"/>
      <c r="KO132" s="42"/>
      <c r="KP132" s="42"/>
      <c r="KQ132" s="42"/>
      <c r="KR132" s="42"/>
      <c r="KS132" s="42"/>
      <c r="KT132" s="42"/>
      <c r="KU132" s="42"/>
      <c r="KV132" s="42"/>
      <c r="KW132" s="42"/>
      <c r="KX132" s="42"/>
      <c r="KY132" s="42"/>
      <c r="KZ132" s="42"/>
      <c r="LA132" s="42"/>
      <c r="LB132" s="42"/>
      <c r="LC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c r="BN133" s="42"/>
      <c r="BO133" s="42"/>
      <c r="BP133" s="42"/>
      <c r="BQ133" s="42"/>
      <c r="BR133" s="42"/>
      <c r="BS133" s="42"/>
      <c r="BT133" s="42"/>
      <c r="BU133" s="42"/>
      <c r="BV133" s="42"/>
      <c r="BW133" s="42"/>
      <c r="BX133" s="42"/>
      <c r="BY133" s="42"/>
      <c r="BZ133" s="42"/>
      <c r="CA133" s="42"/>
      <c r="CB133" s="42"/>
      <c r="CC133" s="42"/>
      <c r="CD133" s="42"/>
      <c r="CE133" s="42"/>
      <c r="CF133" s="42"/>
      <c r="CG133" s="42"/>
      <c r="CH133" s="42"/>
      <c r="CI133" s="42"/>
      <c r="CJ133" s="42"/>
      <c r="CK133" s="42"/>
      <c r="CL133" s="42"/>
      <c r="CM133" s="42"/>
      <c r="CN133" s="42"/>
      <c r="CO133" s="42"/>
      <c r="CP133" s="42"/>
      <c r="CQ133" s="42"/>
      <c r="CR133" s="42"/>
      <c r="CS133" s="42"/>
      <c r="CT133" s="42"/>
      <c r="CU133" s="42"/>
      <c r="CV133" s="42"/>
      <c r="CW133" s="42"/>
      <c r="CX133" s="42"/>
      <c r="CY133" s="42"/>
      <c r="CZ133" s="42"/>
      <c r="DA133" s="42"/>
      <c r="DB133" s="42"/>
      <c r="DC133" s="42"/>
      <c r="DD133" s="42"/>
      <c r="DE133" s="42"/>
      <c r="DF133" s="42"/>
      <c r="DG133" s="42"/>
      <c r="DH133" s="42"/>
      <c r="DI133" s="42"/>
      <c r="DJ133" s="42"/>
      <c r="DK133" s="42"/>
      <c r="DL133" s="42"/>
      <c r="DM133" s="42"/>
      <c r="DN133" s="42"/>
      <c r="DO133" s="42"/>
      <c r="DP133" s="42"/>
      <c r="DQ133" s="42"/>
      <c r="DR133" s="42"/>
      <c r="DS133" s="42"/>
      <c r="DT133" s="42"/>
      <c r="DU133" s="42"/>
      <c r="DV133" s="42"/>
      <c r="DW133" s="42"/>
      <c r="DX133" s="42"/>
      <c r="DY133" s="42"/>
      <c r="DZ133" s="42"/>
      <c r="EA133" s="42"/>
      <c r="EB133" s="42"/>
      <c r="EC133" s="42"/>
      <c r="ED133" s="42"/>
      <c r="EE133" s="42"/>
      <c r="EF133" s="42"/>
      <c r="EG133" s="42"/>
      <c r="EH133" s="42"/>
      <c r="EI133" s="42"/>
      <c r="EJ133" s="42"/>
      <c r="EK133" s="42"/>
      <c r="EL133" s="42"/>
      <c r="EM133" s="42"/>
      <c r="EN133" s="42"/>
      <c r="EO133" s="42"/>
      <c r="EP133" s="42"/>
      <c r="EQ133" s="42"/>
      <c r="ER133" s="42"/>
      <c r="ES133" s="42"/>
      <c r="ET133" s="42"/>
      <c r="EU133" s="42"/>
      <c r="EV133" s="42"/>
      <c r="EW133" s="42"/>
      <c r="EX133" s="42"/>
      <c r="EY133" s="42"/>
      <c r="EZ133" s="42"/>
      <c r="FA133" s="42"/>
      <c r="FB133" s="42"/>
      <c r="FC133" s="42"/>
      <c r="FD133" s="42"/>
      <c r="FE133" s="42"/>
      <c r="FF133" s="42"/>
      <c r="FG133" s="42"/>
      <c r="FH133" s="42"/>
      <c r="FI133" s="42"/>
      <c r="FJ133" s="42"/>
      <c r="FK133" s="42"/>
      <c r="FL133" s="42"/>
      <c r="FM133" s="42"/>
      <c r="FN133" s="42"/>
      <c r="FO133" s="42"/>
      <c r="FP133" s="42"/>
      <c r="FQ133" s="42"/>
      <c r="FR133" s="42"/>
      <c r="FS133" s="42"/>
      <c r="FT133" s="42"/>
      <c r="FU133" s="42"/>
      <c r="FV133" s="42"/>
      <c r="FW133" s="42"/>
      <c r="FX133" s="42"/>
      <c r="FY133" s="42"/>
      <c r="FZ133" s="42"/>
      <c r="GA133" s="42"/>
      <c r="GB133" s="42"/>
      <c r="GC133" s="42"/>
      <c r="GD133" s="42"/>
      <c r="GE133" s="42"/>
      <c r="GF133" s="42"/>
      <c r="GG133" s="42"/>
      <c r="GH133" s="42"/>
      <c r="GI133" s="42"/>
      <c r="GJ133" s="42"/>
      <c r="GK133" s="42"/>
      <c r="GL133" s="42"/>
      <c r="GM133" s="42"/>
      <c r="GN133" s="42"/>
      <c r="GO133" s="42"/>
      <c r="GP133" s="42"/>
      <c r="GQ133" s="42"/>
      <c r="GR133" s="42"/>
      <c r="GS133" s="42"/>
      <c r="GT133" s="42"/>
      <c r="GU133" s="42"/>
      <c r="GV133" s="42"/>
      <c r="GW133" s="42"/>
      <c r="GX133" s="42"/>
      <c r="GY133" s="42"/>
      <c r="GZ133" s="42"/>
      <c r="HA133" s="42"/>
      <c r="HB133" s="42"/>
      <c r="HC133" s="42"/>
      <c r="HD133" s="42"/>
      <c r="HE133" s="42"/>
      <c r="HF133" s="42"/>
      <c r="HG133" s="42"/>
      <c r="HH133" s="42"/>
      <c r="HI133" s="42"/>
      <c r="HJ133" s="42"/>
      <c r="HK133" s="42"/>
      <c r="HL133" s="42"/>
      <c r="HM133" s="42"/>
      <c r="HN133" s="42"/>
      <c r="HO133" s="42"/>
      <c r="HP133" s="42"/>
      <c r="HQ133" s="42"/>
      <c r="HR133" s="42"/>
      <c r="HS133" s="42"/>
      <c r="HT133" s="42"/>
      <c r="HU133" s="42"/>
      <c r="HV133" s="42"/>
      <c r="HW133" s="42"/>
      <c r="HX133" s="42"/>
      <c r="HY133" s="42"/>
      <c r="HZ133" s="42"/>
      <c r="IA133" s="42"/>
      <c r="IB133" s="42"/>
      <c r="IC133" s="42"/>
      <c r="ID133" s="42"/>
      <c r="IE133" s="42"/>
      <c r="IF133" s="42"/>
      <c r="IG133" s="42"/>
      <c r="IH133" s="42"/>
      <c r="II133" s="42"/>
      <c r="IJ133" s="42"/>
      <c r="IK133" s="42"/>
      <c r="IL133" s="42"/>
      <c r="IM133" s="42"/>
      <c r="IN133" s="42"/>
      <c r="IO133" s="42"/>
      <c r="IP133" s="42"/>
      <c r="IQ133" s="42"/>
      <c r="IR133" s="42"/>
      <c r="IS133" s="42"/>
      <c r="IT133" s="42"/>
      <c r="IU133" s="42"/>
      <c r="IV133" s="42"/>
      <c r="IW133" s="42"/>
      <c r="IX133" s="42"/>
      <c r="IY133" s="42"/>
      <c r="IZ133" s="42"/>
      <c r="JA133" s="42"/>
      <c r="JB133" s="42"/>
      <c r="JC133" s="42"/>
      <c r="JD133" s="42"/>
      <c r="JE133" s="42"/>
      <c r="JF133" s="42"/>
      <c r="JG133" s="42"/>
      <c r="JH133" s="42"/>
      <c r="JI133" s="42"/>
      <c r="JJ133" s="42"/>
      <c r="JK133" s="42"/>
      <c r="JL133" s="42"/>
      <c r="JM133" s="42"/>
      <c r="JN133" s="42"/>
      <c r="JO133" s="42"/>
      <c r="JP133" s="42"/>
      <c r="JQ133" s="42"/>
      <c r="JR133" s="42"/>
      <c r="JS133" s="42"/>
      <c r="JT133" s="42"/>
      <c r="JU133" s="42"/>
      <c r="JV133" s="42"/>
      <c r="JW133" s="42"/>
      <c r="JX133" s="42"/>
      <c r="JY133" s="42"/>
      <c r="JZ133" s="42"/>
      <c r="KA133" s="42"/>
      <c r="KB133" s="42"/>
      <c r="KC133" s="42"/>
      <c r="KD133" s="42"/>
      <c r="KE133" s="42"/>
      <c r="KF133" s="42"/>
      <c r="KG133" s="42"/>
      <c r="KH133" s="42"/>
      <c r="KI133" s="42"/>
      <c r="KJ133" s="42"/>
      <c r="KK133" s="42"/>
      <c r="KL133" s="42"/>
      <c r="KM133" s="42"/>
      <c r="KN133" s="42"/>
      <c r="KO133" s="42"/>
      <c r="KP133" s="42"/>
      <c r="KQ133" s="42"/>
      <c r="KR133" s="42"/>
      <c r="KS133" s="42"/>
      <c r="KT133" s="42"/>
      <c r="KU133" s="42"/>
      <c r="KV133" s="42"/>
      <c r="KW133" s="42"/>
      <c r="KX133" s="42"/>
      <c r="KY133" s="42"/>
      <c r="KZ133" s="42"/>
      <c r="LA133" s="42"/>
      <c r="LB133" s="42"/>
      <c r="LC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c r="BC134" s="42"/>
      <c r="BD134" s="42"/>
      <c r="BE134" s="42"/>
      <c r="BF134" s="42"/>
      <c r="BG134" s="42"/>
      <c r="BH134" s="42"/>
      <c r="BI134" s="42"/>
      <c r="BJ134" s="42"/>
      <c r="BK134" s="42"/>
      <c r="BL134" s="42"/>
      <c r="BM134" s="42"/>
      <c r="BN134" s="42"/>
      <c r="BO134" s="42"/>
      <c r="BP134" s="42"/>
      <c r="BQ134" s="42"/>
      <c r="BR134" s="42"/>
      <c r="BS134" s="42"/>
      <c r="BT134" s="42"/>
      <c r="BU134" s="42"/>
      <c r="BV134" s="42"/>
      <c r="BW134" s="42"/>
      <c r="BX134" s="42"/>
      <c r="BY134" s="42"/>
      <c r="BZ134" s="42"/>
      <c r="CA134" s="42"/>
      <c r="CB134" s="42"/>
      <c r="CC134" s="42"/>
      <c r="CD134" s="42"/>
      <c r="CE134" s="42"/>
      <c r="CF134" s="42"/>
      <c r="CG134" s="42"/>
      <c r="CH134" s="42"/>
      <c r="CI134" s="42"/>
      <c r="CJ134" s="42"/>
      <c r="CK134" s="42"/>
      <c r="CL134" s="42"/>
      <c r="CM134" s="42"/>
      <c r="CN134" s="42"/>
      <c r="CO134" s="42"/>
      <c r="CP134" s="42"/>
      <c r="CQ134" s="42"/>
      <c r="CR134" s="42"/>
      <c r="CS134" s="42"/>
      <c r="CT134" s="42"/>
      <c r="CU134" s="42"/>
      <c r="CV134" s="42"/>
      <c r="CW134" s="42"/>
      <c r="CX134" s="42"/>
      <c r="CY134" s="42"/>
      <c r="CZ134" s="42"/>
      <c r="DA134" s="42"/>
      <c r="DB134" s="42"/>
      <c r="DC134" s="42"/>
      <c r="DD134" s="42"/>
      <c r="DE134" s="42"/>
      <c r="DF134" s="42"/>
      <c r="DG134" s="42"/>
      <c r="DH134" s="42"/>
      <c r="DI134" s="42"/>
      <c r="DJ134" s="42"/>
      <c r="DK134" s="42"/>
      <c r="DL134" s="42"/>
      <c r="DM134" s="42"/>
      <c r="DN134" s="42"/>
      <c r="DO134" s="42"/>
      <c r="DP134" s="42"/>
      <c r="DQ134" s="42"/>
      <c r="DR134" s="42"/>
      <c r="DS134" s="42"/>
      <c r="DT134" s="42"/>
      <c r="DU134" s="42"/>
      <c r="DV134" s="42"/>
      <c r="DW134" s="42"/>
      <c r="DX134" s="42"/>
      <c r="DY134" s="42"/>
      <c r="DZ134" s="42"/>
      <c r="EA134" s="42"/>
      <c r="EB134" s="42"/>
      <c r="EC134" s="42"/>
      <c r="ED134" s="42"/>
      <c r="EE134" s="42"/>
      <c r="EF134" s="42"/>
      <c r="EG134" s="42"/>
      <c r="EH134" s="42"/>
      <c r="EI134" s="42"/>
      <c r="EJ134" s="42"/>
      <c r="EK134" s="42"/>
      <c r="EL134" s="42"/>
      <c r="EM134" s="42"/>
      <c r="EN134" s="42"/>
      <c r="EO134" s="42"/>
      <c r="EP134" s="42"/>
      <c r="EQ134" s="42"/>
      <c r="ER134" s="42"/>
      <c r="ES134" s="42"/>
      <c r="ET134" s="42"/>
      <c r="EU134" s="42"/>
      <c r="EV134" s="42"/>
      <c r="EW134" s="42"/>
      <c r="EX134" s="42"/>
      <c r="EY134" s="42"/>
      <c r="EZ134" s="42"/>
      <c r="FA134" s="42"/>
      <c r="FB134" s="42"/>
      <c r="FC134" s="42"/>
      <c r="FD134" s="42"/>
      <c r="FE134" s="42"/>
      <c r="FF134" s="42"/>
      <c r="FG134" s="42"/>
      <c r="FH134" s="42"/>
      <c r="FI134" s="42"/>
      <c r="FJ134" s="42"/>
      <c r="FK134" s="42"/>
      <c r="FL134" s="42"/>
      <c r="FM134" s="42"/>
      <c r="FN134" s="42"/>
      <c r="FO134" s="42"/>
      <c r="FP134" s="42"/>
      <c r="FQ134" s="42"/>
      <c r="FR134" s="42"/>
      <c r="FS134" s="42"/>
      <c r="FT134" s="42"/>
      <c r="FU134" s="42"/>
      <c r="FV134" s="42"/>
      <c r="FW134" s="42"/>
      <c r="FX134" s="42"/>
      <c r="FY134" s="42"/>
      <c r="FZ134" s="42"/>
      <c r="GA134" s="42"/>
      <c r="GB134" s="42"/>
      <c r="GC134" s="42"/>
      <c r="GD134" s="42"/>
      <c r="GE134" s="42"/>
      <c r="GF134" s="42"/>
      <c r="GG134" s="42"/>
      <c r="GH134" s="42"/>
      <c r="GI134" s="42"/>
      <c r="GJ134" s="42"/>
      <c r="GK134" s="42"/>
      <c r="GL134" s="42"/>
      <c r="GM134" s="42"/>
      <c r="GN134" s="42"/>
      <c r="GO134" s="42"/>
      <c r="GP134" s="42"/>
      <c r="GQ134" s="42"/>
      <c r="GR134" s="42"/>
      <c r="GS134" s="42"/>
      <c r="GT134" s="42"/>
      <c r="GU134" s="42"/>
      <c r="GV134" s="42"/>
      <c r="GW134" s="42"/>
      <c r="GX134" s="42"/>
      <c r="GY134" s="42"/>
      <c r="GZ134" s="42"/>
      <c r="HA134" s="42"/>
      <c r="HB134" s="42"/>
      <c r="HC134" s="42"/>
      <c r="HD134" s="42"/>
      <c r="HE134" s="42"/>
      <c r="HF134" s="42"/>
      <c r="HG134" s="42"/>
      <c r="HH134" s="42"/>
      <c r="HI134" s="42"/>
      <c r="HJ134" s="42"/>
      <c r="HK134" s="42"/>
      <c r="HL134" s="42"/>
      <c r="HM134" s="42"/>
      <c r="HN134" s="42"/>
      <c r="HO134" s="42"/>
      <c r="HP134" s="42"/>
      <c r="HQ134" s="42"/>
      <c r="HR134" s="42"/>
      <c r="HS134" s="42"/>
      <c r="HT134" s="42"/>
      <c r="HU134" s="42"/>
      <c r="HV134" s="42"/>
      <c r="HW134" s="42"/>
      <c r="HX134" s="42"/>
      <c r="HY134" s="42"/>
      <c r="HZ134" s="42"/>
      <c r="IA134" s="42"/>
      <c r="IB134" s="42"/>
      <c r="IC134" s="42"/>
      <c r="ID134" s="42"/>
      <c r="IE134" s="42"/>
      <c r="IF134" s="42"/>
      <c r="IG134" s="42"/>
      <c r="IH134" s="42"/>
      <c r="II134" s="42"/>
      <c r="IJ134" s="42"/>
      <c r="IK134" s="42"/>
      <c r="IL134" s="42"/>
      <c r="IM134" s="42"/>
      <c r="IN134" s="42"/>
      <c r="IO134" s="42"/>
      <c r="IP134" s="42"/>
      <c r="IQ134" s="42"/>
      <c r="IR134" s="42"/>
      <c r="IS134" s="42"/>
      <c r="IT134" s="42"/>
      <c r="IU134" s="42"/>
      <c r="IV134" s="42"/>
      <c r="IW134" s="42"/>
      <c r="IX134" s="42"/>
      <c r="IY134" s="42"/>
      <c r="IZ134" s="42"/>
      <c r="JA134" s="42"/>
      <c r="JB134" s="42"/>
      <c r="JC134" s="42"/>
      <c r="JD134" s="42"/>
      <c r="JE134" s="42"/>
      <c r="JF134" s="42"/>
      <c r="JG134" s="42"/>
      <c r="JH134" s="42"/>
      <c r="JI134" s="42"/>
      <c r="JJ134" s="42"/>
      <c r="JK134" s="42"/>
      <c r="JL134" s="42"/>
      <c r="JM134" s="42"/>
      <c r="JN134" s="42"/>
      <c r="JO134" s="42"/>
      <c r="JP134" s="42"/>
      <c r="JQ134" s="42"/>
      <c r="JR134" s="42"/>
      <c r="JS134" s="42"/>
      <c r="JT134" s="42"/>
      <c r="JU134" s="42"/>
      <c r="JV134" s="42"/>
      <c r="JW134" s="42"/>
      <c r="JX134" s="42"/>
      <c r="JY134" s="42"/>
      <c r="JZ134" s="42"/>
      <c r="KA134" s="42"/>
      <c r="KB134" s="42"/>
      <c r="KC134" s="42"/>
      <c r="KD134" s="42"/>
      <c r="KE134" s="42"/>
      <c r="KF134" s="42"/>
      <c r="KG134" s="42"/>
      <c r="KH134" s="42"/>
      <c r="KI134" s="42"/>
      <c r="KJ134" s="42"/>
      <c r="KK134" s="42"/>
      <c r="KL134" s="42"/>
      <c r="KM134" s="42"/>
      <c r="KN134" s="42"/>
      <c r="KO134" s="42"/>
      <c r="KP134" s="42"/>
      <c r="KQ134" s="42"/>
      <c r="KR134" s="42"/>
      <c r="KS134" s="42"/>
      <c r="KT134" s="42"/>
      <c r="KU134" s="42"/>
      <c r="KV134" s="42"/>
      <c r="KW134" s="42"/>
      <c r="KX134" s="42"/>
      <c r="KY134" s="42"/>
      <c r="KZ134" s="42"/>
      <c r="LA134" s="42"/>
      <c r="LB134" s="42"/>
      <c r="LC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42"/>
      <c r="BE135" s="42"/>
      <c r="BF135" s="42"/>
      <c r="BG135" s="42"/>
      <c r="BH135" s="42"/>
      <c r="BI135" s="42"/>
      <c r="BJ135" s="42"/>
      <c r="BK135" s="42"/>
      <c r="BL135" s="42"/>
      <c r="BM135" s="42"/>
      <c r="BN135" s="42"/>
      <c r="BO135" s="42"/>
      <c r="BP135" s="42"/>
      <c r="BQ135" s="42"/>
      <c r="BR135" s="42"/>
      <c r="BS135" s="42"/>
      <c r="BT135" s="42"/>
      <c r="BU135" s="42"/>
      <c r="BV135" s="42"/>
      <c r="BW135" s="42"/>
      <c r="BX135" s="42"/>
      <c r="BY135" s="42"/>
      <c r="BZ135" s="42"/>
      <c r="CA135" s="42"/>
      <c r="CB135" s="42"/>
      <c r="CC135" s="42"/>
      <c r="CD135" s="42"/>
      <c r="CE135" s="42"/>
      <c r="CF135" s="42"/>
      <c r="CG135" s="42"/>
      <c r="CH135" s="42"/>
      <c r="CI135" s="42"/>
      <c r="CJ135" s="42"/>
      <c r="CK135" s="42"/>
      <c r="CL135" s="42"/>
      <c r="CM135" s="42"/>
      <c r="CN135" s="42"/>
      <c r="CO135" s="42"/>
      <c r="CP135" s="42"/>
      <c r="CQ135" s="42"/>
      <c r="CR135" s="42"/>
      <c r="CS135" s="42"/>
      <c r="CT135" s="42"/>
      <c r="CU135" s="42"/>
      <c r="CV135" s="42"/>
      <c r="CW135" s="42"/>
      <c r="CX135" s="42"/>
      <c r="CY135" s="42"/>
      <c r="CZ135" s="42"/>
      <c r="DA135" s="42"/>
      <c r="DB135" s="42"/>
      <c r="DC135" s="42"/>
      <c r="DD135" s="42"/>
      <c r="DE135" s="42"/>
      <c r="DF135" s="42"/>
      <c r="DG135" s="42"/>
      <c r="DH135" s="42"/>
      <c r="DI135" s="42"/>
      <c r="DJ135" s="42"/>
      <c r="DK135" s="42"/>
      <c r="DL135" s="42"/>
      <c r="DM135" s="42"/>
      <c r="DN135" s="42"/>
      <c r="DO135" s="42"/>
      <c r="DP135" s="42"/>
      <c r="DQ135" s="42"/>
      <c r="DR135" s="42"/>
      <c r="DS135" s="42"/>
      <c r="DT135" s="42"/>
      <c r="DU135" s="42"/>
      <c r="DV135" s="42"/>
      <c r="DW135" s="42"/>
      <c r="DX135" s="42"/>
      <c r="DY135" s="42"/>
      <c r="DZ135" s="42"/>
      <c r="EA135" s="42"/>
      <c r="EB135" s="42"/>
      <c r="EC135" s="42"/>
      <c r="ED135" s="42"/>
      <c r="EE135" s="42"/>
      <c r="EF135" s="42"/>
      <c r="EG135" s="42"/>
      <c r="EH135" s="42"/>
      <c r="EI135" s="42"/>
      <c r="EJ135" s="42"/>
      <c r="EK135" s="42"/>
      <c r="EL135" s="42"/>
      <c r="EM135" s="42"/>
      <c r="EN135" s="42"/>
      <c r="EO135" s="42"/>
      <c r="EP135" s="42"/>
      <c r="EQ135" s="42"/>
      <c r="ER135" s="42"/>
      <c r="ES135" s="42"/>
      <c r="ET135" s="42"/>
      <c r="EU135" s="42"/>
      <c r="EV135" s="42"/>
      <c r="EW135" s="42"/>
      <c r="EX135" s="42"/>
      <c r="EY135" s="42"/>
      <c r="EZ135" s="42"/>
      <c r="FA135" s="42"/>
      <c r="FB135" s="42"/>
      <c r="FC135" s="42"/>
      <c r="FD135" s="42"/>
      <c r="FE135" s="42"/>
      <c r="FF135" s="42"/>
      <c r="FG135" s="42"/>
      <c r="FH135" s="42"/>
      <c r="FI135" s="42"/>
      <c r="FJ135" s="42"/>
      <c r="FK135" s="42"/>
      <c r="FL135" s="42"/>
      <c r="FM135" s="42"/>
      <c r="FN135" s="42"/>
      <c r="FO135" s="42"/>
      <c r="FP135" s="42"/>
      <c r="FQ135" s="42"/>
      <c r="FR135" s="42"/>
      <c r="FS135" s="42"/>
      <c r="FT135" s="42"/>
      <c r="FU135" s="42"/>
      <c r="FV135" s="42"/>
      <c r="FW135" s="42"/>
      <c r="FX135" s="42"/>
      <c r="FY135" s="42"/>
      <c r="FZ135" s="42"/>
      <c r="GA135" s="42"/>
      <c r="GB135" s="42"/>
      <c r="GC135" s="42"/>
      <c r="GD135" s="42"/>
      <c r="GE135" s="42"/>
      <c r="GF135" s="42"/>
      <c r="GG135" s="42"/>
      <c r="GH135" s="42"/>
      <c r="GI135" s="42"/>
      <c r="GJ135" s="42"/>
      <c r="GK135" s="42"/>
      <c r="GL135" s="42"/>
      <c r="GM135" s="42"/>
      <c r="GN135" s="42"/>
      <c r="GO135" s="42"/>
      <c r="GP135" s="42"/>
      <c r="GQ135" s="42"/>
      <c r="GR135" s="42"/>
      <c r="GS135" s="42"/>
      <c r="GT135" s="42"/>
      <c r="GU135" s="42"/>
      <c r="GV135" s="42"/>
      <c r="GW135" s="42"/>
      <c r="GX135" s="42"/>
      <c r="GY135" s="42"/>
      <c r="GZ135" s="42"/>
      <c r="HA135" s="42"/>
      <c r="HB135" s="42"/>
      <c r="HC135" s="42"/>
      <c r="HD135" s="42"/>
      <c r="HE135" s="42"/>
      <c r="HF135" s="42"/>
      <c r="HG135" s="42"/>
      <c r="HH135" s="42"/>
      <c r="HI135" s="42"/>
      <c r="HJ135" s="42"/>
      <c r="HK135" s="42"/>
      <c r="HL135" s="42"/>
      <c r="HM135" s="42"/>
      <c r="HN135" s="42"/>
      <c r="HO135" s="42"/>
      <c r="HP135" s="42"/>
      <c r="HQ135" s="42"/>
      <c r="HR135" s="42"/>
      <c r="HS135" s="42"/>
      <c r="HT135" s="42"/>
      <c r="HU135" s="42"/>
      <c r="HV135" s="42"/>
      <c r="HW135" s="42"/>
      <c r="HX135" s="42"/>
      <c r="HY135" s="42"/>
      <c r="HZ135" s="42"/>
      <c r="IA135" s="42"/>
      <c r="IB135" s="42"/>
      <c r="IC135" s="42"/>
      <c r="ID135" s="42"/>
      <c r="IE135" s="42"/>
      <c r="IF135" s="42"/>
      <c r="IG135" s="42"/>
      <c r="IH135" s="42"/>
      <c r="II135" s="42"/>
      <c r="IJ135" s="42"/>
      <c r="IK135" s="42"/>
      <c r="IL135" s="42"/>
      <c r="IM135" s="42"/>
      <c r="IN135" s="42"/>
      <c r="IO135" s="42"/>
      <c r="IP135" s="42"/>
      <c r="IQ135" s="42"/>
      <c r="IR135" s="42"/>
      <c r="IS135" s="42"/>
      <c r="IT135" s="42"/>
      <c r="IU135" s="42"/>
      <c r="IV135" s="42"/>
      <c r="IW135" s="42"/>
      <c r="IX135" s="42"/>
      <c r="IY135" s="42"/>
      <c r="IZ135" s="42"/>
      <c r="JA135" s="42"/>
      <c r="JB135" s="42"/>
      <c r="JC135" s="42"/>
      <c r="JD135" s="42"/>
      <c r="JE135" s="42"/>
      <c r="JF135" s="42"/>
      <c r="JG135" s="42"/>
      <c r="JH135" s="42"/>
      <c r="JI135" s="42"/>
      <c r="JJ135" s="42"/>
      <c r="JK135" s="42"/>
      <c r="JL135" s="42"/>
      <c r="JM135" s="42"/>
      <c r="JN135" s="42"/>
      <c r="JO135" s="42"/>
      <c r="JP135" s="42"/>
      <c r="JQ135" s="42"/>
      <c r="JR135" s="42"/>
      <c r="JS135" s="42"/>
      <c r="JT135" s="42"/>
      <c r="JU135" s="42"/>
      <c r="JV135" s="42"/>
      <c r="JW135" s="42"/>
      <c r="JX135" s="42"/>
      <c r="JY135" s="42"/>
      <c r="JZ135" s="42"/>
      <c r="KA135" s="42"/>
      <c r="KB135" s="42"/>
      <c r="KC135" s="42"/>
      <c r="KD135" s="42"/>
      <c r="KE135" s="42"/>
      <c r="KF135" s="42"/>
      <c r="KG135" s="42"/>
      <c r="KH135" s="42"/>
      <c r="KI135" s="42"/>
      <c r="KJ135" s="42"/>
      <c r="KK135" s="42"/>
      <c r="KL135" s="42"/>
      <c r="KM135" s="42"/>
      <c r="KN135" s="42"/>
      <c r="KO135" s="42"/>
      <c r="KP135" s="42"/>
      <c r="KQ135" s="42"/>
      <c r="KR135" s="42"/>
      <c r="KS135" s="42"/>
      <c r="KT135" s="42"/>
      <c r="KU135" s="42"/>
      <c r="KV135" s="42"/>
      <c r="KW135" s="42"/>
      <c r="KX135" s="42"/>
      <c r="KY135" s="42"/>
      <c r="KZ135" s="42"/>
      <c r="LA135" s="42"/>
      <c r="LB135" s="42"/>
      <c r="LC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2"/>
      <c r="BH136" s="42"/>
      <c r="BI136" s="42"/>
      <c r="BJ136" s="42"/>
      <c r="BK136" s="42"/>
      <c r="BL136" s="42"/>
      <c r="BM136" s="42"/>
      <c r="BN136" s="42"/>
      <c r="BO136" s="42"/>
      <c r="BP136" s="42"/>
      <c r="BQ136" s="42"/>
      <c r="BR136" s="42"/>
      <c r="BS136" s="42"/>
      <c r="BT136" s="42"/>
      <c r="BU136" s="42"/>
      <c r="BV136" s="42"/>
      <c r="BW136" s="42"/>
      <c r="BX136" s="42"/>
      <c r="BY136" s="42"/>
      <c r="BZ136" s="42"/>
      <c r="CA136" s="42"/>
      <c r="CB136" s="42"/>
      <c r="CC136" s="42"/>
      <c r="CD136" s="42"/>
      <c r="CE136" s="42"/>
      <c r="CF136" s="42"/>
      <c r="CG136" s="42"/>
      <c r="CH136" s="42"/>
      <c r="CI136" s="42"/>
      <c r="CJ136" s="42"/>
      <c r="CK136" s="42"/>
      <c r="CL136" s="42"/>
      <c r="CM136" s="42"/>
      <c r="CN136" s="42"/>
      <c r="CO136" s="42"/>
      <c r="CP136" s="42"/>
      <c r="CQ136" s="42"/>
      <c r="CR136" s="42"/>
      <c r="CS136" s="42"/>
      <c r="CT136" s="42"/>
      <c r="CU136" s="42"/>
      <c r="CV136" s="42"/>
      <c r="CW136" s="42"/>
      <c r="CX136" s="42"/>
      <c r="CY136" s="42"/>
      <c r="CZ136" s="42"/>
      <c r="DA136" s="42"/>
      <c r="DB136" s="42"/>
      <c r="DC136" s="42"/>
      <c r="DD136" s="42"/>
      <c r="DE136" s="42"/>
      <c r="DF136" s="42"/>
      <c r="DG136" s="42"/>
      <c r="DH136" s="42"/>
      <c r="DI136" s="42"/>
      <c r="DJ136" s="42"/>
      <c r="DK136" s="42"/>
      <c r="DL136" s="42"/>
      <c r="DM136" s="42"/>
      <c r="DN136" s="42"/>
      <c r="DO136" s="42"/>
      <c r="DP136" s="42"/>
      <c r="DQ136" s="42"/>
      <c r="DR136" s="42"/>
      <c r="DS136" s="42"/>
      <c r="DT136" s="42"/>
      <c r="DU136" s="42"/>
      <c r="DV136" s="42"/>
      <c r="DW136" s="42"/>
      <c r="DX136" s="42"/>
      <c r="DY136" s="42"/>
      <c r="DZ136" s="42"/>
      <c r="EA136" s="42"/>
      <c r="EB136" s="42"/>
      <c r="EC136" s="42"/>
      <c r="ED136" s="42"/>
      <c r="EE136" s="42"/>
      <c r="EF136" s="42"/>
      <c r="EG136" s="42"/>
      <c r="EH136" s="42"/>
      <c r="EI136" s="42"/>
      <c r="EJ136" s="42"/>
      <c r="EK136" s="42"/>
      <c r="EL136" s="42"/>
      <c r="EM136" s="42"/>
      <c r="EN136" s="42"/>
      <c r="EO136" s="42"/>
      <c r="EP136" s="42"/>
      <c r="EQ136" s="42"/>
      <c r="ER136" s="42"/>
      <c r="ES136" s="42"/>
      <c r="ET136" s="42"/>
      <c r="EU136" s="42"/>
      <c r="EV136" s="42"/>
      <c r="EW136" s="42"/>
      <c r="EX136" s="42"/>
      <c r="EY136" s="42"/>
      <c r="EZ136" s="42"/>
      <c r="FA136" s="42"/>
      <c r="FB136" s="42"/>
      <c r="FC136" s="42"/>
      <c r="FD136" s="42"/>
      <c r="FE136" s="42"/>
      <c r="FF136" s="42"/>
      <c r="FG136" s="42"/>
      <c r="FH136" s="42"/>
      <c r="FI136" s="42"/>
      <c r="FJ136" s="42"/>
      <c r="FK136" s="42"/>
      <c r="FL136" s="42"/>
      <c r="FM136" s="42"/>
      <c r="FN136" s="42"/>
      <c r="FO136" s="42"/>
      <c r="FP136" s="42"/>
      <c r="FQ136" s="42"/>
      <c r="FR136" s="42"/>
      <c r="FS136" s="42"/>
      <c r="FT136" s="42"/>
      <c r="FU136" s="42"/>
      <c r="FV136" s="42"/>
      <c r="FW136" s="42"/>
      <c r="FX136" s="42"/>
      <c r="FY136" s="42"/>
      <c r="FZ136" s="42"/>
      <c r="GA136" s="42"/>
      <c r="GB136" s="42"/>
      <c r="GC136" s="42"/>
      <c r="GD136" s="42"/>
      <c r="GE136" s="42"/>
      <c r="GF136" s="42"/>
      <c r="GG136" s="42"/>
      <c r="GH136" s="42"/>
      <c r="GI136" s="42"/>
      <c r="GJ136" s="42"/>
      <c r="GK136" s="42"/>
      <c r="GL136" s="42"/>
      <c r="GM136" s="42"/>
      <c r="GN136" s="42"/>
      <c r="GO136" s="42"/>
      <c r="GP136" s="42"/>
      <c r="GQ136" s="42"/>
      <c r="GR136" s="42"/>
      <c r="GS136" s="42"/>
      <c r="GT136" s="42"/>
      <c r="GU136" s="42"/>
      <c r="GV136" s="42"/>
      <c r="GW136" s="42"/>
      <c r="GX136" s="42"/>
      <c r="GY136" s="42"/>
      <c r="GZ136" s="42"/>
      <c r="HA136" s="42"/>
      <c r="HB136" s="42"/>
      <c r="HC136" s="42"/>
      <c r="HD136" s="42"/>
      <c r="HE136" s="42"/>
      <c r="HF136" s="42"/>
      <c r="HG136" s="42"/>
      <c r="HH136" s="42"/>
      <c r="HI136" s="42"/>
      <c r="HJ136" s="42"/>
      <c r="HK136" s="42"/>
      <c r="HL136" s="42"/>
      <c r="HM136" s="42"/>
      <c r="HN136" s="42"/>
      <c r="HO136" s="42"/>
      <c r="HP136" s="42"/>
      <c r="HQ136" s="42"/>
      <c r="HR136" s="42"/>
      <c r="HS136" s="42"/>
      <c r="HT136" s="42"/>
      <c r="HU136" s="42"/>
      <c r="HV136" s="42"/>
      <c r="HW136" s="42"/>
      <c r="HX136" s="42"/>
      <c r="HY136" s="42"/>
      <c r="HZ136" s="42"/>
      <c r="IA136" s="42"/>
      <c r="IB136" s="42"/>
      <c r="IC136" s="42"/>
      <c r="ID136" s="42"/>
      <c r="IE136" s="42"/>
      <c r="IF136" s="42"/>
      <c r="IG136" s="42"/>
      <c r="IH136" s="42"/>
      <c r="II136" s="42"/>
      <c r="IJ136" s="42"/>
      <c r="IK136" s="42"/>
      <c r="IL136" s="42"/>
      <c r="IM136" s="42"/>
      <c r="IN136" s="42"/>
      <c r="IO136" s="42"/>
      <c r="IP136" s="42"/>
      <c r="IQ136" s="42"/>
      <c r="IR136" s="42"/>
      <c r="IS136" s="42"/>
      <c r="IT136" s="42"/>
      <c r="IU136" s="42"/>
      <c r="IV136" s="42"/>
      <c r="IW136" s="42"/>
      <c r="IX136" s="42"/>
      <c r="IY136" s="42"/>
      <c r="IZ136" s="42"/>
      <c r="JA136" s="42"/>
      <c r="JB136" s="42"/>
      <c r="JC136" s="42"/>
      <c r="JD136" s="42"/>
      <c r="JE136" s="42"/>
      <c r="JF136" s="42"/>
      <c r="JG136" s="42"/>
      <c r="JH136" s="42"/>
      <c r="JI136" s="42"/>
      <c r="JJ136" s="42"/>
      <c r="JK136" s="42"/>
      <c r="JL136" s="42"/>
      <c r="JM136" s="42"/>
      <c r="JN136" s="42"/>
      <c r="JO136" s="42"/>
      <c r="JP136" s="42"/>
      <c r="JQ136" s="42"/>
      <c r="JR136" s="42"/>
      <c r="JS136" s="42"/>
      <c r="JT136" s="42"/>
      <c r="JU136" s="42"/>
      <c r="JV136" s="42"/>
      <c r="JW136" s="42"/>
      <c r="JX136" s="42"/>
      <c r="JY136" s="42"/>
      <c r="JZ136" s="42"/>
      <c r="KA136" s="42"/>
      <c r="KB136" s="42"/>
      <c r="KC136" s="42"/>
      <c r="KD136" s="42"/>
      <c r="KE136" s="42"/>
      <c r="KF136" s="42"/>
      <c r="KG136" s="42"/>
      <c r="KH136" s="42"/>
      <c r="KI136" s="42"/>
      <c r="KJ136" s="42"/>
      <c r="KK136" s="42"/>
      <c r="KL136" s="42"/>
      <c r="KM136" s="42"/>
      <c r="KN136" s="42"/>
      <c r="KO136" s="42"/>
      <c r="KP136" s="42"/>
      <c r="KQ136" s="42"/>
      <c r="KR136" s="42"/>
      <c r="KS136" s="42"/>
      <c r="KT136" s="42"/>
      <c r="KU136" s="42"/>
      <c r="KV136" s="42"/>
      <c r="KW136" s="42"/>
      <c r="KX136" s="42"/>
      <c r="KY136" s="42"/>
      <c r="KZ136" s="42"/>
      <c r="LA136" s="42"/>
      <c r="LB136" s="42"/>
      <c r="LC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c r="BR137" s="42"/>
      <c r="BS137" s="42"/>
      <c r="BT137" s="42"/>
      <c r="BU137" s="42"/>
      <c r="BV137" s="42"/>
      <c r="BW137" s="42"/>
      <c r="BX137" s="42"/>
      <c r="BY137" s="42"/>
      <c r="BZ137" s="42"/>
      <c r="CA137" s="42"/>
      <c r="CB137" s="42"/>
      <c r="CC137" s="42"/>
      <c r="CD137" s="42"/>
      <c r="CE137" s="42"/>
      <c r="CF137" s="42"/>
      <c r="CG137" s="42"/>
      <c r="CH137" s="42"/>
      <c r="CI137" s="42"/>
      <c r="CJ137" s="42"/>
      <c r="CK137" s="42"/>
      <c r="CL137" s="42"/>
      <c r="CM137" s="42"/>
      <c r="CN137" s="42"/>
      <c r="CO137" s="42"/>
      <c r="CP137" s="42"/>
      <c r="CQ137" s="42"/>
      <c r="CR137" s="42"/>
      <c r="CS137" s="42"/>
      <c r="CT137" s="42"/>
      <c r="CU137" s="42"/>
      <c r="CV137" s="42"/>
      <c r="CW137" s="42"/>
      <c r="CX137" s="42"/>
      <c r="CY137" s="42"/>
      <c r="CZ137" s="42"/>
      <c r="DA137" s="42"/>
      <c r="DB137" s="42"/>
      <c r="DC137" s="42"/>
      <c r="DD137" s="42"/>
      <c r="DE137" s="42"/>
      <c r="DF137" s="42"/>
      <c r="DG137" s="42"/>
      <c r="DH137" s="42"/>
      <c r="DI137" s="42"/>
      <c r="DJ137" s="42"/>
      <c r="DK137" s="42"/>
      <c r="DL137" s="42"/>
      <c r="DM137" s="42"/>
      <c r="DN137" s="42"/>
      <c r="DO137" s="42"/>
      <c r="DP137" s="42"/>
      <c r="DQ137" s="42"/>
      <c r="DR137" s="42"/>
      <c r="DS137" s="42"/>
      <c r="DT137" s="42"/>
      <c r="DU137" s="42"/>
      <c r="DV137" s="42"/>
      <c r="DW137" s="42"/>
      <c r="DX137" s="42"/>
      <c r="DY137" s="42"/>
      <c r="DZ137" s="42"/>
      <c r="EA137" s="42"/>
      <c r="EB137" s="42"/>
      <c r="EC137" s="42"/>
      <c r="ED137" s="42"/>
      <c r="EE137" s="42"/>
      <c r="EF137" s="42"/>
      <c r="EG137" s="42"/>
      <c r="EH137" s="42"/>
      <c r="EI137" s="42"/>
      <c r="EJ137" s="42"/>
      <c r="EK137" s="42"/>
      <c r="EL137" s="42"/>
      <c r="EM137" s="42"/>
      <c r="EN137" s="42"/>
      <c r="EO137" s="42"/>
      <c r="EP137" s="42"/>
      <c r="EQ137" s="42"/>
      <c r="ER137" s="42"/>
      <c r="ES137" s="42"/>
      <c r="ET137" s="42"/>
      <c r="EU137" s="42"/>
      <c r="EV137" s="42"/>
      <c r="EW137" s="42"/>
      <c r="EX137" s="42"/>
      <c r="EY137" s="42"/>
      <c r="EZ137" s="42"/>
      <c r="FA137" s="42"/>
      <c r="FB137" s="42"/>
      <c r="FC137" s="42"/>
      <c r="FD137" s="42"/>
      <c r="FE137" s="42"/>
      <c r="FF137" s="42"/>
      <c r="FG137" s="42"/>
      <c r="FH137" s="42"/>
      <c r="FI137" s="42"/>
      <c r="FJ137" s="42"/>
      <c r="FK137" s="42"/>
      <c r="FL137" s="42"/>
      <c r="FM137" s="42"/>
      <c r="FN137" s="42"/>
      <c r="FO137" s="42"/>
      <c r="FP137" s="42"/>
      <c r="FQ137" s="42"/>
      <c r="FR137" s="42"/>
      <c r="FS137" s="42"/>
      <c r="FT137" s="42"/>
      <c r="FU137" s="42"/>
      <c r="FV137" s="42"/>
      <c r="FW137" s="42"/>
      <c r="FX137" s="42"/>
      <c r="FY137" s="42"/>
      <c r="FZ137" s="42"/>
      <c r="GA137" s="42"/>
      <c r="GB137" s="42"/>
      <c r="GC137" s="42"/>
      <c r="GD137" s="42"/>
      <c r="GE137" s="42"/>
      <c r="GF137" s="42"/>
      <c r="GG137" s="42"/>
      <c r="GH137" s="42"/>
      <c r="GI137" s="42"/>
      <c r="GJ137" s="42"/>
      <c r="GK137" s="42"/>
      <c r="GL137" s="42"/>
      <c r="GM137" s="42"/>
      <c r="GN137" s="42"/>
      <c r="GO137" s="42"/>
      <c r="GP137" s="42"/>
      <c r="GQ137" s="42"/>
      <c r="GR137" s="42"/>
      <c r="GS137" s="42"/>
      <c r="GT137" s="42"/>
      <c r="GU137" s="42"/>
      <c r="GV137" s="42"/>
      <c r="GW137" s="42"/>
      <c r="GX137" s="42"/>
      <c r="GY137" s="42"/>
      <c r="GZ137" s="42"/>
      <c r="HA137" s="42"/>
      <c r="HB137" s="42"/>
      <c r="HC137" s="42"/>
      <c r="HD137" s="42"/>
      <c r="HE137" s="42"/>
      <c r="HF137" s="42"/>
      <c r="HG137" s="42"/>
      <c r="HH137" s="42"/>
      <c r="HI137" s="42"/>
      <c r="HJ137" s="42"/>
      <c r="HK137" s="42"/>
      <c r="HL137" s="42"/>
      <c r="HM137" s="42"/>
      <c r="HN137" s="42"/>
      <c r="HO137" s="42"/>
      <c r="HP137" s="42"/>
      <c r="HQ137" s="42"/>
      <c r="HR137" s="42"/>
      <c r="HS137" s="42"/>
      <c r="HT137" s="42"/>
      <c r="HU137" s="42"/>
      <c r="HV137" s="42"/>
      <c r="HW137" s="42"/>
      <c r="HX137" s="42"/>
      <c r="HY137" s="42"/>
      <c r="HZ137" s="42"/>
      <c r="IA137" s="42"/>
      <c r="IB137" s="42"/>
      <c r="IC137" s="42"/>
      <c r="ID137" s="42"/>
      <c r="IE137" s="42"/>
      <c r="IF137" s="42"/>
      <c r="IG137" s="42"/>
      <c r="IH137" s="42"/>
      <c r="II137" s="42"/>
      <c r="IJ137" s="42"/>
      <c r="IK137" s="42"/>
      <c r="IL137" s="42"/>
      <c r="IM137" s="42"/>
      <c r="IN137" s="42"/>
      <c r="IO137" s="42"/>
      <c r="IP137" s="42"/>
      <c r="IQ137" s="42"/>
      <c r="IR137" s="42"/>
      <c r="IS137" s="42"/>
      <c r="IT137" s="42"/>
      <c r="IU137" s="42"/>
      <c r="IV137" s="42"/>
      <c r="IW137" s="42"/>
      <c r="IX137" s="42"/>
      <c r="IY137" s="42"/>
      <c r="IZ137" s="42"/>
      <c r="JA137" s="42"/>
      <c r="JB137" s="42"/>
      <c r="JC137" s="42"/>
      <c r="JD137" s="42"/>
      <c r="JE137" s="42"/>
      <c r="JF137" s="42"/>
      <c r="JG137" s="42"/>
      <c r="JH137" s="42"/>
      <c r="JI137" s="42"/>
      <c r="JJ137" s="42"/>
      <c r="JK137" s="42"/>
      <c r="JL137" s="42"/>
      <c r="JM137" s="42"/>
      <c r="JN137" s="42"/>
      <c r="JO137" s="42"/>
      <c r="JP137" s="42"/>
      <c r="JQ137" s="42"/>
      <c r="JR137" s="42"/>
      <c r="JS137" s="42"/>
      <c r="JT137" s="42"/>
      <c r="JU137" s="42"/>
      <c r="JV137" s="42"/>
      <c r="JW137" s="42"/>
      <c r="JX137" s="42"/>
      <c r="JY137" s="42"/>
      <c r="JZ137" s="42"/>
      <c r="KA137" s="42"/>
      <c r="KB137" s="42"/>
      <c r="KC137" s="42"/>
      <c r="KD137" s="42"/>
      <c r="KE137" s="42"/>
      <c r="KF137" s="42"/>
      <c r="KG137" s="42"/>
      <c r="KH137" s="42"/>
      <c r="KI137" s="42"/>
      <c r="KJ137" s="42"/>
      <c r="KK137" s="42"/>
      <c r="KL137" s="42"/>
      <c r="KM137" s="42"/>
      <c r="KN137" s="42"/>
      <c r="KO137" s="42"/>
      <c r="KP137" s="42"/>
      <c r="KQ137" s="42"/>
      <c r="KR137" s="42"/>
      <c r="KS137" s="42"/>
      <c r="KT137" s="42"/>
      <c r="KU137" s="42"/>
      <c r="KV137" s="42"/>
      <c r="KW137" s="42"/>
      <c r="KX137" s="42"/>
      <c r="KY137" s="42"/>
      <c r="KZ137" s="42"/>
      <c r="LA137" s="42"/>
      <c r="LB137" s="42"/>
      <c r="LC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42"/>
      <c r="BN138" s="42"/>
      <c r="BO138" s="42"/>
      <c r="BP138" s="42"/>
      <c r="BQ138" s="42"/>
      <c r="BR138" s="42"/>
      <c r="BS138" s="42"/>
      <c r="BT138" s="42"/>
      <c r="BU138" s="42"/>
      <c r="BV138" s="42"/>
      <c r="BW138" s="42"/>
      <c r="BX138" s="42"/>
      <c r="BY138" s="42"/>
      <c r="BZ138" s="42"/>
      <c r="CA138" s="42"/>
      <c r="CB138" s="42"/>
      <c r="CC138" s="42"/>
      <c r="CD138" s="42"/>
      <c r="CE138" s="42"/>
      <c r="CF138" s="42"/>
      <c r="CG138" s="42"/>
      <c r="CH138" s="42"/>
      <c r="CI138" s="42"/>
      <c r="CJ138" s="42"/>
      <c r="CK138" s="42"/>
      <c r="CL138" s="42"/>
      <c r="CM138" s="42"/>
      <c r="CN138" s="42"/>
      <c r="CO138" s="42"/>
      <c r="CP138" s="42"/>
      <c r="CQ138" s="42"/>
      <c r="CR138" s="42"/>
      <c r="CS138" s="42"/>
      <c r="CT138" s="42"/>
      <c r="CU138" s="42"/>
      <c r="CV138" s="42"/>
      <c r="CW138" s="42"/>
      <c r="CX138" s="42"/>
      <c r="CY138" s="42"/>
      <c r="CZ138" s="42"/>
      <c r="DA138" s="42"/>
      <c r="DB138" s="42"/>
      <c r="DC138" s="42"/>
      <c r="DD138" s="42"/>
      <c r="DE138" s="42"/>
      <c r="DF138" s="42"/>
      <c r="DG138" s="42"/>
      <c r="DH138" s="42"/>
      <c r="DI138" s="42"/>
      <c r="DJ138" s="42"/>
      <c r="DK138" s="42"/>
      <c r="DL138" s="42"/>
      <c r="DM138" s="42"/>
      <c r="DN138" s="42"/>
      <c r="DO138" s="42"/>
      <c r="DP138" s="42"/>
      <c r="DQ138" s="42"/>
      <c r="DR138" s="42"/>
      <c r="DS138" s="42"/>
      <c r="DT138" s="42"/>
      <c r="DU138" s="42"/>
      <c r="DV138" s="42"/>
      <c r="DW138" s="42"/>
      <c r="DX138" s="42"/>
      <c r="DY138" s="42"/>
      <c r="DZ138" s="42"/>
      <c r="EA138" s="42"/>
      <c r="EB138" s="42"/>
      <c r="EC138" s="42"/>
      <c r="ED138" s="42"/>
      <c r="EE138" s="42"/>
      <c r="EF138" s="42"/>
      <c r="EG138" s="42"/>
      <c r="EH138" s="42"/>
      <c r="EI138" s="42"/>
      <c r="EJ138" s="42"/>
      <c r="EK138" s="42"/>
      <c r="EL138" s="42"/>
      <c r="EM138" s="42"/>
      <c r="EN138" s="42"/>
      <c r="EO138" s="42"/>
      <c r="EP138" s="42"/>
      <c r="EQ138" s="42"/>
      <c r="ER138" s="42"/>
      <c r="ES138" s="42"/>
      <c r="ET138" s="42"/>
      <c r="EU138" s="42"/>
      <c r="EV138" s="42"/>
      <c r="EW138" s="42"/>
      <c r="EX138" s="42"/>
      <c r="EY138" s="42"/>
      <c r="EZ138" s="42"/>
      <c r="FA138" s="42"/>
      <c r="FB138" s="42"/>
      <c r="FC138" s="42"/>
      <c r="FD138" s="42"/>
      <c r="FE138" s="42"/>
      <c r="FF138" s="42"/>
      <c r="FG138" s="42"/>
      <c r="FH138" s="42"/>
      <c r="FI138" s="42"/>
      <c r="FJ138" s="42"/>
      <c r="FK138" s="42"/>
      <c r="FL138" s="42"/>
      <c r="FM138" s="42"/>
      <c r="FN138" s="42"/>
      <c r="FO138" s="42"/>
      <c r="FP138" s="42"/>
      <c r="FQ138" s="42"/>
      <c r="FR138" s="42"/>
      <c r="FS138" s="42"/>
      <c r="FT138" s="42"/>
      <c r="FU138" s="42"/>
      <c r="FV138" s="42"/>
      <c r="FW138" s="42"/>
      <c r="FX138" s="42"/>
      <c r="FY138" s="42"/>
      <c r="FZ138" s="42"/>
      <c r="GA138" s="42"/>
      <c r="GB138" s="42"/>
      <c r="GC138" s="42"/>
      <c r="GD138" s="42"/>
      <c r="GE138" s="42"/>
      <c r="GF138" s="42"/>
      <c r="GG138" s="42"/>
      <c r="GH138" s="42"/>
      <c r="GI138" s="42"/>
      <c r="GJ138" s="42"/>
      <c r="GK138" s="42"/>
      <c r="GL138" s="42"/>
      <c r="GM138" s="42"/>
      <c r="GN138" s="42"/>
      <c r="GO138" s="42"/>
      <c r="GP138" s="42"/>
      <c r="GQ138" s="42"/>
      <c r="GR138" s="42"/>
      <c r="GS138" s="42"/>
      <c r="GT138" s="42"/>
      <c r="GU138" s="42"/>
      <c r="GV138" s="42"/>
      <c r="GW138" s="42"/>
      <c r="GX138" s="42"/>
      <c r="GY138" s="42"/>
      <c r="GZ138" s="42"/>
      <c r="HA138" s="42"/>
      <c r="HB138" s="42"/>
      <c r="HC138" s="42"/>
      <c r="HD138" s="42"/>
      <c r="HE138" s="42"/>
      <c r="HF138" s="42"/>
      <c r="HG138" s="42"/>
      <c r="HH138" s="42"/>
      <c r="HI138" s="42"/>
      <c r="HJ138" s="42"/>
      <c r="HK138" s="42"/>
      <c r="HL138" s="42"/>
      <c r="HM138" s="42"/>
      <c r="HN138" s="42"/>
      <c r="HO138" s="42"/>
      <c r="HP138" s="42"/>
      <c r="HQ138" s="42"/>
      <c r="HR138" s="42"/>
      <c r="HS138" s="42"/>
      <c r="HT138" s="42"/>
      <c r="HU138" s="42"/>
      <c r="HV138" s="42"/>
      <c r="HW138" s="42"/>
      <c r="HX138" s="42"/>
      <c r="HY138" s="42"/>
      <c r="HZ138" s="42"/>
      <c r="IA138" s="42"/>
      <c r="IB138" s="42"/>
      <c r="IC138" s="42"/>
      <c r="ID138" s="42"/>
      <c r="IE138" s="42"/>
      <c r="IF138" s="42"/>
      <c r="IG138" s="42"/>
      <c r="IH138" s="42"/>
      <c r="II138" s="42"/>
      <c r="IJ138" s="42"/>
      <c r="IK138" s="42"/>
      <c r="IL138" s="42"/>
      <c r="IM138" s="42"/>
      <c r="IN138" s="42"/>
      <c r="IO138" s="42"/>
      <c r="IP138" s="42"/>
      <c r="IQ138" s="42"/>
      <c r="IR138" s="42"/>
      <c r="IS138" s="42"/>
      <c r="IT138" s="42"/>
      <c r="IU138" s="42"/>
      <c r="IV138" s="42"/>
      <c r="IW138" s="42"/>
      <c r="IX138" s="42"/>
      <c r="IY138" s="42"/>
      <c r="IZ138" s="42"/>
      <c r="JA138" s="42"/>
      <c r="JB138" s="42"/>
      <c r="JC138" s="42"/>
      <c r="JD138" s="42"/>
      <c r="JE138" s="42"/>
      <c r="JF138" s="42"/>
      <c r="JG138" s="42"/>
      <c r="JH138" s="42"/>
      <c r="JI138" s="42"/>
      <c r="JJ138" s="42"/>
      <c r="JK138" s="42"/>
      <c r="JL138" s="42"/>
      <c r="JM138" s="42"/>
      <c r="JN138" s="42"/>
      <c r="JO138" s="42"/>
      <c r="JP138" s="42"/>
      <c r="JQ138" s="42"/>
      <c r="JR138" s="42"/>
      <c r="JS138" s="42"/>
      <c r="JT138" s="42"/>
      <c r="JU138" s="42"/>
      <c r="JV138" s="42"/>
      <c r="JW138" s="42"/>
      <c r="JX138" s="42"/>
      <c r="JY138" s="42"/>
      <c r="JZ138" s="42"/>
      <c r="KA138" s="42"/>
      <c r="KB138" s="42"/>
      <c r="KC138" s="42"/>
      <c r="KD138" s="42"/>
      <c r="KE138" s="42"/>
      <c r="KF138" s="42"/>
      <c r="KG138" s="42"/>
      <c r="KH138" s="42"/>
      <c r="KI138" s="42"/>
      <c r="KJ138" s="42"/>
      <c r="KK138" s="42"/>
      <c r="KL138" s="42"/>
      <c r="KM138" s="42"/>
      <c r="KN138" s="42"/>
      <c r="KO138" s="42"/>
      <c r="KP138" s="42"/>
      <c r="KQ138" s="42"/>
      <c r="KR138" s="42"/>
      <c r="KS138" s="42"/>
      <c r="KT138" s="42"/>
      <c r="KU138" s="42"/>
      <c r="KV138" s="42"/>
      <c r="KW138" s="42"/>
      <c r="KX138" s="42"/>
      <c r="KY138" s="42"/>
      <c r="KZ138" s="42"/>
      <c r="LA138" s="42"/>
      <c r="LB138" s="42"/>
      <c r="LC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42"/>
      <c r="BN139" s="42"/>
      <c r="BO139" s="42"/>
      <c r="BP139" s="42"/>
      <c r="BQ139" s="42"/>
      <c r="BR139" s="42"/>
      <c r="BS139" s="42"/>
      <c r="BT139" s="42"/>
      <c r="BU139" s="42"/>
      <c r="BV139" s="42"/>
      <c r="BW139" s="42"/>
      <c r="BX139" s="42"/>
      <c r="BY139" s="42"/>
      <c r="BZ139" s="42"/>
      <c r="CA139" s="42"/>
      <c r="CB139" s="42"/>
      <c r="CC139" s="42"/>
      <c r="CD139" s="42"/>
      <c r="CE139" s="42"/>
      <c r="CF139" s="42"/>
      <c r="CG139" s="42"/>
      <c r="CH139" s="42"/>
      <c r="CI139" s="42"/>
      <c r="CJ139" s="42"/>
      <c r="CK139" s="42"/>
      <c r="CL139" s="42"/>
      <c r="CM139" s="42"/>
      <c r="CN139" s="42"/>
      <c r="CO139" s="42"/>
      <c r="CP139" s="42"/>
      <c r="CQ139" s="42"/>
      <c r="CR139" s="42"/>
      <c r="CS139" s="42"/>
      <c r="CT139" s="42"/>
      <c r="CU139" s="42"/>
      <c r="CV139" s="42"/>
      <c r="CW139" s="42"/>
      <c r="CX139" s="42"/>
      <c r="CY139" s="42"/>
      <c r="CZ139" s="42"/>
      <c r="DA139" s="42"/>
      <c r="DB139" s="42"/>
      <c r="DC139" s="42"/>
      <c r="DD139" s="42"/>
      <c r="DE139" s="42"/>
      <c r="DF139" s="42"/>
      <c r="DG139" s="42"/>
      <c r="DH139" s="42"/>
      <c r="DI139" s="42"/>
      <c r="DJ139" s="42"/>
      <c r="DK139" s="42"/>
      <c r="DL139" s="42"/>
      <c r="DM139" s="42"/>
      <c r="DN139" s="42"/>
      <c r="DO139" s="42"/>
      <c r="DP139" s="42"/>
      <c r="DQ139" s="42"/>
      <c r="DR139" s="42"/>
      <c r="DS139" s="42"/>
      <c r="DT139" s="42"/>
      <c r="DU139" s="42"/>
      <c r="DV139" s="42"/>
      <c r="DW139" s="42"/>
      <c r="DX139" s="42"/>
      <c r="DY139" s="42"/>
      <c r="DZ139" s="42"/>
      <c r="EA139" s="42"/>
      <c r="EB139" s="42"/>
      <c r="EC139" s="42"/>
      <c r="ED139" s="42"/>
      <c r="EE139" s="42"/>
      <c r="EF139" s="42"/>
      <c r="EG139" s="42"/>
      <c r="EH139" s="42"/>
      <c r="EI139" s="42"/>
      <c r="EJ139" s="42"/>
      <c r="EK139" s="42"/>
      <c r="EL139" s="42"/>
      <c r="EM139" s="42"/>
      <c r="EN139" s="42"/>
      <c r="EO139" s="42"/>
      <c r="EP139" s="42"/>
      <c r="EQ139" s="42"/>
      <c r="ER139" s="42"/>
      <c r="ES139" s="42"/>
      <c r="ET139" s="42"/>
      <c r="EU139" s="42"/>
      <c r="EV139" s="42"/>
      <c r="EW139" s="42"/>
      <c r="EX139" s="42"/>
      <c r="EY139" s="42"/>
      <c r="EZ139" s="42"/>
      <c r="FA139" s="42"/>
      <c r="FB139" s="42"/>
      <c r="FC139" s="42"/>
      <c r="FD139" s="42"/>
      <c r="FE139" s="42"/>
      <c r="FF139" s="42"/>
      <c r="FG139" s="42"/>
      <c r="FH139" s="42"/>
      <c r="FI139" s="42"/>
      <c r="FJ139" s="42"/>
      <c r="FK139" s="42"/>
      <c r="FL139" s="42"/>
      <c r="FM139" s="42"/>
      <c r="FN139" s="42"/>
      <c r="FO139" s="42"/>
      <c r="FP139" s="42"/>
      <c r="FQ139" s="42"/>
      <c r="FR139" s="42"/>
      <c r="FS139" s="42"/>
      <c r="FT139" s="42"/>
      <c r="FU139" s="42"/>
      <c r="FV139" s="42"/>
      <c r="FW139" s="42"/>
      <c r="FX139" s="42"/>
      <c r="FY139" s="42"/>
      <c r="FZ139" s="42"/>
      <c r="GA139" s="42"/>
      <c r="GB139" s="42"/>
      <c r="GC139" s="42"/>
      <c r="GD139" s="42"/>
      <c r="GE139" s="42"/>
      <c r="GF139" s="42"/>
      <c r="GG139" s="42"/>
      <c r="GH139" s="42"/>
      <c r="GI139" s="42"/>
      <c r="GJ139" s="42"/>
      <c r="GK139" s="42"/>
      <c r="GL139" s="42"/>
      <c r="GM139" s="42"/>
      <c r="GN139" s="42"/>
      <c r="GO139" s="42"/>
      <c r="GP139" s="42"/>
      <c r="GQ139" s="42"/>
      <c r="GR139" s="42"/>
      <c r="GS139" s="42"/>
      <c r="GT139" s="42"/>
      <c r="GU139" s="42"/>
      <c r="GV139" s="42"/>
      <c r="GW139" s="42"/>
      <c r="GX139" s="42"/>
      <c r="GY139" s="42"/>
      <c r="GZ139" s="42"/>
      <c r="HA139" s="42"/>
      <c r="HB139" s="42"/>
      <c r="HC139" s="42"/>
      <c r="HD139" s="42"/>
      <c r="HE139" s="42"/>
      <c r="HF139" s="42"/>
      <c r="HG139" s="42"/>
      <c r="HH139" s="42"/>
      <c r="HI139" s="42"/>
      <c r="HJ139" s="42"/>
      <c r="HK139" s="42"/>
      <c r="HL139" s="42"/>
      <c r="HM139" s="42"/>
      <c r="HN139" s="42"/>
      <c r="HO139" s="42"/>
      <c r="HP139" s="42"/>
      <c r="HQ139" s="42"/>
      <c r="HR139" s="42"/>
      <c r="HS139" s="42"/>
      <c r="HT139" s="42"/>
      <c r="HU139" s="42"/>
      <c r="HV139" s="42"/>
      <c r="HW139" s="42"/>
      <c r="HX139" s="42"/>
      <c r="HY139" s="42"/>
      <c r="HZ139" s="42"/>
      <c r="IA139" s="42"/>
      <c r="IB139" s="42"/>
      <c r="IC139" s="42"/>
      <c r="ID139" s="42"/>
      <c r="IE139" s="42"/>
      <c r="IF139" s="42"/>
      <c r="IG139" s="42"/>
      <c r="IH139" s="42"/>
      <c r="II139" s="42"/>
      <c r="IJ139" s="42"/>
      <c r="IK139" s="42"/>
      <c r="IL139" s="42"/>
      <c r="IM139" s="42"/>
      <c r="IN139" s="42"/>
      <c r="IO139" s="42"/>
      <c r="IP139" s="42"/>
      <c r="IQ139" s="42"/>
      <c r="IR139" s="42"/>
      <c r="IS139" s="42"/>
      <c r="IT139" s="42"/>
      <c r="IU139" s="42"/>
      <c r="IV139" s="42"/>
      <c r="IW139" s="42"/>
      <c r="IX139" s="42"/>
      <c r="IY139" s="42"/>
      <c r="IZ139" s="42"/>
      <c r="JA139" s="42"/>
      <c r="JB139" s="42"/>
      <c r="JC139" s="42"/>
      <c r="JD139" s="42"/>
      <c r="JE139" s="42"/>
      <c r="JF139" s="42"/>
      <c r="JG139" s="42"/>
      <c r="JH139" s="42"/>
      <c r="JI139" s="42"/>
      <c r="JJ139" s="42"/>
      <c r="JK139" s="42"/>
      <c r="JL139" s="42"/>
      <c r="JM139" s="42"/>
      <c r="JN139" s="42"/>
      <c r="JO139" s="42"/>
      <c r="JP139" s="42"/>
      <c r="JQ139" s="42"/>
      <c r="JR139" s="42"/>
      <c r="JS139" s="42"/>
      <c r="JT139" s="42"/>
      <c r="JU139" s="42"/>
      <c r="JV139" s="42"/>
      <c r="JW139" s="42"/>
      <c r="JX139" s="42"/>
      <c r="JY139" s="42"/>
      <c r="JZ139" s="42"/>
      <c r="KA139" s="42"/>
      <c r="KB139" s="42"/>
      <c r="KC139" s="42"/>
      <c r="KD139" s="42"/>
      <c r="KE139" s="42"/>
      <c r="KF139" s="42"/>
      <c r="KG139" s="42"/>
      <c r="KH139" s="42"/>
      <c r="KI139" s="42"/>
      <c r="KJ139" s="42"/>
      <c r="KK139" s="42"/>
      <c r="KL139" s="42"/>
      <c r="KM139" s="42"/>
      <c r="KN139" s="42"/>
      <c r="KO139" s="42"/>
      <c r="KP139" s="42"/>
      <c r="KQ139" s="42"/>
      <c r="KR139" s="42"/>
      <c r="KS139" s="42"/>
      <c r="KT139" s="42"/>
      <c r="KU139" s="42"/>
      <c r="KV139" s="42"/>
      <c r="KW139" s="42"/>
      <c r="KX139" s="42"/>
      <c r="KY139" s="42"/>
      <c r="KZ139" s="42"/>
      <c r="LA139" s="42"/>
      <c r="LB139" s="42"/>
      <c r="LC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42"/>
      <c r="BN140" s="42"/>
      <c r="BO140" s="42"/>
      <c r="BP140" s="42"/>
      <c r="BQ140" s="42"/>
      <c r="BR140" s="42"/>
      <c r="BS140" s="42"/>
      <c r="BT140" s="42"/>
      <c r="BU140" s="42"/>
      <c r="BV140" s="42"/>
      <c r="BW140" s="42"/>
      <c r="BX140" s="42"/>
      <c r="BY140" s="42"/>
      <c r="BZ140" s="42"/>
      <c r="CA140" s="42"/>
      <c r="CB140" s="42"/>
      <c r="CC140" s="42"/>
      <c r="CD140" s="42"/>
      <c r="CE140" s="42"/>
      <c r="CF140" s="42"/>
      <c r="CG140" s="42"/>
      <c r="CH140" s="42"/>
      <c r="CI140" s="42"/>
      <c r="CJ140" s="42"/>
      <c r="CK140" s="42"/>
      <c r="CL140" s="42"/>
      <c r="CM140" s="42"/>
      <c r="CN140" s="42"/>
      <c r="CO140" s="42"/>
      <c r="CP140" s="42"/>
      <c r="CQ140" s="42"/>
      <c r="CR140" s="42"/>
      <c r="CS140" s="42"/>
      <c r="CT140" s="42"/>
      <c r="CU140" s="42"/>
      <c r="CV140" s="42"/>
      <c r="CW140" s="42"/>
      <c r="CX140" s="42"/>
      <c r="CY140" s="42"/>
      <c r="CZ140" s="42"/>
      <c r="DA140" s="42"/>
      <c r="DB140" s="42"/>
      <c r="DC140" s="42"/>
      <c r="DD140" s="42"/>
      <c r="DE140" s="42"/>
      <c r="DF140" s="42"/>
      <c r="DG140" s="42"/>
      <c r="DH140" s="42"/>
      <c r="DI140" s="42"/>
      <c r="DJ140" s="42"/>
      <c r="DK140" s="42"/>
      <c r="DL140" s="42"/>
      <c r="DM140" s="42"/>
      <c r="DN140" s="42"/>
      <c r="DO140" s="42"/>
      <c r="DP140" s="42"/>
      <c r="DQ140" s="42"/>
      <c r="DR140" s="42"/>
      <c r="DS140" s="42"/>
      <c r="DT140" s="42"/>
      <c r="DU140" s="42"/>
      <c r="DV140" s="42"/>
      <c r="DW140" s="42"/>
      <c r="DX140" s="42"/>
      <c r="DY140" s="42"/>
      <c r="DZ140" s="42"/>
      <c r="EA140" s="42"/>
      <c r="EB140" s="42"/>
      <c r="EC140" s="42"/>
      <c r="ED140" s="42"/>
      <c r="EE140" s="42"/>
      <c r="EF140" s="42"/>
      <c r="EG140" s="42"/>
      <c r="EH140" s="42"/>
      <c r="EI140" s="42"/>
      <c r="EJ140" s="42"/>
      <c r="EK140" s="42"/>
      <c r="EL140" s="42"/>
      <c r="EM140" s="42"/>
      <c r="EN140" s="42"/>
      <c r="EO140" s="42"/>
      <c r="EP140" s="42"/>
      <c r="EQ140" s="42"/>
      <c r="ER140" s="42"/>
      <c r="ES140" s="42"/>
      <c r="ET140" s="42"/>
      <c r="EU140" s="42"/>
      <c r="EV140" s="42"/>
      <c r="EW140" s="42"/>
      <c r="EX140" s="42"/>
      <c r="EY140" s="42"/>
      <c r="EZ140" s="42"/>
      <c r="FA140" s="42"/>
      <c r="FB140" s="42"/>
      <c r="FC140" s="42"/>
      <c r="FD140" s="42"/>
      <c r="FE140" s="42"/>
      <c r="FF140" s="42"/>
      <c r="FG140" s="42"/>
      <c r="FH140" s="42"/>
      <c r="FI140" s="42"/>
      <c r="FJ140" s="42"/>
      <c r="FK140" s="42"/>
      <c r="FL140" s="42"/>
      <c r="FM140" s="42"/>
      <c r="FN140" s="42"/>
      <c r="FO140" s="42"/>
      <c r="FP140" s="42"/>
      <c r="FQ140" s="42"/>
      <c r="FR140" s="42"/>
      <c r="FS140" s="42"/>
      <c r="FT140" s="42"/>
      <c r="FU140" s="42"/>
      <c r="FV140" s="42"/>
      <c r="FW140" s="42"/>
      <c r="FX140" s="42"/>
      <c r="FY140" s="42"/>
      <c r="FZ140" s="42"/>
      <c r="GA140" s="42"/>
      <c r="GB140" s="42"/>
      <c r="GC140" s="42"/>
      <c r="GD140" s="42"/>
      <c r="GE140" s="42"/>
      <c r="GF140" s="42"/>
      <c r="GG140" s="42"/>
      <c r="GH140" s="42"/>
      <c r="GI140" s="42"/>
      <c r="GJ140" s="42"/>
      <c r="GK140" s="42"/>
      <c r="GL140" s="42"/>
      <c r="GM140" s="42"/>
      <c r="GN140" s="42"/>
      <c r="GO140" s="42"/>
      <c r="GP140" s="42"/>
      <c r="GQ140" s="42"/>
      <c r="GR140" s="42"/>
      <c r="GS140" s="42"/>
      <c r="GT140" s="42"/>
      <c r="GU140" s="42"/>
      <c r="GV140" s="42"/>
      <c r="GW140" s="42"/>
      <c r="GX140" s="42"/>
      <c r="GY140" s="42"/>
      <c r="GZ140" s="42"/>
      <c r="HA140" s="42"/>
      <c r="HB140" s="42"/>
      <c r="HC140" s="42"/>
      <c r="HD140" s="42"/>
      <c r="HE140" s="42"/>
      <c r="HF140" s="42"/>
      <c r="HG140" s="42"/>
      <c r="HH140" s="42"/>
      <c r="HI140" s="42"/>
      <c r="HJ140" s="42"/>
      <c r="HK140" s="42"/>
      <c r="HL140" s="42"/>
      <c r="HM140" s="42"/>
      <c r="HN140" s="42"/>
      <c r="HO140" s="42"/>
      <c r="HP140" s="42"/>
      <c r="HQ140" s="42"/>
      <c r="HR140" s="42"/>
      <c r="HS140" s="42"/>
      <c r="HT140" s="42"/>
      <c r="HU140" s="42"/>
      <c r="HV140" s="42"/>
      <c r="HW140" s="42"/>
      <c r="HX140" s="42"/>
      <c r="HY140" s="42"/>
      <c r="HZ140" s="42"/>
      <c r="IA140" s="42"/>
      <c r="IB140" s="42"/>
      <c r="IC140" s="42"/>
      <c r="ID140" s="42"/>
      <c r="IE140" s="42"/>
      <c r="IF140" s="42"/>
      <c r="IG140" s="42"/>
      <c r="IH140" s="42"/>
      <c r="II140" s="42"/>
      <c r="IJ140" s="42"/>
      <c r="IK140" s="42"/>
      <c r="IL140" s="42"/>
      <c r="IM140" s="42"/>
      <c r="IN140" s="42"/>
      <c r="IO140" s="42"/>
      <c r="IP140" s="42"/>
      <c r="IQ140" s="42"/>
      <c r="IR140" s="42"/>
      <c r="IS140" s="42"/>
      <c r="IT140" s="42"/>
      <c r="IU140" s="42"/>
      <c r="IV140" s="42"/>
      <c r="IW140" s="42"/>
      <c r="IX140" s="42"/>
      <c r="IY140" s="42"/>
      <c r="IZ140" s="42"/>
      <c r="JA140" s="42"/>
      <c r="JB140" s="42"/>
      <c r="JC140" s="42"/>
      <c r="JD140" s="42"/>
      <c r="JE140" s="42"/>
      <c r="JF140" s="42"/>
      <c r="JG140" s="42"/>
      <c r="JH140" s="42"/>
      <c r="JI140" s="42"/>
      <c r="JJ140" s="42"/>
      <c r="JK140" s="42"/>
      <c r="JL140" s="42"/>
      <c r="JM140" s="42"/>
      <c r="JN140" s="42"/>
      <c r="JO140" s="42"/>
      <c r="JP140" s="42"/>
      <c r="JQ140" s="42"/>
      <c r="JR140" s="42"/>
      <c r="JS140" s="42"/>
      <c r="JT140" s="42"/>
      <c r="JU140" s="42"/>
      <c r="JV140" s="42"/>
      <c r="JW140" s="42"/>
      <c r="JX140" s="42"/>
      <c r="JY140" s="42"/>
      <c r="JZ140" s="42"/>
      <c r="KA140" s="42"/>
      <c r="KB140" s="42"/>
      <c r="KC140" s="42"/>
      <c r="KD140" s="42"/>
      <c r="KE140" s="42"/>
      <c r="KF140" s="42"/>
      <c r="KG140" s="42"/>
      <c r="KH140" s="42"/>
      <c r="KI140" s="42"/>
      <c r="KJ140" s="42"/>
      <c r="KK140" s="42"/>
      <c r="KL140" s="42"/>
      <c r="KM140" s="42"/>
      <c r="KN140" s="42"/>
      <c r="KO140" s="42"/>
      <c r="KP140" s="42"/>
      <c r="KQ140" s="42"/>
      <c r="KR140" s="42"/>
      <c r="KS140" s="42"/>
      <c r="KT140" s="42"/>
      <c r="KU140" s="42"/>
      <c r="KV140" s="42"/>
      <c r="KW140" s="42"/>
      <c r="KX140" s="42"/>
      <c r="KY140" s="42"/>
      <c r="KZ140" s="42"/>
      <c r="LA140" s="42"/>
      <c r="LB140" s="42"/>
      <c r="LC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42"/>
      <c r="BN141" s="42"/>
      <c r="BO141" s="42"/>
      <c r="BP141" s="42"/>
      <c r="BQ141" s="42"/>
      <c r="BR141" s="42"/>
      <c r="BS141" s="42"/>
      <c r="BT141" s="42"/>
      <c r="BU141" s="42"/>
      <c r="BV141" s="42"/>
      <c r="BW141" s="42"/>
      <c r="BX141" s="42"/>
      <c r="BY141" s="42"/>
      <c r="BZ141" s="42"/>
      <c r="CA141" s="42"/>
      <c r="CB141" s="42"/>
      <c r="CC141" s="42"/>
      <c r="CD141" s="42"/>
      <c r="CE141" s="42"/>
      <c r="CF141" s="42"/>
      <c r="CG141" s="42"/>
      <c r="CH141" s="42"/>
      <c r="CI141" s="42"/>
      <c r="CJ141" s="42"/>
      <c r="CK141" s="42"/>
      <c r="CL141" s="42"/>
      <c r="CM141" s="42"/>
      <c r="CN141" s="42"/>
      <c r="CO141" s="42"/>
      <c r="CP141" s="42"/>
      <c r="CQ141" s="42"/>
      <c r="CR141" s="42"/>
      <c r="CS141" s="42"/>
      <c r="CT141" s="42"/>
      <c r="CU141" s="42"/>
      <c r="CV141" s="42"/>
      <c r="CW141" s="42"/>
      <c r="CX141" s="42"/>
      <c r="CY141" s="42"/>
      <c r="CZ141" s="42"/>
      <c r="DA141" s="42"/>
      <c r="DB141" s="42"/>
      <c r="DC141" s="42"/>
      <c r="DD141" s="42"/>
      <c r="DE141" s="42"/>
      <c r="DF141" s="42"/>
      <c r="DG141" s="42"/>
      <c r="DH141" s="42"/>
      <c r="DI141" s="42"/>
      <c r="DJ141" s="42"/>
      <c r="DK141" s="42"/>
      <c r="DL141" s="42"/>
      <c r="DM141" s="42"/>
      <c r="DN141" s="42"/>
      <c r="DO141" s="42"/>
      <c r="DP141" s="42"/>
      <c r="DQ141" s="42"/>
      <c r="DR141" s="42"/>
      <c r="DS141" s="42"/>
      <c r="DT141" s="42"/>
      <c r="DU141" s="42"/>
      <c r="DV141" s="42"/>
      <c r="DW141" s="42"/>
      <c r="DX141" s="42"/>
      <c r="DY141" s="42"/>
      <c r="DZ141" s="42"/>
      <c r="EA141" s="42"/>
      <c r="EB141" s="42"/>
      <c r="EC141" s="42"/>
      <c r="ED141" s="42"/>
      <c r="EE141" s="42"/>
      <c r="EF141" s="42"/>
      <c r="EG141" s="42"/>
      <c r="EH141" s="42"/>
      <c r="EI141" s="42"/>
      <c r="EJ141" s="42"/>
      <c r="EK141" s="42"/>
      <c r="EL141" s="42"/>
      <c r="EM141" s="42"/>
      <c r="EN141" s="42"/>
      <c r="EO141" s="42"/>
      <c r="EP141" s="42"/>
      <c r="EQ141" s="42"/>
      <c r="ER141" s="42"/>
      <c r="ES141" s="42"/>
      <c r="ET141" s="42"/>
      <c r="EU141" s="42"/>
      <c r="EV141" s="42"/>
      <c r="EW141" s="42"/>
      <c r="EX141" s="42"/>
      <c r="EY141" s="42"/>
      <c r="EZ141" s="42"/>
      <c r="FA141" s="42"/>
      <c r="FB141" s="42"/>
      <c r="FC141" s="42"/>
      <c r="FD141" s="42"/>
      <c r="FE141" s="42"/>
      <c r="FF141" s="42"/>
      <c r="FG141" s="42"/>
      <c r="FH141" s="42"/>
      <c r="FI141" s="42"/>
      <c r="FJ141" s="42"/>
      <c r="FK141" s="42"/>
      <c r="FL141" s="42"/>
      <c r="FM141" s="42"/>
      <c r="FN141" s="42"/>
      <c r="FO141" s="42"/>
      <c r="FP141" s="42"/>
      <c r="FQ141" s="42"/>
      <c r="FR141" s="42"/>
      <c r="FS141" s="42"/>
      <c r="FT141" s="42"/>
      <c r="FU141" s="42"/>
      <c r="FV141" s="42"/>
      <c r="FW141" s="42"/>
      <c r="FX141" s="42"/>
      <c r="FY141" s="42"/>
      <c r="FZ141" s="42"/>
      <c r="GA141" s="42"/>
      <c r="GB141" s="42"/>
      <c r="GC141" s="42"/>
      <c r="GD141" s="42"/>
      <c r="GE141" s="42"/>
      <c r="GF141" s="42"/>
      <c r="GG141" s="42"/>
      <c r="GH141" s="42"/>
      <c r="GI141" s="42"/>
      <c r="GJ141" s="42"/>
      <c r="GK141" s="42"/>
      <c r="GL141" s="42"/>
      <c r="GM141" s="42"/>
      <c r="GN141" s="42"/>
      <c r="GO141" s="42"/>
      <c r="GP141" s="42"/>
      <c r="GQ141" s="42"/>
      <c r="GR141" s="42"/>
      <c r="GS141" s="42"/>
      <c r="GT141" s="42"/>
      <c r="GU141" s="42"/>
      <c r="GV141" s="42"/>
      <c r="GW141" s="42"/>
      <c r="GX141" s="42"/>
      <c r="GY141" s="42"/>
      <c r="GZ141" s="42"/>
      <c r="HA141" s="42"/>
      <c r="HB141" s="42"/>
      <c r="HC141" s="42"/>
      <c r="HD141" s="42"/>
      <c r="HE141" s="42"/>
      <c r="HF141" s="42"/>
      <c r="HG141" s="42"/>
      <c r="HH141" s="42"/>
      <c r="HI141" s="42"/>
      <c r="HJ141" s="42"/>
      <c r="HK141" s="42"/>
      <c r="HL141" s="42"/>
      <c r="HM141" s="42"/>
      <c r="HN141" s="42"/>
      <c r="HO141" s="42"/>
      <c r="HP141" s="42"/>
      <c r="HQ141" s="42"/>
      <c r="HR141" s="42"/>
      <c r="HS141" s="42"/>
      <c r="HT141" s="42"/>
      <c r="HU141" s="42"/>
      <c r="HV141" s="42"/>
      <c r="HW141" s="42"/>
      <c r="HX141" s="42"/>
      <c r="HY141" s="42"/>
      <c r="HZ141" s="42"/>
      <c r="IA141" s="42"/>
      <c r="IB141" s="42"/>
      <c r="IC141" s="42"/>
      <c r="ID141" s="42"/>
      <c r="IE141" s="42"/>
      <c r="IF141" s="42"/>
      <c r="IG141" s="42"/>
      <c r="IH141" s="42"/>
      <c r="II141" s="42"/>
      <c r="IJ141" s="42"/>
      <c r="IK141" s="42"/>
      <c r="IL141" s="42"/>
      <c r="IM141" s="42"/>
      <c r="IN141" s="42"/>
      <c r="IO141" s="42"/>
      <c r="IP141" s="42"/>
      <c r="IQ141" s="42"/>
      <c r="IR141" s="42"/>
      <c r="IS141" s="42"/>
      <c r="IT141" s="42"/>
      <c r="IU141" s="42"/>
      <c r="IV141" s="42"/>
      <c r="IW141" s="42"/>
      <c r="IX141" s="42"/>
      <c r="IY141" s="42"/>
      <c r="IZ141" s="42"/>
      <c r="JA141" s="42"/>
      <c r="JB141" s="42"/>
      <c r="JC141" s="42"/>
      <c r="JD141" s="42"/>
      <c r="JE141" s="42"/>
      <c r="JF141" s="42"/>
      <c r="JG141" s="42"/>
      <c r="JH141" s="42"/>
      <c r="JI141" s="42"/>
      <c r="JJ141" s="42"/>
      <c r="JK141" s="42"/>
      <c r="JL141" s="42"/>
      <c r="JM141" s="42"/>
      <c r="JN141" s="42"/>
      <c r="JO141" s="42"/>
      <c r="JP141" s="42"/>
      <c r="JQ141" s="42"/>
      <c r="JR141" s="42"/>
      <c r="JS141" s="42"/>
      <c r="JT141" s="42"/>
      <c r="JU141" s="42"/>
      <c r="JV141" s="42"/>
      <c r="JW141" s="42"/>
      <c r="JX141" s="42"/>
      <c r="JY141" s="42"/>
      <c r="JZ141" s="42"/>
      <c r="KA141" s="42"/>
      <c r="KB141" s="42"/>
      <c r="KC141" s="42"/>
      <c r="KD141" s="42"/>
      <c r="KE141" s="42"/>
      <c r="KF141" s="42"/>
      <c r="KG141" s="42"/>
      <c r="KH141" s="42"/>
      <c r="KI141" s="42"/>
      <c r="KJ141" s="42"/>
      <c r="KK141" s="42"/>
      <c r="KL141" s="42"/>
      <c r="KM141" s="42"/>
      <c r="KN141" s="42"/>
      <c r="KO141" s="42"/>
      <c r="KP141" s="42"/>
      <c r="KQ141" s="42"/>
      <c r="KR141" s="42"/>
      <c r="KS141" s="42"/>
      <c r="KT141" s="42"/>
      <c r="KU141" s="42"/>
      <c r="KV141" s="42"/>
      <c r="KW141" s="42"/>
      <c r="KX141" s="42"/>
      <c r="KY141" s="42"/>
      <c r="KZ141" s="42"/>
      <c r="LA141" s="42"/>
      <c r="LB141" s="42"/>
      <c r="LC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c r="BN142" s="42"/>
      <c r="BO142" s="42"/>
      <c r="BP142" s="42"/>
      <c r="BQ142" s="42"/>
      <c r="BR142" s="42"/>
      <c r="BS142" s="42"/>
      <c r="BT142" s="42"/>
      <c r="BU142" s="42"/>
      <c r="BV142" s="42"/>
      <c r="BW142" s="42"/>
      <c r="BX142" s="42"/>
      <c r="BY142" s="42"/>
      <c r="BZ142" s="42"/>
      <c r="CA142" s="42"/>
      <c r="CB142" s="42"/>
      <c r="CC142" s="42"/>
      <c r="CD142" s="42"/>
      <c r="CE142" s="42"/>
      <c r="CF142" s="42"/>
      <c r="CG142" s="42"/>
      <c r="CH142" s="42"/>
      <c r="CI142" s="42"/>
      <c r="CJ142" s="42"/>
      <c r="CK142" s="42"/>
      <c r="CL142" s="42"/>
      <c r="CM142" s="42"/>
      <c r="CN142" s="42"/>
      <c r="CO142" s="42"/>
      <c r="CP142" s="42"/>
      <c r="CQ142" s="42"/>
      <c r="CR142" s="42"/>
      <c r="CS142" s="42"/>
      <c r="CT142" s="42"/>
      <c r="CU142" s="42"/>
      <c r="CV142" s="42"/>
      <c r="CW142" s="42"/>
      <c r="CX142" s="42"/>
      <c r="CY142" s="42"/>
      <c r="CZ142" s="42"/>
      <c r="DA142" s="42"/>
      <c r="DB142" s="42"/>
      <c r="DC142" s="42"/>
      <c r="DD142" s="42"/>
      <c r="DE142" s="42"/>
      <c r="DF142" s="42"/>
      <c r="DG142" s="42"/>
      <c r="DH142" s="42"/>
      <c r="DI142" s="42"/>
      <c r="DJ142" s="42"/>
      <c r="DK142" s="42"/>
      <c r="DL142" s="42"/>
      <c r="DM142" s="42"/>
      <c r="DN142" s="42"/>
      <c r="DO142" s="42"/>
      <c r="DP142" s="42"/>
      <c r="DQ142" s="42"/>
      <c r="DR142" s="42"/>
      <c r="DS142" s="42"/>
      <c r="DT142" s="42"/>
      <c r="DU142" s="42"/>
      <c r="DV142" s="42"/>
      <c r="DW142" s="42"/>
      <c r="DX142" s="42"/>
      <c r="DY142" s="42"/>
      <c r="DZ142" s="42"/>
      <c r="EA142" s="42"/>
      <c r="EB142" s="42"/>
      <c r="EC142" s="42"/>
      <c r="ED142" s="42"/>
      <c r="EE142" s="42"/>
      <c r="EF142" s="42"/>
      <c r="EG142" s="42"/>
      <c r="EH142" s="42"/>
      <c r="EI142" s="42"/>
      <c r="EJ142" s="42"/>
      <c r="EK142" s="42"/>
      <c r="EL142" s="42"/>
      <c r="EM142" s="42"/>
      <c r="EN142" s="42"/>
      <c r="EO142" s="42"/>
      <c r="EP142" s="42"/>
      <c r="EQ142" s="42"/>
      <c r="ER142" s="42"/>
      <c r="ES142" s="42"/>
      <c r="ET142" s="42"/>
      <c r="EU142" s="42"/>
      <c r="EV142" s="42"/>
      <c r="EW142" s="42"/>
      <c r="EX142" s="42"/>
      <c r="EY142" s="42"/>
      <c r="EZ142" s="42"/>
      <c r="FA142" s="42"/>
      <c r="FB142" s="42"/>
      <c r="FC142" s="42"/>
      <c r="FD142" s="42"/>
      <c r="FE142" s="42"/>
      <c r="FF142" s="42"/>
      <c r="FG142" s="42"/>
      <c r="FH142" s="42"/>
      <c r="FI142" s="42"/>
      <c r="FJ142" s="42"/>
      <c r="FK142" s="42"/>
      <c r="FL142" s="42"/>
      <c r="FM142" s="42"/>
      <c r="FN142" s="42"/>
      <c r="FO142" s="42"/>
      <c r="FP142" s="42"/>
      <c r="FQ142" s="42"/>
      <c r="FR142" s="42"/>
      <c r="FS142" s="42"/>
      <c r="FT142" s="42"/>
      <c r="FU142" s="42"/>
      <c r="FV142" s="42"/>
      <c r="FW142" s="42"/>
      <c r="FX142" s="42"/>
      <c r="FY142" s="42"/>
      <c r="FZ142" s="42"/>
      <c r="GA142" s="42"/>
      <c r="GB142" s="42"/>
      <c r="GC142" s="42"/>
      <c r="GD142" s="42"/>
      <c r="GE142" s="42"/>
      <c r="GF142" s="42"/>
      <c r="GG142" s="42"/>
      <c r="GH142" s="42"/>
      <c r="GI142" s="42"/>
      <c r="GJ142" s="42"/>
      <c r="GK142" s="42"/>
      <c r="GL142" s="42"/>
      <c r="GM142" s="42"/>
      <c r="GN142" s="42"/>
      <c r="GO142" s="42"/>
      <c r="GP142" s="42"/>
      <c r="GQ142" s="42"/>
      <c r="GR142" s="42"/>
      <c r="GS142" s="42"/>
      <c r="GT142" s="42"/>
      <c r="GU142" s="42"/>
      <c r="GV142" s="42"/>
      <c r="GW142" s="42"/>
      <c r="GX142" s="42"/>
      <c r="GY142" s="42"/>
      <c r="GZ142" s="42"/>
      <c r="HA142" s="42"/>
      <c r="HB142" s="42"/>
      <c r="HC142" s="42"/>
      <c r="HD142" s="42"/>
      <c r="HE142" s="42"/>
      <c r="HF142" s="42"/>
      <c r="HG142" s="42"/>
      <c r="HH142" s="42"/>
      <c r="HI142" s="42"/>
      <c r="HJ142" s="42"/>
      <c r="HK142" s="42"/>
      <c r="HL142" s="42"/>
      <c r="HM142" s="42"/>
      <c r="HN142" s="42"/>
      <c r="HO142" s="42"/>
      <c r="HP142" s="42"/>
      <c r="HQ142" s="42"/>
      <c r="HR142" s="42"/>
      <c r="HS142" s="42"/>
      <c r="HT142" s="42"/>
      <c r="HU142" s="42"/>
      <c r="HV142" s="42"/>
      <c r="HW142" s="42"/>
      <c r="HX142" s="42"/>
      <c r="HY142" s="42"/>
      <c r="HZ142" s="42"/>
      <c r="IA142" s="42"/>
      <c r="IB142" s="42"/>
      <c r="IC142" s="42"/>
      <c r="ID142" s="42"/>
      <c r="IE142" s="42"/>
      <c r="IF142" s="42"/>
      <c r="IG142" s="42"/>
      <c r="IH142" s="42"/>
      <c r="II142" s="42"/>
      <c r="IJ142" s="42"/>
      <c r="IK142" s="42"/>
      <c r="IL142" s="42"/>
      <c r="IM142" s="42"/>
      <c r="IN142" s="42"/>
      <c r="IO142" s="42"/>
      <c r="IP142" s="42"/>
      <c r="IQ142" s="42"/>
      <c r="IR142" s="42"/>
      <c r="IS142" s="42"/>
      <c r="IT142" s="42"/>
      <c r="IU142" s="42"/>
      <c r="IV142" s="42"/>
      <c r="IW142" s="42"/>
      <c r="IX142" s="42"/>
      <c r="IY142" s="42"/>
      <c r="IZ142" s="42"/>
      <c r="JA142" s="42"/>
      <c r="JB142" s="42"/>
      <c r="JC142" s="42"/>
      <c r="JD142" s="42"/>
      <c r="JE142" s="42"/>
      <c r="JF142" s="42"/>
      <c r="JG142" s="42"/>
      <c r="JH142" s="42"/>
      <c r="JI142" s="42"/>
      <c r="JJ142" s="42"/>
      <c r="JK142" s="42"/>
      <c r="JL142" s="42"/>
      <c r="JM142" s="42"/>
      <c r="JN142" s="42"/>
      <c r="JO142" s="42"/>
      <c r="JP142" s="42"/>
      <c r="JQ142" s="42"/>
      <c r="JR142" s="42"/>
      <c r="JS142" s="42"/>
      <c r="JT142" s="42"/>
      <c r="JU142" s="42"/>
      <c r="JV142" s="42"/>
      <c r="JW142" s="42"/>
      <c r="JX142" s="42"/>
      <c r="JY142" s="42"/>
      <c r="JZ142" s="42"/>
      <c r="KA142" s="42"/>
      <c r="KB142" s="42"/>
      <c r="KC142" s="42"/>
      <c r="KD142" s="42"/>
      <c r="KE142" s="42"/>
      <c r="KF142" s="42"/>
      <c r="KG142" s="42"/>
      <c r="KH142" s="42"/>
      <c r="KI142" s="42"/>
      <c r="KJ142" s="42"/>
      <c r="KK142" s="42"/>
      <c r="KL142" s="42"/>
      <c r="KM142" s="42"/>
      <c r="KN142" s="42"/>
      <c r="KO142" s="42"/>
      <c r="KP142" s="42"/>
      <c r="KQ142" s="42"/>
      <c r="KR142" s="42"/>
      <c r="KS142" s="42"/>
      <c r="KT142" s="42"/>
      <c r="KU142" s="42"/>
      <c r="KV142" s="42"/>
      <c r="KW142" s="42"/>
      <c r="KX142" s="42"/>
      <c r="KY142" s="42"/>
      <c r="KZ142" s="42"/>
      <c r="LA142" s="42"/>
      <c r="LB142" s="42"/>
      <c r="LC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c r="BD143" s="42"/>
      <c r="BE143" s="42"/>
      <c r="BF143" s="42"/>
      <c r="BG143" s="42"/>
      <c r="BH143" s="42"/>
      <c r="BI143" s="42"/>
      <c r="BJ143" s="42"/>
      <c r="BK143" s="42"/>
      <c r="BL143" s="42"/>
      <c r="BM143" s="42"/>
      <c r="BN143" s="42"/>
      <c r="BO143" s="42"/>
      <c r="BP143" s="42"/>
      <c r="BQ143" s="42"/>
      <c r="BR143" s="42"/>
      <c r="BS143" s="42"/>
      <c r="BT143" s="42"/>
      <c r="BU143" s="42"/>
      <c r="BV143" s="42"/>
      <c r="BW143" s="42"/>
      <c r="BX143" s="42"/>
      <c r="BY143" s="42"/>
      <c r="BZ143" s="42"/>
      <c r="CA143" s="42"/>
      <c r="CB143" s="42"/>
      <c r="CC143" s="42"/>
      <c r="CD143" s="42"/>
      <c r="CE143" s="42"/>
      <c r="CF143" s="42"/>
      <c r="CG143" s="42"/>
      <c r="CH143" s="42"/>
      <c r="CI143" s="42"/>
      <c r="CJ143" s="42"/>
      <c r="CK143" s="42"/>
      <c r="CL143" s="42"/>
      <c r="CM143" s="42"/>
      <c r="CN143" s="42"/>
      <c r="CO143" s="42"/>
      <c r="CP143" s="42"/>
      <c r="CQ143" s="42"/>
      <c r="CR143" s="42"/>
      <c r="CS143" s="42"/>
      <c r="CT143" s="42"/>
      <c r="CU143" s="42"/>
      <c r="CV143" s="42"/>
      <c r="CW143" s="42"/>
      <c r="CX143" s="42"/>
      <c r="CY143" s="42"/>
      <c r="CZ143" s="42"/>
      <c r="DA143" s="42"/>
      <c r="DB143" s="42"/>
      <c r="DC143" s="42"/>
      <c r="DD143" s="42"/>
      <c r="DE143" s="42"/>
      <c r="DF143" s="42"/>
      <c r="DG143" s="42"/>
      <c r="DH143" s="42"/>
      <c r="DI143" s="42"/>
      <c r="DJ143" s="42"/>
      <c r="DK143" s="42"/>
      <c r="DL143" s="42"/>
      <c r="DM143" s="42"/>
      <c r="DN143" s="42"/>
      <c r="DO143" s="42"/>
      <c r="DP143" s="42"/>
      <c r="DQ143" s="42"/>
      <c r="DR143" s="42"/>
      <c r="DS143" s="42"/>
      <c r="DT143" s="42"/>
      <c r="DU143" s="42"/>
      <c r="DV143" s="42"/>
      <c r="DW143" s="42"/>
      <c r="DX143" s="42"/>
      <c r="DY143" s="42"/>
      <c r="DZ143" s="42"/>
      <c r="EA143" s="42"/>
      <c r="EB143" s="42"/>
      <c r="EC143" s="42"/>
      <c r="ED143" s="42"/>
      <c r="EE143" s="42"/>
      <c r="EF143" s="42"/>
      <c r="EG143" s="42"/>
      <c r="EH143" s="42"/>
      <c r="EI143" s="42"/>
      <c r="EJ143" s="42"/>
      <c r="EK143" s="42"/>
      <c r="EL143" s="42"/>
      <c r="EM143" s="42"/>
      <c r="EN143" s="42"/>
      <c r="EO143" s="42"/>
      <c r="EP143" s="42"/>
      <c r="EQ143" s="42"/>
      <c r="ER143" s="42"/>
      <c r="ES143" s="42"/>
      <c r="ET143" s="42"/>
      <c r="EU143" s="42"/>
      <c r="EV143" s="42"/>
      <c r="EW143" s="42"/>
      <c r="EX143" s="42"/>
      <c r="EY143" s="42"/>
      <c r="EZ143" s="42"/>
      <c r="FA143" s="42"/>
      <c r="FB143" s="42"/>
      <c r="FC143" s="42"/>
      <c r="FD143" s="42"/>
      <c r="FE143" s="42"/>
      <c r="FF143" s="42"/>
      <c r="FG143" s="42"/>
      <c r="FH143" s="42"/>
      <c r="FI143" s="42"/>
      <c r="FJ143" s="42"/>
      <c r="FK143" s="42"/>
      <c r="FL143" s="42"/>
      <c r="FM143" s="42"/>
      <c r="FN143" s="42"/>
      <c r="FO143" s="42"/>
      <c r="FP143" s="42"/>
      <c r="FQ143" s="42"/>
      <c r="FR143" s="42"/>
      <c r="FS143" s="42"/>
      <c r="FT143" s="42"/>
      <c r="FU143" s="42"/>
      <c r="FV143" s="42"/>
      <c r="FW143" s="42"/>
      <c r="FX143" s="42"/>
      <c r="FY143" s="42"/>
      <c r="FZ143" s="42"/>
      <c r="GA143" s="42"/>
      <c r="GB143" s="42"/>
      <c r="GC143" s="42"/>
      <c r="GD143" s="42"/>
      <c r="GE143" s="42"/>
      <c r="GF143" s="42"/>
      <c r="GG143" s="42"/>
      <c r="GH143" s="42"/>
      <c r="GI143" s="42"/>
      <c r="GJ143" s="42"/>
      <c r="GK143" s="42"/>
      <c r="GL143" s="42"/>
      <c r="GM143" s="42"/>
      <c r="GN143" s="42"/>
      <c r="GO143" s="42"/>
      <c r="GP143" s="42"/>
      <c r="GQ143" s="42"/>
      <c r="GR143" s="42"/>
      <c r="GS143" s="42"/>
      <c r="GT143" s="42"/>
      <c r="GU143" s="42"/>
      <c r="GV143" s="42"/>
      <c r="GW143" s="42"/>
      <c r="GX143" s="42"/>
      <c r="GY143" s="42"/>
      <c r="GZ143" s="42"/>
      <c r="HA143" s="42"/>
      <c r="HB143" s="42"/>
      <c r="HC143" s="42"/>
      <c r="HD143" s="42"/>
      <c r="HE143" s="42"/>
      <c r="HF143" s="42"/>
      <c r="HG143" s="42"/>
      <c r="HH143" s="42"/>
      <c r="HI143" s="42"/>
      <c r="HJ143" s="42"/>
      <c r="HK143" s="42"/>
      <c r="HL143" s="42"/>
      <c r="HM143" s="42"/>
      <c r="HN143" s="42"/>
      <c r="HO143" s="42"/>
      <c r="HP143" s="42"/>
      <c r="HQ143" s="42"/>
      <c r="HR143" s="42"/>
      <c r="HS143" s="42"/>
      <c r="HT143" s="42"/>
      <c r="HU143" s="42"/>
      <c r="HV143" s="42"/>
      <c r="HW143" s="42"/>
      <c r="HX143" s="42"/>
      <c r="HY143" s="42"/>
      <c r="HZ143" s="42"/>
      <c r="IA143" s="42"/>
      <c r="IB143" s="42"/>
      <c r="IC143" s="42"/>
      <c r="ID143" s="42"/>
      <c r="IE143" s="42"/>
      <c r="IF143" s="42"/>
      <c r="IG143" s="42"/>
      <c r="IH143" s="42"/>
      <c r="II143" s="42"/>
      <c r="IJ143" s="42"/>
      <c r="IK143" s="42"/>
      <c r="IL143" s="42"/>
      <c r="IM143" s="42"/>
      <c r="IN143" s="42"/>
      <c r="IO143" s="42"/>
      <c r="IP143" s="42"/>
      <c r="IQ143" s="42"/>
      <c r="IR143" s="42"/>
      <c r="IS143" s="42"/>
      <c r="IT143" s="42"/>
      <c r="IU143" s="42"/>
      <c r="IV143" s="42"/>
      <c r="IW143" s="42"/>
      <c r="IX143" s="42"/>
      <c r="IY143" s="42"/>
      <c r="IZ143" s="42"/>
      <c r="JA143" s="42"/>
      <c r="JB143" s="42"/>
      <c r="JC143" s="42"/>
      <c r="JD143" s="42"/>
      <c r="JE143" s="42"/>
      <c r="JF143" s="42"/>
      <c r="JG143" s="42"/>
      <c r="JH143" s="42"/>
      <c r="JI143" s="42"/>
      <c r="JJ143" s="42"/>
      <c r="JK143" s="42"/>
      <c r="JL143" s="42"/>
      <c r="JM143" s="42"/>
      <c r="JN143" s="42"/>
      <c r="JO143" s="42"/>
      <c r="JP143" s="42"/>
      <c r="JQ143" s="42"/>
      <c r="JR143" s="42"/>
      <c r="JS143" s="42"/>
      <c r="JT143" s="42"/>
      <c r="JU143" s="42"/>
      <c r="JV143" s="42"/>
      <c r="JW143" s="42"/>
      <c r="JX143" s="42"/>
      <c r="JY143" s="42"/>
      <c r="JZ143" s="42"/>
      <c r="KA143" s="42"/>
      <c r="KB143" s="42"/>
      <c r="KC143" s="42"/>
      <c r="KD143" s="42"/>
      <c r="KE143" s="42"/>
      <c r="KF143" s="42"/>
      <c r="KG143" s="42"/>
      <c r="KH143" s="42"/>
      <c r="KI143" s="42"/>
      <c r="KJ143" s="42"/>
      <c r="KK143" s="42"/>
      <c r="KL143" s="42"/>
      <c r="KM143" s="42"/>
      <c r="KN143" s="42"/>
      <c r="KO143" s="42"/>
      <c r="KP143" s="42"/>
      <c r="KQ143" s="42"/>
      <c r="KR143" s="42"/>
      <c r="KS143" s="42"/>
      <c r="KT143" s="42"/>
      <c r="KU143" s="42"/>
      <c r="KV143" s="42"/>
      <c r="KW143" s="42"/>
      <c r="KX143" s="42"/>
      <c r="KY143" s="42"/>
      <c r="KZ143" s="42"/>
      <c r="LA143" s="42"/>
      <c r="LB143" s="42"/>
      <c r="LC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c r="BD144" s="42"/>
      <c r="BE144" s="42"/>
      <c r="BF144" s="42"/>
      <c r="BG144" s="42"/>
      <c r="BH144" s="42"/>
      <c r="BI144" s="42"/>
      <c r="BJ144" s="42"/>
      <c r="BK144" s="42"/>
      <c r="BL144" s="42"/>
      <c r="BM144" s="42"/>
      <c r="BN144" s="42"/>
      <c r="BO144" s="42"/>
      <c r="BP144" s="42"/>
      <c r="BQ144" s="42"/>
      <c r="BR144" s="42"/>
      <c r="BS144" s="42"/>
      <c r="BT144" s="42"/>
      <c r="BU144" s="42"/>
      <c r="BV144" s="42"/>
      <c r="BW144" s="42"/>
      <c r="BX144" s="42"/>
      <c r="BY144" s="42"/>
      <c r="BZ144" s="42"/>
      <c r="CA144" s="42"/>
      <c r="CB144" s="42"/>
      <c r="CC144" s="42"/>
      <c r="CD144" s="42"/>
      <c r="CE144" s="42"/>
      <c r="CF144" s="42"/>
      <c r="CG144" s="42"/>
      <c r="CH144" s="42"/>
      <c r="CI144" s="42"/>
      <c r="CJ144" s="42"/>
      <c r="CK144" s="42"/>
      <c r="CL144" s="42"/>
      <c r="CM144" s="42"/>
      <c r="CN144" s="42"/>
      <c r="CO144" s="42"/>
      <c r="CP144" s="42"/>
      <c r="CQ144" s="42"/>
      <c r="CR144" s="42"/>
      <c r="CS144" s="42"/>
      <c r="CT144" s="42"/>
      <c r="CU144" s="42"/>
      <c r="CV144" s="42"/>
      <c r="CW144" s="42"/>
      <c r="CX144" s="42"/>
      <c r="CY144" s="42"/>
      <c r="CZ144" s="42"/>
      <c r="DA144" s="42"/>
      <c r="DB144" s="42"/>
      <c r="DC144" s="42"/>
      <c r="DD144" s="42"/>
      <c r="DE144" s="42"/>
      <c r="DF144" s="42"/>
      <c r="DG144" s="42"/>
      <c r="DH144" s="42"/>
      <c r="DI144" s="42"/>
      <c r="DJ144" s="42"/>
      <c r="DK144" s="42"/>
      <c r="DL144" s="42"/>
      <c r="DM144" s="42"/>
      <c r="DN144" s="42"/>
      <c r="DO144" s="42"/>
      <c r="DP144" s="42"/>
      <c r="DQ144" s="42"/>
      <c r="DR144" s="42"/>
      <c r="DS144" s="42"/>
      <c r="DT144" s="42"/>
      <c r="DU144" s="42"/>
      <c r="DV144" s="42"/>
      <c r="DW144" s="42"/>
      <c r="DX144" s="42"/>
      <c r="DY144" s="42"/>
      <c r="DZ144" s="42"/>
      <c r="EA144" s="42"/>
      <c r="EB144" s="42"/>
      <c r="EC144" s="42"/>
      <c r="ED144" s="42"/>
      <c r="EE144" s="42"/>
      <c r="EF144" s="42"/>
      <c r="EG144" s="42"/>
      <c r="EH144" s="42"/>
      <c r="EI144" s="42"/>
      <c r="EJ144" s="42"/>
      <c r="EK144" s="42"/>
      <c r="EL144" s="42"/>
      <c r="EM144" s="42"/>
      <c r="EN144" s="42"/>
      <c r="EO144" s="42"/>
      <c r="EP144" s="42"/>
      <c r="EQ144" s="42"/>
      <c r="ER144" s="42"/>
      <c r="ES144" s="42"/>
      <c r="ET144" s="42"/>
      <c r="EU144" s="42"/>
      <c r="EV144" s="42"/>
      <c r="EW144" s="42"/>
      <c r="EX144" s="42"/>
      <c r="EY144" s="42"/>
      <c r="EZ144" s="42"/>
      <c r="FA144" s="42"/>
      <c r="FB144" s="42"/>
      <c r="FC144" s="42"/>
      <c r="FD144" s="42"/>
      <c r="FE144" s="42"/>
      <c r="FF144" s="42"/>
      <c r="FG144" s="42"/>
      <c r="FH144" s="42"/>
      <c r="FI144" s="42"/>
      <c r="FJ144" s="42"/>
      <c r="FK144" s="42"/>
      <c r="FL144" s="42"/>
      <c r="FM144" s="42"/>
      <c r="FN144" s="42"/>
      <c r="FO144" s="42"/>
      <c r="FP144" s="42"/>
      <c r="FQ144" s="42"/>
      <c r="FR144" s="42"/>
      <c r="FS144" s="42"/>
      <c r="FT144" s="42"/>
      <c r="FU144" s="42"/>
      <c r="FV144" s="42"/>
      <c r="FW144" s="42"/>
      <c r="FX144" s="42"/>
      <c r="FY144" s="42"/>
      <c r="FZ144" s="42"/>
      <c r="GA144" s="42"/>
      <c r="GB144" s="42"/>
      <c r="GC144" s="42"/>
      <c r="GD144" s="42"/>
      <c r="GE144" s="42"/>
      <c r="GF144" s="42"/>
      <c r="GG144" s="42"/>
      <c r="GH144" s="42"/>
      <c r="GI144" s="42"/>
      <c r="GJ144" s="42"/>
      <c r="GK144" s="42"/>
      <c r="GL144" s="42"/>
      <c r="GM144" s="42"/>
      <c r="GN144" s="42"/>
      <c r="GO144" s="42"/>
      <c r="GP144" s="42"/>
      <c r="GQ144" s="42"/>
      <c r="GR144" s="42"/>
      <c r="GS144" s="42"/>
      <c r="GT144" s="42"/>
      <c r="GU144" s="42"/>
      <c r="GV144" s="42"/>
      <c r="GW144" s="42"/>
      <c r="GX144" s="42"/>
      <c r="GY144" s="42"/>
      <c r="GZ144" s="42"/>
      <c r="HA144" s="42"/>
      <c r="HB144" s="42"/>
      <c r="HC144" s="42"/>
      <c r="HD144" s="42"/>
      <c r="HE144" s="42"/>
      <c r="HF144" s="42"/>
      <c r="HG144" s="42"/>
      <c r="HH144" s="42"/>
      <c r="HI144" s="42"/>
      <c r="HJ144" s="42"/>
      <c r="HK144" s="42"/>
      <c r="HL144" s="42"/>
      <c r="HM144" s="42"/>
      <c r="HN144" s="42"/>
      <c r="HO144" s="42"/>
      <c r="HP144" s="42"/>
      <c r="HQ144" s="42"/>
      <c r="HR144" s="42"/>
      <c r="HS144" s="42"/>
      <c r="HT144" s="42"/>
      <c r="HU144" s="42"/>
      <c r="HV144" s="42"/>
      <c r="HW144" s="42"/>
      <c r="HX144" s="42"/>
      <c r="HY144" s="42"/>
      <c r="HZ144" s="42"/>
      <c r="IA144" s="42"/>
      <c r="IB144" s="42"/>
      <c r="IC144" s="42"/>
      <c r="ID144" s="42"/>
      <c r="IE144" s="42"/>
      <c r="IF144" s="42"/>
      <c r="IG144" s="42"/>
      <c r="IH144" s="42"/>
      <c r="II144" s="42"/>
      <c r="IJ144" s="42"/>
      <c r="IK144" s="42"/>
      <c r="IL144" s="42"/>
      <c r="IM144" s="42"/>
      <c r="IN144" s="42"/>
      <c r="IO144" s="42"/>
      <c r="IP144" s="42"/>
      <c r="IQ144" s="42"/>
      <c r="IR144" s="42"/>
      <c r="IS144" s="42"/>
      <c r="IT144" s="42"/>
      <c r="IU144" s="42"/>
      <c r="IV144" s="42"/>
      <c r="IW144" s="42"/>
      <c r="IX144" s="42"/>
      <c r="IY144" s="42"/>
      <c r="IZ144" s="42"/>
      <c r="JA144" s="42"/>
      <c r="JB144" s="42"/>
      <c r="JC144" s="42"/>
      <c r="JD144" s="42"/>
      <c r="JE144" s="42"/>
      <c r="JF144" s="42"/>
      <c r="JG144" s="42"/>
      <c r="JH144" s="42"/>
      <c r="JI144" s="42"/>
      <c r="JJ144" s="42"/>
      <c r="JK144" s="42"/>
      <c r="JL144" s="42"/>
      <c r="JM144" s="42"/>
      <c r="JN144" s="42"/>
      <c r="JO144" s="42"/>
      <c r="JP144" s="42"/>
      <c r="JQ144" s="42"/>
      <c r="JR144" s="42"/>
      <c r="JS144" s="42"/>
      <c r="JT144" s="42"/>
      <c r="JU144" s="42"/>
      <c r="JV144" s="42"/>
      <c r="JW144" s="42"/>
      <c r="JX144" s="42"/>
      <c r="JY144" s="42"/>
      <c r="JZ144" s="42"/>
      <c r="KA144" s="42"/>
      <c r="KB144" s="42"/>
      <c r="KC144" s="42"/>
      <c r="KD144" s="42"/>
      <c r="KE144" s="42"/>
      <c r="KF144" s="42"/>
      <c r="KG144" s="42"/>
      <c r="KH144" s="42"/>
      <c r="KI144" s="42"/>
      <c r="KJ144" s="42"/>
      <c r="KK144" s="42"/>
      <c r="KL144" s="42"/>
      <c r="KM144" s="42"/>
      <c r="KN144" s="42"/>
      <c r="KO144" s="42"/>
      <c r="KP144" s="42"/>
      <c r="KQ144" s="42"/>
      <c r="KR144" s="42"/>
      <c r="KS144" s="42"/>
      <c r="KT144" s="42"/>
      <c r="KU144" s="42"/>
      <c r="KV144" s="42"/>
      <c r="KW144" s="42"/>
      <c r="KX144" s="42"/>
      <c r="KY144" s="42"/>
      <c r="KZ144" s="42"/>
      <c r="LA144" s="42"/>
      <c r="LB144" s="42"/>
      <c r="LC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42"/>
      <c r="BF145" s="42"/>
      <c r="BG145" s="42"/>
      <c r="BH145" s="42"/>
      <c r="BI145" s="42"/>
      <c r="BJ145" s="42"/>
      <c r="BK145" s="42"/>
      <c r="BL145" s="42"/>
      <c r="BM145" s="42"/>
      <c r="BN145" s="42"/>
      <c r="BO145" s="42"/>
      <c r="BP145" s="42"/>
      <c r="BQ145" s="42"/>
      <c r="BR145" s="42"/>
      <c r="BS145" s="42"/>
      <c r="BT145" s="42"/>
      <c r="BU145" s="42"/>
      <c r="BV145" s="42"/>
      <c r="BW145" s="42"/>
      <c r="BX145" s="42"/>
      <c r="BY145" s="42"/>
      <c r="BZ145" s="42"/>
      <c r="CA145" s="42"/>
      <c r="CB145" s="42"/>
      <c r="CC145" s="42"/>
      <c r="CD145" s="42"/>
      <c r="CE145" s="42"/>
      <c r="CF145" s="42"/>
      <c r="CG145" s="42"/>
      <c r="CH145" s="42"/>
      <c r="CI145" s="42"/>
      <c r="CJ145" s="42"/>
      <c r="CK145" s="42"/>
      <c r="CL145" s="42"/>
      <c r="CM145" s="42"/>
      <c r="CN145" s="42"/>
      <c r="CO145" s="42"/>
      <c r="CP145" s="42"/>
      <c r="CQ145" s="42"/>
      <c r="CR145" s="42"/>
      <c r="CS145" s="42"/>
      <c r="CT145" s="42"/>
      <c r="CU145" s="42"/>
      <c r="CV145" s="42"/>
      <c r="CW145" s="42"/>
      <c r="CX145" s="42"/>
      <c r="CY145" s="42"/>
      <c r="CZ145" s="42"/>
      <c r="DA145" s="42"/>
      <c r="DB145" s="42"/>
      <c r="DC145" s="42"/>
      <c r="DD145" s="42"/>
      <c r="DE145" s="42"/>
      <c r="DF145" s="42"/>
      <c r="DG145" s="42"/>
      <c r="DH145" s="42"/>
      <c r="DI145" s="42"/>
      <c r="DJ145" s="42"/>
      <c r="DK145" s="42"/>
      <c r="DL145" s="42"/>
      <c r="DM145" s="42"/>
      <c r="DN145" s="42"/>
      <c r="DO145" s="42"/>
      <c r="DP145" s="42"/>
      <c r="DQ145" s="42"/>
      <c r="DR145" s="42"/>
      <c r="DS145" s="42"/>
      <c r="DT145" s="42"/>
      <c r="DU145" s="42"/>
      <c r="DV145" s="42"/>
      <c r="DW145" s="42"/>
      <c r="DX145" s="42"/>
      <c r="DY145" s="42"/>
      <c r="DZ145" s="42"/>
      <c r="EA145" s="42"/>
      <c r="EB145" s="42"/>
      <c r="EC145" s="42"/>
      <c r="ED145" s="42"/>
      <c r="EE145" s="42"/>
      <c r="EF145" s="42"/>
      <c r="EG145" s="42"/>
      <c r="EH145" s="42"/>
      <c r="EI145" s="42"/>
      <c r="EJ145" s="42"/>
      <c r="EK145" s="42"/>
      <c r="EL145" s="42"/>
      <c r="EM145" s="42"/>
      <c r="EN145" s="42"/>
      <c r="EO145" s="42"/>
      <c r="EP145" s="42"/>
      <c r="EQ145" s="42"/>
      <c r="ER145" s="42"/>
      <c r="ES145" s="42"/>
      <c r="ET145" s="42"/>
      <c r="EU145" s="42"/>
      <c r="EV145" s="42"/>
      <c r="EW145" s="42"/>
      <c r="EX145" s="42"/>
      <c r="EY145" s="42"/>
      <c r="EZ145" s="42"/>
      <c r="FA145" s="42"/>
      <c r="FB145" s="42"/>
      <c r="FC145" s="42"/>
      <c r="FD145" s="42"/>
      <c r="FE145" s="42"/>
      <c r="FF145" s="42"/>
      <c r="FG145" s="42"/>
      <c r="FH145" s="42"/>
      <c r="FI145" s="42"/>
      <c r="FJ145" s="42"/>
      <c r="FK145" s="42"/>
      <c r="FL145" s="42"/>
      <c r="FM145" s="42"/>
      <c r="FN145" s="42"/>
      <c r="FO145" s="42"/>
      <c r="FP145" s="42"/>
      <c r="FQ145" s="42"/>
      <c r="FR145" s="42"/>
      <c r="FS145" s="42"/>
      <c r="FT145" s="42"/>
      <c r="FU145" s="42"/>
      <c r="FV145" s="42"/>
      <c r="FW145" s="42"/>
      <c r="FX145" s="42"/>
      <c r="FY145" s="42"/>
      <c r="FZ145" s="42"/>
      <c r="GA145" s="42"/>
      <c r="GB145" s="42"/>
      <c r="GC145" s="42"/>
      <c r="GD145" s="42"/>
      <c r="GE145" s="42"/>
      <c r="GF145" s="42"/>
      <c r="GG145" s="42"/>
      <c r="GH145" s="42"/>
      <c r="GI145" s="42"/>
      <c r="GJ145" s="42"/>
      <c r="GK145" s="42"/>
      <c r="GL145" s="42"/>
      <c r="GM145" s="42"/>
      <c r="GN145" s="42"/>
      <c r="GO145" s="42"/>
      <c r="GP145" s="42"/>
      <c r="GQ145" s="42"/>
      <c r="GR145" s="42"/>
      <c r="GS145" s="42"/>
      <c r="GT145" s="42"/>
      <c r="GU145" s="42"/>
      <c r="GV145" s="42"/>
      <c r="GW145" s="42"/>
      <c r="GX145" s="42"/>
      <c r="GY145" s="42"/>
      <c r="GZ145" s="42"/>
      <c r="HA145" s="42"/>
      <c r="HB145" s="42"/>
      <c r="HC145" s="42"/>
      <c r="HD145" s="42"/>
      <c r="HE145" s="42"/>
      <c r="HF145" s="42"/>
      <c r="HG145" s="42"/>
      <c r="HH145" s="42"/>
      <c r="HI145" s="42"/>
      <c r="HJ145" s="42"/>
      <c r="HK145" s="42"/>
      <c r="HL145" s="42"/>
      <c r="HM145" s="42"/>
      <c r="HN145" s="42"/>
      <c r="HO145" s="42"/>
      <c r="HP145" s="42"/>
      <c r="HQ145" s="42"/>
      <c r="HR145" s="42"/>
      <c r="HS145" s="42"/>
      <c r="HT145" s="42"/>
      <c r="HU145" s="42"/>
      <c r="HV145" s="42"/>
      <c r="HW145" s="42"/>
      <c r="HX145" s="42"/>
      <c r="HY145" s="42"/>
      <c r="HZ145" s="42"/>
      <c r="IA145" s="42"/>
      <c r="IB145" s="42"/>
      <c r="IC145" s="42"/>
      <c r="ID145" s="42"/>
      <c r="IE145" s="42"/>
      <c r="IF145" s="42"/>
      <c r="IG145" s="42"/>
      <c r="IH145" s="42"/>
      <c r="II145" s="42"/>
      <c r="IJ145" s="42"/>
      <c r="IK145" s="42"/>
      <c r="IL145" s="42"/>
      <c r="IM145" s="42"/>
      <c r="IN145" s="42"/>
      <c r="IO145" s="42"/>
      <c r="IP145" s="42"/>
      <c r="IQ145" s="42"/>
      <c r="IR145" s="42"/>
      <c r="IS145" s="42"/>
      <c r="IT145" s="42"/>
      <c r="IU145" s="42"/>
      <c r="IV145" s="42"/>
      <c r="IW145" s="42"/>
      <c r="IX145" s="42"/>
      <c r="IY145" s="42"/>
      <c r="IZ145" s="42"/>
      <c r="JA145" s="42"/>
      <c r="JB145" s="42"/>
      <c r="JC145" s="42"/>
      <c r="JD145" s="42"/>
      <c r="JE145" s="42"/>
      <c r="JF145" s="42"/>
      <c r="JG145" s="42"/>
      <c r="JH145" s="42"/>
      <c r="JI145" s="42"/>
      <c r="JJ145" s="42"/>
      <c r="JK145" s="42"/>
      <c r="JL145" s="42"/>
      <c r="JM145" s="42"/>
      <c r="JN145" s="42"/>
      <c r="JO145" s="42"/>
      <c r="JP145" s="42"/>
      <c r="JQ145" s="42"/>
      <c r="JR145" s="42"/>
      <c r="JS145" s="42"/>
      <c r="JT145" s="42"/>
      <c r="JU145" s="42"/>
      <c r="JV145" s="42"/>
      <c r="JW145" s="42"/>
      <c r="JX145" s="42"/>
      <c r="JY145" s="42"/>
      <c r="JZ145" s="42"/>
      <c r="KA145" s="42"/>
      <c r="KB145" s="42"/>
      <c r="KC145" s="42"/>
      <c r="KD145" s="42"/>
      <c r="KE145" s="42"/>
      <c r="KF145" s="42"/>
      <c r="KG145" s="42"/>
      <c r="KH145" s="42"/>
      <c r="KI145" s="42"/>
      <c r="KJ145" s="42"/>
      <c r="KK145" s="42"/>
      <c r="KL145" s="42"/>
      <c r="KM145" s="42"/>
      <c r="KN145" s="42"/>
      <c r="KO145" s="42"/>
      <c r="KP145" s="42"/>
      <c r="KQ145" s="42"/>
      <c r="KR145" s="42"/>
      <c r="KS145" s="42"/>
      <c r="KT145" s="42"/>
      <c r="KU145" s="42"/>
      <c r="KV145" s="42"/>
      <c r="KW145" s="42"/>
      <c r="KX145" s="42"/>
      <c r="KY145" s="42"/>
      <c r="KZ145" s="42"/>
      <c r="LA145" s="42"/>
      <c r="LB145" s="42"/>
      <c r="LC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42"/>
      <c r="BN146" s="42"/>
      <c r="BO146" s="42"/>
      <c r="BP146" s="42"/>
      <c r="BQ146" s="42"/>
      <c r="BR146" s="42"/>
      <c r="BS146" s="42"/>
      <c r="BT146" s="42"/>
      <c r="BU146" s="42"/>
      <c r="BV146" s="42"/>
      <c r="BW146" s="42"/>
      <c r="BX146" s="42"/>
      <c r="BY146" s="42"/>
      <c r="BZ146" s="42"/>
      <c r="CA146" s="42"/>
      <c r="CB146" s="42"/>
      <c r="CC146" s="42"/>
      <c r="CD146" s="42"/>
      <c r="CE146" s="42"/>
      <c r="CF146" s="42"/>
      <c r="CG146" s="42"/>
      <c r="CH146" s="42"/>
      <c r="CI146" s="42"/>
      <c r="CJ146" s="42"/>
      <c r="CK146" s="42"/>
      <c r="CL146" s="42"/>
      <c r="CM146" s="42"/>
      <c r="CN146" s="42"/>
      <c r="CO146" s="42"/>
      <c r="CP146" s="42"/>
      <c r="CQ146" s="42"/>
      <c r="CR146" s="42"/>
      <c r="CS146" s="42"/>
      <c r="CT146" s="42"/>
      <c r="CU146" s="42"/>
      <c r="CV146" s="42"/>
      <c r="CW146" s="42"/>
      <c r="CX146" s="42"/>
      <c r="CY146" s="42"/>
      <c r="CZ146" s="42"/>
      <c r="DA146" s="42"/>
      <c r="DB146" s="42"/>
      <c r="DC146" s="42"/>
      <c r="DD146" s="42"/>
      <c r="DE146" s="42"/>
      <c r="DF146" s="42"/>
      <c r="DG146" s="42"/>
      <c r="DH146" s="42"/>
      <c r="DI146" s="42"/>
      <c r="DJ146" s="42"/>
      <c r="DK146" s="42"/>
      <c r="DL146" s="42"/>
      <c r="DM146" s="42"/>
      <c r="DN146" s="42"/>
      <c r="DO146" s="42"/>
      <c r="DP146" s="42"/>
      <c r="DQ146" s="42"/>
      <c r="DR146" s="42"/>
      <c r="DS146" s="42"/>
      <c r="DT146" s="42"/>
      <c r="DU146" s="42"/>
      <c r="DV146" s="42"/>
      <c r="DW146" s="42"/>
      <c r="DX146" s="42"/>
      <c r="DY146" s="42"/>
      <c r="DZ146" s="42"/>
      <c r="EA146" s="42"/>
      <c r="EB146" s="42"/>
      <c r="EC146" s="42"/>
      <c r="ED146" s="42"/>
      <c r="EE146" s="42"/>
      <c r="EF146" s="42"/>
      <c r="EG146" s="42"/>
      <c r="EH146" s="42"/>
      <c r="EI146" s="42"/>
      <c r="EJ146" s="42"/>
      <c r="EK146" s="42"/>
      <c r="EL146" s="42"/>
      <c r="EM146" s="42"/>
      <c r="EN146" s="42"/>
      <c r="EO146" s="42"/>
      <c r="EP146" s="42"/>
      <c r="EQ146" s="42"/>
      <c r="ER146" s="42"/>
      <c r="ES146" s="42"/>
      <c r="ET146" s="42"/>
      <c r="EU146" s="42"/>
      <c r="EV146" s="42"/>
      <c r="EW146" s="42"/>
      <c r="EX146" s="42"/>
      <c r="EY146" s="42"/>
      <c r="EZ146" s="42"/>
      <c r="FA146" s="42"/>
      <c r="FB146" s="42"/>
      <c r="FC146" s="42"/>
      <c r="FD146" s="42"/>
      <c r="FE146" s="42"/>
      <c r="FF146" s="42"/>
      <c r="FG146" s="42"/>
      <c r="FH146" s="42"/>
      <c r="FI146" s="42"/>
      <c r="FJ146" s="42"/>
      <c r="FK146" s="42"/>
      <c r="FL146" s="42"/>
      <c r="FM146" s="42"/>
      <c r="FN146" s="42"/>
      <c r="FO146" s="42"/>
      <c r="FP146" s="42"/>
      <c r="FQ146" s="42"/>
      <c r="FR146" s="42"/>
      <c r="FS146" s="42"/>
      <c r="FT146" s="42"/>
      <c r="FU146" s="42"/>
      <c r="FV146" s="42"/>
      <c r="FW146" s="42"/>
      <c r="FX146" s="42"/>
      <c r="FY146" s="42"/>
      <c r="FZ146" s="42"/>
      <c r="GA146" s="42"/>
      <c r="GB146" s="42"/>
      <c r="GC146" s="42"/>
      <c r="GD146" s="42"/>
      <c r="GE146" s="42"/>
      <c r="GF146" s="42"/>
      <c r="GG146" s="42"/>
      <c r="GH146" s="42"/>
      <c r="GI146" s="42"/>
      <c r="GJ146" s="42"/>
      <c r="GK146" s="42"/>
      <c r="GL146" s="42"/>
      <c r="GM146" s="42"/>
      <c r="GN146" s="42"/>
      <c r="GO146" s="42"/>
      <c r="GP146" s="42"/>
      <c r="GQ146" s="42"/>
      <c r="GR146" s="42"/>
      <c r="GS146" s="42"/>
      <c r="GT146" s="42"/>
      <c r="GU146" s="42"/>
      <c r="GV146" s="42"/>
      <c r="GW146" s="42"/>
      <c r="GX146" s="42"/>
      <c r="GY146" s="42"/>
      <c r="GZ146" s="42"/>
      <c r="HA146" s="42"/>
      <c r="HB146" s="42"/>
      <c r="HC146" s="42"/>
      <c r="HD146" s="42"/>
      <c r="HE146" s="42"/>
      <c r="HF146" s="42"/>
      <c r="HG146" s="42"/>
      <c r="HH146" s="42"/>
      <c r="HI146" s="42"/>
      <c r="HJ146" s="42"/>
      <c r="HK146" s="42"/>
      <c r="HL146" s="42"/>
      <c r="HM146" s="42"/>
      <c r="HN146" s="42"/>
      <c r="HO146" s="42"/>
      <c r="HP146" s="42"/>
      <c r="HQ146" s="42"/>
      <c r="HR146" s="42"/>
      <c r="HS146" s="42"/>
      <c r="HT146" s="42"/>
      <c r="HU146" s="42"/>
      <c r="HV146" s="42"/>
      <c r="HW146" s="42"/>
      <c r="HX146" s="42"/>
      <c r="HY146" s="42"/>
      <c r="HZ146" s="42"/>
      <c r="IA146" s="42"/>
      <c r="IB146" s="42"/>
      <c r="IC146" s="42"/>
      <c r="ID146" s="42"/>
      <c r="IE146" s="42"/>
      <c r="IF146" s="42"/>
      <c r="IG146" s="42"/>
      <c r="IH146" s="42"/>
      <c r="II146" s="42"/>
      <c r="IJ146" s="42"/>
      <c r="IK146" s="42"/>
      <c r="IL146" s="42"/>
      <c r="IM146" s="42"/>
      <c r="IN146" s="42"/>
      <c r="IO146" s="42"/>
      <c r="IP146" s="42"/>
      <c r="IQ146" s="42"/>
      <c r="IR146" s="42"/>
      <c r="IS146" s="42"/>
      <c r="IT146" s="42"/>
      <c r="IU146" s="42"/>
      <c r="IV146" s="42"/>
      <c r="IW146" s="42"/>
      <c r="IX146" s="42"/>
      <c r="IY146" s="42"/>
      <c r="IZ146" s="42"/>
      <c r="JA146" s="42"/>
      <c r="JB146" s="42"/>
      <c r="JC146" s="42"/>
      <c r="JD146" s="42"/>
      <c r="JE146" s="42"/>
      <c r="JF146" s="42"/>
      <c r="JG146" s="42"/>
      <c r="JH146" s="42"/>
      <c r="JI146" s="42"/>
      <c r="JJ146" s="42"/>
      <c r="JK146" s="42"/>
      <c r="JL146" s="42"/>
      <c r="JM146" s="42"/>
      <c r="JN146" s="42"/>
      <c r="JO146" s="42"/>
      <c r="JP146" s="42"/>
      <c r="JQ146" s="42"/>
      <c r="JR146" s="42"/>
      <c r="JS146" s="42"/>
      <c r="JT146" s="42"/>
      <c r="JU146" s="42"/>
      <c r="JV146" s="42"/>
      <c r="JW146" s="42"/>
      <c r="JX146" s="42"/>
      <c r="JY146" s="42"/>
      <c r="JZ146" s="42"/>
      <c r="KA146" s="42"/>
      <c r="KB146" s="42"/>
      <c r="KC146" s="42"/>
      <c r="KD146" s="42"/>
      <c r="KE146" s="42"/>
      <c r="KF146" s="42"/>
      <c r="KG146" s="42"/>
      <c r="KH146" s="42"/>
      <c r="KI146" s="42"/>
      <c r="KJ146" s="42"/>
      <c r="KK146" s="42"/>
      <c r="KL146" s="42"/>
      <c r="KM146" s="42"/>
      <c r="KN146" s="42"/>
      <c r="KO146" s="42"/>
      <c r="KP146" s="42"/>
      <c r="KQ146" s="42"/>
      <c r="KR146" s="42"/>
      <c r="KS146" s="42"/>
      <c r="KT146" s="42"/>
      <c r="KU146" s="42"/>
      <c r="KV146" s="42"/>
      <c r="KW146" s="42"/>
      <c r="KX146" s="42"/>
      <c r="KY146" s="42"/>
      <c r="KZ146" s="42"/>
      <c r="LA146" s="42"/>
      <c r="LB146" s="42"/>
      <c r="LC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42"/>
      <c r="BH147" s="42"/>
      <c r="BI147" s="42"/>
      <c r="BJ147" s="42"/>
      <c r="BK147" s="42"/>
      <c r="BL147" s="42"/>
      <c r="BM147" s="42"/>
      <c r="BN147" s="42"/>
      <c r="BO147" s="42"/>
      <c r="BP147" s="42"/>
      <c r="BQ147" s="42"/>
      <c r="BR147" s="42"/>
      <c r="BS147" s="42"/>
      <c r="BT147" s="42"/>
      <c r="BU147" s="42"/>
      <c r="BV147" s="42"/>
      <c r="BW147" s="42"/>
      <c r="BX147" s="42"/>
      <c r="BY147" s="42"/>
      <c r="BZ147" s="42"/>
      <c r="CA147" s="42"/>
      <c r="CB147" s="42"/>
      <c r="CC147" s="42"/>
      <c r="CD147" s="42"/>
      <c r="CE147" s="42"/>
      <c r="CF147" s="42"/>
      <c r="CG147" s="42"/>
      <c r="CH147" s="42"/>
      <c r="CI147" s="42"/>
      <c r="CJ147" s="42"/>
      <c r="CK147" s="42"/>
      <c r="CL147" s="42"/>
      <c r="CM147" s="42"/>
      <c r="CN147" s="42"/>
      <c r="CO147" s="42"/>
      <c r="CP147" s="42"/>
      <c r="CQ147" s="42"/>
      <c r="CR147" s="42"/>
      <c r="CS147" s="42"/>
      <c r="CT147" s="42"/>
      <c r="CU147" s="42"/>
      <c r="CV147" s="42"/>
      <c r="CW147" s="42"/>
      <c r="CX147" s="42"/>
      <c r="CY147" s="42"/>
      <c r="CZ147" s="42"/>
      <c r="DA147" s="42"/>
      <c r="DB147" s="42"/>
      <c r="DC147" s="42"/>
      <c r="DD147" s="42"/>
      <c r="DE147" s="42"/>
      <c r="DF147" s="42"/>
      <c r="DG147" s="42"/>
      <c r="DH147" s="42"/>
      <c r="DI147" s="42"/>
      <c r="DJ147" s="42"/>
      <c r="DK147" s="42"/>
      <c r="DL147" s="42"/>
      <c r="DM147" s="42"/>
      <c r="DN147" s="42"/>
      <c r="DO147" s="42"/>
      <c r="DP147" s="42"/>
      <c r="DQ147" s="42"/>
      <c r="DR147" s="42"/>
      <c r="DS147" s="42"/>
      <c r="DT147" s="42"/>
      <c r="DU147" s="42"/>
      <c r="DV147" s="42"/>
      <c r="DW147" s="42"/>
      <c r="DX147" s="42"/>
      <c r="DY147" s="42"/>
      <c r="DZ147" s="42"/>
      <c r="EA147" s="42"/>
      <c r="EB147" s="42"/>
      <c r="EC147" s="42"/>
      <c r="ED147" s="42"/>
      <c r="EE147" s="42"/>
      <c r="EF147" s="42"/>
      <c r="EG147" s="42"/>
      <c r="EH147" s="42"/>
      <c r="EI147" s="42"/>
      <c r="EJ147" s="42"/>
      <c r="EK147" s="42"/>
      <c r="EL147" s="42"/>
      <c r="EM147" s="42"/>
      <c r="EN147" s="42"/>
      <c r="EO147" s="42"/>
      <c r="EP147" s="42"/>
      <c r="EQ147" s="42"/>
      <c r="ER147" s="42"/>
      <c r="ES147" s="42"/>
      <c r="ET147" s="42"/>
      <c r="EU147" s="42"/>
      <c r="EV147" s="42"/>
      <c r="EW147" s="42"/>
      <c r="EX147" s="42"/>
      <c r="EY147" s="42"/>
      <c r="EZ147" s="42"/>
      <c r="FA147" s="42"/>
      <c r="FB147" s="42"/>
      <c r="FC147" s="42"/>
      <c r="FD147" s="42"/>
      <c r="FE147" s="42"/>
      <c r="FF147" s="42"/>
      <c r="FG147" s="42"/>
      <c r="FH147" s="42"/>
      <c r="FI147" s="42"/>
      <c r="FJ147" s="42"/>
      <c r="FK147" s="42"/>
      <c r="FL147" s="42"/>
      <c r="FM147" s="42"/>
      <c r="FN147" s="42"/>
      <c r="FO147" s="42"/>
      <c r="FP147" s="42"/>
      <c r="FQ147" s="42"/>
      <c r="FR147" s="42"/>
      <c r="FS147" s="42"/>
      <c r="FT147" s="42"/>
      <c r="FU147" s="42"/>
      <c r="FV147" s="42"/>
      <c r="FW147" s="42"/>
      <c r="FX147" s="42"/>
      <c r="FY147" s="42"/>
      <c r="FZ147" s="42"/>
      <c r="GA147" s="42"/>
      <c r="GB147" s="42"/>
      <c r="GC147" s="42"/>
      <c r="GD147" s="42"/>
      <c r="GE147" s="42"/>
      <c r="GF147" s="42"/>
      <c r="GG147" s="42"/>
      <c r="GH147" s="42"/>
      <c r="GI147" s="42"/>
      <c r="GJ147" s="42"/>
      <c r="GK147" s="42"/>
      <c r="GL147" s="42"/>
      <c r="GM147" s="42"/>
      <c r="GN147" s="42"/>
      <c r="GO147" s="42"/>
      <c r="GP147" s="42"/>
      <c r="GQ147" s="42"/>
      <c r="GR147" s="42"/>
      <c r="GS147" s="42"/>
      <c r="GT147" s="42"/>
      <c r="GU147" s="42"/>
      <c r="GV147" s="42"/>
      <c r="GW147" s="42"/>
      <c r="GX147" s="42"/>
      <c r="GY147" s="42"/>
      <c r="GZ147" s="42"/>
      <c r="HA147" s="42"/>
      <c r="HB147" s="42"/>
      <c r="HC147" s="42"/>
      <c r="HD147" s="42"/>
      <c r="HE147" s="42"/>
      <c r="HF147" s="42"/>
      <c r="HG147" s="42"/>
      <c r="HH147" s="42"/>
      <c r="HI147" s="42"/>
      <c r="HJ147" s="42"/>
      <c r="HK147" s="42"/>
      <c r="HL147" s="42"/>
      <c r="HM147" s="42"/>
      <c r="HN147" s="42"/>
      <c r="HO147" s="42"/>
      <c r="HP147" s="42"/>
      <c r="HQ147" s="42"/>
      <c r="HR147" s="42"/>
      <c r="HS147" s="42"/>
      <c r="HT147" s="42"/>
      <c r="HU147" s="42"/>
      <c r="HV147" s="42"/>
      <c r="HW147" s="42"/>
      <c r="HX147" s="42"/>
      <c r="HY147" s="42"/>
      <c r="HZ147" s="42"/>
      <c r="IA147" s="42"/>
      <c r="IB147" s="42"/>
      <c r="IC147" s="42"/>
      <c r="ID147" s="42"/>
      <c r="IE147" s="42"/>
      <c r="IF147" s="42"/>
      <c r="IG147" s="42"/>
      <c r="IH147" s="42"/>
      <c r="II147" s="42"/>
      <c r="IJ147" s="42"/>
      <c r="IK147" s="42"/>
      <c r="IL147" s="42"/>
      <c r="IM147" s="42"/>
      <c r="IN147" s="42"/>
      <c r="IO147" s="42"/>
      <c r="IP147" s="42"/>
      <c r="IQ147" s="42"/>
      <c r="IR147" s="42"/>
      <c r="IS147" s="42"/>
      <c r="IT147" s="42"/>
      <c r="IU147" s="42"/>
      <c r="IV147" s="42"/>
      <c r="IW147" s="42"/>
      <c r="IX147" s="42"/>
      <c r="IY147" s="42"/>
      <c r="IZ147" s="42"/>
      <c r="JA147" s="42"/>
      <c r="JB147" s="42"/>
      <c r="JC147" s="42"/>
      <c r="JD147" s="42"/>
      <c r="JE147" s="42"/>
      <c r="JF147" s="42"/>
      <c r="JG147" s="42"/>
      <c r="JH147" s="42"/>
      <c r="JI147" s="42"/>
      <c r="JJ147" s="42"/>
      <c r="JK147" s="42"/>
      <c r="JL147" s="42"/>
      <c r="JM147" s="42"/>
      <c r="JN147" s="42"/>
      <c r="JO147" s="42"/>
      <c r="JP147" s="42"/>
      <c r="JQ147" s="42"/>
      <c r="JR147" s="42"/>
      <c r="JS147" s="42"/>
      <c r="JT147" s="42"/>
      <c r="JU147" s="42"/>
      <c r="JV147" s="42"/>
      <c r="JW147" s="42"/>
      <c r="JX147" s="42"/>
      <c r="JY147" s="42"/>
      <c r="JZ147" s="42"/>
      <c r="KA147" s="42"/>
      <c r="KB147" s="42"/>
      <c r="KC147" s="42"/>
      <c r="KD147" s="42"/>
      <c r="KE147" s="42"/>
      <c r="KF147" s="42"/>
      <c r="KG147" s="42"/>
      <c r="KH147" s="42"/>
      <c r="KI147" s="42"/>
      <c r="KJ147" s="42"/>
      <c r="KK147" s="42"/>
      <c r="KL147" s="42"/>
      <c r="KM147" s="42"/>
      <c r="KN147" s="42"/>
      <c r="KO147" s="42"/>
      <c r="KP147" s="42"/>
      <c r="KQ147" s="42"/>
      <c r="KR147" s="42"/>
      <c r="KS147" s="42"/>
      <c r="KT147" s="42"/>
      <c r="KU147" s="42"/>
      <c r="KV147" s="42"/>
      <c r="KW147" s="42"/>
      <c r="KX147" s="42"/>
      <c r="KY147" s="42"/>
      <c r="KZ147" s="42"/>
      <c r="LA147" s="42"/>
      <c r="LB147" s="42"/>
      <c r="LC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42"/>
      <c r="BB148" s="42"/>
      <c r="BC148" s="42"/>
      <c r="BD148" s="42"/>
      <c r="BE148" s="42"/>
      <c r="BF148" s="42"/>
      <c r="BG148" s="42"/>
      <c r="BH148" s="42"/>
      <c r="BI148" s="42"/>
      <c r="BJ148" s="42"/>
      <c r="BK148" s="42"/>
      <c r="BL148" s="42"/>
      <c r="BM148" s="42"/>
      <c r="BN148" s="42"/>
      <c r="BO148" s="42"/>
      <c r="BP148" s="42"/>
      <c r="BQ148" s="42"/>
      <c r="BR148" s="42"/>
      <c r="BS148" s="42"/>
      <c r="BT148" s="42"/>
      <c r="BU148" s="42"/>
      <c r="BV148" s="42"/>
      <c r="BW148" s="42"/>
      <c r="BX148" s="42"/>
      <c r="BY148" s="42"/>
      <c r="BZ148" s="42"/>
      <c r="CA148" s="42"/>
      <c r="CB148" s="42"/>
      <c r="CC148" s="42"/>
      <c r="CD148" s="42"/>
      <c r="CE148" s="42"/>
      <c r="CF148" s="42"/>
      <c r="CG148" s="42"/>
      <c r="CH148" s="42"/>
      <c r="CI148" s="42"/>
      <c r="CJ148" s="42"/>
      <c r="CK148" s="42"/>
      <c r="CL148" s="42"/>
      <c r="CM148" s="42"/>
      <c r="CN148" s="42"/>
      <c r="CO148" s="42"/>
      <c r="CP148" s="42"/>
      <c r="CQ148" s="42"/>
      <c r="CR148" s="42"/>
      <c r="CS148" s="42"/>
      <c r="CT148" s="42"/>
      <c r="CU148" s="42"/>
      <c r="CV148" s="42"/>
      <c r="CW148" s="42"/>
      <c r="CX148" s="42"/>
      <c r="CY148" s="42"/>
      <c r="CZ148" s="42"/>
      <c r="DA148" s="42"/>
      <c r="DB148" s="42"/>
      <c r="DC148" s="42"/>
      <c r="DD148" s="42"/>
      <c r="DE148" s="42"/>
      <c r="DF148" s="42"/>
      <c r="DG148" s="42"/>
      <c r="DH148" s="42"/>
      <c r="DI148" s="42"/>
      <c r="DJ148" s="42"/>
      <c r="DK148" s="42"/>
      <c r="DL148" s="42"/>
      <c r="DM148" s="42"/>
      <c r="DN148" s="42"/>
      <c r="DO148" s="42"/>
      <c r="DP148" s="42"/>
      <c r="DQ148" s="42"/>
      <c r="DR148" s="42"/>
      <c r="DS148" s="42"/>
      <c r="DT148" s="42"/>
      <c r="DU148" s="42"/>
      <c r="DV148" s="42"/>
      <c r="DW148" s="42"/>
      <c r="DX148" s="42"/>
      <c r="DY148" s="42"/>
      <c r="DZ148" s="42"/>
      <c r="EA148" s="42"/>
      <c r="EB148" s="42"/>
      <c r="EC148" s="42"/>
      <c r="ED148" s="42"/>
      <c r="EE148" s="42"/>
      <c r="EF148" s="42"/>
      <c r="EG148" s="42"/>
      <c r="EH148" s="42"/>
      <c r="EI148" s="42"/>
      <c r="EJ148" s="42"/>
      <c r="EK148" s="42"/>
      <c r="EL148" s="42"/>
      <c r="EM148" s="42"/>
      <c r="EN148" s="42"/>
      <c r="EO148" s="42"/>
      <c r="EP148" s="42"/>
      <c r="EQ148" s="42"/>
      <c r="ER148" s="42"/>
      <c r="ES148" s="42"/>
      <c r="ET148" s="42"/>
      <c r="EU148" s="42"/>
      <c r="EV148" s="42"/>
      <c r="EW148" s="42"/>
      <c r="EX148" s="42"/>
      <c r="EY148" s="42"/>
      <c r="EZ148" s="42"/>
      <c r="FA148" s="42"/>
      <c r="FB148" s="42"/>
      <c r="FC148" s="42"/>
      <c r="FD148" s="42"/>
      <c r="FE148" s="42"/>
      <c r="FF148" s="42"/>
      <c r="FG148" s="42"/>
      <c r="FH148" s="42"/>
      <c r="FI148" s="42"/>
      <c r="FJ148" s="42"/>
      <c r="FK148" s="42"/>
      <c r="FL148" s="42"/>
      <c r="FM148" s="42"/>
      <c r="FN148" s="42"/>
      <c r="FO148" s="42"/>
      <c r="FP148" s="42"/>
      <c r="FQ148" s="42"/>
      <c r="FR148" s="42"/>
      <c r="FS148" s="42"/>
      <c r="FT148" s="42"/>
      <c r="FU148" s="42"/>
      <c r="FV148" s="42"/>
      <c r="FW148" s="42"/>
      <c r="FX148" s="42"/>
      <c r="FY148" s="42"/>
      <c r="FZ148" s="42"/>
      <c r="GA148" s="42"/>
      <c r="GB148" s="42"/>
      <c r="GC148" s="42"/>
      <c r="GD148" s="42"/>
      <c r="GE148" s="42"/>
      <c r="GF148" s="42"/>
      <c r="GG148" s="42"/>
      <c r="GH148" s="42"/>
      <c r="GI148" s="42"/>
      <c r="GJ148" s="42"/>
      <c r="GK148" s="42"/>
      <c r="GL148" s="42"/>
      <c r="GM148" s="42"/>
      <c r="GN148" s="42"/>
      <c r="GO148" s="42"/>
      <c r="GP148" s="42"/>
      <c r="GQ148" s="42"/>
      <c r="GR148" s="42"/>
      <c r="GS148" s="42"/>
      <c r="GT148" s="42"/>
      <c r="GU148" s="42"/>
      <c r="GV148" s="42"/>
      <c r="GW148" s="42"/>
      <c r="GX148" s="42"/>
      <c r="GY148" s="42"/>
      <c r="GZ148" s="42"/>
      <c r="HA148" s="42"/>
      <c r="HB148" s="42"/>
      <c r="HC148" s="42"/>
      <c r="HD148" s="42"/>
      <c r="HE148" s="42"/>
      <c r="HF148" s="42"/>
      <c r="HG148" s="42"/>
      <c r="HH148" s="42"/>
      <c r="HI148" s="42"/>
      <c r="HJ148" s="42"/>
      <c r="HK148" s="42"/>
      <c r="HL148" s="42"/>
      <c r="HM148" s="42"/>
      <c r="HN148" s="42"/>
      <c r="HO148" s="42"/>
      <c r="HP148" s="42"/>
      <c r="HQ148" s="42"/>
      <c r="HR148" s="42"/>
      <c r="HS148" s="42"/>
      <c r="HT148" s="42"/>
      <c r="HU148" s="42"/>
      <c r="HV148" s="42"/>
      <c r="HW148" s="42"/>
      <c r="HX148" s="42"/>
      <c r="HY148" s="42"/>
      <c r="HZ148" s="42"/>
      <c r="IA148" s="42"/>
      <c r="IB148" s="42"/>
      <c r="IC148" s="42"/>
      <c r="ID148" s="42"/>
      <c r="IE148" s="42"/>
      <c r="IF148" s="42"/>
      <c r="IG148" s="42"/>
      <c r="IH148" s="42"/>
      <c r="II148" s="42"/>
      <c r="IJ148" s="42"/>
      <c r="IK148" s="42"/>
      <c r="IL148" s="42"/>
      <c r="IM148" s="42"/>
      <c r="IN148" s="42"/>
      <c r="IO148" s="42"/>
      <c r="IP148" s="42"/>
      <c r="IQ148" s="42"/>
      <c r="IR148" s="42"/>
      <c r="IS148" s="42"/>
      <c r="IT148" s="42"/>
      <c r="IU148" s="42"/>
      <c r="IV148" s="42"/>
      <c r="IW148" s="42"/>
      <c r="IX148" s="42"/>
      <c r="IY148" s="42"/>
      <c r="IZ148" s="42"/>
      <c r="JA148" s="42"/>
      <c r="JB148" s="42"/>
      <c r="JC148" s="42"/>
      <c r="JD148" s="42"/>
      <c r="JE148" s="42"/>
      <c r="JF148" s="42"/>
      <c r="JG148" s="42"/>
      <c r="JH148" s="42"/>
      <c r="JI148" s="42"/>
      <c r="JJ148" s="42"/>
      <c r="JK148" s="42"/>
      <c r="JL148" s="42"/>
      <c r="JM148" s="42"/>
      <c r="JN148" s="42"/>
      <c r="JO148" s="42"/>
      <c r="JP148" s="42"/>
      <c r="JQ148" s="42"/>
      <c r="JR148" s="42"/>
      <c r="JS148" s="42"/>
      <c r="JT148" s="42"/>
      <c r="JU148" s="42"/>
      <c r="JV148" s="42"/>
      <c r="JW148" s="42"/>
      <c r="JX148" s="42"/>
      <c r="JY148" s="42"/>
      <c r="JZ148" s="42"/>
      <c r="KA148" s="42"/>
      <c r="KB148" s="42"/>
      <c r="KC148" s="42"/>
      <c r="KD148" s="42"/>
      <c r="KE148" s="42"/>
      <c r="KF148" s="42"/>
      <c r="KG148" s="42"/>
      <c r="KH148" s="42"/>
      <c r="KI148" s="42"/>
      <c r="KJ148" s="42"/>
      <c r="KK148" s="42"/>
      <c r="KL148" s="42"/>
      <c r="KM148" s="42"/>
      <c r="KN148" s="42"/>
      <c r="KO148" s="42"/>
      <c r="KP148" s="42"/>
      <c r="KQ148" s="42"/>
      <c r="KR148" s="42"/>
      <c r="KS148" s="42"/>
      <c r="KT148" s="42"/>
      <c r="KU148" s="42"/>
      <c r="KV148" s="42"/>
      <c r="KW148" s="42"/>
      <c r="KX148" s="42"/>
      <c r="KY148" s="42"/>
      <c r="KZ148" s="42"/>
      <c r="LA148" s="42"/>
      <c r="LB148" s="42"/>
      <c r="LC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c r="BA149" s="42"/>
      <c r="BB149" s="42"/>
      <c r="BC149" s="42"/>
      <c r="BD149" s="42"/>
      <c r="BE149" s="42"/>
      <c r="BF149" s="42"/>
      <c r="BG149" s="42"/>
      <c r="BH149" s="42"/>
      <c r="BI149" s="42"/>
      <c r="BJ149" s="42"/>
      <c r="BK149" s="42"/>
      <c r="BL149" s="42"/>
      <c r="BM149" s="42"/>
      <c r="BN149" s="42"/>
      <c r="BO149" s="42"/>
      <c r="BP149" s="42"/>
      <c r="BQ149" s="42"/>
      <c r="BR149" s="42"/>
      <c r="BS149" s="42"/>
      <c r="BT149" s="42"/>
      <c r="BU149" s="42"/>
      <c r="BV149" s="42"/>
      <c r="BW149" s="42"/>
      <c r="BX149" s="42"/>
      <c r="BY149" s="42"/>
      <c r="BZ149" s="42"/>
      <c r="CA149" s="42"/>
      <c r="CB149" s="42"/>
      <c r="CC149" s="42"/>
      <c r="CD149" s="42"/>
      <c r="CE149" s="42"/>
      <c r="CF149" s="42"/>
      <c r="CG149" s="42"/>
      <c r="CH149" s="42"/>
      <c r="CI149" s="42"/>
      <c r="CJ149" s="42"/>
      <c r="CK149" s="42"/>
      <c r="CL149" s="42"/>
      <c r="CM149" s="42"/>
      <c r="CN149" s="42"/>
      <c r="CO149" s="42"/>
      <c r="CP149" s="42"/>
      <c r="CQ149" s="42"/>
      <c r="CR149" s="42"/>
      <c r="CS149" s="42"/>
      <c r="CT149" s="42"/>
      <c r="CU149" s="42"/>
      <c r="CV149" s="42"/>
      <c r="CW149" s="42"/>
      <c r="CX149" s="42"/>
      <c r="CY149" s="42"/>
      <c r="CZ149" s="42"/>
      <c r="DA149" s="42"/>
      <c r="DB149" s="42"/>
      <c r="DC149" s="42"/>
      <c r="DD149" s="42"/>
      <c r="DE149" s="42"/>
      <c r="DF149" s="42"/>
      <c r="DG149" s="42"/>
      <c r="DH149" s="42"/>
      <c r="DI149" s="42"/>
      <c r="DJ149" s="42"/>
      <c r="DK149" s="42"/>
      <c r="DL149" s="42"/>
      <c r="DM149" s="42"/>
      <c r="DN149" s="42"/>
      <c r="DO149" s="42"/>
      <c r="DP149" s="42"/>
      <c r="DQ149" s="42"/>
      <c r="DR149" s="42"/>
      <c r="DS149" s="42"/>
      <c r="DT149" s="42"/>
      <c r="DU149" s="42"/>
      <c r="DV149" s="42"/>
      <c r="DW149" s="42"/>
      <c r="DX149" s="42"/>
      <c r="DY149" s="42"/>
      <c r="DZ149" s="42"/>
      <c r="EA149" s="42"/>
      <c r="EB149" s="42"/>
      <c r="EC149" s="42"/>
      <c r="ED149" s="42"/>
      <c r="EE149" s="42"/>
      <c r="EF149" s="42"/>
      <c r="EG149" s="42"/>
      <c r="EH149" s="42"/>
      <c r="EI149" s="42"/>
      <c r="EJ149" s="42"/>
      <c r="EK149" s="42"/>
      <c r="EL149" s="42"/>
      <c r="EM149" s="42"/>
      <c r="EN149" s="42"/>
      <c r="EO149" s="42"/>
      <c r="EP149" s="42"/>
      <c r="EQ149" s="42"/>
      <c r="ER149" s="42"/>
      <c r="ES149" s="42"/>
      <c r="ET149" s="42"/>
      <c r="EU149" s="42"/>
      <c r="EV149" s="42"/>
      <c r="EW149" s="42"/>
      <c r="EX149" s="42"/>
      <c r="EY149" s="42"/>
      <c r="EZ149" s="42"/>
      <c r="FA149" s="42"/>
      <c r="FB149" s="42"/>
      <c r="FC149" s="42"/>
      <c r="FD149" s="42"/>
      <c r="FE149" s="42"/>
      <c r="FF149" s="42"/>
      <c r="FG149" s="42"/>
      <c r="FH149" s="42"/>
      <c r="FI149" s="42"/>
      <c r="FJ149" s="42"/>
      <c r="FK149" s="42"/>
      <c r="FL149" s="42"/>
      <c r="FM149" s="42"/>
      <c r="FN149" s="42"/>
      <c r="FO149" s="42"/>
      <c r="FP149" s="42"/>
      <c r="FQ149" s="42"/>
      <c r="FR149" s="42"/>
      <c r="FS149" s="42"/>
      <c r="FT149" s="42"/>
      <c r="FU149" s="42"/>
      <c r="FV149" s="42"/>
      <c r="FW149" s="42"/>
      <c r="FX149" s="42"/>
      <c r="FY149" s="42"/>
      <c r="FZ149" s="42"/>
      <c r="GA149" s="42"/>
      <c r="GB149" s="42"/>
      <c r="GC149" s="42"/>
      <c r="GD149" s="42"/>
      <c r="GE149" s="42"/>
      <c r="GF149" s="42"/>
      <c r="GG149" s="42"/>
      <c r="GH149" s="42"/>
      <c r="GI149" s="42"/>
      <c r="GJ149" s="42"/>
      <c r="GK149" s="42"/>
      <c r="GL149" s="42"/>
      <c r="GM149" s="42"/>
      <c r="GN149" s="42"/>
      <c r="GO149" s="42"/>
      <c r="GP149" s="42"/>
      <c r="GQ149" s="42"/>
      <c r="GR149" s="42"/>
      <c r="GS149" s="42"/>
      <c r="GT149" s="42"/>
      <c r="GU149" s="42"/>
      <c r="GV149" s="42"/>
      <c r="GW149" s="42"/>
      <c r="GX149" s="42"/>
      <c r="GY149" s="42"/>
      <c r="GZ149" s="42"/>
      <c r="HA149" s="42"/>
      <c r="HB149" s="42"/>
      <c r="HC149" s="42"/>
      <c r="HD149" s="42"/>
      <c r="HE149" s="42"/>
      <c r="HF149" s="42"/>
      <c r="HG149" s="42"/>
      <c r="HH149" s="42"/>
      <c r="HI149" s="42"/>
      <c r="HJ149" s="42"/>
      <c r="HK149" s="42"/>
      <c r="HL149" s="42"/>
      <c r="HM149" s="42"/>
      <c r="HN149" s="42"/>
      <c r="HO149" s="42"/>
      <c r="HP149" s="42"/>
      <c r="HQ149" s="42"/>
      <c r="HR149" s="42"/>
      <c r="HS149" s="42"/>
      <c r="HT149" s="42"/>
      <c r="HU149" s="42"/>
      <c r="HV149" s="42"/>
      <c r="HW149" s="42"/>
      <c r="HX149" s="42"/>
      <c r="HY149" s="42"/>
      <c r="HZ149" s="42"/>
      <c r="IA149" s="42"/>
      <c r="IB149" s="42"/>
      <c r="IC149" s="42"/>
      <c r="ID149" s="42"/>
      <c r="IE149" s="42"/>
      <c r="IF149" s="42"/>
      <c r="IG149" s="42"/>
      <c r="IH149" s="42"/>
      <c r="II149" s="42"/>
      <c r="IJ149" s="42"/>
      <c r="IK149" s="42"/>
      <c r="IL149" s="42"/>
      <c r="IM149" s="42"/>
      <c r="IN149" s="42"/>
      <c r="IO149" s="42"/>
      <c r="IP149" s="42"/>
      <c r="IQ149" s="42"/>
      <c r="IR149" s="42"/>
      <c r="IS149" s="42"/>
      <c r="IT149" s="42"/>
      <c r="IU149" s="42"/>
      <c r="IV149" s="42"/>
      <c r="IW149" s="42"/>
      <c r="IX149" s="42"/>
      <c r="IY149" s="42"/>
      <c r="IZ149" s="42"/>
      <c r="JA149" s="42"/>
      <c r="JB149" s="42"/>
      <c r="JC149" s="42"/>
      <c r="JD149" s="42"/>
      <c r="JE149" s="42"/>
      <c r="JF149" s="42"/>
      <c r="JG149" s="42"/>
      <c r="JH149" s="42"/>
      <c r="JI149" s="42"/>
      <c r="JJ149" s="42"/>
      <c r="JK149" s="42"/>
      <c r="JL149" s="42"/>
      <c r="JM149" s="42"/>
      <c r="JN149" s="42"/>
      <c r="JO149" s="42"/>
      <c r="JP149" s="42"/>
      <c r="JQ149" s="42"/>
      <c r="JR149" s="42"/>
      <c r="JS149" s="42"/>
      <c r="JT149" s="42"/>
      <c r="JU149" s="42"/>
      <c r="JV149" s="42"/>
      <c r="JW149" s="42"/>
      <c r="JX149" s="42"/>
      <c r="JY149" s="42"/>
      <c r="JZ149" s="42"/>
      <c r="KA149" s="42"/>
      <c r="KB149" s="42"/>
      <c r="KC149" s="42"/>
      <c r="KD149" s="42"/>
      <c r="KE149" s="42"/>
      <c r="KF149" s="42"/>
      <c r="KG149" s="42"/>
      <c r="KH149" s="42"/>
      <c r="KI149" s="42"/>
      <c r="KJ149" s="42"/>
      <c r="KK149" s="42"/>
      <c r="KL149" s="42"/>
      <c r="KM149" s="42"/>
      <c r="KN149" s="42"/>
      <c r="KO149" s="42"/>
      <c r="KP149" s="42"/>
      <c r="KQ149" s="42"/>
      <c r="KR149" s="42"/>
      <c r="KS149" s="42"/>
      <c r="KT149" s="42"/>
      <c r="KU149" s="42"/>
      <c r="KV149" s="42"/>
      <c r="KW149" s="42"/>
      <c r="KX149" s="42"/>
      <c r="KY149" s="42"/>
      <c r="KZ149" s="42"/>
      <c r="LA149" s="42"/>
      <c r="LB149" s="42"/>
      <c r="LC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42"/>
      <c r="BB150" s="42"/>
      <c r="BC150" s="42"/>
      <c r="BD150" s="42"/>
      <c r="BE150" s="42"/>
      <c r="BF150" s="42"/>
      <c r="BG150" s="42"/>
      <c r="BH150" s="42"/>
      <c r="BI150" s="42"/>
      <c r="BJ150" s="42"/>
      <c r="BK150" s="42"/>
      <c r="BL150" s="42"/>
      <c r="BM150" s="42"/>
      <c r="BN150" s="42"/>
      <c r="BO150" s="42"/>
      <c r="BP150" s="42"/>
      <c r="BQ150" s="42"/>
      <c r="BR150" s="42"/>
      <c r="BS150" s="42"/>
      <c r="BT150" s="42"/>
      <c r="BU150" s="42"/>
      <c r="BV150" s="42"/>
      <c r="BW150" s="42"/>
      <c r="BX150" s="42"/>
      <c r="BY150" s="42"/>
      <c r="BZ150" s="42"/>
      <c r="CA150" s="42"/>
      <c r="CB150" s="42"/>
      <c r="CC150" s="42"/>
      <c r="CD150" s="42"/>
      <c r="CE150" s="42"/>
      <c r="CF150" s="42"/>
      <c r="CG150" s="42"/>
      <c r="CH150" s="42"/>
      <c r="CI150" s="42"/>
      <c r="CJ150" s="42"/>
      <c r="CK150" s="42"/>
      <c r="CL150" s="42"/>
      <c r="CM150" s="42"/>
      <c r="CN150" s="42"/>
      <c r="CO150" s="42"/>
      <c r="CP150" s="42"/>
      <c r="CQ150" s="42"/>
      <c r="CR150" s="42"/>
      <c r="CS150" s="42"/>
      <c r="CT150" s="42"/>
      <c r="CU150" s="42"/>
      <c r="CV150" s="42"/>
      <c r="CW150" s="42"/>
      <c r="CX150" s="42"/>
      <c r="CY150" s="42"/>
      <c r="CZ150" s="42"/>
      <c r="DA150" s="42"/>
      <c r="DB150" s="42"/>
      <c r="DC150" s="42"/>
      <c r="DD150" s="42"/>
      <c r="DE150" s="42"/>
      <c r="DF150" s="42"/>
      <c r="DG150" s="42"/>
      <c r="DH150" s="42"/>
      <c r="DI150" s="42"/>
      <c r="DJ150" s="42"/>
      <c r="DK150" s="42"/>
      <c r="DL150" s="42"/>
      <c r="DM150" s="42"/>
      <c r="DN150" s="42"/>
      <c r="DO150" s="42"/>
      <c r="DP150" s="42"/>
      <c r="DQ150" s="42"/>
      <c r="DR150" s="42"/>
      <c r="DS150" s="42"/>
      <c r="DT150" s="42"/>
      <c r="DU150" s="42"/>
      <c r="DV150" s="42"/>
      <c r="DW150" s="42"/>
      <c r="DX150" s="42"/>
      <c r="DY150" s="42"/>
      <c r="DZ150" s="42"/>
      <c r="EA150" s="42"/>
      <c r="EB150" s="42"/>
      <c r="EC150" s="42"/>
      <c r="ED150" s="42"/>
      <c r="EE150" s="42"/>
      <c r="EF150" s="42"/>
      <c r="EG150" s="42"/>
      <c r="EH150" s="42"/>
      <c r="EI150" s="42"/>
      <c r="EJ150" s="42"/>
      <c r="EK150" s="42"/>
      <c r="EL150" s="42"/>
      <c r="EM150" s="42"/>
      <c r="EN150" s="42"/>
      <c r="EO150" s="42"/>
      <c r="EP150" s="42"/>
      <c r="EQ150" s="42"/>
      <c r="ER150" s="42"/>
      <c r="ES150" s="42"/>
      <c r="ET150" s="42"/>
      <c r="EU150" s="42"/>
      <c r="EV150" s="42"/>
      <c r="EW150" s="42"/>
      <c r="EX150" s="42"/>
      <c r="EY150" s="42"/>
      <c r="EZ150" s="42"/>
      <c r="FA150" s="42"/>
      <c r="FB150" s="42"/>
      <c r="FC150" s="42"/>
      <c r="FD150" s="42"/>
      <c r="FE150" s="42"/>
      <c r="FF150" s="42"/>
      <c r="FG150" s="42"/>
      <c r="FH150" s="42"/>
      <c r="FI150" s="42"/>
      <c r="FJ150" s="42"/>
      <c r="FK150" s="42"/>
      <c r="FL150" s="42"/>
      <c r="FM150" s="42"/>
      <c r="FN150" s="42"/>
      <c r="FO150" s="42"/>
      <c r="FP150" s="42"/>
      <c r="FQ150" s="42"/>
      <c r="FR150" s="42"/>
      <c r="FS150" s="42"/>
      <c r="FT150" s="42"/>
      <c r="FU150" s="42"/>
      <c r="FV150" s="42"/>
      <c r="FW150" s="42"/>
      <c r="FX150" s="42"/>
      <c r="FY150" s="42"/>
      <c r="FZ150" s="42"/>
      <c r="GA150" s="42"/>
      <c r="GB150" s="42"/>
      <c r="GC150" s="42"/>
      <c r="GD150" s="42"/>
      <c r="GE150" s="42"/>
      <c r="GF150" s="42"/>
      <c r="GG150" s="42"/>
      <c r="GH150" s="42"/>
      <c r="GI150" s="42"/>
      <c r="GJ150" s="42"/>
      <c r="GK150" s="42"/>
      <c r="GL150" s="42"/>
      <c r="GM150" s="42"/>
      <c r="GN150" s="42"/>
      <c r="GO150" s="42"/>
      <c r="GP150" s="42"/>
      <c r="GQ150" s="42"/>
      <c r="GR150" s="42"/>
      <c r="GS150" s="42"/>
      <c r="GT150" s="42"/>
      <c r="GU150" s="42"/>
      <c r="GV150" s="42"/>
      <c r="GW150" s="42"/>
      <c r="GX150" s="42"/>
      <c r="GY150" s="42"/>
      <c r="GZ150" s="42"/>
      <c r="HA150" s="42"/>
      <c r="HB150" s="42"/>
      <c r="HC150" s="42"/>
      <c r="HD150" s="42"/>
      <c r="HE150" s="42"/>
      <c r="HF150" s="42"/>
      <c r="HG150" s="42"/>
      <c r="HH150" s="42"/>
      <c r="HI150" s="42"/>
      <c r="HJ150" s="42"/>
      <c r="HK150" s="42"/>
      <c r="HL150" s="42"/>
      <c r="HM150" s="42"/>
      <c r="HN150" s="42"/>
      <c r="HO150" s="42"/>
      <c r="HP150" s="42"/>
      <c r="HQ150" s="42"/>
      <c r="HR150" s="42"/>
      <c r="HS150" s="42"/>
      <c r="HT150" s="42"/>
      <c r="HU150" s="42"/>
      <c r="HV150" s="42"/>
      <c r="HW150" s="42"/>
      <c r="HX150" s="42"/>
      <c r="HY150" s="42"/>
      <c r="HZ150" s="42"/>
      <c r="IA150" s="42"/>
      <c r="IB150" s="42"/>
      <c r="IC150" s="42"/>
      <c r="ID150" s="42"/>
      <c r="IE150" s="42"/>
      <c r="IF150" s="42"/>
      <c r="IG150" s="42"/>
      <c r="IH150" s="42"/>
      <c r="II150" s="42"/>
      <c r="IJ150" s="42"/>
      <c r="IK150" s="42"/>
      <c r="IL150" s="42"/>
      <c r="IM150" s="42"/>
      <c r="IN150" s="42"/>
      <c r="IO150" s="42"/>
      <c r="IP150" s="42"/>
      <c r="IQ150" s="42"/>
      <c r="IR150" s="42"/>
      <c r="IS150" s="42"/>
      <c r="IT150" s="42"/>
      <c r="IU150" s="42"/>
      <c r="IV150" s="42"/>
      <c r="IW150" s="42"/>
      <c r="IX150" s="42"/>
      <c r="IY150" s="42"/>
      <c r="IZ150" s="42"/>
      <c r="JA150" s="42"/>
      <c r="JB150" s="42"/>
      <c r="JC150" s="42"/>
      <c r="JD150" s="42"/>
      <c r="JE150" s="42"/>
      <c r="JF150" s="42"/>
      <c r="JG150" s="42"/>
      <c r="JH150" s="42"/>
      <c r="JI150" s="42"/>
      <c r="JJ150" s="42"/>
      <c r="JK150" s="42"/>
      <c r="JL150" s="42"/>
      <c r="JM150" s="42"/>
      <c r="JN150" s="42"/>
      <c r="JO150" s="42"/>
      <c r="JP150" s="42"/>
      <c r="JQ150" s="42"/>
      <c r="JR150" s="42"/>
      <c r="JS150" s="42"/>
      <c r="JT150" s="42"/>
      <c r="JU150" s="42"/>
      <c r="JV150" s="42"/>
      <c r="JW150" s="42"/>
      <c r="JX150" s="42"/>
      <c r="JY150" s="42"/>
      <c r="JZ150" s="42"/>
      <c r="KA150" s="42"/>
      <c r="KB150" s="42"/>
      <c r="KC150" s="42"/>
      <c r="KD150" s="42"/>
      <c r="KE150" s="42"/>
      <c r="KF150" s="42"/>
      <c r="KG150" s="42"/>
      <c r="KH150" s="42"/>
      <c r="KI150" s="42"/>
      <c r="KJ150" s="42"/>
      <c r="KK150" s="42"/>
      <c r="KL150" s="42"/>
      <c r="KM150" s="42"/>
      <c r="KN150" s="42"/>
      <c r="KO150" s="42"/>
      <c r="KP150" s="42"/>
      <c r="KQ150" s="42"/>
      <c r="KR150" s="42"/>
      <c r="KS150" s="42"/>
      <c r="KT150" s="42"/>
      <c r="KU150" s="42"/>
      <c r="KV150" s="42"/>
      <c r="KW150" s="42"/>
      <c r="KX150" s="42"/>
      <c r="KY150" s="42"/>
      <c r="KZ150" s="42"/>
      <c r="LA150" s="42"/>
      <c r="LB150" s="42"/>
      <c r="LC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42"/>
      <c r="BB151" s="42"/>
      <c r="BC151" s="42"/>
      <c r="BD151" s="42"/>
      <c r="BE151" s="42"/>
      <c r="BF151" s="42"/>
      <c r="BG151" s="42"/>
      <c r="BH151" s="42"/>
      <c r="BI151" s="42"/>
      <c r="BJ151" s="42"/>
      <c r="BK151" s="42"/>
      <c r="BL151" s="42"/>
      <c r="BM151" s="42"/>
      <c r="BN151" s="42"/>
      <c r="BO151" s="42"/>
      <c r="BP151" s="42"/>
      <c r="BQ151" s="42"/>
      <c r="BR151" s="42"/>
      <c r="BS151" s="42"/>
      <c r="BT151" s="42"/>
      <c r="BU151" s="42"/>
      <c r="BV151" s="42"/>
      <c r="BW151" s="42"/>
      <c r="BX151" s="42"/>
      <c r="BY151" s="42"/>
      <c r="BZ151" s="42"/>
      <c r="CA151" s="42"/>
      <c r="CB151" s="42"/>
      <c r="CC151" s="42"/>
      <c r="CD151" s="42"/>
      <c r="CE151" s="42"/>
      <c r="CF151" s="42"/>
      <c r="CG151" s="42"/>
      <c r="CH151" s="42"/>
      <c r="CI151" s="42"/>
      <c r="CJ151" s="42"/>
      <c r="CK151" s="42"/>
      <c r="CL151" s="42"/>
      <c r="CM151" s="42"/>
      <c r="CN151" s="42"/>
      <c r="CO151" s="42"/>
      <c r="CP151" s="42"/>
      <c r="CQ151" s="42"/>
      <c r="CR151" s="42"/>
      <c r="CS151" s="42"/>
      <c r="CT151" s="42"/>
      <c r="CU151" s="42"/>
      <c r="CV151" s="42"/>
      <c r="CW151" s="42"/>
      <c r="CX151" s="42"/>
      <c r="CY151" s="42"/>
      <c r="CZ151" s="42"/>
      <c r="DA151" s="42"/>
      <c r="DB151" s="42"/>
      <c r="DC151" s="42"/>
      <c r="DD151" s="42"/>
      <c r="DE151" s="42"/>
      <c r="DF151" s="42"/>
      <c r="DG151" s="42"/>
      <c r="DH151" s="42"/>
      <c r="DI151" s="42"/>
      <c r="DJ151" s="42"/>
      <c r="DK151" s="42"/>
      <c r="DL151" s="42"/>
      <c r="DM151" s="42"/>
      <c r="DN151" s="42"/>
      <c r="DO151" s="42"/>
      <c r="DP151" s="42"/>
      <c r="DQ151" s="42"/>
      <c r="DR151" s="42"/>
      <c r="DS151" s="42"/>
      <c r="DT151" s="42"/>
      <c r="DU151" s="42"/>
      <c r="DV151" s="42"/>
      <c r="DW151" s="42"/>
      <c r="DX151" s="42"/>
      <c r="DY151" s="42"/>
      <c r="DZ151" s="42"/>
      <c r="EA151" s="42"/>
      <c r="EB151" s="42"/>
      <c r="EC151" s="42"/>
      <c r="ED151" s="42"/>
      <c r="EE151" s="42"/>
      <c r="EF151" s="42"/>
      <c r="EG151" s="42"/>
      <c r="EH151" s="42"/>
      <c r="EI151" s="42"/>
      <c r="EJ151" s="42"/>
      <c r="EK151" s="42"/>
      <c r="EL151" s="42"/>
      <c r="EM151" s="42"/>
      <c r="EN151" s="42"/>
      <c r="EO151" s="42"/>
      <c r="EP151" s="42"/>
      <c r="EQ151" s="42"/>
      <c r="ER151" s="42"/>
      <c r="ES151" s="42"/>
      <c r="ET151" s="42"/>
      <c r="EU151" s="42"/>
      <c r="EV151" s="42"/>
      <c r="EW151" s="42"/>
      <c r="EX151" s="42"/>
      <c r="EY151" s="42"/>
      <c r="EZ151" s="42"/>
      <c r="FA151" s="42"/>
      <c r="FB151" s="42"/>
      <c r="FC151" s="42"/>
      <c r="FD151" s="42"/>
      <c r="FE151" s="42"/>
      <c r="FF151" s="42"/>
      <c r="FG151" s="42"/>
      <c r="FH151" s="42"/>
      <c r="FI151" s="42"/>
      <c r="FJ151" s="42"/>
      <c r="FK151" s="42"/>
      <c r="FL151" s="42"/>
      <c r="FM151" s="42"/>
      <c r="FN151" s="42"/>
      <c r="FO151" s="42"/>
      <c r="FP151" s="42"/>
      <c r="FQ151" s="42"/>
      <c r="FR151" s="42"/>
      <c r="FS151" s="42"/>
      <c r="FT151" s="42"/>
      <c r="FU151" s="42"/>
      <c r="FV151" s="42"/>
      <c r="FW151" s="42"/>
      <c r="FX151" s="42"/>
      <c r="FY151" s="42"/>
      <c r="FZ151" s="42"/>
      <c r="GA151" s="42"/>
      <c r="GB151" s="42"/>
      <c r="GC151" s="42"/>
      <c r="GD151" s="42"/>
      <c r="GE151" s="42"/>
      <c r="GF151" s="42"/>
      <c r="GG151" s="42"/>
      <c r="GH151" s="42"/>
      <c r="GI151" s="42"/>
      <c r="GJ151" s="42"/>
      <c r="GK151" s="42"/>
      <c r="GL151" s="42"/>
      <c r="GM151" s="42"/>
      <c r="GN151" s="42"/>
      <c r="GO151" s="42"/>
      <c r="GP151" s="42"/>
      <c r="GQ151" s="42"/>
      <c r="GR151" s="42"/>
      <c r="GS151" s="42"/>
      <c r="GT151" s="42"/>
      <c r="GU151" s="42"/>
      <c r="GV151" s="42"/>
      <c r="GW151" s="42"/>
      <c r="GX151" s="42"/>
      <c r="GY151" s="42"/>
      <c r="GZ151" s="42"/>
      <c r="HA151" s="42"/>
      <c r="HB151" s="42"/>
      <c r="HC151" s="42"/>
      <c r="HD151" s="42"/>
      <c r="HE151" s="42"/>
      <c r="HF151" s="42"/>
      <c r="HG151" s="42"/>
      <c r="HH151" s="42"/>
      <c r="HI151" s="42"/>
      <c r="HJ151" s="42"/>
      <c r="HK151" s="42"/>
      <c r="HL151" s="42"/>
      <c r="HM151" s="42"/>
      <c r="HN151" s="42"/>
      <c r="HO151" s="42"/>
      <c r="HP151" s="42"/>
      <c r="HQ151" s="42"/>
      <c r="HR151" s="42"/>
      <c r="HS151" s="42"/>
      <c r="HT151" s="42"/>
      <c r="HU151" s="42"/>
      <c r="HV151" s="42"/>
      <c r="HW151" s="42"/>
      <c r="HX151" s="42"/>
      <c r="HY151" s="42"/>
      <c r="HZ151" s="42"/>
      <c r="IA151" s="42"/>
      <c r="IB151" s="42"/>
      <c r="IC151" s="42"/>
      <c r="ID151" s="42"/>
      <c r="IE151" s="42"/>
      <c r="IF151" s="42"/>
      <c r="IG151" s="42"/>
      <c r="IH151" s="42"/>
      <c r="II151" s="42"/>
      <c r="IJ151" s="42"/>
      <c r="IK151" s="42"/>
      <c r="IL151" s="42"/>
      <c r="IM151" s="42"/>
      <c r="IN151" s="42"/>
      <c r="IO151" s="42"/>
      <c r="IP151" s="42"/>
      <c r="IQ151" s="42"/>
      <c r="IR151" s="42"/>
      <c r="IS151" s="42"/>
      <c r="IT151" s="42"/>
      <c r="IU151" s="42"/>
      <c r="IV151" s="42"/>
      <c r="IW151" s="42"/>
      <c r="IX151" s="42"/>
      <c r="IY151" s="42"/>
      <c r="IZ151" s="42"/>
      <c r="JA151" s="42"/>
      <c r="JB151" s="42"/>
      <c r="JC151" s="42"/>
      <c r="JD151" s="42"/>
      <c r="JE151" s="42"/>
      <c r="JF151" s="42"/>
      <c r="JG151" s="42"/>
      <c r="JH151" s="42"/>
      <c r="JI151" s="42"/>
      <c r="JJ151" s="42"/>
      <c r="JK151" s="42"/>
      <c r="JL151" s="42"/>
      <c r="JM151" s="42"/>
      <c r="JN151" s="42"/>
      <c r="JO151" s="42"/>
      <c r="JP151" s="42"/>
      <c r="JQ151" s="42"/>
      <c r="JR151" s="42"/>
      <c r="JS151" s="42"/>
      <c r="JT151" s="42"/>
      <c r="JU151" s="42"/>
      <c r="JV151" s="42"/>
      <c r="JW151" s="42"/>
      <c r="JX151" s="42"/>
      <c r="JY151" s="42"/>
      <c r="JZ151" s="42"/>
      <c r="KA151" s="42"/>
      <c r="KB151" s="42"/>
      <c r="KC151" s="42"/>
      <c r="KD151" s="42"/>
      <c r="KE151" s="42"/>
      <c r="KF151" s="42"/>
      <c r="KG151" s="42"/>
      <c r="KH151" s="42"/>
      <c r="KI151" s="42"/>
      <c r="KJ151" s="42"/>
      <c r="KK151" s="42"/>
      <c r="KL151" s="42"/>
      <c r="KM151" s="42"/>
      <c r="KN151" s="42"/>
      <c r="KO151" s="42"/>
      <c r="KP151" s="42"/>
      <c r="KQ151" s="42"/>
      <c r="KR151" s="42"/>
      <c r="KS151" s="42"/>
      <c r="KT151" s="42"/>
      <c r="KU151" s="42"/>
      <c r="KV151" s="42"/>
      <c r="KW151" s="42"/>
      <c r="KX151" s="42"/>
      <c r="KY151" s="42"/>
      <c r="KZ151" s="42"/>
      <c r="LA151" s="42"/>
      <c r="LB151" s="42"/>
      <c r="LC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c r="BA152" s="42"/>
      <c r="BB152" s="42"/>
      <c r="BC152" s="42"/>
      <c r="BD152" s="42"/>
      <c r="BE152" s="42"/>
      <c r="BF152" s="42"/>
      <c r="BG152" s="42"/>
      <c r="BH152" s="42"/>
      <c r="BI152" s="42"/>
      <c r="BJ152" s="42"/>
      <c r="BK152" s="42"/>
      <c r="BL152" s="42"/>
      <c r="BM152" s="42"/>
      <c r="BN152" s="42"/>
      <c r="BO152" s="42"/>
      <c r="BP152" s="42"/>
      <c r="BQ152" s="42"/>
      <c r="BR152" s="42"/>
      <c r="BS152" s="42"/>
      <c r="BT152" s="42"/>
      <c r="BU152" s="42"/>
      <c r="BV152" s="42"/>
      <c r="BW152" s="42"/>
      <c r="BX152" s="42"/>
      <c r="BY152" s="42"/>
      <c r="BZ152" s="42"/>
      <c r="CA152" s="42"/>
      <c r="CB152" s="42"/>
      <c r="CC152" s="42"/>
      <c r="CD152" s="42"/>
      <c r="CE152" s="42"/>
      <c r="CF152" s="42"/>
      <c r="CG152" s="42"/>
      <c r="CH152" s="42"/>
      <c r="CI152" s="42"/>
      <c r="CJ152" s="42"/>
      <c r="CK152" s="42"/>
      <c r="CL152" s="42"/>
      <c r="CM152" s="42"/>
      <c r="CN152" s="42"/>
      <c r="CO152" s="42"/>
      <c r="CP152" s="42"/>
      <c r="CQ152" s="42"/>
      <c r="CR152" s="42"/>
      <c r="CS152" s="42"/>
      <c r="CT152" s="42"/>
      <c r="CU152" s="42"/>
      <c r="CV152" s="42"/>
      <c r="CW152" s="42"/>
      <c r="CX152" s="42"/>
      <c r="CY152" s="42"/>
      <c r="CZ152" s="42"/>
      <c r="DA152" s="42"/>
      <c r="DB152" s="42"/>
      <c r="DC152" s="42"/>
      <c r="DD152" s="42"/>
      <c r="DE152" s="42"/>
      <c r="DF152" s="42"/>
      <c r="DG152" s="42"/>
      <c r="DH152" s="42"/>
      <c r="DI152" s="42"/>
      <c r="DJ152" s="42"/>
      <c r="DK152" s="42"/>
      <c r="DL152" s="42"/>
      <c r="DM152" s="42"/>
      <c r="DN152" s="42"/>
      <c r="DO152" s="42"/>
      <c r="DP152" s="42"/>
      <c r="DQ152" s="42"/>
      <c r="DR152" s="42"/>
      <c r="DS152" s="42"/>
      <c r="DT152" s="42"/>
      <c r="DU152" s="42"/>
      <c r="DV152" s="42"/>
      <c r="DW152" s="42"/>
      <c r="DX152" s="42"/>
      <c r="DY152" s="42"/>
      <c r="DZ152" s="42"/>
      <c r="EA152" s="42"/>
      <c r="EB152" s="42"/>
      <c r="EC152" s="42"/>
      <c r="ED152" s="42"/>
      <c r="EE152" s="42"/>
      <c r="EF152" s="42"/>
      <c r="EG152" s="42"/>
      <c r="EH152" s="42"/>
      <c r="EI152" s="42"/>
      <c r="EJ152" s="42"/>
      <c r="EK152" s="42"/>
      <c r="EL152" s="42"/>
      <c r="EM152" s="42"/>
      <c r="EN152" s="42"/>
      <c r="EO152" s="42"/>
      <c r="EP152" s="42"/>
      <c r="EQ152" s="42"/>
      <c r="ER152" s="42"/>
      <c r="ES152" s="42"/>
      <c r="ET152" s="42"/>
      <c r="EU152" s="42"/>
      <c r="EV152" s="42"/>
      <c r="EW152" s="42"/>
      <c r="EX152" s="42"/>
      <c r="EY152" s="42"/>
      <c r="EZ152" s="42"/>
      <c r="FA152" s="42"/>
      <c r="FB152" s="42"/>
      <c r="FC152" s="42"/>
      <c r="FD152" s="42"/>
      <c r="FE152" s="42"/>
      <c r="FF152" s="42"/>
      <c r="FG152" s="42"/>
      <c r="FH152" s="42"/>
      <c r="FI152" s="42"/>
      <c r="FJ152" s="42"/>
      <c r="FK152" s="42"/>
      <c r="FL152" s="42"/>
      <c r="FM152" s="42"/>
      <c r="FN152" s="42"/>
      <c r="FO152" s="42"/>
      <c r="FP152" s="42"/>
      <c r="FQ152" s="42"/>
      <c r="FR152" s="42"/>
      <c r="FS152" s="42"/>
      <c r="FT152" s="42"/>
      <c r="FU152" s="42"/>
      <c r="FV152" s="42"/>
      <c r="FW152" s="42"/>
      <c r="FX152" s="42"/>
      <c r="FY152" s="42"/>
      <c r="FZ152" s="42"/>
      <c r="GA152" s="42"/>
      <c r="GB152" s="42"/>
      <c r="GC152" s="42"/>
      <c r="GD152" s="42"/>
      <c r="GE152" s="42"/>
      <c r="GF152" s="42"/>
      <c r="GG152" s="42"/>
      <c r="GH152" s="42"/>
      <c r="GI152" s="42"/>
      <c r="GJ152" s="42"/>
      <c r="GK152" s="42"/>
      <c r="GL152" s="42"/>
      <c r="GM152" s="42"/>
      <c r="GN152" s="42"/>
      <c r="GO152" s="42"/>
      <c r="GP152" s="42"/>
      <c r="GQ152" s="42"/>
      <c r="GR152" s="42"/>
      <c r="GS152" s="42"/>
      <c r="GT152" s="42"/>
      <c r="GU152" s="42"/>
      <c r="GV152" s="42"/>
      <c r="GW152" s="42"/>
      <c r="GX152" s="42"/>
      <c r="GY152" s="42"/>
      <c r="GZ152" s="42"/>
      <c r="HA152" s="42"/>
      <c r="HB152" s="42"/>
      <c r="HC152" s="42"/>
      <c r="HD152" s="42"/>
      <c r="HE152" s="42"/>
      <c r="HF152" s="42"/>
      <c r="HG152" s="42"/>
      <c r="HH152" s="42"/>
      <c r="HI152" s="42"/>
      <c r="HJ152" s="42"/>
      <c r="HK152" s="42"/>
      <c r="HL152" s="42"/>
      <c r="HM152" s="42"/>
      <c r="HN152" s="42"/>
      <c r="HO152" s="42"/>
      <c r="HP152" s="42"/>
      <c r="HQ152" s="42"/>
      <c r="HR152" s="42"/>
      <c r="HS152" s="42"/>
      <c r="HT152" s="42"/>
      <c r="HU152" s="42"/>
      <c r="HV152" s="42"/>
      <c r="HW152" s="42"/>
      <c r="HX152" s="42"/>
      <c r="HY152" s="42"/>
      <c r="HZ152" s="42"/>
      <c r="IA152" s="42"/>
      <c r="IB152" s="42"/>
      <c r="IC152" s="42"/>
      <c r="ID152" s="42"/>
      <c r="IE152" s="42"/>
      <c r="IF152" s="42"/>
      <c r="IG152" s="42"/>
      <c r="IH152" s="42"/>
      <c r="II152" s="42"/>
      <c r="IJ152" s="42"/>
      <c r="IK152" s="42"/>
      <c r="IL152" s="42"/>
      <c r="IM152" s="42"/>
      <c r="IN152" s="42"/>
      <c r="IO152" s="42"/>
      <c r="IP152" s="42"/>
      <c r="IQ152" s="42"/>
      <c r="IR152" s="42"/>
      <c r="IS152" s="42"/>
      <c r="IT152" s="42"/>
      <c r="IU152" s="42"/>
      <c r="IV152" s="42"/>
      <c r="IW152" s="42"/>
      <c r="IX152" s="42"/>
      <c r="IY152" s="42"/>
      <c r="IZ152" s="42"/>
      <c r="JA152" s="42"/>
      <c r="JB152" s="42"/>
      <c r="JC152" s="42"/>
      <c r="JD152" s="42"/>
      <c r="JE152" s="42"/>
      <c r="JF152" s="42"/>
      <c r="JG152" s="42"/>
      <c r="JH152" s="42"/>
      <c r="JI152" s="42"/>
      <c r="JJ152" s="42"/>
      <c r="JK152" s="42"/>
      <c r="JL152" s="42"/>
      <c r="JM152" s="42"/>
      <c r="JN152" s="42"/>
      <c r="JO152" s="42"/>
      <c r="JP152" s="42"/>
      <c r="JQ152" s="42"/>
      <c r="JR152" s="42"/>
      <c r="JS152" s="42"/>
      <c r="JT152" s="42"/>
      <c r="JU152" s="42"/>
      <c r="JV152" s="42"/>
      <c r="JW152" s="42"/>
      <c r="JX152" s="42"/>
      <c r="JY152" s="42"/>
      <c r="JZ152" s="42"/>
      <c r="KA152" s="42"/>
      <c r="KB152" s="42"/>
      <c r="KC152" s="42"/>
      <c r="KD152" s="42"/>
      <c r="KE152" s="42"/>
      <c r="KF152" s="42"/>
      <c r="KG152" s="42"/>
      <c r="KH152" s="42"/>
      <c r="KI152" s="42"/>
      <c r="KJ152" s="42"/>
      <c r="KK152" s="42"/>
      <c r="KL152" s="42"/>
      <c r="KM152" s="42"/>
      <c r="KN152" s="42"/>
      <c r="KO152" s="42"/>
      <c r="KP152" s="42"/>
      <c r="KQ152" s="42"/>
      <c r="KR152" s="42"/>
      <c r="KS152" s="42"/>
      <c r="KT152" s="42"/>
      <c r="KU152" s="42"/>
      <c r="KV152" s="42"/>
      <c r="KW152" s="42"/>
      <c r="KX152" s="42"/>
      <c r="KY152" s="42"/>
      <c r="KZ152" s="42"/>
      <c r="LA152" s="42"/>
      <c r="LB152" s="42"/>
      <c r="LC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42"/>
      <c r="BB153" s="42"/>
      <c r="BC153" s="42"/>
      <c r="BD153" s="42"/>
      <c r="BE153" s="42"/>
      <c r="BF153" s="42"/>
      <c r="BG153" s="42"/>
      <c r="BH153" s="42"/>
      <c r="BI153" s="42"/>
      <c r="BJ153" s="42"/>
      <c r="BK153" s="42"/>
      <c r="BL153" s="42"/>
      <c r="BM153" s="42"/>
      <c r="BN153" s="42"/>
      <c r="BO153" s="42"/>
      <c r="BP153" s="42"/>
      <c r="BQ153" s="42"/>
      <c r="BR153" s="42"/>
      <c r="BS153" s="42"/>
      <c r="BT153" s="42"/>
      <c r="BU153" s="42"/>
      <c r="BV153" s="42"/>
      <c r="BW153" s="42"/>
      <c r="BX153" s="42"/>
      <c r="BY153" s="42"/>
      <c r="BZ153" s="42"/>
      <c r="CA153" s="42"/>
      <c r="CB153" s="42"/>
      <c r="CC153" s="42"/>
      <c r="CD153" s="42"/>
      <c r="CE153" s="42"/>
      <c r="CF153" s="42"/>
      <c r="CG153" s="42"/>
      <c r="CH153" s="42"/>
      <c r="CI153" s="42"/>
      <c r="CJ153" s="42"/>
      <c r="CK153" s="42"/>
      <c r="CL153" s="42"/>
      <c r="CM153" s="42"/>
      <c r="CN153" s="42"/>
      <c r="CO153" s="42"/>
      <c r="CP153" s="42"/>
      <c r="CQ153" s="42"/>
      <c r="CR153" s="42"/>
      <c r="CS153" s="42"/>
      <c r="CT153" s="42"/>
      <c r="CU153" s="42"/>
      <c r="CV153" s="42"/>
      <c r="CW153" s="42"/>
      <c r="CX153" s="42"/>
      <c r="CY153" s="42"/>
      <c r="CZ153" s="42"/>
      <c r="DA153" s="42"/>
      <c r="DB153" s="42"/>
      <c r="DC153" s="42"/>
      <c r="DD153" s="42"/>
      <c r="DE153" s="42"/>
      <c r="DF153" s="42"/>
      <c r="DG153" s="42"/>
      <c r="DH153" s="42"/>
      <c r="DI153" s="42"/>
      <c r="DJ153" s="42"/>
      <c r="DK153" s="42"/>
      <c r="DL153" s="42"/>
      <c r="DM153" s="42"/>
      <c r="DN153" s="42"/>
      <c r="DO153" s="42"/>
      <c r="DP153" s="42"/>
      <c r="DQ153" s="42"/>
      <c r="DR153" s="42"/>
      <c r="DS153" s="42"/>
      <c r="DT153" s="42"/>
      <c r="DU153" s="42"/>
      <c r="DV153" s="42"/>
      <c r="DW153" s="42"/>
      <c r="DX153" s="42"/>
      <c r="DY153" s="42"/>
      <c r="DZ153" s="42"/>
      <c r="EA153" s="42"/>
      <c r="EB153" s="42"/>
      <c r="EC153" s="42"/>
      <c r="ED153" s="42"/>
      <c r="EE153" s="42"/>
      <c r="EF153" s="42"/>
      <c r="EG153" s="42"/>
      <c r="EH153" s="42"/>
      <c r="EI153" s="42"/>
      <c r="EJ153" s="42"/>
      <c r="EK153" s="42"/>
      <c r="EL153" s="42"/>
      <c r="EM153" s="42"/>
      <c r="EN153" s="42"/>
      <c r="EO153" s="42"/>
      <c r="EP153" s="42"/>
      <c r="EQ153" s="42"/>
      <c r="ER153" s="42"/>
      <c r="ES153" s="42"/>
      <c r="ET153" s="42"/>
      <c r="EU153" s="42"/>
      <c r="EV153" s="42"/>
      <c r="EW153" s="42"/>
      <c r="EX153" s="42"/>
      <c r="EY153" s="42"/>
      <c r="EZ153" s="42"/>
      <c r="FA153" s="42"/>
      <c r="FB153" s="42"/>
      <c r="FC153" s="42"/>
      <c r="FD153" s="42"/>
      <c r="FE153" s="42"/>
      <c r="FF153" s="42"/>
      <c r="FG153" s="42"/>
      <c r="FH153" s="42"/>
      <c r="FI153" s="42"/>
      <c r="FJ153" s="42"/>
      <c r="FK153" s="42"/>
      <c r="FL153" s="42"/>
      <c r="FM153" s="42"/>
      <c r="FN153" s="42"/>
      <c r="FO153" s="42"/>
      <c r="FP153" s="42"/>
      <c r="FQ153" s="42"/>
      <c r="FR153" s="42"/>
      <c r="FS153" s="42"/>
      <c r="FT153" s="42"/>
      <c r="FU153" s="42"/>
      <c r="FV153" s="42"/>
      <c r="FW153" s="42"/>
      <c r="FX153" s="42"/>
      <c r="FY153" s="42"/>
      <c r="FZ153" s="42"/>
      <c r="GA153" s="42"/>
      <c r="GB153" s="42"/>
      <c r="GC153" s="42"/>
      <c r="GD153" s="42"/>
      <c r="GE153" s="42"/>
      <c r="GF153" s="42"/>
      <c r="GG153" s="42"/>
      <c r="GH153" s="42"/>
      <c r="GI153" s="42"/>
      <c r="GJ153" s="42"/>
      <c r="GK153" s="42"/>
      <c r="GL153" s="42"/>
      <c r="GM153" s="42"/>
      <c r="GN153" s="42"/>
      <c r="GO153" s="42"/>
      <c r="GP153" s="42"/>
      <c r="GQ153" s="42"/>
      <c r="GR153" s="42"/>
      <c r="GS153" s="42"/>
      <c r="GT153" s="42"/>
      <c r="GU153" s="42"/>
      <c r="GV153" s="42"/>
      <c r="GW153" s="42"/>
      <c r="GX153" s="42"/>
      <c r="GY153" s="42"/>
      <c r="GZ153" s="42"/>
      <c r="HA153" s="42"/>
      <c r="HB153" s="42"/>
      <c r="HC153" s="42"/>
      <c r="HD153" s="42"/>
      <c r="HE153" s="42"/>
      <c r="HF153" s="42"/>
      <c r="HG153" s="42"/>
      <c r="HH153" s="42"/>
      <c r="HI153" s="42"/>
      <c r="HJ153" s="42"/>
      <c r="HK153" s="42"/>
      <c r="HL153" s="42"/>
      <c r="HM153" s="42"/>
      <c r="HN153" s="42"/>
      <c r="HO153" s="42"/>
      <c r="HP153" s="42"/>
      <c r="HQ153" s="42"/>
      <c r="HR153" s="42"/>
      <c r="HS153" s="42"/>
      <c r="HT153" s="42"/>
      <c r="HU153" s="42"/>
      <c r="HV153" s="42"/>
      <c r="HW153" s="42"/>
      <c r="HX153" s="42"/>
      <c r="HY153" s="42"/>
      <c r="HZ153" s="42"/>
      <c r="IA153" s="42"/>
      <c r="IB153" s="42"/>
      <c r="IC153" s="42"/>
      <c r="ID153" s="42"/>
      <c r="IE153" s="42"/>
      <c r="IF153" s="42"/>
      <c r="IG153" s="42"/>
      <c r="IH153" s="42"/>
      <c r="II153" s="42"/>
      <c r="IJ153" s="42"/>
      <c r="IK153" s="42"/>
      <c r="IL153" s="42"/>
      <c r="IM153" s="42"/>
      <c r="IN153" s="42"/>
      <c r="IO153" s="42"/>
      <c r="IP153" s="42"/>
      <c r="IQ153" s="42"/>
      <c r="IR153" s="42"/>
      <c r="IS153" s="42"/>
      <c r="IT153" s="42"/>
      <c r="IU153" s="42"/>
      <c r="IV153" s="42"/>
      <c r="IW153" s="42"/>
      <c r="IX153" s="42"/>
      <c r="IY153" s="42"/>
      <c r="IZ153" s="42"/>
      <c r="JA153" s="42"/>
      <c r="JB153" s="42"/>
      <c r="JC153" s="42"/>
      <c r="JD153" s="42"/>
      <c r="JE153" s="42"/>
      <c r="JF153" s="42"/>
      <c r="JG153" s="42"/>
      <c r="JH153" s="42"/>
      <c r="JI153" s="42"/>
      <c r="JJ153" s="42"/>
      <c r="JK153" s="42"/>
      <c r="JL153" s="42"/>
      <c r="JM153" s="42"/>
      <c r="JN153" s="42"/>
      <c r="JO153" s="42"/>
      <c r="JP153" s="42"/>
      <c r="JQ153" s="42"/>
      <c r="JR153" s="42"/>
      <c r="JS153" s="42"/>
      <c r="JT153" s="42"/>
      <c r="JU153" s="42"/>
      <c r="JV153" s="42"/>
      <c r="JW153" s="42"/>
      <c r="JX153" s="42"/>
      <c r="JY153" s="42"/>
      <c r="JZ153" s="42"/>
      <c r="KA153" s="42"/>
      <c r="KB153" s="42"/>
      <c r="KC153" s="42"/>
      <c r="KD153" s="42"/>
      <c r="KE153" s="42"/>
      <c r="KF153" s="42"/>
      <c r="KG153" s="42"/>
      <c r="KH153" s="42"/>
      <c r="KI153" s="42"/>
      <c r="KJ153" s="42"/>
      <c r="KK153" s="42"/>
      <c r="KL153" s="42"/>
      <c r="KM153" s="42"/>
      <c r="KN153" s="42"/>
      <c r="KO153" s="42"/>
      <c r="KP153" s="42"/>
      <c r="KQ153" s="42"/>
      <c r="KR153" s="42"/>
      <c r="KS153" s="42"/>
      <c r="KT153" s="42"/>
      <c r="KU153" s="42"/>
      <c r="KV153" s="42"/>
      <c r="KW153" s="42"/>
      <c r="KX153" s="42"/>
      <c r="KY153" s="42"/>
      <c r="KZ153" s="42"/>
      <c r="LA153" s="42"/>
      <c r="LB153" s="42"/>
      <c r="LC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42"/>
      <c r="BB154" s="42"/>
      <c r="BC154" s="42"/>
      <c r="BD154" s="42"/>
      <c r="BE154" s="42"/>
      <c r="BF154" s="42"/>
      <c r="BG154" s="42"/>
      <c r="BH154" s="42"/>
      <c r="BI154" s="42"/>
      <c r="BJ154" s="42"/>
      <c r="BK154" s="42"/>
      <c r="BL154" s="42"/>
      <c r="BM154" s="42"/>
      <c r="BN154" s="42"/>
      <c r="BO154" s="42"/>
      <c r="BP154" s="42"/>
      <c r="BQ154" s="42"/>
      <c r="BR154" s="42"/>
      <c r="BS154" s="42"/>
      <c r="BT154" s="42"/>
      <c r="BU154" s="42"/>
      <c r="BV154" s="42"/>
      <c r="BW154" s="42"/>
      <c r="BX154" s="42"/>
      <c r="BY154" s="42"/>
      <c r="BZ154" s="42"/>
      <c r="CA154" s="42"/>
      <c r="CB154" s="42"/>
      <c r="CC154" s="42"/>
      <c r="CD154" s="42"/>
      <c r="CE154" s="42"/>
      <c r="CF154" s="42"/>
      <c r="CG154" s="42"/>
      <c r="CH154" s="42"/>
      <c r="CI154" s="42"/>
      <c r="CJ154" s="42"/>
      <c r="CK154" s="42"/>
      <c r="CL154" s="42"/>
      <c r="CM154" s="42"/>
      <c r="CN154" s="42"/>
      <c r="CO154" s="42"/>
      <c r="CP154" s="42"/>
      <c r="CQ154" s="42"/>
      <c r="CR154" s="42"/>
      <c r="CS154" s="42"/>
      <c r="CT154" s="42"/>
      <c r="CU154" s="42"/>
      <c r="CV154" s="42"/>
      <c r="CW154" s="42"/>
      <c r="CX154" s="42"/>
      <c r="CY154" s="42"/>
      <c r="CZ154" s="42"/>
      <c r="DA154" s="42"/>
      <c r="DB154" s="42"/>
      <c r="DC154" s="42"/>
      <c r="DD154" s="42"/>
      <c r="DE154" s="42"/>
      <c r="DF154" s="42"/>
      <c r="DG154" s="42"/>
      <c r="DH154" s="42"/>
      <c r="DI154" s="42"/>
      <c r="DJ154" s="42"/>
      <c r="DK154" s="42"/>
      <c r="DL154" s="42"/>
      <c r="DM154" s="42"/>
      <c r="DN154" s="42"/>
      <c r="DO154" s="42"/>
      <c r="DP154" s="42"/>
      <c r="DQ154" s="42"/>
      <c r="DR154" s="42"/>
      <c r="DS154" s="42"/>
      <c r="DT154" s="42"/>
      <c r="DU154" s="42"/>
      <c r="DV154" s="42"/>
      <c r="DW154" s="42"/>
      <c r="DX154" s="42"/>
      <c r="DY154" s="42"/>
      <c r="DZ154" s="42"/>
      <c r="EA154" s="42"/>
      <c r="EB154" s="42"/>
      <c r="EC154" s="42"/>
      <c r="ED154" s="42"/>
      <c r="EE154" s="42"/>
      <c r="EF154" s="42"/>
      <c r="EG154" s="42"/>
      <c r="EH154" s="42"/>
      <c r="EI154" s="42"/>
      <c r="EJ154" s="42"/>
      <c r="EK154" s="42"/>
      <c r="EL154" s="42"/>
      <c r="EM154" s="42"/>
      <c r="EN154" s="42"/>
      <c r="EO154" s="42"/>
      <c r="EP154" s="42"/>
      <c r="EQ154" s="42"/>
      <c r="ER154" s="42"/>
      <c r="ES154" s="42"/>
      <c r="ET154" s="42"/>
      <c r="EU154" s="42"/>
      <c r="EV154" s="42"/>
      <c r="EW154" s="42"/>
      <c r="EX154" s="42"/>
      <c r="EY154" s="42"/>
      <c r="EZ154" s="42"/>
      <c r="FA154" s="42"/>
      <c r="FB154" s="42"/>
      <c r="FC154" s="42"/>
      <c r="FD154" s="42"/>
      <c r="FE154" s="42"/>
      <c r="FF154" s="42"/>
      <c r="FG154" s="42"/>
      <c r="FH154" s="42"/>
      <c r="FI154" s="42"/>
      <c r="FJ154" s="42"/>
      <c r="FK154" s="42"/>
      <c r="FL154" s="42"/>
      <c r="FM154" s="42"/>
      <c r="FN154" s="42"/>
      <c r="FO154" s="42"/>
      <c r="FP154" s="42"/>
      <c r="FQ154" s="42"/>
      <c r="FR154" s="42"/>
      <c r="FS154" s="42"/>
      <c r="FT154" s="42"/>
      <c r="FU154" s="42"/>
      <c r="FV154" s="42"/>
      <c r="FW154" s="42"/>
      <c r="FX154" s="42"/>
      <c r="FY154" s="42"/>
      <c r="FZ154" s="42"/>
      <c r="GA154" s="42"/>
      <c r="GB154" s="42"/>
      <c r="GC154" s="42"/>
      <c r="GD154" s="42"/>
      <c r="GE154" s="42"/>
      <c r="GF154" s="42"/>
      <c r="GG154" s="42"/>
      <c r="GH154" s="42"/>
      <c r="GI154" s="42"/>
      <c r="GJ154" s="42"/>
      <c r="GK154" s="42"/>
      <c r="GL154" s="42"/>
      <c r="GM154" s="42"/>
      <c r="GN154" s="42"/>
      <c r="GO154" s="42"/>
      <c r="GP154" s="42"/>
      <c r="GQ154" s="42"/>
      <c r="GR154" s="42"/>
      <c r="GS154" s="42"/>
      <c r="GT154" s="42"/>
      <c r="GU154" s="42"/>
      <c r="GV154" s="42"/>
      <c r="GW154" s="42"/>
      <c r="GX154" s="42"/>
      <c r="GY154" s="42"/>
      <c r="GZ154" s="42"/>
      <c r="HA154" s="42"/>
      <c r="HB154" s="42"/>
      <c r="HC154" s="42"/>
      <c r="HD154" s="42"/>
      <c r="HE154" s="42"/>
      <c r="HF154" s="42"/>
      <c r="HG154" s="42"/>
      <c r="HH154" s="42"/>
      <c r="HI154" s="42"/>
      <c r="HJ154" s="42"/>
      <c r="HK154" s="42"/>
      <c r="HL154" s="42"/>
      <c r="HM154" s="42"/>
      <c r="HN154" s="42"/>
      <c r="HO154" s="42"/>
      <c r="HP154" s="42"/>
      <c r="HQ154" s="42"/>
      <c r="HR154" s="42"/>
      <c r="HS154" s="42"/>
      <c r="HT154" s="42"/>
      <c r="HU154" s="42"/>
      <c r="HV154" s="42"/>
      <c r="HW154" s="42"/>
      <c r="HX154" s="42"/>
      <c r="HY154" s="42"/>
      <c r="HZ154" s="42"/>
      <c r="IA154" s="42"/>
      <c r="IB154" s="42"/>
      <c r="IC154" s="42"/>
      <c r="ID154" s="42"/>
      <c r="IE154" s="42"/>
      <c r="IF154" s="42"/>
      <c r="IG154" s="42"/>
      <c r="IH154" s="42"/>
      <c r="II154" s="42"/>
      <c r="IJ154" s="42"/>
      <c r="IK154" s="42"/>
      <c r="IL154" s="42"/>
      <c r="IM154" s="42"/>
      <c r="IN154" s="42"/>
      <c r="IO154" s="42"/>
      <c r="IP154" s="42"/>
      <c r="IQ154" s="42"/>
      <c r="IR154" s="42"/>
      <c r="IS154" s="42"/>
      <c r="IT154" s="42"/>
      <c r="IU154" s="42"/>
      <c r="IV154" s="42"/>
      <c r="IW154" s="42"/>
      <c r="IX154" s="42"/>
      <c r="IY154" s="42"/>
      <c r="IZ154" s="42"/>
      <c r="JA154" s="42"/>
      <c r="JB154" s="42"/>
      <c r="JC154" s="42"/>
      <c r="JD154" s="42"/>
      <c r="JE154" s="42"/>
      <c r="JF154" s="42"/>
      <c r="JG154" s="42"/>
      <c r="JH154" s="42"/>
      <c r="JI154" s="42"/>
      <c r="JJ154" s="42"/>
      <c r="JK154" s="42"/>
      <c r="JL154" s="42"/>
      <c r="JM154" s="42"/>
      <c r="JN154" s="42"/>
      <c r="JO154" s="42"/>
      <c r="JP154" s="42"/>
      <c r="JQ154" s="42"/>
      <c r="JR154" s="42"/>
      <c r="JS154" s="42"/>
      <c r="JT154" s="42"/>
      <c r="JU154" s="42"/>
      <c r="JV154" s="42"/>
      <c r="JW154" s="42"/>
      <c r="JX154" s="42"/>
      <c r="JY154" s="42"/>
      <c r="JZ154" s="42"/>
      <c r="KA154" s="42"/>
      <c r="KB154" s="42"/>
      <c r="KC154" s="42"/>
      <c r="KD154" s="42"/>
      <c r="KE154" s="42"/>
      <c r="KF154" s="42"/>
      <c r="KG154" s="42"/>
      <c r="KH154" s="42"/>
      <c r="KI154" s="42"/>
      <c r="KJ154" s="42"/>
      <c r="KK154" s="42"/>
      <c r="KL154" s="42"/>
      <c r="KM154" s="42"/>
      <c r="KN154" s="42"/>
      <c r="KO154" s="42"/>
      <c r="KP154" s="42"/>
      <c r="KQ154" s="42"/>
      <c r="KR154" s="42"/>
      <c r="KS154" s="42"/>
      <c r="KT154" s="42"/>
      <c r="KU154" s="42"/>
      <c r="KV154" s="42"/>
      <c r="KW154" s="42"/>
      <c r="KX154" s="42"/>
      <c r="KY154" s="42"/>
      <c r="KZ154" s="42"/>
      <c r="LA154" s="42"/>
      <c r="LB154" s="42"/>
      <c r="LC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c r="BC155" s="42"/>
      <c r="BD155" s="42"/>
      <c r="BE155" s="42"/>
      <c r="BF155" s="42"/>
      <c r="BG155" s="42"/>
      <c r="BH155" s="42"/>
      <c r="BI155" s="42"/>
      <c r="BJ155" s="42"/>
      <c r="BK155" s="42"/>
      <c r="BL155" s="42"/>
      <c r="BM155" s="42"/>
      <c r="BN155" s="42"/>
      <c r="BO155" s="42"/>
      <c r="BP155" s="42"/>
      <c r="BQ155" s="42"/>
      <c r="BR155" s="42"/>
      <c r="BS155" s="42"/>
      <c r="BT155" s="42"/>
      <c r="BU155" s="42"/>
      <c r="BV155" s="42"/>
      <c r="BW155" s="42"/>
      <c r="BX155" s="42"/>
      <c r="BY155" s="42"/>
      <c r="BZ155" s="42"/>
      <c r="CA155" s="42"/>
      <c r="CB155" s="42"/>
      <c r="CC155" s="42"/>
      <c r="CD155" s="42"/>
      <c r="CE155" s="42"/>
      <c r="CF155" s="42"/>
      <c r="CG155" s="42"/>
      <c r="CH155" s="42"/>
      <c r="CI155" s="42"/>
      <c r="CJ155" s="42"/>
      <c r="CK155" s="42"/>
      <c r="CL155" s="42"/>
      <c r="CM155" s="42"/>
      <c r="CN155" s="42"/>
      <c r="CO155" s="42"/>
      <c r="CP155" s="42"/>
      <c r="CQ155" s="42"/>
      <c r="CR155" s="42"/>
      <c r="CS155" s="42"/>
      <c r="CT155" s="42"/>
      <c r="CU155" s="42"/>
      <c r="CV155" s="42"/>
      <c r="CW155" s="42"/>
      <c r="CX155" s="42"/>
      <c r="CY155" s="42"/>
      <c r="CZ155" s="42"/>
      <c r="DA155" s="42"/>
      <c r="DB155" s="42"/>
      <c r="DC155" s="42"/>
      <c r="DD155" s="42"/>
      <c r="DE155" s="42"/>
      <c r="DF155" s="42"/>
      <c r="DG155" s="42"/>
      <c r="DH155" s="42"/>
      <c r="DI155" s="42"/>
      <c r="DJ155" s="42"/>
      <c r="DK155" s="42"/>
      <c r="DL155" s="42"/>
      <c r="DM155" s="42"/>
      <c r="DN155" s="42"/>
      <c r="DO155" s="42"/>
      <c r="DP155" s="42"/>
      <c r="DQ155" s="42"/>
      <c r="DR155" s="42"/>
      <c r="DS155" s="42"/>
      <c r="DT155" s="42"/>
      <c r="DU155" s="42"/>
      <c r="DV155" s="42"/>
      <c r="DW155" s="42"/>
      <c r="DX155" s="42"/>
      <c r="DY155" s="42"/>
      <c r="DZ155" s="42"/>
      <c r="EA155" s="42"/>
      <c r="EB155" s="42"/>
      <c r="EC155" s="42"/>
      <c r="ED155" s="42"/>
      <c r="EE155" s="42"/>
      <c r="EF155" s="42"/>
      <c r="EG155" s="42"/>
      <c r="EH155" s="42"/>
      <c r="EI155" s="42"/>
      <c r="EJ155" s="42"/>
      <c r="EK155" s="42"/>
      <c r="EL155" s="42"/>
      <c r="EM155" s="42"/>
      <c r="EN155" s="42"/>
      <c r="EO155" s="42"/>
      <c r="EP155" s="42"/>
      <c r="EQ155" s="42"/>
      <c r="ER155" s="42"/>
      <c r="ES155" s="42"/>
      <c r="ET155" s="42"/>
      <c r="EU155" s="42"/>
      <c r="EV155" s="42"/>
      <c r="EW155" s="42"/>
      <c r="EX155" s="42"/>
      <c r="EY155" s="42"/>
      <c r="EZ155" s="42"/>
      <c r="FA155" s="42"/>
      <c r="FB155" s="42"/>
      <c r="FC155" s="42"/>
      <c r="FD155" s="42"/>
      <c r="FE155" s="42"/>
      <c r="FF155" s="42"/>
      <c r="FG155" s="42"/>
      <c r="FH155" s="42"/>
      <c r="FI155" s="42"/>
      <c r="FJ155" s="42"/>
      <c r="FK155" s="42"/>
      <c r="FL155" s="42"/>
      <c r="FM155" s="42"/>
      <c r="FN155" s="42"/>
      <c r="FO155" s="42"/>
      <c r="FP155" s="42"/>
      <c r="FQ155" s="42"/>
      <c r="FR155" s="42"/>
      <c r="FS155" s="42"/>
      <c r="FT155" s="42"/>
      <c r="FU155" s="42"/>
      <c r="FV155" s="42"/>
      <c r="FW155" s="42"/>
      <c r="FX155" s="42"/>
      <c r="FY155" s="42"/>
      <c r="FZ155" s="42"/>
      <c r="GA155" s="42"/>
      <c r="GB155" s="42"/>
      <c r="GC155" s="42"/>
      <c r="GD155" s="42"/>
      <c r="GE155" s="42"/>
      <c r="GF155" s="42"/>
      <c r="GG155" s="42"/>
      <c r="GH155" s="42"/>
      <c r="GI155" s="42"/>
      <c r="GJ155" s="42"/>
      <c r="GK155" s="42"/>
      <c r="GL155" s="42"/>
      <c r="GM155" s="42"/>
      <c r="GN155" s="42"/>
      <c r="GO155" s="42"/>
      <c r="GP155" s="42"/>
      <c r="GQ155" s="42"/>
      <c r="GR155" s="42"/>
      <c r="GS155" s="42"/>
      <c r="GT155" s="42"/>
      <c r="GU155" s="42"/>
      <c r="GV155" s="42"/>
      <c r="GW155" s="42"/>
      <c r="GX155" s="42"/>
      <c r="GY155" s="42"/>
      <c r="GZ155" s="42"/>
      <c r="HA155" s="42"/>
      <c r="HB155" s="42"/>
      <c r="HC155" s="42"/>
      <c r="HD155" s="42"/>
      <c r="HE155" s="42"/>
      <c r="HF155" s="42"/>
      <c r="HG155" s="42"/>
      <c r="HH155" s="42"/>
      <c r="HI155" s="42"/>
      <c r="HJ155" s="42"/>
      <c r="HK155" s="42"/>
      <c r="HL155" s="42"/>
      <c r="HM155" s="42"/>
      <c r="HN155" s="42"/>
      <c r="HO155" s="42"/>
      <c r="HP155" s="42"/>
      <c r="HQ155" s="42"/>
      <c r="HR155" s="42"/>
      <c r="HS155" s="42"/>
      <c r="HT155" s="42"/>
      <c r="HU155" s="42"/>
      <c r="HV155" s="42"/>
      <c r="HW155" s="42"/>
      <c r="HX155" s="42"/>
      <c r="HY155" s="42"/>
      <c r="HZ155" s="42"/>
      <c r="IA155" s="42"/>
      <c r="IB155" s="42"/>
      <c r="IC155" s="42"/>
      <c r="ID155" s="42"/>
      <c r="IE155" s="42"/>
      <c r="IF155" s="42"/>
      <c r="IG155" s="42"/>
      <c r="IH155" s="42"/>
      <c r="II155" s="42"/>
      <c r="IJ155" s="42"/>
      <c r="IK155" s="42"/>
      <c r="IL155" s="42"/>
      <c r="IM155" s="42"/>
      <c r="IN155" s="42"/>
      <c r="IO155" s="42"/>
      <c r="IP155" s="42"/>
      <c r="IQ155" s="42"/>
      <c r="IR155" s="42"/>
      <c r="IS155" s="42"/>
      <c r="IT155" s="42"/>
      <c r="IU155" s="42"/>
      <c r="IV155" s="42"/>
      <c r="IW155" s="42"/>
      <c r="IX155" s="42"/>
      <c r="IY155" s="42"/>
      <c r="IZ155" s="42"/>
      <c r="JA155" s="42"/>
      <c r="JB155" s="42"/>
      <c r="JC155" s="42"/>
      <c r="JD155" s="42"/>
      <c r="JE155" s="42"/>
      <c r="JF155" s="42"/>
      <c r="JG155" s="42"/>
      <c r="JH155" s="42"/>
      <c r="JI155" s="42"/>
      <c r="JJ155" s="42"/>
      <c r="JK155" s="42"/>
      <c r="JL155" s="42"/>
      <c r="JM155" s="42"/>
      <c r="JN155" s="42"/>
      <c r="JO155" s="42"/>
      <c r="JP155" s="42"/>
      <c r="JQ155" s="42"/>
      <c r="JR155" s="42"/>
      <c r="JS155" s="42"/>
      <c r="JT155" s="42"/>
      <c r="JU155" s="42"/>
      <c r="JV155" s="42"/>
      <c r="JW155" s="42"/>
      <c r="JX155" s="42"/>
      <c r="JY155" s="42"/>
      <c r="JZ155" s="42"/>
      <c r="KA155" s="42"/>
      <c r="KB155" s="42"/>
      <c r="KC155" s="42"/>
      <c r="KD155" s="42"/>
      <c r="KE155" s="42"/>
      <c r="KF155" s="42"/>
      <c r="KG155" s="42"/>
      <c r="KH155" s="42"/>
      <c r="KI155" s="42"/>
      <c r="KJ155" s="42"/>
      <c r="KK155" s="42"/>
      <c r="KL155" s="42"/>
      <c r="KM155" s="42"/>
      <c r="KN155" s="42"/>
      <c r="KO155" s="42"/>
      <c r="KP155" s="42"/>
      <c r="KQ155" s="42"/>
      <c r="KR155" s="42"/>
      <c r="KS155" s="42"/>
      <c r="KT155" s="42"/>
      <c r="KU155" s="42"/>
      <c r="KV155" s="42"/>
      <c r="KW155" s="42"/>
      <c r="KX155" s="42"/>
      <c r="KY155" s="42"/>
      <c r="KZ155" s="42"/>
      <c r="LA155" s="42"/>
      <c r="LB155" s="42"/>
      <c r="LC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c r="BC156" s="42"/>
      <c r="BD156" s="42"/>
      <c r="BE156" s="42"/>
      <c r="BF156" s="42"/>
      <c r="BG156" s="42"/>
      <c r="BH156" s="42"/>
      <c r="BI156" s="42"/>
      <c r="BJ156" s="42"/>
      <c r="BK156" s="42"/>
      <c r="BL156" s="42"/>
      <c r="BM156" s="42"/>
      <c r="BN156" s="42"/>
      <c r="BO156" s="42"/>
      <c r="BP156" s="42"/>
      <c r="BQ156" s="42"/>
      <c r="BR156" s="42"/>
      <c r="BS156" s="42"/>
      <c r="BT156" s="42"/>
      <c r="BU156" s="42"/>
      <c r="BV156" s="42"/>
      <c r="BW156" s="42"/>
      <c r="BX156" s="42"/>
      <c r="BY156" s="42"/>
      <c r="BZ156" s="42"/>
      <c r="CA156" s="42"/>
      <c r="CB156" s="42"/>
      <c r="CC156" s="42"/>
      <c r="CD156" s="42"/>
      <c r="CE156" s="42"/>
      <c r="CF156" s="42"/>
      <c r="CG156" s="42"/>
      <c r="CH156" s="42"/>
      <c r="CI156" s="42"/>
      <c r="CJ156" s="42"/>
      <c r="CK156" s="42"/>
      <c r="CL156" s="42"/>
      <c r="CM156" s="42"/>
      <c r="CN156" s="42"/>
      <c r="CO156" s="42"/>
      <c r="CP156" s="42"/>
      <c r="CQ156" s="42"/>
      <c r="CR156" s="42"/>
      <c r="CS156" s="42"/>
      <c r="CT156" s="42"/>
      <c r="CU156" s="42"/>
      <c r="CV156" s="42"/>
      <c r="CW156" s="42"/>
      <c r="CX156" s="42"/>
      <c r="CY156" s="42"/>
      <c r="CZ156" s="42"/>
      <c r="DA156" s="42"/>
      <c r="DB156" s="42"/>
      <c r="DC156" s="42"/>
      <c r="DD156" s="42"/>
      <c r="DE156" s="42"/>
      <c r="DF156" s="42"/>
      <c r="DG156" s="42"/>
      <c r="DH156" s="42"/>
      <c r="DI156" s="42"/>
      <c r="DJ156" s="42"/>
      <c r="DK156" s="42"/>
      <c r="DL156" s="42"/>
      <c r="DM156" s="42"/>
      <c r="DN156" s="42"/>
      <c r="DO156" s="42"/>
      <c r="DP156" s="42"/>
      <c r="DQ156" s="42"/>
      <c r="DR156" s="42"/>
      <c r="DS156" s="42"/>
      <c r="DT156" s="42"/>
      <c r="DU156" s="42"/>
      <c r="DV156" s="42"/>
      <c r="DW156" s="42"/>
      <c r="DX156" s="42"/>
      <c r="DY156" s="42"/>
      <c r="DZ156" s="42"/>
      <c r="EA156" s="42"/>
      <c r="EB156" s="42"/>
      <c r="EC156" s="42"/>
      <c r="ED156" s="42"/>
      <c r="EE156" s="42"/>
      <c r="EF156" s="42"/>
      <c r="EG156" s="42"/>
      <c r="EH156" s="42"/>
      <c r="EI156" s="42"/>
      <c r="EJ156" s="42"/>
      <c r="EK156" s="42"/>
      <c r="EL156" s="42"/>
      <c r="EM156" s="42"/>
      <c r="EN156" s="42"/>
      <c r="EO156" s="42"/>
      <c r="EP156" s="42"/>
      <c r="EQ156" s="42"/>
      <c r="ER156" s="42"/>
      <c r="ES156" s="42"/>
      <c r="ET156" s="42"/>
      <c r="EU156" s="42"/>
      <c r="EV156" s="42"/>
      <c r="EW156" s="42"/>
      <c r="EX156" s="42"/>
      <c r="EY156" s="42"/>
      <c r="EZ156" s="42"/>
      <c r="FA156" s="42"/>
      <c r="FB156" s="42"/>
      <c r="FC156" s="42"/>
      <c r="FD156" s="42"/>
      <c r="FE156" s="42"/>
      <c r="FF156" s="42"/>
      <c r="FG156" s="42"/>
      <c r="FH156" s="42"/>
      <c r="FI156" s="42"/>
      <c r="FJ156" s="42"/>
      <c r="FK156" s="42"/>
      <c r="FL156" s="42"/>
      <c r="FM156" s="42"/>
      <c r="FN156" s="42"/>
      <c r="FO156" s="42"/>
      <c r="FP156" s="42"/>
      <c r="FQ156" s="42"/>
      <c r="FR156" s="42"/>
      <c r="FS156" s="42"/>
      <c r="FT156" s="42"/>
      <c r="FU156" s="42"/>
      <c r="FV156" s="42"/>
      <c r="FW156" s="42"/>
      <c r="FX156" s="42"/>
      <c r="FY156" s="42"/>
      <c r="FZ156" s="42"/>
      <c r="GA156" s="42"/>
      <c r="GB156" s="42"/>
      <c r="GC156" s="42"/>
      <c r="GD156" s="42"/>
      <c r="GE156" s="42"/>
      <c r="GF156" s="42"/>
      <c r="GG156" s="42"/>
      <c r="GH156" s="42"/>
      <c r="GI156" s="42"/>
      <c r="GJ156" s="42"/>
      <c r="GK156" s="42"/>
      <c r="GL156" s="42"/>
      <c r="GM156" s="42"/>
      <c r="GN156" s="42"/>
      <c r="GO156" s="42"/>
      <c r="GP156" s="42"/>
      <c r="GQ156" s="42"/>
      <c r="GR156" s="42"/>
      <c r="GS156" s="42"/>
      <c r="GT156" s="42"/>
      <c r="GU156" s="42"/>
      <c r="GV156" s="42"/>
      <c r="GW156" s="42"/>
      <c r="GX156" s="42"/>
      <c r="GY156" s="42"/>
      <c r="GZ156" s="42"/>
      <c r="HA156" s="42"/>
      <c r="HB156" s="42"/>
      <c r="HC156" s="42"/>
      <c r="HD156" s="42"/>
      <c r="HE156" s="42"/>
      <c r="HF156" s="42"/>
      <c r="HG156" s="42"/>
      <c r="HH156" s="42"/>
      <c r="HI156" s="42"/>
      <c r="HJ156" s="42"/>
      <c r="HK156" s="42"/>
      <c r="HL156" s="42"/>
      <c r="HM156" s="42"/>
      <c r="HN156" s="42"/>
      <c r="HO156" s="42"/>
      <c r="HP156" s="42"/>
      <c r="HQ156" s="42"/>
      <c r="HR156" s="42"/>
      <c r="HS156" s="42"/>
      <c r="HT156" s="42"/>
      <c r="HU156" s="42"/>
      <c r="HV156" s="42"/>
      <c r="HW156" s="42"/>
      <c r="HX156" s="42"/>
      <c r="HY156" s="42"/>
      <c r="HZ156" s="42"/>
      <c r="IA156" s="42"/>
      <c r="IB156" s="42"/>
      <c r="IC156" s="42"/>
      <c r="ID156" s="42"/>
      <c r="IE156" s="42"/>
      <c r="IF156" s="42"/>
      <c r="IG156" s="42"/>
      <c r="IH156" s="42"/>
      <c r="II156" s="42"/>
      <c r="IJ156" s="42"/>
      <c r="IK156" s="42"/>
      <c r="IL156" s="42"/>
      <c r="IM156" s="42"/>
      <c r="IN156" s="42"/>
      <c r="IO156" s="42"/>
      <c r="IP156" s="42"/>
      <c r="IQ156" s="42"/>
      <c r="IR156" s="42"/>
      <c r="IS156" s="42"/>
      <c r="IT156" s="42"/>
      <c r="IU156" s="42"/>
      <c r="IV156" s="42"/>
      <c r="IW156" s="42"/>
      <c r="IX156" s="42"/>
      <c r="IY156" s="42"/>
      <c r="IZ156" s="42"/>
      <c r="JA156" s="42"/>
      <c r="JB156" s="42"/>
      <c r="JC156" s="42"/>
      <c r="JD156" s="42"/>
      <c r="JE156" s="42"/>
      <c r="JF156" s="42"/>
      <c r="JG156" s="42"/>
      <c r="JH156" s="42"/>
      <c r="JI156" s="42"/>
      <c r="JJ156" s="42"/>
      <c r="JK156" s="42"/>
      <c r="JL156" s="42"/>
      <c r="JM156" s="42"/>
      <c r="JN156" s="42"/>
      <c r="JO156" s="42"/>
      <c r="JP156" s="42"/>
      <c r="JQ156" s="42"/>
      <c r="JR156" s="42"/>
      <c r="JS156" s="42"/>
      <c r="JT156" s="42"/>
      <c r="JU156" s="42"/>
      <c r="JV156" s="42"/>
      <c r="JW156" s="42"/>
      <c r="JX156" s="42"/>
      <c r="JY156" s="42"/>
      <c r="JZ156" s="42"/>
      <c r="KA156" s="42"/>
      <c r="KB156" s="42"/>
      <c r="KC156" s="42"/>
      <c r="KD156" s="42"/>
      <c r="KE156" s="42"/>
      <c r="KF156" s="42"/>
      <c r="KG156" s="42"/>
      <c r="KH156" s="42"/>
      <c r="KI156" s="42"/>
      <c r="KJ156" s="42"/>
      <c r="KK156" s="42"/>
      <c r="KL156" s="42"/>
      <c r="KM156" s="42"/>
      <c r="KN156" s="42"/>
      <c r="KO156" s="42"/>
      <c r="KP156" s="42"/>
      <c r="KQ156" s="42"/>
      <c r="KR156" s="42"/>
      <c r="KS156" s="42"/>
      <c r="KT156" s="42"/>
      <c r="KU156" s="42"/>
      <c r="KV156" s="42"/>
      <c r="KW156" s="42"/>
      <c r="KX156" s="42"/>
      <c r="KY156" s="42"/>
      <c r="KZ156" s="42"/>
      <c r="LA156" s="42"/>
      <c r="LB156" s="42"/>
      <c r="LC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c r="BC157" s="42"/>
      <c r="BD157" s="42"/>
      <c r="BE157" s="42"/>
      <c r="BF157" s="42"/>
      <c r="BG157" s="42"/>
      <c r="BH157" s="42"/>
      <c r="BI157" s="42"/>
      <c r="BJ157" s="42"/>
      <c r="BK157" s="42"/>
      <c r="BL157" s="42"/>
      <c r="BM157" s="42"/>
      <c r="BN157" s="42"/>
      <c r="BO157" s="42"/>
      <c r="BP157" s="42"/>
      <c r="BQ157" s="42"/>
      <c r="BR157" s="42"/>
      <c r="BS157" s="42"/>
      <c r="BT157" s="42"/>
      <c r="BU157" s="42"/>
      <c r="BV157" s="42"/>
      <c r="BW157" s="42"/>
      <c r="BX157" s="42"/>
      <c r="BY157" s="42"/>
      <c r="BZ157" s="42"/>
      <c r="CA157" s="42"/>
      <c r="CB157" s="42"/>
      <c r="CC157" s="42"/>
      <c r="CD157" s="42"/>
      <c r="CE157" s="42"/>
      <c r="CF157" s="42"/>
      <c r="CG157" s="42"/>
      <c r="CH157" s="42"/>
      <c r="CI157" s="42"/>
      <c r="CJ157" s="42"/>
      <c r="CK157" s="42"/>
      <c r="CL157" s="42"/>
      <c r="CM157" s="42"/>
      <c r="CN157" s="42"/>
      <c r="CO157" s="42"/>
      <c r="CP157" s="42"/>
      <c r="CQ157" s="42"/>
      <c r="CR157" s="42"/>
      <c r="CS157" s="42"/>
      <c r="CT157" s="42"/>
      <c r="CU157" s="42"/>
      <c r="CV157" s="42"/>
      <c r="CW157" s="42"/>
      <c r="CX157" s="42"/>
      <c r="CY157" s="42"/>
      <c r="CZ157" s="42"/>
      <c r="DA157" s="42"/>
      <c r="DB157" s="42"/>
      <c r="DC157" s="42"/>
      <c r="DD157" s="42"/>
      <c r="DE157" s="42"/>
      <c r="DF157" s="42"/>
      <c r="DG157" s="42"/>
      <c r="DH157" s="42"/>
      <c r="DI157" s="42"/>
      <c r="DJ157" s="42"/>
      <c r="DK157" s="42"/>
      <c r="DL157" s="42"/>
      <c r="DM157" s="42"/>
      <c r="DN157" s="42"/>
      <c r="DO157" s="42"/>
      <c r="DP157" s="42"/>
      <c r="DQ157" s="42"/>
      <c r="DR157" s="42"/>
      <c r="DS157" s="42"/>
      <c r="DT157" s="42"/>
      <c r="DU157" s="42"/>
      <c r="DV157" s="42"/>
      <c r="DW157" s="42"/>
      <c r="DX157" s="42"/>
      <c r="DY157" s="42"/>
      <c r="DZ157" s="42"/>
      <c r="EA157" s="42"/>
      <c r="EB157" s="42"/>
      <c r="EC157" s="42"/>
      <c r="ED157" s="42"/>
      <c r="EE157" s="42"/>
      <c r="EF157" s="42"/>
      <c r="EG157" s="42"/>
      <c r="EH157" s="42"/>
      <c r="EI157" s="42"/>
      <c r="EJ157" s="42"/>
      <c r="EK157" s="42"/>
      <c r="EL157" s="42"/>
      <c r="EM157" s="42"/>
      <c r="EN157" s="42"/>
      <c r="EO157" s="42"/>
      <c r="EP157" s="42"/>
      <c r="EQ157" s="42"/>
      <c r="ER157" s="42"/>
      <c r="ES157" s="42"/>
      <c r="ET157" s="42"/>
      <c r="EU157" s="42"/>
      <c r="EV157" s="42"/>
      <c r="EW157" s="42"/>
      <c r="EX157" s="42"/>
      <c r="EY157" s="42"/>
      <c r="EZ157" s="42"/>
      <c r="FA157" s="42"/>
      <c r="FB157" s="42"/>
      <c r="FC157" s="42"/>
      <c r="FD157" s="42"/>
      <c r="FE157" s="42"/>
      <c r="FF157" s="42"/>
      <c r="FG157" s="42"/>
      <c r="FH157" s="42"/>
      <c r="FI157" s="42"/>
      <c r="FJ157" s="42"/>
      <c r="FK157" s="42"/>
      <c r="FL157" s="42"/>
      <c r="FM157" s="42"/>
      <c r="FN157" s="42"/>
      <c r="FO157" s="42"/>
      <c r="FP157" s="42"/>
      <c r="FQ157" s="42"/>
      <c r="FR157" s="42"/>
      <c r="FS157" s="42"/>
      <c r="FT157" s="42"/>
      <c r="FU157" s="42"/>
      <c r="FV157" s="42"/>
      <c r="FW157" s="42"/>
      <c r="FX157" s="42"/>
      <c r="FY157" s="42"/>
      <c r="FZ157" s="42"/>
      <c r="GA157" s="42"/>
      <c r="GB157" s="42"/>
      <c r="GC157" s="42"/>
      <c r="GD157" s="42"/>
      <c r="GE157" s="42"/>
      <c r="GF157" s="42"/>
      <c r="GG157" s="42"/>
      <c r="GH157" s="42"/>
      <c r="GI157" s="42"/>
      <c r="GJ157" s="42"/>
      <c r="GK157" s="42"/>
      <c r="GL157" s="42"/>
      <c r="GM157" s="42"/>
      <c r="GN157" s="42"/>
      <c r="GO157" s="42"/>
      <c r="GP157" s="42"/>
      <c r="GQ157" s="42"/>
      <c r="GR157" s="42"/>
      <c r="GS157" s="42"/>
      <c r="GT157" s="42"/>
      <c r="GU157" s="42"/>
      <c r="GV157" s="42"/>
      <c r="GW157" s="42"/>
      <c r="GX157" s="42"/>
      <c r="GY157" s="42"/>
      <c r="GZ157" s="42"/>
      <c r="HA157" s="42"/>
      <c r="HB157" s="42"/>
      <c r="HC157" s="42"/>
      <c r="HD157" s="42"/>
      <c r="HE157" s="42"/>
      <c r="HF157" s="42"/>
      <c r="HG157" s="42"/>
      <c r="HH157" s="42"/>
      <c r="HI157" s="42"/>
      <c r="HJ157" s="42"/>
      <c r="HK157" s="42"/>
      <c r="HL157" s="42"/>
      <c r="HM157" s="42"/>
      <c r="HN157" s="42"/>
      <c r="HO157" s="42"/>
      <c r="HP157" s="42"/>
      <c r="HQ157" s="42"/>
      <c r="HR157" s="42"/>
      <c r="HS157" s="42"/>
      <c r="HT157" s="42"/>
      <c r="HU157" s="42"/>
      <c r="HV157" s="42"/>
      <c r="HW157" s="42"/>
      <c r="HX157" s="42"/>
      <c r="HY157" s="42"/>
      <c r="HZ157" s="42"/>
      <c r="IA157" s="42"/>
      <c r="IB157" s="42"/>
      <c r="IC157" s="42"/>
      <c r="ID157" s="42"/>
      <c r="IE157" s="42"/>
      <c r="IF157" s="42"/>
      <c r="IG157" s="42"/>
      <c r="IH157" s="42"/>
      <c r="II157" s="42"/>
      <c r="IJ157" s="42"/>
      <c r="IK157" s="42"/>
      <c r="IL157" s="42"/>
      <c r="IM157" s="42"/>
      <c r="IN157" s="42"/>
      <c r="IO157" s="42"/>
      <c r="IP157" s="42"/>
      <c r="IQ157" s="42"/>
      <c r="IR157" s="42"/>
      <c r="IS157" s="42"/>
      <c r="IT157" s="42"/>
      <c r="IU157" s="42"/>
      <c r="IV157" s="42"/>
      <c r="IW157" s="42"/>
      <c r="IX157" s="42"/>
      <c r="IY157" s="42"/>
      <c r="IZ157" s="42"/>
      <c r="JA157" s="42"/>
      <c r="JB157" s="42"/>
      <c r="JC157" s="42"/>
      <c r="JD157" s="42"/>
      <c r="JE157" s="42"/>
      <c r="JF157" s="42"/>
      <c r="JG157" s="42"/>
      <c r="JH157" s="42"/>
      <c r="JI157" s="42"/>
      <c r="JJ157" s="42"/>
      <c r="JK157" s="42"/>
      <c r="JL157" s="42"/>
      <c r="JM157" s="42"/>
      <c r="JN157" s="42"/>
      <c r="JO157" s="42"/>
      <c r="JP157" s="42"/>
      <c r="JQ157" s="42"/>
      <c r="JR157" s="42"/>
      <c r="JS157" s="42"/>
      <c r="JT157" s="42"/>
      <c r="JU157" s="42"/>
      <c r="JV157" s="42"/>
      <c r="JW157" s="42"/>
      <c r="JX157" s="42"/>
      <c r="JY157" s="42"/>
      <c r="JZ157" s="42"/>
      <c r="KA157" s="42"/>
      <c r="KB157" s="42"/>
      <c r="KC157" s="42"/>
      <c r="KD157" s="42"/>
      <c r="KE157" s="42"/>
      <c r="KF157" s="42"/>
      <c r="KG157" s="42"/>
      <c r="KH157" s="42"/>
      <c r="KI157" s="42"/>
      <c r="KJ157" s="42"/>
      <c r="KK157" s="42"/>
      <c r="KL157" s="42"/>
      <c r="KM157" s="42"/>
      <c r="KN157" s="42"/>
      <c r="KO157" s="42"/>
      <c r="KP157" s="42"/>
      <c r="KQ157" s="42"/>
      <c r="KR157" s="42"/>
      <c r="KS157" s="42"/>
      <c r="KT157" s="42"/>
      <c r="KU157" s="42"/>
      <c r="KV157" s="42"/>
      <c r="KW157" s="42"/>
      <c r="KX157" s="42"/>
      <c r="KY157" s="42"/>
      <c r="KZ157" s="42"/>
      <c r="LA157" s="42"/>
      <c r="LB157" s="42"/>
      <c r="LC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c r="BC158" s="42"/>
      <c r="BD158" s="42"/>
      <c r="BE158" s="42"/>
      <c r="BF158" s="42"/>
      <c r="BG158" s="42"/>
      <c r="BH158" s="42"/>
      <c r="BI158" s="42"/>
      <c r="BJ158" s="42"/>
      <c r="BK158" s="42"/>
      <c r="BL158" s="42"/>
      <c r="BM158" s="42"/>
      <c r="BN158" s="42"/>
      <c r="BO158" s="42"/>
      <c r="BP158" s="42"/>
      <c r="BQ158" s="42"/>
      <c r="BR158" s="42"/>
      <c r="BS158" s="42"/>
      <c r="BT158" s="42"/>
      <c r="BU158" s="42"/>
      <c r="BV158" s="42"/>
      <c r="BW158" s="42"/>
      <c r="BX158" s="42"/>
      <c r="BY158" s="42"/>
      <c r="BZ158" s="42"/>
      <c r="CA158" s="42"/>
      <c r="CB158" s="42"/>
      <c r="CC158" s="42"/>
      <c r="CD158" s="42"/>
      <c r="CE158" s="42"/>
      <c r="CF158" s="42"/>
      <c r="CG158" s="42"/>
      <c r="CH158" s="42"/>
      <c r="CI158" s="42"/>
      <c r="CJ158" s="42"/>
      <c r="CK158" s="42"/>
      <c r="CL158" s="42"/>
      <c r="CM158" s="42"/>
      <c r="CN158" s="42"/>
      <c r="CO158" s="42"/>
      <c r="CP158" s="42"/>
      <c r="CQ158" s="42"/>
      <c r="CR158" s="42"/>
      <c r="CS158" s="42"/>
      <c r="CT158" s="42"/>
      <c r="CU158" s="42"/>
      <c r="CV158" s="42"/>
      <c r="CW158" s="42"/>
      <c r="CX158" s="42"/>
      <c r="CY158" s="42"/>
      <c r="CZ158" s="42"/>
      <c r="DA158" s="42"/>
      <c r="DB158" s="42"/>
      <c r="DC158" s="42"/>
      <c r="DD158" s="42"/>
      <c r="DE158" s="42"/>
      <c r="DF158" s="42"/>
      <c r="DG158" s="42"/>
      <c r="DH158" s="42"/>
      <c r="DI158" s="42"/>
      <c r="DJ158" s="42"/>
      <c r="DK158" s="42"/>
      <c r="DL158" s="42"/>
      <c r="DM158" s="42"/>
      <c r="DN158" s="42"/>
      <c r="DO158" s="42"/>
      <c r="DP158" s="42"/>
      <c r="DQ158" s="42"/>
      <c r="DR158" s="42"/>
      <c r="DS158" s="42"/>
      <c r="DT158" s="42"/>
      <c r="DU158" s="42"/>
      <c r="DV158" s="42"/>
      <c r="DW158" s="42"/>
      <c r="DX158" s="42"/>
      <c r="DY158" s="42"/>
      <c r="DZ158" s="42"/>
      <c r="EA158" s="42"/>
      <c r="EB158" s="42"/>
      <c r="EC158" s="42"/>
      <c r="ED158" s="42"/>
      <c r="EE158" s="42"/>
      <c r="EF158" s="42"/>
      <c r="EG158" s="42"/>
      <c r="EH158" s="42"/>
      <c r="EI158" s="42"/>
      <c r="EJ158" s="42"/>
      <c r="EK158" s="42"/>
      <c r="EL158" s="42"/>
      <c r="EM158" s="42"/>
      <c r="EN158" s="42"/>
      <c r="EO158" s="42"/>
      <c r="EP158" s="42"/>
      <c r="EQ158" s="42"/>
      <c r="ER158" s="42"/>
      <c r="ES158" s="42"/>
      <c r="ET158" s="42"/>
      <c r="EU158" s="42"/>
      <c r="EV158" s="42"/>
      <c r="EW158" s="42"/>
      <c r="EX158" s="42"/>
      <c r="EY158" s="42"/>
      <c r="EZ158" s="42"/>
      <c r="FA158" s="42"/>
      <c r="FB158" s="42"/>
      <c r="FC158" s="42"/>
      <c r="FD158" s="42"/>
      <c r="FE158" s="42"/>
      <c r="FF158" s="42"/>
      <c r="FG158" s="42"/>
      <c r="FH158" s="42"/>
      <c r="FI158" s="42"/>
      <c r="FJ158" s="42"/>
      <c r="FK158" s="42"/>
      <c r="FL158" s="42"/>
      <c r="FM158" s="42"/>
      <c r="FN158" s="42"/>
      <c r="FO158" s="42"/>
      <c r="FP158" s="42"/>
      <c r="FQ158" s="42"/>
      <c r="FR158" s="42"/>
      <c r="FS158" s="42"/>
      <c r="FT158" s="42"/>
      <c r="FU158" s="42"/>
      <c r="FV158" s="42"/>
      <c r="FW158" s="42"/>
      <c r="FX158" s="42"/>
      <c r="FY158" s="42"/>
      <c r="FZ158" s="42"/>
      <c r="GA158" s="42"/>
      <c r="GB158" s="42"/>
      <c r="GC158" s="42"/>
      <c r="GD158" s="42"/>
      <c r="GE158" s="42"/>
      <c r="GF158" s="42"/>
      <c r="GG158" s="42"/>
      <c r="GH158" s="42"/>
      <c r="GI158" s="42"/>
      <c r="GJ158" s="42"/>
      <c r="GK158" s="42"/>
      <c r="GL158" s="42"/>
      <c r="GM158" s="42"/>
      <c r="GN158" s="42"/>
      <c r="GO158" s="42"/>
      <c r="GP158" s="42"/>
      <c r="GQ158" s="42"/>
      <c r="GR158" s="42"/>
      <c r="GS158" s="42"/>
      <c r="GT158" s="42"/>
      <c r="GU158" s="42"/>
      <c r="GV158" s="42"/>
      <c r="GW158" s="42"/>
      <c r="GX158" s="42"/>
      <c r="GY158" s="42"/>
      <c r="GZ158" s="42"/>
      <c r="HA158" s="42"/>
      <c r="HB158" s="42"/>
      <c r="HC158" s="42"/>
      <c r="HD158" s="42"/>
      <c r="HE158" s="42"/>
      <c r="HF158" s="42"/>
      <c r="HG158" s="42"/>
      <c r="HH158" s="42"/>
      <c r="HI158" s="42"/>
      <c r="HJ158" s="42"/>
      <c r="HK158" s="42"/>
      <c r="HL158" s="42"/>
      <c r="HM158" s="42"/>
      <c r="HN158" s="42"/>
      <c r="HO158" s="42"/>
      <c r="HP158" s="42"/>
      <c r="HQ158" s="42"/>
      <c r="HR158" s="42"/>
      <c r="HS158" s="42"/>
      <c r="HT158" s="42"/>
      <c r="HU158" s="42"/>
      <c r="HV158" s="42"/>
      <c r="HW158" s="42"/>
      <c r="HX158" s="42"/>
      <c r="HY158" s="42"/>
      <c r="HZ158" s="42"/>
      <c r="IA158" s="42"/>
      <c r="IB158" s="42"/>
      <c r="IC158" s="42"/>
      <c r="ID158" s="42"/>
      <c r="IE158" s="42"/>
      <c r="IF158" s="42"/>
      <c r="IG158" s="42"/>
      <c r="IH158" s="42"/>
      <c r="II158" s="42"/>
      <c r="IJ158" s="42"/>
      <c r="IK158" s="42"/>
      <c r="IL158" s="42"/>
      <c r="IM158" s="42"/>
      <c r="IN158" s="42"/>
      <c r="IO158" s="42"/>
      <c r="IP158" s="42"/>
      <c r="IQ158" s="42"/>
      <c r="IR158" s="42"/>
      <c r="IS158" s="42"/>
      <c r="IT158" s="42"/>
      <c r="IU158" s="42"/>
      <c r="IV158" s="42"/>
      <c r="IW158" s="42"/>
      <c r="IX158" s="42"/>
      <c r="IY158" s="42"/>
      <c r="IZ158" s="42"/>
      <c r="JA158" s="42"/>
      <c r="JB158" s="42"/>
      <c r="JC158" s="42"/>
      <c r="JD158" s="42"/>
      <c r="JE158" s="42"/>
      <c r="JF158" s="42"/>
      <c r="JG158" s="42"/>
      <c r="JH158" s="42"/>
      <c r="JI158" s="42"/>
      <c r="JJ158" s="42"/>
      <c r="JK158" s="42"/>
      <c r="JL158" s="42"/>
      <c r="JM158" s="42"/>
      <c r="JN158" s="42"/>
      <c r="JO158" s="42"/>
      <c r="JP158" s="42"/>
      <c r="JQ158" s="42"/>
      <c r="JR158" s="42"/>
      <c r="JS158" s="42"/>
      <c r="JT158" s="42"/>
      <c r="JU158" s="42"/>
      <c r="JV158" s="42"/>
      <c r="JW158" s="42"/>
      <c r="JX158" s="42"/>
      <c r="JY158" s="42"/>
      <c r="JZ158" s="42"/>
      <c r="KA158" s="42"/>
      <c r="KB158" s="42"/>
      <c r="KC158" s="42"/>
      <c r="KD158" s="42"/>
      <c r="KE158" s="42"/>
      <c r="KF158" s="42"/>
      <c r="KG158" s="42"/>
      <c r="KH158" s="42"/>
      <c r="KI158" s="42"/>
      <c r="KJ158" s="42"/>
      <c r="KK158" s="42"/>
      <c r="KL158" s="42"/>
      <c r="KM158" s="42"/>
      <c r="KN158" s="42"/>
      <c r="KO158" s="42"/>
      <c r="KP158" s="42"/>
      <c r="KQ158" s="42"/>
      <c r="KR158" s="42"/>
      <c r="KS158" s="42"/>
      <c r="KT158" s="42"/>
      <c r="KU158" s="42"/>
      <c r="KV158" s="42"/>
      <c r="KW158" s="42"/>
      <c r="KX158" s="42"/>
      <c r="KY158" s="42"/>
      <c r="KZ158" s="42"/>
      <c r="LA158" s="42"/>
      <c r="LB158" s="42"/>
      <c r="LC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c r="BC159" s="42"/>
      <c r="BD159" s="42"/>
      <c r="BE159" s="42"/>
      <c r="BF159" s="42"/>
      <c r="BG159" s="42"/>
      <c r="BH159" s="42"/>
      <c r="BI159" s="42"/>
      <c r="BJ159" s="42"/>
      <c r="BK159" s="42"/>
      <c r="BL159" s="42"/>
      <c r="BM159" s="42"/>
      <c r="BN159" s="42"/>
      <c r="BO159" s="42"/>
      <c r="BP159" s="42"/>
      <c r="BQ159" s="42"/>
      <c r="BR159" s="42"/>
      <c r="BS159" s="42"/>
      <c r="BT159" s="42"/>
      <c r="BU159" s="42"/>
      <c r="BV159" s="42"/>
      <c r="BW159" s="42"/>
      <c r="BX159" s="42"/>
      <c r="BY159" s="42"/>
      <c r="BZ159" s="42"/>
      <c r="CA159" s="42"/>
      <c r="CB159" s="42"/>
      <c r="CC159" s="42"/>
      <c r="CD159" s="42"/>
      <c r="CE159" s="42"/>
      <c r="CF159" s="42"/>
      <c r="CG159" s="42"/>
      <c r="CH159" s="42"/>
      <c r="CI159" s="42"/>
      <c r="CJ159" s="42"/>
      <c r="CK159" s="42"/>
      <c r="CL159" s="42"/>
      <c r="CM159" s="42"/>
      <c r="CN159" s="42"/>
      <c r="CO159" s="42"/>
      <c r="CP159" s="42"/>
      <c r="CQ159" s="42"/>
      <c r="CR159" s="42"/>
      <c r="CS159" s="42"/>
      <c r="CT159" s="42"/>
      <c r="CU159" s="42"/>
      <c r="CV159" s="42"/>
      <c r="CW159" s="42"/>
      <c r="CX159" s="42"/>
      <c r="CY159" s="42"/>
      <c r="CZ159" s="42"/>
      <c r="DA159" s="42"/>
      <c r="DB159" s="42"/>
      <c r="DC159" s="42"/>
      <c r="DD159" s="42"/>
      <c r="DE159" s="42"/>
      <c r="DF159" s="42"/>
      <c r="DG159" s="42"/>
      <c r="DH159" s="42"/>
      <c r="DI159" s="42"/>
      <c r="DJ159" s="42"/>
      <c r="DK159" s="42"/>
      <c r="DL159" s="42"/>
      <c r="DM159" s="42"/>
      <c r="DN159" s="42"/>
      <c r="DO159" s="42"/>
      <c r="DP159" s="42"/>
      <c r="DQ159" s="42"/>
      <c r="DR159" s="42"/>
      <c r="DS159" s="42"/>
      <c r="DT159" s="42"/>
      <c r="DU159" s="42"/>
      <c r="DV159" s="42"/>
      <c r="DW159" s="42"/>
      <c r="DX159" s="42"/>
      <c r="DY159" s="42"/>
      <c r="DZ159" s="42"/>
      <c r="EA159" s="42"/>
      <c r="EB159" s="42"/>
      <c r="EC159" s="42"/>
      <c r="ED159" s="42"/>
      <c r="EE159" s="42"/>
      <c r="EF159" s="42"/>
      <c r="EG159" s="42"/>
      <c r="EH159" s="42"/>
      <c r="EI159" s="42"/>
      <c r="EJ159" s="42"/>
      <c r="EK159" s="42"/>
      <c r="EL159" s="42"/>
      <c r="EM159" s="42"/>
      <c r="EN159" s="42"/>
      <c r="EO159" s="42"/>
      <c r="EP159" s="42"/>
      <c r="EQ159" s="42"/>
      <c r="ER159" s="42"/>
      <c r="ES159" s="42"/>
      <c r="ET159" s="42"/>
      <c r="EU159" s="42"/>
      <c r="EV159" s="42"/>
      <c r="EW159" s="42"/>
      <c r="EX159" s="42"/>
      <c r="EY159" s="42"/>
      <c r="EZ159" s="42"/>
      <c r="FA159" s="42"/>
      <c r="FB159" s="42"/>
      <c r="FC159" s="42"/>
      <c r="FD159" s="42"/>
      <c r="FE159" s="42"/>
      <c r="FF159" s="42"/>
      <c r="FG159" s="42"/>
      <c r="FH159" s="42"/>
      <c r="FI159" s="42"/>
      <c r="FJ159" s="42"/>
      <c r="FK159" s="42"/>
      <c r="FL159" s="42"/>
      <c r="FM159" s="42"/>
      <c r="FN159" s="42"/>
      <c r="FO159" s="42"/>
      <c r="FP159" s="42"/>
      <c r="FQ159" s="42"/>
      <c r="FR159" s="42"/>
      <c r="FS159" s="42"/>
      <c r="FT159" s="42"/>
      <c r="FU159" s="42"/>
      <c r="FV159" s="42"/>
      <c r="FW159" s="42"/>
      <c r="FX159" s="42"/>
      <c r="FY159" s="42"/>
      <c r="FZ159" s="42"/>
      <c r="GA159" s="42"/>
      <c r="GB159" s="42"/>
      <c r="GC159" s="42"/>
      <c r="GD159" s="42"/>
      <c r="GE159" s="42"/>
      <c r="GF159" s="42"/>
      <c r="GG159" s="42"/>
      <c r="GH159" s="42"/>
      <c r="GI159" s="42"/>
      <c r="GJ159" s="42"/>
      <c r="GK159" s="42"/>
      <c r="GL159" s="42"/>
      <c r="GM159" s="42"/>
      <c r="GN159" s="42"/>
      <c r="GO159" s="42"/>
      <c r="GP159" s="42"/>
      <c r="GQ159" s="42"/>
      <c r="GR159" s="42"/>
      <c r="GS159" s="42"/>
      <c r="GT159" s="42"/>
      <c r="GU159" s="42"/>
      <c r="GV159" s="42"/>
      <c r="GW159" s="42"/>
      <c r="GX159" s="42"/>
      <c r="GY159" s="42"/>
      <c r="GZ159" s="42"/>
      <c r="HA159" s="42"/>
      <c r="HB159" s="42"/>
      <c r="HC159" s="42"/>
      <c r="HD159" s="42"/>
      <c r="HE159" s="42"/>
      <c r="HF159" s="42"/>
      <c r="HG159" s="42"/>
      <c r="HH159" s="42"/>
      <c r="HI159" s="42"/>
      <c r="HJ159" s="42"/>
      <c r="HK159" s="42"/>
      <c r="HL159" s="42"/>
      <c r="HM159" s="42"/>
      <c r="HN159" s="42"/>
      <c r="HO159" s="42"/>
      <c r="HP159" s="42"/>
      <c r="HQ159" s="42"/>
      <c r="HR159" s="42"/>
      <c r="HS159" s="42"/>
      <c r="HT159" s="42"/>
      <c r="HU159" s="42"/>
      <c r="HV159" s="42"/>
      <c r="HW159" s="42"/>
      <c r="HX159" s="42"/>
      <c r="HY159" s="42"/>
      <c r="HZ159" s="42"/>
      <c r="IA159" s="42"/>
      <c r="IB159" s="42"/>
      <c r="IC159" s="42"/>
      <c r="ID159" s="42"/>
      <c r="IE159" s="42"/>
      <c r="IF159" s="42"/>
      <c r="IG159" s="42"/>
      <c r="IH159" s="42"/>
      <c r="II159" s="42"/>
      <c r="IJ159" s="42"/>
      <c r="IK159" s="42"/>
      <c r="IL159" s="42"/>
      <c r="IM159" s="42"/>
      <c r="IN159" s="42"/>
      <c r="IO159" s="42"/>
      <c r="IP159" s="42"/>
      <c r="IQ159" s="42"/>
      <c r="IR159" s="42"/>
      <c r="IS159" s="42"/>
      <c r="IT159" s="42"/>
      <c r="IU159" s="42"/>
      <c r="IV159" s="42"/>
      <c r="IW159" s="42"/>
      <c r="IX159" s="42"/>
      <c r="IY159" s="42"/>
      <c r="IZ159" s="42"/>
      <c r="JA159" s="42"/>
      <c r="JB159" s="42"/>
      <c r="JC159" s="42"/>
      <c r="JD159" s="42"/>
      <c r="JE159" s="42"/>
      <c r="JF159" s="42"/>
      <c r="JG159" s="42"/>
      <c r="JH159" s="42"/>
      <c r="JI159" s="42"/>
      <c r="JJ159" s="42"/>
      <c r="JK159" s="42"/>
      <c r="JL159" s="42"/>
      <c r="JM159" s="42"/>
      <c r="JN159" s="42"/>
      <c r="JO159" s="42"/>
      <c r="JP159" s="42"/>
      <c r="JQ159" s="42"/>
      <c r="JR159" s="42"/>
      <c r="JS159" s="42"/>
      <c r="JT159" s="42"/>
      <c r="JU159" s="42"/>
      <c r="JV159" s="42"/>
      <c r="JW159" s="42"/>
      <c r="JX159" s="42"/>
      <c r="JY159" s="42"/>
      <c r="JZ159" s="42"/>
      <c r="KA159" s="42"/>
      <c r="KB159" s="42"/>
      <c r="KC159" s="42"/>
      <c r="KD159" s="42"/>
      <c r="KE159" s="42"/>
      <c r="KF159" s="42"/>
      <c r="KG159" s="42"/>
      <c r="KH159" s="42"/>
      <c r="KI159" s="42"/>
      <c r="KJ159" s="42"/>
      <c r="KK159" s="42"/>
      <c r="KL159" s="42"/>
      <c r="KM159" s="42"/>
      <c r="KN159" s="42"/>
      <c r="KO159" s="42"/>
      <c r="KP159" s="42"/>
      <c r="KQ159" s="42"/>
      <c r="KR159" s="42"/>
      <c r="KS159" s="42"/>
      <c r="KT159" s="42"/>
      <c r="KU159" s="42"/>
      <c r="KV159" s="42"/>
      <c r="KW159" s="42"/>
      <c r="KX159" s="42"/>
      <c r="KY159" s="42"/>
      <c r="KZ159" s="42"/>
      <c r="LA159" s="42"/>
      <c r="LB159" s="42"/>
      <c r="LC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c r="BC160" s="42"/>
      <c r="BD160" s="42"/>
      <c r="BE160" s="42"/>
      <c r="BF160" s="42"/>
      <c r="BG160" s="42"/>
      <c r="BH160" s="42"/>
      <c r="BI160" s="42"/>
      <c r="BJ160" s="42"/>
      <c r="BK160" s="42"/>
      <c r="BL160" s="42"/>
      <c r="BM160" s="42"/>
      <c r="BN160" s="42"/>
      <c r="BO160" s="42"/>
      <c r="BP160" s="42"/>
      <c r="BQ160" s="42"/>
      <c r="BR160" s="42"/>
      <c r="BS160" s="42"/>
      <c r="BT160" s="42"/>
      <c r="BU160" s="42"/>
      <c r="BV160" s="42"/>
      <c r="BW160" s="42"/>
      <c r="BX160" s="42"/>
      <c r="BY160" s="42"/>
      <c r="BZ160" s="42"/>
      <c r="CA160" s="42"/>
      <c r="CB160" s="42"/>
      <c r="CC160" s="42"/>
      <c r="CD160" s="42"/>
      <c r="CE160" s="42"/>
      <c r="CF160" s="42"/>
      <c r="CG160" s="42"/>
      <c r="CH160" s="42"/>
      <c r="CI160" s="42"/>
      <c r="CJ160" s="42"/>
      <c r="CK160" s="42"/>
      <c r="CL160" s="42"/>
      <c r="CM160" s="42"/>
      <c r="CN160" s="42"/>
      <c r="CO160" s="42"/>
      <c r="CP160" s="42"/>
      <c r="CQ160" s="42"/>
      <c r="CR160" s="42"/>
      <c r="CS160" s="42"/>
      <c r="CT160" s="42"/>
      <c r="CU160" s="42"/>
      <c r="CV160" s="42"/>
      <c r="CW160" s="42"/>
      <c r="CX160" s="42"/>
      <c r="CY160" s="42"/>
      <c r="CZ160" s="42"/>
      <c r="DA160" s="42"/>
      <c r="DB160" s="42"/>
      <c r="DC160" s="42"/>
      <c r="DD160" s="42"/>
      <c r="DE160" s="42"/>
      <c r="DF160" s="42"/>
      <c r="DG160" s="42"/>
      <c r="DH160" s="42"/>
      <c r="DI160" s="42"/>
      <c r="DJ160" s="42"/>
      <c r="DK160" s="42"/>
      <c r="DL160" s="42"/>
      <c r="DM160" s="42"/>
      <c r="DN160" s="42"/>
      <c r="DO160" s="42"/>
      <c r="DP160" s="42"/>
      <c r="DQ160" s="42"/>
      <c r="DR160" s="42"/>
      <c r="DS160" s="42"/>
      <c r="DT160" s="42"/>
      <c r="DU160" s="42"/>
      <c r="DV160" s="42"/>
      <c r="DW160" s="42"/>
      <c r="DX160" s="42"/>
      <c r="DY160" s="42"/>
      <c r="DZ160" s="42"/>
      <c r="EA160" s="42"/>
      <c r="EB160" s="42"/>
      <c r="EC160" s="42"/>
      <c r="ED160" s="42"/>
      <c r="EE160" s="42"/>
      <c r="EF160" s="42"/>
      <c r="EG160" s="42"/>
      <c r="EH160" s="42"/>
      <c r="EI160" s="42"/>
      <c r="EJ160" s="42"/>
      <c r="EK160" s="42"/>
      <c r="EL160" s="42"/>
      <c r="EM160" s="42"/>
      <c r="EN160" s="42"/>
      <c r="EO160" s="42"/>
      <c r="EP160" s="42"/>
      <c r="EQ160" s="42"/>
      <c r="ER160" s="42"/>
      <c r="ES160" s="42"/>
      <c r="ET160" s="42"/>
      <c r="EU160" s="42"/>
      <c r="EV160" s="42"/>
      <c r="EW160" s="42"/>
      <c r="EX160" s="42"/>
      <c r="EY160" s="42"/>
      <c r="EZ160" s="42"/>
      <c r="FA160" s="42"/>
      <c r="FB160" s="42"/>
      <c r="FC160" s="42"/>
      <c r="FD160" s="42"/>
      <c r="FE160" s="42"/>
      <c r="FF160" s="42"/>
      <c r="FG160" s="42"/>
      <c r="FH160" s="42"/>
      <c r="FI160" s="42"/>
      <c r="FJ160" s="42"/>
      <c r="FK160" s="42"/>
      <c r="FL160" s="42"/>
      <c r="FM160" s="42"/>
      <c r="FN160" s="42"/>
      <c r="FO160" s="42"/>
      <c r="FP160" s="42"/>
      <c r="FQ160" s="42"/>
      <c r="FR160" s="42"/>
      <c r="FS160" s="42"/>
      <c r="FT160" s="42"/>
      <c r="FU160" s="42"/>
      <c r="FV160" s="42"/>
      <c r="FW160" s="42"/>
      <c r="FX160" s="42"/>
      <c r="FY160" s="42"/>
      <c r="FZ160" s="42"/>
      <c r="GA160" s="42"/>
      <c r="GB160" s="42"/>
      <c r="GC160" s="42"/>
      <c r="GD160" s="42"/>
      <c r="GE160" s="42"/>
      <c r="GF160" s="42"/>
      <c r="GG160" s="42"/>
      <c r="GH160" s="42"/>
      <c r="GI160" s="42"/>
      <c r="GJ160" s="42"/>
      <c r="GK160" s="42"/>
      <c r="GL160" s="42"/>
      <c r="GM160" s="42"/>
      <c r="GN160" s="42"/>
      <c r="GO160" s="42"/>
      <c r="GP160" s="42"/>
      <c r="GQ160" s="42"/>
      <c r="GR160" s="42"/>
      <c r="GS160" s="42"/>
      <c r="GT160" s="42"/>
      <c r="GU160" s="42"/>
      <c r="GV160" s="42"/>
      <c r="GW160" s="42"/>
      <c r="GX160" s="42"/>
      <c r="GY160" s="42"/>
      <c r="GZ160" s="42"/>
      <c r="HA160" s="42"/>
      <c r="HB160" s="42"/>
      <c r="HC160" s="42"/>
      <c r="HD160" s="42"/>
      <c r="HE160" s="42"/>
      <c r="HF160" s="42"/>
      <c r="HG160" s="42"/>
      <c r="HH160" s="42"/>
      <c r="HI160" s="42"/>
      <c r="HJ160" s="42"/>
      <c r="HK160" s="42"/>
      <c r="HL160" s="42"/>
      <c r="HM160" s="42"/>
      <c r="HN160" s="42"/>
      <c r="HO160" s="42"/>
      <c r="HP160" s="42"/>
      <c r="HQ160" s="42"/>
      <c r="HR160" s="42"/>
      <c r="HS160" s="42"/>
      <c r="HT160" s="42"/>
      <c r="HU160" s="42"/>
      <c r="HV160" s="42"/>
      <c r="HW160" s="42"/>
      <c r="HX160" s="42"/>
      <c r="HY160" s="42"/>
      <c r="HZ160" s="42"/>
      <c r="IA160" s="42"/>
      <c r="IB160" s="42"/>
      <c r="IC160" s="42"/>
      <c r="ID160" s="42"/>
      <c r="IE160" s="42"/>
      <c r="IF160" s="42"/>
      <c r="IG160" s="42"/>
      <c r="IH160" s="42"/>
      <c r="II160" s="42"/>
      <c r="IJ160" s="42"/>
      <c r="IK160" s="42"/>
      <c r="IL160" s="42"/>
      <c r="IM160" s="42"/>
      <c r="IN160" s="42"/>
      <c r="IO160" s="42"/>
      <c r="IP160" s="42"/>
      <c r="IQ160" s="42"/>
      <c r="IR160" s="42"/>
      <c r="IS160" s="42"/>
      <c r="IT160" s="42"/>
      <c r="IU160" s="42"/>
      <c r="IV160" s="42"/>
      <c r="IW160" s="42"/>
      <c r="IX160" s="42"/>
      <c r="IY160" s="42"/>
      <c r="IZ160" s="42"/>
      <c r="JA160" s="42"/>
      <c r="JB160" s="42"/>
      <c r="JC160" s="42"/>
      <c r="JD160" s="42"/>
      <c r="JE160" s="42"/>
      <c r="JF160" s="42"/>
      <c r="JG160" s="42"/>
      <c r="JH160" s="42"/>
      <c r="JI160" s="42"/>
      <c r="JJ160" s="42"/>
      <c r="JK160" s="42"/>
      <c r="JL160" s="42"/>
      <c r="JM160" s="42"/>
      <c r="JN160" s="42"/>
      <c r="JO160" s="42"/>
      <c r="JP160" s="42"/>
      <c r="JQ160" s="42"/>
      <c r="JR160" s="42"/>
      <c r="JS160" s="42"/>
      <c r="JT160" s="42"/>
      <c r="JU160" s="42"/>
      <c r="JV160" s="42"/>
      <c r="JW160" s="42"/>
      <c r="JX160" s="42"/>
      <c r="JY160" s="42"/>
      <c r="JZ160" s="42"/>
      <c r="KA160" s="42"/>
      <c r="KB160" s="42"/>
      <c r="KC160" s="42"/>
      <c r="KD160" s="42"/>
      <c r="KE160" s="42"/>
      <c r="KF160" s="42"/>
      <c r="KG160" s="42"/>
      <c r="KH160" s="42"/>
      <c r="KI160" s="42"/>
      <c r="KJ160" s="42"/>
      <c r="KK160" s="42"/>
      <c r="KL160" s="42"/>
      <c r="KM160" s="42"/>
      <c r="KN160" s="42"/>
      <c r="KO160" s="42"/>
      <c r="KP160" s="42"/>
      <c r="KQ160" s="42"/>
      <c r="KR160" s="42"/>
      <c r="KS160" s="42"/>
      <c r="KT160" s="42"/>
      <c r="KU160" s="42"/>
      <c r="KV160" s="42"/>
      <c r="KW160" s="42"/>
      <c r="KX160" s="42"/>
      <c r="KY160" s="42"/>
      <c r="KZ160" s="42"/>
      <c r="LA160" s="42"/>
      <c r="LB160" s="42"/>
      <c r="LC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c r="BA161" s="42"/>
      <c r="BB161" s="42"/>
      <c r="BC161" s="42"/>
      <c r="BD161" s="42"/>
      <c r="BE161" s="42"/>
      <c r="BF161" s="42"/>
      <c r="BG161" s="42"/>
      <c r="BH161" s="42"/>
      <c r="BI161" s="42"/>
      <c r="BJ161" s="42"/>
      <c r="BK161" s="42"/>
      <c r="BL161" s="42"/>
      <c r="BM161" s="42"/>
      <c r="BN161" s="42"/>
      <c r="BO161" s="42"/>
      <c r="BP161" s="42"/>
      <c r="BQ161" s="42"/>
      <c r="BR161" s="42"/>
      <c r="BS161" s="42"/>
      <c r="BT161" s="42"/>
      <c r="BU161" s="42"/>
      <c r="BV161" s="42"/>
      <c r="BW161" s="42"/>
      <c r="BX161" s="42"/>
      <c r="BY161" s="42"/>
      <c r="BZ161" s="42"/>
      <c r="CA161" s="42"/>
      <c r="CB161" s="42"/>
      <c r="CC161" s="42"/>
      <c r="CD161" s="42"/>
      <c r="CE161" s="42"/>
      <c r="CF161" s="42"/>
      <c r="CG161" s="42"/>
      <c r="CH161" s="42"/>
      <c r="CI161" s="42"/>
      <c r="CJ161" s="42"/>
      <c r="CK161" s="42"/>
      <c r="CL161" s="42"/>
      <c r="CM161" s="42"/>
      <c r="CN161" s="42"/>
      <c r="CO161" s="42"/>
      <c r="CP161" s="42"/>
      <c r="CQ161" s="42"/>
      <c r="CR161" s="42"/>
      <c r="CS161" s="42"/>
      <c r="CT161" s="42"/>
      <c r="CU161" s="42"/>
      <c r="CV161" s="42"/>
      <c r="CW161" s="42"/>
      <c r="CX161" s="42"/>
      <c r="CY161" s="42"/>
      <c r="CZ161" s="42"/>
      <c r="DA161" s="42"/>
      <c r="DB161" s="42"/>
      <c r="DC161" s="42"/>
      <c r="DD161" s="42"/>
      <c r="DE161" s="42"/>
      <c r="DF161" s="42"/>
      <c r="DG161" s="42"/>
      <c r="DH161" s="42"/>
      <c r="DI161" s="42"/>
      <c r="DJ161" s="42"/>
      <c r="DK161" s="42"/>
      <c r="DL161" s="42"/>
      <c r="DM161" s="42"/>
      <c r="DN161" s="42"/>
      <c r="DO161" s="42"/>
      <c r="DP161" s="42"/>
      <c r="DQ161" s="42"/>
      <c r="DR161" s="42"/>
      <c r="DS161" s="42"/>
      <c r="DT161" s="42"/>
      <c r="DU161" s="42"/>
      <c r="DV161" s="42"/>
      <c r="DW161" s="42"/>
      <c r="DX161" s="42"/>
      <c r="DY161" s="42"/>
      <c r="DZ161" s="42"/>
      <c r="EA161" s="42"/>
      <c r="EB161" s="42"/>
      <c r="EC161" s="42"/>
      <c r="ED161" s="42"/>
      <c r="EE161" s="42"/>
      <c r="EF161" s="42"/>
      <c r="EG161" s="42"/>
      <c r="EH161" s="42"/>
      <c r="EI161" s="42"/>
      <c r="EJ161" s="42"/>
      <c r="EK161" s="42"/>
      <c r="EL161" s="42"/>
      <c r="EM161" s="42"/>
      <c r="EN161" s="42"/>
      <c r="EO161" s="42"/>
      <c r="EP161" s="42"/>
      <c r="EQ161" s="42"/>
      <c r="ER161" s="42"/>
      <c r="ES161" s="42"/>
      <c r="ET161" s="42"/>
      <c r="EU161" s="42"/>
      <c r="EV161" s="42"/>
      <c r="EW161" s="42"/>
      <c r="EX161" s="42"/>
      <c r="EY161" s="42"/>
      <c r="EZ161" s="42"/>
      <c r="FA161" s="42"/>
      <c r="FB161" s="42"/>
      <c r="FC161" s="42"/>
      <c r="FD161" s="42"/>
      <c r="FE161" s="42"/>
      <c r="FF161" s="42"/>
      <c r="FG161" s="42"/>
      <c r="FH161" s="42"/>
      <c r="FI161" s="42"/>
      <c r="FJ161" s="42"/>
      <c r="FK161" s="42"/>
      <c r="FL161" s="42"/>
      <c r="FM161" s="42"/>
      <c r="FN161" s="42"/>
      <c r="FO161" s="42"/>
      <c r="FP161" s="42"/>
      <c r="FQ161" s="42"/>
      <c r="FR161" s="42"/>
      <c r="FS161" s="42"/>
      <c r="FT161" s="42"/>
      <c r="FU161" s="42"/>
      <c r="FV161" s="42"/>
      <c r="FW161" s="42"/>
      <c r="FX161" s="42"/>
      <c r="FY161" s="42"/>
      <c r="FZ161" s="42"/>
      <c r="GA161" s="42"/>
      <c r="GB161" s="42"/>
      <c r="GC161" s="42"/>
      <c r="GD161" s="42"/>
      <c r="GE161" s="42"/>
      <c r="GF161" s="42"/>
      <c r="GG161" s="42"/>
      <c r="GH161" s="42"/>
      <c r="GI161" s="42"/>
      <c r="GJ161" s="42"/>
      <c r="GK161" s="42"/>
      <c r="GL161" s="42"/>
      <c r="GM161" s="42"/>
      <c r="GN161" s="42"/>
      <c r="GO161" s="42"/>
      <c r="GP161" s="42"/>
      <c r="GQ161" s="42"/>
      <c r="GR161" s="42"/>
      <c r="GS161" s="42"/>
      <c r="GT161" s="42"/>
      <c r="GU161" s="42"/>
      <c r="GV161" s="42"/>
      <c r="GW161" s="42"/>
      <c r="GX161" s="42"/>
      <c r="GY161" s="42"/>
      <c r="GZ161" s="42"/>
      <c r="HA161" s="42"/>
      <c r="HB161" s="42"/>
      <c r="HC161" s="42"/>
      <c r="HD161" s="42"/>
      <c r="HE161" s="42"/>
      <c r="HF161" s="42"/>
      <c r="HG161" s="42"/>
      <c r="HH161" s="42"/>
      <c r="HI161" s="42"/>
      <c r="HJ161" s="42"/>
      <c r="HK161" s="42"/>
      <c r="HL161" s="42"/>
      <c r="HM161" s="42"/>
      <c r="HN161" s="42"/>
      <c r="HO161" s="42"/>
      <c r="HP161" s="42"/>
      <c r="HQ161" s="42"/>
      <c r="HR161" s="42"/>
      <c r="HS161" s="42"/>
      <c r="HT161" s="42"/>
      <c r="HU161" s="42"/>
      <c r="HV161" s="42"/>
      <c r="HW161" s="42"/>
      <c r="HX161" s="42"/>
      <c r="HY161" s="42"/>
      <c r="HZ161" s="42"/>
      <c r="IA161" s="42"/>
      <c r="IB161" s="42"/>
      <c r="IC161" s="42"/>
      <c r="ID161" s="42"/>
      <c r="IE161" s="42"/>
      <c r="IF161" s="42"/>
      <c r="IG161" s="42"/>
      <c r="IH161" s="42"/>
      <c r="II161" s="42"/>
      <c r="IJ161" s="42"/>
      <c r="IK161" s="42"/>
      <c r="IL161" s="42"/>
      <c r="IM161" s="42"/>
      <c r="IN161" s="42"/>
      <c r="IO161" s="42"/>
      <c r="IP161" s="42"/>
      <c r="IQ161" s="42"/>
      <c r="IR161" s="42"/>
      <c r="IS161" s="42"/>
      <c r="IT161" s="42"/>
      <c r="IU161" s="42"/>
      <c r="IV161" s="42"/>
      <c r="IW161" s="42"/>
      <c r="IX161" s="42"/>
      <c r="IY161" s="42"/>
      <c r="IZ161" s="42"/>
      <c r="JA161" s="42"/>
      <c r="JB161" s="42"/>
      <c r="JC161" s="42"/>
      <c r="JD161" s="42"/>
      <c r="JE161" s="42"/>
      <c r="JF161" s="42"/>
      <c r="JG161" s="42"/>
      <c r="JH161" s="42"/>
      <c r="JI161" s="42"/>
      <c r="JJ161" s="42"/>
      <c r="JK161" s="42"/>
      <c r="JL161" s="42"/>
      <c r="JM161" s="42"/>
      <c r="JN161" s="42"/>
      <c r="JO161" s="42"/>
      <c r="JP161" s="42"/>
      <c r="JQ161" s="42"/>
      <c r="JR161" s="42"/>
      <c r="JS161" s="42"/>
      <c r="JT161" s="42"/>
      <c r="JU161" s="42"/>
      <c r="JV161" s="42"/>
      <c r="JW161" s="42"/>
      <c r="JX161" s="42"/>
      <c r="JY161" s="42"/>
      <c r="JZ161" s="42"/>
      <c r="KA161" s="42"/>
      <c r="KB161" s="42"/>
      <c r="KC161" s="42"/>
      <c r="KD161" s="42"/>
      <c r="KE161" s="42"/>
      <c r="KF161" s="42"/>
      <c r="KG161" s="42"/>
      <c r="KH161" s="42"/>
      <c r="KI161" s="42"/>
      <c r="KJ161" s="42"/>
      <c r="KK161" s="42"/>
      <c r="KL161" s="42"/>
      <c r="KM161" s="42"/>
      <c r="KN161" s="42"/>
      <c r="KO161" s="42"/>
      <c r="KP161" s="42"/>
      <c r="KQ161" s="42"/>
      <c r="KR161" s="42"/>
      <c r="KS161" s="42"/>
      <c r="KT161" s="42"/>
      <c r="KU161" s="42"/>
      <c r="KV161" s="42"/>
      <c r="KW161" s="42"/>
      <c r="KX161" s="42"/>
      <c r="KY161" s="42"/>
      <c r="KZ161" s="42"/>
      <c r="LA161" s="42"/>
      <c r="LB161" s="42"/>
      <c r="LC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42"/>
      <c r="BB162" s="42"/>
      <c r="BC162" s="42"/>
      <c r="BD162" s="42"/>
      <c r="BE162" s="42"/>
      <c r="BF162" s="42"/>
      <c r="BG162" s="42"/>
      <c r="BH162" s="42"/>
      <c r="BI162" s="42"/>
      <c r="BJ162" s="42"/>
      <c r="BK162" s="42"/>
      <c r="BL162" s="42"/>
      <c r="BM162" s="42"/>
      <c r="BN162" s="42"/>
      <c r="BO162" s="42"/>
      <c r="BP162" s="42"/>
      <c r="BQ162" s="42"/>
      <c r="BR162" s="42"/>
      <c r="BS162" s="42"/>
      <c r="BT162" s="42"/>
      <c r="BU162" s="42"/>
      <c r="BV162" s="42"/>
      <c r="BW162" s="42"/>
      <c r="BX162" s="42"/>
      <c r="BY162" s="42"/>
      <c r="BZ162" s="42"/>
      <c r="CA162" s="42"/>
      <c r="CB162" s="42"/>
      <c r="CC162" s="42"/>
      <c r="CD162" s="42"/>
      <c r="CE162" s="42"/>
      <c r="CF162" s="42"/>
      <c r="CG162" s="42"/>
      <c r="CH162" s="42"/>
      <c r="CI162" s="42"/>
      <c r="CJ162" s="42"/>
      <c r="CK162" s="42"/>
      <c r="CL162" s="42"/>
      <c r="CM162" s="42"/>
      <c r="CN162" s="42"/>
      <c r="CO162" s="42"/>
      <c r="CP162" s="42"/>
      <c r="CQ162" s="42"/>
      <c r="CR162" s="42"/>
      <c r="CS162" s="42"/>
      <c r="CT162" s="42"/>
      <c r="CU162" s="42"/>
      <c r="CV162" s="42"/>
      <c r="CW162" s="42"/>
      <c r="CX162" s="42"/>
      <c r="CY162" s="42"/>
      <c r="CZ162" s="42"/>
      <c r="DA162" s="42"/>
      <c r="DB162" s="42"/>
      <c r="DC162" s="42"/>
      <c r="DD162" s="42"/>
      <c r="DE162" s="42"/>
      <c r="DF162" s="42"/>
      <c r="DG162" s="42"/>
      <c r="DH162" s="42"/>
      <c r="DI162" s="42"/>
      <c r="DJ162" s="42"/>
      <c r="DK162" s="42"/>
      <c r="DL162" s="42"/>
      <c r="DM162" s="42"/>
      <c r="DN162" s="42"/>
      <c r="DO162" s="42"/>
      <c r="DP162" s="42"/>
      <c r="DQ162" s="42"/>
      <c r="DR162" s="42"/>
      <c r="DS162" s="42"/>
      <c r="DT162" s="42"/>
      <c r="DU162" s="42"/>
      <c r="DV162" s="42"/>
      <c r="DW162" s="42"/>
      <c r="DX162" s="42"/>
      <c r="DY162" s="42"/>
      <c r="DZ162" s="42"/>
      <c r="EA162" s="42"/>
      <c r="EB162" s="42"/>
      <c r="EC162" s="42"/>
      <c r="ED162" s="42"/>
      <c r="EE162" s="42"/>
      <c r="EF162" s="42"/>
      <c r="EG162" s="42"/>
      <c r="EH162" s="42"/>
      <c r="EI162" s="42"/>
      <c r="EJ162" s="42"/>
      <c r="EK162" s="42"/>
      <c r="EL162" s="42"/>
      <c r="EM162" s="42"/>
      <c r="EN162" s="42"/>
      <c r="EO162" s="42"/>
      <c r="EP162" s="42"/>
      <c r="EQ162" s="42"/>
      <c r="ER162" s="42"/>
      <c r="ES162" s="42"/>
      <c r="ET162" s="42"/>
      <c r="EU162" s="42"/>
      <c r="EV162" s="42"/>
      <c r="EW162" s="42"/>
      <c r="EX162" s="42"/>
      <c r="EY162" s="42"/>
      <c r="EZ162" s="42"/>
      <c r="FA162" s="42"/>
      <c r="FB162" s="42"/>
      <c r="FC162" s="42"/>
      <c r="FD162" s="42"/>
      <c r="FE162" s="42"/>
      <c r="FF162" s="42"/>
      <c r="FG162" s="42"/>
      <c r="FH162" s="42"/>
      <c r="FI162" s="42"/>
      <c r="FJ162" s="42"/>
      <c r="FK162" s="42"/>
      <c r="FL162" s="42"/>
      <c r="FM162" s="42"/>
      <c r="FN162" s="42"/>
      <c r="FO162" s="42"/>
      <c r="FP162" s="42"/>
      <c r="FQ162" s="42"/>
      <c r="FR162" s="42"/>
      <c r="FS162" s="42"/>
      <c r="FT162" s="42"/>
      <c r="FU162" s="42"/>
      <c r="FV162" s="42"/>
      <c r="FW162" s="42"/>
      <c r="FX162" s="42"/>
      <c r="FY162" s="42"/>
      <c r="FZ162" s="42"/>
      <c r="GA162" s="42"/>
      <c r="GB162" s="42"/>
      <c r="GC162" s="42"/>
      <c r="GD162" s="42"/>
      <c r="GE162" s="42"/>
      <c r="GF162" s="42"/>
      <c r="GG162" s="42"/>
      <c r="GH162" s="42"/>
      <c r="GI162" s="42"/>
      <c r="GJ162" s="42"/>
      <c r="GK162" s="42"/>
      <c r="GL162" s="42"/>
      <c r="GM162" s="42"/>
      <c r="GN162" s="42"/>
      <c r="GO162" s="42"/>
      <c r="GP162" s="42"/>
      <c r="GQ162" s="42"/>
      <c r="GR162" s="42"/>
      <c r="GS162" s="42"/>
      <c r="GT162" s="42"/>
      <c r="GU162" s="42"/>
      <c r="GV162" s="42"/>
      <c r="GW162" s="42"/>
      <c r="GX162" s="42"/>
      <c r="GY162" s="42"/>
      <c r="GZ162" s="42"/>
      <c r="HA162" s="42"/>
      <c r="HB162" s="42"/>
      <c r="HC162" s="42"/>
      <c r="HD162" s="42"/>
      <c r="HE162" s="42"/>
      <c r="HF162" s="42"/>
      <c r="HG162" s="42"/>
      <c r="HH162" s="42"/>
      <c r="HI162" s="42"/>
      <c r="HJ162" s="42"/>
      <c r="HK162" s="42"/>
      <c r="HL162" s="42"/>
      <c r="HM162" s="42"/>
      <c r="HN162" s="42"/>
      <c r="HO162" s="42"/>
      <c r="HP162" s="42"/>
      <c r="HQ162" s="42"/>
      <c r="HR162" s="42"/>
      <c r="HS162" s="42"/>
      <c r="HT162" s="42"/>
      <c r="HU162" s="42"/>
      <c r="HV162" s="42"/>
      <c r="HW162" s="42"/>
      <c r="HX162" s="42"/>
      <c r="HY162" s="42"/>
      <c r="HZ162" s="42"/>
      <c r="IA162" s="42"/>
      <c r="IB162" s="42"/>
      <c r="IC162" s="42"/>
      <c r="ID162" s="42"/>
      <c r="IE162" s="42"/>
      <c r="IF162" s="42"/>
      <c r="IG162" s="42"/>
      <c r="IH162" s="42"/>
      <c r="II162" s="42"/>
      <c r="IJ162" s="42"/>
      <c r="IK162" s="42"/>
      <c r="IL162" s="42"/>
      <c r="IM162" s="42"/>
      <c r="IN162" s="42"/>
      <c r="IO162" s="42"/>
      <c r="IP162" s="42"/>
      <c r="IQ162" s="42"/>
      <c r="IR162" s="42"/>
      <c r="IS162" s="42"/>
      <c r="IT162" s="42"/>
      <c r="IU162" s="42"/>
      <c r="IV162" s="42"/>
      <c r="IW162" s="42"/>
      <c r="IX162" s="42"/>
      <c r="IY162" s="42"/>
      <c r="IZ162" s="42"/>
      <c r="JA162" s="42"/>
      <c r="JB162" s="42"/>
      <c r="JC162" s="42"/>
      <c r="JD162" s="42"/>
      <c r="JE162" s="42"/>
      <c r="JF162" s="42"/>
      <c r="JG162" s="42"/>
      <c r="JH162" s="42"/>
      <c r="JI162" s="42"/>
      <c r="JJ162" s="42"/>
      <c r="JK162" s="42"/>
      <c r="JL162" s="42"/>
      <c r="JM162" s="42"/>
      <c r="JN162" s="42"/>
      <c r="JO162" s="42"/>
      <c r="JP162" s="42"/>
      <c r="JQ162" s="42"/>
      <c r="JR162" s="42"/>
      <c r="JS162" s="42"/>
      <c r="JT162" s="42"/>
      <c r="JU162" s="42"/>
      <c r="JV162" s="42"/>
      <c r="JW162" s="42"/>
      <c r="JX162" s="42"/>
      <c r="JY162" s="42"/>
      <c r="JZ162" s="42"/>
      <c r="KA162" s="42"/>
      <c r="KB162" s="42"/>
      <c r="KC162" s="42"/>
      <c r="KD162" s="42"/>
      <c r="KE162" s="42"/>
      <c r="KF162" s="42"/>
      <c r="KG162" s="42"/>
      <c r="KH162" s="42"/>
      <c r="KI162" s="42"/>
      <c r="KJ162" s="42"/>
      <c r="KK162" s="42"/>
      <c r="KL162" s="42"/>
      <c r="KM162" s="42"/>
      <c r="KN162" s="42"/>
      <c r="KO162" s="42"/>
      <c r="KP162" s="42"/>
      <c r="KQ162" s="42"/>
      <c r="KR162" s="42"/>
      <c r="KS162" s="42"/>
      <c r="KT162" s="42"/>
      <c r="KU162" s="42"/>
      <c r="KV162" s="42"/>
      <c r="KW162" s="42"/>
      <c r="KX162" s="42"/>
      <c r="KY162" s="42"/>
      <c r="KZ162" s="42"/>
      <c r="LA162" s="42"/>
      <c r="LB162" s="42"/>
      <c r="LC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c r="BR163" s="42"/>
      <c r="BS163" s="42"/>
      <c r="BT163" s="42"/>
      <c r="BU163" s="42"/>
      <c r="BV163" s="42"/>
      <c r="BW163" s="42"/>
      <c r="BX163" s="42"/>
      <c r="BY163" s="42"/>
      <c r="BZ163" s="42"/>
      <c r="CA163" s="42"/>
      <c r="CB163" s="42"/>
      <c r="CC163" s="42"/>
      <c r="CD163" s="42"/>
      <c r="CE163" s="42"/>
      <c r="CF163" s="42"/>
      <c r="CG163" s="42"/>
      <c r="CH163" s="42"/>
      <c r="CI163" s="42"/>
      <c r="CJ163" s="42"/>
      <c r="CK163" s="42"/>
      <c r="CL163" s="42"/>
      <c r="CM163" s="42"/>
      <c r="CN163" s="42"/>
      <c r="CO163" s="42"/>
      <c r="CP163" s="42"/>
      <c r="CQ163" s="42"/>
      <c r="CR163" s="42"/>
      <c r="CS163" s="42"/>
      <c r="CT163" s="42"/>
      <c r="CU163" s="42"/>
      <c r="CV163" s="42"/>
      <c r="CW163" s="42"/>
      <c r="CX163" s="42"/>
      <c r="CY163" s="42"/>
      <c r="CZ163" s="42"/>
      <c r="DA163" s="42"/>
      <c r="DB163" s="42"/>
      <c r="DC163" s="42"/>
      <c r="DD163" s="42"/>
      <c r="DE163" s="42"/>
      <c r="DF163" s="42"/>
      <c r="DG163" s="42"/>
      <c r="DH163" s="42"/>
      <c r="DI163" s="42"/>
      <c r="DJ163" s="42"/>
      <c r="DK163" s="42"/>
      <c r="DL163" s="42"/>
      <c r="DM163" s="42"/>
      <c r="DN163" s="42"/>
      <c r="DO163" s="42"/>
      <c r="DP163" s="42"/>
      <c r="DQ163" s="42"/>
      <c r="DR163" s="42"/>
      <c r="DS163" s="42"/>
      <c r="DT163" s="42"/>
      <c r="DU163" s="42"/>
      <c r="DV163" s="42"/>
      <c r="DW163" s="42"/>
      <c r="DX163" s="42"/>
      <c r="DY163" s="42"/>
      <c r="DZ163" s="42"/>
      <c r="EA163" s="42"/>
      <c r="EB163" s="42"/>
      <c r="EC163" s="42"/>
      <c r="ED163" s="42"/>
      <c r="EE163" s="42"/>
      <c r="EF163" s="42"/>
      <c r="EG163" s="42"/>
      <c r="EH163" s="42"/>
      <c r="EI163" s="42"/>
      <c r="EJ163" s="42"/>
      <c r="EK163" s="42"/>
      <c r="EL163" s="42"/>
      <c r="EM163" s="42"/>
      <c r="EN163" s="42"/>
      <c r="EO163" s="42"/>
      <c r="EP163" s="42"/>
      <c r="EQ163" s="42"/>
      <c r="ER163" s="42"/>
      <c r="ES163" s="42"/>
      <c r="ET163" s="42"/>
      <c r="EU163" s="42"/>
      <c r="EV163" s="42"/>
      <c r="EW163" s="42"/>
      <c r="EX163" s="42"/>
      <c r="EY163" s="42"/>
      <c r="EZ163" s="42"/>
      <c r="FA163" s="42"/>
      <c r="FB163" s="42"/>
      <c r="FC163" s="42"/>
      <c r="FD163" s="42"/>
      <c r="FE163" s="42"/>
      <c r="FF163" s="42"/>
      <c r="FG163" s="42"/>
      <c r="FH163" s="42"/>
      <c r="FI163" s="42"/>
      <c r="FJ163" s="42"/>
      <c r="FK163" s="42"/>
      <c r="FL163" s="42"/>
      <c r="FM163" s="42"/>
      <c r="FN163" s="42"/>
      <c r="FO163" s="42"/>
      <c r="FP163" s="42"/>
      <c r="FQ163" s="42"/>
      <c r="FR163" s="42"/>
      <c r="FS163" s="42"/>
      <c r="FT163" s="42"/>
      <c r="FU163" s="42"/>
      <c r="FV163" s="42"/>
      <c r="FW163" s="42"/>
      <c r="FX163" s="42"/>
      <c r="FY163" s="42"/>
      <c r="FZ163" s="42"/>
      <c r="GA163" s="42"/>
      <c r="GB163" s="42"/>
      <c r="GC163" s="42"/>
      <c r="GD163" s="42"/>
      <c r="GE163" s="42"/>
      <c r="GF163" s="42"/>
      <c r="GG163" s="42"/>
      <c r="GH163" s="42"/>
      <c r="GI163" s="42"/>
      <c r="GJ163" s="42"/>
      <c r="GK163" s="42"/>
      <c r="GL163" s="42"/>
      <c r="GM163" s="42"/>
      <c r="GN163" s="42"/>
      <c r="GO163" s="42"/>
      <c r="GP163" s="42"/>
      <c r="GQ163" s="42"/>
      <c r="GR163" s="42"/>
      <c r="GS163" s="42"/>
      <c r="GT163" s="42"/>
      <c r="GU163" s="42"/>
      <c r="GV163" s="42"/>
      <c r="GW163" s="42"/>
      <c r="GX163" s="42"/>
      <c r="GY163" s="42"/>
      <c r="GZ163" s="42"/>
      <c r="HA163" s="42"/>
      <c r="HB163" s="42"/>
      <c r="HC163" s="42"/>
      <c r="HD163" s="42"/>
      <c r="HE163" s="42"/>
      <c r="HF163" s="42"/>
      <c r="HG163" s="42"/>
      <c r="HH163" s="42"/>
      <c r="HI163" s="42"/>
      <c r="HJ163" s="42"/>
      <c r="HK163" s="42"/>
      <c r="HL163" s="42"/>
      <c r="HM163" s="42"/>
      <c r="HN163" s="42"/>
      <c r="HO163" s="42"/>
      <c r="HP163" s="42"/>
      <c r="HQ163" s="42"/>
      <c r="HR163" s="42"/>
      <c r="HS163" s="42"/>
      <c r="HT163" s="42"/>
      <c r="HU163" s="42"/>
      <c r="HV163" s="42"/>
      <c r="HW163" s="42"/>
      <c r="HX163" s="42"/>
      <c r="HY163" s="42"/>
      <c r="HZ163" s="42"/>
      <c r="IA163" s="42"/>
      <c r="IB163" s="42"/>
      <c r="IC163" s="42"/>
      <c r="ID163" s="42"/>
      <c r="IE163" s="42"/>
      <c r="IF163" s="42"/>
      <c r="IG163" s="42"/>
      <c r="IH163" s="42"/>
      <c r="II163" s="42"/>
      <c r="IJ163" s="42"/>
      <c r="IK163" s="42"/>
      <c r="IL163" s="42"/>
      <c r="IM163" s="42"/>
      <c r="IN163" s="42"/>
      <c r="IO163" s="42"/>
      <c r="IP163" s="42"/>
      <c r="IQ163" s="42"/>
      <c r="IR163" s="42"/>
      <c r="IS163" s="42"/>
      <c r="IT163" s="42"/>
      <c r="IU163" s="42"/>
      <c r="IV163" s="42"/>
      <c r="IW163" s="42"/>
      <c r="IX163" s="42"/>
      <c r="IY163" s="42"/>
      <c r="IZ163" s="42"/>
      <c r="JA163" s="42"/>
      <c r="JB163" s="42"/>
      <c r="JC163" s="42"/>
      <c r="JD163" s="42"/>
      <c r="JE163" s="42"/>
      <c r="JF163" s="42"/>
      <c r="JG163" s="42"/>
      <c r="JH163" s="42"/>
      <c r="JI163" s="42"/>
      <c r="JJ163" s="42"/>
      <c r="JK163" s="42"/>
      <c r="JL163" s="42"/>
      <c r="JM163" s="42"/>
      <c r="JN163" s="42"/>
      <c r="JO163" s="42"/>
      <c r="JP163" s="42"/>
      <c r="JQ163" s="42"/>
      <c r="JR163" s="42"/>
      <c r="JS163" s="42"/>
      <c r="JT163" s="42"/>
      <c r="JU163" s="42"/>
      <c r="JV163" s="42"/>
      <c r="JW163" s="42"/>
      <c r="JX163" s="42"/>
      <c r="JY163" s="42"/>
      <c r="JZ163" s="42"/>
      <c r="KA163" s="42"/>
      <c r="KB163" s="42"/>
      <c r="KC163" s="42"/>
      <c r="KD163" s="42"/>
      <c r="KE163" s="42"/>
      <c r="KF163" s="42"/>
      <c r="KG163" s="42"/>
      <c r="KH163" s="42"/>
      <c r="KI163" s="42"/>
      <c r="KJ163" s="42"/>
      <c r="KK163" s="42"/>
      <c r="KL163" s="42"/>
      <c r="KM163" s="42"/>
      <c r="KN163" s="42"/>
      <c r="KO163" s="42"/>
      <c r="KP163" s="42"/>
      <c r="KQ163" s="42"/>
      <c r="KR163" s="42"/>
      <c r="KS163" s="42"/>
      <c r="KT163" s="42"/>
      <c r="KU163" s="42"/>
      <c r="KV163" s="42"/>
      <c r="KW163" s="42"/>
      <c r="KX163" s="42"/>
      <c r="KY163" s="42"/>
      <c r="KZ163" s="42"/>
      <c r="LA163" s="42"/>
      <c r="LB163" s="42"/>
      <c r="LC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42"/>
      <c r="BB164" s="42"/>
      <c r="BC164" s="42"/>
      <c r="BD164" s="42"/>
      <c r="BE164" s="42"/>
      <c r="BF164" s="42"/>
      <c r="BG164" s="42"/>
      <c r="BH164" s="42"/>
      <c r="BI164" s="42"/>
      <c r="BJ164" s="42"/>
      <c r="BK164" s="42"/>
      <c r="BL164" s="42"/>
      <c r="BM164" s="42"/>
      <c r="BN164" s="42"/>
      <c r="BO164" s="42"/>
      <c r="BP164" s="42"/>
      <c r="BQ164" s="42"/>
      <c r="BR164" s="42"/>
      <c r="BS164" s="42"/>
      <c r="BT164" s="42"/>
      <c r="BU164" s="42"/>
      <c r="BV164" s="42"/>
      <c r="BW164" s="42"/>
      <c r="BX164" s="42"/>
      <c r="BY164" s="42"/>
      <c r="BZ164" s="42"/>
      <c r="CA164" s="42"/>
      <c r="CB164" s="42"/>
      <c r="CC164" s="42"/>
      <c r="CD164" s="42"/>
      <c r="CE164" s="42"/>
      <c r="CF164" s="42"/>
      <c r="CG164" s="42"/>
      <c r="CH164" s="42"/>
      <c r="CI164" s="42"/>
      <c r="CJ164" s="42"/>
      <c r="CK164" s="42"/>
      <c r="CL164" s="42"/>
      <c r="CM164" s="42"/>
      <c r="CN164" s="42"/>
      <c r="CO164" s="42"/>
      <c r="CP164" s="42"/>
      <c r="CQ164" s="42"/>
      <c r="CR164" s="42"/>
      <c r="CS164" s="42"/>
      <c r="CT164" s="42"/>
      <c r="CU164" s="42"/>
      <c r="CV164" s="42"/>
      <c r="CW164" s="42"/>
      <c r="CX164" s="42"/>
      <c r="CY164" s="42"/>
      <c r="CZ164" s="42"/>
      <c r="DA164" s="42"/>
      <c r="DB164" s="42"/>
      <c r="DC164" s="42"/>
      <c r="DD164" s="42"/>
      <c r="DE164" s="42"/>
      <c r="DF164" s="42"/>
      <c r="DG164" s="42"/>
      <c r="DH164" s="42"/>
      <c r="DI164" s="42"/>
      <c r="DJ164" s="42"/>
      <c r="DK164" s="42"/>
      <c r="DL164" s="42"/>
      <c r="DM164" s="42"/>
      <c r="DN164" s="42"/>
      <c r="DO164" s="42"/>
      <c r="DP164" s="42"/>
      <c r="DQ164" s="42"/>
      <c r="DR164" s="42"/>
      <c r="DS164" s="42"/>
      <c r="DT164" s="42"/>
      <c r="DU164" s="42"/>
      <c r="DV164" s="42"/>
      <c r="DW164" s="42"/>
      <c r="DX164" s="42"/>
      <c r="DY164" s="42"/>
      <c r="DZ164" s="42"/>
      <c r="EA164" s="42"/>
      <c r="EB164" s="42"/>
      <c r="EC164" s="42"/>
      <c r="ED164" s="42"/>
      <c r="EE164" s="42"/>
      <c r="EF164" s="42"/>
      <c r="EG164" s="42"/>
      <c r="EH164" s="42"/>
      <c r="EI164" s="42"/>
      <c r="EJ164" s="42"/>
      <c r="EK164" s="42"/>
      <c r="EL164" s="42"/>
      <c r="EM164" s="42"/>
      <c r="EN164" s="42"/>
      <c r="EO164" s="42"/>
      <c r="EP164" s="42"/>
      <c r="EQ164" s="42"/>
      <c r="ER164" s="42"/>
      <c r="ES164" s="42"/>
      <c r="ET164" s="42"/>
      <c r="EU164" s="42"/>
      <c r="EV164" s="42"/>
      <c r="EW164" s="42"/>
      <c r="EX164" s="42"/>
      <c r="EY164" s="42"/>
      <c r="EZ164" s="42"/>
      <c r="FA164" s="42"/>
      <c r="FB164" s="42"/>
      <c r="FC164" s="42"/>
      <c r="FD164" s="42"/>
      <c r="FE164" s="42"/>
      <c r="FF164" s="42"/>
      <c r="FG164" s="42"/>
      <c r="FH164" s="42"/>
      <c r="FI164" s="42"/>
      <c r="FJ164" s="42"/>
      <c r="FK164" s="42"/>
      <c r="FL164" s="42"/>
      <c r="FM164" s="42"/>
      <c r="FN164" s="42"/>
      <c r="FO164" s="42"/>
      <c r="FP164" s="42"/>
      <c r="FQ164" s="42"/>
      <c r="FR164" s="42"/>
      <c r="FS164" s="42"/>
      <c r="FT164" s="42"/>
      <c r="FU164" s="42"/>
      <c r="FV164" s="42"/>
      <c r="FW164" s="42"/>
      <c r="FX164" s="42"/>
      <c r="FY164" s="42"/>
      <c r="FZ164" s="42"/>
      <c r="GA164" s="42"/>
      <c r="GB164" s="42"/>
      <c r="GC164" s="42"/>
      <c r="GD164" s="42"/>
      <c r="GE164" s="42"/>
      <c r="GF164" s="42"/>
      <c r="GG164" s="42"/>
      <c r="GH164" s="42"/>
      <c r="GI164" s="42"/>
      <c r="GJ164" s="42"/>
      <c r="GK164" s="42"/>
      <c r="GL164" s="42"/>
      <c r="GM164" s="42"/>
      <c r="GN164" s="42"/>
      <c r="GO164" s="42"/>
      <c r="GP164" s="42"/>
      <c r="GQ164" s="42"/>
      <c r="GR164" s="42"/>
      <c r="GS164" s="42"/>
      <c r="GT164" s="42"/>
      <c r="GU164" s="42"/>
      <c r="GV164" s="42"/>
      <c r="GW164" s="42"/>
      <c r="GX164" s="42"/>
      <c r="GY164" s="42"/>
      <c r="GZ164" s="42"/>
      <c r="HA164" s="42"/>
      <c r="HB164" s="42"/>
      <c r="HC164" s="42"/>
      <c r="HD164" s="42"/>
      <c r="HE164" s="42"/>
      <c r="HF164" s="42"/>
      <c r="HG164" s="42"/>
      <c r="HH164" s="42"/>
      <c r="HI164" s="42"/>
      <c r="HJ164" s="42"/>
      <c r="HK164" s="42"/>
      <c r="HL164" s="42"/>
      <c r="HM164" s="42"/>
      <c r="HN164" s="42"/>
      <c r="HO164" s="42"/>
      <c r="HP164" s="42"/>
      <c r="HQ164" s="42"/>
      <c r="HR164" s="42"/>
      <c r="HS164" s="42"/>
      <c r="HT164" s="42"/>
      <c r="HU164" s="42"/>
      <c r="HV164" s="42"/>
      <c r="HW164" s="42"/>
      <c r="HX164" s="42"/>
      <c r="HY164" s="42"/>
      <c r="HZ164" s="42"/>
      <c r="IA164" s="42"/>
      <c r="IB164" s="42"/>
      <c r="IC164" s="42"/>
      <c r="ID164" s="42"/>
      <c r="IE164" s="42"/>
      <c r="IF164" s="42"/>
      <c r="IG164" s="42"/>
      <c r="IH164" s="42"/>
      <c r="II164" s="42"/>
      <c r="IJ164" s="42"/>
      <c r="IK164" s="42"/>
      <c r="IL164" s="42"/>
      <c r="IM164" s="42"/>
      <c r="IN164" s="42"/>
      <c r="IO164" s="42"/>
      <c r="IP164" s="42"/>
      <c r="IQ164" s="42"/>
      <c r="IR164" s="42"/>
      <c r="IS164" s="42"/>
      <c r="IT164" s="42"/>
      <c r="IU164" s="42"/>
      <c r="IV164" s="42"/>
      <c r="IW164" s="42"/>
      <c r="IX164" s="42"/>
      <c r="IY164" s="42"/>
      <c r="IZ164" s="42"/>
      <c r="JA164" s="42"/>
      <c r="JB164" s="42"/>
      <c r="JC164" s="42"/>
      <c r="JD164" s="42"/>
      <c r="JE164" s="42"/>
      <c r="JF164" s="42"/>
      <c r="JG164" s="42"/>
      <c r="JH164" s="42"/>
      <c r="JI164" s="42"/>
      <c r="JJ164" s="42"/>
      <c r="JK164" s="42"/>
      <c r="JL164" s="42"/>
      <c r="JM164" s="42"/>
      <c r="JN164" s="42"/>
      <c r="JO164" s="42"/>
      <c r="JP164" s="42"/>
      <c r="JQ164" s="42"/>
      <c r="JR164" s="42"/>
      <c r="JS164" s="42"/>
      <c r="JT164" s="42"/>
      <c r="JU164" s="42"/>
      <c r="JV164" s="42"/>
      <c r="JW164" s="42"/>
      <c r="JX164" s="42"/>
      <c r="JY164" s="42"/>
      <c r="JZ164" s="42"/>
      <c r="KA164" s="42"/>
      <c r="KB164" s="42"/>
      <c r="KC164" s="42"/>
      <c r="KD164" s="42"/>
      <c r="KE164" s="42"/>
      <c r="KF164" s="42"/>
      <c r="KG164" s="42"/>
      <c r="KH164" s="42"/>
      <c r="KI164" s="42"/>
      <c r="KJ164" s="42"/>
      <c r="KK164" s="42"/>
      <c r="KL164" s="42"/>
      <c r="KM164" s="42"/>
      <c r="KN164" s="42"/>
      <c r="KO164" s="42"/>
      <c r="KP164" s="42"/>
      <c r="KQ164" s="42"/>
      <c r="KR164" s="42"/>
      <c r="KS164" s="42"/>
      <c r="KT164" s="42"/>
      <c r="KU164" s="42"/>
      <c r="KV164" s="42"/>
      <c r="KW164" s="42"/>
      <c r="KX164" s="42"/>
      <c r="KY164" s="42"/>
      <c r="KZ164" s="42"/>
      <c r="LA164" s="42"/>
      <c r="LB164" s="42"/>
      <c r="LC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42"/>
      <c r="BB165" s="42"/>
      <c r="BC165" s="42"/>
      <c r="BD165" s="42"/>
      <c r="BE165" s="42"/>
      <c r="BF165" s="42"/>
      <c r="BG165" s="42"/>
      <c r="BH165" s="42"/>
      <c r="BI165" s="42"/>
      <c r="BJ165" s="42"/>
      <c r="BK165" s="42"/>
      <c r="BL165" s="42"/>
      <c r="BM165" s="42"/>
      <c r="BN165" s="42"/>
      <c r="BO165" s="42"/>
      <c r="BP165" s="42"/>
      <c r="BQ165" s="42"/>
      <c r="BR165" s="42"/>
      <c r="BS165" s="42"/>
      <c r="BT165" s="42"/>
      <c r="BU165" s="42"/>
      <c r="BV165" s="42"/>
      <c r="BW165" s="42"/>
      <c r="BX165" s="42"/>
      <c r="BY165" s="42"/>
      <c r="BZ165" s="42"/>
      <c r="CA165" s="42"/>
      <c r="CB165" s="42"/>
      <c r="CC165" s="42"/>
      <c r="CD165" s="42"/>
      <c r="CE165" s="42"/>
      <c r="CF165" s="42"/>
      <c r="CG165" s="42"/>
      <c r="CH165" s="42"/>
      <c r="CI165" s="42"/>
      <c r="CJ165" s="42"/>
      <c r="CK165" s="42"/>
      <c r="CL165" s="42"/>
      <c r="CM165" s="42"/>
      <c r="CN165" s="42"/>
      <c r="CO165" s="42"/>
      <c r="CP165" s="42"/>
      <c r="CQ165" s="42"/>
      <c r="CR165" s="42"/>
      <c r="CS165" s="42"/>
      <c r="CT165" s="42"/>
      <c r="CU165" s="42"/>
      <c r="CV165" s="42"/>
      <c r="CW165" s="42"/>
      <c r="CX165" s="42"/>
      <c r="CY165" s="42"/>
      <c r="CZ165" s="42"/>
      <c r="DA165" s="42"/>
      <c r="DB165" s="42"/>
      <c r="DC165" s="42"/>
      <c r="DD165" s="42"/>
      <c r="DE165" s="42"/>
      <c r="DF165" s="42"/>
      <c r="DG165" s="42"/>
      <c r="DH165" s="42"/>
      <c r="DI165" s="42"/>
      <c r="DJ165" s="42"/>
      <c r="DK165" s="42"/>
      <c r="DL165" s="42"/>
      <c r="DM165" s="42"/>
      <c r="DN165" s="42"/>
      <c r="DO165" s="42"/>
      <c r="DP165" s="42"/>
      <c r="DQ165" s="42"/>
      <c r="DR165" s="42"/>
      <c r="DS165" s="42"/>
      <c r="DT165" s="42"/>
      <c r="DU165" s="42"/>
      <c r="DV165" s="42"/>
      <c r="DW165" s="42"/>
      <c r="DX165" s="42"/>
      <c r="DY165" s="42"/>
      <c r="DZ165" s="42"/>
      <c r="EA165" s="42"/>
      <c r="EB165" s="42"/>
      <c r="EC165" s="42"/>
      <c r="ED165" s="42"/>
      <c r="EE165" s="42"/>
      <c r="EF165" s="42"/>
      <c r="EG165" s="42"/>
      <c r="EH165" s="42"/>
      <c r="EI165" s="42"/>
      <c r="EJ165" s="42"/>
      <c r="EK165" s="42"/>
      <c r="EL165" s="42"/>
      <c r="EM165" s="42"/>
      <c r="EN165" s="42"/>
      <c r="EO165" s="42"/>
      <c r="EP165" s="42"/>
      <c r="EQ165" s="42"/>
      <c r="ER165" s="42"/>
      <c r="ES165" s="42"/>
      <c r="ET165" s="42"/>
      <c r="EU165" s="42"/>
      <c r="EV165" s="42"/>
      <c r="EW165" s="42"/>
      <c r="EX165" s="42"/>
      <c r="EY165" s="42"/>
      <c r="EZ165" s="42"/>
      <c r="FA165" s="42"/>
      <c r="FB165" s="42"/>
      <c r="FC165" s="42"/>
      <c r="FD165" s="42"/>
      <c r="FE165" s="42"/>
      <c r="FF165" s="42"/>
      <c r="FG165" s="42"/>
      <c r="FH165" s="42"/>
      <c r="FI165" s="42"/>
      <c r="FJ165" s="42"/>
      <c r="FK165" s="42"/>
      <c r="FL165" s="42"/>
      <c r="FM165" s="42"/>
      <c r="FN165" s="42"/>
      <c r="FO165" s="42"/>
      <c r="FP165" s="42"/>
      <c r="FQ165" s="42"/>
      <c r="FR165" s="42"/>
      <c r="FS165" s="42"/>
      <c r="FT165" s="42"/>
      <c r="FU165" s="42"/>
      <c r="FV165" s="42"/>
      <c r="FW165" s="42"/>
      <c r="FX165" s="42"/>
      <c r="FY165" s="42"/>
      <c r="FZ165" s="42"/>
      <c r="GA165" s="42"/>
      <c r="GB165" s="42"/>
      <c r="GC165" s="42"/>
      <c r="GD165" s="42"/>
      <c r="GE165" s="42"/>
      <c r="GF165" s="42"/>
      <c r="GG165" s="42"/>
      <c r="GH165" s="42"/>
      <c r="GI165" s="42"/>
      <c r="GJ165" s="42"/>
      <c r="GK165" s="42"/>
      <c r="GL165" s="42"/>
      <c r="GM165" s="42"/>
      <c r="GN165" s="42"/>
      <c r="GO165" s="42"/>
      <c r="GP165" s="42"/>
      <c r="GQ165" s="42"/>
      <c r="GR165" s="42"/>
      <c r="GS165" s="42"/>
      <c r="GT165" s="42"/>
      <c r="GU165" s="42"/>
      <c r="GV165" s="42"/>
      <c r="GW165" s="42"/>
      <c r="GX165" s="42"/>
      <c r="GY165" s="42"/>
      <c r="GZ165" s="42"/>
      <c r="HA165" s="42"/>
      <c r="HB165" s="42"/>
      <c r="HC165" s="42"/>
      <c r="HD165" s="42"/>
      <c r="HE165" s="42"/>
      <c r="HF165" s="42"/>
      <c r="HG165" s="42"/>
      <c r="HH165" s="42"/>
      <c r="HI165" s="42"/>
      <c r="HJ165" s="42"/>
      <c r="HK165" s="42"/>
      <c r="HL165" s="42"/>
      <c r="HM165" s="42"/>
      <c r="HN165" s="42"/>
      <c r="HO165" s="42"/>
      <c r="HP165" s="42"/>
      <c r="HQ165" s="42"/>
      <c r="HR165" s="42"/>
      <c r="HS165" s="42"/>
      <c r="HT165" s="42"/>
      <c r="HU165" s="42"/>
      <c r="HV165" s="42"/>
      <c r="HW165" s="42"/>
      <c r="HX165" s="42"/>
      <c r="HY165" s="42"/>
      <c r="HZ165" s="42"/>
      <c r="IA165" s="42"/>
      <c r="IB165" s="42"/>
      <c r="IC165" s="42"/>
      <c r="ID165" s="42"/>
      <c r="IE165" s="42"/>
      <c r="IF165" s="42"/>
      <c r="IG165" s="42"/>
      <c r="IH165" s="42"/>
      <c r="II165" s="42"/>
      <c r="IJ165" s="42"/>
      <c r="IK165" s="42"/>
      <c r="IL165" s="42"/>
      <c r="IM165" s="42"/>
      <c r="IN165" s="42"/>
      <c r="IO165" s="42"/>
      <c r="IP165" s="42"/>
      <c r="IQ165" s="42"/>
      <c r="IR165" s="42"/>
      <c r="IS165" s="42"/>
      <c r="IT165" s="42"/>
      <c r="IU165" s="42"/>
      <c r="IV165" s="42"/>
      <c r="IW165" s="42"/>
      <c r="IX165" s="42"/>
      <c r="IY165" s="42"/>
      <c r="IZ165" s="42"/>
      <c r="JA165" s="42"/>
      <c r="JB165" s="42"/>
      <c r="JC165" s="42"/>
      <c r="JD165" s="42"/>
      <c r="JE165" s="42"/>
      <c r="JF165" s="42"/>
      <c r="JG165" s="42"/>
      <c r="JH165" s="42"/>
      <c r="JI165" s="42"/>
      <c r="JJ165" s="42"/>
      <c r="JK165" s="42"/>
      <c r="JL165" s="42"/>
      <c r="JM165" s="42"/>
      <c r="JN165" s="42"/>
      <c r="JO165" s="42"/>
      <c r="JP165" s="42"/>
      <c r="JQ165" s="42"/>
      <c r="JR165" s="42"/>
      <c r="JS165" s="42"/>
      <c r="JT165" s="42"/>
      <c r="JU165" s="42"/>
      <c r="JV165" s="42"/>
      <c r="JW165" s="42"/>
      <c r="JX165" s="42"/>
      <c r="JY165" s="42"/>
      <c r="JZ165" s="42"/>
      <c r="KA165" s="42"/>
      <c r="KB165" s="42"/>
      <c r="KC165" s="42"/>
      <c r="KD165" s="42"/>
      <c r="KE165" s="42"/>
      <c r="KF165" s="42"/>
      <c r="KG165" s="42"/>
      <c r="KH165" s="42"/>
      <c r="KI165" s="42"/>
      <c r="KJ165" s="42"/>
      <c r="KK165" s="42"/>
      <c r="KL165" s="42"/>
      <c r="KM165" s="42"/>
      <c r="KN165" s="42"/>
      <c r="KO165" s="42"/>
      <c r="KP165" s="42"/>
      <c r="KQ165" s="42"/>
      <c r="KR165" s="42"/>
      <c r="KS165" s="42"/>
      <c r="KT165" s="42"/>
      <c r="KU165" s="42"/>
      <c r="KV165" s="42"/>
      <c r="KW165" s="42"/>
      <c r="KX165" s="42"/>
      <c r="KY165" s="42"/>
      <c r="KZ165" s="42"/>
      <c r="LA165" s="42"/>
      <c r="LB165" s="42"/>
      <c r="LC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42"/>
      <c r="BB166" s="42"/>
      <c r="BC166" s="42"/>
      <c r="BD166" s="42"/>
      <c r="BE166" s="42"/>
      <c r="BF166" s="42"/>
      <c r="BG166" s="42"/>
      <c r="BH166" s="42"/>
      <c r="BI166" s="42"/>
      <c r="BJ166" s="42"/>
      <c r="BK166" s="42"/>
      <c r="BL166" s="42"/>
      <c r="BM166" s="42"/>
      <c r="BN166" s="42"/>
      <c r="BO166" s="42"/>
      <c r="BP166" s="42"/>
      <c r="BQ166" s="42"/>
      <c r="BR166" s="42"/>
      <c r="BS166" s="42"/>
      <c r="BT166" s="42"/>
      <c r="BU166" s="42"/>
      <c r="BV166" s="42"/>
      <c r="BW166" s="42"/>
      <c r="BX166" s="42"/>
      <c r="BY166" s="42"/>
      <c r="BZ166" s="42"/>
      <c r="CA166" s="42"/>
      <c r="CB166" s="42"/>
      <c r="CC166" s="42"/>
      <c r="CD166" s="42"/>
      <c r="CE166" s="42"/>
      <c r="CF166" s="42"/>
      <c r="CG166" s="42"/>
      <c r="CH166" s="42"/>
      <c r="CI166" s="42"/>
      <c r="CJ166" s="42"/>
      <c r="CK166" s="42"/>
      <c r="CL166" s="42"/>
      <c r="CM166" s="42"/>
      <c r="CN166" s="42"/>
      <c r="CO166" s="42"/>
      <c r="CP166" s="42"/>
      <c r="CQ166" s="42"/>
      <c r="CR166" s="42"/>
      <c r="CS166" s="42"/>
      <c r="CT166" s="42"/>
      <c r="CU166" s="42"/>
      <c r="CV166" s="42"/>
      <c r="CW166" s="42"/>
      <c r="CX166" s="42"/>
      <c r="CY166" s="42"/>
      <c r="CZ166" s="42"/>
      <c r="DA166" s="42"/>
      <c r="DB166" s="42"/>
      <c r="DC166" s="42"/>
      <c r="DD166" s="42"/>
      <c r="DE166" s="42"/>
      <c r="DF166" s="42"/>
      <c r="DG166" s="42"/>
      <c r="DH166" s="42"/>
      <c r="DI166" s="42"/>
      <c r="DJ166" s="42"/>
      <c r="DK166" s="42"/>
      <c r="DL166" s="42"/>
      <c r="DM166" s="42"/>
      <c r="DN166" s="42"/>
      <c r="DO166" s="42"/>
      <c r="DP166" s="42"/>
      <c r="DQ166" s="42"/>
      <c r="DR166" s="42"/>
      <c r="DS166" s="42"/>
      <c r="DT166" s="42"/>
      <c r="DU166" s="42"/>
      <c r="DV166" s="42"/>
      <c r="DW166" s="42"/>
      <c r="DX166" s="42"/>
      <c r="DY166" s="42"/>
      <c r="DZ166" s="42"/>
      <c r="EA166" s="42"/>
      <c r="EB166" s="42"/>
      <c r="EC166" s="42"/>
      <c r="ED166" s="42"/>
      <c r="EE166" s="42"/>
      <c r="EF166" s="42"/>
      <c r="EG166" s="42"/>
      <c r="EH166" s="42"/>
      <c r="EI166" s="42"/>
      <c r="EJ166" s="42"/>
      <c r="EK166" s="42"/>
      <c r="EL166" s="42"/>
      <c r="EM166" s="42"/>
      <c r="EN166" s="42"/>
      <c r="EO166" s="42"/>
      <c r="EP166" s="42"/>
      <c r="EQ166" s="42"/>
      <c r="ER166" s="42"/>
      <c r="ES166" s="42"/>
      <c r="ET166" s="42"/>
      <c r="EU166" s="42"/>
      <c r="EV166" s="42"/>
      <c r="EW166" s="42"/>
      <c r="EX166" s="42"/>
      <c r="EY166" s="42"/>
      <c r="EZ166" s="42"/>
      <c r="FA166" s="42"/>
      <c r="FB166" s="42"/>
      <c r="FC166" s="42"/>
      <c r="FD166" s="42"/>
      <c r="FE166" s="42"/>
      <c r="FF166" s="42"/>
      <c r="FG166" s="42"/>
      <c r="FH166" s="42"/>
      <c r="FI166" s="42"/>
      <c r="FJ166" s="42"/>
      <c r="FK166" s="42"/>
      <c r="FL166" s="42"/>
      <c r="FM166" s="42"/>
      <c r="FN166" s="42"/>
      <c r="FO166" s="42"/>
      <c r="FP166" s="42"/>
      <c r="FQ166" s="42"/>
      <c r="FR166" s="42"/>
      <c r="FS166" s="42"/>
      <c r="FT166" s="42"/>
      <c r="FU166" s="42"/>
      <c r="FV166" s="42"/>
      <c r="FW166" s="42"/>
      <c r="FX166" s="42"/>
      <c r="FY166" s="42"/>
      <c r="FZ166" s="42"/>
      <c r="GA166" s="42"/>
      <c r="GB166" s="42"/>
      <c r="GC166" s="42"/>
      <c r="GD166" s="42"/>
      <c r="GE166" s="42"/>
      <c r="GF166" s="42"/>
      <c r="GG166" s="42"/>
      <c r="GH166" s="42"/>
      <c r="GI166" s="42"/>
      <c r="GJ166" s="42"/>
      <c r="GK166" s="42"/>
      <c r="GL166" s="42"/>
      <c r="GM166" s="42"/>
      <c r="GN166" s="42"/>
      <c r="GO166" s="42"/>
      <c r="GP166" s="42"/>
      <c r="GQ166" s="42"/>
      <c r="GR166" s="42"/>
      <c r="GS166" s="42"/>
      <c r="GT166" s="42"/>
      <c r="GU166" s="42"/>
      <c r="GV166" s="42"/>
      <c r="GW166" s="42"/>
      <c r="GX166" s="42"/>
      <c r="GY166" s="42"/>
      <c r="GZ166" s="42"/>
      <c r="HA166" s="42"/>
      <c r="HB166" s="42"/>
      <c r="HC166" s="42"/>
      <c r="HD166" s="42"/>
      <c r="HE166" s="42"/>
      <c r="HF166" s="42"/>
      <c r="HG166" s="42"/>
      <c r="HH166" s="42"/>
      <c r="HI166" s="42"/>
      <c r="HJ166" s="42"/>
      <c r="HK166" s="42"/>
      <c r="HL166" s="42"/>
      <c r="HM166" s="42"/>
      <c r="HN166" s="42"/>
      <c r="HO166" s="42"/>
      <c r="HP166" s="42"/>
      <c r="HQ166" s="42"/>
      <c r="HR166" s="42"/>
      <c r="HS166" s="42"/>
      <c r="HT166" s="42"/>
      <c r="HU166" s="42"/>
      <c r="HV166" s="42"/>
      <c r="HW166" s="42"/>
      <c r="HX166" s="42"/>
      <c r="HY166" s="42"/>
      <c r="HZ166" s="42"/>
      <c r="IA166" s="42"/>
      <c r="IB166" s="42"/>
      <c r="IC166" s="42"/>
      <c r="ID166" s="42"/>
      <c r="IE166" s="42"/>
      <c r="IF166" s="42"/>
      <c r="IG166" s="42"/>
      <c r="IH166" s="42"/>
      <c r="II166" s="42"/>
      <c r="IJ166" s="42"/>
      <c r="IK166" s="42"/>
      <c r="IL166" s="42"/>
      <c r="IM166" s="42"/>
      <c r="IN166" s="42"/>
      <c r="IO166" s="42"/>
      <c r="IP166" s="42"/>
      <c r="IQ166" s="42"/>
      <c r="IR166" s="42"/>
      <c r="IS166" s="42"/>
      <c r="IT166" s="42"/>
      <c r="IU166" s="42"/>
      <c r="IV166" s="42"/>
      <c r="IW166" s="42"/>
      <c r="IX166" s="42"/>
      <c r="IY166" s="42"/>
      <c r="IZ166" s="42"/>
      <c r="JA166" s="42"/>
      <c r="JB166" s="42"/>
      <c r="JC166" s="42"/>
      <c r="JD166" s="42"/>
      <c r="JE166" s="42"/>
      <c r="JF166" s="42"/>
      <c r="JG166" s="42"/>
      <c r="JH166" s="42"/>
      <c r="JI166" s="42"/>
      <c r="JJ166" s="42"/>
      <c r="JK166" s="42"/>
      <c r="JL166" s="42"/>
      <c r="JM166" s="42"/>
      <c r="JN166" s="42"/>
      <c r="JO166" s="42"/>
      <c r="JP166" s="42"/>
      <c r="JQ166" s="42"/>
      <c r="JR166" s="42"/>
      <c r="JS166" s="42"/>
      <c r="JT166" s="42"/>
      <c r="JU166" s="42"/>
      <c r="JV166" s="42"/>
      <c r="JW166" s="42"/>
      <c r="JX166" s="42"/>
      <c r="JY166" s="42"/>
      <c r="JZ166" s="42"/>
      <c r="KA166" s="42"/>
      <c r="KB166" s="42"/>
      <c r="KC166" s="42"/>
      <c r="KD166" s="42"/>
      <c r="KE166" s="42"/>
      <c r="KF166" s="42"/>
      <c r="KG166" s="42"/>
      <c r="KH166" s="42"/>
      <c r="KI166" s="42"/>
      <c r="KJ166" s="42"/>
      <c r="KK166" s="42"/>
      <c r="KL166" s="42"/>
      <c r="KM166" s="42"/>
      <c r="KN166" s="42"/>
      <c r="KO166" s="42"/>
      <c r="KP166" s="42"/>
      <c r="KQ166" s="42"/>
      <c r="KR166" s="42"/>
      <c r="KS166" s="42"/>
      <c r="KT166" s="42"/>
      <c r="KU166" s="42"/>
      <c r="KV166" s="42"/>
      <c r="KW166" s="42"/>
      <c r="KX166" s="42"/>
      <c r="KY166" s="42"/>
      <c r="KZ166" s="42"/>
      <c r="LA166" s="42"/>
      <c r="LB166" s="42"/>
      <c r="LC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42"/>
      <c r="BH167" s="42"/>
      <c r="BI167" s="42"/>
      <c r="BJ167" s="42"/>
      <c r="BK167" s="42"/>
      <c r="BL167" s="42"/>
      <c r="BM167" s="42"/>
      <c r="BN167" s="42"/>
      <c r="BO167" s="42"/>
      <c r="BP167" s="42"/>
      <c r="BQ167" s="42"/>
      <c r="BR167" s="42"/>
      <c r="BS167" s="42"/>
      <c r="BT167" s="42"/>
      <c r="BU167" s="42"/>
      <c r="BV167" s="42"/>
      <c r="BW167" s="42"/>
      <c r="BX167" s="42"/>
      <c r="BY167" s="42"/>
      <c r="BZ167" s="42"/>
      <c r="CA167" s="42"/>
      <c r="CB167" s="42"/>
      <c r="CC167" s="42"/>
      <c r="CD167" s="42"/>
      <c r="CE167" s="42"/>
      <c r="CF167" s="42"/>
      <c r="CG167" s="42"/>
      <c r="CH167" s="42"/>
      <c r="CI167" s="42"/>
      <c r="CJ167" s="42"/>
      <c r="CK167" s="42"/>
      <c r="CL167" s="42"/>
      <c r="CM167" s="42"/>
      <c r="CN167" s="42"/>
      <c r="CO167" s="42"/>
      <c r="CP167" s="42"/>
      <c r="CQ167" s="42"/>
      <c r="CR167" s="42"/>
      <c r="CS167" s="42"/>
      <c r="CT167" s="42"/>
      <c r="CU167" s="42"/>
      <c r="CV167" s="42"/>
      <c r="CW167" s="42"/>
      <c r="CX167" s="42"/>
      <c r="CY167" s="42"/>
      <c r="CZ167" s="42"/>
      <c r="DA167" s="42"/>
      <c r="DB167" s="42"/>
      <c r="DC167" s="42"/>
      <c r="DD167" s="42"/>
      <c r="DE167" s="42"/>
      <c r="DF167" s="42"/>
      <c r="DG167" s="42"/>
      <c r="DH167" s="42"/>
      <c r="DI167" s="42"/>
      <c r="DJ167" s="42"/>
      <c r="DK167" s="42"/>
      <c r="DL167" s="42"/>
      <c r="DM167" s="42"/>
      <c r="DN167" s="42"/>
      <c r="DO167" s="42"/>
      <c r="DP167" s="42"/>
      <c r="DQ167" s="42"/>
      <c r="DR167" s="42"/>
      <c r="DS167" s="42"/>
      <c r="DT167" s="42"/>
      <c r="DU167" s="42"/>
      <c r="DV167" s="42"/>
      <c r="DW167" s="42"/>
      <c r="DX167" s="42"/>
      <c r="DY167" s="42"/>
      <c r="DZ167" s="42"/>
      <c r="EA167" s="42"/>
      <c r="EB167" s="42"/>
      <c r="EC167" s="42"/>
      <c r="ED167" s="42"/>
      <c r="EE167" s="42"/>
      <c r="EF167" s="42"/>
      <c r="EG167" s="42"/>
      <c r="EH167" s="42"/>
      <c r="EI167" s="42"/>
      <c r="EJ167" s="42"/>
      <c r="EK167" s="42"/>
      <c r="EL167" s="42"/>
      <c r="EM167" s="42"/>
      <c r="EN167" s="42"/>
      <c r="EO167" s="42"/>
      <c r="EP167" s="42"/>
      <c r="EQ167" s="42"/>
      <c r="ER167" s="42"/>
      <c r="ES167" s="42"/>
      <c r="ET167" s="42"/>
      <c r="EU167" s="42"/>
      <c r="EV167" s="42"/>
      <c r="EW167" s="42"/>
      <c r="EX167" s="42"/>
      <c r="EY167" s="42"/>
      <c r="EZ167" s="42"/>
      <c r="FA167" s="42"/>
      <c r="FB167" s="42"/>
      <c r="FC167" s="42"/>
      <c r="FD167" s="42"/>
      <c r="FE167" s="42"/>
      <c r="FF167" s="42"/>
      <c r="FG167" s="42"/>
      <c r="FH167" s="42"/>
      <c r="FI167" s="42"/>
      <c r="FJ167" s="42"/>
      <c r="FK167" s="42"/>
      <c r="FL167" s="42"/>
      <c r="FM167" s="42"/>
      <c r="FN167" s="42"/>
      <c r="FO167" s="42"/>
      <c r="FP167" s="42"/>
      <c r="FQ167" s="42"/>
      <c r="FR167" s="42"/>
      <c r="FS167" s="42"/>
      <c r="FT167" s="42"/>
      <c r="FU167" s="42"/>
      <c r="FV167" s="42"/>
      <c r="FW167" s="42"/>
      <c r="FX167" s="42"/>
      <c r="FY167" s="42"/>
      <c r="FZ167" s="42"/>
      <c r="GA167" s="42"/>
      <c r="GB167" s="42"/>
      <c r="GC167" s="42"/>
      <c r="GD167" s="42"/>
      <c r="GE167" s="42"/>
      <c r="GF167" s="42"/>
      <c r="GG167" s="42"/>
      <c r="GH167" s="42"/>
      <c r="GI167" s="42"/>
      <c r="GJ167" s="42"/>
      <c r="GK167" s="42"/>
      <c r="GL167" s="42"/>
      <c r="GM167" s="42"/>
      <c r="GN167" s="42"/>
      <c r="GO167" s="42"/>
      <c r="GP167" s="42"/>
      <c r="GQ167" s="42"/>
      <c r="GR167" s="42"/>
      <c r="GS167" s="42"/>
      <c r="GT167" s="42"/>
      <c r="GU167" s="42"/>
      <c r="GV167" s="42"/>
      <c r="GW167" s="42"/>
      <c r="GX167" s="42"/>
      <c r="GY167" s="42"/>
      <c r="GZ167" s="42"/>
      <c r="HA167" s="42"/>
      <c r="HB167" s="42"/>
      <c r="HC167" s="42"/>
      <c r="HD167" s="42"/>
      <c r="HE167" s="42"/>
      <c r="HF167" s="42"/>
      <c r="HG167" s="42"/>
      <c r="HH167" s="42"/>
      <c r="HI167" s="42"/>
      <c r="HJ167" s="42"/>
      <c r="HK167" s="42"/>
      <c r="HL167" s="42"/>
      <c r="HM167" s="42"/>
      <c r="HN167" s="42"/>
      <c r="HO167" s="42"/>
      <c r="HP167" s="42"/>
      <c r="HQ167" s="42"/>
      <c r="HR167" s="42"/>
      <c r="HS167" s="42"/>
      <c r="HT167" s="42"/>
      <c r="HU167" s="42"/>
      <c r="HV167" s="42"/>
      <c r="HW167" s="42"/>
      <c r="HX167" s="42"/>
      <c r="HY167" s="42"/>
      <c r="HZ167" s="42"/>
      <c r="IA167" s="42"/>
      <c r="IB167" s="42"/>
      <c r="IC167" s="42"/>
      <c r="ID167" s="42"/>
      <c r="IE167" s="42"/>
      <c r="IF167" s="42"/>
      <c r="IG167" s="42"/>
      <c r="IH167" s="42"/>
      <c r="II167" s="42"/>
      <c r="IJ167" s="42"/>
      <c r="IK167" s="42"/>
      <c r="IL167" s="42"/>
      <c r="IM167" s="42"/>
      <c r="IN167" s="42"/>
      <c r="IO167" s="42"/>
      <c r="IP167" s="42"/>
      <c r="IQ167" s="42"/>
      <c r="IR167" s="42"/>
      <c r="IS167" s="42"/>
      <c r="IT167" s="42"/>
      <c r="IU167" s="42"/>
      <c r="IV167" s="42"/>
      <c r="IW167" s="42"/>
      <c r="IX167" s="42"/>
      <c r="IY167" s="42"/>
      <c r="IZ167" s="42"/>
      <c r="JA167" s="42"/>
      <c r="JB167" s="42"/>
      <c r="JC167" s="42"/>
      <c r="JD167" s="42"/>
      <c r="JE167" s="42"/>
      <c r="JF167" s="42"/>
      <c r="JG167" s="42"/>
      <c r="JH167" s="42"/>
      <c r="JI167" s="42"/>
      <c r="JJ167" s="42"/>
      <c r="JK167" s="42"/>
      <c r="JL167" s="42"/>
      <c r="JM167" s="42"/>
      <c r="JN167" s="42"/>
      <c r="JO167" s="42"/>
      <c r="JP167" s="42"/>
      <c r="JQ167" s="42"/>
      <c r="JR167" s="42"/>
      <c r="JS167" s="42"/>
      <c r="JT167" s="42"/>
      <c r="JU167" s="42"/>
      <c r="JV167" s="42"/>
      <c r="JW167" s="42"/>
      <c r="JX167" s="42"/>
      <c r="JY167" s="42"/>
      <c r="JZ167" s="42"/>
      <c r="KA167" s="42"/>
      <c r="KB167" s="42"/>
      <c r="KC167" s="42"/>
      <c r="KD167" s="42"/>
      <c r="KE167" s="42"/>
      <c r="KF167" s="42"/>
      <c r="KG167" s="42"/>
      <c r="KH167" s="42"/>
      <c r="KI167" s="42"/>
      <c r="KJ167" s="42"/>
      <c r="KK167" s="42"/>
      <c r="KL167" s="42"/>
      <c r="KM167" s="42"/>
      <c r="KN167" s="42"/>
      <c r="KO167" s="42"/>
      <c r="KP167" s="42"/>
      <c r="KQ167" s="42"/>
      <c r="KR167" s="42"/>
      <c r="KS167" s="42"/>
      <c r="KT167" s="42"/>
      <c r="KU167" s="42"/>
      <c r="KV167" s="42"/>
      <c r="KW167" s="42"/>
      <c r="KX167" s="42"/>
      <c r="KY167" s="42"/>
      <c r="KZ167" s="42"/>
      <c r="LA167" s="42"/>
      <c r="LB167" s="42"/>
      <c r="LC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42"/>
      <c r="BB168" s="42"/>
      <c r="BC168" s="42"/>
      <c r="BD168" s="42"/>
      <c r="BE168" s="42"/>
      <c r="BF168" s="42"/>
      <c r="BG168" s="42"/>
      <c r="BH168" s="42"/>
      <c r="BI168" s="42"/>
      <c r="BJ168" s="42"/>
      <c r="BK168" s="42"/>
      <c r="BL168" s="42"/>
      <c r="BM168" s="42"/>
      <c r="BN168" s="42"/>
      <c r="BO168" s="42"/>
      <c r="BP168" s="42"/>
      <c r="BQ168" s="42"/>
      <c r="BR168" s="42"/>
      <c r="BS168" s="42"/>
      <c r="BT168" s="42"/>
      <c r="BU168" s="42"/>
      <c r="BV168" s="42"/>
      <c r="BW168" s="42"/>
      <c r="BX168" s="42"/>
      <c r="BY168" s="42"/>
      <c r="BZ168" s="42"/>
      <c r="CA168" s="42"/>
      <c r="CB168" s="42"/>
      <c r="CC168" s="42"/>
      <c r="CD168" s="42"/>
      <c r="CE168" s="42"/>
      <c r="CF168" s="42"/>
      <c r="CG168" s="42"/>
      <c r="CH168" s="42"/>
      <c r="CI168" s="42"/>
      <c r="CJ168" s="42"/>
      <c r="CK168" s="42"/>
      <c r="CL168" s="42"/>
      <c r="CM168" s="42"/>
      <c r="CN168" s="42"/>
      <c r="CO168" s="42"/>
      <c r="CP168" s="42"/>
      <c r="CQ168" s="42"/>
      <c r="CR168" s="42"/>
      <c r="CS168" s="42"/>
      <c r="CT168" s="42"/>
      <c r="CU168" s="42"/>
      <c r="CV168" s="42"/>
      <c r="CW168" s="42"/>
      <c r="CX168" s="42"/>
      <c r="CY168" s="42"/>
      <c r="CZ168" s="42"/>
      <c r="DA168" s="42"/>
      <c r="DB168" s="42"/>
      <c r="DC168" s="42"/>
      <c r="DD168" s="42"/>
      <c r="DE168" s="42"/>
      <c r="DF168" s="42"/>
      <c r="DG168" s="42"/>
      <c r="DH168" s="42"/>
      <c r="DI168" s="42"/>
      <c r="DJ168" s="42"/>
      <c r="DK168" s="42"/>
      <c r="DL168" s="42"/>
      <c r="DM168" s="42"/>
      <c r="DN168" s="42"/>
      <c r="DO168" s="42"/>
      <c r="DP168" s="42"/>
      <c r="DQ168" s="42"/>
      <c r="DR168" s="42"/>
      <c r="DS168" s="42"/>
      <c r="DT168" s="42"/>
      <c r="DU168" s="42"/>
      <c r="DV168" s="42"/>
      <c r="DW168" s="42"/>
      <c r="DX168" s="42"/>
      <c r="DY168" s="42"/>
      <c r="DZ168" s="42"/>
      <c r="EA168" s="42"/>
      <c r="EB168" s="42"/>
      <c r="EC168" s="42"/>
      <c r="ED168" s="42"/>
      <c r="EE168" s="42"/>
      <c r="EF168" s="42"/>
      <c r="EG168" s="42"/>
      <c r="EH168" s="42"/>
      <c r="EI168" s="42"/>
      <c r="EJ168" s="42"/>
      <c r="EK168" s="42"/>
      <c r="EL168" s="42"/>
      <c r="EM168" s="42"/>
      <c r="EN168" s="42"/>
      <c r="EO168" s="42"/>
      <c r="EP168" s="42"/>
      <c r="EQ168" s="42"/>
      <c r="ER168" s="42"/>
      <c r="ES168" s="42"/>
      <c r="ET168" s="42"/>
      <c r="EU168" s="42"/>
      <c r="EV168" s="42"/>
      <c r="EW168" s="42"/>
      <c r="EX168" s="42"/>
      <c r="EY168" s="42"/>
      <c r="EZ168" s="42"/>
      <c r="FA168" s="42"/>
      <c r="FB168" s="42"/>
      <c r="FC168" s="42"/>
      <c r="FD168" s="42"/>
      <c r="FE168" s="42"/>
      <c r="FF168" s="42"/>
      <c r="FG168" s="42"/>
      <c r="FH168" s="42"/>
      <c r="FI168" s="42"/>
      <c r="FJ168" s="42"/>
      <c r="FK168" s="42"/>
      <c r="FL168" s="42"/>
      <c r="FM168" s="42"/>
      <c r="FN168" s="42"/>
      <c r="FO168" s="42"/>
      <c r="FP168" s="42"/>
      <c r="FQ168" s="42"/>
      <c r="FR168" s="42"/>
      <c r="FS168" s="42"/>
      <c r="FT168" s="42"/>
      <c r="FU168" s="42"/>
      <c r="FV168" s="42"/>
      <c r="FW168" s="42"/>
      <c r="FX168" s="42"/>
      <c r="FY168" s="42"/>
      <c r="FZ168" s="42"/>
      <c r="GA168" s="42"/>
      <c r="GB168" s="42"/>
      <c r="GC168" s="42"/>
      <c r="GD168" s="42"/>
      <c r="GE168" s="42"/>
      <c r="GF168" s="42"/>
      <c r="GG168" s="42"/>
      <c r="GH168" s="42"/>
      <c r="GI168" s="42"/>
      <c r="GJ168" s="42"/>
      <c r="GK168" s="42"/>
      <c r="GL168" s="42"/>
      <c r="GM168" s="42"/>
      <c r="GN168" s="42"/>
      <c r="GO168" s="42"/>
      <c r="GP168" s="42"/>
      <c r="GQ168" s="42"/>
      <c r="GR168" s="42"/>
      <c r="GS168" s="42"/>
      <c r="GT168" s="42"/>
      <c r="GU168" s="42"/>
      <c r="GV168" s="42"/>
      <c r="GW168" s="42"/>
      <c r="GX168" s="42"/>
      <c r="GY168" s="42"/>
      <c r="GZ168" s="42"/>
      <c r="HA168" s="42"/>
      <c r="HB168" s="42"/>
      <c r="HC168" s="42"/>
      <c r="HD168" s="42"/>
      <c r="HE168" s="42"/>
      <c r="HF168" s="42"/>
      <c r="HG168" s="42"/>
      <c r="HH168" s="42"/>
      <c r="HI168" s="42"/>
      <c r="HJ168" s="42"/>
      <c r="HK168" s="42"/>
      <c r="HL168" s="42"/>
      <c r="HM168" s="42"/>
      <c r="HN168" s="42"/>
      <c r="HO168" s="42"/>
      <c r="HP168" s="42"/>
      <c r="HQ168" s="42"/>
      <c r="HR168" s="42"/>
      <c r="HS168" s="42"/>
      <c r="HT168" s="42"/>
      <c r="HU168" s="42"/>
      <c r="HV168" s="42"/>
      <c r="HW168" s="42"/>
      <c r="HX168" s="42"/>
      <c r="HY168" s="42"/>
      <c r="HZ168" s="42"/>
      <c r="IA168" s="42"/>
      <c r="IB168" s="42"/>
      <c r="IC168" s="42"/>
      <c r="ID168" s="42"/>
      <c r="IE168" s="42"/>
      <c r="IF168" s="42"/>
      <c r="IG168" s="42"/>
      <c r="IH168" s="42"/>
      <c r="II168" s="42"/>
      <c r="IJ168" s="42"/>
      <c r="IK168" s="42"/>
      <c r="IL168" s="42"/>
      <c r="IM168" s="42"/>
      <c r="IN168" s="42"/>
      <c r="IO168" s="42"/>
      <c r="IP168" s="42"/>
      <c r="IQ168" s="42"/>
      <c r="IR168" s="42"/>
      <c r="IS168" s="42"/>
      <c r="IT168" s="42"/>
      <c r="IU168" s="42"/>
      <c r="IV168" s="42"/>
      <c r="IW168" s="42"/>
      <c r="IX168" s="42"/>
      <c r="IY168" s="42"/>
      <c r="IZ168" s="42"/>
      <c r="JA168" s="42"/>
      <c r="JB168" s="42"/>
      <c r="JC168" s="42"/>
      <c r="JD168" s="42"/>
      <c r="JE168" s="42"/>
      <c r="JF168" s="42"/>
      <c r="JG168" s="42"/>
      <c r="JH168" s="42"/>
      <c r="JI168" s="42"/>
      <c r="JJ168" s="42"/>
      <c r="JK168" s="42"/>
      <c r="JL168" s="42"/>
      <c r="JM168" s="42"/>
      <c r="JN168" s="42"/>
      <c r="JO168" s="42"/>
      <c r="JP168" s="42"/>
      <c r="JQ168" s="42"/>
      <c r="JR168" s="42"/>
      <c r="JS168" s="42"/>
      <c r="JT168" s="42"/>
      <c r="JU168" s="42"/>
      <c r="JV168" s="42"/>
      <c r="JW168" s="42"/>
      <c r="JX168" s="42"/>
      <c r="JY168" s="42"/>
      <c r="JZ168" s="42"/>
      <c r="KA168" s="42"/>
      <c r="KB168" s="42"/>
      <c r="KC168" s="42"/>
      <c r="KD168" s="42"/>
      <c r="KE168" s="42"/>
      <c r="KF168" s="42"/>
      <c r="KG168" s="42"/>
      <c r="KH168" s="42"/>
      <c r="KI168" s="42"/>
      <c r="KJ168" s="42"/>
      <c r="KK168" s="42"/>
      <c r="KL168" s="42"/>
      <c r="KM168" s="42"/>
      <c r="KN168" s="42"/>
      <c r="KO168" s="42"/>
      <c r="KP168" s="42"/>
      <c r="KQ168" s="42"/>
      <c r="KR168" s="42"/>
      <c r="KS168" s="42"/>
      <c r="KT168" s="42"/>
      <c r="KU168" s="42"/>
      <c r="KV168" s="42"/>
      <c r="KW168" s="42"/>
      <c r="KX168" s="42"/>
      <c r="KY168" s="42"/>
      <c r="KZ168" s="42"/>
      <c r="LA168" s="42"/>
      <c r="LB168" s="42"/>
      <c r="LC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c r="AY169" s="42"/>
      <c r="AZ169" s="42"/>
      <c r="BA169" s="42"/>
      <c r="BB169" s="42"/>
      <c r="BC169" s="42"/>
      <c r="BD169" s="42"/>
      <c r="BE169" s="42"/>
      <c r="BF169" s="42"/>
      <c r="BG169" s="42"/>
      <c r="BH169" s="42"/>
      <c r="BI169" s="42"/>
      <c r="BJ169" s="42"/>
      <c r="BK169" s="42"/>
      <c r="BL169" s="42"/>
      <c r="BM169" s="42"/>
      <c r="BN169" s="42"/>
      <c r="BO169" s="42"/>
      <c r="BP169" s="42"/>
      <c r="BQ169" s="42"/>
      <c r="BR169" s="42"/>
      <c r="BS169" s="42"/>
      <c r="BT169" s="42"/>
      <c r="BU169" s="42"/>
      <c r="BV169" s="42"/>
      <c r="BW169" s="42"/>
      <c r="BX169" s="42"/>
      <c r="BY169" s="42"/>
      <c r="BZ169" s="42"/>
      <c r="CA169" s="42"/>
      <c r="CB169" s="42"/>
      <c r="CC169" s="42"/>
      <c r="CD169" s="42"/>
      <c r="CE169" s="42"/>
      <c r="CF169" s="42"/>
      <c r="CG169" s="42"/>
      <c r="CH169" s="42"/>
      <c r="CI169" s="42"/>
      <c r="CJ169" s="42"/>
      <c r="CK169" s="42"/>
      <c r="CL169" s="42"/>
      <c r="CM169" s="42"/>
      <c r="CN169" s="42"/>
      <c r="CO169" s="42"/>
      <c r="CP169" s="42"/>
      <c r="CQ169" s="42"/>
      <c r="CR169" s="42"/>
      <c r="CS169" s="42"/>
      <c r="CT169" s="42"/>
      <c r="CU169" s="42"/>
      <c r="CV169" s="42"/>
      <c r="CW169" s="42"/>
      <c r="CX169" s="42"/>
      <c r="CY169" s="42"/>
      <c r="CZ169" s="42"/>
      <c r="DA169" s="42"/>
      <c r="DB169" s="42"/>
      <c r="DC169" s="42"/>
      <c r="DD169" s="42"/>
      <c r="DE169" s="42"/>
      <c r="DF169" s="42"/>
      <c r="DG169" s="42"/>
      <c r="DH169" s="42"/>
      <c r="DI169" s="42"/>
      <c r="DJ169" s="42"/>
      <c r="DK169" s="42"/>
      <c r="DL169" s="42"/>
      <c r="DM169" s="42"/>
      <c r="DN169" s="42"/>
      <c r="DO169" s="42"/>
      <c r="DP169" s="42"/>
      <c r="DQ169" s="42"/>
      <c r="DR169" s="42"/>
      <c r="DS169" s="42"/>
      <c r="DT169" s="42"/>
      <c r="DU169" s="42"/>
      <c r="DV169" s="42"/>
      <c r="DW169" s="42"/>
      <c r="DX169" s="42"/>
      <c r="DY169" s="42"/>
      <c r="DZ169" s="42"/>
      <c r="EA169" s="42"/>
      <c r="EB169" s="42"/>
      <c r="EC169" s="42"/>
      <c r="ED169" s="42"/>
      <c r="EE169" s="42"/>
      <c r="EF169" s="42"/>
      <c r="EG169" s="42"/>
      <c r="EH169" s="42"/>
      <c r="EI169" s="42"/>
      <c r="EJ169" s="42"/>
      <c r="EK169" s="42"/>
      <c r="EL169" s="42"/>
      <c r="EM169" s="42"/>
      <c r="EN169" s="42"/>
      <c r="EO169" s="42"/>
      <c r="EP169" s="42"/>
      <c r="EQ169" s="42"/>
      <c r="ER169" s="42"/>
      <c r="ES169" s="42"/>
      <c r="ET169" s="42"/>
      <c r="EU169" s="42"/>
      <c r="EV169" s="42"/>
      <c r="EW169" s="42"/>
      <c r="EX169" s="42"/>
      <c r="EY169" s="42"/>
      <c r="EZ169" s="42"/>
      <c r="FA169" s="42"/>
      <c r="FB169" s="42"/>
      <c r="FC169" s="42"/>
      <c r="FD169" s="42"/>
      <c r="FE169" s="42"/>
      <c r="FF169" s="42"/>
      <c r="FG169" s="42"/>
      <c r="FH169" s="42"/>
      <c r="FI169" s="42"/>
      <c r="FJ169" s="42"/>
      <c r="FK169" s="42"/>
      <c r="FL169" s="42"/>
      <c r="FM169" s="42"/>
      <c r="FN169" s="42"/>
      <c r="FO169" s="42"/>
      <c r="FP169" s="42"/>
      <c r="FQ169" s="42"/>
      <c r="FR169" s="42"/>
      <c r="FS169" s="42"/>
      <c r="FT169" s="42"/>
      <c r="FU169" s="42"/>
      <c r="FV169" s="42"/>
      <c r="FW169" s="42"/>
      <c r="FX169" s="42"/>
      <c r="FY169" s="42"/>
      <c r="FZ169" s="42"/>
      <c r="GA169" s="42"/>
      <c r="GB169" s="42"/>
      <c r="GC169" s="42"/>
      <c r="GD169" s="42"/>
      <c r="GE169" s="42"/>
      <c r="GF169" s="42"/>
      <c r="GG169" s="42"/>
      <c r="GH169" s="42"/>
      <c r="GI169" s="42"/>
      <c r="GJ169" s="42"/>
      <c r="GK169" s="42"/>
      <c r="GL169" s="42"/>
      <c r="GM169" s="42"/>
      <c r="GN169" s="42"/>
      <c r="GO169" s="42"/>
      <c r="GP169" s="42"/>
      <c r="GQ169" s="42"/>
      <c r="GR169" s="42"/>
      <c r="GS169" s="42"/>
      <c r="GT169" s="42"/>
      <c r="GU169" s="42"/>
      <c r="GV169" s="42"/>
      <c r="GW169" s="42"/>
      <c r="GX169" s="42"/>
      <c r="GY169" s="42"/>
      <c r="GZ169" s="42"/>
      <c r="HA169" s="42"/>
      <c r="HB169" s="42"/>
      <c r="HC169" s="42"/>
      <c r="HD169" s="42"/>
      <c r="HE169" s="42"/>
      <c r="HF169" s="42"/>
      <c r="HG169" s="42"/>
      <c r="HH169" s="42"/>
      <c r="HI169" s="42"/>
      <c r="HJ169" s="42"/>
      <c r="HK169" s="42"/>
      <c r="HL169" s="42"/>
      <c r="HM169" s="42"/>
      <c r="HN169" s="42"/>
      <c r="HO169" s="42"/>
      <c r="HP169" s="42"/>
      <c r="HQ169" s="42"/>
      <c r="HR169" s="42"/>
      <c r="HS169" s="42"/>
      <c r="HT169" s="42"/>
      <c r="HU169" s="42"/>
      <c r="HV169" s="42"/>
      <c r="HW169" s="42"/>
      <c r="HX169" s="42"/>
      <c r="HY169" s="42"/>
      <c r="HZ169" s="42"/>
      <c r="IA169" s="42"/>
      <c r="IB169" s="42"/>
      <c r="IC169" s="42"/>
      <c r="ID169" s="42"/>
      <c r="IE169" s="42"/>
      <c r="IF169" s="42"/>
      <c r="IG169" s="42"/>
      <c r="IH169" s="42"/>
      <c r="II169" s="42"/>
      <c r="IJ169" s="42"/>
      <c r="IK169" s="42"/>
      <c r="IL169" s="42"/>
      <c r="IM169" s="42"/>
      <c r="IN169" s="42"/>
      <c r="IO169" s="42"/>
      <c r="IP169" s="42"/>
      <c r="IQ169" s="42"/>
      <c r="IR169" s="42"/>
      <c r="IS169" s="42"/>
      <c r="IT169" s="42"/>
      <c r="IU169" s="42"/>
      <c r="IV169" s="42"/>
      <c r="IW169" s="42"/>
      <c r="IX169" s="42"/>
      <c r="IY169" s="42"/>
      <c r="IZ169" s="42"/>
      <c r="JA169" s="42"/>
      <c r="JB169" s="42"/>
      <c r="JC169" s="42"/>
      <c r="JD169" s="42"/>
      <c r="JE169" s="42"/>
      <c r="JF169" s="42"/>
      <c r="JG169" s="42"/>
      <c r="JH169" s="42"/>
      <c r="JI169" s="42"/>
      <c r="JJ169" s="42"/>
      <c r="JK169" s="42"/>
      <c r="JL169" s="42"/>
      <c r="JM169" s="42"/>
      <c r="JN169" s="42"/>
      <c r="JO169" s="42"/>
      <c r="JP169" s="42"/>
      <c r="JQ169" s="42"/>
      <c r="JR169" s="42"/>
      <c r="JS169" s="42"/>
      <c r="JT169" s="42"/>
      <c r="JU169" s="42"/>
      <c r="JV169" s="42"/>
      <c r="JW169" s="42"/>
      <c r="JX169" s="42"/>
      <c r="JY169" s="42"/>
      <c r="JZ169" s="42"/>
      <c r="KA169" s="42"/>
      <c r="KB169" s="42"/>
      <c r="KC169" s="42"/>
      <c r="KD169" s="42"/>
      <c r="KE169" s="42"/>
      <c r="KF169" s="42"/>
      <c r="KG169" s="42"/>
      <c r="KH169" s="42"/>
      <c r="KI169" s="42"/>
      <c r="KJ169" s="42"/>
      <c r="KK169" s="42"/>
      <c r="KL169" s="42"/>
      <c r="KM169" s="42"/>
      <c r="KN169" s="42"/>
      <c r="KO169" s="42"/>
      <c r="KP169" s="42"/>
      <c r="KQ169" s="42"/>
      <c r="KR169" s="42"/>
      <c r="KS169" s="42"/>
      <c r="KT169" s="42"/>
      <c r="KU169" s="42"/>
      <c r="KV169" s="42"/>
      <c r="KW169" s="42"/>
      <c r="KX169" s="42"/>
      <c r="KY169" s="42"/>
      <c r="KZ169" s="42"/>
      <c r="LA169" s="42"/>
      <c r="LB169" s="42"/>
      <c r="LC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c r="AY170" s="42"/>
      <c r="AZ170" s="42"/>
      <c r="BA170" s="42"/>
      <c r="BB170" s="42"/>
      <c r="BC170" s="42"/>
      <c r="BD170" s="42"/>
      <c r="BE170" s="42"/>
      <c r="BF170" s="42"/>
      <c r="BG170" s="42"/>
      <c r="BH170" s="42"/>
      <c r="BI170" s="42"/>
      <c r="BJ170" s="42"/>
      <c r="BK170" s="42"/>
      <c r="BL170" s="42"/>
      <c r="BM170" s="42"/>
      <c r="BN170" s="42"/>
      <c r="BO170" s="42"/>
      <c r="BP170" s="42"/>
      <c r="BQ170" s="42"/>
      <c r="BR170" s="42"/>
      <c r="BS170" s="42"/>
      <c r="BT170" s="42"/>
      <c r="BU170" s="42"/>
      <c r="BV170" s="42"/>
      <c r="BW170" s="42"/>
      <c r="BX170" s="42"/>
      <c r="BY170" s="42"/>
      <c r="BZ170" s="42"/>
      <c r="CA170" s="42"/>
      <c r="CB170" s="42"/>
      <c r="CC170" s="42"/>
      <c r="CD170" s="42"/>
      <c r="CE170" s="42"/>
      <c r="CF170" s="42"/>
      <c r="CG170" s="42"/>
      <c r="CH170" s="42"/>
      <c r="CI170" s="42"/>
      <c r="CJ170" s="42"/>
      <c r="CK170" s="42"/>
      <c r="CL170" s="42"/>
      <c r="CM170" s="42"/>
      <c r="CN170" s="42"/>
      <c r="CO170" s="42"/>
      <c r="CP170" s="42"/>
      <c r="CQ170" s="42"/>
      <c r="CR170" s="42"/>
      <c r="CS170" s="42"/>
      <c r="CT170" s="42"/>
      <c r="CU170" s="42"/>
      <c r="CV170" s="42"/>
      <c r="CW170" s="42"/>
      <c r="CX170" s="42"/>
      <c r="CY170" s="42"/>
      <c r="CZ170" s="42"/>
      <c r="DA170" s="42"/>
      <c r="DB170" s="42"/>
      <c r="DC170" s="42"/>
      <c r="DD170" s="42"/>
      <c r="DE170" s="42"/>
      <c r="DF170" s="42"/>
      <c r="DG170" s="42"/>
      <c r="DH170" s="42"/>
      <c r="DI170" s="42"/>
      <c r="DJ170" s="42"/>
      <c r="DK170" s="42"/>
      <c r="DL170" s="42"/>
      <c r="DM170" s="42"/>
      <c r="DN170" s="42"/>
      <c r="DO170" s="42"/>
      <c r="DP170" s="42"/>
      <c r="DQ170" s="42"/>
      <c r="DR170" s="42"/>
      <c r="DS170" s="42"/>
      <c r="DT170" s="42"/>
      <c r="DU170" s="42"/>
      <c r="DV170" s="42"/>
      <c r="DW170" s="42"/>
      <c r="DX170" s="42"/>
      <c r="DY170" s="42"/>
      <c r="DZ170" s="42"/>
      <c r="EA170" s="42"/>
      <c r="EB170" s="42"/>
      <c r="EC170" s="42"/>
      <c r="ED170" s="42"/>
      <c r="EE170" s="42"/>
      <c r="EF170" s="42"/>
      <c r="EG170" s="42"/>
      <c r="EH170" s="42"/>
      <c r="EI170" s="42"/>
      <c r="EJ170" s="42"/>
      <c r="EK170" s="42"/>
      <c r="EL170" s="42"/>
      <c r="EM170" s="42"/>
      <c r="EN170" s="42"/>
      <c r="EO170" s="42"/>
      <c r="EP170" s="42"/>
      <c r="EQ170" s="42"/>
      <c r="ER170" s="42"/>
      <c r="ES170" s="42"/>
      <c r="ET170" s="42"/>
      <c r="EU170" s="42"/>
      <c r="EV170" s="42"/>
      <c r="EW170" s="42"/>
      <c r="EX170" s="42"/>
      <c r="EY170" s="42"/>
      <c r="EZ170" s="42"/>
      <c r="FA170" s="42"/>
      <c r="FB170" s="42"/>
      <c r="FC170" s="42"/>
      <c r="FD170" s="42"/>
      <c r="FE170" s="42"/>
      <c r="FF170" s="42"/>
      <c r="FG170" s="42"/>
      <c r="FH170" s="42"/>
      <c r="FI170" s="42"/>
      <c r="FJ170" s="42"/>
      <c r="FK170" s="42"/>
      <c r="FL170" s="42"/>
      <c r="FM170" s="42"/>
      <c r="FN170" s="42"/>
      <c r="FO170" s="42"/>
      <c r="FP170" s="42"/>
      <c r="FQ170" s="42"/>
      <c r="FR170" s="42"/>
      <c r="FS170" s="42"/>
      <c r="FT170" s="42"/>
      <c r="FU170" s="42"/>
      <c r="FV170" s="42"/>
      <c r="FW170" s="42"/>
      <c r="FX170" s="42"/>
      <c r="FY170" s="42"/>
      <c r="FZ170" s="42"/>
      <c r="GA170" s="42"/>
      <c r="GB170" s="42"/>
      <c r="GC170" s="42"/>
      <c r="GD170" s="42"/>
      <c r="GE170" s="42"/>
      <c r="GF170" s="42"/>
      <c r="GG170" s="42"/>
      <c r="GH170" s="42"/>
      <c r="GI170" s="42"/>
      <c r="GJ170" s="42"/>
      <c r="GK170" s="42"/>
      <c r="GL170" s="42"/>
      <c r="GM170" s="42"/>
      <c r="GN170" s="42"/>
      <c r="GO170" s="42"/>
      <c r="GP170" s="42"/>
      <c r="GQ170" s="42"/>
      <c r="GR170" s="42"/>
      <c r="GS170" s="42"/>
      <c r="GT170" s="42"/>
      <c r="GU170" s="42"/>
      <c r="GV170" s="42"/>
      <c r="GW170" s="42"/>
      <c r="GX170" s="42"/>
      <c r="GY170" s="42"/>
      <c r="GZ170" s="42"/>
      <c r="HA170" s="42"/>
      <c r="HB170" s="42"/>
      <c r="HC170" s="42"/>
      <c r="HD170" s="42"/>
      <c r="HE170" s="42"/>
      <c r="HF170" s="42"/>
      <c r="HG170" s="42"/>
      <c r="HH170" s="42"/>
      <c r="HI170" s="42"/>
      <c r="HJ170" s="42"/>
      <c r="HK170" s="42"/>
      <c r="HL170" s="42"/>
      <c r="HM170" s="42"/>
      <c r="HN170" s="42"/>
      <c r="HO170" s="42"/>
      <c r="HP170" s="42"/>
      <c r="HQ170" s="42"/>
      <c r="HR170" s="42"/>
      <c r="HS170" s="42"/>
      <c r="HT170" s="42"/>
      <c r="HU170" s="42"/>
      <c r="HV170" s="42"/>
      <c r="HW170" s="42"/>
      <c r="HX170" s="42"/>
      <c r="HY170" s="42"/>
      <c r="HZ170" s="42"/>
      <c r="IA170" s="42"/>
      <c r="IB170" s="42"/>
      <c r="IC170" s="42"/>
      <c r="ID170" s="42"/>
      <c r="IE170" s="42"/>
      <c r="IF170" s="42"/>
      <c r="IG170" s="42"/>
      <c r="IH170" s="42"/>
      <c r="II170" s="42"/>
      <c r="IJ170" s="42"/>
      <c r="IK170" s="42"/>
      <c r="IL170" s="42"/>
      <c r="IM170" s="42"/>
      <c r="IN170" s="42"/>
      <c r="IO170" s="42"/>
      <c r="IP170" s="42"/>
      <c r="IQ170" s="42"/>
      <c r="IR170" s="42"/>
      <c r="IS170" s="42"/>
      <c r="IT170" s="42"/>
      <c r="IU170" s="42"/>
      <c r="IV170" s="42"/>
      <c r="IW170" s="42"/>
      <c r="IX170" s="42"/>
      <c r="IY170" s="42"/>
      <c r="IZ170" s="42"/>
      <c r="JA170" s="42"/>
      <c r="JB170" s="42"/>
      <c r="JC170" s="42"/>
      <c r="JD170" s="42"/>
      <c r="JE170" s="42"/>
      <c r="JF170" s="42"/>
      <c r="JG170" s="42"/>
      <c r="JH170" s="42"/>
      <c r="JI170" s="42"/>
      <c r="JJ170" s="42"/>
      <c r="JK170" s="42"/>
      <c r="JL170" s="42"/>
      <c r="JM170" s="42"/>
      <c r="JN170" s="42"/>
      <c r="JO170" s="42"/>
      <c r="JP170" s="42"/>
      <c r="JQ170" s="42"/>
      <c r="JR170" s="42"/>
      <c r="JS170" s="42"/>
      <c r="JT170" s="42"/>
      <c r="JU170" s="42"/>
      <c r="JV170" s="42"/>
      <c r="JW170" s="42"/>
      <c r="JX170" s="42"/>
      <c r="JY170" s="42"/>
      <c r="JZ170" s="42"/>
      <c r="KA170" s="42"/>
      <c r="KB170" s="42"/>
      <c r="KC170" s="42"/>
      <c r="KD170" s="42"/>
      <c r="KE170" s="42"/>
      <c r="KF170" s="42"/>
      <c r="KG170" s="42"/>
      <c r="KH170" s="42"/>
      <c r="KI170" s="42"/>
      <c r="KJ170" s="42"/>
      <c r="KK170" s="42"/>
      <c r="KL170" s="42"/>
      <c r="KM170" s="42"/>
      <c r="KN170" s="42"/>
      <c r="KO170" s="42"/>
      <c r="KP170" s="42"/>
      <c r="KQ170" s="42"/>
      <c r="KR170" s="42"/>
      <c r="KS170" s="42"/>
      <c r="KT170" s="42"/>
      <c r="KU170" s="42"/>
      <c r="KV170" s="42"/>
      <c r="KW170" s="42"/>
      <c r="KX170" s="42"/>
      <c r="KY170" s="42"/>
      <c r="KZ170" s="42"/>
      <c r="LA170" s="42"/>
      <c r="LB170" s="42"/>
      <c r="LC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c r="AY171" s="42"/>
      <c r="AZ171" s="42"/>
      <c r="BA171" s="42"/>
      <c r="BB171" s="42"/>
      <c r="BC171" s="42"/>
      <c r="BD171" s="42"/>
      <c r="BE171" s="42"/>
      <c r="BF171" s="42"/>
      <c r="BG171" s="42"/>
      <c r="BH171" s="42"/>
      <c r="BI171" s="42"/>
      <c r="BJ171" s="42"/>
      <c r="BK171" s="42"/>
      <c r="BL171" s="42"/>
      <c r="BM171" s="42"/>
      <c r="BN171" s="42"/>
      <c r="BO171" s="42"/>
      <c r="BP171" s="42"/>
      <c r="BQ171" s="42"/>
      <c r="BR171" s="42"/>
      <c r="BS171" s="42"/>
      <c r="BT171" s="42"/>
      <c r="BU171" s="42"/>
      <c r="BV171" s="42"/>
      <c r="BW171" s="42"/>
      <c r="BX171" s="42"/>
      <c r="BY171" s="42"/>
      <c r="BZ171" s="42"/>
      <c r="CA171" s="42"/>
      <c r="CB171" s="42"/>
      <c r="CC171" s="42"/>
      <c r="CD171" s="42"/>
      <c r="CE171" s="42"/>
      <c r="CF171" s="42"/>
      <c r="CG171" s="42"/>
      <c r="CH171" s="42"/>
      <c r="CI171" s="42"/>
      <c r="CJ171" s="42"/>
      <c r="CK171" s="42"/>
      <c r="CL171" s="42"/>
      <c r="CM171" s="42"/>
      <c r="CN171" s="42"/>
      <c r="CO171" s="42"/>
      <c r="CP171" s="42"/>
      <c r="CQ171" s="42"/>
      <c r="CR171" s="42"/>
      <c r="CS171" s="42"/>
      <c r="CT171" s="42"/>
      <c r="CU171" s="42"/>
      <c r="CV171" s="42"/>
      <c r="CW171" s="42"/>
      <c r="CX171" s="42"/>
      <c r="CY171" s="42"/>
      <c r="CZ171" s="42"/>
      <c r="DA171" s="42"/>
      <c r="DB171" s="42"/>
      <c r="DC171" s="42"/>
      <c r="DD171" s="42"/>
      <c r="DE171" s="42"/>
      <c r="DF171" s="42"/>
      <c r="DG171" s="42"/>
      <c r="DH171" s="42"/>
      <c r="DI171" s="42"/>
      <c r="DJ171" s="42"/>
      <c r="DK171" s="42"/>
      <c r="DL171" s="42"/>
      <c r="DM171" s="42"/>
      <c r="DN171" s="42"/>
      <c r="DO171" s="42"/>
      <c r="DP171" s="42"/>
      <c r="DQ171" s="42"/>
      <c r="DR171" s="42"/>
      <c r="DS171" s="42"/>
      <c r="DT171" s="42"/>
      <c r="DU171" s="42"/>
      <c r="DV171" s="42"/>
      <c r="DW171" s="42"/>
      <c r="DX171" s="42"/>
      <c r="DY171" s="42"/>
      <c r="DZ171" s="42"/>
      <c r="EA171" s="42"/>
      <c r="EB171" s="42"/>
      <c r="EC171" s="42"/>
      <c r="ED171" s="42"/>
      <c r="EE171" s="42"/>
      <c r="EF171" s="42"/>
      <c r="EG171" s="42"/>
      <c r="EH171" s="42"/>
      <c r="EI171" s="42"/>
      <c r="EJ171" s="42"/>
      <c r="EK171" s="42"/>
      <c r="EL171" s="42"/>
      <c r="EM171" s="42"/>
      <c r="EN171" s="42"/>
      <c r="EO171" s="42"/>
      <c r="EP171" s="42"/>
      <c r="EQ171" s="42"/>
      <c r="ER171" s="42"/>
      <c r="ES171" s="42"/>
      <c r="ET171" s="42"/>
      <c r="EU171" s="42"/>
      <c r="EV171" s="42"/>
      <c r="EW171" s="42"/>
      <c r="EX171" s="42"/>
      <c r="EY171" s="42"/>
      <c r="EZ171" s="42"/>
      <c r="FA171" s="42"/>
      <c r="FB171" s="42"/>
      <c r="FC171" s="42"/>
      <c r="FD171" s="42"/>
      <c r="FE171" s="42"/>
      <c r="FF171" s="42"/>
      <c r="FG171" s="42"/>
      <c r="FH171" s="42"/>
      <c r="FI171" s="42"/>
      <c r="FJ171" s="42"/>
      <c r="FK171" s="42"/>
      <c r="FL171" s="42"/>
      <c r="FM171" s="42"/>
      <c r="FN171" s="42"/>
      <c r="FO171" s="42"/>
      <c r="FP171" s="42"/>
      <c r="FQ171" s="42"/>
      <c r="FR171" s="42"/>
      <c r="FS171" s="42"/>
      <c r="FT171" s="42"/>
      <c r="FU171" s="42"/>
      <c r="FV171" s="42"/>
      <c r="FW171" s="42"/>
      <c r="FX171" s="42"/>
      <c r="FY171" s="42"/>
      <c r="FZ171" s="42"/>
      <c r="GA171" s="42"/>
      <c r="GB171" s="42"/>
      <c r="GC171" s="42"/>
      <c r="GD171" s="42"/>
      <c r="GE171" s="42"/>
      <c r="GF171" s="42"/>
      <c r="GG171" s="42"/>
      <c r="GH171" s="42"/>
      <c r="GI171" s="42"/>
      <c r="GJ171" s="42"/>
      <c r="GK171" s="42"/>
      <c r="GL171" s="42"/>
      <c r="GM171" s="42"/>
      <c r="GN171" s="42"/>
      <c r="GO171" s="42"/>
      <c r="GP171" s="42"/>
      <c r="GQ171" s="42"/>
      <c r="GR171" s="42"/>
      <c r="GS171" s="42"/>
      <c r="GT171" s="42"/>
      <c r="GU171" s="42"/>
      <c r="GV171" s="42"/>
      <c r="GW171" s="42"/>
      <c r="GX171" s="42"/>
      <c r="GY171" s="42"/>
      <c r="GZ171" s="42"/>
      <c r="HA171" s="42"/>
      <c r="HB171" s="42"/>
      <c r="HC171" s="42"/>
      <c r="HD171" s="42"/>
      <c r="HE171" s="42"/>
      <c r="HF171" s="42"/>
      <c r="HG171" s="42"/>
      <c r="HH171" s="42"/>
      <c r="HI171" s="42"/>
      <c r="HJ171" s="42"/>
      <c r="HK171" s="42"/>
      <c r="HL171" s="42"/>
      <c r="HM171" s="42"/>
      <c r="HN171" s="42"/>
      <c r="HO171" s="42"/>
      <c r="HP171" s="42"/>
      <c r="HQ171" s="42"/>
      <c r="HR171" s="42"/>
      <c r="HS171" s="42"/>
      <c r="HT171" s="42"/>
      <c r="HU171" s="42"/>
      <c r="HV171" s="42"/>
      <c r="HW171" s="42"/>
      <c r="HX171" s="42"/>
      <c r="HY171" s="42"/>
      <c r="HZ171" s="42"/>
      <c r="IA171" s="42"/>
      <c r="IB171" s="42"/>
      <c r="IC171" s="42"/>
      <c r="ID171" s="42"/>
      <c r="IE171" s="42"/>
      <c r="IF171" s="42"/>
      <c r="IG171" s="42"/>
      <c r="IH171" s="42"/>
      <c r="II171" s="42"/>
      <c r="IJ171" s="42"/>
      <c r="IK171" s="42"/>
      <c r="IL171" s="42"/>
      <c r="IM171" s="42"/>
      <c r="IN171" s="42"/>
      <c r="IO171" s="42"/>
      <c r="IP171" s="42"/>
      <c r="IQ171" s="42"/>
      <c r="IR171" s="42"/>
      <c r="IS171" s="42"/>
      <c r="IT171" s="42"/>
      <c r="IU171" s="42"/>
      <c r="IV171" s="42"/>
      <c r="IW171" s="42"/>
      <c r="IX171" s="42"/>
      <c r="IY171" s="42"/>
      <c r="IZ171" s="42"/>
      <c r="JA171" s="42"/>
      <c r="JB171" s="42"/>
      <c r="JC171" s="42"/>
      <c r="JD171" s="42"/>
      <c r="JE171" s="42"/>
      <c r="JF171" s="42"/>
      <c r="JG171" s="42"/>
      <c r="JH171" s="42"/>
      <c r="JI171" s="42"/>
      <c r="JJ171" s="42"/>
      <c r="JK171" s="42"/>
      <c r="JL171" s="42"/>
      <c r="JM171" s="42"/>
      <c r="JN171" s="42"/>
      <c r="JO171" s="42"/>
      <c r="JP171" s="42"/>
      <c r="JQ171" s="42"/>
      <c r="JR171" s="42"/>
      <c r="JS171" s="42"/>
      <c r="JT171" s="42"/>
      <c r="JU171" s="42"/>
      <c r="JV171" s="42"/>
      <c r="JW171" s="42"/>
      <c r="JX171" s="42"/>
      <c r="JY171" s="42"/>
      <c r="JZ171" s="42"/>
      <c r="KA171" s="42"/>
      <c r="KB171" s="42"/>
      <c r="KC171" s="42"/>
      <c r="KD171" s="42"/>
      <c r="KE171" s="42"/>
      <c r="KF171" s="42"/>
      <c r="KG171" s="42"/>
      <c r="KH171" s="42"/>
      <c r="KI171" s="42"/>
      <c r="KJ171" s="42"/>
      <c r="KK171" s="42"/>
      <c r="KL171" s="42"/>
      <c r="KM171" s="42"/>
      <c r="KN171" s="42"/>
      <c r="KO171" s="42"/>
      <c r="KP171" s="42"/>
      <c r="KQ171" s="42"/>
      <c r="KR171" s="42"/>
      <c r="KS171" s="42"/>
      <c r="KT171" s="42"/>
      <c r="KU171" s="42"/>
      <c r="KV171" s="42"/>
      <c r="KW171" s="42"/>
      <c r="KX171" s="42"/>
      <c r="KY171" s="42"/>
      <c r="KZ171" s="42"/>
      <c r="LA171" s="42"/>
      <c r="LB171" s="42"/>
      <c r="LC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42"/>
      <c r="BB172" s="42"/>
      <c r="BC172" s="42"/>
      <c r="BD172" s="42"/>
      <c r="BE172" s="42"/>
      <c r="BF172" s="42"/>
      <c r="BG172" s="42"/>
      <c r="BH172" s="42"/>
      <c r="BI172" s="42"/>
      <c r="BJ172" s="42"/>
      <c r="BK172" s="42"/>
      <c r="BL172" s="42"/>
      <c r="BM172" s="42"/>
      <c r="BN172" s="42"/>
      <c r="BO172" s="42"/>
      <c r="BP172" s="42"/>
      <c r="BQ172" s="42"/>
      <c r="BR172" s="42"/>
      <c r="BS172" s="42"/>
      <c r="BT172" s="42"/>
      <c r="BU172" s="42"/>
      <c r="BV172" s="42"/>
      <c r="BW172" s="42"/>
      <c r="BX172" s="42"/>
      <c r="BY172" s="42"/>
      <c r="BZ172" s="42"/>
      <c r="CA172" s="42"/>
      <c r="CB172" s="42"/>
      <c r="CC172" s="42"/>
      <c r="CD172" s="42"/>
      <c r="CE172" s="42"/>
      <c r="CF172" s="42"/>
      <c r="CG172" s="42"/>
      <c r="CH172" s="42"/>
      <c r="CI172" s="42"/>
      <c r="CJ172" s="42"/>
      <c r="CK172" s="42"/>
      <c r="CL172" s="42"/>
      <c r="CM172" s="42"/>
      <c r="CN172" s="42"/>
      <c r="CO172" s="42"/>
      <c r="CP172" s="42"/>
      <c r="CQ172" s="42"/>
      <c r="CR172" s="42"/>
      <c r="CS172" s="42"/>
      <c r="CT172" s="42"/>
      <c r="CU172" s="42"/>
      <c r="CV172" s="42"/>
      <c r="CW172" s="42"/>
      <c r="CX172" s="42"/>
      <c r="CY172" s="42"/>
      <c r="CZ172" s="42"/>
      <c r="DA172" s="42"/>
      <c r="DB172" s="42"/>
      <c r="DC172" s="42"/>
      <c r="DD172" s="42"/>
      <c r="DE172" s="42"/>
      <c r="DF172" s="42"/>
      <c r="DG172" s="42"/>
      <c r="DH172" s="42"/>
      <c r="DI172" s="42"/>
      <c r="DJ172" s="42"/>
      <c r="DK172" s="42"/>
      <c r="DL172" s="42"/>
      <c r="DM172" s="42"/>
      <c r="DN172" s="42"/>
      <c r="DO172" s="42"/>
      <c r="DP172" s="42"/>
      <c r="DQ172" s="42"/>
      <c r="DR172" s="42"/>
      <c r="DS172" s="42"/>
      <c r="DT172" s="42"/>
      <c r="DU172" s="42"/>
      <c r="DV172" s="42"/>
      <c r="DW172" s="42"/>
      <c r="DX172" s="42"/>
      <c r="DY172" s="42"/>
      <c r="DZ172" s="42"/>
      <c r="EA172" s="42"/>
      <c r="EB172" s="42"/>
      <c r="EC172" s="42"/>
      <c r="ED172" s="42"/>
      <c r="EE172" s="42"/>
      <c r="EF172" s="42"/>
      <c r="EG172" s="42"/>
      <c r="EH172" s="42"/>
      <c r="EI172" s="42"/>
      <c r="EJ172" s="42"/>
      <c r="EK172" s="42"/>
      <c r="EL172" s="42"/>
      <c r="EM172" s="42"/>
      <c r="EN172" s="42"/>
      <c r="EO172" s="42"/>
      <c r="EP172" s="42"/>
      <c r="EQ172" s="42"/>
      <c r="ER172" s="42"/>
      <c r="ES172" s="42"/>
      <c r="ET172" s="42"/>
      <c r="EU172" s="42"/>
      <c r="EV172" s="42"/>
      <c r="EW172" s="42"/>
      <c r="EX172" s="42"/>
      <c r="EY172" s="42"/>
      <c r="EZ172" s="42"/>
      <c r="FA172" s="42"/>
      <c r="FB172" s="42"/>
      <c r="FC172" s="42"/>
      <c r="FD172" s="42"/>
      <c r="FE172" s="42"/>
      <c r="FF172" s="42"/>
      <c r="FG172" s="42"/>
      <c r="FH172" s="42"/>
      <c r="FI172" s="42"/>
      <c r="FJ172" s="42"/>
      <c r="FK172" s="42"/>
      <c r="FL172" s="42"/>
      <c r="FM172" s="42"/>
      <c r="FN172" s="42"/>
      <c r="FO172" s="42"/>
      <c r="FP172" s="42"/>
      <c r="FQ172" s="42"/>
      <c r="FR172" s="42"/>
      <c r="FS172" s="42"/>
      <c r="FT172" s="42"/>
      <c r="FU172" s="42"/>
      <c r="FV172" s="42"/>
      <c r="FW172" s="42"/>
      <c r="FX172" s="42"/>
      <c r="FY172" s="42"/>
      <c r="FZ172" s="42"/>
      <c r="GA172" s="42"/>
      <c r="GB172" s="42"/>
      <c r="GC172" s="42"/>
      <c r="GD172" s="42"/>
      <c r="GE172" s="42"/>
      <c r="GF172" s="42"/>
      <c r="GG172" s="42"/>
      <c r="GH172" s="42"/>
      <c r="GI172" s="42"/>
      <c r="GJ172" s="42"/>
      <c r="GK172" s="42"/>
      <c r="GL172" s="42"/>
      <c r="GM172" s="42"/>
      <c r="GN172" s="42"/>
      <c r="GO172" s="42"/>
      <c r="GP172" s="42"/>
      <c r="GQ172" s="42"/>
      <c r="GR172" s="42"/>
      <c r="GS172" s="42"/>
      <c r="GT172" s="42"/>
      <c r="GU172" s="42"/>
      <c r="GV172" s="42"/>
      <c r="GW172" s="42"/>
      <c r="GX172" s="42"/>
      <c r="GY172" s="42"/>
      <c r="GZ172" s="42"/>
      <c r="HA172" s="42"/>
      <c r="HB172" s="42"/>
      <c r="HC172" s="42"/>
      <c r="HD172" s="42"/>
      <c r="HE172" s="42"/>
      <c r="HF172" s="42"/>
      <c r="HG172" s="42"/>
      <c r="HH172" s="42"/>
      <c r="HI172" s="42"/>
      <c r="HJ172" s="42"/>
      <c r="HK172" s="42"/>
      <c r="HL172" s="42"/>
      <c r="HM172" s="42"/>
      <c r="HN172" s="42"/>
      <c r="HO172" s="42"/>
      <c r="HP172" s="42"/>
      <c r="HQ172" s="42"/>
      <c r="HR172" s="42"/>
      <c r="HS172" s="42"/>
      <c r="HT172" s="42"/>
      <c r="HU172" s="42"/>
      <c r="HV172" s="42"/>
      <c r="HW172" s="42"/>
      <c r="HX172" s="42"/>
      <c r="HY172" s="42"/>
      <c r="HZ172" s="42"/>
      <c r="IA172" s="42"/>
      <c r="IB172" s="42"/>
      <c r="IC172" s="42"/>
      <c r="ID172" s="42"/>
      <c r="IE172" s="42"/>
      <c r="IF172" s="42"/>
      <c r="IG172" s="42"/>
      <c r="IH172" s="42"/>
      <c r="II172" s="42"/>
      <c r="IJ172" s="42"/>
      <c r="IK172" s="42"/>
      <c r="IL172" s="42"/>
      <c r="IM172" s="42"/>
      <c r="IN172" s="42"/>
      <c r="IO172" s="42"/>
      <c r="IP172" s="42"/>
      <c r="IQ172" s="42"/>
      <c r="IR172" s="42"/>
      <c r="IS172" s="42"/>
      <c r="IT172" s="42"/>
      <c r="IU172" s="42"/>
      <c r="IV172" s="42"/>
      <c r="IW172" s="42"/>
      <c r="IX172" s="42"/>
      <c r="IY172" s="42"/>
      <c r="IZ172" s="42"/>
      <c r="JA172" s="42"/>
      <c r="JB172" s="42"/>
      <c r="JC172" s="42"/>
      <c r="JD172" s="42"/>
      <c r="JE172" s="42"/>
      <c r="JF172" s="42"/>
      <c r="JG172" s="42"/>
      <c r="JH172" s="42"/>
      <c r="JI172" s="42"/>
      <c r="JJ172" s="42"/>
      <c r="JK172" s="42"/>
      <c r="JL172" s="42"/>
      <c r="JM172" s="42"/>
      <c r="JN172" s="42"/>
      <c r="JO172" s="42"/>
      <c r="JP172" s="42"/>
      <c r="JQ172" s="42"/>
      <c r="JR172" s="42"/>
      <c r="JS172" s="42"/>
      <c r="JT172" s="42"/>
      <c r="JU172" s="42"/>
      <c r="JV172" s="42"/>
      <c r="JW172" s="42"/>
      <c r="JX172" s="42"/>
      <c r="JY172" s="42"/>
      <c r="JZ172" s="42"/>
      <c r="KA172" s="42"/>
      <c r="KB172" s="42"/>
      <c r="KC172" s="42"/>
      <c r="KD172" s="42"/>
      <c r="KE172" s="42"/>
      <c r="KF172" s="42"/>
      <c r="KG172" s="42"/>
      <c r="KH172" s="42"/>
      <c r="KI172" s="42"/>
      <c r="KJ172" s="42"/>
      <c r="KK172" s="42"/>
      <c r="KL172" s="42"/>
      <c r="KM172" s="42"/>
      <c r="KN172" s="42"/>
      <c r="KO172" s="42"/>
      <c r="KP172" s="42"/>
      <c r="KQ172" s="42"/>
      <c r="KR172" s="42"/>
      <c r="KS172" s="42"/>
      <c r="KT172" s="42"/>
      <c r="KU172" s="42"/>
      <c r="KV172" s="42"/>
      <c r="KW172" s="42"/>
      <c r="KX172" s="42"/>
      <c r="KY172" s="42"/>
      <c r="KZ172" s="42"/>
      <c r="LA172" s="42"/>
      <c r="LB172" s="42"/>
      <c r="LC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2"/>
      <c r="BJ173" s="42"/>
      <c r="BK173" s="42"/>
      <c r="BL173" s="42"/>
      <c r="BM173" s="42"/>
      <c r="BN173" s="42"/>
      <c r="BO173" s="42"/>
      <c r="BP173" s="42"/>
      <c r="BQ173" s="42"/>
      <c r="BR173" s="42"/>
      <c r="BS173" s="42"/>
      <c r="BT173" s="42"/>
      <c r="BU173" s="42"/>
      <c r="BV173" s="42"/>
      <c r="BW173" s="42"/>
      <c r="BX173" s="42"/>
      <c r="BY173" s="42"/>
      <c r="BZ173" s="42"/>
      <c r="CA173" s="42"/>
      <c r="CB173" s="42"/>
      <c r="CC173" s="42"/>
      <c r="CD173" s="42"/>
      <c r="CE173" s="42"/>
      <c r="CF173" s="42"/>
      <c r="CG173" s="42"/>
      <c r="CH173" s="42"/>
      <c r="CI173" s="42"/>
      <c r="CJ173" s="42"/>
      <c r="CK173" s="42"/>
      <c r="CL173" s="42"/>
      <c r="CM173" s="42"/>
      <c r="CN173" s="42"/>
      <c r="CO173" s="42"/>
      <c r="CP173" s="42"/>
      <c r="CQ173" s="42"/>
      <c r="CR173" s="42"/>
      <c r="CS173" s="42"/>
      <c r="CT173" s="42"/>
      <c r="CU173" s="42"/>
      <c r="CV173" s="42"/>
      <c r="CW173" s="42"/>
      <c r="CX173" s="42"/>
      <c r="CY173" s="42"/>
      <c r="CZ173" s="42"/>
      <c r="DA173" s="42"/>
      <c r="DB173" s="42"/>
      <c r="DC173" s="42"/>
      <c r="DD173" s="42"/>
      <c r="DE173" s="42"/>
      <c r="DF173" s="42"/>
      <c r="DG173" s="42"/>
      <c r="DH173" s="42"/>
      <c r="DI173" s="42"/>
      <c r="DJ173" s="42"/>
      <c r="DK173" s="42"/>
      <c r="DL173" s="42"/>
      <c r="DM173" s="42"/>
      <c r="DN173" s="42"/>
      <c r="DO173" s="42"/>
      <c r="DP173" s="42"/>
      <c r="DQ173" s="42"/>
      <c r="DR173" s="42"/>
      <c r="DS173" s="42"/>
      <c r="DT173" s="42"/>
      <c r="DU173" s="42"/>
      <c r="DV173" s="42"/>
      <c r="DW173" s="42"/>
      <c r="DX173" s="42"/>
      <c r="DY173" s="42"/>
      <c r="DZ173" s="42"/>
      <c r="EA173" s="42"/>
      <c r="EB173" s="42"/>
      <c r="EC173" s="42"/>
      <c r="ED173" s="42"/>
      <c r="EE173" s="42"/>
      <c r="EF173" s="42"/>
      <c r="EG173" s="42"/>
      <c r="EH173" s="42"/>
      <c r="EI173" s="42"/>
      <c r="EJ173" s="42"/>
      <c r="EK173" s="42"/>
      <c r="EL173" s="42"/>
      <c r="EM173" s="42"/>
      <c r="EN173" s="42"/>
      <c r="EO173" s="42"/>
      <c r="EP173" s="42"/>
      <c r="EQ173" s="42"/>
      <c r="ER173" s="42"/>
      <c r="ES173" s="42"/>
      <c r="ET173" s="42"/>
      <c r="EU173" s="42"/>
      <c r="EV173" s="42"/>
      <c r="EW173" s="42"/>
      <c r="EX173" s="42"/>
      <c r="EY173" s="42"/>
      <c r="EZ173" s="42"/>
      <c r="FA173" s="42"/>
      <c r="FB173" s="42"/>
      <c r="FC173" s="42"/>
      <c r="FD173" s="42"/>
      <c r="FE173" s="42"/>
      <c r="FF173" s="42"/>
      <c r="FG173" s="42"/>
      <c r="FH173" s="42"/>
      <c r="FI173" s="42"/>
      <c r="FJ173" s="42"/>
      <c r="FK173" s="42"/>
      <c r="FL173" s="42"/>
      <c r="FM173" s="42"/>
      <c r="FN173" s="42"/>
      <c r="FO173" s="42"/>
      <c r="FP173" s="42"/>
      <c r="FQ173" s="42"/>
      <c r="FR173" s="42"/>
      <c r="FS173" s="42"/>
      <c r="FT173" s="42"/>
      <c r="FU173" s="42"/>
      <c r="FV173" s="42"/>
      <c r="FW173" s="42"/>
      <c r="FX173" s="42"/>
      <c r="FY173" s="42"/>
      <c r="FZ173" s="42"/>
      <c r="GA173" s="42"/>
      <c r="GB173" s="42"/>
      <c r="GC173" s="42"/>
      <c r="GD173" s="42"/>
      <c r="GE173" s="42"/>
      <c r="GF173" s="42"/>
      <c r="GG173" s="42"/>
      <c r="GH173" s="42"/>
      <c r="GI173" s="42"/>
      <c r="GJ173" s="42"/>
      <c r="GK173" s="42"/>
      <c r="GL173" s="42"/>
      <c r="GM173" s="42"/>
      <c r="GN173" s="42"/>
      <c r="GO173" s="42"/>
      <c r="GP173" s="42"/>
      <c r="GQ173" s="42"/>
      <c r="GR173" s="42"/>
      <c r="GS173" s="42"/>
      <c r="GT173" s="42"/>
      <c r="GU173" s="42"/>
      <c r="GV173" s="42"/>
      <c r="GW173" s="42"/>
      <c r="GX173" s="42"/>
      <c r="GY173" s="42"/>
      <c r="GZ173" s="42"/>
      <c r="HA173" s="42"/>
      <c r="HB173" s="42"/>
      <c r="HC173" s="42"/>
      <c r="HD173" s="42"/>
      <c r="HE173" s="42"/>
      <c r="HF173" s="42"/>
      <c r="HG173" s="42"/>
      <c r="HH173" s="42"/>
      <c r="HI173" s="42"/>
      <c r="HJ173" s="42"/>
      <c r="HK173" s="42"/>
      <c r="HL173" s="42"/>
      <c r="HM173" s="42"/>
      <c r="HN173" s="42"/>
      <c r="HO173" s="42"/>
      <c r="HP173" s="42"/>
      <c r="HQ173" s="42"/>
      <c r="HR173" s="42"/>
      <c r="HS173" s="42"/>
      <c r="HT173" s="42"/>
      <c r="HU173" s="42"/>
      <c r="HV173" s="42"/>
      <c r="HW173" s="42"/>
      <c r="HX173" s="42"/>
      <c r="HY173" s="42"/>
      <c r="HZ173" s="42"/>
      <c r="IA173" s="42"/>
      <c r="IB173" s="42"/>
      <c r="IC173" s="42"/>
      <c r="ID173" s="42"/>
      <c r="IE173" s="42"/>
      <c r="IF173" s="42"/>
      <c r="IG173" s="42"/>
      <c r="IH173" s="42"/>
      <c r="II173" s="42"/>
      <c r="IJ173" s="42"/>
      <c r="IK173" s="42"/>
      <c r="IL173" s="42"/>
      <c r="IM173" s="42"/>
      <c r="IN173" s="42"/>
      <c r="IO173" s="42"/>
      <c r="IP173" s="42"/>
      <c r="IQ173" s="42"/>
      <c r="IR173" s="42"/>
      <c r="IS173" s="42"/>
      <c r="IT173" s="42"/>
      <c r="IU173" s="42"/>
      <c r="IV173" s="42"/>
      <c r="IW173" s="42"/>
      <c r="IX173" s="42"/>
      <c r="IY173" s="42"/>
      <c r="IZ173" s="42"/>
      <c r="JA173" s="42"/>
      <c r="JB173" s="42"/>
      <c r="JC173" s="42"/>
      <c r="JD173" s="42"/>
      <c r="JE173" s="42"/>
      <c r="JF173" s="42"/>
      <c r="JG173" s="42"/>
      <c r="JH173" s="42"/>
      <c r="JI173" s="42"/>
      <c r="JJ173" s="42"/>
      <c r="JK173" s="42"/>
      <c r="JL173" s="42"/>
      <c r="JM173" s="42"/>
      <c r="JN173" s="42"/>
      <c r="JO173" s="42"/>
      <c r="JP173" s="42"/>
      <c r="JQ173" s="42"/>
      <c r="JR173" s="42"/>
      <c r="JS173" s="42"/>
      <c r="JT173" s="42"/>
      <c r="JU173" s="42"/>
      <c r="JV173" s="42"/>
      <c r="JW173" s="42"/>
      <c r="JX173" s="42"/>
      <c r="JY173" s="42"/>
      <c r="JZ173" s="42"/>
      <c r="KA173" s="42"/>
      <c r="KB173" s="42"/>
      <c r="KC173" s="42"/>
      <c r="KD173" s="42"/>
      <c r="KE173" s="42"/>
      <c r="KF173" s="42"/>
      <c r="KG173" s="42"/>
      <c r="KH173" s="42"/>
      <c r="KI173" s="42"/>
      <c r="KJ173" s="42"/>
      <c r="KK173" s="42"/>
      <c r="KL173" s="42"/>
      <c r="KM173" s="42"/>
      <c r="KN173" s="42"/>
      <c r="KO173" s="42"/>
      <c r="KP173" s="42"/>
      <c r="KQ173" s="42"/>
      <c r="KR173" s="42"/>
      <c r="KS173" s="42"/>
      <c r="KT173" s="42"/>
      <c r="KU173" s="42"/>
      <c r="KV173" s="42"/>
      <c r="KW173" s="42"/>
      <c r="KX173" s="42"/>
      <c r="KY173" s="42"/>
      <c r="KZ173" s="42"/>
      <c r="LA173" s="42"/>
      <c r="LB173" s="42"/>
      <c r="LC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c r="BA174" s="42"/>
      <c r="BB174" s="42"/>
      <c r="BC174" s="42"/>
      <c r="BD174" s="42"/>
      <c r="BE174" s="42"/>
      <c r="BF174" s="42"/>
      <c r="BG174" s="42"/>
      <c r="BH174" s="42"/>
      <c r="BI174" s="42"/>
      <c r="BJ174" s="42"/>
      <c r="BK174" s="42"/>
      <c r="BL174" s="42"/>
      <c r="BM174" s="42"/>
      <c r="BN174" s="42"/>
      <c r="BO174" s="42"/>
      <c r="BP174" s="42"/>
      <c r="BQ174" s="42"/>
      <c r="BR174" s="42"/>
      <c r="BS174" s="42"/>
      <c r="BT174" s="42"/>
      <c r="BU174" s="42"/>
      <c r="BV174" s="42"/>
      <c r="BW174" s="42"/>
      <c r="BX174" s="42"/>
      <c r="BY174" s="42"/>
      <c r="BZ174" s="42"/>
      <c r="CA174" s="42"/>
      <c r="CB174" s="42"/>
      <c r="CC174" s="42"/>
      <c r="CD174" s="42"/>
      <c r="CE174" s="42"/>
      <c r="CF174" s="42"/>
      <c r="CG174" s="42"/>
      <c r="CH174" s="42"/>
      <c r="CI174" s="42"/>
      <c r="CJ174" s="42"/>
      <c r="CK174" s="42"/>
      <c r="CL174" s="42"/>
      <c r="CM174" s="42"/>
      <c r="CN174" s="42"/>
      <c r="CO174" s="42"/>
      <c r="CP174" s="42"/>
      <c r="CQ174" s="42"/>
      <c r="CR174" s="42"/>
      <c r="CS174" s="42"/>
      <c r="CT174" s="42"/>
      <c r="CU174" s="42"/>
      <c r="CV174" s="42"/>
      <c r="CW174" s="42"/>
      <c r="CX174" s="42"/>
      <c r="CY174" s="42"/>
      <c r="CZ174" s="42"/>
      <c r="DA174" s="42"/>
      <c r="DB174" s="42"/>
      <c r="DC174" s="42"/>
      <c r="DD174" s="42"/>
      <c r="DE174" s="42"/>
      <c r="DF174" s="42"/>
      <c r="DG174" s="42"/>
      <c r="DH174" s="42"/>
      <c r="DI174" s="42"/>
      <c r="DJ174" s="42"/>
      <c r="DK174" s="42"/>
      <c r="DL174" s="42"/>
      <c r="DM174" s="42"/>
      <c r="DN174" s="42"/>
      <c r="DO174" s="42"/>
      <c r="DP174" s="42"/>
      <c r="DQ174" s="42"/>
      <c r="DR174" s="42"/>
      <c r="DS174" s="42"/>
      <c r="DT174" s="42"/>
      <c r="DU174" s="42"/>
      <c r="DV174" s="42"/>
      <c r="DW174" s="42"/>
      <c r="DX174" s="42"/>
      <c r="DY174" s="42"/>
      <c r="DZ174" s="42"/>
      <c r="EA174" s="42"/>
      <c r="EB174" s="42"/>
      <c r="EC174" s="42"/>
      <c r="ED174" s="42"/>
      <c r="EE174" s="42"/>
      <c r="EF174" s="42"/>
      <c r="EG174" s="42"/>
      <c r="EH174" s="42"/>
      <c r="EI174" s="42"/>
      <c r="EJ174" s="42"/>
      <c r="EK174" s="42"/>
      <c r="EL174" s="42"/>
      <c r="EM174" s="42"/>
      <c r="EN174" s="42"/>
      <c r="EO174" s="42"/>
      <c r="EP174" s="42"/>
      <c r="EQ174" s="42"/>
      <c r="ER174" s="42"/>
      <c r="ES174" s="42"/>
      <c r="ET174" s="42"/>
      <c r="EU174" s="42"/>
      <c r="EV174" s="42"/>
      <c r="EW174" s="42"/>
      <c r="EX174" s="42"/>
      <c r="EY174" s="42"/>
      <c r="EZ174" s="42"/>
      <c r="FA174" s="42"/>
      <c r="FB174" s="42"/>
      <c r="FC174" s="42"/>
      <c r="FD174" s="42"/>
      <c r="FE174" s="42"/>
      <c r="FF174" s="42"/>
      <c r="FG174" s="42"/>
      <c r="FH174" s="42"/>
      <c r="FI174" s="42"/>
      <c r="FJ174" s="42"/>
      <c r="FK174" s="42"/>
      <c r="FL174" s="42"/>
      <c r="FM174" s="42"/>
      <c r="FN174" s="42"/>
      <c r="FO174" s="42"/>
      <c r="FP174" s="42"/>
      <c r="FQ174" s="42"/>
      <c r="FR174" s="42"/>
      <c r="FS174" s="42"/>
      <c r="FT174" s="42"/>
      <c r="FU174" s="42"/>
      <c r="FV174" s="42"/>
      <c r="FW174" s="42"/>
      <c r="FX174" s="42"/>
      <c r="FY174" s="42"/>
      <c r="FZ174" s="42"/>
      <c r="GA174" s="42"/>
      <c r="GB174" s="42"/>
      <c r="GC174" s="42"/>
      <c r="GD174" s="42"/>
      <c r="GE174" s="42"/>
      <c r="GF174" s="42"/>
      <c r="GG174" s="42"/>
      <c r="GH174" s="42"/>
      <c r="GI174" s="42"/>
      <c r="GJ174" s="42"/>
      <c r="GK174" s="42"/>
      <c r="GL174" s="42"/>
      <c r="GM174" s="42"/>
      <c r="GN174" s="42"/>
      <c r="GO174" s="42"/>
      <c r="GP174" s="42"/>
      <c r="GQ174" s="42"/>
      <c r="GR174" s="42"/>
      <c r="GS174" s="42"/>
      <c r="GT174" s="42"/>
      <c r="GU174" s="42"/>
      <c r="GV174" s="42"/>
      <c r="GW174" s="42"/>
      <c r="GX174" s="42"/>
      <c r="GY174" s="42"/>
      <c r="GZ174" s="42"/>
      <c r="HA174" s="42"/>
      <c r="HB174" s="42"/>
      <c r="HC174" s="42"/>
      <c r="HD174" s="42"/>
      <c r="HE174" s="42"/>
      <c r="HF174" s="42"/>
      <c r="HG174" s="42"/>
      <c r="HH174" s="42"/>
      <c r="HI174" s="42"/>
      <c r="HJ174" s="42"/>
      <c r="HK174" s="42"/>
      <c r="HL174" s="42"/>
      <c r="HM174" s="42"/>
      <c r="HN174" s="42"/>
      <c r="HO174" s="42"/>
      <c r="HP174" s="42"/>
      <c r="HQ174" s="42"/>
      <c r="HR174" s="42"/>
      <c r="HS174" s="42"/>
      <c r="HT174" s="42"/>
      <c r="HU174" s="42"/>
      <c r="HV174" s="42"/>
      <c r="HW174" s="42"/>
      <c r="HX174" s="42"/>
      <c r="HY174" s="42"/>
      <c r="HZ174" s="42"/>
      <c r="IA174" s="42"/>
      <c r="IB174" s="42"/>
      <c r="IC174" s="42"/>
      <c r="ID174" s="42"/>
      <c r="IE174" s="42"/>
      <c r="IF174" s="42"/>
      <c r="IG174" s="42"/>
      <c r="IH174" s="42"/>
      <c r="II174" s="42"/>
      <c r="IJ174" s="42"/>
      <c r="IK174" s="42"/>
      <c r="IL174" s="42"/>
      <c r="IM174" s="42"/>
      <c r="IN174" s="42"/>
      <c r="IO174" s="42"/>
      <c r="IP174" s="42"/>
      <c r="IQ174" s="42"/>
      <c r="IR174" s="42"/>
      <c r="IS174" s="42"/>
      <c r="IT174" s="42"/>
      <c r="IU174" s="42"/>
      <c r="IV174" s="42"/>
      <c r="IW174" s="42"/>
      <c r="IX174" s="42"/>
      <c r="IY174" s="42"/>
      <c r="IZ174" s="42"/>
      <c r="JA174" s="42"/>
      <c r="JB174" s="42"/>
      <c r="JC174" s="42"/>
      <c r="JD174" s="42"/>
      <c r="JE174" s="42"/>
      <c r="JF174" s="42"/>
      <c r="JG174" s="42"/>
      <c r="JH174" s="42"/>
      <c r="JI174" s="42"/>
      <c r="JJ174" s="42"/>
      <c r="JK174" s="42"/>
      <c r="JL174" s="42"/>
      <c r="JM174" s="42"/>
      <c r="JN174" s="42"/>
      <c r="JO174" s="42"/>
      <c r="JP174" s="42"/>
      <c r="JQ174" s="42"/>
      <c r="JR174" s="42"/>
      <c r="JS174" s="42"/>
      <c r="JT174" s="42"/>
      <c r="JU174" s="42"/>
      <c r="JV174" s="42"/>
      <c r="JW174" s="42"/>
      <c r="JX174" s="42"/>
      <c r="JY174" s="42"/>
      <c r="JZ174" s="42"/>
      <c r="KA174" s="42"/>
      <c r="KB174" s="42"/>
      <c r="KC174" s="42"/>
      <c r="KD174" s="42"/>
      <c r="KE174" s="42"/>
      <c r="KF174" s="42"/>
      <c r="KG174" s="42"/>
      <c r="KH174" s="42"/>
      <c r="KI174" s="42"/>
      <c r="KJ174" s="42"/>
      <c r="KK174" s="42"/>
      <c r="KL174" s="42"/>
      <c r="KM174" s="42"/>
      <c r="KN174" s="42"/>
      <c r="KO174" s="42"/>
      <c r="KP174" s="42"/>
      <c r="KQ174" s="42"/>
      <c r="KR174" s="42"/>
      <c r="KS174" s="42"/>
      <c r="KT174" s="42"/>
      <c r="KU174" s="42"/>
      <c r="KV174" s="42"/>
      <c r="KW174" s="42"/>
      <c r="KX174" s="42"/>
      <c r="KY174" s="42"/>
      <c r="KZ174" s="42"/>
      <c r="LA174" s="42"/>
      <c r="LB174" s="42"/>
      <c r="LC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c r="BC175" s="42"/>
      <c r="BD175" s="42"/>
      <c r="BE175" s="42"/>
      <c r="BF175" s="42"/>
      <c r="BG175" s="42"/>
      <c r="BH175" s="42"/>
      <c r="BI175" s="42"/>
      <c r="BJ175" s="42"/>
      <c r="BK175" s="42"/>
      <c r="BL175" s="42"/>
      <c r="BM175" s="42"/>
      <c r="BN175" s="42"/>
      <c r="BO175" s="42"/>
      <c r="BP175" s="42"/>
      <c r="BQ175" s="42"/>
      <c r="BR175" s="42"/>
      <c r="BS175" s="42"/>
      <c r="BT175" s="42"/>
      <c r="BU175" s="42"/>
      <c r="BV175" s="42"/>
      <c r="BW175" s="42"/>
      <c r="BX175" s="42"/>
      <c r="BY175" s="42"/>
      <c r="BZ175" s="42"/>
      <c r="CA175" s="42"/>
      <c r="CB175" s="42"/>
      <c r="CC175" s="42"/>
      <c r="CD175" s="42"/>
      <c r="CE175" s="42"/>
      <c r="CF175" s="42"/>
      <c r="CG175" s="42"/>
      <c r="CH175" s="42"/>
      <c r="CI175" s="42"/>
      <c r="CJ175" s="42"/>
      <c r="CK175" s="42"/>
      <c r="CL175" s="42"/>
      <c r="CM175" s="42"/>
      <c r="CN175" s="42"/>
      <c r="CO175" s="42"/>
      <c r="CP175" s="42"/>
      <c r="CQ175" s="42"/>
      <c r="CR175" s="42"/>
      <c r="CS175" s="42"/>
      <c r="CT175" s="42"/>
      <c r="CU175" s="42"/>
      <c r="CV175" s="42"/>
      <c r="CW175" s="42"/>
      <c r="CX175" s="42"/>
      <c r="CY175" s="42"/>
      <c r="CZ175" s="42"/>
      <c r="DA175" s="42"/>
      <c r="DB175" s="42"/>
      <c r="DC175" s="42"/>
      <c r="DD175" s="42"/>
      <c r="DE175" s="42"/>
      <c r="DF175" s="42"/>
      <c r="DG175" s="42"/>
      <c r="DH175" s="42"/>
      <c r="DI175" s="42"/>
      <c r="DJ175" s="42"/>
      <c r="DK175" s="42"/>
      <c r="DL175" s="42"/>
      <c r="DM175" s="42"/>
      <c r="DN175" s="42"/>
      <c r="DO175" s="42"/>
      <c r="DP175" s="42"/>
      <c r="DQ175" s="42"/>
      <c r="DR175" s="42"/>
      <c r="DS175" s="42"/>
      <c r="DT175" s="42"/>
      <c r="DU175" s="42"/>
      <c r="DV175" s="42"/>
      <c r="DW175" s="42"/>
      <c r="DX175" s="42"/>
      <c r="DY175" s="42"/>
      <c r="DZ175" s="42"/>
      <c r="EA175" s="42"/>
      <c r="EB175" s="42"/>
      <c r="EC175" s="42"/>
      <c r="ED175" s="42"/>
      <c r="EE175" s="42"/>
      <c r="EF175" s="42"/>
      <c r="EG175" s="42"/>
      <c r="EH175" s="42"/>
      <c r="EI175" s="42"/>
      <c r="EJ175" s="42"/>
      <c r="EK175" s="42"/>
      <c r="EL175" s="42"/>
      <c r="EM175" s="42"/>
      <c r="EN175" s="42"/>
      <c r="EO175" s="42"/>
      <c r="EP175" s="42"/>
      <c r="EQ175" s="42"/>
      <c r="ER175" s="42"/>
      <c r="ES175" s="42"/>
      <c r="ET175" s="42"/>
      <c r="EU175" s="42"/>
      <c r="EV175" s="42"/>
      <c r="EW175" s="42"/>
      <c r="EX175" s="42"/>
      <c r="EY175" s="42"/>
      <c r="EZ175" s="42"/>
      <c r="FA175" s="42"/>
      <c r="FB175" s="42"/>
      <c r="FC175" s="42"/>
      <c r="FD175" s="42"/>
      <c r="FE175" s="42"/>
      <c r="FF175" s="42"/>
      <c r="FG175" s="42"/>
      <c r="FH175" s="42"/>
      <c r="FI175" s="42"/>
      <c r="FJ175" s="42"/>
      <c r="FK175" s="42"/>
      <c r="FL175" s="42"/>
      <c r="FM175" s="42"/>
      <c r="FN175" s="42"/>
      <c r="FO175" s="42"/>
      <c r="FP175" s="42"/>
      <c r="FQ175" s="42"/>
      <c r="FR175" s="42"/>
      <c r="FS175" s="42"/>
      <c r="FT175" s="42"/>
      <c r="FU175" s="42"/>
      <c r="FV175" s="42"/>
      <c r="FW175" s="42"/>
      <c r="FX175" s="42"/>
      <c r="FY175" s="42"/>
      <c r="FZ175" s="42"/>
      <c r="GA175" s="42"/>
      <c r="GB175" s="42"/>
      <c r="GC175" s="42"/>
      <c r="GD175" s="42"/>
      <c r="GE175" s="42"/>
      <c r="GF175" s="42"/>
      <c r="GG175" s="42"/>
      <c r="GH175" s="42"/>
      <c r="GI175" s="42"/>
      <c r="GJ175" s="42"/>
      <c r="GK175" s="42"/>
      <c r="GL175" s="42"/>
      <c r="GM175" s="42"/>
      <c r="GN175" s="42"/>
      <c r="GO175" s="42"/>
      <c r="GP175" s="42"/>
      <c r="GQ175" s="42"/>
      <c r="GR175" s="42"/>
      <c r="GS175" s="42"/>
      <c r="GT175" s="42"/>
      <c r="GU175" s="42"/>
      <c r="GV175" s="42"/>
      <c r="GW175" s="42"/>
      <c r="GX175" s="42"/>
      <c r="GY175" s="42"/>
      <c r="GZ175" s="42"/>
      <c r="HA175" s="42"/>
      <c r="HB175" s="42"/>
      <c r="HC175" s="42"/>
      <c r="HD175" s="42"/>
      <c r="HE175" s="42"/>
      <c r="HF175" s="42"/>
      <c r="HG175" s="42"/>
      <c r="HH175" s="42"/>
      <c r="HI175" s="42"/>
      <c r="HJ175" s="42"/>
      <c r="HK175" s="42"/>
      <c r="HL175" s="42"/>
      <c r="HM175" s="42"/>
      <c r="HN175" s="42"/>
      <c r="HO175" s="42"/>
      <c r="HP175" s="42"/>
      <c r="HQ175" s="42"/>
      <c r="HR175" s="42"/>
      <c r="HS175" s="42"/>
      <c r="HT175" s="42"/>
      <c r="HU175" s="42"/>
      <c r="HV175" s="42"/>
      <c r="HW175" s="42"/>
      <c r="HX175" s="42"/>
      <c r="HY175" s="42"/>
      <c r="HZ175" s="42"/>
      <c r="IA175" s="42"/>
      <c r="IB175" s="42"/>
      <c r="IC175" s="42"/>
      <c r="ID175" s="42"/>
      <c r="IE175" s="42"/>
      <c r="IF175" s="42"/>
      <c r="IG175" s="42"/>
      <c r="IH175" s="42"/>
      <c r="II175" s="42"/>
      <c r="IJ175" s="42"/>
      <c r="IK175" s="42"/>
      <c r="IL175" s="42"/>
      <c r="IM175" s="42"/>
      <c r="IN175" s="42"/>
      <c r="IO175" s="42"/>
      <c r="IP175" s="42"/>
      <c r="IQ175" s="42"/>
      <c r="IR175" s="42"/>
      <c r="IS175" s="42"/>
      <c r="IT175" s="42"/>
      <c r="IU175" s="42"/>
      <c r="IV175" s="42"/>
      <c r="IW175" s="42"/>
      <c r="IX175" s="42"/>
      <c r="IY175" s="42"/>
      <c r="IZ175" s="42"/>
      <c r="JA175" s="42"/>
      <c r="JB175" s="42"/>
      <c r="JC175" s="42"/>
      <c r="JD175" s="42"/>
      <c r="JE175" s="42"/>
      <c r="JF175" s="42"/>
      <c r="JG175" s="42"/>
      <c r="JH175" s="42"/>
      <c r="JI175" s="42"/>
      <c r="JJ175" s="42"/>
      <c r="JK175" s="42"/>
      <c r="JL175" s="42"/>
      <c r="JM175" s="42"/>
      <c r="JN175" s="42"/>
      <c r="JO175" s="42"/>
      <c r="JP175" s="42"/>
      <c r="JQ175" s="42"/>
      <c r="JR175" s="42"/>
      <c r="JS175" s="42"/>
      <c r="JT175" s="42"/>
      <c r="JU175" s="42"/>
      <c r="JV175" s="42"/>
      <c r="JW175" s="42"/>
      <c r="JX175" s="42"/>
      <c r="JY175" s="42"/>
      <c r="JZ175" s="42"/>
      <c r="KA175" s="42"/>
      <c r="KB175" s="42"/>
      <c r="KC175" s="42"/>
      <c r="KD175" s="42"/>
      <c r="KE175" s="42"/>
      <c r="KF175" s="42"/>
      <c r="KG175" s="42"/>
      <c r="KH175" s="42"/>
      <c r="KI175" s="42"/>
      <c r="KJ175" s="42"/>
      <c r="KK175" s="42"/>
      <c r="KL175" s="42"/>
      <c r="KM175" s="42"/>
      <c r="KN175" s="42"/>
      <c r="KO175" s="42"/>
      <c r="KP175" s="42"/>
      <c r="KQ175" s="42"/>
      <c r="KR175" s="42"/>
      <c r="KS175" s="42"/>
      <c r="KT175" s="42"/>
      <c r="KU175" s="42"/>
      <c r="KV175" s="42"/>
      <c r="KW175" s="42"/>
      <c r="KX175" s="42"/>
      <c r="KY175" s="42"/>
      <c r="KZ175" s="42"/>
      <c r="LA175" s="42"/>
      <c r="LB175" s="42"/>
      <c r="LC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c r="BC176" s="42"/>
      <c r="BD176" s="42"/>
      <c r="BE176" s="42"/>
      <c r="BF176" s="42"/>
      <c r="BG176" s="42"/>
      <c r="BH176" s="42"/>
      <c r="BI176" s="42"/>
      <c r="BJ176" s="42"/>
      <c r="BK176" s="42"/>
      <c r="BL176" s="42"/>
      <c r="BM176" s="42"/>
      <c r="BN176" s="42"/>
      <c r="BO176" s="42"/>
      <c r="BP176" s="42"/>
      <c r="BQ176" s="42"/>
      <c r="BR176" s="42"/>
      <c r="BS176" s="42"/>
      <c r="BT176" s="42"/>
      <c r="BU176" s="42"/>
      <c r="BV176" s="42"/>
      <c r="BW176" s="42"/>
      <c r="BX176" s="42"/>
      <c r="BY176" s="42"/>
      <c r="BZ176" s="42"/>
      <c r="CA176" s="42"/>
      <c r="CB176" s="42"/>
      <c r="CC176" s="42"/>
      <c r="CD176" s="42"/>
      <c r="CE176" s="42"/>
      <c r="CF176" s="42"/>
      <c r="CG176" s="42"/>
      <c r="CH176" s="42"/>
      <c r="CI176" s="42"/>
      <c r="CJ176" s="42"/>
      <c r="CK176" s="42"/>
      <c r="CL176" s="42"/>
      <c r="CM176" s="42"/>
      <c r="CN176" s="42"/>
      <c r="CO176" s="42"/>
      <c r="CP176" s="42"/>
      <c r="CQ176" s="42"/>
      <c r="CR176" s="42"/>
      <c r="CS176" s="42"/>
      <c r="CT176" s="42"/>
      <c r="CU176" s="42"/>
      <c r="CV176" s="42"/>
      <c r="CW176" s="42"/>
      <c r="CX176" s="42"/>
      <c r="CY176" s="42"/>
      <c r="CZ176" s="42"/>
      <c r="DA176" s="42"/>
      <c r="DB176" s="42"/>
      <c r="DC176" s="42"/>
      <c r="DD176" s="42"/>
      <c r="DE176" s="42"/>
      <c r="DF176" s="42"/>
      <c r="DG176" s="42"/>
      <c r="DH176" s="42"/>
      <c r="DI176" s="42"/>
      <c r="DJ176" s="42"/>
      <c r="DK176" s="42"/>
      <c r="DL176" s="42"/>
      <c r="DM176" s="42"/>
      <c r="DN176" s="42"/>
      <c r="DO176" s="42"/>
      <c r="DP176" s="42"/>
      <c r="DQ176" s="42"/>
      <c r="DR176" s="42"/>
      <c r="DS176" s="42"/>
      <c r="DT176" s="42"/>
      <c r="DU176" s="42"/>
      <c r="DV176" s="42"/>
      <c r="DW176" s="42"/>
      <c r="DX176" s="42"/>
      <c r="DY176" s="42"/>
      <c r="DZ176" s="42"/>
      <c r="EA176" s="42"/>
      <c r="EB176" s="42"/>
      <c r="EC176" s="42"/>
      <c r="ED176" s="42"/>
      <c r="EE176" s="42"/>
      <c r="EF176" s="42"/>
      <c r="EG176" s="42"/>
      <c r="EH176" s="42"/>
      <c r="EI176" s="42"/>
      <c r="EJ176" s="42"/>
      <c r="EK176" s="42"/>
      <c r="EL176" s="42"/>
      <c r="EM176" s="42"/>
      <c r="EN176" s="42"/>
      <c r="EO176" s="42"/>
      <c r="EP176" s="42"/>
      <c r="EQ176" s="42"/>
      <c r="ER176" s="42"/>
      <c r="ES176" s="42"/>
      <c r="ET176" s="42"/>
      <c r="EU176" s="42"/>
      <c r="EV176" s="42"/>
      <c r="EW176" s="42"/>
      <c r="EX176" s="42"/>
      <c r="EY176" s="42"/>
      <c r="EZ176" s="42"/>
      <c r="FA176" s="42"/>
      <c r="FB176" s="42"/>
      <c r="FC176" s="42"/>
      <c r="FD176" s="42"/>
      <c r="FE176" s="42"/>
      <c r="FF176" s="42"/>
      <c r="FG176" s="42"/>
      <c r="FH176" s="42"/>
      <c r="FI176" s="42"/>
      <c r="FJ176" s="42"/>
      <c r="FK176" s="42"/>
      <c r="FL176" s="42"/>
      <c r="FM176" s="42"/>
      <c r="FN176" s="42"/>
      <c r="FO176" s="42"/>
      <c r="FP176" s="42"/>
      <c r="FQ176" s="42"/>
      <c r="FR176" s="42"/>
      <c r="FS176" s="42"/>
      <c r="FT176" s="42"/>
      <c r="FU176" s="42"/>
      <c r="FV176" s="42"/>
      <c r="FW176" s="42"/>
      <c r="FX176" s="42"/>
      <c r="FY176" s="42"/>
      <c r="FZ176" s="42"/>
      <c r="GA176" s="42"/>
      <c r="GB176" s="42"/>
      <c r="GC176" s="42"/>
      <c r="GD176" s="42"/>
      <c r="GE176" s="42"/>
      <c r="GF176" s="42"/>
      <c r="GG176" s="42"/>
      <c r="GH176" s="42"/>
      <c r="GI176" s="42"/>
      <c r="GJ176" s="42"/>
      <c r="GK176" s="42"/>
      <c r="GL176" s="42"/>
      <c r="GM176" s="42"/>
      <c r="GN176" s="42"/>
      <c r="GO176" s="42"/>
      <c r="GP176" s="42"/>
      <c r="GQ176" s="42"/>
      <c r="GR176" s="42"/>
      <c r="GS176" s="42"/>
      <c r="GT176" s="42"/>
      <c r="GU176" s="42"/>
      <c r="GV176" s="42"/>
      <c r="GW176" s="42"/>
      <c r="GX176" s="42"/>
      <c r="GY176" s="42"/>
      <c r="GZ176" s="42"/>
      <c r="HA176" s="42"/>
      <c r="HB176" s="42"/>
      <c r="HC176" s="42"/>
      <c r="HD176" s="42"/>
      <c r="HE176" s="42"/>
      <c r="HF176" s="42"/>
      <c r="HG176" s="42"/>
      <c r="HH176" s="42"/>
      <c r="HI176" s="42"/>
      <c r="HJ176" s="42"/>
      <c r="HK176" s="42"/>
      <c r="HL176" s="42"/>
      <c r="HM176" s="42"/>
      <c r="HN176" s="42"/>
      <c r="HO176" s="42"/>
      <c r="HP176" s="42"/>
      <c r="HQ176" s="42"/>
      <c r="HR176" s="42"/>
      <c r="HS176" s="42"/>
      <c r="HT176" s="42"/>
      <c r="HU176" s="42"/>
      <c r="HV176" s="42"/>
      <c r="HW176" s="42"/>
      <c r="HX176" s="42"/>
      <c r="HY176" s="42"/>
      <c r="HZ176" s="42"/>
      <c r="IA176" s="42"/>
      <c r="IB176" s="42"/>
      <c r="IC176" s="42"/>
      <c r="ID176" s="42"/>
      <c r="IE176" s="42"/>
      <c r="IF176" s="42"/>
      <c r="IG176" s="42"/>
      <c r="IH176" s="42"/>
      <c r="II176" s="42"/>
      <c r="IJ176" s="42"/>
      <c r="IK176" s="42"/>
      <c r="IL176" s="42"/>
      <c r="IM176" s="42"/>
      <c r="IN176" s="42"/>
      <c r="IO176" s="42"/>
      <c r="IP176" s="42"/>
      <c r="IQ176" s="42"/>
      <c r="IR176" s="42"/>
      <c r="IS176" s="42"/>
      <c r="IT176" s="42"/>
      <c r="IU176" s="42"/>
      <c r="IV176" s="42"/>
      <c r="IW176" s="42"/>
      <c r="IX176" s="42"/>
      <c r="IY176" s="42"/>
      <c r="IZ176" s="42"/>
      <c r="JA176" s="42"/>
      <c r="JB176" s="42"/>
      <c r="JC176" s="42"/>
      <c r="JD176" s="42"/>
      <c r="JE176" s="42"/>
      <c r="JF176" s="42"/>
      <c r="JG176" s="42"/>
      <c r="JH176" s="42"/>
      <c r="JI176" s="42"/>
      <c r="JJ176" s="42"/>
      <c r="JK176" s="42"/>
      <c r="JL176" s="42"/>
      <c r="JM176" s="42"/>
      <c r="JN176" s="42"/>
      <c r="JO176" s="42"/>
      <c r="JP176" s="42"/>
      <c r="JQ176" s="42"/>
      <c r="JR176" s="42"/>
      <c r="JS176" s="42"/>
      <c r="JT176" s="42"/>
      <c r="JU176" s="42"/>
      <c r="JV176" s="42"/>
      <c r="JW176" s="42"/>
      <c r="JX176" s="42"/>
      <c r="JY176" s="42"/>
      <c r="JZ176" s="42"/>
      <c r="KA176" s="42"/>
      <c r="KB176" s="42"/>
      <c r="KC176" s="42"/>
      <c r="KD176" s="42"/>
      <c r="KE176" s="42"/>
      <c r="KF176" s="42"/>
      <c r="KG176" s="42"/>
      <c r="KH176" s="42"/>
      <c r="KI176" s="42"/>
      <c r="KJ176" s="42"/>
      <c r="KK176" s="42"/>
      <c r="KL176" s="42"/>
      <c r="KM176" s="42"/>
      <c r="KN176" s="42"/>
      <c r="KO176" s="42"/>
      <c r="KP176" s="42"/>
      <c r="KQ176" s="42"/>
      <c r="KR176" s="42"/>
      <c r="KS176" s="42"/>
      <c r="KT176" s="42"/>
      <c r="KU176" s="42"/>
      <c r="KV176" s="42"/>
      <c r="KW176" s="42"/>
      <c r="KX176" s="42"/>
      <c r="KY176" s="42"/>
      <c r="KZ176" s="42"/>
      <c r="LA176" s="42"/>
      <c r="LB176" s="42"/>
      <c r="LC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c r="BC177" s="42"/>
      <c r="BD177" s="42"/>
      <c r="BE177" s="42"/>
      <c r="BF177" s="42"/>
      <c r="BG177" s="42"/>
      <c r="BH177" s="42"/>
      <c r="BI177" s="42"/>
      <c r="BJ177" s="42"/>
      <c r="BK177" s="42"/>
      <c r="BL177" s="42"/>
      <c r="BM177" s="42"/>
      <c r="BN177" s="42"/>
      <c r="BO177" s="42"/>
      <c r="BP177" s="42"/>
      <c r="BQ177" s="42"/>
      <c r="BR177" s="42"/>
      <c r="BS177" s="42"/>
      <c r="BT177" s="42"/>
      <c r="BU177" s="42"/>
      <c r="BV177" s="42"/>
      <c r="BW177" s="42"/>
      <c r="BX177" s="42"/>
      <c r="BY177" s="42"/>
      <c r="BZ177" s="42"/>
      <c r="CA177" s="42"/>
      <c r="CB177" s="42"/>
      <c r="CC177" s="42"/>
      <c r="CD177" s="42"/>
      <c r="CE177" s="42"/>
      <c r="CF177" s="42"/>
      <c r="CG177" s="42"/>
      <c r="CH177" s="42"/>
      <c r="CI177" s="42"/>
      <c r="CJ177" s="42"/>
      <c r="CK177" s="42"/>
      <c r="CL177" s="42"/>
      <c r="CM177" s="42"/>
      <c r="CN177" s="42"/>
      <c r="CO177" s="42"/>
      <c r="CP177" s="42"/>
      <c r="CQ177" s="42"/>
      <c r="CR177" s="42"/>
      <c r="CS177" s="42"/>
      <c r="CT177" s="42"/>
      <c r="CU177" s="42"/>
      <c r="CV177" s="42"/>
      <c r="CW177" s="42"/>
      <c r="CX177" s="42"/>
      <c r="CY177" s="42"/>
      <c r="CZ177" s="42"/>
      <c r="DA177" s="42"/>
      <c r="DB177" s="42"/>
      <c r="DC177" s="42"/>
      <c r="DD177" s="42"/>
      <c r="DE177" s="42"/>
      <c r="DF177" s="42"/>
      <c r="DG177" s="42"/>
      <c r="DH177" s="42"/>
      <c r="DI177" s="42"/>
      <c r="DJ177" s="42"/>
      <c r="DK177" s="42"/>
      <c r="DL177" s="42"/>
      <c r="DM177" s="42"/>
      <c r="DN177" s="42"/>
      <c r="DO177" s="42"/>
      <c r="DP177" s="42"/>
      <c r="DQ177" s="42"/>
      <c r="DR177" s="42"/>
      <c r="DS177" s="42"/>
      <c r="DT177" s="42"/>
      <c r="DU177" s="42"/>
      <c r="DV177" s="42"/>
      <c r="DW177" s="42"/>
      <c r="DX177" s="42"/>
      <c r="DY177" s="42"/>
      <c r="DZ177" s="42"/>
      <c r="EA177" s="42"/>
      <c r="EB177" s="42"/>
      <c r="EC177" s="42"/>
      <c r="ED177" s="42"/>
      <c r="EE177" s="42"/>
      <c r="EF177" s="42"/>
      <c r="EG177" s="42"/>
      <c r="EH177" s="42"/>
      <c r="EI177" s="42"/>
      <c r="EJ177" s="42"/>
      <c r="EK177" s="42"/>
      <c r="EL177" s="42"/>
      <c r="EM177" s="42"/>
      <c r="EN177" s="42"/>
      <c r="EO177" s="42"/>
      <c r="EP177" s="42"/>
      <c r="EQ177" s="42"/>
      <c r="ER177" s="42"/>
      <c r="ES177" s="42"/>
      <c r="ET177" s="42"/>
      <c r="EU177" s="42"/>
      <c r="EV177" s="42"/>
      <c r="EW177" s="42"/>
      <c r="EX177" s="42"/>
      <c r="EY177" s="42"/>
      <c r="EZ177" s="42"/>
      <c r="FA177" s="42"/>
      <c r="FB177" s="42"/>
      <c r="FC177" s="42"/>
      <c r="FD177" s="42"/>
      <c r="FE177" s="42"/>
      <c r="FF177" s="42"/>
      <c r="FG177" s="42"/>
      <c r="FH177" s="42"/>
      <c r="FI177" s="42"/>
      <c r="FJ177" s="42"/>
      <c r="FK177" s="42"/>
      <c r="FL177" s="42"/>
      <c r="FM177" s="42"/>
      <c r="FN177" s="42"/>
      <c r="FO177" s="42"/>
      <c r="FP177" s="42"/>
      <c r="FQ177" s="42"/>
      <c r="FR177" s="42"/>
      <c r="FS177" s="42"/>
      <c r="FT177" s="42"/>
      <c r="FU177" s="42"/>
      <c r="FV177" s="42"/>
      <c r="FW177" s="42"/>
      <c r="FX177" s="42"/>
      <c r="FY177" s="42"/>
      <c r="FZ177" s="42"/>
      <c r="GA177" s="42"/>
      <c r="GB177" s="42"/>
      <c r="GC177" s="42"/>
      <c r="GD177" s="42"/>
      <c r="GE177" s="42"/>
      <c r="GF177" s="42"/>
      <c r="GG177" s="42"/>
      <c r="GH177" s="42"/>
      <c r="GI177" s="42"/>
      <c r="GJ177" s="42"/>
      <c r="GK177" s="42"/>
      <c r="GL177" s="42"/>
      <c r="GM177" s="42"/>
      <c r="GN177" s="42"/>
      <c r="GO177" s="42"/>
      <c r="GP177" s="42"/>
      <c r="GQ177" s="42"/>
      <c r="GR177" s="42"/>
      <c r="GS177" s="42"/>
      <c r="GT177" s="42"/>
      <c r="GU177" s="42"/>
      <c r="GV177" s="42"/>
      <c r="GW177" s="42"/>
      <c r="GX177" s="42"/>
      <c r="GY177" s="42"/>
      <c r="GZ177" s="42"/>
      <c r="HA177" s="42"/>
      <c r="HB177" s="42"/>
      <c r="HC177" s="42"/>
      <c r="HD177" s="42"/>
      <c r="HE177" s="42"/>
      <c r="HF177" s="42"/>
      <c r="HG177" s="42"/>
      <c r="HH177" s="42"/>
      <c r="HI177" s="42"/>
      <c r="HJ177" s="42"/>
      <c r="HK177" s="42"/>
      <c r="HL177" s="42"/>
      <c r="HM177" s="42"/>
      <c r="HN177" s="42"/>
      <c r="HO177" s="42"/>
      <c r="HP177" s="42"/>
      <c r="HQ177" s="42"/>
      <c r="HR177" s="42"/>
      <c r="HS177" s="42"/>
      <c r="HT177" s="42"/>
      <c r="HU177" s="42"/>
      <c r="HV177" s="42"/>
      <c r="HW177" s="42"/>
      <c r="HX177" s="42"/>
      <c r="HY177" s="42"/>
      <c r="HZ177" s="42"/>
      <c r="IA177" s="42"/>
      <c r="IB177" s="42"/>
      <c r="IC177" s="42"/>
      <c r="ID177" s="42"/>
      <c r="IE177" s="42"/>
      <c r="IF177" s="42"/>
      <c r="IG177" s="42"/>
      <c r="IH177" s="42"/>
      <c r="II177" s="42"/>
      <c r="IJ177" s="42"/>
      <c r="IK177" s="42"/>
      <c r="IL177" s="42"/>
      <c r="IM177" s="42"/>
      <c r="IN177" s="42"/>
      <c r="IO177" s="42"/>
      <c r="IP177" s="42"/>
      <c r="IQ177" s="42"/>
      <c r="IR177" s="42"/>
      <c r="IS177" s="42"/>
      <c r="IT177" s="42"/>
      <c r="IU177" s="42"/>
      <c r="IV177" s="42"/>
      <c r="IW177" s="42"/>
      <c r="IX177" s="42"/>
      <c r="IY177" s="42"/>
      <c r="IZ177" s="42"/>
      <c r="JA177" s="42"/>
      <c r="JB177" s="42"/>
      <c r="JC177" s="42"/>
      <c r="JD177" s="42"/>
      <c r="JE177" s="42"/>
      <c r="JF177" s="42"/>
      <c r="JG177" s="42"/>
      <c r="JH177" s="42"/>
      <c r="JI177" s="42"/>
      <c r="JJ177" s="42"/>
      <c r="JK177" s="42"/>
      <c r="JL177" s="42"/>
      <c r="JM177" s="42"/>
      <c r="JN177" s="42"/>
      <c r="JO177" s="42"/>
      <c r="JP177" s="42"/>
      <c r="JQ177" s="42"/>
      <c r="JR177" s="42"/>
      <c r="JS177" s="42"/>
      <c r="JT177" s="42"/>
      <c r="JU177" s="42"/>
      <c r="JV177" s="42"/>
      <c r="JW177" s="42"/>
      <c r="JX177" s="42"/>
      <c r="JY177" s="42"/>
      <c r="JZ177" s="42"/>
      <c r="KA177" s="42"/>
      <c r="KB177" s="42"/>
      <c r="KC177" s="42"/>
      <c r="KD177" s="42"/>
      <c r="KE177" s="42"/>
      <c r="KF177" s="42"/>
      <c r="KG177" s="42"/>
      <c r="KH177" s="42"/>
      <c r="KI177" s="42"/>
      <c r="KJ177" s="42"/>
      <c r="KK177" s="42"/>
      <c r="KL177" s="42"/>
      <c r="KM177" s="42"/>
      <c r="KN177" s="42"/>
      <c r="KO177" s="42"/>
      <c r="KP177" s="42"/>
      <c r="KQ177" s="42"/>
      <c r="KR177" s="42"/>
      <c r="KS177" s="42"/>
      <c r="KT177" s="42"/>
      <c r="KU177" s="42"/>
      <c r="KV177" s="42"/>
      <c r="KW177" s="42"/>
      <c r="KX177" s="42"/>
      <c r="KY177" s="42"/>
      <c r="KZ177" s="42"/>
      <c r="LA177" s="42"/>
      <c r="LB177" s="42"/>
      <c r="LC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c r="BA178" s="42"/>
      <c r="BB178" s="42"/>
      <c r="BC178" s="42"/>
      <c r="BD178" s="42"/>
      <c r="BE178" s="42"/>
      <c r="BF178" s="42"/>
      <c r="BG178" s="42"/>
      <c r="BH178" s="42"/>
      <c r="BI178" s="42"/>
      <c r="BJ178" s="42"/>
      <c r="BK178" s="42"/>
      <c r="BL178" s="42"/>
      <c r="BM178" s="42"/>
      <c r="BN178" s="42"/>
      <c r="BO178" s="42"/>
      <c r="BP178" s="42"/>
      <c r="BQ178" s="42"/>
      <c r="BR178" s="42"/>
      <c r="BS178" s="42"/>
      <c r="BT178" s="42"/>
      <c r="BU178" s="42"/>
      <c r="BV178" s="42"/>
      <c r="BW178" s="42"/>
      <c r="BX178" s="42"/>
      <c r="BY178" s="42"/>
      <c r="BZ178" s="42"/>
      <c r="CA178" s="42"/>
      <c r="CB178" s="42"/>
      <c r="CC178" s="42"/>
      <c r="CD178" s="42"/>
      <c r="CE178" s="42"/>
      <c r="CF178" s="42"/>
      <c r="CG178" s="42"/>
      <c r="CH178" s="42"/>
      <c r="CI178" s="42"/>
      <c r="CJ178" s="42"/>
      <c r="CK178" s="42"/>
      <c r="CL178" s="42"/>
      <c r="CM178" s="42"/>
      <c r="CN178" s="42"/>
      <c r="CO178" s="42"/>
      <c r="CP178" s="42"/>
      <c r="CQ178" s="42"/>
      <c r="CR178" s="42"/>
      <c r="CS178" s="42"/>
      <c r="CT178" s="42"/>
      <c r="CU178" s="42"/>
      <c r="CV178" s="42"/>
      <c r="CW178" s="42"/>
      <c r="CX178" s="42"/>
      <c r="CY178" s="42"/>
      <c r="CZ178" s="42"/>
      <c r="DA178" s="42"/>
      <c r="DB178" s="42"/>
      <c r="DC178" s="42"/>
      <c r="DD178" s="42"/>
      <c r="DE178" s="42"/>
      <c r="DF178" s="42"/>
      <c r="DG178" s="42"/>
      <c r="DH178" s="42"/>
      <c r="DI178" s="42"/>
      <c r="DJ178" s="42"/>
      <c r="DK178" s="42"/>
      <c r="DL178" s="42"/>
      <c r="DM178" s="42"/>
      <c r="DN178" s="42"/>
      <c r="DO178" s="42"/>
      <c r="DP178" s="42"/>
      <c r="DQ178" s="42"/>
      <c r="DR178" s="42"/>
      <c r="DS178" s="42"/>
      <c r="DT178" s="42"/>
      <c r="DU178" s="42"/>
      <c r="DV178" s="42"/>
      <c r="DW178" s="42"/>
      <c r="DX178" s="42"/>
      <c r="DY178" s="42"/>
      <c r="DZ178" s="42"/>
      <c r="EA178" s="42"/>
      <c r="EB178" s="42"/>
      <c r="EC178" s="42"/>
      <c r="ED178" s="42"/>
      <c r="EE178" s="42"/>
      <c r="EF178" s="42"/>
      <c r="EG178" s="42"/>
      <c r="EH178" s="42"/>
      <c r="EI178" s="42"/>
      <c r="EJ178" s="42"/>
      <c r="EK178" s="42"/>
      <c r="EL178" s="42"/>
      <c r="EM178" s="42"/>
      <c r="EN178" s="42"/>
      <c r="EO178" s="42"/>
      <c r="EP178" s="42"/>
      <c r="EQ178" s="42"/>
      <c r="ER178" s="42"/>
      <c r="ES178" s="42"/>
      <c r="ET178" s="42"/>
      <c r="EU178" s="42"/>
      <c r="EV178" s="42"/>
      <c r="EW178" s="42"/>
      <c r="EX178" s="42"/>
      <c r="EY178" s="42"/>
      <c r="EZ178" s="42"/>
      <c r="FA178" s="42"/>
      <c r="FB178" s="42"/>
      <c r="FC178" s="42"/>
      <c r="FD178" s="42"/>
      <c r="FE178" s="42"/>
      <c r="FF178" s="42"/>
      <c r="FG178" s="42"/>
      <c r="FH178" s="42"/>
      <c r="FI178" s="42"/>
      <c r="FJ178" s="42"/>
      <c r="FK178" s="42"/>
      <c r="FL178" s="42"/>
      <c r="FM178" s="42"/>
      <c r="FN178" s="42"/>
      <c r="FO178" s="42"/>
      <c r="FP178" s="42"/>
      <c r="FQ178" s="42"/>
      <c r="FR178" s="42"/>
      <c r="FS178" s="42"/>
      <c r="FT178" s="42"/>
      <c r="FU178" s="42"/>
      <c r="FV178" s="42"/>
      <c r="FW178" s="42"/>
      <c r="FX178" s="42"/>
      <c r="FY178" s="42"/>
      <c r="FZ178" s="42"/>
      <c r="GA178" s="42"/>
      <c r="GB178" s="42"/>
      <c r="GC178" s="42"/>
      <c r="GD178" s="42"/>
      <c r="GE178" s="42"/>
      <c r="GF178" s="42"/>
      <c r="GG178" s="42"/>
      <c r="GH178" s="42"/>
      <c r="GI178" s="42"/>
      <c r="GJ178" s="42"/>
      <c r="GK178" s="42"/>
      <c r="GL178" s="42"/>
      <c r="GM178" s="42"/>
      <c r="GN178" s="42"/>
      <c r="GO178" s="42"/>
      <c r="GP178" s="42"/>
      <c r="GQ178" s="42"/>
      <c r="GR178" s="42"/>
      <c r="GS178" s="42"/>
      <c r="GT178" s="42"/>
      <c r="GU178" s="42"/>
      <c r="GV178" s="42"/>
      <c r="GW178" s="42"/>
      <c r="GX178" s="42"/>
      <c r="GY178" s="42"/>
      <c r="GZ178" s="42"/>
      <c r="HA178" s="42"/>
      <c r="HB178" s="42"/>
      <c r="HC178" s="42"/>
      <c r="HD178" s="42"/>
      <c r="HE178" s="42"/>
      <c r="HF178" s="42"/>
      <c r="HG178" s="42"/>
      <c r="HH178" s="42"/>
      <c r="HI178" s="42"/>
      <c r="HJ178" s="42"/>
      <c r="HK178" s="42"/>
      <c r="HL178" s="42"/>
      <c r="HM178" s="42"/>
      <c r="HN178" s="42"/>
      <c r="HO178" s="42"/>
      <c r="HP178" s="42"/>
      <c r="HQ178" s="42"/>
      <c r="HR178" s="42"/>
      <c r="HS178" s="42"/>
      <c r="HT178" s="42"/>
      <c r="HU178" s="42"/>
      <c r="HV178" s="42"/>
      <c r="HW178" s="42"/>
      <c r="HX178" s="42"/>
      <c r="HY178" s="42"/>
      <c r="HZ178" s="42"/>
      <c r="IA178" s="42"/>
      <c r="IB178" s="42"/>
      <c r="IC178" s="42"/>
      <c r="ID178" s="42"/>
      <c r="IE178" s="42"/>
      <c r="IF178" s="42"/>
      <c r="IG178" s="42"/>
      <c r="IH178" s="42"/>
      <c r="II178" s="42"/>
      <c r="IJ178" s="42"/>
      <c r="IK178" s="42"/>
      <c r="IL178" s="42"/>
      <c r="IM178" s="42"/>
      <c r="IN178" s="42"/>
      <c r="IO178" s="42"/>
      <c r="IP178" s="42"/>
      <c r="IQ178" s="42"/>
      <c r="IR178" s="42"/>
      <c r="IS178" s="42"/>
      <c r="IT178" s="42"/>
      <c r="IU178" s="42"/>
      <c r="IV178" s="42"/>
      <c r="IW178" s="42"/>
      <c r="IX178" s="42"/>
      <c r="IY178" s="42"/>
      <c r="IZ178" s="42"/>
      <c r="JA178" s="42"/>
      <c r="JB178" s="42"/>
      <c r="JC178" s="42"/>
      <c r="JD178" s="42"/>
      <c r="JE178" s="42"/>
      <c r="JF178" s="42"/>
      <c r="JG178" s="42"/>
      <c r="JH178" s="42"/>
      <c r="JI178" s="42"/>
      <c r="JJ178" s="42"/>
      <c r="JK178" s="42"/>
      <c r="JL178" s="42"/>
      <c r="JM178" s="42"/>
      <c r="JN178" s="42"/>
      <c r="JO178" s="42"/>
      <c r="JP178" s="42"/>
      <c r="JQ178" s="42"/>
      <c r="JR178" s="42"/>
      <c r="JS178" s="42"/>
      <c r="JT178" s="42"/>
      <c r="JU178" s="42"/>
      <c r="JV178" s="42"/>
      <c r="JW178" s="42"/>
      <c r="JX178" s="42"/>
      <c r="JY178" s="42"/>
      <c r="JZ178" s="42"/>
      <c r="KA178" s="42"/>
      <c r="KB178" s="42"/>
      <c r="KC178" s="42"/>
      <c r="KD178" s="42"/>
      <c r="KE178" s="42"/>
      <c r="KF178" s="42"/>
      <c r="KG178" s="42"/>
      <c r="KH178" s="42"/>
      <c r="KI178" s="42"/>
      <c r="KJ178" s="42"/>
      <c r="KK178" s="42"/>
      <c r="KL178" s="42"/>
      <c r="KM178" s="42"/>
      <c r="KN178" s="42"/>
      <c r="KO178" s="42"/>
      <c r="KP178" s="42"/>
      <c r="KQ178" s="42"/>
      <c r="KR178" s="42"/>
      <c r="KS178" s="42"/>
      <c r="KT178" s="42"/>
      <c r="KU178" s="42"/>
      <c r="KV178" s="42"/>
      <c r="KW178" s="42"/>
      <c r="KX178" s="42"/>
      <c r="KY178" s="42"/>
      <c r="KZ178" s="42"/>
      <c r="LA178" s="42"/>
      <c r="LB178" s="42"/>
      <c r="LC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42"/>
      <c r="BB179" s="42"/>
      <c r="BC179" s="42"/>
      <c r="BD179" s="42"/>
      <c r="BE179" s="42"/>
      <c r="BF179" s="42"/>
      <c r="BG179" s="42"/>
      <c r="BH179" s="42"/>
      <c r="BI179" s="42"/>
      <c r="BJ179" s="42"/>
      <c r="BK179" s="42"/>
      <c r="BL179" s="42"/>
      <c r="BM179" s="42"/>
      <c r="BN179" s="42"/>
      <c r="BO179" s="42"/>
      <c r="BP179" s="42"/>
      <c r="BQ179" s="42"/>
      <c r="BR179" s="42"/>
      <c r="BS179" s="42"/>
      <c r="BT179" s="42"/>
      <c r="BU179" s="42"/>
      <c r="BV179" s="42"/>
      <c r="BW179" s="42"/>
      <c r="BX179" s="42"/>
      <c r="BY179" s="42"/>
      <c r="BZ179" s="42"/>
      <c r="CA179" s="42"/>
      <c r="CB179" s="42"/>
      <c r="CC179" s="42"/>
      <c r="CD179" s="42"/>
      <c r="CE179" s="42"/>
      <c r="CF179" s="42"/>
      <c r="CG179" s="42"/>
      <c r="CH179" s="42"/>
      <c r="CI179" s="42"/>
      <c r="CJ179" s="42"/>
      <c r="CK179" s="42"/>
      <c r="CL179" s="42"/>
      <c r="CM179" s="42"/>
      <c r="CN179" s="42"/>
      <c r="CO179" s="42"/>
      <c r="CP179" s="42"/>
      <c r="CQ179" s="42"/>
      <c r="CR179" s="42"/>
      <c r="CS179" s="42"/>
      <c r="CT179" s="42"/>
      <c r="CU179" s="42"/>
      <c r="CV179" s="42"/>
      <c r="CW179" s="42"/>
      <c r="CX179" s="42"/>
      <c r="CY179" s="42"/>
      <c r="CZ179" s="42"/>
      <c r="DA179" s="42"/>
      <c r="DB179" s="42"/>
      <c r="DC179" s="42"/>
      <c r="DD179" s="42"/>
      <c r="DE179" s="42"/>
      <c r="DF179" s="42"/>
      <c r="DG179" s="42"/>
      <c r="DH179" s="42"/>
      <c r="DI179" s="42"/>
      <c r="DJ179" s="42"/>
      <c r="DK179" s="42"/>
      <c r="DL179" s="42"/>
      <c r="DM179" s="42"/>
      <c r="DN179" s="42"/>
      <c r="DO179" s="42"/>
      <c r="DP179" s="42"/>
      <c r="DQ179" s="42"/>
      <c r="DR179" s="42"/>
      <c r="DS179" s="42"/>
      <c r="DT179" s="42"/>
      <c r="DU179" s="42"/>
      <c r="DV179" s="42"/>
      <c r="DW179" s="42"/>
      <c r="DX179" s="42"/>
      <c r="DY179" s="42"/>
      <c r="DZ179" s="42"/>
      <c r="EA179" s="42"/>
      <c r="EB179" s="42"/>
      <c r="EC179" s="42"/>
      <c r="ED179" s="42"/>
      <c r="EE179" s="42"/>
      <c r="EF179" s="42"/>
      <c r="EG179" s="42"/>
      <c r="EH179" s="42"/>
      <c r="EI179" s="42"/>
      <c r="EJ179" s="42"/>
      <c r="EK179" s="42"/>
      <c r="EL179" s="42"/>
      <c r="EM179" s="42"/>
      <c r="EN179" s="42"/>
      <c r="EO179" s="42"/>
      <c r="EP179" s="42"/>
      <c r="EQ179" s="42"/>
      <c r="ER179" s="42"/>
      <c r="ES179" s="42"/>
      <c r="ET179" s="42"/>
      <c r="EU179" s="42"/>
      <c r="EV179" s="42"/>
      <c r="EW179" s="42"/>
      <c r="EX179" s="42"/>
      <c r="EY179" s="42"/>
      <c r="EZ179" s="42"/>
      <c r="FA179" s="42"/>
      <c r="FB179" s="42"/>
      <c r="FC179" s="42"/>
      <c r="FD179" s="42"/>
      <c r="FE179" s="42"/>
      <c r="FF179" s="42"/>
      <c r="FG179" s="42"/>
      <c r="FH179" s="42"/>
      <c r="FI179" s="42"/>
      <c r="FJ179" s="42"/>
      <c r="FK179" s="42"/>
      <c r="FL179" s="42"/>
      <c r="FM179" s="42"/>
      <c r="FN179" s="42"/>
      <c r="FO179" s="42"/>
      <c r="FP179" s="42"/>
      <c r="FQ179" s="42"/>
      <c r="FR179" s="42"/>
      <c r="FS179" s="42"/>
      <c r="FT179" s="42"/>
      <c r="FU179" s="42"/>
      <c r="FV179" s="42"/>
      <c r="FW179" s="42"/>
      <c r="FX179" s="42"/>
      <c r="FY179" s="42"/>
      <c r="FZ179" s="42"/>
      <c r="GA179" s="42"/>
      <c r="GB179" s="42"/>
      <c r="GC179" s="42"/>
      <c r="GD179" s="42"/>
      <c r="GE179" s="42"/>
      <c r="GF179" s="42"/>
      <c r="GG179" s="42"/>
      <c r="GH179" s="42"/>
      <c r="GI179" s="42"/>
      <c r="GJ179" s="42"/>
      <c r="GK179" s="42"/>
      <c r="GL179" s="42"/>
      <c r="GM179" s="42"/>
      <c r="GN179" s="42"/>
      <c r="GO179" s="42"/>
      <c r="GP179" s="42"/>
      <c r="GQ179" s="42"/>
      <c r="GR179" s="42"/>
      <c r="GS179" s="42"/>
      <c r="GT179" s="42"/>
      <c r="GU179" s="42"/>
      <c r="GV179" s="42"/>
      <c r="GW179" s="42"/>
      <c r="GX179" s="42"/>
      <c r="GY179" s="42"/>
      <c r="GZ179" s="42"/>
      <c r="HA179" s="42"/>
      <c r="HB179" s="42"/>
      <c r="HC179" s="42"/>
      <c r="HD179" s="42"/>
      <c r="HE179" s="42"/>
      <c r="HF179" s="42"/>
      <c r="HG179" s="42"/>
      <c r="HH179" s="42"/>
      <c r="HI179" s="42"/>
      <c r="HJ179" s="42"/>
      <c r="HK179" s="42"/>
      <c r="HL179" s="42"/>
      <c r="HM179" s="42"/>
      <c r="HN179" s="42"/>
      <c r="HO179" s="42"/>
      <c r="HP179" s="42"/>
      <c r="HQ179" s="42"/>
      <c r="HR179" s="42"/>
      <c r="HS179" s="42"/>
      <c r="HT179" s="42"/>
      <c r="HU179" s="42"/>
      <c r="HV179" s="42"/>
      <c r="HW179" s="42"/>
      <c r="HX179" s="42"/>
      <c r="HY179" s="42"/>
      <c r="HZ179" s="42"/>
      <c r="IA179" s="42"/>
      <c r="IB179" s="42"/>
      <c r="IC179" s="42"/>
      <c r="ID179" s="42"/>
      <c r="IE179" s="42"/>
      <c r="IF179" s="42"/>
      <c r="IG179" s="42"/>
      <c r="IH179" s="42"/>
      <c r="II179" s="42"/>
      <c r="IJ179" s="42"/>
      <c r="IK179" s="42"/>
      <c r="IL179" s="42"/>
      <c r="IM179" s="42"/>
      <c r="IN179" s="42"/>
      <c r="IO179" s="42"/>
      <c r="IP179" s="42"/>
      <c r="IQ179" s="42"/>
      <c r="IR179" s="42"/>
      <c r="IS179" s="42"/>
      <c r="IT179" s="42"/>
      <c r="IU179" s="42"/>
      <c r="IV179" s="42"/>
      <c r="IW179" s="42"/>
      <c r="IX179" s="42"/>
      <c r="IY179" s="42"/>
      <c r="IZ179" s="42"/>
      <c r="JA179" s="42"/>
      <c r="JB179" s="42"/>
      <c r="JC179" s="42"/>
      <c r="JD179" s="42"/>
      <c r="JE179" s="42"/>
      <c r="JF179" s="42"/>
      <c r="JG179" s="42"/>
      <c r="JH179" s="42"/>
      <c r="JI179" s="42"/>
      <c r="JJ179" s="42"/>
      <c r="JK179" s="42"/>
      <c r="JL179" s="42"/>
      <c r="JM179" s="42"/>
      <c r="JN179" s="42"/>
      <c r="JO179" s="42"/>
      <c r="JP179" s="42"/>
      <c r="JQ179" s="42"/>
      <c r="JR179" s="42"/>
      <c r="JS179" s="42"/>
      <c r="JT179" s="42"/>
      <c r="JU179" s="42"/>
      <c r="JV179" s="42"/>
      <c r="JW179" s="42"/>
      <c r="JX179" s="42"/>
      <c r="JY179" s="42"/>
      <c r="JZ179" s="42"/>
      <c r="KA179" s="42"/>
      <c r="KB179" s="42"/>
      <c r="KC179" s="42"/>
      <c r="KD179" s="42"/>
      <c r="KE179" s="42"/>
      <c r="KF179" s="42"/>
      <c r="KG179" s="42"/>
      <c r="KH179" s="42"/>
      <c r="KI179" s="42"/>
      <c r="KJ179" s="42"/>
      <c r="KK179" s="42"/>
      <c r="KL179" s="42"/>
      <c r="KM179" s="42"/>
      <c r="KN179" s="42"/>
      <c r="KO179" s="42"/>
      <c r="KP179" s="42"/>
      <c r="KQ179" s="42"/>
      <c r="KR179" s="42"/>
      <c r="KS179" s="42"/>
      <c r="KT179" s="42"/>
      <c r="KU179" s="42"/>
      <c r="KV179" s="42"/>
      <c r="KW179" s="42"/>
      <c r="KX179" s="42"/>
      <c r="KY179" s="42"/>
      <c r="KZ179" s="42"/>
      <c r="LA179" s="42"/>
      <c r="LB179" s="42"/>
      <c r="LC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42"/>
      <c r="BB180" s="42"/>
      <c r="BC180" s="42"/>
      <c r="BD180" s="42"/>
      <c r="BE180" s="42"/>
      <c r="BF180" s="42"/>
      <c r="BG180" s="42"/>
      <c r="BH180" s="42"/>
      <c r="BI180" s="42"/>
      <c r="BJ180" s="42"/>
      <c r="BK180" s="42"/>
      <c r="BL180" s="42"/>
      <c r="BM180" s="42"/>
      <c r="BN180" s="42"/>
      <c r="BO180" s="42"/>
      <c r="BP180" s="42"/>
      <c r="BQ180" s="42"/>
      <c r="BR180" s="42"/>
      <c r="BS180" s="42"/>
      <c r="BT180" s="42"/>
      <c r="BU180" s="42"/>
      <c r="BV180" s="42"/>
      <c r="BW180" s="42"/>
      <c r="BX180" s="42"/>
      <c r="BY180" s="42"/>
      <c r="BZ180" s="42"/>
      <c r="CA180" s="42"/>
      <c r="CB180" s="42"/>
      <c r="CC180" s="42"/>
      <c r="CD180" s="42"/>
      <c r="CE180" s="42"/>
      <c r="CF180" s="42"/>
      <c r="CG180" s="42"/>
      <c r="CH180" s="42"/>
      <c r="CI180" s="42"/>
      <c r="CJ180" s="42"/>
      <c r="CK180" s="42"/>
      <c r="CL180" s="42"/>
      <c r="CM180" s="42"/>
      <c r="CN180" s="42"/>
      <c r="CO180" s="42"/>
      <c r="CP180" s="42"/>
      <c r="CQ180" s="42"/>
      <c r="CR180" s="42"/>
      <c r="CS180" s="42"/>
      <c r="CT180" s="42"/>
      <c r="CU180" s="42"/>
      <c r="CV180" s="42"/>
      <c r="CW180" s="42"/>
      <c r="CX180" s="42"/>
      <c r="CY180" s="42"/>
      <c r="CZ180" s="42"/>
      <c r="DA180" s="42"/>
      <c r="DB180" s="42"/>
      <c r="DC180" s="42"/>
      <c r="DD180" s="42"/>
      <c r="DE180" s="42"/>
      <c r="DF180" s="42"/>
      <c r="DG180" s="42"/>
      <c r="DH180" s="42"/>
      <c r="DI180" s="42"/>
      <c r="DJ180" s="42"/>
      <c r="DK180" s="42"/>
      <c r="DL180" s="42"/>
      <c r="DM180" s="42"/>
      <c r="DN180" s="42"/>
      <c r="DO180" s="42"/>
      <c r="DP180" s="42"/>
      <c r="DQ180" s="42"/>
      <c r="DR180" s="42"/>
      <c r="DS180" s="42"/>
      <c r="DT180" s="42"/>
      <c r="DU180" s="42"/>
      <c r="DV180" s="42"/>
      <c r="DW180" s="42"/>
      <c r="DX180" s="42"/>
      <c r="DY180" s="42"/>
      <c r="DZ180" s="42"/>
      <c r="EA180" s="42"/>
      <c r="EB180" s="42"/>
      <c r="EC180" s="42"/>
      <c r="ED180" s="42"/>
      <c r="EE180" s="42"/>
      <c r="EF180" s="42"/>
      <c r="EG180" s="42"/>
      <c r="EH180" s="42"/>
      <c r="EI180" s="42"/>
      <c r="EJ180" s="42"/>
      <c r="EK180" s="42"/>
      <c r="EL180" s="42"/>
      <c r="EM180" s="42"/>
      <c r="EN180" s="42"/>
      <c r="EO180" s="42"/>
      <c r="EP180" s="42"/>
      <c r="EQ180" s="42"/>
      <c r="ER180" s="42"/>
      <c r="ES180" s="42"/>
      <c r="ET180" s="42"/>
      <c r="EU180" s="42"/>
      <c r="EV180" s="42"/>
      <c r="EW180" s="42"/>
      <c r="EX180" s="42"/>
      <c r="EY180" s="42"/>
      <c r="EZ180" s="42"/>
      <c r="FA180" s="42"/>
      <c r="FB180" s="42"/>
      <c r="FC180" s="42"/>
      <c r="FD180" s="42"/>
      <c r="FE180" s="42"/>
      <c r="FF180" s="42"/>
      <c r="FG180" s="42"/>
      <c r="FH180" s="42"/>
      <c r="FI180" s="42"/>
      <c r="FJ180" s="42"/>
      <c r="FK180" s="42"/>
      <c r="FL180" s="42"/>
      <c r="FM180" s="42"/>
      <c r="FN180" s="42"/>
      <c r="FO180" s="42"/>
      <c r="FP180" s="42"/>
      <c r="FQ180" s="42"/>
      <c r="FR180" s="42"/>
      <c r="FS180" s="42"/>
      <c r="FT180" s="42"/>
      <c r="FU180" s="42"/>
      <c r="FV180" s="42"/>
      <c r="FW180" s="42"/>
      <c r="FX180" s="42"/>
      <c r="FY180" s="42"/>
      <c r="FZ180" s="42"/>
      <c r="GA180" s="42"/>
      <c r="GB180" s="42"/>
      <c r="GC180" s="42"/>
      <c r="GD180" s="42"/>
      <c r="GE180" s="42"/>
      <c r="GF180" s="42"/>
      <c r="GG180" s="42"/>
      <c r="GH180" s="42"/>
      <c r="GI180" s="42"/>
      <c r="GJ180" s="42"/>
      <c r="GK180" s="42"/>
      <c r="GL180" s="42"/>
      <c r="GM180" s="42"/>
      <c r="GN180" s="42"/>
      <c r="GO180" s="42"/>
      <c r="GP180" s="42"/>
      <c r="GQ180" s="42"/>
      <c r="GR180" s="42"/>
      <c r="GS180" s="42"/>
      <c r="GT180" s="42"/>
      <c r="GU180" s="42"/>
      <c r="GV180" s="42"/>
      <c r="GW180" s="42"/>
      <c r="GX180" s="42"/>
      <c r="GY180" s="42"/>
      <c r="GZ180" s="42"/>
      <c r="HA180" s="42"/>
      <c r="HB180" s="42"/>
      <c r="HC180" s="42"/>
      <c r="HD180" s="42"/>
      <c r="HE180" s="42"/>
      <c r="HF180" s="42"/>
      <c r="HG180" s="42"/>
      <c r="HH180" s="42"/>
      <c r="HI180" s="42"/>
      <c r="HJ180" s="42"/>
      <c r="HK180" s="42"/>
      <c r="HL180" s="42"/>
      <c r="HM180" s="42"/>
      <c r="HN180" s="42"/>
      <c r="HO180" s="42"/>
      <c r="HP180" s="42"/>
      <c r="HQ180" s="42"/>
      <c r="HR180" s="42"/>
      <c r="HS180" s="42"/>
      <c r="HT180" s="42"/>
      <c r="HU180" s="42"/>
      <c r="HV180" s="42"/>
      <c r="HW180" s="42"/>
      <c r="HX180" s="42"/>
      <c r="HY180" s="42"/>
      <c r="HZ180" s="42"/>
      <c r="IA180" s="42"/>
      <c r="IB180" s="42"/>
      <c r="IC180" s="42"/>
      <c r="ID180" s="42"/>
      <c r="IE180" s="42"/>
      <c r="IF180" s="42"/>
      <c r="IG180" s="42"/>
      <c r="IH180" s="42"/>
      <c r="II180" s="42"/>
      <c r="IJ180" s="42"/>
      <c r="IK180" s="42"/>
      <c r="IL180" s="42"/>
      <c r="IM180" s="42"/>
      <c r="IN180" s="42"/>
      <c r="IO180" s="42"/>
      <c r="IP180" s="42"/>
      <c r="IQ180" s="42"/>
      <c r="IR180" s="42"/>
      <c r="IS180" s="42"/>
      <c r="IT180" s="42"/>
      <c r="IU180" s="42"/>
      <c r="IV180" s="42"/>
      <c r="IW180" s="42"/>
      <c r="IX180" s="42"/>
      <c r="IY180" s="42"/>
      <c r="IZ180" s="42"/>
      <c r="JA180" s="42"/>
      <c r="JB180" s="42"/>
      <c r="JC180" s="42"/>
      <c r="JD180" s="42"/>
      <c r="JE180" s="42"/>
      <c r="JF180" s="42"/>
      <c r="JG180" s="42"/>
      <c r="JH180" s="42"/>
      <c r="JI180" s="42"/>
      <c r="JJ180" s="42"/>
      <c r="JK180" s="42"/>
      <c r="JL180" s="42"/>
      <c r="JM180" s="42"/>
      <c r="JN180" s="42"/>
      <c r="JO180" s="42"/>
      <c r="JP180" s="42"/>
      <c r="JQ180" s="42"/>
      <c r="JR180" s="42"/>
      <c r="JS180" s="42"/>
      <c r="JT180" s="42"/>
      <c r="JU180" s="42"/>
      <c r="JV180" s="42"/>
      <c r="JW180" s="42"/>
      <c r="JX180" s="42"/>
      <c r="JY180" s="42"/>
      <c r="JZ180" s="42"/>
      <c r="KA180" s="42"/>
      <c r="KB180" s="42"/>
      <c r="KC180" s="42"/>
      <c r="KD180" s="42"/>
      <c r="KE180" s="42"/>
      <c r="KF180" s="42"/>
      <c r="KG180" s="42"/>
      <c r="KH180" s="42"/>
      <c r="KI180" s="42"/>
      <c r="KJ180" s="42"/>
      <c r="KK180" s="42"/>
      <c r="KL180" s="42"/>
      <c r="KM180" s="42"/>
      <c r="KN180" s="42"/>
      <c r="KO180" s="42"/>
      <c r="KP180" s="42"/>
      <c r="KQ180" s="42"/>
      <c r="KR180" s="42"/>
      <c r="KS180" s="42"/>
      <c r="KT180" s="42"/>
      <c r="KU180" s="42"/>
      <c r="KV180" s="42"/>
      <c r="KW180" s="42"/>
      <c r="KX180" s="42"/>
      <c r="KY180" s="42"/>
      <c r="KZ180" s="42"/>
      <c r="LA180" s="42"/>
      <c r="LB180" s="42"/>
      <c r="LC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c r="AY181" s="42"/>
      <c r="AZ181" s="42"/>
      <c r="BA181" s="42"/>
      <c r="BB181" s="42"/>
      <c r="BC181" s="42"/>
      <c r="BD181" s="42"/>
      <c r="BE181" s="42"/>
      <c r="BF181" s="42"/>
      <c r="BG181" s="42"/>
      <c r="BH181" s="42"/>
      <c r="BI181" s="42"/>
      <c r="BJ181" s="42"/>
      <c r="BK181" s="42"/>
      <c r="BL181" s="42"/>
      <c r="BM181" s="42"/>
      <c r="BN181" s="42"/>
      <c r="BO181" s="42"/>
      <c r="BP181" s="42"/>
      <c r="BQ181" s="42"/>
      <c r="BR181" s="42"/>
      <c r="BS181" s="42"/>
      <c r="BT181" s="42"/>
      <c r="BU181" s="42"/>
      <c r="BV181" s="42"/>
      <c r="BW181" s="42"/>
      <c r="BX181" s="42"/>
      <c r="BY181" s="42"/>
      <c r="BZ181" s="42"/>
      <c r="CA181" s="42"/>
      <c r="CB181" s="42"/>
      <c r="CC181" s="42"/>
      <c r="CD181" s="42"/>
      <c r="CE181" s="42"/>
      <c r="CF181" s="42"/>
      <c r="CG181" s="42"/>
      <c r="CH181" s="42"/>
      <c r="CI181" s="42"/>
      <c r="CJ181" s="42"/>
      <c r="CK181" s="42"/>
      <c r="CL181" s="42"/>
      <c r="CM181" s="42"/>
      <c r="CN181" s="42"/>
      <c r="CO181" s="42"/>
      <c r="CP181" s="42"/>
      <c r="CQ181" s="42"/>
      <c r="CR181" s="42"/>
      <c r="CS181" s="42"/>
      <c r="CT181" s="42"/>
      <c r="CU181" s="42"/>
      <c r="CV181" s="42"/>
      <c r="CW181" s="42"/>
      <c r="CX181" s="42"/>
      <c r="CY181" s="42"/>
      <c r="CZ181" s="42"/>
      <c r="DA181" s="42"/>
      <c r="DB181" s="42"/>
      <c r="DC181" s="42"/>
      <c r="DD181" s="42"/>
      <c r="DE181" s="42"/>
      <c r="DF181" s="42"/>
      <c r="DG181" s="42"/>
      <c r="DH181" s="42"/>
      <c r="DI181" s="42"/>
      <c r="DJ181" s="42"/>
      <c r="DK181" s="42"/>
      <c r="DL181" s="42"/>
      <c r="DM181" s="42"/>
      <c r="DN181" s="42"/>
      <c r="DO181" s="42"/>
      <c r="DP181" s="42"/>
      <c r="DQ181" s="42"/>
      <c r="DR181" s="42"/>
      <c r="DS181" s="42"/>
      <c r="DT181" s="42"/>
      <c r="DU181" s="42"/>
      <c r="DV181" s="42"/>
      <c r="DW181" s="42"/>
      <c r="DX181" s="42"/>
      <c r="DY181" s="42"/>
      <c r="DZ181" s="42"/>
      <c r="EA181" s="42"/>
      <c r="EB181" s="42"/>
      <c r="EC181" s="42"/>
      <c r="ED181" s="42"/>
      <c r="EE181" s="42"/>
      <c r="EF181" s="42"/>
      <c r="EG181" s="42"/>
      <c r="EH181" s="42"/>
      <c r="EI181" s="42"/>
      <c r="EJ181" s="42"/>
      <c r="EK181" s="42"/>
      <c r="EL181" s="42"/>
      <c r="EM181" s="42"/>
      <c r="EN181" s="42"/>
      <c r="EO181" s="42"/>
      <c r="EP181" s="42"/>
      <c r="EQ181" s="42"/>
      <c r="ER181" s="42"/>
      <c r="ES181" s="42"/>
      <c r="ET181" s="42"/>
      <c r="EU181" s="42"/>
      <c r="EV181" s="42"/>
      <c r="EW181" s="42"/>
      <c r="EX181" s="42"/>
      <c r="EY181" s="42"/>
      <c r="EZ181" s="42"/>
      <c r="FA181" s="42"/>
      <c r="FB181" s="42"/>
      <c r="FC181" s="42"/>
      <c r="FD181" s="42"/>
      <c r="FE181" s="42"/>
      <c r="FF181" s="42"/>
      <c r="FG181" s="42"/>
      <c r="FH181" s="42"/>
      <c r="FI181" s="42"/>
      <c r="FJ181" s="42"/>
      <c r="FK181" s="42"/>
      <c r="FL181" s="42"/>
      <c r="FM181" s="42"/>
      <c r="FN181" s="42"/>
      <c r="FO181" s="42"/>
      <c r="FP181" s="42"/>
      <c r="FQ181" s="42"/>
      <c r="FR181" s="42"/>
      <c r="FS181" s="42"/>
      <c r="FT181" s="42"/>
      <c r="FU181" s="42"/>
      <c r="FV181" s="42"/>
      <c r="FW181" s="42"/>
      <c r="FX181" s="42"/>
      <c r="FY181" s="42"/>
      <c r="FZ181" s="42"/>
      <c r="GA181" s="42"/>
      <c r="GB181" s="42"/>
      <c r="GC181" s="42"/>
      <c r="GD181" s="42"/>
      <c r="GE181" s="42"/>
      <c r="GF181" s="42"/>
      <c r="GG181" s="42"/>
      <c r="GH181" s="42"/>
      <c r="GI181" s="42"/>
      <c r="GJ181" s="42"/>
      <c r="GK181" s="42"/>
      <c r="GL181" s="42"/>
      <c r="GM181" s="42"/>
      <c r="GN181" s="42"/>
      <c r="GO181" s="42"/>
      <c r="GP181" s="42"/>
      <c r="GQ181" s="42"/>
      <c r="GR181" s="42"/>
      <c r="GS181" s="42"/>
      <c r="GT181" s="42"/>
      <c r="GU181" s="42"/>
      <c r="GV181" s="42"/>
      <c r="GW181" s="42"/>
      <c r="GX181" s="42"/>
      <c r="GY181" s="42"/>
      <c r="GZ181" s="42"/>
      <c r="HA181" s="42"/>
      <c r="HB181" s="42"/>
      <c r="HC181" s="42"/>
      <c r="HD181" s="42"/>
      <c r="HE181" s="42"/>
      <c r="HF181" s="42"/>
      <c r="HG181" s="42"/>
      <c r="HH181" s="42"/>
      <c r="HI181" s="42"/>
      <c r="HJ181" s="42"/>
      <c r="HK181" s="42"/>
      <c r="HL181" s="42"/>
      <c r="HM181" s="42"/>
      <c r="HN181" s="42"/>
      <c r="HO181" s="42"/>
      <c r="HP181" s="42"/>
      <c r="HQ181" s="42"/>
      <c r="HR181" s="42"/>
      <c r="HS181" s="42"/>
      <c r="HT181" s="42"/>
      <c r="HU181" s="42"/>
      <c r="HV181" s="42"/>
      <c r="HW181" s="42"/>
      <c r="HX181" s="42"/>
      <c r="HY181" s="42"/>
      <c r="HZ181" s="42"/>
      <c r="IA181" s="42"/>
      <c r="IB181" s="42"/>
      <c r="IC181" s="42"/>
      <c r="ID181" s="42"/>
      <c r="IE181" s="42"/>
      <c r="IF181" s="42"/>
      <c r="IG181" s="42"/>
      <c r="IH181" s="42"/>
      <c r="II181" s="42"/>
      <c r="IJ181" s="42"/>
      <c r="IK181" s="42"/>
      <c r="IL181" s="42"/>
      <c r="IM181" s="42"/>
      <c r="IN181" s="42"/>
      <c r="IO181" s="42"/>
      <c r="IP181" s="42"/>
      <c r="IQ181" s="42"/>
      <c r="IR181" s="42"/>
      <c r="IS181" s="42"/>
      <c r="IT181" s="42"/>
      <c r="IU181" s="42"/>
      <c r="IV181" s="42"/>
      <c r="IW181" s="42"/>
      <c r="IX181" s="42"/>
      <c r="IY181" s="42"/>
      <c r="IZ181" s="42"/>
      <c r="JA181" s="42"/>
      <c r="JB181" s="42"/>
      <c r="JC181" s="42"/>
      <c r="JD181" s="42"/>
      <c r="JE181" s="42"/>
      <c r="JF181" s="42"/>
      <c r="JG181" s="42"/>
      <c r="JH181" s="42"/>
      <c r="JI181" s="42"/>
      <c r="JJ181" s="42"/>
      <c r="JK181" s="42"/>
      <c r="JL181" s="42"/>
      <c r="JM181" s="42"/>
      <c r="JN181" s="42"/>
      <c r="JO181" s="42"/>
      <c r="JP181" s="42"/>
      <c r="JQ181" s="42"/>
      <c r="JR181" s="42"/>
      <c r="JS181" s="42"/>
      <c r="JT181" s="42"/>
      <c r="JU181" s="42"/>
      <c r="JV181" s="42"/>
      <c r="JW181" s="42"/>
      <c r="JX181" s="42"/>
      <c r="JY181" s="42"/>
      <c r="JZ181" s="42"/>
      <c r="KA181" s="42"/>
      <c r="KB181" s="42"/>
      <c r="KC181" s="42"/>
      <c r="KD181" s="42"/>
      <c r="KE181" s="42"/>
      <c r="KF181" s="42"/>
      <c r="KG181" s="42"/>
      <c r="KH181" s="42"/>
      <c r="KI181" s="42"/>
      <c r="KJ181" s="42"/>
      <c r="KK181" s="42"/>
      <c r="KL181" s="42"/>
      <c r="KM181" s="42"/>
      <c r="KN181" s="42"/>
      <c r="KO181" s="42"/>
      <c r="KP181" s="42"/>
      <c r="KQ181" s="42"/>
      <c r="KR181" s="42"/>
      <c r="KS181" s="42"/>
      <c r="KT181" s="42"/>
      <c r="KU181" s="42"/>
      <c r="KV181" s="42"/>
      <c r="KW181" s="42"/>
      <c r="KX181" s="42"/>
      <c r="KY181" s="42"/>
      <c r="KZ181" s="42"/>
      <c r="LA181" s="42"/>
      <c r="LB181" s="42"/>
      <c r="LC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c r="AT182" s="42"/>
      <c r="AU182" s="42"/>
      <c r="AV182" s="42"/>
      <c r="AW182" s="42"/>
      <c r="AX182" s="42"/>
      <c r="AY182" s="42"/>
      <c r="AZ182" s="42"/>
      <c r="BA182" s="42"/>
      <c r="BB182" s="42"/>
      <c r="BC182" s="42"/>
      <c r="BD182" s="42"/>
      <c r="BE182" s="42"/>
      <c r="BF182" s="42"/>
      <c r="BG182" s="42"/>
      <c r="BH182" s="42"/>
      <c r="BI182" s="42"/>
      <c r="BJ182" s="42"/>
      <c r="BK182" s="42"/>
      <c r="BL182" s="42"/>
      <c r="BM182" s="42"/>
      <c r="BN182" s="42"/>
      <c r="BO182" s="42"/>
      <c r="BP182" s="42"/>
      <c r="BQ182" s="42"/>
      <c r="BR182" s="42"/>
      <c r="BS182" s="42"/>
      <c r="BT182" s="42"/>
      <c r="BU182" s="42"/>
      <c r="BV182" s="42"/>
      <c r="BW182" s="42"/>
      <c r="BX182" s="42"/>
      <c r="BY182" s="42"/>
      <c r="BZ182" s="42"/>
      <c r="CA182" s="42"/>
      <c r="CB182" s="42"/>
      <c r="CC182" s="42"/>
      <c r="CD182" s="42"/>
      <c r="CE182" s="42"/>
      <c r="CF182" s="42"/>
      <c r="CG182" s="42"/>
      <c r="CH182" s="42"/>
      <c r="CI182" s="42"/>
      <c r="CJ182" s="42"/>
      <c r="CK182" s="42"/>
      <c r="CL182" s="42"/>
      <c r="CM182" s="42"/>
      <c r="CN182" s="42"/>
      <c r="CO182" s="42"/>
      <c r="CP182" s="42"/>
      <c r="CQ182" s="42"/>
      <c r="CR182" s="42"/>
      <c r="CS182" s="42"/>
      <c r="CT182" s="42"/>
      <c r="CU182" s="42"/>
      <c r="CV182" s="42"/>
      <c r="CW182" s="42"/>
      <c r="CX182" s="42"/>
      <c r="CY182" s="42"/>
      <c r="CZ182" s="42"/>
      <c r="DA182" s="42"/>
      <c r="DB182" s="42"/>
      <c r="DC182" s="42"/>
      <c r="DD182" s="42"/>
      <c r="DE182" s="42"/>
      <c r="DF182" s="42"/>
      <c r="DG182" s="42"/>
      <c r="DH182" s="42"/>
      <c r="DI182" s="42"/>
      <c r="DJ182" s="42"/>
      <c r="DK182" s="42"/>
      <c r="DL182" s="42"/>
      <c r="DM182" s="42"/>
      <c r="DN182" s="42"/>
      <c r="DO182" s="42"/>
      <c r="DP182" s="42"/>
      <c r="DQ182" s="42"/>
      <c r="DR182" s="42"/>
      <c r="DS182" s="42"/>
      <c r="DT182" s="42"/>
      <c r="DU182" s="42"/>
      <c r="DV182" s="42"/>
      <c r="DW182" s="42"/>
      <c r="DX182" s="42"/>
      <c r="DY182" s="42"/>
      <c r="DZ182" s="42"/>
      <c r="EA182" s="42"/>
      <c r="EB182" s="42"/>
      <c r="EC182" s="42"/>
      <c r="ED182" s="42"/>
      <c r="EE182" s="42"/>
      <c r="EF182" s="42"/>
      <c r="EG182" s="42"/>
      <c r="EH182" s="42"/>
      <c r="EI182" s="42"/>
      <c r="EJ182" s="42"/>
      <c r="EK182" s="42"/>
      <c r="EL182" s="42"/>
      <c r="EM182" s="42"/>
      <c r="EN182" s="42"/>
      <c r="EO182" s="42"/>
      <c r="EP182" s="42"/>
      <c r="EQ182" s="42"/>
      <c r="ER182" s="42"/>
      <c r="ES182" s="42"/>
      <c r="ET182" s="42"/>
      <c r="EU182" s="42"/>
      <c r="EV182" s="42"/>
      <c r="EW182" s="42"/>
      <c r="EX182" s="42"/>
      <c r="EY182" s="42"/>
      <c r="EZ182" s="42"/>
      <c r="FA182" s="42"/>
      <c r="FB182" s="42"/>
      <c r="FC182" s="42"/>
      <c r="FD182" s="42"/>
      <c r="FE182" s="42"/>
      <c r="FF182" s="42"/>
      <c r="FG182" s="42"/>
      <c r="FH182" s="42"/>
      <c r="FI182" s="42"/>
      <c r="FJ182" s="42"/>
      <c r="FK182" s="42"/>
      <c r="FL182" s="42"/>
      <c r="FM182" s="42"/>
      <c r="FN182" s="42"/>
      <c r="FO182" s="42"/>
      <c r="FP182" s="42"/>
      <c r="FQ182" s="42"/>
      <c r="FR182" s="42"/>
      <c r="FS182" s="42"/>
      <c r="FT182" s="42"/>
      <c r="FU182" s="42"/>
      <c r="FV182" s="42"/>
      <c r="FW182" s="42"/>
      <c r="FX182" s="42"/>
      <c r="FY182" s="42"/>
      <c r="FZ182" s="42"/>
      <c r="GA182" s="42"/>
      <c r="GB182" s="42"/>
      <c r="GC182" s="42"/>
      <c r="GD182" s="42"/>
      <c r="GE182" s="42"/>
      <c r="GF182" s="42"/>
      <c r="GG182" s="42"/>
      <c r="GH182" s="42"/>
      <c r="GI182" s="42"/>
      <c r="GJ182" s="42"/>
      <c r="GK182" s="42"/>
      <c r="GL182" s="42"/>
      <c r="GM182" s="42"/>
      <c r="GN182" s="42"/>
      <c r="GO182" s="42"/>
      <c r="GP182" s="42"/>
      <c r="GQ182" s="42"/>
      <c r="GR182" s="42"/>
      <c r="GS182" s="42"/>
      <c r="GT182" s="42"/>
      <c r="GU182" s="42"/>
      <c r="GV182" s="42"/>
      <c r="GW182" s="42"/>
      <c r="GX182" s="42"/>
      <c r="GY182" s="42"/>
      <c r="GZ182" s="42"/>
      <c r="HA182" s="42"/>
      <c r="HB182" s="42"/>
      <c r="HC182" s="42"/>
      <c r="HD182" s="42"/>
      <c r="HE182" s="42"/>
      <c r="HF182" s="42"/>
      <c r="HG182" s="42"/>
      <c r="HH182" s="42"/>
      <c r="HI182" s="42"/>
      <c r="HJ182" s="42"/>
      <c r="HK182" s="42"/>
      <c r="HL182" s="42"/>
      <c r="HM182" s="42"/>
      <c r="HN182" s="42"/>
      <c r="HO182" s="42"/>
      <c r="HP182" s="42"/>
      <c r="HQ182" s="42"/>
      <c r="HR182" s="42"/>
      <c r="HS182" s="42"/>
      <c r="HT182" s="42"/>
      <c r="HU182" s="42"/>
      <c r="HV182" s="42"/>
      <c r="HW182" s="42"/>
      <c r="HX182" s="42"/>
      <c r="HY182" s="42"/>
      <c r="HZ182" s="42"/>
      <c r="IA182" s="42"/>
      <c r="IB182" s="42"/>
      <c r="IC182" s="42"/>
      <c r="ID182" s="42"/>
      <c r="IE182" s="42"/>
      <c r="IF182" s="42"/>
      <c r="IG182" s="42"/>
      <c r="IH182" s="42"/>
      <c r="II182" s="42"/>
      <c r="IJ182" s="42"/>
      <c r="IK182" s="42"/>
      <c r="IL182" s="42"/>
      <c r="IM182" s="42"/>
      <c r="IN182" s="42"/>
      <c r="IO182" s="42"/>
      <c r="IP182" s="42"/>
      <c r="IQ182" s="42"/>
      <c r="IR182" s="42"/>
      <c r="IS182" s="42"/>
      <c r="IT182" s="42"/>
      <c r="IU182" s="42"/>
      <c r="IV182" s="42"/>
      <c r="IW182" s="42"/>
      <c r="IX182" s="42"/>
      <c r="IY182" s="42"/>
      <c r="IZ182" s="42"/>
      <c r="JA182" s="42"/>
      <c r="JB182" s="42"/>
      <c r="JC182" s="42"/>
      <c r="JD182" s="42"/>
      <c r="JE182" s="42"/>
      <c r="JF182" s="42"/>
      <c r="JG182" s="42"/>
      <c r="JH182" s="42"/>
      <c r="JI182" s="42"/>
      <c r="JJ182" s="42"/>
      <c r="JK182" s="42"/>
      <c r="JL182" s="42"/>
      <c r="JM182" s="42"/>
      <c r="JN182" s="42"/>
      <c r="JO182" s="42"/>
      <c r="JP182" s="42"/>
      <c r="JQ182" s="42"/>
      <c r="JR182" s="42"/>
      <c r="JS182" s="42"/>
      <c r="JT182" s="42"/>
      <c r="JU182" s="42"/>
      <c r="JV182" s="42"/>
      <c r="JW182" s="42"/>
      <c r="JX182" s="42"/>
      <c r="JY182" s="42"/>
      <c r="JZ182" s="42"/>
      <c r="KA182" s="42"/>
      <c r="KB182" s="42"/>
      <c r="KC182" s="42"/>
      <c r="KD182" s="42"/>
      <c r="KE182" s="42"/>
      <c r="KF182" s="42"/>
      <c r="KG182" s="42"/>
      <c r="KH182" s="42"/>
      <c r="KI182" s="42"/>
      <c r="KJ182" s="42"/>
      <c r="KK182" s="42"/>
      <c r="KL182" s="42"/>
      <c r="KM182" s="42"/>
      <c r="KN182" s="42"/>
      <c r="KO182" s="42"/>
      <c r="KP182" s="42"/>
      <c r="KQ182" s="42"/>
      <c r="KR182" s="42"/>
      <c r="KS182" s="42"/>
      <c r="KT182" s="42"/>
      <c r="KU182" s="42"/>
      <c r="KV182" s="42"/>
      <c r="KW182" s="42"/>
      <c r="KX182" s="42"/>
      <c r="KY182" s="42"/>
      <c r="KZ182" s="42"/>
      <c r="LA182" s="42"/>
      <c r="LB182" s="42"/>
      <c r="LC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42"/>
      <c r="BB183" s="42"/>
      <c r="BC183" s="42"/>
      <c r="BD183" s="42"/>
      <c r="BE183" s="42"/>
      <c r="BF183" s="42"/>
      <c r="BG183" s="42"/>
      <c r="BH183" s="42"/>
      <c r="BI183" s="42"/>
      <c r="BJ183" s="42"/>
      <c r="BK183" s="42"/>
      <c r="BL183" s="42"/>
      <c r="BM183" s="42"/>
      <c r="BN183" s="42"/>
      <c r="BO183" s="42"/>
      <c r="BP183" s="42"/>
      <c r="BQ183" s="42"/>
      <c r="BR183" s="42"/>
      <c r="BS183" s="42"/>
      <c r="BT183" s="42"/>
      <c r="BU183" s="42"/>
      <c r="BV183" s="42"/>
      <c r="BW183" s="42"/>
      <c r="BX183" s="42"/>
      <c r="BY183" s="42"/>
      <c r="BZ183" s="42"/>
      <c r="CA183" s="42"/>
      <c r="CB183" s="42"/>
      <c r="CC183" s="42"/>
      <c r="CD183" s="42"/>
      <c r="CE183" s="42"/>
      <c r="CF183" s="42"/>
      <c r="CG183" s="42"/>
      <c r="CH183" s="42"/>
      <c r="CI183" s="42"/>
      <c r="CJ183" s="42"/>
      <c r="CK183" s="42"/>
      <c r="CL183" s="42"/>
      <c r="CM183" s="42"/>
      <c r="CN183" s="42"/>
      <c r="CO183" s="42"/>
      <c r="CP183" s="42"/>
      <c r="CQ183" s="42"/>
      <c r="CR183" s="42"/>
      <c r="CS183" s="42"/>
      <c r="CT183" s="42"/>
      <c r="CU183" s="42"/>
      <c r="CV183" s="42"/>
      <c r="CW183" s="42"/>
      <c r="CX183" s="42"/>
      <c r="CY183" s="42"/>
      <c r="CZ183" s="42"/>
      <c r="DA183" s="42"/>
      <c r="DB183" s="42"/>
      <c r="DC183" s="42"/>
      <c r="DD183" s="42"/>
      <c r="DE183" s="42"/>
      <c r="DF183" s="42"/>
      <c r="DG183" s="42"/>
      <c r="DH183" s="42"/>
      <c r="DI183" s="42"/>
      <c r="DJ183" s="42"/>
      <c r="DK183" s="42"/>
      <c r="DL183" s="42"/>
      <c r="DM183" s="42"/>
      <c r="DN183" s="42"/>
      <c r="DO183" s="42"/>
      <c r="DP183" s="42"/>
      <c r="DQ183" s="42"/>
      <c r="DR183" s="42"/>
      <c r="DS183" s="42"/>
      <c r="DT183" s="42"/>
      <c r="DU183" s="42"/>
      <c r="DV183" s="42"/>
      <c r="DW183" s="42"/>
      <c r="DX183" s="42"/>
      <c r="DY183" s="42"/>
      <c r="DZ183" s="42"/>
      <c r="EA183" s="42"/>
      <c r="EB183" s="42"/>
      <c r="EC183" s="42"/>
      <c r="ED183" s="42"/>
      <c r="EE183" s="42"/>
      <c r="EF183" s="42"/>
      <c r="EG183" s="42"/>
      <c r="EH183" s="42"/>
      <c r="EI183" s="42"/>
      <c r="EJ183" s="42"/>
      <c r="EK183" s="42"/>
      <c r="EL183" s="42"/>
      <c r="EM183" s="42"/>
      <c r="EN183" s="42"/>
      <c r="EO183" s="42"/>
      <c r="EP183" s="42"/>
      <c r="EQ183" s="42"/>
      <c r="ER183" s="42"/>
      <c r="ES183" s="42"/>
      <c r="ET183" s="42"/>
      <c r="EU183" s="42"/>
      <c r="EV183" s="42"/>
      <c r="EW183" s="42"/>
      <c r="EX183" s="42"/>
      <c r="EY183" s="42"/>
      <c r="EZ183" s="42"/>
      <c r="FA183" s="42"/>
      <c r="FB183" s="42"/>
      <c r="FC183" s="42"/>
      <c r="FD183" s="42"/>
      <c r="FE183" s="42"/>
      <c r="FF183" s="42"/>
      <c r="FG183" s="42"/>
      <c r="FH183" s="42"/>
      <c r="FI183" s="42"/>
      <c r="FJ183" s="42"/>
      <c r="FK183" s="42"/>
      <c r="FL183" s="42"/>
      <c r="FM183" s="42"/>
      <c r="FN183" s="42"/>
      <c r="FO183" s="42"/>
      <c r="FP183" s="42"/>
      <c r="FQ183" s="42"/>
      <c r="FR183" s="42"/>
      <c r="FS183" s="42"/>
      <c r="FT183" s="42"/>
      <c r="FU183" s="42"/>
      <c r="FV183" s="42"/>
      <c r="FW183" s="42"/>
      <c r="FX183" s="42"/>
      <c r="FY183" s="42"/>
      <c r="FZ183" s="42"/>
      <c r="GA183" s="42"/>
      <c r="GB183" s="42"/>
      <c r="GC183" s="42"/>
      <c r="GD183" s="42"/>
      <c r="GE183" s="42"/>
      <c r="GF183" s="42"/>
      <c r="GG183" s="42"/>
      <c r="GH183" s="42"/>
      <c r="GI183" s="42"/>
      <c r="GJ183" s="42"/>
      <c r="GK183" s="42"/>
      <c r="GL183" s="42"/>
      <c r="GM183" s="42"/>
      <c r="GN183" s="42"/>
      <c r="GO183" s="42"/>
      <c r="GP183" s="42"/>
      <c r="GQ183" s="42"/>
      <c r="GR183" s="42"/>
      <c r="GS183" s="42"/>
      <c r="GT183" s="42"/>
      <c r="GU183" s="42"/>
      <c r="GV183" s="42"/>
      <c r="GW183" s="42"/>
      <c r="GX183" s="42"/>
      <c r="GY183" s="42"/>
      <c r="GZ183" s="42"/>
      <c r="HA183" s="42"/>
      <c r="HB183" s="42"/>
      <c r="HC183" s="42"/>
      <c r="HD183" s="42"/>
      <c r="HE183" s="42"/>
      <c r="HF183" s="42"/>
      <c r="HG183" s="42"/>
      <c r="HH183" s="42"/>
      <c r="HI183" s="42"/>
      <c r="HJ183" s="42"/>
      <c r="HK183" s="42"/>
      <c r="HL183" s="42"/>
      <c r="HM183" s="42"/>
      <c r="HN183" s="42"/>
      <c r="HO183" s="42"/>
      <c r="HP183" s="42"/>
      <c r="HQ183" s="42"/>
      <c r="HR183" s="42"/>
      <c r="HS183" s="42"/>
      <c r="HT183" s="42"/>
      <c r="HU183" s="42"/>
      <c r="HV183" s="42"/>
      <c r="HW183" s="42"/>
      <c r="HX183" s="42"/>
      <c r="HY183" s="42"/>
      <c r="HZ183" s="42"/>
      <c r="IA183" s="42"/>
      <c r="IB183" s="42"/>
      <c r="IC183" s="42"/>
      <c r="ID183" s="42"/>
      <c r="IE183" s="42"/>
      <c r="IF183" s="42"/>
      <c r="IG183" s="42"/>
      <c r="IH183" s="42"/>
      <c r="II183" s="42"/>
      <c r="IJ183" s="42"/>
      <c r="IK183" s="42"/>
      <c r="IL183" s="42"/>
      <c r="IM183" s="42"/>
      <c r="IN183" s="42"/>
      <c r="IO183" s="42"/>
      <c r="IP183" s="42"/>
      <c r="IQ183" s="42"/>
      <c r="IR183" s="42"/>
      <c r="IS183" s="42"/>
      <c r="IT183" s="42"/>
      <c r="IU183" s="42"/>
      <c r="IV183" s="42"/>
      <c r="IW183" s="42"/>
      <c r="IX183" s="42"/>
      <c r="IY183" s="42"/>
      <c r="IZ183" s="42"/>
      <c r="JA183" s="42"/>
      <c r="JB183" s="42"/>
      <c r="JC183" s="42"/>
      <c r="JD183" s="42"/>
      <c r="JE183" s="42"/>
      <c r="JF183" s="42"/>
      <c r="JG183" s="42"/>
      <c r="JH183" s="42"/>
      <c r="JI183" s="42"/>
      <c r="JJ183" s="42"/>
      <c r="JK183" s="42"/>
      <c r="JL183" s="42"/>
      <c r="JM183" s="42"/>
      <c r="JN183" s="42"/>
      <c r="JO183" s="42"/>
      <c r="JP183" s="42"/>
      <c r="JQ183" s="42"/>
      <c r="JR183" s="42"/>
      <c r="JS183" s="42"/>
      <c r="JT183" s="42"/>
      <c r="JU183" s="42"/>
      <c r="JV183" s="42"/>
      <c r="JW183" s="42"/>
      <c r="JX183" s="42"/>
      <c r="JY183" s="42"/>
      <c r="JZ183" s="42"/>
      <c r="KA183" s="42"/>
      <c r="KB183" s="42"/>
      <c r="KC183" s="42"/>
      <c r="KD183" s="42"/>
      <c r="KE183" s="42"/>
      <c r="KF183" s="42"/>
      <c r="KG183" s="42"/>
      <c r="KH183" s="42"/>
      <c r="KI183" s="42"/>
      <c r="KJ183" s="42"/>
      <c r="KK183" s="42"/>
      <c r="KL183" s="42"/>
      <c r="KM183" s="42"/>
      <c r="KN183" s="42"/>
      <c r="KO183" s="42"/>
      <c r="KP183" s="42"/>
      <c r="KQ183" s="42"/>
      <c r="KR183" s="42"/>
      <c r="KS183" s="42"/>
      <c r="KT183" s="42"/>
      <c r="KU183" s="42"/>
      <c r="KV183" s="42"/>
      <c r="KW183" s="42"/>
      <c r="KX183" s="42"/>
      <c r="KY183" s="42"/>
      <c r="KZ183" s="42"/>
      <c r="LA183" s="42"/>
      <c r="LB183" s="42"/>
      <c r="LC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42"/>
      <c r="BB184" s="42"/>
      <c r="BC184" s="42"/>
      <c r="BD184" s="42"/>
      <c r="BE184" s="42"/>
      <c r="BF184" s="42"/>
      <c r="BG184" s="42"/>
      <c r="BH184" s="42"/>
      <c r="BI184" s="42"/>
      <c r="BJ184" s="42"/>
      <c r="BK184" s="42"/>
      <c r="BL184" s="42"/>
      <c r="BM184" s="42"/>
      <c r="BN184" s="42"/>
      <c r="BO184" s="42"/>
      <c r="BP184" s="42"/>
      <c r="BQ184" s="42"/>
      <c r="BR184" s="42"/>
      <c r="BS184" s="42"/>
      <c r="BT184" s="42"/>
      <c r="BU184" s="42"/>
      <c r="BV184" s="42"/>
      <c r="BW184" s="42"/>
      <c r="BX184" s="42"/>
      <c r="BY184" s="42"/>
      <c r="BZ184" s="42"/>
      <c r="CA184" s="42"/>
      <c r="CB184" s="42"/>
      <c r="CC184" s="42"/>
      <c r="CD184" s="42"/>
      <c r="CE184" s="42"/>
      <c r="CF184" s="42"/>
      <c r="CG184" s="42"/>
      <c r="CH184" s="42"/>
      <c r="CI184" s="42"/>
      <c r="CJ184" s="42"/>
      <c r="CK184" s="42"/>
      <c r="CL184" s="42"/>
      <c r="CM184" s="42"/>
      <c r="CN184" s="42"/>
      <c r="CO184" s="42"/>
      <c r="CP184" s="42"/>
      <c r="CQ184" s="42"/>
      <c r="CR184" s="42"/>
      <c r="CS184" s="42"/>
      <c r="CT184" s="42"/>
      <c r="CU184" s="42"/>
      <c r="CV184" s="42"/>
      <c r="CW184" s="42"/>
      <c r="CX184" s="42"/>
      <c r="CY184" s="42"/>
      <c r="CZ184" s="42"/>
      <c r="DA184" s="42"/>
      <c r="DB184" s="42"/>
      <c r="DC184" s="42"/>
      <c r="DD184" s="42"/>
      <c r="DE184" s="42"/>
      <c r="DF184" s="42"/>
      <c r="DG184" s="42"/>
      <c r="DH184" s="42"/>
      <c r="DI184" s="42"/>
      <c r="DJ184" s="42"/>
      <c r="DK184" s="42"/>
      <c r="DL184" s="42"/>
      <c r="DM184" s="42"/>
      <c r="DN184" s="42"/>
      <c r="DO184" s="42"/>
      <c r="DP184" s="42"/>
      <c r="DQ184" s="42"/>
      <c r="DR184" s="42"/>
      <c r="DS184" s="42"/>
      <c r="DT184" s="42"/>
      <c r="DU184" s="42"/>
      <c r="DV184" s="42"/>
      <c r="DW184" s="42"/>
      <c r="DX184" s="42"/>
      <c r="DY184" s="42"/>
      <c r="DZ184" s="42"/>
      <c r="EA184" s="42"/>
      <c r="EB184" s="42"/>
      <c r="EC184" s="42"/>
      <c r="ED184" s="42"/>
      <c r="EE184" s="42"/>
      <c r="EF184" s="42"/>
      <c r="EG184" s="42"/>
      <c r="EH184" s="42"/>
      <c r="EI184" s="42"/>
      <c r="EJ184" s="42"/>
      <c r="EK184" s="42"/>
      <c r="EL184" s="42"/>
      <c r="EM184" s="42"/>
      <c r="EN184" s="42"/>
      <c r="EO184" s="42"/>
      <c r="EP184" s="42"/>
      <c r="EQ184" s="42"/>
      <c r="ER184" s="42"/>
      <c r="ES184" s="42"/>
      <c r="ET184" s="42"/>
      <c r="EU184" s="42"/>
      <c r="EV184" s="42"/>
      <c r="EW184" s="42"/>
      <c r="EX184" s="42"/>
      <c r="EY184" s="42"/>
      <c r="EZ184" s="42"/>
      <c r="FA184" s="42"/>
      <c r="FB184" s="42"/>
      <c r="FC184" s="42"/>
      <c r="FD184" s="42"/>
      <c r="FE184" s="42"/>
      <c r="FF184" s="42"/>
      <c r="FG184" s="42"/>
      <c r="FH184" s="42"/>
      <c r="FI184" s="42"/>
      <c r="FJ184" s="42"/>
      <c r="FK184" s="42"/>
      <c r="FL184" s="42"/>
      <c r="FM184" s="42"/>
      <c r="FN184" s="42"/>
      <c r="FO184" s="42"/>
      <c r="FP184" s="42"/>
      <c r="FQ184" s="42"/>
      <c r="FR184" s="42"/>
      <c r="FS184" s="42"/>
      <c r="FT184" s="42"/>
      <c r="FU184" s="42"/>
      <c r="FV184" s="42"/>
      <c r="FW184" s="42"/>
      <c r="FX184" s="42"/>
      <c r="FY184" s="42"/>
      <c r="FZ184" s="42"/>
      <c r="GA184" s="42"/>
      <c r="GB184" s="42"/>
      <c r="GC184" s="42"/>
      <c r="GD184" s="42"/>
      <c r="GE184" s="42"/>
      <c r="GF184" s="42"/>
      <c r="GG184" s="42"/>
      <c r="GH184" s="42"/>
      <c r="GI184" s="42"/>
      <c r="GJ184" s="42"/>
      <c r="GK184" s="42"/>
      <c r="GL184" s="42"/>
      <c r="GM184" s="42"/>
      <c r="GN184" s="42"/>
      <c r="GO184" s="42"/>
      <c r="GP184" s="42"/>
      <c r="GQ184" s="42"/>
      <c r="GR184" s="42"/>
      <c r="GS184" s="42"/>
      <c r="GT184" s="42"/>
      <c r="GU184" s="42"/>
      <c r="GV184" s="42"/>
      <c r="GW184" s="42"/>
      <c r="GX184" s="42"/>
      <c r="GY184" s="42"/>
      <c r="GZ184" s="42"/>
      <c r="HA184" s="42"/>
      <c r="HB184" s="42"/>
      <c r="HC184" s="42"/>
      <c r="HD184" s="42"/>
      <c r="HE184" s="42"/>
      <c r="HF184" s="42"/>
      <c r="HG184" s="42"/>
      <c r="HH184" s="42"/>
      <c r="HI184" s="42"/>
      <c r="HJ184" s="42"/>
      <c r="HK184" s="42"/>
      <c r="HL184" s="42"/>
      <c r="HM184" s="42"/>
      <c r="HN184" s="42"/>
      <c r="HO184" s="42"/>
      <c r="HP184" s="42"/>
      <c r="HQ184" s="42"/>
      <c r="HR184" s="42"/>
      <c r="HS184" s="42"/>
      <c r="HT184" s="42"/>
      <c r="HU184" s="42"/>
      <c r="HV184" s="42"/>
      <c r="HW184" s="42"/>
      <c r="HX184" s="42"/>
      <c r="HY184" s="42"/>
      <c r="HZ184" s="42"/>
      <c r="IA184" s="42"/>
      <c r="IB184" s="42"/>
      <c r="IC184" s="42"/>
      <c r="ID184" s="42"/>
      <c r="IE184" s="42"/>
      <c r="IF184" s="42"/>
      <c r="IG184" s="42"/>
      <c r="IH184" s="42"/>
      <c r="II184" s="42"/>
      <c r="IJ184" s="42"/>
      <c r="IK184" s="42"/>
      <c r="IL184" s="42"/>
      <c r="IM184" s="42"/>
      <c r="IN184" s="42"/>
      <c r="IO184" s="42"/>
      <c r="IP184" s="42"/>
      <c r="IQ184" s="42"/>
      <c r="IR184" s="42"/>
      <c r="IS184" s="42"/>
      <c r="IT184" s="42"/>
      <c r="IU184" s="42"/>
      <c r="IV184" s="42"/>
      <c r="IW184" s="42"/>
      <c r="IX184" s="42"/>
      <c r="IY184" s="42"/>
      <c r="IZ184" s="42"/>
      <c r="JA184" s="42"/>
      <c r="JB184" s="42"/>
      <c r="JC184" s="42"/>
      <c r="JD184" s="42"/>
      <c r="JE184" s="42"/>
      <c r="JF184" s="42"/>
      <c r="JG184" s="42"/>
      <c r="JH184" s="42"/>
      <c r="JI184" s="42"/>
      <c r="JJ184" s="42"/>
      <c r="JK184" s="42"/>
      <c r="JL184" s="42"/>
      <c r="JM184" s="42"/>
      <c r="JN184" s="42"/>
      <c r="JO184" s="42"/>
      <c r="JP184" s="42"/>
      <c r="JQ184" s="42"/>
      <c r="JR184" s="42"/>
      <c r="JS184" s="42"/>
      <c r="JT184" s="42"/>
      <c r="JU184" s="42"/>
      <c r="JV184" s="42"/>
      <c r="JW184" s="42"/>
      <c r="JX184" s="42"/>
      <c r="JY184" s="42"/>
      <c r="JZ184" s="42"/>
      <c r="KA184" s="42"/>
      <c r="KB184" s="42"/>
      <c r="KC184" s="42"/>
      <c r="KD184" s="42"/>
      <c r="KE184" s="42"/>
      <c r="KF184" s="42"/>
      <c r="KG184" s="42"/>
      <c r="KH184" s="42"/>
      <c r="KI184" s="42"/>
      <c r="KJ184" s="42"/>
      <c r="KK184" s="42"/>
      <c r="KL184" s="42"/>
      <c r="KM184" s="42"/>
      <c r="KN184" s="42"/>
      <c r="KO184" s="42"/>
      <c r="KP184" s="42"/>
      <c r="KQ184" s="42"/>
      <c r="KR184" s="42"/>
      <c r="KS184" s="42"/>
      <c r="KT184" s="42"/>
      <c r="KU184" s="42"/>
      <c r="KV184" s="42"/>
      <c r="KW184" s="42"/>
      <c r="KX184" s="42"/>
      <c r="KY184" s="42"/>
      <c r="KZ184" s="42"/>
      <c r="LA184" s="42"/>
      <c r="LB184" s="42"/>
      <c r="LC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c r="AY185" s="42"/>
      <c r="AZ185" s="42"/>
      <c r="BA185" s="42"/>
      <c r="BB185" s="42"/>
      <c r="BC185" s="42"/>
      <c r="BD185" s="42"/>
      <c r="BE185" s="42"/>
      <c r="BF185" s="42"/>
      <c r="BG185" s="42"/>
      <c r="BH185" s="42"/>
      <c r="BI185" s="42"/>
      <c r="BJ185" s="42"/>
      <c r="BK185" s="42"/>
      <c r="BL185" s="42"/>
      <c r="BM185" s="42"/>
      <c r="BN185" s="42"/>
      <c r="BO185" s="42"/>
      <c r="BP185" s="42"/>
      <c r="BQ185" s="42"/>
      <c r="BR185" s="42"/>
      <c r="BS185" s="42"/>
      <c r="BT185" s="42"/>
      <c r="BU185" s="42"/>
      <c r="BV185" s="42"/>
      <c r="BW185" s="42"/>
      <c r="BX185" s="42"/>
      <c r="BY185" s="42"/>
      <c r="BZ185" s="42"/>
      <c r="CA185" s="42"/>
      <c r="CB185" s="42"/>
      <c r="CC185" s="42"/>
      <c r="CD185" s="42"/>
      <c r="CE185" s="42"/>
      <c r="CF185" s="42"/>
      <c r="CG185" s="42"/>
      <c r="CH185" s="42"/>
      <c r="CI185" s="42"/>
      <c r="CJ185" s="42"/>
      <c r="CK185" s="42"/>
      <c r="CL185" s="42"/>
      <c r="CM185" s="42"/>
      <c r="CN185" s="42"/>
      <c r="CO185" s="42"/>
      <c r="CP185" s="42"/>
      <c r="CQ185" s="42"/>
      <c r="CR185" s="42"/>
      <c r="CS185" s="42"/>
      <c r="CT185" s="42"/>
      <c r="CU185" s="42"/>
      <c r="CV185" s="42"/>
      <c r="CW185" s="42"/>
      <c r="CX185" s="42"/>
      <c r="CY185" s="42"/>
      <c r="CZ185" s="42"/>
      <c r="DA185" s="42"/>
      <c r="DB185" s="42"/>
      <c r="DC185" s="42"/>
      <c r="DD185" s="42"/>
      <c r="DE185" s="42"/>
      <c r="DF185" s="42"/>
      <c r="DG185" s="42"/>
      <c r="DH185" s="42"/>
      <c r="DI185" s="42"/>
      <c r="DJ185" s="42"/>
      <c r="DK185" s="42"/>
      <c r="DL185" s="42"/>
      <c r="DM185" s="42"/>
      <c r="DN185" s="42"/>
      <c r="DO185" s="42"/>
      <c r="DP185" s="42"/>
      <c r="DQ185" s="42"/>
      <c r="DR185" s="42"/>
      <c r="DS185" s="42"/>
      <c r="DT185" s="42"/>
      <c r="DU185" s="42"/>
      <c r="DV185" s="42"/>
      <c r="DW185" s="42"/>
      <c r="DX185" s="42"/>
      <c r="DY185" s="42"/>
      <c r="DZ185" s="42"/>
      <c r="EA185" s="42"/>
      <c r="EB185" s="42"/>
      <c r="EC185" s="42"/>
      <c r="ED185" s="42"/>
      <c r="EE185" s="42"/>
      <c r="EF185" s="42"/>
      <c r="EG185" s="42"/>
      <c r="EH185" s="42"/>
      <c r="EI185" s="42"/>
      <c r="EJ185" s="42"/>
      <c r="EK185" s="42"/>
      <c r="EL185" s="42"/>
      <c r="EM185" s="42"/>
      <c r="EN185" s="42"/>
      <c r="EO185" s="42"/>
      <c r="EP185" s="42"/>
      <c r="EQ185" s="42"/>
      <c r="ER185" s="42"/>
      <c r="ES185" s="42"/>
      <c r="ET185" s="42"/>
      <c r="EU185" s="42"/>
      <c r="EV185" s="42"/>
      <c r="EW185" s="42"/>
      <c r="EX185" s="42"/>
      <c r="EY185" s="42"/>
      <c r="EZ185" s="42"/>
      <c r="FA185" s="42"/>
      <c r="FB185" s="42"/>
      <c r="FC185" s="42"/>
      <c r="FD185" s="42"/>
      <c r="FE185" s="42"/>
      <c r="FF185" s="42"/>
      <c r="FG185" s="42"/>
      <c r="FH185" s="42"/>
      <c r="FI185" s="42"/>
      <c r="FJ185" s="42"/>
      <c r="FK185" s="42"/>
      <c r="FL185" s="42"/>
      <c r="FM185" s="42"/>
      <c r="FN185" s="42"/>
      <c r="FO185" s="42"/>
      <c r="FP185" s="42"/>
      <c r="FQ185" s="42"/>
      <c r="FR185" s="42"/>
      <c r="FS185" s="42"/>
      <c r="FT185" s="42"/>
      <c r="FU185" s="42"/>
      <c r="FV185" s="42"/>
      <c r="FW185" s="42"/>
      <c r="FX185" s="42"/>
      <c r="FY185" s="42"/>
      <c r="FZ185" s="42"/>
      <c r="GA185" s="42"/>
      <c r="GB185" s="42"/>
      <c r="GC185" s="42"/>
      <c r="GD185" s="42"/>
      <c r="GE185" s="42"/>
      <c r="GF185" s="42"/>
      <c r="GG185" s="42"/>
      <c r="GH185" s="42"/>
      <c r="GI185" s="42"/>
      <c r="GJ185" s="42"/>
      <c r="GK185" s="42"/>
      <c r="GL185" s="42"/>
      <c r="GM185" s="42"/>
      <c r="GN185" s="42"/>
      <c r="GO185" s="42"/>
      <c r="GP185" s="42"/>
      <c r="GQ185" s="42"/>
      <c r="GR185" s="42"/>
      <c r="GS185" s="42"/>
      <c r="GT185" s="42"/>
      <c r="GU185" s="42"/>
      <c r="GV185" s="42"/>
      <c r="GW185" s="42"/>
      <c r="GX185" s="42"/>
      <c r="GY185" s="42"/>
      <c r="GZ185" s="42"/>
      <c r="HA185" s="42"/>
      <c r="HB185" s="42"/>
      <c r="HC185" s="42"/>
      <c r="HD185" s="42"/>
      <c r="HE185" s="42"/>
      <c r="HF185" s="42"/>
      <c r="HG185" s="42"/>
      <c r="HH185" s="42"/>
      <c r="HI185" s="42"/>
      <c r="HJ185" s="42"/>
      <c r="HK185" s="42"/>
      <c r="HL185" s="42"/>
      <c r="HM185" s="42"/>
      <c r="HN185" s="42"/>
      <c r="HO185" s="42"/>
      <c r="HP185" s="42"/>
      <c r="HQ185" s="42"/>
      <c r="HR185" s="42"/>
      <c r="HS185" s="42"/>
      <c r="HT185" s="42"/>
      <c r="HU185" s="42"/>
      <c r="HV185" s="42"/>
      <c r="HW185" s="42"/>
      <c r="HX185" s="42"/>
      <c r="HY185" s="42"/>
      <c r="HZ185" s="42"/>
      <c r="IA185" s="42"/>
      <c r="IB185" s="42"/>
      <c r="IC185" s="42"/>
      <c r="ID185" s="42"/>
      <c r="IE185" s="42"/>
      <c r="IF185" s="42"/>
      <c r="IG185" s="42"/>
      <c r="IH185" s="42"/>
      <c r="II185" s="42"/>
      <c r="IJ185" s="42"/>
      <c r="IK185" s="42"/>
      <c r="IL185" s="42"/>
      <c r="IM185" s="42"/>
      <c r="IN185" s="42"/>
      <c r="IO185" s="42"/>
      <c r="IP185" s="42"/>
      <c r="IQ185" s="42"/>
      <c r="IR185" s="42"/>
      <c r="IS185" s="42"/>
      <c r="IT185" s="42"/>
      <c r="IU185" s="42"/>
      <c r="IV185" s="42"/>
      <c r="IW185" s="42"/>
      <c r="IX185" s="42"/>
      <c r="IY185" s="42"/>
      <c r="IZ185" s="42"/>
      <c r="JA185" s="42"/>
      <c r="JB185" s="42"/>
      <c r="JC185" s="42"/>
      <c r="JD185" s="42"/>
      <c r="JE185" s="42"/>
      <c r="JF185" s="42"/>
      <c r="JG185" s="42"/>
      <c r="JH185" s="42"/>
      <c r="JI185" s="42"/>
      <c r="JJ185" s="42"/>
      <c r="JK185" s="42"/>
      <c r="JL185" s="42"/>
      <c r="JM185" s="42"/>
      <c r="JN185" s="42"/>
      <c r="JO185" s="42"/>
      <c r="JP185" s="42"/>
      <c r="JQ185" s="42"/>
      <c r="JR185" s="42"/>
      <c r="JS185" s="42"/>
      <c r="JT185" s="42"/>
      <c r="JU185" s="42"/>
      <c r="JV185" s="42"/>
      <c r="JW185" s="42"/>
      <c r="JX185" s="42"/>
      <c r="JY185" s="42"/>
      <c r="JZ185" s="42"/>
      <c r="KA185" s="42"/>
      <c r="KB185" s="42"/>
      <c r="KC185" s="42"/>
      <c r="KD185" s="42"/>
      <c r="KE185" s="42"/>
      <c r="KF185" s="42"/>
      <c r="KG185" s="42"/>
      <c r="KH185" s="42"/>
      <c r="KI185" s="42"/>
      <c r="KJ185" s="42"/>
      <c r="KK185" s="42"/>
      <c r="KL185" s="42"/>
      <c r="KM185" s="42"/>
      <c r="KN185" s="42"/>
      <c r="KO185" s="42"/>
      <c r="KP185" s="42"/>
      <c r="KQ185" s="42"/>
      <c r="KR185" s="42"/>
      <c r="KS185" s="42"/>
      <c r="KT185" s="42"/>
      <c r="KU185" s="42"/>
      <c r="KV185" s="42"/>
      <c r="KW185" s="42"/>
      <c r="KX185" s="42"/>
      <c r="KY185" s="42"/>
      <c r="KZ185" s="42"/>
      <c r="LA185" s="42"/>
      <c r="LB185" s="42"/>
      <c r="LC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c r="AY186" s="42"/>
      <c r="AZ186" s="42"/>
      <c r="BA186" s="42"/>
      <c r="BB186" s="42"/>
      <c r="BC186" s="42"/>
      <c r="BD186" s="42"/>
      <c r="BE186" s="42"/>
      <c r="BF186" s="42"/>
      <c r="BG186" s="42"/>
      <c r="BH186" s="42"/>
      <c r="BI186" s="42"/>
      <c r="BJ186" s="42"/>
      <c r="BK186" s="42"/>
      <c r="BL186" s="42"/>
      <c r="BM186" s="42"/>
      <c r="BN186" s="42"/>
      <c r="BO186" s="42"/>
      <c r="BP186" s="42"/>
      <c r="BQ186" s="42"/>
      <c r="BR186" s="42"/>
      <c r="BS186" s="42"/>
      <c r="BT186" s="42"/>
      <c r="BU186" s="42"/>
      <c r="BV186" s="42"/>
      <c r="BW186" s="42"/>
      <c r="BX186" s="42"/>
      <c r="BY186" s="42"/>
      <c r="BZ186" s="42"/>
      <c r="CA186" s="42"/>
      <c r="CB186" s="42"/>
      <c r="CC186" s="42"/>
      <c r="CD186" s="42"/>
      <c r="CE186" s="42"/>
      <c r="CF186" s="42"/>
      <c r="CG186" s="42"/>
      <c r="CH186" s="42"/>
      <c r="CI186" s="42"/>
      <c r="CJ186" s="42"/>
      <c r="CK186" s="42"/>
      <c r="CL186" s="42"/>
      <c r="CM186" s="42"/>
      <c r="CN186" s="42"/>
      <c r="CO186" s="42"/>
      <c r="CP186" s="42"/>
      <c r="CQ186" s="42"/>
      <c r="CR186" s="42"/>
      <c r="CS186" s="42"/>
      <c r="CT186" s="42"/>
      <c r="CU186" s="42"/>
      <c r="CV186" s="42"/>
      <c r="CW186" s="42"/>
      <c r="CX186" s="42"/>
      <c r="CY186" s="42"/>
      <c r="CZ186" s="42"/>
      <c r="DA186" s="42"/>
      <c r="DB186" s="42"/>
      <c r="DC186" s="42"/>
      <c r="DD186" s="42"/>
      <c r="DE186" s="42"/>
      <c r="DF186" s="42"/>
      <c r="DG186" s="42"/>
      <c r="DH186" s="42"/>
      <c r="DI186" s="42"/>
      <c r="DJ186" s="42"/>
      <c r="DK186" s="42"/>
      <c r="DL186" s="42"/>
      <c r="DM186" s="42"/>
      <c r="DN186" s="42"/>
      <c r="DO186" s="42"/>
      <c r="DP186" s="42"/>
      <c r="DQ186" s="42"/>
      <c r="DR186" s="42"/>
      <c r="DS186" s="42"/>
      <c r="DT186" s="42"/>
      <c r="DU186" s="42"/>
      <c r="DV186" s="42"/>
      <c r="DW186" s="42"/>
      <c r="DX186" s="42"/>
      <c r="DY186" s="42"/>
      <c r="DZ186" s="42"/>
      <c r="EA186" s="42"/>
      <c r="EB186" s="42"/>
      <c r="EC186" s="42"/>
      <c r="ED186" s="42"/>
      <c r="EE186" s="42"/>
      <c r="EF186" s="42"/>
      <c r="EG186" s="42"/>
      <c r="EH186" s="42"/>
      <c r="EI186" s="42"/>
      <c r="EJ186" s="42"/>
      <c r="EK186" s="42"/>
      <c r="EL186" s="42"/>
      <c r="EM186" s="42"/>
      <c r="EN186" s="42"/>
      <c r="EO186" s="42"/>
      <c r="EP186" s="42"/>
      <c r="EQ186" s="42"/>
      <c r="ER186" s="42"/>
      <c r="ES186" s="42"/>
      <c r="ET186" s="42"/>
      <c r="EU186" s="42"/>
      <c r="EV186" s="42"/>
      <c r="EW186" s="42"/>
      <c r="EX186" s="42"/>
      <c r="EY186" s="42"/>
      <c r="EZ186" s="42"/>
      <c r="FA186" s="42"/>
      <c r="FB186" s="42"/>
      <c r="FC186" s="42"/>
      <c r="FD186" s="42"/>
      <c r="FE186" s="42"/>
      <c r="FF186" s="42"/>
      <c r="FG186" s="42"/>
      <c r="FH186" s="42"/>
      <c r="FI186" s="42"/>
      <c r="FJ186" s="42"/>
      <c r="FK186" s="42"/>
      <c r="FL186" s="42"/>
      <c r="FM186" s="42"/>
      <c r="FN186" s="42"/>
      <c r="FO186" s="42"/>
      <c r="FP186" s="42"/>
      <c r="FQ186" s="42"/>
      <c r="FR186" s="42"/>
      <c r="FS186" s="42"/>
      <c r="FT186" s="42"/>
      <c r="FU186" s="42"/>
      <c r="FV186" s="42"/>
      <c r="FW186" s="42"/>
      <c r="FX186" s="42"/>
      <c r="FY186" s="42"/>
      <c r="FZ186" s="42"/>
      <c r="GA186" s="42"/>
      <c r="GB186" s="42"/>
      <c r="GC186" s="42"/>
      <c r="GD186" s="42"/>
      <c r="GE186" s="42"/>
      <c r="GF186" s="42"/>
      <c r="GG186" s="42"/>
      <c r="GH186" s="42"/>
      <c r="GI186" s="42"/>
      <c r="GJ186" s="42"/>
      <c r="GK186" s="42"/>
      <c r="GL186" s="42"/>
      <c r="GM186" s="42"/>
      <c r="GN186" s="42"/>
      <c r="GO186" s="42"/>
      <c r="GP186" s="42"/>
      <c r="GQ186" s="42"/>
      <c r="GR186" s="42"/>
      <c r="GS186" s="42"/>
      <c r="GT186" s="42"/>
      <c r="GU186" s="42"/>
      <c r="GV186" s="42"/>
      <c r="GW186" s="42"/>
      <c r="GX186" s="42"/>
      <c r="GY186" s="42"/>
      <c r="GZ186" s="42"/>
      <c r="HA186" s="42"/>
      <c r="HB186" s="42"/>
      <c r="HC186" s="42"/>
      <c r="HD186" s="42"/>
      <c r="HE186" s="42"/>
      <c r="HF186" s="42"/>
      <c r="HG186" s="42"/>
      <c r="HH186" s="42"/>
      <c r="HI186" s="42"/>
      <c r="HJ186" s="42"/>
      <c r="HK186" s="42"/>
      <c r="HL186" s="42"/>
      <c r="HM186" s="42"/>
      <c r="HN186" s="42"/>
      <c r="HO186" s="42"/>
      <c r="HP186" s="42"/>
      <c r="HQ186" s="42"/>
      <c r="HR186" s="42"/>
      <c r="HS186" s="42"/>
      <c r="HT186" s="42"/>
      <c r="HU186" s="42"/>
      <c r="HV186" s="42"/>
      <c r="HW186" s="42"/>
      <c r="HX186" s="42"/>
      <c r="HY186" s="42"/>
      <c r="HZ186" s="42"/>
      <c r="IA186" s="42"/>
      <c r="IB186" s="42"/>
      <c r="IC186" s="42"/>
      <c r="ID186" s="42"/>
      <c r="IE186" s="42"/>
      <c r="IF186" s="42"/>
      <c r="IG186" s="42"/>
      <c r="IH186" s="42"/>
      <c r="II186" s="42"/>
      <c r="IJ186" s="42"/>
      <c r="IK186" s="42"/>
      <c r="IL186" s="42"/>
      <c r="IM186" s="42"/>
      <c r="IN186" s="42"/>
      <c r="IO186" s="42"/>
      <c r="IP186" s="42"/>
      <c r="IQ186" s="42"/>
      <c r="IR186" s="42"/>
      <c r="IS186" s="42"/>
      <c r="IT186" s="42"/>
      <c r="IU186" s="42"/>
      <c r="IV186" s="42"/>
      <c r="IW186" s="42"/>
      <c r="IX186" s="42"/>
      <c r="IY186" s="42"/>
      <c r="IZ186" s="42"/>
      <c r="JA186" s="42"/>
      <c r="JB186" s="42"/>
      <c r="JC186" s="42"/>
      <c r="JD186" s="42"/>
      <c r="JE186" s="42"/>
      <c r="JF186" s="42"/>
      <c r="JG186" s="42"/>
      <c r="JH186" s="42"/>
      <c r="JI186" s="42"/>
      <c r="JJ186" s="42"/>
      <c r="JK186" s="42"/>
      <c r="JL186" s="42"/>
      <c r="JM186" s="42"/>
      <c r="JN186" s="42"/>
      <c r="JO186" s="42"/>
      <c r="JP186" s="42"/>
      <c r="JQ186" s="42"/>
      <c r="JR186" s="42"/>
      <c r="JS186" s="42"/>
      <c r="JT186" s="42"/>
      <c r="JU186" s="42"/>
      <c r="JV186" s="42"/>
      <c r="JW186" s="42"/>
      <c r="JX186" s="42"/>
      <c r="JY186" s="42"/>
      <c r="JZ186" s="42"/>
      <c r="KA186" s="42"/>
      <c r="KB186" s="42"/>
      <c r="KC186" s="42"/>
      <c r="KD186" s="42"/>
      <c r="KE186" s="42"/>
      <c r="KF186" s="42"/>
      <c r="KG186" s="42"/>
      <c r="KH186" s="42"/>
      <c r="KI186" s="42"/>
      <c r="KJ186" s="42"/>
      <c r="KK186" s="42"/>
      <c r="KL186" s="42"/>
      <c r="KM186" s="42"/>
      <c r="KN186" s="42"/>
      <c r="KO186" s="42"/>
      <c r="KP186" s="42"/>
      <c r="KQ186" s="42"/>
      <c r="KR186" s="42"/>
      <c r="KS186" s="42"/>
      <c r="KT186" s="42"/>
      <c r="KU186" s="42"/>
      <c r="KV186" s="42"/>
      <c r="KW186" s="42"/>
      <c r="KX186" s="42"/>
      <c r="KY186" s="42"/>
      <c r="KZ186" s="42"/>
      <c r="LA186" s="42"/>
      <c r="LB186" s="42"/>
      <c r="LC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c r="BA187" s="42"/>
      <c r="BB187" s="42"/>
      <c r="BC187" s="42"/>
      <c r="BD187" s="42"/>
      <c r="BE187" s="42"/>
      <c r="BF187" s="42"/>
      <c r="BG187" s="42"/>
      <c r="BH187" s="42"/>
      <c r="BI187" s="42"/>
      <c r="BJ187" s="42"/>
      <c r="BK187" s="42"/>
      <c r="BL187" s="42"/>
      <c r="BM187" s="42"/>
      <c r="BN187" s="42"/>
      <c r="BO187" s="42"/>
      <c r="BP187" s="42"/>
      <c r="BQ187" s="42"/>
      <c r="BR187" s="42"/>
      <c r="BS187" s="42"/>
      <c r="BT187" s="42"/>
      <c r="BU187" s="42"/>
      <c r="BV187" s="42"/>
      <c r="BW187" s="42"/>
      <c r="BX187" s="42"/>
      <c r="BY187" s="42"/>
      <c r="BZ187" s="42"/>
      <c r="CA187" s="42"/>
      <c r="CB187" s="42"/>
      <c r="CC187" s="42"/>
      <c r="CD187" s="42"/>
      <c r="CE187" s="42"/>
      <c r="CF187" s="42"/>
      <c r="CG187" s="42"/>
      <c r="CH187" s="42"/>
      <c r="CI187" s="42"/>
      <c r="CJ187" s="42"/>
      <c r="CK187" s="42"/>
      <c r="CL187" s="42"/>
      <c r="CM187" s="42"/>
      <c r="CN187" s="42"/>
      <c r="CO187" s="42"/>
      <c r="CP187" s="42"/>
      <c r="CQ187" s="42"/>
      <c r="CR187" s="42"/>
      <c r="CS187" s="42"/>
      <c r="CT187" s="42"/>
      <c r="CU187" s="42"/>
      <c r="CV187" s="42"/>
      <c r="CW187" s="42"/>
      <c r="CX187" s="42"/>
      <c r="CY187" s="42"/>
      <c r="CZ187" s="42"/>
      <c r="DA187" s="42"/>
      <c r="DB187" s="42"/>
      <c r="DC187" s="42"/>
      <c r="DD187" s="42"/>
      <c r="DE187" s="42"/>
      <c r="DF187" s="42"/>
      <c r="DG187" s="42"/>
      <c r="DH187" s="42"/>
      <c r="DI187" s="42"/>
      <c r="DJ187" s="42"/>
      <c r="DK187" s="42"/>
      <c r="DL187" s="42"/>
      <c r="DM187" s="42"/>
      <c r="DN187" s="42"/>
      <c r="DO187" s="42"/>
      <c r="DP187" s="42"/>
      <c r="DQ187" s="42"/>
      <c r="DR187" s="42"/>
      <c r="DS187" s="42"/>
      <c r="DT187" s="42"/>
      <c r="DU187" s="42"/>
      <c r="DV187" s="42"/>
      <c r="DW187" s="42"/>
      <c r="DX187" s="42"/>
      <c r="DY187" s="42"/>
      <c r="DZ187" s="42"/>
      <c r="EA187" s="42"/>
      <c r="EB187" s="42"/>
      <c r="EC187" s="42"/>
      <c r="ED187" s="42"/>
      <c r="EE187" s="42"/>
      <c r="EF187" s="42"/>
      <c r="EG187" s="42"/>
      <c r="EH187" s="42"/>
      <c r="EI187" s="42"/>
      <c r="EJ187" s="42"/>
      <c r="EK187" s="42"/>
      <c r="EL187" s="42"/>
      <c r="EM187" s="42"/>
      <c r="EN187" s="42"/>
      <c r="EO187" s="42"/>
      <c r="EP187" s="42"/>
      <c r="EQ187" s="42"/>
      <c r="ER187" s="42"/>
      <c r="ES187" s="42"/>
      <c r="ET187" s="42"/>
      <c r="EU187" s="42"/>
      <c r="EV187" s="42"/>
      <c r="EW187" s="42"/>
      <c r="EX187" s="42"/>
      <c r="EY187" s="42"/>
      <c r="EZ187" s="42"/>
      <c r="FA187" s="42"/>
      <c r="FB187" s="42"/>
      <c r="FC187" s="42"/>
      <c r="FD187" s="42"/>
      <c r="FE187" s="42"/>
      <c r="FF187" s="42"/>
      <c r="FG187" s="42"/>
      <c r="FH187" s="42"/>
      <c r="FI187" s="42"/>
      <c r="FJ187" s="42"/>
      <c r="FK187" s="42"/>
      <c r="FL187" s="42"/>
      <c r="FM187" s="42"/>
      <c r="FN187" s="42"/>
      <c r="FO187" s="42"/>
      <c r="FP187" s="42"/>
      <c r="FQ187" s="42"/>
      <c r="FR187" s="42"/>
      <c r="FS187" s="42"/>
      <c r="FT187" s="42"/>
      <c r="FU187" s="42"/>
      <c r="FV187" s="42"/>
      <c r="FW187" s="42"/>
      <c r="FX187" s="42"/>
      <c r="FY187" s="42"/>
      <c r="FZ187" s="42"/>
      <c r="GA187" s="42"/>
      <c r="GB187" s="42"/>
      <c r="GC187" s="42"/>
      <c r="GD187" s="42"/>
      <c r="GE187" s="42"/>
      <c r="GF187" s="42"/>
      <c r="GG187" s="42"/>
      <c r="GH187" s="42"/>
      <c r="GI187" s="42"/>
      <c r="GJ187" s="42"/>
      <c r="GK187" s="42"/>
      <c r="GL187" s="42"/>
      <c r="GM187" s="42"/>
      <c r="GN187" s="42"/>
      <c r="GO187" s="42"/>
      <c r="GP187" s="42"/>
      <c r="GQ187" s="42"/>
      <c r="GR187" s="42"/>
      <c r="GS187" s="42"/>
      <c r="GT187" s="42"/>
      <c r="GU187" s="42"/>
      <c r="GV187" s="42"/>
      <c r="GW187" s="42"/>
      <c r="GX187" s="42"/>
      <c r="GY187" s="42"/>
      <c r="GZ187" s="42"/>
      <c r="HA187" s="42"/>
      <c r="HB187" s="42"/>
      <c r="HC187" s="42"/>
      <c r="HD187" s="42"/>
      <c r="HE187" s="42"/>
      <c r="HF187" s="42"/>
      <c r="HG187" s="42"/>
      <c r="HH187" s="42"/>
      <c r="HI187" s="42"/>
      <c r="HJ187" s="42"/>
      <c r="HK187" s="42"/>
      <c r="HL187" s="42"/>
      <c r="HM187" s="42"/>
      <c r="HN187" s="42"/>
      <c r="HO187" s="42"/>
      <c r="HP187" s="42"/>
      <c r="HQ187" s="42"/>
      <c r="HR187" s="42"/>
      <c r="HS187" s="42"/>
      <c r="HT187" s="42"/>
      <c r="HU187" s="42"/>
      <c r="HV187" s="42"/>
      <c r="HW187" s="42"/>
      <c r="HX187" s="42"/>
      <c r="HY187" s="42"/>
      <c r="HZ187" s="42"/>
      <c r="IA187" s="42"/>
      <c r="IB187" s="42"/>
      <c r="IC187" s="42"/>
      <c r="ID187" s="42"/>
      <c r="IE187" s="42"/>
      <c r="IF187" s="42"/>
      <c r="IG187" s="42"/>
      <c r="IH187" s="42"/>
      <c r="II187" s="42"/>
      <c r="IJ187" s="42"/>
      <c r="IK187" s="42"/>
      <c r="IL187" s="42"/>
      <c r="IM187" s="42"/>
      <c r="IN187" s="42"/>
      <c r="IO187" s="42"/>
      <c r="IP187" s="42"/>
      <c r="IQ187" s="42"/>
      <c r="IR187" s="42"/>
      <c r="IS187" s="42"/>
      <c r="IT187" s="42"/>
      <c r="IU187" s="42"/>
      <c r="IV187" s="42"/>
      <c r="IW187" s="42"/>
      <c r="IX187" s="42"/>
      <c r="IY187" s="42"/>
      <c r="IZ187" s="42"/>
      <c r="JA187" s="42"/>
      <c r="JB187" s="42"/>
      <c r="JC187" s="42"/>
      <c r="JD187" s="42"/>
      <c r="JE187" s="42"/>
      <c r="JF187" s="42"/>
      <c r="JG187" s="42"/>
      <c r="JH187" s="42"/>
      <c r="JI187" s="42"/>
      <c r="JJ187" s="42"/>
      <c r="JK187" s="42"/>
      <c r="JL187" s="42"/>
      <c r="JM187" s="42"/>
      <c r="JN187" s="42"/>
      <c r="JO187" s="42"/>
      <c r="JP187" s="42"/>
      <c r="JQ187" s="42"/>
      <c r="JR187" s="42"/>
      <c r="JS187" s="42"/>
      <c r="JT187" s="42"/>
      <c r="JU187" s="42"/>
      <c r="JV187" s="42"/>
      <c r="JW187" s="42"/>
      <c r="JX187" s="42"/>
      <c r="JY187" s="42"/>
      <c r="JZ187" s="42"/>
      <c r="KA187" s="42"/>
      <c r="KB187" s="42"/>
      <c r="KC187" s="42"/>
      <c r="KD187" s="42"/>
      <c r="KE187" s="42"/>
      <c r="KF187" s="42"/>
      <c r="KG187" s="42"/>
      <c r="KH187" s="42"/>
      <c r="KI187" s="42"/>
      <c r="KJ187" s="42"/>
      <c r="KK187" s="42"/>
      <c r="KL187" s="42"/>
      <c r="KM187" s="42"/>
      <c r="KN187" s="42"/>
      <c r="KO187" s="42"/>
      <c r="KP187" s="42"/>
      <c r="KQ187" s="42"/>
      <c r="KR187" s="42"/>
      <c r="KS187" s="42"/>
      <c r="KT187" s="42"/>
      <c r="KU187" s="42"/>
      <c r="KV187" s="42"/>
      <c r="KW187" s="42"/>
      <c r="KX187" s="42"/>
      <c r="KY187" s="42"/>
      <c r="KZ187" s="42"/>
      <c r="LA187" s="42"/>
      <c r="LB187" s="42"/>
      <c r="LC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c r="BA188" s="42"/>
      <c r="BB188" s="42"/>
      <c r="BC188" s="42"/>
      <c r="BD188" s="42"/>
      <c r="BE188" s="42"/>
      <c r="BF188" s="42"/>
      <c r="BG188" s="42"/>
      <c r="BH188" s="42"/>
      <c r="BI188" s="42"/>
      <c r="BJ188" s="42"/>
      <c r="BK188" s="42"/>
      <c r="BL188" s="42"/>
      <c r="BM188" s="42"/>
      <c r="BN188" s="42"/>
      <c r="BO188" s="42"/>
      <c r="BP188" s="42"/>
      <c r="BQ188" s="42"/>
      <c r="BR188" s="42"/>
      <c r="BS188" s="42"/>
      <c r="BT188" s="42"/>
      <c r="BU188" s="42"/>
      <c r="BV188" s="42"/>
      <c r="BW188" s="42"/>
      <c r="BX188" s="42"/>
      <c r="BY188" s="42"/>
      <c r="BZ188" s="42"/>
      <c r="CA188" s="42"/>
      <c r="CB188" s="42"/>
      <c r="CC188" s="42"/>
      <c r="CD188" s="42"/>
      <c r="CE188" s="42"/>
      <c r="CF188" s="42"/>
      <c r="CG188" s="42"/>
      <c r="CH188" s="42"/>
      <c r="CI188" s="42"/>
      <c r="CJ188" s="42"/>
      <c r="CK188" s="42"/>
      <c r="CL188" s="42"/>
      <c r="CM188" s="42"/>
      <c r="CN188" s="42"/>
      <c r="CO188" s="42"/>
      <c r="CP188" s="42"/>
      <c r="CQ188" s="42"/>
      <c r="CR188" s="42"/>
      <c r="CS188" s="42"/>
      <c r="CT188" s="42"/>
      <c r="CU188" s="42"/>
      <c r="CV188" s="42"/>
      <c r="CW188" s="42"/>
      <c r="CX188" s="42"/>
      <c r="CY188" s="42"/>
      <c r="CZ188" s="42"/>
      <c r="DA188" s="42"/>
      <c r="DB188" s="42"/>
      <c r="DC188" s="42"/>
      <c r="DD188" s="42"/>
      <c r="DE188" s="42"/>
      <c r="DF188" s="42"/>
      <c r="DG188" s="42"/>
      <c r="DH188" s="42"/>
      <c r="DI188" s="42"/>
      <c r="DJ188" s="42"/>
      <c r="DK188" s="42"/>
      <c r="DL188" s="42"/>
      <c r="DM188" s="42"/>
      <c r="DN188" s="42"/>
      <c r="DO188" s="42"/>
      <c r="DP188" s="42"/>
      <c r="DQ188" s="42"/>
      <c r="DR188" s="42"/>
      <c r="DS188" s="42"/>
      <c r="DT188" s="42"/>
      <c r="DU188" s="42"/>
      <c r="DV188" s="42"/>
      <c r="DW188" s="42"/>
      <c r="DX188" s="42"/>
      <c r="DY188" s="42"/>
      <c r="DZ188" s="42"/>
      <c r="EA188" s="42"/>
      <c r="EB188" s="42"/>
      <c r="EC188" s="42"/>
      <c r="ED188" s="42"/>
      <c r="EE188" s="42"/>
      <c r="EF188" s="42"/>
      <c r="EG188" s="42"/>
      <c r="EH188" s="42"/>
      <c r="EI188" s="42"/>
      <c r="EJ188" s="42"/>
      <c r="EK188" s="42"/>
      <c r="EL188" s="42"/>
      <c r="EM188" s="42"/>
      <c r="EN188" s="42"/>
      <c r="EO188" s="42"/>
      <c r="EP188" s="42"/>
      <c r="EQ188" s="42"/>
      <c r="ER188" s="42"/>
      <c r="ES188" s="42"/>
      <c r="ET188" s="42"/>
      <c r="EU188" s="42"/>
      <c r="EV188" s="42"/>
      <c r="EW188" s="42"/>
      <c r="EX188" s="42"/>
      <c r="EY188" s="42"/>
      <c r="EZ188" s="42"/>
      <c r="FA188" s="42"/>
      <c r="FB188" s="42"/>
      <c r="FC188" s="42"/>
      <c r="FD188" s="42"/>
      <c r="FE188" s="42"/>
      <c r="FF188" s="42"/>
      <c r="FG188" s="42"/>
      <c r="FH188" s="42"/>
      <c r="FI188" s="42"/>
      <c r="FJ188" s="42"/>
      <c r="FK188" s="42"/>
      <c r="FL188" s="42"/>
      <c r="FM188" s="42"/>
      <c r="FN188" s="42"/>
      <c r="FO188" s="42"/>
      <c r="FP188" s="42"/>
      <c r="FQ188" s="42"/>
      <c r="FR188" s="42"/>
      <c r="FS188" s="42"/>
      <c r="FT188" s="42"/>
      <c r="FU188" s="42"/>
      <c r="FV188" s="42"/>
      <c r="FW188" s="42"/>
      <c r="FX188" s="42"/>
      <c r="FY188" s="42"/>
      <c r="FZ188" s="42"/>
      <c r="GA188" s="42"/>
      <c r="GB188" s="42"/>
      <c r="GC188" s="42"/>
      <c r="GD188" s="42"/>
      <c r="GE188" s="42"/>
      <c r="GF188" s="42"/>
      <c r="GG188" s="42"/>
      <c r="GH188" s="42"/>
      <c r="GI188" s="42"/>
      <c r="GJ188" s="42"/>
      <c r="GK188" s="42"/>
      <c r="GL188" s="42"/>
      <c r="GM188" s="42"/>
      <c r="GN188" s="42"/>
      <c r="GO188" s="42"/>
      <c r="GP188" s="42"/>
      <c r="GQ188" s="42"/>
      <c r="GR188" s="42"/>
      <c r="GS188" s="42"/>
      <c r="GT188" s="42"/>
      <c r="GU188" s="42"/>
      <c r="GV188" s="42"/>
      <c r="GW188" s="42"/>
      <c r="GX188" s="42"/>
      <c r="GY188" s="42"/>
      <c r="GZ188" s="42"/>
      <c r="HA188" s="42"/>
      <c r="HB188" s="42"/>
      <c r="HC188" s="42"/>
      <c r="HD188" s="42"/>
      <c r="HE188" s="42"/>
      <c r="HF188" s="42"/>
      <c r="HG188" s="42"/>
      <c r="HH188" s="42"/>
      <c r="HI188" s="42"/>
      <c r="HJ188" s="42"/>
      <c r="HK188" s="42"/>
      <c r="HL188" s="42"/>
      <c r="HM188" s="42"/>
      <c r="HN188" s="42"/>
      <c r="HO188" s="42"/>
      <c r="HP188" s="42"/>
      <c r="HQ188" s="42"/>
      <c r="HR188" s="42"/>
      <c r="HS188" s="42"/>
      <c r="HT188" s="42"/>
      <c r="HU188" s="42"/>
      <c r="HV188" s="42"/>
      <c r="HW188" s="42"/>
      <c r="HX188" s="42"/>
      <c r="HY188" s="42"/>
      <c r="HZ188" s="42"/>
      <c r="IA188" s="42"/>
      <c r="IB188" s="42"/>
      <c r="IC188" s="42"/>
      <c r="ID188" s="42"/>
      <c r="IE188" s="42"/>
      <c r="IF188" s="42"/>
      <c r="IG188" s="42"/>
      <c r="IH188" s="42"/>
      <c r="II188" s="42"/>
      <c r="IJ188" s="42"/>
      <c r="IK188" s="42"/>
      <c r="IL188" s="42"/>
      <c r="IM188" s="42"/>
      <c r="IN188" s="42"/>
      <c r="IO188" s="42"/>
      <c r="IP188" s="42"/>
      <c r="IQ188" s="42"/>
      <c r="IR188" s="42"/>
      <c r="IS188" s="42"/>
      <c r="IT188" s="42"/>
      <c r="IU188" s="42"/>
      <c r="IV188" s="42"/>
      <c r="IW188" s="42"/>
      <c r="IX188" s="42"/>
      <c r="IY188" s="42"/>
      <c r="IZ188" s="42"/>
      <c r="JA188" s="42"/>
      <c r="JB188" s="42"/>
      <c r="JC188" s="42"/>
      <c r="JD188" s="42"/>
      <c r="JE188" s="42"/>
      <c r="JF188" s="42"/>
      <c r="JG188" s="42"/>
      <c r="JH188" s="42"/>
      <c r="JI188" s="42"/>
      <c r="JJ188" s="42"/>
      <c r="JK188" s="42"/>
      <c r="JL188" s="42"/>
      <c r="JM188" s="42"/>
      <c r="JN188" s="42"/>
      <c r="JO188" s="42"/>
      <c r="JP188" s="42"/>
      <c r="JQ188" s="42"/>
      <c r="JR188" s="42"/>
      <c r="JS188" s="42"/>
      <c r="JT188" s="42"/>
      <c r="JU188" s="42"/>
      <c r="JV188" s="42"/>
      <c r="JW188" s="42"/>
      <c r="JX188" s="42"/>
      <c r="JY188" s="42"/>
      <c r="JZ188" s="42"/>
      <c r="KA188" s="42"/>
      <c r="KB188" s="42"/>
      <c r="KC188" s="42"/>
      <c r="KD188" s="42"/>
      <c r="KE188" s="42"/>
      <c r="KF188" s="42"/>
      <c r="KG188" s="42"/>
      <c r="KH188" s="42"/>
      <c r="KI188" s="42"/>
      <c r="KJ188" s="42"/>
      <c r="KK188" s="42"/>
      <c r="KL188" s="42"/>
      <c r="KM188" s="42"/>
      <c r="KN188" s="42"/>
      <c r="KO188" s="42"/>
      <c r="KP188" s="42"/>
      <c r="KQ188" s="42"/>
      <c r="KR188" s="42"/>
      <c r="KS188" s="42"/>
      <c r="KT188" s="42"/>
      <c r="KU188" s="42"/>
      <c r="KV188" s="42"/>
      <c r="KW188" s="42"/>
      <c r="KX188" s="42"/>
      <c r="KY188" s="42"/>
      <c r="KZ188" s="42"/>
      <c r="LA188" s="42"/>
      <c r="LB188" s="42"/>
      <c r="LC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42"/>
      <c r="BB189" s="42"/>
      <c r="BC189" s="42"/>
      <c r="BD189" s="42"/>
      <c r="BE189" s="42"/>
      <c r="BF189" s="42"/>
      <c r="BG189" s="42"/>
      <c r="BH189" s="42"/>
      <c r="BI189" s="42"/>
      <c r="BJ189" s="42"/>
      <c r="BK189" s="42"/>
      <c r="BL189" s="42"/>
      <c r="BM189" s="42"/>
      <c r="BN189" s="42"/>
      <c r="BO189" s="42"/>
      <c r="BP189" s="42"/>
      <c r="BQ189" s="42"/>
      <c r="BR189" s="42"/>
      <c r="BS189" s="42"/>
      <c r="BT189" s="42"/>
      <c r="BU189" s="42"/>
      <c r="BV189" s="42"/>
      <c r="BW189" s="42"/>
      <c r="BX189" s="42"/>
      <c r="BY189" s="42"/>
      <c r="BZ189" s="42"/>
      <c r="CA189" s="42"/>
      <c r="CB189" s="42"/>
      <c r="CC189" s="42"/>
      <c r="CD189" s="42"/>
      <c r="CE189" s="42"/>
      <c r="CF189" s="42"/>
      <c r="CG189" s="42"/>
      <c r="CH189" s="42"/>
      <c r="CI189" s="42"/>
      <c r="CJ189" s="42"/>
      <c r="CK189" s="42"/>
      <c r="CL189" s="42"/>
      <c r="CM189" s="42"/>
      <c r="CN189" s="42"/>
      <c r="CO189" s="42"/>
      <c r="CP189" s="42"/>
      <c r="CQ189" s="42"/>
      <c r="CR189" s="42"/>
      <c r="CS189" s="42"/>
      <c r="CT189" s="42"/>
      <c r="CU189" s="42"/>
      <c r="CV189" s="42"/>
      <c r="CW189" s="42"/>
      <c r="CX189" s="42"/>
      <c r="CY189" s="42"/>
      <c r="CZ189" s="42"/>
      <c r="DA189" s="42"/>
      <c r="DB189" s="42"/>
      <c r="DC189" s="42"/>
      <c r="DD189" s="42"/>
      <c r="DE189" s="42"/>
      <c r="DF189" s="42"/>
      <c r="DG189" s="42"/>
      <c r="DH189" s="42"/>
      <c r="DI189" s="42"/>
      <c r="DJ189" s="42"/>
      <c r="DK189" s="42"/>
      <c r="DL189" s="42"/>
      <c r="DM189" s="42"/>
      <c r="DN189" s="42"/>
      <c r="DO189" s="42"/>
      <c r="DP189" s="42"/>
      <c r="DQ189" s="42"/>
      <c r="DR189" s="42"/>
      <c r="DS189" s="42"/>
      <c r="DT189" s="42"/>
      <c r="DU189" s="42"/>
      <c r="DV189" s="42"/>
      <c r="DW189" s="42"/>
      <c r="DX189" s="42"/>
      <c r="DY189" s="42"/>
      <c r="DZ189" s="42"/>
      <c r="EA189" s="42"/>
      <c r="EB189" s="42"/>
      <c r="EC189" s="42"/>
      <c r="ED189" s="42"/>
      <c r="EE189" s="42"/>
      <c r="EF189" s="42"/>
      <c r="EG189" s="42"/>
      <c r="EH189" s="42"/>
      <c r="EI189" s="42"/>
      <c r="EJ189" s="42"/>
      <c r="EK189" s="42"/>
      <c r="EL189" s="42"/>
      <c r="EM189" s="42"/>
      <c r="EN189" s="42"/>
      <c r="EO189" s="42"/>
      <c r="EP189" s="42"/>
      <c r="EQ189" s="42"/>
      <c r="ER189" s="42"/>
      <c r="ES189" s="42"/>
      <c r="ET189" s="42"/>
      <c r="EU189" s="42"/>
      <c r="EV189" s="42"/>
      <c r="EW189" s="42"/>
      <c r="EX189" s="42"/>
      <c r="EY189" s="42"/>
      <c r="EZ189" s="42"/>
      <c r="FA189" s="42"/>
      <c r="FB189" s="42"/>
      <c r="FC189" s="42"/>
      <c r="FD189" s="42"/>
      <c r="FE189" s="42"/>
      <c r="FF189" s="42"/>
      <c r="FG189" s="42"/>
      <c r="FH189" s="42"/>
      <c r="FI189" s="42"/>
      <c r="FJ189" s="42"/>
      <c r="FK189" s="42"/>
      <c r="FL189" s="42"/>
      <c r="FM189" s="42"/>
      <c r="FN189" s="42"/>
      <c r="FO189" s="42"/>
      <c r="FP189" s="42"/>
      <c r="FQ189" s="42"/>
      <c r="FR189" s="42"/>
      <c r="FS189" s="42"/>
      <c r="FT189" s="42"/>
      <c r="FU189" s="42"/>
      <c r="FV189" s="42"/>
      <c r="FW189" s="42"/>
      <c r="FX189" s="42"/>
      <c r="FY189" s="42"/>
      <c r="FZ189" s="42"/>
      <c r="GA189" s="42"/>
      <c r="GB189" s="42"/>
      <c r="GC189" s="42"/>
      <c r="GD189" s="42"/>
      <c r="GE189" s="42"/>
      <c r="GF189" s="42"/>
      <c r="GG189" s="42"/>
      <c r="GH189" s="42"/>
      <c r="GI189" s="42"/>
      <c r="GJ189" s="42"/>
      <c r="GK189" s="42"/>
      <c r="GL189" s="42"/>
      <c r="GM189" s="42"/>
      <c r="GN189" s="42"/>
      <c r="GO189" s="42"/>
      <c r="GP189" s="42"/>
      <c r="GQ189" s="42"/>
      <c r="GR189" s="42"/>
      <c r="GS189" s="42"/>
      <c r="GT189" s="42"/>
      <c r="GU189" s="42"/>
      <c r="GV189" s="42"/>
      <c r="GW189" s="42"/>
      <c r="GX189" s="42"/>
      <c r="GY189" s="42"/>
      <c r="GZ189" s="42"/>
      <c r="HA189" s="42"/>
      <c r="HB189" s="42"/>
      <c r="HC189" s="42"/>
      <c r="HD189" s="42"/>
      <c r="HE189" s="42"/>
      <c r="HF189" s="42"/>
      <c r="HG189" s="42"/>
      <c r="HH189" s="42"/>
      <c r="HI189" s="42"/>
      <c r="HJ189" s="42"/>
      <c r="HK189" s="42"/>
      <c r="HL189" s="42"/>
      <c r="HM189" s="42"/>
      <c r="HN189" s="42"/>
      <c r="HO189" s="42"/>
      <c r="HP189" s="42"/>
      <c r="HQ189" s="42"/>
      <c r="HR189" s="42"/>
      <c r="HS189" s="42"/>
      <c r="HT189" s="42"/>
      <c r="HU189" s="42"/>
      <c r="HV189" s="42"/>
      <c r="HW189" s="42"/>
      <c r="HX189" s="42"/>
      <c r="HY189" s="42"/>
      <c r="HZ189" s="42"/>
      <c r="IA189" s="42"/>
      <c r="IB189" s="42"/>
      <c r="IC189" s="42"/>
      <c r="ID189" s="42"/>
      <c r="IE189" s="42"/>
      <c r="IF189" s="42"/>
      <c r="IG189" s="42"/>
      <c r="IH189" s="42"/>
      <c r="II189" s="42"/>
      <c r="IJ189" s="42"/>
      <c r="IK189" s="42"/>
      <c r="IL189" s="42"/>
      <c r="IM189" s="42"/>
      <c r="IN189" s="42"/>
      <c r="IO189" s="42"/>
      <c r="IP189" s="42"/>
      <c r="IQ189" s="42"/>
      <c r="IR189" s="42"/>
      <c r="IS189" s="42"/>
      <c r="IT189" s="42"/>
      <c r="IU189" s="42"/>
      <c r="IV189" s="42"/>
      <c r="IW189" s="42"/>
      <c r="IX189" s="42"/>
      <c r="IY189" s="42"/>
      <c r="IZ189" s="42"/>
      <c r="JA189" s="42"/>
      <c r="JB189" s="42"/>
      <c r="JC189" s="42"/>
      <c r="JD189" s="42"/>
      <c r="JE189" s="42"/>
      <c r="JF189" s="42"/>
      <c r="JG189" s="42"/>
      <c r="JH189" s="42"/>
      <c r="JI189" s="42"/>
      <c r="JJ189" s="42"/>
      <c r="JK189" s="42"/>
      <c r="JL189" s="42"/>
      <c r="JM189" s="42"/>
      <c r="JN189" s="42"/>
      <c r="JO189" s="42"/>
      <c r="JP189" s="42"/>
      <c r="JQ189" s="42"/>
      <c r="JR189" s="42"/>
      <c r="JS189" s="42"/>
      <c r="JT189" s="42"/>
      <c r="JU189" s="42"/>
      <c r="JV189" s="42"/>
      <c r="JW189" s="42"/>
      <c r="JX189" s="42"/>
      <c r="JY189" s="42"/>
      <c r="JZ189" s="42"/>
      <c r="KA189" s="42"/>
      <c r="KB189" s="42"/>
      <c r="KC189" s="42"/>
      <c r="KD189" s="42"/>
      <c r="KE189" s="42"/>
      <c r="KF189" s="42"/>
      <c r="KG189" s="42"/>
      <c r="KH189" s="42"/>
      <c r="KI189" s="42"/>
      <c r="KJ189" s="42"/>
      <c r="KK189" s="42"/>
      <c r="KL189" s="42"/>
      <c r="KM189" s="42"/>
      <c r="KN189" s="42"/>
      <c r="KO189" s="42"/>
      <c r="KP189" s="42"/>
      <c r="KQ189" s="42"/>
      <c r="KR189" s="42"/>
      <c r="KS189" s="42"/>
      <c r="KT189" s="42"/>
      <c r="KU189" s="42"/>
      <c r="KV189" s="42"/>
      <c r="KW189" s="42"/>
      <c r="KX189" s="42"/>
      <c r="KY189" s="42"/>
      <c r="KZ189" s="42"/>
      <c r="LA189" s="42"/>
      <c r="LB189" s="42"/>
      <c r="LC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42"/>
      <c r="BB190" s="42"/>
      <c r="BC190" s="42"/>
      <c r="BD190" s="42"/>
      <c r="BE190" s="42"/>
      <c r="BF190" s="42"/>
      <c r="BG190" s="42"/>
      <c r="BH190" s="42"/>
      <c r="BI190" s="42"/>
      <c r="BJ190" s="42"/>
      <c r="BK190" s="42"/>
      <c r="BL190" s="42"/>
      <c r="BM190" s="42"/>
      <c r="BN190" s="42"/>
      <c r="BO190" s="42"/>
      <c r="BP190" s="42"/>
      <c r="BQ190" s="42"/>
      <c r="BR190" s="42"/>
      <c r="BS190" s="42"/>
      <c r="BT190" s="42"/>
      <c r="BU190" s="42"/>
      <c r="BV190" s="42"/>
      <c r="BW190" s="42"/>
      <c r="BX190" s="42"/>
      <c r="BY190" s="42"/>
      <c r="BZ190" s="42"/>
      <c r="CA190" s="42"/>
      <c r="CB190" s="42"/>
      <c r="CC190" s="42"/>
      <c r="CD190" s="42"/>
      <c r="CE190" s="42"/>
      <c r="CF190" s="42"/>
      <c r="CG190" s="42"/>
      <c r="CH190" s="42"/>
      <c r="CI190" s="42"/>
      <c r="CJ190" s="42"/>
      <c r="CK190" s="42"/>
      <c r="CL190" s="42"/>
      <c r="CM190" s="42"/>
      <c r="CN190" s="42"/>
      <c r="CO190" s="42"/>
      <c r="CP190" s="42"/>
      <c r="CQ190" s="42"/>
      <c r="CR190" s="42"/>
      <c r="CS190" s="42"/>
      <c r="CT190" s="42"/>
      <c r="CU190" s="42"/>
      <c r="CV190" s="42"/>
      <c r="CW190" s="42"/>
      <c r="CX190" s="42"/>
      <c r="CY190" s="42"/>
      <c r="CZ190" s="42"/>
      <c r="DA190" s="42"/>
      <c r="DB190" s="42"/>
      <c r="DC190" s="42"/>
      <c r="DD190" s="42"/>
      <c r="DE190" s="42"/>
      <c r="DF190" s="42"/>
      <c r="DG190" s="42"/>
      <c r="DH190" s="42"/>
      <c r="DI190" s="42"/>
      <c r="DJ190" s="42"/>
      <c r="DK190" s="42"/>
      <c r="DL190" s="42"/>
      <c r="DM190" s="42"/>
      <c r="DN190" s="42"/>
      <c r="DO190" s="42"/>
      <c r="DP190" s="42"/>
      <c r="DQ190" s="42"/>
      <c r="DR190" s="42"/>
      <c r="DS190" s="42"/>
      <c r="DT190" s="42"/>
      <c r="DU190" s="42"/>
      <c r="DV190" s="42"/>
      <c r="DW190" s="42"/>
      <c r="DX190" s="42"/>
      <c r="DY190" s="42"/>
      <c r="DZ190" s="42"/>
      <c r="EA190" s="42"/>
      <c r="EB190" s="42"/>
      <c r="EC190" s="42"/>
      <c r="ED190" s="42"/>
      <c r="EE190" s="42"/>
      <c r="EF190" s="42"/>
      <c r="EG190" s="42"/>
      <c r="EH190" s="42"/>
      <c r="EI190" s="42"/>
      <c r="EJ190" s="42"/>
      <c r="EK190" s="42"/>
      <c r="EL190" s="42"/>
      <c r="EM190" s="42"/>
      <c r="EN190" s="42"/>
      <c r="EO190" s="42"/>
      <c r="EP190" s="42"/>
      <c r="EQ190" s="42"/>
      <c r="ER190" s="42"/>
      <c r="ES190" s="42"/>
      <c r="ET190" s="42"/>
      <c r="EU190" s="42"/>
      <c r="EV190" s="42"/>
      <c r="EW190" s="42"/>
      <c r="EX190" s="42"/>
      <c r="EY190" s="42"/>
      <c r="EZ190" s="42"/>
      <c r="FA190" s="42"/>
      <c r="FB190" s="42"/>
      <c r="FC190" s="42"/>
      <c r="FD190" s="42"/>
      <c r="FE190" s="42"/>
      <c r="FF190" s="42"/>
      <c r="FG190" s="42"/>
      <c r="FH190" s="42"/>
      <c r="FI190" s="42"/>
      <c r="FJ190" s="42"/>
      <c r="FK190" s="42"/>
      <c r="FL190" s="42"/>
      <c r="FM190" s="42"/>
      <c r="FN190" s="42"/>
      <c r="FO190" s="42"/>
      <c r="FP190" s="42"/>
      <c r="FQ190" s="42"/>
      <c r="FR190" s="42"/>
      <c r="FS190" s="42"/>
      <c r="FT190" s="42"/>
      <c r="FU190" s="42"/>
      <c r="FV190" s="42"/>
      <c r="FW190" s="42"/>
      <c r="FX190" s="42"/>
      <c r="FY190" s="42"/>
      <c r="FZ190" s="42"/>
      <c r="GA190" s="42"/>
      <c r="GB190" s="42"/>
      <c r="GC190" s="42"/>
      <c r="GD190" s="42"/>
      <c r="GE190" s="42"/>
      <c r="GF190" s="42"/>
      <c r="GG190" s="42"/>
      <c r="GH190" s="42"/>
      <c r="GI190" s="42"/>
      <c r="GJ190" s="42"/>
      <c r="GK190" s="42"/>
      <c r="GL190" s="42"/>
      <c r="GM190" s="42"/>
      <c r="GN190" s="42"/>
      <c r="GO190" s="42"/>
      <c r="GP190" s="42"/>
      <c r="GQ190" s="42"/>
      <c r="GR190" s="42"/>
      <c r="GS190" s="42"/>
      <c r="GT190" s="42"/>
      <c r="GU190" s="42"/>
      <c r="GV190" s="42"/>
      <c r="GW190" s="42"/>
      <c r="GX190" s="42"/>
      <c r="GY190" s="42"/>
      <c r="GZ190" s="42"/>
      <c r="HA190" s="42"/>
      <c r="HB190" s="42"/>
      <c r="HC190" s="42"/>
      <c r="HD190" s="42"/>
      <c r="HE190" s="42"/>
      <c r="HF190" s="42"/>
      <c r="HG190" s="42"/>
      <c r="HH190" s="42"/>
      <c r="HI190" s="42"/>
      <c r="HJ190" s="42"/>
      <c r="HK190" s="42"/>
      <c r="HL190" s="42"/>
      <c r="HM190" s="42"/>
      <c r="HN190" s="42"/>
      <c r="HO190" s="42"/>
      <c r="HP190" s="42"/>
      <c r="HQ190" s="42"/>
      <c r="HR190" s="42"/>
      <c r="HS190" s="42"/>
      <c r="HT190" s="42"/>
      <c r="HU190" s="42"/>
      <c r="HV190" s="42"/>
      <c r="HW190" s="42"/>
      <c r="HX190" s="42"/>
      <c r="HY190" s="42"/>
      <c r="HZ190" s="42"/>
      <c r="IA190" s="42"/>
      <c r="IB190" s="42"/>
      <c r="IC190" s="42"/>
      <c r="ID190" s="42"/>
      <c r="IE190" s="42"/>
      <c r="IF190" s="42"/>
      <c r="IG190" s="42"/>
      <c r="IH190" s="42"/>
      <c r="II190" s="42"/>
      <c r="IJ190" s="42"/>
      <c r="IK190" s="42"/>
      <c r="IL190" s="42"/>
      <c r="IM190" s="42"/>
      <c r="IN190" s="42"/>
      <c r="IO190" s="42"/>
      <c r="IP190" s="42"/>
      <c r="IQ190" s="42"/>
      <c r="IR190" s="42"/>
      <c r="IS190" s="42"/>
      <c r="IT190" s="42"/>
      <c r="IU190" s="42"/>
      <c r="IV190" s="42"/>
      <c r="IW190" s="42"/>
      <c r="IX190" s="42"/>
      <c r="IY190" s="42"/>
      <c r="IZ190" s="42"/>
      <c r="JA190" s="42"/>
      <c r="JB190" s="42"/>
      <c r="JC190" s="42"/>
      <c r="JD190" s="42"/>
      <c r="JE190" s="42"/>
      <c r="JF190" s="42"/>
      <c r="JG190" s="42"/>
      <c r="JH190" s="42"/>
      <c r="JI190" s="42"/>
      <c r="JJ190" s="42"/>
      <c r="JK190" s="42"/>
      <c r="JL190" s="42"/>
      <c r="JM190" s="42"/>
      <c r="JN190" s="42"/>
      <c r="JO190" s="42"/>
      <c r="JP190" s="42"/>
      <c r="JQ190" s="42"/>
      <c r="JR190" s="42"/>
      <c r="JS190" s="42"/>
      <c r="JT190" s="42"/>
      <c r="JU190" s="42"/>
      <c r="JV190" s="42"/>
      <c r="JW190" s="42"/>
      <c r="JX190" s="42"/>
      <c r="JY190" s="42"/>
      <c r="JZ190" s="42"/>
      <c r="KA190" s="42"/>
      <c r="KB190" s="42"/>
      <c r="KC190" s="42"/>
      <c r="KD190" s="42"/>
      <c r="KE190" s="42"/>
      <c r="KF190" s="42"/>
      <c r="KG190" s="42"/>
      <c r="KH190" s="42"/>
      <c r="KI190" s="42"/>
      <c r="KJ190" s="42"/>
      <c r="KK190" s="42"/>
      <c r="KL190" s="42"/>
      <c r="KM190" s="42"/>
      <c r="KN190" s="42"/>
      <c r="KO190" s="42"/>
      <c r="KP190" s="42"/>
      <c r="KQ190" s="42"/>
      <c r="KR190" s="42"/>
      <c r="KS190" s="42"/>
      <c r="KT190" s="42"/>
      <c r="KU190" s="42"/>
      <c r="KV190" s="42"/>
      <c r="KW190" s="42"/>
      <c r="KX190" s="42"/>
      <c r="KY190" s="42"/>
      <c r="KZ190" s="42"/>
      <c r="LA190" s="42"/>
      <c r="LB190" s="42"/>
      <c r="LC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42"/>
      <c r="AZ191" s="42"/>
      <c r="BA191" s="42"/>
      <c r="BB191" s="42"/>
      <c r="BC191" s="42"/>
      <c r="BD191" s="42"/>
      <c r="BE191" s="42"/>
      <c r="BF191" s="42"/>
      <c r="BG191" s="42"/>
      <c r="BH191" s="42"/>
      <c r="BI191" s="42"/>
      <c r="BJ191" s="42"/>
      <c r="BK191" s="42"/>
      <c r="BL191" s="42"/>
      <c r="BM191" s="42"/>
      <c r="BN191" s="42"/>
      <c r="BO191" s="42"/>
      <c r="BP191" s="42"/>
      <c r="BQ191" s="42"/>
      <c r="BR191" s="42"/>
      <c r="BS191" s="42"/>
      <c r="BT191" s="42"/>
      <c r="BU191" s="42"/>
      <c r="BV191" s="42"/>
      <c r="BW191" s="42"/>
      <c r="BX191" s="42"/>
      <c r="BY191" s="42"/>
      <c r="BZ191" s="42"/>
      <c r="CA191" s="42"/>
      <c r="CB191" s="42"/>
      <c r="CC191" s="42"/>
      <c r="CD191" s="42"/>
      <c r="CE191" s="42"/>
      <c r="CF191" s="42"/>
      <c r="CG191" s="42"/>
      <c r="CH191" s="42"/>
      <c r="CI191" s="42"/>
      <c r="CJ191" s="42"/>
      <c r="CK191" s="42"/>
      <c r="CL191" s="42"/>
      <c r="CM191" s="42"/>
      <c r="CN191" s="42"/>
      <c r="CO191" s="42"/>
      <c r="CP191" s="42"/>
      <c r="CQ191" s="42"/>
      <c r="CR191" s="42"/>
      <c r="CS191" s="42"/>
      <c r="CT191" s="42"/>
      <c r="CU191" s="42"/>
      <c r="CV191" s="42"/>
      <c r="CW191" s="42"/>
      <c r="CX191" s="42"/>
      <c r="CY191" s="42"/>
      <c r="CZ191" s="42"/>
      <c r="DA191" s="42"/>
      <c r="DB191" s="42"/>
      <c r="DC191" s="42"/>
      <c r="DD191" s="42"/>
      <c r="DE191" s="42"/>
      <c r="DF191" s="42"/>
      <c r="DG191" s="42"/>
      <c r="DH191" s="42"/>
      <c r="DI191" s="42"/>
      <c r="DJ191" s="42"/>
      <c r="DK191" s="42"/>
      <c r="DL191" s="42"/>
      <c r="DM191" s="42"/>
      <c r="DN191" s="42"/>
      <c r="DO191" s="42"/>
      <c r="DP191" s="42"/>
      <c r="DQ191" s="42"/>
      <c r="DR191" s="42"/>
      <c r="DS191" s="42"/>
      <c r="DT191" s="42"/>
      <c r="DU191" s="42"/>
      <c r="DV191" s="42"/>
      <c r="DW191" s="42"/>
      <c r="DX191" s="42"/>
      <c r="DY191" s="42"/>
      <c r="DZ191" s="42"/>
      <c r="EA191" s="42"/>
      <c r="EB191" s="42"/>
      <c r="EC191" s="42"/>
      <c r="ED191" s="42"/>
      <c r="EE191" s="42"/>
      <c r="EF191" s="42"/>
      <c r="EG191" s="42"/>
      <c r="EH191" s="42"/>
      <c r="EI191" s="42"/>
      <c r="EJ191" s="42"/>
      <c r="EK191" s="42"/>
      <c r="EL191" s="42"/>
      <c r="EM191" s="42"/>
      <c r="EN191" s="42"/>
      <c r="EO191" s="42"/>
      <c r="EP191" s="42"/>
      <c r="EQ191" s="42"/>
      <c r="ER191" s="42"/>
      <c r="ES191" s="42"/>
      <c r="ET191" s="42"/>
      <c r="EU191" s="42"/>
      <c r="EV191" s="42"/>
      <c r="EW191" s="42"/>
      <c r="EX191" s="42"/>
      <c r="EY191" s="42"/>
      <c r="EZ191" s="42"/>
      <c r="FA191" s="42"/>
      <c r="FB191" s="42"/>
      <c r="FC191" s="42"/>
      <c r="FD191" s="42"/>
      <c r="FE191" s="42"/>
      <c r="FF191" s="42"/>
      <c r="FG191" s="42"/>
      <c r="FH191" s="42"/>
      <c r="FI191" s="42"/>
      <c r="FJ191" s="42"/>
      <c r="FK191" s="42"/>
      <c r="FL191" s="42"/>
      <c r="FM191" s="42"/>
      <c r="FN191" s="42"/>
      <c r="FO191" s="42"/>
      <c r="FP191" s="42"/>
      <c r="FQ191" s="42"/>
      <c r="FR191" s="42"/>
      <c r="FS191" s="42"/>
      <c r="FT191" s="42"/>
      <c r="FU191" s="42"/>
      <c r="FV191" s="42"/>
      <c r="FW191" s="42"/>
      <c r="FX191" s="42"/>
      <c r="FY191" s="42"/>
      <c r="FZ191" s="42"/>
      <c r="GA191" s="42"/>
      <c r="GB191" s="42"/>
      <c r="GC191" s="42"/>
      <c r="GD191" s="42"/>
      <c r="GE191" s="42"/>
      <c r="GF191" s="42"/>
      <c r="GG191" s="42"/>
      <c r="GH191" s="42"/>
      <c r="GI191" s="42"/>
      <c r="GJ191" s="42"/>
      <c r="GK191" s="42"/>
      <c r="GL191" s="42"/>
      <c r="GM191" s="42"/>
      <c r="GN191" s="42"/>
      <c r="GO191" s="42"/>
      <c r="GP191" s="42"/>
      <c r="GQ191" s="42"/>
      <c r="GR191" s="42"/>
      <c r="GS191" s="42"/>
      <c r="GT191" s="42"/>
      <c r="GU191" s="42"/>
      <c r="GV191" s="42"/>
      <c r="GW191" s="42"/>
      <c r="GX191" s="42"/>
      <c r="GY191" s="42"/>
      <c r="GZ191" s="42"/>
      <c r="HA191" s="42"/>
      <c r="HB191" s="42"/>
      <c r="HC191" s="42"/>
      <c r="HD191" s="42"/>
      <c r="HE191" s="42"/>
      <c r="HF191" s="42"/>
      <c r="HG191" s="42"/>
      <c r="HH191" s="42"/>
      <c r="HI191" s="42"/>
      <c r="HJ191" s="42"/>
      <c r="HK191" s="42"/>
      <c r="HL191" s="42"/>
      <c r="HM191" s="42"/>
      <c r="HN191" s="42"/>
      <c r="HO191" s="42"/>
      <c r="HP191" s="42"/>
      <c r="HQ191" s="42"/>
      <c r="HR191" s="42"/>
      <c r="HS191" s="42"/>
      <c r="HT191" s="42"/>
      <c r="HU191" s="42"/>
      <c r="HV191" s="42"/>
      <c r="HW191" s="42"/>
      <c r="HX191" s="42"/>
      <c r="HY191" s="42"/>
      <c r="HZ191" s="42"/>
      <c r="IA191" s="42"/>
      <c r="IB191" s="42"/>
      <c r="IC191" s="42"/>
      <c r="ID191" s="42"/>
      <c r="IE191" s="42"/>
      <c r="IF191" s="42"/>
      <c r="IG191" s="42"/>
      <c r="IH191" s="42"/>
      <c r="II191" s="42"/>
      <c r="IJ191" s="42"/>
      <c r="IK191" s="42"/>
      <c r="IL191" s="42"/>
      <c r="IM191" s="42"/>
      <c r="IN191" s="42"/>
      <c r="IO191" s="42"/>
      <c r="IP191" s="42"/>
      <c r="IQ191" s="42"/>
      <c r="IR191" s="42"/>
      <c r="IS191" s="42"/>
      <c r="IT191" s="42"/>
      <c r="IU191" s="42"/>
      <c r="IV191" s="42"/>
      <c r="IW191" s="42"/>
      <c r="IX191" s="42"/>
      <c r="IY191" s="42"/>
      <c r="IZ191" s="42"/>
      <c r="JA191" s="42"/>
      <c r="JB191" s="42"/>
      <c r="JC191" s="42"/>
      <c r="JD191" s="42"/>
      <c r="JE191" s="42"/>
      <c r="JF191" s="42"/>
      <c r="JG191" s="42"/>
      <c r="JH191" s="42"/>
      <c r="JI191" s="42"/>
      <c r="JJ191" s="42"/>
      <c r="JK191" s="42"/>
      <c r="JL191" s="42"/>
      <c r="JM191" s="42"/>
      <c r="JN191" s="42"/>
      <c r="JO191" s="42"/>
      <c r="JP191" s="42"/>
      <c r="JQ191" s="42"/>
      <c r="JR191" s="42"/>
      <c r="JS191" s="42"/>
      <c r="JT191" s="42"/>
      <c r="JU191" s="42"/>
      <c r="JV191" s="42"/>
      <c r="JW191" s="42"/>
      <c r="JX191" s="42"/>
      <c r="JY191" s="42"/>
      <c r="JZ191" s="42"/>
      <c r="KA191" s="42"/>
      <c r="KB191" s="42"/>
      <c r="KC191" s="42"/>
      <c r="KD191" s="42"/>
      <c r="KE191" s="42"/>
      <c r="KF191" s="42"/>
      <c r="KG191" s="42"/>
      <c r="KH191" s="42"/>
      <c r="KI191" s="42"/>
      <c r="KJ191" s="42"/>
      <c r="KK191" s="42"/>
      <c r="KL191" s="42"/>
      <c r="KM191" s="42"/>
      <c r="KN191" s="42"/>
      <c r="KO191" s="42"/>
      <c r="KP191" s="42"/>
      <c r="KQ191" s="42"/>
      <c r="KR191" s="42"/>
      <c r="KS191" s="42"/>
      <c r="KT191" s="42"/>
      <c r="KU191" s="42"/>
      <c r="KV191" s="42"/>
      <c r="KW191" s="42"/>
      <c r="KX191" s="42"/>
      <c r="KY191" s="42"/>
      <c r="KZ191" s="42"/>
      <c r="LA191" s="42"/>
      <c r="LB191" s="42"/>
      <c r="LC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c r="BA192" s="42"/>
      <c r="BB192" s="42"/>
      <c r="BC192" s="42"/>
      <c r="BD192" s="42"/>
      <c r="BE192" s="42"/>
      <c r="BF192" s="42"/>
      <c r="BG192" s="42"/>
      <c r="BH192" s="42"/>
      <c r="BI192" s="42"/>
      <c r="BJ192" s="42"/>
      <c r="BK192" s="42"/>
      <c r="BL192" s="42"/>
      <c r="BM192" s="42"/>
      <c r="BN192" s="42"/>
      <c r="BO192" s="42"/>
      <c r="BP192" s="42"/>
      <c r="BQ192" s="42"/>
      <c r="BR192" s="42"/>
      <c r="BS192" s="42"/>
      <c r="BT192" s="42"/>
      <c r="BU192" s="42"/>
      <c r="BV192" s="42"/>
      <c r="BW192" s="42"/>
      <c r="BX192" s="42"/>
      <c r="BY192" s="42"/>
      <c r="BZ192" s="42"/>
      <c r="CA192" s="42"/>
      <c r="CB192" s="42"/>
      <c r="CC192" s="42"/>
      <c r="CD192" s="42"/>
      <c r="CE192" s="42"/>
      <c r="CF192" s="42"/>
      <c r="CG192" s="42"/>
      <c r="CH192" s="42"/>
      <c r="CI192" s="42"/>
      <c r="CJ192" s="42"/>
      <c r="CK192" s="42"/>
      <c r="CL192" s="42"/>
      <c r="CM192" s="42"/>
      <c r="CN192" s="42"/>
      <c r="CO192" s="42"/>
      <c r="CP192" s="42"/>
      <c r="CQ192" s="42"/>
      <c r="CR192" s="42"/>
      <c r="CS192" s="42"/>
      <c r="CT192" s="42"/>
      <c r="CU192" s="42"/>
      <c r="CV192" s="42"/>
      <c r="CW192" s="42"/>
      <c r="CX192" s="42"/>
      <c r="CY192" s="42"/>
      <c r="CZ192" s="42"/>
      <c r="DA192" s="42"/>
      <c r="DB192" s="42"/>
      <c r="DC192" s="42"/>
      <c r="DD192" s="42"/>
      <c r="DE192" s="42"/>
      <c r="DF192" s="42"/>
      <c r="DG192" s="42"/>
      <c r="DH192" s="42"/>
      <c r="DI192" s="42"/>
      <c r="DJ192" s="42"/>
      <c r="DK192" s="42"/>
      <c r="DL192" s="42"/>
      <c r="DM192" s="42"/>
      <c r="DN192" s="42"/>
      <c r="DO192" s="42"/>
      <c r="DP192" s="42"/>
      <c r="DQ192" s="42"/>
      <c r="DR192" s="42"/>
      <c r="DS192" s="42"/>
      <c r="DT192" s="42"/>
      <c r="DU192" s="42"/>
      <c r="DV192" s="42"/>
      <c r="DW192" s="42"/>
      <c r="DX192" s="42"/>
      <c r="DY192" s="42"/>
      <c r="DZ192" s="42"/>
      <c r="EA192" s="42"/>
      <c r="EB192" s="42"/>
      <c r="EC192" s="42"/>
      <c r="ED192" s="42"/>
      <c r="EE192" s="42"/>
      <c r="EF192" s="42"/>
      <c r="EG192" s="42"/>
      <c r="EH192" s="42"/>
      <c r="EI192" s="42"/>
      <c r="EJ192" s="42"/>
      <c r="EK192" s="42"/>
      <c r="EL192" s="42"/>
      <c r="EM192" s="42"/>
      <c r="EN192" s="42"/>
      <c r="EO192" s="42"/>
      <c r="EP192" s="42"/>
      <c r="EQ192" s="42"/>
      <c r="ER192" s="42"/>
      <c r="ES192" s="42"/>
      <c r="ET192" s="42"/>
      <c r="EU192" s="42"/>
      <c r="EV192" s="42"/>
      <c r="EW192" s="42"/>
      <c r="EX192" s="42"/>
      <c r="EY192" s="42"/>
      <c r="EZ192" s="42"/>
      <c r="FA192" s="42"/>
      <c r="FB192" s="42"/>
      <c r="FC192" s="42"/>
      <c r="FD192" s="42"/>
      <c r="FE192" s="42"/>
      <c r="FF192" s="42"/>
      <c r="FG192" s="42"/>
      <c r="FH192" s="42"/>
      <c r="FI192" s="42"/>
      <c r="FJ192" s="42"/>
      <c r="FK192" s="42"/>
      <c r="FL192" s="42"/>
      <c r="FM192" s="42"/>
      <c r="FN192" s="42"/>
      <c r="FO192" s="42"/>
      <c r="FP192" s="42"/>
      <c r="FQ192" s="42"/>
      <c r="FR192" s="42"/>
      <c r="FS192" s="42"/>
      <c r="FT192" s="42"/>
      <c r="FU192" s="42"/>
      <c r="FV192" s="42"/>
      <c r="FW192" s="42"/>
      <c r="FX192" s="42"/>
      <c r="FY192" s="42"/>
      <c r="FZ192" s="42"/>
      <c r="GA192" s="42"/>
      <c r="GB192" s="42"/>
      <c r="GC192" s="42"/>
      <c r="GD192" s="42"/>
      <c r="GE192" s="42"/>
      <c r="GF192" s="42"/>
      <c r="GG192" s="42"/>
      <c r="GH192" s="42"/>
      <c r="GI192" s="42"/>
      <c r="GJ192" s="42"/>
      <c r="GK192" s="42"/>
      <c r="GL192" s="42"/>
      <c r="GM192" s="42"/>
      <c r="GN192" s="42"/>
      <c r="GO192" s="42"/>
      <c r="GP192" s="42"/>
      <c r="GQ192" s="42"/>
      <c r="GR192" s="42"/>
      <c r="GS192" s="42"/>
      <c r="GT192" s="42"/>
      <c r="GU192" s="42"/>
      <c r="GV192" s="42"/>
      <c r="GW192" s="42"/>
      <c r="GX192" s="42"/>
      <c r="GY192" s="42"/>
      <c r="GZ192" s="42"/>
      <c r="HA192" s="42"/>
      <c r="HB192" s="42"/>
      <c r="HC192" s="42"/>
      <c r="HD192" s="42"/>
      <c r="HE192" s="42"/>
      <c r="HF192" s="42"/>
      <c r="HG192" s="42"/>
      <c r="HH192" s="42"/>
      <c r="HI192" s="42"/>
      <c r="HJ192" s="42"/>
      <c r="HK192" s="42"/>
      <c r="HL192" s="42"/>
      <c r="HM192" s="42"/>
      <c r="HN192" s="42"/>
      <c r="HO192" s="42"/>
      <c r="HP192" s="42"/>
      <c r="HQ192" s="42"/>
      <c r="HR192" s="42"/>
      <c r="HS192" s="42"/>
      <c r="HT192" s="42"/>
      <c r="HU192" s="42"/>
      <c r="HV192" s="42"/>
      <c r="HW192" s="42"/>
      <c r="HX192" s="42"/>
      <c r="HY192" s="42"/>
      <c r="HZ192" s="42"/>
      <c r="IA192" s="42"/>
      <c r="IB192" s="42"/>
      <c r="IC192" s="42"/>
      <c r="ID192" s="42"/>
      <c r="IE192" s="42"/>
      <c r="IF192" s="42"/>
      <c r="IG192" s="42"/>
      <c r="IH192" s="42"/>
      <c r="II192" s="42"/>
      <c r="IJ192" s="42"/>
      <c r="IK192" s="42"/>
      <c r="IL192" s="42"/>
      <c r="IM192" s="42"/>
      <c r="IN192" s="42"/>
      <c r="IO192" s="42"/>
      <c r="IP192" s="42"/>
      <c r="IQ192" s="42"/>
      <c r="IR192" s="42"/>
      <c r="IS192" s="42"/>
      <c r="IT192" s="42"/>
      <c r="IU192" s="42"/>
      <c r="IV192" s="42"/>
      <c r="IW192" s="42"/>
      <c r="IX192" s="42"/>
      <c r="IY192" s="42"/>
      <c r="IZ192" s="42"/>
      <c r="JA192" s="42"/>
      <c r="JB192" s="42"/>
      <c r="JC192" s="42"/>
      <c r="JD192" s="42"/>
      <c r="JE192" s="42"/>
      <c r="JF192" s="42"/>
      <c r="JG192" s="42"/>
      <c r="JH192" s="42"/>
      <c r="JI192" s="42"/>
      <c r="JJ192" s="42"/>
      <c r="JK192" s="42"/>
      <c r="JL192" s="42"/>
      <c r="JM192" s="42"/>
      <c r="JN192" s="42"/>
      <c r="JO192" s="42"/>
      <c r="JP192" s="42"/>
      <c r="JQ192" s="42"/>
      <c r="JR192" s="42"/>
      <c r="JS192" s="42"/>
      <c r="JT192" s="42"/>
      <c r="JU192" s="42"/>
      <c r="JV192" s="42"/>
      <c r="JW192" s="42"/>
      <c r="JX192" s="42"/>
      <c r="JY192" s="42"/>
      <c r="JZ192" s="42"/>
      <c r="KA192" s="42"/>
      <c r="KB192" s="42"/>
      <c r="KC192" s="42"/>
      <c r="KD192" s="42"/>
      <c r="KE192" s="42"/>
      <c r="KF192" s="42"/>
      <c r="KG192" s="42"/>
      <c r="KH192" s="42"/>
      <c r="KI192" s="42"/>
      <c r="KJ192" s="42"/>
      <c r="KK192" s="42"/>
      <c r="KL192" s="42"/>
      <c r="KM192" s="42"/>
      <c r="KN192" s="42"/>
      <c r="KO192" s="42"/>
      <c r="KP192" s="42"/>
      <c r="KQ192" s="42"/>
      <c r="KR192" s="42"/>
      <c r="KS192" s="42"/>
      <c r="KT192" s="42"/>
      <c r="KU192" s="42"/>
      <c r="KV192" s="42"/>
      <c r="KW192" s="42"/>
      <c r="KX192" s="42"/>
      <c r="KY192" s="42"/>
      <c r="KZ192" s="42"/>
      <c r="LA192" s="42"/>
      <c r="LB192" s="42"/>
      <c r="LC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c r="AY193" s="42"/>
      <c r="AZ193" s="42"/>
      <c r="BA193" s="42"/>
      <c r="BB193" s="42"/>
      <c r="BC193" s="42"/>
      <c r="BD193" s="42"/>
      <c r="BE193" s="42"/>
      <c r="BF193" s="42"/>
      <c r="BG193" s="42"/>
      <c r="BH193" s="42"/>
      <c r="BI193" s="42"/>
      <c r="BJ193" s="42"/>
      <c r="BK193" s="42"/>
      <c r="BL193" s="42"/>
      <c r="BM193" s="42"/>
      <c r="BN193" s="42"/>
      <c r="BO193" s="42"/>
      <c r="BP193" s="42"/>
      <c r="BQ193" s="42"/>
      <c r="BR193" s="42"/>
      <c r="BS193" s="42"/>
      <c r="BT193" s="42"/>
      <c r="BU193" s="42"/>
      <c r="BV193" s="42"/>
      <c r="BW193" s="42"/>
      <c r="BX193" s="42"/>
      <c r="BY193" s="42"/>
      <c r="BZ193" s="42"/>
      <c r="CA193" s="42"/>
      <c r="CB193" s="42"/>
      <c r="CC193" s="42"/>
      <c r="CD193" s="42"/>
      <c r="CE193" s="42"/>
      <c r="CF193" s="42"/>
      <c r="CG193" s="42"/>
      <c r="CH193" s="42"/>
      <c r="CI193" s="42"/>
      <c r="CJ193" s="42"/>
      <c r="CK193" s="42"/>
      <c r="CL193" s="42"/>
      <c r="CM193" s="42"/>
      <c r="CN193" s="42"/>
      <c r="CO193" s="42"/>
      <c r="CP193" s="42"/>
      <c r="CQ193" s="42"/>
      <c r="CR193" s="42"/>
      <c r="CS193" s="42"/>
      <c r="CT193" s="42"/>
      <c r="CU193" s="42"/>
      <c r="CV193" s="42"/>
      <c r="CW193" s="42"/>
      <c r="CX193" s="42"/>
      <c r="CY193" s="42"/>
      <c r="CZ193" s="42"/>
      <c r="DA193" s="42"/>
      <c r="DB193" s="42"/>
      <c r="DC193" s="42"/>
      <c r="DD193" s="42"/>
      <c r="DE193" s="42"/>
      <c r="DF193" s="42"/>
      <c r="DG193" s="42"/>
      <c r="DH193" s="42"/>
      <c r="DI193" s="42"/>
      <c r="DJ193" s="42"/>
      <c r="DK193" s="42"/>
      <c r="DL193" s="42"/>
      <c r="DM193" s="42"/>
      <c r="DN193" s="42"/>
      <c r="DO193" s="42"/>
      <c r="DP193" s="42"/>
      <c r="DQ193" s="42"/>
      <c r="DR193" s="42"/>
      <c r="DS193" s="42"/>
      <c r="DT193" s="42"/>
      <c r="DU193" s="42"/>
      <c r="DV193" s="42"/>
      <c r="DW193" s="42"/>
      <c r="DX193" s="42"/>
      <c r="DY193" s="42"/>
      <c r="DZ193" s="42"/>
      <c r="EA193" s="42"/>
      <c r="EB193" s="42"/>
      <c r="EC193" s="42"/>
      <c r="ED193" s="42"/>
      <c r="EE193" s="42"/>
      <c r="EF193" s="42"/>
      <c r="EG193" s="42"/>
      <c r="EH193" s="42"/>
      <c r="EI193" s="42"/>
      <c r="EJ193" s="42"/>
      <c r="EK193" s="42"/>
      <c r="EL193" s="42"/>
      <c r="EM193" s="42"/>
      <c r="EN193" s="42"/>
      <c r="EO193" s="42"/>
      <c r="EP193" s="42"/>
      <c r="EQ193" s="42"/>
      <c r="ER193" s="42"/>
      <c r="ES193" s="42"/>
      <c r="ET193" s="42"/>
      <c r="EU193" s="42"/>
      <c r="EV193" s="42"/>
      <c r="EW193" s="42"/>
      <c r="EX193" s="42"/>
      <c r="EY193" s="42"/>
      <c r="EZ193" s="42"/>
      <c r="FA193" s="42"/>
      <c r="FB193" s="42"/>
      <c r="FC193" s="42"/>
      <c r="FD193" s="42"/>
      <c r="FE193" s="42"/>
      <c r="FF193" s="42"/>
      <c r="FG193" s="42"/>
      <c r="FH193" s="42"/>
      <c r="FI193" s="42"/>
      <c r="FJ193" s="42"/>
      <c r="FK193" s="42"/>
      <c r="FL193" s="42"/>
      <c r="FM193" s="42"/>
      <c r="FN193" s="42"/>
      <c r="FO193" s="42"/>
      <c r="FP193" s="42"/>
      <c r="FQ193" s="42"/>
      <c r="FR193" s="42"/>
      <c r="FS193" s="42"/>
      <c r="FT193" s="42"/>
      <c r="FU193" s="42"/>
      <c r="FV193" s="42"/>
      <c r="FW193" s="42"/>
      <c r="FX193" s="42"/>
      <c r="FY193" s="42"/>
      <c r="FZ193" s="42"/>
      <c r="GA193" s="42"/>
      <c r="GB193" s="42"/>
      <c r="GC193" s="42"/>
      <c r="GD193" s="42"/>
      <c r="GE193" s="42"/>
      <c r="GF193" s="42"/>
      <c r="GG193" s="42"/>
      <c r="GH193" s="42"/>
      <c r="GI193" s="42"/>
      <c r="GJ193" s="42"/>
      <c r="GK193" s="42"/>
      <c r="GL193" s="42"/>
      <c r="GM193" s="42"/>
      <c r="GN193" s="42"/>
      <c r="GO193" s="42"/>
      <c r="GP193" s="42"/>
      <c r="GQ193" s="42"/>
      <c r="GR193" s="42"/>
      <c r="GS193" s="42"/>
      <c r="GT193" s="42"/>
      <c r="GU193" s="42"/>
      <c r="GV193" s="42"/>
      <c r="GW193" s="42"/>
      <c r="GX193" s="42"/>
      <c r="GY193" s="42"/>
      <c r="GZ193" s="42"/>
      <c r="HA193" s="42"/>
      <c r="HB193" s="42"/>
      <c r="HC193" s="42"/>
      <c r="HD193" s="42"/>
      <c r="HE193" s="42"/>
      <c r="HF193" s="42"/>
      <c r="HG193" s="42"/>
      <c r="HH193" s="42"/>
      <c r="HI193" s="42"/>
      <c r="HJ193" s="42"/>
      <c r="HK193" s="42"/>
      <c r="HL193" s="42"/>
      <c r="HM193" s="42"/>
      <c r="HN193" s="42"/>
      <c r="HO193" s="42"/>
      <c r="HP193" s="42"/>
      <c r="HQ193" s="42"/>
      <c r="HR193" s="42"/>
      <c r="HS193" s="42"/>
      <c r="HT193" s="42"/>
      <c r="HU193" s="42"/>
      <c r="HV193" s="42"/>
      <c r="HW193" s="42"/>
      <c r="HX193" s="42"/>
      <c r="HY193" s="42"/>
      <c r="HZ193" s="42"/>
      <c r="IA193" s="42"/>
      <c r="IB193" s="42"/>
      <c r="IC193" s="42"/>
      <c r="ID193" s="42"/>
      <c r="IE193" s="42"/>
      <c r="IF193" s="42"/>
      <c r="IG193" s="42"/>
      <c r="IH193" s="42"/>
      <c r="II193" s="42"/>
      <c r="IJ193" s="42"/>
      <c r="IK193" s="42"/>
      <c r="IL193" s="42"/>
      <c r="IM193" s="42"/>
      <c r="IN193" s="42"/>
      <c r="IO193" s="42"/>
      <c r="IP193" s="42"/>
      <c r="IQ193" s="42"/>
      <c r="IR193" s="42"/>
      <c r="IS193" s="42"/>
      <c r="IT193" s="42"/>
      <c r="IU193" s="42"/>
      <c r="IV193" s="42"/>
      <c r="IW193" s="42"/>
      <c r="IX193" s="42"/>
      <c r="IY193" s="42"/>
      <c r="IZ193" s="42"/>
      <c r="JA193" s="42"/>
      <c r="JB193" s="42"/>
      <c r="JC193" s="42"/>
      <c r="JD193" s="42"/>
      <c r="JE193" s="42"/>
      <c r="JF193" s="42"/>
      <c r="JG193" s="42"/>
      <c r="JH193" s="42"/>
      <c r="JI193" s="42"/>
      <c r="JJ193" s="42"/>
      <c r="JK193" s="42"/>
      <c r="JL193" s="42"/>
      <c r="JM193" s="42"/>
      <c r="JN193" s="42"/>
      <c r="JO193" s="42"/>
      <c r="JP193" s="42"/>
      <c r="JQ193" s="42"/>
      <c r="JR193" s="42"/>
      <c r="JS193" s="42"/>
      <c r="JT193" s="42"/>
      <c r="JU193" s="42"/>
      <c r="JV193" s="42"/>
      <c r="JW193" s="42"/>
      <c r="JX193" s="42"/>
      <c r="JY193" s="42"/>
      <c r="JZ193" s="42"/>
      <c r="KA193" s="42"/>
      <c r="KB193" s="42"/>
      <c r="KC193" s="42"/>
      <c r="KD193" s="42"/>
      <c r="KE193" s="42"/>
      <c r="KF193" s="42"/>
      <c r="KG193" s="42"/>
      <c r="KH193" s="42"/>
      <c r="KI193" s="42"/>
      <c r="KJ193" s="42"/>
      <c r="KK193" s="42"/>
      <c r="KL193" s="42"/>
      <c r="KM193" s="42"/>
      <c r="KN193" s="42"/>
      <c r="KO193" s="42"/>
      <c r="KP193" s="42"/>
      <c r="KQ193" s="42"/>
      <c r="KR193" s="42"/>
      <c r="KS193" s="42"/>
      <c r="KT193" s="42"/>
      <c r="KU193" s="42"/>
      <c r="KV193" s="42"/>
      <c r="KW193" s="42"/>
      <c r="KX193" s="42"/>
      <c r="KY193" s="42"/>
      <c r="KZ193" s="42"/>
      <c r="LA193" s="42"/>
      <c r="LB193" s="42"/>
      <c r="LC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42"/>
      <c r="AZ194" s="42"/>
      <c r="BA194" s="42"/>
      <c r="BB194" s="42"/>
      <c r="BC194" s="42"/>
      <c r="BD194" s="42"/>
      <c r="BE194" s="42"/>
      <c r="BF194" s="42"/>
      <c r="BG194" s="42"/>
      <c r="BH194" s="42"/>
      <c r="BI194" s="42"/>
      <c r="BJ194" s="42"/>
      <c r="BK194" s="42"/>
      <c r="BL194" s="42"/>
      <c r="BM194" s="42"/>
      <c r="BN194" s="42"/>
      <c r="BO194" s="42"/>
      <c r="BP194" s="42"/>
      <c r="BQ194" s="42"/>
      <c r="BR194" s="42"/>
      <c r="BS194" s="42"/>
      <c r="BT194" s="42"/>
      <c r="BU194" s="42"/>
      <c r="BV194" s="42"/>
      <c r="BW194" s="42"/>
      <c r="BX194" s="42"/>
      <c r="BY194" s="42"/>
      <c r="BZ194" s="42"/>
      <c r="CA194" s="42"/>
      <c r="CB194" s="42"/>
      <c r="CC194" s="42"/>
      <c r="CD194" s="42"/>
      <c r="CE194" s="42"/>
      <c r="CF194" s="42"/>
      <c r="CG194" s="42"/>
      <c r="CH194" s="42"/>
      <c r="CI194" s="42"/>
      <c r="CJ194" s="42"/>
      <c r="CK194" s="42"/>
      <c r="CL194" s="42"/>
      <c r="CM194" s="42"/>
      <c r="CN194" s="42"/>
      <c r="CO194" s="42"/>
      <c r="CP194" s="42"/>
      <c r="CQ194" s="42"/>
      <c r="CR194" s="42"/>
      <c r="CS194" s="42"/>
      <c r="CT194" s="42"/>
      <c r="CU194" s="42"/>
      <c r="CV194" s="42"/>
      <c r="CW194" s="42"/>
      <c r="CX194" s="42"/>
      <c r="CY194" s="42"/>
      <c r="CZ194" s="42"/>
      <c r="DA194" s="42"/>
      <c r="DB194" s="42"/>
      <c r="DC194" s="42"/>
      <c r="DD194" s="42"/>
      <c r="DE194" s="42"/>
      <c r="DF194" s="42"/>
      <c r="DG194" s="42"/>
      <c r="DH194" s="42"/>
      <c r="DI194" s="42"/>
      <c r="DJ194" s="42"/>
      <c r="DK194" s="42"/>
      <c r="DL194" s="42"/>
      <c r="DM194" s="42"/>
      <c r="DN194" s="42"/>
      <c r="DO194" s="42"/>
      <c r="DP194" s="42"/>
      <c r="DQ194" s="42"/>
      <c r="DR194" s="42"/>
      <c r="DS194" s="42"/>
      <c r="DT194" s="42"/>
      <c r="DU194" s="42"/>
      <c r="DV194" s="42"/>
      <c r="DW194" s="42"/>
      <c r="DX194" s="42"/>
      <c r="DY194" s="42"/>
      <c r="DZ194" s="42"/>
      <c r="EA194" s="42"/>
      <c r="EB194" s="42"/>
      <c r="EC194" s="42"/>
      <c r="ED194" s="42"/>
      <c r="EE194" s="42"/>
      <c r="EF194" s="42"/>
      <c r="EG194" s="42"/>
      <c r="EH194" s="42"/>
      <c r="EI194" s="42"/>
      <c r="EJ194" s="42"/>
      <c r="EK194" s="42"/>
      <c r="EL194" s="42"/>
      <c r="EM194" s="42"/>
      <c r="EN194" s="42"/>
      <c r="EO194" s="42"/>
      <c r="EP194" s="42"/>
      <c r="EQ194" s="42"/>
      <c r="ER194" s="42"/>
      <c r="ES194" s="42"/>
      <c r="ET194" s="42"/>
      <c r="EU194" s="42"/>
      <c r="EV194" s="42"/>
      <c r="EW194" s="42"/>
      <c r="EX194" s="42"/>
      <c r="EY194" s="42"/>
      <c r="EZ194" s="42"/>
      <c r="FA194" s="42"/>
      <c r="FB194" s="42"/>
      <c r="FC194" s="42"/>
      <c r="FD194" s="42"/>
      <c r="FE194" s="42"/>
      <c r="FF194" s="42"/>
      <c r="FG194" s="42"/>
      <c r="FH194" s="42"/>
      <c r="FI194" s="42"/>
      <c r="FJ194" s="42"/>
      <c r="FK194" s="42"/>
      <c r="FL194" s="42"/>
      <c r="FM194" s="42"/>
      <c r="FN194" s="42"/>
      <c r="FO194" s="42"/>
      <c r="FP194" s="42"/>
      <c r="FQ194" s="42"/>
      <c r="FR194" s="42"/>
      <c r="FS194" s="42"/>
      <c r="FT194" s="42"/>
      <c r="FU194" s="42"/>
      <c r="FV194" s="42"/>
      <c r="FW194" s="42"/>
      <c r="FX194" s="42"/>
      <c r="FY194" s="42"/>
      <c r="FZ194" s="42"/>
      <c r="GA194" s="42"/>
      <c r="GB194" s="42"/>
      <c r="GC194" s="42"/>
      <c r="GD194" s="42"/>
      <c r="GE194" s="42"/>
      <c r="GF194" s="42"/>
      <c r="GG194" s="42"/>
      <c r="GH194" s="42"/>
      <c r="GI194" s="42"/>
      <c r="GJ194" s="42"/>
      <c r="GK194" s="42"/>
      <c r="GL194" s="42"/>
      <c r="GM194" s="42"/>
      <c r="GN194" s="42"/>
      <c r="GO194" s="42"/>
      <c r="GP194" s="42"/>
      <c r="GQ194" s="42"/>
      <c r="GR194" s="42"/>
      <c r="GS194" s="42"/>
      <c r="GT194" s="42"/>
      <c r="GU194" s="42"/>
      <c r="GV194" s="42"/>
      <c r="GW194" s="42"/>
      <c r="GX194" s="42"/>
      <c r="GY194" s="42"/>
      <c r="GZ194" s="42"/>
      <c r="HA194" s="42"/>
      <c r="HB194" s="42"/>
      <c r="HC194" s="42"/>
      <c r="HD194" s="42"/>
      <c r="HE194" s="42"/>
      <c r="HF194" s="42"/>
      <c r="HG194" s="42"/>
      <c r="HH194" s="42"/>
      <c r="HI194" s="42"/>
      <c r="HJ194" s="42"/>
      <c r="HK194" s="42"/>
      <c r="HL194" s="42"/>
      <c r="HM194" s="42"/>
      <c r="HN194" s="42"/>
      <c r="HO194" s="42"/>
      <c r="HP194" s="42"/>
      <c r="HQ194" s="42"/>
      <c r="HR194" s="42"/>
      <c r="HS194" s="42"/>
      <c r="HT194" s="42"/>
      <c r="HU194" s="42"/>
      <c r="HV194" s="42"/>
      <c r="HW194" s="42"/>
      <c r="HX194" s="42"/>
      <c r="HY194" s="42"/>
      <c r="HZ194" s="42"/>
      <c r="IA194" s="42"/>
      <c r="IB194" s="42"/>
      <c r="IC194" s="42"/>
      <c r="ID194" s="42"/>
      <c r="IE194" s="42"/>
      <c r="IF194" s="42"/>
      <c r="IG194" s="42"/>
      <c r="IH194" s="42"/>
      <c r="II194" s="42"/>
      <c r="IJ194" s="42"/>
      <c r="IK194" s="42"/>
      <c r="IL194" s="42"/>
      <c r="IM194" s="42"/>
      <c r="IN194" s="42"/>
      <c r="IO194" s="42"/>
      <c r="IP194" s="42"/>
      <c r="IQ194" s="42"/>
      <c r="IR194" s="42"/>
      <c r="IS194" s="42"/>
      <c r="IT194" s="42"/>
      <c r="IU194" s="42"/>
      <c r="IV194" s="42"/>
      <c r="IW194" s="42"/>
      <c r="IX194" s="42"/>
      <c r="IY194" s="42"/>
      <c r="IZ194" s="42"/>
      <c r="JA194" s="42"/>
      <c r="JB194" s="42"/>
      <c r="JC194" s="42"/>
      <c r="JD194" s="42"/>
      <c r="JE194" s="42"/>
      <c r="JF194" s="42"/>
      <c r="JG194" s="42"/>
      <c r="JH194" s="42"/>
      <c r="JI194" s="42"/>
      <c r="JJ194" s="42"/>
      <c r="JK194" s="42"/>
      <c r="JL194" s="42"/>
      <c r="JM194" s="42"/>
      <c r="JN194" s="42"/>
      <c r="JO194" s="42"/>
      <c r="JP194" s="42"/>
      <c r="JQ194" s="42"/>
      <c r="JR194" s="42"/>
      <c r="JS194" s="42"/>
      <c r="JT194" s="42"/>
      <c r="JU194" s="42"/>
      <c r="JV194" s="42"/>
      <c r="JW194" s="42"/>
      <c r="JX194" s="42"/>
      <c r="JY194" s="42"/>
      <c r="JZ194" s="42"/>
      <c r="KA194" s="42"/>
      <c r="KB194" s="42"/>
      <c r="KC194" s="42"/>
      <c r="KD194" s="42"/>
      <c r="KE194" s="42"/>
      <c r="KF194" s="42"/>
      <c r="KG194" s="42"/>
      <c r="KH194" s="42"/>
      <c r="KI194" s="42"/>
      <c r="KJ194" s="42"/>
      <c r="KK194" s="42"/>
      <c r="KL194" s="42"/>
      <c r="KM194" s="42"/>
      <c r="KN194" s="42"/>
      <c r="KO194" s="42"/>
      <c r="KP194" s="42"/>
      <c r="KQ194" s="42"/>
      <c r="KR194" s="42"/>
      <c r="KS194" s="42"/>
      <c r="KT194" s="42"/>
      <c r="KU194" s="42"/>
      <c r="KV194" s="42"/>
      <c r="KW194" s="42"/>
      <c r="KX194" s="42"/>
      <c r="KY194" s="42"/>
      <c r="KZ194" s="42"/>
      <c r="LA194" s="42"/>
      <c r="LB194" s="42"/>
      <c r="LC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42"/>
      <c r="BB195" s="42"/>
      <c r="BC195" s="42"/>
      <c r="BD195" s="42"/>
      <c r="BE195" s="42"/>
      <c r="BF195" s="42"/>
      <c r="BG195" s="42"/>
      <c r="BH195" s="42"/>
      <c r="BI195" s="42"/>
      <c r="BJ195" s="42"/>
      <c r="BK195" s="42"/>
      <c r="BL195" s="42"/>
      <c r="BM195" s="42"/>
      <c r="BN195" s="42"/>
      <c r="BO195" s="42"/>
      <c r="BP195" s="42"/>
      <c r="BQ195" s="42"/>
      <c r="BR195" s="42"/>
      <c r="BS195" s="42"/>
      <c r="BT195" s="42"/>
      <c r="BU195" s="42"/>
      <c r="BV195" s="42"/>
      <c r="BW195" s="42"/>
      <c r="BX195" s="42"/>
      <c r="BY195" s="42"/>
      <c r="BZ195" s="42"/>
      <c r="CA195" s="42"/>
      <c r="CB195" s="42"/>
      <c r="CC195" s="42"/>
      <c r="CD195" s="42"/>
      <c r="CE195" s="42"/>
      <c r="CF195" s="42"/>
      <c r="CG195" s="42"/>
      <c r="CH195" s="42"/>
      <c r="CI195" s="42"/>
      <c r="CJ195" s="42"/>
      <c r="CK195" s="42"/>
      <c r="CL195" s="42"/>
      <c r="CM195" s="42"/>
      <c r="CN195" s="42"/>
      <c r="CO195" s="42"/>
      <c r="CP195" s="42"/>
      <c r="CQ195" s="42"/>
      <c r="CR195" s="42"/>
      <c r="CS195" s="42"/>
      <c r="CT195" s="42"/>
      <c r="CU195" s="42"/>
      <c r="CV195" s="42"/>
      <c r="CW195" s="42"/>
      <c r="CX195" s="42"/>
      <c r="CY195" s="42"/>
      <c r="CZ195" s="42"/>
      <c r="DA195" s="42"/>
      <c r="DB195" s="42"/>
      <c r="DC195" s="42"/>
      <c r="DD195" s="42"/>
      <c r="DE195" s="42"/>
      <c r="DF195" s="42"/>
      <c r="DG195" s="42"/>
      <c r="DH195" s="42"/>
      <c r="DI195" s="42"/>
      <c r="DJ195" s="42"/>
      <c r="DK195" s="42"/>
      <c r="DL195" s="42"/>
      <c r="DM195" s="42"/>
      <c r="DN195" s="42"/>
      <c r="DO195" s="42"/>
      <c r="DP195" s="42"/>
      <c r="DQ195" s="42"/>
      <c r="DR195" s="42"/>
      <c r="DS195" s="42"/>
      <c r="DT195" s="42"/>
      <c r="DU195" s="42"/>
      <c r="DV195" s="42"/>
      <c r="DW195" s="42"/>
      <c r="DX195" s="42"/>
      <c r="DY195" s="42"/>
      <c r="DZ195" s="42"/>
      <c r="EA195" s="42"/>
      <c r="EB195" s="42"/>
      <c r="EC195" s="42"/>
      <c r="ED195" s="42"/>
      <c r="EE195" s="42"/>
      <c r="EF195" s="42"/>
      <c r="EG195" s="42"/>
      <c r="EH195" s="42"/>
      <c r="EI195" s="42"/>
      <c r="EJ195" s="42"/>
      <c r="EK195" s="42"/>
      <c r="EL195" s="42"/>
      <c r="EM195" s="42"/>
      <c r="EN195" s="42"/>
      <c r="EO195" s="42"/>
      <c r="EP195" s="42"/>
      <c r="EQ195" s="42"/>
      <c r="ER195" s="42"/>
      <c r="ES195" s="42"/>
      <c r="ET195" s="42"/>
      <c r="EU195" s="42"/>
      <c r="EV195" s="42"/>
      <c r="EW195" s="42"/>
      <c r="EX195" s="42"/>
      <c r="EY195" s="42"/>
      <c r="EZ195" s="42"/>
      <c r="FA195" s="42"/>
      <c r="FB195" s="42"/>
      <c r="FC195" s="42"/>
      <c r="FD195" s="42"/>
      <c r="FE195" s="42"/>
      <c r="FF195" s="42"/>
      <c r="FG195" s="42"/>
      <c r="FH195" s="42"/>
      <c r="FI195" s="42"/>
      <c r="FJ195" s="42"/>
      <c r="FK195" s="42"/>
      <c r="FL195" s="42"/>
      <c r="FM195" s="42"/>
      <c r="FN195" s="42"/>
      <c r="FO195" s="42"/>
      <c r="FP195" s="42"/>
      <c r="FQ195" s="42"/>
      <c r="FR195" s="42"/>
      <c r="FS195" s="42"/>
      <c r="FT195" s="42"/>
      <c r="FU195" s="42"/>
      <c r="FV195" s="42"/>
      <c r="FW195" s="42"/>
      <c r="FX195" s="42"/>
      <c r="FY195" s="42"/>
      <c r="FZ195" s="42"/>
      <c r="GA195" s="42"/>
      <c r="GB195" s="42"/>
      <c r="GC195" s="42"/>
      <c r="GD195" s="42"/>
      <c r="GE195" s="42"/>
      <c r="GF195" s="42"/>
      <c r="GG195" s="42"/>
      <c r="GH195" s="42"/>
      <c r="GI195" s="42"/>
      <c r="GJ195" s="42"/>
      <c r="GK195" s="42"/>
      <c r="GL195" s="42"/>
      <c r="GM195" s="42"/>
      <c r="GN195" s="42"/>
      <c r="GO195" s="42"/>
      <c r="GP195" s="42"/>
      <c r="GQ195" s="42"/>
      <c r="GR195" s="42"/>
      <c r="GS195" s="42"/>
      <c r="GT195" s="42"/>
      <c r="GU195" s="42"/>
      <c r="GV195" s="42"/>
      <c r="GW195" s="42"/>
      <c r="GX195" s="42"/>
      <c r="GY195" s="42"/>
      <c r="GZ195" s="42"/>
      <c r="HA195" s="42"/>
      <c r="HB195" s="42"/>
      <c r="HC195" s="42"/>
      <c r="HD195" s="42"/>
      <c r="HE195" s="42"/>
      <c r="HF195" s="42"/>
      <c r="HG195" s="42"/>
      <c r="HH195" s="42"/>
      <c r="HI195" s="42"/>
      <c r="HJ195" s="42"/>
      <c r="HK195" s="42"/>
      <c r="HL195" s="42"/>
      <c r="HM195" s="42"/>
      <c r="HN195" s="42"/>
      <c r="HO195" s="42"/>
      <c r="HP195" s="42"/>
      <c r="HQ195" s="42"/>
      <c r="HR195" s="42"/>
      <c r="HS195" s="42"/>
      <c r="HT195" s="42"/>
      <c r="HU195" s="42"/>
      <c r="HV195" s="42"/>
      <c r="HW195" s="42"/>
      <c r="HX195" s="42"/>
      <c r="HY195" s="42"/>
      <c r="HZ195" s="42"/>
      <c r="IA195" s="42"/>
      <c r="IB195" s="42"/>
      <c r="IC195" s="42"/>
      <c r="ID195" s="42"/>
      <c r="IE195" s="42"/>
      <c r="IF195" s="42"/>
      <c r="IG195" s="42"/>
      <c r="IH195" s="42"/>
      <c r="II195" s="42"/>
      <c r="IJ195" s="42"/>
      <c r="IK195" s="42"/>
      <c r="IL195" s="42"/>
      <c r="IM195" s="42"/>
      <c r="IN195" s="42"/>
      <c r="IO195" s="42"/>
      <c r="IP195" s="42"/>
      <c r="IQ195" s="42"/>
      <c r="IR195" s="42"/>
      <c r="IS195" s="42"/>
      <c r="IT195" s="42"/>
      <c r="IU195" s="42"/>
      <c r="IV195" s="42"/>
      <c r="IW195" s="42"/>
      <c r="IX195" s="42"/>
      <c r="IY195" s="42"/>
      <c r="IZ195" s="42"/>
      <c r="JA195" s="42"/>
      <c r="JB195" s="42"/>
      <c r="JC195" s="42"/>
      <c r="JD195" s="42"/>
      <c r="JE195" s="42"/>
      <c r="JF195" s="42"/>
      <c r="JG195" s="42"/>
      <c r="JH195" s="42"/>
      <c r="JI195" s="42"/>
      <c r="JJ195" s="42"/>
      <c r="JK195" s="42"/>
      <c r="JL195" s="42"/>
      <c r="JM195" s="42"/>
      <c r="JN195" s="42"/>
      <c r="JO195" s="42"/>
      <c r="JP195" s="42"/>
      <c r="JQ195" s="42"/>
      <c r="JR195" s="42"/>
      <c r="JS195" s="42"/>
      <c r="JT195" s="42"/>
      <c r="JU195" s="42"/>
      <c r="JV195" s="42"/>
      <c r="JW195" s="42"/>
      <c r="JX195" s="42"/>
      <c r="JY195" s="42"/>
      <c r="JZ195" s="42"/>
      <c r="KA195" s="42"/>
      <c r="KB195" s="42"/>
      <c r="KC195" s="42"/>
      <c r="KD195" s="42"/>
      <c r="KE195" s="42"/>
      <c r="KF195" s="42"/>
      <c r="KG195" s="42"/>
      <c r="KH195" s="42"/>
      <c r="KI195" s="42"/>
      <c r="KJ195" s="42"/>
      <c r="KK195" s="42"/>
      <c r="KL195" s="42"/>
      <c r="KM195" s="42"/>
      <c r="KN195" s="42"/>
      <c r="KO195" s="42"/>
      <c r="KP195" s="42"/>
      <c r="KQ195" s="42"/>
      <c r="KR195" s="42"/>
      <c r="KS195" s="42"/>
      <c r="KT195" s="42"/>
      <c r="KU195" s="42"/>
      <c r="KV195" s="42"/>
      <c r="KW195" s="42"/>
      <c r="KX195" s="42"/>
      <c r="KY195" s="42"/>
      <c r="KZ195" s="42"/>
      <c r="LA195" s="42"/>
      <c r="LB195" s="42"/>
      <c r="LC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42"/>
      <c r="BB196" s="42"/>
      <c r="BC196" s="42"/>
      <c r="BD196" s="42"/>
      <c r="BE196" s="42"/>
      <c r="BF196" s="42"/>
      <c r="BG196" s="42"/>
      <c r="BH196" s="42"/>
      <c r="BI196" s="42"/>
      <c r="BJ196" s="42"/>
      <c r="BK196" s="42"/>
      <c r="BL196" s="42"/>
      <c r="BM196" s="42"/>
      <c r="BN196" s="42"/>
      <c r="BO196" s="42"/>
      <c r="BP196" s="42"/>
      <c r="BQ196" s="42"/>
      <c r="BR196" s="42"/>
      <c r="BS196" s="42"/>
      <c r="BT196" s="42"/>
      <c r="BU196" s="42"/>
      <c r="BV196" s="42"/>
      <c r="BW196" s="42"/>
      <c r="BX196" s="42"/>
      <c r="BY196" s="42"/>
      <c r="BZ196" s="42"/>
      <c r="CA196" s="42"/>
      <c r="CB196" s="42"/>
      <c r="CC196" s="42"/>
      <c r="CD196" s="42"/>
      <c r="CE196" s="42"/>
      <c r="CF196" s="42"/>
      <c r="CG196" s="42"/>
      <c r="CH196" s="42"/>
      <c r="CI196" s="42"/>
      <c r="CJ196" s="42"/>
      <c r="CK196" s="42"/>
      <c r="CL196" s="42"/>
      <c r="CM196" s="42"/>
      <c r="CN196" s="42"/>
      <c r="CO196" s="42"/>
      <c r="CP196" s="42"/>
      <c r="CQ196" s="42"/>
      <c r="CR196" s="42"/>
      <c r="CS196" s="42"/>
      <c r="CT196" s="42"/>
      <c r="CU196" s="42"/>
      <c r="CV196" s="42"/>
      <c r="CW196" s="42"/>
      <c r="CX196" s="42"/>
      <c r="CY196" s="42"/>
      <c r="CZ196" s="42"/>
      <c r="DA196" s="42"/>
      <c r="DB196" s="42"/>
      <c r="DC196" s="42"/>
      <c r="DD196" s="42"/>
      <c r="DE196" s="42"/>
      <c r="DF196" s="42"/>
      <c r="DG196" s="42"/>
      <c r="DH196" s="42"/>
      <c r="DI196" s="42"/>
      <c r="DJ196" s="42"/>
      <c r="DK196" s="42"/>
      <c r="DL196" s="42"/>
      <c r="DM196" s="42"/>
      <c r="DN196" s="42"/>
      <c r="DO196" s="42"/>
      <c r="DP196" s="42"/>
      <c r="DQ196" s="42"/>
      <c r="DR196" s="42"/>
      <c r="DS196" s="42"/>
      <c r="DT196" s="42"/>
      <c r="DU196" s="42"/>
      <c r="DV196" s="42"/>
      <c r="DW196" s="42"/>
      <c r="DX196" s="42"/>
      <c r="DY196" s="42"/>
      <c r="DZ196" s="42"/>
      <c r="EA196" s="42"/>
      <c r="EB196" s="42"/>
      <c r="EC196" s="42"/>
      <c r="ED196" s="42"/>
      <c r="EE196" s="42"/>
      <c r="EF196" s="42"/>
      <c r="EG196" s="42"/>
      <c r="EH196" s="42"/>
      <c r="EI196" s="42"/>
      <c r="EJ196" s="42"/>
      <c r="EK196" s="42"/>
      <c r="EL196" s="42"/>
      <c r="EM196" s="42"/>
      <c r="EN196" s="42"/>
      <c r="EO196" s="42"/>
      <c r="EP196" s="42"/>
      <c r="EQ196" s="42"/>
      <c r="ER196" s="42"/>
      <c r="ES196" s="42"/>
      <c r="ET196" s="42"/>
      <c r="EU196" s="42"/>
      <c r="EV196" s="42"/>
      <c r="EW196" s="42"/>
      <c r="EX196" s="42"/>
      <c r="EY196" s="42"/>
      <c r="EZ196" s="42"/>
      <c r="FA196" s="42"/>
      <c r="FB196" s="42"/>
      <c r="FC196" s="42"/>
      <c r="FD196" s="42"/>
      <c r="FE196" s="42"/>
      <c r="FF196" s="42"/>
      <c r="FG196" s="42"/>
      <c r="FH196" s="42"/>
      <c r="FI196" s="42"/>
      <c r="FJ196" s="42"/>
      <c r="FK196" s="42"/>
      <c r="FL196" s="42"/>
      <c r="FM196" s="42"/>
      <c r="FN196" s="42"/>
      <c r="FO196" s="42"/>
      <c r="FP196" s="42"/>
      <c r="FQ196" s="42"/>
      <c r="FR196" s="42"/>
      <c r="FS196" s="42"/>
      <c r="FT196" s="42"/>
      <c r="FU196" s="42"/>
      <c r="FV196" s="42"/>
      <c r="FW196" s="42"/>
      <c r="FX196" s="42"/>
      <c r="FY196" s="42"/>
      <c r="FZ196" s="42"/>
      <c r="GA196" s="42"/>
      <c r="GB196" s="42"/>
      <c r="GC196" s="42"/>
      <c r="GD196" s="42"/>
      <c r="GE196" s="42"/>
      <c r="GF196" s="42"/>
      <c r="GG196" s="42"/>
      <c r="GH196" s="42"/>
      <c r="GI196" s="42"/>
      <c r="GJ196" s="42"/>
      <c r="GK196" s="42"/>
      <c r="GL196" s="42"/>
      <c r="GM196" s="42"/>
      <c r="GN196" s="42"/>
      <c r="GO196" s="42"/>
      <c r="GP196" s="42"/>
      <c r="GQ196" s="42"/>
      <c r="GR196" s="42"/>
      <c r="GS196" s="42"/>
      <c r="GT196" s="42"/>
      <c r="GU196" s="42"/>
      <c r="GV196" s="42"/>
      <c r="GW196" s="42"/>
      <c r="GX196" s="42"/>
      <c r="GY196" s="42"/>
      <c r="GZ196" s="42"/>
      <c r="HA196" s="42"/>
      <c r="HB196" s="42"/>
      <c r="HC196" s="42"/>
      <c r="HD196" s="42"/>
      <c r="HE196" s="42"/>
      <c r="HF196" s="42"/>
      <c r="HG196" s="42"/>
      <c r="HH196" s="42"/>
      <c r="HI196" s="42"/>
      <c r="HJ196" s="42"/>
      <c r="HK196" s="42"/>
      <c r="HL196" s="42"/>
      <c r="HM196" s="42"/>
      <c r="HN196" s="42"/>
      <c r="HO196" s="42"/>
      <c r="HP196" s="42"/>
      <c r="HQ196" s="42"/>
      <c r="HR196" s="42"/>
      <c r="HS196" s="42"/>
      <c r="HT196" s="42"/>
      <c r="HU196" s="42"/>
      <c r="HV196" s="42"/>
      <c r="HW196" s="42"/>
      <c r="HX196" s="42"/>
      <c r="HY196" s="42"/>
      <c r="HZ196" s="42"/>
      <c r="IA196" s="42"/>
      <c r="IB196" s="42"/>
      <c r="IC196" s="42"/>
      <c r="ID196" s="42"/>
      <c r="IE196" s="42"/>
      <c r="IF196" s="42"/>
      <c r="IG196" s="42"/>
      <c r="IH196" s="42"/>
      <c r="II196" s="42"/>
      <c r="IJ196" s="42"/>
      <c r="IK196" s="42"/>
      <c r="IL196" s="42"/>
      <c r="IM196" s="42"/>
      <c r="IN196" s="42"/>
      <c r="IO196" s="42"/>
      <c r="IP196" s="42"/>
      <c r="IQ196" s="42"/>
      <c r="IR196" s="42"/>
      <c r="IS196" s="42"/>
      <c r="IT196" s="42"/>
      <c r="IU196" s="42"/>
      <c r="IV196" s="42"/>
      <c r="IW196" s="42"/>
      <c r="IX196" s="42"/>
      <c r="IY196" s="42"/>
      <c r="IZ196" s="42"/>
      <c r="JA196" s="42"/>
      <c r="JB196" s="42"/>
      <c r="JC196" s="42"/>
      <c r="JD196" s="42"/>
      <c r="JE196" s="42"/>
      <c r="JF196" s="42"/>
      <c r="JG196" s="42"/>
      <c r="JH196" s="42"/>
      <c r="JI196" s="42"/>
      <c r="JJ196" s="42"/>
      <c r="JK196" s="42"/>
      <c r="JL196" s="42"/>
      <c r="JM196" s="42"/>
      <c r="JN196" s="42"/>
      <c r="JO196" s="42"/>
      <c r="JP196" s="42"/>
      <c r="JQ196" s="42"/>
      <c r="JR196" s="42"/>
      <c r="JS196" s="42"/>
      <c r="JT196" s="42"/>
      <c r="JU196" s="42"/>
      <c r="JV196" s="42"/>
      <c r="JW196" s="42"/>
      <c r="JX196" s="42"/>
      <c r="JY196" s="42"/>
      <c r="JZ196" s="42"/>
      <c r="KA196" s="42"/>
      <c r="KB196" s="42"/>
      <c r="KC196" s="42"/>
      <c r="KD196" s="42"/>
      <c r="KE196" s="42"/>
      <c r="KF196" s="42"/>
      <c r="KG196" s="42"/>
      <c r="KH196" s="42"/>
      <c r="KI196" s="42"/>
      <c r="KJ196" s="42"/>
      <c r="KK196" s="42"/>
      <c r="KL196" s="42"/>
      <c r="KM196" s="42"/>
      <c r="KN196" s="42"/>
      <c r="KO196" s="42"/>
      <c r="KP196" s="42"/>
      <c r="KQ196" s="42"/>
      <c r="KR196" s="42"/>
      <c r="KS196" s="42"/>
      <c r="KT196" s="42"/>
      <c r="KU196" s="42"/>
      <c r="KV196" s="42"/>
      <c r="KW196" s="42"/>
      <c r="KX196" s="42"/>
      <c r="KY196" s="42"/>
      <c r="KZ196" s="42"/>
      <c r="LA196" s="42"/>
      <c r="LB196" s="42"/>
      <c r="LC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c r="BD197" s="42"/>
      <c r="BE197" s="42"/>
      <c r="BF197" s="42"/>
      <c r="BG197" s="42"/>
      <c r="BH197" s="42"/>
      <c r="BI197" s="42"/>
      <c r="BJ197" s="42"/>
      <c r="BK197" s="42"/>
      <c r="BL197" s="42"/>
      <c r="BM197" s="42"/>
      <c r="BN197" s="42"/>
      <c r="BO197" s="42"/>
      <c r="BP197" s="42"/>
      <c r="BQ197" s="42"/>
      <c r="BR197" s="42"/>
      <c r="BS197" s="42"/>
      <c r="BT197" s="42"/>
      <c r="BU197" s="42"/>
      <c r="BV197" s="42"/>
      <c r="BW197" s="42"/>
      <c r="BX197" s="42"/>
      <c r="BY197" s="42"/>
      <c r="BZ197" s="42"/>
      <c r="CA197" s="42"/>
      <c r="CB197" s="42"/>
      <c r="CC197" s="42"/>
      <c r="CD197" s="42"/>
      <c r="CE197" s="42"/>
      <c r="CF197" s="42"/>
      <c r="CG197" s="42"/>
      <c r="CH197" s="42"/>
      <c r="CI197" s="42"/>
      <c r="CJ197" s="42"/>
      <c r="CK197" s="42"/>
      <c r="CL197" s="42"/>
      <c r="CM197" s="42"/>
      <c r="CN197" s="42"/>
      <c r="CO197" s="42"/>
      <c r="CP197" s="42"/>
      <c r="CQ197" s="42"/>
      <c r="CR197" s="42"/>
      <c r="CS197" s="42"/>
      <c r="CT197" s="42"/>
      <c r="CU197" s="42"/>
      <c r="CV197" s="42"/>
      <c r="CW197" s="42"/>
      <c r="CX197" s="42"/>
      <c r="CY197" s="42"/>
      <c r="CZ197" s="42"/>
      <c r="DA197" s="42"/>
      <c r="DB197" s="42"/>
      <c r="DC197" s="42"/>
      <c r="DD197" s="42"/>
      <c r="DE197" s="42"/>
      <c r="DF197" s="42"/>
      <c r="DG197" s="42"/>
      <c r="DH197" s="42"/>
      <c r="DI197" s="42"/>
      <c r="DJ197" s="42"/>
      <c r="DK197" s="42"/>
      <c r="DL197" s="42"/>
      <c r="DM197" s="42"/>
      <c r="DN197" s="42"/>
      <c r="DO197" s="42"/>
      <c r="DP197" s="42"/>
      <c r="DQ197" s="42"/>
      <c r="DR197" s="42"/>
      <c r="DS197" s="42"/>
      <c r="DT197" s="42"/>
      <c r="DU197" s="42"/>
      <c r="DV197" s="42"/>
      <c r="DW197" s="42"/>
      <c r="DX197" s="42"/>
      <c r="DY197" s="42"/>
      <c r="DZ197" s="42"/>
      <c r="EA197" s="42"/>
      <c r="EB197" s="42"/>
      <c r="EC197" s="42"/>
      <c r="ED197" s="42"/>
      <c r="EE197" s="42"/>
      <c r="EF197" s="42"/>
      <c r="EG197" s="42"/>
      <c r="EH197" s="42"/>
      <c r="EI197" s="42"/>
      <c r="EJ197" s="42"/>
      <c r="EK197" s="42"/>
      <c r="EL197" s="42"/>
      <c r="EM197" s="42"/>
      <c r="EN197" s="42"/>
      <c r="EO197" s="42"/>
      <c r="EP197" s="42"/>
      <c r="EQ197" s="42"/>
      <c r="ER197" s="42"/>
      <c r="ES197" s="42"/>
      <c r="ET197" s="42"/>
      <c r="EU197" s="42"/>
      <c r="EV197" s="42"/>
      <c r="EW197" s="42"/>
      <c r="EX197" s="42"/>
      <c r="EY197" s="42"/>
      <c r="EZ197" s="42"/>
      <c r="FA197" s="42"/>
      <c r="FB197" s="42"/>
      <c r="FC197" s="42"/>
      <c r="FD197" s="42"/>
      <c r="FE197" s="42"/>
      <c r="FF197" s="42"/>
      <c r="FG197" s="42"/>
      <c r="FH197" s="42"/>
      <c r="FI197" s="42"/>
      <c r="FJ197" s="42"/>
      <c r="FK197" s="42"/>
      <c r="FL197" s="42"/>
      <c r="FM197" s="42"/>
      <c r="FN197" s="42"/>
      <c r="FO197" s="42"/>
      <c r="FP197" s="42"/>
      <c r="FQ197" s="42"/>
      <c r="FR197" s="42"/>
      <c r="FS197" s="42"/>
      <c r="FT197" s="42"/>
      <c r="FU197" s="42"/>
      <c r="FV197" s="42"/>
      <c r="FW197" s="42"/>
      <c r="FX197" s="42"/>
      <c r="FY197" s="42"/>
      <c r="FZ197" s="42"/>
      <c r="GA197" s="42"/>
      <c r="GB197" s="42"/>
      <c r="GC197" s="42"/>
      <c r="GD197" s="42"/>
      <c r="GE197" s="42"/>
      <c r="GF197" s="42"/>
      <c r="GG197" s="42"/>
      <c r="GH197" s="42"/>
      <c r="GI197" s="42"/>
      <c r="GJ197" s="42"/>
      <c r="GK197" s="42"/>
      <c r="GL197" s="42"/>
      <c r="GM197" s="42"/>
      <c r="GN197" s="42"/>
      <c r="GO197" s="42"/>
      <c r="GP197" s="42"/>
      <c r="GQ197" s="42"/>
      <c r="GR197" s="42"/>
      <c r="GS197" s="42"/>
      <c r="GT197" s="42"/>
      <c r="GU197" s="42"/>
      <c r="GV197" s="42"/>
      <c r="GW197" s="42"/>
      <c r="GX197" s="42"/>
      <c r="GY197" s="42"/>
      <c r="GZ197" s="42"/>
      <c r="HA197" s="42"/>
      <c r="HB197" s="42"/>
      <c r="HC197" s="42"/>
      <c r="HD197" s="42"/>
      <c r="HE197" s="42"/>
      <c r="HF197" s="42"/>
      <c r="HG197" s="42"/>
      <c r="HH197" s="42"/>
      <c r="HI197" s="42"/>
      <c r="HJ197" s="42"/>
      <c r="HK197" s="42"/>
      <c r="HL197" s="42"/>
      <c r="HM197" s="42"/>
      <c r="HN197" s="42"/>
      <c r="HO197" s="42"/>
      <c r="HP197" s="42"/>
      <c r="HQ197" s="42"/>
      <c r="HR197" s="42"/>
      <c r="HS197" s="42"/>
      <c r="HT197" s="42"/>
      <c r="HU197" s="42"/>
      <c r="HV197" s="42"/>
      <c r="HW197" s="42"/>
      <c r="HX197" s="42"/>
      <c r="HY197" s="42"/>
      <c r="HZ197" s="42"/>
      <c r="IA197" s="42"/>
      <c r="IB197" s="42"/>
      <c r="IC197" s="42"/>
      <c r="ID197" s="42"/>
      <c r="IE197" s="42"/>
      <c r="IF197" s="42"/>
      <c r="IG197" s="42"/>
      <c r="IH197" s="42"/>
      <c r="II197" s="42"/>
      <c r="IJ197" s="42"/>
      <c r="IK197" s="42"/>
      <c r="IL197" s="42"/>
      <c r="IM197" s="42"/>
      <c r="IN197" s="42"/>
      <c r="IO197" s="42"/>
      <c r="IP197" s="42"/>
      <c r="IQ197" s="42"/>
      <c r="IR197" s="42"/>
      <c r="IS197" s="42"/>
      <c r="IT197" s="42"/>
      <c r="IU197" s="42"/>
      <c r="IV197" s="42"/>
      <c r="IW197" s="42"/>
      <c r="IX197" s="42"/>
      <c r="IY197" s="42"/>
      <c r="IZ197" s="42"/>
      <c r="JA197" s="42"/>
      <c r="JB197" s="42"/>
      <c r="JC197" s="42"/>
      <c r="JD197" s="42"/>
      <c r="JE197" s="42"/>
      <c r="JF197" s="42"/>
      <c r="JG197" s="42"/>
      <c r="JH197" s="42"/>
      <c r="JI197" s="42"/>
      <c r="JJ197" s="42"/>
      <c r="JK197" s="42"/>
      <c r="JL197" s="42"/>
      <c r="JM197" s="42"/>
      <c r="JN197" s="42"/>
      <c r="JO197" s="42"/>
      <c r="JP197" s="42"/>
      <c r="JQ197" s="42"/>
      <c r="JR197" s="42"/>
      <c r="JS197" s="42"/>
      <c r="JT197" s="42"/>
      <c r="JU197" s="42"/>
      <c r="JV197" s="42"/>
      <c r="JW197" s="42"/>
      <c r="JX197" s="42"/>
      <c r="JY197" s="42"/>
      <c r="JZ197" s="42"/>
      <c r="KA197" s="42"/>
      <c r="KB197" s="42"/>
      <c r="KC197" s="42"/>
      <c r="KD197" s="42"/>
      <c r="KE197" s="42"/>
      <c r="KF197" s="42"/>
      <c r="KG197" s="42"/>
      <c r="KH197" s="42"/>
      <c r="KI197" s="42"/>
      <c r="KJ197" s="42"/>
      <c r="KK197" s="42"/>
      <c r="KL197" s="42"/>
      <c r="KM197" s="42"/>
      <c r="KN197" s="42"/>
      <c r="KO197" s="42"/>
      <c r="KP197" s="42"/>
      <c r="KQ197" s="42"/>
      <c r="KR197" s="42"/>
      <c r="KS197" s="42"/>
      <c r="KT197" s="42"/>
      <c r="KU197" s="42"/>
      <c r="KV197" s="42"/>
      <c r="KW197" s="42"/>
      <c r="KX197" s="42"/>
      <c r="KY197" s="42"/>
      <c r="KZ197" s="42"/>
      <c r="LA197" s="42"/>
      <c r="LB197" s="42"/>
      <c r="LC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c r="AY198" s="42"/>
      <c r="AZ198" s="42"/>
      <c r="BA198" s="42"/>
      <c r="BB198" s="42"/>
      <c r="BC198" s="42"/>
      <c r="BD198" s="42"/>
      <c r="BE198" s="42"/>
      <c r="BF198" s="42"/>
      <c r="BG198" s="42"/>
      <c r="BH198" s="42"/>
      <c r="BI198" s="42"/>
      <c r="BJ198" s="42"/>
      <c r="BK198" s="42"/>
      <c r="BL198" s="42"/>
      <c r="BM198" s="42"/>
      <c r="BN198" s="42"/>
      <c r="BO198" s="42"/>
      <c r="BP198" s="42"/>
      <c r="BQ198" s="42"/>
      <c r="BR198" s="42"/>
      <c r="BS198" s="42"/>
      <c r="BT198" s="42"/>
      <c r="BU198" s="42"/>
      <c r="BV198" s="42"/>
      <c r="BW198" s="42"/>
      <c r="BX198" s="42"/>
      <c r="BY198" s="42"/>
      <c r="BZ198" s="42"/>
      <c r="CA198" s="42"/>
      <c r="CB198" s="42"/>
      <c r="CC198" s="42"/>
      <c r="CD198" s="42"/>
      <c r="CE198" s="42"/>
      <c r="CF198" s="42"/>
      <c r="CG198" s="42"/>
      <c r="CH198" s="42"/>
      <c r="CI198" s="42"/>
      <c r="CJ198" s="42"/>
      <c r="CK198" s="42"/>
      <c r="CL198" s="42"/>
      <c r="CM198" s="42"/>
      <c r="CN198" s="42"/>
      <c r="CO198" s="42"/>
      <c r="CP198" s="42"/>
      <c r="CQ198" s="42"/>
      <c r="CR198" s="42"/>
      <c r="CS198" s="42"/>
      <c r="CT198" s="42"/>
      <c r="CU198" s="42"/>
      <c r="CV198" s="42"/>
      <c r="CW198" s="42"/>
      <c r="CX198" s="42"/>
      <c r="CY198" s="42"/>
      <c r="CZ198" s="42"/>
      <c r="DA198" s="42"/>
      <c r="DB198" s="42"/>
      <c r="DC198" s="42"/>
      <c r="DD198" s="42"/>
      <c r="DE198" s="42"/>
      <c r="DF198" s="42"/>
      <c r="DG198" s="42"/>
      <c r="DH198" s="42"/>
      <c r="DI198" s="42"/>
      <c r="DJ198" s="42"/>
      <c r="DK198" s="42"/>
      <c r="DL198" s="42"/>
      <c r="DM198" s="42"/>
      <c r="DN198" s="42"/>
      <c r="DO198" s="42"/>
      <c r="DP198" s="42"/>
      <c r="DQ198" s="42"/>
      <c r="DR198" s="42"/>
      <c r="DS198" s="42"/>
      <c r="DT198" s="42"/>
      <c r="DU198" s="42"/>
      <c r="DV198" s="42"/>
      <c r="DW198" s="42"/>
      <c r="DX198" s="42"/>
      <c r="DY198" s="42"/>
      <c r="DZ198" s="42"/>
      <c r="EA198" s="42"/>
      <c r="EB198" s="42"/>
      <c r="EC198" s="42"/>
      <c r="ED198" s="42"/>
      <c r="EE198" s="42"/>
      <c r="EF198" s="42"/>
      <c r="EG198" s="42"/>
      <c r="EH198" s="42"/>
      <c r="EI198" s="42"/>
      <c r="EJ198" s="42"/>
      <c r="EK198" s="42"/>
      <c r="EL198" s="42"/>
      <c r="EM198" s="42"/>
      <c r="EN198" s="42"/>
      <c r="EO198" s="42"/>
      <c r="EP198" s="42"/>
      <c r="EQ198" s="42"/>
      <c r="ER198" s="42"/>
      <c r="ES198" s="42"/>
      <c r="ET198" s="42"/>
      <c r="EU198" s="42"/>
      <c r="EV198" s="42"/>
      <c r="EW198" s="42"/>
      <c r="EX198" s="42"/>
      <c r="EY198" s="42"/>
      <c r="EZ198" s="42"/>
      <c r="FA198" s="42"/>
      <c r="FB198" s="42"/>
      <c r="FC198" s="42"/>
      <c r="FD198" s="42"/>
      <c r="FE198" s="42"/>
      <c r="FF198" s="42"/>
      <c r="FG198" s="42"/>
      <c r="FH198" s="42"/>
      <c r="FI198" s="42"/>
      <c r="FJ198" s="42"/>
      <c r="FK198" s="42"/>
      <c r="FL198" s="42"/>
      <c r="FM198" s="42"/>
      <c r="FN198" s="42"/>
      <c r="FO198" s="42"/>
      <c r="FP198" s="42"/>
      <c r="FQ198" s="42"/>
      <c r="FR198" s="42"/>
      <c r="FS198" s="42"/>
      <c r="FT198" s="42"/>
      <c r="FU198" s="42"/>
      <c r="FV198" s="42"/>
      <c r="FW198" s="42"/>
      <c r="FX198" s="42"/>
      <c r="FY198" s="42"/>
      <c r="FZ198" s="42"/>
      <c r="GA198" s="42"/>
      <c r="GB198" s="42"/>
      <c r="GC198" s="42"/>
      <c r="GD198" s="42"/>
      <c r="GE198" s="42"/>
      <c r="GF198" s="42"/>
      <c r="GG198" s="42"/>
      <c r="GH198" s="42"/>
      <c r="GI198" s="42"/>
      <c r="GJ198" s="42"/>
      <c r="GK198" s="42"/>
      <c r="GL198" s="42"/>
      <c r="GM198" s="42"/>
      <c r="GN198" s="42"/>
      <c r="GO198" s="42"/>
      <c r="GP198" s="42"/>
      <c r="GQ198" s="42"/>
      <c r="GR198" s="42"/>
      <c r="GS198" s="42"/>
      <c r="GT198" s="42"/>
      <c r="GU198" s="42"/>
      <c r="GV198" s="42"/>
      <c r="GW198" s="42"/>
      <c r="GX198" s="42"/>
      <c r="GY198" s="42"/>
      <c r="GZ198" s="42"/>
      <c r="HA198" s="42"/>
      <c r="HB198" s="42"/>
      <c r="HC198" s="42"/>
      <c r="HD198" s="42"/>
      <c r="HE198" s="42"/>
      <c r="HF198" s="42"/>
      <c r="HG198" s="42"/>
      <c r="HH198" s="42"/>
      <c r="HI198" s="42"/>
      <c r="HJ198" s="42"/>
      <c r="HK198" s="42"/>
      <c r="HL198" s="42"/>
      <c r="HM198" s="42"/>
      <c r="HN198" s="42"/>
      <c r="HO198" s="42"/>
      <c r="HP198" s="42"/>
      <c r="HQ198" s="42"/>
      <c r="HR198" s="42"/>
      <c r="HS198" s="42"/>
      <c r="HT198" s="42"/>
      <c r="HU198" s="42"/>
      <c r="HV198" s="42"/>
      <c r="HW198" s="42"/>
      <c r="HX198" s="42"/>
      <c r="HY198" s="42"/>
      <c r="HZ198" s="42"/>
      <c r="IA198" s="42"/>
      <c r="IB198" s="42"/>
      <c r="IC198" s="42"/>
      <c r="ID198" s="42"/>
      <c r="IE198" s="42"/>
      <c r="IF198" s="42"/>
      <c r="IG198" s="42"/>
      <c r="IH198" s="42"/>
      <c r="II198" s="42"/>
      <c r="IJ198" s="42"/>
      <c r="IK198" s="42"/>
      <c r="IL198" s="42"/>
      <c r="IM198" s="42"/>
      <c r="IN198" s="42"/>
      <c r="IO198" s="42"/>
      <c r="IP198" s="42"/>
      <c r="IQ198" s="42"/>
      <c r="IR198" s="42"/>
      <c r="IS198" s="42"/>
      <c r="IT198" s="42"/>
      <c r="IU198" s="42"/>
      <c r="IV198" s="42"/>
      <c r="IW198" s="42"/>
      <c r="IX198" s="42"/>
      <c r="IY198" s="42"/>
      <c r="IZ198" s="42"/>
      <c r="JA198" s="42"/>
      <c r="JB198" s="42"/>
      <c r="JC198" s="42"/>
      <c r="JD198" s="42"/>
      <c r="JE198" s="42"/>
      <c r="JF198" s="42"/>
      <c r="JG198" s="42"/>
      <c r="JH198" s="42"/>
      <c r="JI198" s="42"/>
      <c r="JJ198" s="42"/>
      <c r="JK198" s="42"/>
      <c r="JL198" s="42"/>
      <c r="JM198" s="42"/>
      <c r="JN198" s="42"/>
      <c r="JO198" s="42"/>
      <c r="JP198" s="42"/>
      <c r="JQ198" s="42"/>
      <c r="JR198" s="42"/>
      <c r="JS198" s="42"/>
      <c r="JT198" s="42"/>
      <c r="JU198" s="42"/>
      <c r="JV198" s="42"/>
      <c r="JW198" s="42"/>
      <c r="JX198" s="42"/>
      <c r="JY198" s="42"/>
      <c r="JZ198" s="42"/>
      <c r="KA198" s="42"/>
      <c r="KB198" s="42"/>
      <c r="KC198" s="42"/>
      <c r="KD198" s="42"/>
      <c r="KE198" s="42"/>
      <c r="KF198" s="42"/>
      <c r="KG198" s="42"/>
      <c r="KH198" s="42"/>
      <c r="KI198" s="42"/>
      <c r="KJ198" s="42"/>
      <c r="KK198" s="42"/>
      <c r="KL198" s="42"/>
      <c r="KM198" s="42"/>
      <c r="KN198" s="42"/>
      <c r="KO198" s="42"/>
      <c r="KP198" s="42"/>
      <c r="KQ198" s="42"/>
      <c r="KR198" s="42"/>
      <c r="KS198" s="42"/>
      <c r="KT198" s="42"/>
      <c r="KU198" s="42"/>
      <c r="KV198" s="42"/>
      <c r="KW198" s="42"/>
      <c r="KX198" s="42"/>
      <c r="KY198" s="42"/>
      <c r="KZ198" s="42"/>
      <c r="LA198" s="42"/>
      <c r="LB198" s="42"/>
      <c r="LC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c r="AY199" s="42"/>
      <c r="AZ199" s="42"/>
      <c r="BA199" s="42"/>
      <c r="BB199" s="42"/>
      <c r="BC199" s="42"/>
      <c r="BD199" s="42"/>
      <c r="BE199" s="42"/>
      <c r="BF199" s="42"/>
      <c r="BG199" s="42"/>
      <c r="BH199" s="42"/>
      <c r="BI199" s="42"/>
      <c r="BJ199" s="42"/>
      <c r="BK199" s="42"/>
      <c r="BL199" s="42"/>
      <c r="BM199" s="42"/>
      <c r="BN199" s="42"/>
      <c r="BO199" s="42"/>
      <c r="BP199" s="42"/>
      <c r="BQ199" s="42"/>
      <c r="BR199" s="42"/>
      <c r="BS199" s="42"/>
      <c r="BT199" s="42"/>
      <c r="BU199" s="42"/>
      <c r="BV199" s="42"/>
      <c r="BW199" s="42"/>
      <c r="BX199" s="42"/>
      <c r="BY199" s="42"/>
      <c r="BZ199" s="42"/>
      <c r="CA199" s="42"/>
      <c r="CB199" s="42"/>
      <c r="CC199" s="42"/>
      <c r="CD199" s="42"/>
      <c r="CE199" s="42"/>
      <c r="CF199" s="42"/>
      <c r="CG199" s="42"/>
      <c r="CH199" s="42"/>
      <c r="CI199" s="42"/>
      <c r="CJ199" s="42"/>
      <c r="CK199" s="42"/>
      <c r="CL199" s="42"/>
      <c r="CM199" s="42"/>
      <c r="CN199" s="42"/>
      <c r="CO199" s="42"/>
      <c r="CP199" s="42"/>
      <c r="CQ199" s="42"/>
      <c r="CR199" s="42"/>
      <c r="CS199" s="42"/>
      <c r="CT199" s="42"/>
      <c r="CU199" s="42"/>
      <c r="CV199" s="42"/>
      <c r="CW199" s="42"/>
      <c r="CX199" s="42"/>
      <c r="CY199" s="42"/>
      <c r="CZ199" s="42"/>
      <c r="DA199" s="42"/>
      <c r="DB199" s="42"/>
      <c r="DC199" s="42"/>
      <c r="DD199" s="42"/>
      <c r="DE199" s="42"/>
      <c r="DF199" s="42"/>
      <c r="DG199" s="42"/>
      <c r="DH199" s="42"/>
      <c r="DI199" s="42"/>
      <c r="DJ199" s="42"/>
      <c r="DK199" s="42"/>
      <c r="DL199" s="42"/>
      <c r="DM199" s="42"/>
      <c r="DN199" s="42"/>
      <c r="DO199" s="42"/>
      <c r="DP199" s="42"/>
      <c r="DQ199" s="42"/>
      <c r="DR199" s="42"/>
      <c r="DS199" s="42"/>
      <c r="DT199" s="42"/>
      <c r="DU199" s="42"/>
      <c r="DV199" s="42"/>
      <c r="DW199" s="42"/>
      <c r="DX199" s="42"/>
      <c r="DY199" s="42"/>
      <c r="DZ199" s="42"/>
      <c r="EA199" s="42"/>
      <c r="EB199" s="42"/>
      <c r="EC199" s="42"/>
      <c r="ED199" s="42"/>
      <c r="EE199" s="42"/>
      <c r="EF199" s="42"/>
      <c r="EG199" s="42"/>
      <c r="EH199" s="42"/>
      <c r="EI199" s="42"/>
      <c r="EJ199" s="42"/>
      <c r="EK199" s="42"/>
      <c r="EL199" s="42"/>
      <c r="EM199" s="42"/>
      <c r="EN199" s="42"/>
      <c r="EO199" s="42"/>
      <c r="EP199" s="42"/>
      <c r="EQ199" s="42"/>
      <c r="ER199" s="42"/>
      <c r="ES199" s="42"/>
      <c r="ET199" s="42"/>
      <c r="EU199" s="42"/>
      <c r="EV199" s="42"/>
      <c r="EW199" s="42"/>
      <c r="EX199" s="42"/>
      <c r="EY199" s="42"/>
      <c r="EZ199" s="42"/>
      <c r="FA199" s="42"/>
      <c r="FB199" s="42"/>
      <c r="FC199" s="42"/>
      <c r="FD199" s="42"/>
      <c r="FE199" s="42"/>
      <c r="FF199" s="42"/>
      <c r="FG199" s="42"/>
      <c r="FH199" s="42"/>
      <c r="FI199" s="42"/>
      <c r="FJ199" s="42"/>
      <c r="FK199" s="42"/>
      <c r="FL199" s="42"/>
      <c r="FM199" s="42"/>
      <c r="FN199" s="42"/>
      <c r="FO199" s="42"/>
      <c r="FP199" s="42"/>
      <c r="FQ199" s="42"/>
      <c r="FR199" s="42"/>
      <c r="FS199" s="42"/>
      <c r="FT199" s="42"/>
      <c r="FU199" s="42"/>
      <c r="FV199" s="42"/>
      <c r="FW199" s="42"/>
      <c r="FX199" s="42"/>
      <c r="FY199" s="42"/>
      <c r="FZ199" s="42"/>
      <c r="GA199" s="42"/>
      <c r="GB199" s="42"/>
      <c r="GC199" s="42"/>
      <c r="GD199" s="42"/>
      <c r="GE199" s="42"/>
      <c r="GF199" s="42"/>
      <c r="GG199" s="42"/>
      <c r="GH199" s="42"/>
      <c r="GI199" s="42"/>
      <c r="GJ199" s="42"/>
      <c r="GK199" s="42"/>
      <c r="GL199" s="42"/>
      <c r="GM199" s="42"/>
      <c r="GN199" s="42"/>
      <c r="GO199" s="42"/>
      <c r="GP199" s="42"/>
      <c r="GQ199" s="42"/>
      <c r="GR199" s="42"/>
      <c r="GS199" s="42"/>
      <c r="GT199" s="42"/>
      <c r="GU199" s="42"/>
      <c r="GV199" s="42"/>
      <c r="GW199" s="42"/>
      <c r="GX199" s="42"/>
      <c r="GY199" s="42"/>
      <c r="GZ199" s="42"/>
      <c r="HA199" s="42"/>
      <c r="HB199" s="42"/>
      <c r="HC199" s="42"/>
      <c r="HD199" s="42"/>
      <c r="HE199" s="42"/>
      <c r="HF199" s="42"/>
      <c r="HG199" s="42"/>
      <c r="HH199" s="42"/>
      <c r="HI199" s="42"/>
      <c r="HJ199" s="42"/>
      <c r="HK199" s="42"/>
      <c r="HL199" s="42"/>
      <c r="HM199" s="42"/>
      <c r="HN199" s="42"/>
      <c r="HO199" s="42"/>
      <c r="HP199" s="42"/>
      <c r="HQ199" s="42"/>
      <c r="HR199" s="42"/>
      <c r="HS199" s="42"/>
      <c r="HT199" s="42"/>
      <c r="HU199" s="42"/>
      <c r="HV199" s="42"/>
      <c r="HW199" s="42"/>
      <c r="HX199" s="42"/>
      <c r="HY199" s="42"/>
      <c r="HZ199" s="42"/>
      <c r="IA199" s="42"/>
      <c r="IB199" s="42"/>
      <c r="IC199" s="42"/>
      <c r="ID199" s="42"/>
      <c r="IE199" s="42"/>
      <c r="IF199" s="42"/>
      <c r="IG199" s="42"/>
      <c r="IH199" s="42"/>
      <c r="II199" s="42"/>
      <c r="IJ199" s="42"/>
      <c r="IK199" s="42"/>
      <c r="IL199" s="42"/>
      <c r="IM199" s="42"/>
      <c r="IN199" s="42"/>
      <c r="IO199" s="42"/>
      <c r="IP199" s="42"/>
      <c r="IQ199" s="42"/>
      <c r="IR199" s="42"/>
      <c r="IS199" s="42"/>
      <c r="IT199" s="42"/>
      <c r="IU199" s="42"/>
      <c r="IV199" s="42"/>
      <c r="IW199" s="42"/>
      <c r="IX199" s="42"/>
      <c r="IY199" s="42"/>
      <c r="IZ199" s="42"/>
      <c r="JA199" s="42"/>
      <c r="JB199" s="42"/>
      <c r="JC199" s="42"/>
      <c r="JD199" s="42"/>
      <c r="JE199" s="42"/>
      <c r="JF199" s="42"/>
      <c r="JG199" s="42"/>
      <c r="JH199" s="42"/>
      <c r="JI199" s="42"/>
      <c r="JJ199" s="42"/>
      <c r="JK199" s="42"/>
      <c r="JL199" s="42"/>
      <c r="JM199" s="42"/>
      <c r="JN199" s="42"/>
      <c r="JO199" s="42"/>
      <c r="JP199" s="42"/>
      <c r="JQ199" s="42"/>
      <c r="JR199" s="42"/>
      <c r="JS199" s="42"/>
      <c r="JT199" s="42"/>
      <c r="JU199" s="42"/>
      <c r="JV199" s="42"/>
      <c r="JW199" s="42"/>
      <c r="JX199" s="42"/>
      <c r="JY199" s="42"/>
      <c r="JZ199" s="42"/>
      <c r="KA199" s="42"/>
      <c r="KB199" s="42"/>
      <c r="KC199" s="42"/>
      <c r="KD199" s="42"/>
      <c r="KE199" s="42"/>
      <c r="KF199" s="42"/>
      <c r="KG199" s="42"/>
      <c r="KH199" s="42"/>
      <c r="KI199" s="42"/>
      <c r="KJ199" s="42"/>
      <c r="KK199" s="42"/>
      <c r="KL199" s="42"/>
      <c r="KM199" s="42"/>
      <c r="KN199" s="42"/>
      <c r="KO199" s="42"/>
      <c r="KP199" s="42"/>
      <c r="KQ199" s="42"/>
      <c r="KR199" s="42"/>
      <c r="KS199" s="42"/>
      <c r="KT199" s="42"/>
      <c r="KU199" s="42"/>
      <c r="KV199" s="42"/>
      <c r="KW199" s="42"/>
      <c r="KX199" s="42"/>
      <c r="KY199" s="42"/>
      <c r="KZ199" s="42"/>
      <c r="LA199" s="42"/>
      <c r="LB199" s="42"/>
      <c r="LC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c r="AS200" s="42"/>
      <c r="AT200" s="42"/>
      <c r="AU200" s="42"/>
      <c r="AV200" s="42"/>
      <c r="AW200" s="42"/>
      <c r="AX200" s="42"/>
      <c r="AY200" s="42"/>
      <c r="AZ200" s="42"/>
      <c r="BA200" s="42"/>
      <c r="BB200" s="42"/>
      <c r="BC200" s="42"/>
      <c r="BD200" s="42"/>
      <c r="BE200" s="42"/>
      <c r="BF200" s="42"/>
      <c r="BG200" s="42"/>
      <c r="BH200" s="42"/>
      <c r="BI200" s="42"/>
      <c r="BJ200" s="42"/>
      <c r="BK200" s="42"/>
      <c r="BL200" s="42"/>
      <c r="BM200" s="42"/>
      <c r="BN200" s="42"/>
      <c r="BO200" s="42"/>
      <c r="BP200" s="42"/>
      <c r="BQ200" s="42"/>
      <c r="BR200" s="42"/>
      <c r="BS200" s="42"/>
      <c r="BT200" s="42"/>
      <c r="BU200" s="42"/>
      <c r="BV200" s="42"/>
      <c r="BW200" s="42"/>
      <c r="BX200" s="42"/>
      <c r="BY200" s="42"/>
      <c r="BZ200" s="42"/>
      <c r="CA200" s="42"/>
      <c r="CB200" s="42"/>
      <c r="CC200" s="42"/>
      <c r="CD200" s="42"/>
      <c r="CE200" s="42"/>
      <c r="CF200" s="42"/>
      <c r="CG200" s="42"/>
      <c r="CH200" s="42"/>
      <c r="CI200" s="42"/>
      <c r="CJ200" s="42"/>
      <c r="CK200" s="42"/>
      <c r="CL200" s="42"/>
      <c r="CM200" s="42"/>
      <c r="CN200" s="42"/>
      <c r="CO200" s="42"/>
      <c r="CP200" s="42"/>
      <c r="CQ200" s="42"/>
      <c r="CR200" s="42"/>
      <c r="CS200" s="42"/>
      <c r="CT200" s="42"/>
      <c r="CU200" s="42"/>
      <c r="CV200" s="42"/>
      <c r="CW200" s="42"/>
      <c r="CX200" s="42"/>
      <c r="CY200" s="42"/>
      <c r="CZ200" s="42"/>
      <c r="DA200" s="42"/>
      <c r="DB200" s="42"/>
      <c r="DC200" s="42"/>
      <c r="DD200" s="42"/>
      <c r="DE200" s="42"/>
      <c r="DF200" s="42"/>
      <c r="DG200" s="42"/>
      <c r="DH200" s="42"/>
      <c r="DI200" s="42"/>
      <c r="DJ200" s="42"/>
      <c r="DK200" s="42"/>
      <c r="DL200" s="42"/>
      <c r="DM200" s="42"/>
      <c r="DN200" s="42"/>
      <c r="DO200" s="42"/>
      <c r="DP200" s="42"/>
      <c r="DQ200" s="42"/>
      <c r="DR200" s="42"/>
      <c r="DS200" s="42"/>
      <c r="DT200" s="42"/>
      <c r="DU200" s="42"/>
      <c r="DV200" s="42"/>
      <c r="DW200" s="42"/>
      <c r="DX200" s="42"/>
      <c r="DY200" s="42"/>
      <c r="DZ200" s="42"/>
      <c r="EA200" s="42"/>
      <c r="EB200" s="42"/>
      <c r="EC200" s="42"/>
      <c r="ED200" s="42"/>
      <c r="EE200" s="42"/>
      <c r="EF200" s="42"/>
      <c r="EG200" s="42"/>
      <c r="EH200" s="42"/>
      <c r="EI200" s="42"/>
      <c r="EJ200" s="42"/>
      <c r="EK200" s="42"/>
      <c r="EL200" s="42"/>
      <c r="EM200" s="42"/>
      <c r="EN200" s="42"/>
      <c r="EO200" s="42"/>
      <c r="EP200" s="42"/>
      <c r="EQ200" s="42"/>
      <c r="ER200" s="42"/>
      <c r="ES200" s="42"/>
      <c r="ET200" s="42"/>
      <c r="EU200" s="42"/>
      <c r="EV200" s="42"/>
      <c r="EW200" s="42"/>
      <c r="EX200" s="42"/>
      <c r="EY200" s="42"/>
      <c r="EZ200" s="42"/>
      <c r="FA200" s="42"/>
      <c r="FB200" s="42"/>
      <c r="FC200" s="42"/>
      <c r="FD200" s="42"/>
      <c r="FE200" s="42"/>
      <c r="FF200" s="42"/>
      <c r="FG200" s="42"/>
      <c r="FH200" s="42"/>
      <c r="FI200" s="42"/>
      <c r="FJ200" s="42"/>
      <c r="FK200" s="42"/>
      <c r="FL200" s="42"/>
      <c r="FM200" s="42"/>
      <c r="FN200" s="42"/>
      <c r="FO200" s="42"/>
      <c r="FP200" s="42"/>
      <c r="FQ200" s="42"/>
      <c r="FR200" s="42"/>
      <c r="FS200" s="42"/>
      <c r="FT200" s="42"/>
      <c r="FU200" s="42"/>
      <c r="FV200" s="42"/>
      <c r="FW200" s="42"/>
      <c r="FX200" s="42"/>
      <c r="FY200" s="42"/>
      <c r="FZ200" s="42"/>
      <c r="GA200" s="42"/>
      <c r="GB200" s="42"/>
      <c r="GC200" s="42"/>
      <c r="GD200" s="42"/>
      <c r="GE200" s="42"/>
      <c r="GF200" s="42"/>
      <c r="GG200" s="42"/>
      <c r="GH200" s="42"/>
      <c r="GI200" s="42"/>
      <c r="GJ200" s="42"/>
      <c r="GK200" s="42"/>
      <c r="GL200" s="42"/>
      <c r="GM200" s="42"/>
      <c r="GN200" s="42"/>
      <c r="GO200" s="42"/>
      <c r="GP200" s="42"/>
      <c r="GQ200" s="42"/>
      <c r="GR200" s="42"/>
      <c r="GS200" s="42"/>
      <c r="GT200" s="42"/>
      <c r="GU200" s="42"/>
      <c r="GV200" s="42"/>
      <c r="GW200" s="42"/>
      <c r="GX200" s="42"/>
      <c r="GY200" s="42"/>
      <c r="GZ200" s="42"/>
      <c r="HA200" s="42"/>
      <c r="HB200" s="42"/>
      <c r="HC200" s="42"/>
      <c r="HD200" s="42"/>
      <c r="HE200" s="42"/>
      <c r="HF200" s="42"/>
      <c r="HG200" s="42"/>
      <c r="HH200" s="42"/>
      <c r="HI200" s="42"/>
      <c r="HJ200" s="42"/>
      <c r="HK200" s="42"/>
      <c r="HL200" s="42"/>
      <c r="HM200" s="42"/>
      <c r="HN200" s="42"/>
      <c r="HO200" s="42"/>
      <c r="HP200" s="42"/>
      <c r="HQ200" s="42"/>
      <c r="HR200" s="42"/>
      <c r="HS200" s="42"/>
      <c r="HT200" s="42"/>
      <c r="HU200" s="42"/>
      <c r="HV200" s="42"/>
      <c r="HW200" s="42"/>
      <c r="HX200" s="42"/>
      <c r="HY200" s="42"/>
      <c r="HZ200" s="42"/>
      <c r="IA200" s="42"/>
      <c r="IB200" s="42"/>
      <c r="IC200" s="42"/>
      <c r="ID200" s="42"/>
      <c r="IE200" s="42"/>
      <c r="IF200" s="42"/>
      <c r="IG200" s="42"/>
      <c r="IH200" s="42"/>
      <c r="II200" s="42"/>
      <c r="IJ200" s="42"/>
      <c r="IK200" s="42"/>
      <c r="IL200" s="42"/>
      <c r="IM200" s="42"/>
      <c r="IN200" s="42"/>
      <c r="IO200" s="42"/>
      <c r="IP200" s="42"/>
      <c r="IQ200" s="42"/>
      <c r="IR200" s="42"/>
      <c r="IS200" s="42"/>
      <c r="IT200" s="42"/>
      <c r="IU200" s="42"/>
      <c r="IV200" s="42"/>
      <c r="IW200" s="42"/>
      <c r="IX200" s="42"/>
      <c r="IY200" s="42"/>
      <c r="IZ200" s="42"/>
      <c r="JA200" s="42"/>
      <c r="JB200" s="42"/>
      <c r="JC200" s="42"/>
      <c r="JD200" s="42"/>
      <c r="JE200" s="42"/>
      <c r="JF200" s="42"/>
      <c r="JG200" s="42"/>
      <c r="JH200" s="42"/>
      <c r="JI200" s="42"/>
      <c r="JJ200" s="42"/>
      <c r="JK200" s="42"/>
      <c r="JL200" s="42"/>
      <c r="JM200" s="42"/>
      <c r="JN200" s="42"/>
      <c r="JO200" s="42"/>
      <c r="JP200" s="42"/>
      <c r="JQ200" s="42"/>
      <c r="JR200" s="42"/>
      <c r="JS200" s="42"/>
      <c r="JT200" s="42"/>
      <c r="JU200" s="42"/>
      <c r="JV200" s="42"/>
      <c r="JW200" s="42"/>
      <c r="JX200" s="42"/>
      <c r="JY200" s="42"/>
      <c r="JZ200" s="42"/>
      <c r="KA200" s="42"/>
      <c r="KB200" s="42"/>
      <c r="KC200" s="42"/>
      <c r="KD200" s="42"/>
      <c r="KE200" s="42"/>
      <c r="KF200" s="42"/>
      <c r="KG200" s="42"/>
      <c r="KH200" s="42"/>
      <c r="KI200" s="42"/>
      <c r="KJ200" s="42"/>
      <c r="KK200" s="42"/>
      <c r="KL200" s="42"/>
      <c r="KM200" s="42"/>
      <c r="KN200" s="42"/>
      <c r="KO200" s="42"/>
      <c r="KP200" s="42"/>
      <c r="KQ200" s="42"/>
      <c r="KR200" s="42"/>
      <c r="KS200" s="42"/>
      <c r="KT200" s="42"/>
      <c r="KU200" s="42"/>
      <c r="KV200" s="42"/>
      <c r="KW200" s="42"/>
      <c r="KX200" s="42"/>
      <c r="KY200" s="42"/>
      <c r="KZ200" s="42"/>
      <c r="LA200" s="42"/>
      <c r="LB200" s="42"/>
      <c r="LC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c r="AR201" s="42"/>
      <c r="AS201" s="42"/>
      <c r="AT201" s="42"/>
      <c r="AU201" s="42"/>
      <c r="AV201" s="42"/>
      <c r="AW201" s="42"/>
      <c r="AX201" s="42"/>
      <c r="AY201" s="42"/>
      <c r="AZ201" s="42"/>
      <c r="BA201" s="42"/>
      <c r="BB201" s="42"/>
      <c r="BC201" s="42"/>
      <c r="BD201" s="42"/>
      <c r="BE201" s="42"/>
      <c r="BF201" s="42"/>
      <c r="BG201" s="42"/>
      <c r="BH201" s="42"/>
      <c r="BI201" s="42"/>
      <c r="BJ201" s="42"/>
      <c r="BK201" s="42"/>
      <c r="BL201" s="42"/>
      <c r="BM201" s="42"/>
      <c r="BN201" s="42"/>
      <c r="BO201" s="42"/>
      <c r="BP201" s="42"/>
      <c r="BQ201" s="42"/>
      <c r="BR201" s="42"/>
      <c r="BS201" s="42"/>
      <c r="BT201" s="42"/>
      <c r="BU201" s="42"/>
      <c r="BV201" s="42"/>
      <c r="BW201" s="42"/>
      <c r="BX201" s="42"/>
      <c r="BY201" s="42"/>
      <c r="BZ201" s="42"/>
      <c r="CA201" s="42"/>
      <c r="CB201" s="42"/>
      <c r="CC201" s="42"/>
      <c r="CD201" s="42"/>
      <c r="CE201" s="42"/>
      <c r="CF201" s="42"/>
      <c r="CG201" s="42"/>
      <c r="CH201" s="42"/>
      <c r="CI201" s="42"/>
      <c r="CJ201" s="42"/>
      <c r="CK201" s="42"/>
      <c r="CL201" s="42"/>
      <c r="CM201" s="42"/>
      <c r="CN201" s="42"/>
      <c r="CO201" s="42"/>
      <c r="CP201" s="42"/>
      <c r="CQ201" s="42"/>
      <c r="CR201" s="42"/>
      <c r="CS201" s="42"/>
      <c r="CT201" s="42"/>
      <c r="CU201" s="42"/>
      <c r="CV201" s="42"/>
      <c r="CW201" s="42"/>
      <c r="CX201" s="42"/>
      <c r="CY201" s="42"/>
      <c r="CZ201" s="42"/>
      <c r="DA201" s="42"/>
      <c r="DB201" s="42"/>
      <c r="DC201" s="42"/>
      <c r="DD201" s="42"/>
      <c r="DE201" s="42"/>
      <c r="DF201" s="42"/>
      <c r="DG201" s="42"/>
      <c r="DH201" s="42"/>
      <c r="DI201" s="42"/>
      <c r="DJ201" s="42"/>
      <c r="DK201" s="42"/>
      <c r="DL201" s="42"/>
      <c r="DM201" s="42"/>
      <c r="DN201" s="42"/>
      <c r="DO201" s="42"/>
      <c r="DP201" s="42"/>
      <c r="DQ201" s="42"/>
      <c r="DR201" s="42"/>
      <c r="DS201" s="42"/>
      <c r="DT201" s="42"/>
      <c r="DU201" s="42"/>
      <c r="DV201" s="42"/>
      <c r="DW201" s="42"/>
      <c r="DX201" s="42"/>
      <c r="DY201" s="42"/>
      <c r="DZ201" s="42"/>
      <c r="EA201" s="42"/>
      <c r="EB201" s="42"/>
      <c r="EC201" s="42"/>
      <c r="ED201" s="42"/>
      <c r="EE201" s="42"/>
      <c r="EF201" s="42"/>
      <c r="EG201" s="42"/>
      <c r="EH201" s="42"/>
      <c r="EI201" s="42"/>
      <c r="EJ201" s="42"/>
      <c r="EK201" s="42"/>
      <c r="EL201" s="42"/>
      <c r="EM201" s="42"/>
      <c r="EN201" s="42"/>
      <c r="EO201" s="42"/>
      <c r="EP201" s="42"/>
      <c r="EQ201" s="42"/>
      <c r="ER201" s="42"/>
      <c r="ES201" s="42"/>
      <c r="ET201" s="42"/>
      <c r="EU201" s="42"/>
      <c r="EV201" s="42"/>
      <c r="EW201" s="42"/>
      <c r="EX201" s="42"/>
      <c r="EY201" s="42"/>
      <c r="EZ201" s="42"/>
      <c r="FA201" s="42"/>
      <c r="FB201" s="42"/>
      <c r="FC201" s="42"/>
      <c r="FD201" s="42"/>
      <c r="FE201" s="42"/>
      <c r="FF201" s="42"/>
      <c r="FG201" s="42"/>
      <c r="FH201" s="42"/>
      <c r="FI201" s="42"/>
      <c r="FJ201" s="42"/>
      <c r="FK201" s="42"/>
      <c r="FL201" s="42"/>
      <c r="FM201" s="42"/>
      <c r="FN201" s="42"/>
      <c r="FO201" s="42"/>
      <c r="FP201" s="42"/>
      <c r="FQ201" s="42"/>
      <c r="FR201" s="42"/>
      <c r="FS201" s="42"/>
      <c r="FT201" s="42"/>
      <c r="FU201" s="42"/>
      <c r="FV201" s="42"/>
      <c r="FW201" s="42"/>
      <c r="FX201" s="42"/>
      <c r="FY201" s="42"/>
      <c r="FZ201" s="42"/>
      <c r="GA201" s="42"/>
      <c r="GB201" s="42"/>
      <c r="GC201" s="42"/>
      <c r="GD201" s="42"/>
      <c r="GE201" s="42"/>
      <c r="GF201" s="42"/>
      <c r="GG201" s="42"/>
      <c r="GH201" s="42"/>
      <c r="GI201" s="42"/>
      <c r="GJ201" s="42"/>
      <c r="GK201" s="42"/>
      <c r="GL201" s="42"/>
      <c r="GM201" s="42"/>
      <c r="GN201" s="42"/>
      <c r="GO201" s="42"/>
      <c r="GP201" s="42"/>
      <c r="GQ201" s="42"/>
      <c r="GR201" s="42"/>
      <c r="GS201" s="42"/>
      <c r="GT201" s="42"/>
      <c r="GU201" s="42"/>
      <c r="GV201" s="42"/>
      <c r="GW201" s="42"/>
      <c r="GX201" s="42"/>
      <c r="GY201" s="42"/>
      <c r="GZ201" s="42"/>
      <c r="HA201" s="42"/>
      <c r="HB201" s="42"/>
      <c r="HC201" s="42"/>
      <c r="HD201" s="42"/>
      <c r="HE201" s="42"/>
      <c r="HF201" s="42"/>
      <c r="HG201" s="42"/>
      <c r="HH201" s="42"/>
      <c r="HI201" s="42"/>
      <c r="HJ201" s="42"/>
      <c r="HK201" s="42"/>
      <c r="HL201" s="42"/>
      <c r="HM201" s="42"/>
      <c r="HN201" s="42"/>
      <c r="HO201" s="42"/>
      <c r="HP201" s="42"/>
      <c r="HQ201" s="42"/>
      <c r="HR201" s="42"/>
      <c r="HS201" s="42"/>
      <c r="HT201" s="42"/>
      <c r="HU201" s="42"/>
      <c r="HV201" s="42"/>
      <c r="HW201" s="42"/>
      <c r="HX201" s="42"/>
      <c r="HY201" s="42"/>
      <c r="HZ201" s="42"/>
      <c r="IA201" s="42"/>
      <c r="IB201" s="42"/>
      <c r="IC201" s="42"/>
      <c r="ID201" s="42"/>
      <c r="IE201" s="42"/>
      <c r="IF201" s="42"/>
      <c r="IG201" s="42"/>
      <c r="IH201" s="42"/>
      <c r="II201" s="42"/>
      <c r="IJ201" s="42"/>
      <c r="IK201" s="42"/>
      <c r="IL201" s="42"/>
      <c r="IM201" s="42"/>
      <c r="IN201" s="42"/>
      <c r="IO201" s="42"/>
      <c r="IP201" s="42"/>
      <c r="IQ201" s="42"/>
      <c r="IR201" s="42"/>
      <c r="IS201" s="42"/>
      <c r="IT201" s="42"/>
      <c r="IU201" s="42"/>
      <c r="IV201" s="42"/>
      <c r="IW201" s="42"/>
      <c r="IX201" s="42"/>
      <c r="IY201" s="42"/>
      <c r="IZ201" s="42"/>
      <c r="JA201" s="42"/>
      <c r="JB201" s="42"/>
      <c r="JC201" s="42"/>
      <c r="JD201" s="42"/>
      <c r="JE201" s="42"/>
      <c r="JF201" s="42"/>
      <c r="JG201" s="42"/>
      <c r="JH201" s="42"/>
      <c r="JI201" s="42"/>
      <c r="JJ201" s="42"/>
      <c r="JK201" s="42"/>
      <c r="JL201" s="42"/>
      <c r="JM201" s="42"/>
      <c r="JN201" s="42"/>
      <c r="JO201" s="42"/>
      <c r="JP201" s="42"/>
      <c r="JQ201" s="42"/>
      <c r="JR201" s="42"/>
      <c r="JS201" s="42"/>
      <c r="JT201" s="42"/>
      <c r="JU201" s="42"/>
      <c r="JV201" s="42"/>
      <c r="JW201" s="42"/>
      <c r="JX201" s="42"/>
      <c r="JY201" s="42"/>
      <c r="JZ201" s="42"/>
      <c r="KA201" s="42"/>
      <c r="KB201" s="42"/>
      <c r="KC201" s="42"/>
      <c r="KD201" s="42"/>
      <c r="KE201" s="42"/>
      <c r="KF201" s="42"/>
      <c r="KG201" s="42"/>
      <c r="KH201" s="42"/>
      <c r="KI201" s="42"/>
      <c r="KJ201" s="42"/>
      <c r="KK201" s="42"/>
      <c r="KL201" s="42"/>
      <c r="KM201" s="42"/>
      <c r="KN201" s="42"/>
      <c r="KO201" s="42"/>
      <c r="KP201" s="42"/>
      <c r="KQ201" s="42"/>
      <c r="KR201" s="42"/>
      <c r="KS201" s="42"/>
      <c r="KT201" s="42"/>
      <c r="KU201" s="42"/>
      <c r="KV201" s="42"/>
      <c r="KW201" s="42"/>
      <c r="KX201" s="42"/>
      <c r="KY201" s="42"/>
      <c r="KZ201" s="42"/>
      <c r="LA201" s="42"/>
      <c r="LB201" s="42"/>
      <c r="LC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42"/>
      <c r="BB202" s="42"/>
      <c r="BC202" s="42"/>
      <c r="BD202" s="42"/>
      <c r="BE202" s="42"/>
      <c r="BF202" s="42"/>
      <c r="BG202" s="42"/>
      <c r="BH202" s="42"/>
      <c r="BI202" s="42"/>
      <c r="BJ202" s="42"/>
      <c r="BK202" s="42"/>
      <c r="BL202" s="42"/>
      <c r="BM202" s="42"/>
      <c r="BN202" s="42"/>
      <c r="BO202" s="42"/>
      <c r="BP202" s="42"/>
      <c r="BQ202" s="42"/>
      <c r="BR202" s="42"/>
      <c r="BS202" s="42"/>
      <c r="BT202" s="42"/>
      <c r="BU202" s="42"/>
      <c r="BV202" s="42"/>
      <c r="BW202" s="42"/>
      <c r="BX202" s="42"/>
      <c r="BY202" s="42"/>
      <c r="BZ202" s="42"/>
      <c r="CA202" s="42"/>
      <c r="CB202" s="42"/>
      <c r="CC202" s="42"/>
      <c r="CD202" s="42"/>
      <c r="CE202" s="42"/>
      <c r="CF202" s="42"/>
      <c r="CG202" s="42"/>
      <c r="CH202" s="42"/>
      <c r="CI202" s="42"/>
      <c r="CJ202" s="42"/>
      <c r="CK202" s="42"/>
      <c r="CL202" s="42"/>
      <c r="CM202" s="42"/>
      <c r="CN202" s="42"/>
      <c r="CO202" s="42"/>
      <c r="CP202" s="42"/>
      <c r="CQ202" s="42"/>
      <c r="CR202" s="42"/>
      <c r="CS202" s="42"/>
      <c r="CT202" s="42"/>
      <c r="CU202" s="42"/>
      <c r="CV202" s="42"/>
      <c r="CW202" s="42"/>
      <c r="CX202" s="42"/>
      <c r="CY202" s="42"/>
      <c r="CZ202" s="42"/>
      <c r="DA202" s="42"/>
      <c r="DB202" s="42"/>
      <c r="DC202" s="42"/>
      <c r="DD202" s="42"/>
      <c r="DE202" s="42"/>
      <c r="DF202" s="42"/>
      <c r="DG202" s="42"/>
      <c r="DH202" s="42"/>
      <c r="DI202" s="42"/>
      <c r="DJ202" s="42"/>
      <c r="DK202" s="42"/>
      <c r="DL202" s="42"/>
      <c r="DM202" s="42"/>
      <c r="DN202" s="42"/>
      <c r="DO202" s="42"/>
      <c r="DP202" s="42"/>
      <c r="DQ202" s="42"/>
      <c r="DR202" s="42"/>
      <c r="DS202" s="42"/>
      <c r="DT202" s="42"/>
      <c r="DU202" s="42"/>
      <c r="DV202" s="42"/>
      <c r="DW202" s="42"/>
      <c r="DX202" s="42"/>
      <c r="DY202" s="42"/>
      <c r="DZ202" s="42"/>
      <c r="EA202" s="42"/>
      <c r="EB202" s="42"/>
      <c r="EC202" s="42"/>
      <c r="ED202" s="42"/>
      <c r="EE202" s="42"/>
      <c r="EF202" s="42"/>
      <c r="EG202" s="42"/>
      <c r="EH202" s="42"/>
      <c r="EI202" s="42"/>
      <c r="EJ202" s="42"/>
      <c r="EK202" s="42"/>
      <c r="EL202" s="42"/>
      <c r="EM202" s="42"/>
      <c r="EN202" s="42"/>
      <c r="EO202" s="42"/>
      <c r="EP202" s="42"/>
      <c r="EQ202" s="42"/>
      <c r="ER202" s="42"/>
      <c r="ES202" s="42"/>
      <c r="ET202" s="42"/>
      <c r="EU202" s="42"/>
      <c r="EV202" s="42"/>
      <c r="EW202" s="42"/>
      <c r="EX202" s="42"/>
      <c r="EY202" s="42"/>
      <c r="EZ202" s="42"/>
      <c r="FA202" s="42"/>
      <c r="FB202" s="42"/>
      <c r="FC202" s="42"/>
      <c r="FD202" s="42"/>
      <c r="FE202" s="42"/>
      <c r="FF202" s="42"/>
      <c r="FG202" s="42"/>
      <c r="FH202" s="42"/>
      <c r="FI202" s="42"/>
      <c r="FJ202" s="42"/>
      <c r="FK202" s="42"/>
      <c r="FL202" s="42"/>
      <c r="FM202" s="42"/>
      <c r="FN202" s="42"/>
      <c r="FO202" s="42"/>
      <c r="FP202" s="42"/>
      <c r="FQ202" s="42"/>
      <c r="FR202" s="42"/>
      <c r="FS202" s="42"/>
      <c r="FT202" s="42"/>
      <c r="FU202" s="42"/>
      <c r="FV202" s="42"/>
      <c r="FW202" s="42"/>
      <c r="FX202" s="42"/>
      <c r="FY202" s="42"/>
      <c r="FZ202" s="42"/>
      <c r="GA202" s="42"/>
      <c r="GB202" s="42"/>
      <c r="GC202" s="42"/>
      <c r="GD202" s="42"/>
      <c r="GE202" s="42"/>
      <c r="GF202" s="42"/>
      <c r="GG202" s="42"/>
      <c r="GH202" s="42"/>
      <c r="GI202" s="42"/>
      <c r="GJ202" s="42"/>
      <c r="GK202" s="42"/>
      <c r="GL202" s="42"/>
      <c r="GM202" s="42"/>
      <c r="GN202" s="42"/>
      <c r="GO202" s="42"/>
      <c r="GP202" s="42"/>
      <c r="GQ202" s="42"/>
      <c r="GR202" s="42"/>
      <c r="GS202" s="42"/>
      <c r="GT202" s="42"/>
      <c r="GU202" s="42"/>
      <c r="GV202" s="42"/>
      <c r="GW202" s="42"/>
      <c r="GX202" s="42"/>
      <c r="GY202" s="42"/>
      <c r="GZ202" s="42"/>
      <c r="HA202" s="42"/>
      <c r="HB202" s="42"/>
      <c r="HC202" s="42"/>
      <c r="HD202" s="42"/>
      <c r="HE202" s="42"/>
      <c r="HF202" s="42"/>
      <c r="HG202" s="42"/>
      <c r="HH202" s="42"/>
      <c r="HI202" s="42"/>
      <c r="HJ202" s="42"/>
      <c r="HK202" s="42"/>
      <c r="HL202" s="42"/>
      <c r="HM202" s="42"/>
      <c r="HN202" s="42"/>
      <c r="HO202" s="42"/>
      <c r="HP202" s="42"/>
      <c r="HQ202" s="42"/>
      <c r="HR202" s="42"/>
      <c r="HS202" s="42"/>
      <c r="HT202" s="42"/>
      <c r="HU202" s="42"/>
      <c r="HV202" s="42"/>
      <c r="HW202" s="42"/>
      <c r="HX202" s="42"/>
      <c r="HY202" s="42"/>
      <c r="HZ202" s="42"/>
      <c r="IA202" s="42"/>
      <c r="IB202" s="42"/>
      <c r="IC202" s="42"/>
      <c r="ID202" s="42"/>
      <c r="IE202" s="42"/>
      <c r="IF202" s="42"/>
      <c r="IG202" s="42"/>
      <c r="IH202" s="42"/>
      <c r="II202" s="42"/>
      <c r="IJ202" s="42"/>
      <c r="IK202" s="42"/>
      <c r="IL202" s="42"/>
      <c r="IM202" s="42"/>
      <c r="IN202" s="42"/>
      <c r="IO202" s="42"/>
      <c r="IP202" s="42"/>
      <c r="IQ202" s="42"/>
      <c r="IR202" s="42"/>
      <c r="IS202" s="42"/>
      <c r="IT202" s="42"/>
      <c r="IU202" s="42"/>
      <c r="IV202" s="42"/>
      <c r="IW202" s="42"/>
      <c r="IX202" s="42"/>
      <c r="IY202" s="42"/>
      <c r="IZ202" s="42"/>
      <c r="JA202" s="42"/>
      <c r="JB202" s="42"/>
      <c r="JC202" s="42"/>
      <c r="JD202" s="42"/>
      <c r="JE202" s="42"/>
      <c r="JF202" s="42"/>
      <c r="JG202" s="42"/>
      <c r="JH202" s="42"/>
      <c r="JI202" s="42"/>
      <c r="JJ202" s="42"/>
      <c r="JK202" s="42"/>
      <c r="JL202" s="42"/>
      <c r="JM202" s="42"/>
      <c r="JN202" s="42"/>
      <c r="JO202" s="42"/>
      <c r="JP202" s="42"/>
      <c r="JQ202" s="42"/>
      <c r="JR202" s="42"/>
      <c r="JS202" s="42"/>
      <c r="JT202" s="42"/>
      <c r="JU202" s="42"/>
      <c r="JV202" s="42"/>
      <c r="JW202" s="42"/>
      <c r="JX202" s="42"/>
      <c r="JY202" s="42"/>
      <c r="JZ202" s="42"/>
      <c r="KA202" s="42"/>
      <c r="KB202" s="42"/>
      <c r="KC202" s="42"/>
      <c r="KD202" s="42"/>
      <c r="KE202" s="42"/>
      <c r="KF202" s="42"/>
      <c r="KG202" s="42"/>
      <c r="KH202" s="42"/>
      <c r="KI202" s="42"/>
      <c r="KJ202" s="42"/>
      <c r="KK202" s="42"/>
      <c r="KL202" s="42"/>
      <c r="KM202" s="42"/>
      <c r="KN202" s="42"/>
      <c r="KO202" s="42"/>
      <c r="KP202" s="42"/>
      <c r="KQ202" s="42"/>
      <c r="KR202" s="42"/>
      <c r="KS202" s="42"/>
      <c r="KT202" s="42"/>
      <c r="KU202" s="42"/>
      <c r="KV202" s="42"/>
      <c r="KW202" s="42"/>
      <c r="KX202" s="42"/>
      <c r="KY202" s="42"/>
      <c r="KZ202" s="42"/>
      <c r="LA202" s="42"/>
      <c r="LB202" s="42"/>
      <c r="LC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42"/>
      <c r="BB203" s="42"/>
      <c r="BC203" s="42"/>
      <c r="BD203" s="42"/>
      <c r="BE203" s="42"/>
      <c r="BF203" s="42"/>
      <c r="BG203" s="42"/>
      <c r="BH203" s="42"/>
      <c r="BI203" s="42"/>
      <c r="BJ203" s="42"/>
      <c r="BK203" s="42"/>
      <c r="BL203" s="42"/>
      <c r="BM203" s="42"/>
      <c r="BN203" s="42"/>
      <c r="BO203" s="42"/>
      <c r="BP203" s="42"/>
      <c r="BQ203" s="42"/>
      <c r="BR203" s="42"/>
      <c r="BS203" s="42"/>
      <c r="BT203" s="42"/>
      <c r="BU203" s="42"/>
      <c r="BV203" s="42"/>
      <c r="BW203" s="42"/>
      <c r="BX203" s="42"/>
      <c r="BY203" s="42"/>
      <c r="BZ203" s="42"/>
      <c r="CA203" s="42"/>
      <c r="CB203" s="42"/>
      <c r="CC203" s="42"/>
      <c r="CD203" s="42"/>
      <c r="CE203" s="42"/>
      <c r="CF203" s="42"/>
      <c r="CG203" s="42"/>
      <c r="CH203" s="42"/>
      <c r="CI203" s="42"/>
      <c r="CJ203" s="42"/>
      <c r="CK203" s="42"/>
      <c r="CL203" s="42"/>
      <c r="CM203" s="42"/>
      <c r="CN203" s="42"/>
      <c r="CO203" s="42"/>
      <c r="CP203" s="42"/>
      <c r="CQ203" s="42"/>
      <c r="CR203" s="42"/>
      <c r="CS203" s="42"/>
      <c r="CT203" s="42"/>
      <c r="CU203" s="42"/>
      <c r="CV203" s="42"/>
      <c r="CW203" s="42"/>
      <c r="CX203" s="42"/>
      <c r="CY203" s="42"/>
      <c r="CZ203" s="42"/>
      <c r="DA203" s="42"/>
      <c r="DB203" s="42"/>
      <c r="DC203" s="42"/>
      <c r="DD203" s="42"/>
      <c r="DE203" s="42"/>
      <c r="DF203" s="42"/>
      <c r="DG203" s="42"/>
      <c r="DH203" s="42"/>
      <c r="DI203" s="42"/>
      <c r="DJ203" s="42"/>
      <c r="DK203" s="42"/>
      <c r="DL203" s="42"/>
      <c r="DM203" s="42"/>
      <c r="DN203" s="42"/>
      <c r="DO203" s="42"/>
      <c r="DP203" s="42"/>
      <c r="DQ203" s="42"/>
      <c r="DR203" s="42"/>
      <c r="DS203" s="42"/>
      <c r="DT203" s="42"/>
      <c r="DU203" s="42"/>
      <c r="DV203" s="42"/>
      <c r="DW203" s="42"/>
      <c r="DX203" s="42"/>
      <c r="DY203" s="42"/>
      <c r="DZ203" s="42"/>
      <c r="EA203" s="42"/>
      <c r="EB203" s="42"/>
      <c r="EC203" s="42"/>
      <c r="ED203" s="42"/>
      <c r="EE203" s="42"/>
      <c r="EF203" s="42"/>
      <c r="EG203" s="42"/>
      <c r="EH203" s="42"/>
      <c r="EI203" s="42"/>
      <c r="EJ203" s="42"/>
      <c r="EK203" s="42"/>
      <c r="EL203" s="42"/>
      <c r="EM203" s="42"/>
      <c r="EN203" s="42"/>
      <c r="EO203" s="42"/>
      <c r="EP203" s="42"/>
      <c r="EQ203" s="42"/>
      <c r="ER203" s="42"/>
      <c r="ES203" s="42"/>
      <c r="ET203" s="42"/>
      <c r="EU203" s="42"/>
      <c r="EV203" s="42"/>
      <c r="EW203" s="42"/>
      <c r="EX203" s="42"/>
      <c r="EY203" s="42"/>
      <c r="EZ203" s="42"/>
      <c r="FA203" s="42"/>
      <c r="FB203" s="42"/>
      <c r="FC203" s="42"/>
      <c r="FD203" s="42"/>
      <c r="FE203" s="42"/>
      <c r="FF203" s="42"/>
      <c r="FG203" s="42"/>
      <c r="FH203" s="42"/>
      <c r="FI203" s="42"/>
      <c r="FJ203" s="42"/>
      <c r="FK203" s="42"/>
      <c r="FL203" s="42"/>
      <c r="FM203" s="42"/>
      <c r="FN203" s="42"/>
      <c r="FO203" s="42"/>
      <c r="FP203" s="42"/>
      <c r="FQ203" s="42"/>
      <c r="FR203" s="42"/>
      <c r="FS203" s="42"/>
      <c r="FT203" s="42"/>
      <c r="FU203" s="42"/>
      <c r="FV203" s="42"/>
      <c r="FW203" s="42"/>
      <c r="FX203" s="42"/>
      <c r="FY203" s="42"/>
      <c r="FZ203" s="42"/>
      <c r="GA203" s="42"/>
      <c r="GB203" s="42"/>
      <c r="GC203" s="42"/>
      <c r="GD203" s="42"/>
      <c r="GE203" s="42"/>
      <c r="GF203" s="42"/>
      <c r="GG203" s="42"/>
      <c r="GH203" s="42"/>
      <c r="GI203" s="42"/>
      <c r="GJ203" s="42"/>
      <c r="GK203" s="42"/>
      <c r="GL203" s="42"/>
      <c r="GM203" s="42"/>
      <c r="GN203" s="42"/>
      <c r="GO203" s="42"/>
      <c r="GP203" s="42"/>
      <c r="GQ203" s="42"/>
      <c r="GR203" s="42"/>
      <c r="GS203" s="42"/>
      <c r="GT203" s="42"/>
      <c r="GU203" s="42"/>
      <c r="GV203" s="42"/>
      <c r="GW203" s="42"/>
      <c r="GX203" s="42"/>
      <c r="GY203" s="42"/>
      <c r="GZ203" s="42"/>
      <c r="HA203" s="42"/>
      <c r="HB203" s="42"/>
      <c r="HC203" s="42"/>
      <c r="HD203" s="42"/>
      <c r="HE203" s="42"/>
      <c r="HF203" s="42"/>
      <c r="HG203" s="42"/>
      <c r="HH203" s="42"/>
      <c r="HI203" s="42"/>
      <c r="HJ203" s="42"/>
      <c r="HK203" s="42"/>
      <c r="HL203" s="42"/>
      <c r="HM203" s="42"/>
      <c r="HN203" s="42"/>
      <c r="HO203" s="42"/>
      <c r="HP203" s="42"/>
      <c r="HQ203" s="42"/>
      <c r="HR203" s="42"/>
      <c r="HS203" s="42"/>
      <c r="HT203" s="42"/>
      <c r="HU203" s="42"/>
      <c r="HV203" s="42"/>
      <c r="HW203" s="42"/>
      <c r="HX203" s="42"/>
      <c r="HY203" s="42"/>
      <c r="HZ203" s="42"/>
      <c r="IA203" s="42"/>
      <c r="IB203" s="42"/>
      <c r="IC203" s="42"/>
      <c r="ID203" s="42"/>
      <c r="IE203" s="42"/>
      <c r="IF203" s="42"/>
      <c r="IG203" s="42"/>
      <c r="IH203" s="42"/>
      <c r="II203" s="42"/>
      <c r="IJ203" s="42"/>
      <c r="IK203" s="42"/>
      <c r="IL203" s="42"/>
      <c r="IM203" s="42"/>
      <c r="IN203" s="42"/>
      <c r="IO203" s="42"/>
      <c r="IP203" s="42"/>
      <c r="IQ203" s="42"/>
      <c r="IR203" s="42"/>
      <c r="IS203" s="42"/>
      <c r="IT203" s="42"/>
      <c r="IU203" s="42"/>
      <c r="IV203" s="42"/>
      <c r="IW203" s="42"/>
      <c r="IX203" s="42"/>
      <c r="IY203" s="42"/>
      <c r="IZ203" s="42"/>
      <c r="JA203" s="42"/>
      <c r="JB203" s="42"/>
      <c r="JC203" s="42"/>
      <c r="JD203" s="42"/>
      <c r="JE203" s="42"/>
      <c r="JF203" s="42"/>
      <c r="JG203" s="42"/>
      <c r="JH203" s="42"/>
      <c r="JI203" s="42"/>
      <c r="JJ203" s="42"/>
      <c r="JK203" s="42"/>
      <c r="JL203" s="42"/>
      <c r="JM203" s="42"/>
      <c r="JN203" s="42"/>
      <c r="JO203" s="42"/>
      <c r="JP203" s="42"/>
      <c r="JQ203" s="42"/>
      <c r="JR203" s="42"/>
      <c r="JS203" s="42"/>
      <c r="JT203" s="42"/>
      <c r="JU203" s="42"/>
      <c r="JV203" s="42"/>
      <c r="JW203" s="42"/>
      <c r="JX203" s="42"/>
      <c r="JY203" s="42"/>
      <c r="JZ203" s="42"/>
      <c r="KA203" s="42"/>
      <c r="KB203" s="42"/>
      <c r="KC203" s="42"/>
      <c r="KD203" s="42"/>
      <c r="KE203" s="42"/>
      <c r="KF203" s="42"/>
      <c r="KG203" s="42"/>
      <c r="KH203" s="42"/>
      <c r="KI203" s="42"/>
      <c r="KJ203" s="42"/>
      <c r="KK203" s="42"/>
      <c r="KL203" s="42"/>
      <c r="KM203" s="42"/>
      <c r="KN203" s="42"/>
      <c r="KO203" s="42"/>
      <c r="KP203" s="42"/>
      <c r="KQ203" s="42"/>
      <c r="KR203" s="42"/>
      <c r="KS203" s="42"/>
      <c r="KT203" s="42"/>
      <c r="KU203" s="42"/>
      <c r="KV203" s="42"/>
      <c r="KW203" s="42"/>
      <c r="KX203" s="42"/>
      <c r="KY203" s="42"/>
      <c r="KZ203" s="42"/>
      <c r="LA203" s="42"/>
      <c r="LB203" s="42"/>
      <c r="LC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c r="BA204" s="42"/>
      <c r="BB204" s="42"/>
      <c r="BC204" s="42"/>
      <c r="BD204" s="42"/>
      <c r="BE204" s="42"/>
      <c r="BF204" s="42"/>
      <c r="BG204" s="42"/>
      <c r="BH204" s="42"/>
      <c r="BI204" s="42"/>
      <c r="BJ204" s="42"/>
      <c r="BK204" s="42"/>
      <c r="BL204" s="42"/>
      <c r="BM204" s="42"/>
      <c r="BN204" s="42"/>
      <c r="BO204" s="42"/>
      <c r="BP204" s="42"/>
      <c r="BQ204" s="42"/>
      <c r="BR204" s="42"/>
      <c r="BS204" s="42"/>
      <c r="BT204" s="42"/>
      <c r="BU204" s="42"/>
      <c r="BV204" s="42"/>
      <c r="BW204" s="42"/>
      <c r="BX204" s="42"/>
      <c r="BY204" s="42"/>
      <c r="BZ204" s="42"/>
      <c r="CA204" s="42"/>
      <c r="CB204" s="42"/>
      <c r="CC204" s="42"/>
      <c r="CD204" s="42"/>
      <c r="CE204" s="42"/>
      <c r="CF204" s="42"/>
      <c r="CG204" s="42"/>
      <c r="CH204" s="42"/>
      <c r="CI204" s="42"/>
      <c r="CJ204" s="42"/>
      <c r="CK204" s="42"/>
      <c r="CL204" s="42"/>
      <c r="CM204" s="42"/>
      <c r="CN204" s="42"/>
      <c r="CO204" s="42"/>
      <c r="CP204" s="42"/>
      <c r="CQ204" s="42"/>
      <c r="CR204" s="42"/>
      <c r="CS204" s="42"/>
      <c r="CT204" s="42"/>
      <c r="CU204" s="42"/>
      <c r="CV204" s="42"/>
      <c r="CW204" s="42"/>
      <c r="CX204" s="42"/>
      <c r="CY204" s="42"/>
      <c r="CZ204" s="42"/>
      <c r="DA204" s="42"/>
      <c r="DB204" s="42"/>
      <c r="DC204" s="42"/>
      <c r="DD204" s="42"/>
      <c r="DE204" s="42"/>
      <c r="DF204" s="42"/>
      <c r="DG204" s="42"/>
      <c r="DH204" s="42"/>
      <c r="DI204" s="42"/>
      <c r="DJ204" s="42"/>
      <c r="DK204" s="42"/>
      <c r="DL204" s="42"/>
      <c r="DM204" s="42"/>
      <c r="DN204" s="42"/>
      <c r="DO204" s="42"/>
      <c r="DP204" s="42"/>
      <c r="DQ204" s="42"/>
      <c r="DR204" s="42"/>
      <c r="DS204" s="42"/>
      <c r="DT204" s="42"/>
      <c r="DU204" s="42"/>
      <c r="DV204" s="42"/>
      <c r="DW204" s="42"/>
      <c r="DX204" s="42"/>
      <c r="DY204" s="42"/>
      <c r="DZ204" s="42"/>
      <c r="EA204" s="42"/>
      <c r="EB204" s="42"/>
      <c r="EC204" s="42"/>
      <c r="ED204" s="42"/>
      <c r="EE204" s="42"/>
      <c r="EF204" s="42"/>
      <c r="EG204" s="42"/>
      <c r="EH204" s="42"/>
      <c r="EI204" s="42"/>
      <c r="EJ204" s="42"/>
      <c r="EK204" s="42"/>
      <c r="EL204" s="42"/>
      <c r="EM204" s="42"/>
      <c r="EN204" s="42"/>
      <c r="EO204" s="42"/>
      <c r="EP204" s="42"/>
      <c r="EQ204" s="42"/>
      <c r="ER204" s="42"/>
      <c r="ES204" s="42"/>
      <c r="ET204" s="42"/>
      <c r="EU204" s="42"/>
      <c r="EV204" s="42"/>
      <c r="EW204" s="42"/>
      <c r="EX204" s="42"/>
      <c r="EY204" s="42"/>
      <c r="EZ204" s="42"/>
      <c r="FA204" s="42"/>
      <c r="FB204" s="42"/>
      <c r="FC204" s="42"/>
      <c r="FD204" s="42"/>
      <c r="FE204" s="42"/>
      <c r="FF204" s="42"/>
      <c r="FG204" s="42"/>
      <c r="FH204" s="42"/>
      <c r="FI204" s="42"/>
      <c r="FJ204" s="42"/>
      <c r="FK204" s="42"/>
      <c r="FL204" s="42"/>
      <c r="FM204" s="42"/>
      <c r="FN204" s="42"/>
      <c r="FO204" s="42"/>
      <c r="FP204" s="42"/>
      <c r="FQ204" s="42"/>
      <c r="FR204" s="42"/>
      <c r="FS204" s="42"/>
      <c r="FT204" s="42"/>
      <c r="FU204" s="42"/>
      <c r="FV204" s="42"/>
      <c r="FW204" s="42"/>
      <c r="FX204" s="42"/>
      <c r="FY204" s="42"/>
      <c r="FZ204" s="42"/>
      <c r="GA204" s="42"/>
      <c r="GB204" s="42"/>
      <c r="GC204" s="42"/>
      <c r="GD204" s="42"/>
      <c r="GE204" s="42"/>
      <c r="GF204" s="42"/>
      <c r="GG204" s="42"/>
      <c r="GH204" s="42"/>
      <c r="GI204" s="42"/>
      <c r="GJ204" s="42"/>
      <c r="GK204" s="42"/>
      <c r="GL204" s="42"/>
      <c r="GM204" s="42"/>
      <c r="GN204" s="42"/>
      <c r="GO204" s="42"/>
      <c r="GP204" s="42"/>
      <c r="GQ204" s="42"/>
      <c r="GR204" s="42"/>
      <c r="GS204" s="42"/>
      <c r="GT204" s="42"/>
      <c r="GU204" s="42"/>
      <c r="GV204" s="42"/>
      <c r="GW204" s="42"/>
      <c r="GX204" s="42"/>
      <c r="GY204" s="42"/>
      <c r="GZ204" s="42"/>
      <c r="HA204" s="42"/>
      <c r="HB204" s="42"/>
      <c r="HC204" s="42"/>
      <c r="HD204" s="42"/>
      <c r="HE204" s="42"/>
      <c r="HF204" s="42"/>
      <c r="HG204" s="42"/>
      <c r="HH204" s="42"/>
      <c r="HI204" s="42"/>
      <c r="HJ204" s="42"/>
      <c r="HK204" s="42"/>
      <c r="HL204" s="42"/>
      <c r="HM204" s="42"/>
      <c r="HN204" s="42"/>
      <c r="HO204" s="42"/>
      <c r="HP204" s="42"/>
      <c r="HQ204" s="42"/>
      <c r="HR204" s="42"/>
      <c r="HS204" s="42"/>
      <c r="HT204" s="42"/>
      <c r="HU204" s="42"/>
      <c r="HV204" s="42"/>
      <c r="HW204" s="42"/>
      <c r="HX204" s="42"/>
      <c r="HY204" s="42"/>
      <c r="HZ204" s="42"/>
      <c r="IA204" s="42"/>
      <c r="IB204" s="42"/>
      <c r="IC204" s="42"/>
      <c r="ID204" s="42"/>
      <c r="IE204" s="42"/>
      <c r="IF204" s="42"/>
      <c r="IG204" s="42"/>
      <c r="IH204" s="42"/>
      <c r="II204" s="42"/>
      <c r="IJ204" s="42"/>
      <c r="IK204" s="42"/>
      <c r="IL204" s="42"/>
      <c r="IM204" s="42"/>
      <c r="IN204" s="42"/>
      <c r="IO204" s="42"/>
      <c r="IP204" s="42"/>
      <c r="IQ204" s="42"/>
      <c r="IR204" s="42"/>
      <c r="IS204" s="42"/>
      <c r="IT204" s="42"/>
      <c r="IU204" s="42"/>
      <c r="IV204" s="42"/>
      <c r="IW204" s="42"/>
      <c r="IX204" s="42"/>
      <c r="IY204" s="42"/>
      <c r="IZ204" s="42"/>
      <c r="JA204" s="42"/>
      <c r="JB204" s="42"/>
      <c r="JC204" s="42"/>
      <c r="JD204" s="42"/>
      <c r="JE204" s="42"/>
      <c r="JF204" s="42"/>
      <c r="JG204" s="42"/>
      <c r="JH204" s="42"/>
      <c r="JI204" s="42"/>
      <c r="JJ204" s="42"/>
      <c r="JK204" s="42"/>
      <c r="JL204" s="42"/>
      <c r="JM204" s="42"/>
      <c r="JN204" s="42"/>
      <c r="JO204" s="42"/>
      <c r="JP204" s="42"/>
      <c r="JQ204" s="42"/>
      <c r="JR204" s="42"/>
      <c r="JS204" s="42"/>
      <c r="JT204" s="42"/>
      <c r="JU204" s="42"/>
      <c r="JV204" s="42"/>
      <c r="JW204" s="42"/>
      <c r="JX204" s="42"/>
      <c r="JY204" s="42"/>
      <c r="JZ204" s="42"/>
      <c r="KA204" s="42"/>
      <c r="KB204" s="42"/>
      <c r="KC204" s="42"/>
      <c r="KD204" s="42"/>
      <c r="KE204" s="42"/>
      <c r="KF204" s="42"/>
      <c r="KG204" s="42"/>
      <c r="KH204" s="42"/>
      <c r="KI204" s="42"/>
      <c r="KJ204" s="42"/>
      <c r="KK204" s="42"/>
      <c r="KL204" s="42"/>
      <c r="KM204" s="42"/>
      <c r="KN204" s="42"/>
      <c r="KO204" s="42"/>
      <c r="KP204" s="42"/>
      <c r="KQ204" s="42"/>
      <c r="KR204" s="42"/>
      <c r="KS204" s="42"/>
      <c r="KT204" s="42"/>
      <c r="KU204" s="42"/>
      <c r="KV204" s="42"/>
      <c r="KW204" s="42"/>
      <c r="KX204" s="42"/>
      <c r="KY204" s="42"/>
      <c r="KZ204" s="42"/>
      <c r="LA204" s="42"/>
      <c r="LB204" s="42"/>
      <c r="LC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42"/>
      <c r="BB205" s="42"/>
      <c r="BC205" s="42"/>
      <c r="BD205" s="42"/>
      <c r="BE205" s="42"/>
      <c r="BF205" s="42"/>
      <c r="BG205" s="42"/>
      <c r="BH205" s="42"/>
      <c r="BI205" s="42"/>
      <c r="BJ205" s="42"/>
      <c r="BK205" s="42"/>
      <c r="BL205" s="42"/>
      <c r="BM205" s="42"/>
      <c r="BN205" s="42"/>
      <c r="BO205" s="42"/>
      <c r="BP205" s="42"/>
      <c r="BQ205" s="42"/>
      <c r="BR205" s="42"/>
      <c r="BS205" s="42"/>
      <c r="BT205" s="42"/>
      <c r="BU205" s="42"/>
      <c r="BV205" s="42"/>
      <c r="BW205" s="42"/>
      <c r="BX205" s="42"/>
      <c r="BY205" s="42"/>
      <c r="BZ205" s="42"/>
      <c r="CA205" s="42"/>
      <c r="CB205" s="42"/>
      <c r="CC205" s="42"/>
      <c r="CD205" s="42"/>
      <c r="CE205" s="42"/>
      <c r="CF205" s="42"/>
      <c r="CG205" s="42"/>
      <c r="CH205" s="42"/>
      <c r="CI205" s="42"/>
      <c r="CJ205" s="42"/>
      <c r="CK205" s="42"/>
      <c r="CL205" s="42"/>
      <c r="CM205" s="42"/>
      <c r="CN205" s="42"/>
      <c r="CO205" s="42"/>
      <c r="CP205" s="42"/>
      <c r="CQ205" s="42"/>
      <c r="CR205" s="42"/>
      <c r="CS205" s="42"/>
      <c r="CT205" s="42"/>
      <c r="CU205" s="42"/>
      <c r="CV205" s="42"/>
      <c r="CW205" s="42"/>
      <c r="CX205" s="42"/>
      <c r="CY205" s="42"/>
      <c r="CZ205" s="42"/>
      <c r="DA205" s="42"/>
      <c r="DB205" s="42"/>
      <c r="DC205" s="42"/>
      <c r="DD205" s="42"/>
      <c r="DE205" s="42"/>
      <c r="DF205" s="42"/>
      <c r="DG205" s="42"/>
      <c r="DH205" s="42"/>
      <c r="DI205" s="42"/>
      <c r="DJ205" s="42"/>
      <c r="DK205" s="42"/>
      <c r="DL205" s="42"/>
      <c r="DM205" s="42"/>
      <c r="DN205" s="42"/>
      <c r="DO205" s="42"/>
      <c r="DP205" s="42"/>
      <c r="DQ205" s="42"/>
      <c r="DR205" s="42"/>
      <c r="DS205" s="42"/>
      <c r="DT205" s="42"/>
      <c r="DU205" s="42"/>
      <c r="DV205" s="42"/>
      <c r="DW205" s="42"/>
      <c r="DX205" s="42"/>
      <c r="DY205" s="42"/>
      <c r="DZ205" s="42"/>
      <c r="EA205" s="42"/>
      <c r="EB205" s="42"/>
      <c r="EC205" s="42"/>
      <c r="ED205" s="42"/>
      <c r="EE205" s="42"/>
      <c r="EF205" s="42"/>
      <c r="EG205" s="42"/>
      <c r="EH205" s="42"/>
      <c r="EI205" s="42"/>
      <c r="EJ205" s="42"/>
      <c r="EK205" s="42"/>
      <c r="EL205" s="42"/>
      <c r="EM205" s="42"/>
      <c r="EN205" s="42"/>
      <c r="EO205" s="42"/>
      <c r="EP205" s="42"/>
      <c r="EQ205" s="42"/>
      <c r="ER205" s="42"/>
      <c r="ES205" s="42"/>
      <c r="ET205" s="42"/>
      <c r="EU205" s="42"/>
      <c r="EV205" s="42"/>
      <c r="EW205" s="42"/>
      <c r="EX205" s="42"/>
      <c r="EY205" s="42"/>
      <c r="EZ205" s="42"/>
      <c r="FA205" s="42"/>
      <c r="FB205" s="42"/>
      <c r="FC205" s="42"/>
      <c r="FD205" s="42"/>
      <c r="FE205" s="42"/>
      <c r="FF205" s="42"/>
      <c r="FG205" s="42"/>
      <c r="FH205" s="42"/>
      <c r="FI205" s="42"/>
      <c r="FJ205" s="42"/>
      <c r="FK205" s="42"/>
      <c r="FL205" s="42"/>
      <c r="FM205" s="42"/>
      <c r="FN205" s="42"/>
      <c r="FO205" s="42"/>
      <c r="FP205" s="42"/>
      <c r="FQ205" s="42"/>
      <c r="FR205" s="42"/>
      <c r="FS205" s="42"/>
      <c r="FT205" s="42"/>
      <c r="FU205" s="42"/>
      <c r="FV205" s="42"/>
      <c r="FW205" s="42"/>
      <c r="FX205" s="42"/>
      <c r="FY205" s="42"/>
      <c r="FZ205" s="42"/>
      <c r="GA205" s="42"/>
      <c r="GB205" s="42"/>
      <c r="GC205" s="42"/>
      <c r="GD205" s="42"/>
      <c r="GE205" s="42"/>
      <c r="GF205" s="42"/>
      <c r="GG205" s="42"/>
      <c r="GH205" s="42"/>
      <c r="GI205" s="42"/>
      <c r="GJ205" s="42"/>
      <c r="GK205" s="42"/>
      <c r="GL205" s="42"/>
      <c r="GM205" s="42"/>
      <c r="GN205" s="42"/>
      <c r="GO205" s="42"/>
      <c r="GP205" s="42"/>
      <c r="GQ205" s="42"/>
      <c r="GR205" s="42"/>
      <c r="GS205" s="42"/>
      <c r="GT205" s="42"/>
      <c r="GU205" s="42"/>
      <c r="GV205" s="42"/>
      <c r="GW205" s="42"/>
      <c r="GX205" s="42"/>
      <c r="GY205" s="42"/>
      <c r="GZ205" s="42"/>
      <c r="HA205" s="42"/>
      <c r="HB205" s="42"/>
      <c r="HC205" s="42"/>
      <c r="HD205" s="42"/>
      <c r="HE205" s="42"/>
      <c r="HF205" s="42"/>
      <c r="HG205" s="42"/>
      <c r="HH205" s="42"/>
      <c r="HI205" s="42"/>
      <c r="HJ205" s="42"/>
      <c r="HK205" s="42"/>
      <c r="HL205" s="42"/>
      <c r="HM205" s="42"/>
      <c r="HN205" s="42"/>
      <c r="HO205" s="42"/>
      <c r="HP205" s="42"/>
      <c r="HQ205" s="42"/>
      <c r="HR205" s="42"/>
      <c r="HS205" s="42"/>
      <c r="HT205" s="42"/>
      <c r="HU205" s="42"/>
      <c r="HV205" s="42"/>
      <c r="HW205" s="42"/>
      <c r="HX205" s="42"/>
      <c r="HY205" s="42"/>
      <c r="HZ205" s="42"/>
      <c r="IA205" s="42"/>
      <c r="IB205" s="42"/>
      <c r="IC205" s="42"/>
      <c r="ID205" s="42"/>
      <c r="IE205" s="42"/>
      <c r="IF205" s="42"/>
      <c r="IG205" s="42"/>
      <c r="IH205" s="42"/>
      <c r="II205" s="42"/>
      <c r="IJ205" s="42"/>
      <c r="IK205" s="42"/>
      <c r="IL205" s="42"/>
      <c r="IM205" s="42"/>
      <c r="IN205" s="42"/>
      <c r="IO205" s="42"/>
      <c r="IP205" s="42"/>
      <c r="IQ205" s="42"/>
      <c r="IR205" s="42"/>
      <c r="IS205" s="42"/>
      <c r="IT205" s="42"/>
      <c r="IU205" s="42"/>
      <c r="IV205" s="42"/>
      <c r="IW205" s="42"/>
      <c r="IX205" s="42"/>
      <c r="IY205" s="42"/>
      <c r="IZ205" s="42"/>
      <c r="JA205" s="42"/>
      <c r="JB205" s="42"/>
      <c r="JC205" s="42"/>
      <c r="JD205" s="42"/>
      <c r="JE205" s="42"/>
      <c r="JF205" s="42"/>
      <c r="JG205" s="42"/>
      <c r="JH205" s="42"/>
      <c r="JI205" s="42"/>
      <c r="JJ205" s="42"/>
      <c r="JK205" s="42"/>
      <c r="JL205" s="42"/>
      <c r="JM205" s="42"/>
      <c r="JN205" s="42"/>
      <c r="JO205" s="42"/>
      <c r="JP205" s="42"/>
      <c r="JQ205" s="42"/>
      <c r="JR205" s="42"/>
      <c r="JS205" s="42"/>
      <c r="JT205" s="42"/>
      <c r="JU205" s="42"/>
      <c r="JV205" s="42"/>
      <c r="JW205" s="42"/>
      <c r="JX205" s="42"/>
      <c r="JY205" s="42"/>
      <c r="JZ205" s="42"/>
      <c r="KA205" s="42"/>
      <c r="KB205" s="42"/>
      <c r="KC205" s="42"/>
      <c r="KD205" s="42"/>
      <c r="KE205" s="42"/>
      <c r="KF205" s="42"/>
      <c r="KG205" s="42"/>
      <c r="KH205" s="42"/>
      <c r="KI205" s="42"/>
      <c r="KJ205" s="42"/>
      <c r="KK205" s="42"/>
      <c r="KL205" s="42"/>
      <c r="KM205" s="42"/>
      <c r="KN205" s="42"/>
      <c r="KO205" s="42"/>
      <c r="KP205" s="42"/>
      <c r="KQ205" s="42"/>
      <c r="KR205" s="42"/>
      <c r="KS205" s="42"/>
      <c r="KT205" s="42"/>
      <c r="KU205" s="42"/>
      <c r="KV205" s="42"/>
      <c r="KW205" s="42"/>
      <c r="KX205" s="42"/>
      <c r="KY205" s="42"/>
      <c r="KZ205" s="42"/>
      <c r="LA205" s="42"/>
      <c r="LB205" s="42"/>
      <c r="LC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42"/>
      <c r="BB206" s="42"/>
      <c r="BC206" s="42"/>
      <c r="BD206" s="42"/>
      <c r="BE206" s="42"/>
      <c r="BF206" s="42"/>
      <c r="BG206" s="42"/>
      <c r="BH206" s="42"/>
      <c r="BI206" s="42"/>
      <c r="BJ206" s="42"/>
      <c r="BK206" s="42"/>
      <c r="BL206" s="42"/>
      <c r="BM206" s="42"/>
      <c r="BN206" s="42"/>
      <c r="BO206" s="42"/>
      <c r="BP206" s="42"/>
      <c r="BQ206" s="42"/>
      <c r="BR206" s="42"/>
      <c r="BS206" s="42"/>
      <c r="BT206" s="42"/>
      <c r="BU206" s="42"/>
      <c r="BV206" s="42"/>
      <c r="BW206" s="42"/>
      <c r="BX206" s="42"/>
      <c r="BY206" s="42"/>
      <c r="BZ206" s="42"/>
      <c r="CA206" s="42"/>
      <c r="CB206" s="42"/>
      <c r="CC206" s="42"/>
      <c r="CD206" s="42"/>
      <c r="CE206" s="42"/>
      <c r="CF206" s="42"/>
      <c r="CG206" s="42"/>
      <c r="CH206" s="42"/>
      <c r="CI206" s="42"/>
      <c r="CJ206" s="42"/>
      <c r="CK206" s="42"/>
      <c r="CL206" s="42"/>
      <c r="CM206" s="42"/>
      <c r="CN206" s="42"/>
      <c r="CO206" s="42"/>
      <c r="CP206" s="42"/>
      <c r="CQ206" s="42"/>
      <c r="CR206" s="42"/>
      <c r="CS206" s="42"/>
      <c r="CT206" s="42"/>
      <c r="CU206" s="42"/>
      <c r="CV206" s="42"/>
      <c r="CW206" s="42"/>
      <c r="CX206" s="42"/>
      <c r="CY206" s="42"/>
      <c r="CZ206" s="42"/>
      <c r="DA206" s="42"/>
      <c r="DB206" s="42"/>
      <c r="DC206" s="42"/>
      <c r="DD206" s="42"/>
      <c r="DE206" s="42"/>
      <c r="DF206" s="42"/>
      <c r="DG206" s="42"/>
      <c r="DH206" s="42"/>
      <c r="DI206" s="42"/>
      <c r="DJ206" s="42"/>
      <c r="DK206" s="42"/>
      <c r="DL206" s="42"/>
      <c r="DM206" s="42"/>
      <c r="DN206" s="42"/>
      <c r="DO206" s="42"/>
      <c r="DP206" s="42"/>
      <c r="DQ206" s="42"/>
      <c r="DR206" s="42"/>
      <c r="DS206" s="42"/>
      <c r="DT206" s="42"/>
      <c r="DU206" s="42"/>
      <c r="DV206" s="42"/>
      <c r="DW206" s="42"/>
      <c r="DX206" s="42"/>
      <c r="DY206" s="42"/>
      <c r="DZ206" s="42"/>
      <c r="EA206" s="42"/>
      <c r="EB206" s="42"/>
      <c r="EC206" s="42"/>
      <c r="ED206" s="42"/>
      <c r="EE206" s="42"/>
      <c r="EF206" s="42"/>
      <c r="EG206" s="42"/>
      <c r="EH206" s="42"/>
      <c r="EI206" s="42"/>
      <c r="EJ206" s="42"/>
      <c r="EK206" s="42"/>
      <c r="EL206" s="42"/>
      <c r="EM206" s="42"/>
      <c r="EN206" s="42"/>
      <c r="EO206" s="42"/>
      <c r="EP206" s="42"/>
      <c r="EQ206" s="42"/>
      <c r="ER206" s="42"/>
      <c r="ES206" s="42"/>
      <c r="ET206" s="42"/>
      <c r="EU206" s="42"/>
      <c r="EV206" s="42"/>
      <c r="EW206" s="42"/>
      <c r="EX206" s="42"/>
      <c r="EY206" s="42"/>
      <c r="EZ206" s="42"/>
      <c r="FA206" s="42"/>
      <c r="FB206" s="42"/>
      <c r="FC206" s="42"/>
      <c r="FD206" s="42"/>
      <c r="FE206" s="42"/>
      <c r="FF206" s="42"/>
      <c r="FG206" s="42"/>
      <c r="FH206" s="42"/>
      <c r="FI206" s="42"/>
      <c r="FJ206" s="42"/>
      <c r="FK206" s="42"/>
      <c r="FL206" s="42"/>
      <c r="FM206" s="42"/>
      <c r="FN206" s="42"/>
      <c r="FO206" s="42"/>
      <c r="FP206" s="42"/>
      <c r="FQ206" s="42"/>
      <c r="FR206" s="42"/>
      <c r="FS206" s="42"/>
      <c r="FT206" s="42"/>
      <c r="FU206" s="42"/>
      <c r="FV206" s="42"/>
      <c r="FW206" s="42"/>
      <c r="FX206" s="42"/>
      <c r="FY206" s="42"/>
      <c r="FZ206" s="42"/>
      <c r="GA206" s="42"/>
      <c r="GB206" s="42"/>
      <c r="GC206" s="42"/>
      <c r="GD206" s="42"/>
      <c r="GE206" s="42"/>
      <c r="GF206" s="42"/>
      <c r="GG206" s="42"/>
      <c r="GH206" s="42"/>
      <c r="GI206" s="42"/>
      <c r="GJ206" s="42"/>
      <c r="GK206" s="42"/>
      <c r="GL206" s="42"/>
      <c r="GM206" s="42"/>
      <c r="GN206" s="42"/>
      <c r="GO206" s="42"/>
      <c r="GP206" s="42"/>
      <c r="GQ206" s="42"/>
      <c r="GR206" s="42"/>
      <c r="GS206" s="42"/>
      <c r="GT206" s="42"/>
      <c r="GU206" s="42"/>
      <c r="GV206" s="42"/>
      <c r="GW206" s="42"/>
      <c r="GX206" s="42"/>
      <c r="GY206" s="42"/>
      <c r="GZ206" s="42"/>
      <c r="HA206" s="42"/>
      <c r="HB206" s="42"/>
      <c r="HC206" s="42"/>
      <c r="HD206" s="42"/>
      <c r="HE206" s="42"/>
      <c r="HF206" s="42"/>
      <c r="HG206" s="42"/>
      <c r="HH206" s="42"/>
      <c r="HI206" s="42"/>
      <c r="HJ206" s="42"/>
      <c r="HK206" s="42"/>
      <c r="HL206" s="42"/>
      <c r="HM206" s="42"/>
      <c r="HN206" s="42"/>
      <c r="HO206" s="42"/>
      <c r="HP206" s="42"/>
      <c r="HQ206" s="42"/>
      <c r="HR206" s="42"/>
      <c r="HS206" s="42"/>
      <c r="HT206" s="42"/>
      <c r="HU206" s="42"/>
      <c r="HV206" s="42"/>
      <c r="HW206" s="42"/>
      <c r="HX206" s="42"/>
      <c r="HY206" s="42"/>
      <c r="HZ206" s="42"/>
      <c r="IA206" s="42"/>
      <c r="IB206" s="42"/>
      <c r="IC206" s="42"/>
      <c r="ID206" s="42"/>
      <c r="IE206" s="42"/>
      <c r="IF206" s="42"/>
      <c r="IG206" s="42"/>
      <c r="IH206" s="42"/>
      <c r="II206" s="42"/>
      <c r="IJ206" s="42"/>
      <c r="IK206" s="42"/>
      <c r="IL206" s="42"/>
      <c r="IM206" s="42"/>
      <c r="IN206" s="42"/>
      <c r="IO206" s="42"/>
      <c r="IP206" s="42"/>
      <c r="IQ206" s="42"/>
      <c r="IR206" s="42"/>
      <c r="IS206" s="42"/>
      <c r="IT206" s="42"/>
      <c r="IU206" s="42"/>
      <c r="IV206" s="42"/>
      <c r="IW206" s="42"/>
      <c r="IX206" s="42"/>
      <c r="IY206" s="42"/>
      <c r="IZ206" s="42"/>
      <c r="JA206" s="42"/>
      <c r="JB206" s="42"/>
      <c r="JC206" s="42"/>
      <c r="JD206" s="42"/>
      <c r="JE206" s="42"/>
      <c r="JF206" s="42"/>
      <c r="JG206" s="42"/>
      <c r="JH206" s="42"/>
      <c r="JI206" s="42"/>
      <c r="JJ206" s="42"/>
      <c r="JK206" s="42"/>
      <c r="JL206" s="42"/>
      <c r="JM206" s="42"/>
      <c r="JN206" s="42"/>
      <c r="JO206" s="42"/>
      <c r="JP206" s="42"/>
      <c r="JQ206" s="42"/>
      <c r="JR206" s="42"/>
      <c r="JS206" s="42"/>
      <c r="JT206" s="42"/>
      <c r="JU206" s="42"/>
      <c r="JV206" s="42"/>
      <c r="JW206" s="42"/>
      <c r="JX206" s="42"/>
      <c r="JY206" s="42"/>
      <c r="JZ206" s="42"/>
      <c r="KA206" s="42"/>
      <c r="KB206" s="42"/>
      <c r="KC206" s="42"/>
      <c r="KD206" s="42"/>
      <c r="KE206" s="42"/>
      <c r="KF206" s="42"/>
      <c r="KG206" s="42"/>
      <c r="KH206" s="42"/>
      <c r="KI206" s="42"/>
      <c r="KJ206" s="42"/>
      <c r="KK206" s="42"/>
      <c r="KL206" s="42"/>
      <c r="KM206" s="42"/>
      <c r="KN206" s="42"/>
      <c r="KO206" s="42"/>
      <c r="KP206" s="42"/>
      <c r="KQ206" s="42"/>
      <c r="KR206" s="42"/>
      <c r="KS206" s="42"/>
      <c r="KT206" s="42"/>
      <c r="KU206" s="42"/>
      <c r="KV206" s="42"/>
      <c r="KW206" s="42"/>
      <c r="KX206" s="42"/>
      <c r="KY206" s="42"/>
      <c r="KZ206" s="42"/>
      <c r="LA206" s="42"/>
      <c r="LB206" s="42"/>
      <c r="LC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c r="BC207" s="42"/>
      <c r="BD207" s="42"/>
      <c r="BE207" s="42"/>
      <c r="BF207" s="42"/>
      <c r="BG207" s="42"/>
      <c r="BH207" s="42"/>
      <c r="BI207" s="42"/>
      <c r="BJ207" s="42"/>
      <c r="BK207" s="42"/>
      <c r="BL207" s="42"/>
      <c r="BM207" s="42"/>
      <c r="BN207" s="42"/>
      <c r="BO207" s="42"/>
      <c r="BP207" s="42"/>
      <c r="BQ207" s="42"/>
      <c r="BR207" s="42"/>
      <c r="BS207" s="42"/>
      <c r="BT207" s="42"/>
      <c r="BU207" s="42"/>
      <c r="BV207" s="42"/>
      <c r="BW207" s="42"/>
      <c r="BX207" s="42"/>
      <c r="BY207" s="42"/>
      <c r="BZ207" s="42"/>
      <c r="CA207" s="42"/>
      <c r="CB207" s="42"/>
      <c r="CC207" s="42"/>
      <c r="CD207" s="42"/>
      <c r="CE207" s="42"/>
      <c r="CF207" s="42"/>
      <c r="CG207" s="42"/>
      <c r="CH207" s="42"/>
      <c r="CI207" s="42"/>
      <c r="CJ207" s="42"/>
      <c r="CK207" s="42"/>
      <c r="CL207" s="42"/>
      <c r="CM207" s="42"/>
      <c r="CN207" s="42"/>
      <c r="CO207" s="42"/>
      <c r="CP207" s="42"/>
      <c r="CQ207" s="42"/>
      <c r="CR207" s="42"/>
      <c r="CS207" s="42"/>
      <c r="CT207" s="42"/>
      <c r="CU207" s="42"/>
      <c r="CV207" s="42"/>
      <c r="CW207" s="42"/>
      <c r="CX207" s="42"/>
      <c r="CY207" s="42"/>
      <c r="CZ207" s="42"/>
      <c r="DA207" s="42"/>
      <c r="DB207" s="42"/>
      <c r="DC207" s="42"/>
      <c r="DD207" s="42"/>
      <c r="DE207" s="42"/>
      <c r="DF207" s="42"/>
      <c r="DG207" s="42"/>
      <c r="DH207" s="42"/>
      <c r="DI207" s="42"/>
      <c r="DJ207" s="42"/>
      <c r="DK207" s="42"/>
      <c r="DL207" s="42"/>
      <c r="DM207" s="42"/>
      <c r="DN207" s="42"/>
      <c r="DO207" s="42"/>
      <c r="DP207" s="42"/>
      <c r="DQ207" s="42"/>
      <c r="DR207" s="42"/>
      <c r="DS207" s="42"/>
      <c r="DT207" s="42"/>
      <c r="DU207" s="42"/>
      <c r="DV207" s="42"/>
      <c r="DW207" s="42"/>
      <c r="DX207" s="42"/>
      <c r="DY207" s="42"/>
      <c r="DZ207" s="42"/>
      <c r="EA207" s="42"/>
      <c r="EB207" s="42"/>
      <c r="EC207" s="42"/>
      <c r="ED207" s="42"/>
      <c r="EE207" s="42"/>
      <c r="EF207" s="42"/>
      <c r="EG207" s="42"/>
      <c r="EH207" s="42"/>
      <c r="EI207" s="42"/>
      <c r="EJ207" s="42"/>
      <c r="EK207" s="42"/>
      <c r="EL207" s="42"/>
      <c r="EM207" s="42"/>
      <c r="EN207" s="42"/>
      <c r="EO207" s="42"/>
      <c r="EP207" s="42"/>
      <c r="EQ207" s="42"/>
      <c r="ER207" s="42"/>
      <c r="ES207" s="42"/>
      <c r="ET207" s="42"/>
      <c r="EU207" s="42"/>
      <c r="EV207" s="42"/>
      <c r="EW207" s="42"/>
      <c r="EX207" s="42"/>
      <c r="EY207" s="42"/>
      <c r="EZ207" s="42"/>
      <c r="FA207" s="42"/>
      <c r="FB207" s="42"/>
      <c r="FC207" s="42"/>
      <c r="FD207" s="42"/>
      <c r="FE207" s="42"/>
      <c r="FF207" s="42"/>
      <c r="FG207" s="42"/>
      <c r="FH207" s="42"/>
      <c r="FI207" s="42"/>
      <c r="FJ207" s="42"/>
      <c r="FK207" s="42"/>
      <c r="FL207" s="42"/>
      <c r="FM207" s="42"/>
      <c r="FN207" s="42"/>
      <c r="FO207" s="42"/>
      <c r="FP207" s="42"/>
      <c r="FQ207" s="42"/>
      <c r="FR207" s="42"/>
      <c r="FS207" s="42"/>
      <c r="FT207" s="42"/>
      <c r="FU207" s="42"/>
      <c r="FV207" s="42"/>
      <c r="FW207" s="42"/>
      <c r="FX207" s="42"/>
      <c r="FY207" s="42"/>
      <c r="FZ207" s="42"/>
      <c r="GA207" s="42"/>
      <c r="GB207" s="42"/>
      <c r="GC207" s="42"/>
      <c r="GD207" s="42"/>
      <c r="GE207" s="42"/>
      <c r="GF207" s="42"/>
      <c r="GG207" s="42"/>
      <c r="GH207" s="42"/>
      <c r="GI207" s="42"/>
      <c r="GJ207" s="42"/>
      <c r="GK207" s="42"/>
      <c r="GL207" s="42"/>
      <c r="GM207" s="42"/>
      <c r="GN207" s="42"/>
      <c r="GO207" s="42"/>
      <c r="GP207" s="42"/>
      <c r="GQ207" s="42"/>
      <c r="GR207" s="42"/>
      <c r="GS207" s="42"/>
      <c r="GT207" s="42"/>
      <c r="GU207" s="42"/>
      <c r="GV207" s="42"/>
      <c r="GW207" s="42"/>
      <c r="GX207" s="42"/>
      <c r="GY207" s="42"/>
      <c r="GZ207" s="42"/>
      <c r="HA207" s="42"/>
      <c r="HB207" s="42"/>
      <c r="HC207" s="42"/>
      <c r="HD207" s="42"/>
      <c r="HE207" s="42"/>
      <c r="HF207" s="42"/>
      <c r="HG207" s="42"/>
      <c r="HH207" s="42"/>
      <c r="HI207" s="42"/>
      <c r="HJ207" s="42"/>
      <c r="HK207" s="42"/>
      <c r="HL207" s="42"/>
      <c r="HM207" s="42"/>
      <c r="HN207" s="42"/>
      <c r="HO207" s="42"/>
      <c r="HP207" s="42"/>
      <c r="HQ207" s="42"/>
      <c r="HR207" s="42"/>
      <c r="HS207" s="42"/>
      <c r="HT207" s="42"/>
      <c r="HU207" s="42"/>
      <c r="HV207" s="42"/>
      <c r="HW207" s="42"/>
      <c r="HX207" s="42"/>
      <c r="HY207" s="42"/>
      <c r="HZ207" s="42"/>
      <c r="IA207" s="42"/>
      <c r="IB207" s="42"/>
      <c r="IC207" s="42"/>
      <c r="ID207" s="42"/>
      <c r="IE207" s="42"/>
      <c r="IF207" s="42"/>
      <c r="IG207" s="42"/>
      <c r="IH207" s="42"/>
      <c r="II207" s="42"/>
      <c r="IJ207" s="42"/>
      <c r="IK207" s="42"/>
      <c r="IL207" s="42"/>
      <c r="IM207" s="42"/>
      <c r="IN207" s="42"/>
      <c r="IO207" s="42"/>
      <c r="IP207" s="42"/>
      <c r="IQ207" s="42"/>
      <c r="IR207" s="42"/>
      <c r="IS207" s="42"/>
      <c r="IT207" s="42"/>
      <c r="IU207" s="42"/>
      <c r="IV207" s="42"/>
      <c r="IW207" s="42"/>
      <c r="IX207" s="42"/>
      <c r="IY207" s="42"/>
      <c r="IZ207" s="42"/>
      <c r="JA207" s="42"/>
      <c r="JB207" s="42"/>
      <c r="JC207" s="42"/>
      <c r="JD207" s="42"/>
      <c r="JE207" s="42"/>
      <c r="JF207" s="42"/>
      <c r="JG207" s="42"/>
      <c r="JH207" s="42"/>
      <c r="JI207" s="42"/>
      <c r="JJ207" s="42"/>
      <c r="JK207" s="42"/>
      <c r="JL207" s="42"/>
      <c r="JM207" s="42"/>
      <c r="JN207" s="42"/>
      <c r="JO207" s="42"/>
      <c r="JP207" s="42"/>
      <c r="JQ207" s="42"/>
      <c r="JR207" s="42"/>
      <c r="JS207" s="42"/>
      <c r="JT207" s="42"/>
      <c r="JU207" s="42"/>
      <c r="JV207" s="42"/>
      <c r="JW207" s="42"/>
      <c r="JX207" s="42"/>
      <c r="JY207" s="42"/>
      <c r="JZ207" s="42"/>
      <c r="KA207" s="42"/>
      <c r="KB207" s="42"/>
      <c r="KC207" s="42"/>
      <c r="KD207" s="42"/>
      <c r="KE207" s="42"/>
      <c r="KF207" s="42"/>
      <c r="KG207" s="42"/>
      <c r="KH207" s="42"/>
      <c r="KI207" s="42"/>
      <c r="KJ207" s="42"/>
      <c r="KK207" s="42"/>
      <c r="KL207" s="42"/>
      <c r="KM207" s="42"/>
      <c r="KN207" s="42"/>
      <c r="KO207" s="42"/>
      <c r="KP207" s="42"/>
      <c r="KQ207" s="42"/>
      <c r="KR207" s="42"/>
      <c r="KS207" s="42"/>
      <c r="KT207" s="42"/>
      <c r="KU207" s="42"/>
      <c r="KV207" s="42"/>
      <c r="KW207" s="42"/>
      <c r="KX207" s="42"/>
      <c r="KY207" s="42"/>
      <c r="KZ207" s="42"/>
      <c r="LA207" s="42"/>
      <c r="LB207" s="42"/>
      <c r="LC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c r="BA208" s="42"/>
      <c r="BB208" s="42"/>
      <c r="BC208" s="42"/>
      <c r="BD208" s="42"/>
      <c r="BE208" s="42"/>
      <c r="BF208" s="42"/>
      <c r="BG208" s="42"/>
      <c r="BH208" s="42"/>
      <c r="BI208" s="42"/>
      <c r="BJ208" s="42"/>
      <c r="BK208" s="42"/>
      <c r="BL208" s="42"/>
      <c r="BM208" s="42"/>
      <c r="BN208" s="42"/>
      <c r="BO208" s="42"/>
      <c r="BP208" s="42"/>
      <c r="BQ208" s="42"/>
      <c r="BR208" s="42"/>
      <c r="BS208" s="42"/>
      <c r="BT208" s="42"/>
      <c r="BU208" s="42"/>
      <c r="BV208" s="42"/>
      <c r="BW208" s="42"/>
      <c r="BX208" s="42"/>
      <c r="BY208" s="42"/>
      <c r="BZ208" s="42"/>
      <c r="CA208" s="42"/>
      <c r="CB208" s="42"/>
      <c r="CC208" s="42"/>
      <c r="CD208" s="42"/>
      <c r="CE208" s="42"/>
      <c r="CF208" s="42"/>
      <c r="CG208" s="42"/>
      <c r="CH208" s="42"/>
      <c r="CI208" s="42"/>
      <c r="CJ208" s="42"/>
      <c r="CK208" s="42"/>
      <c r="CL208" s="42"/>
      <c r="CM208" s="42"/>
      <c r="CN208" s="42"/>
      <c r="CO208" s="42"/>
      <c r="CP208" s="42"/>
      <c r="CQ208" s="42"/>
      <c r="CR208" s="42"/>
      <c r="CS208" s="42"/>
      <c r="CT208" s="42"/>
      <c r="CU208" s="42"/>
      <c r="CV208" s="42"/>
      <c r="CW208" s="42"/>
      <c r="CX208" s="42"/>
      <c r="CY208" s="42"/>
      <c r="CZ208" s="42"/>
      <c r="DA208" s="42"/>
      <c r="DB208" s="42"/>
      <c r="DC208" s="42"/>
      <c r="DD208" s="42"/>
      <c r="DE208" s="42"/>
      <c r="DF208" s="42"/>
      <c r="DG208" s="42"/>
      <c r="DH208" s="42"/>
      <c r="DI208" s="42"/>
      <c r="DJ208" s="42"/>
      <c r="DK208" s="42"/>
      <c r="DL208" s="42"/>
      <c r="DM208" s="42"/>
      <c r="DN208" s="42"/>
      <c r="DO208" s="42"/>
      <c r="DP208" s="42"/>
      <c r="DQ208" s="42"/>
      <c r="DR208" s="42"/>
      <c r="DS208" s="42"/>
      <c r="DT208" s="42"/>
      <c r="DU208" s="42"/>
      <c r="DV208" s="42"/>
      <c r="DW208" s="42"/>
      <c r="DX208" s="42"/>
      <c r="DY208" s="42"/>
      <c r="DZ208" s="42"/>
      <c r="EA208" s="42"/>
      <c r="EB208" s="42"/>
      <c r="EC208" s="42"/>
      <c r="ED208" s="42"/>
      <c r="EE208" s="42"/>
      <c r="EF208" s="42"/>
      <c r="EG208" s="42"/>
      <c r="EH208" s="42"/>
      <c r="EI208" s="42"/>
      <c r="EJ208" s="42"/>
      <c r="EK208" s="42"/>
      <c r="EL208" s="42"/>
      <c r="EM208" s="42"/>
      <c r="EN208" s="42"/>
      <c r="EO208" s="42"/>
      <c r="EP208" s="42"/>
      <c r="EQ208" s="42"/>
      <c r="ER208" s="42"/>
      <c r="ES208" s="42"/>
      <c r="ET208" s="42"/>
      <c r="EU208" s="42"/>
      <c r="EV208" s="42"/>
      <c r="EW208" s="42"/>
      <c r="EX208" s="42"/>
      <c r="EY208" s="42"/>
      <c r="EZ208" s="42"/>
      <c r="FA208" s="42"/>
      <c r="FB208" s="42"/>
      <c r="FC208" s="42"/>
      <c r="FD208" s="42"/>
      <c r="FE208" s="42"/>
      <c r="FF208" s="42"/>
      <c r="FG208" s="42"/>
      <c r="FH208" s="42"/>
      <c r="FI208" s="42"/>
      <c r="FJ208" s="42"/>
      <c r="FK208" s="42"/>
      <c r="FL208" s="42"/>
      <c r="FM208" s="42"/>
      <c r="FN208" s="42"/>
      <c r="FO208" s="42"/>
      <c r="FP208" s="42"/>
      <c r="FQ208" s="42"/>
      <c r="FR208" s="42"/>
      <c r="FS208" s="42"/>
      <c r="FT208" s="42"/>
      <c r="FU208" s="42"/>
      <c r="FV208" s="42"/>
      <c r="FW208" s="42"/>
      <c r="FX208" s="42"/>
      <c r="FY208" s="42"/>
      <c r="FZ208" s="42"/>
      <c r="GA208" s="42"/>
      <c r="GB208" s="42"/>
      <c r="GC208" s="42"/>
      <c r="GD208" s="42"/>
      <c r="GE208" s="42"/>
      <c r="GF208" s="42"/>
      <c r="GG208" s="42"/>
      <c r="GH208" s="42"/>
      <c r="GI208" s="42"/>
      <c r="GJ208" s="42"/>
      <c r="GK208" s="42"/>
      <c r="GL208" s="42"/>
      <c r="GM208" s="42"/>
      <c r="GN208" s="42"/>
      <c r="GO208" s="42"/>
      <c r="GP208" s="42"/>
      <c r="GQ208" s="42"/>
      <c r="GR208" s="42"/>
      <c r="GS208" s="42"/>
      <c r="GT208" s="42"/>
      <c r="GU208" s="42"/>
      <c r="GV208" s="42"/>
      <c r="GW208" s="42"/>
      <c r="GX208" s="42"/>
      <c r="GY208" s="42"/>
      <c r="GZ208" s="42"/>
      <c r="HA208" s="42"/>
      <c r="HB208" s="42"/>
      <c r="HC208" s="42"/>
      <c r="HD208" s="42"/>
      <c r="HE208" s="42"/>
      <c r="HF208" s="42"/>
      <c r="HG208" s="42"/>
      <c r="HH208" s="42"/>
      <c r="HI208" s="42"/>
      <c r="HJ208" s="42"/>
      <c r="HK208" s="42"/>
      <c r="HL208" s="42"/>
      <c r="HM208" s="42"/>
      <c r="HN208" s="42"/>
      <c r="HO208" s="42"/>
      <c r="HP208" s="42"/>
      <c r="HQ208" s="42"/>
      <c r="HR208" s="42"/>
      <c r="HS208" s="42"/>
      <c r="HT208" s="42"/>
      <c r="HU208" s="42"/>
      <c r="HV208" s="42"/>
      <c r="HW208" s="42"/>
      <c r="HX208" s="42"/>
      <c r="HY208" s="42"/>
      <c r="HZ208" s="42"/>
      <c r="IA208" s="42"/>
      <c r="IB208" s="42"/>
      <c r="IC208" s="42"/>
      <c r="ID208" s="42"/>
      <c r="IE208" s="42"/>
      <c r="IF208" s="42"/>
      <c r="IG208" s="42"/>
      <c r="IH208" s="42"/>
      <c r="II208" s="42"/>
      <c r="IJ208" s="42"/>
      <c r="IK208" s="42"/>
      <c r="IL208" s="42"/>
      <c r="IM208" s="42"/>
      <c r="IN208" s="42"/>
      <c r="IO208" s="42"/>
      <c r="IP208" s="42"/>
      <c r="IQ208" s="42"/>
      <c r="IR208" s="42"/>
      <c r="IS208" s="42"/>
      <c r="IT208" s="42"/>
      <c r="IU208" s="42"/>
      <c r="IV208" s="42"/>
      <c r="IW208" s="42"/>
      <c r="IX208" s="42"/>
      <c r="IY208" s="42"/>
      <c r="IZ208" s="42"/>
      <c r="JA208" s="42"/>
      <c r="JB208" s="42"/>
      <c r="JC208" s="42"/>
      <c r="JD208" s="42"/>
      <c r="JE208" s="42"/>
      <c r="JF208" s="42"/>
      <c r="JG208" s="42"/>
      <c r="JH208" s="42"/>
      <c r="JI208" s="42"/>
      <c r="JJ208" s="42"/>
      <c r="JK208" s="42"/>
      <c r="JL208" s="42"/>
      <c r="JM208" s="42"/>
      <c r="JN208" s="42"/>
      <c r="JO208" s="42"/>
      <c r="JP208" s="42"/>
      <c r="JQ208" s="42"/>
      <c r="JR208" s="42"/>
      <c r="JS208" s="42"/>
      <c r="JT208" s="42"/>
      <c r="JU208" s="42"/>
      <c r="JV208" s="42"/>
      <c r="JW208" s="42"/>
      <c r="JX208" s="42"/>
      <c r="JY208" s="42"/>
      <c r="JZ208" s="42"/>
      <c r="KA208" s="42"/>
      <c r="KB208" s="42"/>
      <c r="KC208" s="42"/>
      <c r="KD208" s="42"/>
      <c r="KE208" s="42"/>
      <c r="KF208" s="42"/>
      <c r="KG208" s="42"/>
      <c r="KH208" s="42"/>
      <c r="KI208" s="42"/>
      <c r="KJ208" s="42"/>
      <c r="KK208" s="42"/>
      <c r="KL208" s="42"/>
      <c r="KM208" s="42"/>
      <c r="KN208" s="42"/>
      <c r="KO208" s="42"/>
      <c r="KP208" s="42"/>
      <c r="KQ208" s="42"/>
      <c r="KR208" s="42"/>
      <c r="KS208" s="42"/>
      <c r="KT208" s="42"/>
      <c r="KU208" s="42"/>
      <c r="KV208" s="42"/>
      <c r="KW208" s="42"/>
      <c r="KX208" s="42"/>
      <c r="KY208" s="42"/>
      <c r="KZ208" s="42"/>
      <c r="LA208" s="42"/>
      <c r="LB208" s="42"/>
      <c r="LC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c r="BC209" s="42"/>
      <c r="BD209" s="42"/>
      <c r="BE209" s="42"/>
      <c r="BF209" s="42"/>
      <c r="BG209" s="42"/>
      <c r="BH209" s="42"/>
      <c r="BI209" s="42"/>
      <c r="BJ209" s="42"/>
      <c r="BK209" s="42"/>
      <c r="BL209" s="42"/>
      <c r="BM209" s="42"/>
      <c r="BN209" s="42"/>
      <c r="BO209" s="42"/>
      <c r="BP209" s="42"/>
      <c r="BQ209" s="42"/>
      <c r="BR209" s="42"/>
      <c r="BS209" s="42"/>
      <c r="BT209" s="42"/>
      <c r="BU209" s="42"/>
      <c r="BV209" s="42"/>
      <c r="BW209" s="42"/>
      <c r="BX209" s="42"/>
      <c r="BY209" s="42"/>
      <c r="BZ209" s="42"/>
      <c r="CA209" s="42"/>
      <c r="CB209" s="42"/>
      <c r="CC209" s="42"/>
      <c r="CD209" s="42"/>
      <c r="CE209" s="42"/>
      <c r="CF209" s="42"/>
      <c r="CG209" s="42"/>
      <c r="CH209" s="42"/>
      <c r="CI209" s="42"/>
      <c r="CJ209" s="42"/>
      <c r="CK209" s="42"/>
      <c r="CL209" s="42"/>
      <c r="CM209" s="42"/>
      <c r="CN209" s="42"/>
      <c r="CO209" s="42"/>
      <c r="CP209" s="42"/>
      <c r="CQ209" s="42"/>
      <c r="CR209" s="42"/>
      <c r="CS209" s="42"/>
      <c r="CT209" s="42"/>
      <c r="CU209" s="42"/>
      <c r="CV209" s="42"/>
      <c r="CW209" s="42"/>
      <c r="CX209" s="42"/>
      <c r="CY209" s="42"/>
      <c r="CZ209" s="42"/>
      <c r="DA209" s="42"/>
      <c r="DB209" s="42"/>
      <c r="DC209" s="42"/>
      <c r="DD209" s="42"/>
      <c r="DE209" s="42"/>
      <c r="DF209" s="42"/>
      <c r="DG209" s="42"/>
      <c r="DH209" s="42"/>
      <c r="DI209" s="42"/>
      <c r="DJ209" s="42"/>
      <c r="DK209" s="42"/>
      <c r="DL209" s="42"/>
      <c r="DM209" s="42"/>
      <c r="DN209" s="42"/>
      <c r="DO209" s="42"/>
      <c r="DP209" s="42"/>
      <c r="DQ209" s="42"/>
      <c r="DR209" s="42"/>
      <c r="DS209" s="42"/>
      <c r="DT209" s="42"/>
      <c r="DU209" s="42"/>
      <c r="DV209" s="42"/>
      <c r="DW209" s="42"/>
      <c r="DX209" s="42"/>
      <c r="DY209" s="42"/>
      <c r="DZ209" s="42"/>
      <c r="EA209" s="42"/>
      <c r="EB209" s="42"/>
      <c r="EC209" s="42"/>
      <c r="ED209" s="42"/>
      <c r="EE209" s="42"/>
      <c r="EF209" s="42"/>
      <c r="EG209" s="42"/>
      <c r="EH209" s="42"/>
      <c r="EI209" s="42"/>
      <c r="EJ209" s="42"/>
      <c r="EK209" s="42"/>
      <c r="EL209" s="42"/>
      <c r="EM209" s="42"/>
      <c r="EN209" s="42"/>
      <c r="EO209" s="42"/>
      <c r="EP209" s="42"/>
      <c r="EQ209" s="42"/>
      <c r="ER209" s="42"/>
      <c r="ES209" s="42"/>
      <c r="ET209" s="42"/>
      <c r="EU209" s="42"/>
      <c r="EV209" s="42"/>
      <c r="EW209" s="42"/>
      <c r="EX209" s="42"/>
      <c r="EY209" s="42"/>
      <c r="EZ209" s="42"/>
      <c r="FA209" s="42"/>
      <c r="FB209" s="42"/>
      <c r="FC209" s="42"/>
      <c r="FD209" s="42"/>
      <c r="FE209" s="42"/>
      <c r="FF209" s="42"/>
      <c r="FG209" s="42"/>
      <c r="FH209" s="42"/>
      <c r="FI209" s="42"/>
      <c r="FJ209" s="42"/>
      <c r="FK209" s="42"/>
      <c r="FL209" s="42"/>
      <c r="FM209" s="42"/>
      <c r="FN209" s="42"/>
      <c r="FO209" s="42"/>
      <c r="FP209" s="42"/>
      <c r="FQ209" s="42"/>
      <c r="FR209" s="42"/>
      <c r="FS209" s="42"/>
      <c r="FT209" s="42"/>
      <c r="FU209" s="42"/>
      <c r="FV209" s="42"/>
      <c r="FW209" s="42"/>
      <c r="FX209" s="42"/>
      <c r="FY209" s="42"/>
      <c r="FZ209" s="42"/>
      <c r="GA209" s="42"/>
      <c r="GB209" s="42"/>
      <c r="GC209" s="42"/>
      <c r="GD209" s="42"/>
      <c r="GE209" s="42"/>
      <c r="GF209" s="42"/>
      <c r="GG209" s="42"/>
      <c r="GH209" s="42"/>
      <c r="GI209" s="42"/>
      <c r="GJ209" s="42"/>
      <c r="GK209" s="42"/>
      <c r="GL209" s="42"/>
      <c r="GM209" s="42"/>
      <c r="GN209" s="42"/>
      <c r="GO209" s="42"/>
      <c r="GP209" s="42"/>
      <c r="GQ209" s="42"/>
      <c r="GR209" s="42"/>
      <c r="GS209" s="42"/>
      <c r="GT209" s="42"/>
      <c r="GU209" s="42"/>
      <c r="GV209" s="42"/>
      <c r="GW209" s="42"/>
      <c r="GX209" s="42"/>
      <c r="GY209" s="42"/>
      <c r="GZ209" s="42"/>
      <c r="HA209" s="42"/>
      <c r="HB209" s="42"/>
      <c r="HC209" s="42"/>
      <c r="HD209" s="42"/>
      <c r="HE209" s="42"/>
      <c r="HF209" s="42"/>
      <c r="HG209" s="42"/>
      <c r="HH209" s="42"/>
      <c r="HI209" s="42"/>
      <c r="HJ209" s="42"/>
      <c r="HK209" s="42"/>
      <c r="HL209" s="42"/>
      <c r="HM209" s="42"/>
      <c r="HN209" s="42"/>
      <c r="HO209" s="42"/>
      <c r="HP209" s="42"/>
      <c r="HQ209" s="42"/>
      <c r="HR209" s="42"/>
      <c r="HS209" s="42"/>
      <c r="HT209" s="42"/>
      <c r="HU209" s="42"/>
      <c r="HV209" s="42"/>
      <c r="HW209" s="42"/>
      <c r="HX209" s="42"/>
      <c r="HY209" s="42"/>
      <c r="HZ209" s="42"/>
      <c r="IA209" s="42"/>
      <c r="IB209" s="42"/>
      <c r="IC209" s="42"/>
      <c r="ID209" s="42"/>
      <c r="IE209" s="42"/>
      <c r="IF209" s="42"/>
      <c r="IG209" s="42"/>
      <c r="IH209" s="42"/>
      <c r="II209" s="42"/>
      <c r="IJ209" s="42"/>
      <c r="IK209" s="42"/>
      <c r="IL209" s="42"/>
      <c r="IM209" s="42"/>
      <c r="IN209" s="42"/>
      <c r="IO209" s="42"/>
      <c r="IP209" s="42"/>
      <c r="IQ209" s="42"/>
      <c r="IR209" s="42"/>
      <c r="IS209" s="42"/>
      <c r="IT209" s="42"/>
      <c r="IU209" s="42"/>
      <c r="IV209" s="42"/>
      <c r="IW209" s="42"/>
      <c r="IX209" s="42"/>
      <c r="IY209" s="42"/>
      <c r="IZ209" s="42"/>
      <c r="JA209" s="42"/>
      <c r="JB209" s="42"/>
      <c r="JC209" s="42"/>
      <c r="JD209" s="42"/>
      <c r="JE209" s="42"/>
      <c r="JF209" s="42"/>
      <c r="JG209" s="42"/>
      <c r="JH209" s="42"/>
      <c r="JI209" s="42"/>
      <c r="JJ209" s="42"/>
      <c r="JK209" s="42"/>
      <c r="JL209" s="42"/>
      <c r="JM209" s="42"/>
      <c r="JN209" s="42"/>
      <c r="JO209" s="42"/>
      <c r="JP209" s="42"/>
      <c r="JQ209" s="42"/>
      <c r="JR209" s="42"/>
      <c r="JS209" s="42"/>
      <c r="JT209" s="42"/>
      <c r="JU209" s="42"/>
      <c r="JV209" s="42"/>
      <c r="JW209" s="42"/>
      <c r="JX209" s="42"/>
      <c r="JY209" s="42"/>
      <c r="JZ209" s="42"/>
      <c r="KA209" s="42"/>
      <c r="KB209" s="42"/>
      <c r="KC209" s="42"/>
      <c r="KD209" s="42"/>
      <c r="KE209" s="42"/>
      <c r="KF209" s="42"/>
      <c r="KG209" s="42"/>
      <c r="KH209" s="42"/>
      <c r="KI209" s="42"/>
      <c r="KJ209" s="42"/>
      <c r="KK209" s="42"/>
      <c r="KL209" s="42"/>
      <c r="KM209" s="42"/>
      <c r="KN209" s="42"/>
      <c r="KO209" s="42"/>
      <c r="KP209" s="42"/>
      <c r="KQ209" s="42"/>
      <c r="KR209" s="42"/>
      <c r="KS209" s="42"/>
      <c r="KT209" s="42"/>
      <c r="KU209" s="42"/>
      <c r="KV209" s="42"/>
      <c r="KW209" s="42"/>
      <c r="KX209" s="42"/>
      <c r="KY209" s="42"/>
      <c r="KZ209" s="42"/>
      <c r="LA209" s="42"/>
      <c r="LB209" s="42"/>
      <c r="LC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42"/>
      <c r="BB210" s="42"/>
      <c r="BC210" s="42"/>
      <c r="BD210" s="42"/>
      <c r="BE210" s="42"/>
      <c r="BF210" s="42"/>
      <c r="BG210" s="42"/>
      <c r="BH210" s="42"/>
      <c r="BI210" s="42"/>
      <c r="BJ210" s="42"/>
      <c r="BK210" s="42"/>
      <c r="BL210" s="42"/>
      <c r="BM210" s="42"/>
      <c r="BN210" s="42"/>
      <c r="BO210" s="42"/>
      <c r="BP210" s="42"/>
      <c r="BQ210" s="42"/>
      <c r="BR210" s="42"/>
      <c r="BS210" s="42"/>
      <c r="BT210" s="42"/>
      <c r="BU210" s="42"/>
      <c r="BV210" s="42"/>
      <c r="BW210" s="42"/>
      <c r="BX210" s="42"/>
      <c r="BY210" s="42"/>
      <c r="BZ210" s="42"/>
      <c r="CA210" s="42"/>
      <c r="CB210" s="42"/>
      <c r="CC210" s="42"/>
      <c r="CD210" s="42"/>
      <c r="CE210" s="42"/>
      <c r="CF210" s="42"/>
      <c r="CG210" s="42"/>
      <c r="CH210" s="42"/>
      <c r="CI210" s="42"/>
      <c r="CJ210" s="42"/>
      <c r="CK210" s="42"/>
      <c r="CL210" s="42"/>
      <c r="CM210" s="42"/>
      <c r="CN210" s="42"/>
      <c r="CO210" s="42"/>
      <c r="CP210" s="42"/>
      <c r="CQ210" s="42"/>
      <c r="CR210" s="42"/>
      <c r="CS210" s="42"/>
      <c r="CT210" s="42"/>
      <c r="CU210" s="42"/>
      <c r="CV210" s="42"/>
      <c r="CW210" s="42"/>
      <c r="CX210" s="42"/>
      <c r="CY210" s="42"/>
      <c r="CZ210" s="42"/>
      <c r="DA210" s="42"/>
      <c r="DB210" s="42"/>
      <c r="DC210" s="42"/>
      <c r="DD210" s="42"/>
      <c r="DE210" s="42"/>
      <c r="DF210" s="42"/>
      <c r="DG210" s="42"/>
      <c r="DH210" s="42"/>
      <c r="DI210" s="42"/>
      <c r="DJ210" s="42"/>
      <c r="DK210" s="42"/>
      <c r="DL210" s="42"/>
      <c r="DM210" s="42"/>
      <c r="DN210" s="42"/>
      <c r="DO210" s="42"/>
      <c r="DP210" s="42"/>
      <c r="DQ210" s="42"/>
      <c r="DR210" s="42"/>
      <c r="DS210" s="42"/>
      <c r="DT210" s="42"/>
      <c r="DU210" s="42"/>
      <c r="DV210" s="42"/>
      <c r="DW210" s="42"/>
      <c r="DX210" s="42"/>
      <c r="DY210" s="42"/>
      <c r="DZ210" s="42"/>
      <c r="EA210" s="42"/>
      <c r="EB210" s="42"/>
      <c r="EC210" s="42"/>
      <c r="ED210" s="42"/>
      <c r="EE210" s="42"/>
      <c r="EF210" s="42"/>
      <c r="EG210" s="42"/>
      <c r="EH210" s="42"/>
      <c r="EI210" s="42"/>
      <c r="EJ210" s="42"/>
      <c r="EK210" s="42"/>
      <c r="EL210" s="42"/>
      <c r="EM210" s="42"/>
      <c r="EN210" s="42"/>
      <c r="EO210" s="42"/>
      <c r="EP210" s="42"/>
      <c r="EQ210" s="42"/>
      <c r="ER210" s="42"/>
      <c r="ES210" s="42"/>
      <c r="ET210" s="42"/>
      <c r="EU210" s="42"/>
      <c r="EV210" s="42"/>
      <c r="EW210" s="42"/>
      <c r="EX210" s="42"/>
      <c r="EY210" s="42"/>
      <c r="EZ210" s="42"/>
      <c r="FA210" s="42"/>
      <c r="FB210" s="42"/>
      <c r="FC210" s="42"/>
      <c r="FD210" s="42"/>
      <c r="FE210" s="42"/>
      <c r="FF210" s="42"/>
      <c r="FG210" s="42"/>
      <c r="FH210" s="42"/>
      <c r="FI210" s="42"/>
      <c r="FJ210" s="42"/>
      <c r="FK210" s="42"/>
      <c r="FL210" s="42"/>
      <c r="FM210" s="42"/>
      <c r="FN210" s="42"/>
      <c r="FO210" s="42"/>
      <c r="FP210" s="42"/>
      <c r="FQ210" s="42"/>
      <c r="FR210" s="42"/>
      <c r="FS210" s="42"/>
      <c r="FT210" s="42"/>
      <c r="FU210" s="42"/>
      <c r="FV210" s="42"/>
      <c r="FW210" s="42"/>
      <c r="FX210" s="42"/>
      <c r="FY210" s="42"/>
      <c r="FZ210" s="42"/>
      <c r="GA210" s="42"/>
      <c r="GB210" s="42"/>
      <c r="GC210" s="42"/>
      <c r="GD210" s="42"/>
      <c r="GE210" s="42"/>
      <c r="GF210" s="42"/>
      <c r="GG210" s="42"/>
      <c r="GH210" s="42"/>
      <c r="GI210" s="42"/>
      <c r="GJ210" s="42"/>
      <c r="GK210" s="42"/>
      <c r="GL210" s="42"/>
      <c r="GM210" s="42"/>
      <c r="GN210" s="42"/>
      <c r="GO210" s="42"/>
      <c r="GP210" s="42"/>
      <c r="GQ210" s="42"/>
      <c r="GR210" s="42"/>
      <c r="GS210" s="42"/>
      <c r="GT210" s="42"/>
      <c r="GU210" s="42"/>
      <c r="GV210" s="42"/>
      <c r="GW210" s="42"/>
      <c r="GX210" s="42"/>
      <c r="GY210" s="42"/>
      <c r="GZ210" s="42"/>
      <c r="HA210" s="42"/>
      <c r="HB210" s="42"/>
      <c r="HC210" s="42"/>
      <c r="HD210" s="42"/>
      <c r="HE210" s="42"/>
      <c r="HF210" s="42"/>
      <c r="HG210" s="42"/>
      <c r="HH210" s="42"/>
      <c r="HI210" s="42"/>
      <c r="HJ210" s="42"/>
      <c r="HK210" s="42"/>
      <c r="HL210" s="42"/>
      <c r="HM210" s="42"/>
      <c r="HN210" s="42"/>
      <c r="HO210" s="42"/>
      <c r="HP210" s="42"/>
      <c r="HQ210" s="42"/>
      <c r="HR210" s="42"/>
      <c r="HS210" s="42"/>
      <c r="HT210" s="42"/>
      <c r="HU210" s="42"/>
      <c r="HV210" s="42"/>
      <c r="HW210" s="42"/>
      <c r="HX210" s="42"/>
      <c r="HY210" s="42"/>
      <c r="HZ210" s="42"/>
      <c r="IA210" s="42"/>
      <c r="IB210" s="42"/>
      <c r="IC210" s="42"/>
      <c r="ID210" s="42"/>
      <c r="IE210" s="42"/>
      <c r="IF210" s="42"/>
      <c r="IG210" s="42"/>
      <c r="IH210" s="42"/>
      <c r="II210" s="42"/>
      <c r="IJ210" s="42"/>
      <c r="IK210" s="42"/>
      <c r="IL210" s="42"/>
      <c r="IM210" s="42"/>
      <c r="IN210" s="42"/>
      <c r="IO210" s="42"/>
      <c r="IP210" s="42"/>
      <c r="IQ210" s="42"/>
      <c r="IR210" s="42"/>
      <c r="IS210" s="42"/>
      <c r="IT210" s="42"/>
      <c r="IU210" s="42"/>
      <c r="IV210" s="42"/>
      <c r="IW210" s="42"/>
      <c r="IX210" s="42"/>
      <c r="IY210" s="42"/>
      <c r="IZ210" s="42"/>
      <c r="JA210" s="42"/>
      <c r="JB210" s="42"/>
      <c r="JC210" s="42"/>
      <c r="JD210" s="42"/>
      <c r="JE210" s="42"/>
      <c r="JF210" s="42"/>
      <c r="JG210" s="42"/>
      <c r="JH210" s="42"/>
      <c r="JI210" s="42"/>
      <c r="JJ210" s="42"/>
      <c r="JK210" s="42"/>
      <c r="JL210" s="42"/>
      <c r="JM210" s="42"/>
      <c r="JN210" s="42"/>
      <c r="JO210" s="42"/>
      <c r="JP210" s="42"/>
      <c r="JQ210" s="42"/>
      <c r="JR210" s="42"/>
      <c r="JS210" s="42"/>
      <c r="JT210" s="42"/>
      <c r="JU210" s="42"/>
      <c r="JV210" s="42"/>
      <c r="JW210" s="42"/>
      <c r="JX210" s="42"/>
      <c r="JY210" s="42"/>
      <c r="JZ210" s="42"/>
      <c r="KA210" s="42"/>
      <c r="KB210" s="42"/>
      <c r="KC210" s="42"/>
      <c r="KD210" s="42"/>
      <c r="KE210" s="42"/>
      <c r="KF210" s="42"/>
      <c r="KG210" s="42"/>
      <c r="KH210" s="42"/>
      <c r="KI210" s="42"/>
      <c r="KJ210" s="42"/>
      <c r="KK210" s="42"/>
      <c r="KL210" s="42"/>
      <c r="KM210" s="42"/>
      <c r="KN210" s="42"/>
      <c r="KO210" s="42"/>
      <c r="KP210" s="42"/>
      <c r="KQ210" s="42"/>
      <c r="KR210" s="42"/>
      <c r="KS210" s="42"/>
      <c r="KT210" s="42"/>
      <c r="KU210" s="42"/>
      <c r="KV210" s="42"/>
      <c r="KW210" s="42"/>
      <c r="KX210" s="42"/>
      <c r="KY210" s="42"/>
      <c r="KZ210" s="42"/>
      <c r="LA210" s="42"/>
      <c r="LB210" s="42"/>
      <c r="LC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42"/>
      <c r="BB211" s="42"/>
      <c r="BC211" s="42"/>
      <c r="BD211" s="42"/>
      <c r="BE211" s="42"/>
      <c r="BF211" s="42"/>
      <c r="BG211" s="42"/>
      <c r="BH211" s="42"/>
      <c r="BI211" s="42"/>
      <c r="BJ211" s="42"/>
      <c r="BK211" s="42"/>
      <c r="BL211" s="42"/>
      <c r="BM211" s="42"/>
      <c r="BN211" s="42"/>
      <c r="BO211" s="42"/>
      <c r="BP211" s="42"/>
      <c r="BQ211" s="42"/>
      <c r="BR211" s="42"/>
      <c r="BS211" s="42"/>
      <c r="BT211" s="42"/>
      <c r="BU211" s="42"/>
      <c r="BV211" s="42"/>
      <c r="BW211" s="42"/>
      <c r="BX211" s="42"/>
      <c r="BY211" s="42"/>
      <c r="BZ211" s="42"/>
      <c r="CA211" s="42"/>
      <c r="CB211" s="42"/>
      <c r="CC211" s="42"/>
      <c r="CD211" s="42"/>
      <c r="CE211" s="42"/>
      <c r="CF211" s="42"/>
      <c r="CG211" s="42"/>
      <c r="CH211" s="42"/>
      <c r="CI211" s="42"/>
      <c r="CJ211" s="42"/>
      <c r="CK211" s="42"/>
      <c r="CL211" s="42"/>
      <c r="CM211" s="42"/>
      <c r="CN211" s="42"/>
      <c r="CO211" s="42"/>
      <c r="CP211" s="42"/>
      <c r="CQ211" s="42"/>
      <c r="CR211" s="42"/>
      <c r="CS211" s="42"/>
      <c r="CT211" s="42"/>
      <c r="CU211" s="42"/>
      <c r="CV211" s="42"/>
      <c r="CW211" s="42"/>
      <c r="CX211" s="42"/>
      <c r="CY211" s="42"/>
      <c r="CZ211" s="42"/>
      <c r="DA211" s="42"/>
      <c r="DB211" s="42"/>
      <c r="DC211" s="42"/>
      <c r="DD211" s="42"/>
      <c r="DE211" s="42"/>
      <c r="DF211" s="42"/>
      <c r="DG211" s="42"/>
      <c r="DH211" s="42"/>
      <c r="DI211" s="42"/>
      <c r="DJ211" s="42"/>
      <c r="DK211" s="42"/>
      <c r="DL211" s="42"/>
      <c r="DM211" s="42"/>
      <c r="DN211" s="42"/>
      <c r="DO211" s="42"/>
      <c r="DP211" s="42"/>
      <c r="DQ211" s="42"/>
      <c r="DR211" s="42"/>
      <c r="DS211" s="42"/>
      <c r="DT211" s="42"/>
      <c r="DU211" s="42"/>
      <c r="DV211" s="42"/>
      <c r="DW211" s="42"/>
      <c r="DX211" s="42"/>
      <c r="DY211" s="42"/>
      <c r="DZ211" s="42"/>
      <c r="EA211" s="42"/>
      <c r="EB211" s="42"/>
      <c r="EC211" s="42"/>
      <c r="ED211" s="42"/>
      <c r="EE211" s="42"/>
      <c r="EF211" s="42"/>
      <c r="EG211" s="42"/>
      <c r="EH211" s="42"/>
      <c r="EI211" s="42"/>
      <c r="EJ211" s="42"/>
      <c r="EK211" s="42"/>
      <c r="EL211" s="42"/>
      <c r="EM211" s="42"/>
      <c r="EN211" s="42"/>
      <c r="EO211" s="42"/>
      <c r="EP211" s="42"/>
      <c r="EQ211" s="42"/>
      <c r="ER211" s="42"/>
      <c r="ES211" s="42"/>
      <c r="ET211" s="42"/>
      <c r="EU211" s="42"/>
      <c r="EV211" s="42"/>
      <c r="EW211" s="42"/>
      <c r="EX211" s="42"/>
      <c r="EY211" s="42"/>
      <c r="EZ211" s="42"/>
      <c r="FA211" s="42"/>
      <c r="FB211" s="42"/>
      <c r="FC211" s="42"/>
      <c r="FD211" s="42"/>
      <c r="FE211" s="42"/>
      <c r="FF211" s="42"/>
      <c r="FG211" s="42"/>
      <c r="FH211" s="42"/>
      <c r="FI211" s="42"/>
      <c r="FJ211" s="42"/>
      <c r="FK211" s="42"/>
      <c r="FL211" s="42"/>
      <c r="FM211" s="42"/>
      <c r="FN211" s="42"/>
      <c r="FO211" s="42"/>
      <c r="FP211" s="42"/>
      <c r="FQ211" s="42"/>
      <c r="FR211" s="42"/>
      <c r="FS211" s="42"/>
      <c r="FT211" s="42"/>
      <c r="FU211" s="42"/>
      <c r="FV211" s="42"/>
      <c r="FW211" s="42"/>
      <c r="FX211" s="42"/>
      <c r="FY211" s="42"/>
      <c r="FZ211" s="42"/>
      <c r="GA211" s="42"/>
      <c r="GB211" s="42"/>
      <c r="GC211" s="42"/>
      <c r="GD211" s="42"/>
      <c r="GE211" s="42"/>
      <c r="GF211" s="42"/>
      <c r="GG211" s="42"/>
      <c r="GH211" s="42"/>
      <c r="GI211" s="42"/>
      <c r="GJ211" s="42"/>
      <c r="GK211" s="42"/>
      <c r="GL211" s="42"/>
      <c r="GM211" s="42"/>
      <c r="GN211" s="42"/>
      <c r="GO211" s="42"/>
      <c r="GP211" s="42"/>
      <c r="GQ211" s="42"/>
      <c r="GR211" s="42"/>
      <c r="GS211" s="42"/>
      <c r="GT211" s="42"/>
      <c r="GU211" s="42"/>
      <c r="GV211" s="42"/>
      <c r="GW211" s="42"/>
      <c r="GX211" s="42"/>
      <c r="GY211" s="42"/>
      <c r="GZ211" s="42"/>
      <c r="HA211" s="42"/>
      <c r="HB211" s="42"/>
      <c r="HC211" s="42"/>
      <c r="HD211" s="42"/>
      <c r="HE211" s="42"/>
      <c r="HF211" s="42"/>
      <c r="HG211" s="42"/>
      <c r="HH211" s="42"/>
      <c r="HI211" s="42"/>
      <c r="HJ211" s="42"/>
      <c r="HK211" s="42"/>
      <c r="HL211" s="42"/>
      <c r="HM211" s="42"/>
      <c r="HN211" s="42"/>
      <c r="HO211" s="42"/>
      <c r="HP211" s="42"/>
      <c r="HQ211" s="42"/>
      <c r="HR211" s="42"/>
      <c r="HS211" s="42"/>
      <c r="HT211" s="42"/>
      <c r="HU211" s="42"/>
      <c r="HV211" s="42"/>
      <c r="HW211" s="42"/>
      <c r="HX211" s="42"/>
      <c r="HY211" s="42"/>
      <c r="HZ211" s="42"/>
      <c r="IA211" s="42"/>
      <c r="IB211" s="42"/>
      <c r="IC211" s="42"/>
      <c r="ID211" s="42"/>
      <c r="IE211" s="42"/>
      <c r="IF211" s="42"/>
      <c r="IG211" s="42"/>
      <c r="IH211" s="42"/>
      <c r="II211" s="42"/>
      <c r="IJ211" s="42"/>
      <c r="IK211" s="42"/>
      <c r="IL211" s="42"/>
      <c r="IM211" s="42"/>
      <c r="IN211" s="42"/>
      <c r="IO211" s="42"/>
      <c r="IP211" s="42"/>
      <c r="IQ211" s="42"/>
      <c r="IR211" s="42"/>
      <c r="IS211" s="42"/>
      <c r="IT211" s="42"/>
      <c r="IU211" s="42"/>
      <c r="IV211" s="42"/>
      <c r="IW211" s="42"/>
      <c r="IX211" s="42"/>
      <c r="IY211" s="42"/>
      <c r="IZ211" s="42"/>
      <c r="JA211" s="42"/>
      <c r="JB211" s="42"/>
      <c r="JC211" s="42"/>
      <c r="JD211" s="42"/>
      <c r="JE211" s="42"/>
      <c r="JF211" s="42"/>
      <c r="JG211" s="42"/>
      <c r="JH211" s="42"/>
      <c r="JI211" s="42"/>
      <c r="JJ211" s="42"/>
      <c r="JK211" s="42"/>
      <c r="JL211" s="42"/>
      <c r="JM211" s="42"/>
      <c r="JN211" s="42"/>
      <c r="JO211" s="42"/>
      <c r="JP211" s="42"/>
      <c r="JQ211" s="42"/>
      <c r="JR211" s="42"/>
      <c r="JS211" s="42"/>
      <c r="JT211" s="42"/>
      <c r="JU211" s="42"/>
      <c r="JV211" s="42"/>
      <c r="JW211" s="42"/>
      <c r="JX211" s="42"/>
      <c r="JY211" s="42"/>
      <c r="JZ211" s="42"/>
      <c r="KA211" s="42"/>
      <c r="KB211" s="42"/>
      <c r="KC211" s="42"/>
      <c r="KD211" s="42"/>
      <c r="KE211" s="42"/>
      <c r="KF211" s="42"/>
      <c r="KG211" s="42"/>
      <c r="KH211" s="42"/>
      <c r="KI211" s="42"/>
      <c r="KJ211" s="42"/>
      <c r="KK211" s="42"/>
      <c r="KL211" s="42"/>
      <c r="KM211" s="42"/>
      <c r="KN211" s="42"/>
      <c r="KO211" s="42"/>
      <c r="KP211" s="42"/>
      <c r="KQ211" s="42"/>
      <c r="KR211" s="42"/>
      <c r="KS211" s="42"/>
      <c r="KT211" s="42"/>
      <c r="KU211" s="42"/>
      <c r="KV211" s="42"/>
      <c r="KW211" s="42"/>
      <c r="KX211" s="42"/>
      <c r="KY211" s="42"/>
      <c r="KZ211" s="42"/>
      <c r="LA211" s="42"/>
      <c r="LB211" s="42"/>
      <c r="LC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c r="AS212" s="42"/>
      <c r="AT212" s="42"/>
      <c r="AU212" s="42"/>
      <c r="AV212" s="42"/>
      <c r="AW212" s="42"/>
      <c r="AX212" s="42"/>
      <c r="AY212" s="42"/>
      <c r="AZ212" s="42"/>
      <c r="BA212" s="42"/>
      <c r="BB212" s="42"/>
      <c r="BC212" s="42"/>
      <c r="BD212" s="42"/>
      <c r="BE212" s="42"/>
      <c r="BF212" s="42"/>
      <c r="BG212" s="42"/>
      <c r="BH212" s="42"/>
      <c r="BI212" s="42"/>
      <c r="BJ212" s="42"/>
      <c r="BK212" s="42"/>
      <c r="BL212" s="42"/>
      <c r="BM212" s="42"/>
      <c r="BN212" s="42"/>
      <c r="BO212" s="42"/>
      <c r="BP212" s="42"/>
      <c r="BQ212" s="42"/>
      <c r="BR212" s="42"/>
      <c r="BS212" s="42"/>
      <c r="BT212" s="42"/>
      <c r="BU212" s="42"/>
      <c r="BV212" s="42"/>
      <c r="BW212" s="42"/>
      <c r="BX212" s="42"/>
      <c r="BY212" s="42"/>
      <c r="BZ212" s="42"/>
      <c r="CA212" s="42"/>
      <c r="CB212" s="42"/>
      <c r="CC212" s="42"/>
      <c r="CD212" s="42"/>
      <c r="CE212" s="42"/>
      <c r="CF212" s="42"/>
      <c r="CG212" s="42"/>
      <c r="CH212" s="42"/>
      <c r="CI212" s="42"/>
      <c r="CJ212" s="42"/>
      <c r="CK212" s="42"/>
      <c r="CL212" s="42"/>
      <c r="CM212" s="42"/>
      <c r="CN212" s="42"/>
      <c r="CO212" s="42"/>
      <c r="CP212" s="42"/>
      <c r="CQ212" s="42"/>
      <c r="CR212" s="42"/>
      <c r="CS212" s="42"/>
      <c r="CT212" s="42"/>
      <c r="CU212" s="42"/>
      <c r="CV212" s="42"/>
      <c r="CW212" s="42"/>
      <c r="CX212" s="42"/>
      <c r="CY212" s="42"/>
      <c r="CZ212" s="42"/>
      <c r="DA212" s="42"/>
      <c r="DB212" s="42"/>
      <c r="DC212" s="42"/>
      <c r="DD212" s="42"/>
      <c r="DE212" s="42"/>
      <c r="DF212" s="42"/>
      <c r="DG212" s="42"/>
      <c r="DH212" s="42"/>
      <c r="DI212" s="42"/>
      <c r="DJ212" s="42"/>
      <c r="DK212" s="42"/>
      <c r="DL212" s="42"/>
      <c r="DM212" s="42"/>
      <c r="DN212" s="42"/>
      <c r="DO212" s="42"/>
      <c r="DP212" s="42"/>
      <c r="DQ212" s="42"/>
      <c r="DR212" s="42"/>
      <c r="DS212" s="42"/>
      <c r="DT212" s="42"/>
      <c r="DU212" s="42"/>
      <c r="DV212" s="42"/>
      <c r="DW212" s="42"/>
      <c r="DX212" s="42"/>
      <c r="DY212" s="42"/>
      <c r="DZ212" s="42"/>
      <c r="EA212" s="42"/>
      <c r="EB212" s="42"/>
      <c r="EC212" s="42"/>
      <c r="ED212" s="42"/>
      <c r="EE212" s="42"/>
      <c r="EF212" s="42"/>
      <c r="EG212" s="42"/>
      <c r="EH212" s="42"/>
      <c r="EI212" s="42"/>
      <c r="EJ212" s="42"/>
      <c r="EK212" s="42"/>
      <c r="EL212" s="42"/>
      <c r="EM212" s="42"/>
      <c r="EN212" s="42"/>
      <c r="EO212" s="42"/>
      <c r="EP212" s="42"/>
      <c r="EQ212" s="42"/>
      <c r="ER212" s="42"/>
      <c r="ES212" s="42"/>
      <c r="ET212" s="42"/>
      <c r="EU212" s="42"/>
      <c r="EV212" s="42"/>
      <c r="EW212" s="42"/>
      <c r="EX212" s="42"/>
      <c r="EY212" s="42"/>
      <c r="EZ212" s="42"/>
      <c r="FA212" s="42"/>
      <c r="FB212" s="42"/>
      <c r="FC212" s="42"/>
      <c r="FD212" s="42"/>
      <c r="FE212" s="42"/>
      <c r="FF212" s="42"/>
      <c r="FG212" s="42"/>
      <c r="FH212" s="42"/>
      <c r="FI212" s="42"/>
      <c r="FJ212" s="42"/>
      <c r="FK212" s="42"/>
      <c r="FL212" s="42"/>
      <c r="FM212" s="42"/>
      <c r="FN212" s="42"/>
      <c r="FO212" s="42"/>
      <c r="FP212" s="42"/>
      <c r="FQ212" s="42"/>
      <c r="FR212" s="42"/>
      <c r="FS212" s="42"/>
      <c r="FT212" s="42"/>
      <c r="FU212" s="42"/>
      <c r="FV212" s="42"/>
      <c r="FW212" s="42"/>
      <c r="FX212" s="42"/>
      <c r="FY212" s="42"/>
      <c r="FZ212" s="42"/>
      <c r="GA212" s="42"/>
      <c r="GB212" s="42"/>
      <c r="GC212" s="42"/>
      <c r="GD212" s="42"/>
      <c r="GE212" s="42"/>
      <c r="GF212" s="42"/>
      <c r="GG212" s="42"/>
      <c r="GH212" s="42"/>
      <c r="GI212" s="42"/>
      <c r="GJ212" s="42"/>
      <c r="GK212" s="42"/>
      <c r="GL212" s="42"/>
      <c r="GM212" s="42"/>
      <c r="GN212" s="42"/>
      <c r="GO212" s="42"/>
      <c r="GP212" s="42"/>
      <c r="GQ212" s="42"/>
      <c r="GR212" s="42"/>
      <c r="GS212" s="42"/>
      <c r="GT212" s="42"/>
      <c r="GU212" s="42"/>
      <c r="GV212" s="42"/>
      <c r="GW212" s="42"/>
      <c r="GX212" s="42"/>
      <c r="GY212" s="42"/>
      <c r="GZ212" s="42"/>
      <c r="HA212" s="42"/>
      <c r="HB212" s="42"/>
      <c r="HC212" s="42"/>
      <c r="HD212" s="42"/>
      <c r="HE212" s="42"/>
      <c r="HF212" s="42"/>
      <c r="HG212" s="42"/>
      <c r="HH212" s="42"/>
      <c r="HI212" s="42"/>
      <c r="HJ212" s="42"/>
      <c r="HK212" s="42"/>
      <c r="HL212" s="42"/>
      <c r="HM212" s="42"/>
      <c r="HN212" s="42"/>
      <c r="HO212" s="42"/>
      <c r="HP212" s="42"/>
      <c r="HQ212" s="42"/>
      <c r="HR212" s="42"/>
      <c r="HS212" s="42"/>
      <c r="HT212" s="42"/>
      <c r="HU212" s="42"/>
      <c r="HV212" s="42"/>
      <c r="HW212" s="42"/>
      <c r="HX212" s="42"/>
      <c r="HY212" s="42"/>
      <c r="HZ212" s="42"/>
      <c r="IA212" s="42"/>
      <c r="IB212" s="42"/>
      <c r="IC212" s="42"/>
      <c r="ID212" s="42"/>
      <c r="IE212" s="42"/>
      <c r="IF212" s="42"/>
      <c r="IG212" s="42"/>
      <c r="IH212" s="42"/>
      <c r="II212" s="42"/>
      <c r="IJ212" s="42"/>
      <c r="IK212" s="42"/>
      <c r="IL212" s="42"/>
      <c r="IM212" s="42"/>
      <c r="IN212" s="42"/>
      <c r="IO212" s="42"/>
      <c r="IP212" s="42"/>
      <c r="IQ212" s="42"/>
      <c r="IR212" s="42"/>
      <c r="IS212" s="42"/>
      <c r="IT212" s="42"/>
      <c r="IU212" s="42"/>
      <c r="IV212" s="42"/>
      <c r="IW212" s="42"/>
      <c r="IX212" s="42"/>
      <c r="IY212" s="42"/>
      <c r="IZ212" s="42"/>
      <c r="JA212" s="42"/>
      <c r="JB212" s="42"/>
      <c r="JC212" s="42"/>
      <c r="JD212" s="42"/>
      <c r="JE212" s="42"/>
      <c r="JF212" s="42"/>
      <c r="JG212" s="42"/>
      <c r="JH212" s="42"/>
      <c r="JI212" s="42"/>
      <c r="JJ212" s="42"/>
      <c r="JK212" s="42"/>
      <c r="JL212" s="42"/>
      <c r="JM212" s="42"/>
      <c r="JN212" s="42"/>
      <c r="JO212" s="42"/>
      <c r="JP212" s="42"/>
      <c r="JQ212" s="42"/>
      <c r="JR212" s="42"/>
      <c r="JS212" s="42"/>
      <c r="JT212" s="42"/>
      <c r="JU212" s="42"/>
      <c r="JV212" s="42"/>
      <c r="JW212" s="42"/>
      <c r="JX212" s="42"/>
      <c r="JY212" s="42"/>
      <c r="JZ212" s="42"/>
      <c r="KA212" s="42"/>
      <c r="KB212" s="42"/>
      <c r="KC212" s="42"/>
      <c r="KD212" s="42"/>
      <c r="KE212" s="42"/>
      <c r="KF212" s="42"/>
      <c r="KG212" s="42"/>
      <c r="KH212" s="42"/>
      <c r="KI212" s="42"/>
      <c r="KJ212" s="42"/>
      <c r="KK212" s="42"/>
      <c r="KL212" s="42"/>
      <c r="KM212" s="42"/>
      <c r="KN212" s="42"/>
      <c r="KO212" s="42"/>
      <c r="KP212" s="42"/>
      <c r="KQ212" s="42"/>
      <c r="KR212" s="42"/>
      <c r="KS212" s="42"/>
      <c r="KT212" s="42"/>
      <c r="KU212" s="42"/>
      <c r="KV212" s="42"/>
      <c r="KW212" s="42"/>
      <c r="KX212" s="42"/>
      <c r="KY212" s="42"/>
      <c r="KZ212" s="42"/>
      <c r="LA212" s="42"/>
      <c r="LB212" s="42"/>
      <c r="LC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2"/>
      <c r="AN213" s="42"/>
      <c r="AO213" s="42"/>
      <c r="AP213" s="42"/>
      <c r="AQ213" s="42"/>
      <c r="AR213" s="42"/>
      <c r="AS213" s="42"/>
      <c r="AT213" s="42"/>
      <c r="AU213" s="42"/>
      <c r="AV213" s="42"/>
      <c r="AW213" s="42"/>
      <c r="AX213" s="42"/>
      <c r="AY213" s="42"/>
      <c r="AZ213" s="42"/>
      <c r="BA213" s="42"/>
      <c r="BB213" s="42"/>
      <c r="BC213" s="42"/>
      <c r="BD213" s="42"/>
      <c r="BE213" s="42"/>
      <c r="BF213" s="42"/>
      <c r="BG213" s="42"/>
      <c r="BH213" s="42"/>
      <c r="BI213" s="42"/>
      <c r="BJ213" s="42"/>
      <c r="BK213" s="42"/>
      <c r="BL213" s="42"/>
      <c r="BM213" s="42"/>
      <c r="BN213" s="42"/>
      <c r="BO213" s="42"/>
      <c r="BP213" s="42"/>
      <c r="BQ213" s="42"/>
      <c r="BR213" s="42"/>
      <c r="BS213" s="42"/>
      <c r="BT213" s="42"/>
      <c r="BU213" s="42"/>
      <c r="BV213" s="42"/>
      <c r="BW213" s="42"/>
      <c r="BX213" s="42"/>
      <c r="BY213" s="42"/>
      <c r="BZ213" s="42"/>
      <c r="CA213" s="42"/>
      <c r="CB213" s="42"/>
      <c r="CC213" s="42"/>
      <c r="CD213" s="42"/>
      <c r="CE213" s="42"/>
      <c r="CF213" s="42"/>
      <c r="CG213" s="42"/>
      <c r="CH213" s="42"/>
      <c r="CI213" s="42"/>
      <c r="CJ213" s="42"/>
      <c r="CK213" s="42"/>
      <c r="CL213" s="42"/>
      <c r="CM213" s="42"/>
      <c r="CN213" s="42"/>
      <c r="CO213" s="42"/>
      <c r="CP213" s="42"/>
      <c r="CQ213" s="42"/>
      <c r="CR213" s="42"/>
      <c r="CS213" s="42"/>
      <c r="CT213" s="42"/>
      <c r="CU213" s="42"/>
      <c r="CV213" s="42"/>
      <c r="CW213" s="42"/>
      <c r="CX213" s="42"/>
      <c r="CY213" s="42"/>
      <c r="CZ213" s="42"/>
      <c r="DA213" s="42"/>
      <c r="DB213" s="42"/>
      <c r="DC213" s="42"/>
      <c r="DD213" s="42"/>
      <c r="DE213" s="42"/>
      <c r="DF213" s="42"/>
      <c r="DG213" s="42"/>
      <c r="DH213" s="42"/>
      <c r="DI213" s="42"/>
      <c r="DJ213" s="42"/>
      <c r="DK213" s="42"/>
      <c r="DL213" s="42"/>
      <c r="DM213" s="42"/>
      <c r="DN213" s="42"/>
      <c r="DO213" s="42"/>
      <c r="DP213" s="42"/>
      <c r="DQ213" s="42"/>
      <c r="DR213" s="42"/>
      <c r="DS213" s="42"/>
      <c r="DT213" s="42"/>
      <c r="DU213" s="42"/>
      <c r="DV213" s="42"/>
      <c r="DW213" s="42"/>
      <c r="DX213" s="42"/>
      <c r="DY213" s="42"/>
      <c r="DZ213" s="42"/>
      <c r="EA213" s="42"/>
      <c r="EB213" s="42"/>
      <c r="EC213" s="42"/>
      <c r="ED213" s="42"/>
      <c r="EE213" s="42"/>
      <c r="EF213" s="42"/>
      <c r="EG213" s="42"/>
      <c r="EH213" s="42"/>
      <c r="EI213" s="42"/>
      <c r="EJ213" s="42"/>
      <c r="EK213" s="42"/>
      <c r="EL213" s="42"/>
      <c r="EM213" s="42"/>
      <c r="EN213" s="42"/>
      <c r="EO213" s="42"/>
      <c r="EP213" s="42"/>
      <c r="EQ213" s="42"/>
      <c r="ER213" s="42"/>
      <c r="ES213" s="42"/>
      <c r="ET213" s="42"/>
      <c r="EU213" s="42"/>
      <c r="EV213" s="42"/>
      <c r="EW213" s="42"/>
      <c r="EX213" s="42"/>
      <c r="EY213" s="42"/>
      <c r="EZ213" s="42"/>
      <c r="FA213" s="42"/>
      <c r="FB213" s="42"/>
      <c r="FC213" s="42"/>
      <c r="FD213" s="42"/>
      <c r="FE213" s="42"/>
      <c r="FF213" s="42"/>
      <c r="FG213" s="42"/>
      <c r="FH213" s="42"/>
      <c r="FI213" s="42"/>
      <c r="FJ213" s="42"/>
      <c r="FK213" s="42"/>
      <c r="FL213" s="42"/>
      <c r="FM213" s="42"/>
      <c r="FN213" s="42"/>
      <c r="FO213" s="42"/>
      <c r="FP213" s="42"/>
      <c r="FQ213" s="42"/>
      <c r="FR213" s="42"/>
      <c r="FS213" s="42"/>
      <c r="FT213" s="42"/>
      <c r="FU213" s="42"/>
      <c r="FV213" s="42"/>
      <c r="FW213" s="42"/>
      <c r="FX213" s="42"/>
      <c r="FY213" s="42"/>
      <c r="FZ213" s="42"/>
      <c r="GA213" s="42"/>
      <c r="GB213" s="42"/>
      <c r="GC213" s="42"/>
      <c r="GD213" s="42"/>
      <c r="GE213" s="42"/>
      <c r="GF213" s="42"/>
      <c r="GG213" s="42"/>
      <c r="GH213" s="42"/>
      <c r="GI213" s="42"/>
      <c r="GJ213" s="42"/>
      <c r="GK213" s="42"/>
      <c r="GL213" s="42"/>
      <c r="GM213" s="42"/>
      <c r="GN213" s="42"/>
      <c r="GO213" s="42"/>
      <c r="GP213" s="42"/>
      <c r="GQ213" s="42"/>
      <c r="GR213" s="42"/>
      <c r="GS213" s="42"/>
      <c r="GT213" s="42"/>
      <c r="GU213" s="42"/>
      <c r="GV213" s="42"/>
      <c r="GW213" s="42"/>
      <c r="GX213" s="42"/>
      <c r="GY213" s="42"/>
      <c r="GZ213" s="42"/>
      <c r="HA213" s="42"/>
      <c r="HB213" s="42"/>
      <c r="HC213" s="42"/>
      <c r="HD213" s="42"/>
      <c r="HE213" s="42"/>
      <c r="HF213" s="42"/>
      <c r="HG213" s="42"/>
      <c r="HH213" s="42"/>
      <c r="HI213" s="42"/>
      <c r="HJ213" s="42"/>
      <c r="HK213" s="42"/>
      <c r="HL213" s="42"/>
      <c r="HM213" s="42"/>
      <c r="HN213" s="42"/>
      <c r="HO213" s="42"/>
      <c r="HP213" s="42"/>
      <c r="HQ213" s="42"/>
      <c r="HR213" s="42"/>
      <c r="HS213" s="42"/>
      <c r="HT213" s="42"/>
      <c r="HU213" s="42"/>
      <c r="HV213" s="42"/>
      <c r="HW213" s="42"/>
      <c r="HX213" s="42"/>
      <c r="HY213" s="42"/>
      <c r="HZ213" s="42"/>
      <c r="IA213" s="42"/>
      <c r="IB213" s="42"/>
      <c r="IC213" s="42"/>
      <c r="ID213" s="42"/>
      <c r="IE213" s="42"/>
      <c r="IF213" s="42"/>
      <c r="IG213" s="42"/>
      <c r="IH213" s="42"/>
      <c r="II213" s="42"/>
      <c r="IJ213" s="42"/>
      <c r="IK213" s="42"/>
      <c r="IL213" s="42"/>
      <c r="IM213" s="42"/>
      <c r="IN213" s="42"/>
      <c r="IO213" s="42"/>
      <c r="IP213" s="42"/>
      <c r="IQ213" s="42"/>
      <c r="IR213" s="42"/>
      <c r="IS213" s="42"/>
      <c r="IT213" s="42"/>
      <c r="IU213" s="42"/>
      <c r="IV213" s="42"/>
      <c r="IW213" s="42"/>
      <c r="IX213" s="42"/>
      <c r="IY213" s="42"/>
      <c r="IZ213" s="42"/>
      <c r="JA213" s="42"/>
      <c r="JB213" s="42"/>
      <c r="JC213" s="42"/>
      <c r="JD213" s="42"/>
      <c r="JE213" s="42"/>
      <c r="JF213" s="42"/>
      <c r="JG213" s="42"/>
      <c r="JH213" s="42"/>
      <c r="JI213" s="42"/>
      <c r="JJ213" s="42"/>
      <c r="JK213" s="42"/>
      <c r="JL213" s="42"/>
      <c r="JM213" s="42"/>
      <c r="JN213" s="42"/>
      <c r="JO213" s="42"/>
      <c r="JP213" s="42"/>
      <c r="JQ213" s="42"/>
      <c r="JR213" s="42"/>
      <c r="JS213" s="42"/>
      <c r="JT213" s="42"/>
      <c r="JU213" s="42"/>
      <c r="JV213" s="42"/>
      <c r="JW213" s="42"/>
      <c r="JX213" s="42"/>
      <c r="JY213" s="42"/>
      <c r="JZ213" s="42"/>
      <c r="KA213" s="42"/>
      <c r="KB213" s="42"/>
      <c r="KC213" s="42"/>
      <c r="KD213" s="42"/>
      <c r="KE213" s="42"/>
      <c r="KF213" s="42"/>
      <c r="KG213" s="42"/>
      <c r="KH213" s="42"/>
      <c r="KI213" s="42"/>
      <c r="KJ213" s="42"/>
      <c r="KK213" s="42"/>
      <c r="KL213" s="42"/>
      <c r="KM213" s="42"/>
      <c r="KN213" s="42"/>
      <c r="KO213" s="42"/>
      <c r="KP213" s="42"/>
      <c r="KQ213" s="42"/>
      <c r="KR213" s="42"/>
      <c r="KS213" s="42"/>
      <c r="KT213" s="42"/>
      <c r="KU213" s="42"/>
      <c r="KV213" s="42"/>
      <c r="KW213" s="42"/>
      <c r="KX213" s="42"/>
      <c r="KY213" s="42"/>
      <c r="KZ213" s="42"/>
      <c r="LA213" s="42"/>
      <c r="LB213" s="42"/>
      <c r="LC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2"/>
      <c r="AN214" s="42"/>
      <c r="AO214" s="42"/>
      <c r="AP214" s="42"/>
      <c r="AQ214" s="42"/>
      <c r="AR214" s="42"/>
      <c r="AS214" s="42"/>
      <c r="AT214" s="42"/>
      <c r="AU214" s="42"/>
      <c r="AV214" s="42"/>
      <c r="AW214" s="42"/>
      <c r="AX214" s="42"/>
      <c r="AY214" s="42"/>
      <c r="AZ214" s="42"/>
      <c r="BA214" s="42"/>
      <c r="BB214" s="42"/>
      <c r="BC214" s="42"/>
      <c r="BD214" s="42"/>
      <c r="BE214" s="42"/>
      <c r="BF214" s="42"/>
      <c r="BG214" s="42"/>
      <c r="BH214" s="42"/>
      <c r="BI214" s="42"/>
      <c r="BJ214" s="42"/>
      <c r="BK214" s="42"/>
      <c r="BL214" s="42"/>
      <c r="BM214" s="42"/>
      <c r="BN214" s="42"/>
      <c r="BO214" s="42"/>
      <c r="BP214" s="42"/>
      <c r="BQ214" s="42"/>
      <c r="BR214" s="42"/>
      <c r="BS214" s="42"/>
      <c r="BT214" s="42"/>
      <c r="BU214" s="42"/>
      <c r="BV214" s="42"/>
      <c r="BW214" s="42"/>
      <c r="BX214" s="42"/>
      <c r="BY214" s="42"/>
      <c r="BZ214" s="42"/>
      <c r="CA214" s="42"/>
      <c r="CB214" s="42"/>
      <c r="CC214" s="42"/>
      <c r="CD214" s="42"/>
      <c r="CE214" s="42"/>
      <c r="CF214" s="42"/>
      <c r="CG214" s="42"/>
      <c r="CH214" s="42"/>
      <c r="CI214" s="42"/>
      <c r="CJ214" s="42"/>
      <c r="CK214" s="42"/>
      <c r="CL214" s="42"/>
      <c r="CM214" s="42"/>
      <c r="CN214" s="42"/>
      <c r="CO214" s="42"/>
      <c r="CP214" s="42"/>
      <c r="CQ214" s="42"/>
      <c r="CR214" s="42"/>
      <c r="CS214" s="42"/>
      <c r="CT214" s="42"/>
      <c r="CU214" s="42"/>
      <c r="CV214" s="42"/>
      <c r="CW214" s="42"/>
      <c r="CX214" s="42"/>
      <c r="CY214" s="42"/>
      <c r="CZ214" s="42"/>
      <c r="DA214" s="42"/>
      <c r="DB214" s="42"/>
      <c r="DC214" s="42"/>
      <c r="DD214" s="42"/>
      <c r="DE214" s="42"/>
      <c r="DF214" s="42"/>
      <c r="DG214" s="42"/>
      <c r="DH214" s="42"/>
      <c r="DI214" s="42"/>
      <c r="DJ214" s="42"/>
      <c r="DK214" s="42"/>
      <c r="DL214" s="42"/>
      <c r="DM214" s="42"/>
      <c r="DN214" s="42"/>
      <c r="DO214" s="42"/>
      <c r="DP214" s="42"/>
      <c r="DQ214" s="42"/>
      <c r="DR214" s="42"/>
      <c r="DS214" s="42"/>
      <c r="DT214" s="42"/>
      <c r="DU214" s="42"/>
      <c r="DV214" s="42"/>
      <c r="DW214" s="42"/>
      <c r="DX214" s="42"/>
      <c r="DY214" s="42"/>
      <c r="DZ214" s="42"/>
      <c r="EA214" s="42"/>
      <c r="EB214" s="42"/>
      <c r="EC214" s="42"/>
      <c r="ED214" s="42"/>
      <c r="EE214" s="42"/>
      <c r="EF214" s="42"/>
      <c r="EG214" s="42"/>
      <c r="EH214" s="42"/>
      <c r="EI214" s="42"/>
      <c r="EJ214" s="42"/>
      <c r="EK214" s="42"/>
      <c r="EL214" s="42"/>
      <c r="EM214" s="42"/>
      <c r="EN214" s="42"/>
      <c r="EO214" s="42"/>
      <c r="EP214" s="42"/>
      <c r="EQ214" s="42"/>
      <c r="ER214" s="42"/>
      <c r="ES214" s="42"/>
      <c r="ET214" s="42"/>
      <c r="EU214" s="42"/>
      <c r="EV214" s="42"/>
      <c r="EW214" s="42"/>
      <c r="EX214" s="42"/>
      <c r="EY214" s="42"/>
      <c r="EZ214" s="42"/>
      <c r="FA214" s="42"/>
      <c r="FB214" s="42"/>
      <c r="FC214" s="42"/>
      <c r="FD214" s="42"/>
      <c r="FE214" s="42"/>
      <c r="FF214" s="42"/>
      <c r="FG214" s="42"/>
      <c r="FH214" s="42"/>
      <c r="FI214" s="42"/>
      <c r="FJ214" s="42"/>
      <c r="FK214" s="42"/>
      <c r="FL214" s="42"/>
      <c r="FM214" s="42"/>
      <c r="FN214" s="42"/>
      <c r="FO214" s="42"/>
      <c r="FP214" s="42"/>
      <c r="FQ214" s="42"/>
      <c r="FR214" s="42"/>
      <c r="FS214" s="42"/>
      <c r="FT214" s="42"/>
      <c r="FU214" s="42"/>
      <c r="FV214" s="42"/>
      <c r="FW214" s="42"/>
      <c r="FX214" s="42"/>
      <c r="FY214" s="42"/>
      <c r="FZ214" s="42"/>
      <c r="GA214" s="42"/>
      <c r="GB214" s="42"/>
      <c r="GC214" s="42"/>
      <c r="GD214" s="42"/>
      <c r="GE214" s="42"/>
      <c r="GF214" s="42"/>
      <c r="GG214" s="42"/>
      <c r="GH214" s="42"/>
      <c r="GI214" s="42"/>
      <c r="GJ214" s="42"/>
      <c r="GK214" s="42"/>
      <c r="GL214" s="42"/>
      <c r="GM214" s="42"/>
      <c r="GN214" s="42"/>
      <c r="GO214" s="42"/>
      <c r="GP214" s="42"/>
      <c r="GQ214" s="42"/>
      <c r="GR214" s="42"/>
      <c r="GS214" s="42"/>
      <c r="GT214" s="42"/>
      <c r="GU214" s="42"/>
      <c r="GV214" s="42"/>
      <c r="GW214" s="42"/>
      <c r="GX214" s="42"/>
      <c r="GY214" s="42"/>
      <c r="GZ214" s="42"/>
      <c r="HA214" s="42"/>
      <c r="HB214" s="42"/>
      <c r="HC214" s="42"/>
      <c r="HD214" s="42"/>
      <c r="HE214" s="42"/>
      <c r="HF214" s="42"/>
      <c r="HG214" s="42"/>
      <c r="HH214" s="42"/>
      <c r="HI214" s="42"/>
      <c r="HJ214" s="42"/>
      <c r="HK214" s="42"/>
      <c r="HL214" s="42"/>
      <c r="HM214" s="42"/>
      <c r="HN214" s="42"/>
      <c r="HO214" s="42"/>
      <c r="HP214" s="42"/>
      <c r="HQ214" s="42"/>
      <c r="HR214" s="42"/>
      <c r="HS214" s="42"/>
      <c r="HT214" s="42"/>
      <c r="HU214" s="42"/>
      <c r="HV214" s="42"/>
      <c r="HW214" s="42"/>
      <c r="HX214" s="42"/>
      <c r="HY214" s="42"/>
      <c r="HZ214" s="42"/>
      <c r="IA214" s="42"/>
      <c r="IB214" s="42"/>
      <c r="IC214" s="42"/>
      <c r="ID214" s="42"/>
      <c r="IE214" s="42"/>
      <c r="IF214" s="42"/>
      <c r="IG214" s="42"/>
      <c r="IH214" s="42"/>
      <c r="II214" s="42"/>
      <c r="IJ214" s="42"/>
      <c r="IK214" s="42"/>
      <c r="IL214" s="42"/>
      <c r="IM214" s="42"/>
      <c r="IN214" s="42"/>
      <c r="IO214" s="42"/>
      <c r="IP214" s="42"/>
      <c r="IQ214" s="42"/>
      <c r="IR214" s="42"/>
      <c r="IS214" s="42"/>
      <c r="IT214" s="42"/>
      <c r="IU214" s="42"/>
      <c r="IV214" s="42"/>
      <c r="IW214" s="42"/>
      <c r="IX214" s="42"/>
      <c r="IY214" s="42"/>
      <c r="IZ214" s="42"/>
      <c r="JA214" s="42"/>
      <c r="JB214" s="42"/>
      <c r="JC214" s="42"/>
      <c r="JD214" s="42"/>
      <c r="JE214" s="42"/>
      <c r="JF214" s="42"/>
      <c r="JG214" s="42"/>
      <c r="JH214" s="42"/>
      <c r="JI214" s="42"/>
      <c r="JJ214" s="42"/>
      <c r="JK214" s="42"/>
      <c r="JL214" s="42"/>
      <c r="JM214" s="42"/>
      <c r="JN214" s="42"/>
      <c r="JO214" s="42"/>
      <c r="JP214" s="42"/>
      <c r="JQ214" s="42"/>
      <c r="JR214" s="42"/>
      <c r="JS214" s="42"/>
      <c r="JT214" s="42"/>
      <c r="JU214" s="42"/>
      <c r="JV214" s="42"/>
      <c r="JW214" s="42"/>
      <c r="JX214" s="42"/>
      <c r="JY214" s="42"/>
      <c r="JZ214" s="42"/>
      <c r="KA214" s="42"/>
      <c r="KB214" s="42"/>
      <c r="KC214" s="42"/>
      <c r="KD214" s="42"/>
      <c r="KE214" s="42"/>
      <c r="KF214" s="42"/>
      <c r="KG214" s="42"/>
      <c r="KH214" s="42"/>
      <c r="KI214" s="42"/>
      <c r="KJ214" s="42"/>
      <c r="KK214" s="42"/>
      <c r="KL214" s="42"/>
      <c r="KM214" s="42"/>
      <c r="KN214" s="42"/>
      <c r="KO214" s="42"/>
      <c r="KP214" s="42"/>
      <c r="KQ214" s="42"/>
      <c r="KR214" s="42"/>
      <c r="KS214" s="42"/>
      <c r="KT214" s="42"/>
      <c r="KU214" s="42"/>
      <c r="KV214" s="42"/>
      <c r="KW214" s="42"/>
      <c r="KX214" s="42"/>
      <c r="KY214" s="42"/>
      <c r="KZ214" s="42"/>
      <c r="LA214" s="42"/>
      <c r="LB214" s="42"/>
      <c r="LC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c r="AM215" s="42"/>
      <c r="AN215" s="42"/>
      <c r="AO215" s="42"/>
      <c r="AP215" s="42"/>
      <c r="AQ215" s="42"/>
      <c r="AR215" s="42"/>
      <c r="AS215" s="42"/>
      <c r="AT215" s="42"/>
      <c r="AU215" s="42"/>
      <c r="AV215" s="42"/>
      <c r="AW215" s="42"/>
      <c r="AX215" s="42"/>
      <c r="AY215" s="42"/>
      <c r="AZ215" s="42"/>
      <c r="BA215" s="42"/>
      <c r="BB215" s="42"/>
      <c r="BC215" s="42"/>
      <c r="BD215" s="42"/>
      <c r="BE215" s="42"/>
      <c r="BF215" s="42"/>
      <c r="BG215" s="42"/>
      <c r="BH215" s="42"/>
      <c r="BI215" s="42"/>
      <c r="BJ215" s="42"/>
      <c r="BK215" s="42"/>
      <c r="BL215" s="42"/>
      <c r="BM215" s="42"/>
      <c r="BN215" s="42"/>
      <c r="BO215" s="42"/>
      <c r="BP215" s="42"/>
      <c r="BQ215" s="42"/>
      <c r="BR215" s="42"/>
      <c r="BS215" s="42"/>
      <c r="BT215" s="42"/>
      <c r="BU215" s="42"/>
      <c r="BV215" s="42"/>
      <c r="BW215" s="42"/>
      <c r="BX215" s="42"/>
      <c r="BY215" s="42"/>
      <c r="BZ215" s="42"/>
      <c r="CA215" s="42"/>
      <c r="CB215" s="42"/>
      <c r="CC215" s="42"/>
      <c r="CD215" s="42"/>
      <c r="CE215" s="42"/>
      <c r="CF215" s="42"/>
      <c r="CG215" s="42"/>
      <c r="CH215" s="42"/>
      <c r="CI215" s="42"/>
      <c r="CJ215" s="42"/>
      <c r="CK215" s="42"/>
      <c r="CL215" s="42"/>
      <c r="CM215" s="42"/>
      <c r="CN215" s="42"/>
      <c r="CO215" s="42"/>
      <c r="CP215" s="42"/>
      <c r="CQ215" s="42"/>
      <c r="CR215" s="42"/>
      <c r="CS215" s="42"/>
      <c r="CT215" s="42"/>
      <c r="CU215" s="42"/>
      <c r="CV215" s="42"/>
      <c r="CW215" s="42"/>
      <c r="CX215" s="42"/>
      <c r="CY215" s="42"/>
      <c r="CZ215" s="42"/>
      <c r="DA215" s="42"/>
      <c r="DB215" s="42"/>
      <c r="DC215" s="42"/>
      <c r="DD215" s="42"/>
      <c r="DE215" s="42"/>
      <c r="DF215" s="42"/>
      <c r="DG215" s="42"/>
      <c r="DH215" s="42"/>
      <c r="DI215" s="42"/>
      <c r="DJ215" s="42"/>
      <c r="DK215" s="42"/>
      <c r="DL215" s="42"/>
      <c r="DM215" s="42"/>
      <c r="DN215" s="42"/>
      <c r="DO215" s="42"/>
      <c r="DP215" s="42"/>
      <c r="DQ215" s="42"/>
      <c r="DR215" s="42"/>
      <c r="DS215" s="42"/>
      <c r="DT215" s="42"/>
      <c r="DU215" s="42"/>
      <c r="DV215" s="42"/>
      <c r="DW215" s="42"/>
      <c r="DX215" s="42"/>
      <c r="DY215" s="42"/>
      <c r="DZ215" s="42"/>
      <c r="EA215" s="42"/>
      <c r="EB215" s="42"/>
      <c r="EC215" s="42"/>
      <c r="ED215" s="42"/>
      <c r="EE215" s="42"/>
      <c r="EF215" s="42"/>
      <c r="EG215" s="42"/>
      <c r="EH215" s="42"/>
      <c r="EI215" s="42"/>
      <c r="EJ215" s="42"/>
      <c r="EK215" s="42"/>
      <c r="EL215" s="42"/>
      <c r="EM215" s="42"/>
      <c r="EN215" s="42"/>
      <c r="EO215" s="42"/>
      <c r="EP215" s="42"/>
      <c r="EQ215" s="42"/>
      <c r="ER215" s="42"/>
      <c r="ES215" s="42"/>
      <c r="ET215" s="42"/>
      <c r="EU215" s="42"/>
      <c r="EV215" s="42"/>
      <c r="EW215" s="42"/>
      <c r="EX215" s="42"/>
      <c r="EY215" s="42"/>
      <c r="EZ215" s="42"/>
      <c r="FA215" s="42"/>
      <c r="FB215" s="42"/>
      <c r="FC215" s="42"/>
      <c r="FD215" s="42"/>
      <c r="FE215" s="42"/>
      <c r="FF215" s="42"/>
      <c r="FG215" s="42"/>
      <c r="FH215" s="42"/>
      <c r="FI215" s="42"/>
      <c r="FJ215" s="42"/>
      <c r="FK215" s="42"/>
      <c r="FL215" s="42"/>
      <c r="FM215" s="42"/>
      <c r="FN215" s="42"/>
      <c r="FO215" s="42"/>
      <c r="FP215" s="42"/>
      <c r="FQ215" s="42"/>
      <c r="FR215" s="42"/>
      <c r="FS215" s="42"/>
      <c r="FT215" s="42"/>
      <c r="FU215" s="42"/>
      <c r="FV215" s="42"/>
      <c r="FW215" s="42"/>
      <c r="FX215" s="42"/>
      <c r="FY215" s="42"/>
      <c r="FZ215" s="42"/>
      <c r="GA215" s="42"/>
      <c r="GB215" s="42"/>
      <c r="GC215" s="42"/>
      <c r="GD215" s="42"/>
      <c r="GE215" s="42"/>
      <c r="GF215" s="42"/>
      <c r="GG215" s="42"/>
      <c r="GH215" s="42"/>
      <c r="GI215" s="42"/>
      <c r="GJ215" s="42"/>
      <c r="GK215" s="42"/>
      <c r="GL215" s="42"/>
      <c r="GM215" s="42"/>
      <c r="GN215" s="42"/>
      <c r="GO215" s="42"/>
      <c r="GP215" s="42"/>
      <c r="GQ215" s="42"/>
      <c r="GR215" s="42"/>
      <c r="GS215" s="42"/>
      <c r="GT215" s="42"/>
      <c r="GU215" s="42"/>
      <c r="GV215" s="42"/>
      <c r="GW215" s="42"/>
      <c r="GX215" s="42"/>
      <c r="GY215" s="42"/>
      <c r="GZ215" s="42"/>
      <c r="HA215" s="42"/>
      <c r="HB215" s="42"/>
      <c r="HC215" s="42"/>
      <c r="HD215" s="42"/>
      <c r="HE215" s="42"/>
      <c r="HF215" s="42"/>
      <c r="HG215" s="42"/>
      <c r="HH215" s="42"/>
      <c r="HI215" s="42"/>
      <c r="HJ215" s="42"/>
      <c r="HK215" s="42"/>
      <c r="HL215" s="42"/>
      <c r="HM215" s="42"/>
      <c r="HN215" s="42"/>
      <c r="HO215" s="42"/>
      <c r="HP215" s="42"/>
      <c r="HQ215" s="42"/>
      <c r="HR215" s="42"/>
      <c r="HS215" s="42"/>
      <c r="HT215" s="42"/>
      <c r="HU215" s="42"/>
      <c r="HV215" s="42"/>
      <c r="HW215" s="42"/>
      <c r="HX215" s="42"/>
      <c r="HY215" s="42"/>
      <c r="HZ215" s="42"/>
      <c r="IA215" s="42"/>
      <c r="IB215" s="42"/>
      <c r="IC215" s="42"/>
      <c r="ID215" s="42"/>
      <c r="IE215" s="42"/>
      <c r="IF215" s="42"/>
      <c r="IG215" s="42"/>
      <c r="IH215" s="42"/>
      <c r="II215" s="42"/>
      <c r="IJ215" s="42"/>
      <c r="IK215" s="42"/>
      <c r="IL215" s="42"/>
      <c r="IM215" s="42"/>
      <c r="IN215" s="42"/>
      <c r="IO215" s="42"/>
      <c r="IP215" s="42"/>
      <c r="IQ215" s="42"/>
      <c r="IR215" s="42"/>
      <c r="IS215" s="42"/>
      <c r="IT215" s="42"/>
      <c r="IU215" s="42"/>
      <c r="IV215" s="42"/>
      <c r="IW215" s="42"/>
      <c r="IX215" s="42"/>
      <c r="IY215" s="42"/>
      <c r="IZ215" s="42"/>
      <c r="JA215" s="42"/>
      <c r="JB215" s="42"/>
      <c r="JC215" s="42"/>
      <c r="JD215" s="42"/>
      <c r="JE215" s="42"/>
      <c r="JF215" s="42"/>
      <c r="JG215" s="42"/>
      <c r="JH215" s="42"/>
      <c r="JI215" s="42"/>
      <c r="JJ215" s="42"/>
      <c r="JK215" s="42"/>
      <c r="JL215" s="42"/>
      <c r="JM215" s="42"/>
      <c r="JN215" s="42"/>
      <c r="JO215" s="42"/>
      <c r="JP215" s="42"/>
      <c r="JQ215" s="42"/>
      <c r="JR215" s="42"/>
      <c r="JS215" s="42"/>
      <c r="JT215" s="42"/>
      <c r="JU215" s="42"/>
      <c r="JV215" s="42"/>
      <c r="JW215" s="42"/>
      <c r="JX215" s="42"/>
      <c r="JY215" s="42"/>
      <c r="JZ215" s="42"/>
      <c r="KA215" s="42"/>
      <c r="KB215" s="42"/>
      <c r="KC215" s="42"/>
      <c r="KD215" s="42"/>
      <c r="KE215" s="42"/>
      <c r="KF215" s="42"/>
      <c r="KG215" s="42"/>
      <c r="KH215" s="42"/>
      <c r="KI215" s="42"/>
      <c r="KJ215" s="42"/>
      <c r="KK215" s="42"/>
      <c r="KL215" s="42"/>
      <c r="KM215" s="42"/>
      <c r="KN215" s="42"/>
      <c r="KO215" s="42"/>
      <c r="KP215" s="42"/>
      <c r="KQ215" s="42"/>
      <c r="KR215" s="42"/>
      <c r="KS215" s="42"/>
      <c r="KT215" s="42"/>
      <c r="KU215" s="42"/>
      <c r="KV215" s="42"/>
      <c r="KW215" s="42"/>
      <c r="KX215" s="42"/>
      <c r="KY215" s="42"/>
      <c r="KZ215" s="42"/>
      <c r="LA215" s="42"/>
      <c r="LB215" s="42"/>
      <c r="LC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c r="AG216" s="42"/>
      <c r="AH216" s="42"/>
      <c r="AI216" s="42"/>
      <c r="AJ216" s="42"/>
      <c r="AK216" s="42"/>
      <c r="AL216" s="42"/>
      <c r="AM216" s="42"/>
      <c r="AN216" s="42"/>
      <c r="AO216" s="42"/>
      <c r="AP216" s="42"/>
      <c r="AQ216" s="42"/>
      <c r="AR216" s="42"/>
      <c r="AS216" s="42"/>
      <c r="AT216" s="42"/>
      <c r="AU216" s="42"/>
      <c r="AV216" s="42"/>
      <c r="AW216" s="42"/>
      <c r="AX216" s="42"/>
      <c r="AY216" s="42"/>
      <c r="AZ216" s="42"/>
      <c r="BA216" s="42"/>
      <c r="BB216" s="42"/>
      <c r="BC216" s="42"/>
      <c r="BD216" s="42"/>
      <c r="BE216" s="42"/>
      <c r="BF216" s="42"/>
      <c r="BG216" s="42"/>
      <c r="BH216" s="42"/>
      <c r="BI216" s="42"/>
      <c r="BJ216" s="42"/>
      <c r="BK216" s="42"/>
      <c r="BL216" s="42"/>
      <c r="BM216" s="42"/>
      <c r="BN216" s="42"/>
      <c r="BO216" s="42"/>
      <c r="BP216" s="42"/>
      <c r="BQ216" s="42"/>
      <c r="BR216" s="42"/>
      <c r="BS216" s="42"/>
      <c r="BT216" s="42"/>
      <c r="BU216" s="42"/>
      <c r="BV216" s="42"/>
      <c r="BW216" s="42"/>
      <c r="BX216" s="42"/>
      <c r="BY216" s="42"/>
      <c r="BZ216" s="42"/>
      <c r="CA216" s="42"/>
      <c r="CB216" s="42"/>
      <c r="CC216" s="42"/>
      <c r="CD216" s="42"/>
      <c r="CE216" s="42"/>
      <c r="CF216" s="42"/>
      <c r="CG216" s="42"/>
      <c r="CH216" s="42"/>
      <c r="CI216" s="42"/>
      <c r="CJ216" s="42"/>
      <c r="CK216" s="42"/>
      <c r="CL216" s="42"/>
      <c r="CM216" s="42"/>
      <c r="CN216" s="42"/>
      <c r="CO216" s="42"/>
      <c r="CP216" s="42"/>
      <c r="CQ216" s="42"/>
      <c r="CR216" s="42"/>
      <c r="CS216" s="42"/>
      <c r="CT216" s="42"/>
      <c r="CU216" s="42"/>
      <c r="CV216" s="42"/>
      <c r="CW216" s="42"/>
      <c r="CX216" s="42"/>
      <c r="CY216" s="42"/>
      <c r="CZ216" s="42"/>
      <c r="DA216" s="42"/>
      <c r="DB216" s="42"/>
      <c r="DC216" s="42"/>
      <c r="DD216" s="42"/>
      <c r="DE216" s="42"/>
      <c r="DF216" s="42"/>
      <c r="DG216" s="42"/>
      <c r="DH216" s="42"/>
      <c r="DI216" s="42"/>
      <c r="DJ216" s="42"/>
      <c r="DK216" s="42"/>
      <c r="DL216" s="42"/>
      <c r="DM216" s="42"/>
      <c r="DN216" s="42"/>
      <c r="DO216" s="42"/>
      <c r="DP216" s="42"/>
      <c r="DQ216" s="42"/>
      <c r="DR216" s="42"/>
      <c r="DS216" s="42"/>
      <c r="DT216" s="42"/>
      <c r="DU216" s="42"/>
      <c r="DV216" s="42"/>
      <c r="DW216" s="42"/>
      <c r="DX216" s="42"/>
      <c r="DY216" s="42"/>
      <c r="DZ216" s="42"/>
      <c r="EA216" s="42"/>
      <c r="EB216" s="42"/>
      <c r="EC216" s="42"/>
      <c r="ED216" s="42"/>
      <c r="EE216" s="42"/>
      <c r="EF216" s="42"/>
      <c r="EG216" s="42"/>
      <c r="EH216" s="42"/>
      <c r="EI216" s="42"/>
      <c r="EJ216" s="42"/>
      <c r="EK216" s="42"/>
      <c r="EL216" s="42"/>
      <c r="EM216" s="42"/>
      <c r="EN216" s="42"/>
      <c r="EO216" s="42"/>
      <c r="EP216" s="42"/>
      <c r="EQ216" s="42"/>
      <c r="ER216" s="42"/>
      <c r="ES216" s="42"/>
      <c r="ET216" s="42"/>
      <c r="EU216" s="42"/>
      <c r="EV216" s="42"/>
      <c r="EW216" s="42"/>
      <c r="EX216" s="42"/>
      <c r="EY216" s="42"/>
      <c r="EZ216" s="42"/>
      <c r="FA216" s="42"/>
      <c r="FB216" s="42"/>
      <c r="FC216" s="42"/>
      <c r="FD216" s="42"/>
      <c r="FE216" s="42"/>
      <c r="FF216" s="42"/>
      <c r="FG216" s="42"/>
      <c r="FH216" s="42"/>
      <c r="FI216" s="42"/>
      <c r="FJ216" s="42"/>
      <c r="FK216" s="42"/>
      <c r="FL216" s="42"/>
      <c r="FM216" s="42"/>
      <c r="FN216" s="42"/>
      <c r="FO216" s="42"/>
      <c r="FP216" s="42"/>
      <c r="FQ216" s="42"/>
      <c r="FR216" s="42"/>
      <c r="FS216" s="42"/>
      <c r="FT216" s="42"/>
      <c r="FU216" s="42"/>
      <c r="FV216" s="42"/>
      <c r="FW216" s="42"/>
      <c r="FX216" s="42"/>
      <c r="FY216" s="42"/>
      <c r="FZ216" s="42"/>
      <c r="GA216" s="42"/>
      <c r="GB216" s="42"/>
      <c r="GC216" s="42"/>
      <c r="GD216" s="42"/>
      <c r="GE216" s="42"/>
      <c r="GF216" s="42"/>
      <c r="GG216" s="42"/>
      <c r="GH216" s="42"/>
      <c r="GI216" s="42"/>
      <c r="GJ216" s="42"/>
      <c r="GK216" s="42"/>
      <c r="GL216" s="42"/>
      <c r="GM216" s="42"/>
      <c r="GN216" s="42"/>
      <c r="GO216" s="42"/>
      <c r="GP216" s="42"/>
      <c r="GQ216" s="42"/>
      <c r="GR216" s="42"/>
      <c r="GS216" s="42"/>
      <c r="GT216" s="42"/>
      <c r="GU216" s="42"/>
      <c r="GV216" s="42"/>
      <c r="GW216" s="42"/>
      <c r="GX216" s="42"/>
      <c r="GY216" s="42"/>
      <c r="GZ216" s="42"/>
      <c r="HA216" s="42"/>
      <c r="HB216" s="42"/>
      <c r="HC216" s="42"/>
      <c r="HD216" s="42"/>
      <c r="HE216" s="42"/>
      <c r="HF216" s="42"/>
      <c r="HG216" s="42"/>
      <c r="HH216" s="42"/>
      <c r="HI216" s="42"/>
      <c r="HJ216" s="42"/>
      <c r="HK216" s="42"/>
      <c r="HL216" s="42"/>
      <c r="HM216" s="42"/>
      <c r="HN216" s="42"/>
      <c r="HO216" s="42"/>
      <c r="HP216" s="42"/>
      <c r="HQ216" s="42"/>
      <c r="HR216" s="42"/>
      <c r="HS216" s="42"/>
      <c r="HT216" s="42"/>
      <c r="HU216" s="42"/>
      <c r="HV216" s="42"/>
      <c r="HW216" s="42"/>
      <c r="HX216" s="42"/>
      <c r="HY216" s="42"/>
      <c r="HZ216" s="42"/>
      <c r="IA216" s="42"/>
      <c r="IB216" s="42"/>
      <c r="IC216" s="42"/>
      <c r="ID216" s="42"/>
      <c r="IE216" s="42"/>
      <c r="IF216" s="42"/>
      <c r="IG216" s="42"/>
      <c r="IH216" s="42"/>
      <c r="II216" s="42"/>
      <c r="IJ216" s="42"/>
      <c r="IK216" s="42"/>
      <c r="IL216" s="42"/>
      <c r="IM216" s="42"/>
      <c r="IN216" s="42"/>
      <c r="IO216" s="42"/>
      <c r="IP216" s="42"/>
      <c r="IQ216" s="42"/>
      <c r="IR216" s="42"/>
      <c r="IS216" s="42"/>
      <c r="IT216" s="42"/>
      <c r="IU216" s="42"/>
      <c r="IV216" s="42"/>
      <c r="IW216" s="42"/>
      <c r="IX216" s="42"/>
      <c r="IY216" s="42"/>
      <c r="IZ216" s="42"/>
      <c r="JA216" s="42"/>
      <c r="JB216" s="42"/>
      <c r="JC216" s="42"/>
      <c r="JD216" s="42"/>
      <c r="JE216" s="42"/>
      <c r="JF216" s="42"/>
      <c r="JG216" s="42"/>
      <c r="JH216" s="42"/>
      <c r="JI216" s="42"/>
      <c r="JJ216" s="42"/>
      <c r="JK216" s="42"/>
      <c r="JL216" s="42"/>
      <c r="JM216" s="42"/>
      <c r="JN216" s="42"/>
      <c r="JO216" s="42"/>
      <c r="JP216" s="42"/>
      <c r="JQ216" s="42"/>
      <c r="JR216" s="42"/>
      <c r="JS216" s="42"/>
      <c r="JT216" s="42"/>
      <c r="JU216" s="42"/>
      <c r="JV216" s="42"/>
      <c r="JW216" s="42"/>
      <c r="JX216" s="42"/>
      <c r="JY216" s="42"/>
      <c r="JZ216" s="42"/>
      <c r="KA216" s="42"/>
      <c r="KB216" s="42"/>
      <c r="KC216" s="42"/>
      <c r="KD216" s="42"/>
      <c r="KE216" s="42"/>
      <c r="KF216" s="42"/>
      <c r="KG216" s="42"/>
      <c r="KH216" s="42"/>
      <c r="KI216" s="42"/>
      <c r="KJ216" s="42"/>
      <c r="KK216" s="42"/>
      <c r="KL216" s="42"/>
      <c r="KM216" s="42"/>
      <c r="KN216" s="42"/>
      <c r="KO216" s="42"/>
      <c r="KP216" s="42"/>
      <c r="KQ216" s="42"/>
      <c r="KR216" s="42"/>
      <c r="KS216" s="42"/>
      <c r="KT216" s="42"/>
      <c r="KU216" s="42"/>
      <c r="KV216" s="42"/>
      <c r="KW216" s="42"/>
      <c r="KX216" s="42"/>
      <c r="KY216" s="42"/>
      <c r="KZ216" s="42"/>
      <c r="LA216" s="42"/>
      <c r="LB216" s="42"/>
      <c r="LC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c r="AG217" s="42"/>
      <c r="AH217" s="42"/>
      <c r="AI217" s="42"/>
      <c r="AJ217" s="42"/>
      <c r="AK217" s="42"/>
      <c r="AL217" s="42"/>
      <c r="AM217" s="42"/>
      <c r="AN217" s="42"/>
      <c r="AO217" s="42"/>
      <c r="AP217" s="42"/>
      <c r="AQ217" s="42"/>
      <c r="AR217" s="42"/>
      <c r="AS217" s="42"/>
      <c r="AT217" s="42"/>
      <c r="AU217" s="42"/>
      <c r="AV217" s="42"/>
      <c r="AW217" s="42"/>
      <c r="AX217" s="42"/>
      <c r="AY217" s="42"/>
      <c r="AZ217" s="42"/>
      <c r="BA217" s="42"/>
      <c r="BB217" s="42"/>
      <c r="BC217" s="42"/>
      <c r="BD217" s="42"/>
      <c r="BE217" s="42"/>
      <c r="BF217" s="42"/>
      <c r="BG217" s="42"/>
      <c r="BH217" s="42"/>
      <c r="BI217" s="42"/>
      <c r="BJ217" s="42"/>
      <c r="BK217" s="42"/>
      <c r="BL217" s="42"/>
      <c r="BM217" s="42"/>
      <c r="BN217" s="42"/>
      <c r="BO217" s="42"/>
      <c r="BP217" s="42"/>
      <c r="BQ217" s="42"/>
      <c r="BR217" s="42"/>
      <c r="BS217" s="42"/>
      <c r="BT217" s="42"/>
      <c r="BU217" s="42"/>
      <c r="BV217" s="42"/>
      <c r="BW217" s="42"/>
      <c r="BX217" s="42"/>
      <c r="BY217" s="42"/>
      <c r="BZ217" s="42"/>
      <c r="CA217" s="42"/>
      <c r="CB217" s="42"/>
      <c r="CC217" s="42"/>
      <c r="CD217" s="42"/>
      <c r="CE217" s="42"/>
      <c r="CF217" s="42"/>
      <c r="CG217" s="42"/>
      <c r="CH217" s="42"/>
      <c r="CI217" s="42"/>
      <c r="CJ217" s="42"/>
      <c r="CK217" s="42"/>
      <c r="CL217" s="42"/>
      <c r="CM217" s="42"/>
      <c r="CN217" s="42"/>
      <c r="CO217" s="42"/>
      <c r="CP217" s="42"/>
      <c r="CQ217" s="42"/>
      <c r="CR217" s="42"/>
      <c r="CS217" s="42"/>
      <c r="CT217" s="42"/>
      <c r="CU217" s="42"/>
      <c r="CV217" s="42"/>
      <c r="CW217" s="42"/>
      <c r="CX217" s="42"/>
      <c r="CY217" s="42"/>
      <c r="CZ217" s="42"/>
      <c r="DA217" s="42"/>
      <c r="DB217" s="42"/>
      <c r="DC217" s="42"/>
      <c r="DD217" s="42"/>
      <c r="DE217" s="42"/>
      <c r="DF217" s="42"/>
      <c r="DG217" s="42"/>
      <c r="DH217" s="42"/>
      <c r="DI217" s="42"/>
      <c r="DJ217" s="42"/>
      <c r="DK217" s="42"/>
      <c r="DL217" s="42"/>
      <c r="DM217" s="42"/>
      <c r="DN217" s="42"/>
      <c r="DO217" s="42"/>
      <c r="DP217" s="42"/>
      <c r="DQ217" s="42"/>
      <c r="DR217" s="42"/>
      <c r="DS217" s="42"/>
      <c r="DT217" s="42"/>
      <c r="DU217" s="42"/>
      <c r="DV217" s="42"/>
      <c r="DW217" s="42"/>
      <c r="DX217" s="42"/>
      <c r="DY217" s="42"/>
      <c r="DZ217" s="42"/>
      <c r="EA217" s="42"/>
      <c r="EB217" s="42"/>
      <c r="EC217" s="42"/>
      <c r="ED217" s="42"/>
      <c r="EE217" s="42"/>
      <c r="EF217" s="42"/>
      <c r="EG217" s="42"/>
      <c r="EH217" s="42"/>
      <c r="EI217" s="42"/>
      <c r="EJ217" s="42"/>
      <c r="EK217" s="42"/>
      <c r="EL217" s="42"/>
      <c r="EM217" s="42"/>
      <c r="EN217" s="42"/>
      <c r="EO217" s="42"/>
      <c r="EP217" s="42"/>
      <c r="EQ217" s="42"/>
      <c r="ER217" s="42"/>
      <c r="ES217" s="42"/>
      <c r="ET217" s="42"/>
      <c r="EU217" s="42"/>
      <c r="EV217" s="42"/>
      <c r="EW217" s="42"/>
      <c r="EX217" s="42"/>
      <c r="EY217" s="42"/>
      <c r="EZ217" s="42"/>
      <c r="FA217" s="42"/>
      <c r="FB217" s="42"/>
      <c r="FC217" s="42"/>
      <c r="FD217" s="42"/>
      <c r="FE217" s="42"/>
      <c r="FF217" s="42"/>
      <c r="FG217" s="42"/>
      <c r="FH217" s="42"/>
      <c r="FI217" s="42"/>
      <c r="FJ217" s="42"/>
      <c r="FK217" s="42"/>
      <c r="FL217" s="42"/>
      <c r="FM217" s="42"/>
      <c r="FN217" s="42"/>
      <c r="FO217" s="42"/>
      <c r="FP217" s="42"/>
      <c r="FQ217" s="42"/>
      <c r="FR217" s="42"/>
      <c r="FS217" s="42"/>
      <c r="FT217" s="42"/>
      <c r="FU217" s="42"/>
      <c r="FV217" s="42"/>
      <c r="FW217" s="42"/>
      <c r="FX217" s="42"/>
      <c r="FY217" s="42"/>
      <c r="FZ217" s="42"/>
      <c r="GA217" s="42"/>
      <c r="GB217" s="42"/>
      <c r="GC217" s="42"/>
      <c r="GD217" s="42"/>
      <c r="GE217" s="42"/>
      <c r="GF217" s="42"/>
      <c r="GG217" s="42"/>
      <c r="GH217" s="42"/>
      <c r="GI217" s="42"/>
      <c r="GJ217" s="42"/>
      <c r="GK217" s="42"/>
      <c r="GL217" s="42"/>
      <c r="GM217" s="42"/>
      <c r="GN217" s="42"/>
      <c r="GO217" s="42"/>
      <c r="GP217" s="42"/>
      <c r="GQ217" s="42"/>
      <c r="GR217" s="42"/>
      <c r="GS217" s="42"/>
      <c r="GT217" s="42"/>
      <c r="GU217" s="42"/>
      <c r="GV217" s="42"/>
      <c r="GW217" s="42"/>
      <c r="GX217" s="42"/>
      <c r="GY217" s="42"/>
      <c r="GZ217" s="42"/>
      <c r="HA217" s="42"/>
      <c r="HB217" s="42"/>
      <c r="HC217" s="42"/>
      <c r="HD217" s="42"/>
      <c r="HE217" s="42"/>
      <c r="HF217" s="42"/>
      <c r="HG217" s="42"/>
      <c r="HH217" s="42"/>
      <c r="HI217" s="42"/>
      <c r="HJ217" s="42"/>
      <c r="HK217" s="42"/>
      <c r="HL217" s="42"/>
      <c r="HM217" s="42"/>
      <c r="HN217" s="42"/>
      <c r="HO217" s="42"/>
      <c r="HP217" s="42"/>
      <c r="HQ217" s="42"/>
      <c r="HR217" s="42"/>
      <c r="HS217" s="42"/>
      <c r="HT217" s="42"/>
      <c r="HU217" s="42"/>
      <c r="HV217" s="42"/>
      <c r="HW217" s="42"/>
      <c r="HX217" s="42"/>
      <c r="HY217" s="42"/>
      <c r="HZ217" s="42"/>
      <c r="IA217" s="42"/>
      <c r="IB217" s="42"/>
      <c r="IC217" s="42"/>
      <c r="ID217" s="42"/>
      <c r="IE217" s="42"/>
      <c r="IF217" s="42"/>
      <c r="IG217" s="42"/>
      <c r="IH217" s="42"/>
      <c r="II217" s="42"/>
      <c r="IJ217" s="42"/>
      <c r="IK217" s="42"/>
      <c r="IL217" s="42"/>
      <c r="IM217" s="42"/>
      <c r="IN217" s="42"/>
      <c r="IO217" s="42"/>
      <c r="IP217" s="42"/>
      <c r="IQ217" s="42"/>
      <c r="IR217" s="42"/>
      <c r="IS217" s="42"/>
      <c r="IT217" s="42"/>
      <c r="IU217" s="42"/>
      <c r="IV217" s="42"/>
      <c r="IW217" s="42"/>
      <c r="IX217" s="42"/>
      <c r="IY217" s="42"/>
      <c r="IZ217" s="42"/>
      <c r="JA217" s="42"/>
      <c r="JB217" s="42"/>
      <c r="JC217" s="42"/>
      <c r="JD217" s="42"/>
      <c r="JE217" s="42"/>
      <c r="JF217" s="42"/>
      <c r="JG217" s="42"/>
      <c r="JH217" s="42"/>
      <c r="JI217" s="42"/>
      <c r="JJ217" s="42"/>
      <c r="JK217" s="42"/>
      <c r="JL217" s="42"/>
      <c r="JM217" s="42"/>
      <c r="JN217" s="42"/>
      <c r="JO217" s="42"/>
      <c r="JP217" s="42"/>
      <c r="JQ217" s="42"/>
      <c r="JR217" s="42"/>
      <c r="JS217" s="42"/>
      <c r="JT217" s="42"/>
      <c r="JU217" s="42"/>
      <c r="JV217" s="42"/>
      <c r="JW217" s="42"/>
      <c r="JX217" s="42"/>
      <c r="JY217" s="42"/>
      <c r="JZ217" s="42"/>
      <c r="KA217" s="42"/>
      <c r="KB217" s="42"/>
      <c r="KC217" s="42"/>
      <c r="KD217" s="42"/>
      <c r="KE217" s="42"/>
      <c r="KF217" s="42"/>
      <c r="KG217" s="42"/>
      <c r="KH217" s="42"/>
      <c r="KI217" s="42"/>
      <c r="KJ217" s="42"/>
      <c r="KK217" s="42"/>
      <c r="KL217" s="42"/>
      <c r="KM217" s="42"/>
      <c r="KN217" s="42"/>
      <c r="KO217" s="42"/>
      <c r="KP217" s="42"/>
      <c r="KQ217" s="42"/>
      <c r="KR217" s="42"/>
      <c r="KS217" s="42"/>
      <c r="KT217" s="42"/>
      <c r="KU217" s="42"/>
      <c r="KV217" s="42"/>
      <c r="KW217" s="42"/>
      <c r="KX217" s="42"/>
      <c r="KY217" s="42"/>
      <c r="KZ217" s="42"/>
      <c r="LA217" s="42"/>
      <c r="LB217" s="42"/>
      <c r="LC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c r="AG218" s="42"/>
      <c r="AH218" s="42"/>
      <c r="AI218" s="42"/>
      <c r="AJ218" s="42"/>
      <c r="AK218" s="42"/>
      <c r="AL218" s="42"/>
      <c r="AM218" s="42"/>
      <c r="AN218" s="42"/>
      <c r="AO218" s="42"/>
      <c r="AP218" s="42"/>
      <c r="AQ218" s="42"/>
      <c r="AR218" s="42"/>
      <c r="AS218" s="42"/>
      <c r="AT218" s="42"/>
      <c r="AU218" s="42"/>
      <c r="AV218" s="42"/>
      <c r="AW218" s="42"/>
      <c r="AX218" s="42"/>
      <c r="AY218" s="42"/>
      <c r="AZ218" s="42"/>
      <c r="BA218" s="42"/>
      <c r="BB218" s="42"/>
      <c r="BC218" s="42"/>
      <c r="BD218" s="42"/>
      <c r="BE218" s="42"/>
      <c r="BF218" s="42"/>
      <c r="BG218" s="42"/>
      <c r="BH218" s="42"/>
      <c r="BI218" s="42"/>
      <c r="BJ218" s="42"/>
      <c r="BK218" s="42"/>
      <c r="BL218" s="42"/>
      <c r="BM218" s="42"/>
      <c r="BN218" s="42"/>
      <c r="BO218" s="42"/>
      <c r="BP218" s="42"/>
      <c r="BQ218" s="42"/>
      <c r="BR218" s="42"/>
      <c r="BS218" s="42"/>
      <c r="BT218" s="42"/>
      <c r="BU218" s="42"/>
      <c r="BV218" s="42"/>
      <c r="BW218" s="42"/>
      <c r="BX218" s="42"/>
      <c r="BY218" s="42"/>
      <c r="BZ218" s="42"/>
      <c r="CA218" s="42"/>
      <c r="CB218" s="42"/>
      <c r="CC218" s="42"/>
      <c r="CD218" s="42"/>
      <c r="CE218" s="42"/>
      <c r="CF218" s="42"/>
      <c r="CG218" s="42"/>
      <c r="CH218" s="42"/>
      <c r="CI218" s="42"/>
      <c r="CJ218" s="42"/>
      <c r="CK218" s="42"/>
      <c r="CL218" s="42"/>
      <c r="CM218" s="42"/>
      <c r="CN218" s="42"/>
      <c r="CO218" s="42"/>
      <c r="CP218" s="42"/>
      <c r="CQ218" s="42"/>
      <c r="CR218" s="42"/>
      <c r="CS218" s="42"/>
      <c r="CT218" s="42"/>
      <c r="CU218" s="42"/>
      <c r="CV218" s="42"/>
      <c r="CW218" s="42"/>
      <c r="CX218" s="42"/>
      <c r="CY218" s="42"/>
      <c r="CZ218" s="42"/>
      <c r="DA218" s="42"/>
      <c r="DB218" s="42"/>
      <c r="DC218" s="42"/>
      <c r="DD218" s="42"/>
      <c r="DE218" s="42"/>
      <c r="DF218" s="42"/>
      <c r="DG218" s="42"/>
      <c r="DH218" s="42"/>
      <c r="DI218" s="42"/>
      <c r="DJ218" s="42"/>
      <c r="DK218" s="42"/>
      <c r="DL218" s="42"/>
      <c r="DM218" s="42"/>
      <c r="DN218" s="42"/>
      <c r="DO218" s="42"/>
      <c r="DP218" s="42"/>
      <c r="DQ218" s="42"/>
      <c r="DR218" s="42"/>
      <c r="DS218" s="42"/>
      <c r="DT218" s="42"/>
      <c r="DU218" s="42"/>
      <c r="DV218" s="42"/>
      <c r="DW218" s="42"/>
      <c r="DX218" s="42"/>
      <c r="DY218" s="42"/>
      <c r="DZ218" s="42"/>
      <c r="EA218" s="42"/>
      <c r="EB218" s="42"/>
      <c r="EC218" s="42"/>
      <c r="ED218" s="42"/>
      <c r="EE218" s="42"/>
      <c r="EF218" s="42"/>
      <c r="EG218" s="42"/>
      <c r="EH218" s="42"/>
      <c r="EI218" s="42"/>
      <c r="EJ218" s="42"/>
      <c r="EK218" s="42"/>
      <c r="EL218" s="42"/>
      <c r="EM218" s="42"/>
      <c r="EN218" s="42"/>
      <c r="EO218" s="42"/>
      <c r="EP218" s="42"/>
      <c r="EQ218" s="42"/>
      <c r="ER218" s="42"/>
      <c r="ES218" s="42"/>
      <c r="ET218" s="42"/>
      <c r="EU218" s="42"/>
      <c r="EV218" s="42"/>
      <c r="EW218" s="42"/>
      <c r="EX218" s="42"/>
      <c r="EY218" s="42"/>
      <c r="EZ218" s="42"/>
      <c r="FA218" s="42"/>
      <c r="FB218" s="42"/>
      <c r="FC218" s="42"/>
      <c r="FD218" s="42"/>
      <c r="FE218" s="42"/>
      <c r="FF218" s="42"/>
      <c r="FG218" s="42"/>
      <c r="FH218" s="42"/>
      <c r="FI218" s="42"/>
      <c r="FJ218" s="42"/>
      <c r="FK218" s="42"/>
      <c r="FL218" s="42"/>
      <c r="FM218" s="42"/>
      <c r="FN218" s="42"/>
      <c r="FO218" s="42"/>
      <c r="FP218" s="42"/>
      <c r="FQ218" s="42"/>
      <c r="FR218" s="42"/>
      <c r="FS218" s="42"/>
      <c r="FT218" s="42"/>
      <c r="FU218" s="42"/>
      <c r="FV218" s="42"/>
      <c r="FW218" s="42"/>
      <c r="FX218" s="42"/>
      <c r="FY218" s="42"/>
      <c r="FZ218" s="42"/>
      <c r="GA218" s="42"/>
      <c r="GB218" s="42"/>
      <c r="GC218" s="42"/>
      <c r="GD218" s="42"/>
      <c r="GE218" s="42"/>
      <c r="GF218" s="42"/>
      <c r="GG218" s="42"/>
      <c r="GH218" s="42"/>
      <c r="GI218" s="42"/>
      <c r="GJ218" s="42"/>
      <c r="GK218" s="42"/>
      <c r="GL218" s="42"/>
      <c r="GM218" s="42"/>
      <c r="GN218" s="42"/>
      <c r="GO218" s="42"/>
      <c r="GP218" s="42"/>
      <c r="GQ218" s="42"/>
      <c r="GR218" s="42"/>
      <c r="GS218" s="42"/>
      <c r="GT218" s="42"/>
      <c r="GU218" s="42"/>
      <c r="GV218" s="42"/>
      <c r="GW218" s="42"/>
      <c r="GX218" s="42"/>
      <c r="GY218" s="42"/>
      <c r="GZ218" s="42"/>
      <c r="HA218" s="42"/>
      <c r="HB218" s="42"/>
      <c r="HC218" s="42"/>
      <c r="HD218" s="42"/>
      <c r="HE218" s="42"/>
      <c r="HF218" s="42"/>
      <c r="HG218" s="42"/>
      <c r="HH218" s="42"/>
      <c r="HI218" s="42"/>
      <c r="HJ218" s="42"/>
      <c r="HK218" s="42"/>
      <c r="HL218" s="42"/>
      <c r="HM218" s="42"/>
      <c r="HN218" s="42"/>
      <c r="HO218" s="42"/>
      <c r="HP218" s="42"/>
      <c r="HQ218" s="42"/>
      <c r="HR218" s="42"/>
      <c r="HS218" s="42"/>
      <c r="HT218" s="42"/>
      <c r="HU218" s="42"/>
      <c r="HV218" s="42"/>
      <c r="HW218" s="42"/>
      <c r="HX218" s="42"/>
      <c r="HY218" s="42"/>
      <c r="HZ218" s="42"/>
      <c r="IA218" s="42"/>
      <c r="IB218" s="42"/>
      <c r="IC218" s="42"/>
      <c r="ID218" s="42"/>
      <c r="IE218" s="42"/>
      <c r="IF218" s="42"/>
      <c r="IG218" s="42"/>
      <c r="IH218" s="42"/>
      <c r="II218" s="42"/>
      <c r="IJ218" s="42"/>
      <c r="IK218" s="42"/>
      <c r="IL218" s="42"/>
      <c r="IM218" s="42"/>
      <c r="IN218" s="42"/>
      <c r="IO218" s="42"/>
      <c r="IP218" s="42"/>
      <c r="IQ218" s="42"/>
      <c r="IR218" s="42"/>
      <c r="IS218" s="42"/>
      <c r="IT218" s="42"/>
      <c r="IU218" s="42"/>
      <c r="IV218" s="42"/>
      <c r="IW218" s="42"/>
      <c r="IX218" s="42"/>
      <c r="IY218" s="42"/>
      <c r="IZ218" s="42"/>
      <c r="JA218" s="42"/>
      <c r="JB218" s="42"/>
      <c r="JC218" s="42"/>
      <c r="JD218" s="42"/>
      <c r="JE218" s="42"/>
      <c r="JF218" s="42"/>
      <c r="JG218" s="42"/>
      <c r="JH218" s="42"/>
      <c r="JI218" s="42"/>
      <c r="JJ218" s="42"/>
      <c r="JK218" s="42"/>
      <c r="JL218" s="42"/>
      <c r="JM218" s="42"/>
      <c r="JN218" s="42"/>
      <c r="JO218" s="42"/>
      <c r="JP218" s="42"/>
      <c r="JQ218" s="42"/>
      <c r="JR218" s="42"/>
      <c r="JS218" s="42"/>
      <c r="JT218" s="42"/>
      <c r="JU218" s="42"/>
      <c r="JV218" s="42"/>
      <c r="JW218" s="42"/>
      <c r="JX218" s="42"/>
      <c r="JY218" s="42"/>
      <c r="JZ218" s="42"/>
      <c r="KA218" s="42"/>
      <c r="KB218" s="42"/>
      <c r="KC218" s="42"/>
      <c r="KD218" s="42"/>
      <c r="KE218" s="42"/>
      <c r="KF218" s="42"/>
      <c r="KG218" s="42"/>
      <c r="KH218" s="42"/>
      <c r="KI218" s="42"/>
      <c r="KJ218" s="42"/>
      <c r="KK218" s="42"/>
      <c r="KL218" s="42"/>
      <c r="KM218" s="42"/>
      <c r="KN218" s="42"/>
      <c r="KO218" s="42"/>
      <c r="KP218" s="42"/>
      <c r="KQ218" s="42"/>
      <c r="KR218" s="42"/>
      <c r="KS218" s="42"/>
      <c r="KT218" s="42"/>
      <c r="KU218" s="42"/>
      <c r="KV218" s="42"/>
      <c r="KW218" s="42"/>
      <c r="KX218" s="42"/>
      <c r="KY218" s="42"/>
      <c r="KZ218" s="42"/>
      <c r="LA218" s="42"/>
      <c r="LB218" s="42"/>
      <c r="LC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2"/>
      <c r="AN219" s="42"/>
      <c r="AO219" s="42"/>
      <c r="AP219" s="42"/>
      <c r="AQ219" s="42"/>
      <c r="AR219" s="42"/>
      <c r="AS219" s="42"/>
      <c r="AT219" s="42"/>
      <c r="AU219" s="42"/>
      <c r="AV219" s="42"/>
      <c r="AW219" s="42"/>
      <c r="AX219" s="42"/>
      <c r="AY219" s="42"/>
      <c r="AZ219" s="42"/>
      <c r="BA219" s="42"/>
      <c r="BB219" s="42"/>
      <c r="BC219" s="42"/>
      <c r="BD219" s="42"/>
      <c r="BE219" s="42"/>
      <c r="BF219" s="42"/>
      <c r="BG219" s="42"/>
      <c r="BH219" s="42"/>
      <c r="BI219" s="42"/>
      <c r="BJ219" s="42"/>
      <c r="BK219" s="42"/>
      <c r="BL219" s="42"/>
      <c r="BM219" s="42"/>
      <c r="BN219" s="42"/>
      <c r="BO219" s="42"/>
      <c r="BP219" s="42"/>
      <c r="BQ219" s="42"/>
      <c r="BR219" s="42"/>
      <c r="BS219" s="42"/>
      <c r="BT219" s="42"/>
      <c r="BU219" s="42"/>
      <c r="BV219" s="42"/>
      <c r="BW219" s="42"/>
      <c r="BX219" s="42"/>
      <c r="BY219" s="42"/>
      <c r="BZ219" s="42"/>
      <c r="CA219" s="42"/>
      <c r="CB219" s="42"/>
      <c r="CC219" s="42"/>
      <c r="CD219" s="42"/>
      <c r="CE219" s="42"/>
      <c r="CF219" s="42"/>
      <c r="CG219" s="42"/>
      <c r="CH219" s="42"/>
      <c r="CI219" s="42"/>
      <c r="CJ219" s="42"/>
      <c r="CK219" s="42"/>
      <c r="CL219" s="42"/>
      <c r="CM219" s="42"/>
      <c r="CN219" s="42"/>
      <c r="CO219" s="42"/>
      <c r="CP219" s="42"/>
      <c r="CQ219" s="42"/>
      <c r="CR219" s="42"/>
      <c r="CS219" s="42"/>
      <c r="CT219" s="42"/>
      <c r="CU219" s="42"/>
      <c r="CV219" s="42"/>
      <c r="CW219" s="42"/>
      <c r="CX219" s="42"/>
      <c r="CY219" s="42"/>
      <c r="CZ219" s="42"/>
      <c r="DA219" s="42"/>
      <c r="DB219" s="42"/>
      <c r="DC219" s="42"/>
      <c r="DD219" s="42"/>
      <c r="DE219" s="42"/>
      <c r="DF219" s="42"/>
      <c r="DG219" s="42"/>
      <c r="DH219" s="42"/>
      <c r="DI219" s="42"/>
      <c r="DJ219" s="42"/>
      <c r="DK219" s="42"/>
      <c r="DL219" s="42"/>
      <c r="DM219" s="42"/>
      <c r="DN219" s="42"/>
      <c r="DO219" s="42"/>
      <c r="DP219" s="42"/>
      <c r="DQ219" s="42"/>
      <c r="DR219" s="42"/>
      <c r="DS219" s="42"/>
      <c r="DT219" s="42"/>
      <c r="DU219" s="42"/>
      <c r="DV219" s="42"/>
      <c r="DW219" s="42"/>
      <c r="DX219" s="42"/>
      <c r="DY219" s="42"/>
      <c r="DZ219" s="42"/>
      <c r="EA219" s="42"/>
      <c r="EB219" s="42"/>
      <c r="EC219" s="42"/>
      <c r="ED219" s="42"/>
      <c r="EE219" s="42"/>
      <c r="EF219" s="42"/>
      <c r="EG219" s="42"/>
      <c r="EH219" s="42"/>
      <c r="EI219" s="42"/>
      <c r="EJ219" s="42"/>
      <c r="EK219" s="42"/>
      <c r="EL219" s="42"/>
      <c r="EM219" s="42"/>
      <c r="EN219" s="42"/>
      <c r="EO219" s="42"/>
      <c r="EP219" s="42"/>
      <c r="EQ219" s="42"/>
      <c r="ER219" s="42"/>
      <c r="ES219" s="42"/>
      <c r="ET219" s="42"/>
      <c r="EU219" s="42"/>
      <c r="EV219" s="42"/>
      <c r="EW219" s="42"/>
      <c r="EX219" s="42"/>
      <c r="EY219" s="42"/>
      <c r="EZ219" s="42"/>
      <c r="FA219" s="42"/>
      <c r="FB219" s="42"/>
      <c r="FC219" s="42"/>
      <c r="FD219" s="42"/>
      <c r="FE219" s="42"/>
      <c r="FF219" s="42"/>
      <c r="FG219" s="42"/>
      <c r="FH219" s="42"/>
      <c r="FI219" s="42"/>
      <c r="FJ219" s="42"/>
      <c r="FK219" s="42"/>
      <c r="FL219" s="42"/>
      <c r="FM219" s="42"/>
      <c r="FN219" s="42"/>
      <c r="FO219" s="42"/>
      <c r="FP219" s="42"/>
      <c r="FQ219" s="42"/>
      <c r="FR219" s="42"/>
      <c r="FS219" s="42"/>
      <c r="FT219" s="42"/>
      <c r="FU219" s="42"/>
      <c r="FV219" s="42"/>
      <c r="FW219" s="42"/>
      <c r="FX219" s="42"/>
      <c r="FY219" s="42"/>
      <c r="FZ219" s="42"/>
      <c r="GA219" s="42"/>
      <c r="GB219" s="42"/>
      <c r="GC219" s="42"/>
      <c r="GD219" s="42"/>
      <c r="GE219" s="42"/>
      <c r="GF219" s="42"/>
      <c r="GG219" s="42"/>
      <c r="GH219" s="42"/>
      <c r="GI219" s="42"/>
      <c r="GJ219" s="42"/>
      <c r="GK219" s="42"/>
      <c r="GL219" s="42"/>
      <c r="GM219" s="42"/>
      <c r="GN219" s="42"/>
      <c r="GO219" s="42"/>
      <c r="GP219" s="42"/>
      <c r="GQ219" s="42"/>
      <c r="GR219" s="42"/>
      <c r="GS219" s="42"/>
      <c r="GT219" s="42"/>
      <c r="GU219" s="42"/>
      <c r="GV219" s="42"/>
      <c r="GW219" s="42"/>
      <c r="GX219" s="42"/>
      <c r="GY219" s="42"/>
      <c r="GZ219" s="42"/>
      <c r="HA219" s="42"/>
      <c r="HB219" s="42"/>
      <c r="HC219" s="42"/>
      <c r="HD219" s="42"/>
      <c r="HE219" s="42"/>
      <c r="HF219" s="42"/>
      <c r="HG219" s="42"/>
      <c r="HH219" s="42"/>
      <c r="HI219" s="42"/>
      <c r="HJ219" s="42"/>
      <c r="HK219" s="42"/>
      <c r="HL219" s="42"/>
      <c r="HM219" s="42"/>
      <c r="HN219" s="42"/>
      <c r="HO219" s="42"/>
      <c r="HP219" s="42"/>
      <c r="HQ219" s="42"/>
      <c r="HR219" s="42"/>
      <c r="HS219" s="42"/>
      <c r="HT219" s="42"/>
      <c r="HU219" s="42"/>
      <c r="HV219" s="42"/>
      <c r="HW219" s="42"/>
      <c r="HX219" s="42"/>
      <c r="HY219" s="42"/>
      <c r="HZ219" s="42"/>
      <c r="IA219" s="42"/>
      <c r="IB219" s="42"/>
      <c r="IC219" s="42"/>
      <c r="ID219" s="42"/>
      <c r="IE219" s="42"/>
      <c r="IF219" s="42"/>
      <c r="IG219" s="42"/>
      <c r="IH219" s="42"/>
      <c r="II219" s="42"/>
      <c r="IJ219" s="42"/>
      <c r="IK219" s="42"/>
      <c r="IL219" s="42"/>
      <c r="IM219" s="42"/>
      <c r="IN219" s="42"/>
      <c r="IO219" s="42"/>
      <c r="IP219" s="42"/>
      <c r="IQ219" s="42"/>
      <c r="IR219" s="42"/>
      <c r="IS219" s="42"/>
      <c r="IT219" s="42"/>
      <c r="IU219" s="42"/>
      <c r="IV219" s="42"/>
      <c r="IW219" s="42"/>
      <c r="IX219" s="42"/>
      <c r="IY219" s="42"/>
      <c r="IZ219" s="42"/>
      <c r="JA219" s="42"/>
      <c r="JB219" s="42"/>
      <c r="JC219" s="42"/>
      <c r="JD219" s="42"/>
      <c r="JE219" s="42"/>
      <c r="JF219" s="42"/>
      <c r="JG219" s="42"/>
      <c r="JH219" s="42"/>
      <c r="JI219" s="42"/>
      <c r="JJ219" s="42"/>
      <c r="JK219" s="42"/>
      <c r="JL219" s="42"/>
      <c r="JM219" s="42"/>
      <c r="JN219" s="42"/>
      <c r="JO219" s="42"/>
      <c r="JP219" s="42"/>
      <c r="JQ219" s="42"/>
      <c r="JR219" s="42"/>
      <c r="JS219" s="42"/>
      <c r="JT219" s="42"/>
      <c r="JU219" s="42"/>
      <c r="JV219" s="42"/>
      <c r="JW219" s="42"/>
      <c r="JX219" s="42"/>
      <c r="JY219" s="42"/>
      <c r="JZ219" s="42"/>
      <c r="KA219" s="42"/>
      <c r="KB219" s="42"/>
      <c r="KC219" s="42"/>
      <c r="KD219" s="42"/>
      <c r="KE219" s="42"/>
      <c r="KF219" s="42"/>
      <c r="KG219" s="42"/>
      <c r="KH219" s="42"/>
      <c r="KI219" s="42"/>
      <c r="KJ219" s="42"/>
      <c r="KK219" s="42"/>
      <c r="KL219" s="42"/>
      <c r="KM219" s="42"/>
      <c r="KN219" s="42"/>
      <c r="KO219" s="42"/>
      <c r="KP219" s="42"/>
      <c r="KQ219" s="42"/>
      <c r="KR219" s="42"/>
      <c r="KS219" s="42"/>
      <c r="KT219" s="42"/>
      <c r="KU219" s="42"/>
      <c r="KV219" s="42"/>
      <c r="KW219" s="42"/>
      <c r="KX219" s="42"/>
      <c r="KY219" s="42"/>
      <c r="KZ219" s="42"/>
      <c r="LA219" s="42"/>
      <c r="LB219" s="42"/>
      <c r="LC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c r="AG220" s="42"/>
      <c r="AH220" s="42"/>
      <c r="AI220" s="42"/>
      <c r="AJ220" s="42"/>
      <c r="AK220" s="42"/>
      <c r="AL220" s="42"/>
      <c r="AM220" s="42"/>
      <c r="AN220" s="42"/>
      <c r="AO220" s="42"/>
      <c r="AP220" s="42"/>
      <c r="AQ220" s="42"/>
      <c r="AR220" s="42"/>
      <c r="AS220" s="42"/>
      <c r="AT220" s="42"/>
      <c r="AU220" s="42"/>
      <c r="AV220" s="42"/>
      <c r="AW220" s="42"/>
      <c r="AX220" s="42"/>
      <c r="AY220" s="42"/>
      <c r="AZ220" s="42"/>
      <c r="BA220" s="42"/>
      <c r="BB220" s="42"/>
      <c r="BC220" s="42"/>
      <c r="BD220" s="42"/>
      <c r="BE220" s="42"/>
      <c r="BF220" s="42"/>
      <c r="BG220" s="42"/>
      <c r="BH220" s="42"/>
      <c r="BI220" s="42"/>
      <c r="BJ220" s="42"/>
      <c r="BK220" s="42"/>
      <c r="BL220" s="42"/>
      <c r="BM220" s="42"/>
      <c r="BN220" s="42"/>
      <c r="BO220" s="42"/>
      <c r="BP220" s="42"/>
      <c r="BQ220" s="42"/>
      <c r="BR220" s="42"/>
      <c r="BS220" s="42"/>
      <c r="BT220" s="42"/>
      <c r="BU220" s="42"/>
      <c r="BV220" s="42"/>
      <c r="BW220" s="42"/>
      <c r="BX220" s="42"/>
      <c r="BY220" s="42"/>
      <c r="BZ220" s="42"/>
      <c r="CA220" s="42"/>
      <c r="CB220" s="42"/>
      <c r="CC220" s="42"/>
      <c r="CD220" s="42"/>
      <c r="CE220" s="42"/>
      <c r="CF220" s="42"/>
      <c r="CG220" s="42"/>
      <c r="CH220" s="42"/>
      <c r="CI220" s="42"/>
      <c r="CJ220" s="42"/>
      <c r="CK220" s="42"/>
      <c r="CL220" s="42"/>
      <c r="CM220" s="42"/>
      <c r="CN220" s="42"/>
      <c r="CO220" s="42"/>
      <c r="CP220" s="42"/>
      <c r="CQ220" s="42"/>
      <c r="CR220" s="42"/>
      <c r="CS220" s="42"/>
      <c r="CT220" s="42"/>
      <c r="CU220" s="42"/>
      <c r="CV220" s="42"/>
      <c r="CW220" s="42"/>
      <c r="CX220" s="42"/>
      <c r="CY220" s="42"/>
      <c r="CZ220" s="42"/>
      <c r="DA220" s="42"/>
      <c r="DB220" s="42"/>
      <c r="DC220" s="42"/>
      <c r="DD220" s="42"/>
      <c r="DE220" s="42"/>
      <c r="DF220" s="42"/>
      <c r="DG220" s="42"/>
      <c r="DH220" s="42"/>
      <c r="DI220" s="42"/>
      <c r="DJ220" s="42"/>
      <c r="DK220" s="42"/>
      <c r="DL220" s="42"/>
      <c r="DM220" s="42"/>
      <c r="DN220" s="42"/>
      <c r="DO220" s="42"/>
      <c r="DP220" s="42"/>
      <c r="DQ220" s="42"/>
      <c r="DR220" s="42"/>
      <c r="DS220" s="42"/>
      <c r="DT220" s="42"/>
      <c r="DU220" s="42"/>
      <c r="DV220" s="42"/>
      <c r="DW220" s="42"/>
      <c r="DX220" s="42"/>
      <c r="DY220" s="42"/>
      <c r="DZ220" s="42"/>
      <c r="EA220" s="42"/>
      <c r="EB220" s="42"/>
      <c r="EC220" s="42"/>
      <c r="ED220" s="42"/>
      <c r="EE220" s="42"/>
      <c r="EF220" s="42"/>
      <c r="EG220" s="42"/>
      <c r="EH220" s="42"/>
      <c r="EI220" s="42"/>
      <c r="EJ220" s="42"/>
      <c r="EK220" s="42"/>
      <c r="EL220" s="42"/>
      <c r="EM220" s="42"/>
      <c r="EN220" s="42"/>
      <c r="EO220" s="42"/>
      <c r="EP220" s="42"/>
      <c r="EQ220" s="42"/>
      <c r="ER220" s="42"/>
      <c r="ES220" s="42"/>
      <c r="ET220" s="42"/>
      <c r="EU220" s="42"/>
      <c r="EV220" s="42"/>
      <c r="EW220" s="42"/>
      <c r="EX220" s="42"/>
      <c r="EY220" s="42"/>
      <c r="EZ220" s="42"/>
      <c r="FA220" s="42"/>
      <c r="FB220" s="42"/>
      <c r="FC220" s="42"/>
      <c r="FD220" s="42"/>
      <c r="FE220" s="42"/>
      <c r="FF220" s="42"/>
      <c r="FG220" s="42"/>
      <c r="FH220" s="42"/>
      <c r="FI220" s="42"/>
      <c r="FJ220" s="42"/>
      <c r="FK220" s="42"/>
      <c r="FL220" s="42"/>
      <c r="FM220" s="42"/>
      <c r="FN220" s="42"/>
      <c r="FO220" s="42"/>
      <c r="FP220" s="42"/>
      <c r="FQ220" s="42"/>
      <c r="FR220" s="42"/>
      <c r="FS220" s="42"/>
      <c r="FT220" s="42"/>
      <c r="FU220" s="42"/>
      <c r="FV220" s="42"/>
      <c r="FW220" s="42"/>
      <c r="FX220" s="42"/>
      <c r="FY220" s="42"/>
      <c r="FZ220" s="42"/>
      <c r="GA220" s="42"/>
      <c r="GB220" s="42"/>
      <c r="GC220" s="42"/>
      <c r="GD220" s="42"/>
      <c r="GE220" s="42"/>
      <c r="GF220" s="42"/>
      <c r="GG220" s="42"/>
      <c r="GH220" s="42"/>
      <c r="GI220" s="42"/>
      <c r="GJ220" s="42"/>
      <c r="GK220" s="42"/>
      <c r="GL220" s="42"/>
      <c r="GM220" s="42"/>
      <c r="GN220" s="42"/>
      <c r="GO220" s="42"/>
      <c r="GP220" s="42"/>
      <c r="GQ220" s="42"/>
      <c r="GR220" s="42"/>
      <c r="GS220" s="42"/>
      <c r="GT220" s="42"/>
      <c r="GU220" s="42"/>
      <c r="GV220" s="42"/>
      <c r="GW220" s="42"/>
      <c r="GX220" s="42"/>
      <c r="GY220" s="42"/>
      <c r="GZ220" s="42"/>
      <c r="HA220" s="42"/>
      <c r="HB220" s="42"/>
      <c r="HC220" s="42"/>
      <c r="HD220" s="42"/>
      <c r="HE220" s="42"/>
      <c r="HF220" s="42"/>
      <c r="HG220" s="42"/>
      <c r="HH220" s="42"/>
      <c r="HI220" s="42"/>
      <c r="HJ220" s="42"/>
      <c r="HK220" s="42"/>
      <c r="HL220" s="42"/>
      <c r="HM220" s="42"/>
      <c r="HN220" s="42"/>
      <c r="HO220" s="42"/>
      <c r="HP220" s="42"/>
      <c r="HQ220" s="42"/>
      <c r="HR220" s="42"/>
      <c r="HS220" s="42"/>
      <c r="HT220" s="42"/>
      <c r="HU220" s="42"/>
      <c r="HV220" s="42"/>
      <c r="HW220" s="42"/>
      <c r="HX220" s="42"/>
      <c r="HY220" s="42"/>
      <c r="HZ220" s="42"/>
      <c r="IA220" s="42"/>
      <c r="IB220" s="42"/>
      <c r="IC220" s="42"/>
      <c r="ID220" s="42"/>
      <c r="IE220" s="42"/>
      <c r="IF220" s="42"/>
      <c r="IG220" s="42"/>
      <c r="IH220" s="42"/>
      <c r="II220" s="42"/>
      <c r="IJ220" s="42"/>
      <c r="IK220" s="42"/>
      <c r="IL220" s="42"/>
      <c r="IM220" s="42"/>
      <c r="IN220" s="42"/>
      <c r="IO220" s="42"/>
      <c r="IP220" s="42"/>
      <c r="IQ220" s="42"/>
      <c r="IR220" s="42"/>
      <c r="IS220" s="42"/>
      <c r="IT220" s="42"/>
      <c r="IU220" s="42"/>
      <c r="IV220" s="42"/>
      <c r="IW220" s="42"/>
      <c r="IX220" s="42"/>
      <c r="IY220" s="42"/>
      <c r="IZ220" s="42"/>
      <c r="JA220" s="42"/>
      <c r="JB220" s="42"/>
      <c r="JC220" s="42"/>
      <c r="JD220" s="42"/>
      <c r="JE220" s="42"/>
      <c r="JF220" s="42"/>
      <c r="JG220" s="42"/>
      <c r="JH220" s="42"/>
      <c r="JI220" s="42"/>
      <c r="JJ220" s="42"/>
      <c r="JK220" s="42"/>
      <c r="JL220" s="42"/>
      <c r="JM220" s="42"/>
      <c r="JN220" s="42"/>
      <c r="JO220" s="42"/>
      <c r="JP220" s="42"/>
      <c r="JQ220" s="42"/>
      <c r="JR220" s="42"/>
      <c r="JS220" s="42"/>
      <c r="JT220" s="42"/>
      <c r="JU220" s="42"/>
      <c r="JV220" s="42"/>
      <c r="JW220" s="42"/>
      <c r="JX220" s="42"/>
      <c r="JY220" s="42"/>
      <c r="JZ220" s="42"/>
      <c r="KA220" s="42"/>
      <c r="KB220" s="42"/>
      <c r="KC220" s="42"/>
      <c r="KD220" s="42"/>
      <c r="KE220" s="42"/>
      <c r="KF220" s="42"/>
      <c r="KG220" s="42"/>
      <c r="KH220" s="42"/>
      <c r="KI220" s="42"/>
      <c r="KJ220" s="42"/>
      <c r="KK220" s="42"/>
      <c r="KL220" s="42"/>
      <c r="KM220" s="42"/>
      <c r="KN220" s="42"/>
      <c r="KO220" s="42"/>
      <c r="KP220" s="42"/>
      <c r="KQ220" s="42"/>
      <c r="KR220" s="42"/>
      <c r="KS220" s="42"/>
      <c r="KT220" s="42"/>
      <c r="KU220" s="42"/>
      <c r="KV220" s="42"/>
      <c r="KW220" s="42"/>
      <c r="KX220" s="42"/>
      <c r="KY220" s="42"/>
      <c r="KZ220" s="42"/>
      <c r="LA220" s="42"/>
      <c r="LB220" s="42"/>
      <c r="LC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c r="BC221" s="42"/>
      <c r="BD221" s="42"/>
      <c r="BE221" s="42"/>
      <c r="BF221" s="42"/>
      <c r="BG221" s="42"/>
      <c r="BH221" s="42"/>
      <c r="BI221" s="42"/>
      <c r="BJ221" s="42"/>
      <c r="BK221" s="42"/>
      <c r="BL221" s="42"/>
      <c r="BM221" s="42"/>
      <c r="BN221" s="42"/>
      <c r="BO221" s="42"/>
      <c r="BP221" s="42"/>
      <c r="BQ221" s="42"/>
      <c r="BR221" s="42"/>
      <c r="BS221" s="42"/>
      <c r="BT221" s="42"/>
      <c r="BU221" s="42"/>
      <c r="BV221" s="42"/>
      <c r="BW221" s="42"/>
      <c r="BX221" s="42"/>
      <c r="BY221" s="42"/>
      <c r="BZ221" s="42"/>
      <c r="CA221" s="42"/>
      <c r="CB221" s="42"/>
      <c r="CC221" s="42"/>
      <c r="CD221" s="42"/>
      <c r="CE221" s="42"/>
      <c r="CF221" s="42"/>
      <c r="CG221" s="42"/>
      <c r="CH221" s="42"/>
      <c r="CI221" s="42"/>
      <c r="CJ221" s="42"/>
      <c r="CK221" s="42"/>
      <c r="CL221" s="42"/>
      <c r="CM221" s="42"/>
      <c r="CN221" s="42"/>
      <c r="CO221" s="42"/>
      <c r="CP221" s="42"/>
      <c r="CQ221" s="42"/>
      <c r="CR221" s="42"/>
      <c r="CS221" s="42"/>
      <c r="CT221" s="42"/>
      <c r="CU221" s="42"/>
      <c r="CV221" s="42"/>
      <c r="CW221" s="42"/>
      <c r="CX221" s="42"/>
      <c r="CY221" s="42"/>
      <c r="CZ221" s="42"/>
      <c r="DA221" s="42"/>
      <c r="DB221" s="42"/>
      <c r="DC221" s="42"/>
      <c r="DD221" s="42"/>
      <c r="DE221" s="42"/>
      <c r="DF221" s="42"/>
      <c r="DG221" s="42"/>
      <c r="DH221" s="42"/>
      <c r="DI221" s="42"/>
      <c r="DJ221" s="42"/>
      <c r="DK221" s="42"/>
      <c r="DL221" s="42"/>
      <c r="DM221" s="42"/>
      <c r="DN221" s="42"/>
      <c r="DO221" s="42"/>
      <c r="DP221" s="42"/>
      <c r="DQ221" s="42"/>
      <c r="DR221" s="42"/>
      <c r="DS221" s="42"/>
      <c r="DT221" s="42"/>
      <c r="DU221" s="42"/>
      <c r="DV221" s="42"/>
      <c r="DW221" s="42"/>
      <c r="DX221" s="42"/>
      <c r="DY221" s="42"/>
      <c r="DZ221" s="42"/>
      <c r="EA221" s="42"/>
      <c r="EB221" s="42"/>
      <c r="EC221" s="42"/>
      <c r="ED221" s="42"/>
      <c r="EE221" s="42"/>
      <c r="EF221" s="42"/>
      <c r="EG221" s="42"/>
      <c r="EH221" s="42"/>
      <c r="EI221" s="42"/>
      <c r="EJ221" s="42"/>
      <c r="EK221" s="42"/>
      <c r="EL221" s="42"/>
      <c r="EM221" s="42"/>
      <c r="EN221" s="42"/>
      <c r="EO221" s="42"/>
      <c r="EP221" s="42"/>
      <c r="EQ221" s="42"/>
      <c r="ER221" s="42"/>
      <c r="ES221" s="42"/>
      <c r="ET221" s="42"/>
      <c r="EU221" s="42"/>
      <c r="EV221" s="42"/>
      <c r="EW221" s="42"/>
      <c r="EX221" s="42"/>
      <c r="EY221" s="42"/>
      <c r="EZ221" s="42"/>
      <c r="FA221" s="42"/>
      <c r="FB221" s="42"/>
      <c r="FC221" s="42"/>
      <c r="FD221" s="42"/>
      <c r="FE221" s="42"/>
      <c r="FF221" s="42"/>
      <c r="FG221" s="42"/>
      <c r="FH221" s="42"/>
      <c r="FI221" s="42"/>
      <c r="FJ221" s="42"/>
      <c r="FK221" s="42"/>
      <c r="FL221" s="42"/>
      <c r="FM221" s="42"/>
      <c r="FN221" s="42"/>
      <c r="FO221" s="42"/>
      <c r="FP221" s="42"/>
      <c r="FQ221" s="42"/>
      <c r="FR221" s="42"/>
      <c r="FS221" s="42"/>
      <c r="FT221" s="42"/>
      <c r="FU221" s="42"/>
      <c r="FV221" s="42"/>
      <c r="FW221" s="42"/>
      <c r="FX221" s="42"/>
      <c r="FY221" s="42"/>
      <c r="FZ221" s="42"/>
      <c r="GA221" s="42"/>
      <c r="GB221" s="42"/>
      <c r="GC221" s="42"/>
      <c r="GD221" s="42"/>
      <c r="GE221" s="42"/>
      <c r="GF221" s="42"/>
      <c r="GG221" s="42"/>
      <c r="GH221" s="42"/>
      <c r="GI221" s="42"/>
      <c r="GJ221" s="42"/>
      <c r="GK221" s="42"/>
      <c r="GL221" s="42"/>
      <c r="GM221" s="42"/>
      <c r="GN221" s="42"/>
      <c r="GO221" s="42"/>
      <c r="GP221" s="42"/>
      <c r="GQ221" s="42"/>
      <c r="GR221" s="42"/>
      <c r="GS221" s="42"/>
      <c r="GT221" s="42"/>
      <c r="GU221" s="42"/>
      <c r="GV221" s="42"/>
      <c r="GW221" s="42"/>
      <c r="GX221" s="42"/>
      <c r="GY221" s="42"/>
      <c r="GZ221" s="42"/>
      <c r="HA221" s="42"/>
      <c r="HB221" s="42"/>
      <c r="HC221" s="42"/>
      <c r="HD221" s="42"/>
      <c r="HE221" s="42"/>
      <c r="HF221" s="42"/>
      <c r="HG221" s="42"/>
      <c r="HH221" s="42"/>
      <c r="HI221" s="42"/>
      <c r="HJ221" s="42"/>
      <c r="HK221" s="42"/>
      <c r="HL221" s="42"/>
      <c r="HM221" s="42"/>
      <c r="HN221" s="42"/>
      <c r="HO221" s="42"/>
      <c r="HP221" s="42"/>
      <c r="HQ221" s="42"/>
      <c r="HR221" s="42"/>
      <c r="HS221" s="42"/>
      <c r="HT221" s="42"/>
      <c r="HU221" s="42"/>
      <c r="HV221" s="42"/>
      <c r="HW221" s="42"/>
      <c r="HX221" s="42"/>
      <c r="HY221" s="42"/>
      <c r="HZ221" s="42"/>
      <c r="IA221" s="42"/>
      <c r="IB221" s="42"/>
      <c r="IC221" s="42"/>
      <c r="ID221" s="42"/>
      <c r="IE221" s="42"/>
      <c r="IF221" s="42"/>
      <c r="IG221" s="42"/>
      <c r="IH221" s="42"/>
      <c r="II221" s="42"/>
      <c r="IJ221" s="42"/>
      <c r="IK221" s="42"/>
      <c r="IL221" s="42"/>
      <c r="IM221" s="42"/>
      <c r="IN221" s="42"/>
      <c r="IO221" s="42"/>
      <c r="IP221" s="42"/>
      <c r="IQ221" s="42"/>
      <c r="IR221" s="42"/>
      <c r="IS221" s="42"/>
      <c r="IT221" s="42"/>
      <c r="IU221" s="42"/>
      <c r="IV221" s="42"/>
      <c r="IW221" s="42"/>
      <c r="IX221" s="42"/>
      <c r="IY221" s="42"/>
      <c r="IZ221" s="42"/>
      <c r="JA221" s="42"/>
      <c r="JB221" s="42"/>
      <c r="JC221" s="42"/>
      <c r="JD221" s="42"/>
      <c r="JE221" s="42"/>
      <c r="JF221" s="42"/>
      <c r="JG221" s="42"/>
      <c r="JH221" s="42"/>
      <c r="JI221" s="42"/>
      <c r="JJ221" s="42"/>
      <c r="JK221" s="42"/>
      <c r="JL221" s="42"/>
      <c r="JM221" s="42"/>
      <c r="JN221" s="42"/>
      <c r="JO221" s="42"/>
      <c r="JP221" s="42"/>
      <c r="JQ221" s="42"/>
      <c r="JR221" s="42"/>
      <c r="JS221" s="42"/>
      <c r="JT221" s="42"/>
      <c r="JU221" s="42"/>
      <c r="JV221" s="42"/>
      <c r="JW221" s="42"/>
      <c r="JX221" s="42"/>
      <c r="JY221" s="42"/>
      <c r="JZ221" s="42"/>
      <c r="KA221" s="42"/>
      <c r="KB221" s="42"/>
      <c r="KC221" s="42"/>
      <c r="KD221" s="42"/>
      <c r="KE221" s="42"/>
      <c r="KF221" s="42"/>
      <c r="KG221" s="42"/>
      <c r="KH221" s="42"/>
      <c r="KI221" s="42"/>
      <c r="KJ221" s="42"/>
      <c r="KK221" s="42"/>
      <c r="KL221" s="42"/>
      <c r="KM221" s="42"/>
      <c r="KN221" s="42"/>
      <c r="KO221" s="42"/>
      <c r="KP221" s="42"/>
      <c r="KQ221" s="42"/>
      <c r="KR221" s="42"/>
      <c r="KS221" s="42"/>
      <c r="KT221" s="42"/>
      <c r="KU221" s="42"/>
      <c r="KV221" s="42"/>
      <c r="KW221" s="42"/>
      <c r="KX221" s="42"/>
      <c r="KY221" s="42"/>
      <c r="KZ221" s="42"/>
      <c r="LA221" s="42"/>
      <c r="LB221" s="42"/>
      <c r="LC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c r="BC222" s="42"/>
      <c r="BD222" s="42"/>
      <c r="BE222" s="42"/>
      <c r="BF222" s="42"/>
      <c r="BG222" s="42"/>
      <c r="BH222" s="42"/>
      <c r="BI222" s="42"/>
      <c r="BJ222" s="42"/>
      <c r="BK222" s="42"/>
      <c r="BL222" s="42"/>
      <c r="BM222" s="42"/>
      <c r="BN222" s="42"/>
      <c r="BO222" s="42"/>
      <c r="BP222" s="42"/>
      <c r="BQ222" s="42"/>
      <c r="BR222" s="42"/>
      <c r="BS222" s="42"/>
      <c r="BT222" s="42"/>
      <c r="BU222" s="42"/>
      <c r="BV222" s="42"/>
      <c r="BW222" s="42"/>
      <c r="BX222" s="42"/>
      <c r="BY222" s="42"/>
      <c r="BZ222" s="42"/>
      <c r="CA222" s="42"/>
      <c r="CB222" s="42"/>
      <c r="CC222" s="42"/>
      <c r="CD222" s="42"/>
      <c r="CE222" s="42"/>
      <c r="CF222" s="42"/>
      <c r="CG222" s="42"/>
      <c r="CH222" s="42"/>
      <c r="CI222" s="42"/>
      <c r="CJ222" s="42"/>
      <c r="CK222" s="42"/>
      <c r="CL222" s="42"/>
      <c r="CM222" s="42"/>
      <c r="CN222" s="42"/>
      <c r="CO222" s="42"/>
      <c r="CP222" s="42"/>
      <c r="CQ222" s="42"/>
      <c r="CR222" s="42"/>
      <c r="CS222" s="42"/>
      <c r="CT222" s="42"/>
      <c r="CU222" s="42"/>
      <c r="CV222" s="42"/>
      <c r="CW222" s="42"/>
      <c r="CX222" s="42"/>
      <c r="CY222" s="42"/>
      <c r="CZ222" s="42"/>
      <c r="DA222" s="42"/>
      <c r="DB222" s="42"/>
      <c r="DC222" s="42"/>
      <c r="DD222" s="42"/>
      <c r="DE222" s="42"/>
      <c r="DF222" s="42"/>
      <c r="DG222" s="42"/>
      <c r="DH222" s="42"/>
      <c r="DI222" s="42"/>
      <c r="DJ222" s="42"/>
      <c r="DK222" s="42"/>
      <c r="DL222" s="42"/>
      <c r="DM222" s="42"/>
      <c r="DN222" s="42"/>
      <c r="DO222" s="42"/>
      <c r="DP222" s="42"/>
      <c r="DQ222" s="42"/>
      <c r="DR222" s="42"/>
      <c r="DS222" s="42"/>
      <c r="DT222" s="42"/>
      <c r="DU222" s="42"/>
      <c r="DV222" s="42"/>
      <c r="DW222" s="42"/>
      <c r="DX222" s="42"/>
      <c r="DY222" s="42"/>
      <c r="DZ222" s="42"/>
      <c r="EA222" s="42"/>
      <c r="EB222" s="42"/>
      <c r="EC222" s="42"/>
      <c r="ED222" s="42"/>
      <c r="EE222" s="42"/>
      <c r="EF222" s="42"/>
      <c r="EG222" s="42"/>
      <c r="EH222" s="42"/>
      <c r="EI222" s="42"/>
      <c r="EJ222" s="42"/>
      <c r="EK222" s="42"/>
      <c r="EL222" s="42"/>
      <c r="EM222" s="42"/>
      <c r="EN222" s="42"/>
      <c r="EO222" s="42"/>
      <c r="EP222" s="42"/>
      <c r="EQ222" s="42"/>
      <c r="ER222" s="42"/>
      <c r="ES222" s="42"/>
      <c r="ET222" s="42"/>
      <c r="EU222" s="42"/>
      <c r="EV222" s="42"/>
      <c r="EW222" s="42"/>
      <c r="EX222" s="42"/>
      <c r="EY222" s="42"/>
      <c r="EZ222" s="42"/>
      <c r="FA222" s="42"/>
      <c r="FB222" s="42"/>
      <c r="FC222" s="42"/>
      <c r="FD222" s="42"/>
      <c r="FE222" s="42"/>
      <c r="FF222" s="42"/>
      <c r="FG222" s="42"/>
      <c r="FH222" s="42"/>
      <c r="FI222" s="42"/>
      <c r="FJ222" s="42"/>
      <c r="FK222" s="42"/>
      <c r="FL222" s="42"/>
      <c r="FM222" s="42"/>
      <c r="FN222" s="42"/>
      <c r="FO222" s="42"/>
      <c r="FP222" s="42"/>
      <c r="FQ222" s="42"/>
      <c r="FR222" s="42"/>
      <c r="FS222" s="42"/>
      <c r="FT222" s="42"/>
      <c r="FU222" s="42"/>
      <c r="FV222" s="42"/>
      <c r="FW222" s="42"/>
      <c r="FX222" s="42"/>
      <c r="FY222" s="42"/>
      <c r="FZ222" s="42"/>
      <c r="GA222" s="42"/>
      <c r="GB222" s="42"/>
      <c r="GC222" s="42"/>
      <c r="GD222" s="42"/>
      <c r="GE222" s="42"/>
      <c r="GF222" s="42"/>
      <c r="GG222" s="42"/>
      <c r="GH222" s="42"/>
      <c r="GI222" s="42"/>
      <c r="GJ222" s="42"/>
      <c r="GK222" s="42"/>
      <c r="GL222" s="42"/>
      <c r="GM222" s="42"/>
      <c r="GN222" s="42"/>
      <c r="GO222" s="42"/>
      <c r="GP222" s="42"/>
      <c r="GQ222" s="42"/>
      <c r="GR222" s="42"/>
      <c r="GS222" s="42"/>
      <c r="GT222" s="42"/>
      <c r="GU222" s="42"/>
      <c r="GV222" s="42"/>
      <c r="GW222" s="42"/>
      <c r="GX222" s="42"/>
      <c r="GY222" s="42"/>
      <c r="GZ222" s="42"/>
      <c r="HA222" s="42"/>
      <c r="HB222" s="42"/>
      <c r="HC222" s="42"/>
      <c r="HD222" s="42"/>
      <c r="HE222" s="42"/>
      <c r="HF222" s="42"/>
      <c r="HG222" s="42"/>
      <c r="HH222" s="42"/>
      <c r="HI222" s="42"/>
      <c r="HJ222" s="42"/>
      <c r="HK222" s="42"/>
      <c r="HL222" s="42"/>
      <c r="HM222" s="42"/>
      <c r="HN222" s="42"/>
      <c r="HO222" s="42"/>
      <c r="HP222" s="42"/>
      <c r="HQ222" s="42"/>
      <c r="HR222" s="42"/>
      <c r="HS222" s="42"/>
      <c r="HT222" s="42"/>
      <c r="HU222" s="42"/>
      <c r="HV222" s="42"/>
      <c r="HW222" s="42"/>
      <c r="HX222" s="42"/>
      <c r="HY222" s="42"/>
      <c r="HZ222" s="42"/>
      <c r="IA222" s="42"/>
      <c r="IB222" s="42"/>
      <c r="IC222" s="42"/>
      <c r="ID222" s="42"/>
      <c r="IE222" s="42"/>
      <c r="IF222" s="42"/>
      <c r="IG222" s="42"/>
      <c r="IH222" s="42"/>
      <c r="II222" s="42"/>
      <c r="IJ222" s="42"/>
      <c r="IK222" s="42"/>
      <c r="IL222" s="42"/>
      <c r="IM222" s="42"/>
      <c r="IN222" s="42"/>
      <c r="IO222" s="42"/>
      <c r="IP222" s="42"/>
      <c r="IQ222" s="42"/>
      <c r="IR222" s="42"/>
      <c r="IS222" s="42"/>
      <c r="IT222" s="42"/>
      <c r="IU222" s="42"/>
      <c r="IV222" s="42"/>
      <c r="IW222" s="42"/>
      <c r="IX222" s="42"/>
      <c r="IY222" s="42"/>
      <c r="IZ222" s="42"/>
      <c r="JA222" s="42"/>
      <c r="JB222" s="42"/>
      <c r="JC222" s="42"/>
      <c r="JD222" s="42"/>
      <c r="JE222" s="42"/>
      <c r="JF222" s="42"/>
      <c r="JG222" s="42"/>
      <c r="JH222" s="42"/>
      <c r="JI222" s="42"/>
      <c r="JJ222" s="42"/>
      <c r="JK222" s="42"/>
      <c r="JL222" s="42"/>
      <c r="JM222" s="42"/>
      <c r="JN222" s="42"/>
      <c r="JO222" s="42"/>
      <c r="JP222" s="42"/>
      <c r="JQ222" s="42"/>
      <c r="JR222" s="42"/>
      <c r="JS222" s="42"/>
      <c r="JT222" s="42"/>
      <c r="JU222" s="42"/>
      <c r="JV222" s="42"/>
      <c r="JW222" s="42"/>
      <c r="JX222" s="42"/>
      <c r="JY222" s="42"/>
      <c r="JZ222" s="42"/>
      <c r="KA222" s="42"/>
      <c r="KB222" s="42"/>
      <c r="KC222" s="42"/>
      <c r="KD222" s="42"/>
      <c r="KE222" s="42"/>
      <c r="KF222" s="42"/>
      <c r="KG222" s="42"/>
      <c r="KH222" s="42"/>
      <c r="KI222" s="42"/>
      <c r="KJ222" s="42"/>
      <c r="KK222" s="42"/>
      <c r="KL222" s="42"/>
      <c r="KM222" s="42"/>
      <c r="KN222" s="42"/>
      <c r="KO222" s="42"/>
      <c r="KP222" s="42"/>
      <c r="KQ222" s="42"/>
      <c r="KR222" s="42"/>
      <c r="KS222" s="42"/>
      <c r="KT222" s="42"/>
      <c r="KU222" s="42"/>
      <c r="KV222" s="42"/>
      <c r="KW222" s="42"/>
      <c r="KX222" s="42"/>
      <c r="KY222" s="42"/>
      <c r="KZ222" s="42"/>
      <c r="LA222" s="42"/>
      <c r="LB222" s="42"/>
      <c r="LC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c r="BA223" s="42"/>
      <c r="BB223" s="42"/>
      <c r="BC223" s="42"/>
      <c r="BD223" s="42"/>
      <c r="BE223" s="42"/>
      <c r="BF223" s="42"/>
      <c r="BG223" s="42"/>
      <c r="BH223" s="42"/>
      <c r="BI223" s="42"/>
      <c r="BJ223" s="42"/>
      <c r="BK223" s="42"/>
      <c r="BL223" s="42"/>
      <c r="BM223" s="42"/>
      <c r="BN223" s="42"/>
      <c r="BO223" s="42"/>
      <c r="BP223" s="42"/>
      <c r="BQ223" s="42"/>
      <c r="BR223" s="42"/>
      <c r="BS223" s="42"/>
      <c r="BT223" s="42"/>
      <c r="BU223" s="42"/>
      <c r="BV223" s="42"/>
      <c r="BW223" s="42"/>
      <c r="BX223" s="42"/>
      <c r="BY223" s="42"/>
      <c r="BZ223" s="42"/>
      <c r="CA223" s="42"/>
      <c r="CB223" s="42"/>
      <c r="CC223" s="42"/>
      <c r="CD223" s="42"/>
      <c r="CE223" s="42"/>
      <c r="CF223" s="42"/>
      <c r="CG223" s="42"/>
      <c r="CH223" s="42"/>
      <c r="CI223" s="42"/>
      <c r="CJ223" s="42"/>
      <c r="CK223" s="42"/>
      <c r="CL223" s="42"/>
      <c r="CM223" s="42"/>
      <c r="CN223" s="42"/>
      <c r="CO223" s="42"/>
      <c r="CP223" s="42"/>
      <c r="CQ223" s="42"/>
      <c r="CR223" s="42"/>
      <c r="CS223" s="42"/>
      <c r="CT223" s="42"/>
      <c r="CU223" s="42"/>
      <c r="CV223" s="42"/>
      <c r="CW223" s="42"/>
      <c r="CX223" s="42"/>
      <c r="CY223" s="42"/>
      <c r="CZ223" s="42"/>
      <c r="DA223" s="42"/>
      <c r="DB223" s="42"/>
      <c r="DC223" s="42"/>
      <c r="DD223" s="42"/>
      <c r="DE223" s="42"/>
      <c r="DF223" s="42"/>
      <c r="DG223" s="42"/>
      <c r="DH223" s="42"/>
      <c r="DI223" s="42"/>
      <c r="DJ223" s="42"/>
      <c r="DK223" s="42"/>
      <c r="DL223" s="42"/>
      <c r="DM223" s="42"/>
      <c r="DN223" s="42"/>
      <c r="DO223" s="42"/>
      <c r="DP223" s="42"/>
      <c r="DQ223" s="42"/>
      <c r="DR223" s="42"/>
      <c r="DS223" s="42"/>
      <c r="DT223" s="42"/>
      <c r="DU223" s="42"/>
      <c r="DV223" s="42"/>
      <c r="DW223" s="42"/>
      <c r="DX223" s="42"/>
      <c r="DY223" s="42"/>
      <c r="DZ223" s="42"/>
      <c r="EA223" s="42"/>
      <c r="EB223" s="42"/>
      <c r="EC223" s="42"/>
      <c r="ED223" s="42"/>
      <c r="EE223" s="42"/>
      <c r="EF223" s="42"/>
      <c r="EG223" s="42"/>
      <c r="EH223" s="42"/>
      <c r="EI223" s="42"/>
      <c r="EJ223" s="42"/>
      <c r="EK223" s="42"/>
      <c r="EL223" s="42"/>
      <c r="EM223" s="42"/>
      <c r="EN223" s="42"/>
      <c r="EO223" s="42"/>
      <c r="EP223" s="42"/>
      <c r="EQ223" s="42"/>
      <c r="ER223" s="42"/>
      <c r="ES223" s="42"/>
      <c r="ET223" s="42"/>
      <c r="EU223" s="42"/>
      <c r="EV223" s="42"/>
      <c r="EW223" s="42"/>
      <c r="EX223" s="42"/>
      <c r="EY223" s="42"/>
      <c r="EZ223" s="42"/>
      <c r="FA223" s="42"/>
      <c r="FB223" s="42"/>
      <c r="FC223" s="42"/>
      <c r="FD223" s="42"/>
      <c r="FE223" s="42"/>
      <c r="FF223" s="42"/>
      <c r="FG223" s="42"/>
      <c r="FH223" s="42"/>
      <c r="FI223" s="42"/>
      <c r="FJ223" s="42"/>
      <c r="FK223" s="42"/>
      <c r="FL223" s="42"/>
      <c r="FM223" s="42"/>
      <c r="FN223" s="42"/>
      <c r="FO223" s="42"/>
      <c r="FP223" s="42"/>
      <c r="FQ223" s="42"/>
      <c r="FR223" s="42"/>
      <c r="FS223" s="42"/>
      <c r="FT223" s="42"/>
      <c r="FU223" s="42"/>
      <c r="FV223" s="42"/>
      <c r="FW223" s="42"/>
      <c r="FX223" s="42"/>
      <c r="FY223" s="42"/>
      <c r="FZ223" s="42"/>
      <c r="GA223" s="42"/>
      <c r="GB223" s="42"/>
      <c r="GC223" s="42"/>
      <c r="GD223" s="42"/>
      <c r="GE223" s="42"/>
      <c r="GF223" s="42"/>
      <c r="GG223" s="42"/>
      <c r="GH223" s="42"/>
      <c r="GI223" s="42"/>
      <c r="GJ223" s="42"/>
      <c r="GK223" s="42"/>
      <c r="GL223" s="42"/>
      <c r="GM223" s="42"/>
      <c r="GN223" s="42"/>
      <c r="GO223" s="42"/>
      <c r="GP223" s="42"/>
      <c r="GQ223" s="42"/>
      <c r="GR223" s="42"/>
      <c r="GS223" s="42"/>
      <c r="GT223" s="42"/>
      <c r="GU223" s="42"/>
      <c r="GV223" s="42"/>
      <c r="GW223" s="42"/>
      <c r="GX223" s="42"/>
      <c r="GY223" s="42"/>
      <c r="GZ223" s="42"/>
      <c r="HA223" s="42"/>
      <c r="HB223" s="42"/>
      <c r="HC223" s="42"/>
      <c r="HD223" s="42"/>
      <c r="HE223" s="42"/>
      <c r="HF223" s="42"/>
      <c r="HG223" s="42"/>
      <c r="HH223" s="42"/>
      <c r="HI223" s="42"/>
      <c r="HJ223" s="42"/>
      <c r="HK223" s="42"/>
      <c r="HL223" s="42"/>
      <c r="HM223" s="42"/>
      <c r="HN223" s="42"/>
      <c r="HO223" s="42"/>
      <c r="HP223" s="42"/>
      <c r="HQ223" s="42"/>
      <c r="HR223" s="42"/>
      <c r="HS223" s="42"/>
      <c r="HT223" s="42"/>
      <c r="HU223" s="42"/>
      <c r="HV223" s="42"/>
      <c r="HW223" s="42"/>
      <c r="HX223" s="42"/>
      <c r="HY223" s="42"/>
      <c r="HZ223" s="42"/>
      <c r="IA223" s="42"/>
      <c r="IB223" s="42"/>
      <c r="IC223" s="42"/>
      <c r="ID223" s="42"/>
      <c r="IE223" s="42"/>
      <c r="IF223" s="42"/>
      <c r="IG223" s="42"/>
      <c r="IH223" s="42"/>
      <c r="II223" s="42"/>
      <c r="IJ223" s="42"/>
      <c r="IK223" s="42"/>
      <c r="IL223" s="42"/>
      <c r="IM223" s="42"/>
      <c r="IN223" s="42"/>
      <c r="IO223" s="42"/>
      <c r="IP223" s="42"/>
      <c r="IQ223" s="42"/>
      <c r="IR223" s="42"/>
      <c r="IS223" s="42"/>
      <c r="IT223" s="42"/>
      <c r="IU223" s="42"/>
      <c r="IV223" s="42"/>
      <c r="IW223" s="42"/>
      <c r="IX223" s="42"/>
      <c r="IY223" s="42"/>
      <c r="IZ223" s="42"/>
      <c r="JA223" s="42"/>
      <c r="JB223" s="42"/>
      <c r="JC223" s="42"/>
      <c r="JD223" s="42"/>
      <c r="JE223" s="42"/>
      <c r="JF223" s="42"/>
      <c r="JG223" s="42"/>
      <c r="JH223" s="42"/>
      <c r="JI223" s="42"/>
      <c r="JJ223" s="42"/>
      <c r="JK223" s="42"/>
      <c r="JL223" s="42"/>
      <c r="JM223" s="42"/>
      <c r="JN223" s="42"/>
      <c r="JO223" s="42"/>
      <c r="JP223" s="42"/>
      <c r="JQ223" s="42"/>
      <c r="JR223" s="42"/>
      <c r="JS223" s="42"/>
      <c r="JT223" s="42"/>
      <c r="JU223" s="42"/>
      <c r="JV223" s="42"/>
      <c r="JW223" s="42"/>
      <c r="JX223" s="42"/>
      <c r="JY223" s="42"/>
      <c r="JZ223" s="42"/>
      <c r="KA223" s="42"/>
      <c r="KB223" s="42"/>
      <c r="KC223" s="42"/>
      <c r="KD223" s="42"/>
      <c r="KE223" s="42"/>
      <c r="KF223" s="42"/>
      <c r="KG223" s="42"/>
      <c r="KH223" s="42"/>
      <c r="KI223" s="42"/>
      <c r="KJ223" s="42"/>
      <c r="KK223" s="42"/>
      <c r="KL223" s="42"/>
      <c r="KM223" s="42"/>
      <c r="KN223" s="42"/>
      <c r="KO223" s="42"/>
      <c r="KP223" s="42"/>
      <c r="KQ223" s="42"/>
      <c r="KR223" s="42"/>
      <c r="KS223" s="42"/>
      <c r="KT223" s="42"/>
      <c r="KU223" s="42"/>
      <c r="KV223" s="42"/>
      <c r="KW223" s="42"/>
      <c r="KX223" s="42"/>
      <c r="KY223" s="42"/>
      <c r="KZ223" s="42"/>
      <c r="LA223" s="42"/>
      <c r="LB223" s="42"/>
      <c r="LC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42"/>
      <c r="BB224" s="42"/>
      <c r="BC224" s="42"/>
      <c r="BD224" s="42"/>
      <c r="BE224" s="42"/>
      <c r="BF224" s="42"/>
      <c r="BG224" s="42"/>
      <c r="BH224" s="42"/>
      <c r="BI224" s="42"/>
      <c r="BJ224" s="42"/>
      <c r="BK224" s="42"/>
      <c r="BL224" s="42"/>
      <c r="BM224" s="42"/>
      <c r="BN224" s="42"/>
      <c r="BO224" s="42"/>
      <c r="BP224" s="42"/>
      <c r="BQ224" s="42"/>
      <c r="BR224" s="42"/>
      <c r="BS224" s="42"/>
      <c r="BT224" s="42"/>
      <c r="BU224" s="42"/>
      <c r="BV224" s="42"/>
      <c r="BW224" s="42"/>
      <c r="BX224" s="42"/>
      <c r="BY224" s="42"/>
      <c r="BZ224" s="42"/>
      <c r="CA224" s="42"/>
      <c r="CB224" s="42"/>
      <c r="CC224" s="42"/>
      <c r="CD224" s="42"/>
      <c r="CE224" s="42"/>
      <c r="CF224" s="42"/>
      <c r="CG224" s="42"/>
      <c r="CH224" s="42"/>
      <c r="CI224" s="42"/>
      <c r="CJ224" s="42"/>
      <c r="CK224" s="42"/>
      <c r="CL224" s="42"/>
      <c r="CM224" s="42"/>
      <c r="CN224" s="42"/>
      <c r="CO224" s="42"/>
      <c r="CP224" s="42"/>
      <c r="CQ224" s="42"/>
      <c r="CR224" s="42"/>
      <c r="CS224" s="42"/>
      <c r="CT224" s="42"/>
      <c r="CU224" s="42"/>
      <c r="CV224" s="42"/>
      <c r="CW224" s="42"/>
      <c r="CX224" s="42"/>
      <c r="CY224" s="42"/>
      <c r="CZ224" s="42"/>
      <c r="DA224" s="42"/>
      <c r="DB224" s="42"/>
      <c r="DC224" s="42"/>
      <c r="DD224" s="42"/>
      <c r="DE224" s="42"/>
      <c r="DF224" s="42"/>
      <c r="DG224" s="42"/>
      <c r="DH224" s="42"/>
      <c r="DI224" s="42"/>
      <c r="DJ224" s="42"/>
      <c r="DK224" s="42"/>
      <c r="DL224" s="42"/>
      <c r="DM224" s="42"/>
      <c r="DN224" s="42"/>
      <c r="DO224" s="42"/>
      <c r="DP224" s="42"/>
      <c r="DQ224" s="42"/>
      <c r="DR224" s="42"/>
      <c r="DS224" s="42"/>
      <c r="DT224" s="42"/>
      <c r="DU224" s="42"/>
      <c r="DV224" s="42"/>
      <c r="DW224" s="42"/>
      <c r="DX224" s="42"/>
      <c r="DY224" s="42"/>
      <c r="DZ224" s="42"/>
      <c r="EA224" s="42"/>
      <c r="EB224" s="42"/>
      <c r="EC224" s="42"/>
      <c r="ED224" s="42"/>
      <c r="EE224" s="42"/>
      <c r="EF224" s="42"/>
      <c r="EG224" s="42"/>
      <c r="EH224" s="42"/>
      <c r="EI224" s="42"/>
      <c r="EJ224" s="42"/>
      <c r="EK224" s="42"/>
      <c r="EL224" s="42"/>
      <c r="EM224" s="42"/>
      <c r="EN224" s="42"/>
      <c r="EO224" s="42"/>
      <c r="EP224" s="42"/>
      <c r="EQ224" s="42"/>
      <c r="ER224" s="42"/>
      <c r="ES224" s="42"/>
      <c r="ET224" s="42"/>
      <c r="EU224" s="42"/>
      <c r="EV224" s="42"/>
      <c r="EW224" s="42"/>
      <c r="EX224" s="42"/>
      <c r="EY224" s="42"/>
      <c r="EZ224" s="42"/>
      <c r="FA224" s="42"/>
      <c r="FB224" s="42"/>
      <c r="FC224" s="42"/>
      <c r="FD224" s="42"/>
      <c r="FE224" s="42"/>
      <c r="FF224" s="42"/>
      <c r="FG224" s="42"/>
      <c r="FH224" s="42"/>
      <c r="FI224" s="42"/>
      <c r="FJ224" s="42"/>
      <c r="FK224" s="42"/>
      <c r="FL224" s="42"/>
      <c r="FM224" s="42"/>
      <c r="FN224" s="42"/>
      <c r="FO224" s="42"/>
      <c r="FP224" s="42"/>
      <c r="FQ224" s="42"/>
      <c r="FR224" s="42"/>
      <c r="FS224" s="42"/>
      <c r="FT224" s="42"/>
      <c r="FU224" s="42"/>
      <c r="FV224" s="42"/>
      <c r="FW224" s="42"/>
      <c r="FX224" s="42"/>
      <c r="FY224" s="42"/>
      <c r="FZ224" s="42"/>
      <c r="GA224" s="42"/>
      <c r="GB224" s="42"/>
      <c r="GC224" s="42"/>
      <c r="GD224" s="42"/>
      <c r="GE224" s="42"/>
      <c r="GF224" s="42"/>
      <c r="GG224" s="42"/>
      <c r="GH224" s="42"/>
      <c r="GI224" s="42"/>
      <c r="GJ224" s="42"/>
      <c r="GK224" s="42"/>
      <c r="GL224" s="42"/>
      <c r="GM224" s="42"/>
      <c r="GN224" s="42"/>
      <c r="GO224" s="42"/>
      <c r="GP224" s="42"/>
      <c r="GQ224" s="42"/>
      <c r="GR224" s="42"/>
      <c r="GS224" s="42"/>
      <c r="GT224" s="42"/>
      <c r="GU224" s="42"/>
      <c r="GV224" s="42"/>
      <c r="GW224" s="42"/>
      <c r="GX224" s="42"/>
      <c r="GY224" s="42"/>
      <c r="GZ224" s="42"/>
      <c r="HA224" s="42"/>
      <c r="HB224" s="42"/>
      <c r="HC224" s="42"/>
      <c r="HD224" s="42"/>
      <c r="HE224" s="42"/>
      <c r="HF224" s="42"/>
      <c r="HG224" s="42"/>
      <c r="HH224" s="42"/>
      <c r="HI224" s="42"/>
      <c r="HJ224" s="42"/>
      <c r="HK224" s="42"/>
      <c r="HL224" s="42"/>
      <c r="HM224" s="42"/>
      <c r="HN224" s="42"/>
      <c r="HO224" s="42"/>
      <c r="HP224" s="42"/>
      <c r="HQ224" s="42"/>
      <c r="HR224" s="42"/>
      <c r="HS224" s="42"/>
      <c r="HT224" s="42"/>
      <c r="HU224" s="42"/>
      <c r="HV224" s="42"/>
      <c r="HW224" s="42"/>
      <c r="HX224" s="42"/>
      <c r="HY224" s="42"/>
      <c r="HZ224" s="42"/>
      <c r="IA224" s="42"/>
      <c r="IB224" s="42"/>
      <c r="IC224" s="42"/>
      <c r="ID224" s="42"/>
      <c r="IE224" s="42"/>
      <c r="IF224" s="42"/>
      <c r="IG224" s="42"/>
      <c r="IH224" s="42"/>
      <c r="II224" s="42"/>
      <c r="IJ224" s="42"/>
      <c r="IK224" s="42"/>
      <c r="IL224" s="42"/>
      <c r="IM224" s="42"/>
      <c r="IN224" s="42"/>
      <c r="IO224" s="42"/>
      <c r="IP224" s="42"/>
      <c r="IQ224" s="42"/>
      <c r="IR224" s="42"/>
      <c r="IS224" s="42"/>
      <c r="IT224" s="42"/>
      <c r="IU224" s="42"/>
      <c r="IV224" s="42"/>
      <c r="IW224" s="42"/>
      <c r="IX224" s="42"/>
      <c r="IY224" s="42"/>
      <c r="IZ224" s="42"/>
      <c r="JA224" s="42"/>
      <c r="JB224" s="42"/>
      <c r="JC224" s="42"/>
      <c r="JD224" s="42"/>
      <c r="JE224" s="42"/>
      <c r="JF224" s="42"/>
      <c r="JG224" s="42"/>
      <c r="JH224" s="42"/>
      <c r="JI224" s="42"/>
      <c r="JJ224" s="42"/>
      <c r="JK224" s="42"/>
      <c r="JL224" s="42"/>
      <c r="JM224" s="42"/>
      <c r="JN224" s="42"/>
      <c r="JO224" s="42"/>
      <c r="JP224" s="42"/>
      <c r="JQ224" s="42"/>
      <c r="JR224" s="42"/>
      <c r="JS224" s="42"/>
      <c r="JT224" s="42"/>
      <c r="JU224" s="42"/>
      <c r="JV224" s="42"/>
      <c r="JW224" s="42"/>
      <c r="JX224" s="42"/>
      <c r="JY224" s="42"/>
      <c r="JZ224" s="42"/>
      <c r="KA224" s="42"/>
      <c r="KB224" s="42"/>
      <c r="KC224" s="42"/>
      <c r="KD224" s="42"/>
      <c r="KE224" s="42"/>
      <c r="KF224" s="42"/>
      <c r="KG224" s="42"/>
      <c r="KH224" s="42"/>
      <c r="KI224" s="42"/>
      <c r="KJ224" s="42"/>
      <c r="KK224" s="42"/>
      <c r="KL224" s="42"/>
      <c r="KM224" s="42"/>
      <c r="KN224" s="42"/>
      <c r="KO224" s="42"/>
      <c r="KP224" s="42"/>
      <c r="KQ224" s="42"/>
      <c r="KR224" s="42"/>
      <c r="KS224" s="42"/>
      <c r="KT224" s="42"/>
      <c r="KU224" s="42"/>
      <c r="KV224" s="42"/>
      <c r="KW224" s="42"/>
      <c r="KX224" s="42"/>
      <c r="KY224" s="42"/>
      <c r="KZ224" s="42"/>
      <c r="LA224" s="42"/>
      <c r="LB224" s="42"/>
      <c r="LC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c r="BC225" s="42"/>
      <c r="BD225" s="42"/>
      <c r="BE225" s="42"/>
      <c r="BF225" s="42"/>
      <c r="BG225" s="42"/>
      <c r="BH225" s="42"/>
      <c r="BI225" s="42"/>
      <c r="BJ225" s="42"/>
      <c r="BK225" s="42"/>
      <c r="BL225" s="42"/>
      <c r="BM225" s="42"/>
      <c r="BN225" s="42"/>
      <c r="BO225" s="42"/>
      <c r="BP225" s="42"/>
      <c r="BQ225" s="42"/>
      <c r="BR225" s="42"/>
      <c r="BS225" s="42"/>
      <c r="BT225" s="42"/>
      <c r="BU225" s="42"/>
      <c r="BV225" s="42"/>
      <c r="BW225" s="42"/>
      <c r="BX225" s="42"/>
      <c r="BY225" s="42"/>
      <c r="BZ225" s="42"/>
      <c r="CA225" s="42"/>
      <c r="CB225" s="42"/>
      <c r="CC225" s="42"/>
      <c r="CD225" s="42"/>
      <c r="CE225" s="42"/>
      <c r="CF225" s="42"/>
      <c r="CG225" s="42"/>
      <c r="CH225" s="42"/>
      <c r="CI225" s="42"/>
      <c r="CJ225" s="42"/>
      <c r="CK225" s="42"/>
      <c r="CL225" s="42"/>
      <c r="CM225" s="42"/>
      <c r="CN225" s="42"/>
      <c r="CO225" s="42"/>
      <c r="CP225" s="42"/>
      <c r="CQ225" s="42"/>
      <c r="CR225" s="42"/>
      <c r="CS225" s="42"/>
      <c r="CT225" s="42"/>
      <c r="CU225" s="42"/>
      <c r="CV225" s="42"/>
      <c r="CW225" s="42"/>
      <c r="CX225" s="42"/>
      <c r="CY225" s="42"/>
      <c r="CZ225" s="42"/>
      <c r="DA225" s="42"/>
      <c r="DB225" s="42"/>
      <c r="DC225" s="42"/>
      <c r="DD225" s="42"/>
      <c r="DE225" s="42"/>
      <c r="DF225" s="42"/>
      <c r="DG225" s="42"/>
      <c r="DH225" s="42"/>
      <c r="DI225" s="42"/>
      <c r="DJ225" s="42"/>
      <c r="DK225" s="42"/>
      <c r="DL225" s="42"/>
      <c r="DM225" s="42"/>
      <c r="DN225" s="42"/>
      <c r="DO225" s="42"/>
      <c r="DP225" s="42"/>
      <c r="DQ225" s="42"/>
      <c r="DR225" s="42"/>
      <c r="DS225" s="42"/>
      <c r="DT225" s="42"/>
      <c r="DU225" s="42"/>
      <c r="DV225" s="42"/>
      <c r="DW225" s="42"/>
      <c r="DX225" s="42"/>
      <c r="DY225" s="42"/>
      <c r="DZ225" s="42"/>
      <c r="EA225" s="42"/>
      <c r="EB225" s="42"/>
      <c r="EC225" s="42"/>
      <c r="ED225" s="42"/>
      <c r="EE225" s="42"/>
      <c r="EF225" s="42"/>
      <c r="EG225" s="42"/>
      <c r="EH225" s="42"/>
      <c r="EI225" s="42"/>
      <c r="EJ225" s="42"/>
      <c r="EK225" s="42"/>
      <c r="EL225" s="42"/>
      <c r="EM225" s="42"/>
      <c r="EN225" s="42"/>
      <c r="EO225" s="42"/>
      <c r="EP225" s="42"/>
      <c r="EQ225" s="42"/>
      <c r="ER225" s="42"/>
      <c r="ES225" s="42"/>
      <c r="ET225" s="42"/>
      <c r="EU225" s="42"/>
      <c r="EV225" s="42"/>
      <c r="EW225" s="42"/>
      <c r="EX225" s="42"/>
      <c r="EY225" s="42"/>
      <c r="EZ225" s="42"/>
      <c r="FA225" s="42"/>
      <c r="FB225" s="42"/>
      <c r="FC225" s="42"/>
      <c r="FD225" s="42"/>
      <c r="FE225" s="42"/>
      <c r="FF225" s="42"/>
      <c r="FG225" s="42"/>
      <c r="FH225" s="42"/>
      <c r="FI225" s="42"/>
      <c r="FJ225" s="42"/>
      <c r="FK225" s="42"/>
      <c r="FL225" s="42"/>
      <c r="FM225" s="42"/>
      <c r="FN225" s="42"/>
      <c r="FO225" s="42"/>
      <c r="FP225" s="42"/>
      <c r="FQ225" s="42"/>
      <c r="FR225" s="42"/>
      <c r="FS225" s="42"/>
      <c r="FT225" s="42"/>
      <c r="FU225" s="42"/>
      <c r="FV225" s="42"/>
      <c r="FW225" s="42"/>
      <c r="FX225" s="42"/>
      <c r="FY225" s="42"/>
      <c r="FZ225" s="42"/>
      <c r="GA225" s="42"/>
      <c r="GB225" s="42"/>
      <c r="GC225" s="42"/>
      <c r="GD225" s="42"/>
      <c r="GE225" s="42"/>
      <c r="GF225" s="42"/>
      <c r="GG225" s="42"/>
      <c r="GH225" s="42"/>
      <c r="GI225" s="42"/>
      <c r="GJ225" s="42"/>
      <c r="GK225" s="42"/>
      <c r="GL225" s="42"/>
      <c r="GM225" s="42"/>
      <c r="GN225" s="42"/>
      <c r="GO225" s="42"/>
      <c r="GP225" s="42"/>
      <c r="GQ225" s="42"/>
      <c r="GR225" s="42"/>
      <c r="GS225" s="42"/>
      <c r="GT225" s="42"/>
      <c r="GU225" s="42"/>
      <c r="GV225" s="42"/>
      <c r="GW225" s="42"/>
      <c r="GX225" s="42"/>
      <c r="GY225" s="42"/>
      <c r="GZ225" s="42"/>
      <c r="HA225" s="42"/>
      <c r="HB225" s="42"/>
      <c r="HC225" s="42"/>
      <c r="HD225" s="42"/>
      <c r="HE225" s="42"/>
      <c r="HF225" s="42"/>
      <c r="HG225" s="42"/>
      <c r="HH225" s="42"/>
      <c r="HI225" s="42"/>
      <c r="HJ225" s="42"/>
      <c r="HK225" s="42"/>
      <c r="HL225" s="42"/>
      <c r="HM225" s="42"/>
      <c r="HN225" s="42"/>
      <c r="HO225" s="42"/>
      <c r="HP225" s="42"/>
      <c r="HQ225" s="42"/>
      <c r="HR225" s="42"/>
      <c r="HS225" s="42"/>
      <c r="HT225" s="42"/>
      <c r="HU225" s="42"/>
      <c r="HV225" s="42"/>
      <c r="HW225" s="42"/>
      <c r="HX225" s="42"/>
      <c r="HY225" s="42"/>
      <c r="HZ225" s="42"/>
      <c r="IA225" s="42"/>
      <c r="IB225" s="42"/>
      <c r="IC225" s="42"/>
      <c r="ID225" s="42"/>
      <c r="IE225" s="42"/>
      <c r="IF225" s="42"/>
      <c r="IG225" s="42"/>
      <c r="IH225" s="42"/>
      <c r="II225" s="42"/>
      <c r="IJ225" s="42"/>
      <c r="IK225" s="42"/>
      <c r="IL225" s="42"/>
      <c r="IM225" s="42"/>
      <c r="IN225" s="42"/>
      <c r="IO225" s="42"/>
      <c r="IP225" s="42"/>
      <c r="IQ225" s="42"/>
      <c r="IR225" s="42"/>
      <c r="IS225" s="42"/>
      <c r="IT225" s="42"/>
      <c r="IU225" s="42"/>
      <c r="IV225" s="42"/>
      <c r="IW225" s="42"/>
      <c r="IX225" s="42"/>
      <c r="IY225" s="42"/>
      <c r="IZ225" s="42"/>
      <c r="JA225" s="42"/>
      <c r="JB225" s="42"/>
      <c r="JC225" s="42"/>
      <c r="JD225" s="42"/>
      <c r="JE225" s="42"/>
      <c r="JF225" s="42"/>
      <c r="JG225" s="42"/>
      <c r="JH225" s="42"/>
      <c r="JI225" s="42"/>
      <c r="JJ225" s="42"/>
      <c r="JK225" s="42"/>
      <c r="JL225" s="42"/>
      <c r="JM225" s="42"/>
      <c r="JN225" s="42"/>
      <c r="JO225" s="42"/>
      <c r="JP225" s="42"/>
      <c r="JQ225" s="42"/>
      <c r="JR225" s="42"/>
      <c r="JS225" s="42"/>
      <c r="JT225" s="42"/>
      <c r="JU225" s="42"/>
      <c r="JV225" s="42"/>
      <c r="JW225" s="42"/>
      <c r="JX225" s="42"/>
      <c r="JY225" s="42"/>
      <c r="JZ225" s="42"/>
      <c r="KA225" s="42"/>
      <c r="KB225" s="42"/>
      <c r="KC225" s="42"/>
      <c r="KD225" s="42"/>
      <c r="KE225" s="42"/>
      <c r="KF225" s="42"/>
      <c r="KG225" s="42"/>
      <c r="KH225" s="42"/>
      <c r="KI225" s="42"/>
      <c r="KJ225" s="42"/>
      <c r="KK225" s="42"/>
      <c r="KL225" s="42"/>
      <c r="KM225" s="42"/>
      <c r="KN225" s="42"/>
      <c r="KO225" s="42"/>
      <c r="KP225" s="42"/>
      <c r="KQ225" s="42"/>
      <c r="KR225" s="42"/>
      <c r="KS225" s="42"/>
      <c r="KT225" s="42"/>
      <c r="KU225" s="42"/>
      <c r="KV225" s="42"/>
      <c r="KW225" s="42"/>
      <c r="KX225" s="42"/>
      <c r="KY225" s="42"/>
      <c r="KZ225" s="42"/>
      <c r="LA225" s="42"/>
      <c r="LB225" s="42"/>
      <c r="LC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c r="BC226" s="42"/>
      <c r="BD226" s="42"/>
      <c r="BE226" s="42"/>
      <c r="BF226" s="42"/>
      <c r="BG226" s="42"/>
      <c r="BH226" s="42"/>
      <c r="BI226" s="42"/>
      <c r="BJ226" s="42"/>
      <c r="BK226" s="42"/>
      <c r="BL226" s="42"/>
      <c r="BM226" s="42"/>
      <c r="BN226" s="42"/>
      <c r="BO226" s="42"/>
      <c r="BP226" s="42"/>
      <c r="BQ226" s="42"/>
      <c r="BR226" s="42"/>
      <c r="BS226" s="42"/>
      <c r="BT226" s="42"/>
      <c r="BU226" s="42"/>
      <c r="BV226" s="42"/>
      <c r="BW226" s="42"/>
      <c r="BX226" s="42"/>
      <c r="BY226" s="42"/>
      <c r="BZ226" s="42"/>
      <c r="CA226" s="42"/>
      <c r="CB226" s="42"/>
      <c r="CC226" s="42"/>
      <c r="CD226" s="42"/>
      <c r="CE226" s="42"/>
      <c r="CF226" s="42"/>
      <c r="CG226" s="42"/>
      <c r="CH226" s="42"/>
      <c r="CI226" s="42"/>
      <c r="CJ226" s="42"/>
      <c r="CK226" s="42"/>
      <c r="CL226" s="42"/>
      <c r="CM226" s="42"/>
      <c r="CN226" s="42"/>
      <c r="CO226" s="42"/>
      <c r="CP226" s="42"/>
      <c r="CQ226" s="42"/>
      <c r="CR226" s="42"/>
      <c r="CS226" s="42"/>
      <c r="CT226" s="42"/>
      <c r="CU226" s="42"/>
      <c r="CV226" s="42"/>
      <c r="CW226" s="42"/>
      <c r="CX226" s="42"/>
      <c r="CY226" s="42"/>
      <c r="CZ226" s="42"/>
      <c r="DA226" s="42"/>
      <c r="DB226" s="42"/>
      <c r="DC226" s="42"/>
      <c r="DD226" s="42"/>
      <c r="DE226" s="42"/>
      <c r="DF226" s="42"/>
      <c r="DG226" s="42"/>
      <c r="DH226" s="42"/>
      <c r="DI226" s="42"/>
      <c r="DJ226" s="42"/>
      <c r="DK226" s="42"/>
      <c r="DL226" s="42"/>
      <c r="DM226" s="42"/>
      <c r="DN226" s="42"/>
      <c r="DO226" s="42"/>
      <c r="DP226" s="42"/>
      <c r="DQ226" s="42"/>
      <c r="DR226" s="42"/>
      <c r="DS226" s="42"/>
      <c r="DT226" s="42"/>
      <c r="DU226" s="42"/>
      <c r="DV226" s="42"/>
      <c r="DW226" s="42"/>
      <c r="DX226" s="42"/>
      <c r="DY226" s="42"/>
      <c r="DZ226" s="42"/>
      <c r="EA226" s="42"/>
      <c r="EB226" s="42"/>
      <c r="EC226" s="42"/>
      <c r="ED226" s="42"/>
      <c r="EE226" s="42"/>
      <c r="EF226" s="42"/>
      <c r="EG226" s="42"/>
      <c r="EH226" s="42"/>
      <c r="EI226" s="42"/>
      <c r="EJ226" s="42"/>
      <c r="EK226" s="42"/>
      <c r="EL226" s="42"/>
      <c r="EM226" s="42"/>
      <c r="EN226" s="42"/>
      <c r="EO226" s="42"/>
      <c r="EP226" s="42"/>
      <c r="EQ226" s="42"/>
      <c r="ER226" s="42"/>
      <c r="ES226" s="42"/>
      <c r="ET226" s="42"/>
      <c r="EU226" s="42"/>
      <c r="EV226" s="42"/>
      <c r="EW226" s="42"/>
      <c r="EX226" s="42"/>
      <c r="EY226" s="42"/>
      <c r="EZ226" s="42"/>
      <c r="FA226" s="42"/>
      <c r="FB226" s="42"/>
      <c r="FC226" s="42"/>
      <c r="FD226" s="42"/>
      <c r="FE226" s="42"/>
      <c r="FF226" s="42"/>
      <c r="FG226" s="42"/>
      <c r="FH226" s="42"/>
      <c r="FI226" s="42"/>
      <c r="FJ226" s="42"/>
      <c r="FK226" s="42"/>
      <c r="FL226" s="42"/>
      <c r="FM226" s="42"/>
      <c r="FN226" s="42"/>
      <c r="FO226" s="42"/>
      <c r="FP226" s="42"/>
      <c r="FQ226" s="42"/>
      <c r="FR226" s="42"/>
      <c r="FS226" s="42"/>
      <c r="FT226" s="42"/>
      <c r="FU226" s="42"/>
      <c r="FV226" s="42"/>
      <c r="FW226" s="42"/>
      <c r="FX226" s="42"/>
      <c r="FY226" s="42"/>
      <c r="FZ226" s="42"/>
      <c r="GA226" s="42"/>
      <c r="GB226" s="42"/>
      <c r="GC226" s="42"/>
      <c r="GD226" s="42"/>
      <c r="GE226" s="42"/>
      <c r="GF226" s="42"/>
      <c r="GG226" s="42"/>
      <c r="GH226" s="42"/>
      <c r="GI226" s="42"/>
      <c r="GJ226" s="42"/>
      <c r="GK226" s="42"/>
      <c r="GL226" s="42"/>
      <c r="GM226" s="42"/>
      <c r="GN226" s="42"/>
      <c r="GO226" s="42"/>
      <c r="GP226" s="42"/>
      <c r="GQ226" s="42"/>
      <c r="GR226" s="42"/>
      <c r="GS226" s="42"/>
      <c r="GT226" s="42"/>
      <c r="GU226" s="42"/>
      <c r="GV226" s="42"/>
      <c r="GW226" s="42"/>
      <c r="GX226" s="42"/>
      <c r="GY226" s="42"/>
      <c r="GZ226" s="42"/>
      <c r="HA226" s="42"/>
      <c r="HB226" s="42"/>
      <c r="HC226" s="42"/>
      <c r="HD226" s="42"/>
      <c r="HE226" s="42"/>
      <c r="HF226" s="42"/>
      <c r="HG226" s="42"/>
      <c r="HH226" s="42"/>
      <c r="HI226" s="42"/>
      <c r="HJ226" s="42"/>
      <c r="HK226" s="42"/>
      <c r="HL226" s="42"/>
      <c r="HM226" s="42"/>
      <c r="HN226" s="42"/>
      <c r="HO226" s="42"/>
      <c r="HP226" s="42"/>
      <c r="HQ226" s="42"/>
      <c r="HR226" s="42"/>
      <c r="HS226" s="42"/>
      <c r="HT226" s="42"/>
      <c r="HU226" s="42"/>
      <c r="HV226" s="42"/>
      <c r="HW226" s="42"/>
      <c r="HX226" s="42"/>
      <c r="HY226" s="42"/>
      <c r="HZ226" s="42"/>
      <c r="IA226" s="42"/>
      <c r="IB226" s="42"/>
      <c r="IC226" s="42"/>
      <c r="ID226" s="42"/>
      <c r="IE226" s="42"/>
      <c r="IF226" s="42"/>
      <c r="IG226" s="42"/>
      <c r="IH226" s="42"/>
      <c r="II226" s="42"/>
      <c r="IJ226" s="42"/>
      <c r="IK226" s="42"/>
      <c r="IL226" s="42"/>
      <c r="IM226" s="42"/>
      <c r="IN226" s="42"/>
      <c r="IO226" s="42"/>
      <c r="IP226" s="42"/>
      <c r="IQ226" s="42"/>
      <c r="IR226" s="42"/>
      <c r="IS226" s="42"/>
      <c r="IT226" s="42"/>
      <c r="IU226" s="42"/>
      <c r="IV226" s="42"/>
      <c r="IW226" s="42"/>
      <c r="IX226" s="42"/>
      <c r="IY226" s="42"/>
      <c r="IZ226" s="42"/>
      <c r="JA226" s="42"/>
      <c r="JB226" s="42"/>
      <c r="JC226" s="42"/>
      <c r="JD226" s="42"/>
      <c r="JE226" s="42"/>
      <c r="JF226" s="42"/>
      <c r="JG226" s="42"/>
      <c r="JH226" s="42"/>
      <c r="JI226" s="42"/>
      <c r="JJ226" s="42"/>
      <c r="JK226" s="42"/>
      <c r="JL226" s="42"/>
      <c r="JM226" s="42"/>
      <c r="JN226" s="42"/>
      <c r="JO226" s="42"/>
      <c r="JP226" s="42"/>
      <c r="JQ226" s="42"/>
      <c r="JR226" s="42"/>
      <c r="JS226" s="42"/>
      <c r="JT226" s="42"/>
      <c r="JU226" s="42"/>
      <c r="JV226" s="42"/>
      <c r="JW226" s="42"/>
      <c r="JX226" s="42"/>
      <c r="JY226" s="42"/>
      <c r="JZ226" s="42"/>
      <c r="KA226" s="42"/>
      <c r="KB226" s="42"/>
      <c r="KC226" s="42"/>
      <c r="KD226" s="42"/>
      <c r="KE226" s="42"/>
      <c r="KF226" s="42"/>
      <c r="KG226" s="42"/>
      <c r="KH226" s="42"/>
      <c r="KI226" s="42"/>
      <c r="KJ226" s="42"/>
      <c r="KK226" s="42"/>
      <c r="KL226" s="42"/>
      <c r="KM226" s="42"/>
      <c r="KN226" s="42"/>
      <c r="KO226" s="42"/>
      <c r="KP226" s="42"/>
      <c r="KQ226" s="42"/>
      <c r="KR226" s="42"/>
      <c r="KS226" s="42"/>
      <c r="KT226" s="42"/>
      <c r="KU226" s="42"/>
      <c r="KV226" s="42"/>
      <c r="KW226" s="42"/>
      <c r="KX226" s="42"/>
      <c r="KY226" s="42"/>
      <c r="KZ226" s="42"/>
      <c r="LA226" s="42"/>
      <c r="LB226" s="42"/>
      <c r="LC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c r="BC227" s="42"/>
      <c r="BD227" s="42"/>
      <c r="BE227" s="42"/>
      <c r="BF227" s="42"/>
      <c r="BG227" s="42"/>
      <c r="BH227" s="42"/>
      <c r="BI227" s="42"/>
      <c r="BJ227" s="42"/>
      <c r="BK227" s="42"/>
      <c r="BL227" s="42"/>
      <c r="BM227" s="42"/>
      <c r="BN227" s="42"/>
      <c r="BO227" s="42"/>
      <c r="BP227" s="42"/>
      <c r="BQ227" s="42"/>
      <c r="BR227" s="42"/>
      <c r="BS227" s="42"/>
      <c r="BT227" s="42"/>
      <c r="BU227" s="42"/>
      <c r="BV227" s="42"/>
      <c r="BW227" s="42"/>
      <c r="BX227" s="42"/>
      <c r="BY227" s="42"/>
      <c r="BZ227" s="42"/>
      <c r="CA227" s="42"/>
      <c r="CB227" s="42"/>
      <c r="CC227" s="42"/>
      <c r="CD227" s="42"/>
      <c r="CE227" s="42"/>
      <c r="CF227" s="42"/>
      <c r="CG227" s="42"/>
      <c r="CH227" s="42"/>
      <c r="CI227" s="42"/>
      <c r="CJ227" s="42"/>
      <c r="CK227" s="42"/>
      <c r="CL227" s="42"/>
      <c r="CM227" s="42"/>
      <c r="CN227" s="42"/>
      <c r="CO227" s="42"/>
      <c r="CP227" s="42"/>
      <c r="CQ227" s="42"/>
      <c r="CR227" s="42"/>
      <c r="CS227" s="42"/>
      <c r="CT227" s="42"/>
      <c r="CU227" s="42"/>
      <c r="CV227" s="42"/>
      <c r="CW227" s="42"/>
      <c r="CX227" s="42"/>
      <c r="CY227" s="42"/>
      <c r="CZ227" s="42"/>
      <c r="DA227" s="42"/>
      <c r="DB227" s="42"/>
      <c r="DC227" s="42"/>
      <c r="DD227" s="42"/>
      <c r="DE227" s="42"/>
      <c r="DF227" s="42"/>
      <c r="DG227" s="42"/>
      <c r="DH227" s="42"/>
      <c r="DI227" s="42"/>
      <c r="DJ227" s="42"/>
      <c r="DK227" s="42"/>
      <c r="DL227" s="42"/>
      <c r="DM227" s="42"/>
      <c r="DN227" s="42"/>
      <c r="DO227" s="42"/>
      <c r="DP227" s="42"/>
      <c r="DQ227" s="42"/>
      <c r="DR227" s="42"/>
      <c r="DS227" s="42"/>
      <c r="DT227" s="42"/>
      <c r="DU227" s="42"/>
      <c r="DV227" s="42"/>
      <c r="DW227" s="42"/>
      <c r="DX227" s="42"/>
      <c r="DY227" s="42"/>
      <c r="DZ227" s="42"/>
      <c r="EA227" s="42"/>
      <c r="EB227" s="42"/>
      <c r="EC227" s="42"/>
      <c r="ED227" s="42"/>
      <c r="EE227" s="42"/>
      <c r="EF227" s="42"/>
      <c r="EG227" s="42"/>
      <c r="EH227" s="42"/>
      <c r="EI227" s="42"/>
      <c r="EJ227" s="42"/>
      <c r="EK227" s="42"/>
      <c r="EL227" s="42"/>
      <c r="EM227" s="42"/>
      <c r="EN227" s="42"/>
      <c r="EO227" s="42"/>
      <c r="EP227" s="42"/>
      <c r="EQ227" s="42"/>
      <c r="ER227" s="42"/>
      <c r="ES227" s="42"/>
      <c r="ET227" s="42"/>
      <c r="EU227" s="42"/>
      <c r="EV227" s="42"/>
      <c r="EW227" s="42"/>
      <c r="EX227" s="42"/>
      <c r="EY227" s="42"/>
      <c r="EZ227" s="42"/>
      <c r="FA227" s="42"/>
      <c r="FB227" s="42"/>
      <c r="FC227" s="42"/>
      <c r="FD227" s="42"/>
      <c r="FE227" s="42"/>
      <c r="FF227" s="42"/>
      <c r="FG227" s="42"/>
      <c r="FH227" s="42"/>
      <c r="FI227" s="42"/>
      <c r="FJ227" s="42"/>
      <c r="FK227" s="42"/>
      <c r="FL227" s="42"/>
      <c r="FM227" s="42"/>
      <c r="FN227" s="42"/>
      <c r="FO227" s="42"/>
      <c r="FP227" s="42"/>
      <c r="FQ227" s="42"/>
      <c r="FR227" s="42"/>
      <c r="FS227" s="42"/>
      <c r="FT227" s="42"/>
      <c r="FU227" s="42"/>
      <c r="FV227" s="42"/>
      <c r="FW227" s="42"/>
      <c r="FX227" s="42"/>
      <c r="FY227" s="42"/>
      <c r="FZ227" s="42"/>
      <c r="GA227" s="42"/>
      <c r="GB227" s="42"/>
      <c r="GC227" s="42"/>
      <c r="GD227" s="42"/>
      <c r="GE227" s="42"/>
      <c r="GF227" s="42"/>
      <c r="GG227" s="42"/>
      <c r="GH227" s="42"/>
      <c r="GI227" s="42"/>
      <c r="GJ227" s="42"/>
      <c r="GK227" s="42"/>
      <c r="GL227" s="42"/>
      <c r="GM227" s="42"/>
      <c r="GN227" s="42"/>
      <c r="GO227" s="42"/>
      <c r="GP227" s="42"/>
      <c r="GQ227" s="42"/>
      <c r="GR227" s="42"/>
      <c r="GS227" s="42"/>
      <c r="GT227" s="42"/>
      <c r="GU227" s="42"/>
      <c r="GV227" s="42"/>
      <c r="GW227" s="42"/>
      <c r="GX227" s="42"/>
      <c r="GY227" s="42"/>
      <c r="GZ227" s="42"/>
      <c r="HA227" s="42"/>
      <c r="HB227" s="42"/>
      <c r="HC227" s="42"/>
      <c r="HD227" s="42"/>
      <c r="HE227" s="42"/>
      <c r="HF227" s="42"/>
      <c r="HG227" s="42"/>
      <c r="HH227" s="42"/>
      <c r="HI227" s="42"/>
      <c r="HJ227" s="42"/>
      <c r="HK227" s="42"/>
      <c r="HL227" s="42"/>
      <c r="HM227" s="42"/>
      <c r="HN227" s="42"/>
      <c r="HO227" s="42"/>
      <c r="HP227" s="42"/>
      <c r="HQ227" s="42"/>
      <c r="HR227" s="42"/>
      <c r="HS227" s="42"/>
      <c r="HT227" s="42"/>
      <c r="HU227" s="42"/>
      <c r="HV227" s="42"/>
      <c r="HW227" s="42"/>
      <c r="HX227" s="42"/>
      <c r="HY227" s="42"/>
      <c r="HZ227" s="42"/>
      <c r="IA227" s="42"/>
      <c r="IB227" s="42"/>
      <c r="IC227" s="42"/>
      <c r="ID227" s="42"/>
      <c r="IE227" s="42"/>
      <c r="IF227" s="42"/>
      <c r="IG227" s="42"/>
      <c r="IH227" s="42"/>
      <c r="II227" s="42"/>
      <c r="IJ227" s="42"/>
      <c r="IK227" s="42"/>
      <c r="IL227" s="42"/>
      <c r="IM227" s="42"/>
      <c r="IN227" s="42"/>
      <c r="IO227" s="42"/>
      <c r="IP227" s="42"/>
      <c r="IQ227" s="42"/>
      <c r="IR227" s="42"/>
      <c r="IS227" s="42"/>
      <c r="IT227" s="42"/>
      <c r="IU227" s="42"/>
      <c r="IV227" s="42"/>
      <c r="IW227" s="42"/>
      <c r="IX227" s="42"/>
      <c r="IY227" s="42"/>
      <c r="IZ227" s="42"/>
      <c r="JA227" s="42"/>
      <c r="JB227" s="42"/>
      <c r="JC227" s="42"/>
      <c r="JD227" s="42"/>
      <c r="JE227" s="42"/>
      <c r="JF227" s="42"/>
      <c r="JG227" s="42"/>
      <c r="JH227" s="42"/>
      <c r="JI227" s="42"/>
      <c r="JJ227" s="42"/>
      <c r="JK227" s="42"/>
      <c r="JL227" s="42"/>
      <c r="JM227" s="42"/>
      <c r="JN227" s="42"/>
      <c r="JO227" s="42"/>
      <c r="JP227" s="42"/>
      <c r="JQ227" s="42"/>
      <c r="JR227" s="42"/>
      <c r="JS227" s="42"/>
      <c r="JT227" s="42"/>
      <c r="JU227" s="42"/>
      <c r="JV227" s="42"/>
      <c r="JW227" s="42"/>
      <c r="JX227" s="42"/>
      <c r="JY227" s="42"/>
      <c r="JZ227" s="42"/>
      <c r="KA227" s="42"/>
      <c r="KB227" s="42"/>
      <c r="KC227" s="42"/>
      <c r="KD227" s="42"/>
      <c r="KE227" s="42"/>
      <c r="KF227" s="42"/>
      <c r="KG227" s="42"/>
      <c r="KH227" s="42"/>
      <c r="KI227" s="42"/>
      <c r="KJ227" s="42"/>
      <c r="KK227" s="42"/>
      <c r="KL227" s="42"/>
      <c r="KM227" s="42"/>
      <c r="KN227" s="42"/>
      <c r="KO227" s="42"/>
      <c r="KP227" s="42"/>
      <c r="KQ227" s="42"/>
      <c r="KR227" s="42"/>
      <c r="KS227" s="42"/>
      <c r="KT227" s="42"/>
      <c r="KU227" s="42"/>
      <c r="KV227" s="42"/>
      <c r="KW227" s="42"/>
      <c r="KX227" s="42"/>
      <c r="KY227" s="42"/>
      <c r="KZ227" s="42"/>
      <c r="LA227" s="42"/>
      <c r="LB227" s="42"/>
      <c r="LC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42"/>
      <c r="BH228" s="42"/>
      <c r="BI228" s="42"/>
      <c r="BJ228" s="42"/>
      <c r="BK228" s="42"/>
      <c r="BL228" s="42"/>
      <c r="BM228" s="42"/>
      <c r="BN228" s="42"/>
      <c r="BO228" s="42"/>
      <c r="BP228" s="42"/>
      <c r="BQ228" s="42"/>
      <c r="BR228" s="42"/>
      <c r="BS228" s="42"/>
      <c r="BT228" s="42"/>
      <c r="BU228" s="42"/>
      <c r="BV228" s="42"/>
      <c r="BW228" s="42"/>
      <c r="BX228" s="42"/>
      <c r="BY228" s="42"/>
      <c r="BZ228" s="42"/>
      <c r="CA228" s="42"/>
      <c r="CB228" s="42"/>
      <c r="CC228" s="42"/>
      <c r="CD228" s="42"/>
      <c r="CE228" s="42"/>
      <c r="CF228" s="42"/>
      <c r="CG228" s="42"/>
      <c r="CH228" s="42"/>
      <c r="CI228" s="42"/>
      <c r="CJ228" s="42"/>
      <c r="CK228" s="42"/>
      <c r="CL228" s="42"/>
      <c r="CM228" s="42"/>
      <c r="CN228" s="42"/>
      <c r="CO228" s="42"/>
      <c r="CP228" s="42"/>
      <c r="CQ228" s="42"/>
      <c r="CR228" s="42"/>
      <c r="CS228" s="42"/>
      <c r="CT228" s="42"/>
      <c r="CU228" s="42"/>
      <c r="CV228" s="42"/>
      <c r="CW228" s="42"/>
      <c r="CX228" s="42"/>
      <c r="CY228" s="42"/>
      <c r="CZ228" s="42"/>
      <c r="DA228" s="42"/>
      <c r="DB228" s="42"/>
      <c r="DC228" s="42"/>
      <c r="DD228" s="42"/>
      <c r="DE228" s="42"/>
      <c r="DF228" s="42"/>
      <c r="DG228" s="42"/>
      <c r="DH228" s="42"/>
      <c r="DI228" s="42"/>
      <c r="DJ228" s="42"/>
      <c r="DK228" s="42"/>
      <c r="DL228" s="42"/>
      <c r="DM228" s="42"/>
      <c r="DN228" s="42"/>
      <c r="DO228" s="42"/>
      <c r="DP228" s="42"/>
      <c r="DQ228" s="42"/>
      <c r="DR228" s="42"/>
      <c r="DS228" s="42"/>
      <c r="DT228" s="42"/>
      <c r="DU228" s="42"/>
      <c r="DV228" s="42"/>
      <c r="DW228" s="42"/>
      <c r="DX228" s="42"/>
      <c r="DY228" s="42"/>
      <c r="DZ228" s="42"/>
      <c r="EA228" s="42"/>
      <c r="EB228" s="42"/>
      <c r="EC228" s="42"/>
      <c r="ED228" s="42"/>
      <c r="EE228" s="42"/>
      <c r="EF228" s="42"/>
      <c r="EG228" s="42"/>
      <c r="EH228" s="42"/>
      <c r="EI228" s="42"/>
      <c r="EJ228" s="42"/>
      <c r="EK228" s="42"/>
      <c r="EL228" s="42"/>
      <c r="EM228" s="42"/>
      <c r="EN228" s="42"/>
      <c r="EO228" s="42"/>
      <c r="EP228" s="42"/>
      <c r="EQ228" s="42"/>
      <c r="ER228" s="42"/>
      <c r="ES228" s="42"/>
      <c r="ET228" s="42"/>
      <c r="EU228" s="42"/>
      <c r="EV228" s="42"/>
      <c r="EW228" s="42"/>
      <c r="EX228" s="42"/>
      <c r="EY228" s="42"/>
      <c r="EZ228" s="42"/>
      <c r="FA228" s="42"/>
      <c r="FB228" s="42"/>
      <c r="FC228" s="42"/>
      <c r="FD228" s="42"/>
      <c r="FE228" s="42"/>
      <c r="FF228" s="42"/>
      <c r="FG228" s="42"/>
      <c r="FH228" s="42"/>
      <c r="FI228" s="42"/>
      <c r="FJ228" s="42"/>
      <c r="FK228" s="42"/>
      <c r="FL228" s="42"/>
      <c r="FM228" s="42"/>
      <c r="FN228" s="42"/>
      <c r="FO228" s="42"/>
      <c r="FP228" s="42"/>
      <c r="FQ228" s="42"/>
      <c r="FR228" s="42"/>
      <c r="FS228" s="42"/>
      <c r="FT228" s="42"/>
      <c r="FU228" s="42"/>
      <c r="FV228" s="42"/>
      <c r="FW228" s="42"/>
      <c r="FX228" s="42"/>
      <c r="FY228" s="42"/>
      <c r="FZ228" s="42"/>
      <c r="GA228" s="42"/>
      <c r="GB228" s="42"/>
      <c r="GC228" s="42"/>
      <c r="GD228" s="42"/>
      <c r="GE228" s="42"/>
      <c r="GF228" s="42"/>
      <c r="GG228" s="42"/>
      <c r="GH228" s="42"/>
      <c r="GI228" s="42"/>
      <c r="GJ228" s="42"/>
      <c r="GK228" s="42"/>
      <c r="GL228" s="42"/>
      <c r="GM228" s="42"/>
      <c r="GN228" s="42"/>
      <c r="GO228" s="42"/>
      <c r="GP228" s="42"/>
      <c r="GQ228" s="42"/>
      <c r="GR228" s="42"/>
      <c r="GS228" s="42"/>
      <c r="GT228" s="42"/>
      <c r="GU228" s="42"/>
      <c r="GV228" s="42"/>
      <c r="GW228" s="42"/>
      <c r="GX228" s="42"/>
      <c r="GY228" s="42"/>
      <c r="GZ228" s="42"/>
      <c r="HA228" s="42"/>
      <c r="HB228" s="42"/>
      <c r="HC228" s="42"/>
      <c r="HD228" s="42"/>
      <c r="HE228" s="42"/>
      <c r="HF228" s="42"/>
      <c r="HG228" s="42"/>
      <c r="HH228" s="42"/>
      <c r="HI228" s="42"/>
      <c r="HJ228" s="42"/>
      <c r="HK228" s="42"/>
      <c r="HL228" s="42"/>
      <c r="HM228" s="42"/>
      <c r="HN228" s="42"/>
      <c r="HO228" s="42"/>
      <c r="HP228" s="42"/>
      <c r="HQ228" s="42"/>
      <c r="HR228" s="42"/>
      <c r="HS228" s="42"/>
      <c r="HT228" s="42"/>
      <c r="HU228" s="42"/>
      <c r="HV228" s="42"/>
      <c r="HW228" s="42"/>
      <c r="HX228" s="42"/>
      <c r="HY228" s="42"/>
      <c r="HZ228" s="42"/>
      <c r="IA228" s="42"/>
      <c r="IB228" s="42"/>
      <c r="IC228" s="42"/>
      <c r="ID228" s="42"/>
      <c r="IE228" s="42"/>
      <c r="IF228" s="42"/>
      <c r="IG228" s="42"/>
      <c r="IH228" s="42"/>
      <c r="II228" s="42"/>
      <c r="IJ228" s="42"/>
      <c r="IK228" s="42"/>
      <c r="IL228" s="42"/>
      <c r="IM228" s="42"/>
      <c r="IN228" s="42"/>
      <c r="IO228" s="42"/>
      <c r="IP228" s="42"/>
      <c r="IQ228" s="42"/>
      <c r="IR228" s="42"/>
      <c r="IS228" s="42"/>
      <c r="IT228" s="42"/>
      <c r="IU228" s="42"/>
      <c r="IV228" s="42"/>
      <c r="IW228" s="42"/>
      <c r="IX228" s="42"/>
      <c r="IY228" s="42"/>
      <c r="IZ228" s="42"/>
      <c r="JA228" s="42"/>
      <c r="JB228" s="42"/>
      <c r="JC228" s="42"/>
      <c r="JD228" s="42"/>
      <c r="JE228" s="42"/>
      <c r="JF228" s="42"/>
      <c r="JG228" s="42"/>
      <c r="JH228" s="42"/>
      <c r="JI228" s="42"/>
      <c r="JJ228" s="42"/>
      <c r="JK228" s="42"/>
      <c r="JL228" s="42"/>
      <c r="JM228" s="42"/>
      <c r="JN228" s="42"/>
      <c r="JO228" s="42"/>
      <c r="JP228" s="42"/>
      <c r="JQ228" s="42"/>
      <c r="JR228" s="42"/>
      <c r="JS228" s="42"/>
      <c r="JT228" s="42"/>
      <c r="JU228" s="42"/>
      <c r="JV228" s="42"/>
      <c r="JW228" s="42"/>
      <c r="JX228" s="42"/>
      <c r="JY228" s="42"/>
      <c r="JZ228" s="42"/>
      <c r="KA228" s="42"/>
      <c r="KB228" s="42"/>
      <c r="KC228" s="42"/>
      <c r="KD228" s="42"/>
      <c r="KE228" s="42"/>
      <c r="KF228" s="42"/>
      <c r="KG228" s="42"/>
      <c r="KH228" s="42"/>
      <c r="KI228" s="42"/>
      <c r="KJ228" s="42"/>
      <c r="KK228" s="42"/>
      <c r="KL228" s="42"/>
      <c r="KM228" s="42"/>
      <c r="KN228" s="42"/>
      <c r="KO228" s="42"/>
      <c r="KP228" s="42"/>
      <c r="KQ228" s="42"/>
      <c r="KR228" s="42"/>
      <c r="KS228" s="42"/>
      <c r="KT228" s="42"/>
      <c r="KU228" s="42"/>
      <c r="KV228" s="42"/>
      <c r="KW228" s="42"/>
      <c r="KX228" s="42"/>
      <c r="KY228" s="42"/>
      <c r="KZ228" s="42"/>
      <c r="LA228" s="42"/>
      <c r="LB228" s="42"/>
      <c r="LC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c r="BC229" s="42"/>
      <c r="BD229" s="42"/>
      <c r="BE229" s="42"/>
      <c r="BF229" s="42"/>
      <c r="BG229" s="42"/>
      <c r="BH229" s="42"/>
      <c r="BI229" s="42"/>
      <c r="BJ229" s="42"/>
      <c r="BK229" s="42"/>
      <c r="BL229" s="42"/>
      <c r="BM229" s="42"/>
      <c r="BN229" s="42"/>
      <c r="BO229" s="42"/>
      <c r="BP229" s="42"/>
      <c r="BQ229" s="42"/>
      <c r="BR229" s="42"/>
      <c r="BS229" s="42"/>
      <c r="BT229" s="42"/>
      <c r="BU229" s="42"/>
      <c r="BV229" s="42"/>
      <c r="BW229" s="42"/>
      <c r="BX229" s="42"/>
      <c r="BY229" s="42"/>
      <c r="BZ229" s="42"/>
      <c r="CA229" s="42"/>
      <c r="CB229" s="42"/>
      <c r="CC229" s="42"/>
      <c r="CD229" s="42"/>
      <c r="CE229" s="42"/>
      <c r="CF229" s="42"/>
      <c r="CG229" s="42"/>
      <c r="CH229" s="42"/>
      <c r="CI229" s="42"/>
      <c r="CJ229" s="42"/>
      <c r="CK229" s="42"/>
      <c r="CL229" s="42"/>
      <c r="CM229" s="42"/>
      <c r="CN229" s="42"/>
      <c r="CO229" s="42"/>
      <c r="CP229" s="42"/>
      <c r="CQ229" s="42"/>
      <c r="CR229" s="42"/>
      <c r="CS229" s="42"/>
      <c r="CT229" s="42"/>
      <c r="CU229" s="42"/>
      <c r="CV229" s="42"/>
      <c r="CW229" s="42"/>
      <c r="CX229" s="42"/>
      <c r="CY229" s="42"/>
      <c r="CZ229" s="42"/>
      <c r="DA229" s="42"/>
      <c r="DB229" s="42"/>
      <c r="DC229" s="42"/>
      <c r="DD229" s="42"/>
      <c r="DE229" s="42"/>
      <c r="DF229" s="42"/>
      <c r="DG229" s="42"/>
      <c r="DH229" s="42"/>
      <c r="DI229" s="42"/>
      <c r="DJ229" s="42"/>
      <c r="DK229" s="42"/>
      <c r="DL229" s="42"/>
      <c r="DM229" s="42"/>
      <c r="DN229" s="42"/>
      <c r="DO229" s="42"/>
      <c r="DP229" s="42"/>
      <c r="DQ229" s="42"/>
      <c r="DR229" s="42"/>
      <c r="DS229" s="42"/>
      <c r="DT229" s="42"/>
      <c r="DU229" s="42"/>
      <c r="DV229" s="42"/>
      <c r="DW229" s="42"/>
      <c r="DX229" s="42"/>
      <c r="DY229" s="42"/>
      <c r="DZ229" s="42"/>
      <c r="EA229" s="42"/>
      <c r="EB229" s="42"/>
      <c r="EC229" s="42"/>
      <c r="ED229" s="42"/>
      <c r="EE229" s="42"/>
      <c r="EF229" s="42"/>
      <c r="EG229" s="42"/>
      <c r="EH229" s="42"/>
      <c r="EI229" s="42"/>
      <c r="EJ229" s="42"/>
      <c r="EK229" s="42"/>
      <c r="EL229" s="42"/>
      <c r="EM229" s="42"/>
      <c r="EN229" s="42"/>
      <c r="EO229" s="42"/>
      <c r="EP229" s="42"/>
      <c r="EQ229" s="42"/>
      <c r="ER229" s="42"/>
      <c r="ES229" s="42"/>
      <c r="ET229" s="42"/>
      <c r="EU229" s="42"/>
      <c r="EV229" s="42"/>
      <c r="EW229" s="42"/>
      <c r="EX229" s="42"/>
      <c r="EY229" s="42"/>
      <c r="EZ229" s="42"/>
      <c r="FA229" s="42"/>
      <c r="FB229" s="42"/>
      <c r="FC229" s="42"/>
      <c r="FD229" s="42"/>
      <c r="FE229" s="42"/>
      <c r="FF229" s="42"/>
      <c r="FG229" s="42"/>
      <c r="FH229" s="42"/>
      <c r="FI229" s="42"/>
      <c r="FJ229" s="42"/>
      <c r="FK229" s="42"/>
      <c r="FL229" s="42"/>
      <c r="FM229" s="42"/>
      <c r="FN229" s="42"/>
      <c r="FO229" s="42"/>
      <c r="FP229" s="42"/>
      <c r="FQ229" s="42"/>
      <c r="FR229" s="42"/>
      <c r="FS229" s="42"/>
      <c r="FT229" s="42"/>
      <c r="FU229" s="42"/>
      <c r="FV229" s="42"/>
      <c r="FW229" s="42"/>
      <c r="FX229" s="42"/>
      <c r="FY229" s="42"/>
      <c r="FZ229" s="42"/>
      <c r="GA229" s="42"/>
      <c r="GB229" s="42"/>
      <c r="GC229" s="42"/>
      <c r="GD229" s="42"/>
      <c r="GE229" s="42"/>
      <c r="GF229" s="42"/>
      <c r="GG229" s="42"/>
      <c r="GH229" s="42"/>
      <c r="GI229" s="42"/>
      <c r="GJ229" s="42"/>
      <c r="GK229" s="42"/>
      <c r="GL229" s="42"/>
      <c r="GM229" s="42"/>
      <c r="GN229" s="42"/>
      <c r="GO229" s="42"/>
      <c r="GP229" s="42"/>
      <c r="GQ229" s="42"/>
      <c r="GR229" s="42"/>
      <c r="GS229" s="42"/>
      <c r="GT229" s="42"/>
      <c r="GU229" s="42"/>
      <c r="GV229" s="42"/>
      <c r="GW229" s="42"/>
      <c r="GX229" s="42"/>
      <c r="GY229" s="42"/>
      <c r="GZ229" s="42"/>
      <c r="HA229" s="42"/>
      <c r="HB229" s="42"/>
      <c r="HC229" s="42"/>
      <c r="HD229" s="42"/>
      <c r="HE229" s="42"/>
      <c r="HF229" s="42"/>
      <c r="HG229" s="42"/>
      <c r="HH229" s="42"/>
      <c r="HI229" s="42"/>
      <c r="HJ229" s="42"/>
      <c r="HK229" s="42"/>
      <c r="HL229" s="42"/>
      <c r="HM229" s="42"/>
      <c r="HN229" s="42"/>
      <c r="HO229" s="42"/>
      <c r="HP229" s="42"/>
      <c r="HQ229" s="42"/>
      <c r="HR229" s="42"/>
      <c r="HS229" s="42"/>
      <c r="HT229" s="42"/>
      <c r="HU229" s="42"/>
      <c r="HV229" s="42"/>
      <c r="HW229" s="42"/>
      <c r="HX229" s="42"/>
      <c r="HY229" s="42"/>
      <c r="HZ229" s="42"/>
      <c r="IA229" s="42"/>
      <c r="IB229" s="42"/>
      <c r="IC229" s="42"/>
      <c r="ID229" s="42"/>
      <c r="IE229" s="42"/>
      <c r="IF229" s="42"/>
      <c r="IG229" s="42"/>
      <c r="IH229" s="42"/>
      <c r="II229" s="42"/>
      <c r="IJ229" s="42"/>
      <c r="IK229" s="42"/>
      <c r="IL229" s="42"/>
      <c r="IM229" s="42"/>
      <c r="IN229" s="42"/>
      <c r="IO229" s="42"/>
      <c r="IP229" s="42"/>
      <c r="IQ229" s="42"/>
      <c r="IR229" s="42"/>
      <c r="IS229" s="42"/>
      <c r="IT229" s="42"/>
      <c r="IU229" s="42"/>
      <c r="IV229" s="42"/>
      <c r="IW229" s="42"/>
      <c r="IX229" s="42"/>
      <c r="IY229" s="42"/>
      <c r="IZ229" s="42"/>
      <c r="JA229" s="42"/>
      <c r="JB229" s="42"/>
      <c r="JC229" s="42"/>
      <c r="JD229" s="42"/>
      <c r="JE229" s="42"/>
      <c r="JF229" s="42"/>
      <c r="JG229" s="42"/>
      <c r="JH229" s="42"/>
      <c r="JI229" s="42"/>
      <c r="JJ229" s="42"/>
      <c r="JK229" s="42"/>
      <c r="JL229" s="42"/>
      <c r="JM229" s="42"/>
      <c r="JN229" s="42"/>
      <c r="JO229" s="42"/>
      <c r="JP229" s="42"/>
      <c r="JQ229" s="42"/>
      <c r="JR229" s="42"/>
      <c r="JS229" s="42"/>
      <c r="JT229" s="42"/>
      <c r="JU229" s="42"/>
      <c r="JV229" s="42"/>
      <c r="JW229" s="42"/>
      <c r="JX229" s="42"/>
      <c r="JY229" s="42"/>
      <c r="JZ229" s="42"/>
      <c r="KA229" s="42"/>
      <c r="KB229" s="42"/>
      <c r="KC229" s="42"/>
      <c r="KD229" s="42"/>
      <c r="KE229" s="42"/>
      <c r="KF229" s="42"/>
      <c r="KG229" s="42"/>
      <c r="KH229" s="42"/>
      <c r="KI229" s="42"/>
      <c r="KJ229" s="42"/>
      <c r="KK229" s="42"/>
      <c r="KL229" s="42"/>
      <c r="KM229" s="42"/>
      <c r="KN229" s="42"/>
      <c r="KO229" s="42"/>
      <c r="KP229" s="42"/>
      <c r="KQ229" s="42"/>
      <c r="KR229" s="42"/>
      <c r="KS229" s="42"/>
      <c r="KT229" s="42"/>
      <c r="KU229" s="42"/>
      <c r="KV229" s="42"/>
      <c r="KW229" s="42"/>
      <c r="KX229" s="42"/>
      <c r="KY229" s="42"/>
      <c r="KZ229" s="42"/>
      <c r="LA229" s="42"/>
      <c r="LB229" s="42"/>
      <c r="LC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42"/>
      <c r="BH230" s="42"/>
      <c r="BI230" s="42"/>
      <c r="BJ230" s="42"/>
      <c r="BK230" s="42"/>
      <c r="BL230" s="42"/>
      <c r="BM230" s="42"/>
      <c r="BN230" s="42"/>
      <c r="BO230" s="42"/>
      <c r="BP230" s="42"/>
      <c r="BQ230" s="42"/>
      <c r="BR230" s="42"/>
      <c r="BS230" s="42"/>
      <c r="BT230" s="42"/>
      <c r="BU230" s="42"/>
      <c r="BV230" s="42"/>
      <c r="BW230" s="42"/>
      <c r="BX230" s="42"/>
      <c r="BY230" s="42"/>
      <c r="BZ230" s="42"/>
      <c r="CA230" s="42"/>
      <c r="CB230" s="42"/>
      <c r="CC230" s="42"/>
      <c r="CD230" s="42"/>
      <c r="CE230" s="42"/>
      <c r="CF230" s="42"/>
      <c r="CG230" s="42"/>
      <c r="CH230" s="42"/>
      <c r="CI230" s="42"/>
      <c r="CJ230" s="42"/>
      <c r="CK230" s="42"/>
      <c r="CL230" s="42"/>
      <c r="CM230" s="42"/>
      <c r="CN230" s="42"/>
      <c r="CO230" s="42"/>
      <c r="CP230" s="42"/>
      <c r="CQ230" s="42"/>
      <c r="CR230" s="42"/>
      <c r="CS230" s="42"/>
      <c r="CT230" s="42"/>
      <c r="CU230" s="42"/>
      <c r="CV230" s="42"/>
      <c r="CW230" s="42"/>
      <c r="CX230" s="42"/>
      <c r="CY230" s="42"/>
      <c r="CZ230" s="42"/>
      <c r="DA230" s="42"/>
      <c r="DB230" s="42"/>
      <c r="DC230" s="42"/>
      <c r="DD230" s="42"/>
      <c r="DE230" s="42"/>
      <c r="DF230" s="42"/>
      <c r="DG230" s="42"/>
      <c r="DH230" s="42"/>
      <c r="DI230" s="42"/>
      <c r="DJ230" s="42"/>
      <c r="DK230" s="42"/>
      <c r="DL230" s="42"/>
      <c r="DM230" s="42"/>
      <c r="DN230" s="42"/>
      <c r="DO230" s="42"/>
      <c r="DP230" s="42"/>
      <c r="DQ230" s="42"/>
      <c r="DR230" s="42"/>
      <c r="DS230" s="42"/>
      <c r="DT230" s="42"/>
      <c r="DU230" s="42"/>
      <c r="DV230" s="42"/>
      <c r="DW230" s="42"/>
      <c r="DX230" s="42"/>
      <c r="DY230" s="42"/>
      <c r="DZ230" s="42"/>
      <c r="EA230" s="42"/>
      <c r="EB230" s="42"/>
      <c r="EC230" s="42"/>
      <c r="ED230" s="42"/>
      <c r="EE230" s="42"/>
      <c r="EF230" s="42"/>
      <c r="EG230" s="42"/>
      <c r="EH230" s="42"/>
      <c r="EI230" s="42"/>
      <c r="EJ230" s="42"/>
      <c r="EK230" s="42"/>
      <c r="EL230" s="42"/>
      <c r="EM230" s="42"/>
      <c r="EN230" s="42"/>
      <c r="EO230" s="42"/>
      <c r="EP230" s="42"/>
      <c r="EQ230" s="42"/>
      <c r="ER230" s="42"/>
      <c r="ES230" s="42"/>
      <c r="ET230" s="42"/>
      <c r="EU230" s="42"/>
      <c r="EV230" s="42"/>
      <c r="EW230" s="42"/>
      <c r="EX230" s="42"/>
      <c r="EY230" s="42"/>
      <c r="EZ230" s="42"/>
      <c r="FA230" s="42"/>
      <c r="FB230" s="42"/>
      <c r="FC230" s="42"/>
      <c r="FD230" s="42"/>
      <c r="FE230" s="42"/>
      <c r="FF230" s="42"/>
      <c r="FG230" s="42"/>
      <c r="FH230" s="42"/>
      <c r="FI230" s="42"/>
      <c r="FJ230" s="42"/>
      <c r="FK230" s="42"/>
      <c r="FL230" s="42"/>
      <c r="FM230" s="42"/>
      <c r="FN230" s="42"/>
      <c r="FO230" s="42"/>
      <c r="FP230" s="42"/>
      <c r="FQ230" s="42"/>
      <c r="FR230" s="42"/>
      <c r="FS230" s="42"/>
      <c r="FT230" s="42"/>
      <c r="FU230" s="42"/>
      <c r="FV230" s="42"/>
      <c r="FW230" s="42"/>
      <c r="FX230" s="42"/>
      <c r="FY230" s="42"/>
      <c r="FZ230" s="42"/>
      <c r="GA230" s="42"/>
      <c r="GB230" s="42"/>
      <c r="GC230" s="42"/>
      <c r="GD230" s="42"/>
      <c r="GE230" s="42"/>
      <c r="GF230" s="42"/>
      <c r="GG230" s="42"/>
      <c r="GH230" s="42"/>
      <c r="GI230" s="42"/>
      <c r="GJ230" s="42"/>
      <c r="GK230" s="42"/>
      <c r="GL230" s="42"/>
      <c r="GM230" s="42"/>
      <c r="GN230" s="42"/>
      <c r="GO230" s="42"/>
      <c r="GP230" s="42"/>
      <c r="GQ230" s="42"/>
      <c r="GR230" s="42"/>
      <c r="GS230" s="42"/>
      <c r="GT230" s="42"/>
      <c r="GU230" s="42"/>
      <c r="GV230" s="42"/>
      <c r="GW230" s="42"/>
      <c r="GX230" s="42"/>
      <c r="GY230" s="42"/>
      <c r="GZ230" s="42"/>
      <c r="HA230" s="42"/>
      <c r="HB230" s="42"/>
      <c r="HC230" s="42"/>
      <c r="HD230" s="42"/>
      <c r="HE230" s="42"/>
      <c r="HF230" s="42"/>
      <c r="HG230" s="42"/>
      <c r="HH230" s="42"/>
      <c r="HI230" s="42"/>
      <c r="HJ230" s="42"/>
      <c r="HK230" s="42"/>
      <c r="HL230" s="42"/>
      <c r="HM230" s="42"/>
      <c r="HN230" s="42"/>
      <c r="HO230" s="42"/>
      <c r="HP230" s="42"/>
      <c r="HQ230" s="42"/>
      <c r="HR230" s="42"/>
      <c r="HS230" s="42"/>
      <c r="HT230" s="42"/>
      <c r="HU230" s="42"/>
      <c r="HV230" s="42"/>
      <c r="HW230" s="42"/>
      <c r="HX230" s="42"/>
      <c r="HY230" s="42"/>
      <c r="HZ230" s="42"/>
      <c r="IA230" s="42"/>
      <c r="IB230" s="42"/>
      <c r="IC230" s="42"/>
      <c r="ID230" s="42"/>
      <c r="IE230" s="42"/>
      <c r="IF230" s="42"/>
      <c r="IG230" s="42"/>
      <c r="IH230" s="42"/>
      <c r="II230" s="42"/>
      <c r="IJ230" s="42"/>
      <c r="IK230" s="42"/>
      <c r="IL230" s="42"/>
      <c r="IM230" s="42"/>
      <c r="IN230" s="42"/>
      <c r="IO230" s="42"/>
      <c r="IP230" s="42"/>
      <c r="IQ230" s="42"/>
      <c r="IR230" s="42"/>
      <c r="IS230" s="42"/>
      <c r="IT230" s="42"/>
      <c r="IU230" s="42"/>
      <c r="IV230" s="42"/>
      <c r="IW230" s="42"/>
      <c r="IX230" s="42"/>
      <c r="IY230" s="42"/>
      <c r="IZ230" s="42"/>
      <c r="JA230" s="42"/>
      <c r="JB230" s="42"/>
      <c r="JC230" s="42"/>
      <c r="JD230" s="42"/>
      <c r="JE230" s="42"/>
      <c r="JF230" s="42"/>
      <c r="JG230" s="42"/>
      <c r="JH230" s="42"/>
      <c r="JI230" s="42"/>
      <c r="JJ230" s="42"/>
      <c r="JK230" s="42"/>
      <c r="JL230" s="42"/>
      <c r="JM230" s="42"/>
      <c r="JN230" s="42"/>
      <c r="JO230" s="42"/>
      <c r="JP230" s="42"/>
      <c r="JQ230" s="42"/>
      <c r="JR230" s="42"/>
      <c r="JS230" s="42"/>
      <c r="JT230" s="42"/>
      <c r="JU230" s="42"/>
      <c r="JV230" s="42"/>
      <c r="JW230" s="42"/>
      <c r="JX230" s="42"/>
      <c r="JY230" s="42"/>
      <c r="JZ230" s="42"/>
      <c r="KA230" s="42"/>
      <c r="KB230" s="42"/>
      <c r="KC230" s="42"/>
      <c r="KD230" s="42"/>
      <c r="KE230" s="42"/>
      <c r="KF230" s="42"/>
      <c r="KG230" s="42"/>
      <c r="KH230" s="42"/>
      <c r="KI230" s="42"/>
      <c r="KJ230" s="42"/>
      <c r="KK230" s="42"/>
      <c r="KL230" s="42"/>
      <c r="KM230" s="42"/>
      <c r="KN230" s="42"/>
      <c r="KO230" s="42"/>
      <c r="KP230" s="42"/>
      <c r="KQ230" s="42"/>
      <c r="KR230" s="42"/>
      <c r="KS230" s="42"/>
      <c r="KT230" s="42"/>
      <c r="KU230" s="42"/>
      <c r="KV230" s="42"/>
      <c r="KW230" s="42"/>
      <c r="KX230" s="42"/>
      <c r="KY230" s="42"/>
      <c r="KZ230" s="42"/>
      <c r="LA230" s="42"/>
      <c r="LB230" s="42"/>
      <c r="LC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42"/>
      <c r="BB231" s="42"/>
      <c r="BC231" s="42"/>
      <c r="BD231" s="42"/>
      <c r="BE231" s="42"/>
      <c r="BF231" s="42"/>
      <c r="BG231" s="42"/>
      <c r="BH231" s="42"/>
      <c r="BI231" s="42"/>
      <c r="BJ231" s="42"/>
      <c r="BK231" s="42"/>
      <c r="BL231" s="42"/>
      <c r="BM231" s="42"/>
      <c r="BN231" s="42"/>
      <c r="BO231" s="42"/>
      <c r="BP231" s="42"/>
      <c r="BQ231" s="42"/>
      <c r="BR231" s="42"/>
      <c r="BS231" s="42"/>
      <c r="BT231" s="42"/>
      <c r="BU231" s="42"/>
      <c r="BV231" s="42"/>
      <c r="BW231" s="42"/>
      <c r="BX231" s="42"/>
      <c r="BY231" s="42"/>
      <c r="BZ231" s="42"/>
      <c r="CA231" s="42"/>
      <c r="CB231" s="42"/>
      <c r="CC231" s="42"/>
      <c r="CD231" s="42"/>
      <c r="CE231" s="42"/>
      <c r="CF231" s="42"/>
      <c r="CG231" s="42"/>
      <c r="CH231" s="42"/>
      <c r="CI231" s="42"/>
      <c r="CJ231" s="42"/>
      <c r="CK231" s="42"/>
      <c r="CL231" s="42"/>
      <c r="CM231" s="42"/>
      <c r="CN231" s="42"/>
      <c r="CO231" s="42"/>
      <c r="CP231" s="42"/>
      <c r="CQ231" s="42"/>
      <c r="CR231" s="42"/>
      <c r="CS231" s="42"/>
      <c r="CT231" s="42"/>
      <c r="CU231" s="42"/>
      <c r="CV231" s="42"/>
      <c r="CW231" s="42"/>
      <c r="CX231" s="42"/>
      <c r="CY231" s="42"/>
      <c r="CZ231" s="42"/>
      <c r="DA231" s="42"/>
      <c r="DB231" s="42"/>
      <c r="DC231" s="42"/>
      <c r="DD231" s="42"/>
      <c r="DE231" s="42"/>
      <c r="DF231" s="42"/>
      <c r="DG231" s="42"/>
      <c r="DH231" s="42"/>
      <c r="DI231" s="42"/>
      <c r="DJ231" s="42"/>
      <c r="DK231" s="42"/>
      <c r="DL231" s="42"/>
      <c r="DM231" s="42"/>
      <c r="DN231" s="42"/>
      <c r="DO231" s="42"/>
      <c r="DP231" s="42"/>
      <c r="DQ231" s="42"/>
      <c r="DR231" s="42"/>
      <c r="DS231" s="42"/>
      <c r="DT231" s="42"/>
      <c r="DU231" s="42"/>
      <c r="DV231" s="42"/>
      <c r="DW231" s="42"/>
      <c r="DX231" s="42"/>
      <c r="DY231" s="42"/>
      <c r="DZ231" s="42"/>
      <c r="EA231" s="42"/>
      <c r="EB231" s="42"/>
      <c r="EC231" s="42"/>
      <c r="ED231" s="42"/>
      <c r="EE231" s="42"/>
      <c r="EF231" s="42"/>
      <c r="EG231" s="42"/>
      <c r="EH231" s="42"/>
      <c r="EI231" s="42"/>
      <c r="EJ231" s="42"/>
      <c r="EK231" s="42"/>
      <c r="EL231" s="42"/>
      <c r="EM231" s="42"/>
      <c r="EN231" s="42"/>
      <c r="EO231" s="42"/>
      <c r="EP231" s="42"/>
      <c r="EQ231" s="42"/>
      <c r="ER231" s="42"/>
      <c r="ES231" s="42"/>
      <c r="ET231" s="42"/>
      <c r="EU231" s="42"/>
      <c r="EV231" s="42"/>
      <c r="EW231" s="42"/>
      <c r="EX231" s="42"/>
      <c r="EY231" s="42"/>
      <c r="EZ231" s="42"/>
      <c r="FA231" s="42"/>
      <c r="FB231" s="42"/>
      <c r="FC231" s="42"/>
      <c r="FD231" s="42"/>
      <c r="FE231" s="42"/>
      <c r="FF231" s="42"/>
      <c r="FG231" s="42"/>
      <c r="FH231" s="42"/>
      <c r="FI231" s="42"/>
      <c r="FJ231" s="42"/>
      <c r="FK231" s="42"/>
      <c r="FL231" s="42"/>
      <c r="FM231" s="42"/>
      <c r="FN231" s="42"/>
      <c r="FO231" s="42"/>
      <c r="FP231" s="42"/>
      <c r="FQ231" s="42"/>
      <c r="FR231" s="42"/>
      <c r="FS231" s="42"/>
      <c r="FT231" s="42"/>
      <c r="FU231" s="42"/>
      <c r="FV231" s="42"/>
      <c r="FW231" s="42"/>
      <c r="FX231" s="42"/>
      <c r="FY231" s="42"/>
      <c r="FZ231" s="42"/>
      <c r="GA231" s="42"/>
      <c r="GB231" s="42"/>
      <c r="GC231" s="42"/>
      <c r="GD231" s="42"/>
      <c r="GE231" s="42"/>
      <c r="GF231" s="42"/>
      <c r="GG231" s="42"/>
      <c r="GH231" s="42"/>
      <c r="GI231" s="42"/>
      <c r="GJ231" s="42"/>
      <c r="GK231" s="42"/>
      <c r="GL231" s="42"/>
      <c r="GM231" s="42"/>
      <c r="GN231" s="42"/>
      <c r="GO231" s="42"/>
      <c r="GP231" s="42"/>
      <c r="GQ231" s="42"/>
      <c r="GR231" s="42"/>
      <c r="GS231" s="42"/>
      <c r="GT231" s="42"/>
      <c r="GU231" s="42"/>
      <c r="GV231" s="42"/>
      <c r="GW231" s="42"/>
      <c r="GX231" s="42"/>
      <c r="GY231" s="42"/>
      <c r="GZ231" s="42"/>
      <c r="HA231" s="42"/>
      <c r="HB231" s="42"/>
      <c r="HC231" s="42"/>
      <c r="HD231" s="42"/>
      <c r="HE231" s="42"/>
      <c r="HF231" s="42"/>
      <c r="HG231" s="42"/>
      <c r="HH231" s="42"/>
      <c r="HI231" s="42"/>
      <c r="HJ231" s="42"/>
      <c r="HK231" s="42"/>
      <c r="HL231" s="42"/>
      <c r="HM231" s="42"/>
      <c r="HN231" s="42"/>
      <c r="HO231" s="42"/>
      <c r="HP231" s="42"/>
      <c r="HQ231" s="42"/>
      <c r="HR231" s="42"/>
      <c r="HS231" s="42"/>
      <c r="HT231" s="42"/>
      <c r="HU231" s="42"/>
      <c r="HV231" s="42"/>
      <c r="HW231" s="42"/>
      <c r="HX231" s="42"/>
      <c r="HY231" s="42"/>
      <c r="HZ231" s="42"/>
      <c r="IA231" s="42"/>
      <c r="IB231" s="42"/>
      <c r="IC231" s="42"/>
      <c r="ID231" s="42"/>
      <c r="IE231" s="42"/>
      <c r="IF231" s="42"/>
      <c r="IG231" s="42"/>
      <c r="IH231" s="42"/>
      <c r="II231" s="42"/>
      <c r="IJ231" s="42"/>
      <c r="IK231" s="42"/>
      <c r="IL231" s="42"/>
      <c r="IM231" s="42"/>
      <c r="IN231" s="42"/>
      <c r="IO231" s="42"/>
      <c r="IP231" s="42"/>
      <c r="IQ231" s="42"/>
      <c r="IR231" s="42"/>
      <c r="IS231" s="42"/>
      <c r="IT231" s="42"/>
      <c r="IU231" s="42"/>
      <c r="IV231" s="42"/>
      <c r="IW231" s="42"/>
      <c r="IX231" s="42"/>
      <c r="IY231" s="42"/>
      <c r="IZ231" s="42"/>
      <c r="JA231" s="42"/>
      <c r="JB231" s="42"/>
      <c r="JC231" s="42"/>
      <c r="JD231" s="42"/>
      <c r="JE231" s="42"/>
      <c r="JF231" s="42"/>
      <c r="JG231" s="42"/>
      <c r="JH231" s="42"/>
      <c r="JI231" s="42"/>
      <c r="JJ231" s="42"/>
      <c r="JK231" s="42"/>
      <c r="JL231" s="42"/>
      <c r="JM231" s="42"/>
      <c r="JN231" s="42"/>
      <c r="JO231" s="42"/>
      <c r="JP231" s="42"/>
      <c r="JQ231" s="42"/>
      <c r="JR231" s="42"/>
      <c r="JS231" s="42"/>
      <c r="JT231" s="42"/>
      <c r="JU231" s="42"/>
      <c r="JV231" s="42"/>
      <c r="JW231" s="42"/>
      <c r="JX231" s="42"/>
      <c r="JY231" s="42"/>
      <c r="JZ231" s="42"/>
      <c r="KA231" s="42"/>
      <c r="KB231" s="42"/>
      <c r="KC231" s="42"/>
      <c r="KD231" s="42"/>
      <c r="KE231" s="42"/>
      <c r="KF231" s="42"/>
      <c r="KG231" s="42"/>
      <c r="KH231" s="42"/>
      <c r="KI231" s="42"/>
      <c r="KJ231" s="42"/>
      <c r="KK231" s="42"/>
      <c r="KL231" s="42"/>
      <c r="KM231" s="42"/>
      <c r="KN231" s="42"/>
      <c r="KO231" s="42"/>
      <c r="KP231" s="42"/>
      <c r="KQ231" s="42"/>
      <c r="KR231" s="42"/>
      <c r="KS231" s="42"/>
      <c r="KT231" s="42"/>
      <c r="KU231" s="42"/>
      <c r="KV231" s="42"/>
      <c r="KW231" s="42"/>
      <c r="KX231" s="42"/>
      <c r="KY231" s="42"/>
      <c r="KZ231" s="42"/>
      <c r="LA231" s="42"/>
      <c r="LB231" s="42"/>
      <c r="LC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c r="BC232" s="42"/>
      <c r="BD232" s="42"/>
      <c r="BE232" s="42"/>
      <c r="BF232" s="42"/>
      <c r="BG232" s="42"/>
      <c r="BH232" s="42"/>
      <c r="BI232" s="42"/>
      <c r="BJ232" s="42"/>
      <c r="BK232" s="42"/>
      <c r="BL232" s="42"/>
      <c r="BM232" s="42"/>
      <c r="BN232" s="42"/>
      <c r="BO232" s="42"/>
      <c r="BP232" s="42"/>
      <c r="BQ232" s="42"/>
      <c r="BR232" s="42"/>
      <c r="BS232" s="42"/>
      <c r="BT232" s="42"/>
      <c r="BU232" s="42"/>
      <c r="BV232" s="42"/>
      <c r="BW232" s="42"/>
      <c r="BX232" s="42"/>
      <c r="BY232" s="42"/>
      <c r="BZ232" s="42"/>
      <c r="CA232" s="42"/>
      <c r="CB232" s="42"/>
      <c r="CC232" s="42"/>
      <c r="CD232" s="42"/>
      <c r="CE232" s="42"/>
      <c r="CF232" s="42"/>
      <c r="CG232" s="42"/>
      <c r="CH232" s="42"/>
      <c r="CI232" s="42"/>
      <c r="CJ232" s="42"/>
      <c r="CK232" s="42"/>
      <c r="CL232" s="42"/>
      <c r="CM232" s="42"/>
      <c r="CN232" s="42"/>
      <c r="CO232" s="42"/>
      <c r="CP232" s="42"/>
      <c r="CQ232" s="42"/>
      <c r="CR232" s="42"/>
      <c r="CS232" s="42"/>
      <c r="CT232" s="42"/>
      <c r="CU232" s="42"/>
      <c r="CV232" s="42"/>
      <c r="CW232" s="42"/>
      <c r="CX232" s="42"/>
      <c r="CY232" s="42"/>
      <c r="CZ232" s="42"/>
      <c r="DA232" s="42"/>
      <c r="DB232" s="42"/>
      <c r="DC232" s="42"/>
      <c r="DD232" s="42"/>
      <c r="DE232" s="42"/>
      <c r="DF232" s="42"/>
      <c r="DG232" s="42"/>
      <c r="DH232" s="42"/>
      <c r="DI232" s="42"/>
      <c r="DJ232" s="42"/>
      <c r="DK232" s="42"/>
      <c r="DL232" s="42"/>
      <c r="DM232" s="42"/>
      <c r="DN232" s="42"/>
      <c r="DO232" s="42"/>
      <c r="DP232" s="42"/>
      <c r="DQ232" s="42"/>
      <c r="DR232" s="42"/>
      <c r="DS232" s="42"/>
      <c r="DT232" s="42"/>
      <c r="DU232" s="42"/>
      <c r="DV232" s="42"/>
      <c r="DW232" s="42"/>
      <c r="DX232" s="42"/>
      <c r="DY232" s="42"/>
      <c r="DZ232" s="42"/>
      <c r="EA232" s="42"/>
      <c r="EB232" s="42"/>
      <c r="EC232" s="42"/>
      <c r="ED232" s="42"/>
      <c r="EE232" s="42"/>
      <c r="EF232" s="42"/>
      <c r="EG232" s="42"/>
      <c r="EH232" s="42"/>
      <c r="EI232" s="42"/>
      <c r="EJ232" s="42"/>
      <c r="EK232" s="42"/>
      <c r="EL232" s="42"/>
      <c r="EM232" s="42"/>
      <c r="EN232" s="42"/>
      <c r="EO232" s="42"/>
      <c r="EP232" s="42"/>
      <c r="EQ232" s="42"/>
      <c r="ER232" s="42"/>
      <c r="ES232" s="42"/>
      <c r="ET232" s="42"/>
      <c r="EU232" s="42"/>
      <c r="EV232" s="42"/>
      <c r="EW232" s="42"/>
      <c r="EX232" s="42"/>
      <c r="EY232" s="42"/>
      <c r="EZ232" s="42"/>
      <c r="FA232" s="42"/>
      <c r="FB232" s="42"/>
      <c r="FC232" s="42"/>
      <c r="FD232" s="42"/>
      <c r="FE232" s="42"/>
      <c r="FF232" s="42"/>
      <c r="FG232" s="42"/>
      <c r="FH232" s="42"/>
      <c r="FI232" s="42"/>
      <c r="FJ232" s="42"/>
      <c r="FK232" s="42"/>
      <c r="FL232" s="42"/>
      <c r="FM232" s="42"/>
      <c r="FN232" s="42"/>
      <c r="FO232" s="42"/>
      <c r="FP232" s="42"/>
      <c r="FQ232" s="42"/>
      <c r="FR232" s="42"/>
      <c r="FS232" s="42"/>
      <c r="FT232" s="42"/>
      <c r="FU232" s="42"/>
      <c r="FV232" s="42"/>
      <c r="FW232" s="42"/>
      <c r="FX232" s="42"/>
      <c r="FY232" s="42"/>
      <c r="FZ232" s="42"/>
      <c r="GA232" s="42"/>
      <c r="GB232" s="42"/>
      <c r="GC232" s="42"/>
      <c r="GD232" s="42"/>
      <c r="GE232" s="42"/>
      <c r="GF232" s="42"/>
      <c r="GG232" s="42"/>
      <c r="GH232" s="42"/>
      <c r="GI232" s="42"/>
      <c r="GJ232" s="42"/>
      <c r="GK232" s="42"/>
      <c r="GL232" s="42"/>
      <c r="GM232" s="42"/>
      <c r="GN232" s="42"/>
      <c r="GO232" s="42"/>
      <c r="GP232" s="42"/>
      <c r="GQ232" s="42"/>
      <c r="GR232" s="42"/>
      <c r="GS232" s="42"/>
      <c r="GT232" s="42"/>
      <c r="GU232" s="42"/>
      <c r="GV232" s="42"/>
      <c r="GW232" s="42"/>
      <c r="GX232" s="42"/>
      <c r="GY232" s="42"/>
      <c r="GZ232" s="42"/>
      <c r="HA232" s="42"/>
      <c r="HB232" s="42"/>
      <c r="HC232" s="42"/>
      <c r="HD232" s="42"/>
      <c r="HE232" s="42"/>
      <c r="HF232" s="42"/>
      <c r="HG232" s="42"/>
      <c r="HH232" s="42"/>
      <c r="HI232" s="42"/>
      <c r="HJ232" s="42"/>
      <c r="HK232" s="42"/>
      <c r="HL232" s="42"/>
      <c r="HM232" s="42"/>
      <c r="HN232" s="42"/>
      <c r="HO232" s="42"/>
      <c r="HP232" s="42"/>
      <c r="HQ232" s="42"/>
      <c r="HR232" s="42"/>
      <c r="HS232" s="42"/>
      <c r="HT232" s="42"/>
      <c r="HU232" s="42"/>
      <c r="HV232" s="42"/>
      <c r="HW232" s="42"/>
      <c r="HX232" s="42"/>
      <c r="HY232" s="42"/>
      <c r="HZ232" s="42"/>
      <c r="IA232" s="42"/>
      <c r="IB232" s="42"/>
      <c r="IC232" s="42"/>
      <c r="ID232" s="42"/>
      <c r="IE232" s="42"/>
      <c r="IF232" s="42"/>
      <c r="IG232" s="42"/>
      <c r="IH232" s="42"/>
      <c r="II232" s="42"/>
      <c r="IJ232" s="42"/>
      <c r="IK232" s="42"/>
      <c r="IL232" s="42"/>
      <c r="IM232" s="42"/>
      <c r="IN232" s="42"/>
      <c r="IO232" s="42"/>
      <c r="IP232" s="42"/>
      <c r="IQ232" s="42"/>
      <c r="IR232" s="42"/>
      <c r="IS232" s="42"/>
      <c r="IT232" s="42"/>
      <c r="IU232" s="42"/>
      <c r="IV232" s="42"/>
      <c r="IW232" s="42"/>
      <c r="IX232" s="42"/>
      <c r="IY232" s="42"/>
      <c r="IZ232" s="42"/>
      <c r="JA232" s="42"/>
      <c r="JB232" s="42"/>
      <c r="JC232" s="42"/>
      <c r="JD232" s="42"/>
      <c r="JE232" s="42"/>
      <c r="JF232" s="42"/>
      <c r="JG232" s="42"/>
      <c r="JH232" s="42"/>
      <c r="JI232" s="42"/>
      <c r="JJ232" s="42"/>
      <c r="JK232" s="42"/>
      <c r="JL232" s="42"/>
      <c r="JM232" s="42"/>
      <c r="JN232" s="42"/>
      <c r="JO232" s="42"/>
      <c r="JP232" s="42"/>
      <c r="JQ232" s="42"/>
      <c r="JR232" s="42"/>
      <c r="JS232" s="42"/>
      <c r="JT232" s="42"/>
      <c r="JU232" s="42"/>
      <c r="JV232" s="42"/>
      <c r="JW232" s="42"/>
      <c r="JX232" s="42"/>
      <c r="JY232" s="42"/>
      <c r="JZ232" s="42"/>
      <c r="KA232" s="42"/>
      <c r="KB232" s="42"/>
      <c r="KC232" s="42"/>
      <c r="KD232" s="42"/>
      <c r="KE232" s="42"/>
      <c r="KF232" s="42"/>
      <c r="KG232" s="42"/>
      <c r="KH232" s="42"/>
      <c r="KI232" s="42"/>
      <c r="KJ232" s="42"/>
      <c r="KK232" s="42"/>
      <c r="KL232" s="42"/>
      <c r="KM232" s="42"/>
      <c r="KN232" s="42"/>
      <c r="KO232" s="42"/>
      <c r="KP232" s="42"/>
      <c r="KQ232" s="42"/>
      <c r="KR232" s="42"/>
      <c r="KS232" s="42"/>
      <c r="KT232" s="42"/>
      <c r="KU232" s="42"/>
      <c r="KV232" s="42"/>
      <c r="KW232" s="42"/>
      <c r="KX232" s="42"/>
      <c r="KY232" s="42"/>
      <c r="KZ232" s="42"/>
      <c r="LA232" s="42"/>
      <c r="LB232" s="42"/>
      <c r="LC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2"/>
      <c r="BH233" s="42"/>
      <c r="BI233" s="42"/>
      <c r="BJ233" s="42"/>
      <c r="BK233" s="42"/>
      <c r="BL233" s="42"/>
      <c r="BM233" s="42"/>
      <c r="BN233" s="42"/>
      <c r="BO233" s="42"/>
      <c r="BP233" s="42"/>
      <c r="BQ233" s="42"/>
      <c r="BR233" s="42"/>
      <c r="BS233" s="42"/>
      <c r="BT233" s="42"/>
      <c r="BU233" s="42"/>
      <c r="BV233" s="42"/>
      <c r="BW233" s="42"/>
      <c r="BX233" s="42"/>
      <c r="BY233" s="42"/>
      <c r="BZ233" s="42"/>
      <c r="CA233" s="42"/>
      <c r="CB233" s="42"/>
      <c r="CC233" s="42"/>
      <c r="CD233" s="42"/>
      <c r="CE233" s="42"/>
      <c r="CF233" s="42"/>
      <c r="CG233" s="42"/>
      <c r="CH233" s="42"/>
      <c r="CI233" s="42"/>
      <c r="CJ233" s="42"/>
      <c r="CK233" s="42"/>
      <c r="CL233" s="42"/>
      <c r="CM233" s="42"/>
      <c r="CN233" s="42"/>
      <c r="CO233" s="42"/>
      <c r="CP233" s="42"/>
      <c r="CQ233" s="42"/>
      <c r="CR233" s="42"/>
      <c r="CS233" s="42"/>
      <c r="CT233" s="42"/>
      <c r="CU233" s="42"/>
      <c r="CV233" s="42"/>
      <c r="CW233" s="42"/>
      <c r="CX233" s="42"/>
      <c r="CY233" s="42"/>
      <c r="CZ233" s="42"/>
      <c r="DA233" s="42"/>
      <c r="DB233" s="42"/>
      <c r="DC233" s="42"/>
      <c r="DD233" s="42"/>
      <c r="DE233" s="42"/>
      <c r="DF233" s="42"/>
      <c r="DG233" s="42"/>
      <c r="DH233" s="42"/>
      <c r="DI233" s="42"/>
      <c r="DJ233" s="42"/>
      <c r="DK233" s="42"/>
      <c r="DL233" s="42"/>
      <c r="DM233" s="42"/>
      <c r="DN233" s="42"/>
      <c r="DO233" s="42"/>
      <c r="DP233" s="42"/>
      <c r="DQ233" s="42"/>
      <c r="DR233" s="42"/>
      <c r="DS233" s="42"/>
      <c r="DT233" s="42"/>
      <c r="DU233" s="42"/>
      <c r="DV233" s="42"/>
      <c r="DW233" s="42"/>
      <c r="DX233" s="42"/>
      <c r="DY233" s="42"/>
      <c r="DZ233" s="42"/>
      <c r="EA233" s="42"/>
      <c r="EB233" s="42"/>
      <c r="EC233" s="42"/>
      <c r="ED233" s="42"/>
      <c r="EE233" s="42"/>
      <c r="EF233" s="42"/>
      <c r="EG233" s="42"/>
      <c r="EH233" s="42"/>
      <c r="EI233" s="42"/>
      <c r="EJ233" s="42"/>
      <c r="EK233" s="42"/>
      <c r="EL233" s="42"/>
      <c r="EM233" s="42"/>
      <c r="EN233" s="42"/>
      <c r="EO233" s="42"/>
      <c r="EP233" s="42"/>
      <c r="EQ233" s="42"/>
      <c r="ER233" s="42"/>
      <c r="ES233" s="42"/>
      <c r="ET233" s="42"/>
      <c r="EU233" s="42"/>
      <c r="EV233" s="42"/>
      <c r="EW233" s="42"/>
      <c r="EX233" s="42"/>
      <c r="EY233" s="42"/>
      <c r="EZ233" s="42"/>
      <c r="FA233" s="42"/>
      <c r="FB233" s="42"/>
      <c r="FC233" s="42"/>
      <c r="FD233" s="42"/>
      <c r="FE233" s="42"/>
      <c r="FF233" s="42"/>
      <c r="FG233" s="42"/>
      <c r="FH233" s="42"/>
      <c r="FI233" s="42"/>
      <c r="FJ233" s="42"/>
      <c r="FK233" s="42"/>
      <c r="FL233" s="42"/>
      <c r="FM233" s="42"/>
      <c r="FN233" s="42"/>
      <c r="FO233" s="42"/>
      <c r="FP233" s="42"/>
      <c r="FQ233" s="42"/>
      <c r="FR233" s="42"/>
      <c r="FS233" s="42"/>
      <c r="FT233" s="42"/>
      <c r="FU233" s="42"/>
      <c r="FV233" s="42"/>
      <c r="FW233" s="42"/>
      <c r="FX233" s="42"/>
      <c r="FY233" s="42"/>
      <c r="FZ233" s="42"/>
      <c r="GA233" s="42"/>
      <c r="GB233" s="42"/>
      <c r="GC233" s="42"/>
      <c r="GD233" s="42"/>
      <c r="GE233" s="42"/>
      <c r="GF233" s="42"/>
      <c r="GG233" s="42"/>
      <c r="GH233" s="42"/>
      <c r="GI233" s="42"/>
      <c r="GJ233" s="42"/>
      <c r="GK233" s="42"/>
      <c r="GL233" s="42"/>
      <c r="GM233" s="42"/>
      <c r="GN233" s="42"/>
      <c r="GO233" s="42"/>
      <c r="GP233" s="42"/>
      <c r="GQ233" s="42"/>
      <c r="GR233" s="42"/>
      <c r="GS233" s="42"/>
      <c r="GT233" s="42"/>
      <c r="GU233" s="42"/>
      <c r="GV233" s="42"/>
      <c r="GW233" s="42"/>
      <c r="GX233" s="42"/>
      <c r="GY233" s="42"/>
      <c r="GZ233" s="42"/>
      <c r="HA233" s="42"/>
      <c r="HB233" s="42"/>
      <c r="HC233" s="42"/>
      <c r="HD233" s="42"/>
      <c r="HE233" s="42"/>
      <c r="HF233" s="42"/>
      <c r="HG233" s="42"/>
      <c r="HH233" s="42"/>
      <c r="HI233" s="42"/>
      <c r="HJ233" s="42"/>
      <c r="HK233" s="42"/>
      <c r="HL233" s="42"/>
      <c r="HM233" s="42"/>
      <c r="HN233" s="42"/>
      <c r="HO233" s="42"/>
      <c r="HP233" s="42"/>
      <c r="HQ233" s="42"/>
      <c r="HR233" s="42"/>
      <c r="HS233" s="42"/>
      <c r="HT233" s="42"/>
      <c r="HU233" s="42"/>
      <c r="HV233" s="42"/>
      <c r="HW233" s="42"/>
      <c r="HX233" s="42"/>
      <c r="HY233" s="42"/>
      <c r="HZ233" s="42"/>
      <c r="IA233" s="42"/>
      <c r="IB233" s="42"/>
      <c r="IC233" s="42"/>
      <c r="ID233" s="42"/>
      <c r="IE233" s="42"/>
      <c r="IF233" s="42"/>
      <c r="IG233" s="42"/>
      <c r="IH233" s="42"/>
      <c r="II233" s="42"/>
      <c r="IJ233" s="42"/>
      <c r="IK233" s="42"/>
      <c r="IL233" s="42"/>
      <c r="IM233" s="42"/>
      <c r="IN233" s="42"/>
      <c r="IO233" s="42"/>
      <c r="IP233" s="42"/>
      <c r="IQ233" s="42"/>
      <c r="IR233" s="42"/>
      <c r="IS233" s="42"/>
      <c r="IT233" s="42"/>
      <c r="IU233" s="42"/>
      <c r="IV233" s="42"/>
      <c r="IW233" s="42"/>
      <c r="IX233" s="42"/>
      <c r="IY233" s="42"/>
      <c r="IZ233" s="42"/>
      <c r="JA233" s="42"/>
      <c r="JB233" s="42"/>
      <c r="JC233" s="42"/>
      <c r="JD233" s="42"/>
      <c r="JE233" s="42"/>
      <c r="JF233" s="42"/>
      <c r="JG233" s="42"/>
      <c r="JH233" s="42"/>
      <c r="JI233" s="42"/>
      <c r="JJ233" s="42"/>
      <c r="JK233" s="42"/>
      <c r="JL233" s="42"/>
      <c r="JM233" s="42"/>
      <c r="JN233" s="42"/>
      <c r="JO233" s="42"/>
      <c r="JP233" s="42"/>
      <c r="JQ233" s="42"/>
      <c r="JR233" s="42"/>
      <c r="JS233" s="42"/>
      <c r="JT233" s="42"/>
      <c r="JU233" s="42"/>
      <c r="JV233" s="42"/>
      <c r="JW233" s="42"/>
      <c r="JX233" s="42"/>
      <c r="JY233" s="42"/>
      <c r="JZ233" s="42"/>
      <c r="KA233" s="42"/>
      <c r="KB233" s="42"/>
      <c r="KC233" s="42"/>
      <c r="KD233" s="42"/>
      <c r="KE233" s="42"/>
      <c r="KF233" s="42"/>
      <c r="KG233" s="42"/>
      <c r="KH233" s="42"/>
      <c r="KI233" s="42"/>
      <c r="KJ233" s="42"/>
      <c r="KK233" s="42"/>
      <c r="KL233" s="42"/>
      <c r="KM233" s="42"/>
      <c r="KN233" s="42"/>
      <c r="KO233" s="42"/>
      <c r="KP233" s="42"/>
      <c r="KQ233" s="42"/>
      <c r="KR233" s="42"/>
      <c r="KS233" s="42"/>
      <c r="KT233" s="42"/>
      <c r="KU233" s="42"/>
      <c r="KV233" s="42"/>
      <c r="KW233" s="42"/>
      <c r="KX233" s="42"/>
      <c r="KY233" s="42"/>
      <c r="KZ233" s="42"/>
      <c r="LA233" s="42"/>
      <c r="LB233" s="42"/>
      <c r="LC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42"/>
      <c r="BH234" s="42"/>
      <c r="BI234" s="42"/>
      <c r="BJ234" s="42"/>
      <c r="BK234" s="42"/>
      <c r="BL234" s="42"/>
      <c r="BM234" s="42"/>
      <c r="BN234" s="42"/>
      <c r="BO234" s="42"/>
      <c r="BP234" s="42"/>
      <c r="BQ234" s="42"/>
      <c r="BR234" s="42"/>
      <c r="BS234" s="42"/>
      <c r="BT234" s="42"/>
      <c r="BU234" s="42"/>
      <c r="BV234" s="42"/>
      <c r="BW234" s="42"/>
      <c r="BX234" s="42"/>
      <c r="BY234" s="42"/>
      <c r="BZ234" s="42"/>
      <c r="CA234" s="42"/>
      <c r="CB234" s="42"/>
      <c r="CC234" s="42"/>
      <c r="CD234" s="42"/>
      <c r="CE234" s="42"/>
      <c r="CF234" s="42"/>
      <c r="CG234" s="42"/>
      <c r="CH234" s="42"/>
      <c r="CI234" s="42"/>
      <c r="CJ234" s="42"/>
      <c r="CK234" s="42"/>
      <c r="CL234" s="42"/>
      <c r="CM234" s="42"/>
      <c r="CN234" s="42"/>
      <c r="CO234" s="42"/>
      <c r="CP234" s="42"/>
      <c r="CQ234" s="42"/>
      <c r="CR234" s="42"/>
      <c r="CS234" s="42"/>
      <c r="CT234" s="42"/>
      <c r="CU234" s="42"/>
      <c r="CV234" s="42"/>
      <c r="CW234" s="42"/>
      <c r="CX234" s="42"/>
      <c r="CY234" s="42"/>
      <c r="CZ234" s="42"/>
      <c r="DA234" s="42"/>
      <c r="DB234" s="42"/>
      <c r="DC234" s="42"/>
      <c r="DD234" s="42"/>
      <c r="DE234" s="42"/>
      <c r="DF234" s="42"/>
      <c r="DG234" s="42"/>
      <c r="DH234" s="42"/>
      <c r="DI234" s="42"/>
      <c r="DJ234" s="42"/>
      <c r="DK234" s="42"/>
      <c r="DL234" s="42"/>
      <c r="DM234" s="42"/>
      <c r="DN234" s="42"/>
      <c r="DO234" s="42"/>
      <c r="DP234" s="42"/>
      <c r="DQ234" s="42"/>
      <c r="DR234" s="42"/>
      <c r="DS234" s="42"/>
      <c r="DT234" s="42"/>
      <c r="DU234" s="42"/>
      <c r="DV234" s="42"/>
      <c r="DW234" s="42"/>
      <c r="DX234" s="42"/>
      <c r="DY234" s="42"/>
      <c r="DZ234" s="42"/>
      <c r="EA234" s="42"/>
      <c r="EB234" s="42"/>
      <c r="EC234" s="42"/>
      <c r="ED234" s="42"/>
      <c r="EE234" s="42"/>
      <c r="EF234" s="42"/>
      <c r="EG234" s="42"/>
      <c r="EH234" s="42"/>
      <c r="EI234" s="42"/>
      <c r="EJ234" s="42"/>
      <c r="EK234" s="42"/>
      <c r="EL234" s="42"/>
      <c r="EM234" s="42"/>
      <c r="EN234" s="42"/>
      <c r="EO234" s="42"/>
      <c r="EP234" s="42"/>
      <c r="EQ234" s="42"/>
      <c r="ER234" s="42"/>
      <c r="ES234" s="42"/>
      <c r="ET234" s="42"/>
      <c r="EU234" s="42"/>
      <c r="EV234" s="42"/>
      <c r="EW234" s="42"/>
      <c r="EX234" s="42"/>
      <c r="EY234" s="42"/>
      <c r="EZ234" s="42"/>
      <c r="FA234" s="42"/>
      <c r="FB234" s="42"/>
      <c r="FC234" s="42"/>
      <c r="FD234" s="42"/>
      <c r="FE234" s="42"/>
      <c r="FF234" s="42"/>
      <c r="FG234" s="42"/>
      <c r="FH234" s="42"/>
      <c r="FI234" s="42"/>
      <c r="FJ234" s="42"/>
      <c r="FK234" s="42"/>
      <c r="FL234" s="42"/>
      <c r="FM234" s="42"/>
      <c r="FN234" s="42"/>
      <c r="FO234" s="42"/>
      <c r="FP234" s="42"/>
      <c r="FQ234" s="42"/>
      <c r="FR234" s="42"/>
      <c r="FS234" s="42"/>
      <c r="FT234" s="42"/>
      <c r="FU234" s="42"/>
      <c r="FV234" s="42"/>
      <c r="FW234" s="42"/>
      <c r="FX234" s="42"/>
      <c r="FY234" s="42"/>
      <c r="FZ234" s="42"/>
      <c r="GA234" s="42"/>
      <c r="GB234" s="42"/>
      <c r="GC234" s="42"/>
      <c r="GD234" s="42"/>
      <c r="GE234" s="42"/>
      <c r="GF234" s="42"/>
      <c r="GG234" s="42"/>
      <c r="GH234" s="42"/>
      <c r="GI234" s="42"/>
      <c r="GJ234" s="42"/>
      <c r="GK234" s="42"/>
      <c r="GL234" s="42"/>
      <c r="GM234" s="42"/>
      <c r="GN234" s="42"/>
      <c r="GO234" s="42"/>
      <c r="GP234" s="42"/>
      <c r="GQ234" s="42"/>
      <c r="GR234" s="42"/>
      <c r="GS234" s="42"/>
      <c r="GT234" s="42"/>
      <c r="GU234" s="42"/>
      <c r="GV234" s="42"/>
      <c r="GW234" s="42"/>
      <c r="GX234" s="42"/>
      <c r="GY234" s="42"/>
      <c r="GZ234" s="42"/>
      <c r="HA234" s="42"/>
      <c r="HB234" s="42"/>
      <c r="HC234" s="42"/>
      <c r="HD234" s="42"/>
      <c r="HE234" s="42"/>
      <c r="HF234" s="42"/>
      <c r="HG234" s="42"/>
      <c r="HH234" s="42"/>
      <c r="HI234" s="42"/>
      <c r="HJ234" s="42"/>
      <c r="HK234" s="42"/>
      <c r="HL234" s="42"/>
      <c r="HM234" s="42"/>
      <c r="HN234" s="42"/>
      <c r="HO234" s="42"/>
      <c r="HP234" s="42"/>
      <c r="HQ234" s="42"/>
      <c r="HR234" s="42"/>
      <c r="HS234" s="42"/>
      <c r="HT234" s="42"/>
      <c r="HU234" s="42"/>
      <c r="HV234" s="42"/>
      <c r="HW234" s="42"/>
      <c r="HX234" s="42"/>
      <c r="HY234" s="42"/>
      <c r="HZ234" s="42"/>
      <c r="IA234" s="42"/>
      <c r="IB234" s="42"/>
      <c r="IC234" s="42"/>
      <c r="ID234" s="42"/>
      <c r="IE234" s="42"/>
      <c r="IF234" s="42"/>
      <c r="IG234" s="42"/>
      <c r="IH234" s="42"/>
      <c r="II234" s="42"/>
      <c r="IJ234" s="42"/>
      <c r="IK234" s="42"/>
      <c r="IL234" s="42"/>
      <c r="IM234" s="42"/>
      <c r="IN234" s="42"/>
      <c r="IO234" s="42"/>
      <c r="IP234" s="42"/>
      <c r="IQ234" s="42"/>
      <c r="IR234" s="42"/>
      <c r="IS234" s="42"/>
      <c r="IT234" s="42"/>
      <c r="IU234" s="42"/>
      <c r="IV234" s="42"/>
      <c r="IW234" s="42"/>
      <c r="IX234" s="42"/>
      <c r="IY234" s="42"/>
      <c r="IZ234" s="42"/>
      <c r="JA234" s="42"/>
      <c r="JB234" s="42"/>
      <c r="JC234" s="42"/>
      <c r="JD234" s="42"/>
      <c r="JE234" s="42"/>
      <c r="JF234" s="42"/>
      <c r="JG234" s="42"/>
      <c r="JH234" s="42"/>
      <c r="JI234" s="42"/>
      <c r="JJ234" s="42"/>
      <c r="JK234" s="42"/>
      <c r="JL234" s="42"/>
      <c r="JM234" s="42"/>
      <c r="JN234" s="42"/>
      <c r="JO234" s="42"/>
      <c r="JP234" s="42"/>
      <c r="JQ234" s="42"/>
      <c r="JR234" s="42"/>
      <c r="JS234" s="42"/>
      <c r="JT234" s="42"/>
      <c r="JU234" s="42"/>
      <c r="JV234" s="42"/>
      <c r="JW234" s="42"/>
      <c r="JX234" s="42"/>
      <c r="JY234" s="42"/>
      <c r="JZ234" s="42"/>
      <c r="KA234" s="42"/>
      <c r="KB234" s="42"/>
      <c r="KC234" s="42"/>
      <c r="KD234" s="42"/>
      <c r="KE234" s="42"/>
      <c r="KF234" s="42"/>
      <c r="KG234" s="42"/>
      <c r="KH234" s="42"/>
      <c r="KI234" s="42"/>
      <c r="KJ234" s="42"/>
      <c r="KK234" s="42"/>
      <c r="KL234" s="42"/>
      <c r="KM234" s="42"/>
      <c r="KN234" s="42"/>
      <c r="KO234" s="42"/>
      <c r="KP234" s="42"/>
      <c r="KQ234" s="42"/>
      <c r="KR234" s="42"/>
      <c r="KS234" s="42"/>
      <c r="KT234" s="42"/>
      <c r="KU234" s="42"/>
      <c r="KV234" s="42"/>
      <c r="KW234" s="42"/>
      <c r="KX234" s="42"/>
      <c r="KY234" s="42"/>
      <c r="KZ234" s="42"/>
      <c r="LA234" s="42"/>
      <c r="LB234" s="42"/>
      <c r="LC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c r="BC235" s="42"/>
      <c r="BD235" s="42"/>
      <c r="BE235" s="42"/>
      <c r="BF235" s="42"/>
      <c r="BG235" s="42"/>
      <c r="BH235" s="42"/>
      <c r="BI235" s="42"/>
      <c r="BJ235" s="42"/>
      <c r="BK235" s="42"/>
      <c r="BL235" s="42"/>
      <c r="BM235" s="42"/>
      <c r="BN235" s="42"/>
      <c r="BO235" s="42"/>
      <c r="BP235" s="42"/>
      <c r="BQ235" s="42"/>
      <c r="BR235" s="42"/>
      <c r="BS235" s="42"/>
      <c r="BT235" s="42"/>
      <c r="BU235" s="42"/>
      <c r="BV235" s="42"/>
      <c r="BW235" s="42"/>
      <c r="BX235" s="42"/>
      <c r="BY235" s="42"/>
      <c r="BZ235" s="42"/>
      <c r="CA235" s="42"/>
      <c r="CB235" s="42"/>
      <c r="CC235" s="42"/>
      <c r="CD235" s="42"/>
      <c r="CE235" s="42"/>
      <c r="CF235" s="42"/>
      <c r="CG235" s="42"/>
      <c r="CH235" s="42"/>
      <c r="CI235" s="42"/>
      <c r="CJ235" s="42"/>
      <c r="CK235" s="42"/>
      <c r="CL235" s="42"/>
      <c r="CM235" s="42"/>
      <c r="CN235" s="42"/>
      <c r="CO235" s="42"/>
      <c r="CP235" s="42"/>
      <c r="CQ235" s="42"/>
      <c r="CR235" s="42"/>
      <c r="CS235" s="42"/>
      <c r="CT235" s="42"/>
      <c r="CU235" s="42"/>
      <c r="CV235" s="42"/>
      <c r="CW235" s="42"/>
      <c r="CX235" s="42"/>
      <c r="CY235" s="42"/>
      <c r="CZ235" s="42"/>
      <c r="DA235" s="42"/>
      <c r="DB235" s="42"/>
      <c r="DC235" s="42"/>
      <c r="DD235" s="42"/>
      <c r="DE235" s="42"/>
      <c r="DF235" s="42"/>
      <c r="DG235" s="42"/>
      <c r="DH235" s="42"/>
      <c r="DI235" s="42"/>
      <c r="DJ235" s="42"/>
      <c r="DK235" s="42"/>
      <c r="DL235" s="42"/>
      <c r="DM235" s="42"/>
      <c r="DN235" s="42"/>
      <c r="DO235" s="42"/>
      <c r="DP235" s="42"/>
      <c r="DQ235" s="42"/>
      <c r="DR235" s="42"/>
      <c r="DS235" s="42"/>
      <c r="DT235" s="42"/>
      <c r="DU235" s="42"/>
      <c r="DV235" s="42"/>
      <c r="DW235" s="42"/>
      <c r="DX235" s="42"/>
      <c r="DY235" s="42"/>
      <c r="DZ235" s="42"/>
      <c r="EA235" s="42"/>
      <c r="EB235" s="42"/>
      <c r="EC235" s="42"/>
      <c r="ED235" s="42"/>
      <c r="EE235" s="42"/>
      <c r="EF235" s="42"/>
      <c r="EG235" s="42"/>
      <c r="EH235" s="42"/>
      <c r="EI235" s="42"/>
      <c r="EJ235" s="42"/>
      <c r="EK235" s="42"/>
      <c r="EL235" s="42"/>
      <c r="EM235" s="42"/>
      <c r="EN235" s="42"/>
      <c r="EO235" s="42"/>
      <c r="EP235" s="42"/>
      <c r="EQ235" s="42"/>
      <c r="ER235" s="42"/>
      <c r="ES235" s="42"/>
      <c r="ET235" s="42"/>
      <c r="EU235" s="42"/>
      <c r="EV235" s="42"/>
      <c r="EW235" s="42"/>
      <c r="EX235" s="42"/>
      <c r="EY235" s="42"/>
      <c r="EZ235" s="42"/>
      <c r="FA235" s="42"/>
      <c r="FB235" s="42"/>
      <c r="FC235" s="42"/>
      <c r="FD235" s="42"/>
      <c r="FE235" s="42"/>
      <c r="FF235" s="42"/>
      <c r="FG235" s="42"/>
      <c r="FH235" s="42"/>
      <c r="FI235" s="42"/>
      <c r="FJ235" s="42"/>
      <c r="FK235" s="42"/>
      <c r="FL235" s="42"/>
      <c r="FM235" s="42"/>
      <c r="FN235" s="42"/>
      <c r="FO235" s="42"/>
      <c r="FP235" s="42"/>
      <c r="FQ235" s="42"/>
      <c r="FR235" s="42"/>
      <c r="FS235" s="42"/>
      <c r="FT235" s="42"/>
      <c r="FU235" s="42"/>
      <c r="FV235" s="42"/>
      <c r="FW235" s="42"/>
      <c r="FX235" s="42"/>
      <c r="FY235" s="42"/>
      <c r="FZ235" s="42"/>
      <c r="GA235" s="42"/>
      <c r="GB235" s="42"/>
      <c r="GC235" s="42"/>
      <c r="GD235" s="42"/>
      <c r="GE235" s="42"/>
      <c r="GF235" s="42"/>
      <c r="GG235" s="42"/>
      <c r="GH235" s="42"/>
      <c r="GI235" s="42"/>
      <c r="GJ235" s="42"/>
      <c r="GK235" s="42"/>
      <c r="GL235" s="42"/>
      <c r="GM235" s="42"/>
      <c r="GN235" s="42"/>
      <c r="GO235" s="42"/>
      <c r="GP235" s="42"/>
      <c r="GQ235" s="42"/>
      <c r="GR235" s="42"/>
      <c r="GS235" s="42"/>
      <c r="GT235" s="42"/>
      <c r="GU235" s="42"/>
      <c r="GV235" s="42"/>
      <c r="GW235" s="42"/>
      <c r="GX235" s="42"/>
      <c r="GY235" s="42"/>
      <c r="GZ235" s="42"/>
      <c r="HA235" s="42"/>
      <c r="HB235" s="42"/>
      <c r="HC235" s="42"/>
      <c r="HD235" s="42"/>
      <c r="HE235" s="42"/>
      <c r="HF235" s="42"/>
      <c r="HG235" s="42"/>
      <c r="HH235" s="42"/>
      <c r="HI235" s="42"/>
      <c r="HJ235" s="42"/>
      <c r="HK235" s="42"/>
      <c r="HL235" s="42"/>
      <c r="HM235" s="42"/>
      <c r="HN235" s="42"/>
      <c r="HO235" s="42"/>
      <c r="HP235" s="42"/>
      <c r="HQ235" s="42"/>
      <c r="HR235" s="42"/>
      <c r="HS235" s="42"/>
      <c r="HT235" s="42"/>
      <c r="HU235" s="42"/>
      <c r="HV235" s="42"/>
      <c r="HW235" s="42"/>
      <c r="HX235" s="42"/>
      <c r="HY235" s="42"/>
      <c r="HZ235" s="42"/>
      <c r="IA235" s="42"/>
      <c r="IB235" s="42"/>
      <c r="IC235" s="42"/>
      <c r="ID235" s="42"/>
      <c r="IE235" s="42"/>
      <c r="IF235" s="42"/>
      <c r="IG235" s="42"/>
      <c r="IH235" s="42"/>
      <c r="II235" s="42"/>
      <c r="IJ235" s="42"/>
      <c r="IK235" s="42"/>
      <c r="IL235" s="42"/>
      <c r="IM235" s="42"/>
      <c r="IN235" s="42"/>
      <c r="IO235" s="42"/>
      <c r="IP235" s="42"/>
      <c r="IQ235" s="42"/>
      <c r="IR235" s="42"/>
      <c r="IS235" s="42"/>
      <c r="IT235" s="42"/>
      <c r="IU235" s="42"/>
      <c r="IV235" s="42"/>
      <c r="IW235" s="42"/>
      <c r="IX235" s="42"/>
      <c r="IY235" s="42"/>
      <c r="IZ235" s="42"/>
      <c r="JA235" s="42"/>
      <c r="JB235" s="42"/>
      <c r="JC235" s="42"/>
      <c r="JD235" s="42"/>
      <c r="JE235" s="42"/>
      <c r="JF235" s="42"/>
      <c r="JG235" s="42"/>
      <c r="JH235" s="42"/>
      <c r="JI235" s="42"/>
      <c r="JJ235" s="42"/>
      <c r="JK235" s="42"/>
      <c r="JL235" s="42"/>
      <c r="JM235" s="42"/>
      <c r="JN235" s="42"/>
      <c r="JO235" s="42"/>
      <c r="JP235" s="42"/>
      <c r="JQ235" s="42"/>
      <c r="JR235" s="42"/>
      <c r="JS235" s="42"/>
      <c r="JT235" s="42"/>
      <c r="JU235" s="42"/>
      <c r="JV235" s="42"/>
      <c r="JW235" s="42"/>
      <c r="JX235" s="42"/>
      <c r="JY235" s="42"/>
      <c r="JZ235" s="42"/>
      <c r="KA235" s="42"/>
      <c r="KB235" s="42"/>
      <c r="KC235" s="42"/>
      <c r="KD235" s="42"/>
      <c r="KE235" s="42"/>
      <c r="KF235" s="42"/>
      <c r="KG235" s="42"/>
      <c r="KH235" s="42"/>
      <c r="KI235" s="42"/>
      <c r="KJ235" s="42"/>
      <c r="KK235" s="42"/>
      <c r="KL235" s="42"/>
      <c r="KM235" s="42"/>
      <c r="KN235" s="42"/>
      <c r="KO235" s="42"/>
      <c r="KP235" s="42"/>
      <c r="KQ235" s="42"/>
      <c r="KR235" s="42"/>
      <c r="KS235" s="42"/>
      <c r="KT235" s="42"/>
      <c r="KU235" s="42"/>
      <c r="KV235" s="42"/>
      <c r="KW235" s="42"/>
      <c r="KX235" s="42"/>
      <c r="KY235" s="42"/>
      <c r="KZ235" s="42"/>
      <c r="LA235" s="42"/>
      <c r="LB235" s="42"/>
      <c r="LC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2"/>
      <c r="BH236" s="42"/>
      <c r="BI236" s="42"/>
      <c r="BJ236" s="42"/>
      <c r="BK236" s="42"/>
      <c r="BL236" s="42"/>
      <c r="BM236" s="42"/>
      <c r="BN236" s="42"/>
      <c r="BO236" s="42"/>
      <c r="BP236" s="42"/>
      <c r="BQ236" s="42"/>
      <c r="BR236" s="42"/>
      <c r="BS236" s="42"/>
      <c r="BT236" s="42"/>
      <c r="BU236" s="42"/>
      <c r="BV236" s="42"/>
      <c r="BW236" s="42"/>
      <c r="BX236" s="42"/>
      <c r="BY236" s="42"/>
      <c r="BZ236" s="42"/>
      <c r="CA236" s="42"/>
      <c r="CB236" s="42"/>
      <c r="CC236" s="42"/>
      <c r="CD236" s="42"/>
      <c r="CE236" s="42"/>
      <c r="CF236" s="42"/>
      <c r="CG236" s="42"/>
      <c r="CH236" s="42"/>
      <c r="CI236" s="42"/>
      <c r="CJ236" s="42"/>
      <c r="CK236" s="42"/>
      <c r="CL236" s="42"/>
      <c r="CM236" s="42"/>
      <c r="CN236" s="42"/>
      <c r="CO236" s="42"/>
      <c r="CP236" s="42"/>
      <c r="CQ236" s="42"/>
      <c r="CR236" s="42"/>
      <c r="CS236" s="42"/>
      <c r="CT236" s="42"/>
      <c r="CU236" s="42"/>
      <c r="CV236" s="42"/>
      <c r="CW236" s="42"/>
      <c r="CX236" s="42"/>
      <c r="CY236" s="42"/>
      <c r="CZ236" s="42"/>
      <c r="DA236" s="42"/>
      <c r="DB236" s="42"/>
      <c r="DC236" s="42"/>
      <c r="DD236" s="42"/>
      <c r="DE236" s="42"/>
      <c r="DF236" s="42"/>
      <c r="DG236" s="42"/>
      <c r="DH236" s="42"/>
      <c r="DI236" s="42"/>
      <c r="DJ236" s="42"/>
      <c r="DK236" s="42"/>
      <c r="DL236" s="42"/>
      <c r="DM236" s="42"/>
      <c r="DN236" s="42"/>
      <c r="DO236" s="42"/>
      <c r="DP236" s="42"/>
      <c r="DQ236" s="42"/>
      <c r="DR236" s="42"/>
      <c r="DS236" s="42"/>
      <c r="DT236" s="42"/>
      <c r="DU236" s="42"/>
      <c r="DV236" s="42"/>
      <c r="DW236" s="42"/>
      <c r="DX236" s="42"/>
      <c r="DY236" s="42"/>
      <c r="DZ236" s="42"/>
      <c r="EA236" s="42"/>
      <c r="EB236" s="42"/>
      <c r="EC236" s="42"/>
      <c r="ED236" s="42"/>
      <c r="EE236" s="42"/>
      <c r="EF236" s="42"/>
      <c r="EG236" s="42"/>
      <c r="EH236" s="42"/>
      <c r="EI236" s="42"/>
      <c r="EJ236" s="42"/>
      <c r="EK236" s="42"/>
      <c r="EL236" s="42"/>
      <c r="EM236" s="42"/>
      <c r="EN236" s="42"/>
      <c r="EO236" s="42"/>
      <c r="EP236" s="42"/>
      <c r="EQ236" s="42"/>
      <c r="ER236" s="42"/>
      <c r="ES236" s="42"/>
      <c r="ET236" s="42"/>
      <c r="EU236" s="42"/>
      <c r="EV236" s="42"/>
      <c r="EW236" s="42"/>
      <c r="EX236" s="42"/>
      <c r="EY236" s="42"/>
      <c r="EZ236" s="42"/>
      <c r="FA236" s="42"/>
      <c r="FB236" s="42"/>
      <c r="FC236" s="42"/>
      <c r="FD236" s="42"/>
      <c r="FE236" s="42"/>
      <c r="FF236" s="42"/>
      <c r="FG236" s="42"/>
      <c r="FH236" s="42"/>
      <c r="FI236" s="42"/>
      <c r="FJ236" s="42"/>
      <c r="FK236" s="42"/>
      <c r="FL236" s="42"/>
      <c r="FM236" s="42"/>
      <c r="FN236" s="42"/>
      <c r="FO236" s="42"/>
      <c r="FP236" s="42"/>
      <c r="FQ236" s="42"/>
      <c r="FR236" s="42"/>
      <c r="FS236" s="42"/>
      <c r="FT236" s="42"/>
      <c r="FU236" s="42"/>
      <c r="FV236" s="42"/>
      <c r="FW236" s="42"/>
      <c r="FX236" s="42"/>
      <c r="FY236" s="42"/>
      <c r="FZ236" s="42"/>
      <c r="GA236" s="42"/>
      <c r="GB236" s="42"/>
      <c r="GC236" s="42"/>
      <c r="GD236" s="42"/>
      <c r="GE236" s="42"/>
      <c r="GF236" s="42"/>
      <c r="GG236" s="42"/>
      <c r="GH236" s="42"/>
      <c r="GI236" s="42"/>
      <c r="GJ236" s="42"/>
      <c r="GK236" s="42"/>
      <c r="GL236" s="42"/>
      <c r="GM236" s="42"/>
      <c r="GN236" s="42"/>
      <c r="GO236" s="42"/>
      <c r="GP236" s="42"/>
      <c r="GQ236" s="42"/>
      <c r="GR236" s="42"/>
      <c r="GS236" s="42"/>
      <c r="GT236" s="42"/>
      <c r="GU236" s="42"/>
      <c r="GV236" s="42"/>
      <c r="GW236" s="42"/>
      <c r="GX236" s="42"/>
      <c r="GY236" s="42"/>
      <c r="GZ236" s="42"/>
      <c r="HA236" s="42"/>
      <c r="HB236" s="42"/>
      <c r="HC236" s="42"/>
      <c r="HD236" s="42"/>
      <c r="HE236" s="42"/>
      <c r="HF236" s="42"/>
      <c r="HG236" s="42"/>
      <c r="HH236" s="42"/>
      <c r="HI236" s="42"/>
      <c r="HJ236" s="42"/>
      <c r="HK236" s="42"/>
      <c r="HL236" s="42"/>
      <c r="HM236" s="42"/>
      <c r="HN236" s="42"/>
      <c r="HO236" s="42"/>
      <c r="HP236" s="42"/>
      <c r="HQ236" s="42"/>
      <c r="HR236" s="42"/>
      <c r="HS236" s="42"/>
      <c r="HT236" s="42"/>
      <c r="HU236" s="42"/>
      <c r="HV236" s="42"/>
      <c r="HW236" s="42"/>
      <c r="HX236" s="42"/>
      <c r="HY236" s="42"/>
      <c r="HZ236" s="42"/>
      <c r="IA236" s="42"/>
      <c r="IB236" s="42"/>
      <c r="IC236" s="42"/>
      <c r="ID236" s="42"/>
      <c r="IE236" s="42"/>
      <c r="IF236" s="42"/>
      <c r="IG236" s="42"/>
      <c r="IH236" s="42"/>
      <c r="II236" s="42"/>
      <c r="IJ236" s="42"/>
      <c r="IK236" s="42"/>
      <c r="IL236" s="42"/>
      <c r="IM236" s="42"/>
      <c r="IN236" s="42"/>
      <c r="IO236" s="42"/>
      <c r="IP236" s="42"/>
      <c r="IQ236" s="42"/>
      <c r="IR236" s="42"/>
      <c r="IS236" s="42"/>
      <c r="IT236" s="42"/>
      <c r="IU236" s="42"/>
      <c r="IV236" s="42"/>
      <c r="IW236" s="42"/>
      <c r="IX236" s="42"/>
      <c r="IY236" s="42"/>
      <c r="IZ236" s="42"/>
      <c r="JA236" s="42"/>
      <c r="JB236" s="42"/>
      <c r="JC236" s="42"/>
      <c r="JD236" s="42"/>
      <c r="JE236" s="42"/>
      <c r="JF236" s="42"/>
      <c r="JG236" s="42"/>
      <c r="JH236" s="42"/>
      <c r="JI236" s="42"/>
      <c r="JJ236" s="42"/>
      <c r="JK236" s="42"/>
      <c r="JL236" s="42"/>
      <c r="JM236" s="42"/>
      <c r="JN236" s="42"/>
      <c r="JO236" s="42"/>
      <c r="JP236" s="42"/>
      <c r="JQ236" s="42"/>
      <c r="JR236" s="42"/>
      <c r="JS236" s="42"/>
      <c r="JT236" s="42"/>
      <c r="JU236" s="42"/>
      <c r="JV236" s="42"/>
      <c r="JW236" s="42"/>
      <c r="JX236" s="42"/>
      <c r="JY236" s="42"/>
      <c r="JZ236" s="42"/>
      <c r="KA236" s="42"/>
      <c r="KB236" s="42"/>
      <c r="KC236" s="42"/>
      <c r="KD236" s="42"/>
      <c r="KE236" s="42"/>
      <c r="KF236" s="42"/>
      <c r="KG236" s="42"/>
      <c r="KH236" s="42"/>
      <c r="KI236" s="42"/>
      <c r="KJ236" s="42"/>
      <c r="KK236" s="42"/>
      <c r="KL236" s="42"/>
      <c r="KM236" s="42"/>
      <c r="KN236" s="42"/>
      <c r="KO236" s="42"/>
      <c r="KP236" s="42"/>
      <c r="KQ236" s="42"/>
      <c r="KR236" s="42"/>
      <c r="KS236" s="42"/>
      <c r="KT236" s="42"/>
      <c r="KU236" s="42"/>
      <c r="KV236" s="42"/>
      <c r="KW236" s="42"/>
      <c r="KX236" s="42"/>
      <c r="KY236" s="42"/>
      <c r="KZ236" s="42"/>
      <c r="LA236" s="42"/>
      <c r="LB236" s="42"/>
      <c r="LC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c r="BC237" s="42"/>
      <c r="BD237" s="42"/>
      <c r="BE237" s="42"/>
      <c r="BF237" s="42"/>
      <c r="BG237" s="42"/>
      <c r="BH237" s="42"/>
      <c r="BI237" s="42"/>
      <c r="BJ237" s="42"/>
      <c r="BK237" s="42"/>
      <c r="BL237" s="42"/>
      <c r="BM237" s="42"/>
      <c r="BN237" s="42"/>
      <c r="BO237" s="42"/>
      <c r="BP237" s="42"/>
      <c r="BQ237" s="42"/>
      <c r="BR237" s="42"/>
      <c r="BS237" s="42"/>
      <c r="BT237" s="42"/>
      <c r="BU237" s="42"/>
      <c r="BV237" s="42"/>
      <c r="BW237" s="42"/>
      <c r="BX237" s="42"/>
      <c r="BY237" s="42"/>
      <c r="BZ237" s="42"/>
      <c r="CA237" s="42"/>
      <c r="CB237" s="42"/>
      <c r="CC237" s="42"/>
      <c r="CD237" s="42"/>
      <c r="CE237" s="42"/>
      <c r="CF237" s="42"/>
      <c r="CG237" s="42"/>
      <c r="CH237" s="42"/>
      <c r="CI237" s="42"/>
      <c r="CJ237" s="42"/>
      <c r="CK237" s="42"/>
      <c r="CL237" s="42"/>
      <c r="CM237" s="42"/>
      <c r="CN237" s="42"/>
      <c r="CO237" s="42"/>
      <c r="CP237" s="42"/>
      <c r="CQ237" s="42"/>
      <c r="CR237" s="42"/>
      <c r="CS237" s="42"/>
      <c r="CT237" s="42"/>
      <c r="CU237" s="42"/>
      <c r="CV237" s="42"/>
      <c r="CW237" s="42"/>
      <c r="CX237" s="42"/>
      <c r="CY237" s="42"/>
      <c r="CZ237" s="42"/>
      <c r="DA237" s="42"/>
      <c r="DB237" s="42"/>
      <c r="DC237" s="42"/>
      <c r="DD237" s="42"/>
      <c r="DE237" s="42"/>
      <c r="DF237" s="42"/>
      <c r="DG237" s="42"/>
      <c r="DH237" s="42"/>
      <c r="DI237" s="42"/>
      <c r="DJ237" s="42"/>
      <c r="DK237" s="42"/>
      <c r="DL237" s="42"/>
      <c r="DM237" s="42"/>
      <c r="DN237" s="42"/>
      <c r="DO237" s="42"/>
      <c r="DP237" s="42"/>
      <c r="DQ237" s="42"/>
      <c r="DR237" s="42"/>
      <c r="DS237" s="42"/>
      <c r="DT237" s="42"/>
      <c r="DU237" s="42"/>
      <c r="DV237" s="42"/>
      <c r="DW237" s="42"/>
      <c r="DX237" s="42"/>
      <c r="DY237" s="42"/>
      <c r="DZ237" s="42"/>
      <c r="EA237" s="42"/>
      <c r="EB237" s="42"/>
      <c r="EC237" s="42"/>
      <c r="ED237" s="42"/>
      <c r="EE237" s="42"/>
      <c r="EF237" s="42"/>
      <c r="EG237" s="42"/>
      <c r="EH237" s="42"/>
      <c r="EI237" s="42"/>
      <c r="EJ237" s="42"/>
      <c r="EK237" s="42"/>
      <c r="EL237" s="42"/>
      <c r="EM237" s="42"/>
      <c r="EN237" s="42"/>
      <c r="EO237" s="42"/>
      <c r="EP237" s="42"/>
      <c r="EQ237" s="42"/>
      <c r="ER237" s="42"/>
      <c r="ES237" s="42"/>
      <c r="ET237" s="42"/>
      <c r="EU237" s="42"/>
      <c r="EV237" s="42"/>
      <c r="EW237" s="42"/>
      <c r="EX237" s="42"/>
      <c r="EY237" s="42"/>
      <c r="EZ237" s="42"/>
      <c r="FA237" s="42"/>
      <c r="FB237" s="42"/>
      <c r="FC237" s="42"/>
      <c r="FD237" s="42"/>
      <c r="FE237" s="42"/>
      <c r="FF237" s="42"/>
      <c r="FG237" s="42"/>
      <c r="FH237" s="42"/>
      <c r="FI237" s="42"/>
      <c r="FJ237" s="42"/>
      <c r="FK237" s="42"/>
      <c r="FL237" s="42"/>
      <c r="FM237" s="42"/>
      <c r="FN237" s="42"/>
      <c r="FO237" s="42"/>
      <c r="FP237" s="42"/>
      <c r="FQ237" s="42"/>
      <c r="FR237" s="42"/>
      <c r="FS237" s="42"/>
      <c r="FT237" s="42"/>
      <c r="FU237" s="42"/>
      <c r="FV237" s="42"/>
      <c r="FW237" s="42"/>
      <c r="FX237" s="42"/>
      <c r="FY237" s="42"/>
      <c r="FZ237" s="42"/>
      <c r="GA237" s="42"/>
      <c r="GB237" s="42"/>
      <c r="GC237" s="42"/>
      <c r="GD237" s="42"/>
      <c r="GE237" s="42"/>
      <c r="GF237" s="42"/>
      <c r="GG237" s="42"/>
      <c r="GH237" s="42"/>
      <c r="GI237" s="42"/>
      <c r="GJ237" s="42"/>
      <c r="GK237" s="42"/>
      <c r="GL237" s="42"/>
      <c r="GM237" s="42"/>
      <c r="GN237" s="42"/>
      <c r="GO237" s="42"/>
      <c r="GP237" s="42"/>
      <c r="GQ237" s="42"/>
      <c r="GR237" s="42"/>
      <c r="GS237" s="42"/>
      <c r="GT237" s="42"/>
      <c r="GU237" s="42"/>
      <c r="GV237" s="42"/>
      <c r="GW237" s="42"/>
      <c r="GX237" s="42"/>
      <c r="GY237" s="42"/>
      <c r="GZ237" s="42"/>
      <c r="HA237" s="42"/>
      <c r="HB237" s="42"/>
      <c r="HC237" s="42"/>
      <c r="HD237" s="42"/>
      <c r="HE237" s="42"/>
      <c r="HF237" s="42"/>
      <c r="HG237" s="42"/>
      <c r="HH237" s="42"/>
      <c r="HI237" s="42"/>
      <c r="HJ237" s="42"/>
      <c r="HK237" s="42"/>
      <c r="HL237" s="42"/>
      <c r="HM237" s="42"/>
      <c r="HN237" s="42"/>
      <c r="HO237" s="42"/>
      <c r="HP237" s="42"/>
      <c r="HQ237" s="42"/>
      <c r="HR237" s="42"/>
      <c r="HS237" s="42"/>
      <c r="HT237" s="42"/>
      <c r="HU237" s="42"/>
      <c r="HV237" s="42"/>
      <c r="HW237" s="42"/>
      <c r="HX237" s="42"/>
      <c r="HY237" s="42"/>
      <c r="HZ237" s="42"/>
      <c r="IA237" s="42"/>
      <c r="IB237" s="42"/>
      <c r="IC237" s="42"/>
      <c r="ID237" s="42"/>
      <c r="IE237" s="42"/>
      <c r="IF237" s="42"/>
      <c r="IG237" s="42"/>
      <c r="IH237" s="42"/>
      <c r="II237" s="42"/>
      <c r="IJ237" s="42"/>
      <c r="IK237" s="42"/>
      <c r="IL237" s="42"/>
      <c r="IM237" s="42"/>
      <c r="IN237" s="42"/>
      <c r="IO237" s="42"/>
      <c r="IP237" s="42"/>
      <c r="IQ237" s="42"/>
      <c r="IR237" s="42"/>
      <c r="IS237" s="42"/>
      <c r="IT237" s="42"/>
      <c r="IU237" s="42"/>
      <c r="IV237" s="42"/>
      <c r="IW237" s="42"/>
      <c r="IX237" s="42"/>
      <c r="IY237" s="42"/>
      <c r="IZ237" s="42"/>
      <c r="JA237" s="42"/>
      <c r="JB237" s="42"/>
      <c r="JC237" s="42"/>
      <c r="JD237" s="42"/>
      <c r="JE237" s="42"/>
      <c r="JF237" s="42"/>
      <c r="JG237" s="42"/>
      <c r="JH237" s="42"/>
      <c r="JI237" s="42"/>
      <c r="JJ237" s="42"/>
      <c r="JK237" s="42"/>
      <c r="JL237" s="42"/>
      <c r="JM237" s="42"/>
      <c r="JN237" s="42"/>
      <c r="JO237" s="42"/>
      <c r="JP237" s="42"/>
      <c r="JQ237" s="42"/>
      <c r="JR237" s="42"/>
      <c r="JS237" s="42"/>
      <c r="JT237" s="42"/>
      <c r="JU237" s="42"/>
      <c r="JV237" s="42"/>
      <c r="JW237" s="42"/>
      <c r="JX237" s="42"/>
      <c r="JY237" s="42"/>
      <c r="JZ237" s="42"/>
      <c r="KA237" s="42"/>
      <c r="KB237" s="42"/>
      <c r="KC237" s="42"/>
      <c r="KD237" s="42"/>
      <c r="KE237" s="42"/>
      <c r="KF237" s="42"/>
      <c r="KG237" s="42"/>
      <c r="KH237" s="42"/>
      <c r="KI237" s="42"/>
      <c r="KJ237" s="42"/>
      <c r="KK237" s="42"/>
      <c r="KL237" s="42"/>
      <c r="KM237" s="42"/>
      <c r="KN237" s="42"/>
      <c r="KO237" s="42"/>
      <c r="KP237" s="42"/>
      <c r="KQ237" s="42"/>
      <c r="KR237" s="42"/>
      <c r="KS237" s="42"/>
      <c r="KT237" s="42"/>
      <c r="KU237" s="42"/>
      <c r="KV237" s="42"/>
      <c r="KW237" s="42"/>
      <c r="KX237" s="42"/>
      <c r="KY237" s="42"/>
      <c r="KZ237" s="42"/>
      <c r="LA237" s="42"/>
      <c r="LB237" s="42"/>
      <c r="LC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c r="BC238" s="42"/>
      <c r="BD238" s="42"/>
      <c r="BE238" s="42"/>
      <c r="BF238" s="42"/>
      <c r="BG238" s="42"/>
      <c r="BH238" s="42"/>
      <c r="BI238" s="42"/>
      <c r="BJ238" s="42"/>
      <c r="BK238" s="42"/>
      <c r="BL238" s="42"/>
      <c r="BM238" s="42"/>
      <c r="BN238" s="42"/>
      <c r="BO238" s="42"/>
      <c r="BP238" s="42"/>
      <c r="BQ238" s="42"/>
      <c r="BR238" s="42"/>
      <c r="BS238" s="42"/>
      <c r="BT238" s="42"/>
      <c r="BU238" s="42"/>
      <c r="BV238" s="42"/>
      <c r="BW238" s="42"/>
      <c r="BX238" s="42"/>
      <c r="BY238" s="42"/>
      <c r="BZ238" s="42"/>
      <c r="CA238" s="42"/>
      <c r="CB238" s="42"/>
      <c r="CC238" s="42"/>
      <c r="CD238" s="42"/>
      <c r="CE238" s="42"/>
      <c r="CF238" s="42"/>
      <c r="CG238" s="42"/>
      <c r="CH238" s="42"/>
      <c r="CI238" s="42"/>
      <c r="CJ238" s="42"/>
      <c r="CK238" s="42"/>
      <c r="CL238" s="42"/>
      <c r="CM238" s="42"/>
      <c r="CN238" s="42"/>
      <c r="CO238" s="42"/>
      <c r="CP238" s="42"/>
      <c r="CQ238" s="42"/>
      <c r="CR238" s="42"/>
      <c r="CS238" s="42"/>
      <c r="CT238" s="42"/>
      <c r="CU238" s="42"/>
      <c r="CV238" s="42"/>
      <c r="CW238" s="42"/>
      <c r="CX238" s="42"/>
      <c r="CY238" s="42"/>
      <c r="CZ238" s="42"/>
      <c r="DA238" s="42"/>
      <c r="DB238" s="42"/>
      <c r="DC238" s="42"/>
      <c r="DD238" s="42"/>
      <c r="DE238" s="42"/>
      <c r="DF238" s="42"/>
      <c r="DG238" s="42"/>
      <c r="DH238" s="42"/>
      <c r="DI238" s="42"/>
      <c r="DJ238" s="42"/>
      <c r="DK238" s="42"/>
      <c r="DL238" s="42"/>
      <c r="DM238" s="42"/>
      <c r="DN238" s="42"/>
      <c r="DO238" s="42"/>
      <c r="DP238" s="42"/>
      <c r="DQ238" s="42"/>
      <c r="DR238" s="42"/>
      <c r="DS238" s="42"/>
      <c r="DT238" s="42"/>
      <c r="DU238" s="42"/>
      <c r="DV238" s="42"/>
      <c r="DW238" s="42"/>
      <c r="DX238" s="42"/>
      <c r="DY238" s="42"/>
      <c r="DZ238" s="42"/>
      <c r="EA238" s="42"/>
      <c r="EB238" s="42"/>
      <c r="EC238" s="42"/>
      <c r="ED238" s="42"/>
      <c r="EE238" s="42"/>
      <c r="EF238" s="42"/>
      <c r="EG238" s="42"/>
      <c r="EH238" s="42"/>
      <c r="EI238" s="42"/>
      <c r="EJ238" s="42"/>
      <c r="EK238" s="42"/>
      <c r="EL238" s="42"/>
      <c r="EM238" s="42"/>
      <c r="EN238" s="42"/>
      <c r="EO238" s="42"/>
      <c r="EP238" s="42"/>
      <c r="EQ238" s="42"/>
      <c r="ER238" s="42"/>
      <c r="ES238" s="42"/>
      <c r="ET238" s="42"/>
      <c r="EU238" s="42"/>
      <c r="EV238" s="42"/>
      <c r="EW238" s="42"/>
      <c r="EX238" s="42"/>
      <c r="EY238" s="42"/>
      <c r="EZ238" s="42"/>
      <c r="FA238" s="42"/>
      <c r="FB238" s="42"/>
      <c r="FC238" s="42"/>
      <c r="FD238" s="42"/>
      <c r="FE238" s="42"/>
      <c r="FF238" s="42"/>
      <c r="FG238" s="42"/>
      <c r="FH238" s="42"/>
      <c r="FI238" s="42"/>
      <c r="FJ238" s="42"/>
      <c r="FK238" s="42"/>
      <c r="FL238" s="42"/>
      <c r="FM238" s="42"/>
      <c r="FN238" s="42"/>
      <c r="FO238" s="42"/>
      <c r="FP238" s="42"/>
      <c r="FQ238" s="42"/>
      <c r="FR238" s="42"/>
      <c r="FS238" s="42"/>
      <c r="FT238" s="42"/>
      <c r="FU238" s="42"/>
      <c r="FV238" s="42"/>
      <c r="FW238" s="42"/>
      <c r="FX238" s="42"/>
      <c r="FY238" s="42"/>
      <c r="FZ238" s="42"/>
      <c r="GA238" s="42"/>
      <c r="GB238" s="42"/>
      <c r="GC238" s="42"/>
      <c r="GD238" s="42"/>
      <c r="GE238" s="42"/>
      <c r="GF238" s="42"/>
      <c r="GG238" s="42"/>
      <c r="GH238" s="42"/>
      <c r="GI238" s="42"/>
      <c r="GJ238" s="42"/>
      <c r="GK238" s="42"/>
      <c r="GL238" s="42"/>
      <c r="GM238" s="42"/>
      <c r="GN238" s="42"/>
      <c r="GO238" s="42"/>
      <c r="GP238" s="42"/>
      <c r="GQ238" s="42"/>
      <c r="GR238" s="42"/>
      <c r="GS238" s="42"/>
      <c r="GT238" s="42"/>
      <c r="GU238" s="42"/>
      <c r="GV238" s="42"/>
      <c r="GW238" s="42"/>
      <c r="GX238" s="42"/>
      <c r="GY238" s="42"/>
      <c r="GZ238" s="42"/>
      <c r="HA238" s="42"/>
      <c r="HB238" s="42"/>
      <c r="HC238" s="42"/>
      <c r="HD238" s="42"/>
      <c r="HE238" s="42"/>
      <c r="HF238" s="42"/>
      <c r="HG238" s="42"/>
      <c r="HH238" s="42"/>
      <c r="HI238" s="42"/>
      <c r="HJ238" s="42"/>
      <c r="HK238" s="42"/>
      <c r="HL238" s="42"/>
      <c r="HM238" s="42"/>
      <c r="HN238" s="42"/>
      <c r="HO238" s="42"/>
      <c r="HP238" s="42"/>
      <c r="HQ238" s="42"/>
      <c r="HR238" s="42"/>
      <c r="HS238" s="42"/>
      <c r="HT238" s="42"/>
      <c r="HU238" s="42"/>
      <c r="HV238" s="42"/>
      <c r="HW238" s="42"/>
      <c r="HX238" s="42"/>
      <c r="HY238" s="42"/>
      <c r="HZ238" s="42"/>
      <c r="IA238" s="42"/>
      <c r="IB238" s="42"/>
      <c r="IC238" s="42"/>
      <c r="ID238" s="42"/>
      <c r="IE238" s="42"/>
      <c r="IF238" s="42"/>
      <c r="IG238" s="42"/>
      <c r="IH238" s="42"/>
      <c r="II238" s="42"/>
      <c r="IJ238" s="42"/>
      <c r="IK238" s="42"/>
      <c r="IL238" s="42"/>
      <c r="IM238" s="42"/>
      <c r="IN238" s="42"/>
      <c r="IO238" s="42"/>
      <c r="IP238" s="42"/>
      <c r="IQ238" s="42"/>
      <c r="IR238" s="42"/>
      <c r="IS238" s="42"/>
      <c r="IT238" s="42"/>
      <c r="IU238" s="42"/>
      <c r="IV238" s="42"/>
      <c r="IW238" s="42"/>
      <c r="IX238" s="42"/>
      <c r="IY238" s="42"/>
      <c r="IZ238" s="42"/>
      <c r="JA238" s="42"/>
      <c r="JB238" s="42"/>
      <c r="JC238" s="42"/>
      <c r="JD238" s="42"/>
      <c r="JE238" s="42"/>
      <c r="JF238" s="42"/>
      <c r="JG238" s="42"/>
      <c r="JH238" s="42"/>
      <c r="JI238" s="42"/>
      <c r="JJ238" s="42"/>
      <c r="JK238" s="42"/>
      <c r="JL238" s="42"/>
      <c r="JM238" s="42"/>
      <c r="JN238" s="42"/>
      <c r="JO238" s="42"/>
      <c r="JP238" s="42"/>
      <c r="JQ238" s="42"/>
      <c r="JR238" s="42"/>
      <c r="JS238" s="42"/>
      <c r="JT238" s="42"/>
      <c r="JU238" s="42"/>
      <c r="JV238" s="42"/>
      <c r="JW238" s="42"/>
      <c r="JX238" s="42"/>
      <c r="JY238" s="42"/>
      <c r="JZ238" s="42"/>
      <c r="KA238" s="42"/>
      <c r="KB238" s="42"/>
      <c r="KC238" s="42"/>
      <c r="KD238" s="42"/>
      <c r="KE238" s="42"/>
      <c r="KF238" s="42"/>
      <c r="KG238" s="42"/>
      <c r="KH238" s="42"/>
      <c r="KI238" s="42"/>
      <c r="KJ238" s="42"/>
      <c r="KK238" s="42"/>
      <c r="KL238" s="42"/>
      <c r="KM238" s="42"/>
      <c r="KN238" s="42"/>
      <c r="KO238" s="42"/>
      <c r="KP238" s="42"/>
      <c r="KQ238" s="42"/>
      <c r="KR238" s="42"/>
      <c r="KS238" s="42"/>
      <c r="KT238" s="42"/>
      <c r="KU238" s="42"/>
      <c r="KV238" s="42"/>
      <c r="KW238" s="42"/>
      <c r="KX238" s="42"/>
      <c r="KY238" s="42"/>
      <c r="KZ238" s="42"/>
      <c r="LA238" s="42"/>
      <c r="LB238" s="42"/>
      <c r="LC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c r="BA239" s="42"/>
      <c r="BB239" s="42"/>
      <c r="BC239" s="42"/>
      <c r="BD239" s="42"/>
      <c r="BE239" s="42"/>
      <c r="BF239" s="42"/>
      <c r="BG239" s="42"/>
      <c r="BH239" s="42"/>
      <c r="BI239" s="42"/>
      <c r="BJ239" s="42"/>
      <c r="BK239" s="42"/>
      <c r="BL239" s="42"/>
      <c r="BM239" s="42"/>
      <c r="BN239" s="42"/>
      <c r="BO239" s="42"/>
      <c r="BP239" s="42"/>
      <c r="BQ239" s="42"/>
      <c r="BR239" s="42"/>
      <c r="BS239" s="42"/>
      <c r="BT239" s="42"/>
      <c r="BU239" s="42"/>
      <c r="BV239" s="42"/>
      <c r="BW239" s="42"/>
      <c r="BX239" s="42"/>
      <c r="BY239" s="42"/>
      <c r="BZ239" s="42"/>
      <c r="CA239" s="42"/>
      <c r="CB239" s="42"/>
      <c r="CC239" s="42"/>
      <c r="CD239" s="42"/>
      <c r="CE239" s="42"/>
      <c r="CF239" s="42"/>
      <c r="CG239" s="42"/>
      <c r="CH239" s="42"/>
      <c r="CI239" s="42"/>
      <c r="CJ239" s="42"/>
      <c r="CK239" s="42"/>
      <c r="CL239" s="42"/>
      <c r="CM239" s="42"/>
      <c r="CN239" s="42"/>
      <c r="CO239" s="42"/>
      <c r="CP239" s="42"/>
      <c r="CQ239" s="42"/>
      <c r="CR239" s="42"/>
      <c r="CS239" s="42"/>
      <c r="CT239" s="42"/>
      <c r="CU239" s="42"/>
      <c r="CV239" s="42"/>
      <c r="CW239" s="42"/>
      <c r="CX239" s="42"/>
      <c r="CY239" s="42"/>
      <c r="CZ239" s="42"/>
      <c r="DA239" s="42"/>
      <c r="DB239" s="42"/>
      <c r="DC239" s="42"/>
      <c r="DD239" s="42"/>
      <c r="DE239" s="42"/>
      <c r="DF239" s="42"/>
      <c r="DG239" s="42"/>
      <c r="DH239" s="42"/>
      <c r="DI239" s="42"/>
      <c r="DJ239" s="42"/>
      <c r="DK239" s="42"/>
      <c r="DL239" s="42"/>
      <c r="DM239" s="42"/>
      <c r="DN239" s="42"/>
      <c r="DO239" s="42"/>
      <c r="DP239" s="42"/>
      <c r="DQ239" s="42"/>
      <c r="DR239" s="42"/>
      <c r="DS239" s="42"/>
      <c r="DT239" s="42"/>
      <c r="DU239" s="42"/>
      <c r="DV239" s="42"/>
      <c r="DW239" s="42"/>
      <c r="DX239" s="42"/>
      <c r="DY239" s="42"/>
      <c r="DZ239" s="42"/>
      <c r="EA239" s="42"/>
      <c r="EB239" s="42"/>
      <c r="EC239" s="42"/>
      <c r="ED239" s="42"/>
      <c r="EE239" s="42"/>
      <c r="EF239" s="42"/>
      <c r="EG239" s="42"/>
      <c r="EH239" s="42"/>
      <c r="EI239" s="42"/>
      <c r="EJ239" s="42"/>
      <c r="EK239" s="42"/>
      <c r="EL239" s="42"/>
      <c r="EM239" s="42"/>
      <c r="EN239" s="42"/>
      <c r="EO239" s="42"/>
      <c r="EP239" s="42"/>
      <c r="EQ239" s="42"/>
      <c r="ER239" s="42"/>
      <c r="ES239" s="42"/>
      <c r="ET239" s="42"/>
      <c r="EU239" s="42"/>
      <c r="EV239" s="42"/>
      <c r="EW239" s="42"/>
      <c r="EX239" s="42"/>
      <c r="EY239" s="42"/>
      <c r="EZ239" s="42"/>
      <c r="FA239" s="42"/>
      <c r="FB239" s="42"/>
      <c r="FC239" s="42"/>
      <c r="FD239" s="42"/>
      <c r="FE239" s="42"/>
      <c r="FF239" s="42"/>
      <c r="FG239" s="42"/>
      <c r="FH239" s="42"/>
      <c r="FI239" s="42"/>
      <c r="FJ239" s="42"/>
      <c r="FK239" s="42"/>
      <c r="FL239" s="42"/>
      <c r="FM239" s="42"/>
      <c r="FN239" s="42"/>
      <c r="FO239" s="42"/>
      <c r="FP239" s="42"/>
      <c r="FQ239" s="42"/>
      <c r="FR239" s="42"/>
      <c r="FS239" s="42"/>
      <c r="FT239" s="42"/>
      <c r="FU239" s="42"/>
      <c r="FV239" s="42"/>
      <c r="FW239" s="42"/>
      <c r="FX239" s="42"/>
      <c r="FY239" s="42"/>
      <c r="FZ239" s="42"/>
      <c r="GA239" s="42"/>
      <c r="GB239" s="42"/>
      <c r="GC239" s="42"/>
      <c r="GD239" s="42"/>
      <c r="GE239" s="42"/>
      <c r="GF239" s="42"/>
      <c r="GG239" s="42"/>
      <c r="GH239" s="42"/>
      <c r="GI239" s="42"/>
      <c r="GJ239" s="42"/>
      <c r="GK239" s="42"/>
      <c r="GL239" s="42"/>
      <c r="GM239" s="42"/>
      <c r="GN239" s="42"/>
      <c r="GO239" s="42"/>
      <c r="GP239" s="42"/>
      <c r="GQ239" s="42"/>
      <c r="GR239" s="42"/>
      <c r="GS239" s="42"/>
      <c r="GT239" s="42"/>
      <c r="GU239" s="42"/>
      <c r="GV239" s="42"/>
      <c r="GW239" s="42"/>
      <c r="GX239" s="42"/>
      <c r="GY239" s="42"/>
      <c r="GZ239" s="42"/>
      <c r="HA239" s="42"/>
      <c r="HB239" s="42"/>
      <c r="HC239" s="42"/>
      <c r="HD239" s="42"/>
      <c r="HE239" s="42"/>
      <c r="HF239" s="42"/>
      <c r="HG239" s="42"/>
      <c r="HH239" s="42"/>
      <c r="HI239" s="42"/>
      <c r="HJ239" s="42"/>
      <c r="HK239" s="42"/>
      <c r="HL239" s="42"/>
      <c r="HM239" s="42"/>
      <c r="HN239" s="42"/>
      <c r="HO239" s="42"/>
      <c r="HP239" s="42"/>
      <c r="HQ239" s="42"/>
      <c r="HR239" s="42"/>
      <c r="HS239" s="42"/>
      <c r="HT239" s="42"/>
      <c r="HU239" s="42"/>
      <c r="HV239" s="42"/>
      <c r="HW239" s="42"/>
      <c r="HX239" s="42"/>
      <c r="HY239" s="42"/>
      <c r="HZ239" s="42"/>
      <c r="IA239" s="42"/>
      <c r="IB239" s="42"/>
      <c r="IC239" s="42"/>
      <c r="ID239" s="42"/>
      <c r="IE239" s="42"/>
      <c r="IF239" s="42"/>
      <c r="IG239" s="42"/>
      <c r="IH239" s="42"/>
      <c r="II239" s="42"/>
      <c r="IJ239" s="42"/>
      <c r="IK239" s="42"/>
      <c r="IL239" s="42"/>
      <c r="IM239" s="42"/>
      <c r="IN239" s="42"/>
      <c r="IO239" s="42"/>
      <c r="IP239" s="42"/>
      <c r="IQ239" s="42"/>
      <c r="IR239" s="42"/>
      <c r="IS239" s="42"/>
      <c r="IT239" s="42"/>
      <c r="IU239" s="42"/>
      <c r="IV239" s="42"/>
      <c r="IW239" s="42"/>
      <c r="IX239" s="42"/>
      <c r="IY239" s="42"/>
      <c r="IZ239" s="42"/>
      <c r="JA239" s="42"/>
      <c r="JB239" s="42"/>
      <c r="JC239" s="42"/>
      <c r="JD239" s="42"/>
      <c r="JE239" s="42"/>
      <c r="JF239" s="42"/>
      <c r="JG239" s="42"/>
      <c r="JH239" s="42"/>
      <c r="JI239" s="42"/>
      <c r="JJ239" s="42"/>
      <c r="JK239" s="42"/>
      <c r="JL239" s="42"/>
      <c r="JM239" s="42"/>
      <c r="JN239" s="42"/>
      <c r="JO239" s="42"/>
      <c r="JP239" s="42"/>
      <c r="JQ239" s="42"/>
      <c r="JR239" s="42"/>
      <c r="JS239" s="42"/>
      <c r="JT239" s="42"/>
      <c r="JU239" s="42"/>
      <c r="JV239" s="42"/>
      <c r="JW239" s="42"/>
      <c r="JX239" s="42"/>
      <c r="JY239" s="42"/>
      <c r="JZ239" s="42"/>
      <c r="KA239" s="42"/>
      <c r="KB239" s="42"/>
      <c r="KC239" s="42"/>
      <c r="KD239" s="42"/>
      <c r="KE239" s="42"/>
      <c r="KF239" s="42"/>
      <c r="KG239" s="42"/>
      <c r="KH239" s="42"/>
      <c r="KI239" s="42"/>
      <c r="KJ239" s="42"/>
      <c r="KK239" s="42"/>
      <c r="KL239" s="42"/>
      <c r="KM239" s="42"/>
      <c r="KN239" s="42"/>
      <c r="KO239" s="42"/>
      <c r="KP239" s="42"/>
      <c r="KQ239" s="42"/>
      <c r="KR239" s="42"/>
      <c r="KS239" s="42"/>
      <c r="KT239" s="42"/>
      <c r="KU239" s="42"/>
      <c r="KV239" s="42"/>
      <c r="KW239" s="42"/>
      <c r="KX239" s="42"/>
      <c r="KY239" s="42"/>
      <c r="KZ239" s="42"/>
      <c r="LA239" s="42"/>
      <c r="LB239" s="42"/>
      <c r="LC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2"/>
      <c r="BG240" s="42"/>
      <c r="BH240" s="42"/>
      <c r="BI240" s="42"/>
      <c r="BJ240" s="42"/>
      <c r="BK240" s="42"/>
      <c r="BL240" s="42"/>
      <c r="BM240" s="42"/>
      <c r="BN240" s="42"/>
      <c r="BO240" s="42"/>
      <c r="BP240" s="42"/>
      <c r="BQ240" s="42"/>
      <c r="BR240" s="42"/>
      <c r="BS240" s="42"/>
      <c r="BT240" s="42"/>
      <c r="BU240" s="42"/>
      <c r="BV240" s="42"/>
      <c r="BW240" s="42"/>
      <c r="BX240" s="42"/>
      <c r="BY240" s="42"/>
      <c r="BZ240" s="42"/>
      <c r="CA240" s="42"/>
      <c r="CB240" s="42"/>
      <c r="CC240" s="42"/>
      <c r="CD240" s="42"/>
      <c r="CE240" s="42"/>
      <c r="CF240" s="42"/>
      <c r="CG240" s="42"/>
      <c r="CH240" s="42"/>
      <c r="CI240" s="42"/>
      <c r="CJ240" s="42"/>
      <c r="CK240" s="42"/>
      <c r="CL240" s="42"/>
      <c r="CM240" s="42"/>
      <c r="CN240" s="42"/>
      <c r="CO240" s="42"/>
      <c r="CP240" s="42"/>
      <c r="CQ240" s="42"/>
      <c r="CR240" s="42"/>
      <c r="CS240" s="42"/>
      <c r="CT240" s="42"/>
      <c r="CU240" s="42"/>
      <c r="CV240" s="42"/>
      <c r="CW240" s="42"/>
      <c r="CX240" s="42"/>
      <c r="CY240" s="42"/>
      <c r="CZ240" s="42"/>
      <c r="DA240" s="42"/>
      <c r="DB240" s="42"/>
      <c r="DC240" s="42"/>
      <c r="DD240" s="42"/>
      <c r="DE240" s="42"/>
      <c r="DF240" s="42"/>
      <c r="DG240" s="42"/>
      <c r="DH240" s="42"/>
      <c r="DI240" s="42"/>
      <c r="DJ240" s="42"/>
      <c r="DK240" s="42"/>
      <c r="DL240" s="42"/>
      <c r="DM240" s="42"/>
      <c r="DN240" s="42"/>
      <c r="DO240" s="42"/>
      <c r="DP240" s="42"/>
      <c r="DQ240" s="42"/>
      <c r="DR240" s="42"/>
      <c r="DS240" s="42"/>
      <c r="DT240" s="42"/>
      <c r="DU240" s="42"/>
      <c r="DV240" s="42"/>
      <c r="DW240" s="42"/>
      <c r="DX240" s="42"/>
      <c r="DY240" s="42"/>
      <c r="DZ240" s="42"/>
      <c r="EA240" s="42"/>
      <c r="EB240" s="42"/>
      <c r="EC240" s="42"/>
      <c r="ED240" s="42"/>
      <c r="EE240" s="42"/>
      <c r="EF240" s="42"/>
      <c r="EG240" s="42"/>
      <c r="EH240" s="42"/>
      <c r="EI240" s="42"/>
      <c r="EJ240" s="42"/>
      <c r="EK240" s="42"/>
      <c r="EL240" s="42"/>
      <c r="EM240" s="42"/>
      <c r="EN240" s="42"/>
      <c r="EO240" s="42"/>
      <c r="EP240" s="42"/>
      <c r="EQ240" s="42"/>
      <c r="ER240" s="42"/>
      <c r="ES240" s="42"/>
      <c r="ET240" s="42"/>
      <c r="EU240" s="42"/>
      <c r="EV240" s="42"/>
      <c r="EW240" s="42"/>
      <c r="EX240" s="42"/>
      <c r="EY240" s="42"/>
      <c r="EZ240" s="42"/>
      <c r="FA240" s="42"/>
      <c r="FB240" s="42"/>
      <c r="FC240" s="42"/>
      <c r="FD240" s="42"/>
      <c r="FE240" s="42"/>
      <c r="FF240" s="42"/>
      <c r="FG240" s="42"/>
      <c r="FH240" s="42"/>
      <c r="FI240" s="42"/>
      <c r="FJ240" s="42"/>
      <c r="FK240" s="42"/>
      <c r="FL240" s="42"/>
      <c r="FM240" s="42"/>
      <c r="FN240" s="42"/>
      <c r="FO240" s="42"/>
      <c r="FP240" s="42"/>
      <c r="FQ240" s="42"/>
      <c r="FR240" s="42"/>
      <c r="FS240" s="42"/>
      <c r="FT240" s="42"/>
      <c r="FU240" s="42"/>
      <c r="FV240" s="42"/>
      <c r="FW240" s="42"/>
      <c r="FX240" s="42"/>
      <c r="FY240" s="42"/>
      <c r="FZ240" s="42"/>
      <c r="GA240" s="42"/>
      <c r="GB240" s="42"/>
      <c r="GC240" s="42"/>
      <c r="GD240" s="42"/>
      <c r="GE240" s="42"/>
      <c r="GF240" s="42"/>
      <c r="GG240" s="42"/>
      <c r="GH240" s="42"/>
      <c r="GI240" s="42"/>
      <c r="GJ240" s="42"/>
      <c r="GK240" s="42"/>
      <c r="GL240" s="42"/>
      <c r="GM240" s="42"/>
      <c r="GN240" s="42"/>
      <c r="GO240" s="42"/>
      <c r="GP240" s="42"/>
      <c r="GQ240" s="42"/>
      <c r="GR240" s="42"/>
      <c r="GS240" s="42"/>
      <c r="GT240" s="42"/>
      <c r="GU240" s="42"/>
      <c r="GV240" s="42"/>
      <c r="GW240" s="42"/>
      <c r="GX240" s="42"/>
      <c r="GY240" s="42"/>
      <c r="GZ240" s="42"/>
      <c r="HA240" s="42"/>
      <c r="HB240" s="42"/>
      <c r="HC240" s="42"/>
      <c r="HD240" s="42"/>
      <c r="HE240" s="42"/>
      <c r="HF240" s="42"/>
      <c r="HG240" s="42"/>
      <c r="HH240" s="42"/>
      <c r="HI240" s="42"/>
      <c r="HJ240" s="42"/>
      <c r="HK240" s="42"/>
      <c r="HL240" s="42"/>
      <c r="HM240" s="42"/>
      <c r="HN240" s="42"/>
      <c r="HO240" s="42"/>
      <c r="HP240" s="42"/>
      <c r="HQ240" s="42"/>
      <c r="HR240" s="42"/>
      <c r="HS240" s="42"/>
      <c r="HT240" s="42"/>
      <c r="HU240" s="42"/>
      <c r="HV240" s="42"/>
      <c r="HW240" s="42"/>
      <c r="HX240" s="42"/>
      <c r="HY240" s="42"/>
      <c r="HZ240" s="42"/>
      <c r="IA240" s="42"/>
      <c r="IB240" s="42"/>
      <c r="IC240" s="42"/>
      <c r="ID240" s="42"/>
      <c r="IE240" s="42"/>
      <c r="IF240" s="42"/>
      <c r="IG240" s="42"/>
      <c r="IH240" s="42"/>
      <c r="II240" s="42"/>
      <c r="IJ240" s="42"/>
      <c r="IK240" s="42"/>
      <c r="IL240" s="42"/>
      <c r="IM240" s="42"/>
      <c r="IN240" s="42"/>
      <c r="IO240" s="42"/>
      <c r="IP240" s="42"/>
      <c r="IQ240" s="42"/>
      <c r="IR240" s="42"/>
      <c r="IS240" s="42"/>
      <c r="IT240" s="42"/>
      <c r="IU240" s="42"/>
      <c r="IV240" s="42"/>
      <c r="IW240" s="42"/>
      <c r="IX240" s="42"/>
      <c r="IY240" s="42"/>
      <c r="IZ240" s="42"/>
      <c r="JA240" s="42"/>
      <c r="JB240" s="42"/>
      <c r="JC240" s="42"/>
      <c r="JD240" s="42"/>
      <c r="JE240" s="42"/>
      <c r="JF240" s="42"/>
      <c r="JG240" s="42"/>
      <c r="JH240" s="42"/>
      <c r="JI240" s="42"/>
      <c r="JJ240" s="42"/>
      <c r="JK240" s="42"/>
      <c r="JL240" s="42"/>
      <c r="JM240" s="42"/>
      <c r="JN240" s="42"/>
      <c r="JO240" s="42"/>
      <c r="JP240" s="42"/>
      <c r="JQ240" s="42"/>
      <c r="JR240" s="42"/>
      <c r="JS240" s="42"/>
      <c r="JT240" s="42"/>
      <c r="JU240" s="42"/>
      <c r="JV240" s="42"/>
      <c r="JW240" s="42"/>
      <c r="JX240" s="42"/>
      <c r="JY240" s="42"/>
      <c r="JZ240" s="42"/>
      <c r="KA240" s="42"/>
      <c r="KB240" s="42"/>
      <c r="KC240" s="42"/>
      <c r="KD240" s="42"/>
      <c r="KE240" s="42"/>
      <c r="KF240" s="42"/>
      <c r="KG240" s="42"/>
      <c r="KH240" s="42"/>
      <c r="KI240" s="42"/>
      <c r="KJ240" s="42"/>
      <c r="KK240" s="42"/>
      <c r="KL240" s="42"/>
      <c r="KM240" s="42"/>
      <c r="KN240" s="42"/>
      <c r="KO240" s="42"/>
      <c r="KP240" s="42"/>
      <c r="KQ240" s="42"/>
      <c r="KR240" s="42"/>
      <c r="KS240" s="42"/>
      <c r="KT240" s="42"/>
      <c r="KU240" s="42"/>
      <c r="KV240" s="42"/>
      <c r="KW240" s="42"/>
      <c r="KX240" s="42"/>
      <c r="KY240" s="42"/>
      <c r="KZ240" s="42"/>
      <c r="LA240" s="42"/>
      <c r="LB240" s="42"/>
      <c r="LC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c r="BC241" s="42"/>
      <c r="BD241" s="42"/>
      <c r="BE241" s="42"/>
      <c r="BF241" s="42"/>
      <c r="BG241" s="42"/>
      <c r="BH241" s="42"/>
      <c r="BI241" s="42"/>
      <c r="BJ241" s="42"/>
      <c r="BK241" s="42"/>
      <c r="BL241" s="42"/>
      <c r="BM241" s="42"/>
      <c r="BN241" s="42"/>
      <c r="BO241" s="42"/>
      <c r="BP241" s="42"/>
      <c r="BQ241" s="42"/>
      <c r="BR241" s="42"/>
      <c r="BS241" s="42"/>
      <c r="BT241" s="42"/>
      <c r="BU241" s="42"/>
      <c r="BV241" s="42"/>
      <c r="BW241" s="42"/>
      <c r="BX241" s="42"/>
      <c r="BY241" s="42"/>
      <c r="BZ241" s="42"/>
      <c r="CA241" s="42"/>
      <c r="CB241" s="42"/>
      <c r="CC241" s="42"/>
      <c r="CD241" s="42"/>
      <c r="CE241" s="42"/>
      <c r="CF241" s="42"/>
      <c r="CG241" s="42"/>
      <c r="CH241" s="42"/>
      <c r="CI241" s="42"/>
      <c r="CJ241" s="42"/>
      <c r="CK241" s="42"/>
      <c r="CL241" s="42"/>
      <c r="CM241" s="42"/>
      <c r="CN241" s="42"/>
      <c r="CO241" s="42"/>
      <c r="CP241" s="42"/>
      <c r="CQ241" s="42"/>
      <c r="CR241" s="42"/>
      <c r="CS241" s="42"/>
      <c r="CT241" s="42"/>
      <c r="CU241" s="42"/>
      <c r="CV241" s="42"/>
      <c r="CW241" s="42"/>
      <c r="CX241" s="42"/>
      <c r="CY241" s="42"/>
      <c r="CZ241" s="42"/>
      <c r="DA241" s="42"/>
      <c r="DB241" s="42"/>
      <c r="DC241" s="42"/>
      <c r="DD241" s="42"/>
      <c r="DE241" s="42"/>
      <c r="DF241" s="42"/>
      <c r="DG241" s="42"/>
      <c r="DH241" s="42"/>
      <c r="DI241" s="42"/>
      <c r="DJ241" s="42"/>
      <c r="DK241" s="42"/>
      <c r="DL241" s="42"/>
      <c r="DM241" s="42"/>
      <c r="DN241" s="42"/>
      <c r="DO241" s="42"/>
      <c r="DP241" s="42"/>
      <c r="DQ241" s="42"/>
      <c r="DR241" s="42"/>
      <c r="DS241" s="42"/>
      <c r="DT241" s="42"/>
      <c r="DU241" s="42"/>
      <c r="DV241" s="42"/>
      <c r="DW241" s="42"/>
      <c r="DX241" s="42"/>
      <c r="DY241" s="42"/>
      <c r="DZ241" s="42"/>
      <c r="EA241" s="42"/>
      <c r="EB241" s="42"/>
      <c r="EC241" s="42"/>
      <c r="ED241" s="42"/>
      <c r="EE241" s="42"/>
      <c r="EF241" s="42"/>
      <c r="EG241" s="42"/>
      <c r="EH241" s="42"/>
      <c r="EI241" s="42"/>
      <c r="EJ241" s="42"/>
      <c r="EK241" s="42"/>
      <c r="EL241" s="42"/>
      <c r="EM241" s="42"/>
      <c r="EN241" s="42"/>
      <c r="EO241" s="42"/>
      <c r="EP241" s="42"/>
      <c r="EQ241" s="42"/>
      <c r="ER241" s="42"/>
      <c r="ES241" s="42"/>
      <c r="ET241" s="42"/>
      <c r="EU241" s="42"/>
      <c r="EV241" s="42"/>
      <c r="EW241" s="42"/>
      <c r="EX241" s="42"/>
      <c r="EY241" s="42"/>
      <c r="EZ241" s="42"/>
      <c r="FA241" s="42"/>
      <c r="FB241" s="42"/>
      <c r="FC241" s="42"/>
      <c r="FD241" s="42"/>
      <c r="FE241" s="42"/>
      <c r="FF241" s="42"/>
      <c r="FG241" s="42"/>
      <c r="FH241" s="42"/>
      <c r="FI241" s="42"/>
      <c r="FJ241" s="42"/>
      <c r="FK241" s="42"/>
      <c r="FL241" s="42"/>
      <c r="FM241" s="42"/>
      <c r="FN241" s="42"/>
      <c r="FO241" s="42"/>
      <c r="FP241" s="42"/>
      <c r="FQ241" s="42"/>
      <c r="FR241" s="42"/>
      <c r="FS241" s="42"/>
      <c r="FT241" s="42"/>
      <c r="FU241" s="42"/>
      <c r="FV241" s="42"/>
      <c r="FW241" s="42"/>
      <c r="FX241" s="42"/>
      <c r="FY241" s="42"/>
      <c r="FZ241" s="42"/>
      <c r="GA241" s="42"/>
      <c r="GB241" s="42"/>
      <c r="GC241" s="42"/>
      <c r="GD241" s="42"/>
      <c r="GE241" s="42"/>
      <c r="GF241" s="42"/>
      <c r="GG241" s="42"/>
      <c r="GH241" s="42"/>
      <c r="GI241" s="42"/>
      <c r="GJ241" s="42"/>
      <c r="GK241" s="42"/>
      <c r="GL241" s="42"/>
      <c r="GM241" s="42"/>
      <c r="GN241" s="42"/>
      <c r="GO241" s="42"/>
      <c r="GP241" s="42"/>
      <c r="GQ241" s="42"/>
      <c r="GR241" s="42"/>
      <c r="GS241" s="42"/>
      <c r="GT241" s="42"/>
      <c r="GU241" s="42"/>
      <c r="GV241" s="42"/>
      <c r="GW241" s="42"/>
      <c r="GX241" s="42"/>
      <c r="GY241" s="42"/>
      <c r="GZ241" s="42"/>
      <c r="HA241" s="42"/>
      <c r="HB241" s="42"/>
      <c r="HC241" s="42"/>
      <c r="HD241" s="42"/>
      <c r="HE241" s="42"/>
      <c r="HF241" s="42"/>
      <c r="HG241" s="42"/>
      <c r="HH241" s="42"/>
      <c r="HI241" s="42"/>
      <c r="HJ241" s="42"/>
      <c r="HK241" s="42"/>
      <c r="HL241" s="42"/>
      <c r="HM241" s="42"/>
      <c r="HN241" s="42"/>
      <c r="HO241" s="42"/>
      <c r="HP241" s="42"/>
      <c r="HQ241" s="42"/>
      <c r="HR241" s="42"/>
      <c r="HS241" s="42"/>
      <c r="HT241" s="42"/>
      <c r="HU241" s="42"/>
      <c r="HV241" s="42"/>
      <c r="HW241" s="42"/>
      <c r="HX241" s="42"/>
      <c r="HY241" s="42"/>
      <c r="HZ241" s="42"/>
      <c r="IA241" s="42"/>
      <c r="IB241" s="42"/>
      <c r="IC241" s="42"/>
      <c r="ID241" s="42"/>
      <c r="IE241" s="42"/>
      <c r="IF241" s="42"/>
      <c r="IG241" s="42"/>
      <c r="IH241" s="42"/>
      <c r="II241" s="42"/>
      <c r="IJ241" s="42"/>
      <c r="IK241" s="42"/>
      <c r="IL241" s="42"/>
      <c r="IM241" s="42"/>
      <c r="IN241" s="42"/>
      <c r="IO241" s="42"/>
      <c r="IP241" s="42"/>
      <c r="IQ241" s="42"/>
      <c r="IR241" s="42"/>
      <c r="IS241" s="42"/>
      <c r="IT241" s="42"/>
      <c r="IU241" s="42"/>
      <c r="IV241" s="42"/>
      <c r="IW241" s="42"/>
      <c r="IX241" s="42"/>
      <c r="IY241" s="42"/>
      <c r="IZ241" s="42"/>
      <c r="JA241" s="42"/>
      <c r="JB241" s="42"/>
      <c r="JC241" s="42"/>
      <c r="JD241" s="42"/>
      <c r="JE241" s="42"/>
      <c r="JF241" s="42"/>
      <c r="JG241" s="42"/>
      <c r="JH241" s="42"/>
      <c r="JI241" s="42"/>
      <c r="JJ241" s="42"/>
      <c r="JK241" s="42"/>
      <c r="JL241" s="42"/>
      <c r="JM241" s="42"/>
      <c r="JN241" s="42"/>
      <c r="JO241" s="42"/>
      <c r="JP241" s="42"/>
      <c r="JQ241" s="42"/>
      <c r="JR241" s="42"/>
      <c r="JS241" s="42"/>
      <c r="JT241" s="42"/>
      <c r="JU241" s="42"/>
      <c r="JV241" s="42"/>
      <c r="JW241" s="42"/>
      <c r="JX241" s="42"/>
      <c r="JY241" s="42"/>
      <c r="JZ241" s="42"/>
      <c r="KA241" s="42"/>
      <c r="KB241" s="42"/>
      <c r="KC241" s="42"/>
      <c r="KD241" s="42"/>
      <c r="KE241" s="42"/>
      <c r="KF241" s="42"/>
      <c r="KG241" s="42"/>
      <c r="KH241" s="42"/>
      <c r="KI241" s="42"/>
      <c r="KJ241" s="42"/>
      <c r="KK241" s="42"/>
      <c r="KL241" s="42"/>
      <c r="KM241" s="42"/>
      <c r="KN241" s="42"/>
      <c r="KO241" s="42"/>
      <c r="KP241" s="42"/>
      <c r="KQ241" s="42"/>
      <c r="KR241" s="42"/>
      <c r="KS241" s="42"/>
      <c r="KT241" s="42"/>
      <c r="KU241" s="42"/>
      <c r="KV241" s="42"/>
      <c r="KW241" s="42"/>
      <c r="KX241" s="42"/>
      <c r="KY241" s="42"/>
      <c r="KZ241" s="42"/>
      <c r="LA241" s="42"/>
      <c r="LB241" s="42"/>
      <c r="LC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c r="BC242" s="42"/>
      <c r="BD242" s="42"/>
      <c r="BE242" s="42"/>
      <c r="BF242" s="42"/>
      <c r="BG242" s="42"/>
      <c r="BH242" s="42"/>
      <c r="BI242" s="42"/>
      <c r="BJ242" s="42"/>
      <c r="BK242" s="42"/>
      <c r="BL242" s="42"/>
      <c r="BM242" s="42"/>
      <c r="BN242" s="42"/>
      <c r="BO242" s="42"/>
      <c r="BP242" s="42"/>
      <c r="BQ242" s="42"/>
      <c r="BR242" s="42"/>
      <c r="BS242" s="42"/>
      <c r="BT242" s="42"/>
      <c r="BU242" s="42"/>
      <c r="BV242" s="42"/>
      <c r="BW242" s="42"/>
      <c r="BX242" s="42"/>
      <c r="BY242" s="42"/>
      <c r="BZ242" s="42"/>
      <c r="CA242" s="42"/>
      <c r="CB242" s="42"/>
      <c r="CC242" s="42"/>
      <c r="CD242" s="42"/>
      <c r="CE242" s="42"/>
      <c r="CF242" s="42"/>
      <c r="CG242" s="42"/>
      <c r="CH242" s="42"/>
      <c r="CI242" s="42"/>
      <c r="CJ242" s="42"/>
      <c r="CK242" s="42"/>
      <c r="CL242" s="42"/>
      <c r="CM242" s="42"/>
      <c r="CN242" s="42"/>
      <c r="CO242" s="42"/>
      <c r="CP242" s="42"/>
      <c r="CQ242" s="42"/>
      <c r="CR242" s="42"/>
      <c r="CS242" s="42"/>
      <c r="CT242" s="42"/>
      <c r="CU242" s="42"/>
      <c r="CV242" s="42"/>
      <c r="CW242" s="42"/>
      <c r="CX242" s="42"/>
      <c r="CY242" s="42"/>
      <c r="CZ242" s="42"/>
      <c r="DA242" s="42"/>
      <c r="DB242" s="42"/>
      <c r="DC242" s="42"/>
      <c r="DD242" s="42"/>
      <c r="DE242" s="42"/>
      <c r="DF242" s="42"/>
      <c r="DG242" s="42"/>
      <c r="DH242" s="42"/>
      <c r="DI242" s="42"/>
      <c r="DJ242" s="42"/>
      <c r="DK242" s="42"/>
      <c r="DL242" s="42"/>
      <c r="DM242" s="42"/>
      <c r="DN242" s="42"/>
      <c r="DO242" s="42"/>
      <c r="DP242" s="42"/>
      <c r="DQ242" s="42"/>
      <c r="DR242" s="42"/>
      <c r="DS242" s="42"/>
      <c r="DT242" s="42"/>
      <c r="DU242" s="42"/>
      <c r="DV242" s="42"/>
      <c r="DW242" s="42"/>
      <c r="DX242" s="42"/>
      <c r="DY242" s="42"/>
      <c r="DZ242" s="42"/>
      <c r="EA242" s="42"/>
      <c r="EB242" s="42"/>
      <c r="EC242" s="42"/>
      <c r="ED242" s="42"/>
      <c r="EE242" s="42"/>
      <c r="EF242" s="42"/>
      <c r="EG242" s="42"/>
      <c r="EH242" s="42"/>
      <c r="EI242" s="42"/>
      <c r="EJ242" s="42"/>
      <c r="EK242" s="42"/>
      <c r="EL242" s="42"/>
      <c r="EM242" s="42"/>
      <c r="EN242" s="42"/>
      <c r="EO242" s="42"/>
      <c r="EP242" s="42"/>
      <c r="EQ242" s="42"/>
      <c r="ER242" s="42"/>
      <c r="ES242" s="42"/>
      <c r="ET242" s="42"/>
      <c r="EU242" s="42"/>
      <c r="EV242" s="42"/>
      <c r="EW242" s="42"/>
      <c r="EX242" s="42"/>
      <c r="EY242" s="42"/>
      <c r="EZ242" s="42"/>
      <c r="FA242" s="42"/>
      <c r="FB242" s="42"/>
      <c r="FC242" s="42"/>
      <c r="FD242" s="42"/>
      <c r="FE242" s="42"/>
      <c r="FF242" s="42"/>
      <c r="FG242" s="42"/>
      <c r="FH242" s="42"/>
      <c r="FI242" s="42"/>
      <c r="FJ242" s="42"/>
      <c r="FK242" s="42"/>
      <c r="FL242" s="42"/>
      <c r="FM242" s="42"/>
      <c r="FN242" s="42"/>
      <c r="FO242" s="42"/>
      <c r="FP242" s="42"/>
      <c r="FQ242" s="42"/>
      <c r="FR242" s="42"/>
      <c r="FS242" s="42"/>
      <c r="FT242" s="42"/>
      <c r="FU242" s="42"/>
      <c r="FV242" s="42"/>
      <c r="FW242" s="42"/>
      <c r="FX242" s="42"/>
      <c r="FY242" s="42"/>
      <c r="FZ242" s="42"/>
      <c r="GA242" s="42"/>
      <c r="GB242" s="42"/>
      <c r="GC242" s="42"/>
      <c r="GD242" s="42"/>
      <c r="GE242" s="42"/>
      <c r="GF242" s="42"/>
      <c r="GG242" s="42"/>
      <c r="GH242" s="42"/>
      <c r="GI242" s="42"/>
      <c r="GJ242" s="42"/>
      <c r="GK242" s="42"/>
      <c r="GL242" s="42"/>
      <c r="GM242" s="42"/>
      <c r="GN242" s="42"/>
      <c r="GO242" s="42"/>
      <c r="GP242" s="42"/>
      <c r="GQ242" s="42"/>
      <c r="GR242" s="42"/>
      <c r="GS242" s="42"/>
      <c r="GT242" s="42"/>
      <c r="GU242" s="42"/>
      <c r="GV242" s="42"/>
      <c r="GW242" s="42"/>
      <c r="GX242" s="42"/>
      <c r="GY242" s="42"/>
      <c r="GZ242" s="42"/>
      <c r="HA242" s="42"/>
      <c r="HB242" s="42"/>
      <c r="HC242" s="42"/>
      <c r="HD242" s="42"/>
      <c r="HE242" s="42"/>
      <c r="HF242" s="42"/>
      <c r="HG242" s="42"/>
      <c r="HH242" s="42"/>
      <c r="HI242" s="42"/>
      <c r="HJ242" s="42"/>
      <c r="HK242" s="42"/>
      <c r="HL242" s="42"/>
      <c r="HM242" s="42"/>
      <c r="HN242" s="42"/>
      <c r="HO242" s="42"/>
      <c r="HP242" s="42"/>
      <c r="HQ242" s="42"/>
      <c r="HR242" s="42"/>
      <c r="HS242" s="42"/>
      <c r="HT242" s="42"/>
      <c r="HU242" s="42"/>
      <c r="HV242" s="42"/>
      <c r="HW242" s="42"/>
      <c r="HX242" s="42"/>
      <c r="HY242" s="42"/>
      <c r="HZ242" s="42"/>
      <c r="IA242" s="42"/>
      <c r="IB242" s="42"/>
      <c r="IC242" s="42"/>
      <c r="ID242" s="42"/>
      <c r="IE242" s="42"/>
      <c r="IF242" s="42"/>
      <c r="IG242" s="42"/>
      <c r="IH242" s="42"/>
      <c r="II242" s="42"/>
      <c r="IJ242" s="42"/>
      <c r="IK242" s="42"/>
      <c r="IL242" s="42"/>
      <c r="IM242" s="42"/>
      <c r="IN242" s="42"/>
      <c r="IO242" s="42"/>
      <c r="IP242" s="42"/>
      <c r="IQ242" s="42"/>
      <c r="IR242" s="42"/>
      <c r="IS242" s="42"/>
      <c r="IT242" s="42"/>
      <c r="IU242" s="42"/>
      <c r="IV242" s="42"/>
      <c r="IW242" s="42"/>
      <c r="IX242" s="42"/>
      <c r="IY242" s="42"/>
      <c r="IZ242" s="42"/>
      <c r="JA242" s="42"/>
      <c r="JB242" s="42"/>
      <c r="JC242" s="42"/>
      <c r="JD242" s="42"/>
      <c r="JE242" s="42"/>
      <c r="JF242" s="42"/>
      <c r="JG242" s="42"/>
      <c r="JH242" s="42"/>
      <c r="JI242" s="42"/>
      <c r="JJ242" s="42"/>
      <c r="JK242" s="42"/>
      <c r="JL242" s="42"/>
      <c r="JM242" s="42"/>
      <c r="JN242" s="42"/>
      <c r="JO242" s="42"/>
      <c r="JP242" s="42"/>
      <c r="JQ242" s="42"/>
      <c r="JR242" s="42"/>
      <c r="JS242" s="42"/>
      <c r="JT242" s="42"/>
      <c r="JU242" s="42"/>
      <c r="JV242" s="42"/>
      <c r="JW242" s="42"/>
      <c r="JX242" s="42"/>
      <c r="JY242" s="42"/>
      <c r="JZ242" s="42"/>
      <c r="KA242" s="42"/>
      <c r="KB242" s="42"/>
      <c r="KC242" s="42"/>
      <c r="KD242" s="42"/>
      <c r="KE242" s="42"/>
      <c r="KF242" s="42"/>
      <c r="KG242" s="42"/>
      <c r="KH242" s="42"/>
      <c r="KI242" s="42"/>
      <c r="KJ242" s="42"/>
      <c r="KK242" s="42"/>
      <c r="KL242" s="42"/>
      <c r="KM242" s="42"/>
      <c r="KN242" s="42"/>
      <c r="KO242" s="42"/>
      <c r="KP242" s="42"/>
      <c r="KQ242" s="42"/>
      <c r="KR242" s="42"/>
      <c r="KS242" s="42"/>
      <c r="KT242" s="42"/>
      <c r="KU242" s="42"/>
      <c r="KV242" s="42"/>
      <c r="KW242" s="42"/>
      <c r="KX242" s="42"/>
      <c r="KY242" s="42"/>
      <c r="KZ242" s="42"/>
      <c r="LA242" s="42"/>
      <c r="LB242" s="42"/>
      <c r="LC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c r="BA243" s="42"/>
      <c r="BB243" s="42"/>
      <c r="BC243" s="42"/>
      <c r="BD243" s="42"/>
      <c r="BE243" s="42"/>
      <c r="BF243" s="42"/>
      <c r="BG243" s="42"/>
      <c r="BH243" s="42"/>
      <c r="BI243" s="42"/>
      <c r="BJ243" s="42"/>
      <c r="BK243" s="42"/>
      <c r="BL243" s="42"/>
      <c r="BM243" s="42"/>
      <c r="BN243" s="42"/>
      <c r="BO243" s="42"/>
      <c r="BP243" s="42"/>
      <c r="BQ243" s="42"/>
      <c r="BR243" s="42"/>
      <c r="BS243" s="42"/>
      <c r="BT243" s="42"/>
      <c r="BU243" s="42"/>
      <c r="BV243" s="42"/>
      <c r="BW243" s="42"/>
      <c r="BX243" s="42"/>
      <c r="BY243" s="42"/>
      <c r="BZ243" s="42"/>
      <c r="CA243" s="42"/>
      <c r="CB243" s="42"/>
      <c r="CC243" s="42"/>
      <c r="CD243" s="42"/>
      <c r="CE243" s="42"/>
      <c r="CF243" s="42"/>
      <c r="CG243" s="42"/>
      <c r="CH243" s="42"/>
      <c r="CI243" s="42"/>
      <c r="CJ243" s="42"/>
      <c r="CK243" s="42"/>
      <c r="CL243" s="42"/>
      <c r="CM243" s="42"/>
      <c r="CN243" s="42"/>
      <c r="CO243" s="42"/>
      <c r="CP243" s="42"/>
      <c r="CQ243" s="42"/>
      <c r="CR243" s="42"/>
      <c r="CS243" s="42"/>
      <c r="CT243" s="42"/>
      <c r="CU243" s="42"/>
      <c r="CV243" s="42"/>
      <c r="CW243" s="42"/>
      <c r="CX243" s="42"/>
      <c r="CY243" s="42"/>
      <c r="CZ243" s="42"/>
      <c r="DA243" s="42"/>
      <c r="DB243" s="42"/>
      <c r="DC243" s="42"/>
      <c r="DD243" s="42"/>
      <c r="DE243" s="42"/>
      <c r="DF243" s="42"/>
      <c r="DG243" s="42"/>
      <c r="DH243" s="42"/>
      <c r="DI243" s="42"/>
      <c r="DJ243" s="42"/>
      <c r="DK243" s="42"/>
      <c r="DL243" s="42"/>
      <c r="DM243" s="42"/>
      <c r="DN243" s="42"/>
      <c r="DO243" s="42"/>
      <c r="DP243" s="42"/>
      <c r="DQ243" s="42"/>
      <c r="DR243" s="42"/>
      <c r="DS243" s="42"/>
      <c r="DT243" s="42"/>
      <c r="DU243" s="42"/>
      <c r="DV243" s="42"/>
      <c r="DW243" s="42"/>
      <c r="DX243" s="42"/>
      <c r="DY243" s="42"/>
      <c r="DZ243" s="42"/>
      <c r="EA243" s="42"/>
      <c r="EB243" s="42"/>
      <c r="EC243" s="42"/>
      <c r="ED243" s="42"/>
      <c r="EE243" s="42"/>
      <c r="EF243" s="42"/>
      <c r="EG243" s="42"/>
      <c r="EH243" s="42"/>
      <c r="EI243" s="42"/>
      <c r="EJ243" s="42"/>
      <c r="EK243" s="42"/>
      <c r="EL243" s="42"/>
      <c r="EM243" s="42"/>
      <c r="EN243" s="42"/>
      <c r="EO243" s="42"/>
      <c r="EP243" s="42"/>
      <c r="EQ243" s="42"/>
      <c r="ER243" s="42"/>
      <c r="ES243" s="42"/>
      <c r="ET243" s="42"/>
      <c r="EU243" s="42"/>
      <c r="EV243" s="42"/>
      <c r="EW243" s="42"/>
      <c r="EX243" s="42"/>
      <c r="EY243" s="42"/>
      <c r="EZ243" s="42"/>
      <c r="FA243" s="42"/>
      <c r="FB243" s="42"/>
      <c r="FC243" s="42"/>
      <c r="FD243" s="42"/>
      <c r="FE243" s="42"/>
      <c r="FF243" s="42"/>
      <c r="FG243" s="42"/>
      <c r="FH243" s="42"/>
      <c r="FI243" s="42"/>
      <c r="FJ243" s="42"/>
      <c r="FK243" s="42"/>
      <c r="FL243" s="42"/>
      <c r="FM243" s="42"/>
      <c r="FN243" s="42"/>
      <c r="FO243" s="42"/>
      <c r="FP243" s="42"/>
      <c r="FQ243" s="42"/>
      <c r="FR243" s="42"/>
      <c r="FS243" s="42"/>
      <c r="FT243" s="42"/>
      <c r="FU243" s="42"/>
      <c r="FV243" s="42"/>
      <c r="FW243" s="42"/>
      <c r="FX243" s="42"/>
      <c r="FY243" s="42"/>
      <c r="FZ243" s="42"/>
      <c r="GA243" s="42"/>
      <c r="GB243" s="42"/>
      <c r="GC243" s="42"/>
      <c r="GD243" s="42"/>
      <c r="GE243" s="42"/>
      <c r="GF243" s="42"/>
      <c r="GG243" s="42"/>
      <c r="GH243" s="42"/>
      <c r="GI243" s="42"/>
      <c r="GJ243" s="42"/>
      <c r="GK243" s="42"/>
      <c r="GL243" s="42"/>
      <c r="GM243" s="42"/>
      <c r="GN243" s="42"/>
      <c r="GO243" s="42"/>
      <c r="GP243" s="42"/>
      <c r="GQ243" s="42"/>
      <c r="GR243" s="42"/>
      <c r="GS243" s="42"/>
      <c r="GT243" s="42"/>
      <c r="GU243" s="42"/>
      <c r="GV243" s="42"/>
      <c r="GW243" s="42"/>
      <c r="GX243" s="42"/>
      <c r="GY243" s="42"/>
      <c r="GZ243" s="42"/>
      <c r="HA243" s="42"/>
      <c r="HB243" s="42"/>
      <c r="HC243" s="42"/>
      <c r="HD243" s="42"/>
      <c r="HE243" s="42"/>
      <c r="HF243" s="42"/>
      <c r="HG243" s="42"/>
      <c r="HH243" s="42"/>
      <c r="HI243" s="42"/>
      <c r="HJ243" s="42"/>
      <c r="HK243" s="42"/>
      <c r="HL243" s="42"/>
      <c r="HM243" s="42"/>
      <c r="HN243" s="42"/>
      <c r="HO243" s="42"/>
      <c r="HP243" s="42"/>
      <c r="HQ243" s="42"/>
      <c r="HR243" s="42"/>
      <c r="HS243" s="42"/>
      <c r="HT243" s="42"/>
      <c r="HU243" s="42"/>
      <c r="HV243" s="42"/>
      <c r="HW243" s="42"/>
      <c r="HX243" s="42"/>
      <c r="HY243" s="42"/>
      <c r="HZ243" s="42"/>
      <c r="IA243" s="42"/>
      <c r="IB243" s="42"/>
      <c r="IC243" s="42"/>
      <c r="ID243" s="42"/>
      <c r="IE243" s="42"/>
      <c r="IF243" s="42"/>
      <c r="IG243" s="42"/>
      <c r="IH243" s="42"/>
      <c r="II243" s="42"/>
      <c r="IJ243" s="42"/>
      <c r="IK243" s="42"/>
      <c r="IL243" s="42"/>
      <c r="IM243" s="42"/>
      <c r="IN243" s="42"/>
      <c r="IO243" s="42"/>
      <c r="IP243" s="42"/>
      <c r="IQ243" s="42"/>
      <c r="IR243" s="42"/>
      <c r="IS243" s="42"/>
      <c r="IT243" s="42"/>
      <c r="IU243" s="42"/>
      <c r="IV243" s="42"/>
      <c r="IW243" s="42"/>
      <c r="IX243" s="42"/>
      <c r="IY243" s="42"/>
      <c r="IZ243" s="42"/>
      <c r="JA243" s="42"/>
      <c r="JB243" s="42"/>
      <c r="JC243" s="42"/>
      <c r="JD243" s="42"/>
      <c r="JE243" s="42"/>
      <c r="JF243" s="42"/>
      <c r="JG243" s="42"/>
      <c r="JH243" s="42"/>
      <c r="JI243" s="42"/>
      <c r="JJ243" s="42"/>
      <c r="JK243" s="42"/>
      <c r="JL243" s="42"/>
      <c r="JM243" s="42"/>
      <c r="JN243" s="42"/>
      <c r="JO243" s="42"/>
      <c r="JP243" s="42"/>
      <c r="JQ243" s="42"/>
      <c r="JR243" s="42"/>
      <c r="JS243" s="42"/>
      <c r="JT243" s="42"/>
      <c r="JU243" s="42"/>
      <c r="JV243" s="42"/>
      <c r="JW243" s="42"/>
      <c r="JX243" s="42"/>
      <c r="JY243" s="42"/>
      <c r="JZ243" s="42"/>
      <c r="KA243" s="42"/>
      <c r="KB243" s="42"/>
      <c r="KC243" s="42"/>
      <c r="KD243" s="42"/>
      <c r="KE243" s="42"/>
      <c r="KF243" s="42"/>
      <c r="KG243" s="42"/>
      <c r="KH243" s="42"/>
      <c r="KI243" s="42"/>
      <c r="KJ243" s="42"/>
      <c r="KK243" s="42"/>
      <c r="KL243" s="42"/>
      <c r="KM243" s="42"/>
      <c r="KN243" s="42"/>
      <c r="KO243" s="42"/>
      <c r="KP243" s="42"/>
      <c r="KQ243" s="42"/>
      <c r="KR243" s="42"/>
      <c r="KS243" s="42"/>
      <c r="KT243" s="42"/>
      <c r="KU243" s="42"/>
      <c r="KV243" s="42"/>
      <c r="KW243" s="42"/>
      <c r="KX243" s="42"/>
      <c r="KY243" s="42"/>
      <c r="KZ243" s="42"/>
      <c r="LA243" s="42"/>
      <c r="LB243" s="42"/>
      <c r="LC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2"/>
      <c r="BH244" s="42"/>
      <c r="BI244" s="42"/>
      <c r="BJ244" s="42"/>
      <c r="BK244" s="42"/>
      <c r="BL244" s="42"/>
      <c r="BM244" s="42"/>
      <c r="BN244" s="42"/>
      <c r="BO244" s="42"/>
      <c r="BP244" s="42"/>
      <c r="BQ244" s="42"/>
      <c r="BR244" s="42"/>
      <c r="BS244" s="42"/>
      <c r="BT244" s="42"/>
      <c r="BU244" s="42"/>
      <c r="BV244" s="42"/>
      <c r="BW244" s="42"/>
      <c r="BX244" s="42"/>
      <c r="BY244" s="42"/>
      <c r="BZ244" s="42"/>
      <c r="CA244" s="42"/>
      <c r="CB244" s="42"/>
      <c r="CC244" s="42"/>
      <c r="CD244" s="42"/>
      <c r="CE244" s="42"/>
      <c r="CF244" s="42"/>
      <c r="CG244" s="42"/>
      <c r="CH244" s="42"/>
      <c r="CI244" s="42"/>
      <c r="CJ244" s="42"/>
      <c r="CK244" s="42"/>
      <c r="CL244" s="42"/>
      <c r="CM244" s="42"/>
      <c r="CN244" s="42"/>
      <c r="CO244" s="42"/>
      <c r="CP244" s="42"/>
      <c r="CQ244" s="42"/>
      <c r="CR244" s="42"/>
      <c r="CS244" s="42"/>
      <c r="CT244" s="42"/>
      <c r="CU244" s="42"/>
      <c r="CV244" s="42"/>
      <c r="CW244" s="42"/>
      <c r="CX244" s="42"/>
      <c r="CY244" s="42"/>
      <c r="CZ244" s="42"/>
      <c r="DA244" s="42"/>
      <c r="DB244" s="42"/>
      <c r="DC244" s="42"/>
      <c r="DD244" s="42"/>
      <c r="DE244" s="42"/>
      <c r="DF244" s="42"/>
      <c r="DG244" s="42"/>
      <c r="DH244" s="42"/>
      <c r="DI244" s="42"/>
      <c r="DJ244" s="42"/>
      <c r="DK244" s="42"/>
      <c r="DL244" s="42"/>
      <c r="DM244" s="42"/>
      <c r="DN244" s="42"/>
      <c r="DO244" s="42"/>
      <c r="DP244" s="42"/>
      <c r="DQ244" s="42"/>
      <c r="DR244" s="42"/>
      <c r="DS244" s="42"/>
      <c r="DT244" s="42"/>
      <c r="DU244" s="42"/>
      <c r="DV244" s="42"/>
      <c r="DW244" s="42"/>
      <c r="DX244" s="42"/>
      <c r="DY244" s="42"/>
      <c r="DZ244" s="42"/>
      <c r="EA244" s="42"/>
      <c r="EB244" s="42"/>
      <c r="EC244" s="42"/>
      <c r="ED244" s="42"/>
      <c r="EE244" s="42"/>
      <c r="EF244" s="42"/>
      <c r="EG244" s="42"/>
      <c r="EH244" s="42"/>
      <c r="EI244" s="42"/>
      <c r="EJ244" s="42"/>
      <c r="EK244" s="42"/>
      <c r="EL244" s="42"/>
      <c r="EM244" s="42"/>
      <c r="EN244" s="42"/>
      <c r="EO244" s="42"/>
      <c r="EP244" s="42"/>
      <c r="EQ244" s="42"/>
      <c r="ER244" s="42"/>
      <c r="ES244" s="42"/>
      <c r="ET244" s="42"/>
      <c r="EU244" s="42"/>
      <c r="EV244" s="42"/>
      <c r="EW244" s="42"/>
      <c r="EX244" s="42"/>
      <c r="EY244" s="42"/>
      <c r="EZ244" s="42"/>
      <c r="FA244" s="42"/>
      <c r="FB244" s="42"/>
      <c r="FC244" s="42"/>
      <c r="FD244" s="42"/>
      <c r="FE244" s="42"/>
      <c r="FF244" s="42"/>
      <c r="FG244" s="42"/>
      <c r="FH244" s="42"/>
      <c r="FI244" s="42"/>
      <c r="FJ244" s="42"/>
      <c r="FK244" s="42"/>
      <c r="FL244" s="42"/>
      <c r="FM244" s="42"/>
      <c r="FN244" s="42"/>
      <c r="FO244" s="42"/>
      <c r="FP244" s="42"/>
      <c r="FQ244" s="42"/>
      <c r="FR244" s="42"/>
      <c r="FS244" s="42"/>
      <c r="FT244" s="42"/>
      <c r="FU244" s="42"/>
      <c r="FV244" s="42"/>
      <c r="FW244" s="42"/>
      <c r="FX244" s="42"/>
      <c r="FY244" s="42"/>
      <c r="FZ244" s="42"/>
      <c r="GA244" s="42"/>
      <c r="GB244" s="42"/>
      <c r="GC244" s="42"/>
      <c r="GD244" s="42"/>
      <c r="GE244" s="42"/>
      <c r="GF244" s="42"/>
      <c r="GG244" s="42"/>
      <c r="GH244" s="42"/>
      <c r="GI244" s="42"/>
      <c r="GJ244" s="42"/>
      <c r="GK244" s="42"/>
      <c r="GL244" s="42"/>
      <c r="GM244" s="42"/>
      <c r="GN244" s="42"/>
      <c r="GO244" s="42"/>
      <c r="GP244" s="42"/>
      <c r="GQ244" s="42"/>
      <c r="GR244" s="42"/>
      <c r="GS244" s="42"/>
      <c r="GT244" s="42"/>
      <c r="GU244" s="42"/>
      <c r="GV244" s="42"/>
      <c r="GW244" s="42"/>
      <c r="GX244" s="42"/>
      <c r="GY244" s="42"/>
      <c r="GZ244" s="42"/>
      <c r="HA244" s="42"/>
      <c r="HB244" s="42"/>
      <c r="HC244" s="42"/>
      <c r="HD244" s="42"/>
      <c r="HE244" s="42"/>
      <c r="HF244" s="42"/>
      <c r="HG244" s="42"/>
      <c r="HH244" s="42"/>
      <c r="HI244" s="42"/>
      <c r="HJ244" s="42"/>
      <c r="HK244" s="42"/>
      <c r="HL244" s="42"/>
      <c r="HM244" s="42"/>
      <c r="HN244" s="42"/>
      <c r="HO244" s="42"/>
      <c r="HP244" s="42"/>
      <c r="HQ244" s="42"/>
      <c r="HR244" s="42"/>
      <c r="HS244" s="42"/>
      <c r="HT244" s="42"/>
      <c r="HU244" s="42"/>
      <c r="HV244" s="42"/>
      <c r="HW244" s="42"/>
      <c r="HX244" s="42"/>
      <c r="HY244" s="42"/>
      <c r="HZ244" s="42"/>
      <c r="IA244" s="42"/>
      <c r="IB244" s="42"/>
      <c r="IC244" s="42"/>
      <c r="ID244" s="42"/>
      <c r="IE244" s="42"/>
      <c r="IF244" s="42"/>
      <c r="IG244" s="42"/>
      <c r="IH244" s="42"/>
      <c r="II244" s="42"/>
      <c r="IJ244" s="42"/>
      <c r="IK244" s="42"/>
      <c r="IL244" s="42"/>
      <c r="IM244" s="42"/>
      <c r="IN244" s="42"/>
      <c r="IO244" s="42"/>
      <c r="IP244" s="42"/>
      <c r="IQ244" s="42"/>
      <c r="IR244" s="42"/>
      <c r="IS244" s="42"/>
      <c r="IT244" s="42"/>
      <c r="IU244" s="42"/>
      <c r="IV244" s="42"/>
      <c r="IW244" s="42"/>
      <c r="IX244" s="42"/>
      <c r="IY244" s="42"/>
      <c r="IZ244" s="42"/>
      <c r="JA244" s="42"/>
      <c r="JB244" s="42"/>
      <c r="JC244" s="42"/>
      <c r="JD244" s="42"/>
      <c r="JE244" s="42"/>
      <c r="JF244" s="42"/>
      <c r="JG244" s="42"/>
      <c r="JH244" s="42"/>
      <c r="JI244" s="42"/>
      <c r="JJ244" s="42"/>
      <c r="JK244" s="42"/>
      <c r="JL244" s="42"/>
      <c r="JM244" s="42"/>
      <c r="JN244" s="42"/>
      <c r="JO244" s="42"/>
      <c r="JP244" s="42"/>
      <c r="JQ244" s="42"/>
      <c r="JR244" s="42"/>
      <c r="JS244" s="42"/>
      <c r="JT244" s="42"/>
      <c r="JU244" s="42"/>
      <c r="JV244" s="42"/>
      <c r="JW244" s="42"/>
      <c r="JX244" s="42"/>
      <c r="JY244" s="42"/>
      <c r="JZ244" s="42"/>
      <c r="KA244" s="42"/>
      <c r="KB244" s="42"/>
      <c r="KC244" s="42"/>
      <c r="KD244" s="42"/>
      <c r="KE244" s="42"/>
      <c r="KF244" s="42"/>
      <c r="KG244" s="42"/>
      <c r="KH244" s="42"/>
      <c r="KI244" s="42"/>
      <c r="KJ244" s="42"/>
      <c r="KK244" s="42"/>
      <c r="KL244" s="42"/>
      <c r="KM244" s="42"/>
      <c r="KN244" s="42"/>
      <c r="KO244" s="42"/>
      <c r="KP244" s="42"/>
      <c r="KQ244" s="42"/>
      <c r="KR244" s="42"/>
      <c r="KS244" s="42"/>
      <c r="KT244" s="42"/>
      <c r="KU244" s="42"/>
      <c r="KV244" s="42"/>
      <c r="KW244" s="42"/>
      <c r="KX244" s="42"/>
      <c r="KY244" s="42"/>
      <c r="KZ244" s="42"/>
      <c r="LA244" s="42"/>
      <c r="LB244" s="42"/>
      <c r="LC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42"/>
      <c r="BB245" s="42"/>
      <c r="BC245" s="42"/>
      <c r="BD245" s="42"/>
      <c r="BE245" s="42"/>
      <c r="BF245" s="42"/>
      <c r="BG245" s="42"/>
      <c r="BH245" s="42"/>
      <c r="BI245" s="42"/>
      <c r="BJ245" s="42"/>
      <c r="BK245" s="42"/>
      <c r="BL245" s="42"/>
      <c r="BM245" s="42"/>
      <c r="BN245" s="42"/>
      <c r="BO245" s="42"/>
      <c r="BP245" s="42"/>
      <c r="BQ245" s="42"/>
      <c r="BR245" s="42"/>
      <c r="BS245" s="42"/>
      <c r="BT245" s="42"/>
      <c r="BU245" s="42"/>
      <c r="BV245" s="42"/>
      <c r="BW245" s="42"/>
      <c r="BX245" s="42"/>
      <c r="BY245" s="42"/>
      <c r="BZ245" s="42"/>
      <c r="CA245" s="42"/>
      <c r="CB245" s="42"/>
      <c r="CC245" s="42"/>
      <c r="CD245" s="42"/>
      <c r="CE245" s="42"/>
      <c r="CF245" s="42"/>
      <c r="CG245" s="42"/>
      <c r="CH245" s="42"/>
      <c r="CI245" s="42"/>
      <c r="CJ245" s="42"/>
      <c r="CK245" s="42"/>
      <c r="CL245" s="42"/>
      <c r="CM245" s="42"/>
      <c r="CN245" s="42"/>
      <c r="CO245" s="42"/>
      <c r="CP245" s="42"/>
      <c r="CQ245" s="42"/>
      <c r="CR245" s="42"/>
      <c r="CS245" s="42"/>
      <c r="CT245" s="42"/>
      <c r="CU245" s="42"/>
      <c r="CV245" s="42"/>
      <c r="CW245" s="42"/>
      <c r="CX245" s="42"/>
      <c r="CY245" s="42"/>
      <c r="CZ245" s="42"/>
      <c r="DA245" s="42"/>
      <c r="DB245" s="42"/>
      <c r="DC245" s="42"/>
      <c r="DD245" s="42"/>
      <c r="DE245" s="42"/>
      <c r="DF245" s="42"/>
      <c r="DG245" s="42"/>
      <c r="DH245" s="42"/>
      <c r="DI245" s="42"/>
      <c r="DJ245" s="42"/>
      <c r="DK245" s="42"/>
      <c r="DL245" s="42"/>
      <c r="DM245" s="42"/>
      <c r="DN245" s="42"/>
      <c r="DO245" s="42"/>
      <c r="DP245" s="42"/>
      <c r="DQ245" s="42"/>
      <c r="DR245" s="42"/>
      <c r="DS245" s="42"/>
      <c r="DT245" s="42"/>
      <c r="DU245" s="42"/>
      <c r="DV245" s="42"/>
      <c r="DW245" s="42"/>
      <c r="DX245" s="42"/>
      <c r="DY245" s="42"/>
      <c r="DZ245" s="42"/>
      <c r="EA245" s="42"/>
      <c r="EB245" s="42"/>
      <c r="EC245" s="42"/>
      <c r="ED245" s="42"/>
      <c r="EE245" s="42"/>
      <c r="EF245" s="42"/>
      <c r="EG245" s="42"/>
      <c r="EH245" s="42"/>
      <c r="EI245" s="42"/>
      <c r="EJ245" s="42"/>
      <c r="EK245" s="42"/>
      <c r="EL245" s="42"/>
      <c r="EM245" s="42"/>
      <c r="EN245" s="42"/>
      <c r="EO245" s="42"/>
      <c r="EP245" s="42"/>
      <c r="EQ245" s="42"/>
      <c r="ER245" s="42"/>
      <c r="ES245" s="42"/>
      <c r="ET245" s="42"/>
      <c r="EU245" s="42"/>
      <c r="EV245" s="42"/>
      <c r="EW245" s="42"/>
      <c r="EX245" s="42"/>
      <c r="EY245" s="42"/>
      <c r="EZ245" s="42"/>
      <c r="FA245" s="42"/>
      <c r="FB245" s="42"/>
      <c r="FC245" s="42"/>
      <c r="FD245" s="42"/>
      <c r="FE245" s="42"/>
      <c r="FF245" s="42"/>
      <c r="FG245" s="42"/>
      <c r="FH245" s="42"/>
      <c r="FI245" s="42"/>
      <c r="FJ245" s="42"/>
      <c r="FK245" s="42"/>
      <c r="FL245" s="42"/>
      <c r="FM245" s="42"/>
      <c r="FN245" s="42"/>
      <c r="FO245" s="42"/>
      <c r="FP245" s="42"/>
      <c r="FQ245" s="42"/>
      <c r="FR245" s="42"/>
      <c r="FS245" s="42"/>
      <c r="FT245" s="42"/>
      <c r="FU245" s="42"/>
      <c r="FV245" s="42"/>
      <c r="FW245" s="42"/>
      <c r="FX245" s="42"/>
      <c r="FY245" s="42"/>
      <c r="FZ245" s="42"/>
      <c r="GA245" s="42"/>
      <c r="GB245" s="42"/>
      <c r="GC245" s="42"/>
      <c r="GD245" s="42"/>
      <c r="GE245" s="42"/>
      <c r="GF245" s="42"/>
      <c r="GG245" s="42"/>
      <c r="GH245" s="42"/>
      <c r="GI245" s="42"/>
      <c r="GJ245" s="42"/>
      <c r="GK245" s="42"/>
      <c r="GL245" s="42"/>
      <c r="GM245" s="42"/>
      <c r="GN245" s="42"/>
      <c r="GO245" s="42"/>
      <c r="GP245" s="42"/>
      <c r="GQ245" s="42"/>
      <c r="GR245" s="42"/>
      <c r="GS245" s="42"/>
      <c r="GT245" s="42"/>
      <c r="GU245" s="42"/>
      <c r="GV245" s="42"/>
      <c r="GW245" s="42"/>
      <c r="GX245" s="42"/>
      <c r="GY245" s="42"/>
      <c r="GZ245" s="42"/>
      <c r="HA245" s="42"/>
      <c r="HB245" s="42"/>
      <c r="HC245" s="42"/>
      <c r="HD245" s="42"/>
      <c r="HE245" s="42"/>
      <c r="HF245" s="42"/>
      <c r="HG245" s="42"/>
      <c r="HH245" s="42"/>
      <c r="HI245" s="42"/>
      <c r="HJ245" s="42"/>
      <c r="HK245" s="42"/>
      <c r="HL245" s="42"/>
      <c r="HM245" s="42"/>
      <c r="HN245" s="42"/>
      <c r="HO245" s="42"/>
      <c r="HP245" s="42"/>
      <c r="HQ245" s="42"/>
      <c r="HR245" s="42"/>
      <c r="HS245" s="42"/>
      <c r="HT245" s="42"/>
      <c r="HU245" s="42"/>
      <c r="HV245" s="42"/>
      <c r="HW245" s="42"/>
      <c r="HX245" s="42"/>
      <c r="HY245" s="42"/>
      <c r="HZ245" s="42"/>
      <c r="IA245" s="42"/>
      <c r="IB245" s="42"/>
      <c r="IC245" s="42"/>
      <c r="ID245" s="42"/>
      <c r="IE245" s="42"/>
      <c r="IF245" s="42"/>
      <c r="IG245" s="42"/>
      <c r="IH245" s="42"/>
      <c r="II245" s="42"/>
      <c r="IJ245" s="42"/>
      <c r="IK245" s="42"/>
      <c r="IL245" s="42"/>
      <c r="IM245" s="42"/>
      <c r="IN245" s="42"/>
      <c r="IO245" s="42"/>
      <c r="IP245" s="42"/>
      <c r="IQ245" s="42"/>
      <c r="IR245" s="42"/>
      <c r="IS245" s="42"/>
      <c r="IT245" s="42"/>
      <c r="IU245" s="42"/>
      <c r="IV245" s="42"/>
      <c r="IW245" s="42"/>
      <c r="IX245" s="42"/>
      <c r="IY245" s="42"/>
      <c r="IZ245" s="42"/>
      <c r="JA245" s="42"/>
      <c r="JB245" s="42"/>
      <c r="JC245" s="42"/>
      <c r="JD245" s="42"/>
      <c r="JE245" s="42"/>
      <c r="JF245" s="42"/>
      <c r="JG245" s="42"/>
      <c r="JH245" s="42"/>
      <c r="JI245" s="42"/>
      <c r="JJ245" s="42"/>
      <c r="JK245" s="42"/>
      <c r="JL245" s="42"/>
      <c r="JM245" s="42"/>
      <c r="JN245" s="42"/>
      <c r="JO245" s="42"/>
      <c r="JP245" s="42"/>
      <c r="JQ245" s="42"/>
      <c r="JR245" s="42"/>
      <c r="JS245" s="42"/>
      <c r="JT245" s="42"/>
      <c r="JU245" s="42"/>
      <c r="JV245" s="42"/>
      <c r="JW245" s="42"/>
      <c r="JX245" s="42"/>
      <c r="JY245" s="42"/>
      <c r="JZ245" s="42"/>
      <c r="KA245" s="42"/>
      <c r="KB245" s="42"/>
      <c r="KC245" s="42"/>
      <c r="KD245" s="42"/>
      <c r="KE245" s="42"/>
      <c r="KF245" s="42"/>
      <c r="KG245" s="42"/>
      <c r="KH245" s="42"/>
      <c r="KI245" s="42"/>
      <c r="KJ245" s="42"/>
      <c r="KK245" s="42"/>
      <c r="KL245" s="42"/>
      <c r="KM245" s="42"/>
      <c r="KN245" s="42"/>
      <c r="KO245" s="42"/>
      <c r="KP245" s="42"/>
      <c r="KQ245" s="42"/>
      <c r="KR245" s="42"/>
      <c r="KS245" s="42"/>
      <c r="KT245" s="42"/>
      <c r="KU245" s="42"/>
      <c r="KV245" s="42"/>
      <c r="KW245" s="42"/>
      <c r="KX245" s="42"/>
      <c r="KY245" s="42"/>
      <c r="KZ245" s="42"/>
      <c r="LA245" s="42"/>
      <c r="LB245" s="42"/>
      <c r="LC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c r="BA246" s="42"/>
      <c r="BB246" s="42"/>
      <c r="BC246" s="42"/>
      <c r="BD246" s="42"/>
      <c r="BE246" s="42"/>
      <c r="BF246" s="42"/>
      <c r="BG246" s="42"/>
      <c r="BH246" s="42"/>
      <c r="BI246" s="42"/>
      <c r="BJ246" s="42"/>
      <c r="BK246" s="42"/>
      <c r="BL246" s="42"/>
      <c r="BM246" s="42"/>
      <c r="BN246" s="42"/>
      <c r="BO246" s="42"/>
      <c r="BP246" s="42"/>
      <c r="BQ246" s="42"/>
      <c r="BR246" s="42"/>
      <c r="BS246" s="42"/>
      <c r="BT246" s="42"/>
      <c r="BU246" s="42"/>
      <c r="BV246" s="42"/>
      <c r="BW246" s="42"/>
      <c r="BX246" s="42"/>
      <c r="BY246" s="42"/>
      <c r="BZ246" s="42"/>
      <c r="CA246" s="42"/>
      <c r="CB246" s="42"/>
      <c r="CC246" s="42"/>
      <c r="CD246" s="42"/>
      <c r="CE246" s="42"/>
      <c r="CF246" s="42"/>
      <c r="CG246" s="42"/>
      <c r="CH246" s="42"/>
      <c r="CI246" s="42"/>
      <c r="CJ246" s="42"/>
      <c r="CK246" s="42"/>
      <c r="CL246" s="42"/>
      <c r="CM246" s="42"/>
      <c r="CN246" s="42"/>
      <c r="CO246" s="42"/>
      <c r="CP246" s="42"/>
      <c r="CQ246" s="42"/>
      <c r="CR246" s="42"/>
      <c r="CS246" s="42"/>
      <c r="CT246" s="42"/>
      <c r="CU246" s="42"/>
      <c r="CV246" s="42"/>
      <c r="CW246" s="42"/>
      <c r="CX246" s="42"/>
      <c r="CY246" s="42"/>
      <c r="CZ246" s="42"/>
      <c r="DA246" s="42"/>
      <c r="DB246" s="42"/>
      <c r="DC246" s="42"/>
      <c r="DD246" s="42"/>
      <c r="DE246" s="42"/>
      <c r="DF246" s="42"/>
      <c r="DG246" s="42"/>
      <c r="DH246" s="42"/>
      <c r="DI246" s="42"/>
      <c r="DJ246" s="42"/>
      <c r="DK246" s="42"/>
      <c r="DL246" s="42"/>
      <c r="DM246" s="42"/>
      <c r="DN246" s="42"/>
      <c r="DO246" s="42"/>
      <c r="DP246" s="42"/>
      <c r="DQ246" s="42"/>
      <c r="DR246" s="42"/>
      <c r="DS246" s="42"/>
      <c r="DT246" s="42"/>
      <c r="DU246" s="42"/>
      <c r="DV246" s="42"/>
      <c r="DW246" s="42"/>
      <c r="DX246" s="42"/>
      <c r="DY246" s="42"/>
      <c r="DZ246" s="42"/>
      <c r="EA246" s="42"/>
      <c r="EB246" s="42"/>
      <c r="EC246" s="42"/>
      <c r="ED246" s="42"/>
      <c r="EE246" s="42"/>
      <c r="EF246" s="42"/>
      <c r="EG246" s="42"/>
      <c r="EH246" s="42"/>
      <c r="EI246" s="42"/>
      <c r="EJ246" s="42"/>
      <c r="EK246" s="42"/>
      <c r="EL246" s="42"/>
      <c r="EM246" s="42"/>
      <c r="EN246" s="42"/>
      <c r="EO246" s="42"/>
      <c r="EP246" s="42"/>
      <c r="EQ246" s="42"/>
      <c r="ER246" s="42"/>
      <c r="ES246" s="42"/>
      <c r="ET246" s="42"/>
      <c r="EU246" s="42"/>
      <c r="EV246" s="42"/>
      <c r="EW246" s="42"/>
      <c r="EX246" s="42"/>
      <c r="EY246" s="42"/>
      <c r="EZ246" s="42"/>
      <c r="FA246" s="42"/>
      <c r="FB246" s="42"/>
      <c r="FC246" s="42"/>
      <c r="FD246" s="42"/>
      <c r="FE246" s="42"/>
      <c r="FF246" s="42"/>
      <c r="FG246" s="42"/>
      <c r="FH246" s="42"/>
      <c r="FI246" s="42"/>
      <c r="FJ246" s="42"/>
      <c r="FK246" s="42"/>
      <c r="FL246" s="42"/>
      <c r="FM246" s="42"/>
      <c r="FN246" s="42"/>
      <c r="FO246" s="42"/>
      <c r="FP246" s="42"/>
      <c r="FQ246" s="42"/>
      <c r="FR246" s="42"/>
      <c r="FS246" s="42"/>
      <c r="FT246" s="42"/>
      <c r="FU246" s="42"/>
      <c r="FV246" s="42"/>
      <c r="FW246" s="42"/>
      <c r="FX246" s="42"/>
      <c r="FY246" s="42"/>
      <c r="FZ246" s="42"/>
      <c r="GA246" s="42"/>
      <c r="GB246" s="42"/>
      <c r="GC246" s="42"/>
      <c r="GD246" s="42"/>
      <c r="GE246" s="42"/>
      <c r="GF246" s="42"/>
      <c r="GG246" s="42"/>
      <c r="GH246" s="42"/>
      <c r="GI246" s="42"/>
      <c r="GJ246" s="42"/>
      <c r="GK246" s="42"/>
      <c r="GL246" s="42"/>
      <c r="GM246" s="42"/>
      <c r="GN246" s="42"/>
      <c r="GO246" s="42"/>
      <c r="GP246" s="42"/>
      <c r="GQ246" s="42"/>
      <c r="GR246" s="42"/>
      <c r="GS246" s="42"/>
      <c r="GT246" s="42"/>
      <c r="GU246" s="42"/>
      <c r="GV246" s="42"/>
      <c r="GW246" s="42"/>
      <c r="GX246" s="42"/>
      <c r="GY246" s="42"/>
      <c r="GZ246" s="42"/>
      <c r="HA246" s="42"/>
      <c r="HB246" s="42"/>
      <c r="HC246" s="42"/>
      <c r="HD246" s="42"/>
      <c r="HE246" s="42"/>
      <c r="HF246" s="42"/>
      <c r="HG246" s="42"/>
      <c r="HH246" s="42"/>
      <c r="HI246" s="42"/>
      <c r="HJ246" s="42"/>
      <c r="HK246" s="42"/>
      <c r="HL246" s="42"/>
      <c r="HM246" s="42"/>
      <c r="HN246" s="42"/>
      <c r="HO246" s="42"/>
      <c r="HP246" s="42"/>
      <c r="HQ246" s="42"/>
      <c r="HR246" s="42"/>
      <c r="HS246" s="42"/>
      <c r="HT246" s="42"/>
      <c r="HU246" s="42"/>
      <c r="HV246" s="42"/>
      <c r="HW246" s="42"/>
      <c r="HX246" s="42"/>
      <c r="HY246" s="42"/>
      <c r="HZ246" s="42"/>
      <c r="IA246" s="42"/>
      <c r="IB246" s="42"/>
      <c r="IC246" s="42"/>
      <c r="ID246" s="42"/>
      <c r="IE246" s="42"/>
      <c r="IF246" s="42"/>
      <c r="IG246" s="42"/>
      <c r="IH246" s="42"/>
      <c r="II246" s="42"/>
      <c r="IJ246" s="42"/>
      <c r="IK246" s="42"/>
      <c r="IL246" s="42"/>
      <c r="IM246" s="42"/>
      <c r="IN246" s="42"/>
      <c r="IO246" s="42"/>
      <c r="IP246" s="42"/>
      <c r="IQ246" s="42"/>
      <c r="IR246" s="42"/>
      <c r="IS246" s="42"/>
      <c r="IT246" s="42"/>
      <c r="IU246" s="42"/>
      <c r="IV246" s="42"/>
      <c r="IW246" s="42"/>
      <c r="IX246" s="42"/>
      <c r="IY246" s="42"/>
      <c r="IZ246" s="42"/>
      <c r="JA246" s="42"/>
      <c r="JB246" s="42"/>
      <c r="JC246" s="42"/>
      <c r="JD246" s="42"/>
      <c r="JE246" s="42"/>
      <c r="JF246" s="42"/>
      <c r="JG246" s="42"/>
      <c r="JH246" s="42"/>
      <c r="JI246" s="42"/>
      <c r="JJ246" s="42"/>
      <c r="JK246" s="42"/>
      <c r="JL246" s="42"/>
      <c r="JM246" s="42"/>
      <c r="JN246" s="42"/>
      <c r="JO246" s="42"/>
      <c r="JP246" s="42"/>
      <c r="JQ246" s="42"/>
      <c r="JR246" s="42"/>
      <c r="JS246" s="42"/>
      <c r="JT246" s="42"/>
      <c r="JU246" s="42"/>
      <c r="JV246" s="42"/>
      <c r="JW246" s="42"/>
      <c r="JX246" s="42"/>
      <c r="JY246" s="42"/>
      <c r="JZ246" s="42"/>
      <c r="KA246" s="42"/>
      <c r="KB246" s="42"/>
      <c r="KC246" s="42"/>
      <c r="KD246" s="42"/>
      <c r="KE246" s="42"/>
      <c r="KF246" s="42"/>
      <c r="KG246" s="42"/>
      <c r="KH246" s="42"/>
      <c r="KI246" s="42"/>
      <c r="KJ246" s="42"/>
      <c r="KK246" s="42"/>
      <c r="KL246" s="42"/>
      <c r="KM246" s="42"/>
      <c r="KN246" s="42"/>
      <c r="KO246" s="42"/>
      <c r="KP246" s="42"/>
      <c r="KQ246" s="42"/>
      <c r="KR246" s="42"/>
      <c r="KS246" s="42"/>
      <c r="KT246" s="42"/>
      <c r="KU246" s="42"/>
      <c r="KV246" s="42"/>
      <c r="KW246" s="42"/>
      <c r="KX246" s="42"/>
      <c r="KY246" s="42"/>
      <c r="KZ246" s="42"/>
      <c r="LA246" s="42"/>
      <c r="LB246" s="42"/>
      <c r="LC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c r="AR247" s="42"/>
      <c r="AS247" s="42"/>
      <c r="AT247" s="42"/>
      <c r="AU247" s="42"/>
      <c r="AV247" s="42"/>
      <c r="AW247" s="42"/>
      <c r="AX247" s="42"/>
      <c r="AY247" s="42"/>
      <c r="AZ247" s="42"/>
      <c r="BA247" s="42"/>
      <c r="BB247" s="42"/>
      <c r="BC247" s="42"/>
      <c r="BD247" s="42"/>
      <c r="BE247" s="42"/>
      <c r="BF247" s="42"/>
      <c r="BG247" s="42"/>
      <c r="BH247" s="42"/>
      <c r="BI247" s="42"/>
      <c r="BJ247" s="42"/>
      <c r="BK247" s="42"/>
      <c r="BL247" s="42"/>
      <c r="BM247" s="42"/>
      <c r="BN247" s="42"/>
      <c r="BO247" s="42"/>
      <c r="BP247" s="42"/>
      <c r="BQ247" s="42"/>
      <c r="BR247" s="42"/>
      <c r="BS247" s="42"/>
      <c r="BT247" s="42"/>
      <c r="BU247" s="42"/>
      <c r="BV247" s="42"/>
      <c r="BW247" s="42"/>
      <c r="BX247" s="42"/>
      <c r="BY247" s="42"/>
      <c r="BZ247" s="42"/>
      <c r="CA247" s="42"/>
      <c r="CB247" s="42"/>
      <c r="CC247" s="42"/>
      <c r="CD247" s="42"/>
      <c r="CE247" s="42"/>
      <c r="CF247" s="42"/>
      <c r="CG247" s="42"/>
      <c r="CH247" s="42"/>
      <c r="CI247" s="42"/>
      <c r="CJ247" s="42"/>
      <c r="CK247" s="42"/>
      <c r="CL247" s="42"/>
      <c r="CM247" s="42"/>
      <c r="CN247" s="42"/>
      <c r="CO247" s="42"/>
      <c r="CP247" s="42"/>
      <c r="CQ247" s="42"/>
      <c r="CR247" s="42"/>
      <c r="CS247" s="42"/>
      <c r="CT247" s="42"/>
      <c r="CU247" s="42"/>
      <c r="CV247" s="42"/>
      <c r="CW247" s="42"/>
      <c r="CX247" s="42"/>
      <c r="CY247" s="42"/>
      <c r="CZ247" s="42"/>
      <c r="DA247" s="42"/>
      <c r="DB247" s="42"/>
      <c r="DC247" s="42"/>
      <c r="DD247" s="42"/>
      <c r="DE247" s="42"/>
      <c r="DF247" s="42"/>
      <c r="DG247" s="42"/>
      <c r="DH247" s="42"/>
      <c r="DI247" s="42"/>
      <c r="DJ247" s="42"/>
      <c r="DK247" s="42"/>
      <c r="DL247" s="42"/>
      <c r="DM247" s="42"/>
      <c r="DN247" s="42"/>
      <c r="DO247" s="42"/>
      <c r="DP247" s="42"/>
      <c r="DQ247" s="42"/>
      <c r="DR247" s="42"/>
      <c r="DS247" s="42"/>
      <c r="DT247" s="42"/>
      <c r="DU247" s="42"/>
      <c r="DV247" s="42"/>
      <c r="DW247" s="42"/>
      <c r="DX247" s="42"/>
      <c r="DY247" s="42"/>
      <c r="DZ247" s="42"/>
      <c r="EA247" s="42"/>
      <c r="EB247" s="42"/>
      <c r="EC247" s="42"/>
      <c r="ED247" s="42"/>
      <c r="EE247" s="42"/>
      <c r="EF247" s="42"/>
      <c r="EG247" s="42"/>
      <c r="EH247" s="42"/>
      <c r="EI247" s="42"/>
      <c r="EJ247" s="42"/>
      <c r="EK247" s="42"/>
      <c r="EL247" s="42"/>
      <c r="EM247" s="42"/>
      <c r="EN247" s="42"/>
      <c r="EO247" s="42"/>
      <c r="EP247" s="42"/>
      <c r="EQ247" s="42"/>
      <c r="ER247" s="42"/>
      <c r="ES247" s="42"/>
      <c r="ET247" s="42"/>
      <c r="EU247" s="42"/>
      <c r="EV247" s="42"/>
      <c r="EW247" s="42"/>
      <c r="EX247" s="42"/>
      <c r="EY247" s="42"/>
      <c r="EZ247" s="42"/>
      <c r="FA247" s="42"/>
      <c r="FB247" s="42"/>
      <c r="FC247" s="42"/>
      <c r="FD247" s="42"/>
      <c r="FE247" s="42"/>
      <c r="FF247" s="42"/>
      <c r="FG247" s="42"/>
      <c r="FH247" s="42"/>
      <c r="FI247" s="42"/>
      <c r="FJ247" s="42"/>
      <c r="FK247" s="42"/>
      <c r="FL247" s="42"/>
      <c r="FM247" s="42"/>
      <c r="FN247" s="42"/>
      <c r="FO247" s="42"/>
      <c r="FP247" s="42"/>
      <c r="FQ247" s="42"/>
      <c r="FR247" s="42"/>
      <c r="FS247" s="42"/>
      <c r="FT247" s="42"/>
      <c r="FU247" s="42"/>
      <c r="FV247" s="42"/>
      <c r="FW247" s="42"/>
      <c r="FX247" s="42"/>
      <c r="FY247" s="42"/>
      <c r="FZ247" s="42"/>
      <c r="GA247" s="42"/>
      <c r="GB247" s="42"/>
      <c r="GC247" s="42"/>
      <c r="GD247" s="42"/>
      <c r="GE247" s="42"/>
      <c r="GF247" s="42"/>
      <c r="GG247" s="42"/>
      <c r="GH247" s="42"/>
      <c r="GI247" s="42"/>
      <c r="GJ247" s="42"/>
      <c r="GK247" s="42"/>
      <c r="GL247" s="42"/>
      <c r="GM247" s="42"/>
      <c r="GN247" s="42"/>
      <c r="GO247" s="42"/>
      <c r="GP247" s="42"/>
      <c r="GQ247" s="42"/>
      <c r="GR247" s="42"/>
      <c r="GS247" s="42"/>
      <c r="GT247" s="42"/>
      <c r="GU247" s="42"/>
      <c r="GV247" s="42"/>
      <c r="GW247" s="42"/>
      <c r="GX247" s="42"/>
      <c r="GY247" s="42"/>
      <c r="GZ247" s="42"/>
      <c r="HA247" s="42"/>
      <c r="HB247" s="42"/>
      <c r="HC247" s="42"/>
      <c r="HD247" s="42"/>
      <c r="HE247" s="42"/>
      <c r="HF247" s="42"/>
      <c r="HG247" s="42"/>
      <c r="HH247" s="42"/>
      <c r="HI247" s="42"/>
      <c r="HJ247" s="42"/>
      <c r="HK247" s="42"/>
      <c r="HL247" s="42"/>
      <c r="HM247" s="42"/>
      <c r="HN247" s="42"/>
      <c r="HO247" s="42"/>
      <c r="HP247" s="42"/>
      <c r="HQ247" s="42"/>
      <c r="HR247" s="42"/>
      <c r="HS247" s="42"/>
      <c r="HT247" s="42"/>
      <c r="HU247" s="42"/>
      <c r="HV247" s="42"/>
      <c r="HW247" s="42"/>
      <c r="HX247" s="42"/>
      <c r="HY247" s="42"/>
      <c r="HZ247" s="42"/>
      <c r="IA247" s="42"/>
      <c r="IB247" s="42"/>
      <c r="IC247" s="42"/>
      <c r="ID247" s="42"/>
      <c r="IE247" s="42"/>
      <c r="IF247" s="42"/>
      <c r="IG247" s="42"/>
      <c r="IH247" s="42"/>
      <c r="II247" s="42"/>
      <c r="IJ247" s="42"/>
      <c r="IK247" s="42"/>
      <c r="IL247" s="42"/>
      <c r="IM247" s="42"/>
      <c r="IN247" s="42"/>
      <c r="IO247" s="42"/>
      <c r="IP247" s="42"/>
      <c r="IQ247" s="42"/>
      <c r="IR247" s="42"/>
      <c r="IS247" s="42"/>
      <c r="IT247" s="42"/>
      <c r="IU247" s="42"/>
      <c r="IV247" s="42"/>
      <c r="IW247" s="42"/>
      <c r="IX247" s="42"/>
      <c r="IY247" s="42"/>
      <c r="IZ247" s="42"/>
      <c r="JA247" s="42"/>
      <c r="JB247" s="42"/>
      <c r="JC247" s="42"/>
      <c r="JD247" s="42"/>
      <c r="JE247" s="42"/>
      <c r="JF247" s="42"/>
      <c r="JG247" s="42"/>
      <c r="JH247" s="42"/>
      <c r="JI247" s="42"/>
      <c r="JJ247" s="42"/>
      <c r="JK247" s="42"/>
      <c r="JL247" s="42"/>
      <c r="JM247" s="42"/>
      <c r="JN247" s="42"/>
      <c r="JO247" s="42"/>
      <c r="JP247" s="42"/>
      <c r="JQ247" s="42"/>
      <c r="JR247" s="42"/>
      <c r="JS247" s="42"/>
      <c r="JT247" s="42"/>
      <c r="JU247" s="42"/>
      <c r="JV247" s="42"/>
      <c r="JW247" s="42"/>
      <c r="JX247" s="42"/>
      <c r="JY247" s="42"/>
      <c r="JZ247" s="42"/>
      <c r="KA247" s="42"/>
      <c r="KB247" s="42"/>
      <c r="KC247" s="42"/>
      <c r="KD247" s="42"/>
      <c r="KE247" s="42"/>
      <c r="KF247" s="42"/>
      <c r="KG247" s="42"/>
      <c r="KH247" s="42"/>
      <c r="KI247" s="42"/>
      <c r="KJ247" s="42"/>
      <c r="KK247" s="42"/>
      <c r="KL247" s="42"/>
      <c r="KM247" s="42"/>
      <c r="KN247" s="42"/>
      <c r="KO247" s="42"/>
      <c r="KP247" s="42"/>
      <c r="KQ247" s="42"/>
      <c r="KR247" s="42"/>
      <c r="KS247" s="42"/>
      <c r="KT247" s="42"/>
      <c r="KU247" s="42"/>
      <c r="KV247" s="42"/>
      <c r="KW247" s="42"/>
      <c r="KX247" s="42"/>
      <c r="KY247" s="42"/>
      <c r="KZ247" s="42"/>
      <c r="LA247" s="42"/>
      <c r="LB247" s="42"/>
      <c r="LC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c r="BC248" s="42"/>
      <c r="BD248" s="42"/>
      <c r="BE248" s="42"/>
      <c r="BF248" s="42"/>
      <c r="BG248" s="42"/>
      <c r="BH248" s="42"/>
      <c r="BI248" s="42"/>
      <c r="BJ248" s="42"/>
      <c r="BK248" s="42"/>
      <c r="BL248" s="42"/>
      <c r="BM248" s="42"/>
      <c r="BN248" s="42"/>
      <c r="BO248" s="42"/>
      <c r="BP248" s="42"/>
      <c r="BQ248" s="42"/>
      <c r="BR248" s="42"/>
      <c r="BS248" s="42"/>
      <c r="BT248" s="42"/>
      <c r="BU248" s="42"/>
      <c r="BV248" s="42"/>
      <c r="BW248" s="42"/>
      <c r="BX248" s="42"/>
      <c r="BY248" s="42"/>
      <c r="BZ248" s="42"/>
      <c r="CA248" s="42"/>
      <c r="CB248" s="42"/>
      <c r="CC248" s="42"/>
      <c r="CD248" s="42"/>
      <c r="CE248" s="42"/>
      <c r="CF248" s="42"/>
      <c r="CG248" s="42"/>
      <c r="CH248" s="42"/>
      <c r="CI248" s="42"/>
      <c r="CJ248" s="42"/>
      <c r="CK248" s="42"/>
      <c r="CL248" s="42"/>
      <c r="CM248" s="42"/>
      <c r="CN248" s="42"/>
      <c r="CO248" s="42"/>
      <c r="CP248" s="42"/>
      <c r="CQ248" s="42"/>
      <c r="CR248" s="42"/>
      <c r="CS248" s="42"/>
      <c r="CT248" s="42"/>
      <c r="CU248" s="42"/>
      <c r="CV248" s="42"/>
      <c r="CW248" s="42"/>
      <c r="CX248" s="42"/>
      <c r="CY248" s="42"/>
      <c r="CZ248" s="42"/>
      <c r="DA248" s="42"/>
      <c r="DB248" s="42"/>
      <c r="DC248" s="42"/>
      <c r="DD248" s="42"/>
      <c r="DE248" s="42"/>
      <c r="DF248" s="42"/>
      <c r="DG248" s="42"/>
      <c r="DH248" s="42"/>
      <c r="DI248" s="42"/>
      <c r="DJ248" s="42"/>
      <c r="DK248" s="42"/>
      <c r="DL248" s="42"/>
      <c r="DM248" s="42"/>
      <c r="DN248" s="42"/>
      <c r="DO248" s="42"/>
      <c r="DP248" s="42"/>
      <c r="DQ248" s="42"/>
      <c r="DR248" s="42"/>
      <c r="DS248" s="42"/>
      <c r="DT248" s="42"/>
      <c r="DU248" s="42"/>
      <c r="DV248" s="42"/>
      <c r="DW248" s="42"/>
      <c r="DX248" s="42"/>
      <c r="DY248" s="42"/>
      <c r="DZ248" s="42"/>
      <c r="EA248" s="42"/>
      <c r="EB248" s="42"/>
      <c r="EC248" s="42"/>
      <c r="ED248" s="42"/>
      <c r="EE248" s="42"/>
      <c r="EF248" s="42"/>
      <c r="EG248" s="42"/>
      <c r="EH248" s="42"/>
      <c r="EI248" s="42"/>
      <c r="EJ248" s="42"/>
      <c r="EK248" s="42"/>
      <c r="EL248" s="42"/>
      <c r="EM248" s="42"/>
      <c r="EN248" s="42"/>
      <c r="EO248" s="42"/>
      <c r="EP248" s="42"/>
      <c r="EQ248" s="42"/>
      <c r="ER248" s="42"/>
      <c r="ES248" s="42"/>
      <c r="ET248" s="42"/>
      <c r="EU248" s="42"/>
      <c r="EV248" s="42"/>
      <c r="EW248" s="42"/>
      <c r="EX248" s="42"/>
      <c r="EY248" s="42"/>
      <c r="EZ248" s="42"/>
      <c r="FA248" s="42"/>
      <c r="FB248" s="42"/>
      <c r="FC248" s="42"/>
      <c r="FD248" s="42"/>
      <c r="FE248" s="42"/>
      <c r="FF248" s="42"/>
      <c r="FG248" s="42"/>
      <c r="FH248" s="42"/>
      <c r="FI248" s="42"/>
      <c r="FJ248" s="42"/>
      <c r="FK248" s="42"/>
      <c r="FL248" s="42"/>
      <c r="FM248" s="42"/>
      <c r="FN248" s="42"/>
      <c r="FO248" s="42"/>
      <c r="FP248" s="42"/>
      <c r="FQ248" s="42"/>
      <c r="FR248" s="42"/>
      <c r="FS248" s="42"/>
      <c r="FT248" s="42"/>
      <c r="FU248" s="42"/>
      <c r="FV248" s="42"/>
      <c r="FW248" s="42"/>
      <c r="FX248" s="42"/>
      <c r="FY248" s="42"/>
      <c r="FZ248" s="42"/>
      <c r="GA248" s="42"/>
      <c r="GB248" s="42"/>
      <c r="GC248" s="42"/>
      <c r="GD248" s="42"/>
      <c r="GE248" s="42"/>
      <c r="GF248" s="42"/>
      <c r="GG248" s="42"/>
      <c r="GH248" s="42"/>
      <c r="GI248" s="42"/>
      <c r="GJ248" s="42"/>
      <c r="GK248" s="42"/>
      <c r="GL248" s="42"/>
      <c r="GM248" s="42"/>
      <c r="GN248" s="42"/>
      <c r="GO248" s="42"/>
      <c r="GP248" s="42"/>
      <c r="GQ248" s="42"/>
      <c r="GR248" s="42"/>
      <c r="GS248" s="42"/>
      <c r="GT248" s="42"/>
      <c r="GU248" s="42"/>
      <c r="GV248" s="42"/>
      <c r="GW248" s="42"/>
      <c r="GX248" s="42"/>
      <c r="GY248" s="42"/>
      <c r="GZ248" s="42"/>
      <c r="HA248" s="42"/>
      <c r="HB248" s="42"/>
      <c r="HC248" s="42"/>
      <c r="HD248" s="42"/>
      <c r="HE248" s="42"/>
      <c r="HF248" s="42"/>
      <c r="HG248" s="42"/>
      <c r="HH248" s="42"/>
      <c r="HI248" s="42"/>
      <c r="HJ248" s="42"/>
      <c r="HK248" s="42"/>
      <c r="HL248" s="42"/>
      <c r="HM248" s="42"/>
      <c r="HN248" s="42"/>
      <c r="HO248" s="42"/>
      <c r="HP248" s="42"/>
      <c r="HQ248" s="42"/>
      <c r="HR248" s="42"/>
      <c r="HS248" s="42"/>
      <c r="HT248" s="42"/>
      <c r="HU248" s="42"/>
      <c r="HV248" s="42"/>
      <c r="HW248" s="42"/>
      <c r="HX248" s="42"/>
      <c r="HY248" s="42"/>
      <c r="HZ248" s="42"/>
      <c r="IA248" s="42"/>
      <c r="IB248" s="42"/>
      <c r="IC248" s="42"/>
      <c r="ID248" s="42"/>
      <c r="IE248" s="42"/>
      <c r="IF248" s="42"/>
      <c r="IG248" s="42"/>
      <c r="IH248" s="42"/>
      <c r="II248" s="42"/>
      <c r="IJ248" s="42"/>
      <c r="IK248" s="42"/>
      <c r="IL248" s="42"/>
      <c r="IM248" s="42"/>
      <c r="IN248" s="42"/>
      <c r="IO248" s="42"/>
      <c r="IP248" s="42"/>
      <c r="IQ248" s="42"/>
      <c r="IR248" s="42"/>
      <c r="IS248" s="42"/>
      <c r="IT248" s="42"/>
      <c r="IU248" s="42"/>
      <c r="IV248" s="42"/>
      <c r="IW248" s="42"/>
      <c r="IX248" s="42"/>
      <c r="IY248" s="42"/>
      <c r="IZ248" s="42"/>
      <c r="JA248" s="42"/>
      <c r="JB248" s="42"/>
      <c r="JC248" s="42"/>
      <c r="JD248" s="42"/>
      <c r="JE248" s="42"/>
      <c r="JF248" s="42"/>
      <c r="JG248" s="42"/>
      <c r="JH248" s="42"/>
      <c r="JI248" s="42"/>
      <c r="JJ248" s="42"/>
      <c r="JK248" s="42"/>
      <c r="JL248" s="42"/>
      <c r="JM248" s="42"/>
      <c r="JN248" s="42"/>
      <c r="JO248" s="42"/>
      <c r="JP248" s="42"/>
      <c r="JQ248" s="42"/>
      <c r="JR248" s="42"/>
      <c r="JS248" s="42"/>
      <c r="JT248" s="42"/>
      <c r="JU248" s="42"/>
      <c r="JV248" s="42"/>
      <c r="JW248" s="42"/>
      <c r="JX248" s="42"/>
      <c r="JY248" s="42"/>
      <c r="JZ248" s="42"/>
      <c r="KA248" s="42"/>
      <c r="KB248" s="42"/>
      <c r="KC248" s="42"/>
      <c r="KD248" s="42"/>
      <c r="KE248" s="42"/>
      <c r="KF248" s="42"/>
      <c r="KG248" s="42"/>
      <c r="KH248" s="42"/>
      <c r="KI248" s="42"/>
      <c r="KJ248" s="42"/>
      <c r="KK248" s="42"/>
      <c r="KL248" s="42"/>
      <c r="KM248" s="42"/>
      <c r="KN248" s="42"/>
      <c r="KO248" s="42"/>
      <c r="KP248" s="42"/>
      <c r="KQ248" s="42"/>
      <c r="KR248" s="42"/>
      <c r="KS248" s="42"/>
      <c r="KT248" s="42"/>
      <c r="KU248" s="42"/>
      <c r="KV248" s="42"/>
      <c r="KW248" s="42"/>
      <c r="KX248" s="42"/>
      <c r="KY248" s="42"/>
      <c r="KZ248" s="42"/>
      <c r="LA248" s="42"/>
      <c r="LB248" s="42"/>
      <c r="LC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c r="BA249" s="42"/>
      <c r="BB249" s="42"/>
      <c r="BC249" s="42"/>
      <c r="BD249" s="42"/>
      <c r="BE249" s="42"/>
      <c r="BF249" s="42"/>
      <c r="BG249" s="42"/>
      <c r="BH249" s="42"/>
      <c r="BI249" s="42"/>
      <c r="BJ249" s="42"/>
      <c r="BK249" s="42"/>
      <c r="BL249" s="42"/>
      <c r="BM249" s="42"/>
      <c r="BN249" s="42"/>
      <c r="BO249" s="42"/>
      <c r="BP249" s="42"/>
      <c r="BQ249" s="42"/>
      <c r="BR249" s="42"/>
      <c r="BS249" s="42"/>
      <c r="BT249" s="42"/>
      <c r="BU249" s="42"/>
      <c r="BV249" s="42"/>
      <c r="BW249" s="42"/>
      <c r="BX249" s="42"/>
      <c r="BY249" s="42"/>
      <c r="BZ249" s="42"/>
      <c r="CA249" s="42"/>
      <c r="CB249" s="42"/>
      <c r="CC249" s="42"/>
      <c r="CD249" s="42"/>
      <c r="CE249" s="42"/>
      <c r="CF249" s="42"/>
      <c r="CG249" s="42"/>
      <c r="CH249" s="42"/>
      <c r="CI249" s="42"/>
      <c r="CJ249" s="42"/>
      <c r="CK249" s="42"/>
      <c r="CL249" s="42"/>
      <c r="CM249" s="42"/>
      <c r="CN249" s="42"/>
      <c r="CO249" s="42"/>
      <c r="CP249" s="42"/>
      <c r="CQ249" s="42"/>
      <c r="CR249" s="42"/>
      <c r="CS249" s="42"/>
      <c r="CT249" s="42"/>
      <c r="CU249" s="42"/>
      <c r="CV249" s="42"/>
      <c r="CW249" s="42"/>
      <c r="CX249" s="42"/>
      <c r="CY249" s="42"/>
      <c r="CZ249" s="42"/>
      <c r="DA249" s="42"/>
      <c r="DB249" s="42"/>
      <c r="DC249" s="42"/>
      <c r="DD249" s="42"/>
      <c r="DE249" s="42"/>
      <c r="DF249" s="42"/>
      <c r="DG249" s="42"/>
      <c r="DH249" s="42"/>
      <c r="DI249" s="42"/>
      <c r="DJ249" s="42"/>
      <c r="DK249" s="42"/>
      <c r="DL249" s="42"/>
      <c r="DM249" s="42"/>
      <c r="DN249" s="42"/>
      <c r="DO249" s="42"/>
      <c r="DP249" s="42"/>
      <c r="DQ249" s="42"/>
      <c r="DR249" s="42"/>
      <c r="DS249" s="42"/>
      <c r="DT249" s="42"/>
      <c r="DU249" s="42"/>
      <c r="DV249" s="42"/>
      <c r="DW249" s="42"/>
      <c r="DX249" s="42"/>
      <c r="DY249" s="42"/>
      <c r="DZ249" s="42"/>
      <c r="EA249" s="42"/>
      <c r="EB249" s="42"/>
      <c r="EC249" s="42"/>
      <c r="ED249" s="42"/>
      <c r="EE249" s="42"/>
      <c r="EF249" s="42"/>
      <c r="EG249" s="42"/>
      <c r="EH249" s="42"/>
      <c r="EI249" s="42"/>
      <c r="EJ249" s="42"/>
      <c r="EK249" s="42"/>
      <c r="EL249" s="42"/>
      <c r="EM249" s="42"/>
      <c r="EN249" s="42"/>
      <c r="EO249" s="42"/>
      <c r="EP249" s="42"/>
      <c r="EQ249" s="42"/>
      <c r="ER249" s="42"/>
      <c r="ES249" s="42"/>
      <c r="ET249" s="42"/>
      <c r="EU249" s="42"/>
      <c r="EV249" s="42"/>
      <c r="EW249" s="42"/>
      <c r="EX249" s="42"/>
      <c r="EY249" s="42"/>
      <c r="EZ249" s="42"/>
      <c r="FA249" s="42"/>
      <c r="FB249" s="42"/>
      <c r="FC249" s="42"/>
      <c r="FD249" s="42"/>
      <c r="FE249" s="42"/>
      <c r="FF249" s="42"/>
      <c r="FG249" s="42"/>
      <c r="FH249" s="42"/>
      <c r="FI249" s="42"/>
      <c r="FJ249" s="42"/>
      <c r="FK249" s="42"/>
      <c r="FL249" s="42"/>
      <c r="FM249" s="42"/>
      <c r="FN249" s="42"/>
      <c r="FO249" s="42"/>
      <c r="FP249" s="42"/>
      <c r="FQ249" s="42"/>
      <c r="FR249" s="42"/>
      <c r="FS249" s="42"/>
      <c r="FT249" s="42"/>
      <c r="FU249" s="42"/>
      <c r="FV249" s="42"/>
      <c r="FW249" s="42"/>
      <c r="FX249" s="42"/>
      <c r="FY249" s="42"/>
      <c r="FZ249" s="42"/>
      <c r="GA249" s="42"/>
      <c r="GB249" s="42"/>
      <c r="GC249" s="42"/>
      <c r="GD249" s="42"/>
      <c r="GE249" s="42"/>
      <c r="GF249" s="42"/>
      <c r="GG249" s="42"/>
      <c r="GH249" s="42"/>
      <c r="GI249" s="42"/>
      <c r="GJ249" s="42"/>
      <c r="GK249" s="42"/>
      <c r="GL249" s="42"/>
      <c r="GM249" s="42"/>
      <c r="GN249" s="42"/>
      <c r="GO249" s="42"/>
      <c r="GP249" s="42"/>
      <c r="GQ249" s="42"/>
      <c r="GR249" s="42"/>
      <c r="GS249" s="42"/>
      <c r="GT249" s="42"/>
      <c r="GU249" s="42"/>
      <c r="GV249" s="42"/>
      <c r="GW249" s="42"/>
      <c r="GX249" s="42"/>
      <c r="GY249" s="42"/>
      <c r="GZ249" s="42"/>
      <c r="HA249" s="42"/>
      <c r="HB249" s="42"/>
      <c r="HC249" s="42"/>
      <c r="HD249" s="42"/>
      <c r="HE249" s="42"/>
      <c r="HF249" s="42"/>
      <c r="HG249" s="42"/>
      <c r="HH249" s="42"/>
      <c r="HI249" s="42"/>
      <c r="HJ249" s="42"/>
      <c r="HK249" s="42"/>
      <c r="HL249" s="42"/>
      <c r="HM249" s="42"/>
      <c r="HN249" s="42"/>
      <c r="HO249" s="42"/>
      <c r="HP249" s="42"/>
      <c r="HQ249" s="42"/>
      <c r="HR249" s="42"/>
      <c r="HS249" s="42"/>
      <c r="HT249" s="42"/>
      <c r="HU249" s="42"/>
      <c r="HV249" s="42"/>
      <c r="HW249" s="42"/>
      <c r="HX249" s="42"/>
      <c r="HY249" s="42"/>
      <c r="HZ249" s="42"/>
      <c r="IA249" s="42"/>
      <c r="IB249" s="42"/>
      <c r="IC249" s="42"/>
      <c r="ID249" s="42"/>
      <c r="IE249" s="42"/>
      <c r="IF249" s="42"/>
      <c r="IG249" s="42"/>
      <c r="IH249" s="42"/>
      <c r="II249" s="42"/>
      <c r="IJ249" s="42"/>
      <c r="IK249" s="42"/>
      <c r="IL249" s="42"/>
      <c r="IM249" s="42"/>
      <c r="IN249" s="42"/>
      <c r="IO249" s="42"/>
      <c r="IP249" s="42"/>
      <c r="IQ249" s="42"/>
      <c r="IR249" s="42"/>
      <c r="IS249" s="42"/>
      <c r="IT249" s="42"/>
      <c r="IU249" s="42"/>
      <c r="IV249" s="42"/>
      <c r="IW249" s="42"/>
      <c r="IX249" s="42"/>
      <c r="IY249" s="42"/>
      <c r="IZ249" s="42"/>
      <c r="JA249" s="42"/>
      <c r="JB249" s="42"/>
      <c r="JC249" s="42"/>
      <c r="JD249" s="42"/>
      <c r="JE249" s="42"/>
      <c r="JF249" s="42"/>
      <c r="JG249" s="42"/>
      <c r="JH249" s="42"/>
      <c r="JI249" s="42"/>
      <c r="JJ249" s="42"/>
      <c r="JK249" s="42"/>
      <c r="JL249" s="42"/>
      <c r="JM249" s="42"/>
      <c r="JN249" s="42"/>
      <c r="JO249" s="42"/>
      <c r="JP249" s="42"/>
      <c r="JQ249" s="42"/>
      <c r="JR249" s="42"/>
      <c r="JS249" s="42"/>
      <c r="JT249" s="42"/>
      <c r="JU249" s="42"/>
      <c r="JV249" s="42"/>
      <c r="JW249" s="42"/>
      <c r="JX249" s="42"/>
      <c r="JY249" s="42"/>
      <c r="JZ249" s="42"/>
      <c r="KA249" s="42"/>
      <c r="KB249" s="42"/>
      <c r="KC249" s="42"/>
      <c r="KD249" s="42"/>
      <c r="KE249" s="42"/>
      <c r="KF249" s="42"/>
      <c r="KG249" s="42"/>
      <c r="KH249" s="42"/>
      <c r="KI249" s="42"/>
      <c r="KJ249" s="42"/>
      <c r="KK249" s="42"/>
      <c r="KL249" s="42"/>
      <c r="KM249" s="42"/>
      <c r="KN249" s="42"/>
      <c r="KO249" s="42"/>
      <c r="KP249" s="42"/>
      <c r="KQ249" s="42"/>
      <c r="KR249" s="42"/>
      <c r="KS249" s="42"/>
      <c r="KT249" s="42"/>
      <c r="KU249" s="42"/>
      <c r="KV249" s="42"/>
      <c r="KW249" s="42"/>
      <c r="KX249" s="42"/>
      <c r="KY249" s="42"/>
      <c r="KZ249" s="42"/>
      <c r="LA249" s="42"/>
      <c r="LB249" s="42"/>
      <c r="LC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c r="BA250" s="42"/>
      <c r="BB250" s="42"/>
      <c r="BC250" s="42"/>
      <c r="BD250" s="42"/>
      <c r="BE250" s="42"/>
      <c r="BF250" s="42"/>
      <c r="BG250" s="42"/>
      <c r="BH250" s="42"/>
      <c r="BI250" s="42"/>
      <c r="BJ250" s="42"/>
      <c r="BK250" s="42"/>
      <c r="BL250" s="42"/>
      <c r="BM250" s="42"/>
      <c r="BN250" s="42"/>
      <c r="BO250" s="42"/>
      <c r="BP250" s="42"/>
      <c r="BQ250" s="42"/>
      <c r="BR250" s="42"/>
      <c r="BS250" s="42"/>
      <c r="BT250" s="42"/>
      <c r="BU250" s="42"/>
      <c r="BV250" s="42"/>
      <c r="BW250" s="42"/>
      <c r="BX250" s="42"/>
      <c r="BY250" s="42"/>
      <c r="BZ250" s="42"/>
      <c r="CA250" s="42"/>
      <c r="CB250" s="42"/>
      <c r="CC250" s="42"/>
      <c r="CD250" s="42"/>
      <c r="CE250" s="42"/>
      <c r="CF250" s="42"/>
      <c r="CG250" s="42"/>
      <c r="CH250" s="42"/>
      <c r="CI250" s="42"/>
      <c r="CJ250" s="42"/>
      <c r="CK250" s="42"/>
      <c r="CL250" s="42"/>
      <c r="CM250" s="42"/>
      <c r="CN250" s="42"/>
      <c r="CO250" s="42"/>
      <c r="CP250" s="42"/>
      <c r="CQ250" s="42"/>
      <c r="CR250" s="42"/>
      <c r="CS250" s="42"/>
      <c r="CT250" s="42"/>
      <c r="CU250" s="42"/>
      <c r="CV250" s="42"/>
      <c r="CW250" s="42"/>
      <c r="CX250" s="42"/>
      <c r="CY250" s="42"/>
      <c r="CZ250" s="42"/>
      <c r="DA250" s="42"/>
      <c r="DB250" s="42"/>
      <c r="DC250" s="42"/>
      <c r="DD250" s="42"/>
      <c r="DE250" s="42"/>
      <c r="DF250" s="42"/>
      <c r="DG250" s="42"/>
      <c r="DH250" s="42"/>
      <c r="DI250" s="42"/>
      <c r="DJ250" s="42"/>
      <c r="DK250" s="42"/>
      <c r="DL250" s="42"/>
      <c r="DM250" s="42"/>
      <c r="DN250" s="42"/>
      <c r="DO250" s="42"/>
      <c r="DP250" s="42"/>
      <c r="DQ250" s="42"/>
      <c r="DR250" s="42"/>
      <c r="DS250" s="42"/>
      <c r="DT250" s="42"/>
      <c r="DU250" s="42"/>
      <c r="DV250" s="42"/>
      <c r="DW250" s="42"/>
      <c r="DX250" s="42"/>
      <c r="DY250" s="42"/>
      <c r="DZ250" s="42"/>
      <c r="EA250" s="42"/>
      <c r="EB250" s="42"/>
      <c r="EC250" s="42"/>
      <c r="ED250" s="42"/>
      <c r="EE250" s="42"/>
      <c r="EF250" s="42"/>
      <c r="EG250" s="42"/>
      <c r="EH250" s="42"/>
      <c r="EI250" s="42"/>
      <c r="EJ250" s="42"/>
      <c r="EK250" s="42"/>
      <c r="EL250" s="42"/>
      <c r="EM250" s="42"/>
      <c r="EN250" s="42"/>
      <c r="EO250" s="42"/>
      <c r="EP250" s="42"/>
      <c r="EQ250" s="42"/>
      <c r="ER250" s="42"/>
      <c r="ES250" s="42"/>
      <c r="ET250" s="42"/>
      <c r="EU250" s="42"/>
      <c r="EV250" s="42"/>
      <c r="EW250" s="42"/>
      <c r="EX250" s="42"/>
      <c r="EY250" s="42"/>
      <c r="EZ250" s="42"/>
      <c r="FA250" s="42"/>
      <c r="FB250" s="42"/>
      <c r="FC250" s="42"/>
      <c r="FD250" s="42"/>
      <c r="FE250" s="42"/>
      <c r="FF250" s="42"/>
      <c r="FG250" s="42"/>
      <c r="FH250" s="42"/>
      <c r="FI250" s="42"/>
      <c r="FJ250" s="42"/>
      <c r="FK250" s="42"/>
      <c r="FL250" s="42"/>
      <c r="FM250" s="42"/>
      <c r="FN250" s="42"/>
      <c r="FO250" s="42"/>
      <c r="FP250" s="42"/>
      <c r="FQ250" s="42"/>
      <c r="FR250" s="42"/>
      <c r="FS250" s="42"/>
      <c r="FT250" s="42"/>
      <c r="FU250" s="42"/>
      <c r="FV250" s="42"/>
      <c r="FW250" s="42"/>
      <c r="FX250" s="42"/>
      <c r="FY250" s="42"/>
      <c r="FZ250" s="42"/>
      <c r="GA250" s="42"/>
      <c r="GB250" s="42"/>
      <c r="GC250" s="42"/>
      <c r="GD250" s="42"/>
      <c r="GE250" s="42"/>
      <c r="GF250" s="42"/>
      <c r="GG250" s="42"/>
      <c r="GH250" s="42"/>
      <c r="GI250" s="42"/>
      <c r="GJ250" s="42"/>
      <c r="GK250" s="42"/>
      <c r="GL250" s="42"/>
      <c r="GM250" s="42"/>
      <c r="GN250" s="42"/>
      <c r="GO250" s="42"/>
      <c r="GP250" s="42"/>
      <c r="GQ250" s="42"/>
      <c r="GR250" s="42"/>
      <c r="GS250" s="42"/>
      <c r="GT250" s="42"/>
      <c r="GU250" s="42"/>
      <c r="GV250" s="42"/>
      <c r="GW250" s="42"/>
      <c r="GX250" s="42"/>
      <c r="GY250" s="42"/>
      <c r="GZ250" s="42"/>
      <c r="HA250" s="42"/>
      <c r="HB250" s="42"/>
      <c r="HC250" s="42"/>
      <c r="HD250" s="42"/>
      <c r="HE250" s="42"/>
      <c r="HF250" s="42"/>
      <c r="HG250" s="42"/>
      <c r="HH250" s="42"/>
      <c r="HI250" s="42"/>
      <c r="HJ250" s="42"/>
      <c r="HK250" s="42"/>
      <c r="HL250" s="42"/>
      <c r="HM250" s="42"/>
      <c r="HN250" s="42"/>
      <c r="HO250" s="42"/>
      <c r="HP250" s="42"/>
      <c r="HQ250" s="42"/>
      <c r="HR250" s="42"/>
      <c r="HS250" s="42"/>
      <c r="HT250" s="42"/>
      <c r="HU250" s="42"/>
      <c r="HV250" s="42"/>
      <c r="HW250" s="42"/>
      <c r="HX250" s="42"/>
      <c r="HY250" s="42"/>
      <c r="HZ250" s="42"/>
      <c r="IA250" s="42"/>
      <c r="IB250" s="42"/>
      <c r="IC250" s="42"/>
      <c r="ID250" s="42"/>
      <c r="IE250" s="42"/>
      <c r="IF250" s="42"/>
      <c r="IG250" s="42"/>
      <c r="IH250" s="42"/>
      <c r="II250" s="42"/>
      <c r="IJ250" s="42"/>
      <c r="IK250" s="42"/>
      <c r="IL250" s="42"/>
      <c r="IM250" s="42"/>
      <c r="IN250" s="42"/>
      <c r="IO250" s="42"/>
      <c r="IP250" s="42"/>
      <c r="IQ250" s="42"/>
      <c r="IR250" s="42"/>
      <c r="IS250" s="42"/>
      <c r="IT250" s="42"/>
      <c r="IU250" s="42"/>
      <c r="IV250" s="42"/>
      <c r="IW250" s="42"/>
      <c r="IX250" s="42"/>
      <c r="IY250" s="42"/>
      <c r="IZ250" s="42"/>
      <c r="JA250" s="42"/>
      <c r="JB250" s="42"/>
      <c r="JC250" s="42"/>
      <c r="JD250" s="42"/>
      <c r="JE250" s="42"/>
      <c r="JF250" s="42"/>
      <c r="JG250" s="42"/>
      <c r="JH250" s="42"/>
      <c r="JI250" s="42"/>
      <c r="JJ250" s="42"/>
      <c r="JK250" s="42"/>
      <c r="JL250" s="42"/>
      <c r="JM250" s="42"/>
      <c r="JN250" s="42"/>
      <c r="JO250" s="42"/>
      <c r="JP250" s="42"/>
      <c r="JQ250" s="42"/>
      <c r="JR250" s="42"/>
      <c r="JS250" s="42"/>
      <c r="JT250" s="42"/>
      <c r="JU250" s="42"/>
      <c r="JV250" s="42"/>
      <c r="JW250" s="42"/>
      <c r="JX250" s="42"/>
      <c r="JY250" s="42"/>
      <c r="JZ250" s="42"/>
      <c r="KA250" s="42"/>
      <c r="KB250" s="42"/>
      <c r="KC250" s="42"/>
      <c r="KD250" s="42"/>
      <c r="KE250" s="42"/>
      <c r="KF250" s="42"/>
      <c r="KG250" s="42"/>
      <c r="KH250" s="42"/>
      <c r="KI250" s="42"/>
      <c r="KJ250" s="42"/>
      <c r="KK250" s="42"/>
      <c r="KL250" s="42"/>
      <c r="KM250" s="42"/>
      <c r="KN250" s="42"/>
      <c r="KO250" s="42"/>
      <c r="KP250" s="42"/>
      <c r="KQ250" s="42"/>
      <c r="KR250" s="42"/>
      <c r="KS250" s="42"/>
      <c r="KT250" s="42"/>
      <c r="KU250" s="42"/>
      <c r="KV250" s="42"/>
      <c r="KW250" s="42"/>
      <c r="KX250" s="42"/>
      <c r="KY250" s="42"/>
      <c r="KZ250" s="42"/>
      <c r="LA250" s="42"/>
      <c r="LB250" s="42"/>
      <c r="LC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42"/>
      <c r="BB251" s="42"/>
      <c r="BC251" s="42"/>
      <c r="BD251" s="42"/>
      <c r="BE251" s="42"/>
      <c r="BF251" s="42"/>
      <c r="BG251" s="42"/>
      <c r="BH251" s="42"/>
      <c r="BI251" s="42"/>
      <c r="BJ251" s="42"/>
      <c r="BK251" s="42"/>
      <c r="BL251" s="42"/>
      <c r="BM251" s="42"/>
      <c r="BN251" s="42"/>
      <c r="BO251" s="42"/>
      <c r="BP251" s="42"/>
      <c r="BQ251" s="42"/>
      <c r="BR251" s="42"/>
      <c r="BS251" s="42"/>
      <c r="BT251" s="42"/>
      <c r="BU251" s="42"/>
      <c r="BV251" s="42"/>
      <c r="BW251" s="42"/>
      <c r="BX251" s="42"/>
      <c r="BY251" s="42"/>
      <c r="BZ251" s="42"/>
      <c r="CA251" s="42"/>
      <c r="CB251" s="42"/>
      <c r="CC251" s="42"/>
      <c r="CD251" s="42"/>
      <c r="CE251" s="42"/>
      <c r="CF251" s="42"/>
      <c r="CG251" s="42"/>
      <c r="CH251" s="42"/>
      <c r="CI251" s="42"/>
      <c r="CJ251" s="42"/>
      <c r="CK251" s="42"/>
      <c r="CL251" s="42"/>
      <c r="CM251" s="42"/>
      <c r="CN251" s="42"/>
      <c r="CO251" s="42"/>
      <c r="CP251" s="42"/>
      <c r="CQ251" s="42"/>
      <c r="CR251" s="42"/>
      <c r="CS251" s="42"/>
      <c r="CT251" s="42"/>
      <c r="CU251" s="42"/>
      <c r="CV251" s="42"/>
      <c r="CW251" s="42"/>
      <c r="CX251" s="42"/>
      <c r="CY251" s="42"/>
      <c r="CZ251" s="42"/>
      <c r="DA251" s="42"/>
      <c r="DB251" s="42"/>
      <c r="DC251" s="42"/>
      <c r="DD251" s="42"/>
      <c r="DE251" s="42"/>
      <c r="DF251" s="42"/>
      <c r="DG251" s="42"/>
      <c r="DH251" s="42"/>
      <c r="DI251" s="42"/>
      <c r="DJ251" s="42"/>
      <c r="DK251" s="42"/>
      <c r="DL251" s="42"/>
      <c r="DM251" s="42"/>
      <c r="DN251" s="42"/>
      <c r="DO251" s="42"/>
      <c r="DP251" s="42"/>
      <c r="DQ251" s="42"/>
      <c r="DR251" s="42"/>
      <c r="DS251" s="42"/>
      <c r="DT251" s="42"/>
      <c r="DU251" s="42"/>
      <c r="DV251" s="42"/>
      <c r="DW251" s="42"/>
      <c r="DX251" s="42"/>
      <c r="DY251" s="42"/>
      <c r="DZ251" s="42"/>
      <c r="EA251" s="42"/>
      <c r="EB251" s="42"/>
      <c r="EC251" s="42"/>
      <c r="ED251" s="42"/>
      <c r="EE251" s="42"/>
      <c r="EF251" s="42"/>
      <c r="EG251" s="42"/>
      <c r="EH251" s="42"/>
      <c r="EI251" s="42"/>
      <c r="EJ251" s="42"/>
      <c r="EK251" s="42"/>
      <c r="EL251" s="42"/>
      <c r="EM251" s="42"/>
      <c r="EN251" s="42"/>
      <c r="EO251" s="42"/>
      <c r="EP251" s="42"/>
      <c r="EQ251" s="42"/>
      <c r="ER251" s="42"/>
      <c r="ES251" s="42"/>
      <c r="ET251" s="42"/>
      <c r="EU251" s="42"/>
      <c r="EV251" s="42"/>
      <c r="EW251" s="42"/>
      <c r="EX251" s="42"/>
      <c r="EY251" s="42"/>
      <c r="EZ251" s="42"/>
      <c r="FA251" s="42"/>
      <c r="FB251" s="42"/>
      <c r="FC251" s="42"/>
      <c r="FD251" s="42"/>
      <c r="FE251" s="42"/>
      <c r="FF251" s="42"/>
      <c r="FG251" s="42"/>
      <c r="FH251" s="42"/>
      <c r="FI251" s="42"/>
      <c r="FJ251" s="42"/>
      <c r="FK251" s="42"/>
      <c r="FL251" s="42"/>
      <c r="FM251" s="42"/>
      <c r="FN251" s="42"/>
      <c r="FO251" s="42"/>
      <c r="FP251" s="42"/>
      <c r="FQ251" s="42"/>
      <c r="FR251" s="42"/>
      <c r="FS251" s="42"/>
      <c r="FT251" s="42"/>
      <c r="FU251" s="42"/>
      <c r="FV251" s="42"/>
      <c r="FW251" s="42"/>
      <c r="FX251" s="42"/>
      <c r="FY251" s="42"/>
      <c r="FZ251" s="42"/>
      <c r="GA251" s="42"/>
      <c r="GB251" s="42"/>
      <c r="GC251" s="42"/>
      <c r="GD251" s="42"/>
      <c r="GE251" s="42"/>
      <c r="GF251" s="42"/>
      <c r="GG251" s="42"/>
      <c r="GH251" s="42"/>
      <c r="GI251" s="42"/>
      <c r="GJ251" s="42"/>
      <c r="GK251" s="42"/>
      <c r="GL251" s="42"/>
      <c r="GM251" s="42"/>
      <c r="GN251" s="42"/>
      <c r="GO251" s="42"/>
      <c r="GP251" s="42"/>
      <c r="GQ251" s="42"/>
      <c r="GR251" s="42"/>
      <c r="GS251" s="42"/>
      <c r="GT251" s="42"/>
      <c r="GU251" s="42"/>
      <c r="GV251" s="42"/>
      <c r="GW251" s="42"/>
      <c r="GX251" s="42"/>
      <c r="GY251" s="42"/>
      <c r="GZ251" s="42"/>
      <c r="HA251" s="42"/>
      <c r="HB251" s="42"/>
      <c r="HC251" s="42"/>
      <c r="HD251" s="42"/>
      <c r="HE251" s="42"/>
      <c r="HF251" s="42"/>
      <c r="HG251" s="42"/>
      <c r="HH251" s="42"/>
      <c r="HI251" s="42"/>
      <c r="HJ251" s="42"/>
      <c r="HK251" s="42"/>
      <c r="HL251" s="42"/>
      <c r="HM251" s="42"/>
      <c r="HN251" s="42"/>
      <c r="HO251" s="42"/>
      <c r="HP251" s="42"/>
      <c r="HQ251" s="42"/>
      <c r="HR251" s="42"/>
      <c r="HS251" s="42"/>
      <c r="HT251" s="42"/>
      <c r="HU251" s="42"/>
      <c r="HV251" s="42"/>
      <c r="HW251" s="42"/>
      <c r="HX251" s="42"/>
      <c r="HY251" s="42"/>
      <c r="HZ251" s="42"/>
      <c r="IA251" s="42"/>
      <c r="IB251" s="42"/>
      <c r="IC251" s="42"/>
      <c r="ID251" s="42"/>
      <c r="IE251" s="42"/>
      <c r="IF251" s="42"/>
      <c r="IG251" s="42"/>
      <c r="IH251" s="42"/>
      <c r="II251" s="42"/>
      <c r="IJ251" s="42"/>
      <c r="IK251" s="42"/>
      <c r="IL251" s="42"/>
      <c r="IM251" s="42"/>
      <c r="IN251" s="42"/>
      <c r="IO251" s="42"/>
      <c r="IP251" s="42"/>
      <c r="IQ251" s="42"/>
      <c r="IR251" s="42"/>
      <c r="IS251" s="42"/>
      <c r="IT251" s="42"/>
      <c r="IU251" s="42"/>
      <c r="IV251" s="42"/>
      <c r="IW251" s="42"/>
      <c r="IX251" s="42"/>
      <c r="IY251" s="42"/>
      <c r="IZ251" s="42"/>
      <c r="JA251" s="42"/>
      <c r="JB251" s="42"/>
      <c r="JC251" s="42"/>
      <c r="JD251" s="42"/>
      <c r="JE251" s="42"/>
      <c r="JF251" s="42"/>
      <c r="JG251" s="42"/>
      <c r="JH251" s="42"/>
      <c r="JI251" s="42"/>
      <c r="JJ251" s="42"/>
      <c r="JK251" s="42"/>
      <c r="JL251" s="42"/>
      <c r="JM251" s="42"/>
      <c r="JN251" s="42"/>
      <c r="JO251" s="42"/>
      <c r="JP251" s="42"/>
      <c r="JQ251" s="42"/>
      <c r="JR251" s="42"/>
      <c r="JS251" s="42"/>
      <c r="JT251" s="42"/>
      <c r="JU251" s="42"/>
      <c r="JV251" s="42"/>
      <c r="JW251" s="42"/>
      <c r="JX251" s="42"/>
      <c r="JY251" s="42"/>
      <c r="JZ251" s="42"/>
      <c r="KA251" s="42"/>
      <c r="KB251" s="42"/>
      <c r="KC251" s="42"/>
      <c r="KD251" s="42"/>
      <c r="KE251" s="42"/>
      <c r="KF251" s="42"/>
      <c r="KG251" s="42"/>
      <c r="KH251" s="42"/>
      <c r="KI251" s="42"/>
      <c r="KJ251" s="42"/>
      <c r="KK251" s="42"/>
      <c r="KL251" s="42"/>
      <c r="KM251" s="42"/>
      <c r="KN251" s="42"/>
      <c r="KO251" s="42"/>
      <c r="KP251" s="42"/>
      <c r="KQ251" s="42"/>
      <c r="KR251" s="42"/>
      <c r="KS251" s="42"/>
      <c r="KT251" s="42"/>
      <c r="KU251" s="42"/>
      <c r="KV251" s="42"/>
      <c r="KW251" s="42"/>
      <c r="KX251" s="42"/>
      <c r="KY251" s="42"/>
      <c r="KZ251" s="42"/>
      <c r="LA251" s="42"/>
      <c r="LB251" s="42"/>
      <c r="LC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42"/>
      <c r="BB252" s="42"/>
      <c r="BC252" s="42"/>
      <c r="BD252" s="42"/>
      <c r="BE252" s="42"/>
      <c r="BF252" s="42"/>
      <c r="BG252" s="42"/>
      <c r="BH252" s="42"/>
      <c r="BI252" s="42"/>
      <c r="BJ252" s="42"/>
      <c r="BK252" s="42"/>
      <c r="BL252" s="42"/>
      <c r="BM252" s="42"/>
      <c r="BN252" s="42"/>
      <c r="BO252" s="42"/>
      <c r="BP252" s="42"/>
      <c r="BQ252" s="42"/>
      <c r="BR252" s="42"/>
      <c r="BS252" s="42"/>
      <c r="BT252" s="42"/>
      <c r="BU252" s="42"/>
      <c r="BV252" s="42"/>
      <c r="BW252" s="42"/>
      <c r="BX252" s="42"/>
      <c r="BY252" s="42"/>
      <c r="BZ252" s="42"/>
      <c r="CA252" s="42"/>
      <c r="CB252" s="42"/>
      <c r="CC252" s="42"/>
      <c r="CD252" s="42"/>
      <c r="CE252" s="42"/>
      <c r="CF252" s="42"/>
      <c r="CG252" s="42"/>
      <c r="CH252" s="42"/>
      <c r="CI252" s="42"/>
      <c r="CJ252" s="42"/>
      <c r="CK252" s="42"/>
      <c r="CL252" s="42"/>
      <c r="CM252" s="42"/>
      <c r="CN252" s="42"/>
      <c r="CO252" s="42"/>
      <c r="CP252" s="42"/>
      <c r="CQ252" s="42"/>
      <c r="CR252" s="42"/>
      <c r="CS252" s="42"/>
      <c r="CT252" s="42"/>
      <c r="CU252" s="42"/>
      <c r="CV252" s="42"/>
      <c r="CW252" s="42"/>
      <c r="CX252" s="42"/>
      <c r="CY252" s="42"/>
      <c r="CZ252" s="42"/>
      <c r="DA252" s="42"/>
      <c r="DB252" s="42"/>
      <c r="DC252" s="42"/>
      <c r="DD252" s="42"/>
      <c r="DE252" s="42"/>
      <c r="DF252" s="42"/>
      <c r="DG252" s="42"/>
      <c r="DH252" s="42"/>
      <c r="DI252" s="42"/>
      <c r="DJ252" s="42"/>
      <c r="DK252" s="42"/>
      <c r="DL252" s="42"/>
      <c r="DM252" s="42"/>
      <c r="DN252" s="42"/>
      <c r="DO252" s="42"/>
      <c r="DP252" s="42"/>
      <c r="DQ252" s="42"/>
      <c r="DR252" s="42"/>
      <c r="DS252" s="42"/>
      <c r="DT252" s="42"/>
      <c r="DU252" s="42"/>
      <c r="DV252" s="42"/>
      <c r="DW252" s="42"/>
      <c r="DX252" s="42"/>
      <c r="DY252" s="42"/>
      <c r="DZ252" s="42"/>
      <c r="EA252" s="42"/>
      <c r="EB252" s="42"/>
      <c r="EC252" s="42"/>
      <c r="ED252" s="42"/>
      <c r="EE252" s="42"/>
      <c r="EF252" s="42"/>
      <c r="EG252" s="42"/>
      <c r="EH252" s="42"/>
      <c r="EI252" s="42"/>
      <c r="EJ252" s="42"/>
      <c r="EK252" s="42"/>
      <c r="EL252" s="42"/>
      <c r="EM252" s="42"/>
      <c r="EN252" s="42"/>
      <c r="EO252" s="42"/>
      <c r="EP252" s="42"/>
      <c r="EQ252" s="42"/>
      <c r="ER252" s="42"/>
      <c r="ES252" s="42"/>
      <c r="ET252" s="42"/>
      <c r="EU252" s="42"/>
      <c r="EV252" s="42"/>
      <c r="EW252" s="42"/>
      <c r="EX252" s="42"/>
      <c r="EY252" s="42"/>
      <c r="EZ252" s="42"/>
      <c r="FA252" s="42"/>
      <c r="FB252" s="42"/>
      <c r="FC252" s="42"/>
      <c r="FD252" s="42"/>
      <c r="FE252" s="42"/>
      <c r="FF252" s="42"/>
      <c r="FG252" s="42"/>
      <c r="FH252" s="42"/>
      <c r="FI252" s="42"/>
      <c r="FJ252" s="42"/>
      <c r="FK252" s="42"/>
      <c r="FL252" s="42"/>
      <c r="FM252" s="42"/>
      <c r="FN252" s="42"/>
      <c r="FO252" s="42"/>
      <c r="FP252" s="42"/>
      <c r="FQ252" s="42"/>
      <c r="FR252" s="42"/>
      <c r="FS252" s="42"/>
      <c r="FT252" s="42"/>
      <c r="FU252" s="42"/>
      <c r="FV252" s="42"/>
      <c r="FW252" s="42"/>
      <c r="FX252" s="42"/>
      <c r="FY252" s="42"/>
      <c r="FZ252" s="42"/>
      <c r="GA252" s="42"/>
      <c r="GB252" s="42"/>
      <c r="GC252" s="42"/>
      <c r="GD252" s="42"/>
      <c r="GE252" s="42"/>
      <c r="GF252" s="42"/>
      <c r="GG252" s="42"/>
      <c r="GH252" s="42"/>
      <c r="GI252" s="42"/>
      <c r="GJ252" s="42"/>
      <c r="GK252" s="42"/>
      <c r="GL252" s="42"/>
      <c r="GM252" s="42"/>
      <c r="GN252" s="42"/>
      <c r="GO252" s="42"/>
      <c r="GP252" s="42"/>
      <c r="GQ252" s="42"/>
      <c r="GR252" s="42"/>
      <c r="GS252" s="42"/>
      <c r="GT252" s="42"/>
      <c r="GU252" s="42"/>
      <c r="GV252" s="42"/>
      <c r="GW252" s="42"/>
      <c r="GX252" s="42"/>
      <c r="GY252" s="42"/>
      <c r="GZ252" s="42"/>
      <c r="HA252" s="42"/>
      <c r="HB252" s="42"/>
      <c r="HC252" s="42"/>
      <c r="HD252" s="42"/>
      <c r="HE252" s="42"/>
      <c r="HF252" s="42"/>
      <c r="HG252" s="42"/>
      <c r="HH252" s="42"/>
      <c r="HI252" s="42"/>
      <c r="HJ252" s="42"/>
      <c r="HK252" s="42"/>
      <c r="HL252" s="42"/>
      <c r="HM252" s="42"/>
      <c r="HN252" s="42"/>
      <c r="HO252" s="42"/>
      <c r="HP252" s="42"/>
      <c r="HQ252" s="42"/>
      <c r="HR252" s="42"/>
      <c r="HS252" s="42"/>
      <c r="HT252" s="42"/>
      <c r="HU252" s="42"/>
      <c r="HV252" s="42"/>
      <c r="HW252" s="42"/>
      <c r="HX252" s="42"/>
      <c r="HY252" s="42"/>
      <c r="HZ252" s="42"/>
      <c r="IA252" s="42"/>
      <c r="IB252" s="42"/>
      <c r="IC252" s="42"/>
      <c r="ID252" s="42"/>
      <c r="IE252" s="42"/>
      <c r="IF252" s="42"/>
      <c r="IG252" s="42"/>
      <c r="IH252" s="42"/>
      <c r="II252" s="42"/>
      <c r="IJ252" s="42"/>
      <c r="IK252" s="42"/>
      <c r="IL252" s="42"/>
      <c r="IM252" s="42"/>
      <c r="IN252" s="42"/>
      <c r="IO252" s="42"/>
      <c r="IP252" s="42"/>
      <c r="IQ252" s="42"/>
      <c r="IR252" s="42"/>
      <c r="IS252" s="42"/>
      <c r="IT252" s="42"/>
      <c r="IU252" s="42"/>
      <c r="IV252" s="42"/>
      <c r="IW252" s="42"/>
      <c r="IX252" s="42"/>
      <c r="IY252" s="42"/>
      <c r="IZ252" s="42"/>
      <c r="JA252" s="42"/>
      <c r="JB252" s="42"/>
      <c r="JC252" s="42"/>
      <c r="JD252" s="42"/>
      <c r="JE252" s="42"/>
      <c r="JF252" s="42"/>
      <c r="JG252" s="42"/>
      <c r="JH252" s="42"/>
      <c r="JI252" s="42"/>
      <c r="JJ252" s="42"/>
      <c r="JK252" s="42"/>
      <c r="JL252" s="42"/>
      <c r="JM252" s="42"/>
      <c r="JN252" s="42"/>
      <c r="JO252" s="42"/>
      <c r="JP252" s="42"/>
      <c r="JQ252" s="42"/>
      <c r="JR252" s="42"/>
      <c r="JS252" s="42"/>
      <c r="JT252" s="42"/>
      <c r="JU252" s="42"/>
      <c r="JV252" s="42"/>
      <c r="JW252" s="42"/>
      <c r="JX252" s="42"/>
      <c r="JY252" s="42"/>
      <c r="JZ252" s="42"/>
      <c r="KA252" s="42"/>
      <c r="KB252" s="42"/>
      <c r="KC252" s="42"/>
      <c r="KD252" s="42"/>
      <c r="KE252" s="42"/>
      <c r="KF252" s="42"/>
      <c r="KG252" s="42"/>
      <c r="KH252" s="42"/>
      <c r="KI252" s="42"/>
      <c r="KJ252" s="42"/>
      <c r="KK252" s="42"/>
      <c r="KL252" s="42"/>
      <c r="KM252" s="42"/>
      <c r="KN252" s="42"/>
      <c r="KO252" s="42"/>
      <c r="KP252" s="42"/>
      <c r="KQ252" s="42"/>
      <c r="KR252" s="42"/>
      <c r="KS252" s="42"/>
      <c r="KT252" s="42"/>
      <c r="KU252" s="42"/>
      <c r="KV252" s="42"/>
      <c r="KW252" s="42"/>
      <c r="KX252" s="42"/>
      <c r="KY252" s="42"/>
      <c r="KZ252" s="42"/>
      <c r="LA252" s="42"/>
      <c r="LB252" s="42"/>
      <c r="LC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42"/>
      <c r="BB253" s="42"/>
      <c r="BC253" s="42"/>
      <c r="BD253" s="42"/>
      <c r="BE253" s="42"/>
      <c r="BF253" s="42"/>
      <c r="BG253" s="42"/>
      <c r="BH253" s="42"/>
      <c r="BI253" s="42"/>
      <c r="BJ253" s="42"/>
      <c r="BK253" s="42"/>
      <c r="BL253" s="42"/>
      <c r="BM253" s="42"/>
      <c r="BN253" s="42"/>
      <c r="BO253" s="42"/>
      <c r="BP253" s="42"/>
      <c r="BQ253" s="42"/>
      <c r="BR253" s="42"/>
      <c r="BS253" s="42"/>
      <c r="BT253" s="42"/>
      <c r="BU253" s="42"/>
      <c r="BV253" s="42"/>
      <c r="BW253" s="42"/>
      <c r="BX253" s="42"/>
      <c r="BY253" s="42"/>
      <c r="BZ253" s="42"/>
      <c r="CA253" s="42"/>
      <c r="CB253" s="42"/>
      <c r="CC253" s="42"/>
      <c r="CD253" s="42"/>
      <c r="CE253" s="42"/>
      <c r="CF253" s="42"/>
      <c r="CG253" s="42"/>
      <c r="CH253" s="42"/>
      <c r="CI253" s="42"/>
      <c r="CJ253" s="42"/>
      <c r="CK253" s="42"/>
      <c r="CL253" s="42"/>
      <c r="CM253" s="42"/>
      <c r="CN253" s="42"/>
      <c r="CO253" s="42"/>
      <c r="CP253" s="42"/>
      <c r="CQ253" s="42"/>
      <c r="CR253" s="42"/>
      <c r="CS253" s="42"/>
      <c r="CT253" s="42"/>
      <c r="CU253" s="42"/>
      <c r="CV253" s="42"/>
      <c r="CW253" s="42"/>
      <c r="CX253" s="42"/>
      <c r="CY253" s="42"/>
      <c r="CZ253" s="42"/>
      <c r="DA253" s="42"/>
      <c r="DB253" s="42"/>
      <c r="DC253" s="42"/>
      <c r="DD253" s="42"/>
      <c r="DE253" s="42"/>
      <c r="DF253" s="42"/>
      <c r="DG253" s="42"/>
      <c r="DH253" s="42"/>
      <c r="DI253" s="42"/>
      <c r="DJ253" s="42"/>
      <c r="DK253" s="42"/>
      <c r="DL253" s="42"/>
      <c r="DM253" s="42"/>
      <c r="DN253" s="42"/>
      <c r="DO253" s="42"/>
      <c r="DP253" s="42"/>
      <c r="DQ253" s="42"/>
      <c r="DR253" s="42"/>
      <c r="DS253" s="42"/>
      <c r="DT253" s="42"/>
      <c r="DU253" s="42"/>
      <c r="DV253" s="42"/>
      <c r="DW253" s="42"/>
      <c r="DX253" s="42"/>
      <c r="DY253" s="42"/>
      <c r="DZ253" s="42"/>
      <c r="EA253" s="42"/>
      <c r="EB253" s="42"/>
      <c r="EC253" s="42"/>
      <c r="ED253" s="42"/>
      <c r="EE253" s="42"/>
      <c r="EF253" s="42"/>
      <c r="EG253" s="42"/>
      <c r="EH253" s="42"/>
      <c r="EI253" s="42"/>
      <c r="EJ253" s="42"/>
      <c r="EK253" s="42"/>
      <c r="EL253" s="42"/>
      <c r="EM253" s="42"/>
      <c r="EN253" s="42"/>
      <c r="EO253" s="42"/>
      <c r="EP253" s="42"/>
      <c r="EQ253" s="42"/>
      <c r="ER253" s="42"/>
      <c r="ES253" s="42"/>
      <c r="ET253" s="42"/>
      <c r="EU253" s="42"/>
      <c r="EV253" s="42"/>
      <c r="EW253" s="42"/>
      <c r="EX253" s="42"/>
      <c r="EY253" s="42"/>
      <c r="EZ253" s="42"/>
      <c r="FA253" s="42"/>
      <c r="FB253" s="42"/>
      <c r="FC253" s="42"/>
      <c r="FD253" s="42"/>
      <c r="FE253" s="42"/>
      <c r="FF253" s="42"/>
      <c r="FG253" s="42"/>
      <c r="FH253" s="42"/>
      <c r="FI253" s="42"/>
      <c r="FJ253" s="42"/>
      <c r="FK253" s="42"/>
      <c r="FL253" s="42"/>
      <c r="FM253" s="42"/>
      <c r="FN253" s="42"/>
      <c r="FO253" s="42"/>
      <c r="FP253" s="42"/>
      <c r="FQ253" s="42"/>
      <c r="FR253" s="42"/>
      <c r="FS253" s="42"/>
      <c r="FT253" s="42"/>
      <c r="FU253" s="42"/>
      <c r="FV253" s="42"/>
      <c r="FW253" s="42"/>
      <c r="FX253" s="42"/>
      <c r="FY253" s="42"/>
      <c r="FZ253" s="42"/>
      <c r="GA253" s="42"/>
      <c r="GB253" s="42"/>
      <c r="GC253" s="42"/>
      <c r="GD253" s="42"/>
      <c r="GE253" s="42"/>
      <c r="GF253" s="42"/>
      <c r="GG253" s="42"/>
      <c r="GH253" s="42"/>
      <c r="GI253" s="42"/>
      <c r="GJ253" s="42"/>
      <c r="GK253" s="42"/>
      <c r="GL253" s="42"/>
      <c r="GM253" s="42"/>
      <c r="GN253" s="42"/>
      <c r="GO253" s="42"/>
      <c r="GP253" s="42"/>
      <c r="GQ253" s="42"/>
      <c r="GR253" s="42"/>
      <c r="GS253" s="42"/>
      <c r="GT253" s="42"/>
      <c r="GU253" s="42"/>
      <c r="GV253" s="42"/>
      <c r="GW253" s="42"/>
      <c r="GX253" s="42"/>
      <c r="GY253" s="42"/>
      <c r="GZ253" s="42"/>
      <c r="HA253" s="42"/>
      <c r="HB253" s="42"/>
      <c r="HC253" s="42"/>
      <c r="HD253" s="42"/>
      <c r="HE253" s="42"/>
      <c r="HF253" s="42"/>
      <c r="HG253" s="42"/>
      <c r="HH253" s="42"/>
      <c r="HI253" s="42"/>
      <c r="HJ253" s="42"/>
      <c r="HK253" s="42"/>
      <c r="HL253" s="42"/>
      <c r="HM253" s="42"/>
      <c r="HN253" s="42"/>
      <c r="HO253" s="42"/>
      <c r="HP253" s="42"/>
      <c r="HQ253" s="42"/>
      <c r="HR253" s="42"/>
      <c r="HS253" s="42"/>
      <c r="HT253" s="42"/>
      <c r="HU253" s="42"/>
      <c r="HV253" s="42"/>
      <c r="HW253" s="42"/>
      <c r="HX253" s="42"/>
      <c r="HY253" s="42"/>
      <c r="HZ253" s="42"/>
      <c r="IA253" s="42"/>
      <c r="IB253" s="42"/>
      <c r="IC253" s="42"/>
      <c r="ID253" s="42"/>
      <c r="IE253" s="42"/>
      <c r="IF253" s="42"/>
      <c r="IG253" s="42"/>
      <c r="IH253" s="42"/>
      <c r="II253" s="42"/>
      <c r="IJ253" s="42"/>
      <c r="IK253" s="42"/>
      <c r="IL253" s="42"/>
      <c r="IM253" s="42"/>
      <c r="IN253" s="42"/>
      <c r="IO253" s="42"/>
      <c r="IP253" s="42"/>
      <c r="IQ253" s="42"/>
      <c r="IR253" s="42"/>
      <c r="IS253" s="42"/>
      <c r="IT253" s="42"/>
      <c r="IU253" s="42"/>
      <c r="IV253" s="42"/>
      <c r="IW253" s="42"/>
      <c r="IX253" s="42"/>
      <c r="IY253" s="42"/>
      <c r="IZ253" s="42"/>
      <c r="JA253" s="42"/>
      <c r="JB253" s="42"/>
      <c r="JC253" s="42"/>
      <c r="JD253" s="42"/>
      <c r="JE253" s="42"/>
      <c r="JF253" s="42"/>
      <c r="JG253" s="42"/>
      <c r="JH253" s="42"/>
      <c r="JI253" s="42"/>
      <c r="JJ253" s="42"/>
      <c r="JK253" s="42"/>
      <c r="JL253" s="42"/>
      <c r="JM253" s="42"/>
      <c r="JN253" s="42"/>
      <c r="JO253" s="42"/>
      <c r="JP253" s="42"/>
      <c r="JQ253" s="42"/>
      <c r="JR253" s="42"/>
      <c r="JS253" s="42"/>
      <c r="JT253" s="42"/>
      <c r="JU253" s="42"/>
      <c r="JV253" s="42"/>
      <c r="JW253" s="42"/>
      <c r="JX253" s="42"/>
      <c r="JY253" s="42"/>
      <c r="JZ253" s="42"/>
      <c r="KA253" s="42"/>
      <c r="KB253" s="42"/>
      <c r="KC253" s="42"/>
      <c r="KD253" s="42"/>
      <c r="KE253" s="42"/>
      <c r="KF253" s="42"/>
      <c r="KG253" s="42"/>
      <c r="KH253" s="42"/>
      <c r="KI253" s="42"/>
      <c r="KJ253" s="42"/>
      <c r="KK253" s="42"/>
      <c r="KL253" s="42"/>
      <c r="KM253" s="42"/>
      <c r="KN253" s="42"/>
      <c r="KO253" s="42"/>
      <c r="KP253" s="42"/>
      <c r="KQ253" s="42"/>
      <c r="KR253" s="42"/>
      <c r="KS253" s="42"/>
      <c r="KT253" s="42"/>
      <c r="KU253" s="42"/>
      <c r="KV253" s="42"/>
      <c r="KW253" s="42"/>
      <c r="KX253" s="42"/>
      <c r="KY253" s="42"/>
      <c r="KZ253" s="42"/>
      <c r="LA253" s="42"/>
      <c r="LB253" s="42"/>
      <c r="LC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c r="BC254" s="42"/>
      <c r="BD254" s="42"/>
      <c r="BE254" s="42"/>
      <c r="BF254" s="42"/>
      <c r="BG254" s="42"/>
      <c r="BH254" s="42"/>
      <c r="BI254" s="42"/>
      <c r="BJ254" s="42"/>
      <c r="BK254" s="42"/>
      <c r="BL254" s="42"/>
      <c r="BM254" s="42"/>
      <c r="BN254" s="42"/>
      <c r="BO254" s="42"/>
      <c r="BP254" s="42"/>
      <c r="BQ254" s="42"/>
      <c r="BR254" s="42"/>
      <c r="BS254" s="42"/>
      <c r="BT254" s="42"/>
      <c r="BU254" s="42"/>
      <c r="BV254" s="42"/>
      <c r="BW254" s="42"/>
      <c r="BX254" s="42"/>
      <c r="BY254" s="42"/>
      <c r="BZ254" s="42"/>
      <c r="CA254" s="42"/>
      <c r="CB254" s="42"/>
      <c r="CC254" s="42"/>
      <c r="CD254" s="42"/>
      <c r="CE254" s="42"/>
      <c r="CF254" s="42"/>
      <c r="CG254" s="42"/>
      <c r="CH254" s="42"/>
      <c r="CI254" s="42"/>
      <c r="CJ254" s="42"/>
      <c r="CK254" s="42"/>
      <c r="CL254" s="42"/>
      <c r="CM254" s="42"/>
      <c r="CN254" s="42"/>
      <c r="CO254" s="42"/>
      <c r="CP254" s="42"/>
      <c r="CQ254" s="42"/>
      <c r="CR254" s="42"/>
      <c r="CS254" s="42"/>
      <c r="CT254" s="42"/>
      <c r="CU254" s="42"/>
      <c r="CV254" s="42"/>
      <c r="CW254" s="42"/>
      <c r="CX254" s="42"/>
      <c r="CY254" s="42"/>
      <c r="CZ254" s="42"/>
      <c r="DA254" s="42"/>
      <c r="DB254" s="42"/>
      <c r="DC254" s="42"/>
      <c r="DD254" s="42"/>
      <c r="DE254" s="42"/>
      <c r="DF254" s="42"/>
      <c r="DG254" s="42"/>
      <c r="DH254" s="42"/>
      <c r="DI254" s="42"/>
      <c r="DJ254" s="42"/>
      <c r="DK254" s="42"/>
      <c r="DL254" s="42"/>
      <c r="DM254" s="42"/>
      <c r="DN254" s="42"/>
      <c r="DO254" s="42"/>
      <c r="DP254" s="42"/>
      <c r="DQ254" s="42"/>
      <c r="DR254" s="42"/>
      <c r="DS254" s="42"/>
      <c r="DT254" s="42"/>
      <c r="DU254" s="42"/>
      <c r="DV254" s="42"/>
      <c r="DW254" s="42"/>
      <c r="DX254" s="42"/>
      <c r="DY254" s="42"/>
      <c r="DZ254" s="42"/>
      <c r="EA254" s="42"/>
      <c r="EB254" s="42"/>
      <c r="EC254" s="42"/>
      <c r="ED254" s="42"/>
      <c r="EE254" s="42"/>
      <c r="EF254" s="42"/>
      <c r="EG254" s="42"/>
      <c r="EH254" s="42"/>
      <c r="EI254" s="42"/>
      <c r="EJ254" s="42"/>
      <c r="EK254" s="42"/>
      <c r="EL254" s="42"/>
      <c r="EM254" s="42"/>
      <c r="EN254" s="42"/>
      <c r="EO254" s="42"/>
      <c r="EP254" s="42"/>
      <c r="EQ254" s="42"/>
      <c r="ER254" s="42"/>
      <c r="ES254" s="42"/>
      <c r="ET254" s="42"/>
      <c r="EU254" s="42"/>
      <c r="EV254" s="42"/>
      <c r="EW254" s="42"/>
      <c r="EX254" s="42"/>
      <c r="EY254" s="42"/>
      <c r="EZ254" s="42"/>
      <c r="FA254" s="42"/>
      <c r="FB254" s="42"/>
      <c r="FC254" s="42"/>
      <c r="FD254" s="42"/>
      <c r="FE254" s="42"/>
      <c r="FF254" s="42"/>
      <c r="FG254" s="42"/>
      <c r="FH254" s="42"/>
      <c r="FI254" s="42"/>
      <c r="FJ254" s="42"/>
      <c r="FK254" s="42"/>
      <c r="FL254" s="42"/>
      <c r="FM254" s="42"/>
      <c r="FN254" s="42"/>
      <c r="FO254" s="42"/>
      <c r="FP254" s="42"/>
      <c r="FQ254" s="42"/>
      <c r="FR254" s="42"/>
      <c r="FS254" s="42"/>
      <c r="FT254" s="42"/>
      <c r="FU254" s="42"/>
      <c r="FV254" s="42"/>
      <c r="FW254" s="42"/>
      <c r="FX254" s="42"/>
      <c r="FY254" s="42"/>
      <c r="FZ254" s="42"/>
      <c r="GA254" s="42"/>
      <c r="GB254" s="42"/>
      <c r="GC254" s="42"/>
      <c r="GD254" s="42"/>
      <c r="GE254" s="42"/>
      <c r="GF254" s="42"/>
      <c r="GG254" s="42"/>
      <c r="GH254" s="42"/>
      <c r="GI254" s="42"/>
      <c r="GJ254" s="42"/>
      <c r="GK254" s="42"/>
      <c r="GL254" s="42"/>
      <c r="GM254" s="42"/>
      <c r="GN254" s="42"/>
      <c r="GO254" s="42"/>
      <c r="GP254" s="42"/>
      <c r="GQ254" s="42"/>
      <c r="GR254" s="42"/>
      <c r="GS254" s="42"/>
      <c r="GT254" s="42"/>
      <c r="GU254" s="42"/>
      <c r="GV254" s="42"/>
      <c r="GW254" s="42"/>
      <c r="GX254" s="42"/>
      <c r="GY254" s="42"/>
      <c r="GZ254" s="42"/>
      <c r="HA254" s="42"/>
      <c r="HB254" s="42"/>
      <c r="HC254" s="42"/>
      <c r="HD254" s="42"/>
      <c r="HE254" s="42"/>
      <c r="HF254" s="42"/>
      <c r="HG254" s="42"/>
      <c r="HH254" s="42"/>
      <c r="HI254" s="42"/>
      <c r="HJ254" s="42"/>
      <c r="HK254" s="42"/>
      <c r="HL254" s="42"/>
      <c r="HM254" s="42"/>
      <c r="HN254" s="42"/>
      <c r="HO254" s="42"/>
      <c r="HP254" s="42"/>
      <c r="HQ254" s="42"/>
      <c r="HR254" s="42"/>
      <c r="HS254" s="42"/>
      <c r="HT254" s="42"/>
      <c r="HU254" s="42"/>
      <c r="HV254" s="42"/>
      <c r="HW254" s="42"/>
      <c r="HX254" s="42"/>
      <c r="HY254" s="42"/>
      <c r="HZ254" s="42"/>
      <c r="IA254" s="42"/>
      <c r="IB254" s="42"/>
      <c r="IC254" s="42"/>
      <c r="ID254" s="42"/>
      <c r="IE254" s="42"/>
      <c r="IF254" s="42"/>
      <c r="IG254" s="42"/>
      <c r="IH254" s="42"/>
      <c r="II254" s="42"/>
      <c r="IJ254" s="42"/>
      <c r="IK254" s="42"/>
      <c r="IL254" s="42"/>
      <c r="IM254" s="42"/>
      <c r="IN254" s="42"/>
      <c r="IO254" s="42"/>
      <c r="IP254" s="42"/>
      <c r="IQ254" s="42"/>
      <c r="IR254" s="42"/>
      <c r="IS254" s="42"/>
      <c r="IT254" s="42"/>
      <c r="IU254" s="42"/>
      <c r="IV254" s="42"/>
      <c r="IW254" s="42"/>
      <c r="IX254" s="42"/>
      <c r="IY254" s="42"/>
      <c r="IZ254" s="42"/>
      <c r="JA254" s="42"/>
      <c r="JB254" s="42"/>
      <c r="JC254" s="42"/>
      <c r="JD254" s="42"/>
      <c r="JE254" s="42"/>
      <c r="JF254" s="42"/>
      <c r="JG254" s="42"/>
      <c r="JH254" s="42"/>
      <c r="JI254" s="42"/>
      <c r="JJ254" s="42"/>
      <c r="JK254" s="42"/>
      <c r="JL254" s="42"/>
      <c r="JM254" s="42"/>
      <c r="JN254" s="42"/>
      <c r="JO254" s="42"/>
      <c r="JP254" s="42"/>
      <c r="JQ254" s="42"/>
      <c r="JR254" s="42"/>
      <c r="JS254" s="42"/>
      <c r="JT254" s="42"/>
      <c r="JU254" s="42"/>
      <c r="JV254" s="42"/>
      <c r="JW254" s="42"/>
      <c r="JX254" s="42"/>
      <c r="JY254" s="42"/>
      <c r="JZ254" s="42"/>
      <c r="KA254" s="42"/>
      <c r="KB254" s="42"/>
      <c r="KC254" s="42"/>
      <c r="KD254" s="42"/>
      <c r="KE254" s="42"/>
      <c r="KF254" s="42"/>
      <c r="KG254" s="42"/>
      <c r="KH254" s="42"/>
      <c r="KI254" s="42"/>
      <c r="KJ254" s="42"/>
      <c r="KK254" s="42"/>
      <c r="KL254" s="42"/>
      <c r="KM254" s="42"/>
      <c r="KN254" s="42"/>
      <c r="KO254" s="42"/>
      <c r="KP254" s="42"/>
      <c r="KQ254" s="42"/>
      <c r="KR254" s="42"/>
      <c r="KS254" s="42"/>
      <c r="KT254" s="42"/>
      <c r="KU254" s="42"/>
      <c r="KV254" s="42"/>
      <c r="KW254" s="42"/>
      <c r="KX254" s="42"/>
      <c r="KY254" s="42"/>
      <c r="KZ254" s="42"/>
      <c r="LA254" s="42"/>
      <c r="LB254" s="42"/>
      <c r="LC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42"/>
      <c r="BB255" s="42"/>
      <c r="BC255" s="42"/>
      <c r="BD255" s="42"/>
      <c r="BE255" s="42"/>
      <c r="BF255" s="42"/>
      <c r="BG255" s="42"/>
      <c r="BH255" s="42"/>
      <c r="BI255" s="42"/>
      <c r="BJ255" s="42"/>
      <c r="BK255" s="42"/>
      <c r="BL255" s="42"/>
      <c r="BM255" s="42"/>
      <c r="BN255" s="42"/>
      <c r="BO255" s="42"/>
      <c r="BP255" s="42"/>
      <c r="BQ255" s="42"/>
      <c r="BR255" s="42"/>
      <c r="BS255" s="42"/>
      <c r="BT255" s="42"/>
      <c r="BU255" s="42"/>
      <c r="BV255" s="42"/>
      <c r="BW255" s="42"/>
      <c r="BX255" s="42"/>
      <c r="BY255" s="42"/>
      <c r="BZ255" s="42"/>
      <c r="CA255" s="42"/>
      <c r="CB255" s="42"/>
      <c r="CC255" s="42"/>
      <c r="CD255" s="42"/>
      <c r="CE255" s="42"/>
      <c r="CF255" s="42"/>
      <c r="CG255" s="42"/>
      <c r="CH255" s="42"/>
      <c r="CI255" s="42"/>
      <c r="CJ255" s="42"/>
      <c r="CK255" s="42"/>
      <c r="CL255" s="42"/>
      <c r="CM255" s="42"/>
      <c r="CN255" s="42"/>
      <c r="CO255" s="42"/>
      <c r="CP255" s="42"/>
      <c r="CQ255" s="42"/>
      <c r="CR255" s="42"/>
      <c r="CS255" s="42"/>
      <c r="CT255" s="42"/>
      <c r="CU255" s="42"/>
      <c r="CV255" s="42"/>
      <c r="CW255" s="42"/>
      <c r="CX255" s="42"/>
      <c r="CY255" s="42"/>
      <c r="CZ255" s="42"/>
      <c r="DA255" s="42"/>
      <c r="DB255" s="42"/>
      <c r="DC255" s="42"/>
      <c r="DD255" s="42"/>
      <c r="DE255" s="42"/>
      <c r="DF255" s="42"/>
      <c r="DG255" s="42"/>
      <c r="DH255" s="42"/>
      <c r="DI255" s="42"/>
      <c r="DJ255" s="42"/>
      <c r="DK255" s="42"/>
      <c r="DL255" s="42"/>
      <c r="DM255" s="42"/>
      <c r="DN255" s="42"/>
      <c r="DO255" s="42"/>
      <c r="DP255" s="42"/>
      <c r="DQ255" s="42"/>
      <c r="DR255" s="42"/>
      <c r="DS255" s="42"/>
      <c r="DT255" s="42"/>
      <c r="DU255" s="42"/>
      <c r="DV255" s="42"/>
      <c r="DW255" s="42"/>
      <c r="DX255" s="42"/>
      <c r="DY255" s="42"/>
      <c r="DZ255" s="42"/>
      <c r="EA255" s="42"/>
      <c r="EB255" s="42"/>
      <c r="EC255" s="42"/>
      <c r="ED255" s="42"/>
      <c r="EE255" s="42"/>
      <c r="EF255" s="42"/>
      <c r="EG255" s="42"/>
      <c r="EH255" s="42"/>
      <c r="EI255" s="42"/>
      <c r="EJ255" s="42"/>
      <c r="EK255" s="42"/>
      <c r="EL255" s="42"/>
      <c r="EM255" s="42"/>
      <c r="EN255" s="42"/>
      <c r="EO255" s="42"/>
      <c r="EP255" s="42"/>
      <c r="EQ255" s="42"/>
      <c r="ER255" s="42"/>
      <c r="ES255" s="42"/>
      <c r="ET255" s="42"/>
      <c r="EU255" s="42"/>
      <c r="EV255" s="42"/>
      <c r="EW255" s="42"/>
      <c r="EX255" s="42"/>
      <c r="EY255" s="42"/>
      <c r="EZ255" s="42"/>
      <c r="FA255" s="42"/>
      <c r="FB255" s="42"/>
      <c r="FC255" s="42"/>
      <c r="FD255" s="42"/>
      <c r="FE255" s="42"/>
      <c r="FF255" s="42"/>
      <c r="FG255" s="42"/>
      <c r="FH255" s="42"/>
      <c r="FI255" s="42"/>
      <c r="FJ255" s="42"/>
      <c r="FK255" s="42"/>
      <c r="FL255" s="42"/>
      <c r="FM255" s="42"/>
      <c r="FN255" s="42"/>
      <c r="FO255" s="42"/>
      <c r="FP255" s="42"/>
      <c r="FQ255" s="42"/>
      <c r="FR255" s="42"/>
      <c r="FS255" s="42"/>
      <c r="FT255" s="42"/>
      <c r="FU255" s="42"/>
      <c r="FV255" s="42"/>
      <c r="FW255" s="42"/>
      <c r="FX255" s="42"/>
      <c r="FY255" s="42"/>
      <c r="FZ255" s="42"/>
      <c r="GA255" s="42"/>
      <c r="GB255" s="42"/>
      <c r="GC255" s="42"/>
      <c r="GD255" s="42"/>
      <c r="GE255" s="42"/>
      <c r="GF255" s="42"/>
      <c r="GG255" s="42"/>
      <c r="GH255" s="42"/>
      <c r="GI255" s="42"/>
      <c r="GJ255" s="42"/>
      <c r="GK255" s="42"/>
      <c r="GL255" s="42"/>
      <c r="GM255" s="42"/>
      <c r="GN255" s="42"/>
      <c r="GO255" s="42"/>
      <c r="GP255" s="42"/>
      <c r="GQ255" s="42"/>
      <c r="GR255" s="42"/>
      <c r="GS255" s="42"/>
      <c r="GT255" s="42"/>
      <c r="GU255" s="42"/>
      <c r="GV255" s="42"/>
      <c r="GW255" s="42"/>
      <c r="GX255" s="42"/>
      <c r="GY255" s="42"/>
      <c r="GZ255" s="42"/>
      <c r="HA255" s="42"/>
      <c r="HB255" s="42"/>
      <c r="HC255" s="42"/>
      <c r="HD255" s="42"/>
      <c r="HE255" s="42"/>
      <c r="HF255" s="42"/>
      <c r="HG255" s="42"/>
      <c r="HH255" s="42"/>
      <c r="HI255" s="42"/>
      <c r="HJ255" s="42"/>
      <c r="HK255" s="42"/>
      <c r="HL255" s="42"/>
      <c r="HM255" s="42"/>
      <c r="HN255" s="42"/>
      <c r="HO255" s="42"/>
      <c r="HP255" s="42"/>
      <c r="HQ255" s="42"/>
      <c r="HR255" s="42"/>
      <c r="HS255" s="42"/>
      <c r="HT255" s="42"/>
      <c r="HU255" s="42"/>
      <c r="HV255" s="42"/>
      <c r="HW255" s="42"/>
      <c r="HX255" s="42"/>
      <c r="HY255" s="42"/>
      <c r="HZ255" s="42"/>
      <c r="IA255" s="42"/>
      <c r="IB255" s="42"/>
      <c r="IC255" s="42"/>
      <c r="ID255" s="42"/>
      <c r="IE255" s="42"/>
      <c r="IF255" s="42"/>
      <c r="IG255" s="42"/>
      <c r="IH255" s="42"/>
      <c r="II255" s="42"/>
      <c r="IJ255" s="42"/>
      <c r="IK255" s="42"/>
      <c r="IL255" s="42"/>
      <c r="IM255" s="42"/>
      <c r="IN255" s="42"/>
      <c r="IO255" s="42"/>
      <c r="IP255" s="42"/>
      <c r="IQ255" s="42"/>
      <c r="IR255" s="42"/>
      <c r="IS255" s="42"/>
      <c r="IT255" s="42"/>
      <c r="IU255" s="42"/>
      <c r="IV255" s="42"/>
      <c r="IW255" s="42"/>
      <c r="IX255" s="42"/>
      <c r="IY255" s="42"/>
      <c r="IZ255" s="42"/>
      <c r="JA255" s="42"/>
      <c r="JB255" s="42"/>
      <c r="JC255" s="42"/>
      <c r="JD255" s="42"/>
      <c r="JE255" s="42"/>
      <c r="JF255" s="42"/>
      <c r="JG255" s="42"/>
      <c r="JH255" s="42"/>
      <c r="JI255" s="42"/>
      <c r="JJ255" s="42"/>
      <c r="JK255" s="42"/>
      <c r="JL255" s="42"/>
      <c r="JM255" s="42"/>
      <c r="JN255" s="42"/>
      <c r="JO255" s="42"/>
      <c r="JP255" s="42"/>
      <c r="JQ255" s="42"/>
      <c r="JR255" s="42"/>
      <c r="JS255" s="42"/>
      <c r="JT255" s="42"/>
      <c r="JU255" s="42"/>
      <c r="JV255" s="42"/>
      <c r="JW255" s="42"/>
      <c r="JX255" s="42"/>
      <c r="JY255" s="42"/>
      <c r="JZ255" s="42"/>
      <c r="KA255" s="42"/>
      <c r="KB255" s="42"/>
      <c r="KC255" s="42"/>
      <c r="KD255" s="42"/>
      <c r="KE255" s="42"/>
      <c r="KF255" s="42"/>
      <c r="KG255" s="42"/>
      <c r="KH255" s="42"/>
      <c r="KI255" s="42"/>
      <c r="KJ255" s="42"/>
      <c r="KK255" s="42"/>
      <c r="KL255" s="42"/>
      <c r="KM255" s="42"/>
      <c r="KN255" s="42"/>
      <c r="KO255" s="42"/>
      <c r="KP255" s="42"/>
      <c r="KQ255" s="42"/>
      <c r="KR255" s="42"/>
      <c r="KS255" s="42"/>
      <c r="KT255" s="42"/>
      <c r="KU255" s="42"/>
      <c r="KV255" s="42"/>
      <c r="KW255" s="42"/>
      <c r="KX255" s="42"/>
      <c r="KY255" s="42"/>
      <c r="KZ255" s="42"/>
      <c r="LA255" s="42"/>
      <c r="LB255" s="42"/>
      <c r="LC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c r="BR256" s="42"/>
      <c r="BS256" s="42"/>
      <c r="BT256" s="42"/>
      <c r="BU256" s="42"/>
      <c r="BV256" s="42"/>
      <c r="BW256" s="42"/>
      <c r="BX256" s="42"/>
      <c r="BY256" s="42"/>
      <c r="BZ256" s="42"/>
      <c r="CA256" s="42"/>
      <c r="CB256" s="42"/>
      <c r="CC256" s="42"/>
      <c r="CD256" s="42"/>
      <c r="CE256" s="42"/>
      <c r="CF256" s="42"/>
      <c r="CG256" s="42"/>
      <c r="CH256" s="42"/>
      <c r="CI256" s="42"/>
      <c r="CJ256" s="42"/>
      <c r="CK256" s="42"/>
      <c r="CL256" s="42"/>
      <c r="CM256" s="42"/>
      <c r="CN256" s="42"/>
      <c r="CO256" s="42"/>
      <c r="CP256" s="42"/>
      <c r="CQ256" s="42"/>
      <c r="CR256" s="42"/>
      <c r="CS256" s="42"/>
      <c r="CT256" s="42"/>
      <c r="CU256" s="42"/>
      <c r="CV256" s="42"/>
      <c r="CW256" s="42"/>
      <c r="CX256" s="42"/>
      <c r="CY256" s="42"/>
      <c r="CZ256" s="42"/>
      <c r="DA256" s="42"/>
      <c r="DB256" s="42"/>
      <c r="DC256" s="42"/>
      <c r="DD256" s="42"/>
      <c r="DE256" s="42"/>
      <c r="DF256" s="42"/>
      <c r="DG256" s="42"/>
      <c r="DH256" s="42"/>
      <c r="DI256" s="42"/>
      <c r="DJ256" s="42"/>
      <c r="DK256" s="42"/>
      <c r="DL256" s="42"/>
      <c r="DM256" s="42"/>
      <c r="DN256" s="42"/>
      <c r="DO256" s="42"/>
      <c r="DP256" s="42"/>
      <c r="DQ256" s="42"/>
      <c r="DR256" s="42"/>
      <c r="DS256" s="42"/>
      <c r="DT256" s="42"/>
      <c r="DU256" s="42"/>
      <c r="DV256" s="42"/>
      <c r="DW256" s="42"/>
      <c r="DX256" s="42"/>
      <c r="DY256" s="42"/>
      <c r="DZ256" s="42"/>
      <c r="EA256" s="42"/>
      <c r="EB256" s="42"/>
      <c r="EC256" s="42"/>
      <c r="ED256" s="42"/>
      <c r="EE256" s="42"/>
      <c r="EF256" s="42"/>
      <c r="EG256" s="42"/>
      <c r="EH256" s="42"/>
      <c r="EI256" s="42"/>
      <c r="EJ256" s="42"/>
      <c r="EK256" s="42"/>
      <c r="EL256" s="42"/>
      <c r="EM256" s="42"/>
      <c r="EN256" s="42"/>
      <c r="EO256" s="42"/>
      <c r="EP256" s="42"/>
      <c r="EQ256" s="42"/>
      <c r="ER256" s="42"/>
      <c r="ES256" s="42"/>
      <c r="ET256" s="42"/>
      <c r="EU256" s="42"/>
      <c r="EV256" s="42"/>
      <c r="EW256" s="42"/>
      <c r="EX256" s="42"/>
      <c r="EY256" s="42"/>
      <c r="EZ256" s="42"/>
      <c r="FA256" s="42"/>
      <c r="FB256" s="42"/>
      <c r="FC256" s="42"/>
      <c r="FD256" s="42"/>
      <c r="FE256" s="42"/>
      <c r="FF256" s="42"/>
      <c r="FG256" s="42"/>
      <c r="FH256" s="42"/>
      <c r="FI256" s="42"/>
      <c r="FJ256" s="42"/>
      <c r="FK256" s="42"/>
      <c r="FL256" s="42"/>
      <c r="FM256" s="42"/>
      <c r="FN256" s="42"/>
      <c r="FO256" s="42"/>
      <c r="FP256" s="42"/>
      <c r="FQ256" s="42"/>
      <c r="FR256" s="42"/>
      <c r="FS256" s="42"/>
      <c r="FT256" s="42"/>
      <c r="FU256" s="42"/>
      <c r="FV256" s="42"/>
      <c r="FW256" s="42"/>
      <c r="FX256" s="42"/>
      <c r="FY256" s="42"/>
      <c r="FZ256" s="42"/>
      <c r="GA256" s="42"/>
      <c r="GB256" s="42"/>
      <c r="GC256" s="42"/>
      <c r="GD256" s="42"/>
      <c r="GE256" s="42"/>
      <c r="GF256" s="42"/>
      <c r="GG256" s="42"/>
      <c r="GH256" s="42"/>
      <c r="GI256" s="42"/>
      <c r="GJ256" s="42"/>
      <c r="GK256" s="42"/>
      <c r="GL256" s="42"/>
      <c r="GM256" s="42"/>
      <c r="GN256" s="42"/>
      <c r="GO256" s="42"/>
      <c r="GP256" s="42"/>
      <c r="GQ256" s="42"/>
      <c r="GR256" s="42"/>
      <c r="GS256" s="42"/>
      <c r="GT256" s="42"/>
      <c r="GU256" s="42"/>
      <c r="GV256" s="42"/>
      <c r="GW256" s="42"/>
      <c r="GX256" s="42"/>
      <c r="GY256" s="42"/>
      <c r="GZ256" s="42"/>
      <c r="HA256" s="42"/>
      <c r="HB256" s="42"/>
      <c r="HC256" s="42"/>
      <c r="HD256" s="42"/>
      <c r="HE256" s="42"/>
      <c r="HF256" s="42"/>
      <c r="HG256" s="42"/>
      <c r="HH256" s="42"/>
      <c r="HI256" s="42"/>
      <c r="HJ256" s="42"/>
      <c r="HK256" s="42"/>
      <c r="HL256" s="42"/>
      <c r="HM256" s="42"/>
      <c r="HN256" s="42"/>
      <c r="HO256" s="42"/>
      <c r="HP256" s="42"/>
      <c r="HQ256" s="42"/>
      <c r="HR256" s="42"/>
      <c r="HS256" s="42"/>
      <c r="HT256" s="42"/>
      <c r="HU256" s="42"/>
      <c r="HV256" s="42"/>
      <c r="HW256" s="42"/>
      <c r="HX256" s="42"/>
      <c r="HY256" s="42"/>
      <c r="HZ256" s="42"/>
      <c r="IA256" s="42"/>
      <c r="IB256" s="42"/>
      <c r="IC256" s="42"/>
      <c r="ID256" s="42"/>
      <c r="IE256" s="42"/>
      <c r="IF256" s="42"/>
      <c r="IG256" s="42"/>
      <c r="IH256" s="42"/>
      <c r="II256" s="42"/>
      <c r="IJ256" s="42"/>
      <c r="IK256" s="42"/>
      <c r="IL256" s="42"/>
      <c r="IM256" s="42"/>
      <c r="IN256" s="42"/>
      <c r="IO256" s="42"/>
      <c r="IP256" s="42"/>
      <c r="IQ256" s="42"/>
      <c r="IR256" s="42"/>
      <c r="IS256" s="42"/>
      <c r="IT256" s="42"/>
      <c r="IU256" s="42"/>
      <c r="IV256" s="42"/>
      <c r="IW256" s="42"/>
      <c r="IX256" s="42"/>
      <c r="IY256" s="42"/>
      <c r="IZ256" s="42"/>
      <c r="JA256" s="42"/>
      <c r="JB256" s="42"/>
      <c r="JC256" s="42"/>
      <c r="JD256" s="42"/>
      <c r="JE256" s="42"/>
      <c r="JF256" s="42"/>
      <c r="JG256" s="42"/>
      <c r="JH256" s="42"/>
      <c r="JI256" s="42"/>
      <c r="JJ256" s="42"/>
      <c r="JK256" s="42"/>
      <c r="JL256" s="42"/>
      <c r="JM256" s="42"/>
      <c r="JN256" s="42"/>
      <c r="JO256" s="42"/>
      <c r="JP256" s="42"/>
      <c r="JQ256" s="42"/>
      <c r="JR256" s="42"/>
      <c r="JS256" s="42"/>
      <c r="JT256" s="42"/>
      <c r="JU256" s="42"/>
      <c r="JV256" s="42"/>
      <c r="JW256" s="42"/>
      <c r="JX256" s="42"/>
      <c r="JY256" s="42"/>
      <c r="JZ256" s="42"/>
      <c r="KA256" s="42"/>
      <c r="KB256" s="42"/>
      <c r="KC256" s="42"/>
      <c r="KD256" s="42"/>
      <c r="KE256" s="42"/>
      <c r="KF256" s="42"/>
      <c r="KG256" s="42"/>
      <c r="KH256" s="42"/>
      <c r="KI256" s="42"/>
      <c r="KJ256" s="42"/>
      <c r="KK256" s="42"/>
      <c r="KL256" s="42"/>
      <c r="KM256" s="42"/>
      <c r="KN256" s="42"/>
      <c r="KO256" s="42"/>
      <c r="KP256" s="42"/>
      <c r="KQ256" s="42"/>
      <c r="KR256" s="42"/>
      <c r="KS256" s="42"/>
      <c r="KT256" s="42"/>
      <c r="KU256" s="42"/>
      <c r="KV256" s="42"/>
      <c r="KW256" s="42"/>
      <c r="KX256" s="42"/>
      <c r="KY256" s="42"/>
      <c r="KZ256" s="42"/>
      <c r="LA256" s="42"/>
      <c r="LB256" s="42"/>
      <c r="LC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42"/>
      <c r="BB257" s="42"/>
      <c r="BC257" s="42"/>
      <c r="BD257" s="42"/>
      <c r="BE257" s="42"/>
      <c r="BF257" s="42"/>
      <c r="BG257" s="42"/>
      <c r="BH257" s="42"/>
      <c r="BI257" s="42"/>
      <c r="BJ257" s="42"/>
      <c r="BK257" s="42"/>
      <c r="BL257" s="42"/>
      <c r="BM257" s="42"/>
      <c r="BN257" s="42"/>
      <c r="BO257" s="42"/>
      <c r="BP257" s="42"/>
      <c r="BQ257" s="42"/>
      <c r="BR257" s="42"/>
      <c r="BS257" s="42"/>
      <c r="BT257" s="42"/>
      <c r="BU257" s="42"/>
      <c r="BV257" s="42"/>
      <c r="BW257" s="42"/>
      <c r="BX257" s="42"/>
      <c r="BY257" s="42"/>
      <c r="BZ257" s="42"/>
      <c r="CA257" s="42"/>
      <c r="CB257" s="42"/>
      <c r="CC257" s="42"/>
      <c r="CD257" s="42"/>
      <c r="CE257" s="42"/>
      <c r="CF257" s="42"/>
      <c r="CG257" s="42"/>
      <c r="CH257" s="42"/>
      <c r="CI257" s="42"/>
      <c r="CJ257" s="42"/>
      <c r="CK257" s="42"/>
      <c r="CL257" s="42"/>
      <c r="CM257" s="42"/>
      <c r="CN257" s="42"/>
      <c r="CO257" s="42"/>
      <c r="CP257" s="42"/>
      <c r="CQ257" s="42"/>
      <c r="CR257" s="42"/>
      <c r="CS257" s="42"/>
      <c r="CT257" s="42"/>
      <c r="CU257" s="42"/>
      <c r="CV257" s="42"/>
      <c r="CW257" s="42"/>
      <c r="CX257" s="42"/>
      <c r="CY257" s="42"/>
      <c r="CZ257" s="42"/>
      <c r="DA257" s="42"/>
      <c r="DB257" s="42"/>
      <c r="DC257" s="42"/>
      <c r="DD257" s="42"/>
      <c r="DE257" s="42"/>
      <c r="DF257" s="42"/>
      <c r="DG257" s="42"/>
      <c r="DH257" s="42"/>
      <c r="DI257" s="42"/>
      <c r="DJ257" s="42"/>
      <c r="DK257" s="42"/>
      <c r="DL257" s="42"/>
      <c r="DM257" s="42"/>
      <c r="DN257" s="42"/>
      <c r="DO257" s="42"/>
      <c r="DP257" s="42"/>
      <c r="DQ257" s="42"/>
      <c r="DR257" s="42"/>
      <c r="DS257" s="42"/>
      <c r="DT257" s="42"/>
      <c r="DU257" s="42"/>
      <c r="DV257" s="42"/>
      <c r="DW257" s="42"/>
      <c r="DX257" s="42"/>
      <c r="DY257" s="42"/>
      <c r="DZ257" s="42"/>
      <c r="EA257" s="42"/>
      <c r="EB257" s="42"/>
      <c r="EC257" s="42"/>
      <c r="ED257" s="42"/>
      <c r="EE257" s="42"/>
      <c r="EF257" s="42"/>
      <c r="EG257" s="42"/>
      <c r="EH257" s="42"/>
      <c r="EI257" s="42"/>
      <c r="EJ257" s="42"/>
      <c r="EK257" s="42"/>
      <c r="EL257" s="42"/>
      <c r="EM257" s="42"/>
      <c r="EN257" s="42"/>
      <c r="EO257" s="42"/>
      <c r="EP257" s="42"/>
      <c r="EQ257" s="42"/>
      <c r="ER257" s="42"/>
      <c r="ES257" s="42"/>
      <c r="ET257" s="42"/>
      <c r="EU257" s="42"/>
      <c r="EV257" s="42"/>
      <c r="EW257" s="42"/>
      <c r="EX257" s="42"/>
      <c r="EY257" s="42"/>
      <c r="EZ257" s="42"/>
      <c r="FA257" s="42"/>
      <c r="FB257" s="42"/>
      <c r="FC257" s="42"/>
      <c r="FD257" s="42"/>
      <c r="FE257" s="42"/>
      <c r="FF257" s="42"/>
      <c r="FG257" s="42"/>
      <c r="FH257" s="42"/>
      <c r="FI257" s="42"/>
      <c r="FJ257" s="42"/>
      <c r="FK257" s="42"/>
      <c r="FL257" s="42"/>
      <c r="FM257" s="42"/>
      <c r="FN257" s="42"/>
      <c r="FO257" s="42"/>
      <c r="FP257" s="42"/>
      <c r="FQ257" s="42"/>
      <c r="FR257" s="42"/>
      <c r="FS257" s="42"/>
      <c r="FT257" s="42"/>
      <c r="FU257" s="42"/>
      <c r="FV257" s="42"/>
      <c r="FW257" s="42"/>
      <c r="FX257" s="42"/>
      <c r="FY257" s="42"/>
      <c r="FZ257" s="42"/>
      <c r="GA257" s="42"/>
      <c r="GB257" s="42"/>
      <c r="GC257" s="42"/>
      <c r="GD257" s="42"/>
      <c r="GE257" s="42"/>
      <c r="GF257" s="42"/>
      <c r="GG257" s="42"/>
      <c r="GH257" s="42"/>
      <c r="GI257" s="42"/>
      <c r="GJ257" s="42"/>
      <c r="GK257" s="42"/>
      <c r="GL257" s="42"/>
      <c r="GM257" s="42"/>
      <c r="GN257" s="42"/>
      <c r="GO257" s="42"/>
      <c r="GP257" s="42"/>
      <c r="GQ257" s="42"/>
      <c r="GR257" s="42"/>
      <c r="GS257" s="42"/>
      <c r="GT257" s="42"/>
      <c r="GU257" s="42"/>
      <c r="GV257" s="42"/>
      <c r="GW257" s="42"/>
      <c r="GX257" s="42"/>
      <c r="GY257" s="42"/>
      <c r="GZ257" s="42"/>
      <c r="HA257" s="42"/>
      <c r="HB257" s="42"/>
      <c r="HC257" s="42"/>
      <c r="HD257" s="42"/>
      <c r="HE257" s="42"/>
      <c r="HF257" s="42"/>
      <c r="HG257" s="42"/>
      <c r="HH257" s="42"/>
      <c r="HI257" s="42"/>
      <c r="HJ257" s="42"/>
      <c r="HK257" s="42"/>
      <c r="HL257" s="42"/>
      <c r="HM257" s="42"/>
      <c r="HN257" s="42"/>
      <c r="HO257" s="42"/>
      <c r="HP257" s="42"/>
      <c r="HQ257" s="42"/>
      <c r="HR257" s="42"/>
      <c r="HS257" s="42"/>
      <c r="HT257" s="42"/>
      <c r="HU257" s="42"/>
      <c r="HV257" s="42"/>
      <c r="HW257" s="42"/>
      <c r="HX257" s="42"/>
      <c r="HY257" s="42"/>
      <c r="HZ257" s="42"/>
      <c r="IA257" s="42"/>
      <c r="IB257" s="42"/>
      <c r="IC257" s="42"/>
      <c r="ID257" s="42"/>
      <c r="IE257" s="42"/>
      <c r="IF257" s="42"/>
      <c r="IG257" s="42"/>
      <c r="IH257" s="42"/>
      <c r="II257" s="42"/>
      <c r="IJ257" s="42"/>
      <c r="IK257" s="42"/>
      <c r="IL257" s="42"/>
      <c r="IM257" s="42"/>
      <c r="IN257" s="42"/>
      <c r="IO257" s="42"/>
      <c r="IP257" s="42"/>
      <c r="IQ257" s="42"/>
      <c r="IR257" s="42"/>
      <c r="IS257" s="42"/>
      <c r="IT257" s="42"/>
      <c r="IU257" s="42"/>
      <c r="IV257" s="42"/>
      <c r="IW257" s="42"/>
      <c r="IX257" s="42"/>
      <c r="IY257" s="42"/>
      <c r="IZ257" s="42"/>
      <c r="JA257" s="42"/>
      <c r="JB257" s="42"/>
      <c r="JC257" s="42"/>
      <c r="JD257" s="42"/>
      <c r="JE257" s="42"/>
      <c r="JF257" s="42"/>
      <c r="JG257" s="42"/>
      <c r="JH257" s="42"/>
      <c r="JI257" s="42"/>
      <c r="JJ257" s="42"/>
      <c r="JK257" s="42"/>
      <c r="JL257" s="42"/>
      <c r="JM257" s="42"/>
      <c r="JN257" s="42"/>
      <c r="JO257" s="42"/>
      <c r="JP257" s="42"/>
      <c r="JQ257" s="42"/>
      <c r="JR257" s="42"/>
      <c r="JS257" s="42"/>
      <c r="JT257" s="42"/>
      <c r="JU257" s="42"/>
      <c r="JV257" s="42"/>
      <c r="JW257" s="42"/>
      <c r="JX257" s="42"/>
      <c r="JY257" s="42"/>
      <c r="JZ257" s="42"/>
      <c r="KA257" s="42"/>
      <c r="KB257" s="42"/>
      <c r="KC257" s="42"/>
      <c r="KD257" s="42"/>
      <c r="KE257" s="42"/>
      <c r="KF257" s="42"/>
      <c r="KG257" s="42"/>
      <c r="KH257" s="42"/>
      <c r="KI257" s="42"/>
      <c r="KJ257" s="42"/>
      <c r="KK257" s="42"/>
      <c r="KL257" s="42"/>
      <c r="KM257" s="42"/>
      <c r="KN257" s="42"/>
      <c r="KO257" s="42"/>
      <c r="KP257" s="42"/>
      <c r="KQ257" s="42"/>
      <c r="KR257" s="42"/>
      <c r="KS257" s="42"/>
      <c r="KT257" s="42"/>
      <c r="KU257" s="42"/>
      <c r="KV257" s="42"/>
      <c r="KW257" s="42"/>
      <c r="KX257" s="42"/>
      <c r="KY257" s="42"/>
      <c r="KZ257" s="42"/>
      <c r="LA257" s="42"/>
      <c r="LB257" s="42"/>
      <c r="LC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c r="BA258" s="42"/>
      <c r="BB258" s="42"/>
      <c r="BC258" s="42"/>
      <c r="BD258" s="42"/>
      <c r="BE258" s="42"/>
      <c r="BF258" s="42"/>
      <c r="BG258" s="42"/>
      <c r="BH258" s="42"/>
      <c r="BI258" s="42"/>
      <c r="BJ258" s="42"/>
      <c r="BK258" s="42"/>
      <c r="BL258" s="42"/>
      <c r="BM258" s="42"/>
      <c r="BN258" s="42"/>
      <c r="BO258" s="42"/>
      <c r="BP258" s="42"/>
      <c r="BQ258" s="42"/>
      <c r="BR258" s="42"/>
      <c r="BS258" s="42"/>
      <c r="BT258" s="42"/>
      <c r="BU258" s="42"/>
      <c r="BV258" s="42"/>
      <c r="BW258" s="42"/>
      <c r="BX258" s="42"/>
      <c r="BY258" s="42"/>
      <c r="BZ258" s="42"/>
      <c r="CA258" s="42"/>
      <c r="CB258" s="42"/>
      <c r="CC258" s="42"/>
      <c r="CD258" s="42"/>
      <c r="CE258" s="42"/>
      <c r="CF258" s="42"/>
      <c r="CG258" s="42"/>
      <c r="CH258" s="42"/>
      <c r="CI258" s="42"/>
      <c r="CJ258" s="42"/>
      <c r="CK258" s="42"/>
      <c r="CL258" s="42"/>
      <c r="CM258" s="42"/>
      <c r="CN258" s="42"/>
      <c r="CO258" s="42"/>
      <c r="CP258" s="42"/>
      <c r="CQ258" s="42"/>
      <c r="CR258" s="42"/>
      <c r="CS258" s="42"/>
      <c r="CT258" s="42"/>
      <c r="CU258" s="42"/>
      <c r="CV258" s="42"/>
      <c r="CW258" s="42"/>
      <c r="CX258" s="42"/>
      <c r="CY258" s="42"/>
      <c r="CZ258" s="42"/>
      <c r="DA258" s="42"/>
      <c r="DB258" s="42"/>
      <c r="DC258" s="42"/>
      <c r="DD258" s="42"/>
      <c r="DE258" s="42"/>
      <c r="DF258" s="42"/>
      <c r="DG258" s="42"/>
      <c r="DH258" s="42"/>
      <c r="DI258" s="42"/>
      <c r="DJ258" s="42"/>
      <c r="DK258" s="42"/>
      <c r="DL258" s="42"/>
      <c r="DM258" s="42"/>
      <c r="DN258" s="42"/>
      <c r="DO258" s="42"/>
      <c r="DP258" s="42"/>
      <c r="DQ258" s="42"/>
      <c r="DR258" s="42"/>
      <c r="DS258" s="42"/>
      <c r="DT258" s="42"/>
      <c r="DU258" s="42"/>
      <c r="DV258" s="42"/>
      <c r="DW258" s="42"/>
      <c r="DX258" s="42"/>
      <c r="DY258" s="42"/>
      <c r="DZ258" s="42"/>
      <c r="EA258" s="42"/>
      <c r="EB258" s="42"/>
      <c r="EC258" s="42"/>
      <c r="ED258" s="42"/>
      <c r="EE258" s="42"/>
      <c r="EF258" s="42"/>
      <c r="EG258" s="42"/>
      <c r="EH258" s="42"/>
      <c r="EI258" s="42"/>
      <c r="EJ258" s="42"/>
      <c r="EK258" s="42"/>
      <c r="EL258" s="42"/>
      <c r="EM258" s="42"/>
      <c r="EN258" s="42"/>
      <c r="EO258" s="42"/>
      <c r="EP258" s="42"/>
      <c r="EQ258" s="42"/>
      <c r="ER258" s="42"/>
      <c r="ES258" s="42"/>
      <c r="ET258" s="42"/>
      <c r="EU258" s="42"/>
      <c r="EV258" s="42"/>
      <c r="EW258" s="42"/>
      <c r="EX258" s="42"/>
      <c r="EY258" s="42"/>
      <c r="EZ258" s="42"/>
      <c r="FA258" s="42"/>
      <c r="FB258" s="42"/>
      <c r="FC258" s="42"/>
      <c r="FD258" s="42"/>
      <c r="FE258" s="42"/>
      <c r="FF258" s="42"/>
      <c r="FG258" s="42"/>
      <c r="FH258" s="42"/>
      <c r="FI258" s="42"/>
      <c r="FJ258" s="42"/>
      <c r="FK258" s="42"/>
      <c r="FL258" s="42"/>
      <c r="FM258" s="42"/>
      <c r="FN258" s="42"/>
      <c r="FO258" s="42"/>
      <c r="FP258" s="42"/>
      <c r="FQ258" s="42"/>
      <c r="FR258" s="42"/>
      <c r="FS258" s="42"/>
      <c r="FT258" s="42"/>
      <c r="FU258" s="42"/>
      <c r="FV258" s="42"/>
      <c r="FW258" s="42"/>
      <c r="FX258" s="42"/>
      <c r="FY258" s="42"/>
      <c r="FZ258" s="42"/>
      <c r="GA258" s="42"/>
      <c r="GB258" s="42"/>
      <c r="GC258" s="42"/>
      <c r="GD258" s="42"/>
      <c r="GE258" s="42"/>
      <c r="GF258" s="42"/>
      <c r="GG258" s="42"/>
      <c r="GH258" s="42"/>
      <c r="GI258" s="42"/>
      <c r="GJ258" s="42"/>
      <c r="GK258" s="42"/>
      <c r="GL258" s="42"/>
      <c r="GM258" s="42"/>
      <c r="GN258" s="42"/>
      <c r="GO258" s="42"/>
      <c r="GP258" s="42"/>
      <c r="GQ258" s="42"/>
      <c r="GR258" s="42"/>
      <c r="GS258" s="42"/>
      <c r="GT258" s="42"/>
      <c r="GU258" s="42"/>
      <c r="GV258" s="42"/>
      <c r="GW258" s="42"/>
      <c r="GX258" s="42"/>
      <c r="GY258" s="42"/>
      <c r="GZ258" s="42"/>
      <c r="HA258" s="42"/>
      <c r="HB258" s="42"/>
      <c r="HC258" s="42"/>
      <c r="HD258" s="42"/>
      <c r="HE258" s="42"/>
      <c r="HF258" s="42"/>
      <c r="HG258" s="42"/>
      <c r="HH258" s="42"/>
      <c r="HI258" s="42"/>
      <c r="HJ258" s="42"/>
      <c r="HK258" s="42"/>
      <c r="HL258" s="42"/>
      <c r="HM258" s="42"/>
      <c r="HN258" s="42"/>
      <c r="HO258" s="42"/>
      <c r="HP258" s="42"/>
      <c r="HQ258" s="42"/>
      <c r="HR258" s="42"/>
      <c r="HS258" s="42"/>
      <c r="HT258" s="42"/>
      <c r="HU258" s="42"/>
      <c r="HV258" s="42"/>
      <c r="HW258" s="42"/>
      <c r="HX258" s="42"/>
      <c r="HY258" s="42"/>
      <c r="HZ258" s="42"/>
      <c r="IA258" s="42"/>
      <c r="IB258" s="42"/>
      <c r="IC258" s="42"/>
      <c r="ID258" s="42"/>
      <c r="IE258" s="42"/>
      <c r="IF258" s="42"/>
      <c r="IG258" s="42"/>
      <c r="IH258" s="42"/>
      <c r="II258" s="42"/>
      <c r="IJ258" s="42"/>
      <c r="IK258" s="42"/>
      <c r="IL258" s="42"/>
      <c r="IM258" s="42"/>
      <c r="IN258" s="42"/>
      <c r="IO258" s="42"/>
      <c r="IP258" s="42"/>
      <c r="IQ258" s="42"/>
      <c r="IR258" s="42"/>
      <c r="IS258" s="42"/>
      <c r="IT258" s="42"/>
      <c r="IU258" s="42"/>
      <c r="IV258" s="42"/>
      <c r="IW258" s="42"/>
      <c r="IX258" s="42"/>
      <c r="IY258" s="42"/>
      <c r="IZ258" s="42"/>
      <c r="JA258" s="42"/>
      <c r="JB258" s="42"/>
      <c r="JC258" s="42"/>
      <c r="JD258" s="42"/>
      <c r="JE258" s="42"/>
      <c r="JF258" s="42"/>
      <c r="JG258" s="42"/>
      <c r="JH258" s="42"/>
      <c r="JI258" s="42"/>
      <c r="JJ258" s="42"/>
      <c r="JK258" s="42"/>
      <c r="JL258" s="42"/>
      <c r="JM258" s="42"/>
      <c r="JN258" s="42"/>
      <c r="JO258" s="42"/>
      <c r="JP258" s="42"/>
      <c r="JQ258" s="42"/>
      <c r="JR258" s="42"/>
      <c r="JS258" s="42"/>
      <c r="JT258" s="42"/>
      <c r="JU258" s="42"/>
      <c r="JV258" s="42"/>
      <c r="JW258" s="42"/>
      <c r="JX258" s="42"/>
      <c r="JY258" s="42"/>
      <c r="JZ258" s="42"/>
      <c r="KA258" s="42"/>
      <c r="KB258" s="42"/>
      <c r="KC258" s="42"/>
      <c r="KD258" s="42"/>
      <c r="KE258" s="42"/>
      <c r="KF258" s="42"/>
      <c r="KG258" s="42"/>
      <c r="KH258" s="42"/>
      <c r="KI258" s="42"/>
      <c r="KJ258" s="42"/>
      <c r="KK258" s="42"/>
      <c r="KL258" s="42"/>
      <c r="KM258" s="42"/>
      <c r="KN258" s="42"/>
      <c r="KO258" s="42"/>
      <c r="KP258" s="42"/>
      <c r="KQ258" s="42"/>
      <c r="KR258" s="42"/>
      <c r="KS258" s="42"/>
      <c r="KT258" s="42"/>
      <c r="KU258" s="42"/>
      <c r="KV258" s="42"/>
      <c r="KW258" s="42"/>
      <c r="KX258" s="42"/>
      <c r="KY258" s="42"/>
      <c r="KZ258" s="42"/>
      <c r="LA258" s="42"/>
      <c r="LB258" s="42"/>
      <c r="LC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42"/>
      <c r="BB259" s="42"/>
      <c r="BC259" s="42"/>
      <c r="BD259" s="42"/>
      <c r="BE259" s="42"/>
      <c r="BF259" s="42"/>
      <c r="BG259" s="42"/>
      <c r="BH259" s="42"/>
      <c r="BI259" s="42"/>
      <c r="BJ259" s="42"/>
      <c r="BK259" s="42"/>
      <c r="BL259" s="42"/>
      <c r="BM259" s="42"/>
      <c r="BN259" s="42"/>
      <c r="BO259" s="42"/>
      <c r="BP259" s="42"/>
      <c r="BQ259" s="42"/>
      <c r="BR259" s="42"/>
      <c r="BS259" s="42"/>
      <c r="BT259" s="42"/>
      <c r="BU259" s="42"/>
      <c r="BV259" s="42"/>
      <c r="BW259" s="42"/>
      <c r="BX259" s="42"/>
      <c r="BY259" s="42"/>
      <c r="BZ259" s="42"/>
      <c r="CA259" s="42"/>
      <c r="CB259" s="42"/>
      <c r="CC259" s="42"/>
      <c r="CD259" s="42"/>
      <c r="CE259" s="42"/>
      <c r="CF259" s="42"/>
      <c r="CG259" s="42"/>
      <c r="CH259" s="42"/>
      <c r="CI259" s="42"/>
      <c r="CJ259" s="42"/>
      <c r="CK259" s="42"/>
      <c r="CL259" s="42"/>
      <c r="CM259" s="42"/>
      <c r="CN259" s="42"/>
      <c r="CO259" s="42"/>
      <c r="CP259" s="42"/>
      <c r="CQ259" s="42"/>
      <c r="CR259" s="42"/>
      <c r="CS259" s="42"/>
      <c r="CT259" s="42"/>
      <c r="CU259" s="42"/>
      <c r="CV259" s="42"/>
      <c r="CW259" s="42"/>
      <c r="CX259" s="42"/>
      <c r="CY259" s="42"/>
      <c r="CZ259" s="42"/>
      <c r="DA259" s="42"/>
      <c r="DB259" s="42"/>
      <c r="DC259" s="42"/>
      <c r="DD259" s="42"/>
      <c r="DE259" s="42"/>
      <c r="DF259" s="42"/>
      <c r="DG259" s="42"/>
      <c r="DH259" s="42"/>
      <c r="DI259" s="42"/>
      <c r="DJ259" s="42"/>
      <c r="DK259" s="42"/>
      <c r="DL259" s="42"/>
      <c r="DM259" s="42"/>
      <c r="DN259" s="42"/>
      <c r="DO259" s="42"/>
      <c r="DP259" s="42"/>
      <c r="DQ259" s="42"/>
      <c r="DR259" s="42"/>
      <c r="DS259" s="42"/>
      <c r="DT259" s="42"/>
      <c r="DU259" s="42"/>
      <c r="DV259" s="42"/>
      <c r="DW259" s="42"/>
      <c r="DX259" s="42"/>
      <c r="DY259" s="42"/>
      <c r="DZ259" s="42"/>
      <c r="EA259" s="42"/>
      <c r="EB259" s="42"/>
      <c r="EC259" s="42"/>
      <c r="ED259" s="42"/>
      <c r="EE259" s="42"/>
      <c r="EF259" s="42"/>
      <c r="EG259" s="42"/>
      <c r="EH259" s="42"/>
      <c r="EI259" s="42"/>
      <c r="EJ259" s="42"/>
      <c r="EK259" s="42"/>
      <c r="EL259" s="42"/>
      <c r="EM259" s="42"/>
      <c r="EN259" s="42"/>
      <c r="EO259" s="42"/>
      <c r="EP259" s="42"/>
      <c r="EQ259" s="42"/>
      <c r="ER259" s="42"/>
      <c r="ES259" s="42"/>
      <c r="ET259" s="42"/>
      <c r="EU259" s="42"/>
      <c r="EV259" s="42"/>
      <c r="EW259" s="42"/>
      <c r="EX259" s="42"/>
      <c r="EY259" s="42"/>
      <c r="EZ259" s="42"/>
      <c r="FA259" s="42"/>
      <c r="FB259" s="42"/>
      <c r="FC259" s="42"/>
      <c r="FD259" s="42"/>
      <c r="FE259" s="42"/>
      <c r="FF259" s="42"/>
      <c r="FG259" s="42"/>
      <c r="FH259" s="42"/>
      <c r="FI259" s="42"/>
      <c r="FJ259" s="42"/>
      <c r="FK259" s="42"/>
      <c r="FL259" s="42"/>
      <c r="FM259" s="42"/>
      <c r="FN259" s="42"/>
      <c r="FO259" s="42"/>
      <c r="FP259" s="42"/>
      <c r="FQ259" s="42"/>
      <c r="FR259" s="42"/>
      <c r="FS259" s="42"/>
      <c r="FT259" s="42"/>
      <c r="FU259" s="42"/>
      <c r="FV259" s="42"/>
      <c r="FW259" s="42"/>
      <c r="FX259" s="42"/>
      <c r="FY259" s="42"/>
      <c r="FZ259" s="42"/>
      <c r="GA259" s="42"/>
      <c r="GB259" s="42"/>
      <c r="GC259" s="42"/>
      <c r="GD259" s="42"/>
      <c r="GE259" s="42"/>
      <c r="GF259" s="42"/>
      <c r="GG259" s="42"/>
      <c r="GH259" s="42"/>
      <c r="GI259" s="42"/>
      <c r="GJ259" s="42"/>
      <c r="GK259" s="42"/>
      <c r="GL259" s="42"/>
      <c r="GM259" s="42"/>
      <c r="GN259" s="42"/>
      <c r="GO259" s="42"/>
      <c r="GP259" s="42"/>
      <c r="GQ259" s="42"/>
      <c r="GR259" s="42"/>
      <c r="GS259" s="42"/>
      <c r="GT259" s="42"/>
      <c r="GU259" s="42"/>
      <c r="GV259" s="42"/>
      <c r="GW259" s="42"/>
      <c r="GX259" s="42"/>
      <c r="GY259" s="42"/>
      <c r="GZ259" s="42"/>
      <c r="HA259" s="42"/>
      <c r="HB259" s="42"/>
      <c r="HC259" s="42"/>
      <c r="HD259" s="42"/>
      <c r="HE259" s="42"/>
      <c r="HF259" s="42"/>
      <c r="HG259" s="42"/>
      <c r="HH259" s="42"/>
      <c r="HI259" s="42"/>
      <c r="HJ259" s="42"/>
      <c r="HK259" s="42"/>
      <c r="HL259" s="42"/>
      <c r="HM259" s="42"/>
      <c r="HN259" s="42"/>
      <c r="HO259" s="42"/>
      <c r="HP259" s="42"/>
      <c r="HQ259" s="42"/>
      <c r="HR259" s="42"/>
      <c r="HS259" s="42"/>
      <c r="HT259" s="42"/>
      <c r="HU259" s="42"/>
      <c r="HV259" s="42"/>
      <c r="HW259" s="42"/>
      <c r="HX259" s="42"/>
      <c r="HY259" s="42"/>
      <c r="HZ259" s="42"/>
      <c r="IA259" s="42"/>
      <c r="IB259" s="42"/>
      <c r="IC259" s="42"/>
      <c r="ID259" s="42"/>
      <c r="IE259" s="42"/>
      <c r="IF259" s="42"/>
      <c r="IG259" s="42"/>
      <c r="IH259" s="42"/>
      <c r="II259" s="42"/>
      <c r="IJ259" s="42"/>
      <c r="IK259" s="42"/>
      <c r="IL259" s="42"/>
      <c r="IM259" s="42"/>
      <c r="IN259" s="42"/>
      <c r="IO259" s="42"/>
      <c r="IP259" s="42"/>
      <c r="IQ259" s="42"/>
      <c r="IR259" s="42"/>
      <c r="IS259" s="42"/>
      <c r="IT259" s="42"/>
      <c r="IU259" s="42"/>
      <c r="IV259" s="42"/>
      <c r="IW259" s="42"/>
      <c r="IX259" s="42"/>
      <c r="IY259" s="42"/>
      <c r="IZ259" s="42"/>
      <c r="JA259" s="42"/>
      <c r="JB259" s="42"/>
      <c r="JC259" s="42"/>
      <c r="JD259" s="42"/>
      <c r="JE259" s="42"/>
      <c r="JF259" s="42"/>
      <c r="JG259" s="42"/>
      <c r="JH259" s="42"/>
      <c r="JI259" s="42"/>
      <c r="JJ259" s="42"/>
      <c r="JK259" s="42"/>
      <c r="JL259" s="42"/>
      <c r="JM259" s="42"/>
      <c r="JN259" s="42"/>
      <c r="JO259" s="42"/>
      <c r="JP259" s="42"/>
      <c r="JQ259" s="42"/>
      <c r="JR259" s="42"/>
      <c r="JS259" s="42"/>
      <c r="JT259" s="42"/>
      <c r="JU259" s="42"/>
      <c r="JV259" s="42"/>
      <c r="JW259" s="42"/>
      <c r="JX259" s="42"/>
      <c r="JY259" s="42"/>
      <c r="JZ259" s="42"/>
      <c r="KA259" s="42"/>
      <c r="KB259" s="42"/>
      <c r="KC259" s="42"/>
      <c r="KD259" s="42"/>
      <c r="KE259" s="42"/>
      <c r="KF259" s="42"/>
      <c r="KG259" s="42"/>
      <c r="KH259" s="42"/>
      <c r="KI259" s="42"/>
      <c r="KJ259" s="42"/>
      <c r="KK259" s="42"/>
      <c r="KL259" s="42"/>
      <c r="KM259" s="42"/>
      <c r="KN259" s="42"/>
      <c r="KO259" s="42"/>
      <c r="KP259" s="42"/>
      <c r="KQ259" s="42"/>
      <c r="KR259" s="42"/>
      <c r="KS259" s="42"/>
      <c r="KT259" s="42"/>
      <c r="KU259" s="42"/>
      <c r="KV259" s="42"/>
      <c r="KW259" s="42"/>
      <c r="KX259" s="42"/>
      <c r="KY259" s="42"/>
      <c r="KZ259" s="42"/>
      <c r="LA259" s="42"/>
      <c r="LB259" s="42"/>
      <c r="LC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c r="BC260" s="42"/>
      <c r="BD260" s="42"/>
      <c r="BE260" s="42"/>
      <c r="BF260" s="42"/>
      <c r="BG260" s="42"/>
      <c r="BH260" s="42"/>
      <c r="BI260" s="42"/>
      <c r="BJ260" s="42"/>
      <c r="BK260" s="42"/>
      <c r="BL260" s="42"/>
      <c r="BM260" s="42"/>
      <c r="BN260" s="42"/>
      <c r="BO260" s="42"/>
      <c r="BP260" s="42"/>
      <c r="BQ260" s="42"/>
      <c r="BR260" s="42"/>
      <c r="BS260" s="42"/>
      <c r="BT260" s="42"/>
      <c r="BU260" s="42"/>
      <c r="BV260" s="42"/>
      <c r="BW260" s="42"/>
      <c r="BX260" s="42"/>
      <c r="BY260" s="42"/>
      <c r="BZ260" s="42"/>
      <c r="CA260" s="42"/>
      <c r="CB260" s="42"/>
      <c r="CC260" s="42"/>
      <c r="CD260" s="42"/>
      <c r="CE260" s="42"/>
      <c r="CF260" s="42"/>
      <c r="CG260" s="42"/>
      <c r="CH260" s="42"/>
      <c r="CI260" s="42"/>
      <c r="CJ260" s="42"/>
      <c r="CK260" s="42"/>
      <c r="CL260" s="42"/>
      <c r="CM260" s="42"/>
      <c r="CN260" s="42"/>
      <c r="CO260" s="42"/>
      <c r="CP260" s="42"/>
      <c r="CQ260" s="42"/>
      <c r="CR260" s="42"/>
      <c r="CS260" s="42"/>
      <c r="CT260" s="42"/>
      <c r="CU260" s="42"/>
      <c r="CV260" s="42"/>
      <c r="CW260" s="42"/>
      <c r="CX260" s="42"/>
      <c r="CY260" s="42"/>
      <c r="CZ260" s="42"/>
      <c r="DA260" s="42"/>
      <c r="DB260" s="42"/>
      <c r="DC260" s="42"/>
      <c r="DD260" s="42"/>
      <c r="DE260" s="42"/>
      <c r="DF260" s="42"/>
      <c r="DG260" s="42"/>
      <c r="DH260" s="42"/>
      <c r="DI260" s="42"/>
      <c r="DJ260" s="42"/>
      <c r="DK260" s="42"/>
      <c r="DL260" s="42"/>
      <c r="DM260" s="42"/>
      <c r="DN260" s="42"/>
      <c r="DO260" s="42"/>
      <c r="DP260" s="42"/>
      <c r="DQ260" s="42"/>
      <c r="DR260" s="42"/>
      <c r="DS260" s="42"/>
      <c r="DT260" s="42"/>
      <c r="DU260" s="42"/>
      <c r="DV260" s="42"/>
      <c r="DW260" s="42"/>
      <c r="DX260" s="42"/>
      <c r="DY260" s="42"/>
      <c r="DZ260" s="42"/>
      <c r="EA260" s="42"/>
      <c r="EB260" s="42"/>
      <c r="EC260" s="42"/>
      <c r="ED260" s="42"/>
      <c r="EE260" s="42"/>
      <c r="EF260" s="42"/>
      <c r="EG260" s="42"/>
      <c r="EH260" s="42"/>
      <c r="EI260" s="42"/>
      <c r="EJ260" s="42"/>
      <c r="EK260" s="42"/>
      <c r="EL260" s="42"/>
      <c r="EM260" s="42"/>
      <c r="EN260" s="42"/>
      <c r="EO260" s="42"/>
      <c r="EP260" s="42"/>
      <c r="EQ260" s="42"/>
      <c r="ER260" s="42"/>
      <c r="ES260" s="42"/>
      <c r="ET260" s="42"/>
      <c r="EU260" s="42"/>
      <c r="EV260" s="42"/>
      <c r="EW260" s="42"/>
      <c r="EX260" s="42"/>
      <c r="EY260" s="42"/>
      <c r="EZ260" s="42"/>
      <c r="FA260" s="42"/>
      <c r="FB260" s="42"/>
      <c r="FC260" s="42"/>
      <c r="FD260" s="42"/>
      <c r="FE260" s="42"/>
      <c r="FF260" s="42"/>
      <c r="FG260" s="42"/>
      <c r="FH260" s="42"/>
      <c r="FI260" s="42"/>
      <c r="FJ260" s="42"/>
      <c r="FK260" s="42"/>
      <c r="FL260" s="42"/>
      <c r="FM260" s="42"/>
      <c r="FN260" s="42"/>
      <c r="FO260" s="42"/>
      <c r="FP260" s="42"/>
      <c r="FQ260" s="42"/>
      <c r="FR260" s="42"/>
      <c r="FS260" s="42"/>
      <c r="FT260" s="42"/>
      <c r="FU260" s="42"/>
      <c r="FV260" s="42"/>
      <c r="FW260" s="42"/>
      <c r="FX260" s="42"/>
      <c r="FY260" s="42"/>
      <c r="FZ260" s="42"/>
      <c r="GA260" s="42"/>
      <c r="GB260" s="42"/>
      <c r="GC260" s="42"/>
      <c r="GD260" s="42"/>
      <c r="GE260" s="42"/>
      <c r="GF260" s="42"/>
      <c r="GG260" s="42"/>
      <c r="GH260" s="42"/>
      <c r="GI260" s="42"/>
      <c r="GJ260" s="42"/>
      <c r="GK260" s="42"/>
      <c r="GL260" s="42"/>
      <c r="GM260" s="42"/>
      <c r="GN260" s="42"/>
      <c r="GO260" s="42"/>
      <c r="GP260" s="42"/>
      <c r="GQ260" s="42"/>
      <c r="GR260" s="42"/>
      <c r="GS260" s="42"/>
      <c r="GT260" s="42"/>
      <c r="GU260" s="42"/>
      <c r="GV260" s="42"/>
      <c r="GW260" s="42"/>
      <c r="GX260" s="42"/>
      <c r="GY260" s="42"/>
      <c r="GZ260" s="42"/>
      <c r="HA260" s="42"/>
      <c r="HB260" s="42"/>
      <c r="HC260" s="42"/>
      <c r="HD260" s="42"/>
      <c r="HE260" s="42"/>
      <c r="HF260" s="42"/>
      <c r="HG260" s="42"/>
      <c r="HH260" s="42"/>
      <c r="HI260" s="42"/>
      <c r="HJ260" s="42"/>
      <c r="HK260" s="42"/>
      <c r="HL260" s="42"/>
      <c r="HM260" s="42"/>
      <c r="HN260" s="42"/>
      <c r="HO260" s="42"/>
      <c r="HP260" s="42"/>
      <c r="HQ260" s="42"/>
      <c r="HR260" s="42"/>
      <c r="HS260" s="42"/>
      <c r="HT260" s="42"/>
      <c r="HU260" s="42"/>
      <c r="HV260" s="42"/>
      <c r="HW260" s="42"/>
      <c r="HX260" s="42"/>
      <c r="HY260" s="42"/>
      <c r="HZ260" s="42"/>
      <c r="IA260" s="42"/>
      <c r="IB260" s="42"/>
      <c r="IC260" s="42"/>
      <c r="ID260" s="42"/>
      <c r="IE260" s="42"/>
      <c r="IF260" s="42"/>
      <c r="IG260" s="42"/>
      <c r="IH260" s="42"/>
      <c r="II260" s="42"/>
      <c r="IJ260" s="42"/>
      <c r="IK260" s="42"/>
      <c r="IL260" s="42"/>
      <c r="IM260" s="42"/>
      <c r="IN260" s="42"/>
      <c r="IO260" s="42"/>
      <c r="IP260" s="42"/>
      <c r="IQ260" s="42"/>
      <c r="IR260" s="42"/>
      <c r="IS260" s="42"/>
      <c r="IT260" s="42"/>
      <c r="IU260" s="42"/>
      <c r="IV260" s="42"/>
      <c r="IW260" s="42"/>
      <c r="IX260" s="42"/>
      <c r="IY260" s="42"/>
      <c r="IZ260" s="42"/>
      <c r="JA260" s="42"/>
      <c r="JB260" s="42"/>
      <c r="JC260" s="42"/>
      <c r="JD260" s="42"/>
      <c r="JE260" s="42"/>
      <c r="JF260" s="42"/>
      <c r="JG260" s="42"/>
      <c r="JH260" s="42"/>
      <c r="JI260" s="42"/>
      <c r="JJ260" s="42"/>
      <c r="JK260" s="42"/>
      <c r="JL260" s="42"/>
      <c r="JM260" s="42"/>
      <c r="JN260" s="42"/>
      <c r="JO260" s="42"/>
      <c r="JP260" s="42"/>
      <c r="JQ260" s="42"/>
      <c r="JR260" s="42"/>
      <c r="JS260" s="42"/>
      <c r="JT260" s="42"/>
      <c r="JU260" s="42"/>
      <c r="JV260" s="42"/>
      <c r="JW260" s="42"/>
      <c r="JX260" s="42"/>
      <c r="JY260" s="42"/>
      <c r="JZ260" s="42"/>
      <c r="KA260" s="42"/>
      <c r="KB260" s="42"/>
      <c r="KC260" s="42"/>
      <c r="KD260" s="42"/>
      <c r="KE260" s="42"/>
      <c r="KF260" s="42"/>
      <c r="KG260" s="42"/>
      <c r="KH260" s="42"/>
      <c r="KI260" s="42"/>
      <c r="KJ260" s="42"/>
      <c r="KK260" s="42"/>
      <c r="KL260" s="42"/>
      <c r="KM260" s="42"/>
      <c r="KN260" s="42"/>
      <c r="KO260" s="42"/>
      <c r="KP260" s="42"/>
      <c r="KQ260" s="42"/>
      <c r="KR260" s="42"/>
      <c r="KS260" s="42"/>
      <c r="KT260" s="42"/>
      <c r="KU260" s="42"/>
      <c r="KV260" s="42"/>
      <c r="KW260" s="42"/>
      <c r="KX260" s="42"/>
      <c r="KY260" s="42"/>
      <c r="KZ260" s="42"/>
      <c r="LA260" s="42"/>
      <c r="LB260" s="42"/>
      <c r="LC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c r="BC261" s="42"/>
      <c r="BD261" s="42"/>
      <c r="BE261" s="42"/>
      <c r="BF261" s="42"/>
      <c r="BG261" s="42"/>
      <c r="BH261" s="42"/>
      <c r="BI261" s="42"/>
      <c r="BJ261" s="42"/>
      <c r="BK261" s="42"/>
      <c r="BL261" s="42"/>
      <c r="BM261" s="42"/>
      <c r="BN261" s="42"/>
      <c r="BO261" s="42"/>
      <c r="BP261" s="42"/>
      <c r="BQ261" s="42"/>
      <c r="BR261" s="42"/>
      <c r="BS261" s="42"/>
      <c r="BT261" s="42"/>
      <c r="BU261" s="42"/>
      <c r="BV261" s="42"/>
      <c r="BW261" s="42"/>
      <c r="BX261" s="42"/>
      <c r="BY261" s="42"/>
      <c r="BZ261" s="42"/>
      <c r="CA261" s="42"/>
      <c r="CB261" s="42"/>
      <c r="CC261" s="42"/>
      <c r="CD261" s="42"/>
      <c r="CE261" s="42"/>
      <c r="CF261" s="42"/>
      <c r="CG261" s="42"/>
      <c r="CH261" s="42"/>
      <c r="CI261" s="42"/>
      <c r="CJ261" s="42"/>
      <c r="CK261" s="42"/>
      <c r="CL261" s="42"/>
      <c r="CM261" s="42"/>
      <c r="CN261" s="42"/>
      <c r="CO261" s="42"/>
      <c r="CP261" s="42"/>
      <c r="CQ261" s="42"/>
      <c r="CR261" s="42"/>
      <c r="CS261" s="42"/>
      <c r="CT261" s="42"/>
      <c r="CU261" s="42"/>
      <c r="CV261" s="42"/>
      <c r="CW261" s="42"/>
      <c r="CX261" s="42"/>
      <c r="CY261" s="42"/>
      <c r="CZ261" s="42"/>
      <c r="DA261" s="42"/>
      <c r="DB261" s="42"/>
      <c r="DC261" s="42"/>
      <c r="DD261" s="42"/>
      <c r="DE261" s="42"/>
      <c r="DF261" s="42"/>
      <c r="DG261" s="42"/>
      <c r="DH261" s="42"/>
      <c r="DI261" s="42"/>
      <c r="DJ261" s="42"/>
      <c r="DK261" s="42"/>
      <c r="DL261" s="42"/>
      <c r="DM261" s="42"/>
      <c r="DN261" s="42"/>
      <c r="DO261" s="42"/>
      <c r="DP261" s="42"/>
      <c r="DQ261" s="42"/>
      <c r="DR261" s="42"/>
      <c r="DS261" s="42"/>
      <c r="DT261" s="42"/>
      <c r="DU261" s="42"/>
      <c r="DV261" s="42"/>
      <c r="DW261" s="42"/>
      <c r="DX261" s="42"/>
      <c r="DY261" s="42"/>
      <c r="DZ261" s="42"/>
      <c r="EA261" s="42"/>
      <c r="EB261" s="42"/>
      <c r="EC261" s="42"/>
      <c r="ED261" s="42"/>
      <c r="EE261" s="42"/>
      <c r="EF261" s="42"/>
      <c r="EG261" s="42"/>
      <c r="EH261" s="42"/>
      <c r="EI261" s="42"/>
      <c r="EJ261" s="42"/>
      <c r="EK261" s="42"/>
      <c r="EL261" s="42"/>
      <c r="EM261" s="42"/>
      <c r="EN261" s="42"/>
      <c r="EO261" s="42"/>
      <c r="EP261" s="42"/>
      <c r="EQ261" s="42"/>
      <c r="ER261" s="42"/>
      <c r="ES261" s="42"/>
      <c r="ET261" s="42"/>
      <c r="EU261" s="42"/>
      <c r="EV261" s="42"/>
      <c r="EW261" s="42"/>
      <c r="EX261" s="42"/>
      <c r="EY261" s="42"/>
      <c r="EZ261" s="42"/>
      <c r="FA261" s="42"/>
      <c r="FB261" s="42"/>
      <c r="FC261" s="42"/>
      <c r="FD261" s="42"/>
      <c r="FE261" s="42"/>
      <c r="FF261" s="42"/>
      <c r="FG261" s="42"/>
      <c r="FH261" s="42"/>
      <c r="FI261" s="42"/>
      <c r="FJ261" s="42"/>
      <c r="FK261" s="42"/>
      <c r="FL261" s="42"/>
      <c r="FM261" s="42"/>
      <c r="FN261" s="42"/>
      <c r="FO261" s="42"/>
      <c r="FP261" s="42"/>
      <c r="FQ261" s="42"/>
      <c r="FR261" s="42"/>
      <c r="FS261" s="42"/>
      <c r="FT261" s="42"/>
      <c r="FU261" s="42"/>
      <c r="FV261" s="42"/>
      <c r="FW261" s="42"/>
      <c r="FX261" s="42"/>
      <c r="FY261" s="42"/>
      <c r="FZ261" s="42"/>
      <c r="GA261" s="42"/>
      <c r="GB261" s="42"/>
      <c r="GC261" s="42"/>
      <c r="GD261" s="42"/>
      <c r="GE261" s="42"/>
      <c r="GF261" s="42"/>
      <c r="GG261" s="42"/>
      <c r="GH261" s="42"/>
      <c r="GI261" s="42"/>
      <c r="GJ261" s="42"/>
      <c r="GK261" s="42"/>
      <c r="GL261" s="42"/>
      <c r="GM261" s="42"/>
      <c r="GN261" s="42"/>
      <c r="GO261" s="42"/>
      <c r="GP261" s="42"/>
      <c r="GQ261" s="42"/>
      <c r="GR261" s="42"/>
      <c r="GS261" s="42"/>
      <c r="GT261" s="42"/>
      <c r="GU261" s="42"/>
      <c r="GV261" s="42"/>
      <c r="GW261" s="42"/>
      <c r="GX261" s="42"/>
      <c r="GY261" s="42"/>
      <c r="GZ261" s="42"/>
      <c r="HA261" s="42"/>
      <c r="HB261" s="42"/>
      <c r="HC261" s="42"/>
      <c r="HD261" s="42"/>
      <c r="HE261" s="42"/>
      <c r="HF261" s="42"/>
      <c r="HG261" s="42"/>
      <c r="HH261" s="42"/>
      <c r="HI261" s="42"/>
      <c r="HJ261" s="42"/>
      <c r="HK261" s="42"/>
      <c r="HL261" s="42"/>
      <c r="HM261" s="42"/>
      <c r="HN261" s="42"/>
      <c r="HO261" s="42"/>
      <c r="HP261" s="42"/>
      <c r="HQ261" s="42"/>
      <c r="HR261" s="42"/>
      <c r="HS261" s="42"/>
      <c r="HT261" s="42"/>
      <c r="HU261" s="42"/>
      <c r="HV261" s="42"/>
      <c r="HW261" s="42"/>
      <c r="HX261" s="42"/>
      <c r="HY261" s="42"/>
      <c r="HZ261" s="42"/>
      <c r="IA261" s="42"/>
      <c r="IB261" s="42"/>
      <c r="IC261" s="42"/>
      <c r="ID261" s="42"/>
      <c r="IE261" s="42"/>
      <c r="IF261" s="42"/>
      <c r="IG261" s="42"/>
      <c r="IH261" s="42"/>
      <c r="II261" s="42"/>
      <c r="IJ261" s="42"/>
      <c r="IK261" s="42"/>
      <c r="IL261" s="42"/>
      <c r="IM261" s="42"/>
      <c r="IN261" s="42"/>
      <c r="IO261" s="42"/>
      <c r="IP261" s="42"/>
      <c r="IQ261" s="42"/>
      <c r="IR261" s="42"/>
      <c r="IS261" s="42"/>
      <c r="IT261" s="42"/>
      <c r="IU261" s="42"/>
      <c r="IV261" s="42"/>
      <c r="IW261" s="42"/>
      <c r="IX261" s="42"/>
      <c r="IY261" s="42"/>
      <c r="IZ261" s="42"/>
      <c r="JA261" s="42"/>
      <c r="JB261" s="42"/>
      <c r="JC261" s="42"/>
      <c r="JD261" s="42"/>
      <c r="JE261" s="42"/>
      <c r="JF261" s="42"/>
      <c r="JG261" s="42"/>
      <c r="JH261" s="42"/>
      <c r="JI261" s="42"/>
      <c r="JJ261" s="42"/>
      <c r="JK261" s="42"/>
      <c r="JL261" s="42"/>
      <c r="JM261" s="42"/>
      <c r="JN261" s="42"/>
      <c r="JO261" s="42"/>
      <c r="JP261" s="42"/>
      <c r="JQ261" s="42"/>
      <c r="JR261" s="42"/>
      <c r="JS261" s="42"/>
      <c r="JT261" s="42"/>
      <c r="JU261" s="42"/>
      <c r="JV261" s="42"/>
      <c r="JW261" s="42"/>
      <c r="JX261" s="42"/>
      <c r="JY261" s="42"/>
      <c r="JZ261" s="42"/>
      <c r="KA261" s="42"/>
      <c r="KB261" s="42"/>
      <c r="KC261" s="42"/>
      <c r="KD261" s="42"/>
      <c r="KE261" s="42"/>
      <c r="KF261" s="42"/>
      <c r="KG261" s="42"/>
      <c r="KH261" s="42"/>
      <c r="KI261" s="42"/>
      <c r="KJ261" s="42"/>
      <c r="KK261" s="42"/>
      <c r="KL261" s="42"/>
      <c r="KM261" s="42"/>
      <c r="KN261" s="42"/>
      <c r="KO261" s="42"/>
      <c r="KP261" s="42"/>
      <c r="KQ261" s="42"/>
      <c r="KR261" s="42"/>
      <c r="KS261" s="42"/>
      <c r="KT261" s="42"/>
      <c r="KU261" s="42"/>
      <c r="KV261" s="42"/>
      <c r="KW261" s="42"/>
      <c r="KX261" s="42"/>
      <c r="KY261" s="42"/>
      <c r="KZ261" s="42"/>
      <c r="LA261" s="42"/>
      <c r="LB261" s="42"/>
      <c r="LC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c r="BC262" s="42"/>
      <c r="BD262" s="42"/>
      <c r="BE262" s="42"/>
      <c r="BF262" s="42"/>
      <c r="BG262" s="42"/>
      <c r="BH262" s="42"/>
      <c r="BI262" s="42"/>
      <c r="BJ262" s="42"/>
      <c r="BK262" s="42"/>
      <c r="BL262" s="42"/>
      <c r="BM262" s="42"/>
      <c r="BN262" s="42"/>
      <c r="BO262" s="42"/>
      <c r="BP262" s="42"/>
      <c r="BQ262" s="42"/>
      <c r="BR262" s="42"/>
      <c r="BS262" s="42"/>
      <c r="BT262" s="42"/>
      <c r="BU262" s="42"/>
      <c r="BV262" s="42"/>
      <c r="BW262" s="42"/>
      <c r="BX262" s="42"/>
      <c r="BY262" s="42"/>
      <c r="BZ262" s="42"/>
      <c r="CA262" s="42"/>
      <c r="CB262" s="42"/>
      <c r="CC262" s="42"/>
      <c r="CD262" s="42"/>
      <c r="CE262" s="42"/>
      <c r="CF262" s="42"/>
      <c r="CG262" s="42"/>
      <c r="CH262" s="42"/>
      <c r="CI262" s="42"/>
      <c r="CJ262" s="42"/>
      <c r="CK262" s="42"/>
      <c r="CL262" s="42"/>
      <c r="CM262" s="42"/>
      <c r="CN262" s="42"/>
      <c r="CO262" s="42"/>
      <c r="CP262" s="42"/>
      <c r="CQ262" s="42"/>
      <c r="CR262" s="42"/>
      <c r="CS262" s="42"/>
      <c r="CT262" s="42"/>
      <c r="CU262" s="42"/>
      <c r="CV262" s="42"/>
      <c r="CW262" s="42"/>
      <c r="CX262" s="42"/>
      <c r="CY262" s="42"/>
      <c r="CZ262" s="42"/>
      <c r="DA262" s="42"/>
      <c r="DB262" s="42"/>
      <c r="DC262" s="42"/>
      <c r="DD262" s="42"/>
      <c r="DE262" s="42"/>
      <c r="DF262" s="42"/>
      <c r="DG262" s="42"/>
      <c r="DH262" s="42"/>
      <c r="DI262" s="42"/>
      <c r="DJ262" s="42"/>
      <c r="DK262" s="42"/>
      <c r="DL262" s="42"/>
      <c r="DM262" s="42"/>
      <c r="DN262" s="42"/>
      <c r="DO262" s="42"/>
      <c r="DP262" s="42"/>
      <c r="DQ262" s="42"/>
      <c r="DR262" s="42"/>
      <c r="DS262" s="42"/>
      <c r="DT262" s="42"/>
      <c r="DU262" s="42"/>
      <c r="DV262" s="42"/>
      <c r="DW262" s="42"/>
      <c r="DX262" s="42"/>
      <c r="DY262" s="42"/>
      <c r="DZ262" s="42"/>
      <c r="EA262" s="42"/>
      <c r="EB262" s="42"/>
      <c r="EC262" s="42"/>
      <c r="ED262" s="42"/>
      <c r="EE262" s="42"/>
      <c r="EF262" s="42"/>
      <c r="EG262" s="42"/>
      <c r="EH262" s="42"/>
      <c r="EI262" s="42"/>
      <c r="EJ262" s="42"/>
      <c r="EK262" s="42"/>
      <c r="EL262" s="42"/>
      <c r="EM262" s="42"/>
      <c r="EN262" s="42"/>
      <c r="EO262" s="42"/>
      <c r="EP262" s="42"/>
      <c r="EQ262" s="42"/>
      <c r="ER262" s="42"/>
      <c r="ES262" s="42"/>
      <c r="ET262" s="42"/>
      <c r="EU262" s="42"/>
      <c r="EV262" s="42"/>
      <c r="EW262" s="42"/>
      <c r="EX262" s="42"/>
      <c r="EY262" s="42"/>
      <c r="EZ262" s="42"/>
      <c r="FA262" s="42"/>
      <c r="FB262" s="42"/>
      <c r="FC262" s="42"/>
      <c r="FD262" s="42"/>
      <c r="FE262" s="42"/>
      <c r="FF262" s="42"/>
      <c r="FG262" s="42"/>
      <c r="FH262" s="42"/>
      <c r="FI262" s="42"/>
      <c r="FJ262" s="42"/>
      <c r="FK262" s="42"/>
      <c r="FL262" s="42"/>
      <c r="FM262" s="42"/>
      <c r="FN262" s="42"/>
      <c r="FO262" s="42"/>
      <c r="FP262" s="42"/>
      <c r="FQ262" s="42"/>
      <c r="FR262" s="42"/>
      <c r="FS262" s="42"/>
      <c r="FT262" s="42"/>
      <c r="FU262" s="42"/>
      <c r="FV262" s="42"/>
      <c r="FW262" s="42"/>
      <c r="FX262" s="42"/>
      <c r="FY262" s="42"/>
      <c r="FZ262" s="42"/>
      <c r="GA262" s="42"/>
      <c r="GB262" s="42"/>
      <c r="GC262" s="42"/>
      <c r="GD262" s="42"/>
      <c r="GE262" s="42"/>
      <c r="GF262" s="42"/>
      <c r="GG262" s="42"/>
      <c r="GH262" s="42"/>
      <c r="GI262" s="42"/>
      <c r="GJ262" s="42"/>
      <c r="GK262" s="42"/>
      <c r="GL262" s="42"/>
      <c r="GM262" s="42"/>
      <c r="GN262" s="42"/>
      <c r="GO262" s="42"/>
      <c r="GP262" s="42"/>
      <c r="GQ262" s="42"/>
      <c r="GR262" s="42"/>
      <c r="GS262" s="42"/>
      <c r="GT262" s="42"/>
      <c r="GU262" s="42"/>
      <c r="GV262" s="42"/>
      <c r="GW262" s="42"/>
      <c r="GX262" s="42"/>
      <c r="GY262" s="42"/>
      <c r="GZ262" s="42"/>
      <c r="HA262" s="42"/>
      <c r="HB262" s="42"/>
      <c r="HC262" s="42"/>
      <c r="HD262" s="42"/>
      <c r="HE262" s="42"/>
      <c r="HF262" s="42"/>
      <c r="HG262" s="42"/>
      <c r="HH262" s="42"/>
      <c r="HI262" s="42"/>
      <c r="HJ262" s="42"/>
      <c r="HK262" s="42"/>
      <c r="HL262" s="42"/>
      <c r="HM262" s="42"/>
      <c r="HN262" s="42"/>
      <c r="HO262" s="42"/>
      <c r="HP262" s="42"/>
      <c r="HQ262" s="42"/>
      <c r="HR262" s="42"/>
      <c r="HS262" s="42"/>
      <c r="HT262" s="42"/>
      <c r="HU262" s="42"/>
      <c r="HV262" s="42"/>
      <c r="HW262" s="42"/>
      <c r="HX262" s="42"/>
      <c r="HY262" s="42"/>
      <c r="HZ262" s="42"/>
      <c r="IA262" s="42"/>
      <c r="IB262" s="42"/>
      <c r="IC262" s="42"/>
      <c r="ID262" s="42"/>
      <c r="IE262" s="42"/>
      <c r="IF262" s="42"/>
      <c r="IG262" s="42"/>
      <c r="IH262" s="42"/>
      <c r="II262" s="42"/>
      <c r="IJ262" s="42"/>
      <c r="IK262" s="42"/>
      <c r="IL262" s="42"/>
      <c r="IM262" s="42"/>
      <c r="IN262" s="42"/>
      <c r="IO262" s="42"/>
      <c r="IP262" s="42"/>
      <c r="IQ262" s="42"/>
      <c r="IR262" s="42"/>
      <c r="IS262" s="42"/>
      <c r="IT262" s="42"/>
      <c r="IU262" s="42"/>
      <c r="IV262" s="42"/>
      <c r="IW262" s="42"/>
      <c r="IX262" s="42"/>
      <c r="IY262" s="42"/>
      <c r="IZ262" s="42"/>
      <c r="JA262" s="42"/>
      <c r="JB262" s="42"/>
      <c r="JC262" s="42"/>
      <c r="JD262" s="42"/>
      <c r="JE262" s="42"/>
      <c r="JF262" s="42"/>
      <c r="JG262" s="42"/>
      <c r="JH262" s="42"/>
      <c r="JI262" s="42"/>
      <c r="JJ262" s="42"/>
      <c r="JK262" s="42"/>
      <c r="JL262" s="42"/>
      <c r="JM262" s="42"/>
      <c r="JN262" s="42"/>
      <c r="JO262" s="42"/>
      <c r="JP262" s="42"/>
      <c r="JQ262" s="42"/>
      <c r="JR262" s="42"/>
      <c r="JS262" s="42"/>
      <c r="JT262" s="42"/>
      <c r="JU262" s="42"/>
      <c r="JV262" s="42"/>
      <c r="JW262" s="42"/>
      <c r="JX262" s="42"/>
      <c r="JY262" s="42"/>
      <c r="JZ262" s="42"/>
      <c r="KA262" s="42"/>
      <c r="KB262" s="42"/>
      <c r="KC262" s="42"/>
      <c r="KD262" s="42"/>
      <c r="KE262" s="42"/>
      <c r="KF262" s="42"/>
      <c r="KG262" s="42"/>
      <c r="KH262" s="42"/>
      <c r="KI262" s="42"/>
      <c r="KJ262" s="42"/>
      <c r="KK262" s="42"/>
      <c r="KL262" s="42"/>
      <c r="KM262" s="42"/>
      <c r="KN262" s="42"/>
      <c r="KO262" s="42"/>
      <c r="KP262" s="42"/>
      <c r="KQ262" s="42"/>
      <c r="KR262" s="42"/>
      <c r="KS262" s="42"/>
      <c r="KT262" s="42"/>
      <c r="KU262" s="42"/>
      <c r="KV262" s="42"/>
      <c r="KW262" s="42"/>
      <c r="KX262" s="42"/>
      <c r="KY262" s="42"/>
      <c r="KZ262" s="42"/>
      <c r="LA262" s="42"/>
      <c r="LB262" s="42"/>
      <c r="LC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c r="BC263" s="42"/>
      <c r="BD263" s="42"/>
      <c r="BE263" s="42"/>
      <c r="BF263" s="42"/>
      <c r="BG263" s="42"/>
      <c r="BH263" s="42"/>
      <c r="BI263" s="42"/>
      <c r="BJ263" s="42"/>
      <c r="BK263" s="42"/>
      <c r="BL263" s="42"/>
      <c r="BM263" s="42"/>
      <c r="BN263" s="42"/>
      <c r="BO263" s="42"/>
      <c r="BP263" s="42"/>
      <c r="BQ263" s="42"/>
      <c r="BR263" s="42"/>
      <c r="BS263" s="42"/>
      <c r="BT263" s="42"/>
      <c r="BU263" s="42"/>
      <c r="BV263" s="42"/>
      <c r="BW263" s="42"/>
      <c r="BX263" s="42"/>
      <c r="BY263" s="42"/>
      <c r="BZ263" s="42"/>
      <c r="CA263" s="42"/>
      <c r="CB263" s="42"/>
      <c r="CC263" s="42"/>
      <c r="CD263" s="42"/>
      <c r="CE263" s="42"/>
      <c r="CF263" s="42"/>
      <c r="CG263" s="42"/>
      <c r="CH263" s="42"/>
      <c r="CI263" s="42"/>
      <c r="CJ263" s="42"/>
      <c r="CK263" s="42"/>
      <c r="CL263" s="42"/>
      <c r="CM263" s="42"/>
      <c r="CN263" s="42"/>
      <c r="CO263" s="42"/>
      <c r="CP263" s="42"/>
      <c r="CQ263" s="42"/>
      <c r="CR263" s="42"/>
      <c r="CS263" s="42"/>
      <c r="CT263" s="42"/>
      <c r="CU263" s="42"/>
      <c r="CV263" s="42"/>
      <c r="CW263" s="42"/>
      <c r="CX263" s="42"/>
      <c r="CY263" s="42"/>
      <c r="CZ263" s="42"/>
      <c r="DA263" s="42"/>
      <c r="DB263" s="42"/>
      <c r="DC263" s="42"/>
      <c r="DD263" s="42"/>
      <c r="DE263" s="42"/>
      <c r="DF263" s="42"/>
      <c r="DG263" s="42"/>
      <c r="DH263" s="42"/>
      <c r="DI263" s="42"/>
      <c r="DJ263" s="42"/>
      <c r="DK263" s="42"/>
      <c r="DL263" s="42"/>
      <c r="DM263" s="42"/>
      <c r="DN263" s="42"/>
      <c r="DO263" s="42"/>
      <c r="DP263" s="42"/>
      <c r="DQ263" s="42"/>
      <c r="DR263" s="42"/>
      <c r="DS263" s="42"/>
      <c r="DT263" s="42"/>
      <c r="DU263" s="42"/>
      <c r="DV263" s="42"/>
      <c r="DW263" s="42"/>
      <c r="DX263" s="42"/>
      <c r="DY263" s="42"/>
      <c r="DZ263" s="42"/>
      <c r="EA263" s="42"/>
      <c r="EB263" s="42"/>
      <c r="EC263" s="42"/>
      <c r="ED263" s="42"/>
      <c r="EE263" s="42"/>
      <c r="EF263" s="42"/>
      <c r="EG263" s="42"/>
      <c r="EH263" s="42"/>
      <c r="EI263" s="42"/>
      <c r="EJ263" s="42"/>
      <c r="EK263" s="42"/>
      <c r="EL263" s="42"/>
      <c r="EM263" s="42"/>
      <c r="EN263" s="42"/>
      <c r="EO263" s="42"/>
      <c r="EP263" s="42"/>
      <c r="EQ263" s="42"/>
      <c r="ER263" s="42"/>
      <c r="ES263" s="42"/>
      <c r="ET263" s="42"/>
      <c r="EU263" s="42"/>
      <c r="EV263" s="42"/>
      <c r="EW263" s="42"/>
      <c r="EX263" s="42"/>
      <c r="EY263" s="42"/>
      <c r="EZ263" s="42"/>
      <c r="FA263" s="42"/>
      <c r="FB263" s="42"/>
      <c r="FC263" s="42"/>
      <c r="FD263" s="42"/>
      <c r="FE263" s="42"/>
      <c r="FF263" s="42"/>
      <c r="FG263" s="42"/>
      <c r="FH263" s="42"/>
      <c r="FI263" s="42"/>
      <c r="FJ263" s="42"/>
      <c r="FK263" s="42"/>
      <c r="FL263" s="42"/>
      <c r="FM263" s="42"/>
      <c r="FN263" s="42"/>
      <c r="FO263" s="42"/>
      <c r="FP263" s="42"/>
      <c r="FQ263" s="42"/>
      <c r="FR263" s="42"/>
      <c r="FS263" s="42"/>
      <c r="FT263" s="42"/>
      <c r="FU263" s="42"/>
      <c r="FV263" s="42"/>
      <c r="FW263" s="42"/>
      <c r="FX263" s="42"/>
      <c r="FY263" s="42"/>
      <c r="FZ263" s="42"/>
      <c r="GA263" s="42"/>
      <c r="GB263" s="42"/>
      <c r="GC263" s="42"/>
      <c r="GD263" s="42"/>
      <c r="GE263" s="42"/>
      <c r="GF263" s="42"/>
      <c r="GG263" s="42"/>
      <c r="GH263" s="42"/>
      <c r="GI263" s="42"/>
      <c r="GJ263" s="42"/>
      <c r="GK263" s="42"/>
      <c r="GL263" s="42"/>
      <c r="GM263" s="42"/>
      <c r="GN263" s="42"/>
      <c r="GO263" s="42"/>
      <c r="GP263" s="42"/>
      <c r="GQ263" s="42"/>
      <c r="GR263" s="42"/>
      <c r="GS263" s="42"/>
      <c r="GT263" s="42"/>
      <c r="GU263" s="42"/>
      <c r="GV263" s="42"/>
      <c r="GW263" s="42"/>
      <c r="GX263" s="42"/>
      <c r="GY263" s="42"/>
      <c r="GZ263" s="42"/>
      <c r="HA263" s="42"/>
      <c r="HB263" s="42"/>
      <c r="HC263" s="42"/>
      <c r="HD263" s="42"/>
      <c r="HE263" s="42"/>
      <c r="HF263" s="42"/>
      <c r="HG263" s="42"/>
      <c r="HH263" s="42"/>
      <c r="HI263" s="42"/>
      <c r="HJ263" s="42"/>
      <c r="HK263" s="42"/>
      <c r="HL263" s="42"/>
      <c r="HM263" s="42"/>
      <c r="HN263" s="42"/>
      <c r="HO263" s="42"/>
      <c r="HP263" s="42"/>
      <c r="HQ263" s="42"/>
      <c r="HR263" s="42"/>
      <c r="HS263" s="42"/>
      <c r="HT263" s="42"/>
      <c r="HU263" s="42"/>
      <c r="HV263" s="42"/>
      <c r="HW263" s="42"/>
      <c r="HX263" s="42"/>
      <c r="HY263" s="42"/>
      <c r="HZ263" s="42"/>
      <c r="IA263" s="42"/>
      <c r="IB263" s="42"/>
      <c r="IC263" s="42"/>
      <c r="ID263" s="42"/>
      <c r="IE263" s="42"/>
      <c r="IF263" s="42"/>
      <c r="IG263" s="42"/>
      <c r="IH263" s="42"/>
      <c r="II263" s="42"/>
      <c r="IJ263" s="42"/>
      <c r="IK263" s="42"/>
      <c r="IL263" s="42"/>
      <c r="IM263" s="42"/>
      <c r="IN263" s="42"/>
      <c r="IO263" s="42"/>
      <c r="IP263" s="42"/>
      <c r="IQ263" s="42"/>
      <c r="IR263" s="42"/>
      <c r="IS263" s="42"/>
      <c r="IT263" s="42"/>
      <c r="IU263" s="42"/>
      <c r="IV263" s="42"/>
      <c r="IW263" s="42"/>
      <c r="IX263" s="42"/>
      <c r="IY263" s="42"/>
      <c r="IZ263" s="42"/>
      <c r="JA263" s="42"/>
      <c r="JB263" s="42"/>
      <c r="JC263" s="42"/>
      <c r="JD263" s="42"/>
      <c r="JE263" s="42"/>
      <c r="JF263" s="42"/>
      <c r="JG263" s="42"/>
      <c r="JH263" s="42"/>
      <c r="JI263" s="42"/>
      <c r="JJ263" s="42"/>
      <c r="JK263" s="42"/>
      <c r="JL263" s="42"/>
      <c r="JM263" s="42"/>
      <c r="JN263" s="42"/>
      <c r="JO263" s="42"/>
      <c r="JP263" s="42"/>
      <c r="JQ263" s="42"/>
      <c r="JR263" s="42"/>
      <c r="JS263" s="42"/>
      <c r="JT263" s="42"/>
      <c r="JU263" s="42"/>
      <c r="JV263" s="42"/>
      <c r="JW263" s="42"/>
      <c r="JX263" s="42"/>
      <c r="JY263" s="42"/>
      <c r="JZ263" s="42"/>
      <c r="KA263" s="42"/>
      <c r="KB263" s="42"/>
      <c r="KC263" s="42"/>
      <c r="KD263" s="42"/>
      <c r="KE263" s="42"/>
      <c r="KF263" s="42"/>
      <c r="KG263" s="42"/>
      <c r="KH263" s="42"/>
      <c r="KI263" s="42"/>
      <c r="KJ263" s="42"/>
      <c r="KK263" s="42"/>
      <c r="KL263" s="42"/>
      <c r="KM263" s="42"/>
      <c r="KN263" s="42"/>
      <c r="KO263" s="42"/>
      <c r="KP263" s="42"/>
      <c r="KQ263" s="42"/>
      <c r="KR263" s="42"/>
      <c r="KS263" s="42"/>
      <c r="KT263" s="42"/>
      <c r="KU263" s="42"/>
      <c r="KV263" s="42"/>
      <c r="KW263" s="42"/>
      <c r="KX263" s="42"/>
      <c r="KY263" s="42"/>
      <c r="KZ263" s="42"/>
      <c r="LA263" s="42"/>
      <c r="LB263" s="42"/>
      <c r="LC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c r="BC264" s="42"/>
      <c r="BD264" s="42"/>
      <c r="BE264" s="42"/>
      <c r="BF264" s="42"/>
      <c r="BG264" s="42"/>
      <c r="BH264" s="42"/>
      <c r="BI264" s="42"/>
      <c r="BJ264" s="42"/>
      <c r="BK264" s="42"/>
      <c r="BL264" s="42"/>
      <c r="BM264" s="42"/>
      <c r="BN264" s="42"/>
      <c r="BO264" s="42"/>
      <c r="BP264" s="42"/>
      <c r="BQ264" s="42"/>
      <c r="BR264" s="42"/>
      <c r="BS264" s="42"/>
      <c r="BT264" s="42"/>
      <c r="BU264" s="42"/>
      <c r="BV264" s="42"/>
      <c r="BW264" s="42"/>
      <c r="BX264" s="42"/>
      <c r="BY264" s="42"/>
      <c r="BZ264" s="42"/>
      <c r="CA264" s="42"/>
      <c r="CB264" s="42"/>
      <c r="CC264" s="42"/>
      <c r="CD264" s="42"/>
      <c r="CE264" s="42"/>
      <c r="CF264" s="42"/>
      <c r="CG264" s="42"/>
      <c r="CH264" s="42"/>
      <c r="CI264" s="42"/>
      <c r="CJ264" s="42"/>
      <c r="CK264" s="42"/>
      <c r="CL264" s="42"/>
      <c r="CM264" s="42"/>
      <c r="CN264" s="42"/>
      <c r="CO264" s="42"/>
      <c r="CP264" s="42"/>
      <c r="CQ264" s="42"/>
      <c r="CR264" s="42"/>
      <c r="CS264" s="42"/>
      <c r="CT264" s="42"/>
      <c r="CU264" s="42"/>
      <c r="CV264" s="42"/>
      <c r="CW264" s="42"/>
      <c r="CX264" s="42"/>
      <c r="CY264" s="42"/>
      <c r="CZ264" s="42"/>
      <c r="DA264" s="42"/>
      <c r="DB264" s="42"/>
      <c r="DC264" s="42"/>
      <c r="DD264" s="42"/>
      <c r="DE264" s="42"/>
      <c r="DF264" s="42"/>
      <c r="DG264" s="42"/>
      <c r="DH264" s="42"/>
      <c r="DI264" s="42"/>
      <c r="DJ264" s="42"/>
      <c r="DK264" s="42"/>
      <c r="DL264" s="42"/>
      <c r="DM264" s="42"/>
      <c r="DN264" s="42"/>
      <c r="DO264" s="42"/>
      <c r="DP264" s="42"/>
      <c r="DQ264" s="42"/>
      <c r="DR264" s="42"/>
      <c r="DS264" s="42"/>
      <c r="DT264" s="42"/>
      <c r="DU264" s="42"/>
      <c r="DV264" s="42"/>
      <c r="DW264" s="42"/>
      <c r="DX264" s="42"/>
      <c r="DY264" s="42"/>
      <c r="DZ264" s="42"/>
      <c r="EA264" s="42"/>
      <c r="EB264" s="42"/>
      <c r="EC264" s="42"/>
      <c r="ED264" s="42"/>
      <c r="EE264" s="42"/>
      <c r="EF264" s="42"/>
      <c r="EG264" s="42"/>
      <c r="EH264" s="42"/>
      <c r="EI264" s="42"/>
      <c r="EJ264" s="42"/>
      <c r="EK264" s="42"/>
      <c r="EL264" s="42"/>
      <c r="EM264" s="42"/>
      <c r="EN264" s="42"/>
      <c r="EO264" s="42"/>
      <c r="EP264" s="42"/>
      <c r="EQ264" s="42"/>
      <c r="ER264" s="42"/>
      <c r="ES264" s="42"/>
      <c r="ET264" s="42"/>
      <c r="EU264" s="42"/>
      <c r="EV264" s="42"/>
      <c r="EW264" s="42"/>
      <c r="EX264" s="42"/>
      <c r="EY264" s="42"/>
      <c r="EZ264" s="42"/>
      <c r="FA264" s="42"/>
      <c r="FB264" s="42"/>
      <c r="FC264" s="42"/>
      <c r="FD264" s="42"/>
      <c r="FE264" s="42"/>
      <c r="FF264" s="42"/>
      <c r="FG264" s="42"/>
      <c r="FH264" s="42"/>
      <c r="FI264" s="42"/>
      <c r="FJ264" s="42"/>
      <c r="FK264" s="42"/>
      <c r="FL264" s="42"/>
      <c r="FM264" s="42"/>
      <c r="FN264" s="42"/>
      <c r="FO264" s="42"/>
      <c r="FP264" s="42"/>
      <c r="FQ264" s="42"/>
      <c r="FR264" s="42"/>
      <c r="FS264" s="42"/>
      <c r="FT264" s="42"/>
      <c r="FU264" s="42"/>
      <c r="FV264" s="42"/>
      <c r="FW264" s="42"/>
      <c r="FX264" s="42"/>
      <c r="FY264" s="42"/>
      <c r="FZ264" s="42"/>
      <c r="GA264" s="42"/>
      <c r="GB264" s="42"/>
      <c r="GC264" s="42"/>
      <c r="GD264" s="42"/>
      <c r="GE264" s="42"/>
      <c r="GF264" s="42"/>
      <c r="GG264" s="42"/>
      <c r="GH264" s="42"/>
      <c r="GI264" s="42"/>
      <c r="GJ264" s="42"/>
      <c r="GK264" s="42"/>
      <c r="GL264" s="42"/>
      <c r="GM264" s="42"/>
      <c r="GN264" s="42"/>
      <c r="GO264" s="42"/>
      <c r="GP264" s="42"/>
      <c r="GQ264" s="42"/>
      <c r="GR264" s="42"/>
      <c r="GS264" s="42"/>
      <c r="GT264" s="42"/>
      <c r="GU264" s="42"/>
      <c r="GV264" s="42"/>
      <c r="GW264" s="42"/>
      <c r="GX264" s="42"/>
      <c r="GY264" s="42"/>
      <c r="GZ264" s="42"/>
      <c r="HA264" s="42"/>
      <c r="HB264" s="42"/>
      <c r="HC264" s="42"/>
      <c r="HD264" s="42"/>
      <c r="HE264" s="42"/>
      <c r="HF264" s="42"/>
      <c r="HG264" s="42"/>
      <c r="HH264" s="42"/>
      <c r="HI264" s="42"/>
      <c r="HJ264" s="42"/>
      <c r="HK264" s="42"/>
      <c r="HL264" s="42"/>
      <c r="HM264" s="42"/>
      <c r="HN264" s="42"/>
      <c r="HO264" s="42"/>
      <c r="HP264" s="42"/>
      <c r="HQ264" s="42"/>
      <c r="HR264" s="42"/>
      <c r="HS264" s="42"/>
      <c r="HT264" s="42"/>
      <c r="HU264" s="42"/>
      <c r="HV264" s="42"/>
      <c r="HW264" s="42"/>
      <c r="HX264" s="42"/>
      <c r="HY264" s="42"/>
      <c r="HZ264" s="42"/>
      <c r="IA264" s="42"/>
      <c r="IB264" s="42"/>
      <c r="IC264" s="42"/>
      <c r="ID264" s="42"/>
      <c r="IE264" s="42"/>
      <c r="IF264" s="42"/>
      <c r="IG264" s="42"/>
      <c r="IH264" s="42"/>
      <c r="II264" s="42"/>
      <c r="IJ264" s="42"/>
      <c r="IK264" s="42"/>
      <c r="IL264" s="42"/>
      <c r="IM264" s="42"/>
      <c r="IN264" s="42"/>
      <c r="IO264" s="42"/>
      <c r="IP264" s="42"/>
      <c r="IQ264" s="42"/>
      <c r="IR264" s="42"/>
      <c r="IS264" s="42"/>
      <c r="IT264" s="42"/>
      <c r="IU264" s="42"/>
      <c r="IV264" s="42"/>
      <c r="IW264" s="42"/>
      <c r="IX264" s="42"/>
      <c r="IY264" s="42"/>
      <c r="IZ264" s="42"/>
      <c r="JA264" s="42"/>
      <c r="JB264" s="42"/>
      <c r="JC264" s="42"/>
      <c r="JD264" s="42"/>
      <c r="JE264" s="42"/>
      <c r="JF264" s="42"/>
      <c r="JG264" s="42"/>
      <c r="JH264" s="42"/>
      <c r="JI264" s="42"/>
      <c r="JJ264" s="42"/>
      <c r="JK264" s="42"/>
      <c r="JL264" s="42"/>
      <c r="JM264" s="42"/>
      <c r="JN264" s="42"/>
      <c r="JO264" s="42"/>
      <c r="JP264" s="42"/>
      <c r="JQ264" s="42"/>
      <c r="JR264" s="42"/>
      <c r="JS264" s="42"/>
      <c r="JT264" s="42"/>
      <c r="JU264" s="42"/>
      <c r="JV264" s="42"/>
      <c r="JW264" s="42"/>
      <c r="JX264" s="42"/>
      <c r="JY264" s="42"/>
      <c r="JZ264" s="42"/>
      <c r="KA264" s="42"/>
      <c r="KB264" s="42"/>
      <c r="KC264" s="42"/>
      <c r="KD264" s="42"/>
      <c r="KE264" s="42"/>
      <c r="KF264" s="42"/>
      <c r="KG264" s="42"/>
      <c r="KH264" s="42"/>
      <c r="KI264" s="42"/>
      <c r="KJ264" s="42"/>
      <c r="KK264" s="42"/>
      <c r="KL264" s="42"/>
      <c r="KM264" s="42"/>
      <c r="KN264" s="42"/>
      <c r="KO264" s="42"/>
      <c r="KP264" s="42"/>
      <c r="KQ264" s="42"/>
      <c r="KR264" s="42"/>
      <c r="KS264" s="42"/>
      <c r="KT264" s="42"/>
      <c r="KU264" s="42"/>
      <c r="KV264" s="42"/>
      <c r="KW264" s="42"/>
      <c r="KX264" s="42"/>
      <c r="KY264" s="42"/>
      <c r="KZ264" s="42"/>
      <c r="LA264" s="42"/>
      <c r="LB264" s="42"/>
      <c r="LC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c r="BR265" s="42"/>
      <c r="BS265" s="42"/>
      <c r="BT265" s="42"/>
      <c r="BU265" s="42"/>
      <c r="BV265" s="42"/>
      <c r="BW265" s="42"/>
      <c r="BX265" s="42"/>
      <c r="BY265" s="42"/>
      <c r="BZ265" s="42"/>
      <c r="CA265" s="42"/>
      <c r="CB265" s="42"/>
      <c r="CC265" s="42"/>
      <c r="CD265" s="42"/>
      <c r="CE265" s="42"/>
      <c r="CF265" s="42"/>
      <c r="CG265" s="42"/>
      <c r="CH265" s="42"/>
      <c r="CI265" s="42"/>
      <c r="CJ265" s="42"/>
      <c r="CK265" s="42"/>
      <c r="CL265" s="42"/>
      <c r="CM265" s="42"/>
      <c r="CN265" s="42"/>
      <c r="CO265" s="42"/>
      <c r="CP265" s="42"/>
      <c r="CQ265" s="42"/>
      <c r="CR265" s="42"/>
      <c r="CS265" s="42"/>
      <c r="CT265" s="42"/>
      <c r="CU265" s="42"/>
      <c r="CV265" s="42"/>
      <c r="CW265" s="42"/>
      <c r="CX265" s="42"/>
      <c r="CY265" s="42"/>
      <c r="CZ265" s="42"/>
      <c r="DA265" s="42"/>
      <c r="DB265" s="42"/>
      <c r="DC265" s="42"/>
      <c r="DD265" s="42"/>
      <c r="DE265" s="42"/>
      <c r="DF265" s="42"/>
      <c r="DG265" s="42"/>
      <c r="DH265" s="42"/>
      <c r="DI265" s="42"/>
      <c r="DJ265" s="42"/>
      <c r="DK265" s="42"/>
      <c r="DL265" s="42"/>
      <c r="DM265" s="42"/>
      <c r="DN265" s="42"/>
      <c r="DO265" s="42"/>
      <c r="DP265" s="42"/>
      <c r="DQ265" s="42"/>
      <c r="DR265" s="42"/>
      <c r="DS265" s="42"/>
      <c r="DT265" s="42"/>
      <c r="DU265" s="42"/>
      <c r="DV265" s="42"/>
      <c r="DW265" s="42"/>
      <c r="DX265" s="42"/>
      <c r="DY265" s="42"/>
      <c r="DZ265" s="42"/>
      <c r="EA265" s="42"/>
      <c r="EB265" s="42"/>
      <c r="EC265" s="42"/>
      <c r="ED265" s="42"/>
      <c r="EE265" s="42"/>
      <c r="EF265" s="42"/>
      <c r="EG265" s="42"/>
      <c r="EH265" s="42"/>
      <c r="EI265" s="42"/>
      <c r="EJ265" s="42"/>
      <c r="EK265" s="42"/>
      <c r="EL265" s="42"/>
      <c r="EM265" s="42"/>
      <c r="EN265" s="42"/>
      <c r="EO265" s="42"/>
      <c r="EP265" s="42"/>
      <c r="EQ265" s="42"/>
      <c r="ER265" s="42"/>
      <c r="ES265" s="42"/>
      <c r="ET265" s="42"/>
      <c r="EU265" s="42"/>
      <c r="EV265" s="42"/>
      <c r="EW265" s="42"/>
      <c r="EX265" s="42"/>
      <c r="EY265" s="42"/>
      <c r="EZ265" s="42"/>
      <c r="FA265" s="42"/>
      <c r="FB265" s="42"/>
      <c r="FC265" s="42"/>
      <c r="FD265" s="42"/>
      <c r="FE265" s="42"/>
      <c r="FF265" s="42"/>
      <c r="FG265" s="42"/>
      <c r="FH265" s="42"/>
      <c r="FI265" s="42"/>
      <c r="FJ265" s="42"/>
      <c r="FK265" s="42"/>
      <c r="FL265" s="42"/>
      <c r="FM265" s="42"/>
      <c r="FN265" s="42"/>
      <c r="FO265" s="42"/>
      <c r="FP265" s="42"/>
      <c r="FQ265" s="42"/>
      <c r="FR265" s="42"/>
      <c r="FS265" s="42"/>
      <c r="FT265" s="42"/>
      <c r="FU265" s="42"/>
      <c r="FV265" s="42"/>
      <c r="FW265" s="42"/>
      <c r="FX265" s="42"/>
      <c r="FY265" s="42"/>
      <c r="FZ265" s="42"/>
      <c r="GA265" s="42"/>
      <c r="GB265" s="42"/>
      <c r="GC265" s="42"/>
      <c r="GD265" s="42"/>
      <c r="GE265" s="42"/>
      <c r="GF265" s="42"/>
      <c r="GG265" s="42"/>
      <c r="GH265" s="42"/>
      <c r="GI265" s="42"/>
      <c r="GJ265" s="42"/>
      <c r="GK265" s="42"/>
      <c r="GL265" s="42"/>
      <c r="GM265" s="42"/>
      <c r="GN265" s="42"/>
      <c r="GO265" s="42"/>
      <c r="GP265" s="42"/>
      <c r="GQ265" s="42"/>
      <c r="GR265" s="42"/>
      <c r="GS265" s="42"/>
      <c r="GT265" s="42"/>
      <c r="GU265" s="42"/>
      <c r="GV265" s="42"/>
      <c r="GW265" s="42"/>
      <c r="GX265" s="42"/>
      <c r="GY265" s="42"/>
      <c r="GZ265" s="42"/>
      <c r="HA265" s="42"/>
      <c r="HB265" s="42"/>
      <c r="HC265" s="42"/>
      <c r="HD265" s="42"/>
      <c r="HE265" s="42"/>
      <c r="HF265" s="42"/>
      <c r="HG265" s="42"/>
      <c r="HH265" s="42"/>
      <c r="HI265" s="42"/>
      <c r="HJ265" s="42"/>
      <c r="HK265" s="42"/>
      <c r="HL265" s="42"/>
      <c r="HM265" s="42"/>
      <c r="HN265" s="42"/>
      <c r="HO265" s="42"/>
      <c r="HP265" s="42"/>
      <c r="HQ265" s="42"/>
      <c r="HR265" s="42"/>
      <c r="HS265" s="42"/>
      <c r="HT265" s="42"/>
      <c r="HU265" s="42"/>
      <c r="HV265" s="42"/>
      <c r="HW265" s="42"/>
      <c r="HX265" s="42"/>
      <c r="HY265" s="42"/>
      <c r="HZ265" s="42"/>
      <c r="IA265" s="42"/>
      <c r="IB265" s="42"/>
      <c r="IC265" s="42"/>
      <c r="ID265" s="42"/>
      <c r="IE265" s="42"/>
      <c r="IF265" s="42"/>
      <c r="IG265" s="42"/>
      <c r="IH265" s="42"/>
      <c r="II265" s="42"/>
      <c r="IJ265" s="42"/>
      <c r="IK265" s="42"/>
      <c r="IL265" s="42"/>
      <c r="IM265" s="42"/>
      <c r="IN265" s="42"/>
      <c r="IO265" s="42"/>
      <c r="IP265" s="42"/>
      <c r="IQ265" s="42"/>
      <c r="IR265" s="42"/>
      <c r="IS265" s="42"/>
      <c r="IT265" s="42"/>
      <c r="IU265" s="42"/>
      <c r="IV265" s="42"/>
      <c r="IW265" s="42"/>
      <c r="IX265" s="42"/>
      <c r="IY265" s="42"/>
      <c r="IZ265" s="42"/>
      <c r="JA265" s="42"/>
      <c r="JB265" s="42"/>
      <c r="JC265" s="42"/>
      <c r="JD265" s="42"/>
      <c r="JE265" s="42"/>
      <c r="JF265" s="42"/>
      <c r="JG265" s="42"/>
      <c r="JH265" s="42"/>
      <c r="JI265" s="42"/>
      <c r="JJ265" s="42"/>
      <c r="JK265" s="42"/>
      <c r="JL265" s="42"/>
      <c r="JM265" s="42"/>
      <c r="JN265" s="42"/>
      <c r="JO265" s="42"/>
      <c r="JP265" s="42"/>
      <c r="JQ265" s="42"/>
      <c r="JR265" s="42"/>
      <c r="JS265" s="42"/>
      <c r="JT265" s="42"/>
      <c r="JU265" s="42"/>
      <c r="JV265" s="42"/>
      <c r="JW265" s="42"/>
      <c r="JX265" s="42"/>
      <c r="JY265" s="42"/>
      <c r="JZ265" s="42"/>
      <c r="KA265" s="42"/>
      <c r="KB265" s="42"/>
      <c r="KC265" s="42"/>
      <c r="KD265" s="42"/>
      <c r="KE265" s="42"/>
      <c r="KF265" s="42"/>
      <c r="KG265" s="42"/>
      <c r="KH265" s="42"/>
      <c r="KI265" s="42"/>
      <c r="KJ265" s="42"/>
      <c r="KK265" s="42"/>
      <c r="KL265" s="42"/>
      <c r="KM265" s="42"/>
      <c r="KN265" s="42"/>
      <c r="KO265" s="42"/>
      <c r="KP265" s="42"/>
      <c r="KQ265" s="42"/>
      <c r="KR265" s="42"/>
      <c r="KS265" s="42"/>
      <c r="KT265" s="42"/>
      <c r="KU265" s="42"/>
      <c r="KV265" s="42"/>
      <c r="KW265" s="42"/>
      <c r="KX265" s="42"/>
      <c r="KY265" s="42"/>
      <c r="KZ265" s="42"/>
      <c r="LA265" s="42"/>
      <c r="LB265" s="42"/>
      <c r="LC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2"/>
      <c r="BH266" s="42"/>
      <c r="BI266" s="42"/>
      <c r="BJ266" s="42"/>
      <c r="BK266" s="42"/>
      <c r="BL266" s="42"/>
      <c r="BM266" s="42"/>
      <c r="BN266" s="42"/>
      <c r="BO266" s="42"/>
      <c r="BP266" s="42"/>
      <c r="BQ266" s="42"/>
      <c r="BR266" s="42"/>
      <c r="BS266" s="42"/>
      <c r="BT266" s="42"/>
      <c r="BU266" s="42"/>
      <c r="BV266" s="42"/>
      <c r="BW266" s="42"/>
      <c r="BX266" s="42"/>
      <c r="BY266" s="42"/>
      <c r="BZ266" s="42"/>
      <c r="CA266" s="42"/>
      <c r="CB266" s="42"/>
      <c r="CC266" s="42"/>
      <c r="CD266" s="42"/>
      <c r="CE266" s="42"/>
      <c r="CF266" s="42"/>
      <c r="CG266" s="42"/>
      <c r="CH266" s="42"/>
      <c r="CI266" s="42"/>
      <c r="CJ266" s="42"/>
      <c r="CK266" s="42"/>
      <c r="CL266" s="42"/>
      <c r="CM266" s="42"/>
      <c r="CN266" s="42"/>
      <c r="CO266" s="42"/>
      <c r="CP266" s="42"/>
      <c r="CQ266" s="42"/>
      <c r="CR266" s="42"/>
      <c r="CS266" s="42"/>
      <c r="CT266" s="42"/>
      <c r="CU266" s="42"/>
      <c r="CV266" s="42"/>
      <c r="CW266" s="42"/>
      <c r="CX266" s="42"/>
      <c r="CY266" s="42"/>
      <c r="CZ266" s="42"/>
      <c r="DA266" s="42"/>
      <c r="DB266" s="42"/>
      <c r="DC266" s="42"/>
      <c r="DD266" s="42"/>
      <c r="DE266" s="42"/>
      <c r="DF266" s="42"/>
      <c r="DG266" s="42"/>
      <c r="DH266" s="42"/>
      <c r="DI266" s="42"/>
      <c r="DJ266" s="42"/>
      <c r="DK266" s="42"/>
      <c r="DL266" s="42"/>
      <c r="DM266" s="42"/>
      <c r="DN266" s="42"/>
      <c r="DO266" s="42"/>
      <c r="DP266" s="42"/>
      <c r="DQ266" s="42"/>
      <c r="DR266" s="42"/>
      <c r="DS266" s="42"/>
      <c r="DT266" s="42"/>
      <c r="DU266" s="42"/>
      <c r="DV266" s="42"/>
      <c r="DW266" s="42"/>
      <c r="DX266" s="42"/>
      <c r="DY266" s="42"/>
      <c r="DZ266" s="42"/>
      <c r="EA266" s="42"/>
      <c r="EB266" s="42"/>
      <c r="EC266" s="42"/>
      <c r="ED266" s="42"/>
      <c r="EE266" s="42"/>
      <c r="EF266" s="42"/>
      <c r="EG266" s="42"/>
      <c r="EH266" s="42"/>
      <c r="EI266" s="42"/>
      <c r="EJ266" s="42"/>
      <c r="EK266" s="42"/>
      <c r="EL266" s="42"/>
      <c r="EM266" s="42"/>
      <c r="EN266" s="42"/>
      <c r="EO266" s="42"/>
      <c r="EP266" s="42"/>
      <c r="EQ266" s="42"/>
      <c r="ER266" s="42"/>
      <c r="ES266" s="42"/>
      <c r="ET266" s="42"/>
      <c r="EU266" s="42"/>
      <c r="EV266" s="42"/>
      <c r="EW266" s="42"/>
      <c r="EX266" s="42"/>
      <c r="EY266" s="42"/>
      <c r="EZ266" s="42"/>
      <c r="FA266" s="42"/>
      <c r="FB266" s="42"/>
      <c r="FC266" s="42"/>
      <c r="FD266" s="42"/>
      <c r="FE266" s="42"/>
      <c r="FF266" s="42"/>
      <c r="FG266" s="42"/>
      <c r="FH266" s="42"/>
      <c r="FI266" s="42"/>
      <c r="FJ266" s="42"/>
      <c r="FK266" s="42"/>
      <c r="FL266" s="42"/>
      <c r="FM266" s="42"/>
      <c r="FN266" s="42"/>
      <c r="FO266" s="42"/>
      <c r="FP266" s="42"/>
      <c r="FQ266" s="42"/>
      <c r="FR266" s="42"/>
      <c r="FS266" s="42"/>
      <c r="FT266" s="42"/>
      <c r="FU266" s="42"/>
      <c r="FV266" s="42"/>
      <c r="FW266" s="42"/>
      <c r="FX266" s="42"/>
      <c r="FY266" s="42"/>
      <c r="FZ266" s="42"/>
      <c r="GA266" s="42"/>
      <c r="GB266" s="42"/>
      <c r="GC266" s="42"/>
      <c r="GD266" s="42"/>
      <c r="GE266" s="42"/>
      <c r="GF266" s="42"/>
      <c r="GG266" s="42"/>
      <c r="GH266" s="42"/>
      <c r="GI266" s="42"/>
      <c r="GJ266" s="42"/>
      <c r="GK266" s="42"/>
      <c r="GL266" s="42"/>
      <c r="GM266" s="42"/>
      <c r="GN266" s="42"/>
      <c r="GO266" s="42"/>
      <c r="GP266" s="42"/>
      <c r="GQ266" s="42"/>
      <c r="GR266" s="42"/>
      <c r="GS266" s="42"/>
      <c r="GT266" s="42"/>
      <c r="GU266" s="42"/>
      <c r="GV266" s="42"/>
      <c r="GW266" s="42"/>
      <c r="GX266" s="42"/>
      <c r="GY266" s="42"/>
      <c r="GZ266" s="42"/>
      <c r="HA266" s="42"/>
      <c r="HB266" s="42"/>
      <c r="HC266" s="42"/>
      <c r="HD266" s="42"/>
      <c r="HE266" s="42"/>
      <c r="HF266" s="42"/>
      <c r="HG266" s="42"/>
      <c r="HH266" s="42"/>
      <c r="HI266" s="42"/>
      <c r="HJ266" s="42"/>
      <c r="HK266" s="42"/>
      <c r="HL266" s="42"/>
      <c r="HM266" s="42"/>
      <c r="HN266" s="42"/>
      <c r="HO266" s="42"/>
      <c r="HP266" s="42"/>
      <c r="HQ266" s="42"/>
      <c r="HR266" s="42"/>
      <c r="HS266" s="42"/>
      <c r="HT266" s="42"/>
      <c r="HU266" s="42"/>
      <c r="HV266" s="42"/>
      <c r="HW266" s="42"/>
      <c r="HX266" s="42"/>
      <c r="HY266" s="42"/>
      <c r="HZ266" s="42"/>
      <c r="IA266" s="42"/>
      <c r="IB266" s="42"/>
      <c r="IC266" s="42"/>
      <c r="ID266" s="42"/>
      <c r="IE266" s="42"/>
      <c r="IF266" s="42"/>
      <c r="IG266" s="42"/>
      <c r="IH266" s="42"/>
      <c r="II266" s="42"/>
      <c r="IJ266" s="42"/>
      <c r="IK266" s="42"/>
      <c r="IL266" s="42"/>
      <c r="IM266" s="42"/>
      <c r="IN266" s="42"/>
      <c r="IO266" s="42"/>
      <c r="IP266" s="42"/>
      <c r="IQ266" s="42"/>
      <c r="IR266" s="42"/>
      <c r="IS266" s="42"/>
      <c r="IT266" s="42"/>
      <c r="IU266" s="42"/>
      <c r="IV266" s="42"/>
      <c r="IW266" s="42"/>
      <c r="IX266" s="42"/>
      <c r="IY266" s="42"/>
      <c r="IZ266" s="42"/>
      <c r="JA266" s="42"/>
      <c r="JB266" s="42"/>
      <c r="JC266" s="42"/>
      <c r="JD266" s="42"/>
      <c r="JE266" s="42"/>
      <c r="JF266" s="42"/>
      <c r="JG266" s="42"/>
      <c r="JH266" s="42"/>
      <c r="JI266" s="42"/>
      <c r="JJ266" s="42"/>
      <c r="JK266" s="42"/>
      <c r="JL266" s="42"/>
      <c r="JM266" s="42"/>
      <c r="JN266" s="42"/>
      <c r="JO266" s="42"/>
      <c r="JP266" s="42"/>
      <c r="JQ266" s="42"/>
      <c r="JR266" s="42"/>
      <c r="JS266" s="42"/>
      <c r="JT266" s="42"/>
      <c r="JU266" s="42"/>
      <c r="JV266" s="42"/>
      <c r="JW266" s="42"/>
      <c r="JX266" s="42"/>
      <c r="JY266" s="42"/>
      <c r="JZ266" s="42"/>
      <c r="KA266" s="42"/>
      <c r="KB266" s="42"/>
      <c r="KC266" s="42"/>
      <c r="KD266" s="42"/>
      <c r="KE266" s="42"/>
      <c r="KF266" s="42"/>
      <c r="KG266" s="42"/>
      <c r="KH266" s="42"/>
      <c r="KI266" s="42"/>
      <c r="KJ266" s="42"/>
      <c r="KK266" s="42"/>
      <c r="KL266" s="42"/>
      <c r="KM266" s="42"/>
      <c r="KN266" s="42"/>
      <c r="KO266" s="42"/>
      <c r="KP266" s="42"/>
      <c r="KQ266" s="42"/>
      <c r="KR266" s="42"/>
      <c r="KS266" s="42"/>
      <c r="KT266" s="42"/>
      <c r="KU266" s="42"/>
      <c r="KV266" s="42"/>
      <c r="KW266" s="42"/>
      <c r="KX266" s="42"/>
      <c r="KY266" s="42"/>
      <c r="KZ266" s="42"/>
      <c r="LA266" s="42"/>
      <c r="LB266" s="42"/>
      <c r="LC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2"/>
      <c r="BH267" s="42"/>
      <c r="BI267" s="42"/>
      <c r="BJ267" s="42"/>
      <c r="BK267" s="42"/>
      <c r="BL267" s="42"/>
      <c r="BM267" s="42"/>
      <c r="BN267" s="42"/>
      <c r="BO267" s="42"/>
      <c r="BP267" s="42"/>
      <c r="BQ267" s="42"/>
      <c r="BR267" s="42"/>
      <c r="BS267" s="42"/>
      <c r="BT267" s="42"/>
      <c r="BU267" s="42"/>
      <c r="BV267" s="42"/>
      <c r="BW267" s="42"/>
      <c r="BX267" s="42"/>
      <c r="BY267" s="42"/>
      <c r="BZ267" s="42"/>
      <c r="CA267" s="42"/>
      <c r="CB267" s="42"/>
      <c r="CC267" s="42"/>
      <c r="CD267" s="42"/>
      <c r="CE267" s="42"/>
      <c r="CF267" s="42"/>
      <c r="CG267" s="42"/>
      <c r="CH267" s="42"/>
      <c r="CI267" s="42"/>
      <c r="CJ267" s="42"/>
      <c r="CK267" s="42"/>
      <c r="CL267" s="42"/>
      <c r="CM267" s="42"/>
      <c r="CN267" s="42"/>
      <c r="CO267" s="42"/>
      <c r="CP267" s="42"/>
      <c r="CQ267" s="42"/>
      <c r="CR267" s="42"/>
      <c r="CS267" s="42"/>
      <c r="CT267" s="42"/>
      <c r="CU267" s="42"/>
      <c r="CV267" s="42"/>
      <c r="CW267" s="42"/>
      <c r="CX267" s="42"/>
      <c r="CY267" s="42"/>
      <c r="CZ267" s="42"/>
      <c r="DA267" s="42"/>
      <c r="DB267" s="42"/>
      <c r="DC267" s="42"/>
      <c r="DD267" s="42"/>
      <c r="DE267" s="42"/>
      <c r="DF267" s="42"/>
      <c r="DG267" s="42"/>
      <c r="DH267" s="42"/>
      <c r="DI267" s="42"/>
      <c r="DJ267" s="42"/>
      <c r="DK267" s="42"/>
      <c r="DL267" s="42"/>
      <c r="DM267" s="42"/>
      <c r="DN267" s="42"/>
      <c r="DO267" s="42"/>
      <c r="DP267" s="42"/>
      <c r="DQ267" s="42"/>
      <c r="DR267" s="42"/>
      <c r="DS267" s="42"/>
      <c r="DT267" s="42"/>
      <c r="DU267" s="42"/>
      <c r="DV267" s="42"/>
      <c r="DW267" s="42"/>
      <c r="DX267" s="42"/>
      <c r="DY267" s="42"/>
      <c r="DZ267" s="42"/>
      <c r="EA267" s="42"/>
      <c r="EB267" s="42"/>
      <c r="EC267" s="42"/>
      <c r="ED267" s="42"/>
      <c r="EE267" s="42"/>
      <c r="EF267" s="42"/>
      <c r="EG267" s="42"/>
      <c r="EH267" s="42"/>
      <c r="EI267" s="42"/>
      <c r="EJ267" s="42"/>
      <c r="EK267" s="42"/>
      <c r="EL267" s="42"/>
      <c r="EM267" s="42"/>
      <c r="EN267" s="42"/>
      <c r="EO267" s="42"/>
      <c r="EP267" s="42"/>
      <c r="EQ267" s="42"/>
      <c r="ER267" s="42"/>
      <c r="ES267" s="42"/>
      <c r="ET267" s="42"/>
      <c r="EU267" s="42"/>
      <c r="EV267" s="42"/>
      <c r="EW267" s="42"/>
      <c r="EX267" s="42"/>
      <c r="EY267" s="42"/>
      <c r="EZ267" s="42"/>
      <c r="FA267" s="42"/>
      <c r="FB267" s="42"/>
      <c r="FC267" s="42"/>
      <c r="FD267" s="42"/>
      <c r="FE267" s="42"/>
      <c r="FF267" s="42"/>
      <c r="FG267" s="42"/>
      <c r="FH267" s="42"/>
      <c r="FI267" s="42"/>
      <c r="FJ267" s="42"/>
      <c r="FK267" s="42"/>
      <c r="FL267" s="42"/>
      <c r="FM267" s="42"/>
      <c r="FN267" s="42"/>
      <c r="FO267" s="42"/>
      <c r="FP267" s="42"/>
      <c r="FQ267" s="42"/>
      <c r="FR267" s="42"/>
      <c r="FS267" s="42"/>
      <c r="FT267" s="42"/>
      <c r="FU267" s="42"/>
      <c r="FV267" s="42"/>
      <c r="FW267" s="42"/>
      <c r="FX267" s="42"/>
      <c r="FY267" s="42"/>
      <c r="FZ267" s="42"/>
      <c r="GA267" s="42"/>
      <c r="GB267" s="42"/>
      <c r="GC267" s="42"/>
      <c r="GD267" s="42"/>
      <c r="GE267" s="42"/>
      <c r="GF267" s="42"/>
      <c r="GG267" s="42"/>
      <c r="GH267" s="42"/>
      <c r="GI267" s="42"/>
      <c r="GJ267" s="42"/>
      <c r="GK267" s="42"/>
      <c r="GL267" s="42"/>
      <c r="GM267" s="42"/>
      <c r="GN267" s="42"/>
      <c r="GO267" s="42"/>
      <c r="GP267" s="42"/>
      <c r="GQ267" s="42"/>
      <c r="GR267" s="42"/>
      <c r="GS267" s="42"/>
      <c r="GT267" s="42"/>
      <c r="GU267" s="42"/>
      <c r="GV267" s="42"/>
      <c r="GW267" s="42"/>
      <c r="GX267" s="42"/>
      <c r="GY267" s="42"/>
      <c r="GZ267" s="42"/>
      <c r="HA267" s="42"/>
      <c r="HB267" s="42"/>
      <c r="HC267" s="42"/>
      <c r="HD267" s="42"/>
      <c r="HE267" s="42"/>
      <c r="HF267" s="42"/>
      <c r="HG267" s="42"/>
      <c r="HH267" s="42"/>
      <c r="HI267" s="42"/>
      <c r="HJ267" s="42"/>
      <c r="HK267" s="42"/>
      <c r="HL267" s="42"/>
      <c r="HM267" s="42"/>
      <c r="HN267" s="42"/>
      <c r="HO267" s="42"/>
      <c r="HP267" s="42"/>
      <c r="HQ267" s="42"/>
      <c r="HR267" s="42"/>
      <c r="HS267" s="42"/>
      <c r="HT267" s="42"/>
      <c r="HU267" s="42"/>
      <c r="HV267" s="42"/>
      <c r="HW267" s="42"/>
      <c r="HX267" s="42"/>
      <c r="HY267" s="42"/>
      <c r="HZ267" s="42"/>
      <c r="IA267" s="42"/>
      <c r="IB267" s="42"/>
      <c r="IC267" s="42"/>
      <c r="ID267" s="42"/>
      <c r="IE267" s="42"/>
      <c r="IF267" s="42"/>
      <c r="IG267" s="42"/>
      <c r="IH267" s="42"/>
      <c r="II267" s="42"/>
      <c r="IJ267" s="42"/>
      <c r="IK267" s="42"/>
      <c r="IL267" s="42"/>
      <c r="IM267" s="42"/>
      <c r="IN267" s="42"/>
      <c r="IO267" s="42"/>
      <c r="IP267" s="42"/>
      <c r="IQ267" s="42"/>
      <c r="IR267" s="42"/>
      <c r="IS267" s="42"/>
      <c r="IT267" s="42"/>
      <c r="IU267" s="42"/>
      <c r="IV267" s="42"/>
      <c r="IW267" s="42"/>
      <c r="IX267" s="42"/>
      <c r="IY267" s="42"/>
      <c r="IZ267" s="42"/>
      <c r="JA267" s="42"/>
      <c r="JB267" s="42"/>
      <c r="JC267" s="42"/>
      <c r="JD267" s="42"/>
      <c r="JE267" s="42"/>
      <c r="JF267" s="42"/>
      <c r="JG267" s="42"/>
      <c r="JH267" s="42"/>
      <c r="JI267" s="42"/>
      <c r="JJ267" s="42"/>
      <c r="JK267" s="42"/>
      <c r="JL267" s="42"/>
      <c r="JM267" s="42"/>
      <c r="JN267" s="42"/>
      <c r="JO267" s="42"/>
      <c r="JP267" s="42"/>
      <c r="JQ267" s="42"/>
      <c r="JR267" s="42"/>
      <c r="JS267" s="42"/>
      <c r="JT267" s="42"/>
      <c r="JU267" s="42"/>
      <c r="JV267" s="42"/>
      <c r="JW267" s="42"/>
      <c r="JX267" s="42"/>
      <c r="JY267" s="42"/>
      <c r="JZ267" s="42"/>
      <c r="KA267" s="42"/>
      <c r="KB267" s="42"/>
      <c r="KC267" s="42"/>
      <c r="KD267" s="42"/>
      <c r="KE267" s="42"/>
      <c r="KF267" s="42"/>
      <c r="KG267" s="42"/>
      <c r="KH267" s="42"/>
      <c r="KI267" s="42"/>
      <c r="KJ267" s="42"/>
      <c r="KK267" s="42"/>
      <c r="KL267" s="42"/>
      <c r="KM267" s="42"/>
      <c r="KN267" s="42"/>
      <c r="KO267" s="42"/>
      <c r="KP267" s="42"/>
      <c r="KQ267" s="42"/>
      <c r="KR267" s="42"/>
      <c r="KS267" s="42"/>
      <c r="KT267" s="42"/>
      <c r="KU267" s="42"/>
      <c r="KV267" s="42"/>
      <c r="KW267" s="42"/>
      <c r="KX267" s="42"/>
      <c r="KY267" s="42"/>
      <c r="KZ267" s="42"/>
      <c r="LA267" s="42"/>
      <c r="LB267" s="42"/>
      <c r="LC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2"/>
      <c r="BH268" s="42"/>
      <c r="BI268" s="42"/>
      <c r="BJ268" s="42"/>
      <c r="BK268" s="42"/>
      <c r="BL268" s="42"/>
      <c r="BM268" s="42"/>
      <c r="BN268" s="42"/>
      <c r="BO268" s="42"/>
      <c r="BP268" s="42"/>
      <c r="BQ268" s="42"/>
      <c r="BR268" s="42"/>
      <c r="BS268" s="42"/>
      <c r="BT268" s="42"/>
      <c r="BU268" s="42"/>
      <c r="BV268" s="42"/>
      <c r="BW268" s="42"/>
      <c r="BX268" s="42"/>
      <c r="BY268" s="42"/>
      <c r="BZ268" s="42"/>
      <c r="CA268" s="42"/>
      <c r="CB268" s="42"/>
      <c r="CC268" s="42"/>
      <c r="CD268" s="42"/>
      <c r="CE268" s="42"/>
      <c r="CF268" s="42"/>
      <c r="CG268" s="42"/>
      <c r="CH268" s="42"/>
      <c r="CI268" s="42"/>
      <c r="CJ268" s="42"/>
      <c r="CK268" s="42"/>
      <c r="CL268" s="42"/>
      <c r="CM268" s="42"/>
      <c r="CN268" s="42"/>
      <c r="CO268" s="42"/>
      <c r="CP268" s="42"/>
      <c r="CQ268" s="42"/>
      <c r="CR268" s="42"/>
      <c r="CS268" s="42"/>
      <c r="CT268" s="42"/>
      <c r="CU268" s="42"/>
      <c r="CV268" s="42"/>
      <c r="CW268" s="42"/>
      <c r="CX268" s="42"/>
      <c r="CY268" s="42"/>
      <c r="CZ268" s="42"/>
      <c r="DA268" s="42"/>
      <c r="DB268" s="42"/>
      <c r="DC268" s="42"/>
      <c r="DD268" s="42"/>
      <c r="DE268" s="42"/>
      <c r="DF268" s="42"/>
      <c r="DG268" s="42"/>
      <c r="DH268" s="42"/>
      <c r="DI268" s="42"/>
      <c r="DJ268" s="42"/>
      <c r="DK268" s="42"/>
      <c r="DL268" s="42"/>
      <c r="DM268" s="42"/>
      <c r="DN268" s="42"/>
      <c r="DO268" s="42"/>
      <c r="DP268" s="42"/>
      <c r="DQ268" s="42"/>
      <c r="DR268" s="42"/>
      <c r="DS268" s="42"/>
      <c r="DT268" s="42"/>
      <c r="DU268" s="42"/>
      <c r="DV268" s="42"/>
      <c r="DW268" s="42"/>
      <c r="DX268" s="42"/>
      <c r="DY268" s="42"/>
      <c r="DZ268" s="42"/>
      <c r="EA268" s="42"/>
      <c r="EB268" s="42"/>
      <c r="EC268" s="42"/>
      <c r="ED268" s="42"/>
      <c r="EE268" s="42"/>
      <c r="EF268" s="42"/>
      <c r="EG268" s="42"/>
      <c r="EH268" s="42"/>
      <c r="EI268" s="42"/>
      <c r="EJ268" s="42"/>
      <c r="EK268" s="42"/>
      <c r="EL268" s="42"/>
      <c r="EM268" s="42"/>
      <c r="EN268" s="42"/>
      <c r="EO268" s="42"/>
      <c r="EP268" s="42"/>
      <c r="EQ268" s="42"/>
      <c r="ER268" s="42"/>
      <c r="ES268" s="42"/>
      <c r="ET268" s="42"/>
      <c r="EU268" s="42"/>
      <c r="EV268" s="42"/>
      <c r="EW268" s="42"/>
      <c r="EX268" s="42"/>
      <c r="EY268" s="42"/>
      <c r="EZ268" s="42"/>
      <c r="FA268" s="42"/>
      <c r="FB268" s="42"/>
      <c r="FC268" s="42"/>
      <c r="FD268" s="42"/>
      <c r="FE268" s="42"/>
      <c r="FF268" s="42"/>
      <c r="FG268" s="42"/>
      <c r="FH268" s="42"/>
      <c r="FI268" s="42"/>
      <c r="FJ268" s="42"/>
      <c r="FK268" s="42"/>
      <c r="FL268" s="42"/>
      <c r="FM268" s="42"/>
      <c r="FN268" s="42"/>
      <c r="FO268" s="42"/>
      <c r="FP268" s="42"/>
      <c r="FQ268" s="42"/>
      <c r="FR268" s="42"/>
      <c r="FS268" s="42"/>
      <c r="FT268" s="42"/>
      <c r="FU268" s="42"/>
      <c r="FV268" s="42"/>
      <c r="FW268" s="42"/>
      <c r="FX268" s="42"/>
      <c r="FY268" s="42"/>
      <c r="FZ268" s="42"/>
      <c r="GA268" s="42"/>
      <c r="GB268" s="42"/>
      <c r="GC268" s="42"/>
      <c r="GD268" s="42"/>
      <c r="GE268" s="42"/>
      <c r="GF268" s="42"/>
      <c r="GG268" s="42"/>
      <c r="GH268" s="42"/>
      <c r="GI268" s="42"/>
      <c r="GJ268" s="42"/>
      <c r="GK268" s="42"/>
      <c r="GL268" s="42"/>
      <c r="GM268" s="42"/>
      <c r="GN268" s="42"/>
      <c r="GO268" s="42"/>
      <c r="GP268" s="42"/>
      <c r="GQ268" s="42"/>
      <c r="GR268" s="42"/>
      <c r="GS268" s="42"/>
      <c r="GT268" s="42"/>
      <c r="GU268" s="42"/>
      <c r="GV268" s="42"/>
      <c r="GW268" s="42"/>
      <c r="GX268" s="42"/>
      <c r="GY268" s="42"/>
      <c r="GZ268" s="42"/>
      <c r="HA268" s="42"/>
      <c r="HB268" s="42"/>
      <c r="HC268" s="42"/>
      <c r="HD268" s="42"/>
      <c r="HE268" s="42"/>
      <c r="HF268" s="42"/>
      <c r="HG268" s="42"/>
      <c r="HH268" s="42"/>
      <c r="HI268" s="42"/>
      <c r="HJ268" s="42"/>
      <c r="HK268" s="42"/>
      <c r="HL268" s="42"/>
      <c r="HM268" s="42"/>
      <c r="HN268" s="42"/>
      <c r="HO268" s="42"/>
      <c r="HP268" s="42"/>
      <c r="HQ268" s="42"/>
      <c r="HR268" s="42"/>
      <c r="HS268" s="42"/>
      <c r="HT268" s="42"/>
      <c r="HU268" s="42"/>
      <c r="HV268" s="42"/>
      <c r="HW268" s="42"/>
      <c r="HX268" s="42"/>
      <c r="HY268" s="42"/>
      <c r="HZ268" s="42"/>
      <c r="IA268" s="42"/>
      <c r="IB268" s="42"/>
      <c r="IC268" s="42"/>
      <c r="ID268" s="42"/>
      <c r="IE268" s="42"/>
      <c r="IF268" s="42"/>
      <c r="IG268" s="42"/>
      <c r="IH268" s="42"/>
      <c r="II268" s="42"/>
      <c r="IJ268" s="42"/>
      <c r="IK268" s="42"/>
      <c r="IL268" s="42"/>
      <c r="IM268" s="42"/>
      <c r="IN268" s="42"/>
      <c r="IO268" s="42"/>
      <c r="IP268" s="42"/>
      <c r="IQ268" s="42"/>
      <c r="IR268" s="42"/>
      <c r="IS268" s="42"/>
      <c r="IT268" s="42"/>
      <c r="IU268" s="42"/>
      <c r="IV268" s="42"/>
      <c r="IW268" s="42"/>
      <c r="IX268" s="42"/>
      <c r="IY268" s="42"/>
      <c r="IZ268" s="42"/>
      <c r="JA268" s="42"/>
      <c r="JB268" s="42"/>
      <c r="JC268" s="42"/>
      <c r="JD268" s="42"/>
      <c r="JE268" s="42"/>
      <c r="JF268" s="42"/>
      <c r="JG268" s="42"/>
      <c r="JH268" s="42"/>
      <c r="JI268" s="42"/>
      <c r="JJ268" s="42"/>
      <c r="JK268" s="42"/>
      <c r="JL268" s="42"/>
      <c r="JM268" s="42"/>
      <c r="JN268" s="42"/>
      <c r="JO268" s="42"/>
      <c r="JP268" s="42"/>
      <c r="JQ268" s="42"/>
      <c r="JR268" s="42"/>
      <c r="JS268" s="42"/>
      <c r="JT268" s="42"/>
      <c r="JU268" s="42"/>
      <c r="JV268" s="42"/>
      <c r="JW268" s="42"/>
      <c r="JX268" s="42"/>
      <c r="JY268" s="42"/>
      <c r="JZ268" s="42"/>
      <c r="KA268" s="42"/>
      <c r="KB268" s="42"/>
      <c r="KC268" s="42"/>
      <c r="KD268" s="42"/>
      <c r="KE268" s="42"/>
      <c r="KF268" s="42"/>
      <c r="KG268" s="42"/>
      <c r="KH268" s="42"/>
      <c r="KI268" s="42"/>
      <c r="KJ268" s="42"/>
      <c r="KK268" s="42"/>
      <c r="KL268" s="42"/>
      <c r="KM268" s="42"/>
      <c r="KN268" s="42"/>
      <c r="KO268" s="42"/>
      <c r="KP268" s="42"/>
      <c r="KQ268" s="42"/>
      <c r="KR268" s="42"/>
      <c r="KS268" s="42"/>
      <c r="KT268" s="42"/>
      <c r="KU268" s="42"/>
      <c r="KV268" s="42"/>
      <c r="KW268" s="42"/>
      <c r="KX268" s="42"/>
      <c r="KY268" s="42"/>
      <c r="KZ268" s="42"/>
      <c r="LA268" s="42"/>
      <c r="LB268" s="42"/>
      <c r="LC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2"/>
      <c r="AM269" s="42"/>
      <c r="AN269" s="42"/>
      <c r="AO269" s="42"/>
      <c r="AP269" s="42"/>
      <c r="AQ269" s="42"/>
      <c r="AR269" s="42"/>
      <c r="AS269" s="42"/>
      <c r="AT269" s="42"/>
      <c r="AU269" s="42"/>
      <c r="AV269" s="42"/>
      <c r="AW269" s="42"/>
      <c r="AX269" s="42"/>
      <c r="AY269" s="42"/>
      <c r="AZ269" s="42"/>
      <c r="BA269" s="42"/>
      <c r="BB269" s="42"/>
      <c r="BC269" s="42"/>
      <c r="BD269" s="42"/>
      <c r="BE269" s="42"/>
      <c r="BF269" s="42"/>
      <c r="BG269" s="42"/>
      <c r="BH269" s="42"/>
      <c r="BI269" s="42"/>
      <c r="BJ269" s="42"/>
      <c r="BK269" s="42"/>
      <c r="BL269" s="42"/>
      <c r="BM269" s="42"/>
      <c r="BN269" s="42"/>
      <c r="BO269" s="42"/>
      <c r="BP269" s="42"/>
      <c r="BQ269" s="42"/>
      <c r="BR269" s="42"/>
      <c r="BS269" s="42"/>
      <c r="BT269" s="42"/>
      <c r="BU269" s="42"/>
      <c r="BV269" s="42"/>
      <c r="BW269" s="42"/>
      <c r="BX269" s="42"/>
      <c r="BY269" s="42"/>
      <c r="BZ269" s="42"/>
      <c r="CA269" s="42"/>
      <c r="CB269" s="42"/>
      <c r="CC269" s="42"/>
      <c r="CD269" s="42"/>
      <c r="CE269" s="42"/>
      <c r="CF269" s="42"/>
      <c r="CG269" s="42"/>
      <c r="CH269" s="42"/>
      <c r="CI269" s="42"/>
      <c r="CJ269" s="42"/>
      <c r="CK269" s="42"/>
      <c r="CL269" s="42"/>
      <c r="CM269" s="42"/>
      <c r="CN269" s="42"/>
      <c r="CO269" s="42"/>
      <c r="CP269" s="42"/>
      <c r="CQ269" s="42"/>
      <c r="CR269" s="42"/>
      <c r="CS269" s="42"/>
      <c r="CT269" s="42"/>
      <c r="CU269" s="42"/>
      <c r="CV269" s="42"/>
      <c r="CW269" s="42"/>
      <c r="CX269" s="42"/>
      <c r="CY269" s="42"/>
      <c r="CZ269" s="42"/>
      <c r="DA269" s="42"/>
      <c r="DB269" s="42"/>
      <c r="DC269" s="42"/>
      <c r="DD269" s="42"/>
      <c r="DE269" s="42"/>
      <c r="DF269" s="42"/>
      <c r="DG269" s="42"/>
      <c r="DH269" s="42"/>
      <c r="DI269" s="42"/>
      <c r="DJ269" s="42"/>
      <c r="DK269" s="42"/>
      <c r="DL269" s="42"/>
      <c r="DM269" s="42"/>
      <c r="DN269" s="42"/>
      <c r="DO269" s="42"/>
      <c r="DP269" s="42"/>
      <c r="DQ269" s="42"/>
      <c r="DR269" s="42"/>
      <c r="DS269" s="42"/>
      <c r="DT269" s="42"/>
      <c r="DU269" s="42"/>
      <c r="DV269" s="42"/>
      <c r="DW269" s="42"/>
      <c r="DX269" s="42"/>
      <c r="DY269" s="42"/>
      <c r="DZ269" s="42"/>
      <c r="EA269" s="42"/>
      <c r="EB269" s="42"/>
      <c r="EC269" s="42"/>
      <c r="ED269" s="42"/>
      <c r="EE269" s="42"/>
      <c r="EF269" s="42"/>
      <c r="EG269" s="42"/>
      <c r="EH269" s="42"/>
      <c r="EI269" s="42"/>
      <c r="EJ269" s="42"/>
      <c r="EK269" s="42"/>
      <c r="EL269" s="42"/>
      <c r="EM269" s="42"/>
      <c r="EN269" s="42"/>
      <c r="EO269" s="42"/>
      <c r="EP269" s="42"/>
      <c r="EQ269" s="42"/>
      <c r="ER269" s="42"/>
      <c r="ES269" s="42"/>
      <c r="ET269" s="42"/>
      <c r="EU269" s="42"/>
      <c r="EV269" s="42"/>
      <c r="EW269" s="42"/>
      <c r="EX269" s="42"/>
      <c r="EY269" s="42"/>
      <c r="EZ269" s="42"/>
      <c r="FA269" s="42"/>
      <c r="FB269" s="42"/>
      <c r="FC269" s="42"/>
      <c r="FD269" s="42"/>
      <c r="FE269" s="42"/>
      <c r="FF269" s="42"/>
      <c r="FG269" s="42"/>
      <c r="FH269" s="42"/>
      <c r="FI269" s="42"/>
      <c r="FJ269" s="42"/>
      <c r="FK269" s="42"/>
      <c r="FL269" s="42"/>
      <c r="FM269" s="42"/>
      <c r="FN269" s="42"/>
      <c r="FO269" s="42"/>
      <c r="FP269" s="42"/>
      <c r="FQ269" s="42"/>
      <c r="FR269" s="42"/>
      <c r="FS269" s="42"/>
      <c r="FT269" s="42"/>
      <c r="FU269" s="42"/>
      <c r="FV269" s="42"/>
      <c r="FW269" s="42"/>
      <c r="FX269" s="42"/>
      <c r="FY269" s="42"/>
      <c r="FZ269" s="42"/>
      <c r="GA269" s="42"/>
      <c r="GB269" s="42"/>
      <c r="GC269" s="42"/>
      <c r="GD269" s="42"/>
      <c r="GE269" s="42"/>
      <c r="GF269" s="42"/>
      <c r="GG269" s="42"/>
      <c r="GH269" s="42"/>
      <c r="GI269" s="42"/>
      <c r="GJ269" s="42"/>
      <c r="GK269" s="42"/>
      <c r="GL269" s="42"/>
      <c r="GM269" s="42"/>
      <c r="GN269" s="42"/>
      <c r="GO269" s="42"/>
      <c r="GP269" s="42"/>
      <c r="GQ269" s="42"/>
      <c r="GR269" s="42"/>
      <c r="GS269" s="42"/>
      <c r="GT269" s="42"/>
      <c r="GU269" s="42"/>
      <c r="GV269" s="42"/>
      <c r="GW269" s="42"/>
      <c r="GX269" s="42"/>
      <c r="GY269" s="42"/>
      <c r="GZ269" s="42"/>
      <c r="HA269" s="42"/>
      <c r="HB269" s="42"/>
      <c r="HC269" s="42"/>
      <c r="HD269" s="42"/>
      <c r="HE269" s="42"/>
      <c r="HF269" s="42"/>
      <c r="HG269" s="42"/>
      <c r="HH269" s="42"/>
      <c r="HI269" s="42"/>
      <c r="HJ269" s="42"/>
      <c r="HK269" s="42"/>
      <c r="HL269" s="42"/>
      <c r="HM269" s="42"/>
      <c r="HN269" s="42"/>
      <c r="HO269" s="42"/>
      <c r="HP269" s="42"/>
      <c r="HQ269" s="42"/>
      <c r="HR269" s="42"/>
      <c r="HS269" s="42"/>
      <c r="HT269" s="42"/>
      <c r="HU269" s="42"/>
      <c r="HV269" s="42"/>
      <c r="HW269" s="42"/>
      <c r="HX269" s="42"/>
      <c r="HY269" s="42"/>
      <c r="HZ269" s="42"/>
      <c r="IA269" s="42"/>
      <c r="IB269" s="42"/>
      <c r="IC269" s="42"/>
      <c r="ID269" s="42"/>
      <c r="IE269" s="42"/>
      <c r="IF269" s="42"/>
      <c r="IG269" s="42"/>
      <c r="IH269" s="42"/>
      <c r="II269" s="42"/>
      <c r="IJ269" s="42"/>
      <c r="IK269" s="42"/>
      <c r="IL269" s="42"/>
      <c r="IM269" s="42"/>
      <c r="IN269" s="42"/>
      <c r="IO269" s="42"/>
      <c r="IP269" s="42"/>
      <c r="IQ269" s="42"/>
      <c r="IR269" s="42"/>
      <c r="IS269" s="42"/>
      <c r="IT269" s="42"/>
      <c r="IU269" s="42"/>
      <c r="IV269" s="42"/>
      <c r="IW269" s="42"/>
      <c r="IX269" s="42"/>
      <c r="IY269" s="42"/>
      <c r="IZ269" s="42"/>
      <c r="JA269" s="42"/>
      <c r="JB269" s="42"/>
      <c r="JC269" s="42"/>
      <c r="JD269" s="42"/>
      <c r="JE269" s="42"/>
      <c r="JF269" s="42"/>
      <c r="JG269" s="42"/>
      <c r="JH269" s="42"/>
      <c r="JI269" s="42"/>
      <c r="JJ269" s="42"/>
      <c r="JK269" s="42"/>
      <c r="JL269" s="42"/>
      <c r="JM269" s="42"/>
      <c r="JN269" s="42"/>
      <c r="JO269" s="42"/>
      <c r="JP269" s="42"/>
      <c r="JQ269" s="42"/>
      <c r="JR269" s="42"/>
      <c r="JS269" s="42"/>
      <c r="JT269" s="42"/>
      <c r="JU269" s="42"/>
      <c r="JV269" s="42"/>
      <c r="JW269" s="42"/>
      <c r="JX269" s="42"/>
      <c r="JY269" s="42"/>
      <c r="JZ269" s="42"/>
      <c r="KA269" s="42"/>
      <c r="KB269" s="42"/>
      <c r="KC269" s="42"/>
      <c r="KD269" s="42"/>
      <c r="KE269" s="42"/>
      <c r="KF269" s="42"/>
      <c r="KG269" s="42"/>
      <c r="KH269" s="42"/>
      <c r="KI269" s="42"/>
      <c r="KJ269" s="42"/>
      <c r="KK269" s="42"/>
      <c r="KL269" s="42"/>
      <c r="KM269" s="42"/>
      <c r="KN269" s="42"/>
      <c r="KO269" s="42"/>
      <c r="KP269" s="42"/>
      <c r="KQ269" s="42"/>
      <c r="KR269" s="42"/>
      <c r="KS269" s="42"/>
      <c r="KT269" s="42"/>
      <c r="KU269" s="42"/>
      <c r="KV269" s="42"/>
      <c r="KW269" s="42"/>
      <c r="KX269" s="42"/>
      <c r="KY269" s="42"/>
      <c r="KZ269" s="42"/>
      <c r="LA269" s="42"/>
      <c r="LB269" s="42"/>
      <c r="LC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42"/>
      <c r="BB270" s="42"/>
      <c r="BC270" s="42"/>
      <c r="BD270" s="42"/>
      <c r="BE270" s="42"/>
      <c r="BF270" s="42"/>
      <c r="BG270" s="42"/>
      <c r="BH270" s="42"/>
      <c r="BI270" s="42"/>
      <c r="BJ270" s="42"/>
      <c r="BK270" s="42"/>
      <c r="BL270" s="42"/>
      <c r="BM270" s="42"/>
      <c r="BN270" s="42"/>
      <c r="BO270" s="42"/>
      <c r="BP270" s="42"/>
      <c r="BQ270" s="42"/>
      <c r="BR270" s="42"/>
      <c r="BS270" s="42"/>
      <c r="BT270" s="42"/>
      <c r="BU270" s="42"/>
      <c r="BV270" s="42"/>
      <c r="BW270" s="42"/>
      <c r="BX270" s="42"/>
      <c r="BY270" s="42"/>
      <c r="BZ270" s="42"/>
      <c r="CA270" s="42"/>
      <c r="CB270" s="42"/>
      <c r="CC270" s="42"/>
      <c r="CD270" s="42"/>
      <c r="CE270" s="42"/>
      <c r="CF270" s="42"/>
      <c r="CG270" s="42"/>
      <c r="CH270" s="42"/>
      <c r="CI270" s="42"/>
      <c r="CJ270" s="42"/>
      <c r="CK270" s="42"/>
      <c r="CL270" s="42"/>
      <c r="CM270" s="42"/>
      <c r="CN270" s="42"/>
      <c r="CO270" s="42"/>
      <c r="CP270" s="42"/>
      <c r="CQ270" s="42"/>
      <c r="CR270" s="42"/>
      <c r="CS270" s="42"/>
      <c r="CT270" s="42"/>
      <c r="CU270" s="42"/>
      <c r="CV270" s="42"/>
      <c r="CW270" s="42"/>
      <c r="CX270" s="42"/>
      <c r="CY270" s="42"/>
      <c r="CZ270" s="42"/>
      <c r="DA270" s="42"/>
      <c r="DB270" s="42"/>
      <c r="DC270" s="42"/>
      <c r="DD270" s="42"/>
      <c r="DE270" s="42"/>
      <c r="DF270" s="42"/>
      <c r="DG270" s="42"/>
      <c r="DH270" s="42"/>
      <c r="DI270" s="42"/>
      <c r="DJ270" s="42"/>
      <c r="DK270" s="42"/>
      <c r="DL270" s="42"/>
      <c r="DM270" s="42"/>
      <c r="DN270" s="42"/>
      <c r="DO270" s="42"/>
      <c r="DP270" s="42"/>
      <c r="DQ270" s="42"/>
      <c r="DR270" s="42"/>
      <c r="DS270" s="42"/>
      <c r="DT270" s="42"/>
      <c r="DU270" s="42"/>
      <c r="DV270" s="42"/>
      <c r="DW270" s="42"/>
      <c r="DX270" s="42"/>
      <c r="DY270" s="42"/>
      <c r="DZ270" s="42"/>
      <c r="EA270" s="42"/>
      <c r="EB270" s="42"/>
      <c r="EC270" s="42"/>
      <c r="ED270" s="42"/>
      <c r="EE270" s="42"/>
      <c r="EF270" s="42"/>
      <c r="EG270" s="42"/>
      <c r="EH270" s="42"/>
      <c r="EI270" s="42"/>
      <c r="EJ270" s="42"/>
      <c r="EK270" s="42"/>
      <c r="EL270" s="42"/>
      <c r="EM270" s="42"/>
      <c r="EN270" s="42"/>
      <c r="EO270" s="42"/>
      <c r="EP270" s="42"/>
      <c r="EQ270" s="42"/>
      <c r="ER270" s="42"/>
      <c r="ES270" s="42"/>
      <c r="ET270" s="42"/>
      <c r="EU270" s="42"/>
      <c r="EV270" s="42"/>
      <c r="EW270" s="42"/>
      <c r="EX270" s="42"/>
      <c r="EY270" s="42"/>
      <c r="EZ270" s="42"/>
      <c r="FA270" s="42"/>
      <c r="FB270" s="42"/>
      <c r="FC270" s="42"/>
      <c r="FD270" s="42"/>
      <c r="FE270" s="42"/>
      <c r="FF270" s="42"/>
      <c r="FG270" s="42"/>
      <c r="FH270" s="42"/>
      <c r="FI270" s="42"/>
      <c r="FJ270" s="42"/>
      <c r="FK270" s="42"/>
      <c r="FL270" s="42"/>
      <c r="FM270" s="42"/>
      <c r="FN270" s="42"/>
      <c r="FO270" s="42"/>
      <c r="FP270" s="42"/>
      <c r="FQ270" s="42"/>
      <c r="FR270" s="42"/>
      <c r="FS270" s="42"/>
      <c r="FT270" s="42"/>
      <c r="FU270" s="42"/>
      <c r="FV270" s="42"/>
      <c r="FW270" s="42"/>
      <c r="FX270" s="42"/>
      <c r="FY270" s="42"/>
      <c r="FZ270" s="42"/>
      <c r="GA270" s="42"/>
      <c r="GB270" s="42"/>
      <c r="GC270" s="42"/>
      <c r="GD270" s="42"/>
      <c r="GE270" s="42"/>
      <c r="GF270" s="42"/>
      <c r="GG270" s="42"/>
      <c r="GH270" s="42"/>
      <c r="GI270" s="42"/>
      <c r="GJ270" s="42"/>
      <c r="GK270" s="42"/>
      <c r="GL270" s="42"/>
      <c r="GM270" s="42"/>
      <c r="GN270" s="42"/>
      <c r="GO270" s="42"/>
      <c r="GP270" s="42"/>
      <c r="GQ270" s="42"/>
      <c r="GR270" s="42"/>
      <c r="GS270" s="42"/>
      <c r="GT270" s="42"/>
      <c r="GU270" s="42"/>
      <c r="GV270" s="42"/>
      <c r="GW270" s="42"/>
      <c r="GX270" s="42"/>
      <c r="GY270" s="42"/>
      <c r="GZ270" s="42"/>
      <c r="HA270" s="42"/>
      <c r="HB270" s="42"/>
      <c r="HC270" s="42"/>
      <c r="HD270" s="42"/>
      <c r="HE270" s="42"/>
      <c r="HF270" s="42"/>
      <c r="HG270" s="42"/>
      <c r="HH270" s="42"/>
      <c r="HI270" s="42"/>
      <c r="HJ270" s="42"/>
      <c r="HK270" s="42"/>
      <c r="HL270" s="42"/>
      <c r="HM270" s="42"/>
      <c r="HN270" s="42"/>
      <c r="HO270" s="42"/>
      <c r="HP270" s="42"/>
      <c r="HQ270" s="42"/>
      <c r="HR270" s="42"/>
      <c r="HS270" s="42"/>
      <c r="HT270" s="42"/>
      <c r="HU270" s="42"/>
      <c r="HV270" s="42"/>
      <c r="HW270" s="42"/>
      <c r="HX270" s="42"/>
      <c r="HY270" s="42"/>
      <c r="HZ270" s="42"/>
      <c r="IA270" s="42"/>
      <c r="IB270" s="42"/>
      <c r="IC270" s="42"/>
      <c r="ID270" s="42"/>
      <c r="IE270" s="42"/>
      <c r="IF270" s="42"/>
      <c r="IG270" s="42"/>
      <c r="IH270" s="42"/>
      <c r="II270" s="42"/>
      <c r="IJ270" s="42"/>
      <c r="IK270" s="42"/>
      <c r="IL270" s="42"/>
      <c r="IM270" s="42"/>
      <c r="IN270" s="42"/>
      <c r="IO270" s="42"/>
      <c r="IP270" s="42"/>
      <c r="IQ270" s="42"/>
      <c r="IR270" s="42"/>
      <c r="IS270" s="42"/>
      <c r="IT270" s="42"/>
      <c r="IU270" s="42"/>
      <c r="IV270" s="42"/>
      <c r="IW270" s="42"/>
      <c r="IX270" s="42"/>
      <c r="IY270" s="42"/>
      <c r="IZ270" s="42"/>
      <c r="JA270" s="42"/>
      <c r="JB270" s="42"/>
      <c r="JC270" s="42"/>
      <c r="JD270" s="42"/>
      <c r="JE270" s="42"/>
      <c r="JF270" s="42"/>
      <c r="JG270" s="42"/>
      <c r="JH270" s="42"/>
      <c r="JI270" s="42"/>
      <c r="JJ270" s="42"/>
      <c r="JK270" s="42"/>
      <c r="JL270" s="42"/>
      <c r="JM270" s="42"/>
      <c r="JN270" s="42"/>
      <c r="JO270" s="42"/>
      <c r="JP270" s="42"/>
      <c r="JQ270" s="42"/>
      <c r="JR270" s="42"/>
      <c r="JS270" s="42"/>
      <c r="JT270" s="42"/>
      <c r="JU270" s="42"/>
      <c r="JV270" s="42"/>
      <c r="JW270" s="42"/>
      <c r="JX270" s="42"/>
      <c r="JY270" s="42"/>
      <c r="JZ270" s="42"/>
      <c r="KA270" s="42"/>
      <c r="KB270" s="42"/>
      <c r="KC270" s="42"/>
      <c r="KD270" s="42"/>
      <c r="KE270" s="42"/>
      <c r="KF270" s="42"/>
      <c r="KG270" s="42"/>
      <c r="KH270" s="42"/>
      <c r="KI270" s="42"/>
      <c r="KJ270" s="42"/>
      <c r="KK270" s="42"/>
      <c r="KL270" s="42"/>
      <c r="KM270" s="42"/>
      <c r="KN270" s="42"/>
      <c r="KO270" s="42"/>
      <c r="KP270" s="42"/>
      <c r="KQ270" s="42"/>
      <c r="KR270" s="42"/>
      <c r="KS270" s="42"/>
      <c r="KT270" s="42"/>
      <c r="KU270" s="42"/>
      <c r="KV270" s="42"/>
      <c r="KW270" s="42"/>
      <c r="KX270" s="42"/>
      <c r="KY270" s="42"/>
      <c r="KZ270" s="42"/>
      <c r="LA270" s="42"/>
      <c r="LB270" s="42"/>
      <c r="LC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c r="BC271" s="42"/>
      <c r="BD271" s="42"/>
      <c r="BE271" s="42"/>
      <c r="BF271" s="42"/>
      <c r="BG271" s="42"/>
      <c r="BH271" s="42"/>
      <c r="BI271" s="42"/>
      <c r="BJ271" s="42"/>
      <c r="BK271" s="42"/>
      <c r="BL271" s="42"/>
      <c r="BM271" s="42"/>
      <c r="BN271" s="42"/>
      <c r="BO271" s="42"/>
      <c r="BP271" s="42"/>
      <c r="BQ271" s="42"/>
      <c r="BR271" s="42"/>
      <c r="BS271" s="42"/>
      <c r="BT271" s="42"/>
      <c r="BU271" s="42"/>
      <c r="BV271" s="42"/>
      <c r="BW271" s="42"/>
      <c r="BX271" s="42"/>
      <c r="BY271" s="42"/>
      <c r="BZ271" s="42"/>
      <c r="CA271" s="42"/>
      <c r="CB271" s="42"/>
      <c r="CC271" s="42"/>
      <c r="CD271" s="42"/>
      <c r="CE271" s="42"/>
      <c r="CF271" s="42"/>
      <c r="CG271" s="42"/>
      <c r="CH271" s="42"/>
      <c r="CI271" s="42"/>
      <c r="CJ271" s="42"/>
      <c r="CK271" s="42"/>
      <c r="CL271" s="42"/>
      <c r="CM271" s="42"/>
      <c r="CN271" s="42"/>
      <c r="CO271" s="42"/>
      <c r="CP271" s="42"/>
      <c r="CQ271" s="42"/>
      <c r="CR271" s="42"/>
      <c r="CS271" s="42"/>
      <c r="CT271" s="42"/>
      <c r="CU271" s="42"/>
      <c r="CV271" s="42"/>
      <c r="CW271" s="42"/>
      <c r="CX271" s="42"/>
      <c r="CY271" s="42"/>
      <c r="CZ271" s="42"/>
      <c r="DA271" s="42"/>
      <c r="DB271" s="42"/>
      <c r="DC271" s="42"/>
      <c r="DD271" s="42"/>
      <c r="DE271" s="42"/>
      <c r="DF271" s="42"/>
      <c r="DG271" s="42"/>
      <c r="DH271" s="42"/>
      <c r="DI271" s="42"/>
      <c r="DJ271" s="42"/>
      <c r="DK271" s="42"/>
      <c r="DL271" s="42"/>
      <c r="DM271" s="42"/>
      <c r="DN271" s="42"/>
      <c r="DO271" s="42"/>
      <c r="DP271" s="42"/>
      <c r="DQ271" s="42"/>
      <c r="DR271" s="42"/>
      <c r="DS271" s="42"/>
      <c r="DT271" s="42"/>
      <c r="DU271" s="42"/>
      <c r="DV271" s="42"/>
      <c r="DW271" s="42"/>
      <c r="DX271" s="42"/>
      <c r="DY271" s="42"/>
      <c r="DZ271" s="42"/>
      <c r="EA271" s="42"/>
      <c r="EB271" s="42"/>
      <c r="EC271" s="42"/>
      <c r="ED271" s="42"/>
      <c r="EE271" s="42"/>
      <c r="EF271" s="42"/>
      <c r="EG271" s="42"/>
      <c r="EH271" s="42"/>
      <c r="EI271" s="42"/>
      <c r="EJ271" s="42"/>
      <c r="EK271" s="42"/>
      <c r="EL271" s="42"/>
      <c r="EM271" s="42"/>
      <c r="EN271" s="42"/>
      <c r="EO271" s="42"/>
      <c r="EP271" s="42"/>
      <c r="EQ271" s="42"/>
      <c r="ER271" s="42"/>
      <c r="ES271" s="42"/>
      <c r="ET271" s="42"/>
      <c r="EU271" s="42"/>
      <c r="EV271" s="42"/>
      <c r="EW271" s="42"/>
      <c r="EX271" s="42"/>
      <c r="EY271" s="42"/>
      <c r="EZ271" s="42"/>
      <c r="FA271" s="42"/>
      <c r="FB271" s="42"/>
      <c r="FC271" s="42"/>
      <c r="FD271" s="42"/>
      <c r="FE271" s="42"/>
      <c r="FF271" s="42"/>
      <c r="FG271" s="42"/>
      <c r="FH271" s="42"/>
      <c r="FI271" s="42"/>
      <c r="FJ271" s="42"/>
      <c r="FK271" s="42"/>
      <c r="FL271" s="42"/>
      <c r="FM271" s="42"/>
      <c r="FN271" s="42"/>
      <c r="FO271" s="42"/>
      <c r="FP271" s="42"/>
      <c r="FQ271" s="42"/>
      <c r="FR271" s="42"/>
      <c r="FS271" s="42"/>
      <c r="FT271" s="42"/>
      <c r="FU271" s="42"/>
      <c r="FV271" s="42"/>
      <c r="FW271" s="42"/>
      <c r="FX271" s="42"/>
      <c r="FY271" s="42"/>
      <c r="FZ271" s="42"/>
      <c r="GA271" s="42"/>
      <c r="GB271" s="42"/>
      <c r="GC271" s="42"/>
      <c r="GD271" s="42"/>
      <c r="GE271" s="42"/>
      <c r="GF271" s="42"/>
      <c r="GG271" s="42"/>
      <c r="GH271" s="42"/>
      <c r="GI271" s="42"/>
      <c r="GJ271" s="42"/>
      <c r="GK271" s="42"/>
      <c r="GL271" s="42"/>
      <c r="GM271" s="42"/>
      <c r="GN271" s="42"/>
      <c r="GO271" s="42"/>
      <c r="GP271" s="42"/>
      <c r="GQ271" s="42"/>
      <c r="GR271" s="42"/>
      <c r="GS271" s="42"/>
      <c r="GT271" s="42"/>
      <c r="GU271" s="42"/>
      <c r="GV271" s="42"/>
      <c r="GW271" s="42"/>
      <c r="GX271" s="42"/>
      <c r="GY271" s="42"/>
      <c r="GZ271" s="42"/>
      <c r="HA271" s="42"/>
      <c r="HB271" s="42"/>
      <c r="HC271" s="42"/>
      <c r="HD271" s="42"/>
      <c r="HE271" s="42"/>
      <c r="HF271" s="42"/>
      <c r="HG271" s="42"/>
      <c r="HH271" s="42"/>
      <c r="HI271" s="42"/>
      <c r="HJ271" s="42"/>
      <c r="HK271" s="42"/>
      <c r="HL271" s="42"/>
      <c r="HM271" s="42"/>
      <c r="HN271" s="42"/>
      <c r="HO271" s="42"/>
      <c r="HP271" s="42"/>
      <c r="HQ271" s="42"/>
      <c r="HR271" s="42"/>
      <c r="HS271" s="42"/>
      <c r="HT271" s="42"/>
      <c r="HU271" s="42"/>
      <c r="HV271" s="42"/>
      <c r="HW271" s="42"/>
      <c r="HX271" s="42"/>
      <c r="HY271" s="42"/>
      <c r="HZ271" s="42"/>
      <c r="IA271" s="42"/>
      <c r="IB271" s="42"/>
      <c r="IC271" s="42"/>
      <c r="ID271" s="42"/>
      <c r="IE271" s="42"/>
      <c r="IF271" s="42"/>
      <c r="IG271" s="42"/>
      <c r="IH271" s="42"/>
      <c r="II271" s="42"/>
      <c r="IJ271" s="42"/>
      <c r="IK271" s="42"/>
      <c r="IL271" s="42"/>
      <c r="IM271" s="42"/>
      <c r="IN271" s="42"/>
      <c r="IO271" s="42"/>
      <c r="IP271" s="42"/>
      <c r="IQ271" s="42"/>
      <c r="IR271" s="42"/>
      <c r="IS271" s="42"/>
      <c r="IT271" s="42"/>
      <c r="IU271" s="42"/>
      <c r="IV271" s="42"/>
      <c r="IW271" s="42"/>
      <c r="IX271" s="42"/>
      <c r="IY271" s="42"/>
      <c r="IZ271" s="42"/>
      <c r="JA271" s="42"/>
      <c r="JB271" s="42"/>
      <c r="JC271" s="42"/>
      <c r="JD271" s="42"/>
      <c r="JE271" s="42"/>
      <c r="JF271" s="42"/>
      <c r="JG271" s="42"/>
      <c r="JH271" s="42"/>
      <c r="JI271" s="42"/>
      <c r="JJ271" s="42"/>
      <c r="JK271" s="42"/>
      <c r="JL271" s="42"/>
      <c r="JM271" s="42"/>
      <c r="JN271" s="42"/>
      <c r="JO271" s="42"/>
      <c r="JP271" s="42"/>
      <c r="JQ271" s="42"/>
      <c r="JR271" s="42"/>
      <c r="JS271" s="42"/>
      <c r="JT271" s="42"/>
      <c r="JU271" s="42"/>
      <c r="JV271" s="42"/>
      <c r="JW271" s="42"/>
      <c r="JX271" s="42"/>
      <c r="JY271" s="42"/>
      <c r="JZ271" s="42"/>
      <c r="KA271" s="42"/>
      <c r="KB271" s="42"/>
      <c r="KC271" s="42"/>
      <c r="KD271" s="42"/>
      <c r="KE271" s="42"/>
      <c r="KF271" s="42"/>
      <c r="KG271" s="42"/>
      <c r="KH271" s="42"/>
      <c r="KI271" s="42"/>
      <c r="KJ271" s="42"/>
      <c r="KK271" s="42"/>
      <c r="KL271" s="42"/>
      <c r="KM271" s="42"/>
      <c r="KN271" s="42"/>
      <c r="KO271" s="42"/>
      <c r="KP271" s="42"/>
      <c r="KQ271" s="42"/>
      <c r="KR271" s="42"/>
      <c r="KS271" s="42"/>
      <c r="KT271" s="42"/>
      <c r="KU271" s="42"/>
      <c r="KV271" s="42"/>
      <c r="KW271" s="42"/>
      <c r="KX271" s="42"/>
      <c r="KY271" s="42"/>
      <c r="KZ271" s="42"/>
      <c r="LA271" s="42"/>
      <c r="LB271" s="42"/>
      <c r="LC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c r="BC272" s="42"/>
      <c r="BD272" s="42"/>
      <c r="BE272" s="42"/>
      <c r="BF272" s="42"/>
      <c r="BG272" s="42"/>
      <c r="BH272" s="42"/>
      <c r="BI272" s="42"/>
      <c r="BJ272" s="42"/>
      <c r="BK272" s="42"/>
      <c r="BL272" s="42"/>
      <c r="BM272" s="42"/>
      <c r="BN272" s="42"/>
      <c r="BO272" s="42"/>
      <c r="BP272" s="42"/>
      <c r="BQ272" s="42"/>
      <c r="BR272" s="42"/>
      <c r="BS272" s="42"/>
      <c r="BT272" s="42"/>
      <c r="BU272" s="42"/>
      <c r="BV272" s="42"/>
      <c r="BW272" s="42"/>
      <c r="BX272" s="42"/>
      <c r="BY272" s="42"/>
      <c r="BZ272" s="42"/>
      <c r="CA272" s="42"/>
      <c r="CB272" s="42"/>
      <c r="CC272" s="42"/>
      <c r="CD272" s="42"/>
      <c r="CE272" s="42"/>
      <c r="CF272" s="42"/>
      <c r="CG272" s="42"/>
      <c r="CH272" s="42"/>
      <c r="CI272" s="42"/>
      <c r="CJ272" s="42"/>
      <c r="CK272" s="42"/>
      <c r="CL272" s="42"/>
      <c r="CM272" s="42"/>
      <c r="CN272" s="42"/>
      <c r="CO272" s="42"/>
      <c r="CP272" s="42"/>
      <c r="CQ272" s="42"/>
      <c r="CR272" s="42"/>
      <c r="CS272" s="42"/>
      <c r="CT272" s="42"/>
      <c r="CU272" s="42"/>
      <c r="CV272" s="42"/>
      <c r="CW272" s="42"/>
      <c r="CX272" s="42"/>
      <c r="CY272" s="42"/>
      <c r="CZ272" s="42"/>
      <c r="DA272" s="42"/>
      <c r="DB272" s="42"/>
      <c r="DC272" s="42"/>
      <c r="DD272" s="42"/>
      <c r="DE272" s="42"/>
      <c r="DF272" s="42"/>
      <c r="DG272" s="42"/>
      <c r="DH272" s="42"/>
      <c r="DI272" s="42"/>
      <c r="DJ272" s="42"/>
      <c r="DK272" s="42"/>
      <c r="DL272" s="42"/>
      <c r="DM272" s="42"/>
      <c r="DN272" s="42"/>
      <c r="DO272" s="42"/>
      <c r="DP272" s="42"/>
      <c r="DQ272" s="42"/>
      <c r="DR272" s="42"/>
      <c r="DS272" s="42"/>
      <c r="DT272" s="42"/>
      <c r="DU272" s="42"/>
      <c r="DV272" s="42"/>
      <c r="DW272" s="42"/>
      <c r="DX272" s="42"/>
      <c r="DY272" s="42"/>
      <c r="DZ272" s="42"/>
      <c r="EA272" s="42"/>
      <c r="EB272" s="42"/>
      <c r="EC272" s="42"/>
      <c r="ED272" s="42"/>
      <c r="EE272" s="42"/>
      <c r="EF272" s="42"/>
      <c r="EG272" s="42"/>
      <c r="EH272" s="42"/>
      <c r="EI272" s="42"/>
      <c r="EJ272" s="42"/>
      <c r="EK272" s="42"/>
      <c r="EL272" s="42"/>
      <c r="EM272" s="42"/>
      <c r="EN272" s="42"/>
      <c r="EO272" s="42"/>
      <c r="EP272" s="42"/>
      <c r="EQ272" s="42"/>
      <c r="ER272" s="42"/>
      <c r="ES272" s="42"/>
      <c r="ET272" s="42"/>
      <c r="EU272" s="42"/>
      <c r="EV272" s="42"/>
      <c r="EW272" s="42"/>
      <c r="EX272" s="42"/>
      <c r="EY272" s="42"/>
      <c r="EZ272" s="42"/>
      <c r="FA272" s="42"/>
      <c r="FB272" s="42"/>
      <c r="FC272" s="42"/>
      <c r="FD272" s="42"/>
      <c r="FE272" s="42"/>
      <c r="FF272" s="42"/>
      <c r="FG272" s="42"/>
      <c r="FH272" s="42"/>
      <c r="FI272" s="42"/>
      <c r="FJ272" s="42"/>
      <c r="FK272" s="42"/>
      <c r="FL272" s="42"/>
      <c r="FM272" s="42"/>
      <c r="FN272" s="42"/>
      <c r="FO272" s="42"/>
      <c r="FP272" s="42"/>
      <c r="FQ272" s="42"/>
      <c r="FR272" s="42"/>
      <c r="FS272" s="42"/>
      <c r="FT272" s="42"/>
      <c r="FU272" s="42"/>
      <c r="FV272" s="42"/>
      <c r="FW272" s="42"/>
      <c r="FX272" s="42"/>
      <c r="FY272" s="42"/>
      <c r="FZ272" s="42"/>
      <c r="GA272" s="42"/>
      <c r="GB272" s="42"/>
      <c r="GC272" s="42"/>
      <c r="GD272" s="42"/>
      <c r="GE272" s="42"/>
      <c r="GF272" s="42"/>
      <c r="GG272" s="42"/>
      <c r="GH272" s="42"/>
      <c r="GI272" s="42"/>
      <c r="GJ272" s="42"/>
      <c r="GK272" s="42"/>
      <c r="GL272" s="42"/>
      <c r="GM272" s="42"/>
      <c r="GN272" s="42"/>
      <c r="GO272" s="42"/>
      <c r="GP272" s="42"/>
      <c r="GQ272" s="42"/>
      <c r="GR272" s="42"/>
      <c r="GS272" s="42"/>
      <c r="GT272" s="42"/>
      <c r="GU272" s="42"/>
      <c r="GV272" s="42"/>
      <c r="GW272" s="42"/>
      <c r="GX272" s="42"/>
      <c r="GY272" s="42"/>
      <c r="GZ272" s="42"/>
      <c r="HA272" s="42"/>
      <c r="HB272" s="42"/>
      <c r="HC272" s="42"/>
      <c r="HD272" s="42"/>
      <c r="HE272" s="42"/>
      <c r="HF272" s="42"/>
      <c r="HG272" s="42"/>
      <c r="HH272" s="42"/>
      <c r="HI272" s="42"/>
      <c r="HJ272" s="42"/>
      <c r="HK272" s="42"/>
      <c r="HL272" s="42"/>
      <c r="HM272" s="42"/>
      <c r="HN272" s="42"/>
      <c r="HO272" s="42"/>
      <c r="HP272" s="42"/>
      <c r="HQ272" s="42"/>
      <c r="HR272" s="42"/>
      <c r="HS272" s="42"/>
      <c r="HT272" s="42"/>
      <c r="HU272" s="42"/>
      <c r="HV272" s="42"/>
      <c r="HW272" s="42"/>
      <c r="HX272" s="42"/>
      <c r="HY272" s="42"/>
      <c r="HZ272" s="42"/>
      <c r="IA272" s="42"/>
      <c r="IB272" s="42"/>
      <c r="IC272" s="42"/>
      <c r="ID272" s="42"/>
      <c r="IE272" s="42"/>
      <c r="IF272" s="42"/>
      <c r="IG272" s="42"/>
      <c r="IH272" s="42"/>
      <c r="II272" s="42"/>
      <c r="IJ272" s="42"/>
      <c r="IK272" s="42"/>
      <c r="IL272" s="42"/>
      <c r="IM272" s="42"/>
      <c r="IN272" s="42"/>
      <c r="IO272" s="42"/>
      <c r="IP272" s="42"/>
      <c r="IQ272" s="42"/>
      <c r="IR272" s="42"/>
      <c r="IS272" s="42"/>
      <c r="IT272" s="42"/>
      <c r="IU272" s="42"/>
      <c r="IV272" s="42"/>
      <c r="IW272" s="42"/>
      <c r="IX272" s="42"/>
      <c r="IY272" s="42"/>
      <c r="IZ272" s="42"/>
      <c r="JA272" s="42"/>
      <c r="JB272" s="42"/>
      <c r="JC272" s="42"/>
      <c r="JD272" s="42"/>
      <c r="JE272" s="42"/>
      <c r="JF272" s="42"/>
      <c r="JG272" s="42"/>
      <c r="JH272" s="42"/>
      <c r="JI272" s="42"/>
      <c r="JJ272" s="42"/>
      <c r="JK272" s="42"/>
      <c r="JL272" s="42"/>
      <c r="JM272" s="42"/>
      <c r="JN272" s="42"/>
      <c r="JO272" s="42"/>
      <c r="JP272" s="42"/>
      <c r="JQ272" s="42"/>
      <c r="JR272" s="42"/>
      <c r="JS272" s="42"/>
      <c r="JT272" s="42"/>
      <c r="JU272" s="42"/>
      <c r="JV272" s="42"/>
      <c r="JW272" s="42"/>
      <c r="JX272" s="42"/>
      <c r="JY272" s="42"/>
      <c r="JZ272" s="42"/>
      <c r="KA272" s="42"/>
      <c r="KB272" s="42"/>
      <c r="KC272" s="42"/>
      <c r="KD272" s="42"/>
      <c r="KE272" s="42"/>
      <c r="KF272" s="42"/>
      <c r="KG272" s="42"/>
      <c r="KH272" s="42"/>
      <c r="KI272" s="42"/>
      <c r="KJ272" s="42"/>
      <c r="KK272" s="42"/>
      <c r="KL272" s="42"/>
      <c r="KM272" s="42"/>
      <c r="KN272" s="42"/>
      <c r="KO272" s="42"/>
      <c r="KP272" s="42"/>
      <c r="KQ272" s="42"/>
      <c r="KR272" s="42"/>
      <c r="KS272" s="42"/>
      <c r="KT272" s="42"/>
      <c r="KU272" s="42"/>
      <c r="KV272" s="42"/>
      <c r="KW272" s="42"/>
      <c r="KX272" s="42"/>
      <c r="KY272" s="42"/>
      <c r="KZ272" s="42"/>
      <c r="LA272" s="42"/>
      <c r="LB272" s="42"/>
      <c r="LC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42"/>
      <c r="BB273" s="42"/>
      <c r="BC273" s="42"/>
      <c r="BD273" s="42"/>
      <c r="BE273" s="42"/>
      <c r="BF273" s="42"/>
      <c r="BG273" s="42"/>
      <c r="BH273" s="42"/>
      <c r="BI273" s="42"/>
      <c r="BJ273" s="42"/>
      <c r="BK273" s="42"/>
      <c r="BL273" s="42"/>
      <c r="BM273" s="42"/>
      <c r="BN273" s="42"/>
      <c r="BO273" s="42"/>
      <c r="BP273" s="42"/>
      <c r="BQ273" s="42"/>
      <c r="BR273" s="42"/>
      <c r="BS273" s="42"/>
      <c r="BT273" s="42"/>
      <c r="BU273" s="42"/>
      <c r="BV273" s="42"/>
      <c r="BW273" s="42"/>
      <c r="BX273" s="42"/>
      <c r="BY273" s="42"/>
      <c r="BZ273" s="42"/>
      <c r="CA273" s="42"/>
      <c r="CB273" s="42"/>
      <c r="CC273" s="42"/>
      <c r="CD273" s="42"/>
      <c r="CE273" s="42"/>
      <c r="CF273" s="42"/>
      <c r="CG273" s="42"/>
      <c r="CH273" s="42"/>
      <c r="CI273" s="42"/>
      <c r="CJ273" s="42"/>
      <c r="CK273" s="42"/>
      <c r="CL273" s="42"/>
      <c r="CM273" s="42"/>
      <c r="CN273" s="42"/>
      <c r="CO273" s="42"/>
      <c r="CP273" s="42"/>
      <c r="CQ273" s="42"/>
      <c r="CR273" s="42"/>
      <c r="CS273" s="42"/>
      <c r="CT273" s="42"/>
      <c r="CU273" s="42"/>
      <c r="CV273" s="42"/>
      <c r="CW273" s="42"/>
      <c r="CX273" s="42"/>
      <c r="CY273" s="42"/>
      <c r="CZ273" s="42"/>
      <c r="DA273" s="42"/>
      <c r="DB273" s="42"/>
      <c r="DC273" s="42"/>
      <c r="DD273" s="42"/>
      <c r="DE273" s="42"/>
      <c r="DF273" s="42"/>
      <c r="DG273" s="42"/>
      <c r="DH273" s="42"/>
      <c r="DI273" s="42"/>
      <c r="DJ273" s="42"/>
      <c r="DK273" s="42"/>
      <c r="DL273" s="42"/>
      <c r="DM273" s="42"/>
      <c r="DN273" s="42"/>
      <c r="DO273" s="42"/>
      <c r="DP273" s="42"/>
      <c r="DQ273" s="42"/>
      <c r="DR273" s="42"/>
      <c r="DS273" s="42"/>
      <c r="DT273" s="42"/>
      <c r="DU273" s="42"/>
      <c r="DV273" s="42"/>
      <c r="DW273" s="42"/>
      <c r="DX273" s="42"/>
      <c r="DY273" s="42"/>
      <c r="DZ273" s="42"/>
      <c r="EA273" s="42"/>
      <c r="EB273" s="42"/>
      <c r="EC273" s="42"/>
      <c r="ED273" s="42"/>
      <c r="EE273" s="42"/>
      <c r="EF273" s="42"/>
      <c r="EG273" s="42"/>
      <c r="EH273" s="42"/>
      <c r="EI273" s="42"/>
      <c r="EJ273" s="42"/>
      <c r="EK273" s="42"/>
      <c r="EL273" s="42"/>
      <c r="EM273" s="42"/>
      <c r="EN273" s="42"/>
      <c r="EO273" s="42"/>
      <c r="EP273" s="42"/>
      <c r="EQ273" s="42"/>
      <c r="ER273" s="42"/>
      <c r="ES273" s="42"/>
      <c r="ET273" s="42"/>
      <c r="EU273" s="42"/>
      <c r="EV273" s="42"/>
      <c r="EW273" s="42"/>
      <c r="EX273" s="42"/>
      <c r="EY273" s="42"/>
      <c r="EZ273" s="42"/>
      <c r="FA273" s="42"/>
      <c r="FB273" s="42"/>
      <c r="FC273" s="42"/>
      <c r="FD273" s="42"/>
      <c r="FE273" s="42"/>
      <c r="FF273" s="42"/>
      <c r="FG273" s="42"/>
      <c r="FH273" s="42"/>
      <c r="FI273" s="42"/>
      <c r="FJ273" s="42"/>
      <c r="FK273" s="42"/>
      <c r="FL273" s="42"/>
      <c r="FM273" s="42"/>
      <c r="FN273" s="42"/>
      <c r="FO273" s="42"/>
      <c r="FP273" s="42"/>
      <c r="FQ273" s="42"/>
      <c r="FR273" s="42"/>
      <c r="FS273" s="42"/>
      <c r="FT273" s="42"/>
      <c r="FU273" s="42"/>
      <c r="FV273" s="42"/>
      <c r="FW273" s="42"/>
      <c r="FX273" s="42"/>
      <c r="FY273" s="42"/>
      <c r="FZ273" s="42"/>
      <c r="GA273" s="42"/>
      <c r="GB273" s="42"/>
      <c r="GC273" s="42"/>
      <c r="GD273" s="42"/>
      <c r="GE273" s="42"/>
      <c r="GF273" s="42"/>
      <c r="GG273" s="42"/>
      <c r="GH273" s="42"/>
      <c r="GI273" s="42"/>
      <c r="GJ273" s="42"/>
      <c r="GK273" s="42"/>
      <c r="GL273" s="42"/>
      <c r="GM273" s="42"/>
      <c r="GN273" s="42"/>
      <c r="GO273" s="42"/>
      <c r="GP273" s="42"/>
      <c r="GQ273" s="42"/>
      <c r="GR273" s="42"/>
      <c r="GS273" s="42"/>
      <c r="GT273" s="42"/>
      <c r="GU273" s="42"/>
      <c r="GV273" s="42"/>
      <c r="GW273" s="42"/>
      <c r="GX273" s="42"/>
      <c r="GY273" s="42"/>
      <c r="GZ273" s="42"/>
      <c r="HA273" s="42"/>
      <c r="HB273" s="42"/>
      <c r="HC273" s="42"/>
      <c r="HD273" s="42"/>
      <c r="HE273" s="42"/>
      <c r="HF273" s="42"/>
      <c r="HG273" s="42"/>
      <c r="HH273" s="42"/>
      <c r="HI273" s="42"/>
      <c r="HJ273" s="42"/>
      <c r="HK273" s="42"/>
      <c r="HL273" s="42"/>
      <c r="HM273" s="42"/>
      <c r="HN273" s="42"/>
      <c r="HO273" s="42"/>
      <c r="HP273" s="42"/>
      <c r="HQ273" s="42"/>
      <c r="HR273" s="42"/>
      <c r="HS273" s="42"/>
      <c r="HT273" s="42"/>
      <c r="HU273" s="42"/>
      <c r="HV273" s="42"/>
      <c r="HW273" s="42"/>
      <c r="HX273" s="42"/>
      <c r="HY273" s="42"/>
      <c r="HZ273" s="42"/>
      <c r="IA273" s="42"/>
      <c r="IB273" s="42"/>
      <c r="IC273" s="42"/>
      <c r="ID273" s="42"/>
      <c r="IE273" s="42"/>
      <c r="IF273" s="42"/>
      <c r="IG273" s="42"/>
      <c r="IH273" s="42"/>
      <c r="II273" s="42"/>
      <c r="IJ273" s="42"/>
      <c r="IK273" s="42"/>
      <c r="IL273" s="42"/>
      <c r="IM273" s="42"/>
      <c r="IN273" s="42"/>
      <c r="IO273" s="42"/>
      <c r="IP273" s="42"/>
      <c r="IQ273" s="42"/>
      <c r="IR273" s="42"/>
      <c r="IS273" s="42"/>
      <c r="IT273" s="42"/>
      <c r="IU273" s="42"/>
      <c r="IV273" s="42"/>
      <c r="IW273" s="42"/>
      <c r="IX273" s="42"/>
      <c r="IY273" s="42"/>
      <c r="IZ273" s="42"/>
      <c r="JA273" s="42"/>
      <c r="JB273" s="42"/>
      <c r="JC273" s="42"/>
      <c r="JD273" s="42"/>
      <c r="JE273" s="42"/>
      <c r="JF273" s="42"/>
      <c r="JG273" s="42"/>
      <c r="JH273" s="42"/>
      <c r="JI273" s="42"/>
      <c r="JJ273" s="42"/>
      <c r="JK273" s="42"/>
      <c r="JL273" s="42"/>
      <c r="JM273" s="42"/>
      <c r="JN273" s="42"/>
      <c r="JO273" s="42"/>
      <c r="JP273" s="42"/>
      <c r="JQ273" s="42"/>
      <c r="JR273" s="42"/>
      <c r="JS273" s="42"/>
      <c r="JT273" s="42"/>
      <c r="JU273" s="42"/>
      <c r="JV273" s="42"/>
      <c r="JW273" s="42"/>
      <c r="JX273" s="42"/>
      <c r="JY273" s="42"/>
      <c r="JZ273" s="42"/>
      <c r="KA273" s="42"/>
      <c r="KB273" s="42"/>
      <c r="KC273" s="42"/>
      <c r="KD273" s="42"/>
      <c r="KE273" s="42"/>
      <c r="KF273" s="42"/>
      <c r="KG273" s="42"/>
      <c r="KH273" s="42"/>
      <c r="KI273" s="42"/>
      <c r="KJ273" s="42"/>
      <c r="KK273" s="42"/>
      <c r="KL273" s="42"/>
      <c r="KM273" s="42"/>
      <c r="KN273" s="42"/>
      <c r="KO273" s="42"/>
      <c r="KP273" s="42"/>
      <c r="KQ273" s="42"/>
      <c r="KR273" s="42"/>
      <c r="KS273" s="42"/>
      <c r="KT273" s="42"/>
      <c r="KU273" s="42"/>
      <c r="KV273" s="42"/>
      <c r="KW273" s="42"/>
      <c r="KX273" s="42"/>
      <c r="KY273" s="42"/>
      <c r="KZ273" s="42"/>
      <c r="LA273" s="42"/>
      <c r="LB273" s="42"/>
      <c r="LC273" s="42"/>
    </row>
  </sheetData>
  <mergeCells count="94">
    <mergeCell ref="DI2:DL2"/>
    <mergeCell ref="DM2:DP2"/>
    <mergeCell ref="D1:D3"/>
    <mergeCell ref="U1:U3"/>
    <mergeCell ref="AT1:AT3"/>
    <mergeCell ref="BS1:BS3"/>
    <mergeCell ref="CR1:CR3"/>
    <mergeCell ref="DQ1:DQ3"/>
    <mergeCell ref="EP1:EP3"/>
    <mergeCell ref="B3:C3"/>
    <mergeCell ref="BK2:BN2"/>
    <mergeCell ref="BO2:BR2"/>
    <mergeCell ref="BT2:BW2"/>
    <mergeCell ref="BX2:CA2"/>
    <mergeCell ref="CB2:CE2"/>
    <mergeCell ref="CF2:CI2"/>
    <mergeCell ref="CJ2:CM2"/>
    <mergeCell ref="CN2:CQ2"/>
    <mergeCell ref="CS2:CV2"/>
    <mergeCell ref="CW2:CZ2"/>
    <mergeCell ref="DA2:DD2"/>
    <mergeCell ref="DE2:DH2"/>
    <mergeCell ref="B39:C39"/>
    <mergeCell ref="B40:C48"/>
    <mergeCell ref="B51:C51"/>
    <mergeCell ref="B52:C60"/>
    <mergeCell ref="B63:C63"/>
    <mergeCell ref="B64:C72"/>
    <mergeCell ref="BC2:BF2"/>
    <mergeCell ref="BG2:BJ2"/>
    <mergeCell ref="B4:C12"/>
    <mergeCell ref="B15:C15"/>
    <mergeCell ref="B16:C24"/>
    <mergeCell ref="B27:C27"/>
    <mergeCell ref="B28:C36"/>
    <mergeCell ref="E2:H2"/>
    <mergeCell ref="I2:L2"/>
    <mergeCell ref="M2:P2"/>
    <mergeCell ref="Q2:T2"/>
    <mergeCell ref="V2:Y2"/>
    <mergeCell ref="Z2:AC2"/>
    <mergeCell ref="AD2:AG2"/>
    <mergeCell ref="AH2:AK2"/>
    <mergeCell ref="AL2:AO2"/>
    <mergeCell ref="AP2:AS2"/>
    <mergeCell ref="EL2:EO2"/>
    <mergeCell ref="EQ2:ET2"/>
    <mergeCell ref="EU2:EX2"/>
    <mergeCell ref="EY2:FB2"/>
    <mergeCell ref="FC2:FF2"/>
    <mergeCell ref="FG2:FJ2"/>
    <mergeCell ref="FK2:FN2"/>
    <mergeCell ref="AU2:AX2"/>
    <mergeCell ref="AY2:BB2"/>
    <mergeCell ref="DR2:DU2"/>
    <mergeCell ref="DV2:DY2"/>
    <mergeCell ref="DZ2:EC2"/>
    <mergeCell ref="ED2:EG2"/>
    <mergeCell ref="EH2:EK2"/>
    <mergeCell ref="ID2:IG2"/>
    <mergeCell ref="IH2:IK2"/>
    <mergeCell ref="IM2:IP2"/>
    <mergeCell ref="IQ2:IT2"/>
    <mergeCell ref="IU2:IX2"/>
    <mergeCell ref="IY2:JB2"/>
    <mergeCell ref="JC2:JF2"/>
    <mergeCell ref="JG2:JJ2"/>
    <mergeCell ref="JL2:JO2"/>
    <mergeCell ref="JP2:JS2"/>
    <mergeCell ref="JT2:JW2"/>
    <mergeCell ref="JX2:KA2"/>
    <mergeCell ref="KB2:KE2"/>
    <mergeCell ref="KF2:KI2"/>
    <mergeCell ref="FO1:FO3"/>
    <mergeCell ref="GN1:GN3"/>
    <mergeCell ref="HM1:HM3"/>
    <mergeCell ref="IL1:IL3"/>
    <mergeCell ref="JK1:JK3"/>
    <mergeCell ref="FP2:FS2"/>
    <mergeCell ref="FT2:FW2"/>
    <mergeCell ref="FX2:GA2"/>
    <mergeCell ref="GB2:GE2"/>
    <mergeCell ref="GF2:GI2"/>
    <mergeCell ref="GJ2:GM2"/>
    <mergeCell ref="GO2:GR2"/>
    <mergeCell ref="GS2:GV2"/>
    <mergeCell ref="GW2:GZ2"/>
    <mergeCell ref="HA2:HD2"/>
    <mergeCell ref="HE2:HH2"/>
    <mergeCell ref="HI2:HL2"/>
    <mergeCell ref="HN2:HQ2"/>
    <mergeCell ref="HR2:HU2"/>
    <mergeCell ref="HV2:HY2"/>
    <mergeCell ref="HZ2:IC2"/>
  </mergeCells>
  <conditionalFormatting sqref="D13 H13 L13 P13 T13:LC13">
    <cfRule type="cellIs" dxfId="6" priority="1" operator="greaterThan">
      <formula>$B$13</formula>
    </cfRule>
  </conditionalFormatting>
  <conditionalFormatting sqref="D25 H25 L25 P25 T25:LC25">
    <cfRule type="cellIs" dxfId="6" priority="2" operator="greaterThan">
      <formula>$B$25</formula>
    </cfRule>
  </conditionalFormatting>
  <conditionalFormatting sqref="D37 H37 L37 P37 T37:LC37">
    <cfRule type="cellIs" dxfId="6" priority="3" operator="greaterThan">
      <formula>$B$37</formula>
    </cfRule>
  </conditionalFormatting>
  <conditionalFormatting sqref="D49 H49 L49 P49 T49:LC49">
    <cfRule type="cellIs" dxfId="6" priority="4" operator="greaterThan">
      <formula>$B$49</formula>
    </cfRule>
  </conditionalFormatting>
  <conditionalFormatting sqref="D61 H61 L61 P61 T61:LC61">
    <cfRule type="cellIs" dxfId="6" priority="5" operator="greaterThan">
      <formula>$B$61</formula>
    </cfRule>
  </conditionalFormatting>
  <conditionalFormatting sqref="D73 H73 L73 P73 T73:LC73">
    <cfRule type="cellIs" dxfId="6" priority="6" operator="greaterThan">
      <formula>$B$73</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topLeftCell="D1" activePane="topRight" state="frozen"/>
      <selection activeCell="E2" sqref="E2" pane="topRight"/>
    </sheetView>
  </sheetViews>
  <sheetFormatPr customHeight="1" defaultColWidth="14.43" defaultRowHeight="15.0" outlineLevelCol="1"/>
  <cols>
    <col customWidth="1" min="1" max="1" width="6.57"/>
    <col customWidth="1" min="2" max="2" width="21.86"/>
    <col customWidth="1" min="3" max="3" width="14.43"/>
    <col customWidth="1" min="4" max="4" width="6.14"/>
    <col customWidth="1" min="5" max="5" width="14.43" outlineLevel="1"/>
    <col customWidth="1" min="6" max="6" width="8.14" outlineLevel="1"/>
    <col customWidth="1" min="7" max="7" width="40.0" outlineLevel="1"/>
    <col customWidth="1" min="8" max="10" width="14.43" outlineLevel="1"/>
    <col customWidth="1" min="11" max="11" width="8.14" outlineLevel="1"/>
    <col customWidth="1" min="12" max="12" width="40.0" outlineLevel="1"/>
    <col customWidth="1" min="13" max="15" width="14.43" outlineLevel="1"/>
    <col customWidth="1" min="16" max="16" width="8.14" outlineLevel="1"/>
    <col customWidth="1" min="17" max="17" width="40.0" outlineLevel="1"/>
    <col customWidth="1" min="18" max="20" width="14.43" outlineLevel="1"/>
    <col customWidth="1" min="21" max="21" width="8.14" outlineLevel="1"/>
    <col customWidth="1" min="22" max="22" width="40.0" outlineLevel="1"/>
    <col customWidth="1" min="23" max="25" width="14.43" outlineLevel="1"/>
    <col customWidth="1" min="26" max="26" width="8.14" outlineLevel="1"/>
    <col customWidth="1" min="27" max="27" width="40.0" outlineLevel="1"/>
    <col customWidth="1" min="28" max="30" width="14.43" outlineLevel="1"/>
    <col customWidth="1" min="31" max="31" width="8.14" outlineLevel="1"/>
    <col customWidth="1" min="32" max="32" width="40.0" outlineLevel="1"/>
    <col customWidth="1" min="33" max="34" width="14.43" outlineLevel="1"/>
    <col customWidth="1" min="35" max="35" width="6.14"/>
    <col customWidth="1" hidden="1" min="36" max="36" width="14.43" outlineLevel="1"/>
    <col customWidth="1" hidden="1" min="37" max="37" width="8.14" outlineLevel="1"/>
    <col customWidth="1" hidden="1" min="38" max="38" width="40.0" outlineLevel="1"/>
    <col customWidth="1" hidden="1" min="39" max="41" width="14.43" outlineLevel="1"/>
    <col customWidth="1" hidden="1" min="42" max="42" width="8.14" outlineLevel="1"/>
    <col customWidth="1" hidden="1" min="43" max="43" width="40.0" outlineLevel="1"/>
    <col customWidth="1" hidden="1" min="44" max="46" width="14.43" outlineLevel="1"/>
    <col customWidth="1" hidden="1" min="47" max="47" width="8.14" outlineLevel="1"/>
    <col customWidth="1" hidden="1" min="48" max="48" width="40.0" outlineLevel="1"/>
    <col customWidth="1" hidden="1" min="49" max="51" width="14.43" outlineLevel="1"/>
    <col customWidth="1" hidden="1" min="52" max="52" width="8.14" outlineLevel="1"/>
    <col customWidth="1" hidden="1" min="53" max="53" width="40.0" outlineLevel="1"/>
    <col customWidth="1" hidden="1" min="54" max="56" width="14.43" outlineLevel="1"/>
    <col customWidth="1" hidden="1" min="57" max="57" width="8.14" outlineLevel="1"/>
    <col customWidth="1" hidden="1" min="58" max="58" width="40.0" outlineLevel="1"/>
    <col customWidth="1" hidden="1" min="59" max="61" width="14.43" outlineLevel="1"/>
    <col customWidth="1" hidden="1" min="62" max="62" width="8.14" outlineLevel="1"/>
    <col customWidth="1" hidden="1" min="63" max="63" width="40.0" outlineLevel="1"/>
    <col customWidth="1" hidden="1" min="64" max="65" width="14.43" outlineLevel="1"/>
    <col customWidth="1" min="66" max="66" width="6.14"/>
    <col customWidth="1" hidden="1" min="67" max="67" width="14.43" outlineLevel="1"/>
    <col customWidth="1" hidden="1" min="68" max="68" width="8.14" outlineLevel="1"/>
    <col customWidth="1" hidden="1" min="69" max="69" width="40.0" outlineLevel="1"/>
    <col customWidth="1" hidden="1" min="70" max="72" width="14.43" outlineLevel="1"/>
    <col customWidth="1" hidden="1" min="73" max="73" width="8.14" outlineLevel="1"/>
    <col customWidth="1" hidden="1" min="74" max="74" width="40.0" outlineLevel="1"/>
    <col customWidth="1" hidden="1" min="75" max="77" width="14.43" outlineLevel="1"/>
    <col customWidth="1" hidden="1" min="78" max="78" width="8.14" outlineLevel="1"/>
    <col customWidth="1" hidden="1" min="79" max="79" width="44.86" outlineLevel="1"/>
    <col customWidth="1" hidden="1" min="80" max="82" width="14.43" outlineLevel="1"/>
    <col customWidth="1" hidden="1" min="83" max="83" width="8.14" outlineLevel="1"/>
    <col customWidth="1" hidden="1" min="84" max="84" width="41.43" outlineLevel="1"/>
    <col customWidth="1" hidden="1" min="85" max="87" width="14.43" outlineLevel="1"/>
    <col customWidth="1" hidden="1" min="88" max="88" width="8.14" outlineLevel="1"/>
    <col customWidth="1" hidden="1" min="89" max="89" width="40.0" outlineLevel="1"/>
    <col customWidth="1" hidden="1" min="90" max="92" width="14.43" outlineLevel="1"/>
    <col customWidth="1" hidden="1" min="93" max="93" width="8.14" outlineLevel="1"/>
    <col customWidth="1" hidden="1" min="94" max="94" width="40.0" outlineLevel="1"/>
    <col customWidth="1" hidden="1" min="95" max="96" width="14.43" outlineLevel="1"/>
    <col customWidth="1" min="97" max="97" width="6.14"/>
    <col customWidth="1" hidden="1" min="98" max="98" width="14.43" outlineLevel="1"/>
    <col customWidth="1" hidden="1" min="99" max="99" width="8.14" outlineLevel="1"/>
    <col customWidth="1" hidden="1" min="100" max="100" width="44.86" outlineLevel="1"/>
    <col customWidth="1" hidden="1" min="101" max="103" width="14.43" outlineLevel="1"/>
    <col customWidth="1" hidden="1" min="104" max="104" width="8.14" outlineLevel="1"/>
    <col customWidth="1" hidden="1" min="105" max="105" width="42.0" outlineLevel="1"/>
    <col customWidth="1" hidden="1" min="106" max="108" width="14.43" outlineLevel="1"/>
    <col customWidth="1" hidden="1" min="109" max="109" width="8.14" outlineLevel="1"/>
    <col customWidth="1" hidden="1" min="110" max="110" width="42.0" outlineLevel="1"/>
    <col customWidth="1" hidden="1" min="111" max="113" width="14.43" outlineLevel="1"/>
    <col customWidth="1" hidden="1" min="114" max="114" width="8.14" outlineLevel="1"/>
    <col customWidth="1" hidden="1" min="115" max="115" width="43.57" outlineLevel="1"/>
    <col customWidth="1" hidden="1" min="116" max="118" width="14.43" outlineLevel="1"/>
    <col customWidth="1" hidden="1" min="119" max="119" width="8.14" outlineLevel="1"/>
    <col customWidth="1" hidden="1" min="120" max="120" width="40.0" outlineLevel="1"/>
    <col customWidth="1" hidden="1" min="121" max="123" width="14.43" outlineLevel="1"/>
    <col customWidth="1" hidden="1" min="124" max="124" width="8.14" outlineLevel="1"/>
    <col customWidth="1" hidden="1" min="125" max="125" width="40.0" outlineLevel="1"/>
    <col customWidth="1" hidden="1" min="126" max="127" width="14.43" outlineLevel="1"/>
    <col customWidth="1" min="128" max="128" width="6.14"/>
    <col customWidth="1" hidden="1" min="129" max="129" width="14.43" outlineLevel="1"/>
    <col customWidth="1" hidden="1" min="130" max="130" width="8.14" outlineLevel="1"/>
    <col customWidth="1" hidden="1" min="131" max="131" width="40.0" outlineLevel="1"/>
    <col customWidth="1" hidden="1" min="132" max="134" width="14.43" outlineLevel="1"/>
    <col customWidth="1" hidden="1" min="135" max="135" width="8.14" outlineLevel="1"/>
    <col customWidth="1" hidden="1" min="136" max="136" width="40.43" outlineLevel="1"/>
    <col customWidth="1" hidden="1" min="137" max="139" width="14.43" outlineLevel="1"/>
    <col customWidth="1" hidden="1" min="140" max="140" width="8.14" outlineLevel="1"/>
    <col customWidth="1" hidden="1" min="141" max="141" width="44.86" outlineLevel="1"/>
    <col customWidth="1" hidden="1" min="142" max="144" width="14.43" outlineLevel="1"/>
    <col customWidth="1" hidden="1" min="145" max="145" width="8.14" outlineLevel="1"/>
    <col customWidth="1" hidden="1" min="146" max="146" width="44.14" outlineLevel="1"/>
    <col customWidth="1" hidden="1" min="147" max="149" width="14.43" outlineLevel="1"/>
    <col customWidth="1" hidden="1" min="150" max="150" width="8.14" outlineLevel="1"/>
    <col customWidth="1" hidden="1" min="151" max="151" width="42.57" outlineLevel="1"/>
    <col customWidth="1" hidden="1" min="152" max="154" width="14.43" outlineLevel="1"/>
    <col customWidth="1" hidden="1" min="155" max="155" width="8.14" outlineLevel="1"/>
    <col customWidth="1" hidden="1" min="156" max="156" width="40.0" outlineLevel="1"/>
    <col customWidth="1" hidden="1" min="157" max="158" width="14.43" outlineLevel="1"/>
    <col customWidth="1" min="159" max="159" width="6.14"/>
    <col customWidth="1" hidden="1" min="160" max="160" width="14.43" outlineLevel="1"/>
    <col customWidth="1" hidden="1" min="161" max="161" width="8.14" outlineLevel="1"/>
    <col customWidth="1" hidden="1" min="162" max="162" width="44.14" outlineLevel="1"/>
    <col customWidth="1" hidden="1" min="163" max="165" width="14.43" outlineLevel="1"/>
    <col customWidth="1" hidden="1" min="166" max="166" width="8.14" outlineLevel="1"/>
    <col customWidth="1" hidden="1" min="167" max="167" width="47.29" outlineLevel="1"/>
    <col customWidth="1" hidden="1" min="168" max="170" width="14.43" outlineLevel="1"/>
    <col customWidth="1" hidden="1" min="171" max="171" width="8.14" outlineLevel="1"/>
    <col customWidth="1" hidden="1" min="172" max="172" width="47.29" outlineLevel="1"/>
    <col customWidth="1" hidden="1" min="173" max="175" width="14.43" outlineLevel="1"/>
    <col customWidth="1" hidden="1" min="176" max="176" width="8.14" outlineLevel="1"/>
    <col customWidth="1" hidden="1" min="177" max="177" width="45.43" outlineLevel="1"/>
    <col customWidth="1" hidden="1" min="178" max="180" width="14.43" outlineLevel="1"/>
    <col customWidth="1" hidden="1" min="181" max="181" width="8.14" outlineLevel="1"/>
    <col customWidth="1" hidden="1" min="182" max="182" width="45.43" outlineLevel="1"/>
    <col customWidth="1" hidden="1" min="183" max="185" width="14.43" outlineLevel="1"/>
    <col customWidth="1" hidden="1" min="186" max="186" width="8.14" outlineLevel="1"/>
    <col customWidth="1" hidden="1" min="187" max="187" width="45.43" outlineLevel="1"/>
    <col customWidth="1" hidden="1" min="188" max="189" width="14.43" outlineLevel="1"/>
    <col customWidth="1" min="190" max="190" width="6.14"/>
    <col customWidth="1" hidden="1" min="191" max="191" width="14.43" outlineLevel="1"/>
    <col customWidth="1" hidden="1" min="192" max="192" width="8.14" outlineLevel="1"/>
    <col customWidth="1" hidden="1" min="193" max="193" width="44.14" outlineLevel="1"/>
    <col customWidth="1" hidden="1" min="194" max="196" width="14.43" outlineLevel="1"/>
    <col customWidth="1" hidden="1" min="197" max="197" width="8.14" outlineLevel="1"/>
    <col customWidth="1" hidden="1" min="198" max="198" width="47.29" outlineLevel="1"/>
    <col customWidth="1" hidden="1" min="199" max="201" width="14.43" outlineLevel="1"/>
    <col customWidth="1" hidden="1" min="202" max="202" width="8.14" outlineLevel="1"/>
    <col customWidth="1" hidden="1" min="203" max="203" width="43.57" outlineLevel="1"/>
    <col customWidth="1" hidden="1" min="204" max="206" width="14.43" outlineLevel="1"/>
    <col customWidth="1" hidden="1" min="207" max="207" width="8.14" outlineLevel="1"/>
    <col customWidth="1" hidden="1" min="208" max="208" width="41.43" outlineLevel="1"/>
    <col customWidth="1" hidden="1" min="209" max="211" width="14.43" outlineLevel="1"/>
    <col customWidth="1" hidden="1" min="212" max="212" width="8.14" outlineLevel="1"/>
    <col customWidth="1" hidden="1" min="213" max="213" width="41.43" outlineLevel="1"/>
    <col customWidth="1" hidden="1" min="214" max="216" width="14.43" outlineLevel="1"/>
    <col customWidth="1" hidden="1" min="217" max="217" width="8.14" outlineLevel="1"/>
    <col customWidth="1" hidden="1" min="218" max="218" width="40.0" outlineLevel="1"/>
    <col customWidth="1" hidden="1" min="219" max="220" width="14.43" outlineLevel="1"/>
    <col customWidth="1" min="221" max="221" width="6.14"/>
    <col customWidth="1" min="222" max="222" width="14.43" outlineLevel="1"/>
    <col customWidth="1" min="223" max="223" width="8.14" outlineLevel="1"/>
    <col customWidth="1" min="224" max="224" width="41.43" outlineLevel="1"/>
    <col customWidth="1" min="225" max="227" width="14.43" outlineLevel="1"/>
    <col customWidth="1" min="228" max="228" width="8.14" outlineLevel="1"/>
    <col customWidth="1" min="229" max="229" width="40.0" outlineLevel="1"/>
    <col customWidth="1" min="230" max="232" width="14.43" outlineLevel="1"/>
    <col customWidth="1" min="233" max="233" width="8.14" outlineLevel="1"/>
    <col customWidth="1" min="234" max="234" width="40.0" outlineLevel="1"/>
    <col customWidth="1" min="235" max="237" width="14.43" outlineLevel="1"/>
    <col customWidth="1" min="238" max="238" width="8.14" outlineLevel="1"/>
    <col customWidth="1" min="239" max="239" width="40.0" outlineLevel="1"/>
    <col customWidth="1" min="240" max="242" width="14.43" outlineLevel="1"/>
    <col customWidth="1" min="243" max="243" width="8.14" outlineLevel="1"/>
    <col customWidth="1" min="244" max="244" width="40.0" outlineLevel="1"/>
    <col customWidth="1" min="245" max="247" width="14.43" outlineLevel="1"/>
    <col customWidth="1" min="248" max="248" width="8.14" outlineLevel="1"/>
    <col customWidth="1" min="249" max="249" width="40.0" outlineLevel="1"/>
    <col customWidth="1" min="250" max="251" width="14.43" outlineLevel="1"/>
    <col customWidth="1" min="252" max="252" width="6.14"/>
    <col customWidth="1" hidden="1" min="253" max="253" width="14.43" outlineLevel="1"/>
    <col customWidth="1" hidden="1" min="254" max="254" width="8.14" outlineLevel="1"/>
    <col customWidth="1" hidden="1" min="255" max="255" width="40.0" outlineLevel="1"/>
    <col customWidth="1" hidden="1" min="256" max="258" width="14.43" outlineLevel="1"/>
    <col customWidth="1" hidden="1" min="259" max="259" width="8.14" outlineLevel="1"/>
    <col customWidth="1" hidden="1" min="260" max="260" width="40.0" outlineLevel="1"/>
    <col customWidth="1" hidden="1" min="261" max="263" width="14.43" outlineLevel="1"/>
    <col customWidth="1" hidden="1" min="264" max="264" width="8.14" outlineLevel="1"/>
    <col customWidth="1" hidden="1" min="265" max="265" width="40.0" outlineLevel="1"/>
    <col customWidth="1" hidden="1" min="266" max="268" width="14.43" outlineLevel="1"/>
    <col customWidth="1" hidden="1" min="269" max="269" width="8.14" outlineLevel="1"/>
    <col customWidth="1" hidden="1" min="270" max="270" width="40.0" outlineLevel="1"/>
    <col customWidth="1" hidden="1" min="271" max="273" width="14.43" outlineLevel="1"/>
    <col customWidth="1" hidden="1" min="274" max="274" width="8.14" outlineLevel="1"/>
    <col customWidth="1" hidden="1" min="275" max="275" width="40.0" outlineLevel="1"/>
    <col customWidth="1" hidden="1" min="276" max="278" width="14.43" outlineLevel="1"/>
    <col customWidth="1" hidden="1" min="279" max="279" width="8.14" outlineLevel="1"/>
    <col customWidth="1" hidden="1" min="280" max="280" width="40.0" outlineLevel="1"/>
    <col customWidth="1" hidden="1" min="281" max="282" width="14.43" outlineLevel="1"/>
    <col customWidth="1" min="283" max="283" width="6.14"/>
    <col customWidth="1" hidden="1" min="284" max="284" width="14.43" outlineLevel="1"/>
    <col customWidth="1" hidden="1" min="285" max="285" width="8.14" outlineLevel="1"/>
    <col customWidth="1" hidden="1" min="286" max="286" width="40.43" outlineLevel="1"/>
    <col customWidth="1" hidden="1" min="287" max="289" width="14.43" outlineLevel="1"/>
    <col customWidth="1" hidden="1" min="290" max="290" width="8.14" outlineLevel="1"/>
    <col customWidth="1" hidden="1" min="291" max="291" width="42.57" outlineLevel="1"/>
    <col customWidth="1" hidden="1" min="292" max="294" width="14.43" outlineLevel="1"/>
    <col customWidth="1" hidden="1" min="295" max="295" width="8.14" outlineLevel="1"/>
    <col customWidth="1" hidden="1" min="296" max="296" width="42.57" outlineLevel="1"/>
    <col customWidth="1" hidden="1" min="297" max="299" width="14.43" outlineLevel="1"/>
    <col customWidth="1" hidden="1" min="300" max="300" width="8.14" outlineLevel="1"/>
    <col customWidth="1" hidden="1" min="301" max="301" width="42.57" outlineLevel="1"/>
    <col customWidth="1" hidden="1" min="302" max="304" width="14.43" outlineLevel="1"/>
    <col customWidth="1" hidden="1" min="305" max="305" width="8.14" outlineLevel="1"/>
    <col customWidth="1" hidden="1" min="306" max="306" width="42.57" outlineLevel="1"/>
    <col customWidth="1" hidden="1" min="307" max="309" width="14.43" outlineLevel="1"/>
    <col customWidth="1" hidden="1" min="310" max="310" width="8.14" outlineLevel="1"/>
    <col customWidth="1" hidden="1" min="311" max="311" width="40.0" outlineLevel="1"/>
    <col customWidth="1" hidden="1" min="312" max="313" width="14.43" outlineLevel="1"/>
    <col customWidth="1" min="314" max="314" width="6.14"/>
    <col customWidth="1" hidden="1" min="315" max="315" width="14.43" outlineLevel="1"/>
    <col customWidth="1" hidden="1" min="316" max="316" width="8.14" outlineLevel="1"/>
    <col customWidth="1" hidden="1" min="317" max="317" width="42.57" outlineLevel="1"/>
    <col customWidth="1" hidden="1" min="318" max="320" width="14.43" outlineLevel="1"/>
    <col customWidth="1" hidden="1" min="321" max="321" width="8.14" outlineLevel="1"/>
    <col customWidth="1" hidden="1" min="322" max="322" width="42.57" outlineLevel="1"/>
    <col customWidth="1" hidden="1" min="323" max="325" width="14.43" outlineLevel="1"/>
    <col customWidth="1" hidden="1" min="326" max="326" width="8.14" outlineLevel="1"/>
    <col customWidth="1" hidden="1" min="327" max="327" width="40.0" outlineLevel="1"/>
    <col customWidth="1" hidden="1" min="328" max="330" width="14.43" outlineLevel="1"/>
    <col customWidth="1" hidden="1" min="331" max="331" width="8.14" outlineLevel="1"/>
    <col customWidth="1" hidden="1" min="332" max="332" width="40.0" outlineLevel="1"/>
    <col customWidth="1" hidden="1" min="333" max="335" width="14.43" outlineLevel="1"/>
    <col customWidth="1" hidden="1" min="336" max="336" width="8.14" outlineLevel="1"/>
    <col customWidth="1" hidden="1" min="337" max="337" width="40.0" outlineLevel="1"/>
    <col customWidth="1" hidden="1" min="338" max="340" width="14.43" outlineLevel="1"/>
    <col customWidth="1" hidden="1" min="341" max="341" width="8.14" outlineLevel="1"/>
    <col customWidth="1" hidden="1" min="342" max="342" width="40.0" outlineLevel="1"/>
    <col customWidth="1" hidden="1" min="343" max="344" width="14.43" outlineLevel="1"/>
    <col customWidth="1" min="345" max="345" width="6.14"/>
    <col customWidth="1" hidden="1" min="346" max="346" width="14.43" outlineLevel="1"/>
    <col customWidth="1" hidden="1" min="347" max="347" width="8.14" outlineLevel="1"/>
    <col customWidth="1" hidden="1" min="348" max="348" width="40.0" outlineLevel="1"/>
    <col customWidth="1" hidden="1" min="349" max="351" width="14.43" outlineLevel="1"/>
    <col customWidth="1" hidden="1" min="352" max="352" width="8.14" outlineLevel="1"/>
    <col customWidth="1" hidden="1" min="353" max="353" width="40.0" outlineLevel="1"/>
    <col customWidth="1" hidden="1" min="354" max="356" width="14.43" outlineLevel="1"/>
    <col customWidth="1" hidden="1" min="357" max="357" width="8.14" outlineLevel="1"/>
    <col customWidth="1" hidden="1" min="358" max="358" width="40.0" outlineLevel="1"/>
    <col customWidth="1" hidden="1" min="359" max="361" width="14.43" outlineLevel="1"/>
    <col customWidth="1" hidden="1" min="362" max="362" width="8.14" outlineLevel="1"/>
    <col customWidth="1" hidden="1" min="363" max="363" width="40.0" outlineLevel="1"/>
    <col customWidth="1" hidden="1" min="364" max="366" width="14.43" outlineLevel="1"/>
    <col customWidth="1" hidden="1" min="367" max="367" width="8.14" outlineLevel="1"/>
    <col customWidth="1" hidden="1" min="368" max="368" width="40.0" outlineLevel="1"/>
    <col customWidth="1" hidden="1" min="369" max="371" width="14.43" outlineLevel="1"/>
    <col customWidth="1" hidden="1" min="372" max="372" width="8.14" outlineLevel="1"/>
    <col customWidth="1" hidden="1" min="373" max="373" width="40.0" outlineLevel="1"/>
    <col customWidth="1" hidden="1" min="374" max="375" width="14.43" outlineLevel="1"/>
    <col customWidth="1" min="376" max="376" width="6.14"/>
    <col customWidth="1" hidden="1" min="377" max="377" width="14.43" outlineLevel="1"/>
    <col customWidth="1" hidden="1" min="378" max="378" width="8.14" outlineLevel="1"/>
    <col customWidth="1" hidden="1" min="379" max="379" width="40.0" outlineLevel="1"/>
    <col customWidth="1" hidden="1" min="380" max="382" width="14.43" outlineLevel="1"/>
    <col customWidth="1" hidden="1" min="383" max="383" width="8.14" outlineLevel="1"/>
    <col customWidth="1" hidden="1" min="384" max="384" width="40.0" outlineLevel="1"/>
    <col customWidth="1" hidden="1" min="385" max="387" width="14.43" outlineLevel="1"/>
    <col customWidth="1" hidden="1" min="388" max="388" width="8.14" outlineLevel="1"/>
    <col customWidth="1" hidden="1" min="389" max="389" width="40.0" outlineLevel="1"/>
    <col customWidth="1" hidden="1" min="390" max="392" width="14.43" outlineLevel="1"/>
    <col customWidth="1" hidden="1" min="393" max="393" width="8.14" outlineLevel="1"/>
    <col customWidth="1" hidden="1" min="394" max="394" width="40.0" outlineLevel="1"/>
    <col customWidth="1" hidden="1" min="395" max="397" width="14.43" outlineLevel="1"/>
    <col customWidth="1" hidden="1" min="398" max="398" width="8.14" outlineLevel="1"/>
    <col customWidth="1" hidden="1" min="399" max="399" width="40.0" outlineLevel="1"/>
    <col customWidth="1" hidden="1" min="400" max="402" width="14.43" outlineLevel="1"/>
    <col customWidth="1" hidden="1" min="403" max="403" width="8.14" outlineLevel="1"/>
    <col customWidth="1" hidden="1" min="404" max="404" width="40.0" outlineLevel="1"/>
    <col customWidth="1" hidden="1" min="405" max="406" width="14.43" outlineLevel="1"/>
  </cols>
  <sheetData>
    <row r="1">
      <c r="A1" s="42"/>
      <c r="B1" s="42"/>
      <c r="C1" s="42"/>
      <c r="D1" s="58" t="s">
        <v>242</v>
      </c>
      <c r="AI1" s="58" t="s">
        <v>226</v>
      </c>
      <c r="BN1" s="58" t="s">
        <v>227</v>
      </c>
      <c r="CS1" s="58" t="s">
        <v>228</v>
      </c>
      <c r="DX1" s="58" t="s">
        <v>229</v>
      </c>
      <c r="FC1" s="58" t="s">
        <v>230</v>
      </c>
      <c r="GH1" s="58" t="s">
        <v>231</v>
      </c>
      <c r="HM1" s="58" t="s">
        <v>232</v>
      </c>
      <c r="IR1" s="58" t="s">
        <v>233</v>
      </c>
      <c r="JW1" s="58" t="s">
        <v>234</v>
      </c>
      <c r="LB1" s="58" t="s">
        <v>235</v>
      </c>
      <c r="MG1" s="58" t="s">
        <v>236</v>
      </c>
      <c r="NL1" s="58" t="s">
        <v>237</v>
      </c>
    </row>
    <row r="2">
      <c r="A2" s="42"/>
      <c r="B2" s="42"/>
      <c r="C2" s="42"/>
      <c r="E2" s="60">
        <v>45964.0</v>
      </c>
      <c r="F2" s="61"/>
      <c r="G2" s="61"/>
      <c r="H2" s="61"/>
      <c r="I2" s="62"/>
      <c r="J2" s="60">
        <f>E2+1</f>
        <v>45965</v>
      </c>
      <c r="K2" s="61"/>
      <c r="L2" s="61"/>
      <c r="M2" s="61"/>
      <c r="N2" s="62"/>
      <c r="O2" s="60">
        <f>J2+1</f>
        <v>45966</v>
      </c>
      <c r="P2" s="61"/>
      <c r="Q2" s="61"/>
      <c r="R2" s="61"/>
      <c r="S2" s="62"/>
      <c r="T2" s="60">
        <f>O2+1</f>
        <v>45967</v>
      </c>
      <c r="U2" s="61"/>
      <c r="V2" s="61"/>
      <c r="W2" s="61"/>
      <c r="X2" s="62"/>
      <c r="Y2" s="60">
        <f>T2+1</f>
        <v>45968</v>
      </c>
      <c r="Z2" s="61"/>
      <c r="AA2" s="61"/>
      <c r="AB2" s="61"/>
      <c r="AC2" s="62"/>
      <c r="AD2" s="60">
        <f>Y2+1</f>
        <v>45969</v>
      </c>
      <c r="AE2" s="61"/>
      <c r="AF2" s="61"/>
      <c r="AG2" s="61"/>
      <c r="AH2" s="62"/>
      <c r="AJ2" s="60">
        <v>45971.0</v>
      </c>
      <c r="AK2" s="61"/>
      <c r="AL2" s="61"/>
      <c r="AM2" s="61"/>
      <c r="AN2" s="62"/>
      <c r="AO2" s="60">
        <f>AJ2+1</f>
        <v>45972</v>
      </c>
      <c r="AP2" s="61"/>
      <c r="AQ2" s="61"/>
      <c r="AR2" s="61"/>
      <c r="AS2" s="62"/>
      <c r="AT2" s="60">
        <f>AO2+1</f>
        <v>45973</v>
      </c>
      <c r="AU2" s="61"/>
      <c r="AV2" s="61"/>
      <c r="AW2" s="61"/>
      <c r="AX2" s="62"/>
      <c r="AY2" s="60">
        <f>AT2+1</f>
        <v>45974</v>
      </c>
      <c r="AZ2" s="61"/>
      <c r="BA2" s="61"/>
      <c r="BB2" s="61"/>
      <c r="BC2" s="62"/>
      <c r="BD2" s="60">
        <f>AY2+1</f>
        <v>45975</v>
      </c>
      <c r="BE2" s="61"/>
      <c r="BF2" s="61"/>
      <c r="BG2" s="61"/>
      <c r="BH2" s="62"/>
      <c r="BI2" s="60">
        <f>BD2+1</f>
        <v>45976</v>
      </c>
      <c r="BJ2" s="61"/>
      <c r="BK2" s="61"/>
      <c r="BL2" s="61"/>
      <c r="BM2" s="62"/>
      <c r="BO2" s="60">
        <v>45978.0</v>
      </c>
      <c r="BP2" s="61"/>
      <c r="BQ2" s="61"/>
      <c r="BR2" s="61"/>
      <c r="BS2" s="62"/>
      <c r="BT2" s="60">
        <f>BO2+1</f>
        <v>45979</v>
      </c>
      <c r="BU2" s="61"/>
      <c r="BV2" s="61"/>
      <c r="BW2" s="61"/>
      <c r="BX2" s="62"/>
      <c r="BY2" s="60">
        <f>BT2+1</f>
        <v>45980</v>
      </c>
      <c r="BZ2" s="61"/>
      <c r="CA2" s="61"/>
      <c r="CB2" s="61"/>
      <c r="CC2" s="62"/>
      <c r="CD2" s="60">
        <f>BY2+1</f>
        <v>45981</v>
      </c>
      <c r="CE2" s="61"/>
      <c r="CF2" s="61"/>
      <c r="CG2" s="61"/>
      <c r="CH2" s="62"/>
      <c r="CI2" s="60">
        <f>CD2+1</f>
        <v>45982</v>
      </c>
      <c r="CJ2" s="61"/>
      <c r="CK2" s="61"/>
      <c r="CL2" s="61"/>
      <c r="CM2" s="62"/>
      <c r="CN2" s="60">
        <f>CI2+1</f>
        <v>45983</v>
      </c>
      <c r="CO2" s="61"/>
      <c r="CP2" s="61"/>
      <c r="CQ2" s="61"/>
      <c r="CR2" s="62"/>
      <c r="CT2" s="60">
        <v>45985.0</v>
      </c>
      <c r="CU2" s="61"/>
      <c r="CV2" s="61"/>
      <c r="CW2" s="61"/>
      <c r="CX2" s="62"/>
      <c r="CY2" s="60">
        <f>CT2+1</f>
        <v>45986</v>
      </c>
      <c r="CZ2" s="61"/>
      <c r="DA2" s="61"/>
      <c r="DB2" s="61"/>
      <c r="DC2" s="62"/>
      <c r="DD2" s="60">
        <f>CY2+1</f>
        <v>45987</v>
      </c>
      <c r="DE2" s="61"/>
      <c r="DF2" s="61"/>
      <c r="DG2" s="61"/>
      <c r="DH2" s="62"/>
      <c r="DI2" s="60">
        <f>DD2+1</f>
        <v>45988</v>
      </c>
      <c r="DJ2" s="61"/>
      <c r="DK2" s="61"/>
      <c r="DL2" s="61"/>
      <c r="DM2" s="62"/>
      <c r="DN2" s="60">
        <f>DI2+1</f>
        <v>45989</v>
      </c>
      <c r="DO2" s="61"/>
      <c r="DP2" s="61"/>
      <c r="DQ2" s="61"/>
      <c r="DR2" s="62"/>
      <c r="DS2" s="60">
        <f>DN2+1</f>
        <v>45990</v>
      </c>
      <c r="DT2" s="61"/>
      <c r="DU2" s="61"/>
      <c r="DV2" s="61"/>
      <c r="DW2" s="62"/>
      <c r="DY2" s="60">
        <v>45992.0</v>
      </c>
      <c r="DZ2" s="61"/>
      <c r="EA2" s="61"/>
      <c r="EB2" s="61"/>
      <c r="EC2" s="62"/>
      <c r="ED2" s="60">
        <f>DY2+1</f>
        <v>45993</v>
      </c>
      <c r="EE2" s="61"/>
      <c r="EF2" s="61"/>
      <c r="EG2" s="61"/>
      <c r="EH2" s="62"/>
      <c r="EI2" s="60">
        <f>ED2+1</f>
        <v>45994</v>
      </c>
      <c r="EJ2" s="61"/>
      <c r="EK2" s="61"/>
      <c r="EL2" s="61"/>
      <c r="EM2" s="62"/>
      <c r="EN2" s="60">
        <f>EI2+1</f>
        <v>45995</v>
      </c>
      <c r="EO2" s="61"/>
      <c r="EP2" s="61"/>
      <c r="EQ2" s="61"/>
      <c r="ER2" s="62"/>
      <c r="ES2" s="60">
        <f>EN2+1</f>
        <v>45996</v>
      </c>
      <c r="ET2" s="61"/>
      <c r="EU2" s="61"/>
      <c r="EV2" s="61"/>
      <c r="EW2" s="62"/>
      <c r="EX2" s="60">
        <f>ES2+1</f>
        <v>45997</v>
      </c>
      <c r="EY2" s="61"/>
      <c r="EZ2" s="61"/>
      <c r="FA2" s="61"/>
      <c r="FB2" s="62"/>
      <c r="FD2" s="60">
        <v>45999.0</v>
      </c>
      <c r="FE2" s="61"/>
      <c r="FF2" s="61"/>
      <c r="FG2" s="61"/>
      <c r="FH2" s="62"/>
      <c r="FI2" s="60">
        <f>FD2+1</f>
        <v>46000</v>
      </c>
      <c r="FJ2" s="61"/>
      <c r="FK2" s="61"/>
      <c r="FL2" s="61"/>
      <c r="FM2" s="62"/>
      <c r="FN2" s="60">
        <f>FI2+1</f>
        <v>46001</v>
      </c>
      <c r="FO2" s="61"/>
      <c r="FP2" s="61"/>
      <c r="FQ2" s="61"/>
      <c r="FR2" s="62"/>
      <c r="FS2" s="60">
        <f>FN2+1</f>
        <v>46002</v>
      </c>
      <c r="FT2" s="61"/>
      <c r="FU2" s="61"/>
      <c r="FV2" s="61"/>
      <c r="FW2" s="62"/>
      <c r="FX2" s="60">
        <f>FS2+1</f>
        <v>46003</v>
      </c>
      <c r="FY2" s="61"/>
      <c r="FZ2" s="61"/>
      <c r="GA2" s="61"/>
      <c r="GB2" s="62"/>
      <c r="GC2" s="60">
        <f>FX2+1</f>
        <v>46004</v>
      </c>
      <c r="GD2" s="61"/>
      <c r="GE2" s="61"/>
      <c r="GF2" s="61"/>
      <c r="GG2" s="62"/>
      <c r="GI2" s="60">
        <v>46006.0</v>
      </c>
      <c r="GJ2" s="61"/>
      <c r="GK2" s="61"/>
      <c r="GL2" s="61"/>
      <c r="GM2" s="62"/>
      <c r="GN2" s="60">
        <f>GI2+1</f>
        <v>46007</v>
      </c>
      <c r="GO2" s="61"/>
      <c r="GP2" s="61"/>
      <c r="GQ2" s="61"/>
      <c r="GR2" s="62"/>
      <c r="GS2" s="60">
        <f>GN2+1</f>
        <v>46008</v>
      </c>
      <c r="GT2" s="61"/>
      <c r="GU2" s="61"/>
      <c r="GV2" s="61"/>
      <c r="GW2" s="62"/>
      <c r="GX2" s="60">
        <f>GS2+1</f>
        <v>46009</v>
      </c>
      <c r="GY2" s="61"/>
      <c r="GZ2" s="61"/>
      <c r="HA2" s="61"/>
      <c r="HB2" s="62"/>
      <c r="HC2" s="60">
        <f>GX2+1</f>
        <v>46010</v>
      </c>
      <c r="HD2" s="61"/>
      <c r="HE2" s="61"/>
      <c r="HF2" s="61"/>
      <c r="HG2" s="62"/>
      <c r="HH2" s="60">
        <f>HC2+1</f>
        <v>46011</v>
      </c>
      <c r="HI2" s="61"/>
      <c r="HJ2" s="61"/>
      <c r="HK2" s="61"/>
      <c r="HL2" s="62"/>
      <c r="HN2" s="60">
        <v>46013.0</v>
      </c>
      <c r="HO2" s="61"/>
      <c r="HP2" s="61"/>
      <c r="HQ2" s="61"/>
      <c r="HR2" s="62"/>
      <c r="HS2" s="60">
        <f>HN2+1</f>
        <v>46014</v>
      </c>
      <c r="HT2" s="61"/>
      <c r="HU2" s="61"/>
      <c r="HV2" s="61"/>
      <c r="HW2" s="62"/>
      <c r="HX2" s="60">
        <f>HS2+1</f>
        <v>46015</v>
      </c>
      <c r="HY2" s="61"/>
      <c r="HZ2" s="61"/>
      <c r="IA2" s="61"/>
      <c r="IB2" s="62"/>
      <c r="IC2" s="60">
        <f>HX2+1</f>
        <v>46016</v>
      </c>
      <c r="ID2" s="61"/>
      <c r="IE2" s="61"/>
      <c r="IF2" s="61"/>
      <c r="IG2" s="62"/>
      <c r="IH2" s="60">
        <f>IC2+1</f>
        <v>46017</v>
      </c>
      <c r="II2" s="61"/>
      <c r="IJ2" s="61"/>
      <c r="IK2" s="61"/>
      <c r="IL2" s="62"/>
      <c r="IM2" s="60">
        <f>IH2+1</f>
        <v>46018</v>
      </c>
      <c r="IN2" s="61"/>
      <c r="IO2" s="61"/>
      <c r="IP2" s="61"/>
      <c r="IQ2" s="62"/>
      <c r="IS2" s="60">
        <v>46020.0</v>
      </c>
      <c r="IT2" s="61"/>
      <c r="IU2" s="61"/>
      <c r="IV2" s="61"/>
      <c r="IW2" s="62"/>
      <c r="IX2" s="60">
        <f>IS2+1</f>
        <v>46021</v>
      </c>
      <c r="IY2" s="61"/>
      <c r="IZ2" s="61"/>
      <c r="JA2" s="61"/>
      <c r="JB2" s="62"/>
      <c r="JC2" s="60">
        <f>IX2+1</f>
        <v>46022</v>
      </c>
      <c r="JD2" s="61"/>
      <c r="JE2" s="61"/>
      <c r="JF2" s="61"/>
      <c r="JG2" s="62"/>
      <c r="JH2" s="60">
        <f>JC2+1</f>
        <v>46023</v>
      </c>
      <c r="JI2" s="61"/>
      <c r="JJ2" s="61"/>
      <c r="JK2" s="61"/>
      <c r="JL2" s="62"/>
      <c r="JM2" s="60">
        <f>JH2+1</f>
        <v>46024</v>
      </c>
      <c r="JN2" s="61"/>
      <c r="JO2" s="61"/>
      <c r="JP2" s="61"/>
      <c r="JQ2" s="62"/>
      <c r="JR2" s="60">
        <f>JM2+1</f>
        <v>46025</v>
      </c>
      <c r="JS2" s="61"/>
      <c r="JT2" s="61"/>
      <c r="JU2" s="61"/>
      <c r="JV2" s="62"/>
      <c r="JX2" s="60">
        <v>46027.0</v>
      </c>
      <c r="JY2" s="61"/>
      <c r="JZ2" s="61"/>
      <c r="KA2" s="61"/>
      <c r="KB2" s="62"/>
      <c r="KC2" s="60">
        <f>JX2+1</f>
        <v>46028</v>
      </c>
      <c r="KD2" s="61"/>
      <c r="KE2" s="61"/>
      <c r="KF2" s="61"/>
      <c r="KG2" s="62"/>
      <c r="KH2" s="60">
        <f>KC2+1</f>
        <v>46029</v>
      </c>
      <c r="KI2" s="61"/>
      <c r="KJ2" s="61"/>
      <c r="KK2" s="61"/>
      <c r="KL2" s="62"/>
      <c r="KM2" s="60">
        <f>KH2+1</f>
        <v>46030</v>
      </c>
      <c r="KN2" s="61"/>
      <c r="KO2" s="61"/>
      <c r="KP2" s="61"/>
      <c r="KQ2" s="62"/>
      <c r="KR2" s="60">
        <f>KM2+1</f>
        <v>46031</v>
      </c>
      <c r="KS2" s="61"/>
      <c r="KT2" s="61"/>
      <c r="KU2" s="61"/>
      <c r="KV2" s="62"/>
      <c r="KW2" s="60">
        <f>KR2+1</f>
        <v>46032</v>
      </c>
      <c r="KX2" s="61"/>
      <c r="KY2" s="61"/>
      <c r="KZ2" s="61"/>
      <c r="LA2" s="62"/>
      <c r="LC2" s="60">
        <v>46034.0</v>
      </c>
      <c r="LD2" s="61"/>
      <c r="LE2" s="61"/>
      <c r="LF2" s="61"/>
      <c r="LG2" s="62"/>
      <c r="LH2" s="60">
        <f>LC2+1</f>
        <v>46035</v>
      </c>
      <c r="LI2" s="61"/>
      <c r="LJ2" s="61"/>
      <c r="LK2" s="61"/>
      <c r="LL2" s="62"/>
      <c r="LM2" s="60">
        <f>LH2+1</f>
        <v>46036</v>
      </c>
      <c r="LN2" s="61"/>
      <c r="LO2" s="61"/>
      <c r="LP2" s="61"/>
      <c r="LQ2" s="62"/>
      <c r="LR2" s="60">
        <f>LM2+1</f>
        <v>46037</v>
      </c>
      <c r="LS2" s="61"/>
      <c r="LT2" s="61"/>
      <c r="LU2" s="61"/>
      <c r="LV2" s="62"/>
      <c r="LW2" s="60">
        <f>LR2+1</f>
        <v>46038</v>
      </c>
      <c r="LX2" s="61"/>
      <c r="LY2" s="61"/>
      <c r="LZ2" s="61"/>
      <c r="MA2" s="62"/>
      <c r="MB2" s="60">
        <f>LW2+1</f>
        <v>46039</v>
      </c>
      <c r="MC2" s="61"/>
      <c r="MD2" s="61"/>
      <c r="ME2" s="61"/>
      <c r="MF2" s="62"/>
      <c r="MH2" s="60">
        <v>46041.0</v>
      </c>
      <c r="MI2" s="61"/>
      <c r="MJ2" s="61"/>
      <c r="MK2" s="61"/>
      <c r="ML2" s="62"/>
      <c r="MM2" s="60">
        <f>MH2+1</f>
        <v>46042</v>
      </c>
      <c r="MN2" s="61"/>
      <c r="MO2" s="61"/>
      <c r="MP2" s="61"/>
      <c r="MQ2" s="62"/>
      <c r="MR2" s="60">
        <f>MM2+1</f>
        <v>46043</v>
      </c>
      <c r="MS2" s="61"/>
      <c r="MT2" s="61"/>
      <c r="MU2" s="61"/>
      <c r="MV2" s="62"/>
      <c r="MW2" s="60">
        <f>MR2+1</f>
        <v>46044</v>
      </c>
      <c r="MX2" s="61"/>
      <c r="MY2" s="61"/>
      <c r="MZ2" s="61"/>
      <c r="NA2" s="62"/>
      <c r="NB2" s="60">
        <f>MW2+1</f>
        <v>46045</v>
      </c>
      <c r="NC2" s="61"/>
      <c r="ND2" s="61"/>
      <c r="NE2" s="61"/>
      <c r="NF2" s="62"/>
      <c r="NG2" s="60">
        <f>NB2+1</f>
        <v>46046</v>
      </c>
      <c r="NH2" s="61"/>
      <c r="NI2" s="61"/>
      <c r="NJ2" s="61"/>
      <c r="NK2" s="62"/>
      <c r="NM2" s="60">
        <v>46048.0</v>
      </c>
      <c r="NN2" s="61"/>
      <c r="NO2" s="61"/>
      <c r="NP2" s="61"/>
      <c r="NQ2" s="62"/>
      <c r="NR2" s="60">
        <f>NM2+1</f>
        <v>46049</v>
      </c>
      <c r="NS2" s="61"/>
      <c r="NT2" s="61"/>
      <c r="NU2" s="61"/>
      <c r="NV2" s="62"/>
      <c r="NW2" s="60">
        <f>NR2+1</f>
        <v>46050</v>
      </c>
      <c r="NX2" s="61"/>
      <c r="NY2" s="61"/>
      <c r="NZ2" s="61"/>
      <c r="OA2" s="62"/>
      <c r="OB2" s="60">
        <f>NW2+1</f>
        <v>46051</v>
      </c>
      <c r="OC2" s="61"/>
      <c r="OD2" s="61"/>
      <c r="OE2" s="61"/>
      <c r="OF2" s="62"/>
      <c r="OG2" s="60">
        <f>OB2+1</f>
        <v>46052</v>
      </c>
      <c r="OH2" s="61"/>
      <c r="OI2" s="61"/>
      <c r="OJ2" s="61"/>
      <c r="OK2" s="62"/>
      <c r="OL2" s="60">
        <f>OG2+1</f>
        <v>46053</v>
      </c>
      <c r="OM2" s="61"/>
      <c r="ON2" s="61"/>
      <c r="OO2" s="61"/>
      <c r="OP2" s="62"/>
      <c r="OQ2" s="63"/>
      <c r="OR2" s="63"/>
      <c r="OS2" s="63"/>
      <c r="OT2" s="63"/>
      <c r="OU2" s="63"/>
      <c r="OV2" s="63"/>
      <c r="OW2" s="63"/>
      <c r="OX2" s="63"/>
      <c r="OY2" s="63"/>
      <c r="OZ2" s="63"/>
      <c r="PA2" s="63"/>
      <c r="PB2" s="63"/>
      <c r="PC2" s="63"/>
      <c r="PD2" s="63"/>
      <c r="PE2" s="63"/>
      <c r="PF2" s="63"/>
      <c r="PG2" s="63"/>
      <c r="PH2" s="63"/>
      <c r="PI2" s="63"/>
      <c r="PJ2" s="63"/>
    </row>
    <row r="3">
      <c r="A3" s="42"/>
      <c r="B3" s="64" t="s">
        <v>243</v>
      </c>
      <c r="C3" s="62"/>
      <c r="E3" s="64" t="s">
        <v>239</v>
      </c>
      <c r="F3" s="65" t="s">
        <v>188</v>
      </c>
      <c r="G3" s="65" t="s">
        <v>4</v>
      </c>
      <c r="H3" s="66" t="s">
        <v>244</v>
      </c>
      <c r="I3" s="66" t="s">
        <v>245</v>
      </c>
      <c r="J3" s="64" t="s">
        <v>239</v>
      </c>
      <c r="K3" s="65" t="s">
        <v>188</v>
      </c>
      <c r="L3" s="65" t="s">
        <v>4</v>
      </c>
      <c r="M3" s="66" t="s">
        <v>244</v>
      </c>
      <c r="N3" s="66" t="s">
        <v>245</v>
      </c>
      <c r="O3" s="64" t="s">
        <v>239</v>
      </c>
      <c r="P3" s="65" t="s">
        <v>188</v>
      </c>
      <c r="Q3" s="65" t="s">
        <v>4</v>
      </c>
      <c r="R3" s="66" t="s">
        <v>244</v>
      </c>
      <c r="S3" s="66" t="s">
        <v>245</v>
      </c>
      <c r="T3" s="64" t="s">
        <v>239</v>
      </c>
      <c r="U3" s="65" t="s">
        <v>188</v>
      </c>
      <c r="V3" s="65" t="s">
        <v>4</v>
      </c>
      <c r="W3" s="66" t="s">
        <v>244</v>
      </c>
      <c r="X3" s="66" t="s">
        <v>245</v>
      </c>
      <c r="Y3" s="64" t="s">
        <v>239</v>
      </c>
      <c r="Z3" s="65" t="s">
        <v>188</v>
      </c>
      <c r="AA3" s="65" t="s">
        <v>4</v>
      </c>
      <c r="AB3" s="66" t="s">
        <v>244</v>
      </c>
      <c r="AC3" s="66" t="s">
        <v>245</v>
      </c>
      <c r="AD3" s="64" t="s">
        <v>239</v>
      </c>
      <c r="AE3" s="65" t="s">
        <v>188</v>
      </c>
      <c r="AF3" s="65" t="s">
        <v>4</v>
      </c>
      <c r="AG3" s="66" t="s">
        <v>244</v>
      </c>
      <c r="AH3" s="66" t="s">
        <v>245</v>
      </c>
      <c r="AJ3" s="64" t="s">
        <v>239</v>
      </c>
      <c r="AK3" s="65" t="s">
        <v>188</v>
      </c>
      <c r="AL3" s="65" t="s">
        <v>4</v>
      </c>
      <c r="AM3" s="66" t="s">
        <v>244</v>
      </c>
      <c r="AN3" s="66" t="s">
        <v>245</v>
      </c>
      <c r="AO3" s="64" t="s">
        <v>239</v>
      </c>
      <c r="AP3" s="65" t="s">
        <v>188</v>
      </c>
      <c r="AQ3" s="65" t="s">
        <v>4</v>
      </c>
      <c r="AR3" s="66" t="s">
        <v>244</v>
      </c>
      <c r="AS3" s="66" t="s">
        <v>245</v>
      </c>
      <c r="AT3" s="64" t="s">
        <v>239</v>
      </c>
      <c r="AU3" s="65" t="s">
        <v>188</v>
      </c>
      <c r="AV3" s="65" t="s">
        <v>4</v>
      </c>
      <c r="AW3" s="66" t="s">
        <v>244</v>
      </c>
      <c r="AX3" s="66" t="s">
        <v>245</v>
      </c>
      <c r="AY3" s="64" t="s">
        <v>239</v>
      </c>
      <c r="AZ3" s="65" t="s">
        <v>188</v>
      </c>
      <c r="BA3" s="65" t="s">
        <v>4</v>
      </c>
      <c r="BB3" s="66" t="s">
        <v>244</v>
      </c>
      <c r="BC3" s="66" t="s">
        <v>245</v>
      </c>
      <c r="BD3" s="64" t="s">
        <v>239</v>
      </c>
      <c r="BE3" s="65" t="s">
        <v>188</v>
      </c>
      <c r="BF3" s="65" t="s">
        <v>4</v>
      </c>
      <c r="BG3" s="66" t="s">
        <v>244</v>
      </c>
      <c r="BH3" s="66" t="s">
        <v>245</v>
      </c>
      <c r="BI3" s="64" t="s">
        <v>239</v>
      </c>
      <c r="BJ3" s="65" t="s">
        <v>188</v>
      </c>
      <c r="BK3" s="65" t="s">
        <v>4</v>
      </c>
      <c r="BL3" s="66" t="s">
        <v>244</v>
      </c>
      <c r="BM3" s="66" t="s">
        <v>245</v>
      </c>
      <c r="BO3" s="64" t="s">
        <v>239</v>
      </c>
      <c r="BP3" s="65" t="s">
        <v>188</v>
      </c>
      <c r="BQ3" s="65" t="s">
        <v>4</v>
      </c>
      <c r="BR3" s="66" t="s">
        <v>244</v>
      </c>
      <c r="BS3" s="66" t="s">
        <v>245</v>
      </c>
      <c r="BT3" s="64" t="s">
        <v>239</v>
      </c>
      <c r="BU3" s="65" t="s">
        <v>188</v>
      </c>
      <c r="BV3" s="65" t="s">
        <v>4</v>
      </c>
      <c r="BW3" s="66" t="s">
        <v>244</v>
      </c>
      <c r="BX3" s="66" t="s">
        <v>245</v>
      </c>
      <c r="BY3" s="64" t="s">
        <v>239</v>
      </c>
      <c r="BZ3" s="65" t="s">
        <v>188</v>
      </c>
      <c r="CA3" s="65" t="s">
        <v>4</v>
      </c>
      <c r="CB3" s="66" t="s">
        <v>244</v>
      </c>
      <c r="CC3" s="66" t="s">
        <v>245</v>
      </c>
      <c r="CD3" s="64" t="s">
        <v>239</v>
      </c>
      <c r="CE3" s="65" t="s">
        <v>188</v>
      </c>
      <c r="CF3" s="65" t="s">
        <v>4</v>
      </c>
      <c r="CG3" s="66" t="s">
        <v>244</v>
      </c>
      <c r="CH3" s="66" t="s">
        <v>245</v>
      </c>
      <c r="CI3" s="64" t="s">
        <v>239</v>
      </c>
      <c r="CJ3" s="65" t="s">
        <v>188</v>
      </c>
      <c r="CK3" s="65" t="s">
        <v>4</v>
      </c>
      <c r="CL3" s="66" t="s">
        <v>244</v>
      </c>
      <c r="CM3" s="66" t="s">
        <v>245</v>
      </c>
      <c r="CN3" s="64" t="s">
        <v>239</v>
      </c>
      <c r="CO3" s="65" t="s">
        <v>188</v>
      </c>
      <c r="CP3" s="65" t="s">
        <v>4</v>
      </c>
      <c r="CQ3" s="66" t="s">
        <v>244</v>
      </c>
      <c r="CR3" s="66" t="s">
        <v>245</v>
      </c>
      <c r="CT3" s="64" t="s">
        <v>239</v>
      </c>
      <c r="CU3" s="65" t="s">
        <v>188</v>
      </c>
      <c r="CV3" s="65" t="s">
        <v>4</v>
      </c>
      <c r="CW3" s="66" t="s">
        <v>244</v>
      </c>
      <c r="CX3" s="66" t="s">
        <v>245</v>
      </c>
      <c r="CY3" s="64" t="s">
        <v>239</v>
      </c>
      <c r="CZ3" s="65" t="s">
        <v>188</v>
      </c>
      <c r="DA3" s="65" t="s">
        <v>4</v>
      </c>
      <c r="DB3" s="66" t="s">
        <v>244</v>
      </c>
      <c r="DC3" s="66" t="s">
        <v>245</v>
      </c>
      <c r="DD3" s="64" t="s">
        <v>239</v>
      </c>
      <c r="DE3" s="65" t="s">
        <v>188</v>
      </c>
      <c r="DF3" s="65" t="s">
        <v>4</v>
      </c>
      <c r="DG3" s="66" t="s">
        <v>244</v>
      </c>
      <c r="DH3" s="66" t="s">
        <v>245</v>
      </c>
      <c r="DI3" s="64" t="s">
        <v>239</v>
      </c>
      <c r="DJ3" s="65" t="s">
        <v>188</v>
      </c>
      <c r="DK3" s="65" t="s">
        <v>4</v>
      </c>
      <c r="DL3" s="66" t="s">
        <v>244</v>
      </c>
      <c r="DM3" s="66" t="s">
        <v>245</v>
      </c>
      <c r="DN3" s="64" t="s">
        <v>239</v>
      </c>
      <c r="DO3" s="65" t="s">
        <v>188</v>
      </c>
      <c r="DP3" s="65" t="s">
        <v>4</v>
      </c>
      <c r="DQ3" s="66" t="s">
        <v>244</v>
      </c>
      <c r="DR3" s="66" t="s">
        <v>245</v>
      </c>
      <c r="DS3" s="64" t="s">
        <v>239</v>
      </c>
      <c r="DT3" s="65" t="s">
        <v>188</v>
      </c>
      <c r="DU3" s="65" t="s">
        <v>4</v>
      </c>
      <c r="DV3" s="66" t="s">
        <v>244</v>
      </c>
      <c r="DW3" s="66" t="s">
        <v>245</v>
      </c>
      <c r="DY3" s="64" t="s">
        <v>239</v>
      </c>
      <c r="DZ3" s="65" t="s">
        <v>188</v>
      </c>
      <c r="EA3" s="65" t="s">
        <v>4</v>
      </c>
      <c r="EB3" s="66" t="s">
        <v>244</v>
      </c>
      <c r="EC3" s="66" t="s">
        <v>245</v>
      </c>
      <c r="ED3" s="64" t="s">
        <v>239</v>
      </c>
      <c r="EE3" s="65" t="s">
        <v>188</v>
      </c>
      <c r="EF3" s="65" t="s">
        <v>4</v>
      </c>
      <c r="EG3" s="66" t="s">
        <v>244</v>
      </c>
      <c r="EH3" s="66" t="s">
        <v>245</v>
      </c>
      <c r="EI3" s="64" t="s">
        <v>239</v>
      </c>
      <c r="EJ3" s="65" t="s">
        <v>188</v>
      </c>
      <c r="EK3" s="65" t="s">
        <v>4</v>
      </c>
      <c r="EL3" s="66" t="s">
        <v>244</v>
      </c>
      <c r="EM3" s="66" t="s">
        <v>245</v>
      </c>
      <c r="EN3" s="64" t="s">
        <v>239</v>
      </c>
      <c r="EO3" s="65" t="s">
        <v>188</v>
      </c>
      <c r="EP3" s="65" t="s">
        <v>4</v>
      </c>
      <c r="EQ3" s="66" t="s">
        <v>244</v>
      </c>
      <c r="ER3" s="66" t="s">
        <v>245</v>
      </c>
      <c r="ES3" s="64" t="s">
        <v>239</v>
      </c>
      <c r="ET3" s="65" t="s">
        <v>188</v>
      </c>
      <c r="EU3" s="65" t="s">
        <v>4</v>
      </c>
      <c r="EV3" s="66" t="s">
        <v>244</v>
      </c>
      <c r="EW3" s="66" t="s">
        <v>245</v>
      </c>
      <c r="EX3" s="64" t="s">
        <v>239</v>
      </c>
      <c r="EY3" s="65" t="s">
        <v>188</v>
      </c>
      <c r="EZ3" s="65" t="s">
        <v>4</v>
      </c>
      <c r="FA3" s="66" t="s">
        <v>244</v>
      </c>
      <c r="FB3" s="66" t="s">
        <v>245</v>
      </c>
      <c r="FD3" s="64" t="s">
        <v>239</v>
      </c>
      <c r="FE3" s="65" t="s">
        <v>188</v>
      </c>
      <c r="FF3" s="65" t="s">
        <v>4</v>
      </c>
      <c r="FG3" s="66" t="s">
        <v>244</v>
      </c>
      <c r="FH3" s="66" t="s">
        <v>245</v>
      </c>
      <c r="FI3" s="64" t="s">
        <v>239</v>
      </c>
      <c r="FJ3" s="65" t="s">
        <v>188</v>
      </c>
      <c r="FK3" s="65" t="s">
        <v>4</v>
      </c>
      <c r="FL3" s="66" t="s">
        <v>244</v>
      </c>
      <c r="FM3" s="66" t="s">
        <v>245</v>
      </c>
      <c r="FN3" s="64" t="s">
        <v>239</v>
      </c>
      <c r="FO3" s="65" t="s">
        <v>188</v>
      </c>
      <c r="FP3" s="65" t="s">
        <v>4</v>
      </c>
      <c r="FQ3" s="66" t="s">
        <v>244</v>
      </c>
      <c r="FR3" s="66" t="s">
        <v>245</v>
      </c>
      <c r="FS3" s="64" t="s">
        <v>239</v>
      </c>
      <c r="FT3" s="65" t="s">
        <v>188</v>
      </c>
      <c r="FU3" s="65" t="s">
        <v>4</v>
      </c>
      <c r="FV3" s="66" t="s">
        <v>244</v>
      </c>
      <c r="FW3" s="66" t="s">
        <v>245</v>
      </c>
      <c r="FX3" s="64" t="s">
        <v>239</v>
      </c>
      <c r="FY3" s="65" t="s">
        <v>188</v>
      </c>
      <c r="FZ3" s="65" t="s">
        <v>4</v>
      </c>
      <c r="GA3" s="66" t="s">
        <v>244</v>
      </c>
      <c r="GB3" s="66" t="s">
        <v>245</v>
      </c>
      <c r="GC3" s="64" t="s">
        <v>239</v>
      </c>
      <c r="GD3" s="65" t="s">
        <v>188</v>
      </c>
      <c r="GE3" s="65" t="s">
        <v>4</v>
      </c>
      <c r="GF3" s="66" t="s">
        <v>244</v>
      </c>
      <c r="GG3" s="66" t="s">
        <v>245</v>
      </c>
      <c r="GI3" s="64" t="s">
        <v>239</v>
      </c>
      <c r="GJ3" s="65" t="s">
        <v>188</v>
      </c>
      <c r="GK3" s="65" t="s">
        <v>4</v>
      </c>
      <c r="GL3" s="66" t="s">
        <v>244</v>
      </c>
      <c r="GM3" s="66" t="s">
        <v>245</v>
      </c>
      <c r="GN3" s="64" t="s">
        <v>239</v>
      </c>
      <c r="GO3" s="65" t="s">
        <v>188</v>
      </c>
      <c r="GP3" s="65" t="s">
        <v>4</v>
      </c>
      <c r="GQ3" s="66" t="s">
        <v>244</v>
      </c>
      <c r="GR3" s="66" t="s">
        <v>245</v>
      </c>
      <c r="GS3" s="64" t="s">
        <v>239</v>
      </c>
      <c r="GT3" s="65" t="s">
        <v>188</v>
      </c>
      <c r="GU3" s="65" t="s">
        <v>4</v>
      </c>
      <c r="GV3" s="66" t="s">
        <v>244</v>
      </c>
      <c r="GW3" s="66" t="s">
        <v>245</v>
      </c>
      <c r="GX3" s="64" t="s">
        <v>239</v>
      </c>
      <c r="GY3" s="65" t="s">
        <v>188</v>
      </c>
      <c r="GZ3" s="65" t="s">
        <v>4</v>
      </c>
      <c r="HA3" s="66" t="s">
        <v>244</v>
      </c>
      <c r="HB3" s="66" t="s">
        <v>245</v>
      </c>
      <c r="HC3" s="64" t="s">
        <v>239</v>
      </c>
      <c r="HD3" s="65" t="s">
        <v>188</v>
      </c>
      <c r="HE3" s="65" t="s">
        <v>4</v>
      </c>
      <c r="HF3" s="66" t="s">
        <v>244</v>
      </c>
      <c r="HG3" s="66" t="s">
        <v>245</v>
      </c>
      <c r="HH3" s="64" t="s">
        <v>239</v>
      </c>
      <c r="HI3" s="65" t="s">
        <v>188</v>
      </c>
      <c r="HJ3" s="65" t="s">
        <v>4</v>
      </c>
      <c r="HK3" s="66" t="s">
        <v>244</v>
      </c>
      <c r="HL3" s="66" t="s">
        <v>245</v>
      </c>
      <c r="HN3" s="64" t="s">
        <v>239</v>
      </c>
      <c r="HO3" s="65" t="s">
        <v>188</v>
      </c>
      <c r="HP3" s="65" t="s">
        <v>4</v>
      </c>
      <c r="HQ3" s="66" t="s">
        <v>244</v>
      </c>
      <c r="HR3" s="66" t="s">
        <v>245</v>
      </c>
      <c r="HS3" s="64" t="s">
        <v>239</v>
      </c>
      <c r="HT3" s="65" t="s">
        <v>188</v>
      </c>
      <c r="HU3" s="65" t="s">
        <v>4</v>
      </c>
      <c r="HV3" s="66" t="s">
        <v>244</v>
      </c>
      <c r="HW3" s="66" t="s">
        <v>245</v>
      </c>
      <c r="HX3" s="64" t="s">
        <v>239</v>
      </c>
      <c r="HY3" s="65" t="s">
        <v>188</v>
      </c>
      <c r="HZ3" s="65" t="s">
        <v>4</v>
      </c>
      <c r="IA3" s="66" t="s">
        <v>244</v>
      </c>
      <c r="IB3" s="66" t="s">
        <v>245</v>
      </c>
      <c r="IC3" s="64" t="s">
        <v>239</v>
      </c>
      <c r="ID3" s="65" t="s">
        <v>188</v>
      </c>
      <c r="IE3" s="65" t="s">
        <v>4</v>
      </c>
      <c r="IF3" s="66" t="s">
        <v>244</v>
      </c>
      <c r="IG3" s="66" t="s">
        <v>245</v>
      </c>
      <c r="IH3" s="64" t="s">
        <v>239</v>
      </c>
      <c r="II3" s="65" t="s">
        <v>188</v>
      </c>
      <c r="IJ3" s="65" t="s">
        <v>4</v>
      </c>
      <c r="IK3" s="66" t="s">
        <v>244</v>
      </c>
      <c r="IL3" s="66" t="s">
        <v>245</v>
      </c>
      <c r="IM3" s="64" t="s">
        <v>239</v>
      </c>
      <c r="IN3" s="65" t="s">
        <v>188</v>
      </c>
      <c r="IO3" s="65" t="s">
        <v>4</v>
      </c>
      <c r="IP3" s="66" t="s">
        <v>244</v>
      </c>
      <c r="IQ3" s="66" t="s">
        <v>245</v>
      </c>
      <c r="IS3" s="64" t="s">
        <v>239</v>
      </c>
      <c r="IT3" s="65" t="s">
        <v>188</v>
      </c>
      <c r="IU3" s="65" t="s">
        <v>4</v>
      </c>
      <c r="IV3" s="66" t="s">
        <v>244</v>
      </c>
      <c r="IW3" s="66" t="s">
        <v>245</v>
      </c>
      <c r="IX3" s="64" t="s">
        <v>239</v>
      </c>
      <c r="IY3" s="65" t="s">
        <v>188</v>
      </c>
      <c r="IZ3" s="65" t="s">
        <v>4</v>
      </c>
      <c r="JA3" s="66" t="s">
        <v>244</v>
      </c>
      <c r="JB3" s="66" t="s">
        <v>245</v>
      </c>
      <c r="JC3" s="64" t="s">
        <v>239</v>
      </c>
      <c r="JD3" s="65" t="s">
        <v>188</v>
      </c>
      <c r="JE3" s="65" t="s">
        <v>4</v>
      </c>
      <c r="JF3" s="66" t="s">
        <v>244</v>
      </c>
      <c r="JG3" s="66" t="s">
        <v>245</v>
      </c>
      <c r="JH3" s="64" t="s">
        <v>239</v>
      </c>
      <c r="JI3" s="65" t="s">
        <v>188</v>
      </c>
      <c r="JJ3" s="65" t="s">
        <v>4</v>
      </c>
      <c r="JK3" s="66" t="s">
        <v>244</v>
      </c>
      <c r="JL3" s="66" t="s">
        <v>245</v>
      </c>
      <c r="JM3" s="64" t="s">
        <v>239</v>
      </c>
      <c r="JN3" s="65" t="s">
        <v>188</v>
      </c>
      <c r="JO3" s="65" t="s">
        <v>4</v>
      </c>
      <c r="JP3" s="66" t="s">
        <v>244</v>
      </c>
      <c r="JQ3" s="66" t="s">
        <v>245</v>
      </c>
      <c r="JR3" s="64" t="s">
        <v>239</v>
      </c>
      <c r="JS3" s="65" t="s">
        <v>188</v>
      </c>
      <c r="JT3" s="65" t="s">
        <v>4</v>
      </c>
      <c r="JU3" s="66" t="s">
        <v>244</v>
      </c>
      <c r="JV3" s="66" t="s">
        <v>245</v>
      </c>
      <c r="JX3" s="64" t="s">
        <v>239</v>
      </c>
      <c r="JY3" s="65" t="s">
        <v>188</v>
      </c>
      <c r="JZ3" s="65" t="s">
        <v>4</v>
      </c>
      <c r="KA3" s="66" t="s">
        <v>244</v>
      </c>
      <c r="KB3" s="66" t="s">
        <v>245</v>
      </c>
      <c r="KC3" s="64" t="s">
        <v>239</v>
      </c>
      <c r="KD3" s="65" t="s">
        <v>188</v>
      </c>
      <c r="KE3" s="65" t="s">
        <v>4</v>
      </c>
      <c r="KF3" s="66" t="s">
        <v>244</v>
      </c>
      <c r="KG3" s="66" t="s">
        <v>245</v>
      </c>
      <c r="KH3" s="64" t="s">
        <v>239</v>
      </c>
      <c r="KI3" s="65" t="s">
        <v>188</v>
      </c>
      <c r="KJ3" s="65" t="s">
        <v>4</v>
      </c>
      <c r="KK3" s="66" t="s">
        <v>244</v>
      </c>
      <c r="KL3" s="66" t="s">
        <v>245</v>
      </c>
      <c r="KM3" s="64" t="s">
        <v>239</v>
      </c>
      <c r="KN3" s="65" t="s">
        <v>188</v>
      </c>
      <c r="KO3" s="65" t="s">
        <v>4</v>
      </c>
      <c r="KP3" s="66" t="s">
        <v>244</v>
      </c>
      <c r="KQ3" s="66" t="s">
        <v>245</v>
      </c>
      <c r="KR3" s="64" t="s">
        <v>239</v>
      </c>
      <c r="KS3" s="65" t="s">
        <v>188</v>
      </c>
      <c r="KT3" s="65" t="s">
        <v>4</v>
      </c>
      <c r="KU3" s="66" t="s">
        <v>244</v>
      </c>
      <c r="KV3" s="66" t="s">
        <v>245</v>
      </c>
      <c r="KW3" s="64" t="s">
        <v>239</v>
      </c>
      <c r="KX3" s="65" t="s">
        <v>188</v>
      </c>
      <c r="KY3" s="65" t="s">
        <v>4</v>
      </c>
      <c r="KZ3" s="66" t="s">
        <v>244</v>
      </c>
      <c r="LA3" s="66" t="s">
        <v>245</v>
      </c>
      <c r="LC3" s="64" t="s">
        <v>239</v>
      </c>
      <c r="LD3" s="65" t="s">
        <v>188</v>
      </c>
      <c r="LE3" s="65" t="s">
        <v>4</v>
      </c>
      <c r="LF3" s="66" t="s">
        <v>244</v>
      </c>
      <c r="LG3" s="66" t="s">
        <v>245</v>
      </c>
      <c r="LH3" s="64" t="s">
        <v>239</v>
      </c>
      <c r="LI3" s="65" t="s">
        <v>188</v>
      </c>
      <c r="LJ3" s="65" t="s">
        <v>4</v>
      </c>
      <c r="LK3" s="66" t="s">
        <v>244</v>
      </c>
      <c r="LL3" s="66" t="s">
        <v>245</v>
      </c>
      <c r="LM3" s="64" t="s">
        <v>239</v>
      </c>
      <c r="LN3" s="65" t="s">
        <v>188</v>
      </c>
      <c r="LO3" s="65" t="s">
        <v>4</v>
      </c>
      <c r="LP3" s="66" t="s">
        <v>244</v>
      </c>
      <c r="LQ3" s="66" t="s">
        <v>245</v>
      </c>
      <c r="LR3" s="64" t="s">
        <v>239</v>
      </c>
      <c r="LS3" s="65" t="s">
        <v>188</v>
      </c>
      <c r="LT3" s="65" t="s">
        <v>4</v>
      </c>
      <c r="LU3" s="66" t="s">
        <v>244</v>
      </c>
      <c r="LV3" s="66" t="s">
        <v>245</v>
      </c>
      <c r="LW3" s="64" t="s">
        <v>239</v>
      </c>
      <c r="LX3" s="65" t="s">
        <v>188</v>
      </c>
      <c r="LY3" s="65" t="s">
        <v>4</v>
      </c>
      <c r="LZ3" s="66" t="s">
        <v>244</v>
      </c>
      <c r="MA3" s="66" t="s">
        <v>245</v>
      </c>
      <c r="MB3" s="64" t="s">
        <v>239</v>
      </c>
      <c r="MC3" s="65" t="s">
        <v>188</v>
      </c>
      <c r="MD3" s="65" t="s">
        <v>4</v>
      </c>
      <c r="ME3" s="66" t="s">
        <v>244</v>
      </c>
      <c r="MF3" s="66" t="s">
        <v>245</v>
      </c>
      <c r="MH3" s="64" t="s">
        <v>239</v>
      </c>
      <c r="MI3" s="65" t="s">
        <v>188</v>
      </c>
      <c r="MJ3" s="65" t="s">
        <v>4</v>
      </c>
      <c r="MK3" s="66" t="s">
        <v>244</v>
      </c>
      <c r="ML3" s="66" t="s">
        <v>245</v>
      </c>
      <c r="MM3" s="64" t="s">
        <v>239</v>
      </c>
      <c r="MN3" s="65" t="s">
        <v>188</v>
      </c>
      <c r="MO3" s="65" t="s">
        <v>4</v>
      </c>
      <c r="MP3" s="66" t="s">
        <v>244</v>
      </c>
      <c r="MQ3" s="66" t="s">
        <v>245</v>
      </c>
      <c r="MR3" s="64" t="s">
        <v>239</v>
      </c>
      <c r="MS3" s="65" t="s">
        <v>188</v>
      </c>
      <c r="MT3" s="65" t="s">
        <v>4</v>
      </c>
      <c r="MU3" s="66" t="s">
        <v>244</v>
      </c>
      <c r="MV3" s="66" t="s">
        <v>245</v>
      </c>
      <c r="MW3" s="64" t="s">
        <v>239</v>
      </c>
      <c r="MX3" s="65" t="s">
        <v>188</v>
      </c>
      <c r="MY3" s="65" t="s">
        <v>4</v>
      </c>
      <c r="MZ3" s="66" t="s">
        <v>244</v>
      </c>
      <c r="NA3" s="66" t="s">
        <v>245</v>
      </c>
      <c r="NB3" s="64" t="s">
        <v>239</v>
      </c>
      <c r="NC3" s="65" t="s">
        <v>188</v>
      </c>
      <c r="ND3" s="65" t="s">
        <v>4</v>
      </c>
      <c r="NE3" s="66" t="s">
        <v>244</v>
      </c>
      <c r="NF3" s="66" t="s">
        <v>245</v>
      </c>
      <c r="NG3" s="64" t="s">
        <v>239</v>
      </c>
      <c r="NH3" s="65" t="s">
        <v>188</v>
      </c>
      <c r="NI3" s="65" t="s">
        <v>4</v>
      </c>
      <c r="NJ3" s="66" t="s">
        <v>244</v>
      </c>
      <c r="NK3" s="66" t="s">
        <v>245</v>
      </c>
      <c r="NM3" s="64" t="s">
        <v>239</v>
      </c>
      <c r="NN3" s="65" t="s">
        <v>188</v>
      </c>
      <c r="NO3" s="65" t="s">
        <v>4</v>
      </c>
      <c r="NP3" s="66" t="s">
        <v>244</v>
      </c>
      <c r="NQ3" s="66" t="s">
        <v>245</v>
      </c>
      <c r="NR3" s="64" t="s">
        <v>239</v>
      </c>
      <c r="NS3" s="65" t="s">
        <v>188</v>
      </c>
      <c r="NT3" s="65" t="s">
        <v>4</v>
      </c>
      <c r="NU3" s="66" t="s">
        <v>244</v>
      </c>
      <c r="NV3" s="66" t="s">
        <v>245</v>
      </c>
      <c r="NW3" s="64" t="s">
        <v>239</v>
      </c>
      <c r="NX3" s="65" t="s">
        <v>188</v>
      </c>
      <c r="NY3" s="65" t="s">
        <v>4</v>
      </c>
      <c r="NZ3" s="66" t="s">
        <v>244</v>
      </c>
      <c r="OA3" s="66" t="s">
        <v>245</v>
      </c>
      <c r="OB3" s="64" t="s">
        <v>239</v>
      </c>
      <c r="OC3" s="65" t="s">
        <v>188</v>
      </c>
      <c r="OD3" s="65" t="s">
        <v>4</v>
      </c>
      <c r="OE3" s="66" t="s">
        <v>244</v>
      </c>
      <c r="OF3" s="66" t="s">
        <v>245</v>
      </c>
      <c r="OG3" s="64" t="s">
        <v>239</v>
      </c>
      <c r="OH3" s="65" t="s">
        <v>188</v>
      </c>
      <c r="OI3" s="65" t="s">
        <v>4</v>
      </c>
      <c r="OJ3" s="66" t="s">
        <v>244</v>
      </c>
      <c r="OK3" s="66" t="s">
        <v>245</v>
      </c>
      <c r="OL3" s="64" t="s">
        <v>239</v>
      </c>
      <c r="OM3" s="65" t="s">
        <v>188</v>
      </c>
      <c r="ON3" s="65" t="s">
        <v>4</v>
      </c>
      <c r="OO3" s="66" t="s">
        <v>244</v>
      </c>
      <c r="OP3" s="66" t="s">
        <v>245</v>
      </c>
      <c r="OQ3" s="67"/>
      <c r="OR3" s="67"/>
      <c r="OS3" s="67"/>
      <c r="OT3" s="67"/>
      <c r="OU3" s="67"/>
      <c r="OV3" s="67"/>
      <c r="OW3" s="67"/>
      <c r="OX3" s="67"/>
      <c r="OY3" s="67"/>
      <c r="OZ3" s="67"/>
      <c r="PA3" s="67"/>
      <c r="PB3" s="67"/>
      <c r="PC3" s="67"/>
      <c r="PD3" s="67"/>
      <c r="PE3" s="67"/>
      <c r="PF3" s="67"/>
      <c r="PG3" s="67"/>
      <c r="PH3" s="67"/>
      <c r="PI3" s="67"/>
      <c r="PJ3" s="67"/>
    </row>
    <row r="4">
      <c r="A4" s="42"/>
      <c r="B4" s="68" t="s">
        <v>246</v>
      </c>
      <c r="C4" s="69"/>
      <c r="D4" s="70"/>
      <c r="E4" s="71"/>
      <c r="F4" s="32"/>
      <c r="G4" s="72" t="str">
        <f t="array" ref="G4">IFERROR(IF(XLOOKUP(CONCAT(E4,F4),'MASTER PLAN'!$AB:$AB,'MASTER PLAN'!$J:$J,0,0)=0,"",XLOOKUP(CONCAT(E4,F4),'MASTER PLAN'!$AB:$AB,'MASTER PLAN'!$J:$J,0,0)),"")</f>
        <v/>
      </c>
      <c r="H4" s="70"/>
      <c r="I4" s="94"/>
      <c r="J4" s="71"/>
      <c r="K4" s="32"/>
      <c r="L4" s="72" t="str">
        <f t="array" ref="L4">IFERROR(IF(XLOOKUP(CONCAT(J4,K4),'MASTER PLAN'!$AB:$AB,'MASTER PLAN'!$J:$J,0,0)=0,"",XLOOKUP(CONCAT(J4,K4),'MASTER PLAN'!$AB:$AB,'MASTER PLAN'!$J:$J,0,0)),"")</f>
        <v/>
      </c>
      <c r="M4" s="70"/>
      <c r="N4" s="94"/>
      <c r="O4" s="71"/>
      <c r="P4" s="32"/>
      <c r="Q4" s="72" t="str">
        <f t="array" ref="Q4">IFERROR(IF(XLOOKUP(CONCAT(O4,P4),'MASTER PLAN'!$AB:$AB,'MASTER PLAN'!$J:$J,0,0)=0,"",XLOOKUP(CONCAT(O4,P4),'MASTER PLAN'!$AB:$AB,'MASTER PLAN'!$J:$J,0,0)),"")</f>
        <v/>
      </c>
      <c r="R4" s="70"/>
      <c r="S4" s="94"/>
      <c r="T4" s="71"/>
      <c r="U4" s="32"/>
      <c r="V4" s="72" t="str">
        <f t="array" ref="V4">IFERROR(IF(XLOOKUP(CONCAT(T4,U4),'MASTER PLAN'!$AB:$AB,'MASTER PLAN'!$J:$J,0,0)=0,"",XLOOKUP(CONCAT(T4,U4),'MASTER PLAN'!$AB:$AB,'MASTER PLAN'!$J:$J,0,0)),"")</f>
        <v/>
      </c>
      <c r="W4" s="70"/>
      <c r="X4" s="94"/>
      <c r="Y4" s="71"/>
      <c r="Z4" s="32"/>
      <c r="AA4" s="72" t="str">
        <f t="array" ref="AA4">IFERROR(IF(XLOOKUP(CONCAT(Y4,Z4),'MASTER PLAN'!$AB:$AB,'MASTER PLAN'!$J:$J,0,0)=0,"",XLOOKUP(CONCAT(Y4,Z4),'MASTER PLAN'!$AB:$AB,'MASTER PLAN'!$J:$J,0,0)),"")</f>
        <v/>
      </c>
      <c r="AB4" s="70"/>
      <c r="AC4" s="94"/>
      <c r="AD4" s="71"/>
      <c r="AE4" s="32"/>
      <c r="AF4" s="72" t="str">
        <f t="array" ref="AF4">IFERROR(IF(XLOOKUP(CONCAT(AD4,AE4),'MASTER PLAN'!$AB:$AB,'MASTER PLAN'!$J:$J,0,0)=0,"",XLOOKUP(CONCAT(AD4,AE4),'MASTER PLAN'!$AB:$AB,'MASTER PLAN'!$J:$J,0,0)),"")</f>
        <v/>
      </c>
      <c r="AG4" s="70"/>
      <c r="AH4" s="94"/>
      <c r="AI4" s="70"/>
      <c r="AJ4" s="71"/>
      <c r="AK4" s="32"/>
      <c r="AL4" s="72" t="str">
        <f t="array" ref="AL4">IFERROR(IF(XLOOKUP(CONCAT(AJ4,AK4),'MASTER PLAN'!$AB:$AB,'MASTER PLAN'!$J:$J,0,0)=0,"",XLOOKUP(CONCAT(AJ4,AK4),'MASTER PLAN'!$AB:$AB,'MASTER PLAN'!$J:$J,0,0)),"")</f>
        <v/>
      </c>
      <c r="AM4" s="70"/>
      <c r="AN4" s="94"/>
      <c r="AO4" s="71"/>
      <c r="AP4" s="32"/>
      <c r="AQ4" s="72" t="str">
        <f t="array" ref="AQ4">IFERROR(IF(XLOOKUP(CONCAT(AO4,AP4),'MASTER PLAN'!$AB:$AB,'MASTER PLAN'!$J:$J,0,0)=0,"",XLOOKUP(CONCAT(AO4,AP4),'MASTER PLAN'!$AB:$AB,'MASTER PLAN'!$J:$J,0,0)),"")</f>
        <v/>
      </c>
      <c r="AR4" s="70"/>
      <c r="AS4" s="94"/>
      <c r="AT4" s="71"/>
      <c r="AU4" s="32"/>
      <c r="AV4" s="72" t="str">
        <f t="array" ref="AV4">IFERROR(IF(XLOOKUP(CONCAT(AT4,AU4),'MASTER PLAN'!$AB:$AB,'MASTER PLAN'!$J:$J,0,0)=0,"",XLOOKUP(CONCAT(AT4,AU4),'MASTER PLAN'!$AB:$AB,'MASTER PLAN'!$J:$J,0,0)),"")</f>
        <v/>
      </c>
      <c r="AW4" s="70"/>
      <c r="AX4" s="94"/>
      <c r="AY4" s="71"/>
      <c r="AZ4" s="32"/>
      <c r="BA4" s="72" t="str">
        <f t="array" ref="BA4">IFERROR(IF(XLOOKUP(CONCAT(AY4,AZ4),'MASTER PLAN'!$AB:$AB,'MASTER PLAN'!$J:$J,0,0)=0,"",XLOOKUP(CONCAT(AY4,AZ4),'MASTER PLAN'!$AB:$AB,'MASTER PLAN'!$J:$J,0,0)),"")</f>
        <v/>
      </c>
      <c r="BB4" s="70"/>
      <c r="BC4" s="94"/>
      <c r="BD4" s="71"/>
      <c r="BE4" s="32"/>
      <c r="BF4" s="72" t="str">
        <f t="array" ref="BF4">IFERROR(IF(XLOOKUP(CONCAT(BD4,BE4),'MASTER PLAN'!$AB:$AB,'MASTER PLAN'!$J:$J,0,0)=0,"",XLOOKUP(CONCAT(BD4,BE4),'MASTER PLAN'!$AB:$AB,'MASTER PLAN'!$J:$J,0,0)),"")</f>
        <v/>
      </c>
      <c r="BG4" s="70"/>
      <c r="BH4" s="94"/>
      <c r="BI4" s="71"/>
      <c r="BJ4" s="32"/>
      <c r="BK4" s="72" t="str">
        <f t="array" ref="BK4">IFERROR(IF(XLOOKUP(CONCAT(BI4,BJ4),'MASTER PLAN'!$AB:$AB,'MASTER PLAN'!$J:$J,0,0)=0,"",XLOOKUP(CONCAT(BI4,BJ4),'MASTER PLAN'!$AB:$AB,'MASTER PLAN'!$J:$J,0,0)),"")</f>
        <v/>
      </c>
      <c r="BL4" s="70"/>
      <c r="BM4" s="94"/>
      <c r="BN4" s="70"/>
      <c r="BO4" s="71">
        <v>1.402049346E9</v>
      </c>
      <c r="BP4" s="32">
        <v>10.0</v>
      </c>
      <c r="BQ4" s="72" t="str">
        <f t="array" ref="BQ4">IFERROR(IF(XLOOKUP(CONCAT(BO4,BP4),'MASTER PLAN'!$AB:$AB,'MASTER PLAN'!$J:$J,0,0)=0,"",XLOOKUP(CONCAT(BO4,BP4),'MASTER PLAN'!$AB:$AB,'MASTER PLAN'!$J:$J,0,0)),"")</f>
        <v>BOLSA HELZBERG 10X2-5X8 IN FA</v>
      </c>
      <c r="BR4" s="70">
        <v>1300.0</v>
      </c>
      <c r="BS4" s="94">
        <v>1300.0</v>
      </c>
      <c r="BT4" s="71">
        <v>1.402049277E9</v>
      </c>
      <c r="BU4" s="32">
        <v>30.0</v>
      </c>
      <c r="BV4" s="72" t="str">
        <f t="array" ref="BV4">IFERROR(IF(XLOOKUP(CONCAT(BT4,BU4),'MASTER PLAN'!$AB:$AB,'MASTER PLAN'!$J:$J,0,0)=0,"",XLOOKUP(CONCAT(BT4,BU4),'MASTER PLAN'!$AB:$AB,'MASTER PLAN'!$J:$J,0,0)),"")</f>
        <v>BOLSA ELEGANCE 4-5X2-5X5-75 IN FL</v>
      </c>
      <c r="BW4" s="70">
        <v>3000.0</v>
      </c>
      <c r="BX4" s="94">
        <v>3800.0</v>
      </c>
      <c r="BY4" s="71">
        <v>1.402049237E9</v>
      </c>
      <c r="BZ4" s="32">
        <v>20.0</v>
      </c>
      <c r="CA4" s="72" t="str">
        <f t="array" ref="CA4">IFERROR(IF(XLOOKUP(CONCAT(BY4,BZ4),'MASTER PLAN'!$AB:$AB,'MASTER PLAN'!$J:$J,0,0)=0,"",XLOOKUP(CONCAT(BY4,BZ4),'MASTER PLAN'!$AB:$AB,'MASTER PLAN'!$J:$J,0,0)),"")</f>
        <v>BOLSA ANNABELLES 13"X5"X10"</v>
      </c>
      <c r="CB4" s="70">
        <v>1500.0</v>
      </c>
      <c r="CC4" s="94"/>
      <c r="CD4" s="71">
        <v>1.402049281E9</v>
      </c>
      <c r="CE4" s="32">
        <v>10.0</v>
      </c>
      <c r="CF4" s="72" t="str">
        <f t="array" ref="CF4">IFERROR(IF(XLOOKUP(CONCAT(CD4,CE4),'MASTER PLAN'!$AB:$AB,'MASTER PLAN'!$J:$J,0,0)=0,"",XLOOKUP(CONCAT(CD4,CE4),'MASTER PLAN'!$AB:$AB,'MASTER PLAN'!$J:$J,0,0)),"")</f>
        <v>BOLSA ALBERTS JEWELERS 6-5"X3-5"X6-5"</v>
      </c>
      <c r="CG4" s="70">
        <v>3500.0</v>
      </c>
      <c r="CH4" s="94"/>
      <c r="CI4" s="71">
        <v>1.402049342E9</v>
      </c>
      <c r="CJ4" s="32">
        <v>10.0</v>
      </c>
      <c r="CK4" s="72" t="str">
        <f t="array" ref="CK4">IFERROR(IF(XLOOKUP(CONCAT(CI4,CJ4),'MASTER PLAN'!$AB:$AB,'MASTER PLAN'!$J:$J,0,0)=0,"",XLOOKUP(CONCAT(CI4,CJ4),'MASTER PLAN'!$AB:$AB,'MASTER PLAN'!$J:$J,0,0)),"")</f>
        <v>BOLSA SHARFMANS JLRS 6-5"X3-5"X6-5"</v>
      </c>
      <c r="CL4" s="70">
        <v>1500.0</v>
      </c>
      <c r="CM4" s="94"/>
      <c r="CN4" s="71"/>
      <c r="CO4" s="32"/>
      <c r="CP4" s="72" t="str">
        <f t="array" ref="CP4">IFERROR(IF(XLOOKUP(CONCAT(CN4,CO4),'MASTER PLAN'!$AB:$AB,'MASTER PLAN'!$J:$J,0,0)=0,"",XLOOKUP(CONCAT(CN4,CO4),'MASTER PLAN'!$AB:$AB,'MASTER PLAN'!$J:$J,0,0)),"")</f>
        <v/>
      </c>
      <c r="CQ4" s="70"/>
      <c r="CR4" s="94"/>
      <c r="CS4" s="70"/>
      <c r="CT4" s="71">
        <v>1.402049349E9</v>
      </c>
      <c r="CU4" s="32">
        <v>10.0</v>
      </c>
      <c r="CV4" s="72" t="str">
        <f t="array" ref="CV4">IFERROR(IF(XLOOKUP(CONCAT(CT4,CU4),'MASTER PLAN'!$AB:$AB,'MASTER PLAN'!$J:$J,0,0)=0,"",XLOOKUP(CONCAT(CT4,CU4),'MASTER PLAN'!$AB:$AB,'MASTER PLAN'!$J:$J,0,0)),"")</f>
        <v>BOLSA WSHM WOS 10"X6"X10" FA</v>
      </c>
      <c r="CW4" s="70">
        <v>3000.0</v>
      </c>
      <c r="CX4" s="94"/>
      <c r="CY4" s="71">
        <v>1.402049349E9</v>
      </c>
      <c r="CZ4" s="32">
        <v>10.0</v>
      </c>
      <c r="DA4" s="72" t="str">
        <f t="array" ref="DA4">IFERROR(IF(XLOOKUP(CONCAT(CY4,CZ4),'MASTER PLAN'!$AB:$AB,'MASTER PLAN'!$J:$J,0,0)=0,"",XLOOKUP(CONCAT(CY4,CZ4),'MASTER PLAN'!$AB:$AB,'MASTER PLAN'!$J:$J,0,0)),"")</f>
        <v>BOLSA WSHM WOS 10"X6"X10" FA</v>
      </c>
      <c r="DB4" s="70">
        <v>2250.0</v>
      </c>
      <c r="DC4" s="94"/>
      <c r="DD4" s="71">
        <v>1.402049349E9</v>
      </c>
      <c r="DE4" s="32">
        <v>20.0</v>
      </c>
      <c r="DF4" s="72" t="str">
        <f t="array" ref="DF4">IFERROR(IF(XLOOKUP(CONCAT(DD4,DE4),'MASTER PLAN'!$AB:$AB,'MASTER PLAN'!$J:$J,0,0)=0,"",XLOOKUP(CONCAT(DD4,DE4),'MASTER PLAN'!$AB:$AB,'MASTER PLAN'!$J:$J,0,0)),"")</f>
        <v>BOLSA WSHN WOS 17"X7"X14" FA</v>
      </c>
      <c r="DG4" s="70">
        <v>800.0</v>
      </c>
      <c r="DH4" s="94"/>
      <c r="DI4" s="95">
        <v>1.402049346E9</v>
      </c>
      <c r="DJ4" s="96">
        <v>10.0</v>
      </c>
      <c r="DK4" s="72" t="str">
        <f t="array" ref="DK4">IFERROR(IF(XLOOKUP(CONCAT(DI4,DJ4),'MASTER PLAN'!$AB:$AB,'MASTER PLAN'!$J:$J,0,0)=0,"",XLOOKUP(CONCAT(DI4,DJ4),'MASTER PLAN'!$AB:$AB,'MASTER PLAN'!$J:$J,0,0)),"")</f>
        <v>BOLSA HELZBERG 10X2-5X8 IN FA</v>
      </c>
      <c r="DL4" s="70">
        <v>3000.0</v>
      </c>
      <c r="DM4" s="94"/>
      <c r="DN4" s="95">
        <v>1.402049362E9</v>
      </c>
      <c r="DO4" s="96">
        <v>10.0</v>
      </c>
      <c r="DP4" s="72" t="str">
        <f t="array" ref="DP4">IFERROR(IF(XLOOKUP(CONCAT(DN4,DO4),'MASTER PLAN'!$AB:$AB,'MASTER PLAN'!$J:$J,0,0)=0,"",XLOOKUP(CONCAT(DN4,DO4),'MASTER PLAN'!$AB:$AB,'MASTER PLAN'!$J:$J,0,0)),"")</f>
        <v>BOLSA SCHWANKE KASTEN CO 10"X6"X8"</v>
      </c>
      <c r="DQ4" s="70">
        <v>2000.0</v>
      </c>
      <c r="DR4" s="94"/>
      <c r="DS4" s="71"/>
      <c r="DT4" s="32"/>
      <c r="DU4" s="72" t="str">
        <f t="array" ref="DU4">IFERROR(IF(XLOOKUP(CONCAT(DS4,DT4),'MASTER PLAN'!$AB:$AB,'MASTER PLAN'!$J:$J,0,0)=0,"",XLOOKUP(CONCAT(DS4,DT4),'MASTER PLAN'!$AB:$AB,'MASTER PLAN'!$J:$J,0,0)),"")</f>
        <v/>
      </c>
      <c r="DV4" s="70"/>
      <c r="DW4" s="94"/>
      <c r="DX4" s="70"/>
      <c r="DY4" s="97">
        <v>1.402049346E9</v>
      </c>
      <c r="DZ4" s="96">
        <v>10.0</v>
      </c>
      <c r="EA4" s="72" t="str">
        <f t="array" ref="EA4">IFERROR(IF(XLOOKUP(CONCAT(DY4,DZ4),'MASTER PLAN'!$AB:$AB,'MASTER PLAN'!$J:$J,0,0)=0,"",XLOOKUP(CONCAT(DY4,DZ4),'MASTER PLAN'!$AB:$AB,'MASTER PLAN'!$J:$J,0,0)),"")</f>
        <v>BOLSA HELZBERG 10X2-5X8 IN FA</v>
      </c>
      <c r="EB4" s="70">
        <v>3000.0</v>
      </c>
      <c r="EC4" s="94"/>
      <c r="ED4" s="97">
        <v>1.402049346E9</v>
      </c>
      <c r="EE4" s="96">
        <v>10.0</v>
      </c>
      <c r="EF4" s="72" t="str">
        <f t="array" ref="EF4">IFERROR(IF(XLOOKUP(CONCAT(ED4,EE4),'MASTER PLAN'!$AB:$AB,'MASTER PLAN'!$J:$J,0,0)=0,"",XLOOKUP(CONCAT(ED4,EE4),'MASTER PLAN'!$AB:$AB,'MASTER PLAN'!$J:$J,0,0)),"")</f>
        <v>BOLSA HELZBERG 10X2-5X8 IN FA</v>
      </c>
      <c r="EG4" s="70">
        <v>800.0</v>
      </c>
      <c r="EH4" s="94"/>
      <c r="EI4" s="71">
        <v>1.402049263E9</v>
      </c>
      <c r="EJ4" s="32">
        <v>10.0</v>
      </c>
      <c r="EK4" s="72" t="str">
        <f t="array" ref="EK4">IFERROR(IF(XLOOKUP(CONCAT(EI4,EJ4),'MASTER PLAN'!$AB:$AB,'MASTER PLAN'!$J:$J,0,0)=0,"",XLOOKUP(CONCAT(EI4,EJ4),'MASTER PLAN'!$AB:$AB,'MASTER PLAN'!$J:$J,0,0)),"")</f>
        <v>FOLDER GOLD CASTER LAWRENCE</v>
      </c>
      <c r="EL4" s="70">
        <v>800.0</v>
      </c>
      <c r="EM4" s="94"/>
      <c r="EN4" s="71">
        <v>1.402049349E9</v>
      </c>
      <c r="EO4" s="32">
        <v>10.0</v>
      </c>
      <c r="EP4" s="72" t="str">
        <f t="array" ref="EP4">IFERROR(IF(XLOOKUP(CONCAT(EN4,EO4),'MASTER PLAN'!$AB:$AB,'MASTER PLAN'!$J:$J,0,0)=0,"",XLOOKUP(CONCAT(EN4,EO4),'MASTER PLAN'!$AB:$AB,'MASTER PLAN'!$J:$J,0,0)),"")</f>
        <v>BOLSA WSHM WOS 10"X6"X10" FA</v>
      </c>
      <c r="EQ4" s="70">
        <v>3000.0</v>
      </c>
      <c r="ER4" s="94"/>
      <c r="ES4" s="71">
        <v>1.402049349E9</v>
      </c>
      <c r="ET4" s="32">
        <v>10.0</v>
      </c>
      <c r="EU4" s="72" t="str">
        <f t="array" ref="EU4">IFERROR(IF(XLOOKUP(CONCAT(ES4,ET4),'MASTER PLAN'!$AB:$AB,'MASTER PLAN'!$J:$J,0,0)=0,"",XLOOKUP(CONCAT(ES4,ET4),'MASTER PLAN'!$AB:$AB,'MASTER PLAN'!$J:$J,0,0)),"")</f>
        <v>BOLSA WSHM WOS 10"X6"X10" FA</v>
      </c>
      <c r="EV4" s="70">
        <v>3000.0</v>
      </c>
      <c r="EW4" s="94"/>
      <c r="EX4" s="71"/>
      <c r="EY4" s="32"/>
      <c r="EZ4" s="72" t="str">
        <f t="array" ref="EZ4">IFERROR(IF(XLOOKUP(CONCAT(EX4,EY4),'MASTER PLAN'!$AB:$AB,'MASTER PLAN'!$J:$J,0,0)=0,"",XLOOKUP(CONCAT(EX4,EY4),'MASTER PLAN'!$AB:$AB,'MASTER PLAN'!$J:$J,0,0)),"")</f>
        <v/>
      </c>
      <c r="FA4" s="70"/>
      <c r="FB4" s="94"/>
      <c r="FC4" s="70"/>
      <c r="FD4" s="71">
        <v>1.402049349E9</v>
      </c>
      <c r="FE4" s="32">
        <v>10.0</v>
      </c>
      <c r="FF4" s="72" t="str">
        <f t="array" ref="FF4">IFERROR(IF(XLOOKUP(CONCAT(FD4,FE4),'MASTER PLAN'!$AB:$AB,'MASTER PLAN'!$J:$J,0,0)=0,"",XLOOKUP(CONCAT(FD4,FE4),'MASTER PLAN'!$AB:$AB,'MASTER PLAN'!$J:$J,0,0)),"")</f>
        <v>BOLSA WSHM WOS 10"X6"X10" FA</v>
      </c>
      <c r="FG4" s="70">
        <v>2750.0</v>
      </c>
      <c r="FH4" s="94"/>
      <c r="FI4" s="71">
        <v>1.402049349E9</v>
      </c>
      <c r="FJ4" s="32">
        <v>20.0</v>
      </c>
      <c r="FK4" s="72" t="str">
        <f t="array" ref="FK4">IFERROR(IF(XLOOKUP(CONCAT(FI4,FJ4),'MASTER PLAN'!$AB:$AB,'MASTER PLAN'!$J:$J,0,0)=0,"",XLOOKUP(CONCAT(FI4,FJ4),'MASTER PLAN'!$AB:$AB,'MASTER PLAN'!$J:$J,0,0)),"")</f>
        <v>BOLSA WSHN WOS 17"X7"X14" FA</v>
      </c>
      <c r="FL4" s="70">
        <v>2450.0</v>
      </c>
      <c r="FM4" s="94"/>
      <c r="FN4" s="71">
        <v>1.40204935E9</v>
      </c>
      <c r="FO4" s="32">
        <v>30.0</v>
      </c>
      <c r="FP4" s="72" t="str">
        <f t="array" ref="FP4">IFERROR(IF(XLOOKUP(CONCAT(FN4,FO4),'MASTER PLAN'!$AB:$AB,'MASTER PLAN'!$J:$J,0,0)=0,"",XLOOKUP(CONCAT(FN4,FO4),'MASTER PLAN'!$AB:$AB,'MASTER PLAN'!$J:$J,0,0)),"")</f>
        <v>BOLSA WSMJ MAYORS WOS 17"X7"X14" FA</v>
      </c>
      <c r="FQ4" s="70">
        <v>2500.0</v>
      </c>
      <c r="FR4" s="94"/>
      <c r="FS4" s="71">
        <v>1.402048632E9</v>
      </c>
      <c r="FT4" s="32">
        <v>10.0</v>
      </c>
      <c r="FU4" s="72" t="str">
        <f t="array" ref="FU4">IFERROR(IF(XLOOKUP(CONCAT(FS4,FT4),'MASTER PLAN'!$AB:$AB,'MASTER PLAN'!$J:$J,0,0)=0,"",XLOOKUP(CONCAT(FS4,FT4),'MASTER PLAN'!$AB:$AB,'MASTER PLAN'!$J:$J,0,0)),"")</f>
        <v>BOLSA ROGERS ENTERPRISES 10"X4"X7-75"</v>
      </c>
      <c r="FV4" s="70">
        <v>3000.0</v>
      </c>
      <c r="FW4" s="94"/>
      <c r="FX4" s="71">
        <v>1.402048632E9</v>
      </c>
      <c r="FY4" s="32">
        <v>10.0</v>
      </c>
      <c r="FZ4" s="72" t="str">
        <f t="array" ref="FZ4">IFERROR(IF(XLOOKUP(CONCAT(FX4,FY4),'MASTER PLAN'!$AB:$AB,'MASTER PLAN'!$J:$J,0,0)=0,"",XLOOKUP(CONCAT(FX4,FY4),'MASTER PLAN'!$AB:$AB,'MASTER PLAN'!$J:$J,0,0)),"")</f>
        <v>BOLSA ROGERS ENTERPRISES 10"X4"X7-75"</v>
      </c>
      <c r="GA4" s="70">
        <v>3000.0</v>
      </c>
      <c r="GB4" s="94"/>
      <c r="GC4" s="71"/>
      <c r="GD4" s="32"/>
      <c r="GE4" s="72" t="str">
        <f t="array" ref="GE4">IFERROR(IF(XLOOKUP(CONCAT(GC4,GD4),'MASTER PLAN'!$AB:$AB,'MASTER PLAN'!$J:$J,0,0)=0,"",XLOOKUP(CONCAT(GC4,GD4),'MASTER PLAN'!$AB:$AB,'MASTER PLAN'!$J:$J,0,0)),"")</f>
        <v/>
      </c>
      <c r="GF4" s="70"/>
      <c r="GG4" s="94"/>
      <c r="GH4" s="70"/>
      <c r="GI4" s="71">
        <v>1.402049318E9</v>
      </c>
      <c r="GJ4" s="32">
        <v>20.0</v>
      </c>
      <c r="GK4" s="72" t="str">
        <f t="array" ref="GK4">IFERROR(IF(XLOOKUP(CONCAT(GI4,GJ4),'MASTER PLAN'!$AB:$AB,'MASTER PLAN'!$J:$J,0,0)=0,"",XLOOKUP(CONCAT(GI4,GJ4),'MASTER PLAN'!$AB:$AB,'MASTER PLAN'!$J:$J,0,0)),"")</f>
        <v>BOLSA WATERFALL JEWELERS 8"X4"X10"</v>
      </c>
      <c r="GL4" s="70">
        <v>3000.0</v>
      </c>
      <c r="GM4" s="94"/>
      <c r="GN4" s="71">
        <v>1.402049318E9</v>
      </c>
      <c r="GO4" s="32">
        <v>20.0</v>
      </c>
      <c r="GP4" s="72" t="str">
        <f t="array" ref="GP4">IFERROR(IF(XLOOKUP(CONCAT(GN4,GO4),'MASTER PLAN'!$AB:$AB,'MASTER PLAN'!$J:$J,0,0)=0,"",XLOOKUP(CONCAT(GN4,GO4),'MASTER PLAN'!$AB:$AB,'MASTER PLAN'!$J:$J,0,0)),"")</f>
        <v>BOLSA WATERFALL JEWELERS 8"X4"X10"</v>
      </c>
      <c r="GQ4" s="70">
        <v>1000.0</v>
      </c>
      <c r="GR4" s="94"/>
      <c r="GS4" s="71">
        <v>1.402049444E9</v>
      </c>
      <c r="GT4" s="32">
        <v>10.0</v>
      </c>
      <c r="GU4" s="72" t="str">
        <f t="array" ref="GU4">IFERROR(IF(XLOOKUP(CONCAT(GS4,GT4),'MASTER PLAN'!$AB:$AB,'MASTER PLAN'!$J:$J,0,0)=0,"",XLOOKUP(CONCAT(GS4,GT4),'MASTER PLAN'!$AB:$AB,'MASTER PLAN'!$J:$J,0,0)),"")</f>
        <v>BOLSA AMERICUS DIAMOND 6-5X3-5X6-5</v>
      </c>
      <c r="GV4" s="70">
        <v>2300.0</v>
      </c>
      <c r="GW4" s="94"/>
      <c r="GX4" s="95">
        <v>1.402049419E9</v>
      </c>
      <c r="GY4" s="96">
        <v>10.0</v>
      </c>
      <c r="GZ4" s="72" t="str">
        <f t="array" ref="GZ4">IFERROR(IF(XLOOKUP(CONCAT(GX4,GY4),'MASTER PLAN'!$AB:$AB,'MASTER PLAN'!$J:$J,0,0)=0,"",XLOOKUP(CONCAT(GX4,GY4),'MASTER PLAN'!$AB:$AB,'MASTER PLAN'!$J:$J,0,0)),"")</f>
        <v>BOLSA COMERCIAL SORIA 10X4X8 IN FC</v>
      </c>
      <c r="HA4" s="70">
        <v>1000.0</v>
      </c>
      <c r="HB4" s="94"/>
      <c r="HC4" s="71">
        <v>1.402049507E9</v>
      </c>
      <c r="HD4" s="32">
        <v>10.0</v>
      </c>
      <c r="HE4" s="72" t="str">
        <f t="array" ref="HE4">IFERROR(IF(XLOOKUP(CONCAT(HC4,HD4),'MASTER PLAN'!$AB:$AB,'MASTER PLAN'!$J:$J,0,0)=0,"",XLOOKUP(CONCAT(HC4,HD4),'MASTER PLAN'!$AB:$AB,'MASTER PLAN'!$J:$J,0,0)),"")</f>
        <v>BOLSA NA HOKU 159X90X210MM</v>
      </c>
      <c r="HF4" s="70">
        <v>3000.0</v>
      </c>
      <c r="HG4" s="94"/>
      <c r="HH4" s="71"/>
      <c r="HI4" s="32"/>
      <c r="HJ4" s="72" t="str">
        <f t="array" ref="HJ4">IFERROR(IF(XLOOKUP(CONCAT(HH4,HI4),'MASTER PLAN'!$AB:$AB,'MASTER PLAN'!$J:$J,0,0)=0,"",XLOOKUP(CONCAT(HH4,HI4),'MASTER PLAN'!$AB:$AB,'MASTER PLAN'!$J:$J,0,0)),"")</f>
        <v/>
      </c>
      <c r="HK4" s="70"/>
      <c r="HL4" s="94"/>
      <c r="HM4" s="70"/>
      <c r="HN4" s="71">
        <v>1.402049507E9</v>
      </c>
      <c r="HO4" s="32">
        <v>10.0</v>
      </c>
      <c r="HP4" s="72" t="str">
        <f t="array" ref="HP4">IFERROR(IF(XLOOKUP(CONCAT(HN4,HO4),'MASTER PLAN'!$AB:$AB,'MASTER PLAN'!$J:$J,0,0)=0,"",XLOOKUP(CONCAT(HN4,HO4),'MASTER PLAN'!$AB:$AB,'MASTER PLAN'!$J:$J,0,0)),"")</f>
        <v>BOLSA NA HOKU 159X90X210MM</v>
      </c>
      <c r="HQ4" s="70">
        <v>3000.0</v>
      </c>
      <c r="HR4" s="94"/>
      <c r="HS4" s="71">
        <v>1.40204948E9</v>
      </c>
      <c r="HT4" s="32">
        <v>10.0</v>
      </c>
      <c r="HU4" s="72" t="str">
        <f t="array" ref="HU4">IFERROR(IF(XLOOKUP(CONCAT(HS4,HT4),'MASTER PLAN'!$AB:$AB,'MASTER PLAN'!$J:$J,0,0)=0,"",XLOOKUP(CONCAT(HS4,HT4),'MASTER PLAN'!$AB:$AB,'MASTER PLAN'!$J:$J,0,0)),"")</f>
        <v>BOLSA LEE BRANT  8"X4"X10"</v>
      </c>
      <c r="HV4" s="70">
        <v>1000.0</v>
      </c>
      <c r="HW4" s="94"/>
      <c r="HX4" s="71">
        <v>1.402049448E9</v>
      </c>
      <c r="HY4" s="32">
        <v>10.0</v>
      </c>
      <c r="HZ4" s="72" t="str">
        <f t="array" ref="HZ4">IFERROR(IF(XLOOKUP(CONCAT(HX4,HY4),'MASTER PLAN'!$AB:$AB,'MASTER PLAN'!$J:$J,0,0)=0,"",XLOOKUP(CONCAT(HX4,HY4),'MASTER PLAN'!$AB:$AB,'MASTER PLAN'!$J:$J,0,0)),"")</f>
        <v>BOLSA CALDANI 6-5"X2-5"X5-5"</v>
      </c>
      <c r="IA4" s="70">
        <v>1000.0</v>
      </c>
      <c r="IB4" s="94"/>
      <c r="IC4" s="90"/>
      <c r="ID4" s="91"/>
      <c r="IE4" s="72" t="str">
        <f t="array" ref="IE4">IFERROR(IF(XLOOKUP(CONCAT(IC4,ID4),'MASTER PLAN'!$AB:$AB,'MASTER PLAN'!$J:$J,0,0)=0,"",XLOOKUP(CONCAT(IC4,ID4),'MASTER PLAN'!$AB:$AB,'MASTER PLAN'!$J:$J,0,0)),"")</f>
        <v/>
      </c>
      <c r="IF4" s="70"/>
      <c r="IG4" s="94"/>
      <c r="IH4" s="71">
        <v>1.402049507E9</v>
      </c>
      <c r="II4" s="32">
        <v>20.0</v>
      </c>
      <c r="IJ4" s="72" t="str">
        <f t="array" ref="IJ4">IFERROR(IF(XLOOKUP(CONCAT(IH4,II4),'MASTER PLAN'!$AB:$AB,'MASTER PLAN'!$J:$J,0,0)=0,"",XLOOKUP(CONCAT(IH4,II4),'MASTER PLAN'!$AB:$AB,'MASTER PLAN'!$J:$J,0,0)),"")</f>
        <v>BOLSA PEARL FACTORY 159X90X210MM</v>
      </c>
      <c r="IK4" s="70">
        <v>3000.0</v>
      </c>
      <c r="IL4" s="94"/>
      <c r="IM4" s="71"/>
      <c r="IN4" s="32"/>
      <c r="IO4" s="72" t="str">
        <f t="array" ref="IO4">IFERROR(IF(XLOOKUP(CONCAT(IM4,IN4),'MASTER PLAN'!$AB:$AB,'MASTER PLAN'!$J:$J,0,0)=0,"",XLOOKUP(CONCAT(IM4,IN4),'MASTER PLAN'!$AB:$AB,'MASTER PLAN'!$J:$J,0,0)),"")</f>
        <v/>
      </c>
      <c r="IP4" s="70"/>
      <c r="IQ4" s="94"/>
      <c r="IR4" s="70"/>
      <c r="IS4" s="71">
        <v>1.402049507E9</v>
      </c>
      <c r="IT4" s="32">
        <v>20.0</v>
      </c>
      <c r="IU4" s="72" t="str">
        <f t="array" ref="IU4">IFERROR(IF(XLOOKUP(CONCAT(IS4,IT4),'MASTER PLAN'!$AB:$AB,'MASTER PLAN'!$J:$J,0,0)=0,"",XLOOKUP(CONCAT(IS4,IT4),'MASTER PLAN'!$AB:$AB,'MASTER PLAN'!$J:$J,0,0)),"")</f>
        <v>BOLSA PEARL FACTORY 159X90X210MM</v>
      </c>
      <c r="IV4" s="70">
        <v>3000.0</v>
      </c>
      <c r="IW4" s="94"/>
      <c r="IX4" s="71">
        <v>1.402049507E9</v>
      </c>
      <c r="IY4" s="32">
        <v>20.0</v>
      </c>
      <c r="IZ4" s="72" t="str">
        <f t="array" ref="IZ4">IFERROR(IF(XLOOKUP(CONCAT(IX4,IY4),'MASTER PLAN'!$AB:$AB,'MASTER PLAN'!$J:$J,0,0)=0,"",XLOOKUP(CONCAT(IX4,IY4),'MASTER PLAN'!$AB:$AB,'MASTER PLAN'!$J:$J,0,0)),"")</f>
        <v>BOLSA PEARL FACTORY 159X90X210MM</v>
      </c>
      <c r="JA4" s="70">
        <v>3000.0</v>
      </c>
      <c r="JB4" s="94"/>
      <c r="JC4" s="71">
        <v>1.402049507E9</v>
      </c>
      <c r="JD4" s="32">
        <v>20.0</v>
      </c>
      <c r="JE4" s="72" t="str">
        <f t="array" ref="JE4">IFERROR(IF(XLOOKUP(CONCAT(JC4,JD4),'MASTER PLAN'!$AB:$AB,'MASTER PLAN'!$J:$J,0,0)=0,"",XLOOKUP(CONCAT(JC4,JD4),'MASTER PLAN'!$AB:$AB,'MASTER PLAN'!$J:$J,0,0)),"")</f>
        <v>BOLSA PEARL FACTORY 159X90X210MM</v>
      </c>
      <c r="JF4" s="70">
        <v>1500.0</v>
      </c>
      <c r="JG4" s="94"/>
      <c r="JH4" s="90"/>
      <c r="JI4" s="91"/>
      <c r="JJ4" s="72" t="str">
        <f t="array" ref="JJ4">IFERROR(IF(XLOOKUP(CONCAT(JH4,JI4),'MASTER PLAN'!$AB:$AB,'MASTER PLAN'!$J:$J,0,0)=0,"",XLOOKUP(CONCAT(JH4,JI4),'MASTER PLAN'!$AB:$AB,'MASTER PLAN'!$J:$J,0,0)),"")</f>
        <v/>
      </c>
      <c r="JK4" s="70"/>
      <c r="JL4" s="94"/>
      <c r="JM4" s="71">
        <v>1.402049507E9</v>
      </c>
      <c r="JN4" s="32">
        <v>20.0</v>
      </c>
      <c r="JO4" s="72" t="str">
        <f t="array" ref="JO4">IFERROR(IF(XLOOKUP(CONCAT(JM4,JN4),'MASTER PLAN'!$AB:$AB,'MASTER PLAN'!$J:$J,0,0)=0,"",XLOOKUP(CONCAT(JM4,JN4),'MASTER PLAN'!$AB:$AB,'MASTER PLAN'!$J:$J,0,0)),"")</f>
        <v>BOLSA PEARL FACTORY 159X90X210MM</v>
      </c>
      <c r="JP4" s="70">
        <v>3000.0</v>
      </c>
      <c r="JQ4" s="94"/>
      <c r="JR4" s="71"/>
      <c r="JS4" s="32"/>
      <c r="JT4" s="72" t="str">
        <f t="array" ref="JT4">IFERROR(IF(XLOOKUP(CONCAT(JR4,JS4),'MASTER PLAN'!$AB:$AB,'MASTER PLAN'!$J:$J,0,0)=0,"",XLOOKUP(CONCAT(JR4,JS4),'MASTER PLAN'!$AB:$AB,'MASTER PLAN'!$J:$J,0,0)),"")</f>
        <v/>
      </c>
      <c r="JU4" s="70"/>
      <c r="JV4" s="94"/>
      <c r="JW4" s="70"/>
      <c r="JX4" s="71">
        <v>1.402049507E9</v>
      </c>
      <c r="JY4" s="32">
        <v>20.0</v>
      </c>
      <c r="JZ4" s="72" t="str">
        <f t="array" ref="JZ4">IFERROR(IF(XLOOKUP(CONCAT(JX4,JY4),'MASTER PLAN'!$AB:$AB,'MASTER PLAN'!$J:$J,0,0)=0,"",XLOOKUP(CONCAT(JX4,JY4),'MASTER PLAN'!$AB:$AB,'MASTER PLAN'!$J:$J,0,0)),"")</f>
        <v>BOLSA PEARL FACTORY 159X90X210MM</v>
      </c>
      <c r="KA4" s="70">
        <v>3000.0</v>
      </c>
      <c r="KB4" s="94"/>
      <c r="KC4" s="71">
        <v>1.402049507E9</v>
      </c>
      <c r="KD4" s="32">
        <v>20.0</v>
      </c>
      <c r="KE4" s="72" t="str">
        <f t="array" ref="KE4">IFERROR(IF(XLOOKUP(CONCAT(KC4,KD4),'MASTER PLAN'!$AB:$AB,'MASTER PLAN'!$J:$J,0,0)=0,"",XLOOKUP(CONCAT(KC4,KD4),'MASTER PLAN'!$AB:$AB,'MASTER PLAN'!$J:$J,0,0)),"")</f>
        <v>BOLSA PEARL FACTORY 159X90X210MM</v>
      </c>
      <c r="KF4" s="70">
        <v>3000.0</v>
      </c>
      <c r="KG4" s="94"/>
      <c r="KH4" s="71">
        <v>1.402049507E9</v>
      </c>
      <c r="KI4" s="32">
        <v>20.0</v>
      </c>
      <c r="KJ4" s="72" t="str">
        <f t="array" ref="KJ4">IFERROR(IF(XLOOKUP(CONCAT(KH4,KI4),'MASTER PLAN'!$AB:$AB,'MASTER PLAN'!$J:$J,0,0)=0,"",XLOOKUP(CONCAT(KH4,KI4),'MASTER PLAN'!$AB:$AB,'MASTER PLAN'!$J:$J,0,0)),"")</f>
        <v>BOLSA PEARL FACTORY 159X90X210MM</v>
      </c>
      <c r="KK4" s="70">
        <v>500.0</v>
      </c>
      <c r="KL4" s="94"/>
      <c r="KM4" s="71">
        <v>1.402049466E9</v>
      </c>
      <c r="KN4" s="32">
        <v>10.0</v>
      </c>
      <c r="KO4" s="72" t="str">
        <f t="array" ref="KO4">IFERROR(IF(XLOOKUP(CONCAT(KM4,KN4),'MASTER PLAN'!$AB:$AB,'MASTER PLAN'!$J:$J,0,0)=0,"",XLOOKUP(CONCAT(KM4,KN4),'MASTER PLAN'!$AB:$AB,'MASTER PLAN'!$J:$J,0,0)),"")</f>
        <v>BOLSA ROGERS ENTERPRISES 10"X4"X7-75"</v>
      </c>
      <c r="KP4" s="70">
        <v>3000.0</v>
      </c>
      <c r="KQ4" s="94"/>
      <c r="KR4" s="71">
        <v>1.402049466E9</v>
      </c>
      <c r="KS4" s="32">
        <v>10.0</v>
      </c>
      <c r="KT4" s="72" t="str">
        <f t="array" ref="KT4">IFERROR(IF(XLOOKUP(CONCAT(KR4,KS4),'MASTER PLAN'!$AB:$AB,'MASTER PLAN'!$J:$J,0,0)=0,"",XLOOKUP(CONCAT(KR4,KS4),'MASTER PLAN'!$AB:$AB,'MASTER PLAN'!$J:$J,0,0)),"")</f>
        <v>BOLSA ROGERS ENTERPRISES 10"X4"X7-75"</v>
      </c>
      <c r="KU4" s="70">
        <v>3000.0</v>
      </c>
      <c r="KV4" s="94"/>
      <c r="KW4" s="71"/>
      <c r="KX4" s="32"/>
      <c r="KY4" s="72" t="str">
        <f t="array" ref="KY4">IFERROR(IF(XLOOKUP(CONCAT(KW4,KX4),'MASTER PLAN'!$AB:$AB,'MASTER PLAN'!$J:$J,0,0)=0,"",XLOOKUP(CONCAT(KW4,KX4),'MASTER PLAN'!$AB:$AB,'MASTER PLAN'!$J:$J,0,0)),"")</f>
        <v/>
      </c>
      <c r="KZ4" s="70"/>
      <c r="LA4" s="94"/>
      <c r="LB4" s="70"/>
      <c r="LC4" s="71">
        <v>1.402049466E9</v>
      </c>
      <c r="LD4" s="32">
        <v>10.0</v>
      </c>
      <c r="LE4" s="72" t="str">
        <f t="array" ref="LE4">IFERROR(IF(XLOOKUP(CONCAT(LC4,LD4),'MASTER PLAN'!$AB:$AB,'MASTER PLAN'!$J:$J,0,0)=0,"",XLOOKUP(CONCAT(LC4,LD4),'MASTER PLAN'!$AB:$AB,'MASTER PLAN'!$J:$J,0,0)),"")</f>
        <v>BOLSA ROGERS ENTERPRISES 10"X4"X7-75"</v>
      </c>
      <c r="LF4" s="70">
        <v>3000.0</v>
      </c>
      <c r="LG4" s="94"/>
      <c r="LH4" s="71">
        <v>1.402049466E9</v>
      </c>
      <c r="LI4" s="32">
        <v>10.0</v>
      </c>
      <c r="LJ4" s="72" t="str">
        <f t="array" ref="LJ4">IFERROR(IF(XLOOKUP(CONCAT(LH4,LI4),'MASTER PLAN'!$AB:$AB,'MASTER PLAN'!$J:$J,0,0)=0,"",XLOOKUP(CONCAT(LH4,LI4),'MASTER PLAN'!$AB:$AB,'MASTER PLAN'!$J:$J,0,0)),"")</f>
        <v>BOLSA ROGERS ENTERPRISES 10"X4"X7-75"</v>
      </c>
      <c r="LK4" s="70">
        <v>3000.0</v>
      </c>
      <c r="LL4" s="94"/>
      <c r="LM4" s="71">
        <v>1.402049559E9</v>
      </c>
      <c r="LN4" s="32">
        <v>10.0</v>
      </c>
      <c r="LO4" s="72" t="str">
        <f t="array" ref="LO4">IFERROR(IF(XLOOKUP(CONCAT(LM4,LN4),'MASTER PLAN'!$AB:$AB,'MASTER PLAN'!$J:$J,0,0)=0,"",XLOOKUP(CONCAT(LM4,LN4),'MASTER PLAN'!$AB:$AB,'MASTER PLAN'!$J:$J,0,0)),"")</f>
        <v>BOLSA JOYERIA GARZON 4.75"X3.5"X6"</v>
      </c>
      <c r="LP4" s="70">
        <v>2000.0</v>
      </c>
      <c r="LQ4" s="94"/>
      <c r="LR4" s="71"/>
      <c r="LS4" s="32"/>
      <c r="LT4" s="72" t="str">
        <f t="array" ref="LT4">IFERROR(IF(XLOOKUP(CONCAT(LR4,LS4),'MASTER PLAN'!$AB:$AB,'MASTER PLAN'!$J:$J,0,0)=0,"",XLOOKUP(CONCAT(LR4,LS4),'MASTER PLAN'!$AB:$AB,'MASTER PLAN'!$J:$J,0,0)),"")</f>
        <v/>
      </c>
      <c r="LU4" s="70"/>
      <c r="LV4" s="94"/>
      <c r="LW4" s="71"/>
      <c r="LX4" s="32"/>
      <c r="LY4" s="72" t="str">
        <f t="array" ref="LY4">IFERROR(IF(XLOOKUP(CONCAT(LW4,LX4),'MASTER PLAN'!$AB:$AB,'MASTER PLAN'!$J:$J,0,0)=0,"",XLOOKUP(CONCAT(LW4,LX4),'MASTER PLAN'!$AB:$AB,'MASTER PLAN'!$J:$J,0,0)),"")</f>
        <v/>
      </c>
      <c r="LZ4" s="70"/>
      <c r="MA4" s="94"/>
      <c r="MB4" s="71"/>
      <c r="MC4" s="32"/>
      <c r="MD4" s="72" t="str">
        <f t="array" ref="MD4">IFERROR(IF(XLOOKUP(CONCAT(MB4,MC4),'MASTER PLAN'!$AB:$AB,'MASTER PLAN'!$J:$J,0,0)=0,"",XLOOKUP(CONCAT(MB4,MC4),'MASTER PLAN'!$AB:$AB,'MASTER PLAN'!$J:$J,0,0)),"")</f>
        <v/>
      </c>
      <c r="ME4" s="70"/>
      <c r="MF4" s="94"/>
      <c r="MG4" s="70"/>
      <c r="MH4" s="71"/>
      <c r="MI4" s="32"/>
      <c r="MJ4" s="72" t="str">
        <f t="array" ref="MJ4">IFERROR(IF(XLOOKUP(CONCAT(MH4,MI4),'MASTER PLAN'!$AB:$AB,'MASTER PLAN'!$J:$J,0,0)=0,"",XLOOKUP(CONCAT(MH4,MI4),'MASTER PLAN'!$AB:$AB,'MASTER PLAN'!$J:$J,0,0)),"")</f>
        <v/>
      </c>
      <c r="MK4" s="70"/>
      <c r="ML4" s="94"/>
      <c r="MM4" s="71"/>
      <c r="MN4" s="32"/>
      <c r="MO4" s="72" t="str">
        <f t="array" ref="MO4">IFERROR(IF(XLOOKUP(CONCAT(MM4,MN4),'MASTER PLAN'!$AB:$AB,'MASTER PLAN'!$J:$J,0,0)=0,"",XLOOKUP(CONCAT(MM4,MN4),'MASTER PLAN'!$AB:$AB,'MASTER PLAN'!$J:$J,0,0)),"")</f>
        <v/>
      </c>
      <c r="MP4" s="70"/>
      <c r="MQ4" s="94"/>
      <c r="MR4" s="71"/>
      <c r="MS4" s="32"/>
      <c r="MT4" s="72" t="str">
        <f t="array" ref="MT4">IFERROR(IF(XLOOKUP(CONCAT(MR4,MS4),'MASTER PLAN'!$AB:$AB,'MASTER PLAN'!$J:$J,0,0)=0,"",XLOOKUP(CONCAT(MR4,MS4),'MASTER PLAN'!$AB:$AB,'MASTER PLAN'!$J:$J,0,0)),"")</f>
        <v/>
      </c>
      <c r="MU4" s="70"/>
      <c r="MV4" s="94"/>
      <c r="MW4" s="71"/>
      <c r="MX4" s="32"/>
      <c r="MY4" s="72" t="str">
        <f t="array" ref="MY4">IFERROR(IF(XLOOKUP(CONCAT(MW4,MX4),'MASTER PLAN'!$AB:$AB,'MASTER PLAN'!$J:$J,0,0)=0,"",XLOOKUP(CONCAT(MW4,MX4),'MASTER PLAN'!$AB:$AB,'MASTER PLAN'!$J:$J,0,0)),"")</f>
        <v/>
      </c>
      <c r="MZ4" s="70"/>
      <c r="NA4" s="94"/>
      <c r="NB4" s="71"/>
      <c r="NC4" s="32"/>
      <c r="ND4" s="72" t="str">
        <f t="array" ref="ND4">IFERROR(IF(XLOOKUP(CONCAT(NB4,NC4),'MASTER PLAN'!$AB:$AB,'MASTER PLAN'!$J:$J,0,0)=0,"",XLOOKUP(CONCAT(NB4,NC4),'MASTER PLAN'!$AB:$AB,'MASTER PLAN'!$J:$J,0,0)),"")</f>
        <v/>
      </c>
      <c r="NE4" s="70"/>
      <c r="NF4" s="94"/>
      <c r="NG4" s="71"/>
      <c r="NH4" s="32"/>
      <c r="NI4" s="72" t="str">
        <f t="array" ref="NI4">IFERROR(IF(XLOOKUP(CONCAT(NG4,NH4),'MASTER PLAN'!$AB:$AB,'MASTER PLAN'!$J:$J,0,0)=0,"",XLOOKUP(CONCAT(NG4,NH4),'MASTER PLAN'!$AB:$AB,'MASTER PLAN'!$J:$J,0,0)),"")</f>
        <v/>
      </c>
      <c r="NJ4" s="70"/>
      <c r="NK4" s="94"/>
      <c r="NL4" s="70"/>
      <c r="NM4" s="71"/>
      <c r="NN4" s="32"/>
      <c r="NO4" s="72" t="str">
        <f t="array" ref="NO4">IFERROR(IF(XLOOKUP(CONCAT(NM4,NN4),'MASTER PLAN'!$AB:$AB,'MASTER PLAN'!$J:$J,0,0)=0,"",XLOOKUP(CONCAT(NM4,NN4),'MASTER PLAN'!$AB:$AB,'MASTER PLAN'!$J:$J,0,0)),"")</f>
        <v/>
      </c>
      <c r="NP4" s="70"/>
      <c r="NQ4" s="94"/>
      <c r="NR4" s="71"/>
      <c r="NS4" s="32"/>
      <c r="NT4" s="72" t="str">
        <f t="array" ref="NT4">IFERROR(IF(XLOOKUP(CONCAT(NR4,NS4),'MASTER PLAN'!$AB:$AB,'MASTER PLAN'!$J:$J,0,0)=0,"",XLOOKUP(CONCAT(NR4,NS4),'MASTER PLAN'!$AB:$AB,'MASTER PLAN'!$J:$J,0,0)),"")</f>
        <v/>
      </c>
      <c r="NU4" s="70"/>
      <c r="NV4" s="94"/>
      <c r="NW4" s="71"/>
      <c r="NX4" s="32"/>
      <c r="NY4" s="72" t="str">
        <f t="array" ref="NY4">IFERROR(IF(XLOOKUP(CONCAT(NW4,NX4),'MASTER PLAN'!$AB:$AB,'MASTER PLAN'!$J:$J,0,0)=0,"",XLOOKUP(CONCAT(NW4,NX4),'MASTER PLAN'!$AB:$AB,'MASTER PLAN'!$J:$J,0,0)),"")</f>
        <v/>
      </c>
      <c r="NZ4" s="70"/>
      <c r="OA4" s="94"/>
      <c r="OB4" s="71"/>
      <c r="OC4" s="32"/>
      <c r="OD4" s="72" t="str">
        <f t="array" ref="OD4">IFERROR(IF(XLOOKUP(CONCAT(OB4,OC4),'MASTER PLAN'!$AB:$AB,'MASTER PLAN'!$J:$J,0,0)=0,"",XLOOKUP(CONCAT(OB4,OC4),'MASTER PLAN'!$AB:$AB,'MASTER PLAN'!$J:$J,0,0)),"")</f>
        <v/>
      </c>
      <c r="OE4" s="70"/>
      <c r="OF4" s="94"/>
      <c r="OG4" s="71"/>
      <c r="OH4" s="32"/>
      <c r="OI4" s="72" t="str">
        <f t="array" ref="OI4">IFERROR(IF(XLOOKUP(CONCAT(OG4,OH4),'MASTER PLAN'!$AB:$AB,'MASTER PLAN'!$J:$J,0,0)=0,"",XLOOKUP(CONCAT(OG4,OH4),'MASTER PLAN'!$AB:$AB,'MASTER PLAN'!$J:$J,0,0)),"")</f>
        <v/>
      </c>
      <c r="OJ4" s="70"/>
      <c r="OK4" s="94"/>
      <c r="OL4" s="71"/>
      <c r="OM4" s="32"/>
      <c r="ON4" s="72" t="str">
        <f t="array" ref="ON4">IFERROR(IF(XLOOKUP(CONCAT(OL4,OM4),'MASTER PLAN'!$AB:$AB,'MASTER PLAN'!$J:$J,0,0)=0,"",XLOOKUP(CONCAT(OL4,OM4),'MASTER PLAN'!$AB:$AB,'MASTER PLAN'!$J:$J,0,0)),"")</f>
        <v/>
      </c>
      <c r="OO4" s="70"/>
      <c r="OP4" s="94"/>
      <c r="OQ4" s="70"/>
      <c r="OR4" s="70"/>
      <c r="OS4" s="70"/>
      <c r="OT4" s="70"/>
      <c r="OU4" s="70"/>
      <c r="OV4" s="70"/>
      <c r="OW4" s="70"/>
      <c r="OX4" s="70"/>
      <c r="OY4" s="70"/>
      <c r="OZ4" s="70"/>
      <c r="PA4" s="70"/>
      <c r="PB4" s="70"/>
      <c r="PC4" s="70"/>
      <c r="PD4" s="70"/>
      <c r="PE4" s="70"/>
      <c r="PF4" s="70"/>
      <c r="PG4" s="70"/>
      <c r="PH4" s="70"/>
      <c r="PI4" s="70"/>
      <c r="PJ4" s="70"/>
    </row>
    <row r="5">
      <c r="A5" s="42"/>
      <c r="B5" s="74"/>
      <c r="C5" s="69"/>
      <c r="D5" s="70"/>
      <c r="E5" s="71"/>
      <c r="F5" s="32"/>
      <c r="G5" s="72" t="str">
        <f t="array" ref="G5">IFERROR(IF(XLOOKUP(CONCAT(E5,F5),'MASTER PLAN'!$AB:$AB,'MASTER PLAN'!$J:$J,0,0)=0,"",XLOOKUP(CONCAT(E5,F5),'MASTER PLAN'!$AB:$AB,'MASTER PLAN'!$J:$J,0,0)),"")</f>
        <v/>
      </c>
      <c r="H5" s="70"/>
      <c r="I5" s="94"/>
      <c r="J5" s="71"/>
      <c r="K5" s="32"/>
      <c r="L5" s="72" t="str">
        <f t="array" ref="L5">IFERROR(IF(XLOOKUP(CONCAT(J5,K5),'MASTER PLAN'!$AB:$AB,'MASTER PLAN'!$J:$J,0,0)=0,"",XLOOKUP(CONCAT(J5,K5),'MASTER PLAN'!$AB:$AB,'MASTER PLAN'!$J:$J,0,0)),"")</f>
        <v/>
      </c>
      <c r="M5" s="70"/>
      <c r="N5" s="94"/>
      <c r="O5" s="71"/>
      <c r="P5" s="32"/>
      <c r="Q5" s="72" t="str">
        <f t="array" ref="Q5">IFERROR(IF(XLOOKUP(CONCAT(O5,P5),'MASTER PLAN'!$AB:$AB,'MASTER PLAN'!$J:$J,0,0)=0,"",XLOOKUP(CONCAT(O5,P5),'MASTER PLAN'!$AB:$AB,'MASTER PLAN'!$J:$J,0,0)),"")</f>
        <v/>
      </c>
      <c r="R5" s="70"/>
      <c r="S5" s="94"/>
      <c r="T5" s="71"/>
      <c r="U5" s="32"/>
      <c r="V5" s="72" t="str">
        <f t="array" ref="V5">IFERROR(IF(XLOOKUP(CONCAT(T5,U5),'MASTER PLAN'!$AB:$AB,'MASTER PLAN'!$J:$J,0,0)=0,"",XLOOKUP(CONCAT(T5,U5),'MASTER PLAN'!$AB:$AB,'MASTER PLAN'!$J:$J,0,0)),"")</f>
        <v/>
      </c>
      <c r="W5" s="70"/>
      <c r="X5" s="94"/>
      <c r="Y5" s="71"/>
      <c r="Z5" s="32"/>
      <c r="AA5" s="72" t="str">
        <f t="array" ref="AA5">IFERROR(IF(XLOOKUP(CONCAT(Y5,Z5),'MASTER PLAN'!$AB:$AB,'MASTER PLAN'!$J:$J,0,0)=0,"",XLOOKUP(CONCAT(Y5,Z5),'MASTER PLAN'!$AB:$AB,'MASTER PLAN'!$J:$J,0,0)),"")</f>
        <v/>
      </c>
      <c r="AB5" s="70"/>
      <c r="AC5" s="94"/>
      <c r="AD5" s="71"/>
      <c r="AE5" s="32"/>
      <c r="AF5" s="72" t="str">
        <f t="array" ref="AF5">IFERROR(IF(XLOOKUP(CONCAT(AD5,AE5),'MASTER PLAN'!$AB:$AB,'MASTER PLAN'!$J:$J,0,0)=0,"",XLOOKUP(CONCAT(AD5,AE5),'MASTER PLAN'!$AB:$AB,'MASTER PLAN'!$J:$J,0,0)),"")</f>
        <v/>
      </c>
      <c r="AG5" s="70"/>
      <c r="AH5" s="94"/>
      <c r="AI5" s="70"/>
      <c r="AJ5" s="71"/>
      <c r="AK5" s="32"/>
      <c r="AL5" s="72" t="str">
        <f t="array" ref="AL5">IFERROR(IF(XLOOKUP(CONCAT(AJ5,AK5),'MASTER PLAN'!$AB:$AB,'MASTER PLAN'!$J:$J,0,0)=0,"",XLOOKUP(CONCAT(AJ5,AK5),'MASTER PLAN'!$AB:$AB,'MASTER PLAN'!$J:$J,0,0)),"")</f>
        <v/>
      </c>
      <c r="AM5" s="70"/>
      <c r="AN5" s="94"/>
      <c r="AO5" s="71"/>
      <c r="AP5" s="32"/>
      <c r="AQ5" s="72" t="str">
        <f t="array" ref="AQ5">IFERROR(IF(XLOOKUP(CONCAT(AO5,AP5),'MASTER PLAN'!$AB:$AB,'MASTER PLAN'!$J:$J,0,0)=0,"",XLOOKUP(CONCAT(AO5,AP5),'MASTER PLAN'!$AB:$AB,'MASTER PLAN'!$J:$J,0,0)),"")</f>
        <v/>
      </c>
      <c r="AR5" s="70"/>
      <c r="AS5" s="94"/>
      <c r="AT5" s="71"/>
      <c r="AU5" s="32"/>
      <c r="AV5" s="72" t="str">
        <f t="array" ref="AV5">IFERROR(IF(XLOOKUP(CONCAT(AT5,AU5),'MASTER PLAN'!$AB:$AB,'MASTER PLAN'!$J:$J,0,0)=0,"",XLOOKUP(CONCAT(AT5,AU5),'MASTER PLAN'!$AB:$AB,'MASTER PLAN'!$J:$J,0,0)),"")</f>
        <v/>
      </c>
      <c r="AW5" s="70"/>
      <c r="AX5" s="94"/>
      <c r="AY5" s="71"/>
      <c r="AZ5" s="32"/>
      <c r="BA5" s="72" t="str">
        <f t="array" ref="BA5">IFERROR(IF(XLOOKUP(CONCAT(AY5,AZ5),'MASTER PLAN'!$AB:$AB,'MASTER PLAN'!$J:$J,0,0)=0,"",XLOOKUP(CONCAT(AY5,AZ5),'MASTER PLAN'!$AB:$AB,'MASTER PLAN'!$J:$J,0,0)),"")</f>
        <v/>
      </c>
      <c r="BB5" s="70"/>
      <c r="BC5" s="94"/>
      <c r="BD5" s="71"/>
      <c r="BE5" s="32"/>
      <c r="BF5" s="72" t="str">
        <f t="array" ref="BF5">IFERROR(IF(XLOOKUP(CONCAT(BD5,BE5),'MASTER PLAN'!$AB:$AB,'MASTER PLAN'!$J:$J,0,0)=0,"",XLOOKUP(CONCAT(BD5,BE5),'MASTER PLAN'!$AB:$AB,'MASTER PLAN'!$J:$J,0,0)),"")</f>
        <v/>
      </c>
      <c r="BG5" s="70"/>
      <c r="BH5" s="94"/>
      <c r="BI5" s="71"/>
      <c r="BJ5" s="32"/>
      <c r="BK5" s="72" t="str">
        <f t="array" ref="BK5">IFERROR(IF(XLOOKUP(CONCAT(BI5,BJ5),'MASTER PLAN'!$AB:$AB,'MASTER PLAN'!$J:$J,0,0)=0,"",XLOOKUP(CONCAT(BI5,BJ5),'MASTER PLAN'!$AB:$AB,'MASTER PLAN'!$J:$J,0,0)),"")</f>
        <v/>
      </c>
      <c r="BL5" s="70"/>
      <c r="BM5" s="94"/>
      <c r="BN5" s="70"/>
      <c r="BO5" s="71">
        <v>1.402049277E9</v>
      </c>
      <c r="BP5" s="32">
        <v>30.0</v>
      </c>
      <c r="BQ5" s="72" t="str">
        <f t="array" ref="BQ5">IFERROR(IF(XLOOKUP(CONCAT(BO5,BP5),'MASTER PLAN'!$AB:$AB,'MASTER PLAN'!$J:$J,0,0)=0,"",XLOOKUP(CONCAT(BO5,BP5),'MASTER PLAN'!$AB:$AB,'MASTER PLAN'!$J:$J,0,0)),"")</f>
        <v>BOLSA ELEGANCE 4-5X2-5X5-75 IN FL</v>
      </c>
      <c r="BR5" s="70">
        <v>1200.0</v>
      </c>
      <c r="BS5" s="94">
        <v>1200.0</v>
      </c>
      <c r="BT5" s="71">
        <v>1.402049277E9</v>
      </c>
      <c r="BU5" s="32">
        <v>10.0</v>
      </c>
      <c r="BV5" s="72" t="str">
        <f t="array" ref="BV5">IFERROR(IF(XLOOKUP(CONCAT(BT5,BU5),'MASTER PLAN'!$AB:$AB,'MASTER PLAN'!$J:$J,0,0)=0,"",XLOOKUP(CONCAT(BT5,BU5),'MASTER PLAN'!$AB:$AB,'MASTER PLAN'!$J:$J,0,0)),"")</f>
        <v>BOLSA ELEGANCE 8X4X10 IN FL</v>
      </c>
      <c r="BW5" s="70">
        <v>200.0</v>
      </c>
      <c r="BX5" s="94">
        <v>200.0</v>
      </c>
      <c r="BY5" s="71">
        <v>1.402049194E9</v>
      </c>
      <c r="BZ5" s="32">
        <v>10.0</v>
      </c>
      <c r="CA5" s="72" t="str">
        <f t="array" ref="CA5">IFERROR(IF(XLOOKUP(CONCAT(BY5,BZ5),'MASTER PLAN'!$AB:$AB,'MASTER PLAN'!$J:$J,0,0)=0,"",XLOOKUP(CONCAT(BY5,BZ5),'MASTER PLAN'!$AB:$AB,'MASTER PLAN'!$J:$J,0,0)),"")</f>
        <v>BOLSA ALMAGEN CORP 8"X4"X10"</v>
      </c>
      <c r="CB5" s="70">
        <v>2000.0</v>
      </c>
      <c r="CC5" s="94"/>
      <c r="CD5" s="71"/>
      <c r="CE5" s="32"/>
      <c r="CF5" s="72" t="str">
        <f t="array" ref="CF5">IFERROR(IF(XLOOKUP(CONCAT(CD5,CE5),'MASTER PLAN'!$AB:$AB,'MASTER PLAN'!$J:$J,0,0)=0,"",XLOOKUP(CONCAT(CD5,CE5),'MASTER PLAN'!$AB:$AB,'MASTER PLAN'!$J:$J,0,0)),"")</f>
        <v/>
      </c>
      <c r="CG5" s="70"/>
      <c r="CH5" s="94"/>
      <c r="CI5" s="71">
        <v>1.402049342E9</v>
      </c>
      <c r="CJ5" s="32">
        <v>20.0</v>
      </c>
      <c r="CK5" s="72" t="str">
        <f t="array" ref="CK5">IFERROR(IF(XLOOKUP(CONCAT(CI5,CJ5),'MASTER PLAN'!$AB:$AB,'MASTER PLAN'!$J:$J,0,0)=0,"",XLOOKUP(CONCAT(CI5,CJ5),'MASTER PLAN'!$AB:$AB,'MASTER PLAN'!$J:$J,0,0)),"")</f>
        <v>BOLSA SHARFMANS JLRS 10"X4"X8"</v>
      </c>
      <c r="CL5" s="70">
        <v>1500.0</v>
      </c>
      <c r="CM5" s="94"/>
      <c r="CN5" s="71"/>
      <c r="CO5" s="32"/>
      <c r="CP5" s="72" t="str">
        <f t="array" ref="CP5">IFERROR(IF(XLOOKUP(CONCAT(CN5,CO5),'MASTER PLAN'!$AB:$AB,'MASTER PLAN'!$J:$J,0,0)=0,"",XLOOKUP(CONCAT(CN5,CO5),'MASTER PLAN'!$AB:$AB,'MASTER PLAN'!$J:$J,0,0)),"")</f>
        <v/>
      </c>
      <c r="CQ5" s="70"/>
      <c r="CR5" s="94"/>
      <c r="CS5" s="70"/>
      <c r="CT5" s="71"/>
      <c r="CU5" s="32"/>
      <c r="CV5" s="72" t="str">
        <f t="array" ref="CV5">IFERROR(IF(XLOOKUP(CONCAT(CT5,CU5),'MASTER PLAN'!$AB:$AB,'MASTER PLAN'!$J:$J,0,0)=0,"",XLOOKUP(CONCAT(CT5,CU5),'MASTER PLAN'!$AB:$AB,'MASTER PLAN'!$J:$J,0,0)),"")</f>
        <v/>
      </c>
      <c r="CW5" s="70"/>
      <c r="CX5" s="94"/>
      <c r="CY5" s="71">
        <v>1.402049349E9</v>
      </c>
      <c r="CZ5" s="32">
        <v>20.0</v>
      </c>
      <c r="DA5" s="72" t="str">
        <f t="array" ref="DA5">IFERROR(IF(XLOOKUP(CONCAT(CY5,CZ5),'MASTER PLAN'!$AB:$AB,'MASTER PLAN'!$J:$J,0,0)=0,"",XLOOKUP(CONCAT(CY5,CZ5),'MASTER PLAN'!$AB:$AB,'MASTER PLAN'!$J:$J,0,0)),"")</f>
        <v>BOLSA WSHN WOS 17"X7"X14" FA</v>
      </c>
      <c r="DB5" s="70">
        <v>600.0</v>
      </c>
      <c r="DC5" s="94"/>
      <c r="DD5" s="71">
        <v>1.40204935E9</v>
      </c>
      <c r="DE5" s="32">
        <v>30.0</v>
      </c>
      <c r="DF5" s="72" t="str">
        <f t="array" ref="DF5">IFERROR(IF(XLOOKUP(CONCAT(DD5,DE5),'MASTER PLAN'!$AB:$AB,'MASTER PLAN'!$J:$J,0,0)=0,"",XLOOKUP(CONCAT(DD5,DE5),'MASTER PLAN'!$AB:$AB,'MASTER PLAN'!$J:$J,0,0)),"")</f>
        <v>BOLSA WSMJ MAYORS WOS 17"X7"X14" FA</v>
      </c>
      <c r="DG5" s="70">
        <v>1400.0</v>
      </c>
      <c r="DH5" s="94"/>
      <c r="DI5" s="71"/>
      <c r="DJ5" s="32"/>
      <c r="DK5" s="72" t="str">
        <f t="array" ref="DK5">IFERROR(IF(XLOOKUP(CONCAT(DI5,DJ5),'MASTER PLAN'!$AB:$AB,'MASTER PLAN'!$J:$J,0,0)=0,"",XLOOKUP(CONCAT(DI5,DJ5),'MASTER PLAN'!$AB:$AB,'MASTER PLAN'!$J:$J,0,0)),"")</f>
        <v/>
      </c>
      <c r="DL5" s="70"/>
      <c r="DM5" s="94"/>
      <c r="DN5" s="97">
        <v>1.402049363E9</v>
      </c>
      <c r="DO5" s="96">
        <v>10.0</v>
      </c>
      <c r="DP5" s="72" t="str">
        <f t="array" ref="DP5">IFERROR(IF(XLOOKUP(CONCAT(DN5,DO5),'MASTER PLAN'!$AB:$AB,'MASTER PLAN'!$J:$J,0,0)=0,"",XLOOKUP(CONCAT(DN5,DO5),'MASTER PLAN'!$AB:$AB,'MASTER PLAN'!$J:$J,0,0)),"")</f>
        <v>BOLSA BELUM 11X7X14-5 CM FL</v>
      </c>
      <c r="DQ5" s="70">
        <v>550.0</v>
      </c>
      <c r="DR5" s="94"/>
      <c r="DS5" s="71"/>
      <c r="DT5" s="32"/>
      <c r="DU5" s="72" t="str">
        <f t="array" ref="DU5">IFERROR(IF(XLOOKUP(CONCAT(DS5,DT5),'MASTER PLAN'!$AB:$AB,'MASTER PLAN'!$J:$J,0,0)=0,"",XLOOKUP(CONCAT(DS5,DT5),'MASTER PLAN'!$AB:$AB,'MASTER PLAN'!$J:$J,0,0)),"")</f>
        <v/>
      </c>
      <c r="DV5" s="70"/>
      <c r="DW5" s="94"/>
      <c r="DX5" s="70"/>
      <c r="DY5" s="97"/>
      <c r="DZ5" s="96"/>
      <c r="EA5" s="72" t="str">
        <f t="array" ref="EA5">IFERROR(IF(XLOOKUP(CONCAT(DY5,DZ5),'MASTER PLAN'!$AB:$AB,'MASTER PLAN'!$J:$J,0,0)=0,"",XLOOKUP(CONCAT(DY5,DZ5),'MASTER PLAN'!$AB:$AB,'MASTER PLAN'!$J:$J,0,0)),"")</f>
        <v/>
      </c>
      <c r="EB5" s="70"/>
      <c r="EC5" s="94"/>
      <c r="ED5" s="97">
        <v>1.402049263E9</v>
      </c>
      <c r="EE5" s="96">
        <v>10.0</v>
      </c>
      <c r="EF5" s="72" t="str">
        <f t="array" ref="EF5">IFERROR(IF(XLOOKUP(CONCAT(ED5,EE5),'MASTER PLAN'!$AB:$AB,'MASTER PLAN'!$J:$J,0,0)=0,"",XLOOKUP(CONCAT(ED5,EE5),'MASTER PLAN'!$AB:$AB,'MASTER PLAN'!$J:$J,0,0)),"")</f>
        <v>FOLDER GOLD CASTER LAWRENCE</v>
      </c>
      <c r="EG5" s="70">
        <v>800.0</v>
      </c>
      <c r="EH5" s="94"/>
      <c r="EI5" s="71">
        <v>1.402048833E9</v>
      </c>
      <c r="EJ5" s="32">
        <v>20.0</v>
      </c>
      <c r="EK5" s="72" t="str">
        <f t="array" ref="EK5">IFERROR(IF(XLOOKUP(CONCAT(EI5,EJ5),'MASTER PLAN'!$AB:$AB,'MASTER PLAN'!$J:$J,0,0)=0,"",XLOOKUP(CONCAT(EI5,EJ5),'MASTER PLAN'!$AB:$AB,'MASTER PLAN'!$J:$J,0,0)),"")</f>
        <v>BOLSA FRED MEYER 10"X4"X8"</v>
      </c>
      <c r="EL5" s="70">
        <v>750.0</v>
      </c>
      <c r="EM5" s="94"/>
      <c r="EN5" s="71"/>
      <c r="EO5" s="32"/>
      <c r="EP5" s="72" t="str">
        <f t="array" ref="EP5">IFERROR(IF(XLOOKUP(CONCAT(EN5,EO5),'MASTER PLAN'!$AB:$AB,'MASTER PLAN'!$J:$J,0,0)=0,"",XLOOKUP(CONCAT(EN5,EO5),'MASTER PLAN'!$AB:$AB,'MASTER PLAN'!$J:$J,0,0)),"")</f>
        <v/>
      </c>
      <c r="EQ5" s="70"/>
      <c r="ER5" s="94"/>
      <c r="ES5" s="71"/>
      <c r="ET5" s="32"/>
      <c r="EU5" s="72" t="str">
        <f t="array" ref="EU5">IFERROR(IF(XLOOKUP(CONCAT(ES5,ET5),'MASTER PLAN'!$AB:$AB,'MASTER PLAN'!$J:$J,0,0)=0,"",XLOOKUP(CONCAT(ES5,ET5),'MASTER PLAN'!$AB:$AB,'MASTER PLAN'!$J:$J,0,0)),"")</f>
        <v/>
      </c>
      <c r="EV5" s="70"/>
      <c r="EW5" s="94"/>
      <c r="EX5" s="71"/>
      <c r="EY5" s="32"/>
      <c r="EZ5" s="72" t="str">
        <f t="array" ref="EZ5">IFERROR(IF(XLOOKUP(CONCAT(EX5,EY5),'MASTER PLAN'!$AB:$AB,'MASTER PLAN'!$J:$J,0,0)=0,"",XLOOKUP(CONCAT(EX5,EY5),'MASTER PLAN'!$AB:$AB,'MASTER PLAN'!$J:$J,0,0)),"")</f>
        <v/>
      </c>
      <c r="FA5" s="70"/>
      <c r="FB5" s="94"/>
      <c r="FC5" s="70"/>
      <c r="FD5" s="71">
        <v>1.402049349E9</v>
      </c>
      <c r="FE5" s="32">
        <v>20.0</v>
      </c>
      <c r="FF5" s="72" t="str">
        <f t="array" ref="FF5">IFERROR(IF(XLOOKUP(CONCAT(FD5,FE5),'MASTER PLAN'!$AB:$AB,'MASTER PLAN'!$J:$J,0,0)=0,"",XLOOKUP(CONCAT(FD5,FE5),'MASTER PLAN'!$AB:$AB,'MASTER PLAN'!$J:$J,0,0)),"")</f>
        <v>BOLSA WSHN WOS 17"X7"X14" FA</v>
      </c>
      <c r="FG5" s="70">
        <v>150.0</v>
      </c>
      <c r="FH5" s="94"/>
      <c r="FI5" s="71">
        <v>1.40204935E9</v>
      </c>
      <c r="FJ5" s="32">
        <v>30.0</v>
      </c>
      <c r="FK5" s="72" t="str">
        <f t="array" ref="FK5">IFERROR(IF(XLOOKUP(CONCAT(FI5,FJ5),'MASTER PLAN'!$AB:$AB,'MASTER PLAN'!$J:$J,0,0)=0,"",XLOOKUP(CONCAT(FI5,FJ5),'MASTER PLAN'!$AB:$AB,'MASTER PLAN'!$J:$J,0,0)),"")</f>
        <v>BOLSA WSMJ MAYORS WOS 17"X7"X14" FA</v>
      </c>
      <c r="FL5" s="70">
        <v>100.0</v>
      </c>
      <c r="FM5" s="94"/>
      <c r="FN5" s="71">
        <v>1.402048632E9</v>
      </c>
      <c r="FO5" s="32">
        <v>10.0</v>
      </c>
      <c r="FP5" s="72" t="str">
        <f t="array" ref="FP5">IFERROR(IF(XLOOKUP(CONCAT(FN5,FO5),'MASTER PLAN'!$AB:$AB,'MASTER PLAN'!$J:$J,0,0)=0,"",XLOOKUP(CONCAT(FN5,FO5),'MASTER PLAN'!$AB:$AB,'MASTER PLAN'!$J:$J,0,0)),"")</f>
        <v>BOLSA ROGERS ENTERPRISES 10"X4"X7-75"</v>
      </c>
      <c r="FQ5" s="70">
        <v>300.0</v>
      </c>
      <c r="FR5" s="94"/>
      <c r="FS5" s="71"/>
      <c r="FT5" s="32"/>
      <c r="FU5" s="72" t="str">
        <f t="array" ref="FU5">IFERROR(IF(XLOOKUP(CONCAT(FS5,FT5),'MASTER PLAN'!$AB:$AB,'MASTER PLAN'!$J:$J,0,0)=0,"",XLOOKUP(CONCAT(FS5,FT5),'MASTER PLAN'!$AB:$AB,'MASTER PLAN'!$J:$J,0,0)),"")</f>
        <v/>
      </c>
      <c r="FV5" s="70"/>
      <c r="FW5" s="94"/>
      <c r="FX5" s="71"/>
      <c r="FY5" s="32"/>
      <c r="FZ5" s="72" t="str">
        <f t="array" ref="FZ5">IFERROR(IF(XLOOKUP(CONCAT(FX5,FY5),'MASTER PLAN'!$AB:$AB,'MASTER PLAN'!$J:$J,0,0)=0,"",XLOOKUP(CONCAT(FX5,FY5),'MASTER PLAN'!$AB:$AB,'MASTER PLAN'!$J:$J,0,0)),"")</f>
        <v/>
      </c>
      <c r="GA5" s="70"/>
      <c r="GB5" s="94"/>
      <c r="GC5" s="71"/>
      <c r="GD5" s="32"/>
      <c r="GE5" s="72" t="str">
        <f t="array" ref="GE5">IFERROR(IF(XLOOKUP(CONCAT(GC5,GD5),'MASTER PLAN'!$AB:$AB,'MASTER PLAN'!$J:$J,0,0)=0,"",XLOOKUP(CONCAT(GC5,GD5),'MASTER PLAN'!$AB:$AB,'MASTER PLAN'!$J:$J,0,0)),"")</f>
        <v/>
      </c>
      <c r="GF5" s="70"/>
      <c r="GG5" s="94"/>
      <c r="GH5" s="70"/>
      <c r="GI5" s="71"/>
      <c r="GJ5" s="32"/>
      <c r="GK5" s="72" t="str">
        <f t="array" ref="GK5">IFERROR(IF(XLOOKUP(CONCAT(GI5,GJ5),'MASTER PLAN'!$AB:$AB,'MASTER PLAN'!$J:$J,0,0)=0,"",XLOOKUP(CONCAT(GI5,GJ5),'MASTER PLAN'!$AB:$AB,'MASTER PLAN'!$J:$J,0,0)),"")</f>
        <v/>
      </c>
      <c r="GL5" s="70"/>
      <c r="GM5" s="94"/>
      <c r="GN5" s="71">
        <v>1.402049351E9</v>
      </c>
      <c r="GO5" s="32">
        <v>20.0</v>
      </c>
      <c r="GP5" s="72" t="str">
        <f t="array" ref="GP5">IFERROR(IF(XLOOKUP(CONCAT(GN5,GO5),'MASTER PLAN'!$AB:$AB,'MASTER PLAN'!$J:$J,0,0)=0,"",XLOOKUP(CONCAT(GN5,GO5),'MASTER PLAN'!$AB:$AB,'MASTER PLAN'!$J:$J,0,0)),"")</f>
        <v>BOLSA WATERFALL JEWELERS 8"X4"X10"</v>
      </c>
      <c r="GQ5" s="70">
        <v>1000.0</v>
      </c>
      <c r="GR5" s="94"/>
      <c r="GS5" s="71">
        <v>1.402049419E9</v>
      </c>
      <c r="GT5" s="32">
        <v>10.0</v>
      </c>
      <c r="GU5" s="72" t="str">
        <f t="array" ref="GU5">IFERROR(IF(XLOOKUP(CONCAT(GS5,GT5),'MASTER PLAN'!$AB:$AB,'MASTER PLAN'!$J:$J,0,0)=0,"",XLOOKUP(CONCAT(GS5,GT5),'MASTER PLAN'!$AB:$AB,'MASTER PLAN'!$J:$J,0,0)),"")</f>
        <v>BOLSA COMERCIAL SORIA 10X4X8 IN FC</v>
      </c>
      <c r="GV5" s="70">
        <v>500.0</v>
      </c>
      <c r="GW5" s="94"/>
      <c r="GX5" s="97">
        <v>1.40204949E9</v>
      </c>
      <c r="GY5" s="96">
        <v>10.0</v>
      </c>
      <c r="GZ5" s="72" t="str">
        <f t="array" ref="GZ5">IFERROR(IF(XLOOKUP(CONCAT(GX5,GY5),'MASTER PLAN'!$AB:$AB,'MASTER PLAN'!$J:$J,0,0)=0,"",XLOOKUP(CONCAT(GX5,GY5),'MASTER PLAN'!$AB:$AB,'MASTER PLAN'!$J:$J,0,0)),"")</f>
        <v>BOLSA MAZZARESE 6-5"X3-5X6-5"</v>
      </c>
      <c r="HA5" s="70">
        <v>1500.0</v>
      </c>
      <c r="HB5" s="94"/>
      <c r="HC5" s="71"/>
      <c r="HD5" s="32"/>
      <c r="HE5" s="72" t="str">
        <f t="array" ref="HE5">IFERROR(IF(XLOOKUP(CONCAT(HC5,HD5),'MASTER PLAN'!$AB:$AB,'MASTER PLAN'!$J:$J,0,0)=0,"",XLOOKUP(CONCAT(HC5,HD5),'MASTER PLAN'!$AB:$AB,'MASTER PLAN'!$J:$J,0,0)),"")</f>
        <v/>
      </c>
      <c r="HF5" s="70"/>
      <c r="HG5" s="94"/>
      <c r="HH5" s="71"/>
      <c r="HI5" s="32"/>
      <c r="HJ5" s="72" t="str">
        <f t="array" ref="HJ5">IFERROR(IF(XLOOKUP(CONCAT(HH5,HI5),'MASTER PLAN'!$AB:$AB,'MASTER PLAN'!$J:$J,0,0)=0,"",XLOOKUP(CONCAT(HH5,HI5),'MASTER PLAN'!$AB:$AB,'MASTER PLAN'!$J:$J,0,0)),"")</f>
        <v/>
      </c>
      <c r="HK5" s="70"/>
      <c r="HL5" s="94"/>
      <c r="HM5" s="70"/>
      <c r="HN5" s="71"/>
      <c r="HO5" s="32"/>
      <c r="HP5" s="72" t="str">
        <f t="array" ref="HP5">IFERROR(IF(XLOOKUP(CONCAT(HN5,HO5),'MASTER PLAN'!$AB:$AB,'MASTER PLAN'!$J:$J,0,0)=0,"",XLOOKUP(CONCAT(HN5,HO5),'MASTER PLAN'!$AB:$AB,'MASTER PLAN'!$J:$J,0,0)),"")</f>
        <v/>
      </c>
      <c r="HQ5" s="70"/>
      <c r="HR5" s="94"/>
      <c r="HS5" s="71">
        <v>1.40204948E9</v>
      </c>
      <c r="HT5" s="32">
        <v>20.0</v>
      </c>
      <c r="HU5" s="72" t="str">
        <f t="array" ref="HU5">IFERROR(IF(XLOOKUP(CONCAT(HS5,HT5),'MASTER PLAN'!$AB:$AB,'MASTER PLAN'!$J:$J,0,0)=0,"",XLOOKUP(CONCAT(HS5,HT5),'MASTER PLAN'!$AB:$AB,'MASTER PLAN'!$J:$J,0,0)),"")</f>
        <v>BOLSA LEE BRANT  8"X4"X10"</v>
      </c>
      <c r="HV5" s="70">
        <v>1000.0</v>
      </c>
      <c r="HW5" s="94"/>
      <c r="HX5" s="71"/>
      <c r="HY5" s="32"/>
      <c r="HZ5" s="72" t="str">
        <f t="array" ref="HZ5">IFERROR(IF(XLOOKUP(CONCAT(HX5,HY5),'MASTER PLAN'!$AB:$AB,'MASTER PLAN'!$J:$J,0,0)=0,"",XLOOKUP(CONCAT(HX5,HY5),'MASTER PLAN'!$AB:$AB,'MASTER PLAN'!$J:$J,0,0)),"")</f>
        <v/>
      </c>
      <c r="IA5" s="70"/>
      <c r="IB5" s="94"/>
      <c r="IC5" s="90"/>
      <c r="ID5" s="91"/>
      <c r="IE5" s="72" t="str">
        <f t="array" ref="IE5">IFERROR(IF(XLOOKUP(CONCAT(IC5,ID5),'MASTER PLAN'!$AB:$AB,'MASTER PLAN'!$J:$J,0,0)=0,"",XLOOKUP(CONCAT(IC5,ID5),'MASTER PLAN'!$AB:$AB,'MASTER PLAN'!$J:$J,0,0)),"")</f>
        <v/>
      </c>
      <c r="IF5" s="70"/>
      <c r="IG5" s="94"/>
      <c r="IH5" s="71"/>
      <c r="II5" s="32"/>
      <c r="IJ5" s="72" t="str">
        <f t="array" ref="IJ5">IFERROR(IF(XLOOKUP(CONCAT(IH5,II5),'MASTER PLAN'!$AB:$AB,'MASTER PLAN'!$J:$J,0,0)=0,"",XLOOKUP(CONCAT(IH5,II5),'MASTER PLAN'!$AB:$AB,'MASTER PLAN'!$J:$J,0,0)),"")</f>
        <v/>
      </c>
      <c r="IK5" s="70"/>
      <c r="IL5" s="94"/>
      <c r="IM5" s="71"/>
      <c r="IN5" s="32"/>
      <c r="IO5" s="72" t="str">
        <f t="array" ref="IO5">IFERROR(IF(XLOOKUP(CONCAT(IM5,IN5),'MASTER PLAN'!$AB:$AB,'MASTER PLAN'!$J:$J,0,0)=0,"",XLOOKUP(CONCAT(IM5,IN5),'MASTER PLAN'!$AB:$AB,'MASTER PLAN'!$J:$J,0,0)),"")</f>
        <v/>
      </c>
      <c r="IP5" s="70"/>
      <c r="IQ5" s="94"/>
      <c r="IR5" s="70"/>
      <c r="IS5" s="71"/>
      <c r="IT5" s="32"/>
      <c r="IU5" s="72" t="str">
        <f t="array" ref="IU5">IFERROR(IF(XLOOKUP(CONCAT(IS5,IT5),'MASTER PLAN'!$AB:$AB,'MASTER PLAN'!$J:$J,0,0)=0,"",XLOOKUP(CONCAT(IS5,IT5),'MASTER PLAN'!$AB:$AB,'MASTER PLAN'!$J:$J,0,0)),"")</f>
        <v/>
      </c>
      <c r="IV5" s="70"/>
      <c r="IW5" s="94"/>
      <c r="IX5" s="71"/>
      <c r="IY5" s="32"/>
      <c r="IZ5" s="72" t="str">
        <f t="array" ref="IZ5">IFERROR(IF(XLOOKUP(CONCAT(IX5,IY5),'MASTER PLAN'!$AB:$AB,'MASTER PLAN'!$J:$J,0,0)=0,"",XLOOKUP(CONCAT(IX5,IY5),'MASTER PLAN'!$AB:$AB,'MASTER PLAN'!$J:$J,0,0)),"")</f>
        <v/>
      </c>
      <c r="JA5" s="70"/>
      <c r="JB5" s="94"/>
      <c r="JC5" s="71"/>
      <c r="JD5" s="32"/>
      <c r="JE5" s="72" t="str">
        <f t="array" ref="JE5">IFERROR(IF(XLOOKUP(CONCAT(JC5,JD5),'MASTER PLAN'!$AB:$AB,'MASTER PLAN'!$J:$J,0,0)=0,"",XLOOKUP(CONCAT(JC5,JD5),'MASTER PLAN'!$AB:$AB,'MASTER PLAN'!$J:$J,0,0)),"")</f>
        <v/>
      </c>
      <c r="JF5" s="70"/>
      <c r="JG5" s="94"/>
      <c r="JH5" s="90"/>
      <c r="JI5" s="91"/>
      <c r="JJ5" s="72" t="str">
        <f t="array" ref="JJ5">IFERROR(IF(XLOOKUP(CONCAT(JH5,JI5),'MASTER PLAN'!$AB:$AB,'MASTER PLAN'!$J:$J,0,0)=0,"",XLOOKUP(CONCAT(JH5,JI5),'MASTER PLAN'!$AB:$AB,'MASTER PLAN'!$J:$J,0,0)),"")</f>
        <v/>
      </c>
      <c r="JK5" s="70"/>
      <c r="JL5" s="94"/>
      <c r="JM5" s="71"/>
      <c r="JN5" s="32"/>
      <c r="JO5" s="72" t="str">
        <f t="array" ref="JO5">IFERROR(IF(XLOOKUP(CONCAT(JM5,JN5),'MASTER PLAN'!$AB:$AB,'MASTER PLAN'!$J:$J,0,0)=0,"",XLOOKUP(CONCAT(JM5,JN5),'MASTER PLAN'!$AB:$AB,'MASTER PLAN'!$J:$J,0,0)),"")</f>
        <v/>
      </c>
      <c r="JP5" s="70"/>
      <c r="JQ5" s="94"/>
      <c r="JR5" s="71"/>
      <c r="JS5" s="32"/>
      <c r="JT5" s="72" t="str">
        <f t="array" ref="JT5">IFERROR(IF(XLOOKUP(CONCAT(JR5,JS5),'MASTER PLAN'!$AB:$AB,'MASTER PLAN'!$J:$J,0,0)=0,"",XLOOKUP(CONCAT(JR5,JS5),'MASTER PLAN'!$AB:$AB,'MASTER PLAN'!$J:$J,0,0)),"")</f>
        <v/>
      </c>
      <c r="JU5" s="70"/>
      <c r="JV5" s="94"/>
      <c r="JW5" s="70"/>
      <c r="JX5" s="71"/>
      <c r="JY5" s="32"/>
      <c r="JZ5" s="72" t="str">
        <f t="array" ref="JZ5">IFERROR(IF(XLOOKUP(CONCAT(JX5,JY5),'MASTER PLAN'!$AB:$AB,'MASTER PLAN'!$J:$J,0,0)=0,"",XLOOKUP(CONCAT(JX5,JY5),'MASTER PLAN'!$AB:$AB,'MASTER PLAN'!$J:$J,0,0)),"")</f>
        <v/>
      </c>
      <c r="KA5" s="70"/>
      <c r="KB5" s="94"/>
      <c r="KC5" s="71"/>
      <c r="KD5" s="32"/>
      <c r="KE5" s="72" t="str">
        <f t="array" ref="KE5">IFERROR(IF(XLOOKUP(CONCAT(KC5,KD5),'MASTER PLAN'!$AB:$AB,'MASTER PLAN'!$J:$J,0,0)=0,"",XLOOKUP(CONCAT(KC5,KD5),'MASTER PLAN'!$AB:$AB,'MASTER PLAN'!$J:$J,0,0)),"")</f>
        <v/>
      </c>
      <c r="KF5" s="70"/>
      <c r="KG5" s="94"/>
      <c r="KH5" s="71">
        <v>1.402049466E9</v>
      </c>
      <c r="KI5" s="32">
        <v>10.0</v>
      </c>
      <c r="KJ5" s="72" t="str">
        <f t="array" ref="KJ5">IFERROR(IF(XLOOKUP(CONCAT(KH5,KI5),'MASTER PLAN'!$AB:$AB,'MASTER PLAN'!$J:$J,0,0)=0,"",XLOOKUP(CONCAT(KH5,KI5),'MASTER PLAN'!$AB:$AB,'MASTER PLAN'!$J:$J,0,0)),"")</f>
        <v>BOLSA ROGERS ENTERPRISES 10"X4"X7-75"</v>
      </c>
      <c r="KK5" s="70">
        <v>2500.0</v>
      </c>
      <c r="KL5" s="94"/>
      <c r="KM5" s="71"/>
      <c r="KN5" s="32"/>
      <c r="KO5" s="72" t="str">
        <f t="array" ref="KO5">IFERROR(IF(XLOOKUP(CONCAT(KM5,KN5),'MASTER PLAN'!$AB:$AB,'MASTER PLAN'!$J:$J,0,0)=0,"",XLOOKUP(CONCAT(KM5,KN5),'MASTER PLAN'!$AB:$AB,'MASTER PLAN'!$J:$J,0,0)),"")</f>
        <v/>
      </c>
      <c r="KP5" s="70"/>
      <c r="KQ5" s="94"/>
      <c r="KR5" s="71"/>
      <c r="KS5" s="32"/>
      <c r="KT5" s="72" t="str">
        <f t="array" ref="KT5">IFERROR(IF(XLOOKUP(CONCAT(KR5,KS5),'MASTER PLAN'!$AB:$AB,'MASTER PLAN'!$J:$J,0,0)=0,"",XLOOKUP(CONCAT(KR5,KS5),'MASTER PLAN'!$AB:$AB,'MASTER PLAN'!$J:$J,0,0)),"")</f>
        <v/>
      </c>
      <c r="KU5" s="70"/>
      <c r="KV5" s="94"/>
      <c r="KW5" s="71"/>
      <c r="KX5" s="32"/>
      <c r="KY5" s="72" t="str">
        <f t="array" ref="KY5">IFERROR(IF(XLOOKUP(CONCAT(KW5,KX5),'MASTER PLAN'!$AB:$AB,'MASTER PLAN'!$J:$J,0,0)=0,"",XLOOKUP(CONCAT(KW5,KX5),'MASTER PLAN'!$AB:$AB,'MASTER PLAN'!$J:$J,0,0)),"")</f>
        <v/>
      </c>
      <c r="KZ5" s="70"/>
      <c r="LA5" s="94"/>
      <c r="LB5" s="70"/>
      <c r="LC5" s="71"/>
      <c r="LD5" s="32"/>
      <c r="LE5" s="72" t="str">
        <f t="array" ref="LE5">IFERROR(IF(XLOOKUP(CONCAT(LC5,LD5),'MASTER PLAN'!$AB:$AB,'MASTER PLAN'!$J:$J,0,0)=0,"",XLOOKUP(CONCAT(LC5,LD5),'MASTER PLAN'!$AB:$AB,'MASTER PLAN'!$J:$J,0,0)),"")</f>
        <v/>
      </c>
      <c r="LF5" s="70"/>
      <c r="LG5" s="94"/>
      <c r="LH5" s="71"/>
      <c r="LI5" s="32"/>
      <c r="LJ5" s="72" t="str">
        <f t="array" ref="LJ5">IFERROR(IF(XLOOKUP(CONCAT(LH5,LI5),'MASTER PLAN'!$AB:$AB,'MASTER PLAN'!$J:$J,0,0)=0,"",XLOOKUP(CONCAT(LH5,LI5),'MASTER PLAN'!$AB:$AB,'MASTER PLAN'!$J:$J,0,0)),"")</f>
        <v/>
      </c>
      <c r="LK5" s="70"/>
      <c r="LL5" s="94"/>
      <c r="LM5" s="71"/>
      <c r="LN5" s="32"/>
      <c r="LO5" s="72" t="str">
        <f t="array" ref="LO5">IFERROR(IF(XLOOKUP(CONCAT(LM5,LN5),'MASTER PLAN'!$AB:$AB,'MASTER PLAN'!$J:$J,0,0)=0,"",XLOOKUP(CONCAT(LM5,LN5),'MASTER PLAN'!$AB:$AB,'MASTER PLAN'!$J:$J,0,0)),"")</f>
        <v/>
      </c>
      <c r="LP5" s="70"/>
      <c r="LQ5" s="94"/>
      <c r="LR5" s="71"/>
      <c r="LS5" s="32"/>
      <c r="LT5" s="72" t="str">
        <f t="array" ref="LT5">IFERROR(IF(XLOOKUP(CONCAT(LR5,LS5),'MASTER PLAN'!$AB:$AB,'MASTER PLAN'!$J:$J,0,0)=0,"",XLOOKUP(CONCAT(LR5,LS5),'MASTER PLAN'!$AB:$AB,'MASTER PLAN'!$J:$J,0,0)),"")</f>
        <v/>
      </c>
      <c r="LU5" s="70"/>
      <c r="LV5" s="94"/>
      <c r="LW5" s="71"/>
      <c r="LX5" s="32"/>
      <c r="LY5" s="72" t="str">
        <f t="array" ref="LY5">IFERROR(IF(XLOOKUP(CONCAT(LW5,LX5),'MASTER PLAN'!$AB:$AB,'MASTER PLAN'!$J:$J,0,0)=0,"",XLOOKUP(CONCAT(LW5,LX5),'MASTER PLAN'!$AB:$AB,'MASTER PLAN'!$J:$J,0,0)),"")</f>
        <v/>
      </c>
      <c r="LZ5" s="70"/>
      <c r="MA5" s="94"/>
      <c r="MB5" s="71"/>
      <c r="MC5" s="32"/>
      <c r="MD5" s="72" t="str">
        <f t="array" ref="MD5">IFERROR(IF(XLOOKUP(CONCAT(MB5,MC5),'MASTER PLAN'!$AB:$AB,'MASTER PLAN'!$J:$J,0,0)=0,"",XLOOKUP(CONCAT(MB5,MC5),'MASTER PLAN'!$AB:$AB,'MASTER PLAN'!$J:$J,0,0)),"")</f>
        <v/>
      </c>
      <c r="ME5" s="70"/>
      <c r="MF5" s="94"/>
      <c r="MG5" s="70"/>
      <c r="MH5" s="71"/>
      <c r="MI5" s="32"/>
      <c r="MJ5" s="72" t="str">
        <f t="array" ref="MJ5">IFERROR(IF(XLOOKUP(CONCAT(MH5,MI5),'MASTER PLAN'!$AB:$AB,'MASTER PLAN'!$J:$J,0,0)=0,"",XLOOKUP(CONCAT(MH5,MI5),'MASTER PLAN'!$AB:$AB,'MASTER PLAN'!$J:$J,0,0)),"")</f>
        <v/>
      </c>
      <c r="MK5" s="70"/>
      <c r="ML5" s="94"/>
      <c r="MM5" s="71"/>
      <c r="MN5" s="32"/>
      <c r="MO5" s="72" t="str">
        <f t="array" ref="MO5">IFERROR(IF(XLOOKUP(CONCAT(MM5,MN5),'MASTER PLAN'!$AB:$AB,'MASTER PLAN'!$J:$J,0,0)=0,"",XLOOKUP(CONCAT(MM5,MN5),'MASTER PLAN'!$AB:$AB,'MASTER PLAN'!$J:$J,0,0)),"")</f>
        <v/>
      </c>
      <c r="MP5" s="70"/>
      <c r="MQ5" s="94"/>
      <c r="MR5" s="71"/>
      <c r="MS5" s="32"/>
      <c r="MT5" s="72" t="str">
        <f t="array" ref="MT5">IFERROR(IF(XLOOKUP(CONCAT(MR5,MS5),'MASTER PLAN'!$AB:$AB,'MASTER PLAN'!$J:$J,0,0)=0,"",XLOOKUP(CONCAT(MR5,MS5),'MASTER PLAN'!$AB:$AB,'MASTER PLAN'!$J:$J,0,0)),"")</f>
        <v/>
      </c>
      <c r="MU5" s="70"/>
      <c r="MV5" s="94"/>
      <c r="MW5" s="71"/>
      <c r="MX5" s="32"/>
      <c r="MY5" s="72" t="str">
        <f t="array" ref="MY5">IFERROR(IF(XLOOKUP(CONCAT(MW5,MX5),'MASTER PLAN'!$AB:$AB,'MASTER PLAN'!$J:$J,0,0)=0,"",XLOOKUP(CONCAT(MW5,MX5),'MASTER PLAN'!$AB:$AB,'MASTER PLAN'!$J:$J,0,0)),"")</f>
        <v/>
      </c>
      <c r="MZ5" s="70"/>
      <c r="NA5" s="94"/>
      <c r="NB5" s="71"/>
      <c r="NC5" s="32"/>
      <c r="ND5" s="72" t="str">
        <f t="array" ref="ND5">IFERROR(IF(XLOOKUP(CONCAT(NB5,NC5),'MASTER PLAN'!$AB:$AB,'MASTER PLAN'!$J:$J,0,0)=0,"",XLOOKUP(CONCAT(NB5,NC5),'MASTER PLAN'!$AB:$AB,'MASTER PLAN'!$J:$J,0,0)),"")</f>
        <v/>
      </c>
      <c r="NE5" s="70"/>
      <c r="NF5" s="94"/>
      <c r="NG5" s="71"/>
      <c r="NH5" s="32"/>
      <c r="NI5" s="72" t="str">
        <f t="array" ref="NI5">IFERROR(IF(XLOOKUP(CONCAT(NG5,NH5),'MASTER PLAN'!$AB:$AB,'MASTER PLAN'!$J:$J,0,0)=0,"",XLOOKUP(CONCAT(NG5,NH5),'MASTER PLAN'!$AB:$AB,'MASTER PLAN'!$J:$J,0,0)),"")</f>
        <v/>
      </c>
      <c r="NJ5" s="70"/>
      <c r="NK5" s="94"/>
      <c r="NL5" s="70"/>
      <c r="NM5" s="71"/>
      <c r="NN5" s="32"/>
      <c r="NO5" s="72" t="str">
        <f t="array" ref="NO5">IFERROR(IF(XLOOKUP(CONCAT(NM5,NN5),'MASTER PLAN'!$AB:$AB,'MASTER PLAN'!$J:$J,0,0)=0,"",XLOOKUP(CONCAT(NM5,NN5),'MASTER PLAN'!$AB:$AB,'MASTER PLAN'!$J:$J,0,0)),"")</f>
        <v/>
      </c>
      <c r="NP5" s="70"/>
      <c r="NQ5" s="94"/>
      <c r="NR5" s="71"/>
      <c r="NS5" s="32"/>
      <c r="NT5" s="72" t="str">
        <f t="array" ref="NT5">IFERROR(IF(XLOOKUP(CONCAT(NR5,NS5),'MASTER PLAN'!$AB:$AB,'MASTER PLAN'!$J:$J,0,0)=0,"",XLOOKUP(CONCAT(NR5,NS5),'MASTER PLAN'!$AB:$AB,'MASTER PLAN'!$J:$J,0,0)),"")</f>
        <v/>
      </c>
      <c r="NU5" s="70"/>
      <c r="NV5" s="94"/>
      <c r="NW5" s="71"/>
      <c r="NX5" s="32"/>
      <c r="NY5" s="72" t="str">
        <f t="array" ref="NY5">IFERROR(IF(XLOOKUP(CONCAT(NW5,NX5),'MASTER PLAN'!$AB:$AB,'MASTER PLAN'!$J:$J,0,0)=0,"",XLOOKUP(CONCAT(NW5,NX5),'MASTER PLAN'!$AB:$AB,'MASTER PLAN'!$J:$J,0,0)),"")</f>
        <v/>
      </c>
      <c r="NZ5" s="70"/>
      <c r="OA5" s="94"/>
      <c r="OB5" s="71"/>
      <c r="OC5" s="32"/>
      <c r="OD5" s="72" t="str">
        <f t="array" ref="OD5">IFERROR(IF(XLOOKUP(CONCAT(OB5,OC5),'MASTER PLAN'!$AB:$AB,'MASTER PLAN'!$J:$J,0,0)=0,"",XLOOKUP(CONCAT(OB5,OC5),'MASTER PLAN'!$AB:$AB,'MASTER PLAN'!$J:$J,0,0)),"")</f>
        <v/>
      </c>
      <c r="OE5" s="70"/>
      <c r="OF5" s="94"/>
      <c r="OG5" s="71"/>
      <c r="OH5" s="32"/>
      <c r="OI5" s="72" t="str">
        <f t="array" ref="OI5">IFERROR(IF(XLOOKUP(CONCAT(OG5,OH5),'MASTER PLAN'!$AB:$AB,'MASTER PLAN'!$J:$J,0,0)=0,"",XLOOKUP(CONCAT(OG5,OH5),'MASTER PLAN'!$AB:$AB,'MASTER PLAN'!$J:$J,0,0)),"")</f>
        <v/>
      </c>
      <c r="OJ5" s="70"/>
      <c r="OK5" s="94"/>
      <c r="OL5" s="71"/>
      <c r="OM5" s="32"/>
      <c r="ON5" s="72" t="str">
        <f t="array" ref="ON5">IFERROR(IF(XLOOKUP(CONCAT(OL5,OM5),'MASTER PLAN'!$AB:$AB,'MASTER PLAN'!$J:$J,0,0)=0,"",XLOOKUP(CONCAT(OL5,OM5),'MASTER PLAN'!$AB:$AB,'MASTER PLAN'!$J:$J,0,0)),"")</f>
        <v/>
      </c>
      <c r="OO5" s="70"/>
      <c r="OP5" s="94"/>
      <c r="OQ5" s="70"/>
      <c r="OR5" s="70"/>
      <c r="OS5" s="70"/>
      <c r="OT5" s="70"/>
      <c r="OU5" s="70"/>
      <c r="OV5" s="70"/>
      <c r="OW5" s="70"/>
      <c r="OX5" s="70"/>
      <c r="OY5" s="70"/>
      <c r="OZ5" s="70"/>
      <c r="PA5" s="70"/>
      <c r="PB5" s="70"/>
      <c r="PC5" s="70"/>
      <c r="PD5" s="70"/>
      <c r="PE5" s="70"/>
      <c r="PF5" s="70"/>
      <c r="PG5" s="70"/>
      <c r="PH5" s="70"/>
      <c r="PI5" s="70"/>
      <c r="PJ5" s="70"/>
    </row>
    <row r="6">
      <c r="A6" s="42"/>
      <c r="B6" s="74"/>
      <c r="C6" s="69"/>
      <c r="D6" s="70"/>
      <c r="E6" s="71"/>
      <c r="F6" s="32"/>
      <c r="G6" s="72" t="str">
        <f t="array" ref="G6">IFERROR(IF(XLOOKUP(CONCAT(E6,F6),'MASTER PLAN'!$AB:$AB,'MASTER PLAN'!$J:$J,0,0)=0,"",XLOOKUP(CONCAT(E6,F6),'MASTER PLAN'!$AB:$AB,'MASTER PLAN'!$J:$J,0,0)),"")</f>
        <v/>
      </c>
      <c r="H6" s="70"/>
      <c r="I6" s="94"/>
      <c r="J6" s="71"/>
      <c r="K6" s="32"/>
      <c r="L6" s="72" t="str">
        <f t="array" ref="L6">IFERROR(IF(XLOOKUP(CONCAT(J6,K6),'MASTER PLAN'!$AB:$AB,'MASTER PLAN'!$J:$J,0,0)=0,"",XLOOKUP(CONCAT(J6,K6),'MASTER PLAN'!$AB:$AB,'MASTER PLAN'!$J:$J,0,0)),"")</f>
        <v/>
      </c>
      <c r="M6" s="70"/>
      <c r="N6" s="94"/>
      <c r="O6" s="71"/>
      <c r="P6" s="32"/>
      <c r="Q6" s="72" t="str">
        <f t="array" ref="Q6">IFERROR(IF(XLOOKUP(CONCAT(O6,P6),'MASTER PLAN'!$AB:$AB,'MASTER PLAN'!$J:$J,0,0)=0,"",XLOOKUP(CONCAT(O6,P6),'MASTER PLAN'!$AB:$AB,'MASTER PLAN'!$J:$J,0,0)),"")</f>
        <v/>
      </c>
      <c r="R6" s="70"/>
      <c r="S6" s="94"/>
      <c r="T6" s="71"/>
      <c r="U6" s="32"/>
      <c r="V6" s="72" t="str">
        <f t="array" ref="V6">IFERROR(IF(XLOOKUP(CONCAT(T6,U6),'MASTER PLAN'!$AB:$AB,'MASTER PLAN'!$J:$J,0,0)=0,"",XLOOKUP(CONCAT(T6,U6),'MASTER PLAN'!$AB:$AB,'MASTER PLAN'!$J:$J,0,0)),"")</f>
        <v/>
      </c>
      <c r="W6" s="70"/>
      <c r="X6" s="94"/>
      <c r="Y6" s="71"/>
      <c r="Z6" s="32"/>
      <c r="AA6" s="72" t="str">
        <f t="array" ref="AA6">IFERROR(IF(XLOOKUP(CONCAT(Y6,Z6),'MASTER PLAN'!$AB:$AB,'MASTER PLAN'!$J:$J,0,0)=0,"",XLOOKUP(CONCAT(Y6,Z6),'MASTER PLAN'!$AB:$AB,'MASTER PLAN'!$J:$J,0,0)),"")</f>
        <v/>
      </c>
      <c r="AB6" s="70"/>
      <c r="AC6" s="94"/>
      <c r="AD6" s="71"/>
      <c r="AE6" s="32"/>
      <c r="AF6" s="72" t="str">
        <f t="array" ref="AF6">IFERROR(IF(XLOOKUP(CONCAT(AD6,AE6),'MASTER PLAN'!$AB:$AB,'MASTER PLAN'!$J:$J,0,0)=0,"",XLOOKUP(CONCAT(AD6,AE6),'MASTER PLAN'!$AB:$AB,'MASTER PLAN'!$J:$J,0,0)),"")</f>
        <v/>
      </c>
      <c r="AG6" s="70"/>
      <c r="AH6" s="94"/>
      <c r="AI6" s="70"/>
      <c r="AJ6" s="71"/>
      <c r="AK6" s="32"/>
      <c r="AL6" s="72" t="str">
        <f t="array" ref="AL6">IFERROR(IF(XLOOKUP(CONCAT(AJ6,AK6),'MASTER PLAN'!$AB:$AB,'MASTER PLAN'!$J:$J,0,0)=0,"",XLOOKUP(CONCAT(AJ6,AK6),'MASTER PLAN'!$AB:$AB,'MASTER PLAN'!$J:$J,0,0)),"")</f>
        <v/>
      </c>
      <c r="AM6" s="70"/>
      <c r="AN6" s="94"/>
      <c r="AO6" s="71"/>
      <c r="AP6" s="32"/>
      <c r="AQ6" s="72" t="str">
        <f t="array" ref="AQ6">IFERROR(IF(XLOOKUP(CONCAT(AO6,AP6),'MASTER PLAN'!$AB:$AB,'MASTER PLAN'!$J:$J,0,0)=0,"",XLOOKUP(CONCAT(AO6,AP6),'MASTER PLAN'!$AB:$AB,'MASTER PLAN'!$J:$J,0,0)),"")</f>
        <v/>
      </c>
      <c r="AR6" s="70"/>
      <c r="AS6" s="94"/>
      <c r="AT6" s="71"/>
      <c r="AU6" s="32"/>
      <c r="AV6" s="72" t="str">
        <f t="array" ref="AV6">IFERROR(IF(XLOOKUP(CONCAT(AT6,AU6),'MASTER PLAN'!$AB:$AB,'MASTER PLAN'!$J:$J,0,0)=0,"",XLOOKUP(CONCAT(AT6,AU6),'MASTER PLAN'!$AB:$AB,'MASTER PLAN'!$J:$J,0,0)),"")</f>
        <v/>
      </c>
      <c r="AW6" s="70"/>
      <c r="AX6" s="94"/>
      <c r="AY6" s="71"/>
      <c r="AZ6" s="32"/>
      <c r="BA6" s="72" t="str">
        <f t="array" ref="BA6">IFERROR(IF(XLOOKUP(CONCAT(AY6,AZ6),'MASTER PLAN'!$AB:$AB,'MASTER PLAN'!$J:$J,0,0)=0,"",XLOOKUP(CONCAT(AY6,AZ6),'MASTER PLAN'!$AB:$AB,'MASTER PLAN'!$J:$J,0,0)),"")</f>
        <v/>
      </c>
      <c r="BB6" s="70"/>
      <c r="BC6" s="94"/>
      <c r="BD6" s="71"/>
      <c r="BE6" s="32"/>
      <c r="BF6" s="72" t="str">
        <f t="array" ref="BF6">IFERROR(IF(XLOOKUP(CONCAT(BD6,BE6),'MASTER PLAN'!$AB:$AB,'MASTER PLAN'!$J:$J,0,0)=0,"",XLOOKUP(CONCAT(BD6,BE6),'MASTER PLAN'!$AB:$AB,'MASTER PLAN'!$J:$J,0,0)),"")</f>
        <v/>
      </c>
      <c r="BG6" s="70"/>
      <c r="BH6" s="94"/>
      <c r="BI6" s="71"/>
      <c r="BJ6" s="32"/>
      <c r="BK6" s="72" t="str">
        <f t="array" ref="BK6">IFERROR(IF(XLOOKUP(CONCAT(BI6,BJ6),'MASTER PLAN'!$AB:$AB,'MASTER PLAN'!$J:$J,0,0)=0,"",XLOOKUP(CONCAT(BI6,BJ6),'MASTER PLAN'!$AB:$AB,'MASTER PLAN'!$J:$J,0,0)),"")</f>
        <v/>
      </c>
      <c r="BL6" s="70"/>
      <c r="BM6" s="94"/>
      <c r="BN6" s="70"/>
      <c r="BO6" s="71">
        <v>1.402049277E9</v>
      </c>
      <c r="BP6" s="32">
        <v>10.0</v>
      </c>
      <c r="BQ6" s="72" t="str">
        <f t="array" ref="BQ6">IFERROR(IF(XLOOKUP(CONCAT(BO6,BP6),'MASTER PLAN'!$AB:$AB,'MASTER PLAN'!$J:$J,0,0)=0,"",XLOOKUP(CONCAT(BO6,BP6),'MASTER PLAN'!$AB:$AB,'MASTER PLAN'!$J:$J,0,0)),"")</f>
        <v>BOLSA ELEGANCE 8X4X10 IN FL</v>
      </c>
      <c r="BR6" s="70">
        <v>240.0</v>
      </c>
      <c r="BS6" s="94">
        <v>240.0</v>
      </c>
      <c r="BT6" s="71"/>
      <c r="BU6" s="32"/>
      <c r="BV6" s="72" t="str">
        <f t="array" ref="BV6">IFERROR(IF(XLOOKUP(CONCAT(BT6,BU6),'MASTER PLAN'!$AB:$AB,'MASTER PLAN'!$J:$J,0,0)=0,"",XLOOKUP(CONCAT(BT6,BU6),'MASTER PLAN'!$AB:$AB,'MASTER PLAN'!$J:$J,0,0)),"")</f>
        <v/>
      </c>
      <c r="BW6" s="70"/>
      <c r="BX6" s="94"/>
      <c r="BY6" s="71"/>
      <c r="BZ6" s="32"/>
      <c r="CA6" s="72" t="str">
        <f t="array" ref="CA6">IFERROR(IF(XLOOKUP(CONCAT(BY6,BZ6),'MASTER PLAN'!$AB:$AB,'MASTER PLAN'!$J:$J,0,0)=0,"",XLOOKUP(CONCAT(BY6,BZ6),'MASTER PLAN'!$AB:$AB,'MASTER PLAN'!$J:$J,0,0)),"")</f>
        <v/>
      </c>
      <c r="CB6" s="70"/>
      <c r="CC6" s="94"/>
      <c r="CD6" s="71"/>
      <c r="CE6" s="32"/>
      <c r="CF6" s="72" t="str">
        <f t="array" ref="CF6">IFERROR(IF(XLOOKUP(CONCAT(CD6,CE6),'MASTER PLAN'!$AB:$AB,'MASTER PLAN'!$J:$J,0,0)=0,"",XLOOKUP(CONCAT(CD6,CE6),'MASTER PLAN'!$AB:$AB,'MASTER PLAN'!$J:$J,0,0)),"")</f>
        <v/>
      </c>
      <c r="CG6" s="70"/>
      <c r="CH6" s="94"/>
      <c r="CI6" s="71"/>
      <c r="CJ6" s="32"/>
      <c r="CK6" s="72" t="str">
        <f t="array" ref="CK6">IFERROR(IF(XLOOKUP(CONCAT(CI6,CJ6),'MASTER PLAN'!$AB:$AB,'MASTER PLAN'!$J:$J,0,0)=0,"",XLOOKUP(CONCAT(CI6,CJ6),'MASTER PLAN'!$AB:$AB,'MASTER PLAN'!$J:$J,0,0)),"")</f>
        <v/>
      </c>
      <c r="CL6" s="70"/>
      <c r="CM6" s="94"/>
      <c r="CN6" s="71"/>
      <c r="CO6" s="32"/>
      <c r="CP6" s="72" t="str">
        <f t="array" ref="CP6">IFERROR(IF(XLOOKUP(CONCAT(CN6,CO6),'MASTER PLAN'!$AB:$AB,'MASTER PLAN'!$J:$J,0,0)=0,"",XLOOKUP(CONCAT(CN6,CO6),'MASTER PLAN'!$AB:$AB,'MASTER PLAN'!$J:$J,0,0)),"")</f>
        <v/>
      </c>
      <c r="CQ6" s="70"/>
      <c r="CR6" s="94"/>
      <c r="CS6" s="70"/>
      <c r="CT6" s="71"/>
      <c r="CU6" s="32"/>
      <c r="CV6" s="72" t="str">
        <f t="array" ref="CV6">IFERROR(IF(XLOOKUP(CONCAT(CT6,CU6),'MASTER PLAN'!$AB:$AB,'MASTER PLAN'!$J:$J,0,0)=0,"",XLOOKUP(CONCAT(CT6,CU6),'MASTER PLAN'!$AB:$AB,'MASTER PLAN'!$J:$J,0,0)),"")</f>
        <v/>
      </c>
      <c r="CW6" s="70"/>
      <c r="CX6" s="94"/>
      <c r="CY6" s="71"/>
      <c r="CZ6" s="32"/>
      <c r="DA6" s="72" t="str">
        <f t="array" ref="DA6">IFERROR(IF(XLOOKUP(CONCAT(CY6,CZ6),'MASTER PLAN'!$AB:$AB,'MASTER PLAN'!$J:$J,0,0)=0,"",XLOOKUP(CONCAT(CY6,CZ6),'MASTER PLAN'!$AB:$AB,'MASTER PLAN'!$J:$J,0,0)),"")</f>
        <v/>
      </c>
      <c r="DB6" s="70"/>
      <c r="DC6" s="94"/>
      <c r="DD6" s="71"/>
      <c r="DE6" s="32"/>
      <c r="DF6" s="72" t="str">
        <f t="array" ref="DF6">IFERROR(IF(XLOOKUP(CONCAT(DD6,DE6),'MASTER PLAN'!$AB:$AB,'MASTER PLAN'!$J:$J,0,0)=0,"",XLOOKUP(CONCAT(DD6,DE6),'MASTER PLAN'!$AB:$AB,'MASTER PLAN'!$J:$J,0,0)),"")</f>
        <v/>
      </c>
      <c r="DG6" s="70"/>
      <c r="DH6" s="94"/>
      <c r="DI6" s="71"/>
      <c r="DJ6" s="32"/>
      <c r="DK6" s="72" t="str">
        <f t="array" ref="DK6">IFERROR(IF(XLOOKUP(CONCAT(DI6,DJ6),'MASTER PLAN'!$AB:$AB,'MASTER PLAN'!$J:$J,0,0)=0,"",XLOOKUP(CONCAT(DI6,DJ6),'MASTER PLAN'!$AB:$AB,'MASTER PLAN'!$J:$J,0,0)),"")</f>
        <v/>
      </c>
      <c r="DL6" s="70"/>
      <c r="DM6" s="94"/>
      <c r="DN6" s="71"/>
      <c r="DO6" s="32"/>
      <c r="DP6" s="72" t="str">
        <f t="array" ref="DP6">IFERROR(IF(XLOOKUP(CONCAT(DN6,DO6),'MASTER PLAN'!$AB:$AB,'MASTER PLAN'!$J:$J,0,0)=0,"",XLOOKUP(CONCAT(DN6,DO6),'MASTER PLAN'!$AB:$AB,'MASTER PLAN'!$J:$J,0,0)),"")</f>
        <v/>
      </c>
      <c r="DQ6" s="70"/>
      <c r="DR6" s="94"/>
      <c r="DS6" s="71"/>
      <c r="DT6" s="32"/>
      <c r="DU6" s="72" t="str">
        <f t="array" ref="DU6">IFERROR(IF(XLOOKUP(CONCAT(DS6,DT6),'MASTER PLAN'!$AB:$AB,'MASTER PLAN'!$J:$J,0,0)=0,"",XLOOKUP(CONCAT(DS6,DT6),'MASTER PLAN'!$AB:$AB,'MASTER PLAN'!$J:$J,0,0)),"")</f>
        <v/>
      </c>
      <c r="DV6" s="70"/>
      <c r="DW6" s="94"/>
      <c r="DX6" s="70"/>
      <c r="DY6" s="71"/>
      <c r="DZ6" s="32"/>
      <c r="EA6" s="72" t="str">
        <f t="array" ref="EA6">IFERROR(IF(XLOOKUP(CONCAT(DY6,DZ6),'MASTER PLAN'!$AB:$AB,'MASTER PLAN'!$J:$J,0,0)=0,"",XLOOKUP(CONCAT(DY6,DZ6),'MASTER PLAN'!$AB:$AB,'MASTER PLAN'!$J:$J,0,0)),"")</f>
        <v/>
      </c>
      <c r="EB6" s="70"/>
      <c r="EC6" s="94"/>
      <c r="ED6" s="97">
        <v>1.402049364E9</v>
      </c>
      <c r="EE6" s="96">
        <v>10.0</v>
      </c>
      <c r="EF6" s="72" t="str">
        <f t="array" ref="EF6">IFERROR(IF(XLOOKUP(CONCAT(ED6,EE6),'MASTER PLAN'!$AB:$AB,'MASTER PLAN'!$J:$J,0,0)=0,"",XLOOKUP(CONCAT(ED6,EE6),'MASTER PLAN'!$AB:$AB,'MASTER PLAN'!$J:$J,0,0)),"")</f>
        <v>BOLSA BELUM 11X7X14-5 CM FL</v>
      </c>
      <c r="EG6" s="70">
        <v>550.0</v>
      </c>
      <c r="EH6" s="94"/>
      <c r="EI6" s="71">
        <v>1.402049349E9</v>
      </c>
      <c r="EJ6" s="32">
        <v>10.0</v>
      </c>
      <c r="EK6" s="72" t="str">
        <f t="array" ref="EK6">IFERROR(IF(XLOOKUP(CONCAT(EI6,EJ6),'MASTER PLAN'!$AB:$AB,'MASTER PLAN'!$J:$J,0,0)=0,"",XLOOKUP(CONCAT(EI6,EJ6),'MASTER PLAN'!$AB:$AB,'MASTER PLAN'!$J:$J,0,0)),"")</f>
        <v>BOLSA WSHM WOS 10"X6"X10" FA</v>
      </c>
      <c r="EL6" s="70">
        <v>1000.0</v>
      </c>
      <c r="EM6" s="94"/>
      <c r="EN6" s="71"/>
      <c r="EO6" s="32"/>
      <c r="EP6" s="72" t="str">
        <f t="array" ref="EP6">IFERROR(IF(XLOOKUP(CONCAT(EN6,EO6),'MASTER PLAN'!$AB:$AB,'MASTER PLAN'!$J:$J,0,0)=0,"",XLOOKUP(CONCAT(EN6,EO6),'MASTER PLAN'!$AB:$AB,'MASTER PLAN'!$J:$J,0,0)),"")</f>
        <v/>
      </c>
      <c r="EQ6" s="70"/>
      <c r="ER6" s="94"/>
      <c r="ES6" s="71"/>
      <c r="ET6" s="32"/>
      <c r="EU6" s="72" t="str">
        <f t="array" ref="EU6">IFERROR(IF(XLOOKUP(CONCAT(ES6,ET6),'MASTER PLAN'!$AB:$AB,'MASTER PLAN'!$J:$J,0,0)=0,"",XLOOKUP(CONCAT(ES6,ET6),'MASTER PLAN'!$AB:$AB,'MASTER PLAN'!$J:$J,0,0)),"")</f>
        <v/>
      </c>
      <c r="EV6" s="70"/>
      <c r="EW6" s="94"/>
      <c r="EX6" s="71"/>
      <c r="EY6" s="32"/>
      <c r="EZ6" s="72" t="str">
        <f t="array" ref="EZ6">IFERROR(IF(XLOOKUP(CONCAT(EX6,EY6),'MASTER PLAN'!$AB:$AB,'MASTER PLAN'!$J:$J,0,0)=0,"",XLOOKUP(CONCAT(EX6,EY6),'MASTER PLAN'!$AB:$AB,'MASTER PLAN'!$J:$J,0,0)),"")</f>
        <v/>
      </c>
      <c r="FA6" s="70"/>
      <c r="FB6" s="94"/>
      <c r="FC6" s="70"/>
      <c r="FD6" s="71"/>
      <c r="FE6" s="32"/>
      <c r="FF6" s="72" t="str">
        <f t="array" ref="FF6">IFERROR(IF(XLOOKUP(CONCAT(FD6,FE6),'MASTER PLAN'!$AB:$AB,'MASTER PLAN'!$J:$J,0,0)=0,"",XLOOKUP(CONCAT(FD6,FE6),'MASTER PLAN'!$AB:$AB,'MASTER PLAN'!$J:$J,0,0)),"")</f>
        <v/>
      </c>
      <c r="FG6" s="70"/>
      <c r="FH6" s="94"/>
      <c r="FI6" s="71"/>
      <c r="FJ6" s="32"/>
      <c r="FK6" s="72" t="str">
        <f t="array" ref="FK6">IFERROR(IF(XLOOKUP(CONCAT(FI6,FJ6),'MASTER PLAN'!$AB:$AB,'MASTER PLAN'!$J:$J,0,0)=0,"",XLOOKUP(CONCAT(FI6,FJ6),'MASTER PLAN'!$AB:$AB,'MASTER PLAN'!$J:$J,0,0)),"")</f>
        <v/>
      </c>
      <c r="FL6" s="70"/>
      <c r="FM6" s="94"/>
      <c r="FN6" s="71"/>
      <c r="FO6" s="32"/>
      <c r="FP6" s="72" t="str">
        <f t="array" ref="FP6">IFERROR(IF(XLOOKUP(CONCAT(FN6,FO6),'MASTER PLAN'!$AB:$AB,'MASTER PLAN'!$J:$J,0,0)=0,"",XLOOKUP(CONCAT(FN6,FO6),'MASTER PLAN'!$AB:$AB,'MASTER PLAN'!$J:$J,0,0)),"")</f>
        <v/>
      </c>
      <c r="FQ6" s="70"/>
      <c r="FR6" s="94"/>
      <c r="FS6" s="71"/>
      <c r="FT6" s="32"/>
      <c r="FU6" s="72" t="str">
        <f t="array" ref="FU6">IFERROR(IF(XLOOKUP(CONCAT(FS6,FT6),'MASTER PLAN'!$AB:$AB,'MASTER PLAN'!$J:$J,0,0)=0,"",XLOOKUP(CONCAT(FS6,FT6),'MASTER PLAN'!$AB:$AB,'MASTER PLAN'!$J:$J,0,0)),"")</f>
        <v/>
      </c>
      <c r="FV6" s="70"/>
      <c r="FW6" s="94"/>
      <c r="FX6" s="71"/>
      <c r="FY6" s="32"/>
      <c r="FZ6" s="72" t="str">
        <f t="array" ref="FZ6">IFERROR(IF(XLOOKUP(CONCAT(FX6,FY6),'MASTER PLAN'!$AB:$AB,'MASTER PLAN'!$J:$J,0,0)=0,"",XLOOKUP(CONCAT(FX6,FY6),'MASTER PLAN'!$AB:$AB,'MASTER PLAN'!$J:$J,0,0)),"")</f>
        <v/>
      </c>
      <c r="GA6" s="70"/>
      <c r="GB6" s="94"/>
      <c r="GC6" s="71"/>
      <c r="GD6" s="32"/>
      <c r="GE6" s="72" t="str">
        <f t="array" ref="GE6">IFERROR(IF(XLOOKUP(CONCAT(GC6,GD6),'MASTER PLAN'!$AB:$AB,'MASTER PLAN'!$J:$J,0,0)=0,"",XLOOKUP(CONCAT(GC6,GD6),'MASTER PLAN'!$AB:$AB,'MASTER PLAN'!$J:$J,0,0)),"")</f>
        <v/>
      </c>
      <c r="GF6" s="70"/>
      <c r="GG6" s="94"/>
      <c r="GH6" s="70"/>
      <c r="GI6" s="71"/>
      <c r="GJ6" s="32"/>
      <c r="GK6" s="72" t="str">
        <f t="array" ref="GK6">IFERROR(IF(XLOOKUP(CONCAT(GI6,GJ6),'MASTER PLAN'!$AB:$AB,'MASTER PLAN'!$J:$J,0,0)=0,"",XLOOKUP(CONCAT(GI6,GJ6),'MASTER PLAN'!$AB:$AB,'MASTER PLAN'!$J:$J,0,0)),"")</f>
        <v/>
      </c>
      <c r="GL6" s="70"/>
      <c r="GM6" s="94"/>
      <c r="GN6" s="71">
        <v>1.402049444E9</v>
      </c>
      <c r="GO6" s="32">
        <v>10.0</v>
      </c>
      <c r="GP6" s="72" t="str">
        <f t="array" ref="GP6">IFERROR(IF(XLOOKUP(CONCAT(GN6,GO6),'MASTER PLAN'!$AB:$AB,'MASTER PLAN'!$J:$J,0,0)=0,"",XLOOKUP(CONCAT(GN6,GO6),'MASTER PLAN'!$AB:$AB,'MASTER PLAN'!$J:$J,0,0)),"")</f>
        <v>BOLSA AMERICUS DIAMOND 6-5X3-5X6-5</v>
      </c>
      <c r="GQ6" s="70">
        <v>700.0</v>
      </c>
      <c r="GR6" s="94"/>
      <c r="GS6" s="71"/>
      <c r="GT6" s="32"/>
      <c r="GU6" s="72" t="str">
        <f t="array" ref="GU6">IFERROR(IF(XLOOKUP(CONCAT(GS6,GT6),'MASTER PLAN'!$AB:$AB,'MASTER PLAN'!$J:$J,0,0)=0,"",XLOOKUP(CONCAT(GS6,GT6),'MASTER PLAN'!$AB:$AB,'MASTER PLAN'!$J:$J,0,0)),"")</f>
        <v/>
      </c>
      <c r="GV6" s="70"/>
      <c r="GW6" s="94"/>
      <c r="GX6" s="71"/>
      <c r="GY6" s="32"/>
      <c r="GZ6" s="72" t="str">
        <f t="array" ref="GZ6">IFERROR(IF(XLOOKUP(CONCAT(GX6,GY6),'MASTER PLAN'!$AB:$AB,'MASTER PLAN'!$J:$J,0,0)=0,"",XLOOKUP(CONCAT(GX6,GY6),'MASTER PLAN'!$AB:$AB,'MASTER PLAN'!$J:$J,0,0)),"")</f>
        <v/>
      </c>
      <c r="HA6" s="70"/>
      <c r="HB6" s="94"/>
      <c r="HC6" s="71"/>
      <c r="HD6" s="32"/>
      <c r="HE6" s="72" t="str">
        <f t="array" ref="HE6">IFERROR(IF(XLOOKUP(CONCAT(HC6,HD6),'MASTER PLAN'!$AB:$AB,'MASTER PLAN'!$J:$J,0,0)=0,"",XLOOKUP(CONCAT(HC6,HD6),'MASTER PLAN'!$AB:$AB,'MASTER PLAN'!$J:$J,0,0)),"")</f>
        <v/>
      </c>
      <c r="HF6" s="70"/>
      <c r="HG6" s="94"/>
      <c r="HH6" s="71"/>
      <c r="HI6" s="32"/>
      <c r="HJ6" s="72" t="str">
        <f t="array" ref="HJ6">IFERROR(IF(XLOOKUP(CONCAT(HH6,HI6),'MASTER PLAN'!$AB:$AB,'MASTER PLAN'!$J:$J,0,0)=0,"",XLOOKUP(CONCAT(HH6,HI6),'MASTER PLAN'!$AB:$AB,'MASTER PLAN'!$J:$J,0,0)),"")</f>
        <v/>
      </c>
      <c r="HK6" s="70"/>
      <c r="HL6" s="94"/>
      <c r="HM6" s="70"/>
      <c r="HN6" s="71"/>
      <c r="HO6" s="32"/>
      <c r="HP6" s="72" t="str">
        <f t="array" ref="HP6">IFERROR(IF(XLOOKUP(CONCAT(HN6,HO6),'MASTER PLAN'!$AB:$AB,'MASTER PLAN'!$J:$J,0,0)=0,"",XLOOKUP(CONCAT(HN6,HO6),'MASTER PLAN'!$AB:$AB,'MASTER PLAN'!$J:$J,0,0)),"")</f>
        <v/>
      </c>
      <c r="HQ6" s="70"/>
      <c r="HR6" s="94"/>
      <c r="HS6" s="71">
        <v>1.402049448E9</v>
      </c>
      <c r="HT6" s="32">
        <v>10.0</v>
      </c>
      <c r="HU6" s="72" t="str">
        <f t="array" ref="HU6">IFERROR(IF(XLOOKUP(CONCAT(HS6,HT6),'MASTER PLAN'!$AB:$AB,'MASTER PLAN'!$J:$J,0,0)=0,"",XLOOKUP(CONCAT(HS6,HT6),'MASTER PLAN'!$AB:$AB,'MASTER PLAN'!$J:$J,0,0)),"")</f>
        <v>BOLSA CALDANI 6-5"X2-5"X5-5"</v>
      </c>
      <c r="HV6" s="70">
        <v>1000.0</v>
      </c>
      <c r="HW6" s="94"/>
      <c r="HX6" s="71"/>
      <c r="HY6" s="32"/>
      <c r="HZ6" s="72" t="str">
        <f t="array" ref="HZ6">IFERROR(IF(XLOOKUP(CONCAT(HX6,HY6),'MASTER PLAN'!$AB:$AB,'MASTER PLAN'!$J:$J,0,0)=0,"",XLOOKUP(CONCAT(HX6,HY6),'MASTER PLAN'!$AB:$AB,'MASTER PLAN'!$J:$J,0,0)),"")</f>
        <v/>
      </c>
      <c r="IA6" s="70"/>
      <c r="IB6" s="94"/>
      <c r="IC6" s="90"/>
      <c r="ID6" s="91"/>
      <c r="IE6" s="72" t="str">
        <f t="array" ref="IE6">IFERROR(IF(XLOOKUP(CONCAT(IC6,ID6),'MASTER PLAN'!$AB:$AB,'MASTER PLAN'!$J:$J,0,0)=0,"",XLOOKUP(CONCAT(IC6,ID6),'MASTER PLAN'!$AB:$AB,'MASTER PLAN'!$J:$J,0,0)),"")</f>
        <v/>
      </c>
      <c r="IF6" s="70"/>
      <c r="IG6" s="94"/>
      <c r="IH6" s="71"/>
      <c r="II6" s="32"/>
      <c r="IJ6" s="72" t="str">
        <f t="array" ref="IJ6">IFERROR(IF(XLOOKUP(CONCAT(IH6,II6),'MASTER PLAN'!$AB:$AB,'MASTER PLAN'!$J:$J,0,0)=0,"",XLOOKUP(CONCAT(IH6,II6),'MASTER PLAN'!$AB:$AB,'MASTER PLAN'!$J:$J,0,0)),"")</f>
        <v/>
      </c>
      <c r="IK6" s="70"/>
      <c r="IL6" s="94"/>
      <c r="IM6" s="71"/>
      <c r="IN6" s="32"/>
      <c r="IO6" s="72" t="str">
        <f t="array" ref="IO6">IFERROR(IF(XLOOKUP(CONCAT(IM6,IN6),'MASTER PLAN'!$AB:$AB,'MASTER PLAN'!$J:$J,0,0)=0,"",XLOOKUP(CONCAT(IM6,IN6),'MASTER PLAN'!$AB:$AB,'MASTER PLAN'!$J:$J,0,0)),"")</f>
        <v/>
      </c>
      <c r="IP6" s="70"/>
      <c r="IQ6" s="94"/>
      <c r="IR6" s="70"/>
      <c r="IS6" s="71"/>
      <c r="IT6" s="32"/>
      <c r="IU6" s="72" t="str">
        <f t="array" ref="IU6">IFERROR(IF(XLOOKUP(CONCAT(IS6,IT6),'MASTER PLAN'!$AB:$AB,'MASTER PLAN'!$J:$J,0,0)=0,"",XLOOKUP(CONCAT(IS6,IT6),'MASTER PLAN'!$AB:$AB,'MASTER PLAN'!$J:$J,0,0)),"")</f>
        <v/>
      </c>
      <c r="IV6" s="70"/>
      <c r="IW6" s="94"/>
      <c r="IX6" s="71"/>
      <c r="IY6" s="32"/>
      <c r="IZ6" s="72" t="str">
        <f t="array" ref="IZ6">IFERROR(IF(XLOOKUP(CONCAT(IX6,IY6),'MASTER PLAN'!$AB:$AB,'MASTER PLAN'!$J:$J,0,0)=0,"",XLOOKUP(CONCAT(IX6,IY6),'MASTER PLAN'!$AB:$AB,'MASTER PLAN'!$J:$J,0,0)),"")</f>
        <v/>
      </c>
      <c r="JA6" s="70"/>
      <c r="JB6" s="94"/>
      <c r="JC6" s="71"/>
      <c r="JD6" s="32"/>
      <c r="JE6" s="72" t="str">
        <f t="array" ref="JE6">IFERROR(IF(XLOOKUP(CONCAT(JC6,JD6),'MASTER PLAN'!$AB:$AB,'MASTER PLAN'!$J:$J,0,0)=0,"",XLOOKUP(CONCAT(JC6,JD6),'MASTER PLAN'!$AB:$AB,'MASTER PLAN'!$J:$J,0,0)),"")</f>
        <v/>
      </c>
      <c r="JF6" s="70"/>
      <c r="JG6" s="94"/>
      <c r="JH6" s="90"/>
      <c r="JI6" s="91"/>
      <c r="JJ6" s="72" t="str">
        <f t="array" ref="JJ6">IFERROR(IF(XLOOKUP(CONCAT(JH6,JI6),'MASTER PLAN'!$AB:$AB,'MASTER PLAN'!$J:$J,0,0)=0,"",XLOOKUP(CONCAT(JH6,JI6),'MASTER PLAN'!$AB:$AB,'MASTER PLAN'!$J:$J,0,0)),"")</f>
        <v/>
      </c>
      <c r="JK6" s="70"/>
      <c r="JL6" s="94"/>
      <c r="JM6" s="71"/>
      <c r="JN6" s="32"/>
      <c r="JO6" s="72" t="str">
        <f t="array" ref="JO6">IFERROR(IF(XLOOKUP(CONCAT(JM6,JN6),'MASTER PLAN'!$AB:$AB,'MASTER PLAN'!$J:$J,0,0)=0,"",XLOOKUP(CONCAT(JM6,JN6),'MASTER PLAN'!$AB:$AB,'MASTER PLAN'!$J:$J,0,0)),"")</f>
        <v/>
      </c>
      <c r="JP6" s="70"/>
      <c r="JQ6" s="94"/>
      <c r="JR6" s="71"/>
      <c r="JS6" s="32"/>
      <c r="JT6" s="72" t="str">
        <f t="array" ref="JT6">IFERROR(IF(XLOOKUP(CONCAT(JR6,JS6),'MASTER PLAN'!$AB:$AB,'MASTER PLAN'!$J:$J,0,0)=0,"",XLOOKUP(CONCAT(JR6,JS6),'MASTER PLAN'!$AB:$AB,'MASTER PLAN'!$J:$J,0,0)),"")</f>
        <v/>
      </c>
      <c r="JU6" s="70"/>
      <c r="JV6" s="94"/>
      <c r="JW6" s="70"/>
      <c r="JX6" s="71"/>
      <c r="JY6" s="32"/>
      <c r="JZ6" s="72" t="str">
        <f t="array" ref="JZ6">IFERROR(IF(XLOOKUP(CONCAT(JX6,JY6),'MASTER PLAN'!$AB:$AB,'MASTER PLAN'!$J:$J,0,0)=0,"",XLOOKUP(CONCAT(JX6,JY6),'MASTER PLAN'!$AB:$AB,'MASTER PLAN'!$J:$J,0,0)),"")</f>
        <v/>
      </c>
      <c r="KA6" s="70"/>
      <c r="KB6" s="94"/>
      <c r="KC6" s="71"/>
      <c r="KD6" s="32"/>
      <c r="KE6" s="72" t="str">
        <f t="array" ref="KE6">IFERROR(IF(XLOOKUP(CONCAT(KC6,KD6),'MASTER PLAN'!$AB:$AB,'MASTER PLAN'!$J:$J,0,0)=0,"",XLOOKUP(CONCAT(KC6,KD6),'MASTER PLAN'!$AB:$AB,'MASTER PLAN'!$J:$J,0,0)),"")</f>
        <v/>
      </c>
      <c r="KF6" s="70"/>
      <c r="KG6" s="94"/>
      <c r="KH6" s="71"/>
      <c r="KI6" s="32"/>
      <c r="KJ6" s="72" t="str">
        <f t="array" ref="KJ6">IFERROR(IF(XLOOKUP(CONCAT(KH6,KI6),'MASTER PLAN'!$AB:$AB,'MASTER PLAN'!$J:$J,0,0)=0,"",XLOOKUP(CONCAT(KH6,KI6),'MASTER PLAN'!$AB:$AB,'MASTER PLAN'!$J:$J,0,0)),"")</f>
        <v/>
      </c>
      <c r="KK6" s="70"/>
      <c r="KL6" s="94"/>
      <c r="KM6" s="71"/>
      <c r="KN6" s="32"/>
      <c r="KO6" s="72" t="str">
        <f t="array" ref="KO6">IFERROR(IF(XLOOKUP(CONCAT(KM6,KN6),'MASTER PLAN'!$AB:$AB,'MASTER PLAN'!$J:$J,0,0)=0,"",XLOOKUP(CONCAT(KM6,KN6),'MASTER PLAN'!$AB:$AB,'MASTER PLAN'!$J:$J,0,0)),"")</f>
        <v/>
      </c>
      <c r="KP6" s="70"/>
      <c r="KQ6" s="94"/>
      <c r="KR6" s="71"/>
      <c r="KS6" s="32"/>
      <c r="KT6" s="72" t="str">
        <f t="array" ref="KT6">IFERROR(IF(XLOOKUP(CONCAT(KR6,KS6),'MASTER PLAN'!$AB:$AB,'MASTER PLAN'!$J:$J,0,0)=0,"",XLOOKUP(CONCAT(KR6,KS6),'MASTER PLAN'!$AB:$AB,'MASTER PLAN'!$J:$J,0,0)),"")</f>
        <v/>
      </c>
      <c r="KU6" s="70"/>
      <c r="KV6" s="94"/>
      <c r="KW6" s="71"/>
      <c r="KX6" s="32"/>
      <c r="KY6" s="72" t="str">
        <f t="array" ref="KY6">IFERROR(IF(XLOOKUP(CONCAT(KW6,KX6),'MASTER PLAN'!$AB:$AB,'MASTER PLAN'!$J:$J,0,0)=0,"",XLOOKUP(CONCAT(KW6,KX6),'MASTER PLAN'!$AB:$AB,'MASTER PLAN'!$J:$J,0,0)),"")</f>
        <v/>
      </c>
      <c r="KZ6" s="70"/>
      <c r="LA6" s="94"/>
      <c r="LB6" s="70"/>
      <c r="LC6" s="71"/>
      <c r="LD6" s="32"/>
      <c r="LE6" s="72" t="str">
        <f t="array" ref="LE6">IFERROR(IF(XLOOKUP(CONCAT(LC6,LD6),'MASTER PLAN'!$AB:$AB,'MASTER PLAN'!$J:$J,0,0)=0,"",XLOOKUP(CONCAT(LC6,LD6),'MASTER PLAN'!$AB:$AB,'MASTER PLAN'!$J:$J,0,0)),"")</f>
        <v/>
      </c>
      <c r="LF6" s="70"/>
      <c r="LG6" s="94"/>
      <c r="LH6" s="71"/>
      <c r="LI6" s="32"/>
      <c r="LJ6" s="72" t="str">
        <f t="array" ref="LJ6">IFERROR(IF(XLOOKUP(CONCAT(LH6,LI6),'MASTER PLAN'!$AB:$AB,'MASTER PLAN'!$J:$J,0,0)=0,"",XLOOKUP(CONCAT(LH6,LI6),'MASTER PLAN'!$AB:$AB,'MASTER PLAN'!$J:$J,0,0)),"")</f>
        <v/>
      </c>
      <c r="LK6" s="70"/>
      <c r="LL6" s="94"/>
      <c r="LM6" s="71"/>
      <c r="LN6" s="32"/>
      <c r="LO6" s="72" t="str">
        <f t="array" ref="LO6">IFERROR(IF(XLOOKUP(CONCAT(LM6,LN6),'MASTER PLAN'!$AB:$AB,'MASTER PLAN'!$J:$J,0,0)=0,"",XLOOKUP(CONCAT(LM6,LN6),'MASTER PLAN'!$AB:$AB,'MASTER PLAN'!$J:$J,0,0)),"")</f>
        <v/>
      </c>
      <c r="LP6" s="70"/>
      <c r="LQ6" s="94"/>
      <c r="LR6" s="71"/>
      <c r="LS6" s="32"/>
      <c r="LT6" s="72" t="str">
        <f t="array" ref="LT6">IFERROR(IF(XLOOKUP(CONCAT(LR6,LS6),'MASTER PLAN'!$AB:$AB,'MASTER PLAN'!$J:$J,0,0)=0,"",XLOOKUP(CONCAT(LR6,LS6),'MASTER PLAN'!$AB:$AB,'MASTER PLAN'!$J:$J,0,0)),"")</f>
        <v/>
      </c>
      <c r="LU6" s="70"/>
      <c r="LV6" s="94"/>
      <c r="LW6" s="71"/>
      <c r="LX6" s="32"/>
      <c r="LY6" s="72" t="str">
        <f t="array" ref="LY6">IFERROR(IF(XLOOKUP(CONCAT(LW6,LX6),'MASTER PLAN'!$AB:$AB,'MASTER PLAN'!$J:$J,0,0)=0,"",XLOOKUP(CONCAT(LW6,LX6),'MASTER PLAN'!$AB:$AB,'MASTER PLAN'!$J:$J,0,0)),"")</f>
        <v/>
      </c>
      <c r="LZ6" s="70"/>
      <c r="MA6" s="94"/>
      <c r="MB6" s="71"/>
      <c r="MC6" s="32"/>
      <c r="MD6" s="72" t="str">
        <f t="array" ref="MD6">IFERROR(IF(XLOOKUP(CONCAT(MB6,MC6),'MASTER PLAN'!$AB:$AB,'MASTER PLAN'!$J:$J,0,0)=0,"",XLOOKUP(CONCAT(MB6,MC6),'MASTER PLAN'!$AB:$AB,'MASTER PLAN'!$J:$J,0,0)),"")</f>
        <v/>
      </c>
      <c r="ME6" s="70"/>
      <c r="MF6" s="94"/>
      <c r="MG6" s="70"/>
      <c r="MH6" s="71"/>
      <c r="MI6" s="32"/>
      <c r="MJ6" s="72" t="str">
        <f t="array" ref="MJ6">IFERROR(IF(XLOOKUP(CONCAT(MH6,MI6),'MASTER PLAN'!$AB:$AB,'MASTER PLAN'!$J:$J,0,0)=0,"",XLOOKUP(CONCAT(MH6,MI6),'MASTER PLAN'!$AB:$AB,'MASTER PLAN'!$J:$J,0,0)),"")</f>
        <v/>
      </c>
      <c r="MK6" s="70"/>
      <c r="ML6" s="94"/>
      <c r="MM6" s="71"/>
      <c r="MN6" s="32"/>
      <c r="MO6" s="72" t="str">
        <f t="array" ref="MO6">IFERROR(IF(XLOOKUP(CONCAT(MM6,MN6),'MASTER PLAN'!$AB:$AB,'MASTER PLAN'!$J:$J,0,0)=0,"",XLOOKUP(CONCAT(MM6,MN6),'MASTER PLAN'!$AB:$AB,'MASTER PLAN'!$J:$J,0,0)),"")</f>
        <v/>
      </c>
      <c r="MP6" s="70"/>
      <c r="MQ6" s="94"/>
      <c r="MR6" s="71"/>
      <c r="MS6" s="32"/>
      <c r="MT6" s="72" t="str">
        <f t="array" ref="MT6">IFERROR(IF(XLOOKUP(CONCAT(MR6,MS6),'MASTER PLAN'!$AB:$AB,'MASTER PLAN'!$J:$J,0,0)=0,"",XLOOKUP(CONCAT(MR6,MS6),'MASTER PLAN'!$AB:$AB,'MASTER PLAN'!$J:$J,0,0)),"")</f>
        <v/>
      </c>
      <c r="MU6" s="70"/>
      <c r="MV6" s="94"/>
      <c r="MW6" s="71"/>
      <c r="MX6" s="32"/>
      <c r="MY6" s="72" t="str">
        <f t="array" ref="MY6">IFERROR(IF(XLOOKUP(CONCAT(MW6,MX6),'MASTER PLAN'!$AB:$AB,'MASTER PLAN'!$J:$J,0,0)=0,"",XLOOKUP(CONCAT(MW6,MX6),'MASTER PLAN'!$AB:$AB,'MASTER PLAN'!$J:$J,0,0)),"")</f>
        <v/>
      </c>
      <c r="MZ6" s="70"/>
      <c r="NA6" s="94"/>
      <c r="NB6" s="71"/>
      <c r="NC6" s="32"/>
      <c r="ND6" s="72" t="str">
        <f t="array" ref="ND6">IFERROR(IF(XLOOKUP(CONCAT(NB6,NC6),'MASTER PLAN'!$AB:$AB,'MASTER PLAN'!$J:$J,0,0)=0,"",XLOOKUP(CONCAT(NB6,NC6),'MASTER PLAN'!$AB:$AB,'MASTER PLAN'!$J:$J,0,0)),"")</f>
        <v/>
      </c>
      <c r="NE6" s="70"/>
      <c r="NF6" s="94"/>
      <c r="NG6" s="71"/>
      <c r="NH6" s="32"/>
      <c r="NI6" s="72" t="str">
        <f t="array" ref="NI6">IFERROR(IF(XLOOKUP(CONCAT(NG6,NH6),'MASTER PLAN'!$AB:$AB,'MASTER PLAN'!$J:$J,0,0)=0,"",XLOOKUP(CONCAT(NG6,NH6),'MASTER PLAN'!$AB:$AB,'MASTER PLAN'!$J:$J,0,0)),"")</f>
        <v/>
      </c>
      <c r="NJ6" s="70"/>
      <c r="NK6" s="94"/>
      <c r="NL6" s="70"/>
      <c r="NM6" s="71"/>
      <c r="NN6" s="32"/>
      <c r="NO6" s="72" t="str">
        <f t="array" ref="NO6">IFERROR(IF(XLOOKUP(CONCAT(NM6,NN6),'MASTER PLAN'!$AB:$AB,'MASTER PLAN'!$J:$J,0,0)=0,"",XLOOKUP(CONCAT(NM6,NN6),'MASTER PLAN'!$AB:$AB,'MASTER PLAN'!$J:$J,0,0)),"")</f>
        <v/>
      </c>
      <c r="NP6" s="70"/>
      <c r="NQ6" s="94"/>
      <c r="NR6" s="71"/>
      <c r="NS6" s="32"/>
      <c r="NT6" s="72" t="str">
        <f t="array" ref="NT6">IFERROR(IF(XLOOKUP(CONCAT(NR6,NS6),'MASTER PLAN'!$AB:$AB,'MASTER PLAN'!$J:$J,0,0)=0,"",XLOOKUP(CONCAT(NR6,NS6),'MASTER PLAN'!$AB:$AB,'MASTER PLAN'!$J:$J,0,0)),"")</f>
        <v/>
      </c>
      <c r="NU6" s="70"/>
      <c r="NV6" s="94"/>
      <c r="NW6" s="71"/>
      <c r="NX6" s="32"/>
      <c r="NY6" s="72" t="str">
        <f t="array" ref="NY6">IFERROR(IF(XLOOKUP(CONCAT(NW6,NX6),'MASTER PLAN'!$AB:$AB,'MASTER PLAN'!$J:$J,0,0)=0,"",XLOOKUP(CONCAT(NW6,NX6),'MASTER PLAN'!$AB:$AB,'MASTER PLAN'!$J:$J,0,0)),"")</f>
        <v/>
      </c>
      <c r="NZ6" s="70"/>
      <c r="OA6" s="94"/>
      <c r="OB6" s="71"/>
      <c r="OC6" s="32"/>
      <c r="OD6" s="72" t="str">
        <f t="array" ref="OD6">IFERROR(IF(XLOOKUP(CONCAT(OB6,OC6),'MASTER PLAN'!$AB:$AB,'MASTER PLAN'!$J:$J,0,0)=0,"",XLOOKUP(CONCAT(OB6,OC6),'MASTER PLAN'!$AB:$AB,'MASTER PLAN'!$J:$J,0,0)),"")</f>
        <v/>
      </c>
      <c r="OE6" s="70"/>
      <c r="OF6" s="94"/>
      <c r="OG6" s="71"/>
      <c r="OH6" s="32"/>
      <c r="OI6" s="72" t="str">
        <f t="array" ref="OI6">IFERROR(IF(XLOOKUP(CONCAT(OG6,OH6),'MASTER PLAN'!$AB:$AB,'MASTER PLAN'!$J:$J,0,0)=0,"",XLOOKUP(CONCAT(OG6,OH6),'MASTER PLAN'!$AB:$AB,'MASTER PLAN'!$J:$J,0,0)),"")</f>
        <v/>
      </c>
      <c r="OJ6" s="70"/>
      <c r="OK6" s="94"/>
      <c r="OL6" s="71"/>
      <c r="OM6" s="32"/>
      <c r="ON6" s="72" t="str">
        <f t="array" ref="ON6">IFERROR(IF(XLOOKUP(CONCAT(OL6,OM6),'MASTER PLAN'!$AB:$AB,'MASTER PLAN'!$J:$J,0,0)=0,"",XLOOKUP(CONCAT(OL6,OM6),'MASTER PLAN'!$AB:$AB,'MASTER PLAN'!$J:$J,0,0)),"")</f>
        <v/>
      </c>
      <c r="OO6" s="70"/>
      <c r="OP6" s="94"/>
      <c r="OQ6" s="70"/>
      <c r="OR6" s="70"/>
      <c r="OS6" s="70"/>
      <c r="OT6" s="70"/>
      <c r="OU6" s="70"/>
      <c r="OV6" s="70"/>
      <c r="OW6" s="70"/>
      <c r="OX6" s="70"/>
      <c r="OY6" s="70"/>
      <c r="OZ6" s="70"/>
      <c r="PA6" s="70"/>
      <c r="PB6" s="70"/>
      <c r="PC6" s="70"/>
      <c r="PD6" s="70"/>
      <c r="PE6" s="70"/>
      <c r="PF6" s="70"/>
      <c r="PG6" s="70"/>
      <c r="PH6" s="70"/>
      <c r="PI6" s="70"/>
      <c r="PJ6" s="70"/>
    </row>
    <row r="7">
      <c r="A7" s="42"/>
      <c r="B7" s="74"/>
      <c r="C7" s="69"/>
      <c r="D7" s="70"/>
      <c r="E7" s="71"/>
      <c r="F7" s="32"/>
      <c r="G7" s="72" t="str">
        <f t="array" ref="G7">IFERROR(IF(XLOOKUP(CONCAT(E7,F7),'MASTER PLAN'!$AB:$AB,'MASTER PLAN'!$J:$J,0,0)=0,"",XLOOKUP(CONCAT(E7,F7),'MASTER PLAN'!$AB:$AB,'MASTER PLAN'!$J:$J,0,0)),"")</f>
        <v/>
      </c>
      <c r="H7" s="70"/>
      <c r="I7" s="94"/>
      <c r="J7" s="71"/>
      <c r="K7" s="32"/>
      <c r="L7" s="72" t="str">
        <f t="array" ref="L7">IFERROR(IF(XLOOKUP(CONCAT(J7,K7),'MASTER PLAN'!$AB:$AB,'MASTER PLAN'!$J:$J,0,0)=0,"",XLOOKUP(CONCAT(J7,K7),'MASTER PLAN'!$AB:$AB,'MASTER PLAN'!$J:$J,0,0)),"")</f>
        <v/>
      </c>
      <c r="M7" s="70"/>
      <c r="N7" s="94"/>
      <c r="O7" s="71"/>
      <c r="P7" s="32"/>
      <c r="Q7" s="72" t="str">
        <f t="array" ref="Q7">IFERROR(IF(XLOOKUP(CONCAT(O7,P7),'MASTER PLAN'!$AB:$AB,'MASTER PLAN'!$J:$J,0,0)=0,"",XLOOKUP(CONCAT(O7,P7),'MASTER PLAN'!$AB:$AB,'MASTER PLAN'!$J:$J,0,0)),"")</f>
        <v/>
      </c>
      <c r="R7" s="70"/>
      <c r="S7" s="94"/>
      <c r="T7" s="71"/>
      <c r="U7" s="32"/>
      <c r="V7" s="72" t="str">
        <f t="array" ref="V7">IFERROR(IF(XLOOKUP(CONCAT(T7,U7),'MASTER PLAN'!$AB:$AB,'MASTER PLAN'!$J:$J,0,0)=0,"",XLOOKUP(CONCAT(T7,U7),'MASTER PLAN'!$AB:$AB,'MASTER PLAN'!$J:$J,0,0)),"")</f>
        <v/>
      </c>
      <c r="W7" s="70"/>
      <c r="X7" s="94"/>
      <c r="Y7" s="71"/>
      <c r="Z7" s="32"/>
      <c r="AA7" s="72" t="str">
        <f t="array" ref="AA7">IFERROR(IF(XLOOKUP(CONCAT(Y7,Z7),'MASTER PLAN'!$AB:$AB,'MASTER PLAN'!$J:$J,0,0)=0,"",XLOOKUP(CONCAT(Y7,Z7),'MASTER PLAN'!$AB:$AB,'MASTER PLAN'!$J:$J,0,0)),"")</f>
        <v/>
      </c>
      <c r="AB7" s="70"/>
      <c r="AC7" s="94"/>
      <c r="AD7" s="71"/>
      <c r="AE7" s="32"/>
      <c r="AF7" s="72" t="str">
        <f t="array" ref="AF7">IFERROR(IF(XLOOKUP(CONCAT(AD7,AE7),'MASTER PLAN'!$AB:$AB,'MASTER PLAN'!$J:$J,0,0)=0,"",XLOOKUP(CONCAT(AD7,AE7),'MASTER PLAN'!$AB:$AB,'MASTER PLAN'!$J:$J,0,0)),"")</f>
        <v/>
      </c>
      <c r="AG7" s="70"/>
      <c r="AH7" s="94"/>
      <c r="AI7" s="70"/>
      <c r="AJ7" s="71"/>
      <c r="AK7" s="32"/>
      <c r="AL7" s="72" t="str">
        <f t="array" ref="AL7">IFERROR(IF(XLOOKUP(CONCAT(AJ7,AK7),'MASTER PLAN'!$AB:$AB,'MASTER PLAN'!$J:$J,0,0)=0,"",XLOOKUP(CONCAT(AJ7,AK7),'MASTER PLAN'!$AB:$AB,'MASTER PLAN'!$J:$J,0,0)),"")</f>
        <v/>
      </c>
      <c r="AM7" s="70"/>
      <c r="AN7" s="94"/>
      <c r="AO7" s="71"/>
      <c r="AP7" s="32"/>
      <c r="AQ7" s="72" t="str">
        <f t="array" ref="AQ7">IFERROR(IF(XLOOKUP(CONCAT(AO7,AP7),'MASTER PLAN'!$AB:$AB,'MASTER PLAN'!$J:$J,0,0)=0,"",XLOOKUP(CONCAT(AO7,AP7),'MASTER PLAN'!$AB:$AB,'MASTER PLAN'!$J:$J,0,0)),"")</f>
        <v/>
      </c>
      <c r="AR7" s="70"/>
      <c r="AS7" s="94"/>
      <c r="AT7" s="71"/>
      <c r="AU7" s="32"/>
      <c r="AV7" s="72" t="str">
        <f t="array" ref="AV7">IFERROR(IF(XLOOKUP(CONCAT(AT7,AU7),'MASTER PLAN'!$AB:$AB,'MASTER PLAN'!$J:$J,0,0)=0,"",XLOOKUP(CONCAT(AT7,AU7),'MASTER PLAN'!$AB:$AB,'MASTER PLAN'!$J:$J,0,0)),"")</f>
        <v/>
      </c>
      <c r="AW7" s="70"/>
      <c r="AX7" s="94"/>
      <c r="AY7" s="71"/>
      <c r="AZ7" s="32"/>
      <c r="BA7" s="72" t="str">
        <f t="array" ref="BA7">IFERROR(IF(XLOOKUP(CONCAT(AY7,AZ7),'MASTER PLAN'!$AB:$AB,'MASTER PLAN'!$J:$J,0,0)=0,"",XLOOKUP(CONCAT(AY7,AZ7),'MASTER PLAN'!$AB:$AB,'MASTER PLAN'!$J:$J,0,0)),"")</f>
        <v/>
      </c>
      <c r="BB7" s="70"/>
      <c r="BC7" s="94"/>
      <c r="BD7" s="71"/>
      <c r="BE7" s="32"/>
      <c r="BF7" s="72" t="str">
        <f t="array" ref="BF7">IFERROR(IF(XLOOKUP(CONCAT(BD7,BE7),'MASTER PLAN'!$AB:$AB,'MASTER PLAN'!$J:$J,0,0)=0,"",XLOOKUP(CONCAT(BD7,BE7),'MASTER PLAN'!$AB:$AB,'MASTER PLAN'!$J:$J,0,0)),"")</f>
        <v/>
      </c>
      <c r="BG7" s="70"/>
      <c r="BH7" s="94"/>
      <c r="BI7" s="71"/>
      <c r="BJ7" s="32"/>
      <c r="BK7" s="72" t="str">
        <f t="array" ref="BK7">IFERROR(IF(XLOOKUP(CONCAT(BI7,BJ7),'MASTER PLAN'!$AB:$AB,'MASTER PLAN'!$J:$J,0,0)=0,"",XLOOKUP(CONCAT(BI7,BJ7),'MASTER PLAN'!$AB:$AB,'MASTER PLAN'!$J:$J,0,0)),"")</f>
        <v/>
      </c>
      <c r="BL7" s="70"/>
      <c r="BM7" s="94"/>
      <c r="BN7" s="70"/>
      <c r="BO7" s="71"/>
      <c r="BP7" s="32"/>
      <c r="BQ7" s="72" t="str">
        <f t="array" ref="BQ7">IFERROR(IF(XLOOKUP(CONCAT(BO7,BP7),'MASTER PLAN'!$AB:$AB,'MASTER PLAN'!$J:$J,0,0)=0,"",XLOOKUP(CONCAT(BO7,BP7),'MASTER PLAN'!$AB:$AB,'MASTER PLAN'!$J:$J,0,0)),"")</f>
        <v/>
      </c>
      <c r="BR7" s="70"/>
      <c r="BS7" s="94"/>
      <c r="BT7" s="71"/>
      <c r="BU7" s="32"/>
      <c r="BV7" s="72" t="str">
        <f t="array" ref="BV7">IFERROR(IF(XLOOKUP(CONCAT(BT7,BU7),'MASTER PLAN'!$AB:$AB,'MASTER PLAN'!$J:$J,0,0)=0,"",XLOOKUP(CONCAT(BT7,BU7),'MASTER PLAN'!$AB:$AB,'MASTER PLAN'!$J:$J,0,0)),"")</f>
        <v/>
      </c>
      <c r="BW7" s="70"/>
      <c r="BX7" s="94"/>
      <c r="BY7" s="71"/>
      <c r="BZ7" s="32"/>
      <c r="CA7" s="72" t="str">
        <f t="array" ref="CA7">IFERROR(IF(XLOOKUP(CONCAT(BY7,BZ7),'MASTER PLAN'!$AB:$AB,'MASTER PLAN'!$J:$J,0,0)=0,"",XLOOKUP(CONCAT(BY7,BZ7),'MASTER PLAN'!$AB:$AB,'MASTER PLAN'!$J:$J,0,0)),"")</f>
        <v/>
      </c>
      <c r="CB7" s="70"/>
      <c r="CC7" s="94"/>
      <c r="CD7" s="71"/>
      <c r="CE7" s="32"/>
      <c r="CF7" s="72" t="str">
        <f t="array" ref="CF7">IFERROR(IF(XLOOKUP(CONCAT(CD7,CE7),'MASTER PLAN'!$AB:$AB,'MASTER PLAN'!$J:$J,0,0)=0,"",XLOOKUP(CONCAT(CD7,CE7),'MASTER PLAN'!$AB:$AB,'MASTER PLAN'!$J:$J,0,0)),"")</f>
        <v/>
      </c>
      <c r="CG7" s="70"/>
      <c r="CH7" s="94"/>
      <c r="CI7" s="71"/>
      <c r="CJ7" s="32"/>
      <c r="CK7" s="72" t="str">
        <f t="array" ref="CK7">IFERROR(IF(XLOOKUP(CONCAT(CI7,CJ7),'MASTER PLAN'!$AB:$AB,'MASTER PLAN'!$J:$J,0,0)=0,"",XLOOKUP(CONCAT(CI7,CJ7),'MASTER PLAN'!$AB:$AB,'MASTER PLAN'!$J:$J,0,0)),"")</f>
        <v/>
      </c>
      <c r="CL7" s="70"/>
      <c r="CM7" s="94"/>
      <c r="CN7" s="71"/>
      <c r="CO7" s="32"/>
      <c r="CP7" s="72" t="str">
        <f t="array" ref="CP7">IFERROR(IF(XLOOKUP(CONCAT(CN7,CO7),'MASTER PLAN'!$AB:$AB,'MASTER PLAN'!$J:$J,0,0)=0,"",XLOOKUP(CONCAT(CN7,CO7),'MASTER PLAN'!$AB:$AB,'MASTER PLAN'!$J:$J,0,0)),"")</f>
        <v/>
      </c>
      <c r="CQ7" s="70"/>
      <c r="CR7" s="94"/>
      <c r="CS7" s="70"/>
      <c r="CT7" s="71"/>
      <c r="CU7" s="32"/>
      <c r="CV7" s="72" t="str">
        <f t="array" ref="CV7">IFERROR(IF(XLOOKUP(CONCAT(CT7,CU7),'MASTER PLAN'!$AB:$AB,'MASTER PLAN'!$J:$J,0,0)=0,"",XLOOKUP(CONCAT(CT7,CU7),'MASTER PLAN'!$AB:$AB,'MASTER PLAN'!$J:$J,0,0)),"")</f>
        <v/>
      </c>
      <c r="CW7" s="70"/>
      <c r="CX7" s="94"/>
      <c r="CY7" s="71"/>
      <c r="CZ7" s="32"/>
      <c r="DA7" s="72" t="str">
        <f t="array" ref="DA7">IFERROR(IF(XLOOKUP(CONCAT(CY7,CZ7),'MASTER PLAN'!$AB:$AB,'MASTER PLAN'!$J:$J,0,0)=0,"",XLOOKUP(CONCAT(CY7,CZ7),'MASTER PLAN'!$AB:$AB,'MASTER PLAN'!$J:$J,0,0)),"")</f>
        <v/>
      </c>
      <c r="DB7" s="70"/>
      <c r="DC7" s="94"/>
      <c r="DD7" s="71"/>
      <c r="DE7" s="32"/>
      <c r="DF7" s="72" t="str">
        <f t="array" ref="DF7">IFERROR(IF(XLOOKUP(CONCAT(DD7,DE7),'MASTER PLAN'!$AB:$AB,'MASTER PLAN'!$J:$J,0,0)=0,"",XLOOKUP(CONCAT(DD7,DE7),'MASTER PLAN'!$AB:$AB,'MASTER PLAN'!$J:$J,0,0)),"")</f>
        <v/>
      </c>
      <c r="DG7" s="70"/>
      <c r="DH7" s="94"/>
      <c r="DI7" s="71"/>
      <c r="DJ7" s="32"/>
      <c r="DK7" s="72" t="str">
        <f t="array" ref="DK7">IFERROR(IF(XLOOKUP(CONCAT(DI7,DJ7),'MASTER PLAN'!$AB:$AB,'MASTER PLAN'!$J:$J,0,0)=0,"",XLOOKUP(CONCAT(DI7,DJ7),'MASTER PLAN'!$AB:$AB,'MASTER PLAN'!$J:$J,0,0)),"")</f>
        <v/>
      </c>
      <c r="DL7" s="70"/>
      <c r="DM7" s="94"/>
      <c r="DN7" s="71"/>
      <c r="DO7" s="32"/>
      <c r="DP7" s="72" t="str">
        <f t="array" ref="DP7">IFERROR(IF(XLOOKUP(CONCAT(DN7,DO7),'MASTER PLAN'!$AB:$AB,'MASTER PLAN'!$J:$J,0,0)=0,"",XLOOKUP(CONCAT(DN7,DO7),'MASTER PLAN'!$AB:$AB,'MASTER PLAN'!$J:$J,0,0)),"")</f>
        <v/>
      </c>
      <c r="DQ7" s="70"/>
      <c r="DR7" s="94"/>
      <c r="DS7" s="71"/>
      <c r="DT7" s="32"/>
      <c r="DU7" s="72" t="str">
        <f t="array" ref="DU7">IFERROR(IF(XLOOKUP(CONCAT(DS7,DT7),'MASTER PLAN'!$AB:$AB,'MASTER PLAN'!$J:$J,0,0)=0,"",XLOOKUP(CONCAT(DS7,DT7),'MASTER PLAN'!$AB:$AB,'MASTER PLAN'!$J:$J,0,0)),"")</f>
        <v/>
      </c>
      <c r="DV7" s="70"/>
      <c r="DW7" s="94"/>
      <c r="DX7" s="70"/>
      <c r="DY7" s="71"/>
      <c r="DZ7" s="32"/>
      <c r="EA7" s="72" t="str">
        <f t="array" ref="EA7">IFERROR(IF(XLOOKUP(CONCAT(DY7,DZ7),'MASTER PLAN'!$AB:$AB,'MASTER PLAN'!$J:$J,0,0)=0,"",XLOOKUP(CONCAT(DY7,DZ7),'MASTER PLAN'!$AB:$AB,'MASTER PLAN'!$J:$J,0,0)),"")</f>
        <v/>
      </c>
      <c r="EB7" s="70"/>
      <c r="EC7" s="94"/>
      <c r="ED7" s="71"/>
      <c r="EE7" s="32"/>
      <c r="EF7" s="72" t="str">
        <f t="array" ref="EF7">IFERROR(IF(XLOOKUP(CONCAT(ED7,EE7),'MASTER PLAN'!$AB:$AB,'MASTER PLAN'!$J:$J,0,0)=0,"",XLOOKUP(CONCAT(ED7,EE7),'MASTER PLAN'!$AB:$AB,'MASTER PLAN'!$J:$J,0,0)),"")</f>
        <v/>
      </c>
      <c r="EG7" s="70"/>
      <c r="EH7" s="94"/>
      <c r="EI7" s="71"/>
      <c r="EJ7" s="32"/>
      <c r="EK7" s="72" t="str">
        <f t="array" ref="EK7">IFERROR(IF(XLOOKUP(CONCAT(EI7,EJ7),'MASTER PLAN'!$AB:$AB,'MASTER PLAN'!$J:$J,0,0)=0,"",XLOOKUP(CONCAT(EI7,EJ7),'MASTER PLAN'!$AB:$AB,'MASTER PLAN'!$J:$J,0,0)),"")</f>
        <v/>
      </c>
      <c r="EL7" s="70"/>
      <c r="EM7" s="94"/>
      <c r="EN7" s="71"/>
      <c r="EO7" s="32"/>
      <c r="EP7" s="72" t="str">
        <f t="array" ref="EP7">IFERROR(IF(XLOOKUP(CONCAT(EN7,EO7),'MASTER PLAN'!$AB:$AB,'MASTER PLAN'!$J:$J,0,0)=0,"",XLOOKUP(CONCAT(EN7,EO7),'MASTER PLAN'!$AB:$AB,'MASTER PLAN'!$J:$J,0,0)),"")</f>
        <v/>
      </c>
      <c r="EQ7" s="70"/>
      <c r="ER7" s="94"/>
      <c r="ES7" s="71"/>
      <c r="ET7" s="32"/>
      <c r="EU7" s="72" t="str">
        <f t="array" ref="EU7">IFERROR(IF(XLOOKUP(CONCAT(ES7,ET7),'MASTER PLAN'!$AB:$AB,'MASTER PLAN'!$J:$J,0,0)=0,"",XLOOKUP(CONCAT(ES7,ET7),'MASTER PLAN'!$AB:$AB,'MASTER PLAN'!$J:$J,0,0)),"")</f>
        <v/>
      </c>
      <c r="EV7" s="70"/>
      <c r="EW7" s="94"/>
      <c r="EX7" s="71"/>
      <c r="EY7" s="32"/>
      <c r="EZ7" s="72" t="str">
        <f t="array" ref="EZ7">IFERROR(IF(XLOOKUP(CONCAT(EX7,EY7),'MASTER PLAN'!$AB:$AB,'MASTER PLAN'!$J:$J,0,0)=0,"",XLOOKUP(CONCAT(EX7,EY7),'MASTER PLAN'!$AB:$AB,'MASTER PLAN'!$J:$J,0,0)),"")</f>
        <v/>
      </c>
      <c r="FA7" s="70"/>
      <c r="FB7" s="94"/>
      <c r="FC7" s="70"/>
      <c r="FD7" s="71"/>
      <c r="FE7" s="32"/>
      <c r="FF7" s="72" t="str">
        <f t="array" ref="FF7">IFERROR(IF(XLOOKUP(CONCAT(FD7,FE7),'MASTER PLAN'!$AB:$AB,'MASTER PLAN'!$J:$J,0,0)=0,"",XLOOKUP(CONCAT(FD7,FE7),'MASTER PLAN'!$AB:$AB,'MASTER PLAN'!$J:$J,0,0)),"")</f>
        <v/>
      </c>
      <c r="FG7" s="70"/>
      <c r="FH7" s="94"/>
      <c r="FI7" s="71"/>
      <c r="FJ7" s="32"/>
      <c r="FK7" s="72" t="str">
        <f t="array" ref="FK7">IFERROR(IF(XLOOKUP(CONCAT(FI7,FJ7),'MASTER PLAN'!$AB:$AB,'MASTER PLAN'!$J:$J,0,0)=0,"",XLOOKUP(CONCAT(FI7,FJ7),'MASTER PLAN'!$AB:$AB,'MASTER PLAN'!$J:$J,0,0)),"")</f>
        <v/>
      </c>
      <c r="FL7" s="70"/>
      <c r="FM7" s="94"/>
      <c r="FN7" s="71"/>
      <c r="FO7" s="32"/>
      <c r="FP7" s="72" t="str">
        <f t="array" ref="FP7">IFERROR(IF(XLOOKUP(CONCAT(FN7,FO7),'MASTER PLAN'!$AB:$AB,'MASTER PLAN'!$J:$J,0,0)=0,"",XLOOKUP(CONCAT(FN7,FO7),'MASTER PLAN'!$AB:$AB,'MASTER PLAN'!$J:$J,0,0)),"")</f>
        <v/>
      </c>
      <c r="FQ7" s="70"/>
      <c r="FR7" s="94"/>
      <c r="FS7" s="71"/>
      <c r="FT7" s="32"/>
      <c r="FU7" s="72" t="str">
        <f t="array" ref="FU7">IFERROR(IF(XLOOKUP(CONCAT(FS7,FT7),'MASTER PLAN'!$AB:$AB,'MASTER PLAN'!$J:$J,0,0)=0,"",XLOOKUP(CONCAT(FS7,FT7),'MASTER PLAN'!$AB:$AB,'MASTER PLAN'!$J:$J,0,0)),"")</f>
        <v/>
      </c>
      <c r="FV7" s="70"/>
      <c r="FW7" s="94"/>
      <c r="FX7" s="71"/>
      <c r="FY7" s="32"/>
      <c r="FZ7" s="72" t="str">
        <f t="array" ref="FZ7">IFERROR(IF(XLOOKUP(CONCAT(FX7,FY7),'MASTER PLAN'!$AB:$AB,'MASTER PLAN'!$J:$J,0,0)=0,"",XLOOKUP(CONCAT(FX7,FY7),'MASTER PLAN'!$AB:$AB,'MASTER PLAN'!$J:$J,0,0)),"")</f>
        <v/>
      </c>
      <c r="GA7" s="70"/>
      <c r="GB7" s="94"/>
      <c r="GC7" s="71"/>
      <c r="GD7" s="32"/>
      <c r="GE7" s="72" t="str">
        <f t="array" ref="GE7">IFERROR(IF(XLOOKUP(CONCAT(GC7,GD7),'MASTER PLAN'!$AB:$AB,'MASTER PLAN'!$J:$J,0,0)=0,"",XLOOKUP(CONCAT(GC7,GD7),'MASTER PLAN'!$AB:$AB,'MASTER PLAN'!$J:$J,0,0)),"")</f>
        <v/>
      </c>
      <c r="GF7" s="70"/>
      <c r="GG7" s="94"/>
      <c r="GH7" s="70"/>
      <c r="GI7" s="71"/>
      <c r="GJ7" s="32"/>
      <c r="GK7" s="72" t="str">
        <f t="array" ref="GK7">IFERROR(IF(XLOOKUP(CONCAT(GI7,GJ7),'MASTER PLAN'!$AB:$AB,'MASTER PLAN'!$J:$J,0,0)=0,"",XLOOKUP(CONCAT(GI7,GJ7),'MASTER PLAN'!$AB:$AB,'MASTER PLAN'!$J:$J,0,0)),"")</f>
        <v/>
      </c>
      <c r="GL7" s="70"/>
      <c r="GM7" s="94"/>
      <c r="GN7" s="71"/>
      <c r="GO7" s="32"/>
      <c r="GP7" s="72" t="str">
        <f t="array" ref="GP7">IFERROR(IF(XLOOKUP(CONCAT(GN7,GO7),'MASTER PLAN'!$AB:$AB,'MASTER PLAN'!$J:$J,0,0)=0,"",XLOOKUP(CONCAT(GN7,GO7),'MASTER PLAN'!$AB:$AB,'MASTER PLAN'!$J:$J,0,0)),"")</f>
        <v/>
      </c>
      <c r="GQ7" s="70"/>
      <c r="GR7" s="94"/>
      <c r="GS7" s="71"/>
      <c r="GT7" s="32"/>
      <c r="GU7" s="72" t="str">
        <f t="array" ref="GU7">IFERROR(IF(XLOOKUP(CONCAT(GS7,GT7),'MASTER PLAN'!$AB:$AB,'MASTER PLAN'!$J:$J,0,0)=0,"",XLOOKUP(CONCAT(GS7,GT7),'MASTER PLAN'!$AB:$AB,'MASTER PLAN'!$J:$J,0,0)),"")</f>
        <v/>
      </c>
      <c r="GV7" s="70"/>
      <c r="GW7" s="94"/>
      <c r="GX7" s="71"/>
      <c r="GY7" s="32"/>
      <c r="GZ7" s="72" t="str">
        <f t="array" ref="GZ7">IFERROR(IF(XLOOKUP(CONCAT(GX7,GY7),'MASTER PLAN'!$AB:$AB,'MASTER PLAN'!$J:$J,0,0)=0,"",XLOOKUP(CONCAT(GX7,GY7),'MASTER PLAN'!$AB:$AB,'MASTER PLAN'!$J:$J,0,0)),"")</f>
        <v/>
      </c>
      <c r="HA7" s="70"/>
      <c r="HB7" s="94"/>
      <c r="HC7" s="71"/>
      <c r="HD7" s="32"/>
      <c r="HE7" s="72" t="str">
        <f t="array" ref="HE7">IFERROR(IF(XLOOKUP(CONCAT(HC7,HD7),'MASTER PLAN'!$AB:$AB,'MASTER PLAN'!$J:$J,0,0)=0,"",XLOOKUP(CONCAT(HC7,HD7),'MASTER PLAN'!$AB:$AB,'MASTER PLAN'!$J:$J,0,0)),"")</f>
        <v/>
      </c>
      <c r="HF7" s="70"/>
      <c r="HG7" s="94"/>
      <c r="HH7" s="71"/>
      <c r="HI7" s="32"/>
      <c r="HJ7" s="72" t="str">
        <f t="array" ref="HJ7">IFERROR(IF(XLOOKUP(CONCAT(HH7,HI7),'MASTER PLAN'!$AB:$AB,'MASTER PLAN'!$J:$J,0,0)=0,"",XLOOKUP(CONCAT(HH7,HI7),'MASTER PLAN'!$AB:$AB,'MASTER PLAN'!$J:$J,0,0)),"")</f>
        <v/>
      </c>
      <c r="HK7" s="70"/>
      <c r="HL7" s="94"/>
      <c r="HM7" s="70"/>
      <c r="HN7" s="71"/>
      <c r="HO7" s="32"/>
      <c r="HP7" s="72" t="str">
        <f t="array" ref="HP7">IFERROR(IF(XLOOKUP(CONCAT(HN7,HO7),'MASTER PLAN'!$AB:$AB,'MASTER PLAN'!$J:$J,0,0)=0,"",XLOOKUP(CONCAT(HN7,HO7),'MASTER PLAN'!$AB:$AB,'MASTER PLAN'!$J:$J,0,0)),"")</f>
        <v/>
      </c>
      <c r="HQ7" s="70"/>
      <c r="HR7" s="94"/>
      <c r="HS7" s="71"/>
      <c r="HT7" s="32"/>
      <c r="HU7" s="72" t="str">
        <f t="array" ref="HU7">IFERROR(IF(XLOOKUP(CONCAT(HS7,HT7),'MASTER PLAN'!$AB:$AB,'MASTER PLAN'!$J:$J,0,0)=0,"",XLOOKUP(CONCAT(HS7,HT7),'MASTER PLAN'!$AB:$AB,'MASTER PLAN'!$J:$J,0,0)),"")</f>
        <v/>
      </c>
      <c r="HV7" s="70"/>
      <c r="HW7" s="94"/>
      <c r="HX7" s="71"/>
      <c r="HY7" s="32"/>
      <c r="HZ7" s="72" t="str">
        <f t="array" ref="HZ7">IFERROR(IF(XLOOKUP(CONCAT(HX7,HY7),'MASTER PLAN'!$AB:$AB,'MASTER PLAN'!$J:$J,0,0)=0,"",XLOOKUP(CONCAT(HX7,HY7),'MASTER PLAN'!$AB:$AB,'MASTER PLAN'!$J:$J,0,0)),"")</f>
        <v/>
      </c>
      <c r="IA7" s="70"/>
      <c r="IB7" s="94"/>
      <c r="IC7" s="90"/>
      <c r="ID7" s="91"/>
      <c r="IE7" s="72" t="str">
        <f t="array" ref="IE7">IFERROR(IF(XLOOKUP(CONCAT(IC7,ID7),'MASTER PLAN'!$AB:$AB,'MASTER PLAN'!$J:$J,0,0)=0,"",XLOOKUP(CONCAT(IC7,ID7),'MASTER PLAN'!$AB:$AB,'MASTER PLAN'!$J:$J,0,0)),"")</f>
        <v/>
      </c>
      <c r="IF7" s="70"/>
      <c r="IG7" s="94"/>
      <c r="IH7" s="71"/>
      <c r="II7" s="32"/>
      <c r="IJ7" s="72" t="str">
        <f t="array" ref="IJ7">IFERROR(IF(XLOOKUP(CONCAT(IH7,II7),'MASTER PLAN'!$AB:$AB,'MASTER PLAN'!$J:$J,0,0)=0,"",XLOOKUP(CONCAT(IH7,II7),'MASTER PLAN'!$AB:$AB,'MASTER PLAN'!$J:$J,0,0)),"")</f>
        <v/>
      </c>
      <c r="IK7" s="70"/>
      <c r="IL7" s="94"/>
      <c r="IM7" s="71"/>
      <c r="IN7" s="32"/>
      <c r="IO7" s="72" t="str">
        <f t="array" ref="IO7">IFERROR(IF(XLOOKUP(CONCAT(IM7,IN7),'MASTER PLAN'!$AB:$AB,'MASTER PLAN'!$J:$J,0,0)=0,"",XLOOKUP(CONCAT(IM7,IN7),'MASTER PLAN'!$AB:$AB,'MASTER PLAN'!$J:$J,0,0)),"")</f>
        <v/>
      </c>
      <c r="IP7" s="70"/>
      <c r="IQ7" s="94"/>
      <c r="IR7" s="70"/>
      <c r="IS7" s="71"/>
      <c r="IT7" s="32"/>
      <c r="IU7" s="72" t="str">
        <f t="array" ref="IU7">IFERROR(IF(XLOOKUP(CONCAT(IS7,IT7),'MASTER PLAN'!$AB:$AB,'MASTER PLAN'!$J:$J,0,0)=0,"",XLOOKUP(CONCAT(IS7,IT7),'MASTER PLAN'!$AB:$AB,'MASTER PLAN'!$J:$J,0,0)),"")</f>
        <v/>
      </c>
      <c r="IV7" s="70"/>
      <c r="IW7" s="94"/>
      <c r="IX7" s="71"/>
      <c r="IY7" s="32"/>
      <c r="IZ7" s="72" t="str">
        <f t="array" ref="IZ7">IFERROR(IF(XLOOKUP(CONCAT(IX7,IY7),'MASTER PLAN'!$AB:$AB,'MASTER PLAN'!$J:$J,0,0)=0,"",XLOOKUP(CONCAT(IX7,IY7),'MASTER PLAN'!$AB:$AB,'MASTER PLAN'!$J:$J,0,0)),"")</f>
        <v/>
      </c>
      <c r="JA7" s="70"/>
      <c r="JB7" s="94"/>
      <c r="JC7" s="71"/>
      <c r="JD7" s="32"/>
      <c r="JE7" s="72" t="str">
        <f t="array" ref="JE7">IFERROR(IF(XLOOKUP(CONCAT(JC7,JD7),'MASTER PLAN'!$AB:$AB,'MASTER PLAN'!$J:$J,0,0)=0,"",XLOOKUP(CONCAT(JC7,JD7),'MASTER PLAN'!$AB:$AB,'MASTER PLAN'!$J:$J,0,0)),"")</f>
        <v/>
      </c>
      <c r="JF7" s="70"/>
      <c r="JG7" s="94"/>
      <c r="JH7" s="90"/>
      <c r="JI7" s="91"/>
      <c r="JJ7" s="72" t="str">
        <f t="array" ref="JJ7">IFERROR(IF(XLOOKUP(CONCAT(JH7,JI7),'MASTER PLAN'!$AB:$AB,'MASTER PLAN'!$J:$J,0,0)=0,"",XLOOKUP(CONCAT(JH7,JI7),'MASTER PLAN'!$AB:$AB,'MASTER PLAN'!$J:$J,0,0)),"")</f>
        <v/>
      </c>
      <c r="JK7" s="70"/>
      <c r="JL7" s="94"/>
      <c r="JM7" s="71"/>
      <c r="JN7" s="32"/>
      <c r="JO7" s="72" t="str">
        <f t="array" ref="JO7">IFERROR(IF(XLOOKUP(CONCAT(JM7,JN7),'MASTER PLAN'!$AB:$AB,'MASTER PLAN'!$J:$J,0,0)=0,"",XLOOKUP(CONCAT(JM7,JN7),'MASTER PLAN'!$AB:$AB,'MASTER PLAN'!$J:$J,0,0)),"")</f>
        <v/>
      </c>
      <c r="JP7" s="70"/>
      <c r="JQ7" s="94"/>
      <c r="JR7" s="71"/>
      <c r="JS7" s="32"/>
      <c r="JT7" s="72" t="str">
        <f t="array" ref="JT7">IFERROR(IF(XLOOKUP(CONCAT(JR7,JS7),'MASTER PLAN'!$AB:$AB,'MASTER PLAN'!$J:$J,0,0)=0,"",XLOOKUP(CONCAT(JR7,JS7),'MASTER PLAN'!$AB:$AB,'MASTER PLAN'!$J:$J,0,0)),"")</f>
        <v/>
      </c>
      <c r="JU7" s="70"/>
      <c r="JV7" s="94"/>
      <c r="JW7" s="70"/>
      <c r="JX7" s="71"/>
      <c r="JY7" s="32"/>
      <c r="JZ7" s="72" t="str">
        <f t="array" ref="JZ7">IFERROR(IF(XLOOKUP(CONCAT(JX7,JY7),'MASTER PLAN'!$AB:$AB,'MASTER PLAN'!$J:$J,0,0)=0,"",XLOOKUP(CONCAT(JX7,JY7),'MASTER PLAN'!$AB:$AB,'MASTER PLAN'!$J:$J,0,0)),"")</f>
        <v/>
      </c>
      <c r="KA7" s="70"/>
      <c r="KB7" s="94"/>
      <c r="KC7" s="71"/>
      <c r="KD7" s="32"/>
      <c r="KE7" s="72" t="str">
        <f t="array" ref="KE7">IFERROR(IF(XLOOKUP(CONCAT(KC7,KD7),'MASTER PLAN'!$AB:$AB,'MASTER PLAN'!$J:$J,0,0)=0,"",XLOOKUP(CONCAT(KC7,KD7),'MASTER PLAN'!$AB:$AB,'MASTER PLAN'!$J:$J,0,0)),"")</f>
        <v/>
      </c>
      <c r="KF7" s="70"/>
      <c r="KG7" s="94"/>
      <c r="KH7" s="71"/>
      <c r="KI7" s="32"/>
      <c r="KJ7" s="72" t="str">
        <f t="array" ref="KJ7">IFERROR(IF(XLOOKUP(CONCAT(KH7,KI7),'MASTER PLAN'!$AB:$AB,'MASTER PLAN'!$J:$J,0,0)=0,"",XLOOKUP(CONCAT(KH7,KI7),'MASTER PLAN'!$AB:$AB,'MASTER PLAN'!$J:$J,0,0)),"")</f>
        <v/>
      </c>
      <c r="KK7" s="70"/>
      <c r="KL7" s="94"/>
      <c r="KM7" s="71"/>
      <c r="KN7" s="32"/>
      <c r="KO7" s="72" t="str">
        <f t="array" ref="KO7">IFERROR(IF(XLOOKUP(CONCAT(KM7,KN7),'MASTER PLAN'!$AB:$AB,'MASTER PLAN'!$J:$J,0,0)=0,"",XLOOKUP(CONCAT(KM7,KN7),'MASTER PLAN'!$AB:$AB,'MASTER PLAN'!$J:$J,0,0)),"")</f>
        <v/>
      </c>
      <c r="KP7" s="70"/>
      <c r="KQ7" s="94"/>
      <c r="KR7" s="71"/>
      <c r="KS7" s="32"/>
      <c r="KT7" s="72" t="str">
        <f t="array" ref="KT7">IFERROR(IF(XLOOKUP(CONCAT(KR7,KS7),'MASTER PLAN'!$AB:$AB,'MASTER PLAN'!$J:$J,0,0)=0,"",XLOOKUP(CONCAT(KR7,KS7),'MASTER PLAN'!$AB:$AB,'MASTER PLAN'!$J:$J,0,0)),"")</f>
        <v/>
      </c>
      <c r="KU7" s="70"/>
      <c r="KV7" s="94"/>
      <c r="KW7" s="71"/>
      <c r="KX7" s="32"/>
      <c r="KY7" s="72" t="str">
        <f t="array" ref="KY7">IFERROR(IF(XLOOKUP(CONCAT(KW7,KX7),'MASTER PLAN'!$AB:$AB,'MASTER PLAN'!$J:$J,0,0)=0,"",XLOOKUP(CONCAT(KW7,KX7),'MASTER PLAN'!$AB:$AB,'MASTER PLAN'!$J:$J,0,0)),"")</f>
        <v/>
      </c>
      <c r="KZ7" s="70"/>
      <c r="LA7" s="94"/>
      <c r="LB7" s="70"/>
      <c r="LC7" s="71"/>
      <c r="LD7" s="32"/>
      <c r="LE7" s="72" t="str">
        <f t="array" ref="LE7">IFERROR(IF(XLOOKUP(CONCAT(LC7,LD7),'MASTER PLAN'!$AB:$AB,'MASTER PLAN'!$J:$J,0,0)=0,"",XLOOKUP(CONCAT(LC7,LD7),'MASTER PLAN'!$AB:$AB,'MASTER PLAN'!$J:$J,0,0)),"")</f>
        <v/>
      </c>
      <c r="LF7" s="70"/>
      <c r="LG7" s="94"/>
      <c r="LH7" s="71"/>
      <c r="LI7" s="32"/>
      <c r="LJ7" s="72" t="str">
        <f t="array" ref="LJ7">IFERROR(IF(XLOOKUP(CONCAT(LH7,LI7),'MASTER PLAN'!$AB:$AB,'MASTER PLAN'!$J:$J,0,0)=0,"",XLOOKUP(CONCAT(LH7,LI7),'MASTER PLAN'!$AB:$AB,'MASTER PLAN'!$J:$J,0,0)),"")</f>
        <v/>
      </c>
      <c r="LK7" s="70"/>
      <c r="LL7" s="94"/>
      <c r="LM7" s="71"/>
      <c r="LN7" s="32"/>
      <c r="LO7" s="72" t="str">
        <f t="array" ref="LO7">IFERROR(IF(XLOOKUP(CONCAT(LM7,LN7),'MASTER PLAN'!$AB:$AB,'MASTER PLAN'!$J:$J,0,0)=0,"",XLOOKUP(CONCAT(LM7,LN7),'MASTER PLAN'!$AB:$AB,'MASTER PLAN'!$J:$J,0,0)),"")</f>
        <v/>
      </c>
      <c r="LP7" s="70"/>
      <c r="LQ7" s="94"/>
      <c r="LR7" s="71"/>
      <c r="LS7" s="32"/>
      <c r="LT7" s="72" t="str">
        <f t="array" ref="LT7">IFERROR(IF(XLOOKUP(CONCAT(LR7,LS7),'MASTER PLAN'!$AB:$AB,'MASTER PLAN'!$J:$J,0,0)=0,"",XLOOKUP(CONCAT(LR7,LS7),'MASTER PLAN'!$AB:$AB,'MASTER PLAN'!$J:$J,0,0)),"")</f>
        <v/>
      </c>
      <c r="LU7" s="70"/>
      <c r="LV7" s="94"/>
      <c r="LW7" s="71"/>
      <c r="LX7" s="32"/>
      <c r="LY7" s="72" t="str">
        <f t="array" ref="LY7">IFERROR(IF(XLOOKUP(CONCAT(LW7,LX7),'MASTER PLAN'!$AB:$AB,'MASTER PLAN'!$J:$J,0,0)=0,"",XLOOKUP(CONCAT(LW7,LX7),'MASTER PLAN'!$AB:$AB,'MASTER PLAN'!$J:$J,0,0)),"")</f>
        <v/>
      </c>
      <c r="LZ7" s="70"/>
      <c r="MA7" s="94"/>
      <c r="MB7" s="71"/>
      <c r="MC7" s="32"/>
      <c r="MD7" s="72" t="str">
        <f t="array" ref="MD7">IFERROR(IF(XLOOKUP(CONCAT(MB7,MC7),'MASTER PLAN'!$AB:$AB,'MASTER PLAN'!$J:$J,0,0)=0,"",XLOOKUP(CONCAT(MB7,MC7),'MASTER PLAN'!$AB:$AB,'MASTER PLAN'!$J:$J,0,0)),"")</f>
        <v/>
      </c>
      <c r="ME7" s="70"/>
      <c r="MF7" s="94"/>
      <c r="MG7" s="70"/>
      <c r="MH7" s="71"/>
      <c r="MI7" s="32"/>
      <c r="MJ7" s="72" t="str">
        <f t="array" ref="MJ7">IFERROR(IF(XLOOKUP(CONCAT(MH7,MI7),'MASTER PLAN'!$AB:$AB,'MASTER PLAN'!$J:$J,0,0)=0,"",XLOOKUP(CONCAT(MH7,MI7),'MASTER PLAN'!$AB:$AB,'MASTER PLAN'!$J:$J,0,0)),"")</f>
        <v/>
      </c>
      <c r="MK7" s="70"/>
      <c r="ML7" s="94"/>
      <c r="MM7" s="71"/>
      <c r="MN7" s="32"/>
      <c r="MO7" s="72" t="str">
        <f t="array" ref="MO7">IFERROR(IF(XLOOKUP(CONCAT(MM7,MN7),'MASTER PLAN'!$AB:$AB,'MASTER PLAN'!$J:$J,0,0)=0,"",XLOOKUP(CONCAT(MM7,MN7),'MASTER PLAN'!$AB:$AB,'MASTER PLAN'!$J:$J,0,0)),"")</f>
        <v/>
      </c>
      <c r="MP7" s="70"/>
      <c r="MQ7" s="94"/>
      <c r="MR7" s="71"/>
      <c r="MS7" s="32"/>
      <c r="MT7" s="72" t="str">
        <f t="array" ref="MT7">IFERROR(IF(XLOOKUP(CONCAT(MR7,MS7),'MASTER PLAN'!$AB:$AB,'MASTER PLAN'!$J:$J,0,0)=0,"",XLOOKUP(CONCAT(MR7,MS7),'MASTER PLAN'!$AB:$AB,'MASTER PLAN'!$J:$J,0,0)),"")</f>
        <v/>
      </c>
      <c r="MU7" s="70"/>
      <c r="MV7" s="94"/>
      <c r="MW7" s="71"/>
      <c r="MX7" s="32"/>
      <c r="MY7" s="72" t="str">
        <f t="array" ref="MY7">IFERROR(IF(XLOOKUP(CONCAT(MW7,MX7),'MASTER PLAN'!$AB:$AB,'MASTER PLAN'!$J:$J,0,0)=0,"",XLOOKUP(CONCAT(MW7,MX7),'MASTER PLAN'!$AB:$AB,'MASTER PLAN'!$J:$J,0,0)),"")</f>
        <v/>
      </c>
      <c r="MZ7" s="70"/>
      <c r="NA7" s="94"/>
      <c r="NB7" s="71"/>
      <c r="NC7" s="32"/>
      <c r="ND7" s="72" t="str">
        <f t="array" ref="ND7">IFERROR(IF(XLOOKUP(CONCAT(NB7,NC7),'MASTER PLAN'!$AB:$AB,'MASTER PLAN'!$J:$J,0,0)=0,"",XLOOKUP(CONCAT(NB7,NC7),'MASTER PLAN'!$AB:$AB,'MASTER PLAN'!$J:$J,0,0)),"")</f>
        <v/>
      </c>
      <c r="NE7" s="70"/>
      <c r="NF7" s="94"/>
      <c r="NG7" s="71"/>
      <c r="NH7" s="32"/>
      <c r="NI7" s="72" t="str">
        <f t="array" ref="NI7">IFERROR(IF(XLOOKUP(CONCAT(NG7,NH7),'MASTER PLAN'!$AB:$AB,'MASTER PLAN'!$J:$J,0,0)=0,"",XLOOKUP(CONCAT(NG7,NH7),'MASTER PLAN'!$AB:$AB,'MASTER PLAN'!$J:$J,0,0)),"")</f>
        <v/>
      </c>
      <c r="NJ7" s="70"/>
      <c r="NK7" s="94"/>
      <c r="NL7" s="70"/>
      <c r="NM7" s="71"/>
      <c r="NN7" s="32"/>
      <c r="NO7" s="72" t="str">
        <f t="array" ref="NO7">IFERROR(IF(XLOOKUP(CONCAT(NM7,NN7),'MASTER PLAN'!$AB:$AB,'MASTER PLAN'!$J:$J,0,0)=0,"",XLOOKUP(CONCAT(NM7,NN7),'MASTER PLAN'!$AB:$AB,'MASTER PLAN'!$J:$J,0,0)),"")</f>
        <v/>
      </c>
      <c r="NP7" s="70"/>
      <c r="NQ7" s="94"/>
      <c r="NR7" s="71"/>
      <c r="NS7" s="32"/>
      <c r="NT7" s="72" t="str">
        <f t="array" ref="NT7">IFERROR(IF(XLOOKUP(CONCAT(NR7,NS7),'MASTER PLAN'!$AB:$AB,'MASTER PLAN'!$J:$J,0,0)=0,"",XLOOKUP(CONCAT(NR7,NS7),'MASTER PLAN'!$AB:$AB,'MASTER PLAN'!$J:$J,0,0)),"")</f>
        <v/>
      </c>
      <c r="NU7" s="70"/>
      <c r="NV7" s="94"/>
      <c r="NW7" s="71"/>
      <c r="NX7" s="32"/>
      <c r="NY7" s="72" t="str">
        <f t="array" ref="NY7">IFERROR(IF(XLOOKUP(CONCAT(NW7,NX7),'MASTER PLAN'!$AB:$AB,'MASTER PLAN'!$J:$J,0,0)=0,"",XLOOKUP(CONCAT(NW7,NX7),'MASTER PLAN'!$AB:$AB,'MASTER PLAN'!$J:$J,0,0)),"")</f>
        <v/>
      </c>
      <c r="NZ7" s="70"/>
      <c r="OA7" s="94"/>
      <c r="OB7" s="71"/>
      <c r="OC7" s="32"/>
      <c r="OD7" s="72" t="str">
        <f t="array" ref="OD7">IFERROR(IF(XLOOKUP(CONCAT(OB7,OC7),'MASTER PLAN'!$AB:$AB,'MASTER PLAN'!$J:$J,0,0)=0,"",XLOOKUP(CONCAT(OB7,OC7),'MASTER PLAN'!$AB:$AB,'MASTER PLAN'!$J:$J,0,0)),"")</f>
        <v/>
      </c>
      <c r="OE7" s="70"/>
      <c r="OF7" s="94"/>
      <c r="OG7" s="71"/>
      <c r="OH7" s="32"/>
      <c r="OI7" s="72" t="str">
        <f t="array" ref="OI7">IFERROR(IF(XLOOKUP(CONCAT(OG7,OH7),'MASTER PLAN'!$AB:$AB,'MASTER PLAN'!$J:$J,0,0)=0,"",XLOOKUP(CONCAT(OG7,OH7),'MASTER PLAN'!$AB:$AB,'MASTER PLAN'!$J:$J,0,0)),"")</f>
        <v/>
      </c>
      <c r="OJ7" s="70"/>
      <c r="OK7" s="94"/>
      <c r="OL7" s="71"/>
      <c r="OM7" s="32"/>
      <c r="ON7" s="72" t="str">
        <f t="array" ref="ON7">IFERROR(IF(XLOOKUP(CONCAT(OL7,OM7),'MASTER PLAN'!$AB:$AB,'MASTER PLAN'!$J:$J,0,0)=0,"",XLOOKUP(CONCAT(OL7,OM7),'MASTER PLAN'!$AB:$AB,'MASTER PLAN'!$J:$J,0,0)),"")</f>
        <v/>
      </c>
      <c r="OO7" s="70"/>
      <c r="OP7" s="94"/>
      <c r="OQ7" s="70"/>
      <c r="OR7" s="70"/>
      <c r="OS7" s="70"/>
      <c r="OT7" s="70"/>
      <c r="OU7" s="70"/>
      <c r="OV7" s="70"/>
      <c r="OW7" s="70"/>
      <c r="OX7" s="70"/>
      <c r="OY7" s="70"/>
      <c r="OZ7" s="70"/>
      <c r="PA7" s="70"/>
      <c r="PB7" s="70"/>
      <c r="PC7" s="70"/>
      <c r="PD7" s="70"/>
      <c r="PE7" s="70"/>
      <c r="PF7" s="70"/>
      <c r="PG7" s="70"/>
      <c r="PH7" s="70"/>
      <c r="PI7" s="70"/>
      <c r="PJ7" s="70"/>
    </row>
    <row r="8">
      <c r="A8" s="42"/>
      <c r="B8" s="75"/>
      <c r="C8" s="76"/>
      <c r="D8" s="70"/>
      <c r="E8" s="77"/>
      <c r="F8" s="78"/>
      <c r="G8" s="79" t="str">
        <f t="array" ref="G8">IFERROR(IF(XLOOKUP(CONCAT(E8,F8),'MASTER PLAN'!$AB:$AB,'MASTER PLAN'!$J:$J,0,0)=0,"",XLOOKUP(CONCAT(E8,F8),'MASTER PLAN'!$AB:$AB,'MASTER PLAN'!$J:$J,0,0)),"")</f>
        <v/>
      </c>
      <c r="H8" s="98"/>
      <c r="I8" s="99"/>
      <c r="J8" s="77"/>
      <c r="K8" s="78"/>
      <c r="L8" s="79" t="str">
        <f t="array" ref="L8">IFERROR(IF(XLOOKUP(CONCAT(J8,K8),'MASTER PLAN'!$AB:$AB,'MASTER PLAN'!$J:$J,0,0)=0,"",XLOOKUP(CONCAT(J8,K8),'MASTER PLAN'!$AB:$AB,'MASTER PLAN'!$J:$J,0,0)),"")</f>
        <v/>
      </c>
      <c r="M8" s="98"/>
      <c r="N8" s="99"/>
      <c r="O8" s="77"/>
      <c r="P8" s="78"/>
      <c r="Q8" s="79" t="str">
        <f t="array" ref="Q8">IFERROR(IF(XLOOKUP(CONCAT(O8,P8),'MASTER PLAN'!$AB:$AB,'MASTER PLAN'!$J:$J,0,0)=0,"",XLOOKUP(CONCAT(O8,P8),'MASTER PLAN'!$AB:$AB,'MASTER PLAN'!$J:$J,0,0)),"")</f>
        <v/>
      </c>
      <c r="R8" s="98"/>
      <c r="S8" s="99"/>
      <c r="T8" s="77"/>
      <c r="U8" s="78"/>
      <c r="V8" s="79" t="str">
        <f t="array" ref="V8">IFERROR(IF(XLOOKUP(CONCAT(T8,U8),'MASTER PLAN'!$AB:$AB,'MASTER PLAN'!$J:$J,0,0)=0,"",XLOOKUP(CONCAT(T8,U8),'MASTER PLAN'!$AB:$AB,'MASTER PLAN'!$J:$J,0,0)),"")</f>
        <v/>
      </c>
      <c r="W8" s="98"/>
      <c r="X8" s="99"/>
      <c r="Y8" s="77"/>
      <c r="Z8" s="78"/>
      <c r="AA8" s="79" t="str">
        <f t="array" ref="AA8">IFERROR(IF(XLOOKUP(CONCAT(Y8,Z8),'MASTER PLAN'!$AB:$AB,'MASTER PLAN'!$J:$J,0,0)=0,"",XLOOKUP(CONCAT(Y8,Z8),'MASTER PLAN'!$AB:$AB,'MASTER PLAN'!$J:$J,0,0)),"")</f>
        <v/>
      </c>
      <c r="AB8" s="98"/>
      <c r="AC8" s="99"/>
      <c r="AD8" s="77"/>
      <c r="AE8" s="78"/>
      <c r="AF8" s="79" t="str">
        <f t="array" ref="AF8">IFERROR(IF(XLOOKUP(CONCAT(AD8,AE8),'MASTER PLAN'!$AB:$AB,'MASTER PLAN'!$J:$J,0,0)=0,"",XLOOKUP(CONCAT(AD8,AE8),'MASTER PLAN'!$AB:$AB,'MASTER PLAN'!$J:$J,0,0)),"")</f>
        <v/>
      </c>
      <c r="AG8" s="98"/>
      <c r="AH8" s="99"/>
      <c r="AI8" s="70"/>
      <c r="AJ8" s="77"/>
      <c r="AK8" s="78"/>
      <c r="AL8" s="79" t="str">
        <f t="array" ref="AL8">IFERROR(IF(XLOOKUP(CONCAT(AJ8,AK8),'MASTER PLAN'!$AB:$AB,'MASTER PLAN'!$J:$J,0,0)=0,"",XLOOKUP(CONCAT(AJ8,AK8),'MASTER PLAN'!$AB:$AB,'MASTER PLAN'!$J:$J,0,0)),"")</f>
        <v/>
      </c>
      <c r="AM8" s="98"/>
      <c r="AN8" s="99"/>
      <c r="AO8" s="77"/>
      <c r="AP8" s="78"/>
      <c r="AQ8" s="79" t="str">
        <f t="array" ref="AQ8">IFERROR(IF(XLOOKUP(CONCAT(AO8,AP8),'MASTER PLAN'!$AB:$AB,'MASTER PLAN'!$J:$J,0,0)=0,"",XLOOKUP(CONCAT(AO8,AP8),'MASTER PLAN'!$AB:$AB,'MASTER PLAN'!$J:$J,0,0)),"")</f>
        <v/>
      </c>
      <c r="AR8" s="98"/>
      <c r="AS8" s="99"/>
      <c r="AT8" s="77"/>
      <c r="AU8" s="78"/>
      <c r="AV8" s="79" t="str">
        <f t="array" ref="AV8">IFERROR(IF(XLOOKUP(CONCAT(AT8,AU8),'MASTER PLAN'!$AB:$AB,'MASTER PLAN'!$J:$J,0,0)=0,"",XLOOKUP(CONCAT(AT8,AU8),'MASTER PLAN'!$AB:$AB,'MASTER PLAN'!$J:$J,0,0)),"")</f>
        <v/>
      </c>
      <c r="AW8" s="98"/>
      <c r="AX8" s="99"/>
      <c r="AY8" s="77"/>
      <c r="AZ8" s="78"/>
      <c r="BA8" s="79" t="str">
        <f t="array" ref="BA8">IFERROR(IF(XLOOKUP(CONCAT(AY8,AZ8),'MASTER PLAN'!$AB:$AB,'MASTER PLAN'!$J:$J,0,0)=0,"",XLOOKUP(CONCAT(AY8,AZ8),'MASTER PLAN'!$AB:$AB,'MASTER PLAN'!$J:$J,0,0)),"")</f>
        <v/>
      </c>
      <c r="BB8" s="98"/>
      <c r="BC8" s="99"/>
      <c r="BD8" s="77"/>
      <c r="BE8" s="78"/>
      <c r="BF8" s="79" t="str">
        <f t="array" ref="BF8">IFERROR(IF(XLOOKUP(CONCAT(BD8,BE8),'MASTER PLAN'!$AB:$AB,'MASTER PLAN'!$J:$J,0,0)=0,"",XLOOKUP(CONCAT(BD8,BE8),'MASTER PLAN'!$AB:$AB,'MASTER PLAN'!$J:$J,0,0)),"")</f>
        <v/>
      </c>
      <c r="BG8" s="98"/>
      <c r="BH8" s="99"/>
      <c r="BI8" s="77"/>
      <c r="BJ8" s="78"/>
      <c r="BK8" s="79" t="str">
        <f t="array" ref="BK8">IFERROR(IF(XLOOKUP(CONCAT(BI8,BJ8),'MASTER PLAN'!$AB:$AB,'MASTER PLAN'!$J:$J,0,0)=0,"",XLOOKUP(CONCAT(BI8,BJ8),'MASTER PLAN'!$AB:$AB,'MASTER PLAN'!$J:$J,0,0)),"")</f>
        <v/>
      </c>
      <c r="BL8" s="98"/>
      <c r="BM8" s="99"/>
      <c r="BN8" s="70"/>
      <c r="BO8" s="77"/>
      <c r="BP8" s="78"/>
      <c r="BQ8" s="79" t="str">
        <f t="array" ref="BQ8">IFERROR(IF(XLOOKUP(CONCAT(BO8,BP8),'MASTER PLAN'!$AB:$AB,'MASTER PLAN'!$J:$J,0,0)=0,"",XLOOKUP(CONCAT(BO8,BP8),'MASTER PLAN'!$AB:$AB,'MASTER PLAN'!$J:$J,0,0)),"")</f>
        <v/>
      </c>
      <c r="BR8" s="98"/>
      <c r="BS8" s="99"/>
      <c r="BT8" s="77"/>
      <c r="BU8" s="78"/>
      <c r="BV8" s="79" t="str">
        <f t="array" ref="BV8">IFERROR(IF(XLOOKUP(CONCAT(BT8,BU8),'MASTER PLAN'!$AB:$AB,'MASTER PLAN'!$J:$J,0,0)=0,"",XLOOKUP(CONCAT(BT8,BU8),'MASTER PLAN'!$AB:$AB,'MASTER PLAN'!$J:$J,0,0)),"")</f>
        <v/>
      </c>
      <c r="BW8" s="98"/>
      <c r="BX8" s="99"/>
      <c r="BY8" s="77"/>
      <c r="BZ8" s="78"/>
      <c r="CA8" s="79" t="str">
        <f t="array" ref="CA8">IFERROR(IF(XLOOKUP(CONCAT(BY8,BZ8),'MASTER PLAN'!$AB:$AB,'MASTER PLAN'!$J:$J,0,0)=0,"",XLOOKUP(CONCAT(BY8,BZ8),'MASTER PLAN'!$AB:$AB,'MASTER PLAN'!$J:$J,0,0)),"")</f>
        <v/>
      </c>
      <c r="CB8" s="98"/>
      <c r="CC8" s="99"/>
      <c r="CD8" s="77"/>
      <c r="CE8" s="78"/>
      <c r="CF8" s="79" t="str">
        <f t="array" ref="CF8">IFERROR(IF(XLOOKUP(CONCAT(CD8,CE8),'MASTER PLAN'!$AB:$AB,'MASTER PLAN'!$J:$J,0,0)=0,"",XLOOKUP(CONCAT(CD8,CE8),'MASTER PLAN'!$AB:$AB,'MASTER PLAN'!$J:$J,0,0)),"")</f>
        <v/>
      </c>
      <c r="CG8" s="98"/>
      <c r="CH8" s="99"/>
      <c r="CI8" s="77"/>
      <c r="CJ8" s="78"/>
      <c r="CK8" s="79" t="str">
        <f t="array" ref="CK8">IFERROR(IF(XLOOKUP(CONCAT(CI8,CJ8),'MASTER PLAN'!$AB:$AB,'MASTER PLAN'!$J:$J,0,0)=0,"",XLOOKUP(CONCAT(CI8,CJ8),'MASTER PLAN'!$AB:$AB,'MASTER PLAN'!$J:$J,0,0)),"")</f>
        <v/>
      </c>
      <c r="CL8" s="98"/>
      <c r="CM8" s="99"/>
      <c r="CN8" s="77"/>
      <c r="CO8" s="78"/>
      <c r="CP8" s="79" t="str">
        <f t="array" ref="CP8">IFERROR(IF(XLOOKUP(CONCAT(CN8,CO8),'MASTER PLAN'!$AB:$AB,'MASTER PLAN'!$J:$J,0,0)=0,"",XLOOKUP(CONCAT(CN8,CO8),'MASTER PLAN'!$AB:$AB,'MASTER PLAN'!$J:$J,0,0)),"")</f>
        <v/>
      </c>
      <c r="CQ8" s="98"/>
      <c r="CR8" s="99"/>
      <c r="CS8" s="70"/>
      <c r="CT8" s="77"/>
      <c r="CU8" s="78"/>
      <c r="CV8" s="79" t="str">
        <f t="array" ref="CV8">IFERROR(IF(XLOOKUP(CONCAT(CT8,CU8),'MASTER PLAN'!$AB:$AB,'MASTER PLAN'!$J:$J,0,0)=0,"",XLOOKUP(CONCAT(CT8,CU8),'MASTER PLAN'!$AB:$AB,'MASTER PLAN'!$J:$J,0,0)),"")</f>
        <v/>
      </c>
      <c r="CW8" s="98"/>
      <c r="CX8" s="99"/>
      <c r="CY8" s="77"/>
      <c r="CZ8" s="78"/>
      <c r="DA8" s="79" t="str">
        <f t="array" ref="DA8">IFERROR(IF(XLOOKUP(CONCAT(CY8,CZ8),'MASTER PLAN'!$AB:$AB,'MASTER PLAN'!$J:$J,0,0)=0,"",XLOOKUP(CONCAT(CY8,CZ8),'MASTER PLAN'!$AB:$AB,'MASTER PLAN'!$J:$J,0,0)),"")</f>
        <v/>
      </c>
      <c r="DB8" s="98"/>
      <c r="DC8" s="99"/>
      <c r="DD8" s="77"/>
      <c r="DE8" s="78"/>
      <c r="DF8" s="79" t="str">
        <f t="array" ref="DF8">IFERROR(IF(XLOOKUP(CONCAT(DD8,DE8),'MASTER PLAN'!$AB:$AB,'MASTER PLAN'!$J:$J,0,0)=0,"",XLOOKUP(CONCAT(DD8,DE8),'MASTER PLAN'!$AB:$AB,'MASTER PLAN'!$J:$J,0,0)),"")</f>
        <v/>
      </c>
      <c r="DG8" s="98"/>
      <c r="DH8" s="99"/>
      <c r="DI8" s="77"/>
      <c r="DJ8" s="78"/>
      <c r="DK8" s="79" t="str">
        <f t="array" ref="DK8">IFERROR(IF(XLOOKUP(CONCAT(DI8,DJ8),'MASTER PLAN'!$AB:$AB,'MASTER PLAN'!$J:$J,0,0)=0,"",XLOOKUP(CONCAT(DI8,DJ8),'MASTER PLAN'!$AB:$AB,'MASTER PLAN'!$J:$J,0,0)),"")</f>
        <v/>
      </c>
      <c r="DL8" s="98"/>
      <c r="DM8" s="99"/>
      <c r="DN8" s="77"/>
      <c r="DO8" s="78"/>
      <c r="DP8" s="79" t="str">
        <f t="array" ref="DP8">IFERROR(IF(XLOOKUP(CONCAT(DN8,DO8),'MASTER PLAN'!$AB:$AB,'MASTER PLAN'!$J:$J,0,0)=0,"",XLOOKUP(CONCAT(DN8,DO8),'MASTER PLAN'!$AB:$AB,'MASTER PLAN'!$J:$J,0,0)),"")</f>
        <v/>
      </c>
      <c r="DQ8" s="98"/>
      <c r="DR8" s="99"/>
      <c r="DS8" s="77"/>
      <c r="DT8" s="78"/>
      <c r="DU8" s="79" t="str">
        <f t="array" ref="DU8">IFERROR(IF(XLOOKUP(CONCAT(DS8,DT8),'MASTER PLAN'!$AB:$AB,'MASTER PLAN'!$J:$J,0,0)=0,"",XLOOKUP(CONCAT(DS8,DT8),'MASTER PLAN'!$AB:$AB,'MASTER PLAN'!$J:$J,0,0)),"")</f>
        <v/>
      </c>
      <c r="DV8" s="98"/>
      <c r="DW8" s="99"/>
      <c r="DX8" s="70"/>
      <c r="DY8" s="77"/>
      <c r="DZ8" s="78"/>
      <c r="EA8" s="79" t="str">
        <f t="array" ref="EA8">IFERROR(IF(XLOOKUP(CONCAT(DY8,DZ8),'MASTER PLAN'!$AB:$AB,'MASTER PLAN'!$J:$J,0,0)=0,"",XLOOKUP(CONCAT(DY8,DZ8),'MASTER PLAN'!$AB:$AB,'MASTER PLAN'!$J:$J,0,0)),"")</f>
        <v/>
      </c>
      <c r="EB8" s="98"/>
      <c r="EC8" s="99"/>
      <c r="ED8" s="77"/>
      <c r="EE8" s="78"/>
      <c r="EF8" s="79" t="str">
        <f t="array" ref="EF8">IFERROR(IF(XLOOKUP(CONCAT(ED8,EE8),'MASTER PLAN'!$AB:$AB,'MASTER PLAN'!$J:$J,0,0)=0,"",XLOOKUP(CONCAT(ED8,EE8),'MASTER PLAN'!$AB:$AB,'MASTER PLAN'!$J:$J,0,0)),"")</f>
        <v/>
      </c>
      <c r="EG8" s="98"/>
      <c r="EH8" s="99"/>
      <c r="EI8" s="77"/>
      <c r="EJ8" s="78"/>
      <c r="EK8" s="79" t="str">
        <f t="array" ref="EK8">IFERROR(IF(XLOOKUP(CONCAT(EI8,EJ8),'MASTER PLAN'!$AB:$AB,'MASTER PLAN'!$J:$J,0,0)=0,"",XLOOKUP(CONCAT(EI8,EJ8),'MASTER PLAN'!$AB:$AB,'MASTER PLAN'!$J:$J,0,0)),"")</f>
        <v/>
      </c>
      <c r="EL8" s="98"/>
      <c r="EM8" s="99"/>
      <c r="EN8" s="77"/>
      <c r="EO8" s="78"/>
      <c r="EP8" s="79" t="str">
        <f t="array" ref="EP8">IFERROR(IF(XLOOKUP(CONCAT(EN8,EO8),'MASTER PLAN'!$AB:$AB,'MASTER PLAN'!$J:$J,0,0)=0,"",XLOOKUP(CONCAT(EN8,EO8),'MASTER PLAN'!$AB:$AB,'MASTER PLAN'!$J:$J,0,0)),"")</f>
        <v/>
      </c>
      <c r="EQ8" s="98"/>
      <c r="ER8" s="99"/>
      <c r="ES8" s="77"/>
      <c r="ET8" s="78"/>
      <c r="EU8" s="79" t="str">
        <f t="array" ref="EU8">IFERROR(IF(XLOOKUP(CONCAT(ES8,ET8),'MASTER PLAN'!$AB:$AB,'MASTER PLAN'!$J:$J,0,0)=0,"",XLOOKUP(CONCAT(ES8,ET8),'MASTER PLAN'!$AB:$AB,'MASTER PLAN'!$J:$J,0,0)),"")</f>
        <v/>
      </c>
      <c r="EV8" s="98"/>
      <c r="EW8" s="99"/>
      <c r="EX8" s="77"/>
      <c r="EY8" s="78"/>
      <c r="EZ8" s="79" t="str">
        <f t="array" ref="EZ8">IFERROR(IF(XLOOKUP(CONCAT(EX8,EY8),'MASTER PLAN'!$AB:$AB,'MASTER PLAN'!$J:$J,0,0)=0,"",XLOOKUP(CONCAT(EX8,EY8),'MASTER PLAN'!$AB:$AB,'MASTER PLAN'!$J:$J,0,0)),"")</f>
        <v/>
      </c>
      <c r="FA8" s="98"/>
      <c r="FB8" s="99"/>
      <c r="FC8" s="70"/>
      <c r="FD8" s="77"/>
      <c r="FE8" s="78"/>
      <c r="FF8" s="79" t="str">
        <f t="array" ref="FF8">IFERROR(IF(XLOOKUP(CONCAT(FD8,FE8),'MASTER PLAN'!$AB:$AB,'MASTER PLAN'!$J:$J,0,0)=0,"",XLOOKUP(CONCAT(FD8,FE8),'MASTER PLAN'!$AB:$AB,'MASTER PLAN'!$J:$J,0,0)),"")</f>
        <v/>
      </c>
      <c r="FG8" s="98"/>
      <c r="FH8" s="99"/>
      <c r="FI8" s="77"/>
      <c r="FJ8" s="78"/>
      <c r="FK8" s="79" t="str">
        <f t="array" ref="FK8">IFERROR(IF(XLOOKUP(CONCAT(FI8,FJ8),'MASTER PLAN'!$AB:$AB,'MASTER PLAN'!$J:$J,0,0)=0,"",XLOOKUP(CONCAT(FI8,FJ8),'MASTER PLAN'!$AB:$AB,'MASTER PLAN'!$J:$J,0,0)),"")</f>
        <v/>
      </c>
      <c r="FL8" s="98"/>
      <c r="FM8" s="99"/>
      <c r="FN8" s="77"/>
      <c r="FO8" s="78"/>
      <c r="FP8" s="79" t="str">
        <f t="array" ref="FP8">IFERROR(IF(XLOOKUP(CONCAT(FN8,FO8),'MASTER PLAN'!$AB:$AB,'MASTER PLAN'!$J:$J,0,0)=0,"",XLOOKUP(CONCAT(FN8,FO8),'MASTER PLAN'!$AB:$AB,'MASTER PLAN'!$J:$J,0,0)),"")</f>
        <v/>
      </c>
      <c r="FQ8" s="98"/>
      <c r="FR8" s="99"/>
      <c r="FS8" s="77"/>
      <c r="FT8" s="78"/>
      <c r="FU8" s="79" t="str">
        <f t="array" ref="FU8">IFERROR(IF(XLOOKUP(CONCAT(FS8,FT8),'MASTER PLAN'!$AB:$AB,'MASTER PLAN'!$J:$J,0,0)=0,"",XLOOKUP(CONCAT(FS8,FT8),'MASTER PLAN'!$AB:$AB,'MASTER PLAN'!$J:$J,0,0)),"")</f>
        <v/>
      </c>
      <c r="FV8" s="98"/>
      <c r="FW8" s="99"/>
      <c r="FX8" s="77"/>
      <c r="FY8" s="78"/>
      <c r="FZ8" s="79" t="str">
        <f t="array" ref="FZ8">IFERROR(IF(XLOOKUP(CONCAT(FX8,FY8),'MASTER PLAN'!$AB:$AB,'MASTER PLAN'!$J:$J,0,0)=0,"",XLOOKUP(CONCAT(FX8,FY8),'MASTER PLAN'!$AB:$AB,'MASTER PLAN'!$J:$J,0,0)),"")</f>
        <v/>
      </c>
      <c r="GA8" s="98"/>
      <c r="GB8" s="99"/>
      <c r="GC8" s="77"/>
      <c r="GD8" s="78"/>
      <c r="GE8" s="79" t="str">
        <f t="array" ref="GE8">IFERROR(IF(XLOOKUP(CONCAT(GC8,GD8),'MASTER PLAN'!$AB:$AB,'MASTER PLAN'!$J:$J,0,0)=0,"",XLOOKUP(CONCAT(GC8,GD8),'MASTER PLAN'!$AB:$AB,'MASTER PLAN'!$J:$J,0,0)),"")</f>
        <v/>
      </c>
      <c r="GF8" s="98"/>
      <c r="GG8" s="99"/>
      <c r="GH8" s="70"/>
      <c r="GI8" s="77"/>
      <c r="GJ8" s="78"/>
      <c r="GK8" s="79" t="str">
        <f t="array" ref="GK8">IFERROR(IF(XLOOKUP(CONCAT(GI8,GJ8),'MASTER PLAN'!$AB:$AB,'MASTER PLAN'!$J:$J,0,0)=0,"",XLOOKUP(CONCAT(GI8,GJ8),'MASTER PLAN'!$AB:$AB,'MASTER PLAN'!$J:$J,0,0)),"")</f>
        <v/>
      </c>
      <c r="GL8" s="98"/>
      <c r="GM8" s="99"/>
      <c r="GN8" s="77"/>
      <c r="GO8" s="78"/>
      <c r="GP8" s="79" t="str">
        <f t="array" ref="GP8">IFERROR(IF(XLOOKUP(CONCAT(GN8,GO8),'MASTER PLAN'!$AB:$AB,'MASTER PLAN'!$J:$J,0,0)=0,"",XLOOKUP(CONCAT(GN8,GO8),'MASTER PLAN'!$AB:$AB,'MASTER PLAN'!$J:$J,0,0)),"")</f>
        <v/>
      </c>
      <c r="GQ8" s="98"/>
      <c r="GR8" s="99"/>
      <c r="GS8" s="77"/>
      <c r="GT8" s="78"/>
      <c r="GU8" s="79" t="str">
        <f t="array" ref="GU8">IFERROR(IF(XLOOKUP(CONCAT(GS8,GT8),'MASTER PLAN'!$AB:$AB,'MASTER PLAN'!$J:$J,0,0)=0,"",XLOOKUP(CONCAT(GS8,GT8),'MASTER PLAN'!$AB:$AB,'MASTER PLAN'!$J:$J,0,0)),"")</f>
        <v/>
      </c>
      <c r="GV8" s="98"/>
      <c r="GW8" s="99"/>
      <c r="GX8" s="77"/>
      <c r="GY8" s="78"/>
      <c r="GZ8" s="79" t="str">
        <f t="array" ref="GZ8">IFERROR(IF(XLOOKUP(CONCAT(GX8,GY8),'MASTER PLAN'!$AB:$AB,'MASTER PLAN'!$J:$J,0,0)=0,"",XLOOKUP(CONCAT(GX8,GY8),'MASTER PLAN'!$AB:$AB,'MASTER PLAN'!$J:$J,0,0)),"")</f>
        <v/>
      </c>
      <c r="HA8" s="98"/>
      <c r="HB8" s="99"/>
      <c r="HC8" s="77"/>
      <c r="HD8" s="78"/>
      <c r="HE8" s="79" t="str">
        <f t="array" ref="HE8">IFERROR(IF(XLOOKUP(CONCAT(HC8,HD8),'MASTER PLAN'!$AB:$AB,'MASTER PLAN'!$J:$J,0,0)=0,"",XLOOKUP(CONCAT(HC8,HD8),'MASTER PLAN'!$AB:$AB,'MASTER PLAN'!$J:$J,0,0)),"")</f>
        <v/>
      </c>
      <c r="HF8" s="98"/>
      <c r="HG8" s="99"/>
      <c r="HH8" s="77"/>
      <c r="HI8" s="78"/>
      <c r="HJ8" s="79" t="str">
        <f t="array" ref="HJ8">IFERROR(IF(XLOOKUP(CONCAT(HH8,HI8),'MASTER PLAN'!$AB:$AB,'MASTER PLAN'!$J:$J,0,0)=0,"",XLOOKUP(CONCAT(HH8,HI8),'MASTER PLAN'!$AB:$AB,'MASTER PLAN'!$J:$J,0,0)),"")</f>
        <v/>
      </c>
      <c r="HK8" s="98"/>
      <c r="HL8" s="99"/>
      <c r="HM8" s="70"/>
      <c r="HN8" s="77"/>
      <c r="HO8" s="78"/>
      <c r="HP8" s="79" t="str">
        <f t="array" ref="HP8">IFERROR(IF(XLOOKUP(CONCAT(HN8,HO8),'MASTER PLAN'!$AB:$AB,'MASTER PLAN'!$J:$J,0,0)=0,"",XLOOKUP(CONCAT(HN8,HO8),'MASTER PLAN'!$AB:$AB,'MASTER PLAN'!$J:$J,0,0)),"")</f>
        <v/>
      </c>
      <c r="HQ8" s="98"/>
      <c r="HR8" s="99"/>
      <c r="HS8" s="77"/>
      <c r="HT8" s="78"/>
      <c r="HU8" s="79" t="str">
        <f t="array" ref="HU8">IFERROR(IF(XLOOKUP(CONCAT(HS8,HT8),'MASTER PLAN'!$AB:$AB,'MASTER PLAN'!$J:$J,0,0)=0,"",XLOOKUP(CONCAT(HS8,HT8),'MASTER PLAN'!$AB:$AB,'MASTER PLAN'!$J:$J,0,0)),"")</f>
        <v/>
      </c>
      <c r="HV8" s="98"/>
      <c r="HW8" s="99"/>
      <c r="HX8" s="77"/>
      <c r="HY8" s="78"/>
      <c r="HZ8" s="79" t="str">
        <f t="array" ref="HZ8">IFERROR(IF(XLOOKUP(CONCAT(HX8,HY8),'MASTER PLAN'!$AB:$AB,'MASTER PLAN'!$J:$J,0,0)=0,"",XLOOKUP(CONCAT(HX8,HY8),'MASTER PLAN'!$AB:$AB,'MASTER PLAN'!$J:$J,0,0)),"")</f>
        <v/>
      </c>
      <c r="IA8" s="98"/>
      <c r="IB8" s="99"/>
      <c r="IC8" s="92"/>
      <c r="ID8" s="93"/>
      <c r="IE8" s="79" t="str">
        <f t="array" ref="IE8">IFERROR(IF(XLOOKUP(CONCAT(IC8,ID8),'MASTER PLAN'!$AB:$AB,'MASTER PLAN'!$J:$J,0,0)=0,"",XLOOKUP(CONCAT(IC8,ID8),'MASTER PLAN'!$AB:$AB,'MASTER PLAN'!$J:$J,0,0)),"")</f>
        <v/>
      </c>
      <c r="IF8" s="98"/>
      <c r="IG8" s="99"/>
      <c r="IH8" s="77"/>
      <c r="II8" s="78"/>
      <c r="IJ8" s="79" t="str">
        <f t="array" ref="IJ8">IFERROR(IF(XLOOKUP(CONCAT(IH8,II8),'MASTER PLAN'!$AB:$AB,'MASTER PLAN'!$J:$J,0,0)=0,"",XLOOKUP(CONCAT(IH8,II8),'MASTER PLAN'!$AB:$AB,'MASTER PLAN'!$J:$J,0,0)),"")</f>
        <v/>
      </c>
      <c r="IK8" s="98"/>
      <c r="IL8" s="99"/>
      <c r="IM8" s="77"/>
      <c r="IN8" s="78"/>
      <c r="IO8" s="79" t="str">
        <f t="array" ref="IO8">IFERROR(IF(XLOOKUP(CONCAT(IM8,IN8),'MASTER PLAN'!$AB:$AB,'MASTER PLAN'!$J:$J,0,0)=0,"",XLOOKUP(CONCAT(IM8,IN8),'MASTER PLAN'!$AB:$AB,'MASTER PLAN'!$J:$J,0,0)),"")</f>
        <v/>
      </c>
      <c r="IP8" s="98"/>
      <c r="IQ8" s="99"/>
      <c r="IR8" s="70"/>
      <c r="IS8" s="77"/>
      <c r="IT8" s="78"/>
      <c r="IU8" s="79" t="str">
        <f t="array" ref="IU8">IFERROR(IF(XLOOKUP(CONCAT(IS8,IT8),'MASTER PLAN'!$AB:$AB,'MASTER PLAN'!$J:$J,0,0)=0,"",XLOOKUP(CONCAT(IS8,IT8),'MASTER PLAN'!$AB:$AB,'MASTER PLAN'!$J:$J,0,0)),"")</f>
        <v/>
      </c>
      <c r="IV8" s="98"/>
      <c r="IW8" s="99"/>
      <c r="IX8" s="77"/>
      <c r="IY8" s="78"/>
      <c r="IZ8" s="79" t="str">
        <f t="array" ref="IZ8">IFERROR(IF(XLOOKUP(CONCAT(IX8,IY8),'MASTER PLAN'!$AB:$AB,'MASTER PLAN'!$J:$J,0,0)=0,"",XLOOKUP(CONCAT(IX8,IY8),'MASTER PLAN'!$AB:$AB,'MASTER PLAN'!$J:$J,0,0)),"")</f>
        <v/>
      </c>
      <c r="JA8" s="98"/>
      <c r="JB8" s="99"/>
      <c r="JC8" s="77"/>
      <c r="JD8" s="78"/>
      <c r="JE8" s="79" t="str">
        <f t="array" ref="JE8">IFERROR(IF(XLOOKUP(CONCAT(JC8,JD8),'MASTER PLAN'!$AB:$AB,'MASTER PLAN'!$J:$J,0,0)=0,"",XLOOKUP(CONCAT(JC8,JD8),'MASTER PLAN'!$AB:$AB,'MASTER PLAN'!$J:$J,0,0)),"")</f>
        <v/>
      </c>
      <c r="JF8" s="98"/>
      <c r="JG8" s="99"/>
      <c r="JH8" s="92"/>
      <c r="JI8" s="93"/>
      <c r="JJ8" s="79" t="str">
        <f t="array" ref="JJ8">IFERROR(IF(XLOOKUP(CONCAT(JH8,JI8),'MASTER PLAN'!$AB:$AB,'MASTER PLAN'!$J:$J,0,0)=0,"",XLOOKUP(CONCAT(JH8,JI8),'MASTER PLAN'!$AB:$AB,'MASTER PLAN'!$J:$J,0,0)),"")</f>
        <v/>
      </c>
      <c r="JK8" s="98"/>
      <c r="JL8" s="99"/>
      <c r="JM8" s="77"/>
      <c r="JN8" s="78"/>
      <c r="JO8" s="79" t="str">
        <f t="array" ref="JO8">IFERROR(IF(XLOOKUP(CONCAT(JM8,JN8),'MASTER PLAN'!$AB:$AB,'MASTER PLAN'!$J:$J,0,0)=0,"",XLOOKUP(CONCAT(JM8,JN8),'MASTER PLAN'!$AB:$AB,'MASTER PLAN'!$J:$J,0,0)),"")</f>
        <v/>
      </c>
      <c r="JP8" s="98"/>
      <c r="JQ8" s="99"/>
      <c r="JR8" s="77"/>
      <c r="JS8" s="78"/>
      <c r="JT8" s="79" t="str">
        <f t="array" ref="JT8">IFERROR(IF(XLOOKUP(CONCAT(JR8,JS8),'MASTER PLAN'!$AB:$AB,'MASTER PLAN'!$J:$J,0,0)=0,"",XLOOKUP(CONCAT(JR8,JS8),'MASTER PLAN'!$AB:$AB,'MASTER PLAN'!$J:$J,0,0)),"")</f>
        <v/>
      </c>
      <c r="JU8" s="98"/>
      <c r="JV8" s="99"/>
      <c r="JW8" s="70"/>
      <c r="JX8" s="77"/>
      <c r="JY8" s="78"/>
      <c r="JZ8" s="79" t="str">
        <f t="array" ref="JZ8">IFERROR(IF(XLOOKUP(CONCAT(JX8,JY8),'MASTER PLAN'!$AB:$AB,'MASTER PLAN'!$J:$J,0,0)=0,"",XLOOKUP(CONCAT(JX8,JY8),'MASTER PLAN'!$AB:$AB,'MASTER PLAN'!$J:$J,0,0)),"")</f>
        <v/>
      </c>
      <c r="KA8" s="98"/>
      <c r="KB8" s="99"/>
      <c r="KC8" s="77"/>
      <c r="KD8" s="78"/>
      <c r="KE8" s="79" t="str">
        <f t="array" ref="KE8">IFERROR(IF(XLOOKUP(CONCAT(KC8,KD8),'MASTER PLAN'!$AB:$AB,'MASTER PLAN'!$J:$J,0,0)=0,"",XLOOKUP(CONCAT(KC8,KD8),'MASTER PLAN'!$AB:$AB,'MASTER PLAN'!$J:$J,0,0)),"")</f>
        <v/>
      </c>
      <c r="KF8" s="98"/>
      <c r="KG8" s="99"/>
      <c r="KH8" s="77"/>
      <c r="KI8" s="78"/>
      <c r="KJ8" s="79" t="str">
        <f t="array" ref="KJ8">IFERROR(IF(XLOOKUP(CONCAT(KH8,KI8),'MASTER PLAN'!$AB:$AB,'MASTER PLAN'!$J:$J,0,0)=0,"",XLOOKUP(CONCAT(KH8,KI8),'MASTER PLAN'!$AB:$AB,'MASTER PLAN'!$J:$J,0,0)),"")</f>
        <v/>
      </c>
      <c r="KK8" s="98"/>
      <c r="KL8" s="99"/>
      <c r="KM8" s="77"/>
      <c r="KN8" s="78"/>
      <c r="KO8" s="79" t="str">
        <f t="array" ref="KO8">IFERROR(IF(XLOOKUP(CONCAT(KM8,KN8),'MASTER PLAN'!$AB:$AB,'MASTER PLAN'!$J:$J,0,0)=0,"",XLOOKUP(CONCAT(KM8,KN8),'MASTER PLAN'!$AB:$AB,'MASTER PLAN'!$J:$J,0,0)),"")</f>
        <v/>
      </c>
      <c r="KP8" s="98"/>
      <c r="KQ8" s="99"/>
      <c r="KR8" s="77"/>
      <c r="KS8" s="78"/>
      <c r="KT8" s="79" t="str">
        <f t="array" ref="KT8">IFERROR(IF(XLOOKUP(CONCAT(KR8,KS8),'MASTER PLAN'!$AB:$AB,'MASTER PLAN'!$J:$J,0,0)=0,"",XLOOKUP(CONCAT(KR8,KS8),'MASTER PLAN'!$AB:$AB,'MASTER PLAN'!$J:$J,0,0)),"")</f>
        <v/>
      </c>
      <c r="KU8" s="98"/>
      <c r="KV8" s="99"/>
      <c r="KW8" s="77"/>
      <c r="KX8" s="78"/>
      <c r="KY8" s="79" t="str">
        <f t="array" ref="KY8">IFERROR(IF(XLOOKUP(CONCAT(KW8,KX8),'MASTER PLAN'!$AB:$AB,'MASTER PLAN'!$J:$J,0,0)=0,"",XLOOKUP(CONCAT(KW8,KX8),'MASTER PLAN'!$AB:$AB,'MASTER PLAN'!$J:$J,0,0)),"")</f>
        <v/>
      </c>
      <c r="KZ8" s="98"/>
      <c r="LA8" s="99"/>
      <c r="LB8" s="70"/>
      <c r="LC8" s="77"/>
      <c r="LD8" s="78"/>
      <c r="LE8" s="79" t="str">
        <f t="array" ref="LE8">IFERROR(IF(XLOOKUP(CONCAT(LC8,LD8),'MASTER PLAN'!$AB:$AB,'MASTER PLAN'!$J:$J,0,0)=0,"",XLOOKUP(CONCAT(LC8,LD8),'MASTER PLAN'!$AB:$AB,'MASTER PLAN'!$J:$J,0,0)),"")</f>
        <v/>
      </c>
      <c r="LF8" s="98"/>
      <c r="LG8" s="99"/>
      <c r="LH8" s="77"/>
      <c r="LI8" s="78"/>
      <c r="LJ8" s="79" t="str">
        <f t="array" ref="LJ8">IFERROR(IF(XLOOKUP(CONCAT(LH8,LI8),'MASTER PLAN'!$AB:$AB,'MASTER PLAN'!$J:$J,0,0)=0,"",XLOOKUP(CONCAT(LH8,LI8),'MASTER PLAN'!$AB:$AB,'MASTER PLAN'!$J:$J,0,0)),"")</f>
        <v/>
      </c>
      <c r="LK8" s="98"/>
      <c r="LL8" s="99"/>
      <c r="LM8" s="77"/>
      <c r="LN8" s="78"/>
      <c r="LO8" s="79" t="str">
        <f t="array" ref="LO8">IFERROR(IF(XLOOKUP(CONCAT(LM8,LN8),'MASTER PLAN'!$AB:$AB,'MASTER PLAN'!$J:$J,0,0)=0,"",XLOOKUP(CONCAT(LM8,LN8),'MASTER PLAN'!$AB:$AB,'MASTER PLAN'!$J:$J,0,0)),"")</f>
        <v/>
      </c>
      <c r="LP8" s="98"/>
      <c r="LQ8" s="99"/>
      <c r="LR8" s="77"/>
      <c r="LS8" s="78"/>
      <c r="LT8" s="79" t="str">
        <f t="array" ref="LT8">IFERROR(IF(XLOOKUP(CONCAT(LR8,LS8),'MASTER PLAN'!$AB:$AB,'MASTER PLAN'!$J:$J,0,0)=0,"",XLOOKUP(CONCAT(LR8,LS8),'MASTER PLAN'!$AB:$AB,'MASTER PLAN'!$J:$J,0,0)),"")</f>
        <v/>
      </c>
      <c r="LU8" s="98"/>
      <c r="LV8" s="99"/>
      <c r="LW8" s="77"/>
      <c r="LX8" s="78"/>
      <c r="LY8" s="79" t="str">
        <f t="array" ref="LY8">IFERROR(IF(XLOOKUP(CONCAT(LW8,LX8),'MASTER PLAN'!$AB:$AB,'MASTER PLAN'!$J:$J,0,0)=0,"",XLOOKUP(CONCAT(LW8,LX8),'MASTER PLAN'!$AB:$AB,'MASTER PLAN'!$J:$J,0,0)),"")</f>
        <v/>
      </c>
      <c r="LZ8" s="98"/>
      <c r="MA8" s="99"/>
      <c r="MB8" s="77"/>
      <c r="MC8" s="78"/>
      <c r="MD8" s="79" t="str">
        <f t="array" ref="MD8">IFERROR(IF(XLOOKUP(CONCAT(MB8,MC8),'MASTER PLAN'!$AB:$AB,'MASTER PLAN'!$J:$J,0,0)=0,"",XLOOKUP(CONCAT(MB8,MC8),'MASTER PLAN'!$AB:$AB,'MASTER PLAN'!$J:$J,0,0)),"")</f>
        <v/>
      </c>
      <c r="ME8" s="98"/>
      <c r="MF8" s="99"/>
      <c r="MG8" s="70"/>
      <c r="MH8" s="77"/>
      <c r="MI8" s="78"/>
      <c r="MJ8" s="79" t="str">
        <f t="array" ref="MJ8">IFERROR(IF(XLOOKUP(CONCAT(MH8,MI8),'MASTER PLAN'!$AB:$AB,'MASTER PLAN'!$J:$J,0,0)=0,"",XLOOKUP(CONCAT(MH8,MI8),'MASTER PLAN'!$AB:$AB,'MASTER PLAN'!$J:$J,0,0)),"")</f>
        <v/>
      </c>
      <c r="MK8" s="98"/>
      <c r="ML8" s="99"/>
      <c r="MM8" s="77"/>
      <c r="MN8" s="78"/>
      <c r="MO8" s="79" t="str">
        <f t="array" ref="MO8">IFERROR(IF(XLOOKUP(CONCAT(MM8,MN8),'MASTER PLAN'!$AB:$AB,'MASTER PLAN'!$J:$J,0,0)=0,"",XLOOKUP(CONCAT(MM8,MN8),'MASTER PLAN'!$AB:$AB,'MASTER PLAN'!$J:$J,0,0)),"")</f>
        <v/>
      </c>
      <c r="MP8" s="98"/>
      <c r="MQ8" s="99"/>
      <c r="MR8" s="77"/>
      <c r="MS8" s="78"/>
      <c r="MT8" s="79" t="str">
        <f t="array" ref="MT8">IFERROR(IF(XLOOKUP(CONCAT(MR8,MS8),'MASTER PLAN'!$AB:$AB,'MASTER PLAN'!$J:$J,0,0)=0,"",XLOOKUP(CONCAT(MR8,MS8),'MASTER PLAN'!$AB:$AB,'MASTER PLAN'!$J:$J,0,0)),"")</f>
        <v/>
      </c>
      <c r="MU8" s="98"/>
      <c r="MV8" s="99"/>
      <c r="MW8" s="77"/>
      <c r="MX8" s="78"/>
      <c r="MY8" s="79" t="str">
        <f t="array" ref="MY8">IFERROR(IF(XLOOKUP(CONCAT(MW8,MX8),'MASTER PLAN'!$AB:$AB,'MASTER PLAN'!$J:$J,0,0)=0,"",XLOOKUP(CONCAT(MW8,MX8),'MASTER PLAN'!$AB:$AB,'MASTER PLAN'!$J:$J,0,0)),"")</f>
        <v/>
      </c>
      <c r="MZ8" s="98"/>
      <c r="NA8" s="99"/>
      <c r="NB8" s="77"/>
      <c r="NC8" s="78"/>
      <c r="ND8" s="79" t="str">
        <f t="array" ref="ND8">IFERROR(IF(XLOOKUP(CONCAT(NB8,NC8),'MASTER PLAN'!$AB:$AB,'MASTER PLAN'!$J:$J,0,0)=0,"",XLOOKUP(CONCAT(NB8,NC8),'MASTER PLAN'!$AB:$AB,'MASTER PLAN'!$J:$J,0,0)),"")</f>
        <v/>
      </c>
      <c r="NE8" s="98"/>
      <c r="NF8" s="99"/>
      <c r="NG8" s="77"/>
      <c r="NH8" s="78"/>
      <c r="NI8" s="79" t="str">
        <f t="array" ref="NI8">IFERROR(IF(XLOOKUP(CONCAT(NG8,NH8),'MASTER PLAN'!$AB:$AB,'MASTER PLAN'!$J:$J,0,0)=0,"",XLOOKUP(CONCAT(NG8,NH8),'MASTER PLAN'!$AB:$AB,'MASTER PLAN'!$J:$J,0,0)),"")</f>
        <v/>
      </c>
      <c r="NJ8" s="98"/>
      <c r="NK8" s="99"/>
      <c r="NL8" s="70"/>
      <c r="NM8" s="77"/>
      <c r="NN8" s="78"/>
      <c r="NO8" s="79" t="str">
        <f t="array" ref="NO8">IFERROR(IF(XLOOKUP(CONCAT(NM8,NN8),'MASTER PLAN'!$AB:$AB,'MASTER PLAN'!$J:$J,0,0)=0,"",XLOOKUP(CONCAT(NM8,NN8),'MASTER PLAN'!$AB:$AB,'MASTER PLAN'!$J:$J,0,0)),"")</f>
        <v/>
      </c>
      <c r="NP8" s="98"/>
      <c r="NQ8" s="99"/>
      <c r="NR8" s="77"/>
      <c r="NS8" s="78"/>
      <c r="NT8" s="79" t="str">
        <f t="array" ref="NT8">IFERROR(IF(XLOOKUP(CONCAT(NR8,NS8),'MASTER PLAN'!$AB:$AB,'MASTER PLAN'!$J:$J,0,0)=0,"",XLOOKUP(CONCAT(NR8,NS8),'MASTER PLAN'!$AB:$AB,'MASTER PLAN'!$J:$J,0,0)),"")</f>
        <v/>
      </c>
      <c r="NU8" s="98"/>
      <c r="NV8" s="99"/>
      <c r="NW8" s="77"/>
      <c r="NX8" s="78"/>
      <c r="NY8" s="79" t="str">
        <f t="array" ref="NY8">IFERROR(IF(XLOOKUP(CONCAT(NW8,NX8),'MASTER PLAN'!$AB:$AB,'MASTER PLAN'!$J:$J,0,0)=0,"",XLOOKUP(CONCAT(NW8,NX8),'MASTER PLAN'!$AB:$AB,'MASTER PLAN'!$J:$J,0,0)),"")</f>
        <v/>
      </c>
      <c r="NZ8" s="98"/>
      <c r="OA8" s="99"/>
      <c r="OB8" s="77"/>
      <c r="OC8" s="78"/>
      <c r="OD8" s="79" t="str">
        <f t="array" ref="OD8">IFERROR(IF(XLOOKUP(CONCAT(OB8,OC8),'MASTER PLAN'!$AB:$AB,'MASTER PLAN'!$J:$J,0,0)=0,"",XLOOKUP(CONCAT(OB8,OC8),'MASTER PLAN'!$AB:$AB,'MASTER PLAN'!$J:$J,0,0)),"")</f>
        <v/>
      </c>
      <c r="OE8" s="98"/>
      <c r="OF8" s="99"/>
      <c r="OG8" s="77"/>
      <c r="OH8" s="78"/>
      <c r="OI8" s="79" t="str">
        <f t="array" ref="OI8">IFERROR(IF(XLOOKUP(CONCAT(OG8,OH8),'MASTER PLAN'!$AB:$AB,'MASTER PLAN'!$J:$J,0,0)=0,"",XLOOKUP(CONCAT(OG8,OH8),'MASTER PLAN'!$AB:$AB,'MASTER PLAN'!$J:$J,0,0)),"")</f>
        <v/>
      </c>
      <c r="OJ8" s="98"/>
      <c r="OK8" s="99"/>
      <c r="OL8" s="77"/>
      <c r="OM8" s="78"/>
      <c r="ON8" s="79" t="str">
        <f t="array" ref="ON8">IFERROR(IF(XLOOKUP(CONCAT(OL8,OM8),'MASTER PLAN'!$AB:$AB,'MASTER PLAN'!$J:$J,0,0)=0,"",XLOOKUP(CONCAT(OL8,OM8),'MASTER PLAN'!$AB:$AB,'MASTER PLAN'!$J:$J,0,0)),"")</f>
        <v/>
      </c>
      <c r="OO8" s="98"/>
      <c r="OP8" s="99"/>
      <c r="OQ8" s="70"/>
      <c r="OR8" s="70"/>
      <c r="OS8" s="70"/>
      <c r="OT8" s="70"/>
      <c r="OU8" s="70"/>
      <c r="OV8" s="70"/>
      <c r="OW8" s="70"/>
      <c r="OX8" s="70"/>
      <c r="OY8" s="70"/>
      <c r="OZ8" s="70"/>
      <c r="PA8" s="70"/>
      <c r="PB8" s="70"/>
      <c r="PC8" s="70"/>
      <c r="PD8" s="70"/>
      <c r="PE8" s="70"/>
      <c r="PF8" s="70"/>
      <c r="PG8" s="70"/>
      <c r="PH8" s="70"/>
      <c r="PI8" s="70"/>
      <c r="PJ8" s="70"/>
    </row>
    <row r="9">
      <c r="A9" s="81"/>
      <c r="B9" s="82">
        <v>3000.0</v>
      </c>
      <c r="C9" s="83" t="s">
        <v>247</v>
      </c>
      <c r="D9" s="42"/>
      <c r="E9" s="84"/>
      <c r="F9" s="85"/>
      <c r="G9" s="85"/>
      <c r="H9" s="100">
        <f t="shared" ref="H9:I9" si="1">SUM(H4:H8)</f>
        <v>0</v>
      </c>
      <c r="I9" s="86">
        <f t="shared" si="1"/>
        <v>0</v>
      </c>
      <c r="J9" s="84"/>
      <c r="K9" s="85"/>
      <c r="L9" s="85"/>
      <c r="M9" s="100">
        <f t="shared" ref="M9:N9" si="2">SUM(M4:M8)</f>
        <v>0</v>
      </c>
      <c r="N9" s="86">
        <f t="shared" si="2"/>
        <v>0</v>
      </c>
      <c r="O9" s="84"/>
      <c r="P9" s="85"/>
      <c r="Q9" s="85"/>
      <c r="R9" s="100">
        <f t="shared" ref="R9:S9" si="3">SUM(R4:R8)</f>
        <v>0</v>
      </c>
      <c r="S9" s="86">
        <f t="shared" si="3"/>
        <v>0</v>
      </c>
      <c r="T9" s="84"/>
      <c r="U9" s="85"/>
      <c r="V9" s="85"/>
      <c r="W9" s="100">
        <f t="shared" ref="W9:X9" si="4">SUM(W4:W8)</f>
        <v>0</v>
      </c>
      <c r="X9" s="86">
        <f t="shared" si="4"/>
        <v>0</v>
      </c>
      <c r="Y9" s="84"/>
      <c r="Z9" s="85"/>
      <c r="AA9" s="85"/>
      <c r="AB9" s="100">
        <f t="shared" ref="AB9:AC9" si="5">SUM(AB4:AB8)</f>
        <v>0</v>
      </c>
      <c r="AC9" s="86">
        <f t="shared" si="5"/>
        <v>0</v>
      </c>
      <c r="AD9" s="84"/>
      <c r="AE9" s="85"/>
      <c r="AF9" s="85"/>
      <c r="AG9" s="100">
        <f t="shared" ref="AG9:AH9" si="6">SUM(AG4:AG8)</f>
        <v>0</v>
      </c>
      <c r="AH9" s="86">
        <f t="shared" si="6"/>
        <v>0</v>
      </c>
      <c r="AI9" s="42"/>
      <c r="AJ9" s="84"/>
      <c r="AK9" s="85"/>
      <c r="AL9" s="85"/>
      <c r="AM9" s="100">
        <f t="shared" ref="AM9:AN9" si="7">SUM(AM4:AM8)</f>
        <v>0</v>
      </c>
      <c r="AN9" s="86">
        <f t="shared" si="7"/>
        <v>0</v>
      </c>
      <c r="AO9" s="84"/>
      <c r="AP9" s="85"/>
      <c r="AQ9" s="85"/>
      <c r="AR9" s="100">
        <f t="shared" ref="AR9:AS9" si="8">SUM(AR4:AR8)</f>
        <v>0</v>
      </c>
      <c r="AS9" s="86">
        <f t="shared" si="8"/>
        <v>0</v>
      </c>
      <c r="AT9" s="84"/>
      <c r="AU9" s="85"/>
      <c r="AV9" s="85"/>
      <c r="AW9" s="100">
        <f t="shared" ref="AW9:AX9" si="9">SUM(AW4:AW8)</f>
        <v>0</v>
      </c>
      <c r="AX9" s="86">
        <f t="shared" si="9"/>
        <v>0</v>
      </c>
      <c r="AY9" s="84"/>
      <c r="AZ9" s="85"/>
      <c r="BA9" s="85"/>
      <c r="BB9" s="100">
        <f t="shared" ref="BB9:BC9" si="10">SUM(BB4:BB8)</f>
        <v>0</v>
      </c>
      <c r="BC9" s="86">
        <f t="shared" si="10"/>
        <v>0</v>
      </c>
      <c r="BD9" s="84"/>
      <c r="BE9" s="85"/>
      <c r="BF9" s="85"/>
      <c r="BG9" s="100">
        <f t="shared" ref="BG9:BH9" si="11">SUM(BG4:BG8)</f>
        <v>0</v>
      </c>
      <c r="BH9" s="86">
        <f t="shared" si="11"/>
        <v>0</v>
      </c>
      <c r="BI9" s="84"/>
      <c r="BJ9" s="85"/>
      <c r="BK9" s="85"/>
      <c r="BL9" s="100">
        <f t="shared" ref="BL9:BM9" si="12">SUM(BL4:BL8)</f>
        <v>0</v>
      </c>
      <c r="BM9" s="86">
        <f t="shared" si="12"/>
        <v>0</v>
      </c>
      <c r="BN9" s="42"/>
      <c r="BO9" s="84"/>
      <c r="BP9" s="85"/>
      <c r="BQ9" s="85"/>
      <c r="BR9" s="100">
        <f t="shared" ref="BR9:BS9" si="13">SUM(BR4:BR8)</f>
        <v>2740</v>
      </c>
      <c r="BS9" s="86">
        <f t="shared" si="13"/>
        <v>2740</v>
      </c>
      <c r="BT9" s="84"/>
      <c r="BU9" s="85"/>
      <c r="BV9" s="85"/>
      <c r="BW9" s="100">
        <f t="shared" ref="BW9:BX9" si="14">SUM(BW4:BW8)</f>
        <v>3200</v>
      </c>
      <c r="BX9" s="86">
        <f t="shared" si="14"/>
        <v>4000</v>
      </c>
      <c r="BY9" s="84"/>
      <c r="BZ9" s="85"/>
      <c r="CA9" s="85"/>
      <c r="CB9" s="100">
        <f t="shared" ref="CB9:CC9" si="15">SUM(CB4:CB8)</f>
        <v>3500</v>
      </c>
      <c r="CC9" s="86">
        <f t="shared" si="15"/>
        <v>0</v>
      </c>
      <c r="CD9" s="84"/>
      <c r="CE9" s="85"/>
      <c r="CF9" s="85"/>
      <c r="CG9" s="100">
        <f t="shared" ref="CG9:CH9" si="16">SUM(CG4:CG8)</f>
        <v>3500</v>
      </c>
      <c r="CH9" s="86">
        <f t="shared" si="16"/>
        <v>0</v>
      </c>
      <c r="CI9" s="84"/>
      <c r="CJ9" s="85"/>
      <c r="CK9" s="85"/>
      <c r="CL9" s="100">
        <f t="shared" ref="CL9:CM9" si="17">SUM(CL4:CL8)</f>
        <v>3000</v>
      </c>
      <c r="CM9" s="86">
        <f t="shared" si="17"/>
        <v>0</v>
      </c>
      <c r="CN9" s="84"/>
      <c r="CO9" s="85"/>
      <c r="CP9" s="85"/>
      <c r="CQ9" s="100">
        <f t="shared" ref="CQ9:CR9" si="18">SUM(CQ4:CQ8)</f>
        <v>0</v>
      </c>
      <c r="CR9" s="86">
        <f t="shared" si="18"/>
        <v>0</v>
      </c>
      <c r="CS9" s="42"/>
      <c r="CT9" s="84"/>
      <c r="CU9" s="85"/>
      <c r="CV9" s="85"/>
      <c r="CW9" s="100">
        <f t="shared" ref="CW9:CX9" si="19">SUM(CW4:CW8)</f>
        <v>3000</v>
      </c>
      <c r="CX9" s="86">
        <f t="shared" si="19"/>
        <v>0</v>
      </c>
      <c r="CY9" s="84"/>
      <c r="CZ9" s="85"/>
      <c r="DA9" s="85"/>
      <c r="DB9" s="100">
        <f t="shared" ref="DB9:DC9" si="20">SUM(DB4:DB8)</f>
        <v>2850</v>
      </c>
      <c r="DC9" s="86">
        <f t="shared" si="20"/>
        <v>0</v>
      </c>
      <c r="DD9" s="84"/>
      <c r="DE9" s="85"/>
      <c r="DF9" s="85"/>
      <c r="DG9" s="100">
        <f t="shared" ref="DG9:DH9" si="21">SUM(DG4:DG8)</f>
        <v>2200</v>
      </c>
      <c r="DH9" s="86">
        <f t="shared" si="21"/>
        <v>0</v>
      </c>
      <c r="DI9" s="84"/>
      <c r="DJ9" s="85"/>
      <c r="DK9" s="85"/>
      <c r="DL9" s="100">
        <f t="shared" ref="DL9:DM9" si="22">SUM(DL4:DL8)</f>
        <v>3000</v>
      </c>
      <c r="DM9" s="86">
        <f t="shared" si="22"/>
        <v>0</v>
      </c>
      <c r="DN9" s="84"/>
      <c r="DO9" s="85"/>
      <c r="DP9" s="85"/>
      <c r="DQ9" s="100">
        <f t="shared" ref="DQ9:DR9" si="23">SUM(DQ4:DQ8)</f>
        <v>2550</v>
      </c>
      <c r="DR9" s="86">
        <f t="shared" si="23"/>
        <v>0</v>
      </c>
      <c r="DS9" s="84"/>
      <c r="DT9" s="85"/>
      <c r="DU9" s="85"/>
      <c r="DV9" s="100">
        <f t="shared" ref="DV9:DW9" si="24">SUM(DV4:DV8)</f>
        <v>0</v>
      </c>
      <c r="DW9" s="86">
        <f t="shared" si="24"/>
        <v>0</v>
      </c>
      <c r="DX9" s="42"/>
      <c r="DY9" s="84"/>
      <c r="DZ9" s="85"/>
      <c r="EA9" s="85"/>
      <c r="EB9" s="100">
        <f t="shared" ref="EB9:EC9" si="25">SUM(EB4:EB8)</f>
        <v>3000</v>
      </c>
      <c r="EC9" s="86">
        <f t="shared" si="25"/>
        <v>0</v>
      </c>
      <c r="ED9" s="84"/>
      <c r="EE9" s="85"/>
      <c r="EF9" s="85"/>
      <c r="EG9" s="100">
        <f t="shared" ref="EG9:EH9" si="26">SUM(EG4:EG8)</f>
        <v>2150</v>
      </c>
      <c r="EH9" s="86">
        <f t="shared" si="26"/>
        <v>0</v>
      </c>
      <c r="EI9" s="84"/>
      <c r="EJ9" s="85"/>
      <c r="EK9" s="85"/>
      <c r="EL9" s="100">
        <f t="shared" ref="EL9:EM9" si="27">SUM(EL4:EL8)</f>
        <v>2550</v>
      </c>
      <c r="EM9" s="86">
        <f t="shared" si="27"/>
        <v>0</v>
      </c>
      <c r="EN9" s="84"/>
      <c r="EO9" s="85"/>
      <c r="EP9" s="85"/>
      <c r="EQ9" s="100">
        <f t="shared" ref="EQ9:ER9" si="28">SUM(EQ4:EQ8)</f>
        <v>3000</v>
      </c>
      <c r="ER9" s="86">
        <f t="shared" si="28"/>
        <v>0</v>
      </c>
      <c r="ES9" s="84"/>
      <c r="ET9" s="85"/>
      <c r="EU9" s="85"/>
      <c r="EV9" s="100">
        <f t="shared" ref="EV9:EW9" si="29">SUM(EV4:EV8)</f>
        <v>3000</v>
      </c>
      <c r="EW9" s="86">
        <f t="shared" si="29"/>
        <v>0</v>
      </c>
      <c r="EX9" s="84"/>
      <c r="EY9" s="85"/>
      <c r="EZ9" s="85"/>
      <c r="FA9" s="100">
        <f t="shared" ref="FA9:FB9" si="30">SUM(FA4:FA8)</f>
        <v>0</v>
      </c>
      <c r="FB9" s="86">
        <f t="shared" si="30"/>
        <v>0</v>
      </c>
      <c r="FC9" s="42"/>
      <c r="FD9" s="84"/>
      <c r="FE9" s="85"/>
      <c r="FF9" s="85"/>
      <c r="FG9" s="100">
        <f t="shared" ref="FG9:FH9" si="31">SUM(FG4:FG8)</f>
        <v>2900</v>
      </c>
      <c r="FH9" s="86">
        <f t="shared" si="31"/>
        <v>0</v>
      </c>
      <c r="FI9" s="84"/>
      <c r="FJ9" s="85"/>
      <c r="FK9" s="85"/>
      <c r="FL9" s="100">
        <f t="shared" ref="FL9:FM9" si="32">SUM(FL4:FL8)</f>
        <v>2550</v>
      </c>
      <c r="FM9" s="86">
        <f t="shared" si="32"/>
        <v>0</v>
      </c>
      <c r="FN9" s="84"/>
      <c r="FO9" s="85"/>
      <c r="FP9" s="85"/>
      <c r="FQ9" s="100">
        <f t="shared" ref="FQ9:FR9" si="33">SUM(FQ4:FQ8)</f>
        <v>2800</v>
      </c>
      <c r="FR9" s="86">
        <f t="shared" si="33"/>
        <v>0</v>
      </c>
      <c r="FS9" s="84"/>
      <c r="FT9" s="85"/>
      <c r="FU9" s="85"/>
      <c r="FV9" s="100">
        <f t="shared" ref="FV9:FW9" si="34">SUM(FV4:FV8)</f>
        <v>3000</v>
      </c>
      <c r="FW9" s="86">
        <f t="shared" si="34"/>
        <v>0</v>
      </c>
      <c r="FX9" s="84"/>
      <c r="FY9" s="85"/>
      <c r="FZ9" s="85"/>
      <c r="GA9" s="100">
        <f t="shared" ref="GA9:GB9" si="35">SUM(GA4:GA8)</f>
        <v>3000</v>
      </c>
      <c r="GB9" s="86">
        <f t="shared" si="35"/>
        <v>0</v>
      </c>
      <c r="GC9" s="84"/>
      <c r="GD9" s="85"/>
      <c r="GE9" s="85"/>
      <c r="GF9" s="100">
        <f t="shared" ref="GF9:GG9" si="36">SUM(GF4:GF8)</f>
        <v>0</v>
      </c>
      <c r="GG9" s="86">
        <f t="shared" si="36"/>
        <v>0</v>
      </c>
      <c r="GH9" s="42"/>
      <c r="GI9" s="84"/>
      <c r="GJ9" s="85"/>
      <c r="GK9" s="85"/>
      <c r="GL9" s="100">
        <f t="shared" ref="GL9:GM9" si="37">SUM(GL4:GL8)</f>
        <v>3000</v>
      </c>
      <c r="GM9" s="86">
        <f t="shared" si="37"/>
        <v>0</v>
      </c>
      <c r="GN9" s="84"/>
      <c r="GO9" s="85"/>
      <c r="GP9" s="85"/>
      <c r="GQ9" s="100">
        <f t="shared" ref="GQ9:GR9" si="38">SUM(GQ4:GQ8)</f>
        <v>2700</v>
      </c>
      <c r="GR9" s="86">
        <f t="shared" si="38"/>
        <v>0</v>
      </c>
      <c r="GS9" s="84"/>
      <c r="GT9" s="85"/>
      <c r="GU9" s="85"/>
      <c r="GV9" s="100">
        <f t="shared" ref="GV9:GW9" si="39">SUM(GV4:GV8)</f>
        <v>2800</v>
      </c>
      <c r="GW9" s="86">
        <f t="shared" si="39"/>
        <v>0</v>
      </c>
      <c r="GX9" s="84"/>
      <c r="GY9" s="85"/>
      <c r="GZ9" s="85"/>
      <c r="HA9" s="100">
        <f t="shared" ref="HA9:HB9" si="40">SUM(HA4:HA8)</f>
        <v>2500</v>
      </c>
      <c r="HB9" s="86">
        <f t="shared" si="40"/>
        <v>0</v>
      </c>
      <c r="HC9" s="84"/>
      <c r="HD9" s="85"/>
      <c r="HE9" s="85"/>
      <c r="HF9" s="100">
        <f t="shared" ref="HF9:HG9" si="41">SUM(HF4:HF8)</f>
        <v>3000</v>
      </c>
      <c r="HG9" s="86">
        <f t="shared" si="41"/>
        <v>0</v>
      </c>
      <c r="HH9" s="84"/>
      <c r="HI9" s="85"/>
      <c r="HJ9" s="85"/>
      <c r="HK9" s="100">
        <f t="shared" ref="HK9:HL9" si="42">SUM(HK4:HK8)</f>
        <v>0</v>
      </c>
      <c r="HL9" s="86">
        <f t="shared" si="42"/>
        <v>0</v>
      </c>
      <c r="HM9" s="42"/>
      <c r="HN9" s="84"/>
      <c r="HO9" s="85"/>
      <c r="HP9" s="85"/>
      <c r="HQ9" s="100">
        <f t="shared" ref="HQ9:HR9" si="43">SUM(HQ4:HQ8)</f>
        <v>3000</v>
      </c>
      <c r="HR9" s="86">
        <f t="shared" si="43"/>
        <v>0</v>
      </c>
      <c r="HS9" s="84"/>
      <c r="HT9" s="85"/>
      <c r="HU9" s="85"/>
      <c r="HV9" s="100">
        <f t="shared" ref="HV9:HW9" si="44">SUM(HV4:HV8)</f>
        <v>3000</v>
      </c>
      <c r="HW9" s="86">
        <f t="shared" si="44"/>
        <v>0</v>
      </c>
      <c r="HX9" s="84"/>
      <c r="HY9" s="85"/>
      <c r="HZ9" s="85"/>
      <c r="IA9" s="100">
        <f t="shared" ref="IA9:IB9" si="45">SUM(IA4:IA8)</f>
        <v>1000</v>
      </c>
      <c r="IB9" s="86">
        <f t="shared" si="45"/>
        <v>0</v>
      </c>
      <c r="IC9" s="84"/>
      <c r="ID9" s="85"/>
      <c r="IE9" s="85"/>
      <c r="IF9" s="100">
        <f t="shared" ref="IF9:IG9" si="46">SUM(IF4:IF8)</f>
        <v>0</v>
      </c>
      <c r="IG9" s="86">
        <f t="shared" si="46"/>
        <v>0</v>
      </c>
      <c r="IH9" s="84"/>
      <c r="II9" s="85"/>
      <c r="IJ9" s="85"/>
      <c r="IK9" s="100">
        <f t="shared" ref="IK9:IL9" si="47">SUM(IK4:IK8)</f>
        <v>3000</v>
      </c>
      <c r="IL9" s="86">
        <f t="shared" si="47"/>
        <v>0</v>
      </c>
      <c r="IM9" s="84"/>
      <c r="IN9" s="85"/>
      <c r="IO9" s="85"/>
      <c r="IP9" s="100">
        <f t="shared" ref="IP9:IQ9" si="48">SUM(IP4:IP8)</f>
        <v>0</v>
      </c>
      <c r="IQ9" s="86">
        <f t="shared" si="48"/>
        <v>0</v>
      </c>
      <c r="IR9" s="42"/>
      <c r="IS9" s="84"/>
      <c r="IT9" s="85"/>
      <c r="IU9" s="85"/>
      <c r="IV9" s="100">
        <f t="shared" ref="IV9:IW9" si="49">SUM(IV4:IV8)</f>
        <v>3000</v>
      </c>
      <c r="IW9" s="86">
        <f t="shared" si="49"/>
        <v>0</v>
      </c>
      <c r="IX9" s="84"/>
      <c r="IY9" s="85"/>
      <c r="IZ9" s="85"/>
      <c r="JA9" s="100">
        <f t="shared" ref="JA9:JB9" si="50">SUM(JA4:JA8)</f>
        <v>3000</v>
      </c>
      <c r="JB9" s="86">
        <f t="shared" si="50"/>
        <v>0</v>
      </c>
      <c r="JC9" s="84"/>
      <c r="JD9" s="85"/>
      <c r="JE9" s="85"/>
      <c r="JF9" s="100">
        <f t="shared" ref="JF9:JG9" si="51">SUM(JF4:JF8)</f>
        <v>1500</v>
      </c>
      <c r="JG9" s="86">
        <f t="shared" si="51"/>
        <v>0</v>
      </c>
      <c r="JH9" s="84"/>
      <c r="JI9" s="85"/>
      <c r="JJ9" s="85"/>
      <c r="JK9" s="100">
        <f t="shared" ref="JK9:JL9" si="52">SUM(JK4:JK8)</f>
        <v>0</v>
      </c>
      <c r="JL9" s="86">
        <f t="shared" si="52"/>
        <v>0</v>
      </c>
      <c r="JM9" s="84"/>
      <c r="JN9" s="85"/>
      <c r="JO9" s="85"/>
      <c r="JP9" s="100">
        <f t="shared" ref="JP9:JQ9" si="53">SUM(JP4:JP8)</f>
        <v>3000</v>
      </c>
      <c r="JQ9" s="86">
        <f t="shared" si="53"/>
        <v>0</v>
      </c>
      <c r="JR9" s="84"/>
      <c r="JS9" s="85"/>
      <c r="JT9" s="85"/>
      <c r="JU9" s="100">
        <f t="shared" ref="JU9:JV9" si="54">SUM(JU4:JU8)</f>
        <v>0</v>
      </c>
      <c r="JV9" s="86">
        <f t="shared" si="54"/>
        <v>0</v>
      </c>
      <c r="JW9" s="42"/>
      <c r="JX9" s="84"/>
      <c r="JY9" s="85"/>
      <c r="JZ9" s="85"/>
      <c r="KA9" s="100">
        <f t="shared" ref="KA9:KB9" si="55">SUM(KA4:KA8)</f>
        <v>3000</v>
      </c>
      <c r="KB9" s="86">
        <f t="shared" si="55"/>
        <v>0</v>
      </c>
      <c r="KC9" s="84"/>
      <c r="KD9" s="85"/>
      <c r="KE9" s="85"/>
      <c r="KF9" s="100">
        <f t="shared" ref="KF9:KG9" si="56">SUM(KF4:KF8)</f>
        <v>3000</v>
      </c>
      <c r="KG9" s="86">
        <f t="shared" si="56"/>
        <v>0</v>
      </c>
      <c r="KH9" s="84"/>
      <c r="KI9" s="85"/>
      <c r="KJ9" s="85"/>
      <c r="KK9" s="100">
        <f t="shared" ref="KK9:KL9" si="57">SUM(KK4:KK8)</f>
        <v>3000</v>
      </c>
      <c r="KL9" s="86">
        <f t="shared" si="57"/>
        <v>0</v>
      </c>
      <c r="KM9" s="84"/>
      <c r="KN9" s="85"/>
      <c r="KO9" s="85"/>
      <c r="KP9" s="100">
        <f t="shared" ref="KP9:KQ9" si="58">SUM(KP4:KP8)</f>
        <v>3000</v>
      </c>
      <c r="KQ9" s="86">
        <f t="shared" si="58"/>
        <v>0</v>
      </c>
      <c r="KR9" s="84"/>
      <c r="KS9" s="85"/>
      <c r="KT9" s="85"/>
      <c r="KU9" s="100">
        <f t="shared" ref="KU9:KV9" si="59">SUM(KU4:KU8)</f>
        <v>3000</v>
      </c>
      <c r="KV9" s="86">
        <f t="shared" si="59"/>
        <v>0</v>
      </c>
      <c r="KW9" s="84"/>
      <c r="KX9" s="85"/>
      <c r="KY9" s="85"/>
      <c r="KZ9" s="100">
        <f t="shared" ref="KZ9:LA9" si="60">SUM(KZ4:KZ8)</f>
        <v>0</v>
      </c>
      <c r="LA9" s="86">
        <f t="shared" si="60"/>
        <v>0</v>
      </c>
      <c r="LB9" s="42"/>
      <c r="LC9" s="84"/>
      <c r="LD9" s="85"/>
      <c r="LE9" s="85"/>
      <c r="LF9" s="100">
        <f t="shared" ref="LF9:LG9" si="61">SUM(LF4:LF8)</f>
        <v>3000</v>
      </c>
      <c r="LG9" s="86">
        <f t="shared" si="61"/>
        <v>0</v>
      </c>
      <c r="LH9" s="84"/>
      <c r="LI9" s="85"/>
      <c r="LJ9" s="85"/>
      <c r="LK9" s="100">
        <f t="shared" ref="LK9:LL9" si="62">SUM(LK4:LK8)</f>
        <v>3000</v>
      </c>
      <c r="LL9" s="86">
        <f t="shared" si="62"/>
        <v>0</v>
      </c>
      <c r="LM9" s="84"/>
      <c r="LN9" s="85"/>
      <c r="LO9" s="85"/>
      <c r="LP9" s="100">
        <f t="shared" ref="LP9:LQ9" si="63">SUM(LP4:LP8)</f>
        <v>2000</v>
      </c>
      <c r="LQ9" s="86">
        <f t="shared" si="63"/>
        <v>0</v>
      </c>
      <c r="LR9" s="84"/>
      <c r="LS9" s="85"/>
      <c r="LT9" s="85"/>
      <c r="LU9" s="100">
        <f t="shared" ref="LU9:LV9" si="64">SUM(LU4:LU8)</f>
        <v>0</v>
      </c>
      <c r="LV9" s="86">
        <f t="shared" si="64"/>
        <v>0</v>
      </c>
      <c r="LW9" s="84"/>
      <c r="LX9" s="85"/>
      <c r="LY9" s="85"/>
      <c r="LZ9" s="100">
        <f t="shared" ref="LZ9:MA9" si="65">SUM(LZ4:LZ8)</f>
        <v>0</v>
      </c>
      <c r="MA9" s="86">
        <f t="shared" si="65"/>
        <v>0</v>
      </c>
      <c r="MB9" s="84"/>
      <c r="MC9" s="85"/>
      <c r="MD9" s="85"/>
      <c r="ME9" s="100">
        <f t="shared" ref="ME9:MF9" si="66">SUM(ME4:ME8)</f>
        <v>0</v>
      </c>
      <c r="MF9" s="86">
        <f t="shared" si="66"/>
        <v>0</v>
      </c>
      <c r="MG9" s="42"/>
      <c r="MH9" s="84"/>
      <c r="MI9" s="85"/>
      <c r="MJ9" s="85"/>
      <c r="MK9" s="100">
        <f t="shared" ref="MK9:ML9" si="67">SUM(MK4:MK8)</f>
        <v>0</v>
      </c>
      <c r="ML9" s="86">
        <f t="shared" si="67"/>
        <v>0</v>
      </c>
      <c r="MM9" s="84"/>
      <c r="MN9" s="85"/>
      <c r="MO9" s="85"/>
      <c r="MP9" s="100">
        <f t="shared" ref="MP9:MQ9" si="68">SUM(MP4:MP8)</f>
        <v>0</v>
      </c>
      <c r="MQ9" s="86">
        <f t="shared" si="68"/>
        <v>0</v>
      </c>
      <c r="MR9" s="84"/>
      <c r="MS9" s="85"/>
      <c r="MT9" s="85"/>
      <c r="MU9" s="100">
        <f t="shared" ref="MU9:MV9" si="69">SUM(MU4:MU8)</f>
        <v>0</v>
      </c>
      <c r="MV9" s="86">
        <f t="shared" si="69"/>
        <v>0</v>
      </c>
      <c r="MW9" s="84"/>
      <c r="MX9" s="85"/>
      <c r="MY9" s="85"/>
      <c r="MZ9" s="100">
        <f t="shared" ref="MZ9:NA9" si="70">SUM(MZ4:MZ8)</f>
        <v>0</v>
      </c>
      <c r="NA9" s="86">
        <f t="shared" si="70"/>
        <v>0</v>
      </c>
      <c r="NB9" s="84"/>
      <c r="NC9" s="85"/>
      <c r="ND9" s="85"/>
      <c r="NE9" s="100">
        <f t="shared" ref="NE9:NF9" si="71">SUM(NE4:NE8)</f>
        <v>0</v>
      </c>
      <c r="NF9" s="86">
        <f t="shared" si="71"/>
        <v>0</v>
      </c>
      <c r="NG9" s="84"/>
      <c r="NH9" s="85"/>
      <c r="NI9" s="85"/>
      <c r="NJ9" s="100">
        <f t="shared" ref="NJ9:NK9" si="72">SUM(NJ4:NJ8)</f>
        <v>0</v>
      </c>
      <c r="NK9" s="86">
        <f t="shared" si="72"/>
        <v>0</v>
      </c>
      <c r="NL9" s="42"/>
      <c r="NM9" s="84"/>
      <c r="NN9" s="85"/>
      <c r="NO9" s="85"/>
      <c r="NP9" s="100">
        <f t="shared" ref="NP9:NQ9" si="73">SUM(NP4:NP8)</f>
        <v>0</v>
      </c>
      <c r="NQ9" s="86">
        <f t="shared" si="73"/>
        <v>0</v>
      </c>
      <c r="NR9" s="84"/>
      <c r="NS9" s="85"/>
      <c r="NT9" s="85"/>
      <c r="NU9" s="100">
        <f t="shared" ref="NU9:NV9" si="74">SUM(NU4:NU8)</f>
        <v>0</v>
      </c>
      <c r="NV9" s="86">
        <f t="shared" si="74"/>
        <v>0</v>
      </c>
      <c r="NW9" s="84"/>
      <c r="NX9" s="85"/>
      <c r="NY9" s="85"/>
      <c r="NZ9" s="100">
        <f t="shared" ref="NZ9:OA9" si="75">SUM(NZ4:NZ8)</f>
        <v>0</v>
      </c>
      <c r="OA9" s="86">
        <f t="shared" si="75"/>
        <v>0</v>
      </c>
      <c r="OB9" s="84"/>
      <c r="OC9" s="85"/>
      <c r="OD9" s="85"/>
      <c r="OE9" s="100">
        <f t="shared" ref="OE9:OF9" si="76">SUM(OE4:OE8)</f>
        <v>0</v>
      </c>
      <c r="OF9" s="86">
        <f t="shared" si="76"/>
        <v>0</v>
      </c>
      <c r="OG9" s="84"/>
      <c r="OH9" s="85"/>
      <c r="OI9" s="85"/>
      <c r="OJ9" s="100">
        <f t="shared" ref="OJ9:OK9" si="77">SUM(OJ4:OJ8)</f>
        <v>0</v>
      </c>
      <c r="OK9" s="86">
        <f t="shared" si="77"/>
        <v>0</v>
      </c>
      <c r="OL9" s="84"/>
      <c r="OM9" s="85"/>
      <c r="ON9" s="85"/>
      <c r="OO9" s="100">
        <f t="shared" ref="OO9:OP9" si="78">SUM(OO4:OO8)</f>
        <v>0</v>
      </c>
      <c r="OP9" s="86">
        <f t="shared" si="78"/>
        <v>0</v>
      </c>
      <c r="OQ9" s="42"/>
      <c r="OR9" s="42"/>
      <c r="OS9" s="42"/>
      <c r="OT9" s="42"/>
      <c r="OU9" s="42"/>
      <c r="OV9" s="42"/>
      <c r="OW9" s="42"/>
      <c r="OX9" s="42"/>
      <c r="OY9" s="42"/>
      <c r="OZ9" s="42"/>
      <c r="PA9" s="42"/>
      <c r="PB9" s="42"/>
      <c r="PC9" s="42"/>
      <c r="PD9" s="42"/>
      <c r="PE9" s="42"/>
      <c r="PF9" s="42"/>
      <c r="PG9" s="42"/>
      <c r="PH9" s="42"/>
      <c r="PI9" s="42"/>
      <c r="PJ9" s="42"/>
    </row>
    <row r="10">
      <c r="A10" s="42"/>
      <c r="B10" s="67"/>
      <c r="C10" s="67"/>
      <c r="D10" s="67"/>
      <c r="AI10" s="67"/>
      <c r="BN10" s="67"/>
      <c r="CS10" s="67"/>
      <c r="DX10" s="67"/>
      <c r="FC10" s="67"/>
      <c r="GH10" s="67"/>
      <c r="HM10" s="67"/>
      <c r="IR10" s="67"/>
      <c r="JW10" s="67"/>
      <c r="LB10" s="67"/>
      <c r="MG10" s="67"/>
      <c r="NL10" s="67"/>
    </row>
    <row r="11">
      <c r="A11" s="42"/>
      <c r="B11" s="87" t="s">
        <v>243</v>
      </c>
      <c r="C11" s="69"/>
      <c r="D11" s="67"/>
      <c r="E11" s="64" t="s">
        <v>239</v>
      </c>
      <c r="F11" s="65" t="s">
        <v>188</v>
      </c>
      <c r="G11" s="65" t="s">
        <v>4</v>
      </c>
      <c r="H11" s="66" t="s">
        <v>244</v>
      </c>
      <c r="I11" s="66" t="s">
        <v>245</v>
      </c>
      <c r="J11" s="64" t="s">
        <v>239</v>
      </c>
      <c r="K11" s="65" t="s">
        <v>188</v>
      </c>
      <c r="L11" s="65" t="s">
        <v>4</v>
      </c>
      <c r="M11" s="66" t="s">
        <v>244</v>
      </c>
      <c r="N11" s="66" t="s">
        <v>245</v>
      </c>
      <c r="O11" s="64" t="s">
        <v>239</v>
      </c>
      <c r="P11" s="65" t="s">
        <v>188</v>
      </c>
      <c r="Q11" s="65" t="s">
        <v>4</v>
      </c>
      <c r="R11" s="66" t="s">
        <v>244</v>
      </c>
      <c r="S11" s="66" t="s">
        <v>245</v>
      </c>
      <c r="T11" s="64" t="s">
        <v>239</v>
      </c>
      <c r="U11" s="65" t="s">
        <v>188</v>
      </c>
      <c r="V11" s="65" t="s">
        <v>4</v>
      </c>
      <c r="W11" s="66" t="s">
        <v>244</v>
      </c>
      <c r="X11" s="66" t="s">
        <v>245</v>
      </c>
      <c r="Y11" s="64" t="s">
        <v>239</v>
      </c>
      <c r="Z11" s="65" t="s">
        <v>188</v>
      </c>
      <c r="AA11" s="65" t="s">
        <v>4</v>
      </c>
      <c r="AB11" s="66" t="s">
        <v>244</v>
      </c>
      <c r="AC11" s="66" t="s">
        <v>245</v>
      </c>
      <c r="AD11" s="64" t="s">
        <v>239</v>
      </c>
      <c r="AE11" s="65" t="s">
        <v>188</v>
      </c>
      <c r="AF11" s="65" t="s">
        <v>4</v>
      </c>
      <c r="AG11" s="66" t="s">
        <v>244</v>
      </c>
      <c r="AH11" s="66" t="s">
        <v>245</v>
      </c>
      <c r="AI11" s="67"/>
      <c r="AJ11" s="64" t="s">
        <v>239</v>
      </c>
      <c r="AK11" s="65" t="s">
        <v>188</v>
      </c>
      <c r="AL11" s="65" t="s">
        <v>4</v>
      </c>
      <c r="AM11" s="66" t="s">
        <v>244</v>
      </c>
      <c r="AN11" s="66" t="s">
        <v>245</v>
      </c>
      <c r="AO11" s="64" t="s">
        <v>239</v>
      </c>
      <c r="AP11" s="65" t="s">
        <v>188</v>
      </c>
      <c r="AQ11" s="65" t="s">
        <v>4</v>
      </c>
      <c r="AR11" s="66" t="s">
        <v>244</v>
      </c>
      <c r="AS11" s="66" t="s">
        <v>245</v>
      </c>
      <c r="AT11" s="64" t="s">
        <v>239</v>
      </c>
      <c r="AU11" s="65" t="s">
        <v>188</v>
      </c>
      <c r="AV11" s="65" t="s">
        <v>4</v>
      </c>
      <c r="AW11" s="66" t="s">
        <v>244</v>
      </c>
      <c r="AX11" s="66" t="s">
        <v>245</v>
      </c>
      <c r="AY11" s="64" t="s">
        <v>239</v>
      </c>
      <c r="AZ11" s="65" t="s">
        <v>188</v>
      </c>
      <c r="BA11" s="65" t="s">
        <v>4</v>
      </c>
      <c r="BB11" s="66" t="s">
        <v>244</v>
      </c>
      <c r="BC11" s="66" t="s">
        <v>245</v>
      </c>
      <c r="BD11" s="64" t="s">
        <v>239</v>
      </c>
      <c r="BE11" s="65" t="s">
        <v>188</v>
      </c>
      <c r="BF11" s="65" t="s">
        <v>4</v>
      </c>
      <c r="BG11" s="66" t="s">
        <v>244</v>
      </c>
      <c r="BH11" s="66" t="s">
        <v>245</v>
      </c>
      <c r="BI11" s="64" t="s">
        <v>239</v>
      </c>
      <c r="BJ11" s="65" t="s">
        <v>188</v>
      </c>
      <c r="BK11" s="65" t="s">
        <v>4</v>
      </c>
      <c r="BL11" s="66" t="s">
        <v>244</v>
      </c>
      <c r="BM11" s="66" t="s">
        <v>245</v>
      </c>
      <c r="BN11" s="67"/>
      <c r="BO11" s="64" t="s">
        <v>239</v>
      </c>
      <c r="BP11" s="65" t="s">
        <v>188</v>
      </c>
      <c r="BQ11" s="65" t="s">
        <v>4</v>
      </c>
      <c r="BR11" s="66" t="s">
        <v>244</v>
      </c>
      <c r="BS11" s="66" t="s">
        <v>245</v>
      </c>
      <c r="BT11" s="64" t="s">
        <v>239</v>
      </c>
      <c r="BU11" s="65" t="s">
        <v>188</v>
      </c>
      <c r="BV11" s="65" t="s">
        <v>4</v>
      </c>
      <c r="BW11" s="66" t="s">
        <v>244</v>
      </c>
      <c r="BX11" s="66" t="s">
        <v>245</v>
      </c>
      <c r="BY11" s="64" t="s">
        <v>239</v>
      </c>
      <c r="BZ11" s="65" t="s">
        <v>188</v>
      </c>
      <c r="CA11" s="65" t="s">
        <v>4</v>
      </c>
      <c r="CB11" s="66" t="s">
        <v>244</v>
      </c>
      <c r="CC11" s="66" t="s">
        <v>245</v>
      </c>
      <c r="CD11" s="64" t="s">
        <v>239</v>
      </c>
      <c r="CE11" s="65" t="s">
        <v>188</v>
      </c>
      <c r="CF11" s="65" t="s">
        <v>4</v>
      </c>
      <c r="CG11" s="66" t="s">
        <v>244</v>
      </c>
      <c r="CH11" s="66" t="s">
        <v>245</v>
      </c>
      <c r="CI11" s="64" t="s">
        <v>239</v>
      </c>
      <c r="CJ11" s="65" t="s">
        <v>188</v>
      </c>
      <c r="CK11" s="65" t="s">
        <v>4</v>
      </c>
      <c r="CL11" s="66" t="s">
        <v>244</v>
      </c>
      <c r="CM11" s="66" t="s">
        <v>245</v>
      </c>
      <c r="CN11" s="64" t="s">
        <v>239</v>
      </c>
      <c r="CO11" s="65" t="s">
        <v>188</v>
      </c>
      <c r="CP11" s="65" t="s">
        <v>4</v>
      </c>
      <c r="CQ11" s="66" t="s">
        <v>244</v>
      </c>
      <c r="CR11" s="66" t="s">
        <v>245</v>
      </c>
      <c r="CS11" s="67"/>
      <c r="CT11" s="64" t="s">
        <v>239</v>
      </c>
      <c r="CU11" s="65" t="s">
        <v>188</v>
      </c>
      <c r="CV11" s="65" t="s">
        <v>4</v>
      </c>
      <c r="CW11" s="66" t="s">
        <v>244</v>
      </c>
      <c r="CX11" s="66" t="s">
        <v>245</v>
      </c>
      <c r="CY11" s="64" t="s">
        <v>239</v>
      </c>
      <c r="CZ11" s="65" t="s">
        <v>188</v>
      </c>
      <c r="DA11" s="65" t="s">
        <v>4</v>
      </c>
      <c r="DB11" s="66" t="s">
        <v>244</v>
      </c>
      <c r="DC11" s="66" t="s">
        <v>245</v>
      </c>
      <c r="DD11" s="64" t="s">
        <v>239</v>
      </c>
      <c r="DE11" s="65" t="s">
        <v>188</v>
      </c>
      <c r="DF11" s="65" t="s">
        <v>4</v>
      </c>
      <c r="DG11" s="66" t="s">
        <v>244</v>
      </c>
      <c r="DH11" s="66" t="s">
        <v>245</v>
      </c>
      <c r="DI11" s="64" t="s">
        <v>239</v>
      </c>
      <c r="DJ11" s="65" t="s">
        <v>188</v>
      </c>
      <c r="DK11" s="65" t="s">
        <v>4</v>
      </c>
      <c r="DL11" s="66" t="s">
        <v>244</v>
      </c>
      <c r="DM11" s="66" t="s">
        <v>245</v>
      </c>
      <c r="DN11" s="64" t="s">
        <v>239</v>
      </c>
      <c r="DO11" s="65" t="s">
        <v>188</v>
      </c>
      <c r="DP11" s="65" t="s">
        <v>4</v>
      </c>
      <c r="DQ11" s="66" t="s">
        <v>244</v>
      </c>
      <c r="DR11" s="66" t="s">
        <v>245</v>
      </c>
      <c r="DS11" s="64" t="s">
        <v>239</v>
      </c>
      <c r="DT11" s="65" t="s">
        <v>188</v>
      </c>
      <c r="DU11" s="65" t="s">
        <v>4</v>
      </c>
      <c r="DV11" s="66" t="s">
        <v>244</v>
      </c>
      <c r="DW11" s="66" t="s">
        <v>245</v>
      </c>
      <c r="DX11" s="67"/>
      <c r="DY11" s="64" t="s">
        <v>239</v>
      </c>
      <c r="DZ11" s="65" t="s">
        <v>188</v>
      </c>
      <c r="EA11" s="65" t="s">
        <v>4</v>
      </c>
      <c r="EB11" s="66" t="s">
        <v>244</v>
      </c>
      <c r="EC11" s="66" t="s">
        <v>245</v>
      </c>
      <c r="ED11" s="64" t="s">
        <v>239</v>
      </c>
      <c r="EE11" s="65" t="s">
        <v>188</v>
      </c>
      <c r="EF11" s="65" t="s">
        <v>4</v>
      </c>
      <c r="EG11" s="66" t="s">
        <v>244</v>
      </c>
      <c r="EH11" s="66" t="s">
        <v>245</v>
      </c>
      <c r="EI11" s="64" t="s">
        <v>239</v>
      </c>
      <c r="EJ11" s="65" t="s">
        <v>188</v>
      </c>
      <c r="EK11" s="65" t="s">
        <v>4</v>
      </c>
      <c r="EL11" s="66" t="s">
        <v>244</v>
      </c>
      <c r="EM11" s="66" t="s">
        <v>245</v>
      </c>
      <c r="EN11" s="64" t="s">
        <v>239</v>
      </c>
      <c r="EO11" s="65" t="s">
        <v>188</v>
      </c>
      <c r="EP11" s="65" t="s">
        <v>4</v>
      </c>
      <c r="EQ11" s="66" t="s">
        <v>244</v>
      </c>
      <c r="ER11" s="66" t="s">
        <v>245</v>
      </c>
      <c r="ES11" s="64" t="s">
        <v>239</v>
      </c>
      <c r="ET11" s="65" t="s">
        <v>188</v>
      </c>
      <c r="EU11" s="65" t="s">
        <v>4</v>
      </c>
      <c r="EV11" s="66" t="s">
        <v>244</v>
      </c>
      <c r="EW11" s="66" t="s">
        <v>245</v>
      </c>
      <c r="EX11" s="64" t="s">
        <v>239</v>
      </c>
      <c r="EY11" s="65" t="s">
        <v>188</v>
      </c>
      <c r="EZ11" s="65" t="s">
        <v>4</v>
      </c>
      <c r="FA11" s="66" t="s">
        <v>244</v>
      </c>
      <c r="FB11" s="66" t="s">
        <v>245</v>
      </c>
      <c r="FC11" s="67"/>
      <c r="FD11" s="64" t="s">
        <v>239</v>
      </c>
      <c r="FE11" s="65" t="s">
        <v>188</v>
      </c>
      <c r="FF11" s="65" t="s">
        <v>4</v>
      </c>
      <c r="FG11" s="66" t="s">
        <v>244</v>
      </c>
      <c r="FH11" s="66" t="s">
        <v>245</v>
      </c>
      <c r="FI11" s="64" t="s">
        <v>239</v>
      </c>
      <c r="FJ11" s="65" t="s">
        <v>188</v>
      </c>
      <c r="FK11" s="65" t="s">
        <v>4</v>
      </c>
      <c r="FL11" s="66" t="s">
        <v>244</v>
      </c>
      <c r="FM11" s="66" t="s">
        <v>245</v>
      </c>
      <c r="FN11" s="64" t="s">
        <v>239</v>
      </c>
      <c r="FO11" s="65" t="s">
        <v>188</v>
      </c>
      <c r="FP11" s="65" t="s">
        <v>4</v>
      </c>
      <c r="FQ11" s="66" t="s">
        <v>244</v>
      </c>
      <c r="FR11" s="66" t="s">
        <v>245</v>
      </c>
      <c r="FS11" s="64" t="s">
        <v>239</v>
      </c>
      <c r="FT11" s="65" t="s">
        <v>188</v>
      </c>
      <c r="FU11" s="65" t="s">
        <v>4</v>
      </c>
      <c r="FV11" s="66" t="s">
        <v>244</v>
      </c>
      <c r="FW11" s="66" t="s">
        <v>245</v>
      </c>
      <c r="FX11" s="64" t="s">
        <v>239</v>
      </c>
      <c r="FY11" s="65" t="s">
        <v>188</v>
      </c>
      <c r="FZ11" s="65" t="s">
        <v>4</v>
      </c>
      <c r="GA11" s="66" t="s">
        <v>244</v>
      </c>
      <c r="GB11" s="66" t="s">
        <v>245</v>
      </c>
      <c r="GC11" s="64" t="s">
        <v>239</v>
      </c>
      <c r="GD11" s="65" t="s">
        <v>188</v>
      </c>
      <c r="GE11" s="65" t="s">
        <v>4</v>
      </c>
      <c r="GF11" s="66" t="s">
        <v>244</v>
      </c>
      <c r="GG11" s="66" t="s">
        <v>245</v>
      </c>
      <c r="GH11" s="67"/>
      <c r="GI11" s="64" t="s">
        <v>239</v>
      </c>
      <c r="GJ11" s="65" t="s">
        <v>188</v>
      </c>
      <c r="GK11" s="65" t="s">
        <v>4</v>
      </c>
      <c r="GL11" s="66" t="s">
        <v>244</v>
      </c>
      <c r="GM11" s="66" t="s">
        <v>245</v>
      </c>
      <c r="GN11" s="64" t="s">
        <v>239</v>
      </c>
      <c r="GO11" s="65" t="s">
        <v>188</v>
      </c>
      <c r="GP11" s="65" t="s">
        <v>4</v>
      </c>
      <c r="GQ11" s="66" t="s">
        <v>244</v>
      </c>
      <c r="GR11" s="66" t="s">
        <v>245</v>
      </c>
      <c r="GS11" s="64" t="s">
        <v>239</v>
      </c>
      <c r="GT11" s="65" t="s">
        <v>188</v>
      </c>
      <c r="GU11" s="65" t="s">
        <v>4</v>
      </c>
      <c r="GV11" s="66" t="s">
        <v>244</v>
      </c>
      <c r="GW11" s="66" t="s">
        <v>245</v>
      </c>
      <c r="GX11" s="64" t="s">
        <v>239</v>
      </c>
      <c r="GY11" s="65" t="s">
        <v>188</v>
      </c>
      <c r="GZ11" s="65" t="s">
        <v>4</v>
      </c>
      <c r="HA11" s="66" t="s">
        <v>244</v>
      </c>
      <c r="HB11" s="66" t="s">
        <v>245</v>
      </c>
      <c r="HC11" s="64" t="s">
        <v>239</v>
      </c>
      <c r="HD11" s="65" t="s">
        <v>188</v>
      </c>
      <c r="HE11" s="65" t="s">
        <v>4</v>
      </c>
      <c r="HF11" s="66" t="s">
        <v>244</v>
      </c>
      <c r="HG11" s="66" t="s">
        <v>245</v>
      </c>
      <c r="HH11" s="64" t="s">
        <v>239</v>
      </c>
      <c r="HI11" s="65" t="s">
        <v>188</v>
      </c>
      <c r="HJ11" s="65" t="s">
        <v>4</v>
      </c>
      <c r="HK11" s="66" t="s">
        <v>244</v>
      </c>
      <c r="HL11" s="66" t="s">
        <v>245</v>
      </c>
      <c r="HM11" s="67"/>
      <c r="HN11" s="64" t="s">
        <v>239</v>
      </c>
      <c r="HO11" s="65" t="s">
        <v>188</v>
      </c>
      <c r="HP11" s="65" t="s">
        <v>4</v>
      </c>
      <c r="HQ11" s="66" t="s">
        <v>244</v>
      </c>
      <c r="HR11" s="66" t="s">
        <v>245</v>
      </c>
      <c r="HS11" s="64" t="s">
        <v>239</v>
      </c>
      <c r="HT11" s="65" t="s">
        <v>188</v>
      </c>
      <c r="HU11" s="65" t="s">
        <v>4</v>
      </c>
      <c r="HV11" s="66" t="s">
        <v>244</v>
      </c>
      <c r="HW11" s="66" t="s">
        <v>245</v>
      </c>
      <c r="HX11" s="64" t="s">
        <v>239</v>
      </c>
      <c r="HY11" s="65" t="s">
        <v>188</v>
      </c>
      <c r="HZ11" s="65" t="s">
        <v>4</v>
      </c>
      <c r="IA11" s="66" t="s">
        <v>244</v>
      </c>
      <c r="IB11" s="66" t="s">
        <v>245</v>
      </c>
      <c r="IC11" s="64" t="s">
        <v>239</v>
      </c>
      <c r="ID11" s="65" t="s">
        <v>188</v>
      </c>
      <c r="IE11" s="65" t="s">
        <v>4</v>
      </c>
      <c r="IF11" s="66" t="s">
        <v>244</v>
      </c>
      <c r="IG11" s="66" t="s">
        <v>245</v>
      </c>
      <c r="IH11" s="64" t="s">
        <v>239</v>
      </c>
      <c r="II11" s="65" t="s">
        <v>188</v>
      </c>
      <c r="IJ11" s="65" t="s">
        <v>4</v>
      </c>
      <c r="IK11" s="66" t="s">
        <v>244</v>
      </c>
      <c r="IL11" s="66" t="s">
        <v>245</v>
      </c>
      <c r="IM11" s="64" t="s">
        <v>239</v>
      </c>
      <c r="IN11" s="65" t="s">
        <v>188</v>
      </c>
      <c r="IO11" s="65" t="s">
        <v>4</v>
      </c>
      <c r="IP11" s="66" t="s">
        <v>244</v>
      </c>
      <c r="IQ11" s="66" t="s">
        <v>245</v>
      </c>
      <c r="IR11" s="67"/>
      <c r="IS11" s="64" t="s">
        <v>239</v>
      </c>
      <c r="IT11" s="65" t="s">
        <v>188</v>
      </c>
      <c r="IU11" s="65" t="s">
        <v>4</v>
      </c>
      <c r="IV11" s="66" t="s">
        <v>244</v>
      </c>
      <c r="IW11" s="66" t="s">
        <v>245</v>
      </c>
      <c r="IX11" s="64" t="s">
        <v>239</v>
      </c>
      <c r="IY11" s="65" t="s">
        <v>188</v>
      </c>
      <c r="IZ11" s="65" t="s">
        <v>4</v>
      </c>
      <c r="JA11" s="66" t="s">
        <v>244</v>
      </c>
      <c r="JB11" s="66" t="s">
        <v>245</v>
      </c>
      <c r="JC11" s="64" t="s">
        <v>239</v>
      </c>
      <c r="JD11" s="65" t="s">
        <v>188</v>
      </c>
      <c r="JE11" s="65" t="s">
        <v>4</v>
      </c>
      <c r="JF11" s="66" t="s">
        <v>244</v>
      </c>
      <c r="JG11" s="66" t="s">
        <v>245</v>
      </c>
      <c r="JH11" s="64" t="s">
        <v>239</v>
      </c>
      <c r="JI11" s="65" t="s">
        <v>188</v>
      </c>
      <c r="JJ11" s="65" t="s">
        <v>4</v>
      </c>
      <c r="JK11" s="66" t="s">
        <v>244</v>
      </c>
      <c r="JL11" s="66" t="s">
        <v>245</v>
      </c>
      <c r="JM11" s="64" t="s">
        <v>239</v>
      </c>
      <c r="JN11" s="65" t="s">
        <v>188</v>
      </c>
      <c r="JO11" s="65" t="s">
        <v>4</v>
      </c>
      <c r="JP11" s="66" t="s">
        <v>244</v>
      </c>
      <c r="JQ11" s="66" t="s">
        <v>245</v>
      </c>
      <c r="JR11" s="64" t="s">
        <v>239</v>
      </c>
      <c r="JS11" s="65" t="s">
        <v>188</v>
      </c>
      <c r="JT11" s="65" t="s">
        <v>4</v>
      </c>
      <c r="JU11" s="66" t="s">
        <v>244</v>
      </c>
      <c r="JV11" s="66" t="s">
        <v>245</v>
      </c>
      <c r="JW11" s="67"/>
      <c r="JX11" s="64" t="s">
        <v>239</v>
      </c>
      <c r="JY11" s="65" t="s">
        <v>188</v>
      </c>
      <c r="JZ11" s="65" t="s">
        <v>4</v>
      </c>
      <c r="KA11" s="66" t="s">
        <v>244</v>
      </c>
      <c r="KB11" s="66" t="s">
        <v>245</v>
      </c>
      <c r="KC11" s="64" t="s">
        <v>239</v>
      </c>
      <c r="KD11" s="65" t="s">
        <v>188</v>
      </c>
      <c r="KE11" s="65" t="s">
        <v>4</v>
      </c>
      <c r="KF11" s="66" t="s">
        <v>244</v>
      </c>
      <c r="KG11" s="66" t="s">
        <v>245</v>
      </c>
      <c r="KH11" s="64" t="s">
        <v>239</v>
      </c>
      <c r="KI11" s="65" t="s">
        <v>188</v>
      </c>
      <c r="KJ11" s="65" t="s">
        <v>4</v>
      </c>
      <c r="KK11" s="66" t="s">
        <v>244</v>
      </c>
      <c r="KL11" s="66" t="s">
        <v>245</v>
      </c>
      <c r="KM11" s="64" t="s">
        <v>239</v>
      </c>
      <c r="KN11" s="65" t="s">
        <v>188</v>
      </c>
      <c r="KO11" s="65" t="s">
        <v>4</v>
      </c>
      <c r="KP11" s="66" t="s">
        <v>244</v>
      </c>
      <c r="KQ11" s="66" t="s">
        <v>245</v>
      </c>
      <c r="KR11" s="64" t="s">
        <v>239</v>
      </c>
      <c r="KS11" s="65" t="s">
        <v>188</v>
      </c>
      <c r="KT11" s="65" t="s">
        <v>4</v>
      </c>
      <c r="KU11" s="66" t="s">
        <v>244</v>
      </c>
      <c r="KV11" s="66" t="s">
        <v>245</v>
      </c>
      <c r="KW11" s="64" t="s">
        <v>239</v>
      </c>
      <c r="KX11" s="65" t="s">
        <v>188</v>
      </c>
      <c r="KY11" s="65" t="s">
        <v>4</v>
      </c>
      <c r="KZ11" s="66" t="s">
        <v>244</v>
      </c>
      <c r="LA11" s="66" t="s">
        <v>245</v>
      </c>
      <c r="LB11" s="67"/>
      <c r="LC11" s="64" t="s">
        <v>239</v>
      </c>
      <c r="LD11" s="65" t="s">
        <v>188</v>
      </c>
      <c r="LE11" s="65" t="s">
        <v>4</v>
      </c>
      <c r="LF11" s="66" t="s">
        <v>244</v>
      </c>
      <c r="LG11" s="66" t="s">
        <v>245</v>
      </c>
      <c r="LH11" s="64" t="s">
        <v>239</v>
      </c>
      <c r="LI11" s="65" t="s">
        <v>188</v>
      </c>
      <c r="LJ11" s="65" t="s">
        <v>4</v>
      </c>
      <c r="LK11" s="66" t="s">
        <v>244</v>
      </c>
      <c r="LL11" s="66" t="s">
        <v>245</v>
      </c>
      <c r="LM11" s="64" t="s">
        <v>239</v>
      </c>
      <c r="LN11" s="65" t="s">
        <v>188</v>
      </c>
      <c r="LO11" s="65" t="s">
        <v>4</v>
      </c>
      <c r="LP11" s="66" t="s">
        <v>244</v>
      </c>
      <c r="LQ11" s="66" t="s">
        <v>245</v>
      </c>
      <c r="LR11" s="64" t="s">
        <v>239</v>
      </c>
      <c r="LS11" s="65" t="s">
        <v>188</v>
      </c>
      <c r="LT11" s="65" t="s">
        <v>4</v>
      </c>
      <c r="LU11" s="66" t="s">
        <v>244</v>
      </c>
      <c r="LV11" s="66" t="s">
        <v>245</v>
      </c>
      <c r="LW11" s="64" t="s">
        <v>239</v>
      </c>
      <c r="LX11" s="65" t="s">
        <v>188</v>
      </c>
      <c r="LY11" s="65" t="s">
        <v>4</v>
      </c>
      <c r="LZ11" s="66" t="s">
        <v>244</v>
      </c>
      <c r="MA11" s="66" t="s">
        <v>245</v>
      </c>
      <c r="MB11" s="64" t="s">
        <v>239</v>
      </c>
      <c r="MC11" s="65" t="s">
        <v>188</v>
      </c>
      <c r="MD11" s="65" t="s">
        <v>4</v>
      </c>
      <c r="ME11" s="66" t="s">
        <v>244</v>
      </c>
      <c r="MF11" s="66" t="s">
        <v>245</v>
      </c>
      <c r="MG11" s="67"/>
      <c r="MH11" s="64" t="s">
        <v>239</v>
      </c>
      <c r="MI11" s="65" t="s">
        <v>188</v>
      </c>
      <c r="MJ11" s="65" t="s">
        <v>4</v>
      </c>
      <c r="MK11" s="66" t="s">
        <v>244</v>
      </c>
      <c r="ML11" s="66" t="s">
        <v>245</v>
      </c>
      <c r="MM11" s="64" t="s">
        <v>239</v>
      </c>
      <c r="MN11" s="65" t="s">
        <v>188</v>
      </c>
      <c r="MO11" s="65" t="s">
        <v>4</v>
      </c>
      <c r="MP11" s="66" t="s">
        <v>244</v>
      </c>
      <c r="MQ11" s="66" t="s">
        <v>245</v>
      </c>
      <c r="MR11" s="64" t="s">
        <v>239</v>
      </c>
      <c r="MS11" s="65" t="s">
        <v>188</v>
      </c>
      <c r="MT11" s="65" t="s">
        <v>4</v>
      </c>
      <c r="MU11" s="66" t="s">
        <v>244</v>
      </c>
      <c r="MV11" s="66" t="s">
        <v>245</v>
      </c>
      <c r="MW11" s="64" t="s">
        <v>239</v>
      </c>
      <c r="MX11" s="65" t="s">
        <v>188</v>
      </c>
      <c r="MY11" s="65" t="s">
        <v>4</v>
      </c>
      <c r="MZ11" s="66" t="s">
        <v>244</v>
      </c>
      <c r="NA11" s="66" t="s">
        <v>245</v>
      </c>
      <c r="NB11" s="64" t="s">
        <v>239</v>
      </c>
      <c r="NC11" s="65" t="s">
        <v>188</v>
      </c>
      <c r="ND11" s="65" t="s">
        <v>4</v>
      </c>
      <c r="NE11" s="66" t="s">
        <v>244</v>
      </c>
      <c r="NF11" s="66" t="s">
        <v>245</v>
      </c>
      <c r="NG11" s="64" t="s">
        <v>239</v>
      </c>
      <c r="NH11" s="65" t="s">
        <v>188</v>
      </c>
      <c r="NI11" s="65" t="s">
        <v>4</v>
      </c>
      <c r="NJ11" s="66" t="s">
        <v>244</v>
      </c>
      <c r="NK11" s="66" t="s">
        <v>245</v>
      </c>
      <c r="NL11" s="67"/>
      <c r="NM11" s="64" t="s">
        <v>239</v>
      </c>
      <c r="NN11" s="65" t="s">
        <v>188</v>
      </c>
      <c r="NO11" s="65" t="s">
        <v>4</v>
      </c>
      <c r="NP11" s="66" t="s">
        <v>244</v>
      </c>
      <c r="NQ11" s="66" t="s">
        <v>245</v>
      </c>
      <c r="NR11" s="64" t="s">
        <v>239</v>
      </c>
      <c r="NS11" s="65" t="s">
        <v>188</v>
      </c>
      <c r="NT11" s="65" t="s">
        <v>4</v>
      </c>
      <c r="NU11" s="66" t="s">
        <v>244</v>
      </c>
      <c r="NV11" s="66" t="s">
        <v>245</v>
      </c>
      <c r="NW11" s="64" t="s">
        <v>239</v>
      </c>
      <c r="NX11" s="65" t="s">
        <v>188</v>
      </c>
      <c r="NY11" s="65" t="s">
        <v>4</v>
      </c>
      <c r="NZ11" s="66" t="s">
        <v>244</v>
      </c>
      <c r="OA11" s="66" t="s">
        <v>245</v>
      </c>
      <c r="OB11" s="64" t="s">
        <v>239</v>
      </c>
      <c r="OC11" s="65" t="s">
        <v>188</v>
      </c>
      <c r="OD11" s="65" t="s">
        <v>4</v>
      </c>
      <c r="OE11" s="66" t="s">
        <v>244</v>
      </c>
      <c r="OF11" s="66" t="s">
        <v>245</v>
      </c>
      <c r="OG11" s="64" t="s">
        <v>239</v>
      </c>
      <c r="OH11" s="65" t="s">
        <v>188</v>
      </c>
      <c r="OI11" s="65" t="s">
        <v>4</v>
      </c>
      <c r="OJ11" s="66" t="s">
        <v>244</v>
      </c>
      <c r="OK11" s="66" t="s">
        <v>245</v>
      </c>
      <c r="OL11" s="64" t="s">
        <v>239</v>
      </c>
      <c r="OM11" s="65" t="s">
        <v>188</v>
      </c>
      <c r="ON11" s="65" t="s">
        <v>4</v>
      </c>
      <c r="OO11" s="66" t="s">
        <v>244</v>
      </c>
      <c r="OP11" s="66" t="s">
        <v>245</v>
      </c>
      <c r="OQ11" s="67"/>
      <c r="OR11" s="67"/>
      <c r="OS11" s="67"/>
      <c r="OT11" s="67"/>
      <c r="OU11" s="67"/>
      <c r="OV11" s="67"/>
      <c r="OW11" s="67"/>
      <c r="OX11" s="67"/>
      <c r="OY11" s="67"/>
      <c r="OZ11" s="67"/>
      <c r="PA11" s="67"/>
      <c r="PB11" s="67"/>
      <c r="PC11" s="67"/>
      <c r="PD11" s="67"/>
      <c r="PE11" s="67"/>
      <c r="PF11" s="67"/>
      <c r="PG11" s="67"/>
      <c r="PH11" s="67"/>
      <c r="PI11" s="67"/>
      <c r="PJ11" s="67"/>
    </row>
    <row r="12">
      <c r="A12" s="42"/>
      <c r="B12" s="68" t="s">
        <v>248</v>
      </c>
      <c r="C12" s="69"/>
      <c r="D12" s="70"/>
      <c r="E12" s="71"/>
      <c r="F12" s="32"/>
      <c r="G12" s="72" t="str">
        <f t="array" ref="G12">IFERROR(IF(XLOOKUP(CONCAT(E12,F12),'MASTER PLAN'!$AB:$AB,'MASTER PLAN'!$J:$J,0,0)=0,"",XLOOKUP(CONCAT(E12,F12),'MASTER PLAN'!$AB:$AB,'MASTER PLAN'!$J:$J,0,0)),"")</f>
        <v/>
      </c>
      <c r="H12" s="70"/>
      <c r="I12" s="94"/>
      <c r="J12" s="71"/>
      <c r="K12" s="32"/>
      <c r="L12" s="72" t="str">
        <f t="array" ref="L12">IFERROR(IF(XLOOKUP(CONCAT(J12,K12),'MASTER PLAN'!$AB:$AB,'MASTER PLAN'!$J:$J,0,0)=0,"",XLOOKUP(CONCAT(J12,K12),'MASTER PLAN'!$AB:$AB,'MASTER PLAN'!$J:$J,0,0)),"")</f>
        <v/>
      </c>
      <c r="M12" s="70"/>
      <c r="N12" s="94"/>
      <c r="O12" s="71"/>
      <c r="P12" s="32"/>
      <c r="Q12" s="72" t="str">
        <f t="array" ref="Q12">IFERROR(IF(XLOOKUP(CONCAT(O12,P12),'MASTER PLAN'!$AB:$AB,'MASTER PLAN'!$J:$J,0,0)=0,"",XLOOKUP(CONCAT(O12,P12),'MASTER PLAN'!$AB:$AB,'MASTER PLAN'!$J:$J,0,0)),"")</f>
        <v/>
      </c>
      <c r="R12" s="70"/>
      <c r="S12" s="94"/>
      <c r="T12" s="71"/>
      <c r="U12" s="32"/>
      <c r="V12" s="72" t="str">
        <f t="array" ref="V12">IFERROR(IF(XLOOKUP(CONCAT(T12,U12),'MASTER PLAN'!$AB:$AB,'MASTER PLAN'!$J:$J,0,0)=0,"",XLOOKUP(CONCAT(T12,U12),'MASTER PLAN'!$AB:$AB,'MASTER PLAN'!$J:$J,0,0)),"")</f>
        <v/>
      </c>
      <c r="W12" s="70"/>
      <c r="X12" s="94"/>
      <c r="Y12" s="71"/>
      <c r="Z12" s="32"/>
      <c r="AA12" s="72" t="str">
        <f t="array" ref="AA12">IFERROR(IF(XLOOKUP(CONCAT(Y12,Z12),'MASTER PLAN'!$AB:$AB,'MASTER PLAN'!$J:$J,0,0)=0,"",XLOOKUP(CONCAT(Y12,Z12),'MASTER PLAN'!$AB:$AB,'MASTER PLAN'!$J:$J,0,0)),"")</f>
        <v/>
      </c>
      <c r="AB12" s="70"/>
      <c r="AC12" s="94"/>
      <c r="AD12" s="71"/>
      <c r="AE12" s="32"/>
      <c r="AF12" s="72" t="str">
        <f t="array" ref="AF12">IFERROR(IF(XLOOKUP(CONCAT(AD12,AE12),'MASTER PLAN'!$AB:$AB,'MASTER PLAN'!$J:$J,0,0)=0,"",XLOOKUP(CONCAT(AD12,AE12),'MASTER PLAN'!$AB:$AB,'MASTER PLAN'!$J:$J,0,0)),"")</f>
        <v/>
      </c>
      <c r="AG12" s="70"/>
      <c r="AH12" s="94"/>
      <c r="AI12" s="70"/>
      <c r="AJ12" s="71"/>
      <c r="AK12" s="32"/>
      <c r="AL12" s="72" t="str">
        <f t="array" ref="AL12">IFERROR(IF(XLOOKUP(CONCAT(AJ12,AK12),'MASTER PLAN'!$AB:$AB,'MASTER PLAN'!$J:$J,0,0)=0,"",XLOOKUP(CONCAT(AJ12,AK12),'MASTER PLAN'!$AB:$AB,'MASTER PLAN'!$J:$J,0,0)),"")</f>
        <v/>
      </c>
      <c r="AM12" s="70"/>
      <c r="AN12" s="94"/>
      <c r="AO12" s="71"/>
      <c r="AP12" s="32"/>
      <c r="AQ12" s="72" t="str">
        <f t="array" ref="AQ12">IFERROR(IF(XLOOKUP(CONCAT(AO12,AP12),'MASTER PLAN'!$AB:$AB,'MASTER PLAN'!$J:$J,0,0)=0,"",XLOOKUP(CONCAT(AO12,AP12),'MASTER PLAN'!$AB:$AB,'MASTER PLAN'!$J:$J,0,0)),"")</f>
        <v/>
      </c>
      <c r="AR12" s="70"/>
      <c r="AS12" s="94"/>
      <c r="AT12" s="71"/>
      <c r="AU12" s="32"/>
      <c r="AV12" s="72" t="str">
        <f t="array" ref="AV12">IFERROR(IF(XLOOKUP(CONCAT(AT12,AU12),'MASTER PLAN'!$AB:$AB,'MASTER PLAN'!$J:$J,0,0)=0,"",XLOOKUP(CONCAT(AT12,AU12),'MASTER PLAN'!$AB:$AB,'MASTER PLAN'!$J:$J,0,0)),"")</f>
        <v/>
      </c>
      <c r="AW12" s="70"/>
      <c r="AX12" s="94"/>
      <c r="AY12" s="71"/>
      <c r="AZ12" s="32"/>
      <c r="BA12" s="72" t="str">
        <f t="array" ref="BA12">IFERROR(IF(XLOOKUP(CONCAT(AY12,AZ12),'MASTER PLAN'!$AB:$AB,'MASTER PLAN'!$J:$J,0,0)=0,"",XLOOKUP(CONCAT(AY12,AZ12),'MASTER PLAN'!$AB:$AB,'MASTER PLAN'!$J:$J,0,0)),"")</f>
        <v/>
      </c>
      <c r="BB12" s="70"/>
      <c r="BC12" s="94"/>
      <c r="BD12" s="71"/>
      <c r="BE12" s="32"/>
      <c r="BF12" s="72" t="str">
        <f t="array" ref="BF12">IFERROR(IF(XLOOKUP(CONCAT(BD12,BE12),'MASTER PLAN'!$AB:$AB,'MASTER PLAN'!$J:$J,0,0)=0,"",XLOOKUP(CONCAT(BD12,BE12),'MASTER PLAN'!$AB:$AB,'MASTER PLAN'!$J:$J,0,0)),"")</f>
        <v/>
      </c>
      <c r="BG12" s="70"/>
      <c r="BH12" s="94"/>
      <c r="BI12" s="71"/>
      <c r="BJ12" s="32"/>
      <c r="BK12" s="72" t="str">
        <f t="array" ref="BK12">IFERROR(IF(XLOOKUP(CONCAT(BI12,BJ12),'MASTER PLAN'!$AB:$AB,'MASTER PLAN'!$J:$J,0,0)=0,"",XLOOKUP(CONCAT(BI12,BJ12),'MASTER PLAN'!$AB:$AB,'MASTER PLAN'!$J:$J,0,0)),"")</f>
        <v/>
      </c>
      <c r="BL12" s="70"/>
      <c r="BM12" s="94"/>
      <c r="BN12" s="70"/>
      <c r="BO12" s="71">
        <v>1.402049237E9</v>
      </c>
      <c r="BP12" s="32">
        <v>10.0</v>
      </c>
      <c r="BQ12" s="72" t="str">
        <f t="array" ref="BQ12">IFERROR(IF(XLOOKUP(CONCAT(BO12,BP12),'MASTER PLAN'!$AB:$AB,'MASTER PLAN'!$J:$J,0,0)=0,"",XLOOKUP(CONCAT(BO12,BP12),'MASTER PLAN'!$AB:$AB,'MASTER PLAN'!$J:$J,0,0)),"")</f>
        <v>BOLSA ANNABELLES 8"X4"X10"</v>
      </c>
      <c r="BR12" s="70">
        <v>3500.0</v>
      </c>
      <c r="BS12" s="94">
        <v>3500.0</v>
      </c>
      <c r="BT12" s="71">
        <v>1.402049277E9</v>
      </c>
      <c r="BU12" s="32">
        <v>20.0</v>
      </c>
      <c r="BV12" s="72" t="str">
        <f t="array" ref="BV12">IFERROR(IF(XLOOKUP(CONCAT(BT12,BU12),'MASTER PLAN'!$AB:$AB,'MASTER PLAN'!$J:$J,0,0)=0,"",XLOOKUP(CONCAT(BT12,BU12),'MASTER PLAN'!$AB:$AB,'MASTER PLAN'!$J:$J,0,0)),"")</f>
        <v>BOLSA ELEGANCE 6-5X3-5X6-5 IN FL</v>
      </c>
      <c r="BW12" s="70">
        <v>3000.0</v>
      </c>
      <c r="BX12" s="94">
        <v>3300.0</v>
      </c>
      <c r="BY12" s="71">
        <v>1.402049277E9</v>
      </c>
      <c r="BZ12" s="32">
        <v>20.0</v>
      </c>
      <c r="CA12" s="72" t="str">
        <f t="array" ref="CA12">IFERROR(IF(XLOOKUP(CONCAT(BY12,BZ12),'MASTER PLAN'!$AB:$AB,'MASTER PLAN'!$J:$J,0,0)=0,"",XLOOKUP(CONCAT(BY12,BZ12),'MASTER PLAN'!$AB:$AB,'MASTER PLAN'!$J:$J,0,0)),"")</f>
        <v>BOLSA ELEGANCE 6-5X3-5X6-5 IN FL</v>
      </c>
      <c r="CB12" s="70">
        <v>1700.0</v>
      </c>
      <c r="CC12" s="94"/>
      <c r="CD12" s="71">
        <v>1.402049321E9</v>
      </c>
      <c r="CE12" s="32">
        <v>10.0</v>
      </c>
      <c r="CF12" s="72" t="str">
        <f t="array" ref="CF12">IFERROR(IF(XLOOKUP(CONCAT(CD12,CE12),'MASTER PLAN'!$AB:$AB,'MASTER PLAN'!$J:$J,0,0)=0,"",XLOOKUP(CONCAT(CD12,CE12),'MASTER PLAN'!$AB:$AB,'MASTER PLAN'!$J:$J,0,0)),"")</f>
        <v>BOLSA BRILLANTI 6-5"X3-5"X6-5"</v>
      </c>
      <c r="CG12" s="70">
        <v>500.0</v>
      </c>
      <c r="CH12" s="94"/>
      <c r="CI12" s="71">
        <v>1.402049277E9</v>
      </c>
      <c r="CJ12" s="32">
        <v>10.0</v>
      </c>
      <c r="CK12" s="72" t="str">
        <f t="array" ref="CK12">IFERROR(IF(XLOOKUP(CONCAT(CI12,CJ12),'MASTER PLAN'!$AB:$AB,'MASTER PLAN'!$J:$J,0,0)=0,"",XLOOKUP(CONCAT(CI12,CJ12),'MASTER PLAN'!$AB:$AB,'MASTER PLAN'!$J:$J,0,0)),"")</f>
        <v>BOLSA ELEGANCE 8X4X10 IN FL</v>
      </c>
      <c r="CL12" s="70">
        <v>3260.0</v>
      </c>
      <c r="CM12" s="94"/>
      <c r="CN12" s="71">
        <v>1.402048833E9</v>
      </c>
      <c r="CO12" s="32">
        <v>10.0</v>
      </c>
      <c r="CP12" s="72" t="str">
        <f t="array" ref="CP12">IFERROR(IF(XLOOKUP(CONCAT(CN12,CO12),'MASTER PLAN'!$AB:$AB,'MASTER PLAN'!$J:$J,0,0)=0,"",XLOOKUP(CONCAT(CN12,CO12),'MASTER PLAN'!$AB:$AB,'MASTER PLAN'!$J:$J,0,0)),"")</f>
        <v>BOLSA FRED MEYER 4-5"X3"X5-5"</v>
      </c>
      <c r="CQ12" s="70">
        <v>3200.0</v>
      </c>
      <c r="CR12" s="94"/>
      <c r="CS12" s="70"/>
      <c r="CT12" s="71">
        <v>1.40204935E9</v>
      </c>
      <c r="CU12" s="32">
        <v>10.0</v>
      </c>
      <c r="CV12" s="72" t="str">
        <f t="array" ref="CV12">IFERROR(IF(XLOOKUP(CONCAT(CT12,CU12),'MASTER PLAN'!$AB:$AB,'MASTER PLAN'!$J:$J,0,0)=0,"",XLOOKUP(CONCAT(CT12,CU12),'MASTER PLAN'!$AB:$AB,'MASTER PLAN'!$J:$J,0,0)),"")</f>
        <v>BOLSA WSMJ MAYORS WOS 6-5"X3-5"X6-5" FA</v>
      </c>
      <c r="CW12" s="70">
        <v>2800.0</v>
      </c>
      <c r="CX12" s="94"/>
      <c r="CY12" s="71">
        <v>1.40204935E9</v>
      </c>
      <c r="CZ12" s="32">
        <v>20.0</v>
      </c>
      <c r="DA12" s="72" t="str">
        <f t="array" ref="DA12">IFERROR(IF(XLOOKUP(CONCAT(CY12,CZ12),'MASTER PLAN'!$AB:$AB,'MASTER PLAN'!$J:$J,0,0)=0,"",XLOOKUP(CONCAT(CY12,CZ12),'MASTER PLAN'!$AB:$AB,'MASTER PLAN'!$J:$J,0,0)),"")</f>
        <v>BOLSA WSMJ MAYORS WOS 10"X6"X10" FA</v>
      </c>
      <c r="DB12" s="70">
        <v>3000.0</v>
      </c>
      <c r="DC12" s="94"/>
      <c r="DD12" s="71">
        <v>1.40204935E9</v>
      </c>
      <c r="DE12" s="32">
        <v>20.0</v>
      </c>
      <c r="DF12" s="72" t="str">
        <f t="array" ref="DF12">IFERROR(IF(XLOOKUP(CONCAT(DD12,DE12),'MASTER PLAN'!$AB:$AB,'MASTER PLAN'!$J:$J,0,0)=0,"",XLOOKUP(CONCAT(DD12,DE12),'MASTER PLAN'!$AB:$AB,'MASTER PLAN'!$J:$J,0,0)),"")</f>
        <v>BOLSA WSMJ MAYORS WOS 10"X6"X10" FA</v>
      </c>
      <c r="DG12" s="70">
        <v>700.0</v>
      </c>
      <c r="DH12" s="94"/>
      <c r="DI12" s="71">
        <v>1.402049277E9</v>
      </c>
      <c r="DJ12" s="32">
        <v>40.0</v>
      </c>
      <c r="DK12" s="72" t="str">
        <f t="array" ref="DK12">IFERROR(IF(XLOOKUP(CONCAT(DI12,DJ12),'MASTER PLAN'!$AB:$AB,'MASTER PLAN'!$J:$J,0,0)=0,"",XLOOKUP(CONCAT(DI12,DJ12),'MASTER PLAN'!$AB:$AB,'MASTER PLAN'!$J:$J,0,0)),"")</f>
        <v>BOLSA ELEGANCE 12-5X4X14 IN FL</v>
      </c>
      <c r="DL12" s="70">
        <v>900.0</v>
      </c>
      <c r="DM12" s="94"/>
      <c r="DN12" s="95">
        <v>1.402049286E9</v>
      </c>
      <c r="DO12" s="96">
        <v>10.0</v>
      </c>
      <c r="DP12" s="72" t="str">
        <f t="array" ref="DP12">IFERROR(IF(XLOOKUP(CONCAT(DN12,DO12),'MASTER PLAN'!$AB:$AB,'MASTER PLAN'!$J:$J,0,0)=0,"",XLOOKUP(CONCAT(DN12,DO12),'MASTER PLAN'!$AB:$AB,'MASTER PLAN'!$J:$J,0,0)),"")</f>
        <v>BOLSA HUNTINGTON 6-5"X3-5"X6-5"</v>
      </c>
      <c r="DQ12" s="70">
        <v>2000.0</v>
      </c>
      <c r="DR12" s="94"/>
      <c r="DS12" s="71"/>
      <c r="DT12" s="32"/>
      <c r="DU12" s="72" t="str">
        <f t="array" ref="DU12">IFERROR(IF(XLOOKUP(CONCAT(DS12,DT12),'MASTER PLAN'!$AB:$AB,'MASTER PLAN'!$J:$J,0,0)=0,"",XLOOKUP(CONCAT(DS12,DT12),'MASTER PLAN'!$AB:$AB,'MASTER PLAN'!$J:$J,0,0)),"")</f>
        <v/>
      </c>
      <c r="DV12" s="70"/>
      <c r="DW12" s="94"/>
      <c r="DX12" s="70"/>
      <c r="DY12" s="71">
        <v>1.402049207E9</v>
      </c>
      <c r="DZ12" s="32">
        <v>10.0</v>
      </c>
      <c r="EA12" s="72" t="str">
        <f t="array" ref="EA12">IFERROR(IF(XLOOKUP(CONCAT(DY12,DZ12),'MASTER PLAN'!$AB:$AB,'MASTER PLAN'!$J:$J,0,0)=0,"",XLOOKUP(CONCAT(DY12,DZ12),'MASTER PLAN'!$AB:$AB,'MASTER PLAN'!$J:$J,0,0)),"")</f>
        <v>BOLSA FINKS JEWELERS 6-5"X3-5"X6-5"</v>
      </c>
      <c r="EB12" s="70">
        <v>2200.0</v>
      </c>
      <c r="EC12" s="94"/>
      <c r="ED12" s="71">
        <v>1.402049207E9</v>
      </c>
      <c r="EE12" s="32">
        <v>20.0</v>
      </c>
      <c r="EF12" s="72" t="str">
        <f t="array" ref="EF12">IFERROR(IF(XLOOKUP(CONCAT(ED12,EE12),'MASTER PLAN'!$AB:$AB,'MASTER PLAN'!$J:$J,0,0)=0,"",XLOOKUP(CONCAT(ED12,EE12),'MASTER PLAN'!$AB:$AB,'MASTER PLAN'!$J:$J,0,0)),"")</f>
        <v>BOLSA FINKS JEWELERS  7"X5"X9"</v>
      </c>
      <c r="EG12" s="70">
        <v>3000.0</v>
      </c>
      <c r="EH12" s="94"/>
      <c r="EI12" s="71">
        <v>1.402049207E9</v>
      </c>
      <c r="EJ12" s="32">
        <v>20.0</v>
      </c>
      <c r="EK12" s="72" t="str">
        <f t="array" ref="EK12">IFERROR(IF(XLOOKUP(CONCAT(EI12,EJ12),'MASTER PLAN'!$AB:$AB,'MASTER PLAN'!$J:$J,0,0)=0,"",XLOOKUP(CONCAT(EI12,EJ12),'MASTER PLAN'!$AB:$AB,'MASTER PLAN'!$J:$J,0,0)),"")</f>
        <v>BOLSA FINKS JEWELERS  7"X5"X9"</v>
      </c>
      <c r="EL12" s="70">
        <v>900.0</v>
      </c>
      <c r="EM12" s="94"/>
      <c r="EN12" s="71">
        <v>1.40204935E9</v>
      </c>
      <c r="EO12" s="32">
        <v>20.0</v>
      </c>
      <c r="EP12" s="72" t="str">
        <f t="array" ref="EP12">IFERROR(IF(XLOOKUP(CONCAT(EN12,EO12),'MASTER PLAN'!$AB:$AB,'MASTER PLAN'!$J:$J,0,0)=0,"",XLOOKUP(CONCAT(EN12,EO12),'MASTER PLAN'!$AB:$AB,'MASTER PLAN'!$J:$J,0,0)),"")</f>
        <v>BOLSA WSMJ MAYORS WOS 10"X6"X10" FA</v>
      </c>
      <c r="EQ12" s="70">
        <v>3000.0</v>
      </c>
      <c r="ER12" s="94"/>
      <c r="ES12" s="71">
        <v>1.40204935E9</v>
      </c>
      <c r="ET12" s="32">
        <v>20.0</v>
      </c>
      <c r="EU12" s="72" t="str">
        <f t="array" ref="EU12">IFERROR(IF(XLOOKUP(CONCAT(ES12,ET12),'MASTER PLAN'!$AB:$AB,'MASTER PLAN'!$J:$J,0,0)=0,"",XLOOKUP(CONCAT(ES12,ET12),'MASTER PLAN'!$AB:$AB,'MASTER PLAN'!$J:$J,0,0)),"")</f>
        <v>BOLSA WSMJ MAYORS WOS 10"X6"X10" FA</v>
      </c>
      <c r="EV12" s="70">
        <v>3000.0</v>
      </c>
      <c r="EW12" s="94"/>
      <c r="EX12" s="71"/>
      <c r="EY12" s="32"/>
      <c r="EZ12" s="72" t="str">
        <f t="array" ref="EZ12">IFERROR(IF(XLOOKUP(CONCAT(EX12,EY12),'MASTER PLAN'!$AB:$AB,'MASTER PLAN'!$J:$J,0,0)=0,"",XLOOKUP(CONCAT(EX12,EY12),'MASTER PLAN'!$AB:$AB,'MASTER PLAN'!$J:$J,0,0)),"")</f>
        <v/>
      </c>
      <c r="FA12" s="70"/>
      <c r="FB12" s="94"/>
      <c r="FC12" s="70"/>
      <c r="FD12" s="71">
        <v>1.40204935E9</v>
      </c>
      <c r="FE12" s="32">
        <v>20.0</v>
      </c>
      <c r="FF12" s="72" t="str">
        <f t="array" ref="FF12">IFERROR(IF(XLOOKUP(CONCAT(FD12,FE12),'MASTER PLAN'!$AB:$AB,'MASTER PLAN'!$J:$J,0,0)=0,"",XLOOKUP(CONCAT(FD12,FE12),'MASTER PLAN'!$AB:$AB,'MASTER PLAN'!$J:$J,0,0)),"")</f>
        <v>BOLSA WSMJ MAYORS WOS 10"X6"X10" FA</v>
      </c>
      <c r="FG12" s="70">
        <v>1800.0</v>
      </c>
      <c r="FH12" s="94"/>
      <c r="FI12" s="71">
        <v>1.402048632E9</v>
      </c>
      <c r="FJ12" s="32">
        <v>10.0</v>
      </c>
      <c r="FK12" s="72" t="str">
        <f t="array" ref="FK12">IFERROR(IF(XLOOKUP(CONCAT(FI12,FJ12),'MASTER PLAN'!$AB:$AB,'MASTER PLAN'!$J:$J,0,0)=0,"",XLOOKUP(CONCAT(FI12,FJ12),'MASTER PLAN'!$AB:$AB,'MASTER PLAN'!$J:$J,0,0)),"")</f>
        <v>BOLSA ROGERS ENTERPRISES 10"X4"X7-75"</v>
      </c>
      <c r="FL12" s="70">
        <v>3000.0</v>
      </c>
      <c r="FM12" s="94"/>
      <c r="FN12" s="71">
        <v>1.402048632E9</v>
      </c>
      <c r="FO12" s="32">
        <v>10.0</v>
      </c>
      <c r="FP12" s="72" t="str">
        <f t="array" ref="FP12">IFERROR(IF(XLOOKUP(CONCAT(FN12,FO12),'MASTER PLAN'!$AB:$AB,'MASTER PLAN'!$J:$J,0,0)=0,"",XLOOKUP(CONCAT(FN12,FO12),'MASTER PLAN'!$AB:$AB,'MASTER PLAN'!$J:$J,0,0)),"")</f>
        <v>BOLSA ROGERS ENTERPRISES 10"X4"X7-75"</v>
      </c>
      <c r="FQ12" s="70">
        <v>3000.0</v>
      </c>
      <c r="FR12" s="94"/>
      <c r="FS12" s="71">
        <v>1.402048632E9</v>
      </c>
      <c r="FT12" s="32">
        <v>10.0</v>
      </c>
      <c r="FU12" s="72" t="str">
        <f t="array" ref="FU12">IFERROR(IF(XLOOKUP(CONCAT(FS12,FT12),'MASTER PLAN'!$AB:$AB,'MASTER PLAN'!$J:$J,0,0)=0,"",XLOOKUP(CONCAT(FS12,FT12),'MASTER PLAN'!$AB:$AB,'MASTER PLAN'!$J:$J,0,0)),"")</f>
        <v>BOLSA ROGERS ENTERPRISES 10"X4"X7-75"</v>
      </c>
      <c r="FV12" s="70">
        <v>3000.0</v>
      </c>
      <c r="FW12" s="94"/>
      <c r="FX12" s="71">
        <v>1.402048632E9</v>
      </c>
      <c r="FY12" s="32">
        <v>10.0</v>
      </c>
      <c r="FZ12" s="72" t="str">
        <f t="array" ref="FZ12">IFERROR(IF(XLOOKUP(CONCAT(FX12,FY12),'MASTER PLAN'!$AB:$AB,'MASTER PLAN'!$J:$J,0,0)=0,"",XLOOKUP(CONCAT(FX12,FY12),'MASTER PLAN'!$AB:$AB,'MASTER PLAN'!$J:$J,0,0)),"")</f>
        <v>BOLSA ROGERS ENTERPRISES 10"X4"X7-75"</v>
      </c>
      <c r="GA12" s="70">
        <v>700.0</v>
      </c>
      <c r="GB12" s="94"/>
      <c r="GC12" s="71"/>
      <c r="GD12" s="32"/>
      <c r="GE12" s="72" t="str">
        <f t="array" ref="GE12">IFERROR(IF(XLOOKUP(CONCAT(GC12,GD12),'MASTER PLAN'!$AB:$AB,'MASTER PLAN'!$J:$J,0,0)=0,"",XLOOKUP(CONCAT(GC12,GD12),'MASTER PLAN'!$AB:$AB,'MASTER PLAN'!$J:$J,0,0)),"")</f>
        <v/>
      </c>
      <c r="GF12" s="70"/>
      <c r="GG12" s="94"/>
      <c r="GH12" s="70"/>
      <c r="GI12" s="71">
        <v>1.402049318E9</v>
      </c>
      <c r="GJ12" s="32">
        <v>10.0</v>
      </c>
      <c r="GK12" s="72" t="str">
        <f t="array" ref="GK12">IFERROR(IF(XLOOKUP(CONCAT(GI12,GJ12),'MASTER PLAN'!$AB:$AB,'MASTER PLAN'!$J:$J,0,0)=0,"",XLOOKUP(CONCAT(GI12,GJ12),'MASTER PLAN'!$AB:$AB,'MASTER PLAN'!$J:$J,0,0)),"")</f>
        <v>BOLSA WATERFALL JEWELERS 6-5"X3-5"X6-5"</v>
      </c>
      <c r="GL12" s="70">
        <v>800.0</v>
      </c>
      <c r="GM12" s="94"/>
      <c r="GN12" s="71">
        <v>1.402049402E9</v>
      </c>
      <c r="GO12" s="32">
        <v>10.0</v>
      </c>
      <c r="GP12" s="72" t="str">
        <f t="array" ref="GP12">IFERROR(IF(XLOOKUP(CONCAT(GN12,GO12),'MASTER PLAN'!$AB:$AB,'MASTER PLAN'!$J:$J,0,0)=0,"",XLOOKUP(CONCAT(GN12,GO12),'MASTER PLAN'!$AB:$AB,'MASTER PLAN'!$J:$J,0,0)),"")</f>
        <v>BOLSA LAWRENCE(GOLD CASTER)10-5"X5X8-25"</v>
      </c>
      <c r="GQ12" s="70">
        <v>3000.0</v>
      </c>
      <c r="GR12" s="94"/>
      <c r="GS12" s="71">
        <v>1.402049419E9</v>
      </c>
      <c r="GT12" s="32">
        <v>20.0</v>
      </c>
      <c r="GU12" s="72" t="str">
        <f t="array" ref="GU12">IFERROR(IF(XLOOKUP(CONCAT(GS12,GT12),'MASTER PLAN'!$AB:$AB,'MASTER PLAN'!$J:$J,0,0)=0,"",XLOOKUP(CONCAT(GS12,GT12),'MASTER PLAN'!$AB:$AB,'MASTER PLAN'!$J:$J,0,0)),"")</f>
        <v>BOLSA COMERCIAL SORIA 6-5X3-5X6-5 IN FC</v>
      </c>
      <c r="GV12" s="70">
        <v>1500.0</v>
      </c>
      <c r="GW12" s="94"/>
      <c r="GX12" s="71">
        <v>1.402049498E9</v>
      </c>
      <c r="GY12" s="32">
        <v>10.0</v>
      </c>
      <c r="GZ12" s="72" t="str">
        <f t="array" ref="GZ12">IFERROR(IF(XLOOKUP(CONCAT(GX12,GY12),'MASTER PLAN'!$AB:$AB,'MASTER PLAN'!$J:$J,0,0)=0,"",XLOOKUP(CONCAT(GX12,GY12),'MASTER PLAN'!$AB:$AB,'MASTER PLAN'!$J:$J,0,0)),"")</f>
        <v>BOLSA ALBERTS JEWELERS 6-5"X3-5"X6-5"</v>
      </c>
      <c r="HA12" s="70">
        <v>3000.0</v>
      </c>
      <c r="HB12" s="94"/>
      <c r="HC12" s="71">
        <v>1.402049498E9</v>
      </c>
      <c r="HD12" s="32">
        <v>10.0</v>
      </c>
      <c r="HE12" s="72" t="str">
        <f t="array" ref="HE12">IFERROR(IF(XLOOKUP(CONCAT(HC12,HD12),'MASTER PLAN'!$AB:$AB,'MASTER PLAN'!$J:$J,0,0)=0,"",XLOOKUP(CONCAT(HC12,HD12),'MASTER PLAN'!$AB:$AB,'MASTER PLAN'!$J:$J,0,0)),"")</f>
        <v>BOLSA ALBERTS JEWELERS 6-5"X3-5"X6-5"</v>
      </c>
      <c r="HF12" s="70">
        <v>3000.0</v>
      </c>
      <c r="HG12" s="94"/>
      <c r="HH12" s="71"/>
      <c r="HI12" s="32"/>
      <c r="HJ12" s="72" t="str">
        <f t="array" ref="HJ12">IFERROR(IF(XLOOKUP(CONCAT(HH12,HI12),'MASTER PLAN'!$AB:$AB,'MASTER PLAN'!$J:$J,0,0)=0,"",XLOOKUP(CONCAT(HH12,HI12),'MASTER PLAN'!$AB:$AB,'MASTER PLAN'!$J:$J,0,0)),"")</f>
        <v/>
      </c>
      <c r="HK12" s="70"/>
      <c r="HL12" s="94"/>
      <c r="HM12" s="70"/>
      <c r="HN12" s="71">
        <v>1.402049498E9</v>
      </c>
      <c r="HO12" s="32">
        <v>10.0</v>
      </c>
      <c r="HP12" s="72" t="str">
        <f t="array" ref="HP12">IFERROR(IF(XLOOKUP(CONCAT(HN12,HO12),'MASTER PLAN'!$AB:$AB,'MASTER PLAN'!$J:$J,0,0)=0,"",XLOOKUP(CONCAT(HN12,HO12),'MASTER PLAN'!$AB:$AB,'MASTER PLAN'!$J:$J,0,0)),"")</f>
        <v>BOLSA ALBERTS JEWELERS 6-5"X3-5"X6-5"</v>
      </c>
      <c r="HQ12" s="70">
        <v>1000.0</v>
      </c>
      <c r="HR12" s="94"/>
      <c r="HS12" s="71">
        <v>1.402049507E9</v>
      </c>
      <c r="HT12" s="32">
        <v>10.0</v>
      </c>
      <c r="HU12" s="72" t="str">
        <f t="array" ref="HU12">IFERROR(IF(XLOOKUP(CONCAT(HS12,HT12),'MASTER PLAN'!$AB:$AB,'MASTER PLAN'!$J:$J,0,0)=0,"",XLOOKUP(CONCAT(HS12,HT12),'MASTER PLAN'!$AB:$AB,'MASTER PLAN'!$J:$J,0,0)),"")</f>
        <v>BOLSA NA HOKU 159X90X210MM</v>
      </c>
      <c r="HV12" s="70">
        <v>2000.0</v>
      </c>
      <c r="HW12" s="94"/>
      <c r="HX12" s="71">
        <v>1.402049507E9</v>
      </c>
      <c r="HY12" s="32">
        <v>10.0</v>
      </c>
      <c r="HZ12" s="72" t="str">
        <f t="array" ref="HZ12">IFERROR(IF(XLOOKUP(CONCAT(HX12,HY12),'MASTER PLAN'!$AB:$AB,'MASTER PLAN'!$J:$J,0,0)=0,"",XLOOKUP(CONCAT(HX12,HY12),'MASTER PLAN'!$AB:$AB,'MASTER PLAN'!$J:$J,0,0)),"")</f>
        <v>BOLSA NA HOKU 159X90X210MM</v>
      </c>
      <c r="IA12" s="70">
        <v>1200.0</v>
      </c>
      <c r="IB12" s="94"/>
      <c r="IC12" s="90"/>
      <c r="ID12" s="91"/>
      <c r="IE12" s="72" t="str">
        <f t="array" ref="IE12">IFERROR(IF(XLOOKUP(CONCAT(IC12,ID12),'MASTER PLAN'!$AB:$AB,'MASTER PLAN'!$J:$J,0,0)=0,"",XLOOKUP(CONCAT(IC12,ID12),'MASTER PLAN'!$AB:$AB,'MASTER PLAN'!$J:$J,0,0)),"")</f>
        <v/>
      </c>
      <c r="IF12" s="70"/>
      <c r="IG12" s="94"/>
      <c r="IH12" s="71">
        <v>1.402049507E9</v>
      </c>
      <c r="II12" s="32">
        <v>10.0</v>
      </c>
      <c r="IJ12" s="72" t="str">
        <f t="array" ref="IJ12">IFERROR(IF(XLOOKUP(CONCAT(IH12,II12),'MASTER PLAN'!$AB:$AB,'MASTER PLAN'!$J:$J,0,0)=0,"",XLOOKUP(CONCAT(IH12,II12),'MASTER PLAN'!$AB:$AB,'MASTER PLAN'!$J:$J,0,0)),"")</f>
        <v>BOLSA NA HOKU 159X90X210MM</v>
      </c>
      <c r="IK12" s="70">
        <v>3000.0</v>
      </c>
      <c r="IL12" s="94"/>
      <c r="IM12" s="71"/>
      <c r="IN12" s="32"/>
      <c r="IO12" s="72" t="str">
        <f t="array" ref="IO12">IFERROR(IF(XLOOKUP(CONCAT(IM12,IN12),'MASTER PLAN'!$AB:$AB,'MASTER PLAN'!$J:$J,0,0)=0,"",XLOOKUP(CONCAT(IM12,IN12),'MASTER PLAN'!$AB:$AB,'MASTER PLAN'!$J:$J,0,0)),"")</f>
        <v/>
      </c>
      <c r="IP12" s="70"/>
      <c r="IQ12" s="94"/>
      <c r="IR12" s="70"/>
      <c r="IS12" s="71">
        <v>1.402049507E9</v>
      </c>
      <c r="IT12" s="32">
        <v>10.0</v>
      </c>
      <c r="IU12" s="72" t="str">
        <f t="array" ref="IU12">IFERROR(IF(XLOOKUP(CONCAT(IS12,IT12),'MASTER PLAN'!$AB:$AB,'MASTER PLAN'!$J:$J,0,0)=0,"",XLOOKUP(CONCAT(IS12,IT12),'MASTER PLAN'!$AB:$AB,'MASTER PLAN'!$J:$J,0,0)),"")</f>
        <v>BOLSA NA HOKU 159X90X210MM</v>
      </c>
      <c r="IV12" s="70">
        <v>3000.0</v>
      </c>
      <c r="IW12" s="94"/>
      <c r="IX12" s="71">
        <v>1.402049507E9</v>
      </c>
      <c r="IY12" s="32">
        <v>10.0</v>
      </c>
      <c r="IZ12" s="72" t="str">
        <f t="array" ref="IZ12">IFERROR(IF(XLOOKUP(CONCAT(IX12,IY12),'MASTER PLAN'!$AB:$AB,'MASTER PLAN'!$J:$J,0,0)=0,"",XLOOKUP(CONCAT(IX12,IY12),'MASTER PLAN'!$AB:$AB,'MASTER PLAN'!$J:$J,0,0)),"")</f>
        <v>BOLSA NA HOKU 159X90X210MM</v>
      </c>
      <c r="JA12" s="70">
        <v>2800.0</v>
      </c>
      <c r="JB12" s="94"/>
      <c r="JC12" s="71">
        <v>1.402049475E9</v>
      </c>
      <c r="JD12" s="32">
        <v>10.0</v>
      </c>
      <c r="JE12" s="72" t="str">
        <f t="array" ref="JE12">IFERROR(IF(XLOOKUP(CONCAT(JC12,JD12),'MASTER PLAN'!$AB:$AB,'MASTER PLAN'!$J:$J,0,0)=0,"",XLOOKUP(CONCAT(JC12,JD12),'MASTER PLAN'!$AB:$AB,'MASTER PLAN'!$J:$J,0,0)),"")</f>
        <v>BOLSA ROTTERMOND 9-75"X4"X7"</v>
      </c>
      <c r="JF12" s="70">
        <v>1500.0</v>
      </c>
      <c r="JG12" s="94"/>
      <c r="JH12" s="90"/>
      <c r="JI12" s="91"/>
      <c r="JJ12" s="72" t="str">
        <f t="array" ref="JJ12">IFERROR(IF(XLOOKUP(CONCAT(JH12,JI12),'MASTER PLAN'!$AB:$AB,'MASTER PLAN'!$J:$J,0,0)=0,"",XLOOKUP(CONCAT(JH12,JI12),'MASTER PLAN'!$AB:$AB,'MASTER PLAN'!$J:$J,0,0)),"")</f>
        <v/>
      </c>
      <c r="JK12" s="70"/>
      <c r="JL12" s="94"/>
      <c r="JM12" s="71">
        <v>1.402049521E9</v>
      </c>
      <c r="JN12" s="32">
        <v>10.0</v>
      </c>
      <c r="JO12" s="72" t="str">
        <f t="array" ref="JO12">IFERROR(IF(XLOOKUP(CONCAT(JM12,JN12),'MASTER PLAN'!$AB:$AB,'MASTER PLAN'!$J:$J,0,0)=0,"",XLOOKUP(CONCAT(JM12,JN12),'MASTER PLAN'!$AB:$AB,'MASTER PLAN'!$J:$J,0,0)),"")</f>
        <v>BOLSA THE GEM LAB 6-5X3-5X6-5</v>
      </c>
      <c r="JP12" s="70">
        <v>2500.0</v>
      </c>
      <c r="JQ12" s="94"/>
      <c r="JR12" s="71"/>
      <c r="JS12" s="32"/>
      <c r="JT12" s="72" t="str">
        <f t="array" ref="JT12">IFERROR(IF(XLOOKUP(CONCAT(JR12,JS12),'MASTER PLAN'!$AB:$AB,'MASTER PLAN'!$J:$J,0,0)=0,"",XLOOKUP(CONCAT(JR12,JS12),'MASTER PLAN'!$AB:$AB,'MASTER PLAN'!$J:$J,0,0)),"")</f>
        <v/>
      </c>
      <c r="JU12" s="70"/>
      <c r="JV12" s="94"/>
      <c r="JW12" s="70"/>
      <c r="JX12" s="71">
        <v>1.402049532E9</v>
      </c>
      <c r="JY12" s="32">
        <v>10.0</v>
      </c>
      <c r="JZ12" s="72" t="str">
        <f t="array" ref="JZ12">IFERROR(IF(XLOOKUP(CONCAT(JX12,JY12),'MASTER PLAN'!$AB:$AB,'MASTER PLAN'!$J:$J,0,0)=0,"",XLOOKUP(CONCAT(JX12,JY12),'MASTER PLAN'!$AB:$AB,'MASTER PLAN'!$J:$J,0,0)),"")</f>
        <v>BOLSA CHARISMA JEWELERS 10"X 4"X 8"</v>
      </c>
      <c r="KA12" s="70">
        <v>1500.0</v>
      </c>
      <c r="KB12" s="94"/>
      <c r="KC12" s="71">
        <v>1.402049543E9</v>
      </c>
      <c r="KD12" s="32">
        <v>10.0</v>
      </c>
      <c r="KE12" s="72" t="str">
        <f t="array" ref="KE12">IFERROR(IF(XLOOKUP(CONCAT(KC12,KD12),'MASTER PLAN'!$AB:$AB,'MASTER PLAN'!$J:$J,0,0)=0,"",XLOOKUP(CONCAT(KC12,KD12),'MASTER PLAN'!$AB:$AB,'MASTER PLAN'!$J:$J,0,0)),"")</f>
        <v>BOLSA J-C- JEWELERS 10"X4"X8" -BLUE</v>
      </c>
      <c r="KF12" s="70">
        <v>1500.0</v>
      </c>
      <c r="KG12" s="94"/>
      <c r="KH12" s="71">
        <v>1.402049466E9</v>
      </c>
      <c r="KI12" s="32">
        <v>10.0</v>
      </c>
      <c r="KJ12" s="72" t="str">
        <f t="array" ref="KJ12">IFERROR(IF(XLOOKUP(CONCAT(KH12,KI12),'MASTER PLAN'!$AB:$AB,'MASTER PLAN'!$J:$J,0,0)=0,"",XLOOKUP(CONCAT(KH12,KI12),'MASTER PLAN'!$AB:$AB,'MASTER PLAN'!$J:$J,0,0)),"")</f>
        <v>BOLSA ROGERS ENTERPRISES 10"X4"X7-75"</v>
      </c>
      <c r="KK12" s="70">
        <v>3000.0</v>
      </c>
      <c r="KL12" s="94"/>
      <c r="KM12" s="71">
        <v>1.402049466E9</v>
      </c>
      <c r="KN12" s="32">
        <v>10.0</v>
      </c>
      <c r="KO12" s="72" t="str">
        <f t="array" ref="KO12">IFERROR(IF(XLOOKUP(CONCAT(KM12,KN12),'MASTER PLAN'!$AB:$AB,'MASTER PLAN'!$J:$J,0,0)=0,"",XLOOKUP(CONCAT(KM12,KN12),'MASTER PLAN'!$AB:$AB,'MASTER PLAN'!$J:$J,0,0)),"")</f>
        <v>BOLSA ROGERS ENTERPRISES 10"X4"X7-75"</v>
      </c>
      <c r="KP12" s="70">
        <v>3000.0</v>
      </c>
      <c r="KQ12" s="94"/>
      <c r="KR12" s="71">
        <v>1.402049466E9</v>
      </c>
      <c r="KS12" s="32">
        <v>10.0</v>
      </c>
      <c r="KT12" s="72" t="str">
        <f t="array" ref="KT12">IFERROR(IF(XLOOKUP(CONCAT(KR12,KS12),'MASTER PLAN'!$AB:$AB,'MASTER PLAN'!$J:$J,0,0)=0,"",XLOOKUP(CONCAT(KR12,KS12),'MASTER PLAN'!$AB:$AB,'MASTER PLAN'!$J:$J,0,0)),"")</f>
        <v>BOLSA ROGERS ENTERPRISES 10"X4"X7-75"</v>
      </c>
      <c r="KU12" s="70">
        <v>3000.0</v>
      </c>
      <c r="KV12" s="94"/>
      <c r="KW12" s="71"/>
      <c r="KX12" s="32"/>
      <c r="KY12" s="72" t="str">
        <f t="array" ref="KY12">IFERROR(IF(XLOOKUP(CONCAT(KW12,KX12),'MASTER PLAN'!$AB:$AB,'MASTER PLAN'!$J:$J,0,0)=0,"",XLOOKUP(CONCAT(KW12,KX12),'MASTER PLAN'!$AB:$AB,'MASTER PLAN'!$J:$J,0,0)),"")</f>
        <v/>
      </c>
      <c r="KZ12" s="70"/>
      <c r="LA12" s="94"/>
      <c r="LB12" s="70"/>
      <c r="LC12" s="71">
        <v>1.402049466E9</v>
      </c>
      <c r="LD12" s="32">
        <v>10.0</v>
      </c>
      <c r="LE12" s="72" t="str">
        <f t="array" ref="LE12">IFERROR(IF(XLOOKUP(CONCAT(LC12,LD12),'MASTER PLAN'!$AB:$AB,'MASTER PLAN'!$J:$J,0,0)=0,"",XLOOKUP(CONCAT(LC12,LD12),'MASTER PLAN'!$AB:$AB,'MASTER PLAN'!$J:$J,0,0)),"")</f>
        <v>BOLSA ROGERS ENTERPRISES 10"X4"X7-75"</v>
      </c>
      <c r="LF12" s="70">
        <v>3000.0</v>
      </c>
      <c r="LG12" s="94"/>
      <c r="LH12" s="71">
        <v>1.402049466E9</v>
      </c>
      <c r="LI12" s="32">
        <v>10.0</v>
      </c>
      <c r="LJ12" s="72" t="str">
        <f t="array" ref="LJ12">IFERROR(IF(XLOOKUP(CONCAT(LH12,LI12),'MASTER PLAN'!$AB:$AB,'MASTER PLAN'!$J:$J,0,0)=0,"",XLOOKUP(CONCAT(LH12,LI12),'MASTER PLAN'!$AB:$AB,'MASTER PLAN'!$J:$J,0,0)),"")</f>
        <v>BOLSA ROGERS ENTERPRISES 10"X4"X7-75"</v>
      </c>
      <c r="LK12" s="70">
        <v>2000.0</v>
      </c>
      <c r="LL12" s="94"/>
      <c r="LM12" s="71">
        <v>1.402049568E9</v>
      </c>
      <c r="LN12" s="32">
        <v>10.0</v>
      </c>
      <c r="LO12" s="72" t="str">
        <f t="array" ref="LO12">IFERROR(IF(XLOOKUP(CONCAT(LM12,LN12),'MASTER PLAN'!$AB:$AB,'MASTER PLAN'!$J:$J,0,0)=0,"",XLOOKUP(CONCAT(LM12,LN12),'MASTER PLAN'!$AB:$AB,'MASTER PLAN'!$J:$J,0,0)),"")</f>
        <v>BOLSA SILEO 10X4X8 IN</v>
      </c>
      <c r="LP12" s="70">
        <v>2000.0</v>
      </c>
      <c r="LQ12" s="94"/>
      <c r="LR12" s="71"/>
      <c r="LS12" s="32"/>
      <c r="LT12" s="72" t="str">
        <f t="array" ref="LT12">IFERROR(IF(XLOOKUP(CONCAT(LR12,LS12),'MASTER PLAN'!$AB:$AB,'MASTER PLAN'!$J:$J,0,0)=0,"",XLOOKUP(CONCAT(LR12,LS12),'MASTER PLAN'!$AB:$AB,'MASTER PLAN'!$J:$J,0,0)),"")</f>
        <v/>
      </c>
      <c r="LU12" s="70"/>
      <c r="LV12" s="94"/>
      <c r="LW12" s="71"/>
      <c r="LX12" s="32"/>
      <c r="LY12" s="72" t="str">
        <f t="array" ref="LY12">IFERROR(IF(XLOOKUP(CONCAT(LW12,LX12),'MASTER PLAN'!$AB:$AB,'MASTER PLAN'!$J:$J,0,0)=0,"",XLOOKUP(CONCAT(LW12,LX12),'MASTER PLAN'!$AB:$AB,'MASTER PLAN'!$J:$J,0,0)),"")</f>
        <v/>
      </c>
      <c r="LZ12" s="70"/>
      <c r="MA12" s="94"/>
      <c r="MB12" s="71"/>
      <c r="MC12" s="32"/>
      <c r="MD12" s="72" t="str">
        <f t="array" ref="MD12">IFERROR(IF(XLOOKUP(CONCAT(MB12,MC12),'MASTER PLAN'!$AB:$AB,'MASTER PLAN'!$J:$J,0,0)=0,"",XLOOKUP(CONCAT(MB12,MC12),'MASTER PLAN'!$AB:$AB,'MASTER PLAN'!$J:$J,0,0)),"")</f>
        <v/>
      </c>
      <c r="ME12" s="70"/>
      <c r="MF12" s="94"/>
      <c r="MG12" s="70"/>
      <c r="MH12" s="71"/>
      <c r="MI12" s="32"/>
      <c r="MJ12" s="72" t="str">
        <f t="array" ref="MJ12">IFERROR(IF(XLOOKUP(CONCAT(MH12,MI12),'MASTER PLAN'!$AB:$AB,'MASTER PLAN'!$J:$J,0,0)=0,"",XLOOKUP(CONCAT(MH12,MI12),'MASTER PLAN'!$AB:$AB,'MASTER PLAN'!$J:$J,0,0)),"")</f>
        <v/>
      </c>
      <c r="MK12" s="70"/>
      <c r="ML12" s="94"/>
      <c r="MM12" s="71"/>
      <c r="MN12" s="32"/>
      <c r="MO12" s="72" t="str">
        <f t="array" ref="MO12">IFERROR(IF(XLOOKUP(CONCAT(MM12,MN12),'MASTER PLAN'!$AB:$AB,'MASTER PLAN'!$J:$J,0,0)=0,"",XLOOKUP(CONCAT(MM12,MN12),'MASTER PLAN'!$AB:$AB,'MASTER PLAN'!$J:$J,0,0)),"")</f>
        <v/>
      </c>
      <c r="MP12" s="70"/>
      <c r="MQ12" s="94"/>
      <c r="MR12" s="71"/>
      <c r="MS12" s="32"/>
      <c r="MT12" s="72" t="str">
        <f t="array" ref="MT12">IFERROR(IF(XLOOKUP(CONCAT(MR12,MS12),'MASTER PLAN'!$AB:$AB,'MASTER PLAN'!$J:$J,0,0)=0,"",XLOOKUP(CONCAT(MR12,MS12),'MASTER PLAN'!$AB:$AB,'MASTER PLAN'!$J:$J,0,0)),"")</f>
        <v/>
      </c>
      <c r="MU12" s="70"/>
      <c r="MV12" s="94"/>
      <c r="MW12" s="71"/>
      <c r="MX12" s="32"/>
      <c r="MY12" s="72" t="str">
        <f t="array" ref="MY12">IFERROR(IF(XLOOKUP(CONCAT(MW12,MX12),'MASTER PLAN'!$AB:$AB,'MASTER PLAN'!$J:$J,0,0)=0,"",XLOOKUP(CONCAT(MW12,MX12),'MASTER PLAN'!$AB:$AB,'MASTER PLAN'!$J:$J,0,0)),"")</f>
        <v/>
      </c>
      <c r="MZ12" s="70"/>
      <c r="NA12" s="94"/>
      <c r="NB12" s="71"/>
      <c r="NC12" s="32"/>
      <c r="ND12" s="72" t="str">
        <f t="array" ref="ND12">IFERROR(IF(XLOOKUP(CONCAT(NB12,NC12),'MASTER PLAN'!$AB:$AB,'MASTER PLAN'!$J:$J,0,0)=0,"",XLOOKUP(CONCAT(NB12,NC12),'MASTER PLAN'!$AB:$AB,'MASTER PLAN'!$J:$J,0,0)),"")</f>
        <v/>
      </c>
      <c r="NE12" s="70"/>
      <c r="NF12" s="94"/>
      <c r="NG12" s="71"/>
      <c r="NH12" s="32"/>
      <c r="NI12" s="72" t="str">
        <f t="array" ref="NI12">IFERROR(IF(XLOOKUP(CONCAT(NG12,NH12),'MASTER PLAN'!$AB:$AB,'MASTER PLAN'!$J:$J,0,0)=0,"",XLOOKUP(CONCAT(NG12,NH12),'MASTER PLAN'!$AB:$AB,'MASTER PLAN'!$J:$J,0,0)),"")</f>
        <v/>
      </c>
      <c r="NJ12" s="70"/>
      <c r="NK12" s="94"/>
      <c r="NL12" s="70"/>
      <c r="NM12" s="71"/>
      <c r="NN12" s="32"/>
      <c r="NO12" s="72" t="str">
        <f t="array" ref="NO12">IFERROR(IF(XLOOKUP(CONCAT(NM12,NN12),'MASTER PLAN'!$AB:$AB,'MASTER PLAN'!$J:$J,0,0)=0,"",XLOOKUP(CONCAT(NM12,NN12),'MASTER PLAN'!$AB:$AB,'MASTER PLAN'!$J:$J,0,0)),"")</f>
        <v/>
      </c>
      <c r="NP12" s="70"/>
      <c r="NQ12" s="94"/>
      <c r="NR12" s="71"/>
      <c r="NS12" s="32"/>
      <c r="NT12" s="72" t="str">
        <f t="array" ref="NT12">IFERROR(IF(XLOOKUP(CONCAT(NR12,NS12),'MASTER PLAN'!$AB:$AB,'MASTER PLAN'!$J:$J,0,0)=0,"",XLOOKUP(CONCAT(NR12,NS12),'MASTER PLAN'!$AB:$AB,'MASTER PLAN'!$J:$J,0,0)),"")</f>
        <v/>
      </c>
      <c r="NU12" s="70"/>
      <c r="NV12" s="94"/>
      <c r="NW12" s="71"/>
      <c r="NX12" s="32"/>
      <c r="NY12" s="72" t="str">
        <f t="array" ref="NY12">IFERROR(IF(XLOOKUP(CONCAT(NW12,NX12),'MASTER PLAN'!$AB:$AB,'MASTER PLAN'!$J:$J,0,0)=0,"",XLOOKUP(CONCAT(NW12,NX12),'MASTER PLAN'!$AB:$AB,'MASTER PLAN'!$J:$J,0,0)),"")</f>
        <v/>
      </c>
      <c r="NZ12" s="70"/>
      <c r="OA12" s="94"/>
      <c r="OB12" s="71"/>
      <c r="OC12" s="32"/>
      <c r="OD12" s="72" t="str">
        <f t="array" ref="OD12">IFERROR(IF(XLOOKUP(CONCAT(OB12,OC12),'MASTER PLAN'!$AB:$AB,'MASTER PLAN'!$J:$J,0,0)=0,"",XLOOKUP(CONCAT(OB12,OC12),'MASTER PLAN'!$AB:$AB,'MASTER PLAN'!$J:$J,0,0)),"")</f>
        <v/>
      </c>
      <c r="OE12" s="70"/>
      <c r="OF12" s="94"/>
      <c r="OG12" s="71"/>
      <c r="OH12" s="32"/>
      <c r="OI12" s="72" t="str">
        <f t="array" ref="OI12">IFERROR(IF(XLOOKUP(CONCAT(OG12,OH12),'MASTER PLAN'!$AB:$AB,'MASTER PLAN'!$J:$J,0,0)=0,"",XLOOKUP(CONCAT(OG12,OH12),'MASTER PLAN'!$AB:$AB,'MASTER PLAN'!$J:$J,0,0)),"")</f>
        <v/>
      </c>
      <c r="OJ12" s="70"/>
      <c r="OK12" s="94"/>
      <c r="OL12" s="71"/>
      <c r="OM12" s="32"/>
      <c r="ON12" s="72" t="str">
        <f t="array" ref="ON12">IFERROR(IF(XLOOKUP(CONCAT(OL12,OM12),'MASTER PLAN'!$AB:$AB,'MASTER PLAN'!$J:$J,0,0)=0,"",XLOOKUP(CONCAT(OL12,OM12),'MASTER PLAN'!$AB:$AB,'MASTER PLAN'!$J:$J,0,0)),"")</f>
        <v/>
      </c>
      <c r="OO12" s="70"/>
      <c r="OP12" s="94"/>
      <c r="OQ12" s="70"/>
      <c r="OR12" s="70"/>
      <c r="OS12" s="70"/>
      <c r="OT12" s="70"/>
      <c r="OU12" s="70"/>
      <c r="OV12" s="70"/>
      <c r="OW12" s="70"/>
      <c r="OX12" s="70"/>
      <c r="OY12" s="70"/>
      <c r="OZ12" s="70"/>
      <c r="PA12" s="70"/>
      <c r="PB12" s="70"/>
      <c r="PC12" s="70"/>
      <c r="PD12" s="70"/>
      <c r="PE12" s="70"/>
      <c r="PF12" s="70"/>
      <c r="PG12" s="70"/>
      <c r="PH12" s="70"/>
      <c r="PI12" s="70"/>
      <c r="PJ12" s="70"/>
    </row>
    <row r="13">
      <c r="A13" s="42"/>
      <c r="B13" s="74"/>
      <c r="C13" s="69"/>
      <c r="D13" s="70"/>
      <c r="E13" s="71"/>
      <c r="F13" s="32"/>
      <c r="G13" s="72" t="str">
        <f t="array" ref="G13">IFERROR(IF(XLOOKUP(CONCAT(E13,F13),'MASTER PLAN'!$AB:$AB,'MASTER PLAN'!$J:$J,0,0)=0,"",XLOOKUP(CONCAT(E13,F13),'MASTER PLAN'!$AB:$AB,'MASTER PLAN'!$J:$J,0,0)),"")</f>
        <v/>
      </c>
      <c r="H13" s="70"/>
      <c r="I13" s="94"/>
      <c r="J13" s="71"/>
      <c r="K13" s="32"/>
      <c r="L13" s="72" t="str">
        <f t="array" ref="L13">IFERROR(IF(XLOOKUP(CONCAT(J13,K13),'MASTER PLAN'!$AB:$AB,'MASTER PLAN'!$J:$J,0,0)=0,"",XLOOKUP(CONCAT(J13,K13),'MASTER PLAN'!$AB:$AB,'MASTER PLAN'!$J:$J,0,0)),"")</f>
        <v/>
      </c>
      <c r="M13" s="70"/>
      <c r="N13" s="94"/>
      <c r="O13" s="71"/>
      <c r="P13" s="32"/>
      <c r="Q13" s="72" t="str">
        <f t="array" ref="Q13">IFERROR(IF(XLOOKUP(CONCAT(O13,P13),'MASTER PLAN'!$AB:$AB,'MASTER PLAN'!$J:$J,0,0)=0,"",XLOOKUP(CONCAT(O13,P13),'MASTER PLAN'!$AB:$AB,'MASTER PLAN'!$J:$J,0,0)),"")</f>
        <v/>
      </c>
      <c r="R13" s="70"/>
      <c r="S13" s="94"/>
      <c r="T13" s="71"/>
      <c r="U13" s="32"/>
      <c r="V13" s="72" t="str">
        <f t="array" ref="V13">IFERROR(IF(XLOOKUP(CONCAT(T13,U13),'MASTER PLAN'!$AB:$AB,'MASTER PLAN'!$J:$J,0,0)=0,"",XLOOKUP(CONCAT(T13,U13),'MASTER PLAN'!$AB:$AB,'MASTER PLAN'!$J:$J,0,0)),"")</f>
        <v/>
      </c>
      <c r="W13" s="70"/>
      <c r="X13" s="94"/>
      <c r="Y13" s="71"/>
      <c r="Z13" s="32"/>
      <c r="AA13" s="72" t="str">
        <f t="array" ref="AA13">IFERROR(IF(XLOOKUP(CONCAT(Y13,Z13),'MASTER PLAN'!$AB:$AB,'MASTER PLAN'!$J:$J,0,0)=0,"",XLOOKUP(CONCAT(Y13,Z13),'MASTER PLAN'!$AB:$AB,'MASTER PLAN'!$J:$J,0,0)),"")</f>
        <v/>
      </c>
      <c r="AB13" s="70"/>
      <c r="AC13" s="94"/>
      <c r="AD13" s="71"/>
      <c r="AE13" s="32"/>
      <c r="AF13" s="72" t="str">
        <f t="array" ref="AF13">IFERROR(IF(XLOOKUP(CONCAT(AD13,AE13),'MASTER PLAN'!$AB:$AB,'MASTER PLAN'!$J:$J,0,0)=0,"",XLOOKUP(CONCAT(AD13,AE13),'MASTER PLAN'!$AB:$AB,'MASTER PLAN'!$J:$J,0,0)),"")</f>
        <v/>
      </c>
      <c r="AG13" s="70"/>
      <c r="AH13" s="94"/>
      <c r="AI13" s="70"/>
      <c r="AJ13" s="71"/>
      <c r="AK13" s="32"/>
      <c r="AL13" s="72" t="str">
        <f t="array" ref="AL13">IFERROR(IF(XLOOKUP(CONCAT(AJ13,AK13),'MASTER PLAN'!$AB:$AB,'MASTER PLAN'!$J:$J,0,0)=0,"",XLOOKUP(CONCAT(AJ13,AK13),'MASTER PLAN'!$AB:$AB,'MASTER PLAN'!$J:$J,0,0)),"")</f>
        <v/>
      </c>
      <c r="AM13" s="70"/>
      <c r="AN13" s="94"/>
      <c r="AO13" s="71"/>
      <c r="AP13" s="32"/>
      <c r="AQ13" s="72" t="str">
        <f t="array" ref="AQ13">IFERROR(IF(XLOOKUP(CONCAT(AO13,AP13),'MASTER PLAN'!$AB:$AB,'MASTER PLAN'!$J:$J,0,0)=0,"",XLOOKUP(CONCAT(AO13,AP13),'MASTER PLAN'!$AB:$AB,'MASTER PLAN'!$J:$J,0,0)),"")</f>
        <v/>
      </c>
      <c r="AR13" s="70"/>
      <c r="AS13" s="94"/>
      <c r="AT13" s="71"/>
      <c r="AU13" s="32"/>
      <c r="AV13" s="72" t="str">
        <f t="array" ref="AV13">IFERROR(IF(XLOOKUP(CONCAT(AT13,AU13),'MASTER PLAN'!$AB:$AB,'MASTER PLAN'!$J:$J,0,0)=0,"",XLOOKUP(CONCAT(AT13,AU13),'MASTER PLAN'!$AB:$AB,'MASTER PLAN'!$J:$J,0,0)),"")</f>
        <v/>
      </c>
      <c r="AW13" s="70"/>
      <c r="AX13" s="94"/>
      <c r="AY13" s="71"/>
      <c r="AZ13" s="32"/>
      <c r="BA13" s="72" t="str">
        <f t="array" ref="BA13">IFERROR(IF(XLOOKUP(CONCAT(AY13,AZ13),'MASTER PLAN'!$AB:$AB,'MASTER PLAN'!$J:$J,0,0)=0,"",XLOOKUP(CONCAT(AY13,AZ13),'MASTER PLAN'!$AB:$AB,'MASTER PLAN'!$J:$J,0,0)),"")</f>
        <v/>
      </c>
      <c r="BB13" s="70"/>
      <c r="BC13" s="94"/>
      <c r="BD13" s="71"/>
      <c r="BE13" s="32"/>
      <c r="BF13" s="72" t="str">
        <f t="array" ref="BF13">IFERROR(IF(XLOOKUP(CONCAT(BD13,BE13),'MASTER PLAN'!$AB:$AB,'MASTER PLAN'!$J:$J,0,0)=0,"",XLOOKUP(CONCAT(BD13,BE13),'MASTER PLAN'!$AB:$AB,'MASTER PLAN'!$J:$J,0,0)),"")</f>
        <v/>
      </c>
      <c r="BG13" s="70"/>
      <c r="BH13" s="94"/>
      <c r="BI13" s="71"/>
      <c r="BJ13" s="32"/>
      <c r="BK13" s="72" t="str">
        <f t="array" ref="BK13">IFERROR(IF(XLOOKUP(CONCAT(BI13,BJ13),'MASTER PLAN'!$AB:$AB,'MASTER PLAN'!$J:$J,0,0)=0,"",XLOOKUP(CONCAT(BI13,BJ13),'MASTER PLAN'!$AB:$AB,'MASTER PLAN'!$J:$J,0,0)),"")</f>
        <v/>
      </c>
      <c r="BL13" s="70"/>
      <c r="BM13" s="94"/>
      <c r="BN13" s="70"/>
      <c r="BO13" s="71"/>
      <c r="BP13" s="32"/>
      <c r="BQ13" s="72" t="str">
        <f t="array" ref="BQ13">IFERROR(IF(XLOOKUP(CONCAT(BO13,BP13),'MASTER PLAN'!$AB:$AB,'MASTER PLAN'!$J:$J,0,0)=0,"",XLOOKUP(CONCAT(BO13,BP13),'MASTER PLAN'!$AB:$AB,'MASTER PLAN'!$J:$J,0,0)),"")</f>
        <v/>
      </c>
      <c r="BR13" s="70"/>
      <c r="BS13" s="94"/>
      <c r="BT13" s="71"/>
      <c r="BU13" s="32"/>
      <c r="BV13" s="72" t="str">
        <f t="array" ref="BV13">IFERROR(IF(XLOOKUP(CONCAT(BT13,BU13),'MASTER PLAN'!$AB:$AB,'MASTER PLAN'!$J:$J,0,0)=0,"",XLOOKUP(CONCAT(BT13,BU13),'MASTER PLAN'!$AB:$AB,'MASTER PLAN'!$J:$J,0,0)),"")</f>
        <v/>
      </c>
      <c r="BW13" s="70"/>
      <c r="BX13" s="94"/>
      <c r="BY13" s="71">
        <v>1.402049321E9</v>
      </c>
      <c r="BZ13" s="32">
        <v>10.0</v>
      </c>
      <c r="CA13" s="72" t="str">
        <f t="array" ref="CA13">IFERROR(IF(XLOOKUP(CONCAT(BY13,BZ13),'MASTER PLAN'!$AB:$AB,'MASTER PLAN'!$J:$J,0,0)=0,"",XLOOKUP(CONCAT(BY13,BZ13),'MASTER PLAN'!$AB:$AB,'MASTER PLAN'!$J:$J,0,0)),"")</f>
        <v>BOLSA BRILLANTI 6-5"X3-5"X6-5"</v>
      </c>
      <c r="CB13" s="70">
        <v>2000.0</v>
      </c>
      <c r="CC13" s="94"/>
      <c r="CD13" s="71">
        <v>1.402049281E9</v>
      </c>
      <c r="CE13" s="32">
        <v>20.0</v>
      </c>
      <c r="CF13" s="72" t="str">
        <f t="array" ref="CF13">IFERROR(IF(XLOOKUP(CONCAT(CD13,CE13),'MASTER PLAN'!$AB:$AB,'MASTER PLAN'!$J:$J,0,0)=0,"",XLOOKUP(CONCAT(CD13,CE13),'MASTER PLAN'!$AB:$AB,'MASTER PLAN'!$J:$J,0,0)),"")</f>
        <v>BOLSA ALBERTS JEWELERS 10"X6"X10" FL</v>
      </c>
      <c r="CG13" s="70">
        <v>1200.0</v>
      </c>
      <c r="CH13" s="94"/>
      <c r="CI13" s="71">
        <v>1.402048833E9</v>
      </c>
      <c r="CJ13" s="32">
        <v>10.0</v>
      </c>
      <c r="CK13" s="72" t="str">
        <f t="array" ref="CK13">IFERROR(IF(XLOOKUP(CONCAT(CI13,CJ13),'MASTER PLAN'!$AB:$AB,'MASTER PLAN'!$J:$J,0,0)=0,"",XLOOKUP(CONCAT(CI13,CJ13),'MASTER PLAN'!$AB:$AB,'MASTER PLAN'!$J:$J,0,0)),"")</f>
        <v>BOLSA FRED MEYER 4-5"X3"X5-5"</v>
      </c>
      <c r="CL13" s="70">
        <v>1500.0</v>
      </c>
      <c r="CM13" s="94"/>
      <c r="CN13" s="71"/>
      <c r="CO13" s="32"/>
      <c r="CP13" s="72" t="str">
        <f t="array" ref="CP13">IFERROR(IF(XLOOKUP(CONCAT(CN13,CO13),'MASTER PLAN'!$AB:$AB,'MASTER PLAN'!$J:$J,0,0)=0,"",XLOOKUP(CONCAT(CN13,CO13),'MASTER PLAN'!$AB:$AB,'MASTER PLAN'!$J:$J,0,0)),"")</f>
        <v/>
      </c>
      <c r="CQ13" s="70"/>
      <c r="CR13" s="94"/>
      <c r="CS13" s="70"/>
      <c r="CT13" s="71">
        <v>1.40204935E9</v>
      </c>
      <c r="CU13" s="32">
        <v>20.0</v>
      </c>
      <c r="CV13" s="72" t="str">
        <f t="array" ref="CV13">IFERROR(IF(XLOOKUP(CONCAT(CT13,CU13),'MASTER PLAN'!$AB:$AB,'MASTER PLAN'!$J:$J,0,0)=0,"",XLOOKUP(CONCAT(CT13,CU13),'MASTER PLAN'!$AB:$AB,'MASTER PLAN'!$J:$J,0,0)),"")</f>
        <v>BOLSA WSMJ MAYORS WOS 10"X6"X10" FA</v>
      </c>
      <c r="CW13" s="70">
        <v>500.0</v>
      </c>
      <c r="CX13" s="94"/>
      <c r="CY13" s="71"/>
      <c r="CZ13" s="32"/>
      <c r="DA13" s="72" t="str">
        <f t="array" ref="DA13">IFERROR(IF(XLOOKUP(CONCAT(CY13,CZ13),'MASTER PLAN'!$AB:$AB,'MASTER PLAN'!$J:$J,0,0)=0,"",XLOOKUP(CONCAT(CY13,CZ13),'MASTER PLAN'!$AB:$AB,'MASTER PLAN'!$J:$J,0,0)),"")</f>
        <v/>
      </c>
      <c r="DB13" s="70"/>
      <c r="DC13" s="94"/>
      <c r="DD13" s="71">
        <v>1.402049277E9</v>
      </c>
      <c r="DE13" s="32">
        <v>40.0</v>
      </c>
      <c r="DF13" s="72" t="str">
        <f t="array" ref="DF13">IFERROR(IF(XLOOKUP(CONCAT(DD13,DE13),'MASTER PLAN'!$AB:$AB,'MASTER PLAN'!$J:$J,0,0)=0,"",XLOOKUP(CONCAT(DD13,DE13),'MASTER PLAN'!$AB:$AB,'MASTER PLAN'!$J:$J,0,0)),"")</f>
        <v>BOLSA ELEGANCE 12-5X4X14 IN FL</v>
      </c>
      <c r="DG13" s="70">
        <v>2100.0</v>
      </c>
      <c r="DH13" s="94"/>
      <c r="DI13" s="71">
        <v>1.402049286E9</v>
      </c>
      <c r="DJ13" s="32">
        <v>10.0</v>
      </c>
      <c r="DK13" s="72" t="str">
        <f t="array" ref="DK13">IFERROR(IF(XLOOKUP(CONCAT(DI13,DJ13),'MASTER PLAN'!$AB:$AB,'MASTER PLAN'!$J:$J,0,0)=0,"",XLOOKUP(CONCAT(DI13,DJ13),'MASTER PLAN'!$AB:$AB,'MASTER PLAN'!$J:$J,0,0)),"")</f>
        <v>BOLSA HUNTINGTON 6-5"X3-5"X6-5"</v>
      </c>
      <c r="DL13" s="70">
        <v>2500.0</v>
      </c>
      <c r="DM13" s="94"/>
      <c r="DN13" s="97">
        <v>1.402049286E9</v>
      </c>
      <c r="DO13" s="96">
        <v>20.0</v>
      </c>
      <c r="DP13" s="72" t="str">
        <f t="array" ref="DP13">IFERROR(IF(XLOOKUP(CONCAT(DN13,DO13),'MASTER PLAN'!$AB:$AB,'MASTER PLAN'!$J:$J,0,0)=0,"",XLOOKUP(CONCAT(DN13,DO13),'MASTER PLAN'!$AB:$AB,'MASTER PLAN'!$J:$J,0,0)),"")</f>
        <v>BOLSA HUNTINGTON 8"X4"X10"</v>
      </c>
      <c r="DQ13" s="70">
        <v>1800.0</v>
      </c>
      <c r="DR13" s="94"/>
      <c r="DS13" s="71"/>
      <c r="DT13" s="32"/>
      <c r="DU13" s="72" t="str">
        <f t="array" ref="DU13">IFERROR(IF(XLOOKUP(CONCAT(DS13,DT13),'MASTER PLAN'!$AB:$AB,'MASTER PLAN'!$J:$J,0,0)=0,"",XLOOKUP(CONCAT(DS13,DT13),'MASTER PLAN'!$AB:$AB,'MASTER PLAN'!$J:$J,0,0)),"")</f>
        <v/>
      </c>
      <c r="DV13" s="70"/>
      <c r="DW13" s="94"/>
      <c r="DX13" s="70"/>
      <c r="DY13" s="71">
        <v>1.402049207E9</v>
      </c>
      <c r="DZ13" s="32">
        <v>20.0</v>
      </c>
      <c r="EA13" s="72" t="str">
        <f t="array" ref="EA13">IFERROR(IF(XLOOKUP(CONCAT(DY13,DZ13),'MASTER PLAN'!$AB:$AB,'MASTER PLAN'!$J:$J,0,0)=0,"",XLOOKUP(CONCAT(DY13,DZ13),'MASTER PLAN'!$AB:$AB,'MASTER PLAN'!$J:$J,0,0)),"")</f>
        <v>BOLSA FINKS JEWELERS  7"X5"X9"</v>
      </c>
      <c r="EB13" s="70">
        <v>600.0</v>
      </c>
      <c r="EC13" s="94"/>
      <c r="ED13" s="71"/>
      <c r="EE13" s="32"/>
      <c r="EF13" s="72" t="str">
        <f t="array" ref="EF13">IFERROR(IF(XLOOKUP(CONCAT(ED13,EE13),'MASTER PLAN'!$AB:$AB,'MASTER PLAN'!$J:$J,0,0)=0,"",XLOOKUP(CONCAT(ED13,EE13),'MASTER PLAN'!$AB:$AB,'MASTER PLAN'!$J:$J,0,0)),"")</f>
        <v/>
      </c>
      <c r="EG13" s="70"/>
      <c r="EH13" s="94"/>
      <c r="EI13" s="71">
        <v>1.40204935E9</v>
      </c>
      <c r="EJ13" s="32">
        <v>10.0</v>
      </c>
      <c r="EK13" s="72" t="str">
        <f t="array" ref="EK13">IFERROR(IF(XLOOKUP(CONCAT(EI13,EJ13),'MASTER PLAN'!$AB:$AB,'MASTER PLAN'!$J:$J,0,0)=0,"",XLOOKUP(CONCAT(EI13,EJ13),'MASTER PLAN'!$AB:$AB,'MASTER PLAN'!$J:$J,0,0)),"")</f>
        <v>BOLSA WSMJ MAYORS WOS 6-5"X3-5"X6-5" FA</v>
      </c>
      <c r="EL13" s="70">
        <v>1200.0</v>
      </c>
      <c r="EM13" s="94"/>
      <c r="EN13" s="71"/>
      <c r="EO13" s="32"/>
      <c r="EP13" s="72" t="str">
        <f t="array" ref="EP13">IFERROR(IF(XLOOKUP(CONCAT(EN13,EO13),'MASTER PLAN'!$AB:$AB,'MASTER PLAN'!$J:$J,0,0)=0,"",XLOOKUP(CONCAT(EN13,EO13),'MASTER PLAN'!$AB:$AB,'MASTER PLAN'!$J:$J,0,0)),"")</f>
        <v/>
      </c>
      <c r="EQ13" s="70"/>
      <c r="ER13" s="94"/>
      <c r="ES13" s="71"/>
      <c r="ET13" s="32"/>
      <c r="EU13" s="72" t="str">
        <f t="array" ref="EU13">IFERROR(IF(XLOOKUP(CONCAT(ES13,ET13),'MASTER PLAN'!$AB:$AB,'MASTER PLAN'!$J:$J,0,0)=0,"",XLOOKUP(CONCAT(ES13,ET13),'MASTER PLAN'!$AB:$AB,'MASTER PLAN'!$J:$J,0,0)),"")</f>
        <v/>
      </c>
      <c r="EV13" s="70"/>
      <c r="EW13" s="94"/>
      <c r="EX13" s="71"/>
      <c r="EY13" s="32"/>
      <c r="EZ13" s="72" t="str">
        <f t="array" ref="EZ13">IFERROR(IF(XLOOKUP(CONCAT(EX13,EY13),'MASTER PLAN'!$AB:$AB,'MASTER PLAN'!$J:$J,0,0)=0,"",XLOOKUP(CONCAT(EX13,EY13),'MASTER PLAN'!$AB:$AB,'MASTER PLAN'!$J:$J,0,0)),"")</f>
        <v/>
      </c>
      <c r="FA13" s="70"/>
      <c r="FB13" s="94"/>
      <c r="FC13" s="70"/>
      <c r="FD13" s="71">
        <v>1.402048632E9</v>
      </c>
      <c r="FE13" s="32">
        <v>10.0</v>
      </c>
      <c r="FF13" s="72" t="str">
        <f t="array" ref="FF13">IFERROR(IF(XLOOKUP(CONCAT(FD13,FE13),'MASTER PLAN'!$AB:$AB,'MASTER PLAN'!$J:$J,0,0)=0,"",XLOOKUP(CONCAT(FD13,FE13),'MASTER PLAN'!$AB:$AB,'MASTER PLAN'!$J:$J,0,0)),"")</f>
        <v>BOLSA ROGERS ENTERPRISES 10"X4"X7-75"</v>
      </c>
      <c r="FG13" s="70">
        <v>1500.0</v>
      </c>
      <c r="FH13" s="94"/>
      <c r="FI13" s="71"/>
      <c r="FJ13" s="32"/>
      <c r="FK13" s="72" t="str">
        <f t="array" ref="FK13">IFERROR(IF(XLOOKUP(CONCAT(FI13,FJ13),'MASTER PLAN'!$AB:$AB,'MASTER PLAN'!$J:$J,0,0)=0,"",XLOOKUP(CONCAT(FI13,FJ13),'MASTER PLAN'!$AB:$AB,'MASTER PLAN'!$J:$J,0,0)),"")</f>
        <v/>
      </c>
      <c r="FL13" s="70"/>
      <c r="FM13" s="94"/>
      <c r="FN13" s="71"/>
      <c r="FO13" s="32"/>
      <c r="FP13" s="72" t="str">
        <f t="array" ref="FP13">IFERROR(IF(XLOOKUP(CONCAT(FN13,FO13),'MASTER PLAN'!$AB:$AB,'MASTER PLAN'!$J:$J,0,0)=0,"",XLOOKUP(CONCAT(FN13,FO13),'MASTER PLAN'!$AB:$AB,'MASTER PLAN'!$J:$J,0,0)),"")</f>
        <v/>
      </c>
      <c r="FQ13" s="70"/>
      <c r="FR13" s="94"/>
      <c r="FS13" s="71"/>
      <c r="FT13" s="32"/>
      <c r="FU13" s="72" t="str">
        <f t="array" ref="FU13">IFERROR(IF(XLOOKUP(CONCAT(FS13,FT13),'MASTER PLAN'!$AB:$AB,'MASTER PLAN'!$J:$J,0,0)=0,"",XLOOKUP(CONCAT(FS13,FT13),'MASTER PLAN'!$AB:$AB,'MASTER PLAN'!$J:$J,0,0)),"")</f>
        <v/>
      </c>
      <c r="FV13" s="70"/>
      <c r="FW13" s="94"/>
      <c r="FX13" s="71">
        <v>1.402049318E9</v>
      </c>
      <c r="FY13" s="32">
        <v>10.0</v>
      </c>
      <c r="FZ13" s="72" t="str">
        <f t="array" ref="FZ13">IFERROR(IF(XLOOKUP(CONCAT(FX13,FY13),'MASTER PLAN'!$AB:$AB,'MASTER PLAN'!$J:$J,0,0)=0,"",XLOOKUP(CONCAT(FX13,FY13),'MASTER PLAN'!$AB:$AB,'MASTER PLAN'!$J:$J,0,0)),"")</f>
        <v>BOLSA WATERFALL JEWELERS 6-5"X3-5"X6-5"</v>
      </c>
      <c r="GA13" s="70">
        <v>2200.0</v>
      </c>
      <c r="GB13" s="94"/>
      <c r="GC13" s="71"/>
      <c r="GD13" s="32"/>
      <c r="GE13" s="72" t="str">
        <f t="array" ref="GE13">IFERROR(IF(XLOOKUP(CONCAT(GC13,GD13),'MASTER PLAN'!$AB:$AB,'MASTER PLAN'!$J:$J,0,0)=0,"",XLOOKUP(CONCAT(GC13,GD13),'MASTER PLAN'!$AB:$AB,'MASTER PLAN'!$J:$J,0,0)),"")</f>
        <v/>
      </c>
      <c r="GF13" s="70"/>
      <c r="GG13" s="94"/>
      <c r="GH13" s="70"/>
      <c r="GI13" s="71">
        <v>1.402049351E9</v>
      </c>
      <c r="GJ13" s="32">
        <v>10.0</v>
      </c>
      <c r="GK13" s="72" t="str">
        <f t="array" ref="GK13">IFERROR(IF(XLOOKUP(CONCAT(GI13,GJ13),'MASTER PLAN'!$AB:$AB,'MASTER PLAN'!$J:$J,0,0)=0,"",XLOOKUP(CONCAT(GI13,GJ13),'MASTER PLAN'!$AB:$AB,'MASTER PLAN'!$J:$J,0,0)),"")</f>
        <v>BOLSA WATERFALL JEWELERS 6-5"X3-5"X6-5"</v>
      </c>
      <c r="GL13" s="70">
        <v>2000.0</v>
      </c>
      <c r="GM13" s="94"/>
      <c r="GN13" s="71"/>
      <c r="GO13" s="32"/>
      <c r="GP13" s="72" t="str">
        <f t="array" ref="GP13">IFERROR(IF(XLOOKUP(CONCAT(GN13,GO13),'MASTER PLAN'!$AB:$AB,'MASTER PLAN'!$J:$J,0,0)=0,"",XLOOKUP(CONCAT(GN13,GO13),'MASTER PLAN'!$AB:$AB,'MASTER PLAN'!$J:$J,0,0)),"")</f>
        <v/>
      </c>
      <c r="GQ13" s="70"/>
      <c r="GR13" s="94"/>
      <c r="GS13" s="71">
        <v>1.402049355E9</v>
      </c>
      <c r="GT13" s="32">
        <v>10.0</v>
      </c>
      <c r="GU13" s="72" t="str">
        <f t="array" ref="GU13">IFERROR(IF(XLOOKUP(CONCAT(GS13,GT13),'MASTER PLAN'!$AB:$AB,'MASTER PLAN'!$J:$J,0,0)=0,"",XLOOKUP(CONCAT(GS13,GT13),'MASTER PLAN'!$AB:$AB,'MASTER PLAN'!$J:$J,0,0)),"")</f>
        <v>BOLSA WALKER CHRISTOPHER 6-5X3X9</v>
      </c>
      <c r="GV13" s="70">
        <v>1500.0</v>
      </c>
      <c r="GW13" s="94"/>
      <c r="GX13" s="71"/>
      <c r="GY13" s="32"/>
      <c r="GZ13" s="72" t="str">
        <f t="array" ref="GZ13">IFERROR(IF(XLOOKUP(CONCAT(GX13,GY13),'MASTER PLAN'!$AB:$AB,'MASTER PLAN'!$J:$J,0,0)=0,"",XLOOKUP(CONCAT(GX13,GY13),'MASTER PLAN'!$AB:$AB,'MASTER PLAN'!$J:$J,0,0)),"")</f>
        <v/>
      </c>
      <c r="HA13" s="70"/>
      <c r="HB13" s="94"/>
      <c r="HC13" s="71"/>
      <c r="HD13" s="32"/>
      <c r="HE13" s="72" t="str">
        <f t="array" ref="HE13">IFERROR(IF(XLOOKUP(CONCAT(HC13,HD13),'MASTER PLAN'!$AB:$AB,'MASTER PLAN'!$J:$J,0,0)=0,"",XLOOKUP(CONCAT(HC13,HD13),'MASTER PLAN'!$AB:$AB,'MASTER PLAN'!$J:$J,0,0)),"")</f>
        <v/>
      </c>
      <c r="HF13" s="70"/>
      <c r="HG13" s="94"/>
      <c r="HH13" s="71"/>
      <c r="HI13" s="32"/>
      <c r="HJ13" s="72" t="str">
        <f t="array" ref="HJ13">IFERROR(IF(XLOOKUP(CONCAT(HH13,HI13),'MASTER PLAN'!$AB:$AB,'MASTER PLAN'!$J:$J,0,0)=0,"",XLOOKUP(CONCAT(HH13,HI13),'MASTER PLAN'!$AB:$AB,'MASTER PLAN'!$J:$J,0,0)),"")</f>
        <v/>
      </c>
      <c r="HK13" s="70"/>
      <c r="HL13" s="94"/>
      <c r="HM13" s="70"/>
      <c r="HN13" s="71">
        <v>1.402049507E9</v>
      </c>
      <c r="HO13" s="32">
        <v>10.0</v>
      </c>
      <c r="HP13" s="72" t="str">
        <f t="array" ref="HP13">IFERROR(IF(XLOOKUP(CONCAT(HN13,HO13),'MASTER PLAN'!$AB:$AB,'MASTER PLAN'!$J:$J,0,0)=0,"",XLOOKUP(CONCAT(HN13,HO13),'MASTER PLAN'!$AB:$AB,'MASTER PLAN'!$J:$J,0,0)),"")</f>
        <v>BOLSA NA HOKU 159X90X210MM</v>
      </c>
      <c r="HQ13" s="70">
        <v>2000.0</v>
      </c>
      <c r="HR13" s="94"/>
      <c r="HS13" s="71"/>
      <c r="HT13" s="32"/>
      <c r="HU13" s="72" t="str">
        <f t="array" ref="HU13">IFERROR(IF(XLOOKUP(CONCAT(HS13,HT13),'MASTER PLAN'!$AB:$AB,'MASTER PLAN'!$J:$J,0,0)=0,"",XLOOKUP(CONCAT(HS13,HT13),'MASTER PLAN'!$AB:$AB,'MASTER PLAN'!$J:$J,0,0)),"")</f>
        <v/>
      </c>
      <c r="HV13" s="70"/>
      <c r="HW13" s="94"/>
      <c r="HX13" s="71"/>
      <c r="HY13" s="32"/>
      <c r="HZ13" s="72" t="str">
        <f t="array" ref="HZ13">IFERROR(IF(XLOOKUP(CONCAT(HX13,HY13),'MASTER PLAN'!$AB:$AB,'MASTER PLAN'!$J:$J,0,0)=0,"",XLOOKUP(CONCAT(HX13,HY13),'MASTER PLAN'!$AB:$AB,'MASTER PLAN'!$J:$J,0,0)),"")</f>
        <v/>
      </c>
      <c r="IA13" s="70"/>
      <c r="IB13" s="94"/>
      <c r="IC13" s="90"/>
      <c r="ID13" s="91"/>
      <c r="IE13" s="72" t="str">
        <f t="array" ref="IE13">IFERROR(IF(XLOOKUP(CONCAT(IC13,ID13),'MASTER PLAN'!$AB:$AB,'MASTER PLAN'!$J:$J,0,0)=0,"",XLOOKUP(CONCAT(IC13,ID13),'MASTER PLAN'!$AB:$AB,'MASTER PLAN'!$J:$J,0,0)),"")</f>
        <v/>
      </c>
      <c r="IF13" s="70"/>
      <c r="IG13" s="94"/>
      <c r="IH13" s="71"/>
      <c r="II13" s="32"/>
      <c r="IJ13" s="72" t="str">
        <f t="array" ref="IJ13">IFERROR(IF(XLOOKUP(CONCAT(IH13,II13),'MASTER PLAN'!$AB:$AB,'MASTER PLAN'!$J:$J,0,0)=0,"",XLOOKUP(CONCAT(IH13,II13),'MASTER PLAN'!$AB:$AB,'MASTER PLAN'!$J:$J,0,0)),"")</f>
        <v/>
      </c>
      <c r="IK13" s="70"/>
      <c r="IL13" s="94"/>
      <c r="IM13" s="71"/>
      <c r="IN13" s="32"/>
      <c r="IO13" s="72" t="str">
        <f t="array" ref="IO13">IFERROR(IF(XLOOKUP(CONCAT(IM13,IN13),'MASTER PLAN'!$AB:$AB,'MASTER PLAN'!$J:$J,0,0)=0,"",XLOOKUP(CONCAT(IM13,IN13),'MASTER PLAN'!$AB:$AB,'MASTER PLAN'!$J:$J,0,0)),"")</f>
        <v/>
      </c>
      <c r="IP13" s="70"/>
      <c r="IQ13" s="94"/>
      <c r="IR13" s="70"/>
      <c r="IS13" s="71"/>
      <c r="IT13" s="32"/>
      <c r="IU13" s="72" t="str">
        <f t="array" ref="IU13">IFERROR(IF(XLOOKUP(CONCAT(IS13,IT13),'MASTER PLAN'!$AB:$AB,'MASTER PLAN'!$J:$J,0,0)=0,"",XLOOKUP(CONCAT(IS13,IT13),'MASTER PLAN'!$AB:$AB,'MASTER PLAN'!$J:$J,0,0)),"")</f>
        <v/>
      </c>
      <c r="IV13" s="70"/>
      <c r="IW13" s="94"/>
      <c r="IX13" s="71"/>
      <c r="IY13" s="32"/>
      <c r="IZ13" s="72" t="str">
        <f t="array" ref="IZ13">IFERROR(IF(XLOOKUP(CONCAT(IX13,IY13),'MASTER PLAN'!$AB:$AB,'MASTER PLAN'!$J:$J,0,0)=0,"",XLOOKUP(CONCAT(IX13,IY13),'MASTER PLAN'!$AB:$AB,'MASTER PLAN'!$J:$J,0,0)),"")</f>
        <v/>
      </c>
      <c r="JA13" s="70"/>
      <c r="JB13" s="94"/>
      <c r="JC13" s="71"/>
      <c r="JD13" s="32"/>
      <c r="JE13" s="72" t="str">
        <f t="array" ref="JE13">IFERROR(IF(XLOOKUP(CONCAT(JC13,JD13),'MASTER PLAN'!$AB:$AB,'MASTER PLAN'!$J:$J,0,0)=0,"",XLOOKUP(CONCAT(JC13,JD13),'MASTER PLAN'!$AB:$AB,'MASTER PLAN'!$J:$J,0,0)),"")</f>
        <v/>
      </c>
      <c r="JF13" s="70"/>
      <c r="JG13" s="94"/>
      <c r="JH13" s="90"/>
      <c r="JI13" s="91"/>
      <c r="JJ13" s="72" t="str">
        <f t="array" ref="JJ13">IFERROR(IF(XLOOKUP(CONCAT(JH13,JI13),'MASTER PLAN'!$AB:$AB,'MASTER PLAN'!$J:$J,0,0)=0,"",XLOOKUP(CONCAT(JH13,JI13),'MASTER PLAN'!$AB:$AB,'MASTER PLAN'!$J:$J,0,0)),"")</f>
        <v/>
      </c>
      <c r="JK13" s="70"/>
      <c r="JL13" s="94"/>
      <c r="JM13" s="71">
        <v>1.402049532E9</v>
      </c>
      <c r="JN13" s="32">
        <v>10.0</v>
      </c>
      <c r="JO13" s="72" t="str">
        <f t="array" ref="JO13">IFERROR(IF(XLOOKUP(CONCAT(JM13,JN13),'MASTER PLAN'!$AB:$AB,'MASTER PLAN'!$J:$J,0,0)=0,"",XLOOKUP(CONCAT(JM13,JN13),'MASTER PLAN'!$AB:$AB,'MASTER PLAN'!$J:$J,0,0)),"")</f>
        <v>BOLSA CHARISMA JEWELERS 10"X 4"X 8"</v>
      </c>
      <c r="JP13" s="70">
        <v>500.0</v>
      </c>
      <c r="JQ13" s="94"/>
      <c r="JR13" s="71"/>
      <c r="JS13" s="32"/>
      <c r="JT13" s="72" t="str">
        <f t="array" ref="JT13">IFERROR(IF(XLOOKUP(CONCAT(JR13,JS13),'MASTER PLAN'!$AB:$AB,'MASTER PLAN'!$J:$J,0,0)=0,"",XLOOKUP(CONCAT(JR13,JS13),'MASTER PLAN'!$AB:$AB,'MASTER PLAN'!$J:$J,0,0)),"")</f>
        <v/>
      </c>
      <c r="JU13" s="70"/>
      <c r="JV13" s="94"/>
      <c r="JW13" s="70"/>
      <c r="JX13" s="71">
        <v>1.402049358E9</v>
      </c>
      <c r="JY13" s="32">
        <v>10.0</v>
      </c>
      <c r="JZ13" s="72" t="str">
        <f t="array" ref="JZ13">IFERROR(IF(XLOOKUP(CONCAT(JX13,JY13),'MASTER PLAN'!$AB:$AB,'MASTER PLAN'!$J:$J,0,0)=0,"",XLOOKUP(CONCAT(JX13,JY13),'MASTER PLAN'!$AB:$AB,'MASTER PLAN'!$J:$J,0,0)),"")</f>
        <v>BOLSA JON'S FINE JEWELRY 5"X4"X7"</v>
      </c>
      <c r="KA13" s="70">
        <v>2000.0</v>
      </c>
      <c r="KB13" s="94"/>
      <c r="KC13" s="71">
        <v>1.402049466E9</v>
      </c>
      <c r="KD13" s="32">
        <v>10.0</v>
      </c>
      <c r="KE13" s="72" t="str">
        <f t="array" ref="KE13">IFERROR(IF(XLOOKUP(CONCAT(KC13,KD13),'MASTER PLAN'!$AB:$AB,'MASTER PLAN'!$J:$J,0,0)=0,"",XLOOKUP(CONCAT(KC13,KD13),'MASTER PLAN'!$AB:$AB,'MASTER PLAN'!$J:$J,0,0)),"")</f>
        <v>BOLSA ROGERS ENTERPRISES 10"X4"X7-75"</v>
      </c>
      <c r="KF13" s="70">
        <v>1500.0</v>
      </c>
      <c r="KG13" s="94"/>
      <c r="KH13" s="71"/>
      <c r="KI13" s="32"/>
      <c r="KJ13" s="72" t="str">
        <f t="array" ref="KJ13">IFERROR(IF(XLOOKUP(CONCAT(KH13,KI13),'MASTER PLAN'!$AB:$AB,'MASTER PLAN'!$J:$J,0,0)=0,"",XLOOKUP(CONCAT(KH13,KI13),'MASTER PLAN'!$AB:$AB,'MASTER PLAN'!$J:$J,0,0)),"")</f>
        <v/>
      </c>
      <c r="KK13" s="70"/>
      <c r="KL13" s="94"/>
      <c r="KM13" s="71"/>
      <c r="KN13" s="32"/>
      <c r="KO13" s="72" t="str">
        <f t="array" ref="KO13">IFERROR(IF(XLOOKUP(CONCAT(KM13,KN13),'MASTER PLAN'!$AB:$AB,'MASTER PLAN'!$J:$J,0,0)=0,"",XLOOKUP(CONCAT(KM13,KN13),'MASTER PLAN'!$AB:$AB,'MASTER PLAN'!$J:$J,0,0)),"")</f>
        <v/>
      </c>
      <c r="KP13" s="70"/>
      <c r="KQ13" s="94"/>
      <c r="KR13" s="71"/>
      <c r="KS13" s="32"/>
      <c r="KT13" s="72" t="str">
        <f t="array" ref="KT13">IFERROR(IF(XLOOKUP(CONCAT(KR13,KS13),'MASTER PLAN'!$AB:$AB,'MASTER PLAN'!$J:$J,0,0)=0,"",XLOOKUP(CONCAT(KR13,KS13),'MASTER PLAN'!$AB:$AB,'MASTER PLAN'!$J:$J,0,0)),"")</f>
        <v/>
      </c>
      <c r="KU13" s="70"/>
      <c r="KV13" s="94"/>
      <c r="KW13" s="71"/>
      <c r="KX13" s="32"/>
      <c r="KY13" s="72" t="str">
        <f t="array" ref="KY13">IFERROR(IF(XLOOKUP(CONCAT(KW13,KX13),'MASTER PLAN'!$AB:$AB,'MASTER PLAN'!$J:$J,0,0)=0,"",XLOOKUP(CONCAT(KW13,KX13),'MASTER PLAN'!$AB:$AB,'MASTER PLAN'!$J:$J,0,0)),"")</f>
        <v/>
      </c>
      <c r="KZ13" s="70"/>
      <c r="LA13" s="94"/>
      <c r="LB13" s="70"/>
      <c r="LC13" s="71"/>
      <c r="LD13" s="32"/>
      <c r="LE13" s="72" t="str">
        <f t="array" ref="LE13">IFERROR(IF(XLOOKUP(CONCAT(LC13,LD13),'MASTER PLAN'!$AB:$AB,'MASTER PLAN'!$J:$J,0,0)=0,"",XLOOKUP(CONCAT(LC13,LD13),'MASTER PLAN'!$AB:$AB,'MASTER PLAN'!$J:$J,0,0)),"")</f>
        <v/>
      </c>
      <c r="LF13" s="70"/>
      <c r="LG13" s="94"/>
      <c r="LH13" s="71"/>
      <c r="LI13" s="32"/>
      <c r="LJ13" s="72" t="str">
        <f t="array" ref="LJ13">IFERROR(IF(XLOOKUP(CONCAT(LH13,LI13),'MASTER PLAN'!$AB:$AB,'MASTER PLAN'!$J:$J,0,0)=0,"",XLOOKUP(CONCAT(LH13,LI13),'MASTER PLAN'!$AB:$AB,'MASTER PLAN'!$J:$J,0,0)),"")</f>
        <v/>
      </c>
      <c r="LK13" s="70"/>
      <c r="LL13" s="94"/>
      <c r="LM13" s="71"/>
      <c r="LN13" s="32"/>
      <c r="LO13" s="72" t="str">
        <f t="array" ref="LO13">IFERROR(IF(XLOOKUP(CONCAT(LM13,LN13),'MASTER PLAN'!$AB:$AB,'MASTER PLAN'!$J:$J,0,0)=0,"",XLOOKUP(CONCAT(LM13,LN13),'MASTER PLAN'!$AB:$AB,'MASTER PLAN'!$J:$J,0,0)),"")</f>
        <v/>
      </c>
      <c r="LP13" s="70"/>
      <c r="LQ13" s="94"/>
      <c r="LR13" s="71"/>
      <c r="LS13" s="32"/>
      <c r="LT13" s="72" t="str">
        <f t="array" ref="LT13">IFERROR(IF(XLOOKUP(CONCAT(LR13,LS13),'MASTER PLAN'!$AB:$AB,'MASTER PLAN'!$J:$J,0,0)=0,"",XLOOKUP(CONCAT(LR13,LS13),'MASTER PLAN'!$AB:$AB,'MASTER PLAN'!$J:$J,0,0)),"")</f>
        <v/>
      </c>
      <c r="LU13" s="70"/>
      <c r="LV13" s="94"/>
      <c r="LW13" s="71"/>
      <c r="LX13" s="32"/>
      <c r="LY13" s="72" t="str">
        <f t="array" ref="LY13">IFERROR(IF(XLOOKUP(CONCAT(LW13,LX13),'MASTER PLAN'!$AB:$AB,'MASTER PLAN'!$J:$J,0,0)=0,"",XLOOKUP(CONCAT(LW13,LX13),'MASTER PLAN'!$AB:$AB,'MASTER PLAN'!$J:$J,0,0)),"")</f>
        <v/>
      </c>
      <c r="LZ13" s="70"/>
      <c r="MA13" s="94"/>
      <c r="MB13" s="71"/>
      <c r="MC13" s="32"/>
      <c r="MD13" s="72" t="str">
        <f t="array" ref="MD13">IFERROR(IF(XLOOKUP(CONCAT(MB13,MC13),'MASTER PLAN'!$AB:$AB,'MASTER PLAN'!$J:$J,0,0)=0,"",XLOOKUP(CONCAT(MB13,MC13),'MASTER PLAN'!$AB:$AB,'MASTER PLAN'!$J:$J,0,0)),"")</f>
        <v/>
      </c>
      <c r="ME13" s="70"/>
      <c r="MF13" s="94"/>
      <c r="MG13" s="70"/>
      <c r="MH13" s="71"/>
      <c r="MI13" s="32"/>
      <c r="MJ13" s="72" t="str">
        <f t="array" ref="MJ13">IFERROR(IF(XLOOKUP(CONCAT(MH13,MI13),'MASTER PLAN'!$AB:$AB,'MASTER PLAN'!$J:$J,0,0)=0,"",XLOOKUP(CONCAT(MH13,MI13),'MASTER PLAN'!$AB:$AB,'MASTER PLAN'!$J:$J,0,0)),"")</f>
        <v/>
      </c>
      <c r="MK13" s="70"/>
      <c r="ML13" s="94"/>
      <c r="MM13" s="71"/>
      <c r="MN13" s="32"/>
      <c r="MO13" s="72" t="str">
        <f t="array" ref="MO13">IFERROR(IF(XLOOKUP(CONCAT(MM13,MN13),'MASTER PLAN'!$AB:$AB,'MASTER PLAN'!$J:$J,0,0)=0,"",XLOOKUP(CONCAT(MM13,MN13),'MASTER PLAN'!$AB:$AB,'MASTER PLAN'!$J:$J,0,0)),"")</f>
        <v/>
      </c>
      <c r="MP13" s="70"/>
      <c r="MQ13" s="94"/>
      <c r="MR13" s="71"/>
      <c r="MS13" s="32"/>
      <c r="MT13" s="72" t="str">
        <f t="array" ref="MT13">IFERROR(IF(XLOOKUP(CONCAT(MR13,MS13),'MASTER PLAN'!$AB:$AB,'MASTER PLAN'!$J:$J,0,0)=0,"",XLOOKUP(CONCAT(MR13,MS13),'MASTER PLAN'!$AB:$AB,'MASTER PLAN'!$J:$J,0,0)),"")</f>
        <v/>
      </c>
      <c r="MU13" s="70"/>
      <c r="MV13" s="94"/>
      <c r="MW13" s="71"/>
      <c r="MX13" s="32"/>
      <c r="MY13" s="72" t="str">
        <f t="array" ref="MY13">IFERROR(IF(XLOOKUP(CONCAT(MW13,MX13),'MASTER PLAN'!$AB:$AB,'MASTER PLAN'!$J:$J,0,0)=0,"",XLOOKUP(CONCAT(MW13,MX13),'MASTER PLAN'!$AB:$AB,'MASTER PLAN'!$J:$J,0,0)),"")</f>
        <v/>
      </c>
      <c r="MZ13" s="70"/>
      <c r="NA13" s="94"/>
      <c r="NB13" s="71"/>
      <c r="NC13" s="32"/>
      <c r="ND13" s="72" t="str">
        <f t="array" ref="ND13">IFERROR(IF(XLOOKUP(CONCAT(NB13,NC13),'MASTER PLAN'!$AB:$AB,'MASTER PLAN'!$J:$J,0,0)=0,"",XLOOKUP(CONCAT(NB13,NC13),'MASTER PLAN'!$AB:$AB,'MASTER PLAN'!$J:$J,0,0)),"")</f>
        <v/>
      </c>
      <c r="NE13" s="70"/>
      <c r="NF13" s="94"/>
      <c r="NG13" s="71"/>
      <c r="NH13" s="32"/>
      <c r="NI13" s="72" t="str">
        <f t="array" ref="NI13">IFERROR(IF(XLOOKUP(CONCAT(NG13,NH13),'MASTER PLAN'!$AB:$AB,'MASTER PLAN'!$J:$J,0,0)=0,"",XLOOKUP(CONCAT(NG13,NH13),'MASTER PLAN'!$AB:$AB,'MASTER PLAN'!$J:$J,0,0)),"")</f>
        <v/>
      </c>
      <c r="NJ13" s="70"/>
      <c r="NK13" s="94"/>
      <c r="NL13" s="70"/>
      <c r="NM13" s="71"/>
      <c r="NN13" s="32"/>
      <c r="NO13" s="72" t="str">
        <f t="array" ref="NO13">IFERROR(IF(XLOOKUP(CONCAT(NM13,NN13),'MASTER PLAN'!$AB:$AB,'MASTER PLAN'!$J:$J,0,0)=0,"",XLOOKUP(CONCAT(NM13,NN13),'MASTER PLAN'!$AB:$AB,'MASTER PLAN'!$J:$J,0,0)),"")</f>
        <v/>
      </c>
      <c r="NP13" s="70"/>
      <c r="NQ13" s="94"/>
      <c r="NR13" s="71"/>
      <c r="NS13" s="32"/>
      <c r="NT13" s="72" t="str">
        <f t="array" ref="NT13">IFERROR(IF(XLOOKUP(CONCAT(NR13,NS13),'MASTER PLAN'!$AB:$AB,'MASTER PLAN'!$J:$J,0,0)=0,"",XLOOKUP(CONCAT(NR13,NS13),'MASTER PLAN'!$AB:$AB,'MASTER PLAN'!$J:$J,0,0)),"")</f>
        <v/>
      </c>
      <c r="NU13" s="70"/>
      <c r="NV13" s="94"/>
      <c r="NW13" s="71"/>
      <c r="NX13" s="32"/>
      <c r="NY13" s="72" t="str">
        <f t="array" ref="NY13">IFERROR(IF(XLOOKUP(CONCAT(NW13,NX13),'MASTER PLAN'!$AB:$AB,'MASTER PLAN'!$J:$J,0,0)=0,"",XLOOKUP(CONCAT(NW13,NX13),'MASTER PLAN'!$AB:$AB,'MASTER PLAN'!$J:$J,0,0)),"")</f>
        <v/>
      </c>
      <c r="NZ13" s="70"/>
      <c r="OA13" s="94"/>
      <c r="OB13" s="71"/>
      <c r="OC13" s="32"/>
      <c r="OD13" s="72" t="str">
        <f t="array" ref="OD13">IFERROR(IF(XLOOKUP(CONCAT(OB13,OC13),'MASTER PLAN'!$AB:$AB,'MASTER PLAN'!$J:$J,0,0)=0,"",XLOOKUP(CONCAT(OB13,OC13),'MASTER PLAN'!$AB:$AB,'MASTER PLAN'!$J:$J,0,0)),"")</f>
        <v/>
      </c>
      <c r="OE13" s="70"/>
      <c r="OF13" s="94"/>
      <c r="OG13" s="71"/>
      <c r="OH13" s="32"/>
      <c r="OI13" s="72" t="str">
        <f t="array" ref="OI13">IFERROR(IF(XLOOKUP(CONCAT(OG13,OH13),'MASTER PLAN'!$AB:$AB,'MASTER PLAN'!$J:$J,0,0)=0,"",XLOOKUP(CONCAT(OG13,OH13),'MASTER PLAN'!$AB:$AB,'MASTER PLAN'!$J:$J,0,0)),"")</f>
        <v/>
      </c>
      <c r="OJ13" s="70"/>
      <c r="OK13" s="94"/>
      <c r="OL13" s="71"/>
      <c r="OM13" s="32"/>
      <c r="ON13" s="72" t="str">
        <f t="array" ref="ON13">IFERROR(IF(XLOOKUP(CONCAT(OL13,OM13),'MASTER PLAN'!$AB:$AB,'MASTER PLAN'!$J:$J,0,0)=0,"",XLOOKUP(CONCAT(OL13,OM13),'MASTER PLAN'!$AB:$AB,'MASTER PLAN'!$J:$J,0,0)),"")</f>
        <v/>
      </c>
      <c r="OO13" s="70"/>
      <c r="OP13" s="94"/>
      <c r="OQ13" s="70"/>
      <c r="OR13" s="70"/>
      <c r="OS13" s="70"/>
      <c r="OT13" s="70"/>
      <c r="OU13" s="70"/>
      <c r="OV13" s="70"/>
      <c r="OW13" s="70"/>
      <c r="OX13" s="70"/>
      <c r="OY13" s="70"/>
      <c r="OZ13" s="70"/>
      <c r="PA13" s="70"/>
      <c r="PB13" s="70"/>
      <c r="PC13" s="70"/>
      <c r="PD13" s="70"/>
      <c r="PE13" s="70"/>
      <c r="PF13" s="70"/>
      <c r="PG13" s="70"/>
      <c r="PH13" s="70"/>
      <c r="PI13" s="70"/>
      <c r="PJ13" s="70"/>
    </row>
    <row r="14">
      <c r="A14" s="42"/>
      <c r="B14" s="74"/>
      <c r="C14" s="69"/>
      <c r="D14" s="70"/>
      <c r="E14" s="71"/>
      <c r="F14" s="32"/>
      <c r="G14" s="72" t="str">
        <f t="array" ref="G14">IFERROR(IF(XLOOKUP(CONCAT(E14,F14),'MASTER PLAN'!$AB:$AB,'MASTER PLAN'!$J:$J,0,0)=0,"",XLOOKUP(CONCAT(E14,F14),'MASTER PLAN'!$AB:$AB,'MASTER PLAN'!$J:$J,0,0)),"")</f>
        <v/>
      </c>
      <c r="H14" s="70"/>
      <c r="I14" s="94"/>
      <c r="J14" s="71"/>
      <c r="K14" s="32"/>
      <c r="L14" s="72" t="str">
        <f t="array" ref="L14">IFERROR(IF(XLOOKUP(CONCAT(J14,K14),'MASTER PLAN'!$AB:$AB,'MASTER PLAN'!$J:$J,0,0)=0,"",XLOOKUP(CONCAT(J14,K14),'MASTER PLAN'!$AB:$AB,'MASTER PLAN'!$J:$J,0,0)),"")</f>
        <v/>
      </c>
      <c r="M14" s="70"/>
      <c r="N14" s="94"/>
      <c r="O14" s="71"/>
      <c r="P14" s="32"/>
      <c r="Q14" s="72" t="str">
        <f t="array" ref="Q14">IFERROR(IF(XLOOKUP(CONCAT(O14,P14),'MASTER PLAN'!$AB:$AB,'MASTER PLAN'!$J:$J,0,0)=0,"",XLOOKUP(CONCAT(O14,P14),'MASTER PLAN'!$AB:$AB,'MASTER PLAN'!$J:$J,0,0)),"")</f>
        <v/>
      </c>
      <c r="R14" s="70"/>
      <c r="S14" s="94"/>
      <c r="T14" s="71"/>
      <c r="U14" s="32"/>
      <c r="V14" s="72" t="str">
        <f t="array" ref="V14">IFERROR(IF(XLOOKUP(CONCAT(T14,U14),'MASTER PLAN'!$AB:$AB,'MASTER PLAN'!$J:$J,0,0)=0,"",XLOOKUP(CONCAT(T14,U14),'MASTER PLAN'!$AB:$AB,'MASTER PLAN'!$J:$J,0,0)),"")</f>
        <v/>
      </c>
      <c r="W14" s="70"/>
      <c r="X14" s="94"/>
      <c r="Y14" s="71"/>
      <c r="Z14" s="32"/>
      <c r="AA14" s="72" t="str">
        <f t="array" ref="AA14">IFERROR(IF(XLOOKUP(CONCAT(Y14,Z14),'MASTER PLAN'!$AB:$AB,'MASTER PLAN'!$J:$J,0,0)=0,"",XLOOKUP(CONCAT(Y14,Z14),'MASTER PLAN'!$AB:$AB,'MASTER PLAN'!$J:$J,0,0)),"")</f>
        <v/>
      </c>
      <c r="AB14" s="70"/>
      <c r="AC14" s="94"/>
      <c r="AD14" s="71"/>
      <c r="AE14" s="32"/>
      <c r="AF14" s="72" t="str">
        <f t="array" ref="AF14">IFERROR(IF(XLOOKUP(CONCAT(AD14,AE14),'MASTER PLAN'!$AB:$AB,'MASTER PLAN'!$J:$J,0,0)=0,"",XLOOKUP(CONCAT(AD14,AE14),'MASTER PLAN'!$AB:$AB,'MASTER PLAN'!$J:$J,0,0)),"")</f>
        <v/>
      </c>
      <c r="AG14" s="70"/>
      <c r="AH14" s="94"/>
      <c r="AI14" s="70"/>
      <c r="AJ14" s="71"/>
      <c r="AK14" s="32"/>
      <c r="AL14" s="72" t="str">
        <f t="array" ref="AL14">IFERROR(IF(XLOOKUP(CONCAT(AJ14,AK14),'MASTER PLAN'!$AB:$AB,'MASTER PLAN'!$J:$J,0,0)=0,"",XLOOKUP(CONCAT(AJ14,AK14),'MASTER PLAN'!$AB:$AB,'MASTER PLAN'!$J:$J,0,0)),"")</f>
        <v/>
      </c>
      <c r="AM14" s="70"/>
      <c r="AN14" s="94"/>
      <c r="AO14" s="71"/>
      <c r="AP14" s="32"/>
      <c r="AQ14" s="72" t="str">
        <f t="array" ref="AQ14">IFERROR(IF(XLOOKUP(CONCAT(AO14,AP14),'MASTER PLAN'!$AB:$AB,'MASTER PLAN'!$J:$J,0,0)=0,"",XLOOKUP(CONCAT(AO14,AP14),'MASTER PLAN'!$AB:$AB,'MASTER PLAN'!$J:$J,0,0)),"")</f>
        <v/>
      </c>
      <c r="AR14" s="70"/>
      <c r="AS14" s="94"/>
      <c r="AT14" s="71"/>
      <c r="AU14" s="32"/>
      <c r="AV14" s="72" t="str">
        <f t="array" ref="AV14">IFERROR(IF(XLOOKUP(CONCAT(AT14,AU14),'MASTER PLAN'!$AB:$AB,'MASTER PLAN'!$J:$J,0,0)=0,"",XLOOKUP(CONCAT(AT14,AU14),'MASTER PLAN'!$AB:$AB,'MASTER PLAN'!$J:$J,0,0)),"")</f>
        <v/>
      </c>
      <c r="AW14" s="70"/>
      <c r="AX14" s="94"/>
      <c r="AY14" s="71"/>
      <c r="AZ14" s="32"/>
      <c r="BA14" s="72" t="str">
        <f t="array" ref="BA14">IFERROR(IF(XLOOKUP(CONCAT(AY14,AZ14),'MASTER PLAN'!$AB:$AB,'MASTER PLAN'!$J:$J,0,0)=0,"",XLOOKUP(CONCAT(AY14,AZ14),'MASTER PLAN'!$AB:$AB,'MASTER PLAN'!$J:$J,0,0)),"")</f>
        <v/>
      </c>
      <c r="BB14" s="70"/>
      <c r="BC14" s="94"/>
      <c r="BD14" s="71"/>
      <c r="BE14" s="32"/>
      <c r="BF14" s="72" t="str">
        <f t="array" ref="BF14">IFERROR(IF(XLOOKUP(CONCAT(BD14,BE14),'MASTER PLAN'!$AB:$AB,'MASTER PLAN'!$J:$J,0,0)=0,"",XLOOKUP(CONCAT(BD14,BE14),'MASTER PLAN'!$AB:$AB,'MASTER PLAN'!$J:$J,0,0)),"")</f>
        <v/>
      </c>
      <c r="BG14" s="70"/>
      <c r="BH14" s="94"/>
      <c r="BI14" s="71"/>
      <c r="BJ14" s="32"/>
      <c r="BK14" s="72" t="str">
        <f t="array" ref="BK14">IFERROR(IF(XLOOKUP(CONCAT(BI14,BJ14),'MASTER PLAN'!$AB:$AB,'MASTER PLAN'!$J:$J,0,0)=0,"",XLOOKUP(CONCAT(BI14,BJ14),'MASTER PLAN'!$AB:$AB,'MASTER PLAN'!$J:$J,0,0)),"")</f>
        <v/>
      </c>
      <c r="BL14" s="70"/>
      <c r="BM14" s="94"/>
      <c r="BN14" s="70"/>
      <c r="BO14" s="71"/>
      <c r="BP14" s="32"/>
      <c r="BQ14" s="72" t="str">
        <f t="array" ref="BQ14">IFERROR(IF(XLOOKUP(CONCAT(BO14,BP14),'MASTER PLAN'!$AB:$AB,'MASTER PLAN'!$J:$J,0,0)=0,"",XLOOKUP(CONCAT(BO14,BP14),'MASTER PLAN'!$AB:$AB,'MASTER PLAN'!$J:$J,0,0)),"")</f>
        <v/>
      </c>
      <c r="BR14" s="70"/>
      <c r="BS14" s="94"/>
      <c r="BT14" s="71"/>
      <c r="BU14" s="32"/>
      <c r="BV14" s="72" t="str">
        <f t="array" ref="BV14">IFERROR(IF(XLOOKUP(CONCAT(BT14,BU14),'MASTER PLAN'!$AB:$AB,'MASTER PLAN'!$J:$J,0,0)=0,"",XLOOKUP(CONCAT(BT14,BU14),'MASTER PLAN'!$AB:$AB,'MASTER PLAN'!$J:$J,0,0)),"")</f>
        <v/>
      </c>
      <c r="BW14" s="70"/>
      <c r="BX14" s="94"/>
      <c r="BY14" s="71"/>
      <c r="BZ14" s="32"/>
      <c r="CA14" s="72" t="str">
        <f t="array" ref="CA14">IFERROR(IF(XLOOKUP(CONCAT(BY14,BZ14),'MASTER PLAN'!$AB:$AB,'MASTER PLAN'!$J:$J,0,0)=0,"",XLOOKUP(CONCAT(BY14,BZ14),'MASTER PLAN'!$AB:$AB,'MASTER PLAN'!$J:$J,0,0)),"")</f>
        <v/>
      </c>
      <c r="CB14" s="70"/>
      <c r="CC14" s="94"/>
      <c r="CD14" s="71">
        <v>1.402049277E9</v>
      </c>
      <c r="CE14" s="32">
        <v>10.0</v>
      </c>
      <c r="CF14" s="72" t="str">
        <f t="array" ref="CF14">IFERROR(IF(XLOOKUP(CONCAT(CD14,CE14),'MASTER PLAN'!$AB:$AB,'MASTER PLAN'!$J:$J,0,0)=0,"",XLOOKUP(CONCAT(CD14,CE14),'MASTER PLAN'!$AB:$AB,'MASTER PLAN'!$J:$J,0,0)),"")</f>
        <v>BOLSA ELEGANCE 8X4X10 IN FL</v>
      </c>
      <c r="CG14" s="70">
        <v>1300.0</v>
      </c>
      <c r="CH14" s="94"/>
      <c r="CI14" s="71"/>
      <c r="CJ14" s="32"/>
      <c r="CK14" s="72" t="str">
        <f t="array" ref="CK14">IFERROR(IF(XLOOKUP(CONCAT(CI14,CJ14),'MASTER PLAN'!$AB:$AB,'MASTER PLAN'!$J:$J,0,0)=0,"",XLOOKUP(CONCAT(CI14,CJ14),'MASTER PLAN'!$AB:$AB,'MASTER PLAN'!$J:$J,0,0)),"")</f>
        <v/>
      </c>
      <c r="CL14" s="70"/>
      <c r="CM14" s="94"/>
      <c r="CN14" s="71"/>
      <c r="CO14" s="32"/>
      <c r="CP14" s="72" t="str">
        <f t="array" ref="CP14">IFERROR(IF(XLOOKUP(CONCAT(CN14,CO14),'MASTER PLAN'!$AB:$AB,'MASTER PLAN'!$J:$J,0,0)=0,"",XLOOKUP(CONCAT(CN14,CO14),'MASTER PLAN'!$AB:$AB,'MASTER PLAN'!$J:$J,0,0)),"")</f>
        <v/>
      </c>
      <c r="CQ14" s="70"/>
      <c r="CR14" s="94"/>
      <c r="CS14" s="70"/>
      <c r="CT14" s="71"/>
      <c r="CU14" s="32"/>
      <c r="CV14" s="72" t="str">
        <f t="array" ref="CV14">IFERROR(IF(XLOOKUP(CONCAT(CT14,CU14),'MASTER PLAN'!$AB:$AB,'MASTER PLAN'!$J:$J,0,0)=0,"",XLOOKUP(CONCAT(CT14,CU14),'MASTER PLAN'!$AB:$AB,'MASTER PLAN'!$J:$J,0,0)),"")</f>
        <v/>
      </c>
      <c r="CW14" s="70"/>
      <c r="CX14" s="94"/>
      <c r="CY14" s="71"/>
      <c r="CZ14" s="32"/>
      <c r="DA14" s="72" t="str">
        <f t="array" ref="DA14">IFERROR(IF(XLOOKUP(CONCAT(CY14,CZ14),'MASTER PLAN'!$AB:$AB,'MASTER PLAN'!$J:$J,0,0)=0,"",XLOOKUP(CONCAT(CY14,CZ14),'MASTER PLAN'!$AB:$AB,'MASTER PLAN'!$J:$J,0,0)),"")</f>
        <v/>
      </c>
      <c r="DB14" s="70"/>
      <c r="DC14" s="94"/>
      <c r="DD14" s="71"/>
      <c r="DE14" s="32"/>
      <c r="DF14" s="72" t="str">
        <f t="array" ref="DF14">IFERROR(IF(XLOOKUP(CONCAT(DD14,DE14),'MASTER PLAN'!$AB:$AB,'MASTER PLAN'!$J:$J,0,0)=0,"",XLOOKUP(CONCAT(DD14,DE14),'MASTER PLAN'!$AB:$AB,'MASTER PLAN'!$J:$J,0,0)),"")</f>
        <v/>
      </c>
      <c r="DG14" s="70"/>
      <c r="DH14" s="94"/>
      <c r="DI14" s="71"/>
      <c r="DJ14" s="32"/>
      <c r="DK14" s="72" t="str">
        <f t="array" ref="DK14">IFERROR(IF(XLOOKUP(CONCAT(DI14,DJ14),'MASTER PLAN'!$AB:$AB,'MASTER PLAN'!$J:$J,0,0)=0,"",XLOOKUP(CONCAT(DI14,DJ14),'MASTER PLAN'!$AB:$AB,'MASTER PLAN'!$J:$J,0,0)),"")</f>
        <v/>
      </c>
      <c r="DL14" s="70"/>
      <c r="DM14" s="94"/>
      <c r="DN14" s="71"/>
      <c r="DO14" s="32"/>
      <c r="DP14" s="72" t="str">
        <f t="array" ref="DP14">IFERROR(IF(XLOOKUP(CONCAT(DN14,DO14),'MASTER PLAN'!$AB:$AB,'MASTER PLAN'!$J:$J,0,0)=0,"",XLOOKUP(CONCAT(DN14,DO14),'MASTER PLAN'!$AB:$AB,'MASTER PLAN'!$J:$J,0,0)),"")</f>
        <v/>
      </c>
      <c r="DQ14" s="70"/>
      <c r="DR14" s="94"/>
      <c r="DS14" s="71"/>
      <c r="DT14" s="32"/>
      <c r="DU14" s="72" t="str">
        <f t="array" ref="DU14">IFERROR(IF(XLOOKUP(CONCAT(DS14,DT14),'MASTER PLAN'!$AB:$AB,'MASTER PLAN'!$J:$J,0,0)=0,"",XLOOKUP(CONCAT(DS14,DT14),'MASTER PLAN'!$AB:$AB,'MASTER PLAN'!$J:$J,0,0)),"")</f>
        <v/>
      </c>
      <c r="DV14" s="70"/>
      <c r="DW14" s="94"/>
      <c r="DX14" s="70"/>
      <c r="DY14" s="71"/>
      <c r="DZ14" s="32"/>
      <c r="EA14" s="72" t="str">
        <f t="array" ref="EA14">IFERROR(IF(XLOOKUP(CONCAT(DY14,DZ14),'MASTER PLAN'!$AB:$AB,'MASTER PLAN'!$J:$J,0,0)=0,"",XLOOKUP(CONCAT(DY14,DZ14),'MASTER PLAN'!$AB:$AB,'MASTER PLAN'!$J:$J,0,0)),"")</f>
        <v/>
      </c>
      <c r="EB14" s="70"/>
      <c r="EC14" s="94"/>
      <c r="ED14" s="71"/>
      <c r="EE14" s="32"/>
      <c r="EF14" s="72" t="str">
        <f t="array" ref="EF14">IFERROR(IF(XLOOKUP(CONCAT(ED14,EE14),'MASTER PLAN'!$AB:$AB,'MASTER PLAN'!$J:$J,0,0)=0,"",XLOOKUP(CONCAT(ED14,EE14),'MASTER PLAN'!$AB:$AB,'MASTER PLAN'!$J:$J,0,0)),"")</f>
        <v/>
      </c>
      <c r="EG14" s="70"/>
      <c r="EH14" s="94"/>
      <c r="EI14" s="71"/>
      <c r="EJ14" s="32"/>
      <c r="EK14" s="72" t="str">
        <f t="array" ref="EK14">IFERROR(IF(XLOOKUP(CONCAT(EI14,EJ14),'MASTER PLAN'!$AB:$AB,'MASTER PLAN'!$J:$J,0,0)=0,"",XLOOKUP(CONCAT(EI14,EJ14),'MASTER PLAN'!$AB:$AB,'MASTER PLAN'!$J:$J,0,0)),"")</f>
        <v/>
      </c>
      <c r="EL14" s="70"/>
      <c r="EM14" s="94"/>
      <c r="EN14" s="71"/>
      <c r="EO14" s="32"/>
      <c r="EP14" s="72" t="str">
        <f t="array" ref="EP14">IFERROR(IF(XLOOKUP(CONCAT(EN14,EO14),'MASTER PLAN'!$AB:$AB,'MASTER PLAN'!$J:$J,0,0)=0,"",XLOOKUP(CONCAT(EN14,EO14),'MASTER PLAN'!$AB:$AB,'MASTER PLAN'!$J:$J,0,0)),"")</f>
        <v/>
      </c>
      <c r="EQ14" s="70"/>
      <c r="ER14" s="94"/>
      <c r="ES14" s="71"/>
      <c r="ET14" s="32"/>
      <c r="EU14" s="72" t="str">
        <f t="array" ref="EU14">IFERROR(IF(XLOOKUP(CONCAT(ES14,ET14),'MASTER PLAN'!$AB:$AB,'MASTER PLAN'!$J:$J,0,0)=0,"",XLOOKUP(CONCAT(ES14,ET14),'MASTER PLAN'!$AB:$AB,'MASTER PLAN'!$J:$J,0,0)),"")</f>
        <v/>
      </c>
      <c r="EV14" s="70"/>
      <c r="EW14" s="94"/>
      <c r="EX14" s="71"/>
      <c r="EY14" s="32"/>
      <c r="EZ14" s="72" t="str">
        <f t="array" ref="EZ14">IFERROR(IF(XLOOKUP(CONCAT(EX14,EY14),'MASTER PLAN'!$AB:$AB,'MASTER PLAN'!$J:$J,0,0)=0,"",XLOOKUP(CONCAT(EX14,EY14),'MASTER PLAN'!$AB:$AB,'MASTER PLAN'!$J:$J,0,0)),"")</f>
        <v/>
      </c>
      <c r="FA14" s="70"/>
      <c r="FB14" s="94"/>
      <c r="FC14" s="70"/>
      <c r="FD14" s="71"/>
      <c r="FE14" s="32"/>
      <c r="FF14" s="72" t="str">
        <f t="array" ref="FF14">IFERROR(IF(XLOOKUP(CONCAT(FD14,FE14),'MASTER PLAN'!$AB:$AB,'MASTER PLAN'!$J:$J,0,0)=0,"",XLOOKUP(CONCAT(FD14,FE14),'MASTER PLAN'!$AB:$AB,'MASTER PLAN'!$J:$J,0,0)),"")</f>
        <v/>
      </c>
      <c r="FG14" s="70"/>
      <c r="FH14" s="94"/>
      <c r="FI14" s="71"/>
      <c r="FJ14" s="32"/>
      <c r="FK14" s="72" t="str">
        <f t="array" ref="FK14">IFERROR(IF(XLOOKUP(CONCAT(FI14,FJ14),'MASTER PLAN'!$AB:$AB,'MASTER PLAN'!$J:$J,0,0)=0,"",XLOOKUP(CONCAT(FI14,FJ14),'MASTER PLAN'!$AB:$AB,'MASTER PLAN'!$J:$J,0,0)),"")</f>
        <v/>
      </c>
      <c r="FL14" s="70"/>
      <c r="FM14" s="94"/>
      <c r="FN14" s="71"/>
      <c r="FO14" s="32"/>
      <c r="FP14" s="72" t="str">
        <f t="array" ref="FP14">IFERROR(IF(XLOOKUP(CONCAT(FN14,FO14),'MASTER PLAN'!$AB:$AB,'MASTER PLAN'!$J:$J,0,0)=0,"",XLOOKUP(CONCAT(FN14,FO14),'MASTER PLAN'!$AB:$AB,'MASTER PLAN'!$J:$J,0,0)),"")</f>
        <v/>
      </c>
      <c r="FQ14" s="70"/>
      <c r="FR14" s="94"/>
      <c r="FS14" s="71"/>
      <c r="FT14" s="32"/>
      <c r="FU14" s="72" t="str">
        <f t="array" ref="FU14">IFERROR(IF(XLOOKUP(CONCAT(FS14,FT14),'MASTER PLAN'!$AB:$AB,'MASTER PLAN'!$J:$J,0,0)=0,"",XLOOKUP(CONCAT(FS14,FT14),'MASTER PLAN'!$AB:$AB,'MASTER PLAN'!$J:$J,0,0)),"")</f>
        <v/>
      </c>
      <c r="FV14" s="70"/>
      <c r="FW14" s="94"/>
      <c r="FX14" s="71"/>
      <c r="FY14" s="32"/>
      <c r="FZ14" s="72" t="str">
        <f t="array" ref="FZ14">IFERROR(IF(XLOOKUP(CONCAT(FX14,FY14),'MASTER PLAN'!$AB:$AB,'MASTER PLAN'!$J:$J,0,0)=0,"",XLOOKUP(CONCAT(FX14,FY14),'MASTER PLAN'!$AB:$AB,'MASTER PLAN'!$J:$J,0,0)),"")</f>
        <v/>
      </c>
      <c r="GA14" s="70"/>
      <c r="GB14" s="94"/>
      <c r="GC14" s="71"/>
      <c r="GD14" s="32"/>
      <c r="GE14" s="72" t="str">
        <f t="array" ref="GE14">IFERROR(IF(XLOOKUP(CONCAT(GC14,GD14),'MASTER PLAN'!$AB:$AB,'MASTER PLAN'!$J:$J,0,0)=0,"",XLOOKUP(CONCAT(GC14,GD14),'MASTER PLAN'!$AB:$AB,'MASTER PLAN'!$J:$J,0,0)),"")</f>
        <v/>
      </c>
      <c r="GF14" s="70"/>
      <c r="GG14" s="94"/>
      <c r="GH14" s="70"/>
      <c r="GI14" s="71"/>
      <c r="GJ14" s="32"/>
      <c r="GK14" s="72" t="str">
        <f t="array" ref="GK14">IFERROR(IF(XLOOKUP(CONCAT(GI14,GJ14),'MASTER PLAN'!$AB:$AB,'MASTER PLAN'!$J:$J,0,0)=0,"",XLOOKUP(CONCAT(GI14,GJ14),'MASTER PLAN'!$AB:$AB,'MASTER PLAN'!$J:$J,0,0)),"")</f>
        <v/>
      </c>
      <c r="GL14" s="70"/>
      <c r="GM14" s="94"/>
      <c r="GN14" s="71"/>
      <c r="GO14" s="32"/>
      <c r="GP14" s="72" t="str">
        <f t="array" ref="GP14">IFERROR(IF(XLOOKUP(CONCAT(GN14,GO14),'MASTER PLAN'!$AB:$AB,'MASTER PLAN'!$J:$J,0,0)=0,"",XLOOKUP(CONCAT(GN14,GO14),'MASTER PLAN'!$AB:$AB,'MASTER PLAN'!$J:$J,0,0)),"")</f>
        <v/>
      </c>
      <c r="GQ14" s="70"/>
      <c r="GR14" s="94"/>
      <c r="GS14" s="71"/>
      <c r="GT14" s="32"/>
      <c r="GU14" s="72" t="str">
        <f t="array" ref="GU14">IFERROR(IF(XLOOKUP(CONCAT(GS14,GT14),'MASTER PLAN'!$AB:$AB,'MASTER PLAN'!$J:$J,0,0)=0,"",XLOOKUP(CONCAT(GS14,GT14),'MASTER PLAN'!$AB:$AB,'MASTER PLAN'!$J:$J,0,0)),"")</f>
        <v/>
      </c>
      <c r="GV14" s="70"/>
      <c r="GW14" s="94"/>
      <c r="GX14" s="71"/>
      <c r="GY14" s="32"/>
      <c r="GZ14" s="72" t="str">
        <f t="array" ref="GZ14">IFERROR(IF(XLOOKUP(CONCAT(GX14,GY14),'MASTER PLAN'!$AB:$AB,'MASTER PLAN'!$J:$J,0,0)=0,"",XLOOKUP(CONCAT(GX14,GY14),'MASTER PLAN'!$AB:$AB,'MASTER PLAN'!$J:$J,0,0)),"")</f>
        <v/>
      </c>
      <c r="HA14" s="70"/>
      <c r="HB14" s="94"/>
      <c r="HC14" s="71"/>
      <c r="HD14" s="32"/>
      <c r="HE14" s="72" t="str">
        <f t="array" ref="HE14">IFERROR(IF(XLOOKUP(CONCAT(HC14,HD14),'MASTER PLAN'!$AB:$AB,'MASTER PLAN'!$J:$J,0,0)=0,"",XLOOKUP(CONCAT(HC14,HD14),'MASTER PLAN'!$AB:$AB,'MASTER PLAN'!$J:$J,0,0)),"")</f>
        <v/>
      </c>
      <c r="HF14" s="70"/>
      <c r="HG14" s="94"/>
      <c r="HH14" s="71"/>
      <c r="HI14" s="32"/>
      <c r="HJ14" s="72" t="str">
        <f t="array" ref="HJ14">IFERROR(IF(XLOOKUP(CONCAT(HH14,HI14),'MASTER PLAN'!$AB:$AB,'MASTER PLAN'!$J:$J,0,0)=0,"",XLOOKUP(CONCAT(HH14,HI14),'MASTER PLAN'!$AB:$AB,'MASTER PLAN'!$J:$J,0,0)),"")</f>
        <v/>
      </c>
      <c r="HK14" s="70"/>
      <c r="HL14" s="94"/>
      <c r="HM14" s="70"/>
      <c r="HN14" s="71"/>
      <c r="HO14" s="32"/>
      <c r="HP14" s="72" t="str">
        <f t="array" ref="HP14">IFERROR(IF(XLOOKUP(CONCAT(HN14,HO14),'MASTER PLAN'!$AB:$AB,'MASTER PLAN'!$J:$J,0,0)=0,"",XLOOKUP(CONCAT(HN14,HO14),'MASTER PLAN'!$AB:$AB,'MASTER PLAN'!$J:$J,0,0)),"")</f>
        <v/>
      </c>
      <c r="HQ14" s="70"/>
      <c r="HR14" s="94"/>
      <c r="HS14" s="71"/>
      <c r="HT14" s="32"/>
      <c r="HU14" s="72" t="str">
        <f t="array" ref="HU14">IFERROR(IF(XLOOKUP(CONCAT(HS14,HT14),'MASTER PLAN'!$AB:$AB,'MASTER PLAN'!$J:$J,0,0)=0,"",XLOOKUP(CONCAT(HS14,HT14),'MASTER PLAN'!$AB:$AB,'MASTER PLAN'!$J:$J,0,0)),"")</f>
        <v/>
      </c>
      <c r="HV14" s="70"/>
      <c r="HW14" s="94"/>
      <c r="HX14" s="71"/>
      <c r="HY14" s="32"/>
      <c r="HZ14" s="72" t="str">
        <f t="array" ref="HZ14">IFERROR(IF(XLOOKUP(CONCAT(HX14,HY14),'MASTER PLAN'!$AB:$AB,'MASTER PLAN'!$J:$J,0,0)=0,"",XLOOKUP(CONCAT(HX14,HY14),'MASTER PLAN'!$AB:$AB,'MASTER PLAN'!$J:$J,0,0)),"")</f>
        <v/>
      </c>
      <c r="IA14" s="70"/>
      <c r="IB14" s="94"/>
      <c r="IC14" s="90"/>
      <c r="ID14" s="91"/>
      <c r="IE14" s="72" t="str">
        <f t="array" ref="IE14">IFERROR(IF(XLOOKUP(CONCAT(IC14,ID14),'MASTER PLAN'!$AB:$AB,'MASTER PLAN'!$J:$J,0,0)=0,"",XLOOKUP(CONCAT(IC14,ID14),'MASTER PLAN'!$AB:$AB,'MASTER PLAN'!$J:$J,0,0)),"")</f>
        <v/>
      </c>
      <c r="IF14" s="70"/>
      <c r="IG14" s="94"/>
      <c r="IH14" s="71"/>
      <c r="II14" s="32"/>
      <c r="IJ14" s="72" t="str">
        <f t="array" ref="IJ14">IFERROR(IF(XLOOKUP(CONCAT(IH14,II14),'MASTER PLAN'!$AB:$AB,'MASTER PLAN'!$J:$J,0,0)=0,"",XLOOKUP(CONCAT(IH14,II14),'MASTER PLAN'!$AB:$AB,'MASTER PLAN'!$J:$J,0,0)),"")</f>
        <v/>
      </c>
      <c r="IK14" s="70"/>
      <c r="IL14" s="94"/>
      <c r="IM14" s="71"/>
      <c r="IN14" s="32"/>
      <c r="IO14" s="72" t="str">
        <f t="array" ref="IO14">IFERROR(IF(XLOOKUP(CONCAT(IM14,IN14),'MASTER PLAN'!$AB:$AB,'MASTER PLAN'!$J:$J,0,0)=0,"",XLOOKUP(CONCAT(IM14,IN14),'MASTER PLAN'!$AB:$AB,'MASTER PLAN'!$J:$J,0,0)),"")</f>
        <v/>
      </c>
      <c r="IP14" s="70"/>
      <c r="IQ14" s="94"/>
      <c r="IR14" s="70"/>
      <c r="IS14" s="71"/>
      <c r="IT14" s="32"/>
      <c r="IU14" s="72" t="str">
        <f t="array" ref="IU14">IFERROR(IF(XLOOKUP(CONCAT(IS14,IT14),'MASTER PLAN'!$AB:$AB,'MASTER PLAN'!$J:$J,0,0)=0,"",XLOOKUP(CONCAT(IS14,IT14),'MASTER PLAN'!$AB:$AB,'MASTER PLAN'!$J:$J,0,0)),"")</f>
        <v/>
      </c>
      <c r="IV14" s="70"/>
      <c r="IW14" s="94"/>
      <c r="IX14" s="71"/>
      <c r="IY14" s="32"/>
      <c r="IZ14" s="72" t="str">
        <f t="array" ref="IZ14">IFERROR(IF(XLOOKUP(CONCAT(IX14,IY14),'MASTER PLAN'!$AB:$AB,'MASTER PLAN'!$J:$J,0,0)=0,"",XLOOKUP(CONCAT(IX14,IY14),'MASTER PLAN'!$AB:$AB,'MASTER PLAN'!$J:$J,0,0)),"")</f>
        <v/>
      </c>
      <c r="JA14" s="70"/>
      <c r="JB14" s="94"/>
      <c r="JC14" s="71"/>
      <c r="JD14" s="32"/>
      <c r="JE14" s="72" t="str">
        <f t="array" ref="JE14">IFERROR(IF(XLOOKUP(CONCAT(JC14,JD14),'MASTER PLAN'!$AB:$AB,'MASTER PLAN'!$J:$J,0,0)=0,"",XLOOKUP(CONCAT(JC14,JD14),'MASTER PLAN'!$AB:$AB,'MASTER PLAN'!$J:$J,0,0)),"")</f>
        <v/>
      </c>
      <c r="JF14" s="70"/>
      <c r="JG14" s="94"/>
      <c r="JH14" s="90"/>
      <c r="JI14" s="91"/>
      <c r="JJ14" s="72" t="str">
        <f t="array" ref="JJ14">IFERROR(IF(XLOOKUP(CONCAT(JH14,JI14),'MASTER PLAN'!$AB:$AB,'MASTER PLAN'!$J:$J,0,0)=0,"",XLOOKUP(CONCAT(JH14,JI14),'MASTER PLAN'!$AB:$AB,'MASTER PLAN'!$J:$J,0,0)),"")</f>
        <v/>
      </c>
      <c r="JK14" s="70"/>
      <c r="JL14" s="94"/>
      <c r="JM14" s="71"/>
      <c r="JN14" s="32"/>
      <c r="JO14" s="72" t="str">
        <f t="array" ref="JO14">IFERROR(IF(XLOOKUP(CONCAT(JM14,JN14),'MASTER PLAN'!$AB:$AB,'MASTER PLAN'!$J:$J,0,0)=0,"",XLOOKUP(CONCAT(JM14,JN14),'MASTER PLAN'!$AB:$AB,'MASTER PLAN'!$J:$J,0,0)),"")</f>
        <v/>
      </c>
      <c r="JP14" s="70"/>
      <c r="JQ14" s="94"/>
      <c r="JR14" s="71"/>
      <c r="JS14" s="32"/>
      <c r="JT14" s="72" t="str">
        <f t="array" ref="JT14">IFERROR(IF(XLOOKUP(CONCAT(JR14,JS14),'MASTER PLAN'!$AB:$AB,'MASTER PLAN'!$J:$J,0,0)=0,"",XLOOKUP(CONCAT(JR14,JS14),'MASTER PLAN'!$AB:$AB,'MASTER PLAN'!$J:$J,0,0)),"")</f>
        <v/>
      </c>
      <c r="JU14" s="70"/>
      <c r="JV14" s="94"/>
      <c r="JW14" s="70"/>
      <c r="JX14" s="71"/>
      <c r="JY14" s="32"/>
      <c r="JZ14" s="72" t="str">
        <f t="array" ref="JZ14">IFERROR(IF(XLOOKUP(CONCAT(JX14,JY14),'MASTER PLAN'!$AB:$AB,'MASTER PLAN'!$J:$J,0,0)=0,"",XLOOKUP(CONCAT(JX14,JY14),'MASTER PLAN'!$AB:$AB,'MASTER PLAN'!$J:$J,0,0)),"")</f>
        <v/>
      </c>
      <c r="KA14" s="70"/>
      <c r="KB14" s="94"/>
      <c r="KC14" s="71"/>
      <c r="KD14" s="32"/>
      <c r="KE14" s="72" t="str">
        <f t="array" ref="KE14">IFERROR(IF(XLOOKUP(CONCAT(KC14,KD14),'MASTER PLAN'!$AB:$AB,'MASTER PLAN'!$J:$J,0,0)=0,"",XLOOKUP(CONCAT(KC14,KD14),'MASTER PLAN'!$AB:$AB,'MASTER PLAN'!$J:$J,0,0)),"")</f>
        <v/>
      </c>
      <c r="KF14" s="70"/>
      <c r="KG14" s="94"/>
      <c r="KH14" s="71"/>
      <c r="KI14" s="32"/>
      <c r="KJ14" s="72" t="str">
        <f t="array" ref="KJ14">IFERROR(IF(XLOOKUP(CONCAT(KH14,KI14),'MASTER PLAN'!$AB:$AB,'MASTER PLAN'!$J:$J,0,0)=0,"",XLOOKUP(CONCAT(KH14,KI14),'MASTER PLAN'!$AB:$AB,'MASTER PLAN'!$J:$J,0,0)),"")</f>
        <v/>
      </c>
      <c r="KK14" s="70"/>
      <c r="KL14" s="94"/>
      <c r="KM14" s="71"/>
      <c r="KN14" s="32"/>
      <c r="KO14" s="72" t="str">
        <f t="array" ref="KO14">IFERROR(IF(XLOOKUP(CONCAT(KM14,KN14),'MASTER PLAN'!$AB:$AB,'MASTER PLAN'!$J:$J,0,0)=0,"",XLOOKUP(CONCAT(KM14,KN14),'MASTER PLAN'!$AB:$AB,'MASTER PLAN'!$J:$J,0,0)),"")</f>
        <v/>
      </c>
      <c r="KP14" s="70"/>
      <c r="KQ14" s="94"/>
      <c r="KR14" s="71"/>
      <c r="KS14" s="32"/>
      <c r="KT14" s="72" t="str">
        <f t="array" ref="KT14">IFERROR(IF(XLOOKUP(CONCAT(KR14,KS14),'MASTER PLAN'!$AB:$AB,'MASTER PLAN'!$J:$J,0,0)=0,"",XLOOKUP(CONCAT(KR14,KS14),'MASTER PLAN'!$AB:$AB,'MASTER PLAN'!$J:$J,0,0)),"")</f>
        <v/>
      </c>
      <c r="KU14" s="70"/>
      <c r="KV14" s="94"/>
      <c r="KW14" s="71"/>
      <c r="KX14" s="32"/>
      <c r="KY14" s="72" t="str">
        <f t="array" ref="KY14">IFERROR(IF(XLOOKUP(CONCAT(KW14,KX14),'MASTER PLAN'!$AB:$AB,'MASTER PLAN'!$J:$J,0,0)=0,"",XLOOKUP(CONCAT(KW14,KX14),'MASTER PLAN'!$AB:$AB,'MASTER PLAN'!$J:$J,0,0)),"")</f>
        <v/>
      </c>
      <c r="KZ14" s="70"/>
      <c r="LA14" s="94"/>
      <c r="LB14" s="70"/>
      <c r="LC14" s="71"/>
      <c r="LD14" s="32"/>
      <c r="LE14" s="72" t="str">
        <f t="array" ref="LE14">IFERROR(IF(XLOOKUP(CONCAT(LC14,LD14),'MASTER PLAN'!$AB:$AB,'MASTER PLAN'!$J:$J,0,0)=0,"",XLOOKUP(CONCAT(LC14,LD14),'MASTER PLAN'!$AB:$AB,'MASTER PLAN'!$J:$J,0,0)),"")</f>
        <v/>
      </c>
      <c r="LF14" s="70"/>
      <c r="LG14" s="94"/>
      <c r="LH14" s="71"/>
      <c r="LI14" s="32"/>
      <c r="LJ14" s="72" t="str">
        <f t="array" ref="LJ14">IFERROR(IF(XLOOKUP(CONCAT(LH14,LI14),'MASTER PLAN'!$AB:$AB,'MASTER PLAN'!$J:$J,0,0)=0,"",XLOOKUP(CONCAT(LH14,LI14),'MASTER PLAN'!$AB:$AB,'MASTER PLAN'!$J:$J,0,0)),"")</f>
        <v/>
      </c>
      <c r="LK14" s="70"/>
      <c r="LL14" s="94"/>
      <c r="LM14" s="71"/>
      <c r="LN14" s="32"/>
      <c r="LO14" s="72" t="str">
        <f t="array" ref="LO14">IFERROR(IF(XLOOKUP(CONCAT(LM14,LN14),'MASTER PLAN'!$AB:$AB,'MASTER PLAN'!$J:$J,0,0)=0,"",XLOOKUP(CONCAT(LM14,LN14),'MASTER PLAN'!$AB:$AB,'MASTER PLAN'!$J:$J,0,0)),"")</f>
        <v/>
      </c>
      <c r="LP14" s="70"/>
      <c r="LQ14" s="94"/>
      <c r="LR14" s="71"/>
      <c r="LS14" s="32"/>
      <c r="LT14" s="72" t="str">
        <f t="array" ref="LT14">IFERROR(IF(XLOOKUP(CONCAT(LR14,LS14),'MASTER PLAN'!$AB:$AB,'MASTER PLAN'!$J:$J,0,0)=0,"",XLOOKUP(CONCAT(LR14,LS14),'MASTER PLAN'!$AB:$AB,'MASTER PLAN'!$J:$J,0,0)),"")</f>
        <v/>
      </c>
      <c r="LU14" s="70"/>
      <c r="LV14" s="94"/>
      <c r="LW14" s="71"/>
      <c r="LX14" s="32"/>
      <c r="LY14" s="72" t="str">
        <f t="array" ref="LY14">IFERROR(IF(XLOOKUP(CONCAT(LW14,LX14),'MASTER PLAN'!$AB:$AB,'MASTER PLAN'!$J:$J,0,0)=0,"",XLOOKUP(CONCAT(LW14,LX14),'MASTER PLAN'!$AB:$AB,'MASTER PLAN'!$J:$J,0,0)),"")</f>
        <v/>
      </c>
      <c r="LZ14" s="70"/>
      <c r="MA14" s="94"/>
      <c r="MB14" s="71"/>
      <c r="MC14" s="32"/>
      <c r="MD14" s="72" t="str">
        <f t="array" ref="MD14">IFERROR(IF(XLOOKUP(CONCAT(MB14,MC14),'MASTER PLAN'!$AB:$AB,'MASTER PLAN'!$J:$J,0,0)=0,"",XLOOKUP(CONCAT(MB14,MC14),'MASTER PLAN'!$AB:$AB,'MASTER PLAN'!$J:$J,0,0)),"")</f>
        <v/>
      </c>
      <c r="ME14" s="70"/>
      <c r="MF14" s="94"/>
      <c r="MG14" s="70"/>
      <c r="MH14" s="71"/>
      <c r="MI14" s="32"/>
      <c r="MJ14" s="72" t="str">
        <f t="array" ref="MJ14">IFERROR(IF(XLOOKUP(CONCAT(MH14,MI14),'MASTER PLAN'!$AB:$AB,'MASTER PLAN'!$J:$J,0,0)=0,"",XLOOKUP(CONCAT(MH14,MI14),'MASTER PLAN'!$AB:$AB,'MASTER PLAN'!$J:$J,0,0)),"")</f>
        <v/>
      </c>
      <c r="MK14" s="70"/>
      <c r="ML14" s="94"/>
      <c r="MM14" s="71"/>
      <c r="MN14" s="32"/>
      <c r="MO14" s="72" t="str">
        <f t="array" ref="MO14">IFERROR(IF(XLOOKUP(CONCAT(MM14,MN14),'MASTER PLAN'!$AB:$AB,'MASTER PLAN'!$J:$J,0,0)=0,"",XLOOKUP(CONCAT(MM14,MN14),'MASTER PLAN'!$AB:$AB,'MASTER PLAN'!$J:$J,0,0)),"")</f>
        <v/>
      </c>
      <c r="MP14" s="70"/>
      <c r="MQ14" s="94"/>
      <c r="MR14" s="71"/>
      <c r="MS14" s="32"/>
      <c r="MT14" s="72" t="str">
        <f t="array" ref="MT14">IFERROR(IF(XLOOKUP(CONCAT(MR14,MS14),'MASTER PLAN'!$AB:$AB,'MASTER PLAN'!$J:$J,0,0)=0,"",XLOOKUP(CONCAT(MR14,MS14),'MASTER PLAN'!$AB:$AB,'MASTER PLAN'!$J:$J,0,0)),"")</f>
        <v/>
      </c>
      <c r="MU14" s="70"/>
      <c r="MV14" s="94"/>
      <c r="MW14" s="71"/>
      <c r="MX14" s="32"/>
      <c r="MY14" s="72" t="str">
        <f t="array" ref="MY14">IFERROR(IF(XLOOKUP(CONCAT(MW14,MX14),'MASTER PLAN'!$AB:$AB,'MASTER PLAN'!$J:$J,0,0)=0,"",XLOOKUP(CONCAT(MW14,MX14),'MASTER PLAN'!$AB:$AB,'MASTER PLAN'!$J:$J,0,0)),"")</f>
        <v/>
      </c>
      <c r="MZ14" s="70"/>
      <c r="NA14" s="94"/>
      <c r="NB14" s="71"/>
      <c r="NC14" s="32"/>
      <c r="ND14" s="72" t="str">
        <f t="array" ref="ND14">IFERROR(IF(XLOOKUP(CONCAT(NB14,NC14),'MASTER PLAN'!$AB:$AB,'MASTER PLAN'!$J:$J,0,0)=0,"",XLOOKUP(CONCAT(NB14,NC14),'MASTER PLAN'!$AB:$AB,'MASTER PLAN'!$J:$J,0,0)),"")</f>
        <v/>
      </c>
      <c r="NE14" s="70"/>
      <c r="NF14" s="94"/>
      <c r="NG14" s="71"/>
      <c r="NH14" s="32"/>
      <c r="NI14" s="72" t="str">
        <f t="array" ref="NI14">IFERROR(IF(XLOOKUP(CONCAT(NG14,NH14),'MASTER PLAN'!$AB:$AB,'MASTER PLAN'!$J:$J,0,0)=0,"",XLOOKUP(CONCAT(NG14,NH14),'MASTER PLAN'!$AB:$AB,'MASTER PLAN'!$J:$J,0,0)),"")</f>
        <v/>
      </c>
      <c r="NJ14" s="70"/>
      <c r="NK14" s="94"/>
      <c r="NL14" s="70"/>
      <c r="NM14" s="71"/>
      <c r="NN14" s="32"/>
      <c r="NO14" s="72" t="str">
        <f t="array" ref="NO14">IFERROR(IF(XLOOKUP(CONCAT(NM14,NN14),'MASTER PLAN'!$AB:$AB,'MASTER PLAN'!$J:$J,0,0)=0,"",XLOOKUP(CONCAT(NM14,NN14),'MASTER PLAN'!$AB:$AB,'MASTER PLAN'!$J:$J,0,0)),"")</f>
        <v/>
      </c>
      <c r="NP14" s="70"/>
      <c r="NQ14" s="94"/>
      <c r="NR14" s="71"/>
      <c r="NS14" s="32"/>
      <c r="NT14" s="72" t="str">
        <f t="array" ref="NT14">IFERROR(IF(XLOOKUP(CONCAT(NR14,NS14),'MASTER PLAN'!$AB:$AB,'MASTER PLAN'!$J:$J,0,0)=0,"",XLOOKUP(CONCAT(NR14,NS14),'MASTER PLAN'!$AB:$AB,'MASTER PLAN'!$J:$J,0,0)),"")</f>
        <v/>
      </c>
      <c r="NU14" s="70"/>
      <c r="NV14" s="94"/>
      <c r="NW14" s="71"/>
      <c r="NX14" s="32"/>
      <c r="NY14" s="72" t="str">
        <f t="array" ref="NY14">IFERROR(IF(XLOOKUP(CONCAT(NW14,NX14),'MASTER PLAN'!$AB:$AB,'MASTER PLAN'!$J:$J,0,0)=0,"",XLOOKUP(CONCAT(NW14,NX14),'MASTER PLAN'!$AB:$AB,'MASTER PLAN'!$J:$J,0,0)),"")</f>
        <v/>
      </c>
      <c r="NZ14" s="70"/>
      <c r="OA14" s="94"/>
      <c r="OB14" s="71"/>
      <c r="OC14" s="32"/>
      <c r="OD14" s="72" t="str">
        <f t="array" ref="OD14">IFERROR(IF(XLOOKUP(CONCAT(OB14,OC14),'MASTER PLAN'!$AB:$AB,'MASTER PLAN'!$J:$J,0,0)=0,"",XLOOKUP(CONCAT(OB14,OC14),'MASTER PLAN'!$AB:$AB,'MASTER PLAN'!$J:$J,0,0)),"")</f>
        <v/>
      </c>
      <c r="OE14" s="70"/>
      <c r="OF14" s="94"/>
      <c r="OG14" s="71"/>
      <c r="OH14" s="32"/>
      <c r="OI14" s="72" t="str">
        <f t="array" ref="OI14">IFERROR(IF(XLOOKUP(CONCAT(OG14,OH14),'MASTER PLAN'!$AB:$AB,'MASTER PLAN'!$J:$J,0,0)=0,"",XLOOKUP(CONCAT(OG14,OH14),'MASTER PLAN'!$AB:$AB,'MASTER PLAN'!$J:$J,0,0)),"")</f>
        <v/>
      </c>
      <c r="OJ14" s="70"/>
      <c r="OK14" s="94"/>
      <c r="OL14" s="71"/>
      <c r="OM14" s="32"/>
      <c r="ON14" s="72" t="str">
        <f t="array" ref="ON14">IFERROR(IF(XLOOKUP(CONCAT(OL14,OM14),'MASTER PLAN'!$AB:$AB,'MASTER PLAN'!$J:$J,0,0)=0,"",XLOOKUP(CONCAT(OL14,OM14),'MASTER PLAN'!$AB:$AB,'MASTER PLAN'!$J:$J,0,0)),"")</f>
        <v/>
      </c>
      <c r="OO14" s="70"/>
      <c r="OP14" s="94"/>
      <c r="OQ14" s="70"/>
      <c r="OR14" s="70"/>
      <c r="OS14" s="70"/>
      <c r="OT14" s="70"/>
      <c r="OU14" s="70"/>
      <c r="OV14" s="70"/>
      <c r="OW14" s="70"/>
      <c r="OX14" s="70"/>
      <c r="OY14" s="70"/>
      <c r="OZ14" s="70"/>
      <c r="PA14" s="70"/>
      <c r="PB14" s="70"/>
      <c r="PC14" s="70"/>
      <c r="PD14" s="70"/>
      <c r="PE14" s="70"/>
      <c r="PF14" s="70"/>
      <c r="PG14" s="70"/>
      <c r="PH14" s="70"/>
      <c r="PI14" s="70"/>
      <c r="PJ14" s="70"/>
    </row>
    <row r="15">
      <c r="A15" s="42"/>
      <c r="B15" s="74"/>
      <c r="C15" s="69"/>
      <c r="D15" s="70"/>
      <c r="E15" s="71"/>
      <c r="F15" s="32"/>
      <c r="G15" s="72" t="str">
        <f t="array" ref="G15">IFERROR(IF(XLOOKUP(CONCAT(E15,F15),'MASTER PLAN'!$AB:$AB,'MASTER PLAN'!$J:$J,0,0)=0,"",XLOOKUP(CONCAT(E15,F15),'MASTER PLAN'!$AB:$AB,'MASTER PLAN'!$J:$J,0,0)),"")</f>
        <v/>
      </c>
      <c r="H15" s="70"/>
      <c r="I15" s="94"/>
      <c r="J15" s="71"/>
      <c r="K15" s="32"/>
      <c r="L15" s="72" t="str">
        <f t="array" ref="L15">IFERROR(IF(XLOOKUP(CONCAT(J15,K15),'MASTER PLAN'!$AB:$AB,'MASTER PLAN'!$J:$J,0,0)=0,"",XLOOKUP(CONCAT(J15,K15),'MASTER PLAN'!$AB:$AB,'MASTER PLAN'!$J:$J,0,0)),"")</f>
        <v/>
      </c>
      <c r="M15" s="70"/>
      <c r="N15" s="94"/>
      <c r="O15" s="71"/>
      <c r="P15" s="32"/>
      <c r="Q15" s="72" t="str">
        <f t="array" ref="Q15">IFERROR(IF(XLOOKUP(CONCAT(O15,P15),'MASTER PLAN'!$AB:$AB,'MASTER PLAN'!$J:$J,0,0)=0,"",XLOOKUP(CONCAT(O15,P15),'MASTER PLAN'!$AB:$AB,'MASTER PLAN'!$J:$J,0,0)),"")</f>
        <v/>
      </c>
      <c r="R15" s="70"/>
      <c r="S15" s="94"/>
      <c r="T15" s="71"/>
      <c r="U15" s="32"/>
      <c r="V15" s="72" t="str">
        <f t="array" ref="V15">IFERROR(IF(XLOOKUP(CONCAT(T15,U15),'MASTER PLAN'!$AB:$AB,'MASTER PLAN'!$J:$J,0,0)=0,"",XLOOKUP(CONCAT(T15,U15),'MASTER PLAN'!$AB:$AB,'MASTER PLAN'!$J:$J,0,0)),"")</f>
        <v/>
      </c>
      <c r="W15" s="70"/>
      <c r="X15" s="94"/>
      <c r="Y15" s="71"/>
      <c r="Z15" s="32"/>
      <c r="AA15" s="72" t="str">
        <f t="array" ref="AA15">IFERROR(IF(XLOOKUP(CONCAT(Y15,Z15),'MASTER PLAN'!$AB:$AB,'MASTER PLAN'!$J:$J,0,0)=0,"",XLOOKUP(CONCAT(Y15,Z15),'MASTER PLAN'!$AB:$AB,'MASTER PLAN'!$J:$J,0,0)),"")</f>
        <v/>
      </c>
      <c r="AB15" s="70"/>
      <c r="AC15" s="94"/>
      <c r="AD15" s="71"/>
      <c r="AE15" s="32"/>
      <c r="AF15" s="72" t="str">
        <f t="array" ref="AF15">IFERROR(IF(XLOOKUP(CONCAT(AD15,AE15),'MASTER PLAN'!$AB:$AB,'MASTER PLAN'!$J:$J,0,0)=0,"",XLOOKUP(CONCAT(AD15,AE15),'MASTER PLAN'!$AB:$AB,'MASTER PLAN'!$J:$J,0,0)),"")</f>
        <v/>
      </c>
      <c r="AG15" s="70"/>
      <c r="AH15" s="94"/>
      <c r="AI15" s="70"/>
      <c r="AJ15" s="71"/>
      <c r="AK15" s="32"/>
      <c r="AL15" s="72" t="str">
        <f t="array" ref="AL15">IFERROR(IF(XLOOKUP(CONCAT(AJ15,AK15),'MASTER PLAN'!$AB:$AB,'MASTER PLAN'!$J:$J,0,0)=0,"",XLOOKUP(CONCAT(AJ15,AK15),'MASTER PLAN'!$AB:$AB,'MASTER PLAN'!$J:$J,0,0)),"")</f>
        <v/>
      </c>
      <c r="AM15" s="70"/>
      <c r="AN15" s="94"/>
      <c r="AO15" s="71"/>
      <c r="AP15" s="32"/>
      <c r="AQ15" s="72" t="str">
        <f t="array" ref="AQ15">IFERROR(IF(XLOOKUP(CONCAT(AO15,AP15),'MASTER PLAN'!$AB:$AB,'MASTER PLAN'!$J:$J,0,0)=0,"",XLOOKUP(CONCAT(AO15,AP15),'MASTER PLAN'!$AB:$AB,'MASTER PLAN'!$J:$J,0,0)),"")</f>
        <v/>
      </c>
      <c r="AR15" s="70"/>
      <c r="AS15" s="94"/>
      <c r="AT15" s="71"/>
      <c r="AU15" s="32"/>
      <c r="AV15" s="72" t="str">
        <f t="array" ref="AV15">IFERROR(IF(XLOOKUP(CONCAT(AT15,AU15),'MASTER PLAN'!$AB:$AB,'MASTER PLAN'!$J:$J,0,0)=0,"",XLOOKUP(CONCAT(AT15,AU15),'MASTER PLAN'!$AB:$AB,'MASTER PLAN'!$J:$J,0,0)),"")</f>
        <v/>
      </c>
      <c r="AW15" s="70"/>
      <c r="AX15" s="94"/>
      <c r="AY15" s="71"/>
      <c r="AZ15" s="32"/>
      <c r="BA15" s="72" t="str">
        <f t="array" ref="BA15">IFERROR(IF(XLOOKUP(CONCAT(AY15,AZ15),'MASTER PLAN'!$AB:$AB,'MASTER PLAN'!$J:$J,0,0)=0,"",XLOOKUP(CONCAT(AY15,AZ15),'MASTER PLAN'!$AB:$AB,'MASTER PLAN'!$J:$J,0,0)),"")</f>
        <v/>
      </c>
      <c r="BB15" s="70"/>
      <c r="BC15" s="94"/>
      <c r="BD15" s="71"/>
      <c r="BE15" s="32"/>
      <c r="BF15" s="72" t="str">
        <f t="array" ref="BF15">IFERROR(IF(XLOOKUP(CONCAT(BD15,BE15),'MASTER PLAN'!$AB:$AB,'MASTER PLAN'!$J:$J,0,0)=0,"",XLOOKUP(CONCAT(BD15,BE15),'MASTER PLAN'!$AB:$AB,'MASTER PLAN'!$J:$J,0,0)),"")</f>
        <v/>
      </c>
      <c r="BG15" s="70"/>
      <c r="BH15" s="94"/>
      <c r="BI15" s="71"/>
      <c r="BJ15" s="32"/>
      <c r="BK15" s="72" t="str">
        <f t="array" ref="BK15">IFERROR(IF(XLOOKUP(CONCAT(BI15,BJ15),'MASTER PLAN'!$AB:$AB,'MASTER PLAN'!$J:$J,0,0)=0,"",XLOOKUP(CONCAT(BI15,BJ15),'MASTER PLAN'!$AB:$AB,'MASTER PLAN'!$J:$J,0,0)),"")</f>
        <v/>
      </c>
      <c r="BL15" s="70"/>
      <c r="BM15" s="94"/>
      <c r="BN15" s="70"/>
      <c r="BO15" s="71"/>
      <c r="BP15" s="32"/>
      <c r="BQ15" s="72" t="str">
        <f t="array" ref="BQ15">IFERROR(IF(XLOOKUP(CONCAT(BO15,BP15),'MASTER PLAN'!$AB:$AB,'MASTER PLAN'!$J:$J,0,0)=0,"",XLOOKUP(CONCAT(BO15,BP15),'MASTER PLAN'!$AB:$AB,'MASTER PLAN'!$J:$J,0,0)),"")</f>
        <v/>
      </c>
      <c r="BR15" s="70"/>
      <c r="BS15" s="94"/>
      <c r="BT15" s="71"/>
      <c r="BU15" s="32"/>
      <c r="BV15" s="72" t="str">
        <f t="array" ref="BV15">IFERROR(IF(XLOOKUP(CONCAT(BT15,BU15),'MASTER PLAN'!$AB:$AB,'MASTER PLAN'!$J:$J,0,0)=0,"",XLOOKUP(CONCAT(BT15,BU15),'MASTER PLAN'!$AB:$AB,'MASTER PLAN'!$J:$J,0,0)),"")</f>
        <v/>
      </c>
      <c r="BW15" s="70"/>
      <c r="BX15" s="94"/>
      <c r="BY15" s="71"/>
      <c r="BZ15" s="32"/>
      <c r="CA15" s="72" t="str">
        <f t="array" ref="CA15">IFERROR(IF(XLOOKUP(CONCAT(BY15,BZ15),'MASTER PLAN'!$AB:$AB,'MASTER PLAN'!$J:$J,0,0)=0,"",XLOOKUP(CONCAT(BY15,BZ15),'MASTER PLAN'!$AB:$AB,'MASTER PLAN'!$J:$J,0,0)),"")</f>
        <v/>
      </c>
      <c r="CB15" s="70"/>
      <c r="CC15" s="94"/>
      <c r="CD15" s="71"/>
      <c r="CE15" s="32"/>
      <c r="CF15" s="72" t="str">
        <f t="array" ref="CF15">IFERROR(IF(XLOOKUP(CONCAT(CD15,CE15),'MASTER PLAN'!$AB:$AB,'MASTER PLAN'!$J:$J,0,0)=0,"",XLOOKUP(CONCAT(CD15,CE15),'MASTER PLAN'!$AB:$AB,'MASTER PLAN'!$J:$J,0,0)),"")</f>
        <v/>
      </c>
      <c r="CG15" s="70"/>
      <c r="CH15" s="94"/>
      <c r="CI15" s="71"/>
      <c r="CJ15" s="32"/>
      <c r="CK15" s="72" t="str">
        <f t="array" ref="CK15">IFERROR(IF(XLOOKUP(CONCAT(CI15,CJ15),'MASTER PLAN'!$AB:$AB,'MASTER PLAN'!$J:$J,0,0)=0,"",XLOOKUP(CONCAT(CI15,CJ15),'MASTER PLAN'!$AB:$AB,'MASTER PLAN'!$J:$J,0,0)),"")</f>
        <v/>
      </c>
      <c r="CL15" s="70"/>
      <c r="CM15" s="94"/>
      <c r="CN15" s="71"/>
      <c r="CO15" s="32"/>
      <c r="CP15" s="72" t="str">
        <f t="array" ref="CP15">IFERROR(IF(XLOOKUP(CONCAT(CN15,CO15),'MASTER PLAN'!$AB:$AB,'MASTER PLAN'!$J:$J,0,0)=0,"",XLOOKUP(CONCAT(CN15,CO15),'MASTER PLAN'!$AB:$AB,'MASTER PLAN'!$J:$J,0,0)),"")</f>
        <v/>
      </c>
      <c r="CQ15" s="70"/>
      <c r="CR15" s="94"/>
      <c r="CS15" s="70"/>
      <c r="CT15" s="71"/>
      <c r="CU15" s="32"/>
      <c r="CV15" s="72" t="str">
        <f t="array" ref="CV15">IFERROR(IF(XLOOKUP(CONCAT(CT15,CU15),'MASTER PLAN'!$AB:$AB,'MASTER PLAN'!$J:$J,0,0)=0,"",XLOOKUP(CONCAT(CT15,CU15),'MASTER PLAN'!$AB:$AB,'MASTER PLAN'!$J:$J,0,0)),"")</f>
        <v/>
      </c>
      <c r="CW15" s="70"/>
      <c r="CX15" s="94"/>
      <c r="CY15" s="71"/>
      <c r="CZ15" s="32"/>
      <c r="DA15" s="72" t="str">
        <f t="array" ref="DA15">IFERROR(IF(XLOOKUP(CONCAT(CY15,CZ15),'MASTER PLAN'!$AB:$AB,'MASTER PLAN'!$J:$J,0,0)=0,"",XLOOKUP(CONCAT(CY15,CZ15),'MASTER PLAN'!$AB:$AB,'MASTER PLAN'!$J:$J,0,0)),"")</f>
        <v/>
      </c>
      <c r="DB15" s="70"/>
      <c r="DC15" s="94"/>
      <c r="DD15" s="71"/>
      <c r="DE15" s="32"/>
      <c r="DF15" s="72" t="str">
        <f t="array" ref="DF15">IFERROR(IF(XLOOKUP(CONCAT(DD15,DE15),'MASTER PLAN'!$AB:$AB,'MASTER PLAN'!$J:$J,0,0)=0,"",XLOOKUP(CONCAT(DD15,DE15),'MASTER PLAN'!$AB:$AB,'MASTER PLAN'!$J:$J,0,0)),"")</f>
        <v/>
      </c>
      <c r="DG15" s="70"/>
      <c r="DH15" s="94"/>
      <c r="DI15" s="71"/>
      <c r="DJ15" s="32"/>
      <c r="DK15" s="72" t="str">
        <f t="array" ref="DK15">IFERROR(IF(XLOOKUP(CONCAT(DI15,DJ15),'MASTER PLAN'!$AB:$AB,'MASTER PLAN'!$J:$J,0,0)=0,"",XLOOKUP(CONCAT(DI15,DJ15),'MASTER PLAN'!$AB:$AB,'MASTER PLAN'!$J:$J,0,0)),"")</f>
        <v/>
      </c>
      <c r="DL15" s="70"/>
      <c r="DM15" s="94"/>
      <c r="DN15" s="71"/>
      <c r="DO15" s="32"/>
      <c r="DP15" s="72" t="str">
        <f t="array" ref="DP15">IFERROR(IF(XLOOKUP(CONCAT(DN15,DO15),'MASTER PLAN'!$AB:$AB,'MASTER PLAN'!$J:$J,0,0)=0,"",XLOOKUP(CONCAT(DN15,DO15),'MASTER PLAN'!$AB:$AB,'MASTER PLAN'!$J:$J,0,0)),"")</f>
        <v/>
      </c>
      <c r="DQ15" s="70"/>
      <c r="DR15" s="94"/>
      <c r="DS15" s="71"/>
      <c r="DT15" s="32"/>
      <c r="DU15" s="72" t="str">
        <f t="array" ref="DU15">IFERROR(IF(XLOOKUP(CONCAT(DS15,DT15),'MASTER PLAN'!$AB:$AB,'MASTER PLAN'!$J:$J,0,0)=0,"",XLOOKUP(CONCAT(DS15,DT15),'MASTER PLAN'!$AB:$AB,'MASTER PLAN'!$J:$J,0,0)),"")</f>
        <v/>
      </c>
      <c r="DV15" s="70"/>
      <c r="DW15" s="94"/>
      <c r="DX15" s="70"/>
      <c r="DY15" s="71"/>
      <c r="DZ15" s="32"/>
      <c r="EA15" s="72" t="str">
        <f t="array" ref="EA15">IFERROR(IF(XLOOKUP(CONCAT(DY15,DZ15),'MASTER PLAN'!$AB:$AB,'MASTER PLAN'!$J:$J,0,0)=0,"",XLOOKUP(CONCAT(DY15,DZ15),'MASTER PLAN'!$AB:$AB,'MASTER PLAN'!$J:$J,0,0)),"")</f>
        <v/>
      </c>
      <c r="EB15" s="70"/>
      <c r="EC15" s="94"/>
      <c r="ED15" s="71"/>
      <c r="EE15" s="32"/>
      <c r="EF15" s="72" t="str">
        <f t="array" ref="EF15">IFERROR(IF(XLOOKUP(CONCAT(ED15,EE15),'MASTER PLAN'!$AB:$AB,'MASTER PLAN'!$J:$J,0,0)=0,"",XLOOKUP(CONCAT(ED15,EE15),'MASTER PLAN'!$AB:$AB,'MASTER PLAN'!$J:$J,0,0)),"")</f>
        <v/>
      </c>
      <c r="EG15" s="70"/>
      <c r="EH15" s="94"/>
      <c r="EI15" s="71"/>
      <c r="EJ15" s="32"/>
      <c r="EK15" s="72" t="str">
        <f t="array" ref="EK15">IFERROR(IF(XLOOKUP(CONCAT(EI15,EJ15),'MASTER PLAN'!$AB:$AB,'MASTER PLAN'!$J:$J,0,0)=0,"",XLOOKUP(CONCAT(EI15,EJ15),'MASTER PLAN'!$AB:$AB,'MASTER PLAN'!$J:$J,0,0)),"")</f>
        <v/>
      </c>
      <c r="EL15" s="70"/>
      <c r="EM15" s="94"/>
      <c r="EN15" s="71"/>
      <c r="EO15" s="32"/>
      <c r="EP15" s="72" t="str">
        <f t="array" ref="EP15">IFERROR(IF(XLOOKUP(CONCAT(EN15,EO15),'MASTER PLAN'!$AB:$AB,'MASTER PLAN'!$J:$J,0,0)=0,"",XLOOKUP(CONCAT(EN15,EO15),'MASTER PLAN'!$AB:$AB,'MASTER PLAN'!$J:$J,0,0)),"")</f>
        <v/>
      </c>
      <c r="EQ15" s="70"/>
      <c r="ER15" s="94"/>
      <c r="ES15" s="71"/>
      <c r="ET15" s="32"/>
      <c r="EU15" s="72" t="str">
        <f t="array" ref="EU15">IFERROR(IF(XLOOKUP(CONCAT(ES15,ET15),'MASTER PLAN'!$AB:$AB,'MASTER PLAN'!$J:$J,0,0)=0,"",XLOOKUP(CONCAT(ES15,ET15),'MASTER PLAN'!$AB:$AB,'MASTER PLAN'!$J:$J,0,0)),"")</f>
        <v/>
      </c>
      <c r="EV15" s="70"/>
      <c r="EW15" s="94"/>
      <c r="EX15" s="71"/>
      <c r="EY15" s="32"/>
      <c r="EZ15" s="72" t="str">
        <f t="array" ref="EZ15">IFERROR(IF(XLOOKUP(CONCAT(EX15,EY15),'MASTER PLAN'!$AB:$AB,'MASTER PLAN'!$J:$J,0,0)=0,"",XLOOKUP(CONCAT(EX15,EY15),'MASTER PLAN'!$AB:$AB,'MASTER PLAN'!$J:$J,0,0)),"")</f>
        <v/>
      </c>
      <c r="FA15" s="70"/>
      <c r="FB15" s="94"/>
      <c r="FC15" s="70"/>
      <c r="FD15" s="71"/>
      <c r="FE15" s="32"/>
      <c r="FF15" s="72" t="str">
        <f t="array" ref="FF15">IFERROR(IF(XLOOKUP(CONCAT(FD15,FE15),'MASTER PLAN'!$AB:$AB,'MASTER PLAN'!$J:$J,0,0)=0,"",XLOOKUP(CONCAT(FD15,FE15),'MASTER PLAN'!$AB:$AB,'MASTER PLAN'!$J:$J,0,0)),"")</f>
        <v/>
      </c>
      <c r="FG15" s="70"/>
      <c r="FH15" s="94"/>
      <c r="FI15" s="71"/>
      <c r="FJ15" s="32"/>
      <c r="FK15" s="72" t="str">
        <f t="array" ref="FK15">IFERROR(IF(XLOOKUP(CONCAT(FI15,FJ15),'MASTER PLAN'!$AB:$AB,'MASTER PLAN'!$J:$J,0,0)=0,"",XLOOKUP(CONCAT(FI15,FJ15),'MASTER PLAN'!$AB:$AB,'MASTER PLAN'!$J:$J,0,0)),"")</f>
        <v/>
      </c>
      <c r="FL15" s="70"/>
      <c r="FM15" s="94"/>
      <c r="FN15" s="71"/>
      <c r="FO15" s="32"/>
      <c r="FP15" s="72" t="str">
        <f t="array" ref="FP15">IFERROR(IF(XLOOKUP(CONCAT(FN15,FO15),'MASTER PLAN'!$AB:$AB,'MASTER PLAN'!$J:$J,0,0)=0,"",XLOOKUP(CONCAT(FN15,FO15),'MASTER PLAN'!$AB:$AB,'MASTER PLAN'!$J:$J,0,0)),"")</f>
        <v/>
      </c>
      <c r="FQ15" s="70"/>
      <c r="FR15" s="94"/>
      <c r="FS15" s="71"/>
      <c r="FT15" s="32"/>
      <c r="FU15" s="72" t="str">
        <f t="array" ref="FU15">IFERROR(IF(XLOOKUP(CONCAT(FS15,FT15),'MASTER PLAN'!$AB:$AB,'MASTER PLAN'!$J:$J,0,0)=0,"",XLOOKUP(CONCAT(FS15,FT15),'MASTER PLAN'!$AB:$AB,'MASTER PLAN'!$J:$J,0,0)),"")</f>
        <v/>
      </c>
      <c r="FV15" s="70"/>
      <c r="FW15" s="94"/>
      <c r="FX15" s="71"/>
      <c r="FY15" s="32"/>
      <c r="FZ15" s="72" t="str">
        <f t="array" ref="FZ15">IFERROR(IF(XLOOKUP(CONCAT(FX15,FY15),'MASTER PLAN'!$AB:$AB,'MASTER PLAN'!$J:$J,0,0)=0,"",XLOOKUP(CONCAT(FX15,FY15),'MASTER PLAN'!$AB:$AB,'MASTER PLAN'!$J:$J,0,0)),"")</f>
        <v/>
      </c>
      <c r="GA15" s="70"/>
      <c r="GB15" s="94"/>
      <c r="GC15" s="71"/>
      <c r="GD15" s="32"/>
      <c r="GE15" s="72" t="str">
        <f t="array" ref="GE15">IFERROR(IF(XLOOKUP(CONCAT(GC15,GD15),'MASTER PLAN'!$AB:$AB,'MASTER PLAN'!$J:$J,0,0)=0,"",XLOOKUP(CONCAT(GC15,GD15),'MASTER PLAN'!$AB:$AB,'MASTER PLAN'!$J:$J,0,0)),"")</f>
        <v/>
      </c>
      <c r="GF15" s="70"/>
      <c r="GG15" s="94"/>
      <c r="GH15" s="70"/>
      <c r="GI15" s="71"/>
      <c r="GJ15" s="32"/>
      <c r="GK15" s="72" t="str">
        <f t="array" ref="GK15">IFERROR(IF(XLOOKUP(CONCAT(GI15,GJ15),'MASTER PLAN'!$AB:$AB,'MASTER PLAN'!$J:$J,0,0)=0,"",XLOOKUP(CONCAT(GI15,GJ15),'MASTER PLAN'!$AB:$AB,'MASTER PLAN'!$J:$J,0,0)),"")</f>
        <v/>
      </c>
      <c r="GL15" s="70"/>
      <c r="GM15" s="94"/>
      <c r="GN15" s="71"/>
      <c r="GO15" s="32"/>
      <c r="GP15" s="72" t="str">
        <f t="array" ref="GP15">IFERROR(IF(XLOOKUP(CONCAT(GN15,GO15),'MASTER PLAN'!$AB:$AB,'MASTER PLAN'!$J:$J,0,0)=0,"",XLOOKUP(CONCAT(GN15,GO15),'MASTER PLAN'!$AB:$AB,'MASTER PLAN'!$J:$J,0,0)),"")</f>
        <v/>
      </c>
      <c r="GQ15" s="70"/>
      <c r="GR15" s="94"/>
      <c r="GS15" s="71"/>
      <c r="GT15" s="32"/>
      <c r="GU15" s="72" t="str">
        <f t="array" ref="GU15">IFERROR(IF(XLOOKUP(CONCAT(GS15,GT15),'MASTER PLAN'!$AB:$AB,'MASTER PLAN'!$J:$J,0,0)=0,"",XLOOKUP(CONCAT(GS15,GT15),'MASTER PLAN'!$AB:$AB,'MASTER PLAN'!$J:$J,0,0)),"")</f>
        <v/>
      </c>
      <c r="GV15" s="70"/>
      <c r="GW15" s="94"/>
      <c r="GX15" s="71"/>
      <c r="GY15" s="32"/>
      <c r="GZ15" s="72" t="str">
        <f t="array" ref="GZ15">IFERROR(IF(XLOOKUP(CONCAT(GX15,GY15),'MASTER PLAN'!$AB:$AB,'MASTER PLAN'!$J:$J,0,0)=0,"",XLOOKUP(CONCAT(GX15,GY15),'MASTER PLAN'!$AB:$AB,'MASTER PLAN'!$J:$J,0,0)),"")</f>
        <v/>
      </c>
      <c r="HA15" s="70"/>
      <c r="HB15" s="94"/>
      <c r="HC15" s="71"/>
      <c r="HD15" s="32"/>
      <c r="HE15" s="72" t="str">
        <f t="array" ref="HE15">IFERROR(IF(XLOOKUP(CONCAT(HC15,HD15),'MASTER PLAN'!$AB:$AB,'MASTER PLAN'!$J:$J,0,0)=0,"",XLOOKUP(CONCAT(HC15,HD15),'MASTER PLAN'!$AB:$AB,'MASTER PLAN'!$J:$J,0,0)),"")</f>
        <v/>
      </c>
      <c r="HF15" s="70"/>
      <c r="HG15" s="94"/>
      <c r="HH15" s="71"/>
      <c r="HI15" s="32"/>
      <c r="HJ15" s="72" t="str">
        <f t="array" ref="HJ15">IFERROR(IF(XLOOKUP(CONCAT(HH15,HI15),'MASTER PLAN'!$AB:$AB,'MASTER PLAN'!$J:$J,0,0)=0,"",XLOOKUP(CONCAT(HH15,HI15),'MASTER PLAN'!$AB:$AB,'MASTER PLAN'!$J:$J,0,0)),"")</f>
        <v/>
      </c>
      <c r="HK15" s="70"/>
      <c r="HL15" s="94"/>
      <c r="HM15" s="70"/>
      <c r="HN15" s="71"/>
      <c r="HO15" s="32"/>
      <c r="HP15" s="72" t="str">
        <f t="array" ref="HP15">IFERROR(IF(XLOOKUP(CONCAT(HN15,HO15),'MASTER PLAN'!$AB:$AB,'MASTER PLAN'!$J:$J,0,0)=0,"",XLOOKUP(CONCAT(HN15,HO15),'MASTER PLAN'!$AB:$AB,'MASTER PLAN'!$J:$J,0,0)),"")</f>
        <v/>
      </c>
      <c r="HQ15" s="70"/>
      <c r="HR15" s="94"/>
      <c r="HS15" s="71"/>
      <c r="HT15" s="32"/>
      <c r="HU15" s="72" t="str">
        <f t="array" ref="HU15">IFERROR(IF(XLOOKUP(CONCAT(HS15,HT15),'MASTER PLAN'!$AB:$AB,'MASTER PLAN'!$J:$J,0,0)=0,"",XLOOKUP(CONCAT(HS15,HT15),'MASTER PLAN'!$AB:$AB,'MASTER PLAN'!$J:$J,0,0)),"")</f>
        <v/>
      </c>
      <c r="HV15" s="70"/>
      <c r="HW15" s="94"/>
      <c r="HX15" s="71"/>
      <c r="HY15" s="32"/>
      <c r="HZ15" s="72" t="str">
        <f t="array" ref="HZ15">IFERROR(IF(XLOOKUP(CONCAT(HX15,HY15),'MASTER PLAN'!$AB:$AB,'MASTER PLAN'!$J:$J,0,0)=0,"",XLOOKUP(CONCAT(HX15,HY15),'MASTER PLAN'!$AB:$AB,'MASTER PLAN'!$J:$J,0,0)),"")</f>
        <v/>
      </c>
      <c r="IA15" s="70"/>
      <c r="IB15" s="94"/>
      <c r="IC15" s="90"/>
      <c r="ID15" s="91"/>
      <c r="IE15" s="72" t="str">
        <f t="array" ref="IE15">IFERROR(IF(XLOOKUP(CONCAT(IC15,ID15),'MASTER PLAN'!$AB:$AB,'MASTER PLAN'!$J:$J,0,0)=0,"",XLOOKUP(CONCAT(IC15,ID15),'MASTER PLAN'!$AB:$AB,'MASTER PLAN'!$J:$J,0,0)),"")</f>
        <v/>
      </c>
      <c r="IF15" s="70"/>
      <c r="IG15" s="94"/>
      <c r="IH15" s="71"/>
      <c r="II15" s="32"/>
      <c r="IJ15" s="72" t="str">
        <f t="array" ref="IJ15">IFERROR(IF(XLOOKUP(CONCAT(IH15,II15),'MASTER PLAN'!$AB:$AB,'MASTER PLAN'!$J:$J,0,0)=0,"",XLOOKUP(CONCAT(IH15,II15),'MASTER PLAN'!$AB:$AB,'MASTER PLAN'!$J:$J,0,0)),"")</f>
        <v/>
      </c>
      <c r="IK15" s="70"/>
      <c r="IL15" s="94"/>
      <c r="IM15" s="71"/>
      <c r="IN15" s="32"/>
      <c r="IO15" s="72" t="str">
        <f t="array" ref="IO15">IFERROR(IF(XLOOKUP(CONCAT(IM15,IN15),'MASTER PLAN'!$AB:$AB,'MASTER PLAN'!$J:$J,0,0)=0,"",XLOOKUP(CONCAT(IM15,IN15),'MASTER PLAN'!$AB:$AB,'MASTER PLAN'!$J:$J,0,0)),"")</f>
        <v/>
      </c>
      <c r="IP15" s="70"/>
      <c r="IQ15" s="94"/>
      <c r="IR15" s="70"/>
      <c r="IS15" s="71"/>
      <c r="IT15" s="32"/>
      <c r="IU15" s="72" t="str">
        <f t="array" ref="IU15">IFERROR(IF(XLOOKUP(CONCAT(IS15,IT15),'MASTER PLAN'!$AB:$AB,'MASTER PLAN'!$J:$J,0,0)=0,"",XLOOKUP(CONCAT(IS15,IT15),'MASTER PLAN'!$AB:$AB,'MASTER PLAN'!$J:$J,0,0)),"")</f>
        <v/>
      </c>
      <c r="IV15" s="70"/>
      <c r="IW15" s="94"/>
      <c r="IX15" s="71"/>
      <c r="IY15" s="32"/>
      <c r="IZ15" s="72" t="str">
        <f t="array" ref="IZ15">IFERROR(IF(XLOOKUP(CONCAT(IX15,IY15),'MASTER PLAN'!$AB:$AB,'MASTER PLAN'!$J:$J,0,0)=0,"",XLOOKUP(CONCAT(IX15,IY15),'MASTER PLAN'!$AB:$AB,'MASTER PLAN'!$J:$J,0,0)),"")</f>
        <v/>
      </c>
      <c r="JA15" s="70"/>
      <c r="JB15" s="94"/>
      <c r="JC15" s="71"/>
      <c r="JD15" s="32"/>
      <c r="JE15" s="72" t="str">
        <f t="array" ref="JE15">IFERROR(IF(XLOOKUP(CONCAT(JC15,JD15),'MASTER PLAN'!$AB:$AB,'MASTER PLAN'!$J:$J,0,0)=0,"",XLOOKUP(CONCAT(JC15,JD15),'MASTER PLAN'!$AB:$AB,'MASTER PLAN'!$J:$J,0,0)),"")</f>
        <v/>
      </c>
      <c r="JF15" s="70"/>
      <c r="JG15" s="94"/>
      <c r="JH15" s="90"/>
      <c r="JI15" s="91"/>
      <c r="JJ15" s="72" t="str">
        <f t="array" ref="JJ15">IFERROR(IF(XLOOKUP(CONCAT(JH15,JI15),'MASTER PLAN'!$AB:$AB,'MASTER PLAN'!$J:$J,0,0)=0,"",XLOOKUP(CONCAT(JH15,JI15),'MASTER PLAN'!$AB:$AB,'MASTER PLAN'!$J:$J,0,0)),"")</f>
        <v/>
      </c>
      <c r="JK15" s="70"/>
      <c r="JL15" s="94"/>
      <c r="JM15" s="71"/>
      <c r="JN15" s="32"/>
      <c r="JO15" s="72" t="str">
        <f t="array" ref="JO15">IFERROR(IF(XLOOKUP(CONCAT(JM15,JN15),'MASTER PLAN'!$AB:$AB,'MASTER PLAN'!$J:$J,0,0)=0,"",XLOOKUP(CONCAT(JM15,JN15),'MASTER PLAN'!$AB:$AB,'MASTER PLAN'!$J:$J,0,0)),"")</f>
        <v/>
      </c>
      <c r="JP15" s="70"/>
      <c r="JQ15" s="94"/>
      <c r="JR15" s="71"/>
      <c r="JS15" s="32"/>
      <c r="JT15" s="72" t="str">
        <f t="array" ref="JT15">IFERROR(IF(XLOOKUP(CONCAT(JR15,JS15),'MASTER PLAN'!$AB:$AB,'MASTER PLAN'!$J:$J,0,0)=0,"",XLOOKUP(CONCAT(JR15,JS15),'MASTER PLAN'!$AB:$AB,'MASTER PLAN'!$J:$J,0,0)),"")</f>
        <v/>
      </c>
      <c r="JU15" s="70"/>
      <c r="JV15" s="94"/>
      <c r="JW15" s="70"/>
      <c r="JX15" s="71"/>
      <c r="JY15" s="32"/>
      <c r="JZ15" s="72" t="str">
        <f t="array" ref="JZ15">IFERROR(IF(XLOOKUP(CONCAT(JX15,JY15),'MASTER PLAN'!$AB:$AB,'MASTER PLAN'!$J:$J,0,0)=0,"",XLOOKUP(CONCAT(JX15,JY15),'MASTER PLAN'!$AB:$AB,'MASTER PLAN'!$J:$J,0,0)),"")</f>
        <v/>
      </c>
      <c r="KA15" s="70"/>
      <c r="KB15" s="94"/>
      <c r="KC15" s="71"/>
      <c r="KD15" s="32"/>
      <c r="KE15" s="72" t="str">
        <f t="array" ref="KE15">IFERROR(IF(XLOOKUP(CONCAT(KC15,KD15),'MASTER PLAN'!$AB:$AB,'MASTER PLAN'!$J:$J,0,0)=0,"",XLOOKUP(CONCAT(KC15,KD15),'MASTER PLAN'!$AB:$AB,'MASTER PLAN'!$J:$J,0,0)),"")</f>
        <v/>
      </c>
      <c r="KF15" s="70"/>
      <c r="KG15" s="94"/>
      <c r="KH15" s="71"/>
      <c r="KI15" s="32"/>
      <c r="KJ15" s="72" t="str">
        <f t="array" ref="KJ15">IFERROR(IF(XLOOKUP(CONCAT(KH15,KI15),'MASTER PLAN'!$AB:$AB,'MASTER PLAN'!$J:$J,0,0)=0,"",XLOOKUP(CONCAT(KH15,KI15),'MASTER PLAN'!$AB:$AB,'MASTER PLAN'!$J:$J,0,0)),"")</f>
        <v/>
      </c>
      <c r="KK15" s="70"/>
      <c r="KL15" s="94"/>
      <c r="KM15" s="71"/>
      <c r="KN15" s="32"/>
      <c r="KO15" s="72" t="str">
        <f t="array" ref="KO15">IFERROR(IF(XLOOKUP(CONCAT(KM15,KN15),'MASTER PLAN'!$AB:$AB,'MASTER PLAN'!$J:$J,0,0)=0,"",XLOOKUP(CONCAT(KM15,KN15),'MASTER PLAN'!$AB:$AB,'MASTER PLAN'!$J:$J,0,0)),"")</f>
        <v/>
      </c>
      <c r="KP15" s="70"/>
      <c r="KQ15" s="94"/>
      <c r="KR15" s="71"/>
      <c r="KS15" s="32"/>
      <c r="KT15" s="72" t="str">
        <f t="array" ref="KT15">IFERROR(IF(XLOOKUP(CONCAT(KR15,KS15),'MASTER PLAN'!$AB:$AB,'MASTER PLAN'!$J:$J,0,0)=0,"",XLOOKUP(CONCAT(KR15,KS15),'MASTER PLAN'!$AB:$AB,'MASTER PLAN'!$J:$J,0,0)),"")</f>
        <v/>
      </c>
      <c r="KU15" s="70"/>
      <c r="KV15" s="94"/>
      <c r="KW15" s="71"/>
      <c r="KX15" s="32"/>
      <c r="KY15" s="72" t="str">
        <f t="array" ref="KY15">IFERROR(IF(XLOOKUP(CONCAT(KW15,KX15),'MASTER PLAN'!$AB:$AB,'MASTER PLAN'!$J:$J,0,0)=0,"",XLOOKUP(CONCAT(KW15,KX15),'MASTER PLAN'!$AB:$AB,'MASTER PLAN'!$J:$J,0,0)),"")</f>
        <v/>
      </c>
      <c r="KZ15" s="70"/>
      <c r="LA15" s="94"/>
      <c r="LB15" s="70"/>
      <c r="LC15" s="71"/>
      <c r="LD15" s="32"/>
      <c r="LE15" s="72" t="str">
        <f t="array" ref="LE15">IFERROR(IF(XLOOKUP(CONCAT(LC15,LD15),'MASTER PLAN'!$AB:$AB,'MASTER PLAN'!$J:$J,0,0)=0,"",XLOOKUP(CONCAT(LC15,LD15),'MASTER PLAN'!$AB:$AB,'MASTER PLAN'!$J:$J,0,0)),"")</f>
        <v/>
      </c>
      <c r="LF15" s="70"/>
      <c r="LG15" s="94"/>
      <c r="LH15" s="71"/>
      <c r="LI15" s="32"/>
      <c r="LJ15" s="72" t="str">
        <f t="array" ref="LJ15">IFERROR(IF(XLOOKUP(CONCAT(LH15,LI15),'MASTER PLAN'!$AB:$AB,'MASTER PLAN'!$J:$J,0,0)=0,"",XLOOKUP(CONCAT(LH15,LI15),'MASTER PLAN'!$AB:$AB,'MASTER PLAN'!$J:$J,0,0)),"")</f>
        <v/>
      </c>
      <c r="LK15" s="70"/>
      <c r="LL15" s="94"/>
      <c r="LM15" s="71"/>
      <c r="LN15" s="32"/>
      <c r="LO15" s="72" t="str">
        <f t="array" ref="LO15">IFERROR(IF(XLOOKUP(CONCAT(LM15,LN15),'MASTER PLAN'!$AB:$AB,'MASTER PLAN'!$J:$J,0,0)=0,"",XLOOKUP(CONCAT(LM15,LN15),'MASTER PLAN'!$AB:$AB,'MASTER PLAN'!$J:$J,0,0)),"")</f>
        <v/>
      </c>
      <c r="LP15" s="70"/>
      <c r="LQ15" s="94"/>
      <c r="LR15" s="71"/>
      <c r="LS15" s="32"/>
      <c r="LT15" s="72" t="str">
        <f t="array" ref="LT15">IFERROR(IF(XLOOKUP(CONCAT(LR15,LS15),'MASTER PLAN'!$AB:$AB,'MASTER PLAN'!$J:$J,0,0)=0,"",XLOOKUP(CONCAT(LR15,LS15),'MASTER PLAN'!$AB:$AB,'MASTER PLAN'!$J:$J,0,0)),"")</f>
        <v/>
      </c>
      <c r="LU15" s="70"/>
      <c r="LV15" s="94"/>
      <c r="LW15" s="71"/>
      <c r="LX15" s="32"/>
      <c r="LY15" s="72" t="str">
        <f t="array" ref="LY15">IFERROR(IF(XLOOKUP(CONCAT(LW15,LX15),'MASTER PLAN'!$AB:$AB,'MASTER PLAN'!$J:$J,0,0)=0,"",XLOOKUP(CONCAT(LW15,LX15),'MASTER PLAN'!$AB:$AB,'MASTER PLAN'!$J:$J,0,0)),"")</f>
        <v/>
      </c>
      <c r="LZ15" s="70"/>
      <c r="MA15" s="94"/>
      <c r="MB15" s="71"/>
      <c r="MC15" s="32"/>
      <c r="MD15" s="72" t="str">
        <f t="array" ref="MD15">IFERROR(IF(XLOOKUP(CONCAT(MB15,MC15),'MASTER PLAN'!$AB:$AB,'MASTER PLAN'!$J:$J,0,0)=0,"",XLOOKUP(CONCAT(MB15,MC15),'MASTER PLAN'!$AB:$AB,'MASTER PLAN'!$J:$J,0,0)),"")</f>
        <v/>
      </c>
      <c r="ME15" s="70"/>
      <c r="MF15" s="94"/>
      <c r="MG15" s="70"/>
      <c r="MH15" s="71"/>
      <c r="MI15" s="32"/>
      <c r="MJ15" s="72" t="str">
        <f t="array" ref="MJ15">IFERROR(IF(XLOOKUP(CONCAT(MH15,MI15),'MASTER PLAN'!$AB:$AB,'MASTER PLAN'!$J:$J,0,0)=0,"",XLOOKUP(CONCAT(MH15,MI15),'MASTER PLAN'!$AB:$AB,'MASTER PLAN'!$J:$J,0,0)),"")</f>
        <v/>
      </c>
      <c r="MK15" s="70"/>
      <c r="ML15" s="94"/>
      <c r="MM15" s="71"/>
      <c r="MN15" s="32"/>
      <c r="MO15" s="72" t="str">
        <f t="array" ref="MO15">IFERROR(IF(XLOOKUP(CONCAT(MM15,MN15),'MASTER PLAN'!$AB:$AB,'MASTER PLAN'!$J:$J,0,0)=0,"",XLOOKUP(CONCAT(MM15,MN15),'MASTER PLAN'!$AB:$AB,'MASTER PLAN'!$J:$J,0,0)),"")</f>
        <v/>
      </c>
      <c r="MP15" s="70"/>
      <c r="MQ15" s="94"/>
      <c r="MR15" s="71"/>
      <c r="MS15" s="32"/>
      <c r="MT15" s="72" t="str">
        <f t="array" ref="MT15">IFERROR(IF(XLOOKUP(CONCAT(MR15,MS15),'MASTER PLAN'!$AB:$AB,'MASTER PLAN'!$J:$J,0,0)=0,"",XLOOKUP(CONCAT(MR15,MS15),'MASTER PLAN'!$AB:$AB,'MASTER PLAN'!$J:$J,0,0)),"")</f>
        <v/>
      </c>
      <c r="MU15" s="70"/>
      <c r="MV15" s="94"/>
      <c r="MW15" s="71"/>
      <c r="MX15" s="32"/>
      <c r="MY15" s="72" t="str">
        <f t="array" ref="MY15">IFERROR(IF(XLOOKUP(CONCAT(MW15,MX15),'MASTER PLAN'!$AB:$AB,'MASTER PLAN'!$J:$J,0,0)=0,"",XLOOKUP(CONCAT(MW15,MX15),'MASTER PLAN'!$AB:$AB,'MASTER PLAN'!$J:$J,0,0)),"")</f>
        <v/>
      </c>
      <c r="MZ15" s="70"/>
      <c r="NA15" s="94"/>
      <c r="NB15" s="71"/>
      <c r="NC15" s="32"/>
      <c r="ND15" s="72" t="str">
        <f t="array" ref="ND15">IFERROR(IF(XLOOKUP(CONCAT(NB15,NC15),'MASTER PLAN'!$AB:$AB,'MASTER PLAN'!$J:$J,0,0)=0,"",XLOOKUP(CONCAT(NB15,NC15),'MASTER PLAN'!$AB:$AB,'MASTER PLAN'!$J:$J,0,0)),"")</f>
        <v/>
      </c>
      <c r="NE15" s="70"/>
      <c r="NF15" s="94"/>
      <c r="NG15" s="71"/>
      <c r="NH15" s="32"/>
      <c r="NI15" s="72" t="str">
        <f t="array" ref="NI15">IFERROR(IF(XLOOKUP(CONCAT(NG15,NH15),'MASTER PLAN'!$AB:$AB,'MASTER PLAN'!$J:$J,0,0)=0,"",XLOOKUP(CONCAT(NG15,NH15),'MASTER PLAN'!$AB:$AB,'MASTER PLAN'!$J:$J,0,0)),"")</f>
        <v/>
      </c>
      <c r="NJ15" s="70"/>
      <c r="NK15" s="94"/>
      <c r="NL15" s="70"/>
      <c r="NM15" s="71"/>
      <c r="NN15" s="32"/>
      <c r="NO15" s="72" t="str">
        <f t="array" ref="NO15">IFERROR(IF(XLOOKUP(CONCAT(NM15,NN15),'MASTER PLAN'!$AB:$AB,'MASTER PLAN'!$J:$J,0,0)=0,"",XLOOKUP(CONCAT(NM15,NN15),'MASTER PLAN'!$AB:$AB,'MASTER PLAN'!$J:$J,0,0)),"")</f>
        <v/>
      </c>
      <c r="NP15" s="70"/>
      <c r="NQ15" s="94"/>
      <c r="NR15" s="71"/>
      <c r="NS15" s="32"/>
      <c r="NT15" s="72" t="str">
        <f t="array" ref="NT15">IFERROR(IF(XLOOKUP(CONCAT(NR15,NS15),'MASTER PLAN'!$AB:$AB,'MASTER PLAN'!$J:$J,0,0)=0,"",XLOOKUP(CONCAT(NR15,NS15),'MASTER PLAN'!$AB:$AB,'MASTER PLAN'!$J:$J,0,0)),"")</f>
        <v/>
      </c>
      <c r="NU15" s="70"/>
      <c r="NV15" s="94"/>
      <c r="NW15" s="71"/>
      <c r="NX15" s="32"/>
      <c r="NY15" s="72" t="str">
        <f t="array" ref="NY15">IFERROR(IF(XLOOKUP(CONCAT(NW15,NX15),'MASTER PLAN'!$AB:$AB,'MASTER PLAN'!$J:$J,0,0)=0,"",XLOOKUP(CONCAT(NW15,NX15),'MASTER PLAN'!$AB:$AB,'MASTER PLAN'!$J:$J,0,0)),"")</f>
        <v/>
      </c>
      <c r="NZ15" s="70"/>
      <c r="OA15" s="94"/>
      <c r="OB15" s="71"/>
      <c r="OC15" s="32"/>
      <c r="OD15" s="72" t="str">
        <f t="array" ref="OD15">IFERROR(IF(XLOOKUP(CONCAT(OB15,OC15),'MASTER PLAN'!$AB:$AB,'MASTER PLAN'!$J:$J,0,0)=0,"",XLOOKUP(CONCAT(OB15,OC15),'MASTER PLAN'!$AB:$AB,'MASTER PLAN'!$J:$J,0,0)),"")</f>
        <v/>
      </c>
      <c r="OE15" s="70"/>
      <c r="OF15" s="94"/>
      <c r="OG15" s="71"/>
      <c r="OH15" s="32"/>
      <c r="OI15" s="72" t="str">
        <f t="array" ref="OI15">IFERROR(IF(XLOOKUP(CONCAT(OG15,OH15),'MASTER PLAN'!$AB:$AB,'MASTER PLAN'!$J:$J,0,0)=0,"",XLOOKUP(CONCAT(OG15,OH15),'MASTER PLAN'!$AB:$AB,'MASTER PLAN'!$J:$J,0,0)),"")</f>
        <v/>
      </c>
      <c r="OJ15" s="70"/>
      <c r="OK15" s="94"/>
      <c r="OL15" s="71"/>
      <c r="OM15" s="32"/>
      <c r="ON15" s="72" t="str">
        <f t="array" ref="ON15">IFERROR(IF(XLOOKUP(CONCAT(OL15,OM15),'MASTER PLAN'!$AB:$AB,'MASTER PLAN'!$J:$J,0,0)=0,"",XLOOKUP(CONCAT(OL15,OM15),'MASTER PLAN'!$AB:$AB,'MASTER PLAN'!$J:$J,0,0)),"")</f>
        <v/>
      </c>
      <c r="OO15" s="70"/>
      <c r="OP15" s="94"/>
      <c r="OQ15" s="70"/>
      <c r="OR15" s="70"/>
      <c r="OS15" s="70"/>
      <c r="OT15" s="70"/>
      <c r="OU15" s="70"/>
      <c r="OV15" s="70"/>
      <c r="OW15" s="70"/>
      <c r="OX15" s="70"/>
      <c r="OY15" s="70"/>
      <c r="OZ15" s="70"/>
      <c r="PA15" s="70"/>
      <c r="PB15" s="70"/>
      <c r="PC15" s="70"/>
      <c r="PD15" s="70"/>
      <c r="PE15" s="70"/>
      <c r="PF15" s="70"/>
      <c r="PG15" s="70"/>
      <c r="PH15" s="70"/>
      <c r="PI15" s="70"/>
      <c r="PJ15" s="70"/>
    </row>
    <row r="16">
      <c r="A16" s="42"/>
      <c r="B16" s="75"/>
      <c r="C16" s="76"/>
      <c r="D16" s="70"/>
      <c r="E16" s="77"/>
      <c r="F16" s="78"/>
      <c r="G16" s="79" t="str">
        <f t="array" ref="G16">IFERROR(IF(XLOOKUP(CONCAT(E16,F16),'MASTER PLAN'!$AB:$AB,'MASTER PLAN'!$J:$J,0,0)=0,"",XLOOKUP(CONCAT(E16,F16),'MASTER PLAN'!$AB:$AB,'MASTER PLAN'!$J:$J,0,0)),"")</f>
        <v/>
      </c>
      <c r="H16" s="98"/>
      <c r="I16" s="99"/>
      <c r="J16" s="77"/>
      <c r="K16" s="78"/>
      <c r="L16" s="79" t="str">
        <f t="array" ref="L16">IFERROR(IF(XLOOKUP(CONCAT(J16,K16),'MASTER PLAN'!$AB:$AB,'MASTER PLAN'!$J:$J,0,0)=0,"",XLOOKUP(CONCAT(J16,K16),'MASTER PLAN'!$AB:$AB,'MASTER PLAN'!$J:$J,0,0)),"")</f>
        <v/>
      </c>
      <c r="M16" s="98"/>
      <c r="N16" s="99"/>
      <c r="O16" s="77"/>
      <c r="P16" s="78"/>
      <c r="Q16" s="79" t="str">
        <f t="array" ref="Q16">IFERROR(IF(XLOOKUP(CONCAT(O16,P16),'MASTER PLAN'!$AB:$AB,'MASTER PLAN'!$J:$J,0,0)=0,"",XLOOKUP(CONCAT(O16,P16),'MASTER PLAN'!$AB:$AB,'MASTER PLAN'!$J:$J,0,0)),"")</f>
        <v/>
      </c>
      <c r="R16" s="98"/>
      <c r="S16" s="99"/>
      <c r="T16" s="77"/>
      <c r="U16" s="78"/>
      <c r="V16" s="79" t="str">
        <f t="array" ref="V16">IFERROR(IF(XLOOKUP(CONCAT(T16,U16),'MASTER PLAN'!$AB:$AB,'MASTER PLAN'!$J:$J,0,0)=0,"",XLOOKUP(CONCAT(T16,U16),'MASTER PLAN'!$AB:$AB,'MASTER PLAN'!$J:$J,0,0)),"")</f>
        <v/>
      </c>
      <c r="W16" s="98"/>
      <c r="X16" s="99"/>
      <c r="Y16" s="77"/>
      <c r="Z16" s="78"/>
      <c r="AA16" s="79" t="str">
        <f t="array" ref="AA16">IFERROR(IF(XLOOKUP(CONCAT(Y16,Z16),'MASTER PLAN'!$AB:$AB,'MASTER PLAN'!$J:$J,0,0)=0,"",XLOOKUP(CONCAT(Y16,Z16),'MASTER PLAN'!$AB:$AB,'MASTER PLAN'!$J:$J,0,0)),"")</f>
        <v/>
      </c>
      <c r="AB16" s="98"/>
      <c r="AC16" s="99"/>
      <c r="AD16" s="77"/>
      <c r="AE16" s="78"/>
      <c r="AF16" s="79" t="str">
        <f t="array" ref="AF16">IFERROR(IF(XLOOKUP(CONCAT(AD16,AE16),'MASTER PLAN'!$AB:$AB,'MASTER PLAN'!$J:$J,0,0)=0,"",XLOOKUP(CONCAT(AD16,AE16),'MASTER PLAN'!$AB:$AB,'MASTER PLAN'!$J:$J,0,0)),"")</f>
        <v/>
      </c>
      <c r="AG16" s="98"/>
      <c r="AH16" s="99"/>
      <c r="AI16" s="70"/>
      <c r="AJ16" s="77"/>
      <c r="AK16" s="78"/>
      <c r="AL16" s="79" t="str">
        <f t="array" ref="AL16">IFERROR(IF(XLOOKUP(CONCAT(AJ16,AK16),'MASTER PLAN'!$AB:$AB,'MASTER PLAN'!$J:$J,0,0)=0,"",XLOOKUP(CONCAT(AJ16,AK16),'MASTER PLAN'!$AB:$AB,'MASTER PLAN'!$J:$J,0,0)),"")</f>
        <v/>
      </c>
      <c r="AM16" s="98"/>
      <c r="AN16" s="99"/>
      <c r="AO16" s="77"/>
      <c r="AP16" s="78"/>
      <c r="AQ16" s="79" t="str">
        <f t="array" ref="AQ16">IFERROR(IF(XLOOKUP(CONCAT(AO16,AP16),'MASTER PLAN'!$AB:$AB,'MASTER PLAN'!$J:$J,0,0)=0,"",XLOOKUP(CONCAT(AO16,AP16),'MASTER PLAN'!$AB:$AB,'MASTER PLAN'!$J:$J,0,0)),"")</f>
        <v/>
      </c>
      <c r="AR16" s="98"/>
      <c r="AS16" s="99"/>
      <c r="AT16" s="77"/>
      <c r="AU16" s="78"/>
      <c r="AV16" s="79" t="str">
        <f t="array" ref="AV16">IFERROR(IF(XLOOKUP(CONCAT(AT16,AU16),'MASTER PLAN'!$AB:$AB,'MASTER PLAN'!$J:$J,0,0)=0,"",XLOOKUP(CONCAT(AT16,AU16),'MASTER PLAN'!$AB:$AB,'MASTER PLAN'!$J:$J,0,0)),"")</f>
        <v/>
      </c>
      <c r="AW16" s="98"/>
      <c r="AX16" s="99"/>
      <c r="AY16" s="77"/>
      <c r="AZ16" s="78"/>
      <c r="BA16" s="79" t="str">
        <f t="array" ref="BA16">IFERROR(IF(XLOOKUP(CONCAT(AY16,AZ16),'MASTER PLAN'!$AB:$AB,'MASTER PLAN'!$J:$J,0,0)=0,"",XLOOKUP(CONCAT(AY16,AZ16),'MASTER PLAN'!$AB:$AB,'MASTER PLAN'!$J:$J,0,0)),"")</f>
        <v/>
      </c>
      <c r="BB16" s="98"/>
      <c r="BC16" s="99"/>
      <c r="BD16" s="77"/>
      <c r="BE16" s="78"/>
      <c r="BF16" s="79" t="str">
        <f t="array" ref="BF16">IFERROR(IF(XLOOKUP(CONCAT(BD16,BE16),'MASTER PLAN'!$AB:$AB,'MASTER PLAN'!$J:$J,0,0)=0,"",XLOOKUP(CONCAT(BD16,BE16),'MASTER PLAN'!$AB:$AB,'MASTER PLAN'!$J:$J,0,0)),"")</f>
        <v/>
      </c>
      <c r="BG16" s="98"/>
      <c r="BH16" s="99"/>
      <c r="BI16" s="77"/>
      <c r="BJ16" s="78"/>
      <c r="BK16" s="79" t="str">
        <f t="array" ref="BK16">IFERROR(IF(XLOOKUP(CONCAT(BI16,BJ16),'MASTER PLAN'!$AB:$AB,'MASTER PLAN'!$J:$J,0,0)=0,"",XLOOKUP(CONCAT(BI16,BJ16),'MASTER PLAN'!$AB:$AB,'MASTER PLAN'!$J:$J,0,0)),"")</f>
        <v/>
      </c>
      <c r="BL16" s="98"/>
      <c r="BM16" s="99"/>
      <c r="BN16" s="70"/>
      <c r="BO16" s="77"/>
      <c r="BP16" s="78"/>
      <c r="BQ16" s="79" t="str">
        <f t="array" ref="BQ16">IFERROR(IF(XLOOKUP(CONCAT(BO16,BP16),'MASTER PLAN'!$AB:$AB,'MASTER PLAN'!$J:$J,0,0)=0,"",XLOOKUP(CONCAT(BO16,BP16),'MASTER PLAN'!$AB:$AB,'MASTER PLAN'!$J:$J,0,0)),"")</f>
        <v/>
      </c>
      <c r="BR16" s="98"/>
      <c r="BS16" s="99"/>
      <c r="BT16" s="77"/>
      <c r="BU16" s="78"/>
      <c r="BV16" s="79" t="str">
        <f t="array" ref="BV16">IFERROR(IF(XLOOKUP(CONCAT(BT16,BU16),'MASTER PLAN'!$AB:$AB,'MASTER PLAN'!$J:$J,0,0)=0,"",XLOOKUP(CONCAT(BT16,BU16),'MASTER PLAN'!$AB:$AB,'MASTER PLAN'!$J:$J,0,0)),"")</f>
        <v/>
      </c>
      <c r="BW16" s="98"/>
      <c r="BX16" s="99"/>
      <c r="BY16" s="77"/>
      <c r="BZ16" s="78"/>
      <c r="CA16" s="79" t="str">
        <f t="array" ref="CA16">IFERROR(IF(XLOOKUP(CONCAT(BY16,BZ16),'MASTER PLAN'!$AB:$AB,'MASTER PLAN'!$J:$J,0,0)=0,"",XLOOKUP(CONCAT(BY16,BZ16),'MASTER PLAN'!$AB:$AB,'MASTER PLAN'!$J:$J,0,0)),"")</f>
        <v/>
      </c>
      <c r="CB16" s="98"/>
      <c r="CC16" s="99"/>
      <c r="CD16" s="77"/>
      <c r="CE16" s="78"/>
      <c r="CF16" s="79" t="str">
        <f t="array" ref="CF16">IFERROR(IF(XLOOKUP(CONCAT(CD16,CE16),'MASTER PLAN'!$AB:$AB,'MASTER PLAN'!$J:$J,0,0)=0,"",XLOOKUP(CONCAT(CD16,CE16),'MASTER PLAN'!$AB:$AB,'MASTER PLAN'!$J:$J,0,0)),"")</f>
        <v/>
      </c>
      <c r="CG16" s="98"/>
      <c r="CH16" s="99"/>
      <c r="CI16" s="77"/>
      <c r="CJ16" s="78"/>
      <c r="CK16" s="79" t="str">
        <f t="array" ref="CK16">IFERROR(IF(XLOOKUP(CONCAT(CI16,CJ16),'MASTER PLAN'!$AB:$AB,'MASTER PLAN'!$J:$J,0,0)=0,"",XLOOKUP(CONCAT(CI16,CJ16),'MASTER PLAN'!$AB:$AB,'MASTER PLAN'!$J:$J,0,0)),"")</f>
        <v/>
      </c>
      <c r="CL16" s="98"/>
      <c r="CM16" s="99"/>
      <c r="CN16" s="77"/>
      <c r="CO16" s="78"/>
      <c r="CP16" s="79" t="str">
        <f t="array" ref="CP16">IFERROR(IF(XLOOKUP(CONCAT(CN16,CO16),'MASTER PLAN'!$AB:$AB,'MASTER PLAN'!$J:$J,0,0)=0,"",XLOOKUP(CONCAT(CN16,CO16),'MASTER PLAN'!$AB:$AB,'MASTER PLAN'!$J:$J,0,0)),"")</f>
        <v/>
      </c>
      <c r="CQ16" s="98"/>
      <c r="CR16" s="99"/>
      <c r="CS16" s="70"/>
      <c r="CT16" s="77"/>
      <c r="CU16" s="78"/>
      <c r="CV16" s="79" t="str">
        <f t="array" ref="CV16">IFERROR(IF(XLOOKUP(CONCAT(CT16,CU16),'MASTER PLAN'!$AB:$AB,'MASTER PLAN'!$J:$J,0,0)=0,"",XLOOKUP(CONCAT(CT16,CU16),'MASTER PLAN'!$AB:$AB,'MASTER PLAN'!$J:$J,0,0)),"")</f>
        <v/>
      </c>
      <c r="CW16" s="98"/>
      <c r="CX16" s="99"/>
      <c r="CY16" s="77"/>
      <c r="CZ16" s="78"/>
      <c r="DA16" s="79" t="str">
        <f t="array" ref="DA16">IFERROR(IF(XLOOKUP(CONCAT(CY16,CZ16),'MASTER PLAN'!$AB:$AB,'MASTER PLAN'!$J:$J,0,0)=0,"",XLOOKUP(CONCAT(CY16,CZ16),'MASTER PLAN'!$AB:$AB,'MASTER PLAN'!$J:$J,0,0)),"")</f>
        <v/>
      </c>
      <c r="DB16" s="98"/>
      <c r="DC16" s="99"/>
      <c r="DD16" s="77"/>
      <c r="DE16" s="78"/>
      <c r="DF16" s="79" t="str">
        <f t="array" ref="DF16">IFERROR(IF(XLOOKUP(CONCAT(DD16,DE16),'MASTER PLAN'!$AB:$AB,'MASTER PLAN'!$J:$J,0,0)=0,"",XLOOKUP(CONCAT(DD16,DE16),'MASTER PLAN'!$AB:$AB,'MASTER PLAN'!$J:$J,0,0)),"")</f>
        <v/>
      </c>
      <c r="DG16" s="98"/>
      <c r="DH16" s="99"/>
      <c r="DI16" s="77"/>
      <c r="DJ16" s="78"/>
      <c r="DK16" s="79" t="str">
        <f t="array" ref="DK16">IFERROR(IF(XLOOKUP(CONCAT(DI16,DJ16),'MASTER PLAN'!$AB:$AB,'MASTER PLAN'!$J:$J,0,0)=0,"",XLOOKUP(CONCAT(DI16,DJ16),'MASTER PLAN'!$AB:$AB,'MASTER PLAN'!$J:$J,0,0)),"")</f>
        <v/>
      </c>
      <c r="DL16" s="98"/>
      <c r="DM16" s="99"/>
      <c r="DN16" s="77"/>
      <c r="DO16" s="78"/>
      <c r="DP16" s="79" t="str">
        <f t="array" ref="DP16">IFERROR(IF(XLOOKUP(CONCAT(DN16,DO16),'MASTER PLAN'!$AB:$AB,'MASTER PLAN'!$J:$J,0,0)=0,"",XLOOKUP(CONCAT(DN16,DO16),'MASTER PLAN'!$AB:$AB,'MASTER PLAN'!$J:$J,0,0)),"")</f>
        <v/>
      </c>
      <c r="DQ16" s="98"/>
      <c r="DR16" s="99"/>
      <c r="DS16" s="77"/>
      <c r="DT16" s="78"/>
      <c r="DU16" s="79" t="str">
        <f t="array" ref="DU16">IFERROR(IF(XLOOKUP(CONCAT(DS16,DT16),'MASTER PLAN'!$AB:$AB,'MASTER PLAN'!$J:$J,0,0)=0,"",XLOOKUP(CONCAT(DS16,DT16),'MASTER PLAN'!$AB:$AB,'MASTER PLAN'!$J:$J,0,0)),"")</f>
        <v/>
      </c>
      <c r="DV16" s="98"/>
      <c r="DW16" s="99"/>
      <c r="DX16" s="70"/>
      <c r="DY16" s="77"/>
      <c r="DZ16" s="78"/>
      <c r="EA16" s="79" t="str">
        <f t="array" ref="EA16">IFERROR(IF(XLOOKUP(CONCAT(DY16,DZ16),'MASTER PLAN'!$AB:$AB,'MASTER PLAN'!$J:$J,0,0)=0,"",XLOOKUP(CONCAT(DY16,DZ16),'MASTER PLAN'!$AB:$AB,'MASTER PLAN'!$J:$J,0,0)),"")</f>
        <v/>
      </c>
      <c r="EB16" s="98"/>
      <c r="EC16" s="99"/>
      <c r="ED16" s="77"/>
      <c r="EE16" s="78"/>
      <c r="EF16" s="79" t="str">
        <f t="array" ref="EF16">IFERROR(IF(XLOOKUP(CONCAT(ED16,EE16),'MASTER PLAN'!$AB:$AB,'MASTER PLAN'!$J:$J,0,0)=0,"",XLOOKUP(CONCAT(ED16,EE16),'MASTER PLAN'!$AB:$AB,'MASTER PLAN'!$J:$J,0,0)),"")</f>
        <v/>
      </c>
      <c r="EG16" s="98"/>
      <c r="EH16" s="99"/>
      <c r="EI16" s="77"/>
      <c r="EJ16" s="78"/>
      <c r="EK16" s="79" t="str">
        <f t="array" ref="EK16">IFERROR(IF(XLOOKUP(CONCAT(EI16,EJ16),'MASTER PLAN'!$AB:$AB,'MASTER PLAN'!$J:$J,0,0)=0,"",XLOOKUP(CONCAT(EI16,EJ16),'MASTER PLAN'!$AB:$AB,'MASTER PLAN'!$J:$J,0,0)),"")</f>
        <v/>
      </c>
      <c r="EL16" s="98"/>
      <c r="EM16" s="99"/>
      <c r="EN16" s="77"/>
      <c r="EO16" s="78"/>
      <c r="EP16" s="79" t="str">
        <f t="array" ref="EP16">IFERROR(IF(XLOOKUP(CONCAT(EN16,EO16),'MASTER PLAN'!$AB:$AB,'MASTER PLAN'!$J:$J,0,0)=0,"",XLOOKUP(CONCAT(EN16,EO16),'MASTER PLAN'!$AB:$AB,'MASTER PLAN'!$J:$J,0,0)),"")</f>
        <v/>
      </c>
      <c r="EQ16" s="98"/>
      <c r="ER16" s="99"/>
      <c r="ES16" s="77"/>
      <c r="ET16" s="78"/>
      <c r="EU16" s="79" t="str">
        <f t="array" ref="EU16">IFERROR(IF(XLOOKUP(CONCAT(ES16,ET16),'MASTER PLAN'!$AB:$AB,'MASTER PLAN'!$J:$J,0,0)=0,"",XLOOKUP(CONCAT(ES16,ET16),'MASTER PLAN'!$AB:$AB,'MASTER PLAN'!$J:$J,0,0)),"")</f>
        <v/>
      </c>
      <c r="EV16" s="98"/>
      <c r="EW16" s="99"/>
      <c r="EX16" s="77"/>
      <c r="EY16" s="78"/>
      <c r="EZ16" s="79" t="str">
        <f t="array" ref="EZ16">IFERROR(IF(XLOOKUP(CONCAT(EX16,EY16),'MASTER PLAN'!$AB:$AB,'MASTER PLAN'!$J:$J,0,0)=0,"",XLOOKUP(CONCAT(EX16,EY16),'MASTER PLAN'!$AB:$AB,'MASTER PLAN'!$J:$J,0,0)),"")</f>
        <v/>
      </c>
      <c r="FA16" s="98"/>
      <c r="FB16" s="99"/>
      <c r="FC16" s="70"/>
      <c r="FD16" s="77"/>
      <c r="FE16" s="78"/>
      <c r="FF16" s="79" t="str">
        <f t="array" ref="FF16">IFERROR(IF(XLOOKUP(CONCAT(FD16,FE16),'MASTER PLAN'!$AB:$AB,'MASTER PLAN'!$J:$J,0,0)=0,"",XLOOKUP(CONCAT(FD16,FE16),'MASTER PLAN'!$AB:$AB,'MASTER PLAN'!$J:$J,0,0)),"")</f>
        <v/>
      </c>
      <c r="FG16" s="98"/>
      <c r="FH16" s="99"/>
      <c r="FI16" s="77"/>
      <c r="FJ16" s="78"/>
      <c r="FK16" s="79" t="str">
        <f t="array" ref="FK16">IFERROR(IF(XLOOKUP(CONCAT(FI16,FJ16),'MASTER PLAN'!$AB:$AB,'MASTER PLAN'!$J:$J,0,0)=0,"",XLOOKUP(CONCAT(FI16,FJ16),'MASTER PLAN'!$AB:$AB,'MASTER PLAN'!$J:$J,0,0)),"")</f>
        <v/>
      </c>
      <c r="FL16" s="98"/>
      <c r="FM16" s="99"/>
      <c r="FN16" s="77"/>
      <c r="FO16" s="78"/>
      <c r="FP16" s="79" t="str">
        <f t="array" ref="FP16">IFERROR(IF(XLOOKUP(CONCAT(FN16,FO16),'MASTER PLAN'!$AB:$AB,'MASTER PLAN'!$J:$J,0,0)=0,"",XLOOKUP(CONCAT(FN16,FO16),'MASTER PLAN'!$AB:$AB,'MASTER PLAN'!$J:$J,0,0)),"")</f>
        <v/>
      </c>
      <c r="FQ16" s="98"/>
      <c r="FR16" s="99"/>
      <c r="FS16" s="77"/>
      <c r="FT16" s="78"/>
      <c r="FU16" s="79" t="str">
        <f t="array" ref="FU16">IFERROR(IF(XLOOKUP(CONCAT(FS16,FT16),'MASTER PLAN'!$AB:$AB,'MASTER PLAN'!$J:$J,0,0)=0,"",XLOOKUP(CONCAT(FS16,FT16),'MASTER PLAN'!$AB:$AB,'MASTER PLAN'!$J:$J,0,0)),"")</f>
        <v/>
      </c>
      <c r="FV16" s="98"/>
      <c r="FW16" s="99"/>
      <c r="FX16" s="77"/>
      <c r="FY16" s="78"/>
      <c r="FZ16" s="79" t="str">
        <f t="array" ref="FZ16">IFERROR(IF(XLOOKUP(CONCAT(FX16,FY16),'MASTER PLAN'!$AB:$AB,'MASTER PLAN'!$J:$J,0,0)=0,"",XLOOKUP(CONCAT(FX16,FY16),'MASTER PLAN'!$AB:$AB,'MASTER PLAN'!$J:$J,0,0)),"")</f>
        <v/>
      </c>
      <c r="GA16" s="98"/>
      <c r="GB16" s="99"/>
      <c r="GC16" s="77"/>
      <c r="GD16" s="78"/>
      <c r="GE16" s="79" t="str">
        <f t="array" ref="GE16">IFERROR(IF(XLOOKUP(CONCAT(GC16,GD16),'MASTER PLAN'!$AB:$AB,'MASTER PLAN'!$J:$J,0,0)=0,"",XLOOKUP(CONCAT(GC16,GD16),'MASTER PLAN'!$AB:$AB,'MASTER PLAN'!$J:$J,0,0)),"")</f>
        <v/>
      </c>
      <c r="GF16" s="98"/>
      <c r="GG16" s="99"/>
      <c r="GH16" s="70"/>
      <c r="GI16" s="77"/>
      <c r="GJ16" s="78"/>
      <c r="GK16" s="79" t="str">
        <f t="array" ref="GK16">IFERROR(IF(XLOOKUP(CONCAT(GI16,GJ16),'MASTER PLAN'!$AB:$AB,'MASTER PLAN'!$J:$J,0,0)=0,"",XLOOKUP(CONCAT(GI16,GJ16),'MASTER PLAN'!$AB:$AB,'MASTER PLAN'!$J:$J,0,0)),"")</f>
        <v/>
      </c>
      <c r="GL16" s="98"/>
      <c r="GM16" s="99"/>
      <c r="GN16" s="77"/>
      <c r="GO16" s="78"/>
      <c r="GP16" s="79" t="str">
        <f t="array" ref="GP16">IFERROR(IF(XLOOKUP(CONCAT(GN16,GO16),'MASTER PLAN'!$AB:$AB,'MASTER PLAN'!$J:$J,0,0)=0,"",XLOOKUP(CONCAT(GN16,GO16),'MASTER PLAN'!$AB:$AB,'MASTER PLAN'!$J:$J,0,0)),"")</f>
        <v/>
      </c>
      <c r="GQ16" s="98"/>
      <c r="GR16" s="99"/>
      <c r="GS16" s="77"/>
      <c r="GT16" s="78"/>
      <c r="GU16" s="79" t="str">
        <f t="array" ref="GU16">IFERROR(IF(XLOOKUP(CONCAT(GS16,GT16),'MASTER PLAN'!$AB:$AB,'MASTER PLAN'!$J:$J,0,0)=0,"",XLOOKUP(CONCAT(GS16,GT16),'MASTER PLAN'!$AB:$AB,'MASTER PLAN'!$J:$J,0,0)),"")</f>
        <v/>
      </c>
      <c r="GV16" s="98"/>
      <c r="GW16" s="99"/>
      <c r="GX16" s="77"/>
      <c r="GY16" s="78"/>
      <c r="GZ16" s="79" t="str">
        <f t="array" ref="GZ16">IFERROR(IF(XLOOKUP(CONCAT(GX16,GY16),'MASTER PLAN'!$AB:$AB,'MASTER PLAN'!$J:$J,0,0)=0,"",XLOOKUP(CONCAT(GX16,GY16),'MASTER PLAN'!$AB:$AB,'MASTER PLAN'!$J:$J,0,0)),"")</f>
        <v/>
      </c>
      <c r="HA16" s="98"/>
      <c r="HB16" s="99"/>
      <c r="HC16" s="77"/>
      <c r="HD16" s="78"/>
      <c r="HE16" s="79" t="str">
        <f t="array" ref="HE16">IFERROR(IF(XLOOKUP(CONCAT(HC16,HD16),'MASTER PLAN'!$AB:$AB,'MASTER PLAN'!$J:$J,0,0)=0,"",XLOOKUP(CONCAT(HC16,HD16),'MASTER PLAN'!$AB:$AB,'MASTER PLAN'!$J:$J,0,0)),"")</f>
        <v/>
      </c>
      <c r="HF16" s="98"/>
      <c r="HG16" s="99"/>
      <c r="HH16" s="77"/>
      <c r="HI16" s="78"/>
      <c r="HJ16" s="79" t="str">
        <f t="array" ref="HJ16">IFERROR(IF(XLOOKUP(CONCAT(HH16,HI16),'MASTER PLAN'!$AB:$AB,'MASTER PLAN'!$J:$J,0,0)=0,"",XLOOKUP(CONCAT(HH16,HI16),'MASTER PLAN'!$AB:$AB,'MASTER PLAN'!$J:$J,0,0)),"")</f>
        <v/>
      </c>
      <c r="HK16" s="98"/>
      <c r="HL16" s="99"/>
      <c r="HM16" s="70"/>
      <c r="HN16" s="77"/>
      <c r="HO16" s="78"/>
      <c r="HP16" s="79" t="str">
        <f t="array" ref="HP16">IFERROR(IF(XLOOKUP(CONCAT(HN16,HO16),'MASTER PLAN'!$AB:$AB,'MASTER PLAN'!$J:$J,0,0)=0,"",XLOOKUP(CONCAT(HN16,HO16),'MASTER PLAN'!$AB:$AB,'MASTER PLAN'!$J:$J,0,0)),"")</f>
        <v/>
      </c>
      <c r="HQ16" s="98"/>
      <c r="HR16" s="99"/>
      <c r="HS16" s="77"/>
      <c r="HT16" s="78"/>
      <c r="HU16" s="79" t="str">
        <f t="array" ref="HU16">IFERROR(IF(XLOOKUP(CONCAT(HS16,HT16),'MASTER PLAN'!$AB:$AB,'MASTER PLAN'!$J:$J,0,0)=0,"",XLOOKUP(CONCAT(HS16,HT16),'MASTER PLAN'!$AB:$AB,'MASTER PLAN'!$J:$J,0,0)),"")</f>
        <v/>
      </c>
      <c r="HV16" s="98"/>
      <c r="HW16" s="99"/>
      <c r="HX16" s="77"/>
      <c r="HY16" s="78"/>
      <c r="HZ16" s="79" t="str">
        <f t="array" ref="HZ16">IFERROR(IF(XLOOKUP(CONCAT(HX16,HY16),'MASTER PLAN'!$AB:$AB,'MASTER PLAN'!$J:$J,0,0)=0,"",XLOOKUP(CONCAT(HX16,HY16),'MASTER PLAN'!$AB:$AB,'MASTER PLAN'!$J:$J,0,0)),"")</f>
        <v/>
      </c>
      <c r="IA16" s="98"/>
      <c r="IB16" s="99"/>
      <c r="IC16" s="92"/>
      <c r="ID16" s="93"/>
      <c r="IE16" s="79" t="str">
        <f t="array" ref="IE16">IFERROR(IF(XLOOKUP(CONCAT(IC16,ID16),'MASTER PLAN'!$AB:$AB,'MASTER PLAN'!$J:$J,0,0)=0,"",XLOOKUP(CONCAT(IC16,ID16),'MASTER PLAN'!$AB:$AB,'MASTER PLAN'!$J:$J,0,0)),"")</f>
        <v/>
      </c>
      <c r="IF16" s="98"/>
      <c r="IG16" s="99"/>
      <c r="IH16" s="77"/>
      <c r="II16" s="78"/>
      <c r="IJ16" s="79" t="str">
        <f t="array" ref="IJ16">IFERROR(IF(XLOOKUP(CONCAT(IH16,II16),'MASTER PLAN'!$AB:$AB,'MASTER PLAN'!$J:$J,0,0)=0,"",XLOOKUP(CONCAT(IH16,II16),'MASTER PLAN'!$AB:$AB,'MASTER PLAN'!$J:$J,0,0)),"")</f>
        <v/>
      </c>
      <c r="IK16" s="98"/>
      <c r="IL16" s="99"/>
      <c r="IM16" s="77"/>
      <c r="IN16" s="78"/>
      <c r="IO16" s="79" t="str">
        <f t="array" ref="IO16">IFERROR(IF(XLOOKUP(CONCAT(IM16,IN16),'MASTER PLAN'!$AB:$AB,'MASTER PLAN'!$J:$J,0,0)=0,"",XLOOKUP(CONCAT(IM16,IN16),'MASTER PLAN'!$AB:$AB,'MASTER PLAN'!$J:$J,0,0)),"")</f>
        <v/>
      </c>
      <c r="IP16" s="98"/>
      <c r="IQ16" s="99"/>
      <c r="IR16" s="70"/>
      <c r="IS16" s="77"/>
      <c r="IT16" s="78"/>
      <c r="IU16" s="79" t="str">
        <f t="array" ref="IU16">IFERROR(IF(XLOOKUP(CONCAT(IS16,IT16),'MASTER PLAN'!$AB:$AB,'MASTER PLAN'!$J:$J,0,0)=0,"",XLOOKUP(CONCAT(IS16,IT16),'MASTER PLAN'!$AB:$AB,'MASTER PLAN'!$J:$J,0,0)),"")</f>
        <v/>
      </c>
      <c r="IV16" s="98"/>
      <c r="IW16" s="99"/>
      <c r="IX16" s="77"/>
      <c r="IY16" s="78"/>
      <c r="IZ16" s="79" t="str">
        <f t="array" ref="IZ16">IFERROR(IF(XLOOKUP(CONCAT(IX16,IY16),'MASTER PLAN'!$AB:$AB,'MASTER PLAN'!$J:$J,0,0)=0,"",XLOOKUP(CONCAT(IX16,IY16),'MASTER PLAN'!$AB:$AB,'MASTER PLAN'!$J:$J,0,0)),"")</f>
        <v/>
      </c>
      <c r="JA16" s="98"/>
      <c r="JB16" s="99"/>
      <c r="JC16" s="77"/>
      <c r="JD16" s="78"/>
      <c r="JE16" s="79" t="str">
        <f t="array" ref="JE16">IFERROR(IF(XLOOKUP(CONCAT(JC16,JD16),'MASTER PLAN'!$AB:$AB,'MASTER PLAN'!$J:$J,0,0)=0,"",XLOOKUP(CONCAT(JC16,JD16),'MASTER PLAN'!$AB:$AB,'MASTER PLAN'!$J:$J,0,0)),"")</f>
        <v/>
      </c>
      <c r="JF16" s="98"/>
      <c r="JG16" s="99"/>
      <c r="JH16" s="92"/>
      <c r="JI16" s="93"/>
      <c r="JJ16" s="79" t="str">
        <f t="array" ref="JJ16">IFERROR(IF(XLOOKUP(CONCAT(JH16,JI16),'MASTER PLAN'!$AB:$AB,'MASTER PLAN'!$J:$J,0,0)=0,"",XLOOKUP(CONCAT(JH16,JI16),'MASTER PLAN'!$AB:$AB,'MASTER PLAN'!$J:$J,0,0)),"")</f>
        <v/>
      </c>
      <c r="JK16" s="98"/>
      <c r="JL16" s="99"/>
      <c r="JM16" s="77"/>
      <c r="JN16" s="78"/>
      <c r="JO16" s="79" t="str">
        <f t="array" ref="JO16">IFERROR(IF(XLOOKUP(CONCAT(JM16,JN16),'MASTER PLAN'!$AB:$AB,'MASTER PLAN'!$J:$J,0,0)=0,"",XLOOKUP(CONCAT(JM16,JN16),'MASTER PLAN'!$AB:$AB,'MASTER PLAN'!$J:$J,0,0)),"")</f>
        <v/>
      </c>
      <c r="JP16" s="98"/>
      <c r="JQ16" s="99"/>
      <c r="JR16" s="77"/>
      <c r="JS16" s="78"/>
      <c r="JT16" s="79" t="str">
        <f t="array" ref="JT16">IFERROR(IF(XLOOKUP(CONCAT(JR16,JS16),'MASTER PLAN'!$AB:$AB,'MASTER PLAN'!$J:$J,0,0)=0,"",XLOOKUP(CONCAT(JR16,JS16),'MASTER PLAN'!$AB:$AB,'MASTER PLAN'!$J:$J,0,0)),"")</f>
        <v/>
      </c>
      <c r="JU16" s="98"/>
      <c r="JV16" s="99"/>
      <c r="JW16" s="70"/>
      <c r="JX16" s="77"/>
      <c r="JY16" s="78"/>
      <c r="JZ16" s="79" t="str">
        <f t="array" ref="JZ16">IFERROR(IF(XLOOKUP(CONCAT(JX16,JY16),'MASTER PLAN'!$AB:$AB,'MASTER PLAN'!$J:$J,0,0)=0,"",XLOOKUP(CONCAT(JX16,JY16),'MASTER PLAN'!$AB:$AB,'MASTER PLAN'!$J:$J,0,0)),"")</f>
        <v/>
      </c>
      <c r="KA16" s="98"/>
      <c r="KB16" s="99"/>
      <c r="KC16" s="77"/>
      <c r="KD16" s="78"/>
      <c r="KE16" s="79" t="str">
        <f t="array" ref="KE16">IFERROR(IF(XLOOKUP(CONCAT(KC16,KD16),'MASTER PLAN'!$AB:$AB,'MASTER PLAN'!$J:$J,0,0)=0,"",XLOOKUP(CONCAT(KC16,KD16),'MASTER PLAN'!$AB:$AB,'MASTER PLAN'!$J:$J,0,0)),"")</f>
        <v/>
      </c>
      <c r="KF16" s="98"/>
      <c r="KG16" s="99"/>
      <c r="KH16" s="77"/>
      <c r="KI16" s="78"/>
      <c r="KJ16" s="79" t="str">
        <f t="array" ref="KJ16">IFERROR(IF(XLOOKUP(CONCAT(KH16,KI16),'MASTER PLAN'!$AB:$AB,'MASTER PLAN'!$J:$J,0,0)=0,"",XLOOKUP(CONCAT(KH16,KI16),'MASTER PLAN'!$AB:$AB,'MASTER PLAN'!$J:$J,0,0)),"")</f>
        <v/>
      </c>
      <c r="KK16" s="98"/>
      <c r="KL16" s="99"/>
      <c r="KM16" s="77"/>
      <c r="KN16" s="78"/>
      <c r="KO16" s="79" t="str">
        <f t="array" ref="KO16">IFERROR(IF(XLOOKUP(CONCAT(KM16,KN16),'MASTER PLAN'!$AB:$AB,'MASTER PLAN'!$J:$J,0,0)=0,"",XLOOKUP(CONCAT(KM16,KN16),'MASTER PLAN'!$AB:$AB,'MASTER PLAN'!$J:$J,0,0)),"")</f>
        <v/>
      </c>
      <c r="KP16" s="98"/>
      <c r="KQ16" s="99"/>
      <c r="KR16" s="77"/>
      <c r="KS16" s="78"/>
      <c r="KT16" s="79" t="str">
        <f t="array" ref="KT16">IFERROR(IF(XLOOKUP(CONCAT(KR16,KS16),'MASTER PLAN'!$AB:$AB,'MASTER PLAN'!$J:$J,0,0)=0,"",XLOOKUP(CONCAT(KR16,KS16),'MASTER PLAN'!$AB:$AB,'MASTER PLAN'!$J:$J,0,0)),"")</f>
        <v/>
      </c>
      <c r="KU16" s="98"/>
      <c r="KV16" s="99"/>
      <c r="KW16" s="77"/>
      <c r="KX16" s="78"/>
      <c r="KY16" s="79" t="str">
        <f t="array" ref="KY16">IFERROR(IF(XLOOKUP(CONCAT(KW16,KX16),'MASTER PLAN'!$AB:$AB,'MASTER PLAN'!$J:$J,0,0)=0,"",XLOOKUP(CONCAT(KW16,KX16),'MASTER PLAN'!$AB:$AB,'MASTER PLAN'!$J:$J,0,0)),"")</f>
        <v/>
      </c>
      <c r="KZ16" s="98"/>
      <c r="LA16" s="99"/>
      <c r="LB16" s="70"/>
      <c r="LC16" s="77"/>
      <c r="LD16" s="78"/>
      <c r="LE16" s="79" t="str">
        <f t="array" ref="LE16">IFERROR(IF(XLOOKUP(CONCAT(LC16,LD16),'MASTER PLAN'!$AB:$AB,'MASTER PLAN'!$J:$J,0,0)=0,"",XLOOKUP(CONCAT(LC16,LD16),'MASTER PLAN'!$AB:$AB,'MASTER PLAN'!$J:$J,0,0)),"")</f>
        <v/>
      </c>
      <c r="LF16" s="98"/>
      <c r="LG16" s="99"/>
      <c r="LH16" s="77"/>
      <c r="LI16" s="78"/>
      <c r="LJ16" s="79" t="str">
        <f t="array" ref="LJ16">IFERROR(IF(XLOOKUP(CONCAT(LH16,LI16),'MASTER PLAN'!$AB:$AB,'MASTER PLAN'!$J:$J,0,0)=0,"",XLOOKUP(CONCAT(LH16,LI16),'MASTER PLAN'!$AB:$AB,'MASTER PLAN'!$J:$J,0,0)),"")</f>
        <v/>
      </c>
      <c r="LK16" s="98"/>
      <c r="LL16" s="99"/>
      <c r="LM16" s="77"/>
      <c r="LN16" s="78"/>
      <c r="LO16" s="79" t="str">
        <f t="array" ref="LO16">IFERROR(IF(XLOOKUP(CONCAT(LM16,LN16),'MASTER PLAN'!$AB:$AB,'MASTER PLAN'!$J:$J,0,0)=0,"",XLOOKUP(CONCAT(LM16,LN16),'MASTER PLAN'!$AB:$AB,'MASTER PLAN'!$J:$J,0,0)),"")</f>
        <v/>
      </c>
      <c r="LP16" s="98"/>
      <c r="LQ16" s="99"/>
      <c r="LR16" s="77"/>
      <c r="LS16" s="78"/>
      <c r="LT16" s="79" t="str">
        <f t="array" ref="LT16">IFERROR(IF(XLOOKUP(CONCAT(LR16,LS16),'MASTER PLAN'!$AB:$AB,'MASTER PLAN'!$J:$J,0,0)=0,"",XLOOKUP(CONCAT(LR16,LS16),'MASTER PLAN'!$AB:$AB,'MASTER PLAN'!$J:$J,0,0)),"")</f>
        <v/>
      </c>
      <c r="LU16" s="98"/>
      <c r="LV16" s="99"/>
      <c r="LW16" s="77"/>
      <c r="LX16" s="78"/>
      <c r="LY16" s="79" t="str">
        <f t="array" ref="LY16">IFERROR(IF(XLOOKUP(CONCAT(LW16,LX16),'MASTER PLAN'!$AB:$AB,'MASTER PLAN'!$J:$J,0,0)=0,"",XLOOKUP(CONCAT(LW16,LX16),'MASTER PLAN'!$AB:$AB,'MASTER PLAN'!$J:$J,0,0)),"")</f>
        <v/>
      </c>
      <c r="LZ16" s="98"/>
      <c r="MA16" s="99"/>
      <c r="MB16" s="77"/>
      <c r="MC16" s="78"/>
      <c r="MD16" s="79" t="str">
        <f t="array" ref="MD16">IFERROR(IF(XLOOKUP(CONCAT(MB16,MC16),'MASTER PLAN'!$AB:$AB,'MASTER PLAN'!$J:$J,0,0)=0,"",XLOOKUP(CONCAT(MB16,MC16),'MASTER PLAN'!$AB:$AB,'MASTER PLAN'!$J:$J,0,0)),"")</f>
        <v/>
      </c>
      <c r="ME16" s="98"/>
      <c r="MF16" s="99"/>
      <c r="MG16" s="70"/>
      <c r="MH16" s="77"/>
      <c r="MI16" s="78"/>
      <c r="MJ16" s="79" t="str">
        <f t="array" ref="MJ16">IFERROR(IF(XLOOKUP(CONCAT(MH16,MI16),'MASTER PLAN'!$AB:$AB,'MASTER PLAN'!$J:$J,0,0)=0,"",XLOOKUP(CONCAT(MH16,MI16),'MASTER PLAN'!$AB:$AB,'MASTER PLAN'!$J:$J,0,0)),"")</f>
        <v/>
      </c>
      <c r="MK16" s="98"/>
      <c r="ML16" s="99"/>
      <c r="MM16" s="77"/>
      <c r="MN16" s="78"/>
      <c r="MO16" s="79" t="str">
        <f t="array" ref="MO16">IFERROR(IF(XLOOKUP(CONCAT(MM16,MN16),'MASTER PLAN'!$AB:$AB,'MASTER PLAN'!$J:$J,0,0)=0,"",XLOOKUP(CONCAT(MM16,MN16),'MASTER PLAN'!$AB:$AB,'MASTER PLAN'!$J:$J,0,0)),"")</f>
        <v/>
      </c>
      <c r="MP16" s="98"/>
      <c r="MQ16" s="99"/>
      <c r="MR16" s="77"/>
      <c r="MS16" s="78"/>
      <c r="MT16" s="79" t="str">
        <f t="array" ref="MT16">IFERROR(IF(XLOOKUP(CONCAT(MR16,MS16),'MASTER PLAN'!$AB:$AB,'MASTER PLAN'!$J:$J,0,0)=0,"",XLOOKUP(CONCAT(MR16,MS16),'MASTER PLAN'!$AB:$AB,'MASTER PLAN'!$J:$J,0,0)),"")</f>
        <v/>
      </c>
      <c r="MU16" s="98"/>
      <c r="MV16" s="99"/>
      <c r="MW16" s="77"/>
      <c r="MX16" s="78"/>
      <c r="MY16" s="79" t="str">
        <f t="array" ref="MY16">IFERROR(IF(XLOOKUP(CONCAT(MW16,MX16),'MASTER PLAN'!$AB:$AB,'MASTER PLAN'!$J:$J,0,0)=0,"",XLOOKUP(CONCAT(MW16,MX16),'MASTER PLAN'!$AB:$AB,'MASTER PLAN'!$J:$J,0,0)),"")</f>
        <v/>
      </c>
      <c r="MZ16" s="98"/>
      <c r="NA16" s="99"/>
      <c r="NB16" s="77"/>
      <c r="NC16" s="78"/>
      <c r="ND16" s="79" t="str">
        <f t="array" ref="ND16">IFERROR(IF(XLOOKUP(CONCAT(NB16,NC16),'MASTER PLAN'!$AB:$AB,'MASTER PLAN'!$J:$J,0,0)=0,"",XLOOKUP(CONCAT(NB16,NC16),'MASTER PLAN'!$AB:$AB,'MASTER PLAN'!$J:$J,0,0)),"")</f>
        <v/>
      </c>
      <c r="NE16" s="98"/>
      <c r="NF16" s="99"/>
      <c r="NG16" s="77"/>
      <c r="NH16" s="78"/>
      <c r="NI16" s="79" t="str">
        <f t="array" ref="NI16">IFERROR(IF(XLOOKUP(CONCAT(NG16,NH16),'MASTER PLAN'!$AB:$AB,'MASTER PLAN'!$J:$J,0,0)=0,"",XLOOKUP(CONCAT(NG16,NH16),'MASTER PLAN'!$AB:$AB,'MASTER PLAN'!$J:$J,0,0)),"")</f>
        <v/>
      </c>
      <c r="NJ16" s="98"/>
      <c r="NK16" s="99"/>
      <c r="NL16" s="70"/>
      <c r="NM16" s="77"/>
      <c r="NN16" s="78"/>
      <c r="NO16" s="79" t="str">
        <f t="array" ref="NO16">IFERROR(IF(XLOOKUP(CONCAT(NM16,NN16),'MASTER PLAN'!$AB:$AB,'MASTER PLAN'!$J:$J,0,0)=0,"",XLOOKUP(CONCAT(NM16,NN16),'MASTER PLAN'!$AB:$AB,'MASTER PLAN'!$J:$J,0,0)),"")</f>
        <v/>
      </c>
      <c r="NP16" s="98"/>
      <c r="NQ16" s="99"/>
      <c r="NR16" s="77"/>
      <c r="NS16" s="78"/>
      <c r="NT16" s="79" t="str">
        <f t="array" ref="NT16">IFERROR(IF(XLOOKUP(CONCAT(NR16,NS16),'MASTER PLAN'!$AB:$AB,'MASTER PLAN'!$J:$J,0,0)=0,"",XLOOKUP(CONCAT(NR16,NS16),'MASTER PLAN'!$AB:$AB,'MASTER PLAN'!$J:$J,0,0)),"")</f>
        <v/>
      </c>
      <c r="NU16" s="98"/>
      <c r="NV16" s="99"/>
      <c r="NW16" s="77"/>
      <c r="NX16" s="78"/>
      <c r="NY16" s="79" t="str">
        <f t="array" ref="NY16">IFERROR(IF(XLOOKUP(CONCAT(NW16,NX16),'MASTER PLAN'!$AB:$AB,'MASTER PLAN'!$J:$J,0,0)=0,"",XLOOKUP(CONCAT(NW16,NX16),'MASTER PLAN'!$AB:$AB,'MASTER PLAN'!$J:$J,0,0)),"")</f>
        <v/>
      </c>
      <c r="NZ16" s="98"/>
      <c r="OA16" s="99"/>
      <c r="OB16" s="77"/>
      <c r="OC16" s="78"/>
      <c r="OD16" s="79" t="str">
        <f t="array" ref="OD16">IFERROR(IF(XLOOKUP(CONCAT(OB16,OC16),'MASTER PLAN'!$AB:$AB,'MASTER PLAN'!$J:$J,0,0)=0,"",XLOOKUP(CONCAT(OB16,OC16),'MASTER PLAN'!$AB:$AB,'MASTER PLAN'!$J:$J,0,0)),"")</f>
        <v/>
      </c>
      <c r="OE16" s="98"/>
      <c r="OF16" s="99"/>
      <c r="OG16" s="77"/>
      <c r="OH16" s="78"/>
      <c r="OI16" s="79" t="str">
        <f t="array" ref="OI16">IFERROR(IF(XLOOKUP(CONCAT(OG16,OH16),'MASTER PLAN'!$AB:$AB,'MASTER PLAN'!$J:$J,0,0)=0,"",XLOOKUP(CONCAT(OG16,OH16),'MASTER PLAN'!$AB:$AB,'MASTER PLAN'!$J:$J,0,0)),"")</f>
        <v/>
      </c>
      <c r="OJ16" s="98"/>
      <c r="OK16" s="99"/>
      <c r="OL16" s="77"/>
      <c r="OM16" s="78"/>
      <c r="ON16" s="79" t="str">
        <f t="array" ref="ON16">IFERROR(IF(XLOOKUP(CONCAT(OL16,OM16),'MASTER PLAN'!$AB:$AB,'MASTER PLAN'!$J:$J,0,0)=0,"",XLOOKUP(CONCAT(OL16,OM16),'MASTER PLAN'!$AB:$AB,'MASTER PLAN'!$J:$J,0,0)),"")</f>
        <v/>
      </c>
      <c r="OO16" s="98"/>
      <c r="OP16" s="99"/>
      <c r="OQ16" s="70"/>
      <c r="OR16" s="70"/>
      <c r="OS16" s="70"/>
      <c r="OT16" s="70"/>
      <c r="OU16" s="70"/>
      <c r="OV16" s="70"/>
      <c r="OW16" s="70"/>
      <c r="OX16" s="70"/>
      <c r="OY16" s="70"/>
      <c r="OZ16" s="70"/>
      <c r="PA16" s="70"/>
      <c r="PB16" s="70"/>
      <c r="PC16" s="70"/>
      <c r="PD16" s="70"/>
      <c r="PE16" s="70"/>
      <c r="PF16" s="70"/>
      <c r="PG16" s="70"/>
      <c r="PH16" s="70"/>
      <c r="PI16" s="70"/>
      <c r="PJ16" s="70"/>
    </row>
    <row r="17">
      <c r="A17" s="42"/>
      <c r="B17" s="82">
        <v>3000.0</v>
      </c>
      <c r="C17" s="83" t="s">
        <v>247</v>
      </c>
      <c r="D17" s="42"/>
      <c r="E17" s="84"/>
      <c r="F17" s="85"/>
      <c r="G17" s="85"/>
      <c r="H17" s="100">
        <f t="shared" ref="H17:I17" si="79">SUM(H12:H16)</f>
        <v>0</v>
      </c>
      <c r="I17" s="86">
        <f t="shared" si="79"/>
        <v>0</v>
      </c>
      <c r="J17" s="84"/>
      <c r="K17" s="85"/>
      <c r="L17" s="85"/>
      <c r="M17" s="100">
        <f t="shared" ref="M17:N17" si="80">SUM(M12:M16)</f>
        <v>0</v>
      </c>
      <c r="N17" s="86">
        <f t="shared" si="80"/>
        <v>0</v>
      </c>
      <c r="O17" s="84"/>
      <c r="P17" s="85"/>
      <c r="Q17" s="85"/>
      <c r="R17" s="100">
        <f t="shared" ref="R17:S17" si="81">SUM(R12:R16)</f>
        <v>0</v>
      </c>
      <c r="S17" s="86">
        <f t="shared" si="81"/>
        <v>0</v>
      </c>
      <c r="T17" s="84"/>
      <c r="U17" s="85"/>
      <c r="V17" s="85"/>
      <c r="W17" s="100">
        <f t="shared" ref="W17:X17" si="82">SUM(W12:W16)</f>
        <v>0</v>
      </c>
      <c r="X17" s="86">
        <f t="shared" si="82"/>
        <v>0</v>
      </c>
      <c r="Y17" s="84"/>
      <c r="Z17" s="85"/>
      <c r="AA17" s="85"/>
      <c r="AB17" s="100">
        <f t="shared" ref="AB17:AC17" si="83">SUM(AB12:AB16)</f>
        <v>0</v>
      </c>
      <c r="AC17" s="86">
        <f t="shared" si="83"/>
        <v>0</v>
      </c>
      <c r="AD17" s="84"/>
      <c r="AE17" s="85"/>
      <c r="AF17" s="85"/>
      <c r="AG17" s="100">
        <f t="shared" ref="AG17:AH17" si="84">SUM(AG12:AG16)</f>
        <v>0</v>
      </c>
      <c r="AH17" s="86">
        <f t="shared" si="84"/>
        <v>0</v>
      </c>
      <c r="AI17" s="42"/>
      <c r="AJ17" s="84"/>
      <c r="AK17" s="85"/>
      <c r="AL17" s="85"/>
      <c r="AM17" s="100">
        <f t="shared" ref="AM17:AN17" si="85">SUM(AM12:AM16)</f>
        <v>0</v>
      </c>
      <c r="AN17" s="86">
        <f t="shared" si="85"/>
        <v>0</v>
      </c>
      <c r="AO17" s="84"/>
      <c r="AP17" s="85"/>
      <c r="AQ17" s="85"/>
      <c r="AR17" s="100">
        <f t="shared" ref="AR17:AS17" si="86">SUM(AR12:AR16)</f>
        <v>0</v>
      </c>
      <c r="AS17" s="86">
        <f t="shared" si="86"/>
        <v>0</v>
      </c>
      <c r="AT17" s="84"/>
      <c r="AU17" s="85"/>
      <c r="AV17" s="85"/>
      <c r="AW17" s="100">
        <f t="shared" ref="AW17:AX17" si="87">SUM(AW12:AW16)</f>
        <v>0</v>
      </c>
      <c r="AX17" s="86">
        <f t="shared" si="87"/>
        <v>0</v>
      </c>
      <c r="AY17" s="84"/>
      <c r="AZ17" s="85"/>
      <c r="BA17" s="85"/>
      <c r="BB17" s="100">
        <f t="shared" ref="BB17:BC17" si="88">SUM(BB12:BB16)</f>
        <v>0</v>
      </c>
      <c r="BC17" s="86">
        <f t="shared" si="88"/>
        <v>0</v>
      </c>
      <c r="BD17" s="84"/>
      <c r="BE17" s="85"/>
      <c r="BF17" s="85"/>
      <c r="BG17" s="100">
        <f t="shared" ref="BG17:BH17" si="89">SUM(BG12:BG16)</f>
        <v>0</v>
      </c>
      <c r="BH17" s="86">
        <f t="shared" si="89"/>
        <v>0</v>
      </c>
      <c r="BI17" s="84"/>
      <c r="BJ17" s="85"/>
      <c r="BK17" s="85"/>
      <c r="BL17" s="100">
        <f t="shared" ref="BL17:BM17" si="90">SUM(BL12:BL16)</f>
        <v>0</v>
      </c>
      <c r="BM17" s="86">
        <f t="shared" si="90"/>
        <v>0</v>
      </c>
      <c r="BN17" s="42"/>
      <c r="BO17" s="84"/>
      <c r="BP17" s="85"/>
      <c r="BQ17" s="85"/>
      <c r="BR17" s="100">
        <f t="shared" ref="BR17:BS17" si="91">SUM(BR12:BR16)</f>
        <v>3500</v>
      </c>
      <c r="BS17" s="86">
        <f t="shared" si="91"/>
        <v>3500</v>
      </c>
      <c r="BT17" s="84"/>
      <c r="BU17" s="85"/>
      <c r="BV17" s="85"/>
      <c r="BW17" s="100">
        <f t="shared" ref="BW17:BX17" si="92">SUM(BW12:BW16)</f>
        <v>3000</v>
      </c>
      <c r="BX17" s="86">
        <f t="shared" si="92"/>
        <v>3300</v>
      </c>
      <c r="BY17" s="84"/>
      <c r="BZ17" s="85"/>
      <c r="CA17" s="85"/>
      <c r="CB17" s="100">
        <f t="shared" ref="CB17:CC17" si="93">SUM(CB12:CB16)</f>
        <v>3700</v>
      </c>
      <c r="CC17" s="86">
        <f t="shared" si="93"/>
        <v>0</v>
      </c>
      <c r="CD17" s="84"/>
      <c r="CE17" s="85"/>
      <c r="CF17" s="85"/>
      <c r="CG17" s="100">
        <f t="shared" ref="CG17:CH17" si="94">SUM(CG12:CG16)</f>
        <v>3000</v>
      </c>
      <c r="CH17" s="86">
        <f t="shared" si="94"/>
        <v>0</v>
      </c>
      <c r="CI17" s="84"/>
      <c r="CJ17" s="85"/>
      <c r="CK17" s="85"/>
      <c r="CL17" s="100">
        <f t="shared" ref="CL17:CM17" si="95">SUM(CL12:CL16)</f>
        <v>4760</v>
      </c>
      <c r="CM17" s="86">
        <f t="shared" si="95"/>
        <v>0</v>
      </c>
      <c r="CN17" s="84"/>
      <c r="CO17" s="85"/>
      <c r="CP17" s="85"/>
      <c r="CQ17" s="100">
        <f t="shared" ref="CQ17:CR17" si="96">SUM(CQ12:CQ16)</f>
        <v>3200</v>
      </c>
      <c r="CR17" s="86">
        <f t="shared" si="96"/>
        <v>0</v>
      </c>
      <c r="CS17" s="42"/>
      <c r="CT17" s="84"/>
      <c r="CU17" s="85"/>
      <c r="CV17" s="85"/>
      <c r="CW17" s="100">
        <f t="shared" ref="CW17:CX17" si="97">SUM(CW12:CW16)</f>
        <v>3300</v>
      </c>
      <c r="CX17" s="86">
        <f t="shared" si="97"/>
        <v>0</v>
      </c>
      <c r="CY17" s="84"/>
      <c r="CZ17" s="85"/>
      <c r="DA17" s="85"/>
      <c r="DB17" s="100">
        <f t="shared" ref="DB17:DC17" si="98">SUM(DB12:DB16)</f>
        <v>3000</v>
      </c>
      <c r="DC17" s="86">
        <f t="shared" si="98"/>
        <v>0</v>
      </c>
      <c r="DD17" s="84"/>
      <c r="DE17" s="85"/>
      <c r="DF17" s="85"/>
      <c r="DG17" s="100">
        <f t="shared" ref="DG17:DH17" si="99">SUM(DG12:DG16)</f>
        <v>2800</v>
      </c>
      <c r="DH17" s="86">
        <f t="shared" si="99"/>
        <v>0</v>
      </c>
      <c r="DI17" s="84"/>
      <c r="DJ17" s="85"/>
      <c r="DK17" s="85"/>
      <c r="DL17" s="100">
        <f t="shared" ref="DL17:DM17" si="100">SUM(DL12:DL16)</f>
        <v>3400</v>
      </c>
      <c r="DM17" s="86">
        <f t="shared" si="100"/>
        <v>0</v>
      </c>
      <c r="DN17" s="84"/>
      <c r="DO17" s="85"/>
      <c r="DP17" s="85"/>
      <c r="DQ17" s="100">
        <f t="shared" ref="DQ17:DR17" si="101">SUM(DQ12:DQ16)</f>
        <v>3800</v>
      </c>
      <c r="DR17" s="86">
        <f t="shared" si="101"/>
        <v>0</v>
      </c>
      <c r="DS17" s="84"/>
      <c r="DT17" s="85"/>
      <c r="DU17" s="85"/>
      <c r="DV17" s="100">
        <f t="shared" ref="DV17:DW17" si="102">SUM(DV12:DV16)</f>
        <v>0</v>
      </c>
      <c r="DW17" s="86">
        <f t="shared" si="102"/>
        <v>0</v>
      </c>
      <c r="DX17" s="42"/>
      <c r="DY17" s="84"/>
      <c r="DZ17" s="85"/>
      <c r="EA17" s="85"/>
      <c r="EB17" s="100">
        <f t="shared" ref="EB17:EC17" si="103">SUM(EB12:EB16)</f>
        <v>2800</v>
      </c>
      <c r="EC17" s="86">
        <f t="shared" si="103"/>
        <v>0</v>
      </c>
      <c r="ED17" s="84"/>
      <c r="EE17" s="85"/>
      <c r="EF17" s="85"/>
      <c r="EG17" s="100">
        <f t="shared" ref="EG17:EH17" si="104">SUM(EG12:EG16)</f>
        <v>3000</v>
      </c>
      <c r="EH17" s="86">
        <f t="shared" si="104"/>
        <v>0</v>
      </c>
      <c r="EI17" s="84"/>
      <c r="EJ17" s="85"/>
      <c r="EK17" s="85"/>
      <c r="EL17" s="100">
        <f t="shared" ref="EL17:EM17" si="105">SUM(EL12:EL16)</f>
        <v>2100</v>
      </c>
      <c r="EM17" s="86">
        <f t="shared" si="105"/>
        <v>0</v>
      </c>
      <c r="EN17" s="84"/>
      <c r="EO17" s="85"/>
      <c r="EP17" s="85"/>
      <c r="EQ17" s="100">
        <f t="shared" ref="EQ17:ER17" si="106">SUM(EQ12:EQ16)</f>
        <v>3000</v>
      </c>
      <c r="ER17" s="86">
        <f t="shared" si="106"/>
        <v>0</v>
      </c>
      <c r="ES17" s="84"/>
      <c r="ET17" s="85"/>
      <c r="EU17" s="85"/>
      <c r="EV17" s="100">
        <f t="shared" ref="EV17:EW17" si="107">SUM(EV12:EV16)</f>
        <v>3000</v>
      </c>
      <c r="EW17" s="86">
        <f t="shared" si="107"/>
        <v>0</v>
      </c>
      <c r="EX17" s="84"/>
      <c r="EY17" s="85"/>
      <c r="EZ17" s="85"/>
      <c r="FA17" s="100">
        <f t="shared" ref="FA17:FB17" si="108">SUM(FA12:FA16)</f>
        <v>0</v>
      </c>
      <c r="FB17" s="86">
        <f t="shared" si="108"/>
        <v>0</v>
      </c>
      <c r="FC17" s="42"/>
      <c r="FD17" s="84"/>
      <c r="FE17" s="85"/>
      <c r="FF17" s="85"/>
      <c r="FG17" s="100">
        <f t="shared" ref="FG17:FH17" si="109">SUM(FG12:FG16)</f>
        <v>3300</v>
      </c>
      <c r="FH17" s="86">
        <f t="shared" si="109"/>
        <v>0</v>
      </c>
      <c r="FI17" s="84"/>
      <c r="FJ17" s="85"/>
      <c r="FK17" s="85"/>
      <c r="FL17" s="100">
        <f t="shared" ref="FL17:FM17" si="110">SUM(FL12:FL16)</f>
        <v>3000</v>
      </c>
      <c r="FM17" s="86">
        <f t="shared" si="110"/>
        <v>0</v>
      </c>
      <c r="FN17" s="84"/>
      <c r="FO17" s="85"/>
      <c r="FP17" s="85"/>
      <c r="FQ17" s="100">
        <f t="shared" ref="FQ17:FR17" si="111">SUM(FQ12:FQ16)</f>
        <v>3000</v>
      </c>
      <c r="FR17" s="86">
        <f t="shared" si="111"/>
        <v>0</v>
      </c>
      <c r="FS17" s="84"/>
      <c r="FT17" s="85"/>
      <c r="FU17" s="85"/>
      <c r="FV17" s="100">
        <f t="shared" ref="FV17:FW17" si="112">SUM(FV12:FV16)</f>
        <v>3000</v>
      </c>
      <c r="FW17" s="86">
        <f t="shared" si="112"/>
        <v>0</v>
      </c>
      <c r="FX17" s="84"/>
      <c r="FY17" s="85"/>
      <c r="FZ17" s="85"/>
      <c r="GA17" s="100">
        <f t="shared" ref="GA17:GB17" si="113">SUM(GA12:GA16)</f>
        <v>2900</v>
      </c>
      <c r="GB17" s="86">
        <f t="shared" si="113"/>
        <v>0</v>
      </c>
      <c r="GC17" s="84"/>
      <c r="GD17" s="85"/>
      <c r="GE17" s="85"/>
      <c r="GF17" s="100">
        <f t="shared" ref="GF17:GG17" si="114">SUM(GF12:GF16)</f>
        <v>0</v>
      </c>
      <c r="GG17" s="86">
        <f t="shared" si="114"/>
        <v>0</v>
      </c>
      <c r="GH17" s="42"/>
      <c r="GI17" s="84"/>
      <c r="GJ17" s="85"/>
      <c r="GK17" s="85"/>
      <c r="GL17" s="100">
        <f t="shared" ref="GL17:GM17" si="115">SUM(GL12:GL16)</f>
        <v>2800</v>
      </c>
      <c r="GM17" s="86">
        <f t="shared" si="115"/>
        <v>0</v>
      </c>
      <c r="GN17" s="84"/>
      <c r="GO17" s="85"/>
      <c r="GP17" s="85"/>
      <c r="GQ17" s="100">
        <f t="shared" ref="GQ17:GR17" si="116">SUM(GQ12:GQ16)</f>
        <v>3000</v>
      </c>
      <c r="GR17" s="86">
        <f t="shared" si="116"/>
        <v>0</v>
      </c>
      <c r="GS17" s="84"/>
      <c r="GT17" s="85"/>
      <c r="GU17" s="85"/>
      <c r="GV17" s="100">
        <f t="shared" ref="GV17:GW17" si="117">SUM(GV12:GV16)</f>
        <v>3000</v>
      </c>
      <c r="GW17" s="86">
        <f t="shared" si="117"/>
        <v>0</v>
      </c>
      <c r="GX17" s="84"/>
      <c r="GY17" s="85"/>
      <c r="GZ17" s="85"/>
      <c r="HA17" s="100">
        <f t="shared" ref="HA17:HB17" si="118">SUM(HA12:HA16)</f>
        <v>3000</v>
      </c>
      <c r="HB17" s="86">
        <f t="shared" si="118"/>
        <v>0</v>
      </c>
      <c r="HC17" s="84"/>
      <c r="HD17" s="85"/>
      <c r="HE17" s="85"/>
      <c r="HF17" s="100">
        <f t="shared" ref="HF17:HG17" si="119">SUM(HF12:HF16)</f>
        <v>3000</v>
      </c>
      <c r="HG17" s="86">
        <f t="shared" si="119"/>
        <v>0</v>
      </c>
      <c r="HH17" s="84"/>
      <c r="HI17" s="85"/>
      <c r="HJ17" s="85"/>
      <c r="HK17" s="100">
        <f t="shared" ref="HK17:HL17" si="120">SUM(HK12:HK16)</f>
        <v>0</v>
      </c>
      <c r="HL17" s="86">
        <f t="shared" si="120"/>
        <v>0</v>
      </c>
      <c r="HM17" s="42"/>
      <c r="HN17" s="84"/>
      <c r="HO17" s="85"/>
      <c r="HP17" s="85"/>
      <c r="HQ17" s="100">
        <f t="shared" ref="HQ17:HR17" si="121">SUM(HQ12:HQ16)</f>
        <v>3000</v>
      </c>
      <c r="HR17" s="86">
        <f t="shared" si="121"/>
        <v>0</v>
      </c>
      <c r="HS17" s="84"/>
      <c r="HT17" s="85"/>
      <c r="HU17" s="85"/>
      <c r="HV17" s="100">
        <f t="shared" ref="HV17:HW17" si="122">SUM(HV12:HV16)</f>
        <v>2000</v>
      </c>
      <c r="HW17" s="86">
        <f t="shared" si="122"/>
        <v>0</v>
      </c>
      <c r="HX17" s="84"/>
      <c r="HY17" s="85"/>
      <c r="HZ17" s="85"/>
      <c r="IA17" s="100">
        <f t="shared" ref="IA17:IB17" si="123">SUM(IA12:IA16)</f>
        <v>1200</v>
      </c>
      <c r="IB17" s="86">
        <f t="shared" si="123"/>
        <v>0</v>
      </c>
      <c r="IC17" s="84"/>
      <c r="ID17" s="85"/>
      <c r="IE17" s="85"/>
      <c r="IF17" s="100">
        <f t="shared" ref="IF17:IG17" si="124">SUM(IF12:IF16)</f>
        <v>0</v>
      </c>
      <c r="IG17" s="86">
        <f t="shared" si="124"/>
        <v>0</v>
      </c>
      <c r="IH17" s="84"/>
      <c r="II17" s="85"/>
      <c r="IJ17" s="85"/>
      <c r="IK17" s="100">
        <f t="shared" ref="IK17:IL17" si="125">SUM(IK12:IK16)</f>
        <v>3000</v>
      </c>
      <c r="IL17" s="86">
        <f t="shared" si="125"/>
        <v>0</v>
      </c>
      <c r="IM17" s="84"/>
      <c r="IN17" s="85"/>
      <c r="IO17" s="85"/>
      <c r="IP17" s="100">
        <f t="shared" ref="IP17:IQ17" si="126">SUM(IP12:IP16)</f>
        <v>0</v>
      </c>
      <c r="IQ17" s="86">
        <f t="shared" si="126"/>
        <v>0</v>
      </c>
      <c r="IR17" s="42"/>
      <c r="IS17" s="84"/>
      <c r="IT17" s="85"/>
      <c r="IU17" s="85"/>
      <c r="IV17" s="100">
        <f t="shared" ref="IV17:IW17" si="127">SUM(IV12:IV16)</f>
        <v>3000</v>
      </c>
      <c r="IW17" s="86">
        <f t="shared" si="127"/>
        <v>0</v>
      </c>
      <c r="IX17" s="84"/>
      <c r="IY17" s="85"/>
      <c r="IZ17" s="85"/>
      <c r="JA17" s="100">
        <f t="shared" ref="JA17:JB17" si="128">SUM(JA12:JA16)</f>
        <v>2800</v>
      </c>
      <c r="JB17" s="86">
        <f t="shared" si="128"/>
        <v>0</v>
      </c>
      <c r="JC17" s="84"/>
      <c r="JD17" s="85"/>
      <c r="JE17" s="85"/>
      <c r="JF17" s="100">
        <f t="shared" ref="JF17:JG17" si="129">SUM(JF12:JF16)</f>
        <v>1500</v>
      </c>
      <c r="JG17" s="86">
        <f t="shared" si="129"/>
        <v>0</v>
      </c>
      <c r="JH17" s="84"/>
      <c r="JI17" s="85"/>
      <c r="JJ17" s="85"/>
      <c r="JK17" s="100">
        <f t="shared" ref="JK17:JL17" si="130">SUM(JK12:JK16)</f>
        <v>0</v>
      </c>
      <c r="JL17" s="86">
        <f t="shared" si="130"/>
        <v>0</v>
      </c>
      <c r="JM17" s="84"/>
      <c r="JN17" s="85"/>
      <c r="JO17" s="85"/>
      <c r="JP17" s="100">
        <f t="shared" ref="JP17:JQ17" si="131">SUM(JP12:JP16)</f>
        <v>3000</v>
      </c>
      <c r="JQ17" s="86">
        <f t="shared" si="131"/>
        <v>0</v>
      </c>
      <c r="JR17" s="84"/>
      <c r="JS17" s="85"/>
      <c r="JT17" s="85"/>
      <c r="JU17" s="100">
        <f t="shared" ref="JU17:JV17" si="132">SUM(JU12:JU16)</f>
        <v>0</v>
      </c>
      <c r="JV17" s="86">
        <f t="shared" si="132"/>
        <v>0</v>
      </c>
      <c r="JW17" s="42"/>
      <c r="JX17" s="84"/>
      <c r="JY17" s="85"/>
      <c r="JZ17" s="85"/>
      <c r="KA17" s="100">
        <f t="shared" ref="KA17:KB17" si="133">SUM(KA12:KA16)</f>
        <v>3500</v>
      </c>
      <c r="KB17" s="86">
        <f t="shared" si="133"/>
        <v>0</v>
      </c>
      <c r="KC17" s="84"/>
      <c r="KD17" s="85"/>
      <c r="KE17" s="85"/>
      <c r="KF17" s="100">
        <f t="shared" ref="KF17:KG17" si="134">SUM(KF12:KF16)</f>
        <v>3000</v>
      </c>
      <c r="KG17" s="86">
        <f t="shared" si="134"/>
        <v>0</v>
      </c>
      <c r="KH17" s="84"/>
      <c r="KI17" s="85"/>
      <c r="KJ17" s="85"/>
      <c r="KK17" s="100">
        <f t="shared" ref="KK17:KL17" si="135">SUM(KK12:KK16)</f>
        <v>3000</v>
      </c>
      <c r="KL17" s="86">
        <f t="shared" si="135"/>
        <v>0</v>
      </c>
      <c r="KM17" s="84"/>
      <c r="KN17" s="85"/>
      <c r="KO17" s="85"/>
      <c r="KP17" s="100">
        <f t="shared" ref="KP17:KQ17" si="136">SUM(KP12:KP16)</f>
        <v>3000</v>
      </c>
      <c r="KQ17" s="86">
        <f t="shared" si="136"/>
        <v>0</v>
      </c>
      <c r="KR17" s="84"/>
      <c r="KS17" s="85"/>
      <c r="KT17" s="85"/>
      <c r="KU17" s="100">
        <f t="shared" ref="KU17:KV17" si="137">SUM(KU12:KU16)</f>
        <v>3000</v>
      </c>
      <c r="KV17" s="86">
        <f t="shared" si="137"/>
        <v>0</v>
      </c>
      <c r="KW17" s="84"/>
      <c r="KX17" s="85"/>
      <c r="KY17" s="85"/>
      <c r="KZ17" s="100">
        <f t="shared" ref="KZ17:LA17" si="138">SUM(KZ12:KZ16)</f>
        <v>0</v>
      </c>
      <c r="LA17" s="86">
        <f t="shared" si="138"/>
        <v>0</v>
      </c>
      <c r="LB17" s="42"/>
      <c r="LC17" s="84"/>
      <c r="LD17" s="85"/>
      <c r="LE17" s="85"/>
      <c r="LF17" s="100">
        <f t="shared" ref="LF17:LG17" si="139">SUM(LF12:LF16)</f>
        <v>3000</v>
      </c>
      <c r="LG17" s="86">
        <f t="shared" si="139"/>
        <v>0</v>
      </c>
      <c r="LH17" s="84"/>
      <c r="LI17" s="85"/>
      <c r="LJ17" s="85"/>
      <c r="LK17" s="100">
        <f t="shared" ref="LK17:LL17" si="140">SUM(LK12:LK16)</f>
        <v>2000</v>
      </c>
      <c r="LL17" s="86">
        <f t="shared" si="140"/>
        <v>0</v>
      </c>
      <c r="LM17" s="84"/>
      <c r="LN17" s="85"/>
      <c r="LO17" s="85"/>
      <c r="LP17" s="100">
        <f t="shared" ref="LP17:LQ17" si="141">SUM(LP12:LP16)</f>
        <v>2000</v>
      </c>
      <c r="LQ17" s="86">
        <f t="shared" si="141"/>
        <v>0</v>
      </c>
      <c r="LR17" s="84"/>
      <c r="LS17" s="85"/>
      <c r="LT17" s="85"/>
      <c r="LU17" s="100">
        <f t="shared" ref="LU17:LV17" si="142">SUM(LU12:LU16)</f>
        <v>0</v>
      </c>
      <c r="LV17" s="86">
        <f t="shared" si="142"/>
        <v>0</v>
      </c>
      <c r="LW17" s="84"/>
      <c r="LX17" s="85"/>
      <c r="LY17" s="85"/>
      <c r="LZ17" s="100">
        <f t="shared" ref="LZ17:MA17" si="143">SUM(LZ12:LZ16)</f>
        <v>0</v>
      </c>
      <c r="MA17" s="86">
        <f t="shared" si="143"/>
        <v>0</v>
      </c>
      <c r="MB17" s="84"/>
      <c r="MC17" s="85"/>
      <c r="MD17" s="85"/>
      <c r="ME17" s="100">
        <f t="shared" ref="ME17:MF17" si="144">SUM(ME12:ME16)</f>
        <v>0</v>
      </c>
      <c r="MF17" s="86">
        <f t="shared" si="144"/>
        <v>0</v>
      </c>
      <c r="MG17" s="42"/>
      <c r="MH17" s="84"/>
      <c r="MI17" s="85"/>
      <c r="MJ17" s="85"/>
      <c r="MK17" s="100">
        <f t="shared" ref="MK17:ML17" si="145">SUM(MK12:MK16)</f>
        <v>0</v>
      </c>
      <c r="ML17" s="86">
        <f t="shared" si="145"/>
        <v>0</v>
      </c>
      <c r="MM17" s="84"/>
      <c r="MN17" s="85"/>
      <c r="MO17" s="85"/>
      <c r="MP17" s="100">
        <f t="shared" ref="MP17:MQ17" si="146">SUM(MP12:MP16)</f>
        <v>0</v>
      </c>
      <c r="MQ17" s="86">
        <f t="shared" si="146"/>
        <v>0</v>
      </c>
      <c r="MR17" s="84"/>
      <c r="MS17" s="85"/>
      <c r="MT17" s="85"/>
      <c r="MU17" s="100">
        <f t="shared" ref="MU17:MV17" si="147">SUM(MU12:MU16)</f>
        <v>0</v>
      </c>
      <c r="MV17" s="86">
        <f t="shared" si="147"/>
        <v>0</v>
      </c>
      <c r="MW17" s="84"/>
      <c r="MX17" s="85"/>
      <c r="MY17" s="85"/>
      <c r="MZ17" s="100">
        <f t="shared" ref="MZ17:NA17" si="148">SUM(MZ12:MZ16)</f>
        <v>0</v>
      </c>
      <c r="NA17" s="86">
        <f t="shared" si="148"/>
        <v>0</v>
      </c>
      <c r="NB17" s="84"/>
      <c r="NC17" s="85"/>
      <c r="ND17" s="85"/>
      <c r="NE17" s="100">
        <f t="shared" ref="NE17:NF17" si="149">SUM(NE12:NE16)</f>
        <v>0</v>
      </c>
      <c r="NF17" s="86">
        <f t="shared" si="149"/>
        <v>0</v>
      </c>
      <c r="NG17" s="84"/>
      <c r="NH17" s="85"/>
      <c r="NI17" s="85"/>
      <c r="NJ17" s="100">
        <f t="shared" ref="NJ17:NK17" si="150">SUM(NJ12:NJ16)</f>
        <v>0</v>
      </c>
      <c r="NK17" s="86">
        <f t="shared" si="150"/>
        <v>0</v>
      </c>
      <c r="NL17" s="42"/>
      <c r="NM17" s="84"/>
      <c r="NN17" s="85"/>
      <c r="NO17" s="85"/>
      <c r="NP17" s="100">
        <f t="shared" ref="NP17:NQ17" si="151">SUM(NP12:NP16)</f>
        <v>0</v>
      </c>
      <c r="NQ17" s="86">
        <f t="shared" si="151"/>
        <v>0</v>
      </c>
      <c r="NR17" s="84"/>
      <c r="NS17" s="85"/>
      <c r="NT17" s="85"/>
      <c r="NU17" s="100">
        <f t="shared" ref="NU17:NV17" si="152">SUM(NU12:NU16)</f>
        <v>0</v>
      </c>
      <c r="NV17" s="86">
        <f t="shared" si="152"/>
        <v>0</v>
      </c>
      <c r="NW17" s="84"/>
      <c r="NX17" s="85"/>
      <c r="NY17" s="85"/>
      <c r="NZ17" s="100">
        <f t="shared" ref="NZ17:OA17" si="153">SUM(NZ12:NZ16)</f>
        <v>0</v>
      </c>
      <c r="OA17" s="86">
        <f t="shared" si="153"/>
        <v>0</v>
      </c>
      <c r="OB17" s="84"/>
      <c r="OC17" s="85"/>
      <c r="OD17" s="85"/>
      <c r="OE17" s="100">
        <f t="shared" ref="OE17:OF17" si="154">SUM(OE12:OE16)</f>
        <v>0</v>
      </c>
      <c r="OF17" s="86">
        <f t="shared" si="154"/>
        <v>0</v>
      </c>
      <c r="OG17" s="84"/>
      <c r="OH17" s="85"/>
      <c r="OI17" s="85"/>
      <c r="OJ17" s="100">
        <f t="shared" ref="OJ17:OK17" si="155">SUM(OJ12:OJ16)</f>
        <v>0</v>
      </c>
      <c r="OK17" s="86">
        <f t="shared" si="155"/>
        <v>0</v>
      </c>
      <c r="OL17" s="84"/>
      <c r="OM17" s="85"/>
      <c r="ON17" s="85"/>
      <c r="OO17" s="100">
        <f t="shared" ref="OO17:OP17" si="156">SUM(OO12:OO16)</f>
        <v>0</v>
      </c>
      <c r="OP17" s="86">
        <f t="shared" si="156"/>
        <v>0</v>
      </c>
      <c r="OQ17" s="42"/>
      <c r="OR17" s="42"/>
      <c r="OS17" s="42"/>
      <c r="OT17" s="42"/>
      <c r="OU17" s="42"/>
      <c r="OV17" s="42"/>
      <c r="OW17" s="42"/>
      <c r="OX17" s="42"/>
      <c r="OY17" s="42"/>
      <c r="OZ17" s="42"/>
      <c r="PA17" s="42"/>
      <c r="PB17" s="42"/>
      <c r="PC17" s="42"/>
      <c r="PD17" s="42"/>
      <c r="PE17" s="42"/>
      <c r="PF17" s="42"/>
      <c r="PG17" s="42"/>
      <c r="PH17" s="42"/>
      <c r="PI17" s="42"/>
      <c r="PJ17" s="42"/>
    </row>
    <row r="18">
      <c r="A18" s="42"/>
      <c r="B18" s="42"/>
      <c r="C18" s="42"/>
      <c r="D18" s="42"/>
      <c r="AI18" s="42"/>
      <c r="BN18" s="42"/>
      <c r="CS18" s="42"/>
      <c r="DX18" s="42"/>
      <c r="FC18" s="42"/>
      <c r="GH18" s="42"/>
      <c r="HM18" s="42"/>
      <c r="IR18" s="42"/>
      <c r="JW18" s="42"/>
      <c r="LB18" s="42"/>
      <c r="MG18" s="42"/>
      <c r="NL18" s="42"/>
    </row>
    <row r="19">
      <c r="A19" s="42"/>
      <c r="B19" s="87" t="s">
        <v>243</v>
      </c>
      <c r="C19" s="69"/>
      <c r="D19" s="67"/>
      <c r="E19" s="64" t="s">
        <v>239</v>
      </c>
      <c r="F19" s="65" t="s">
        <v>188</v>
      </c>
      <c r="G19" s="65" t="s">
        <v>4</v>
      </c>
      <c r="H19" s="66" t="s">
        <v>244</v>
      </c>
      <c r="I19" s="66" t="s">
        <v>245</v>
      </c>
      <c r="J19" s="64" t="s">
        <v>239</v>
      </c>
      <c r="K19" s="65" t="s">
        <v>188</v>
      </c>
      <c r="L19" s="65" t="s">
        <v>4</v>
      </c>
      <c r="M19" s="66" t="s">
        <v>244</v>
      </c>
      <c r="N19" s="66" t="s">
        <v>245</v>
      </c>
      <c r="O19" s="64" t="s">
        <v>239</v>
      </c>
      <c r="P19" s="65" t="s">
        <v>188</v>
      </c>
      <c r="Q19" s="65" t="s">
        <v>4</v>
      </c>
      <c r="R19" s="66" t="s">
        <v>244</v>
      </c>
      <c r="S19" s="66" t="s">
        <v>245</v>
      </c>
      <c r="T19" s="64" t="s">
        <v>239</v>
      </c>
      <c r="U19" s="65" t="s">
        <v>188</v>
      </c>
      <c r="V19" s="65" t="s">
        <v>4</v>
      </c>
      <c r="W19" s="66" t="s">
        <v>244</v>
      </c>
      <c r="X19" s="66" t="s">
        <v>245</v>
      </c>
      <c r="Y19" s="64" t="s">
        <v>239</v>
      </c>
      <c r="Z19" s="65" t="s">
        <v>188</v>
      </c>
      <c r="AA19" s="65" t="s">
        <v>4</v>
      </c>
      <c r="AB19" s="66" t="s">
        <v>244</v>
      </c>
      <c r="AC19" s="66" t="s">
        <v>245</v>
      </c>
      <c r="AD19" s="64" t="s">
        <v>239</v>
      </c>
      <c r="AE19" s="65" t="s">
        <v>188</v>
      </c>
      <c r="AF19" s="65" t="s">
        <v>4</v>
      </c>
      <c r="AG19" s="66" t="s">
        <v>244</v>
      </c>
      <c r="AH19" s="66" t="s">
        <v>245</v>
      </c>
      <c r="AI19" s="67"/>
      <c r="AJ19" s="64" t="s">
        <v>239</v>
      </c>
      <c r="AK19" s="65" t="s">
        <v>188</v>
      </c>
      <c r="AL19" s="65" t="s">
        <v>4</v>
      </c>
      <c r="AM19" s="66" t="s">
        <v>244</v>
      </c>
      <c r="AN19" s="66" t="s">
        <v>245</v>
      </c>
      <c r="AO19" s="64" t="s">
        <v>239</v>
      </c>
      <c r="AP19" s="65" t="s">
        <v>188</v>
      </c>
      <c r="AQ19" s="65" t="s">
        <v>4</v>
      </c>
      <c r="AR19" s="66" t="s">
        <v>244</v>
      </c>
      <c r="AS19" s="66" t="s">
        <v>245</v>
      </c>
      <c r="AT19" s="64" t="s">
        <v>239</v>
      </c>
      <c r="AU19" s="65" t="s">
        <v>188</v>
      </c>
      <c r="AV19" s="65" t="s">
        <v>4</v>
      </c>
      <c r="AW19" s="66" t="s">
        <v>244</v>
      </c>
      <c r="AX19" s="66" t="s">
        <v>245</v>
      </c>
      <c r="AY19" s="64" t="s">
        <v>239</v>
      </c>
      <c r="AZ19" s="65" t="s">
        <v>188</v>
      </c>
      <c r="BA19" s="65" t="s">
        <v>4</v>
      </c>
      <c r="BB19" s="66" t="s">
        <v>244</v>
      </c>
      <c r="BC19" s="66" t="s">
        <v>245</v>
      </c>
      <c r="BD19" s="64" t="s">
        <v>239</v>
      </c>
      <c r="BE19" s="65" t="s">
        <v>188</v>
      </c>
      <c r="BF19" s="65" t="s">
        <v>4</v>
      </c>
      <c r="BG19" s="66" t="s">
        <v>244</v>
      </c>
      <c r="BH19" s="66" t="s">
        <v>245</v>
      </c>
      <c r="BI19" s="64" t="s">
        <v>239</v>
      </c>
      <c r="BJ19" s="65" t="s">
        <v>188</v>
      </c>
      <c r="BK19" s="65" t="s">
        <v>4</v>
      </c>
      <c r="BL19" s="66" t="s">
        <v>244</v>
      </c>
      <c r="BM19" s="66" t="s">
        <v>245</v>
      </c>
      <c r="BN19" s="67"/>
      <c r="BO19" s="64" t="s">
        <v>239</v>
      </c>
      <c r="BP19" s="65" t="s">
        <v>188</v>
      </c>
      <c r="BQ19" s="65" t="s">
        <v>4</v>
      </c>
      <c r="BR19" s="66" t="s">
        <v>244</v>
      </c>
      <c r="BS19" s="66" t="s">
        <v>245</v>
      </c>
      <c r="BT19" s="64" t="s">
        <v>239</v>
      </c>
      <c r="BU19" s="65" t="s">
        <v>188</v>
      </c>
      <c r="BV19" s="65" t="s">
        <v>4</v>
      </c>
      <c r="BW19" s="66" t="s">
        <v>244</v>
      </c>
      <c r="BX19" s="66" t="s">
        <v>245</v>
      </c>
      <c r="BY19" s="64" t="s">
        <v>239</v>
      </c>
      <c r="BZ19" s="65" t="s">
        <v>188</v>
      </c>
      <c r="CA19" s="65" t="s">
        <v>4</v>
      </c>
      <c r="CB19" s="66" t="s">
        <v>244</v>
      </c>
      <c r="CC19" s="66" t="s">
        <v>245</v>
      </c>
      <c r="CD19" s="64" t="s">
        <v>239</v>
      </c>
      <c r="CE19" s="65" t="s">
        <v>188</v>
      </c>
      <c r="CF19" s="65" t="s">
        <v>4</v>
      </c>
      <c r="CG19" s="66" t="s">
        <v>244</v>
      </c>
      <c r="CH19" s="66" t="s">
        <v>245</v>
      </c>
      <c r="CI19" s="64" t="s">
        <v>239</v>
      </c>
      <c r="CJ19" s="65" t="s">
        <v>188</v>
      </c>
      <c r="CK19" s="65" t="s">
        <v>4</v>
      </c>
      <c r="CL19" s="66" t="s">
        <v>244</v>
      </c>
      <c r="CM19" s="66" t="s">
        <v>245</v>
      </c>
      <c r="CN19" s="64" t="s">
        <v>239</v>
      </c>
      <c r="CO19" s="65" t="s">
        <v>188</v>
      </c>
      <c r="CP19" s="65" t="s">
        <v>4</v>
      </c>
      <c r="CQ19" s="66" t="s">
        <v>244</v>
      </c>
      <c r="CR19" s="66" t="s">
        <v>245</v>
      </c>
      <c r="CS19" s="67"/>
      <c r="CT19" s="64" t="s">
        <v>239</v>
      </c>
      <c r="CU19" s="65" t="s">
        <v>188</v>
      </c>
      <c r="CV19" s="65" t="s">
        <v>4</v>
      </c>
      <c r="CW19" s="66" t="s">
        <v>244</v>
      </c>
      <c r="CX19" s="66" t="s">
        <v>245</v>
      </c>
      <c r="CY19" s="64" t="s">
        <v>239</v>
      </c>
      <c r="CZ19" s="65" t="s">
        <v>188</v>
      </c>
      <c r="DA19" s="65" t="s">
        <v>4</v>
      </c>
      <c r="DB19" s="66" t="s">
        <v>244</v>
      </c>
      <c r="DC19" s="66" t="s">
        <v>245</v>
      </c>
      <c r="DD19" s="64" t="s">
        <v>239</v>
      </c>
      <c r="DE19" s="65" t="s">
        <v>188</v>
      </c>
      <c r="DF19" s="65" t="s">
        <v>4</v>
      </c>
      <c r="DG19" s="66" t="s">
        <v>244</v>
      </c>
      <c r="DH19" s="66" t="s">
        <v>245</v>
      </c>
      <c r="DI19" s="64" t="s">
        <v>239</v>
      </c>
      <c r="DJ19" s="65" t="s">
        <v>188</v>
      </c>
      <c r="DK19" s="65" t="s">
        <v>4</v>
      </c>
      <c r="DL19" s="66" t="s">
        <v>244</v>
      </c>
      <c r="DM19" s="66" t="s">
        <v>245</v>
      </c>
      <c r="DN19" s="64" t="s">
        <v>239</v>
      </c>
      <c r="DO19" s="65" t="s">
        <v>188</v>
      </c>
      <c r="DP19" s="65" t="s">
        <v>4</v>
      </c>
      <c r="DQ19" s="66" t="s">
        <v>244</v>
      </c>
      <c r="DR19" s="66" t="s">
        <v>245</v>
      </c>
      <c r="DS19" s="64" t="s">
        <v>239</v>
      </c>
      <c r="DT19" s="65" t="s">
        <v>188</v>
      </c>
      <c r="DU19" s="65" t="s">
        <v>4</v>
      </c>
      <c r="DV19" s="66" t="s">
        <v>244</v>
      </c>
      <c r="DW19" s="66" t="s">
        <v>245</v>
      </c>
      <c r="DX19" s="67"/>
      <c r="DY19" s="64" t="s">
        <v>239</v>
      </c>
      <c r="DZ19" s="65" t="s">
        <v>188</v>
      </c>
      <c r="EA19" s="65" t="s">
        <v>4</v>
      </c>
      <c r="EB19" s="66" t="s">
        <v>244</v>
      </c>
      <c r="EC19" s="66" t="s">
        <v>245</v>
      </c>
      <c r="ED19" s="64" t="s">
        <v>239</v>
      </c>
      <c r="EE19" s="65" t="s">
        <v>188</v>
      </c>
      <c r="EF19" s="65" t="s">
        <v>4</v>
      </c>
      <c r="EG19" s="66" t="s">
        <v>244</v>
      </c>
      <c r="EH19" s="66" t="s">
        <v>245</v>
      </c>
      <c r="EI19" s="64" t="s">
        <v>239</v>
      </c>
      <c r="EJ19" s="65" t="s">
        <v>188</v>
      </c>
      <c r="EK19" s="65" t="s">
        <v>4</v>
      </c>
      <c r="EL19" s="66" t="s">
        <v>244</v>
      </c>
      <c r="EM19" s="66" t="s">
        <v>245</v>
      </c>
      <c r="EN19" s="64" t="s">
        <v>239</v>
      </c>
      <c r="EO19" s="65" t="s">
        <v>188</v>
      </c>
      <c r="EP19" s="65" t="s">
        <v>4</v>
      </c>
      <c r="EQ19" s="66" t="s">
        <v>244</v>
      </c>
      <c r="ER19" s="66" t="s">
        <v>245</v>
      </c>
      <c r="ES19" s="64" t="s">
        <v>239</v>
      </c>
      <c r="ET19" s="65" t="s">
        <v>188</v>
      </c>
      <c r="EU19" s="65" t="s">
        <v>4</v>
      </c>
      <c r="EV19" s="66" t="s">
        <v>244</v>
      </c>
      <c r="EW19" s="66" t="s">
        <v>245</v>
      </c>
      <c r="EX19" s="64" t="s">
        <v>239</v>
      </c>
      <c r="EY19" s="65" t="s">
        <v>188</v>
      </c>
      <c r="EZ19" s="65" t="s">
        <v>4</v>
      </c>
      <c r="FA19" s="66" t="s">
        <v>244</v>
      </c>
      <c r="FB19" s="66" t="s">
        <v>245</v>
      </c>
      <c r="FC19" s="67"/>
      <c r="FD19" s="64" t="s">
        <v>239</v>
      </c>
      <c r="FE19" s="65" t="s">
        <v>188</v>
      </c>
      <c r="FF19" s="65" t="s">
        <v>4</v>
      </c>
      <c r="FG19" s="66" t="s">
        <v>244</v>
      </c>
      <c r="FH19" s="66" t="s">
        <v>245</v>
      </c>
      <c r="FI19" s="64" t="s">
        <v>239</v>
      </c>
      <c r="FJ19" s="65" t="s">
        <v>188</v>
      </c>
      <c r="FK19" s="65" t="s">
        <v>4</v>
      </c>
      <c r="FL19" s="66" t="s">
        <v>244</v>
      </c>
      <c r="FM19" s="66" t="s">
        <v>245</v>
      </c>
      <c r="FN19" s="64" t="s">
        <v>239</v>
      </c>
      <c r="FO19" s="65" t="s">
        <v>188</v>
      </c>
      <c r="FP19" s="65" t="s">
        <v>4</v>
      </c>
      <c r="FQ19" s="66" t="s">
        <v>244</v>
      </c>
      <c r="FR19" s="66" t="s">
        <v>245</v>
      </c>
      <c r="FS19" s="64" t="s">
        <v>239</v>
      </c>
      <c r="FT19" s="65" t="s">
        <v>188</v>
      </c>
      <c r="FU19" s="65" t="s">
        <v>4</v>
      </c>
      <c r="FV19" s="66" t="s">
        <v>244</v>
      </c>
      <c r="FW19" s="66" t="s">
        <v>245</v>
      </c>
      <c r="FX19" s="64" t="s">
        <v>239</v>
      </c>
      <c r="FY19" s="65" t="s">
        <v>188</v>
      </c>
      <c r="FZ19" s="65" t="s">
        <v>4</v>
      </c>
      <c r="GA19" s="66" t="s">
        <v>244</v>
      </c>
      <c r="GB19" s="66" t="s">
        <v>245</v>
      </c>
      <c r="GC19" s="64" t="s">
        <v>239</v>
      </c>
      <c r="GD19" s="65" t="s">
        <v>188</v>
      </c>
      <c r="GE19" s="65" t="s">
        <v>4</v>
      </c>
      <c r="GF19" s="66" t="s">
        <v>244</v>
      </c>
      <c r="GG19" s="66" t="s">
        <v>245</v>
      </c>
      <c r="GH19" s="67"/>
      <c r="GI19" s="64" t="s">
        <v>239</v>
      </c>
      <c r="GJ19" s="65" t="s">
        <v>188</v>
      </c>
      <c r="GK19" s="65" t="s">
        <v>4</v>
      </c>
      <c r="GL19" s="66" t="s">
        <v>244</v>
      </c>
      <c r="GM19" s="66" t="s">
        <v>245</v>
      </c>
      <c r="GN19" s="64" t="s">
        <v>239</v>
      </c>
      <c r="GO19" s="65" t="s">
        <v>188</v>
      </c>
      <c r="GP19" s="65" t="s">
        <v>4</v>
      </c>
      <c r="GQ19" s="66" t="s">
        <v>244</v>
      </c>
      <c r="GR19" s="66" t="s">
        <v>245</v>
      </c>
      <c r="GS19" s="64" t="s">
        <v>239</v>
      </c>
      <c r="GT19" s="65" t="s">
        <v>188</v>
      </c>
      <c r="GU19" s="65" t="s">
        <v>4</v>
      </c>
      <c r="GV19" s="66" t="s">
        <v>244</v>
      </c>
      <c r="GW19" s="66" t="s">
        <v>245</v>
      </c>
      <c r="GX19" s="64" t="s">
        <v>239</v>
      </c>
      <c r="GY19" s="65" t="s">
        <v>188</v>
      </c>
      <c r="GZ19" s="65" t="s">
        <v>4</v>
      </c>
      <c r="HA19" s="66" t="s">
        <v>244</v>
      </c>
      <c r="HB19" s="66" t="s">
        <v>245</v>
      </c>
      <c r="HC19" s="64" t="s">
        <v>239</v>
      </c>
      <c r="HD19" s="65" t="s">
        <v>188</v>
      </c>
      <c r="HE19" s="65" t="s">
        <v>4</v>
      </c>
      <c r="HF19" s="66" t="s">
        <v>244</v>
      </c>
      <c r="HG19" s="66" t="s">
        <v>245</v>
      </c>
      <c r="HH19" s="64" t="s">
        <v>239</v>
      </c>
      <c r="HI19" s="65" t="s">
        <v>188</v>
      </c>
      <c r="HJ19" s="65" t="s">
        <v>4</v>
      </c>
      <c r="HK19" s="66" t="s">
        <v>244</v>
      </c>
      <c r="HL19" s="66" t="s">
        <v>245</v>
      </c>
      <c r="HM19" s="67"/>
      <c r="HN19" s="64" t="s">
        <v>239</v>
      </c>
      <c r="HO19" s="65" t="s">
        <v>188</v>
      </c>
      <c r="HP19" s="65" t="s">
        <v>4</v>
      </c>
      <c r="HQ19" s="66" t="s">
        <v>244</v>
      </c>
      <c r="HR19" s="66" t="s">
        <v>245</v>
      </c>
      <c r="HS19" s="64" t="s">
        <v>239</v>
      </c>
      <c r="HT19" s="65" t="s">
        <v>188</v>
      </c>
      <c r="HU19" s="65" t="s">
        <v>4</v>
      </c>
      <c r="HV19" s="66" t="s">
        <v>244</v>
      </c>
      <c r="HW19" s="66" t="s">
        <v>245</v>
      </c>
      <c r="HX19" s="64" t="s">
        <v>239</v>
      </c>
      <c r="HY19" s="65" t="s">
        <v>188</v>
      </c>
      <c r="HZ19" s="65" t="s">
        <v>4</v>
      </c>
      <c r="IA19" s="66" t="s">
        <v>244</v>
      </c>
      <c r="IB19" s="66" t="s">
        <v>245</v>
      </c>
      <c r="IC19" s="64" t="s">
        <v>239</v>
      </c>
      <c r="ID19" s="65" t="s">
        <v>188</v>
      </c>
      <c r="IE19" s="65" t="s">
        <v>4</v>
      </c>
      <c r="IF19" s="66" t="s">
        <v>244</v>
      </c>
      <c r="IG19" s="66" t="s">
        <v>245</v>
      </c>
      <c r="IH19" s="64" t="s">
        <v>239</v>
      </c>
      <c r="II19" s="65" t="s">
        <v>188</v>
      </c>
      <c r="IJ19" s="65" t="s">
        <v>4</v>
      </c>
      <c r="IK19" s="66" t="s">
        <v>244</v>
      </c>
      <c r="IL19" s="66" t="s">
        <v>245</v>
      </c>
      <c r="IM19" s="64" t="s">
        <v>239</v>
      </c>
      <c r="IN19" s="65" t="s">
        <v>188</v>
      </c>
      <c r="IO19" s="65" t="s">
        <v>4</v>
      </c>
      <c r="IP19" s="66" t="s">
        <v>244</v>
      </c>
      <c r="IQ19" s="66" t="s">
        <v>245</v>
      </c>
      <c r="IR19" s="67"/>
      <c r="IS19" s="64" t="s">
        <v>239</v>
      </c>
      <c r="IT19" s="65" t="s">
        <v>188</v>
      </c>
      <c r="IU19" s="65" t="s">
        <v>4</v>
      </c>
      <c r="IV19" s="66" t="s">
        <v>244</v>
      </c>
      <c r="IW19" s="66" t="s">
        <v>245</v>
      </c>
      <c r="IX19" s="64" t="s">
        <v>239</v>
      </c>
      <c r="IY19" s="65" t="s">
        <v>188</v>
      </c>
      <c r="IZ19" s="65" t="s">
        <v>4</v>
      </c>
      <c r="JA19" s="66" t="s">
        <v>244</v>
      </c>
      <c r="JB19" s="66" t="s">
        <v>245</v>
      </c>
      <c r="JC19" s="64" t="s">
        <v>239</v>
      </c>
      <c r="JD19" s="65" t="s">
        <v>188</v>
      </c>
      <c r="JE19" s="65" t="s">
        <v>4</v>
      </c>
      <c r="JF19" s="66" t="s">
        <v>244</v>
      </c>
      <c r="JG19" s="66" t="s">
        <v>245</v>
      </c>
      <c r="JH19" s="64" t="s">
        <v>239</v>
      </c>
      <c r="JI19" s="65" t="s">
        <v>188</v>
      </c>
      <c r="JJ19" s="65" t="s">
        <v>4</v>
      </c>
      <c r="JK19" s="66" t="s">
        <v>244</v>
      </c>
      <c r="JL19" s="66" t="s">
        <v>245</v>
      </c>
      <c r="JM19" s="64" t="s">
        <v>239</v>
      </c>
      <c r="JN19" s="65" t="s">
        <v>188</v>
      </c>
      <c r="JO19" s="65" t="s">
        <v>4</v>
      </c>
      <c r="JP19" s="66" t="s">
        <v>244</v>
      </c>
      <c r="JQ19" s="66" t="s">
        <v>245</v>
      </c>
      <c r="JR19" s="64" t="s">
        <v>239</v>
      </c>
      <c r="JS19" s="65" t="s">
        <v>188</v>
      </c>
      <c r="JT19" s="65" t="s">
        <v>4</v>
      </c>
      <c r="JU19" s="66" t="s">
        <v>244</v>
      </c>
      <c r="JV19" s="66" t="s">
        <v>245</v>
      </c>
      <c r="JW19" s="67"/>
      <c r="JX19" s="64" t="s">
        <v>239</v>
      </c>
      <c r="JY19" s="65" t="s">
        <v>188</v>
      </c>
      <c r="JZ19" s="65" t="s">
        <v>4</v>
      </c>
      <c r="KA19" s="66" t="s">
        <v>244</v>
      </c>
      <c r="KB19" s="66" t="s">
        <v>245</v>
      </c>
      <c r="KC19" s="64" t="s">
        <v>239</v>
      </c>
      <c r="KD19" s="65" t="s">
        <v>188</v>
      </c>
      <c r="KE19" s="65" t="s">
        <v>4</v>
      </c>
      <c r="KF19" s="66" t="s">
        <v>244</v>
      </c>
      <c r="KG19" s="66" t="s">
        <v>245</v>
      </c>
      <c r="KH19" s="64" t="s">
        <v>239</v>
      </c>
      <c r="KI19" s="65" t="s">
        <v>188</v>
      </c>
      <c r="KJ19" s="65" t="s">
        <v>4</v>
      </c>
      <c r="KK19" s="66" t="s">
        <v>244</v>
      </c>
      <c r="KL19" s="66" t="s">
        <v>245</v>
      </c>
      <c r="KM19" s="64" t="s">
        <v>239</v>
      </c>
      <c r="KN19" s="65" t="s">
        <v>188</v>
      </c>
      <c r="KO19" s="65" t="s">
        <v>4</v>
      </c>
      <c r="KP19" s="66" t="s">
        <v>244</v>
      </c>
      <c r="KQ19" s="66" t="s">
        <v>245</v>
      </c>
      <c r="KR19" s="64" t="s">
        <v>239</v>
      </c>
      <c r="KS19" s="65" t="s">
        <v>188</v>
      </c>
      <c r="KT19" s="65" t="s">
        <v>4</v>
      </c>
      <c r="KU19" s="66" t="s">
        <v>244</v>
      </c>
      <c r="KV19" s="66" t="s">
        <v>245</v>
      </c>
      <c r="KW19" s="64" t="s">
        <v>239</v>
      </c>
      <c r="KX19" s="65" t="s">
        <v>188</v>
      </c>
      <c r="KY19" s="65" t="s">
        <v>4</v>
      </c>
      <c r="KZ19" s="66" t="s">
        <v>244</v>
      </c>
      <c r="LA19" s="66" t="s">
        <v>245</v>
      </c>
      <c r="LB19" s="67"/>
      <c r="LC19" s="64" t="s">
        <v>239</v>
      </c>
      <c r="LD19" s="65" t="s">
        <v>188</v>
      </c>
      <c r="LE19" s="65" t="s">
        <v>4</v>
      </c>
      <c r="LF19" s="66" t="s">
        <v>244</v>
      </c>
      <c r="LG19" s="66" t="s">
        <v>245</v>
      </c>
      <c r="LH19" s="64" t="s">
        <v>239</v>
      </c>
      <c r="LI19" s="65" t="s">
        <v>188</v>
      </c>
      <c r="LJ19" s="65" t="s">
        <v>4</v>
      </c>
      <c r="LK19" s="66" t="s">
        <v>244</v>
      </c>
      <c r="LL19" s="66" t="s">
        <v>245</v>
      </c>
      <c r="LM19" s="64" t="s">
        <v>239</v>
      </c>
      <c r="LN19" s="65" t="s">
        <v>188</v>
      </c>
      <c r="LO19" s="65" t="s">
        <v>4</v>
      </c>
      <c r="LP19" s="66" t="s">
        <v>244</v>
      </c>
      <c r="LQ19" s="66" t="s">
        <v>245</v>
      </c>
      <c r="LR19" s="64" t="s">
        <v>239</v>
      </c>
      <c r="LS19" s="65" t="s">
        <v>188</v>
      </c>
      <c r="LT19" s="65" t="s">
        <v>4</v>
      </c>
      <c r="LU19" s="66" t="s">
        <v>244</v>
      </c>
      <c r="LV19" s="66" t="s">
        <v>245</v>
      </c>
      <c r="LW19" s="64" t="s">
        <v>239</v>
      </c>
      <c r="LX19" s="65" t="s">
        <v>188</v>
      </c>
      <c r="LY19" s="65" t="s">
        <v>4</v>
      </c>
      <c r="LZ19" s="66" t="s">
        <v>244</v>
      </c>
      <c r="MA19" s="66" t="s">
        <v>245</v>
      </c>
      <c r="MB19" s="64" t="s">
        <v>239</v>
      </c>
      <c r="MC19" s="65" t="s">
        <v>188</v>
      </c>
      <c r="MD19" s="65" t="s">
        <v>4</v>
      </c>
      <c r="ME19" s="66" t="s">
        <v>244</v>
      </c>
      <c r="MF19" s="66" t="s">
        <v>245</v>
      </c>
      <c r="MG19" s="67"/>
      <c r="MH19" s="64" t="s">
        <v>239</v>
      </c>
      <c r="MI19" s="65" t="s">
        <v>188</v>
      </c>
      <c r="MJ19" s="65" t="s">
        <v>4</v>
      </c>
      <c r="MK19" s="66" t="s">
        <v>244</v>
      </c>
      <c r="ML19" s="66" t="s">
        <v>245</v>
      </c>
      <c r="MM19" s="64" t="s">
        <v>239</v>
      </c>
      <c r="MN19" s="65" t="s">
        <v>188</v>
      </c>
      <c r="MO19" s="65" t="s">
        <v>4</v>
      </c>
      <c r="MP19" s="66" t="s">
        <v>244</v>
      </c>
      <c r="MQ19" s="66" t="s">
        <v>245</v>
      </c>
      <c r="MR19" s="64" t="s">
        <v>239</v>
      </c>
      <c r="MS19" s="65" t="s">
        <v>188</v>
      </c>
      <c r="MT19" s="65" t="s">
        <v>4</v>
      </c>
      <c r="MU19" s="66" t="s">
        <v>244</v>
      </c>
      <c r="MV19" s="66" t="s">
        <v>245</v>
      </c>
      <c r="MW19" s="64" t="s">
        <v>239</v>
      </c>
      <c r="MX19" s="65" t="s">
        <v>188</v>
      </c>
      <c r="MY19" s="65" t="s">
        <v>4</v>
      </c>
      <c r="MZ19" s="66" t="s">
        <v>244</v>
      </c>
      <c r="NA19" s="66" t="s">
        <v>245</v>
      </c>
      <c r="NB19" s="64" t="s">
        <v>239</v>
      </c>
      <c r="NC19" s="65" t="s">
        <v>188</v>
      </c>
      <c r="ND19" s="65" t="s">
        <v>4</v>
      </c>
      <c r="NE19" s="66" t="s">
        <v>244</v>
      </c>
      <c r="NF19" s="66" t="s">
        <v>245</v>
      </c>
      <c r="NG19" s="64" t="s">
        <v>239</v>
      </c>
      <c r="NH19" s="65" t="s">
        <v>188</v>
      </c>
      <c r="NI19" s="65" t="s">
        <v>4</v>
      </c>
      <c r="NJ19" s="66" t="s">
        <v>244</v>
      </c>
      <c r="NK19" s="66" t="s">
        <v>245</v>
      </c>
      <c r="NL19" s="67"/>
      <c r="NM19" s="64" t="s">
        <v>239</v>
      </c>
      <c r="NN19" s="65" t="s">
        <v>188</v>
      </c>
      <c r="NO19" s="65" t="s">
        <v>4</v>
      </c>
      <c r="NP19" s="66" t="s">
        <v>244</v>
      </c>
      <c r="NQ19" s="66" t="s">
        <v>245</v>
      </c>
      <c r="NR19" s="64" t="s">
        <v>239</v>
      </c>
      <c r="NS19" s="65" t="s">
        <v>188</v>
      </c>
      <c r="NT19" s="65" t="s">
        <v>4</v>
      </c>
      <c r="NU19" s="66" t="s">
        <v>244</v>
      </c>
      <c r="NV19" s="66" t="s">
        <v>245</v>
      </c>
      <c r="NW19" s="64" t="s">
        <v>239</v>
      </c>
      <c r="NX19" s="65" t="s">
        <v>188</v>
      </c>
      <c r="NY19" s="65" t="s">
        <v>4</v>
      </c>
      <c r="NZ19" s="66" t="s">
        <v>244</v>
      </c>
      <c r="OA19" s="66" t="s">
        <v>245</v>
      </c>
      <c r="OB19" s="64" t="s">
        <v>239</v>
      </c>
      <c r="OC19" s="65" t="s">
        <v>188</v>
      </c>
      <c r="OD19" s="65" t="s">
        <v>4</v>
      </c>
      <c r="OE19" s="66" t="s">
        <v>244</v>
      </c>
      <c r="OF19" s="66" t="s">
        <v>245</v>
      </c>
      <c r="OG19" s="64" t="s">
        <v>239</v>
      </c>
      <c r="OH19" s="65" t="s">
        <v>188</v>
      </c>
      <c r="OI19" s="65" t="s">
        <v>4</v>
      </c>
      <c r="OJ19" s="66" t="s">
        <v>244</v>
      </c>
      <c r="OK19" s="66" t="s">
        <v>245</v>
      </c>
      <c r="OL19" s="64" t="s">
        <v>239</v>
      </c>
      <c r="OM19" s="65" t="s">
        <v>188</v>
      </c>
      <c r="ON19" s="65" t="s">
        <v>4</v>
      </c>
      <c r="OO19" s="66" t="s">
        <v>244</v>
      </c>
      <c r="OP19" s="66" t="s">
        <v>245</v>
      </c>
      <c r="OQ19" s="67"/>
      <c r="OR19" s="67"/>
      <c r="OS19" s="67"/>
      <c r="OT19" s="67"/>
      <c r="OU19" s="67"/>
      <c r="OV19" s="67"/>
      <c r="OW19" s="67"/>
      <c r="OX19" s="67"/>
      <c r="OY19" s="67"/>
      <c r="OZ19" s="67"/>
      <c r="PA19" s="67"/>
      <c r="PB19" s="67"/>
      <c r="PC19" s="67"/>
      <c r="PD19" s="67"/>
      <c r="PE19" s="67"/>
      <c r="PF19" s="67"/>
      <c r="PG19" s="67"/>
      <c r="PH19" s="67"/>
      <c r="PI19" s="67"/>
      <c r="PJ19" s="67"/>
    </row>
    <row r="20">
      <c r="A20" s="42"/>
      <c r="B20" s="68" t="s">
        <v>249</v>
      </c>
      <c r="C20" s="69"/>
      <c r="D20" s="70"/>
      <c r="E20" s="71"/>
      <c r="F20" s="32"/>
      <c r="G20" s="72" t="str">
        <f t="array" ref="G20">IFERROR(IF(XLOOKUP(CONCAT(E20,F20),'MASTER PLAN'!$AB:$AB,'MASTER PLAN'!$J:$J,0,0)=0,"",XLOOKUP(CONCAT(E20,F20),'MASTER PLAN'!$AB:$AB,'MASTER PLAN'!$J:$J,0,0)),"")</f>
        <v/>
      </c>
      <c r="H20" s="70"/>
      <c r="I20" s="94"/>
      <c r="J20" s="71"/>
      <c r="K20" s="32"/>
      <c r="L20" s="72" t="str">
        <f t="array" ref="L20">IFERROR(IF(XLOOKUP(CONCAT(J20,K20),'MASTER PLAN'!$AB:$AB,'MASTER PLAN'!$J:$J,0,0)=0,"",XLOOKUP(CONCAT(J20,K20),'MASTER PLAN'!$AB:$AB,'MASTER PLAN'!$J:$J,0,0)),"")</f>
        <v/>
      </c>
      <c r="M20" s="70"/>
      <c r="N20" s="94"/>
      <c r="O20" s="71"/>
      <c r="P20" s="32"/>
      <c r="Q20" s="72" t="str">
        <f t="array" ref="Q20">IFERROR(IF(XLOOKUP(CONCAT(O20,P20),'MASTER PLAN'!$AB:$AB,'MASTER PLAN'!$J:$J,0,0)=0,"",XLOOKUP(CONCAT(O20,P20),'MASTER PLAN'!$AB:$AB,'MASTER PLAN'!$J:$J,0,0)),"")</f>
        <v/>
      </c>
      <c r="R20" s="70"/>
      <c r="S20" s="94"/>
      <c r="T20" s="71"/>
      <c r="U20" s="32"/>
      <c r="V20" s="72" t="str">
        <f t="array" ref="V20">IFERROR(IF(XLOOKUP(CONCAT(T20,U20),'MASTER PLAN'!$AB:$AB,'MASTER PLAN'!$J:$J,0,0)=0,"",XLOOKUP(CONCAT(T20,U20),'MASTER PLAN'!$AB:$AB,'MASTER PLAN'!$J:$J,0,0)),"")</f>
        <v/>
      </c>
      <c r="W20" s="70"/>
      <c r="X20" s="94"/>
      <c r="Y20" s="71"/>
      <c r="Z20" s="32"/>
      <c r="AA20" s="72" t="str">
        <f t="array" ref="AA20">IFERROR(IF(XLOOKUP(CONCAT(Y20,Z20),'MASTER PLAN'!$AB:$AB,'MASTER PLAN'!$J:$J,0,0)=0,"",XLOOKUP(CONCAT(Y20,Z20),'MASTER PLAN'!$AB:$AB,'MASTER PLAN'!$J:$J,0,0)),"")</f>
        <v/>
      </c>
      <c r="AB20" s="70"/>
      <c r="AC20" s="94"/>
      <c r="AD20" s="71"/>
      <c r="AE20" s="32"/>
      <c r="AF20" s="72" t="str">
        <f t="array" ref="AF20">IFERROR(IF(XLOOKUP(CONCAT(AD20,AE20),'MASTER PLAN'!$AB:$AB,'MASTER PLAN'!$J:$J,0,0)=0,"",XLOOKUP(CONCAT(AD20,AE20),'MASTER PLAN'!$AB:$AB,'MASTER PLAN'!$J:$J,0,0)),"")</f>
        <v/>
      </c>
      <c r="AG20" s="70"/>
      <c r="AH20" s="94"/>
      <c r="AI20" s="70"/>
      <c r="AJ20" s="71"/>
      <c r="AK20" s="32"/>
      <c r="AL20" s="72" t="str">
        <f t="array" ref="AL20">IFERROR(IF(XLOOKUP(CONCAT(AJ20,AK20),'MASTER PLAN'!$AB:$AB,'MASTER PLAN'!$J:$J,0,0)=0,"",XLOOKUP(CONCAT(AJ20,AK20),'MASTER PLAN'!$AB:$AB,'MASTER PLAN'!$J:$J,0,0)),"")</f>
        <v/>
      </c>
      <c r="AM20" s="70"/>
      <c r="AN20" s="94"/>
      <c r="AO20" s="71"/>
      <c r="AP20" s="32"/>
      <c r="AQ20" s="72" t="str">
        <f t="array" ref="AQ20">IFERROR(IF(XLOOKUP(CONCAT(AO20,AP20),'MASTER PLAN'!$AB:$AB,'MASTER PLAN'!$J:$J,0,0)=0,"",XLOOKUP(CONCAT(AO20,AP20),'MASTER PLAN'!$AB:$AB,'MASTER PLAN'!$J:$J,0,0)),"")</f>
        <v/>
      </c>
      <c r="AR20" s="70"/>
      <c r="AS20" s="94"/>
      <c r="AT20" s="71"/>
      <c r="AU20" s="32"/>
      <c r="AV20" s="72" t="str">
        <f t="array" ref="AV20">IFERROR(IF(XLOOKUP(CONCAT(AT20,AU20),'MASTER PLAN'!$AB:$AB,'MASTER PLAN'!$J:$J,0,0)=0,"",XLOOKUP(CONCAT(AT20,AU20),'MASTER PLAN'!$AB:$AB,'MASTER PLAN'!$J:$J,0,0)),"")</f>
        <v/>
      </c>
      <c r="AW20" s="70"/>
      <c r="AX20" s="94"/>
      <c r="AY20" s="71"/>
      <c r="AZ20" s="32"/>
      <c r="BA20" s="72" t="str">
        <f t="array" ref="BA20">IFERROR(IF(XLOOKUP(CONCAT(AY20,AZ20),'MASTER PLAN'!$AB:$AB,'MASTER PLAN'!$J:$J,0,0)=0,"",XLOOKUP(CONCAT(AY20,AZ20),'MASTER PLAN'!$AB:$AB,'MASTER PLAN'!$J:$J,0,0)),"")</f>
        <v/>
      </c>
      <c r="BB20" s="70"/>
      <c r="BC20" s="94"/>
      <c r="BD20" s="71"/>
      <c r="BE20" s="32"/>
      <c r="BF20" s="72" t="str">
        <f t="array" ref="BF20">IFERROR(IF(XLOOKUP(CONCAT(BD20,BE20),'MASTER PLAN'!$AB:$AB,'MASTER PLAN'!$J:$J,0,0)=0,"",XLOOKUP(CONCAT(BD20,BE20),'MASTER PLAN'!$AB:$AB,'MASTER PLAN'!$J:$J,0,0)),"")</f>
        <v/>
      </c>
      <c r="BG20" s="70"/>
      <c r="BH20" s="94"/>
      <c r="BI20" s="71"/>
      <c r="BJ20" s="32"/>
      <c r="BK20" s="72" t="str">
        <f t="array" ref="BK20">IFERROR(IF(XLOOKUP(CONCAT(BI20,BJ20),'MASTER PLAN'!$AB:$AB,'MASTER PLAN'!$J:$J,0,0)=0,"",XLOOKUP(CONCAT(BI20,BJ20),'MASTER PLAN'!$AB:$AB,'MASTER PLAN'!$J:$J,0,0)),"")</f>
        <v/>
      </c>
      <c r="BL20" s="70"/>
      <c r="BM20" s="94"/>
      <c r="BN20" s="70"/>
      <c r="BO20" s="71"/>
      <c r="BP20" s="32"/>
      <c r="BQ20" s="72" t="str">
        <f t="array" ref="BQ20">IFERROR(IF(XLOOKUP(CONCAT(BO20,BP20),'MASTER PLAN'!$AB:$AB,'MASTER PLAN'!$J:$J,0,0)=0,"",XLOOKUP(CONCAT(BO20,BP20),'MASTER PLAN'!$AB:$AB,'MASTER PLAN'!$J:$J,0,0)),"")</f>
        <v/>
      </c>
      <c r="BR20" s="70"/>
      <c r="BS20" s="94"/>
      <c r="BT20" s="71"/>
      <c r="BU20" s="32"/>
      <c r="BV20" s="72" t="str">
        <f t="array" ref="BV20">IFERROR(IF(XLOOKUP(CONCAT(BT20,BU20),'MASTER PLAN'!$AB:$AB,'MASTER PLAN'!$J:$J,0,0)=0,"",XLOOKUP(CONCAT(BT20,BU20),'MASTER PLAN'!$AB:$AB,'MASTER PLAN'!$J:$J,0,0)),"")</f>
        <v/>
      </c>
      <c r="BW20" s="70"/>
      <c r="BX20" s="94"/>
      <c r="BY20" s="71"/>
      <c r="BZ20" s="32"/>
      <c r="CA20" s="72" t="str">
        <f t="array" ref="CA20">IFERROR(IF(XLOOKUP(CONCAT(BY20,BZ20),'MASTER PLAN'!$AB:$AB,'MASTER PLAN'!$J:$J,0,0)=0,"",XLOOKUP(CONCAT(BY20,BZ20),'MASTER PLAN'!$AB:$AB,'MASTER PLAN'!$J:$J,0,0)),"")</f>
        <v/>
      </c>
      <c r="CB20" s="70"/>
      <c r="CC20" s="94"/>
      <c r="CD20" s="71"/>
      <c r="CE20" s="32"/>
      <c r="CF20" s="72" t="str">
        <f t="array" ref="CF20">IFERROR(IF(XLOOKUP(CONCAT(CD20,CE20),'MASTER PLAN'!$AB:$AB,'MASTER PLAN'!$J:$J,0,0)=0,"",XLOOKUP(CONCAT(CD20,CE20),'MASTER PLAN'!$AB:$AB,'MASTER PLAN'!$J:$J,0,0)),"")</f>
        <v/>
      </c>
      <c r="CG20" s="70"/>
      <c r="CH20" s="94"/>
      <c r="CI20" s="71"/>
      <c r="CJ20" s="32"/>
      <c r="CK20" s="72" t="str">
        <f t="array" ref="CK20">IFERROR(IF(XLOOKUP(CONCAT(CI20,CJ20),'MASTER PLAN'!$AB:$AB,'MASTER PLAN'!$J:$J,0,0)=0,"",XLOOKUP(CONCAT(CI20,CJ20),'MASTER PLAN'!$AB:$AB,'MASTER PLAN'!$J:$J,0,0)),"")</f>
        <v/>
      </c>
      <c r="CL20" s="70"/>
      <c r="CM20" s="94"/>
      <c r="CN20" s="71"/>
      <c r="CO20" s="32"/>
      <c r="CP20" s="72" t="str">
        <f t="array" ref="CP20">IFERROR(IF(XLOOKUP(CONCAT(CN20,CO20),'MASTER PLAN'!$AB:$AB,'MASTER PLAN'!$J:$J,0,0)=0,"",XLOOKUP(CONCAT(CN20,CO20),'MASTER PLAN'!$AB:$AB,'MASTER PLAN'!$J:$J,0,0)),"")</f>
        <v/>
      </c>
      <c r="CQ20" s="70"/>
      <c r="CR20" s="94"/>
      <c r="CS20" s="70"/>
      <c r="CT20" s="71"/>
      <c r="CU20" s="32"/>
      <c r="CV20" s="72" t="str">
        <f t="array" ref="CV20">IFERROR(IF(XLOOKUP(CONCAT(CT20,CU20),'MASTER PLAN'!$AB:$AB,'MASTER PLAN'!$J:$J,0,0)=0,"",XLOOKUP(CONCAT(CT20,CU20),'MASTER PLAN'!$AB:$AB,'MASTER PLAN'!$J:$J,0,0)),"")</f>
        <v/>
      </c>
      <c r="CW20" s="70"/>
      <c r="CX20" s="94"/>
      <c r="CY20" s="71"/>
      <c r="CZ20" s="32"/>
      <c r="DA20" s="72" t="str">
        <f t="array" ref="DA20">IFERROR(IF(XLOOKUP(CONCAT(CY20,CZ20),'MASTER PLAN'!$AB:$AB,'MASTER PLAN'!$J:$J,0,0)=0,"",XLOOKUP(CONCAT(CY20,CZ20),'MASTER PLAN'!$AB:$AB,'MASTER PLAN'!$J:$J,0,0)),"")</f>
        <v/>
      </c>
      <c r="DB20" s="70"/>
      <c r="DC20" s="94"/>
      <c r="DD20" s="71"/>
      <c r="DE20" s="32"/>
      <c r="DF20" s="72" t="str">
        <f t="array" ref="DF20">IFERROR(IF(XLOOKUP(CONCAT(DD20,DE20),'MASTER PLAN'!$AB:$AB,'MASTER PLAN'!$J:$J,0,0)=0,"",XLOOKUP(CONCAT(DD20,DE20),'MASTER PLAN'!$AB:$AB,'MASTER PLAN'!$J:$J,0,0)),"")</f>
        <v/>
      </c>
      <c r="DG20" s="70"/>
      <c r="DH20" s="94"/>
      <c r="DI20" s="71"/>
      <c r="DJ20" s="32"/>
      <c r="DK20" s="72" t="str">
        <f t="array" ref="DK20">IFERROR(IF(XLOOKUP(CONCAT(DI20,DJ20),'MASTER PLAN'!$AB:$AB,'MASTER PLAN'!$J:$J,0,0)=0,"",XLOOKUP(CONCAT(DI20,DJ20),'MASTER PLAN'!$AB:$AB,'MASTER PLAN'!$J:$J,0,0)),"")</f>
        <v/>
      </c>
      <c r="DL20" s="70"/>
      <c r="DM20" s="94"/>
      <c r="DN20" s="71"/>
      <c r="DO20" s="32"/>
      <c r="DP20" s="72" t="str">
        <f t="array" ref="DP20">IFERROR(IF(XLOOKUP(CONCAT(DN20,DO20),'MASTER PLAN'!$AB:$AB,'MASTER PLAN'!$J:$J,0,0)=0,"",XLOOKUP(CONCAT(DN20,DO20),'MASTER PLAN'!$AB:$AB,'MASTER PLAN'!$J:$J,0,0)),"")</f>
        <v/>
      </c>
      <c r="DQ20" s="70"/>
      <c r="DR20" s="94"/>
      <c r="DS20" s="71"/>
      <c r="DT20" s="32"/>
      <c r="DU20" s="72" t="str">
        <f t="array" ref="DU20">IFERROR(IF(XLOOKUP(CONCAT(DS20,DT20),'MASTER PLAN'!$AB:$AB,'MASTER PLAN'!$J:$J,0,0)=0,"",XLOOKUP(CONCAT(DS20,DT20),'MASTER PLAN'!$AB:$AB,'MASTER PLAN'!$J:$J,0,0)),"")</f>
        <v/>
      </c>
      <c r="DV20" s="70"/>
      <c r="DW20" s="94"/>
      <c r="DX20" s="70"/>
      <c r="DY20" s="71"/>
      <c r="DZ20" s="32"/>
      <c r="EA20" s="72" t="str">
        <f t="array" ref="EA20">IFERROR(IF(XLOOKUP(CONCAT(DY20,DZ20),'MASTER PLAN'!$AB:$AB,'MASTER PLAN'!$J:$J,0,0)=0,"",XLOOKUP(CONCAT(DY20,DZ20),'MASTER PLAN'!$AB:$AB,'MASTER PLAN'!$J:$J,0,0)),"")</f>
        <v/>
      </c>
      <c r="EB20" s="70"/>
      <c r="EC20" s="94"/>
      <c r="ED20" s="71"/>
      <c r="EE20" s="32"/>
      <c r="EF20" s="72" t="str">
        <f t="array" ref="EF20">IFERROR(IF(XLOOKUP(CONCAT(ED20,EE20),'MASTER PLAN'!$AB:$AB,'MASTER PLAN'!$J:$J,0,0)=0,"",XLOOKUP(CONCAT(ED20,EE20),'MASTER PLAN'!$AB:$AB,'MASTER PLAN'!$J:$J,0,0)),"")</f>
        <v/>
      </c>
      <c r="EG20" s="70"/>
      <c r="EH20" s="94"/>
      <c r="EI20" s="71"/>
      <c r="EJ20" s="32"/>
      <c r="EK20" s="72" t="str">
        <f t="array" ref="EK20">IFERROR(IF(XLOOKUP(CONCAT(EI20,EJ20),'MASTER PLAN'!$AB:$AB,'MASTER PLAN'!$J:$J,0,0)=0,"",XLOOKUP(CONCAT(EI20,EJ20),'MASTER PLAN'!$AB:$AB,'MASTER PLAN'!$J:$J,0,0)),"")</f>
        <v/>
      </c>
      <c r="EL20" s="70"/>
      <c r="EM20" s="94"/>
      <c r="EN20" s="71"/>
      <c r="EO20" s="32"/>
      <c r="EP20" s="72" t="str">
        <f t="array" ref="EP20">IFERROR(IF(XLOOKUP(CONCAT(EN20,EO20),'MASTER PLAN'!$AB:$AB,'MASTER PLAN'!$J:$J,0,0)=0,"",XLOOKUP(CONCAT(EN20,EO20),'MASTER PLAN'!$AB:$AB,'MASTER PLAN'!$J:$J,0,0)),"")</f>
        <v/>
      </c>
      <c r="EQ20" s="70"/>
      <c r="ER20" s="94"/>
      <c r="ES20" s="71"/>
      <c r="ET20" s="32"/>
      <c r="EU20" s="72" t="str">
        <f t="array" ref="EU20">IFERROR(IF(XLOOKUP(CONCAT(ES20,ET20),'MASTER PLAN'!$AB:$AB,'MASTER PLAN'!$J:$J,0,0)=0,"",XLOOKUP(CONCAT(ES20,ET20),'MASTER PLAN'!$AB:$AB,'MASTER PLAN'!$J:$J,0,0)),"")</f>
        <v/>
      </c>
      <c r="EV20" s="70"/>
      <c r="EW20" s="94"/>
      <c r="EX20" s="71"/>
      <c r="EY20" s="32"/>
      <c r="EZ20" s="72" t="str">
        <f t="array" ref="EZ20">IFERROR(IF(XLOOKUP(CONCAT(EX20,EY20),'MASTER PLAN'!$AB:$AB,'MASTER PLAN'!$J:$J,0,0)=0,"",XLOOKUP(CONCAT(EX20,EY20),'MASTER PLAN'!$AB:$AB,'MASTER PLAN'!$J:$J,0,0)),"")</f>
        <v/>
      </c>
      <c r="FA20" s="70"/>
      <c r="FB20" s="94"/>
      <c r="FC20" s="70"/>
      <c r="FD20" s="71"/>
      <c r="FE20" s="32"/>
      <c r="FF20" s="72" t="str">
        <f t="array" ref="FF20">IFERROR(IF(XLOOKUP(CONCAT(FD20,FE20),'MASTER PLAN'!$AB:$AB,'MASTER PLAN'!$J:$J,0,0)=0,"",XLOOKUP(CONCAT(FD20,FE20),'MASTER PLAN'!$AB:$AB,'MASTER PLAN'!$J:$J,0,0)),"")</f>
        <v/>
      </c>
      <c r="FG20" s="70"/>
      <c r="FH20" s="94"/>
      <c r="FI20" s="71"/>
      <c r="FJ20" s="32"/>
      <c r="FK20" s="72" t="str">
        <f t="array" ref="FK20">IFERROR(IF(XLOOKUP(CONCAT(FI20,FJ20),'MASTER PLAN'!$AB:$AB,'MASTER PLAN'!$J:$J,0,0)=0,"",XLOOKUP(CONCAT(FI20,FJ20),'MASTER PLAN'!$AB:$AB,'MASTER PLAN'!$J:$J,0,0)),"")</f>
        <v/>
      </c>
      <c r="FL20" s="70"/>
      <c r="FM20" s="94"/>
      <c r="FN20" s="71"/>
      <c r="FO20" s="32"/>
      <c r="FP20" s="72" t="str">
        <f t="array" ref="FP20">IFERROR(IF(XLOOKUP(CONCAT(FN20,FO20),'MASTER PLAN'!$AB:$AB,'MASTER PLAN'!$J:$J,0,0)=0,"",XLOOKUP(CONCAT(FN20,FO20),'MASTER PLAN'!$AB:$AB,'MASTER PLAN'!$J:$J,0,0)),"")</f>
        <v/>
      </c>
      <c r="FQ20" s="70"/>
      <c r="FR20" s="94"/>
      <c r="FS20" s="71"/>
      <c r="FT20" s="32"/>
      <c r="FU20" s="72" t="str">
        <f t="array" ref="FU20">IFERROR(IF(XLOOKUP(CONCAT(FS20,FT20),'MASTER PLAN'!$AB:$AB,'MASTER PLAN'!$J:$J,0,0)=0,"",XLOOKUP(CONCAT(FS20,FT20),'MASTER PLAN'!$AB:$AB,'MASTER PLAN'!$J:$J,0,0)),"")</f>
        <v/>
      </c>
      <c r="FV20" s="70"/>
      <c r="FW20" s="94"/>
      <c r="FX20" s="71"/>
      <c r="FY20" s="32"/>
      <c r="FZ20" s="72" t="str">
        <f t="array" ref="FZ20">IFERROR(IF(XLOOKUP(CONCAT(FX20,FY20),'MASTER PLAN'!$AB:$AB,'MASTER PLAN'!$J:$J,0,0)=0,"",XLOOKUP(CONCAT(FX20,FY20),'MASTER PLAN'!$AB:$AB,'MASTER PLAN'!$J:$J,0,0)),"")</f>
        <v/>
      </c>
      <c r="GA20" s="70"/>
      <c r="GB20" s="94"/>
      <c r="GC20" s="71"/>
      <c r="GD20" s="32"/>
      <c r="GE20" s="72" t="str">
        <f t="array" ref="GE20">IFERROR(IF(XLOOKUP(CONCAT(GC20,GD20),'MASTER PLAN'!$AB:$AB,'MASTER PLAN'!$J:$J,0,0)=0,"",XLOOKUP(CONCAT(GC20,GD20),'MASTER PLAN'!$AB:$AB,'MASTER PLAN'!$J:$J,0,0)),"")</f>
        <v/>
      </c>
      <c r="GF20" s="70"/>
      <c r="GG20" s="94"/>
      <c r="GH20" s="70"/>
      <c r="GI20" s="71"/>
      <c r="GJ20" s="32"/>
      <c r="GK20" s="72" t="str">
        <f t="array" ref="GK20">IFERROR(IF(XLOOKUP(CONCAT(GI20,GJ20),'MASTER PLAN'!$AB:$AB,'MASTER PLAN'!$J:$J,0,0)=0,"",XLOOKUP(CONCAT(GI20,GJ20),'MASTER PLAN'!$AB:$AB,'MASTER PLAN'!$J:$J,0,0)),"")</f>
        <v/>
      </c>
      <c r="GL20" s="70"/>
      <c r="GM20" s="94"/>
      <c r="GN20" s="71"/>
      <c r="GO20" s="32"/>
      <c r="GP20" s="72" t="str">
        <f t="array" ref="GP20">IFERROR(IF(XLOOKUP(CONCAT(GN20,GO20),'MASTER PLAN'!$AB:$AB,'MASTER PLAN'!$J:$J,0,0)=0,"",XLOOKUP(CONCAT(GN20,GO20),'MASTER PLAN'!$AB:$AB,'MASTER PLAN'!$J:$J,0,0)),"")</f>
        <v/>
      </c>
      <c r="GQ20" s="70"/>
      <c r="GR20" s="94"/>
      <c r="GS20" s="71"/>
      <c r="GT20" s="32"/>
      <c r="GU20" s="72" t="str">
        <f t="array" ref="GU20">IFERROR(IF(XLOOKUP(CONCAT(GS20,GT20),'MASTER PLAN'!$AB:$AB,'MASTER PLAN'!$J:$J,0,0)=0,"",XLOOKUP(CONCAT(GS20,GT20),'MASTER PLAN'!$AB:$AB,'MASTER PLAN'!$J:$J,0,0)),"")</f>
        <v/>
      </c>
      <c r="GV20" s="70"/>
      <c r="GW20" s="94"/>
      <c r="GX20" s="71"/>
      <c r="GY20" s="32"/>
      <c r="GZ20" s="72" t="str">
        <f t="array" ref="GZ20">IFERROR(IF(XLOOKUP(CONCAT(GX20,GY20),'MASTER PLAN'!$AB:$AB,'MASTER PLAN'!$J:$J,0,0)=0,"",XLOOKUP(CONCAT(GX20,GY20),'MASTER PLAN'!$AB:$AB,'MASTER PLAN'!$J:$J,0,0)),"")</f>
        <v/>
      </c>
      <c r="HA20" s="70"/>
      <c r="HB20" s="94"/>
      <c r="HC20" s="71"/>
      <c r="HD20" s="32"/>
      <c r="HE20" s="72" t="str">
        <f t="array" ref="HE20">IFERROR(IF(XLOOKUP(CONCAT(HC20,HD20),'MASTER PLAN'!$AB:$AB,'MASTER PLAN'!$J:$J,0,0)=0,"",XLOOKUP(CONCAT(HC20,HD20),'MASTER PLAN'!$AB:$AB,'MASTER PLAN'!$J:$J,0,0)),"")</f>
        <v/>
      </c>
      <c r="HF20" s="70"/>
      <c r="HG20" s="94"/>
      <c r="HH20" s="71"/>
      <c r="HI20" s="32"/>
      <c r="HJ20" s="72" t="str">
        <f t="array" ref="HJ20">IFERROR(IF(XLOOKUP(CONCAT(HH20,HI20),'MASTER PLAN'!$AB:$AB,'MASTER PLAN'!$J:$J,0,0)=0,"",XLOOKUP(CONCAT(HH20,HI20),'MASTER PLAN'!$AB:$AB,'MASTER PLAN'!$J:$J,0,0)),"")</f>
        <v/>
      </c>
      <c r="HK20" s="70"/>
      <c r="HL20" s="94"/>
      <c r="HM20" s="70"/>
      <c r="HN20" s="71"/>
      <c r="HO20" s="32"/>
      <c r="HP20" s="72" t="str">
        <f t="array" ref="HP20">IFERROR(IF(XLOOKUP(CONCAT(HN20,HO20),'MASTER PLAN'!$AB:$AB,'MASTER PLAN'!$J:$J,0,0)=0,"",XLOOKUP(CONCAT(HN20,HO20),'MASTER PLAN'!$AB:$AB,'MASTER PLAN'!$J:$J,0,0)),"")</f>
        <v/>
      </c>
      <c r="HQ20" s="70"/>
      <c r="HR20" s="94"/>
      <c r="HS20" s="71"/>
      <c r="HT20" s="32"/>
      <c r="HU20" s="72" t="str">
        <f t="array" ref="HU20">IFERROR(IF(XLOOKUP(CONCAT(HS20,HT20),'MASTER PLAN'!$AB:$AB,'MASTER PLAN'!$J:$J,0,0)=0,"",XLOOKUP(CONCAT(HS20,HT20),'MASTER PLAN'!$AB:$AB,'MASTER PLAN'!$J:$J,0,0)),"")</f>
        <v/>
      </c>
      <c r="HV20" s="70"/>
      <c r="HW20" s="94"/>
      <c r="HX20" s="71"/>
      <c r="HY20" s="32"/>
      <c r="HZ20" s="72" t="str">
        <f t="array" ref="HZ20">IFERROR(IF(XLOOKUP(CONCAT(HX20,HY20),'MASTER PLAN'!$AB:$AB,'MASTER PLAN'!$J:$J,0,0)=0,"",XLOOKUP(CONCAT(HX20,HY20),'MASTER PLAN'!$AB:$AB,'MASTER PLAN'!$J:$J,0,0)),"")</f>
        <v/>
      </c>
      <c r="IA20" s="70"/>
      <c r="IB20" s="94"/>
      <c r="IC20" s="71"/>
      <c r="ID20" s="32"/>
      <c r="IE20" s="72" t="str">
        <f t="array" ref="IE20">IFERROR(IF(XLOOKUP(CONCAT(IC20,ID20),'MASTER PLAN'!$AB:$AB,'MASTER PLAN'!$J:$J,0,0)=0,"",XLOOKUP(CONCAT(IC20,ID20),'MASTER PLAN'!$AB:$AB,'MASTER PLAN'!$J:$J,0,0)),"")</f>
        <v/>
      </c>
      <c r="IF20" s="70"/>
      <c r="IG20" s="94"/>
      <c r="IH20" s="71"/>
      <c r="II20" s="32"/>
      <c r="IJ20" s="72" t="str">
        <f t="array" ref="IJ20">IFERROR(IF(XLOOKUP(CONCAT(IH20,II20),'MASTER PLAN'!$AB:$AB,'MASTER PLAN'!$J:$J,0,0)=0,"",XLOOKUP(CONCAT(IH20,II20),'MASTER PLAN'!$AB:$AB,'MASTER PLAN'!$J:$J,0,0)),"")</f>
        <v/>
      </c>
      <c r="IK20" s="70"/>
      <c r="IL20" s="94"/>
      <c r="IM20" s="71"/>
      <c r="IN20" s="32"/>
      <c r="IO20" s="72" t="str">
        <f t="array" ref="IO20">IFERROR(IF(XLOOKUP(CONCAT(IM20,IN20),'MASTER PLAN'!$AB:$AB,'MASTER PLAN'!$J:$J,0,0)=0,"",XLOOKUP(CONCAT(IM20,IN20),'MASTER PLAN'!$AB:$AB,'MASTER PLAN'!$J:$J,0,0)),"")</f>
        <v/>
      </c>
      <c r="IP20" s="70"/>
      <c r="IQ20" s="94"/>
      <c r="IR20" s="70"/>
      <c r="IS20" s="71"/>
      <c r="IT20" s="32"/>
      <c r="IU20" s="72" t="str">
        <f t="array" ref="IU20">IFERROR(IF(XLOOKUP(CONCAT(IS20,IT20),'MASTER PLAN'!$AB:$AB,'MASTER PLAN'!$J:$J,0,0)=0,"",XLOOKUP(CONCAT(IS20,IT20),'MASTER PLAN'!$AB:$AB,'MASTER PLAN'!$J:$J,0,0)),"")</f>
        <v/>
      </c>
      <c r="IV20" s="70"/>
      <c r="IW20" s="94"/>
      <c r="IX20" s="71"/>
      <c r="IY20" s="32"/>
      <c r="IZ20" s="72" t="str">
        <f t="array" ref="IZ20">IFERROR(IF(XLOOKUP(CONCAT(IX20,IY20),'MASTER PLAN'!$AB:$AB,'MASTER PLAN'!$J:$J,0,0)=0,"",XLOOKUP(CONCAT(IX20,IY20),'MASTER PLAN'!$AB:$AB,'MASTER PLAN'!$J:$J,0,0)),"")</f>
        <v/>
      </c>
      <c r="JA20" s="70"/>
      <c r="JB20" s="94"/>
      <c r="JC20" s="71"/>
      <c r="JD20" s="32"/>
      <c r="JE20" s="72" t="str">
        <f t="array" ref="JE20">IFERROR(IF(XLOOKUP(CONCAT(JC20,JD20),'MASTER PLAN'!$AB:$AB,'MASTER PLAN'!$J:$J,0,0)=0,"",XLOOKUP(CONCAT(JC20,JD20),'MASTER PLAN'!$AB:$AB,'MASTER PLAN'!$J:$J,0,0)),"")</f>
        <v/>
      </c>
      <c r="JF20" s="70"/>
      <c r="JG20" s="94"/>
      <c r="JH20" s="71"/>
      <c r="JI20" s="32"/>
      <c r="JJ20" s="72" t="str">
        <f t="array" ref="JJ20">IFERROR(IF(XLOOKUP(CONCAT(JH20,JI20),'MASTER PLAN'!$AB:$AB,'MASTER PLAN'!$J:$J,0,0)=0,"",XLOOKUP(CONCAT(JH20,JI20),'MASTER PLAN'!$AB:$AB,'MASTER PLAN'!$J:$J,0,0)),"")</f>
        <v/>
      </c>
      <c r="JK20" s="70"/>
      <c r="JL20" s="94"/>
      <c r="JM20" s="71"/>
      <c r="JN20" s="32"/>
      <c r="JO20" s="72" t="str">
        <f t="array" ref="JO20">IFERROR(IF(XLOOKUP(CONCAT(JM20,JN20),'MASTER PLAN'!$AB:$AB,'MASTER PLAN'!$J:$J,0,0)=0,"",XLOOKUP(CONCAT(JM20,JN20),'MASTER PLAN'!$AB:$AB,'MASTER PLAN'!$J:$J,0,0)),"")</f>
        <v/>
      </c>
      <c r="JP20" s="70"/>
      <c r="JQ20" s="94"/>
      <c r="JR20" s="71"/>
      <c r="JS20" s="32"/>
      <c r="JT20" s="72" t="str">
        <f t="array" ref="JT20">IFERROR(IF(XLOOKUP(CONCAT(JR20,JS20),'MASTER PLAN'!$AB:$AB,'MASTER PLAN'!$J:$J,0,0)=0,"",XLOOKUP(CONCAT(JR20,JS20),'MASTER PLAN'!$AB:$AB,'MASTER PLAN'!$J:$J,0,0)),"")</f>
        <v/>
      </c>
      <c r="JU20" s="70"/>
      <c r="JV20" s="94"/>
      <c r="JW20" s="70"/>
      <c r="JX20" s="71"/>
      <c r="JY20" s="32"/>
      <c r="JZ20" s="72" t="str">
        <f t="array" ref="JZ20">IFERROR(IF(XLOOKUP(CONCAT(JX20,JY20),'MASTER PLAN'!$AB:$AB,'MASTER PLAN'!$J:$J,0,0)=0,"",XLOOKUP(CONCAT(JX20,JY20),'MASTER PLAN'!$AB:$AB,'MASTER PLAN'!$J:$J,0,0)),"")</f>
        <v/>
      </c>
      <c r="KA20" s="70"/>
      <c r="KB20" s="94"/>
      <c r="KC20" s="71"/>
      <c r="KD20" s="32"/>
      <c r="KE20" s="72" t="str">
        <f t="array" ref="KE20">IFERROR(IF(XLOOKUP(CONCAT(KC20,KD20),'MASTER PLAN'!$AB:$AB,'MASTER PLAN'!$J:$J,0,0)=0,"",XLOOKUP(CONCAT(KC20,KD20),'MASTER PLAN'!$AB:$AB,'MASTER PLAN'!$J:$J,0,0)),"")</f>
        <v/>
      </c>
      <c r="KF20" s="70"/>
      <c r="KG20" s="94"/>
      <c r="KH20" s="71"/>
      <c r="KI20" s="32"/>
      <c r="KJ20" s="72" t="str">
        <f t="array" ref="KJ20">IFERROR(IF(XLOOKUP(CONCAT(KH20,KI20),'MASTER PLAN'!$AB:$AB,'MASTER PLAN'!$J:$J,0,0)=0,"",XLOOKUP(CONCAT(KH20,KI20),'MASTER PLAN'!$AB:$AB,'MASTER PLAN'!$J:$J,0,0)),"")</f>
        <v/>
      </c>
      <c r="KK20" s="70"/>
      <c r="KL20" s="94"/>
      <c r="KM20" s="71"/>
      <c r="KN20" s="32"/>
      <c r="KO20" s="72" t="str">
        <f t="array" ref="KO20">IFERROR(IF(XLOOKUP(CONCAT(KM20,KN20),'MASTER PLAN'!$AB:$AB,'MASTER PLAN'!$J:$J,0,0)=0,"",XLOOKUP(CONCAT(KM20,KN20),'MASTER PLAN'!$AB:$AB,'MASTER PLAN'!$J:$J,0,0)),"")</f>
        <v/>
      </c>
      <c r="KP20" s="70"/>
      <c r="KQ20" s="94"/>
      <c r="KR20" s="71"/>
      <c r="KS20" s="32"/>
      <c r="KT20" s="72" t="str">
        <f t="array" ref="KT20">IFERROR(IF(XLOOKUP(CONCAT(KR20,KS20),'MASTER PLAN'!$AB:$AB,'MASTER PLAN'!$J:$J,0,0)=0,"",XLOOKUP(CONCAT(KR20,KS20),'MASTER PLAN'!$AB:$AB,'MASTER PLAN'!$J:$J,0,0)),"")</f>
        <v/>
      </c>
      <c r="KU20" s="70"/>
      <c r="KV20" s="94"/>
      <c r="KW20" s="71"/>
      <c r="KX20" s="32"/>
      <c r="KY20" s="72" t="str">
        <f t="array" ref="KY20">IFERROR(IF(XLOOKUP(CONCAT(KW20,KX20),'MASTER PLAN'!$AB:$AB,'MASTER PLAN'!$J:$J,0,0)=0,"",XLOOKUP(CONCAT(KW20,KX20),'MASTER PLAN'!$AB:$AB,'MASTER PLAN'!$J:$J,0,0)),"")</f>
        <v/>
      </c>
      <c r="KZ20" s="70"/>
      <c r="LA20" s="94"/>
      <c r="LB20" s="70"/>
      <c r="LC20" s="71"/>
      <c r="LD20" s="32"/>
      <c r="LE20" s="72" t="str">
        <f t="array" ref="LE20">IFERROR(IF(XLOOKUP(CONCAT(LC20,LD20),'MASTER PLAN'!$AB:$AB,'MASTER PLAN'!$J:$J,0,0)=0,"",XLOOKUP(CONCAT(LC20,LD20),'MASTER PLAN'!$AB:$AB,'MASTER PLAN'!$J:$J,0,0)),"")</f>
        <v/>
      </c>
      <c r="LF20" s="70"/>
      <c r="LG20" s="94"/>
      <c r="LH20" s="71"/>
      <c r="LI20" s="32"/>
      <c r="LJ20" s="72" t="str">
        <f t="array" ref="LJ20">IFERROR(IF(XLOOKUP(CONCAT(LH20,LI20),'MASTER PLAN'!$AB:$AB,'MASTER PLAN'!$J:$J,0,0)=0,"",XLOOKUP(CONCAT(LH20,LI20),'MASTER PLAN'!$AB:$AB,'MASTER PLAN'!$J:$J,0,0)),"")</f>
        <v/>
      </c>
      <c r="LK20" s="70"/>
      <c r="LL20" s="94"/>
      <c r="LM20" s="71"/>
      <c r="LN20" s="32"/>
      <c r="LO20" s="72" t="str">
        <f t="array" ref="LO20">IFERROR(IF(XLOOKUP(CONCAT(LM20,LN20),'MASTER PLAN'!$AB:$AB,'MASTER PLAN'!$J:$J,0,0)=0,"",XLOOKUP(CONCAT(LM20,LN20),'MASTER PLAN'!$AB:$AB,'MASTER PLAN'!$J:$J,0,0)),"")</f>
        <v/>
      </c>
      <c r="LP20" s="70"/>
      <c r="LQ20" s="94"/>
      <c r="LR20" s="71"/>
      <c r="LS20" s="32"/>
      <c r="LT20" s="72" t="str">
        <f t="array" ref="LT20">IFERROR(IF(XLOOKUP(CONCAT(LR20,LS20),'MASTER PLAN'!$AB:$AB,'MASTER PLAN'!$J:$J,0,0)=0,"",XLOOKUP(CONCAT(LR20,LS20),'MASTER PLAN'!$AB:$AB,'MASTER PLAN'!$J:$J,0,0)),"")</f>
        <v/>
      </c>
      <c r="LU20" s="70"/>
      <c r="LV20" s="94"/>
      <c r="LW20" s="71"/>
      <c r="LX20" s="32"/>
      <c r="LY20" s="72" t="str">
        <f t="array" ref="LY20">IFERROR(IF(XLOOKUP(CONCAT(LW20,LX20),'MASTER PLAN'!$AB:$AB,'MASTER PLAN'!$J:$J,0,0)=0,"",XLOOKUP(CONCAT(LW20,LX20),'MASTER PLAN'!$AB:$AB,'MASTER PLAN'!$J:$J,0,0)),"")</f>
        <v/>
      </c>
      <c r="LZ20" s="70"/>
      <c r="MA20" s="94"/>
      <c r="MB20" s="71"/>
      <c r="MC20" s="32"/>
      <c r="MD20" s="72" t="str">
        <f t="array" ref="MD20">IFERROR(IF(XLOOKUP(CONCAT(MB20,MC20),'MASTER PLAN'!$AB:$AB,'MASTER PLAN'!$J:$J,0,0)=0,"",XLOOKUP(CONCAT(MB20,MC20),'MASTER PLAN'!$AB:$AB,'MASTER PLAN'!$J:$J,0,0)),"")</f>
        <v/>
      </c>
      <c r="ME20" s="70"/>
      <c r="MF20" s="94"/>
      <c r="MG20" s="70"/>
      <c r="MH20" s="71"/>
      <c r="MI20" s="32"/>
      <c r="MJ20" s="72" t="str">
        <f t="array" ref="MJ20">IFERROR(IF(XLOOKUP(CONCAT(MH20,MI20),'MASTER PLAN'!$AB:$AB,'MASTER PLAN'!$J:$J,0,0)=0,"",XLOOKUP(CONCAT(MH20,MI20),'MASTER PLAN'!$AB:$AB,'MASTER PLAN'!$J:$J,0,0)),"")</f>
        <v/>
      </c>
      <c r="MK20" s="70"/>
      <c r="ML20" s="94"/>
      <c r="MM20" s="71"/>
      <c r="MN20" s="32"/>
      <c r="MO20" s="72" t="str">
        <f t="array" ref="MO20">IFERROR(IF(XLOOKUP(CONCAT(MM20,MN20),'MASTER PLAN'!$AB:$AB,'MASTER PLAN'!$J:$J,0,0)=0,"",XLOOKUP(CONCAT(MM20,MN20),'MASTER PLAN'!$AB:$AB,'MASTER PLAN'!$J:$J,0,0)),"")</f>
        <v/>
      </c>
      <c r="MP20" s="70"/>
      <c r="MQ20" s="94"/>
      <c r="MR20" s="71"/>
      <c r="MS20" s="32"/>
      <c r="MT20" s="72" t="str">
        <f t="array" ref="MT20">IFERROR(IF(XLOOKUP(CONCAT(MR20,MS20),'MASTER PLAN'!$AB:$AB,'MASTER PLAN'!$J:$J,0,0)=0,"",XLOOKUP(CONCAT(MR20,MS20),'MASTER PLAN'!$AB:$AB,'MASTER PLAN'!$J:$J,0,0)),"")</f>
        <v/>
      </c>
      <c r="MU20" s="70"/>
      <c r="MV20" s="94"/>
      <c r="MW20" s="71"/>
      <c r="MX20" s="32"/>
      <c r="MY20" s="72" t="str">
        <f t="array" ref="MY20">IFERROR(IF(XLOOKUP(CONCAT(MW20,MX20),'MASTER PLAN'!$AB:$AB,'MASTER PLAN'!$J:$J,0,0)=0,"",XLOOKUP(CONCAT(MW20,MX20),'MASTER PLAN'!$AB:$AB,'MASTER PLAN'!$J:$J,0,0)),"")</f>
        <v/>
      </c>
      <c r="MZ20" s="70"/>
      <c r="NA20" s="94"/>
      <c r="NB20" s="71"/>
      <c r="NC20" s="32"/>
      <c r="ND20" s="72" t="str">
        <f t="array" ref="ND20">IFERROR(IF(XLOOKUP(CONCAT(NB20,NC20),'MASTER PLAN'!$AB:$AB,'MASTER PLAN'!$J:$J,0,0)=0,"",XLOOKUP(CONCAT(NB20,NC20),'MASTER PLAN'!$AB:$AB,'MASTER PLAN'!$J:$J,0,0)),"")</f>
        <v/>
      </c>
      <c r="NE20" s="70"/>
      <c r="NF20" s="94"/>
      <c r="NG20" s="71"/>
      <c r="NH20" s="32"/>
      <c r="NI20" s="72" t="str">
        <f t="array" ref="NI20">IFERROR(IF(XLOOKUP(CONCAT(NG20,NH20),'MASTER PLAN'!$AB:$AB,'MASTER PLAN'!$J:$J,0,0)=0,"",XLOOKUP(CONCAT(NG20,NH20),'MASTER PLAN'!$AB:$AB,'MASTER PLAN'!$J:$J,0,0)),"")</f>
        <v/>
      </c>
      <c r="NJ20" s="70"/>
      <c r="NK20" s="94"/>
      <c r="NL20" s="70"/>
      <c r="NM20" s="71"/>
      <c r="NN20" s="32"/>
      <c r="NO20" s="72" t="str">
        <f t="array" ref="NO20">IFERROR(IF(XLOOKUP(CONCAT(NM20,NN20),'MASTER PLAN'!$AB:$AB,'MASTER PLAN'!$J:$J,0,0)=0,"",XLOOKUP(CONCAT(NM20,NN20),'MASTER PLAN'!$AB:$AB,'MASTER PLAN'!$J:$J,0,0)),"")</f>
        <v/>
      </c>
      <c r="NP20" s="70"/>
      <c r="NQ20" s="94"/>
      <c r="NR20" s="71"/>
      <c r="NS20" s="32"/>
      <c r="NT20" s="72" t="str">
        <f t="array" ref="NT20">IFERROR(IF(XLOOKUP(CONCAT(NR20,NS20),'MASTER PLAN'!$AB:$AB,'MASTER PLAN'!$J:$J,0,0)=0,"",XLOOKUP(CONCAT(NR20,NS20),'MASTER PLAN'!$AB:$AB,'MASTER PLAN'!$J:$J,0,0)),"")</f>
        <v/>
      </c>
      <c r="NU20" s="70"/>
      <c r="NV20" s="94"/>
      <c r="NW20" s="71"/>
      <c r="NX20" s="32"/>
      <c r="NY20" s="72" t="str">
        <f t="array" ref="NY20">IFERROR(IF(XLOOKUP(CONCAT(NW20,NX20),'MASTER PLAN'!$AB:$AB,'MASTER PLAN'!$J:$J,0,0)=0,"",XLOOKUP(CONCAT(NW20,NX20),'MASTER PLAN'!$AB:$AB,'MASTER PLAN'!$J:$J,0,0)),"")</f>
        <v/>
      </c>
      <c r="NZ20" s="70"/>
      <c r="OA20" s="94"/>
      <c r="OB20" s="71"/>
      <c r="OC20" s="32"/>
      <c r="OD20" s="72" t="str">
        <f t="array" ref="OD20">IFERROR(IF(XLOOKUP(CONCAT(OB20,OC20),'MASTER PLAN'!$AB:$AB,'MASTER PLAN'!$J:$J,0,0)=0,"",XLOOKUP(CONCAT(OB20,OC20),'MASTER PLAN'!$AB:$AB,'MASTER PLAN'!$J:$J,0,0)),"")</f>
        <v/>
      </c>
      <c r="OE20" s="70"/>
      <c r="OF20" s="94"/>
      <c r="OG20" s="71"/>
      <c r="OH20" s="32"/>
      <c r="OI20" s="72" t="str">
        <f t="array" ref="OI20">IFERROR(IF(XLOOKUP(CONCAT(OG20,OH20),'MASTER PLAN'!$AB:$AB,'MASTER PLAN'!$J:$J,0,0)=0,"",XLOOKUP(CONCAT(OG20,OH20),'MASTER PLAN'!$AB:$AB,'MASTER PLAN'!$J:$J,0,0)),"")</f>
        <v/>
      </c>
      <c r="OJ20" s="70"/>
      <c r="OK20" s="94"/>
      <c r="OL20" s="71"/>
      <c r="OM20" s="32"/>
      <c r="ON20" s="72" t="str">
        <f t="array" ref="ON20">IFERROR(IF(XLOOKUP(CONCAT(OL20,OM20),'MASTER PLAN'!$AB:$AB,'MASTER PLAN'!$J:$J,0,0)=0,"",XLOOKUP(CONCAT(OL20,OM20),'MASTER PLAN'!$AB:$AB,'MASTER PLAN'!$J:$J,0,0)),"")</f>
        <v/>
      </c>
      <c r="OO20" s="70"/>
      <c r="OP20" s="94"/>
      <c r="OQ20" s="70"/>
      <c r="OR20" s="70"/>
      <c r="OS20" s="70"/>
      <c r="OT20" s="70"/>
      <c r="OU20" s="70"/>
      <c r="OV20" s="70"/>
      <c r="OW20" s="70"/>
      <c r="OX20" s="70"/>
      <c r="OY20" s="70"/>
      <c r="OZ20" s="70"/>
      <c r="PA20" s="70"/>
      <c r="PB20" s="70"/>
      <c r="PC20" s="70"/>
      <c r="PD20" s="70"/>
      <c r="PE20" s="70"/>
      <c r="PF20" s="70"/>
      <c r="PG20" s="70"/>
      <c r="PH20" s="70"/>
      <c r="PI20" s="70"/>
      <c r="PJ20" s="70"/>
    </row>
    <row r="21" ht="15.75" customHeight="1">
      <c r="A21" s="42"/>
      <c r="B21" s="74"/>
      <c r="C21" s="69"/>
      <c r="D21" s="70"/>
      <c r="E21" s="71"/>
      <c r="F21" s="32"/>
      <c r="G21" s="72" t="str">
        <f t="array" ref="G21">IFERROR(IF(XLOOKUP(CONCAT(E21,F21),'MASTER PLAN'!$AB:$AB,'MASTER PLAN'!$J:$J,0,0)=0,"",XLOOKUP(CONCAT(E21,F21),'MASTER PLAN'!$AB:$AB,'MASTER PLAN'!$J:$J,0,0)),"")</f>
        <v/>
      </c>
      <c r="H21" s="70"/>
      <c r="I21" s="94"/>
      <c r="J21" s="71"/>
      <c r="K21" s="32"/>
      <c r="L21" s="72" t="str">
        <f t="array" ref="L21">IFERROR(IF(XLOOKUP(CONCAT(J21,K21),'MASTER PLAN'!$AB:$AB,'MASTER PLAN'!$J:$J,0,0)=0,"",XLOOKUP(CONCAT(J21,K21),'MASTER PLAN'!$AB:$AB,'MASTER PLAN'!$J:$J,0,0)),"")</f>
        <v/>
      </c>
      <c r="M21" s="70"/>
      <c r="N21" s="94"/>
      <c r="O21" s="71"/>
      <c r="P21" s="32"/>
      <c r="Q21" s="72" t="str">
        <f t="array" ref="Q21">IFERROR(IF(XLOOKUP(CONCAT(O21,P21),'MASTER PLAN'!$AB:$AB,'MASTER PLAN'!$J:$J,0,0)=0,"",XLOOKUP(CONCAT(O21,P21),'MASTER PLAN'!$AB:$AB,'MASTER PLAN'!$J:$J,0,0)),"")</f>
        <v/>
      </c>
      <c r="R21" s="70"/>
      <c r="S21" s="94"/>
      <c r="T21" s="71"/>
      <c r="U21" s="32"/>
      <c r="V21" s="72" t="str">
        <f t="array" ref="V21">IFERROR(IF(XLOOKUP(CONCAT(T21,U21),'MASTER PLAN'!$AB:$AB,'MASTER PLAN'!$J:$J,0,0)=0,"",XLOOKUP(CONCAT(T21,U21),'MASTER PLAN'!$AB:$AB,'MASTER PLAN'!$J:$J,0,0)),"")</f>
        <v/>
      </c>
      <c r="W21" s="70"/>
      <c r="X21" s="94"/>
      <c r="Y21" s="71"/>
      <c r="Z21" s="32"/>
      <c r="AA21" s="72" t="str">
        <f t="array" ref="AA21">IFERROR(IF(XLOOKUP(CONCAT(Y21,Z21),'MASTER PLAN'!$AB:$AB,'MASTER PLAN'!$J:$J,0,0)=0,"",XLOOKUP(CONCAT(Y21,Z21),'MASTER PLAN'!$AB:$AB,'MASTER PLAN'!$J:$J,0,0)),"")</f>
        <v/>
      </c>
      <c r="AB21" s="70"/>
      <c r="AC21" s="94"/>
      <c r="AD21" s="71"/>
      <c r="AE21" s="32"/>
      <c r="AF21" s="72" t="str">
        <f t="array" ref="AF21">IFERROR(IF(XLOOKUP(CONCAT(AD21,AE21),'MASTER PLAN'!$AB:$AB,'MASTER PLAN'!$J:$J,0,0)=0,"",XLOOKUP(CONCAT(AD21,AE21),'MASTER PLAN'!$AB:$AB,'MASTER PLAN'!$J:$J,0,0)),"")</f>
        <v/>
      </c>
      <c r="AG21" s="70"/>
      <c r="AH21" s="94"/>
      <c r="AI21" s="70"/>
      <c r="AJ21" s="71"/>
      <c r="AK21" s="32"/>
      <c r="AL21" s="72" t="str">
        <f t="array" ref="AL21">IFERROR(IF(XLOOKUP(CONCAT(AJ21,AK21),'MASTER PLAN'!$AB:$AB,'MASTER PLAN'!$J:$J,0,0)=0,"",XLOOKUP(CONCAT(AJ21,AK21),'MASTER PLAN'!$AB:$AB,'MASTER PLAN'!$J:$J,0,0)),"")</f>
        <v/>
      </c>
      <c r="AM21" s="70"/>
      <c r="AN21" s="94"/>
      <c r="AO21" s="71"/>
      <c r="AP21" s="32"/>
      <c r="AQ21" s="72" t="str">
        <f t="array" ref="AQ21">IFERROR(IF(XLOOKUP(CONCAT(AO21,AP21),'MASTER PLAN'!$AB:$AB,'MASTER PLAN'!$J:$J,0,0)=0,"",XLOOKUP(CONCAT(AO21,AP21),'MASTER PLAN'!$AB:$AB,'MASTER PLAN'!$J:$J,0,0)),"")</f>
        <v/>
      </c>
      <c r="AR21" s="70"/>
      <c r="AS21" s="94"/>
      <c r="AT21" s="71"/>
      <c r="AU21" s="32"/>
      <c r="AV21" s="72" t="str">
        <f t="array" ref="AV21">IFERROR(IF(XLOOKUP(CONCAT(AT21,AU21),'MASTER PLAN'!$AB:$AB,'MASTER PLAN'!$J:$J,0,0)=0,"",XLOOKUP(CONCAT(AT21,AU21),'MASTER PLAN'!$AB:$AB,'MASTER PLAN'!$J:$J,0,0)),"")</f>
        <v/>
      </c>
      <c r="AW21" s="70"/>
      <c r="AX21" s="94"/>
      <c r="AY21" s="71"/>
      <c r="AZ21" s="32"/>
      <c r="BA21" s="72" t="str">
        <f t="array" ref="BA21">IFERROR(IF(XLOOKUP(CONCAT(AY21,AZ21),'MASTER PLAN'!$AB:$AB,'MASTER PLAN'!$J:$J,0,0)=0,"",XLOOKUP(CONCAT(AY21,AZ21),'MASTER PLAN'!$AB:$AB,'MASTER PLAN'!$J:$J,0,0)),"")</f>
        <v/>
      </c>
      <c r="BB21" s="70"/>
      <c r="BC21" s="94"/>
      <c r="BD21" s="71"/>
      <c r="BE21" s="32"/>
      <c r="BF21" s="72" t="str">
        <f t="array" ref="BF21">IFERROR(IF(XLOOKUP(CONCAT(BD21,BE21),'MASTER PLAN'!$AB:$AB,'MASTER PLAN'!$J:$J,0,0)=0,"",XLOOKUP(CONCAT(BD21,BE21),'MASTER PLAN'!$AB:$AB,'MASTER PLAN'!$J:$J,0,0)),"")</f>
        <v/>
      </c>
      <c r="BG21" s="70"/>
      <c r="BH21" s="94"/>
      <c r="BI21" s="71"/>
      <c r="BJ21" s="32"/>
      <c r="BK21" s="72" t="str">
        <f t="array" ref="BK21">IFERROR(IF(XLOOKUP(CONCAT(BI21,BJ21),'MASTER PLAN'!$AB:$AB,'MASTER PLAN'!$J:$J,0,0)=0,"",XLOOKUP(CONCAT(BI21,BJ21),'MASTER PLAN'!$AB:$AB,'MASTER PLAN'!$J:$J,0,0)),"")</f>
        <v/>
      </c>
      <c r="BL21" s="70"/>
      <c r="BM21" s="94"/>
      <c r="BN21" s="70"/>
      <c r="BO21" s="71"/>
      <c r="BP21" s="32"/>
      <c r="BQ21" s="72" t="str">
        <f t="array" ref="BQ21">IFERROR(IF(XLOOKUP(CONCAT(BO21,BP21),'MASTER PLAN'!$AB:$AB,'MASTER PLAN'!$J:$J,0,0)=0,"",XLOOKUP(CONCAT(BO21,BP21),'MASTER PLAN'!$AB:$AB,'MASTER PLAN'!$J:$J,0,0)),"")</f>
        <v/>
      </c>
      <c r="BR21" s="70"/>
      <c r="BS21" s="94"/>
      <c r="BT21" s="71"/>
      <c r="BU21" s="32"/>
      <c r="BV21" s="72" t="str">
        <f t="array" ref="BV21">IFERROR(IF(XLOOKUP(CONCAT(BT21,BU21),'MASTER PLAN'!$AB:$AB,'MASTER PLAN'!$J:$J,0,0)=0,"",XLOOKUP(CONCAT(BT21,BU21),'MASTER PLAN'!$AB:$AB,'MASTER PLAN'!$J:$J,0,0)),"")</f>
        <v/>
      </c>
      <c r="BW21" s="70"/>
      <c r="BX21" s="94"/>
      <c r="BY21" s="71"/>
      <c r="BZ21" s="32"/>
      <c r="CA21" s="72" t="str">
        <f t="array" ref="CA21">IFERROR(IF(XLOOKUP(CONCAT(BY21,BZ21),'MASTER PLAN'!$AB:$AB,'MASTER PLAN'!$J:$J,0,0)=0,"",XLOOKUP(CONCAT(BY21,BZ21),'MASTER PLAN'!$AB:$AB,'MASTER PLAN'!$J:$J,0,0)),"")</f>
        <v/>
      </c>
      <c r="CB21" s="70"/>
      <c r="CC21" s="94"/>
      <c r="CD21" s="71"/>
      <c r="CE21" s="32"/>
      <c r="CF21" s="72" t="str">
        <f t="array" ref="CF21">IFERROR(IF(XLOOKUP(CONCAT(CD21,CE21),'MASTER PLAN'!$AB:$AB,'MASTER PLAN'!$J:$J,0,0)=0,"",XLOOKUP(CONCAT(CD21,CE21),'MASTER PLAN'!$AB:$AB,'MASTER PLAN'!$J:$J,0,0)),"")</f>
        <v/>
      </c>
      <c r="CG21" s="70"/>
      <c r="CH21" s="94"/>
      <c r="CI21" s="71"/>
      <c r="CJ21" s="32"/>
      <c r="CK21" s="72" t="str">
        <f t="array" ref="CK21">IFERROR(IF(XLOOKUP(CONCAT(CI21,CJ21),'MASTER PLAN'!$AB:$AB,'MASTER PLAN'!$J:$J,0,0)=0,"",XLOOKUP(CONCAT(CI21,CJ21),'MASTER PLAN'!$AB:$AB,'MASTER PLAN'!$J:$J,0,0)),"")</f>
        <v/>
      </c>
      <c r="CL21" s="70"/>
      <c r="CM21" s="94"/>
      <c r="CN21" s="71"/>
      <c r="CO21" s="32"/>
      <c r="CP21" s="72" t="str">
        <f t="array" ref="CP21">IFERROR(IF(XLOOKUP(CONCAT(CN21,CO21),'MASTER PLAN'!$AB:$AB,'MASTER PLAN'!$J:$J,0,0)=0,"",XLOOKUP(CONCAT(CN21,CO21),'MASTER PLAN'!$AB:$AB,'MASTER PLAN'!$J:$J,0,0)),"")</f>
        <v/>
      </c>
      <c r="CQ21" s="70"/>
      <c r="CR21" s="94"/>
      <c r="CS21" s="70"/>
      <c r="CT21" s="71"/>
      <c r="CU21" s="32"/>
      <c r="CV21" s="72" t="str">
        <f t="array" ref="CV21">IFERROR(IF(XLOOKUP(CONCAT(CT21,CU21),'MASTER PLAN'!$AB:$AB,'MASTER PLAN'!$J:$J,0,0)=0,"",XLOOKUP(CONCAT(CT21,CU21),'MASTER PLAN'!$AB:$AB,'MASTER PLAN'!$J:$J,0,0)),"")</f>
        <v/>
      </c>
      <c r="CW21" s="70"/>
      <c r="CX21" s="94"/>
      <c r="CY21" s="71"/>
      <c r="CZ21" s="32"/>
      <c r="DA21" s="72" t="str">
        <f t="array" ref="DA21">IFERROR(IF(XLOOKUP(CONCAT(CY21,CZ21),'MASTER PLAN'!$AB:$AB,'MASTER PLAN'!$J:$J,0,0)=0,"",XLOOKUP(CONCAT(CY21,CZ21),'MASTER PLAN'!$AB:$AB,'MASTER PLAN'!$J:$J,0,0)),"")</f>
        <v/>
      </c>
      <c r="DB21" s="70"/>
      <c r="DC21" s="94"/>
      <c r="DD21" s="71"/>
      <c r="DE21" s="32"/>
      <c r="DF21" s="72" t="str">
        <f t="array" ref="DF21">IFERROR(IF(XLOOKUP(CONCAT(DD21,DE21),'MASTER PLAN'!$AB:$AB,'MASTER PLAN'!$J:$J,0,0)=0,"",XLOOKUP(CONCAT(DD21,DE21),'MASTER PLAN'!$AB:$AB,'MASTER PLAN'!$J:$J,0,0)),"")</f>
        <v/>
      </c>
      <c r="DG21" s="70"/>
      <c r="DH21" s="94"/>
      <c r="DI21" s="71"/>
      <c r="DJ21" s="32"/>
      <c r="DK21" s="72" t="str">
        <f t="array" ref="DK21">IFERROR(IF(XLOOKUP(CONCAT(DI21,DJ21),'MASTER PLAN'!$AB:$AB,'MASTER PLAN'!$J:$J,0,0)=0,"",XLOOKUP(CONCAT(DI21,DJ21),'MASTER PLAN'!$AB:$AB,'MASTER PLAN'!$J:$J,0,0)),"")</f>
        <v/>
      </c>
      <c r="DL21" s="70"/>
      <c r="DM21" s="94"/>
      <c r="DN21" s="71"/>
      <c r="DO21" s="32"/>
      <c r="DP21" s="72" t="str">
        <f t="array" ref="DP21">IFERROR(IF(XLOOKUP(CONCAT(DN21,DO21),'MASTER PLAN'!$AB:$AB,'MASTER PLAN'!$J:$J,0,0)=0,"",XLOOKUP(CONCAT(DN21,DO21),'MASTER PLAN'!$AB:$AB,'MASTER PLAN'!$J:$J,0,0)),"")</f>
        <v/>
      </c>
      <c r="DQ21" s="70"/>
      <c r="DR21" s="94"/>
      <c r="DS21" s="71"/>
      <c r="DT21" s="32"/>
      <c r="DU21" s="72" t="str">
        <f t="array" ref="DU21">IFERROR(IF(XLOOKUP(CONCAT(DS21,DT21),'MASTER PLAN'!$AB:$AB,'MASTER PLAN'!$J:$J,0,0)=0,"",XLOOKUP(CONCAT(DS21,DT21),'MASTER PLAN'!$AB:$AB,'MASTER PLAN'!$J:$J,0,0)),"")</f>
        <v/>
      </c>
      <c r="DV21" s="70"/>
      <c r="DW21" s="94"/>
      <c r="DX21" s="70"/>
      <c r="DY21" s="71"/>
      <c r="DZ21" s="32"/>
      <c r="EA21" s="72" t="str">
        <f t="array" ref="EA21">IFERROR(IF(XLOOKUP(CONCAT(DY21,DZ21),'MASTER PLAN'!$AB:$AB,'MASTER PLAN'!$J:$J,0,0)=0,"",XLOOKUP(CONCAT(DY21,DZ21),'MASTER PLAN'!$AB:$AB,'MASTER PLAN'!$J:$J,0,0)),"")</f>
        <v/>
      </c>
      <c r="EB21" s="70"/>
      <c r="EC21" s="94"/>
      <c r="ED21" s="71"/>
      <c r="EE21" s="32"/>
      <c r="EF21" s="72" t="str">
        <f t="array" ref="EF21">IFERROR(IF(XLOOKUP(CONCAT(ED21,EE21),'MASTER PLAN'!$AB:$AB,'MASTER PLAN'!$J:$J,0,0)=0,"",XLOOKUP(CONCAT(ED21,EE21),'MASTER PLAN'!$AB:$AB,'MASTER PLAN'!$J:$J,0,0)),"")</f>
        <v/>
      </c>
      <c r="EG21" s="70"/>
      <c r="EH21" s="94"/>
      <c r="EI21" s="71"/>
      <c r="EJ21" s="32"/>
      <c r="EK21" s="72" t="str">
        <f t="array" ref="EK21">IFERROR(IF(XLOOKUP(CONCAT(EI21,EJ21),'MASTER PLAN'!$AB:$AB,'MASTER PLAN'!$J:$J,0,0)=0,"",XLOOKUP(CONCAT(EI21,EJ21),'MASTER PLAN'!$AB:$AB,'MASTER PLAN'!$J:$J,0,0)),"")</f>
        <v/>
      </c>
      <c r="EL21" s="70"/>
      <c r="EM21" s="94"/>
      <c r="EN21" s="71"/>
      <c r="EO21" s="32"/>
      <c r="EP21" s="72" t="str">
        <f t="array" ref="EP21">IFERROR(IF(XLOOKUP(CONCAT(EN21,EO21),'MASTER PLAN'!$AB:$AB,'MASTER PLAN'!$J:$J,0,0)=0,"",XLOOKUP(CONCAT(EN21,EO21),'MASTER PLAN'!$AB:$AB,'MASTER PLAN'!$J:$J,0,0)),"")</f>
        <v/>
      </c>
      <c r="EQ21" s="70"/>
      <c r="ER21" s="94"/>
      <c r="ES21" s="71"/>
      <c r="ET21" s="32"/>
      <c r="EU21" s="72" t="str">
        <f t="array" ref="EU21">IFERROR(IF(XLOOKUP(CONCAT(ES21,ET21),'MASTER PLAN'!$AB:$AB,'MASTER PLAN'!$J:$J,0,0)=0,"",XLOOKUP(CONCAT(ES21,ET21),'MASTER PLAN'!$AB:$AB,'MASTER PLAN'!$J:$J,0,0)),"")</f>
        <v/>
      </c>
      <c r="EV21" s="70"/>
      <c r="EW21" s="94"/>
      <c r="EX21" s="71"/>
      <c r="EY21" s="32"/>
      <c r="EZ21" s="72" t="str">
        <f t="array" ref="EZ21">IFERROR(IF(XLOOKUP(CONCAT(EX21,EY21),'MASTER PLAN'!$AB:$AB,'MASTER PLAN'!$J:$J,0,0)=0,"",XLOOKUP(CONCAT(EX21,EY21),'MASTER PLAN'!$AB:$AB,'MASTER PLAN'!$J:$J,0,0)),"")</f>
        <v/>
      </c>
      <c r="FA21" s="70"/>
      <c r="FB21" s="94"/>
      <c r="FC21" s="70"/>
      <c r="FD21" s="71"/>
      <c r="FE21" s="32"/>
      <c r="FF21" s="72" t="str">
        <f t="array" ref="FF21">IFERROR(IF(XLOOKUP(CONCAT(FD21,FE21),'MASTER PLAN'!$AB:$AB,'MASTER PLAN'!$J:$J,0,0)=0,"",XLOOKUP(CONCAT(FD21,FE21),'MASTER PLAN'!$AB:$AB,'MASTER PLAN'!$J:$J,0,0)),"")</f>
        <v/>
      </c>
      <c r="FG21" s="70"/>
      <c r="FH21" s="94"/>
      <c r="FI21" s="71"/>
      <c r="FJ21" s="32"/>
      <c r="FK21" s="72" t="str">
        <f t="array" ref="FK21">IFERROR(IF(XLOOKUP(CONCAT(FI21,FJ21),'MASTER PLAN'!$AB:$AB,'MASTER PLAN'!$J:$J,0,0)=0,"",XLOOKUP(CONCAT(FI21,FJ21),'MASTER PLAN'!$AB:$AB,'MASTER PLAN'!$J:$J,0,0)),"")</f>
        <v/>
      </c>
      <c r="FL21" s="70"/>
      <c r="FM21" s="94"/>
      <c r="FN21" s="71"/>
      <c r="FO21" s="32"/>
      <c r="FP21" s="72" t="str">
        <f t="array" ref="FP21">IFERROR(IF(XLOOKUP(CONCAT(FN21,FO21),'MASTER PLAN'!$AB:$AB,'MASTER PLAN'!$J:$J,0,0)=0,"",XLOOKUP(CONCAT(FN21,FO21),'MASTER PLAN'!$AB:$AB,'MASTER PLAN'!$J:$J,0,0)),"")</f>
        <v/>
      </c>
      <c r="FQ21" s="70"/>
      <c r="FR21" s="94"/>
      <c r="FS21" s="71"/>
      <c r="FT21" s="32"/>
      <c r="FU21" s="72" t="str">
        <f t="array" ref="FU21">IFERROR(IF(XLOOKUP(CONCAT(FS21,FT21),'MASTER PLAN'!$AB:$AB,'MASTER PLAN'!$J:$J,0,0)=0,"",XLOOKUP(CONCAT(FS21,FT21),'MASTER PLAN'!$AB:$AB,'MASTER PLAN'!$J:$J,0,0)),"")</f>
        <v/>
      </c>
      <c r="FV21" s="70"/>
      <c r="FW21" s="94"/>
      <c r="FX21" s="71"/>
      <c r="FY21" s="32"/>
      <c r="FZ21" s="72" t="str">
        <f t="array" ref="FZ21">IFERROR(IF(XLOOKUP(CONCAT(FX21,FY21),'MASTER PLAN'!$AB:$AB,'MASTER PLAN'!$J:$J,0,0)=0,"",XLOOKUP(CONCAT(FX21,FY21),'MASTER PLAN'!$AB:$AB,'MASTER PLAN'!$J:$J,0,0)),"")</f>
        <v/>
      </c>
      <c r="GA21" s="70"/>
      <c r="GB21" s="94"/>
      <c r="GC21" s="71"/>
      <c r="GD21" s="32"/>
      <c r="GE21" s="72" t="str">
        <f t="array" ref="GE21">IFERROR(IF(XLOOKUP(CONCAT(GC21,GD21),'MASTER PLAN'!$AB:$AB,'MASTER PLAN'!$J:$J,0,0)=0,"",XLOOKUP(CONCAT(GC21,GD21),'MASTER PLAN'!$AB:$AB,'MASTER PLAN'!$J:$J,0,0)),"")</f>
        <v/>
      </c>
      <c r="GF21" s="70"/>
      <c r="GG21" s="94"/>
      <c r="GH21" s="70"/>
      <c r="GI21" s="71"/>
      <c r="GJ21" s="32"/>
      <c r="GK21" s="72" t="str">
        <f t="array" ref="GK21">IFERROR(IF(XLOOKUP(CONCAT(GI21,GJ21),'MASTER PLAN'!$AB:$AB,'MASTER PLAN'!$J:$J,0,0)=0,"",XLOOKUP(CONCAT(GI21,GJ21),'MASTER PLAN'!$AB:$AB,'MASTER PLAN'!$J:$J,0,0)),"")</f>
        <v/>
      </c>
      <c r="GL21" s="70"/>
      <c r="GM21" s="94"/>
      <c r="GN21" s="71"/>
      <c r="GO21" s="32"/>
      <c r="GP21" s="72" t="str">
        <f t="array" ref="GP21">IFERROR(IF(XLOOKUP(CONCAT(GN21,GO21),'MASTER PLAN'!$AB:$AB,'MASTER PLAN'!$J:$J,0,0)=0,"",XLOOKUP(CONCAT(GN21,GO21),'MASTER PLAN'!$AB:$AB,'MASTER PLAN'!$J:$J,0,0)),"")</f>
        <v/>
      </c>
      <c r="GQ21" s="70"/>
      <c r="GR21" s="94"/>
      <c r="GS21" s="71"/>
      <c r="GT21" s="32"/>
      <c r="GU21" s="72" t="str">
        <f t="array" ref="GU21">IFERROR(IF(XLOOKUP(CONCAT(GS21,GT21),'MASTER PLAN'!$AB:$AB,'MASTER PLAN'!$J:$J,0,0)=0,"",XLOOKUP(CONCAT(GS21,GT21),'MASTER PLAN'!$AB:$AB,'MASTER PLAN'!$J:$J,0,0)),"")</f>
        <v/>
      </c>
      <c r="GV21" s="70"/>
      <c r="GW21" s="94"/>
      <c r="GX21" s="71"/>
      <c r="GY21" s="32"/>
      <c r="GZ21" s="72" t="str">
        <f t="array" ref="GZ21">IFERROR(IF(XLOOKUP(CONCAT(GX21,GY21),'MASTER PLAN'!$AB:$AB,'MASTER PLAN'!$J:$J,0,0)=0,"",XLOOKUP(CONCAT(GX21,GY21),'MASTER PLAN'!$AB:$AB,'MASTER PLAN'!$J:$J,0,0)),"")</f>
        <v/>
      </c>
      <c r="HA21" s="70"/>
      <c r="HB21" s="94"/>
      <c r="HC21" s="71"/>
      <c r="HD21" s="32"/>
      <c r="HE21" s="72" t="str">
        <f t="array" ref="HE21">IFERROR(IF(XLOOKUP(CONCAT(HC21,HD21),'MASTER PLAN'!$AB:$AB,'MASTER PLAN'!$J:$J,0,0)=0,"",XLOOKUP(CONCAT(HC21,HD21),'MASTER PLAN'!$AB:$AB,'MASTER PLAN'!$J:$J,0,0)),"")</f>
        <v/>
      </c>
      <c r="HF21" s="70"/>
      <c r="HG21" s="94"/>
      <c r="HH21" s="71"/>
      <c r="HI21" s="32"/>
      <c r="HJ21" s="72" t="str">
        <f t="array" ref="HJ21">IFERROR(IF(XLOOKUP(CONCAT(HH21,HI21),'MASTER PLAN'!$AB:$AB,'MASTER PLAN'!$J:$J,0,0)=0,"",XLOOKUP(CONCAT(HH21,HI21),'MASTER PLAN'!$AB:$AB,'MASTER PLAN'!$J:$J,0,0)),"")</f>
        <v/>
      </c>
      <c r="HK21" s="70"/>
      <c r="HL21" s="94"/>
      <c r="HM21" s="70"/>
      <c r="HN21" s="71"/>
      <c r="HO21" s="32"/>
      <c r="HP21" s="72" t="str">
        <f t="array" ref="HP21">IFERROR(IF(XLOOKUP(CONCAT(HN21,HO21),'MASTER PLAN'!$AB:$AB,'MASTER PLAN'!$J:$J,0,0)=0,"",XLOOKUP(CONCAT(HN21,HO21),'MASTER PLAN'!$AB:$AB,'MASTER PLAN'!$J:$J,0,0)),"")</f>
        <v/>
      </c>
      <c r="HQ21" s="70"/>
      <c r="HR21" s="94"/>
      <c r="HS21" s="71"/>
      <c r="HT21" s="32"/>
      <c r="HU21" s="72" t="str">
        <f t="array" ref="HU21">IFERROR(IF(XLOOKUP(CONCAT(HS21,HT21),'MASTER PLAN'!$AB:$AB,'MASTER PLAN'!$J:$J,0,0)=0,"",XLOOKUP(CONCAT(HS21,HT21),'MASTER PLAN'!$AB:$AB,'MASTER PLAN'!$J:$J,0,0)),"")</f>
        <v/>
      </c>
      <c r="HV21" s="70"/>
      <c r="HW21" s="94"/>
      <c r="HX21" s="71"/>
      <c r="HY21" s="32"/>
      <c r="HZ21" s="72" t="str">
        <f t="array" ref="HZ21">IFERROR(IF(XLOOKUP(CONCAT(HX21,HY21),'MASTER PLAN'!$AB:$AB,'MASTER PLAN'!$J:$J,0,0)=0,"",XLOOKUP(CONCAT(HX21,HY21),'MASTER PLAN'!$AB:$AB,'MASTER PLAN'!$J:$J,0,0)),"")</f>
        <v/>
      </c>
      <c r="IA21" s="70"/>
      <c r="IB21" s="94"/>
      <c r="IC21" s="71"/>
      <c r="ID21" s="32"/>
      <c r="IE21" s="72" t="str">
        <f t="array" ref="IE21">IFERROR(IF(XLOOKUP(CONCAT(IC21,ID21),'MASTER PLAN'!$AB:$AB,'MASTER PLAN'!$J:$J,0,0)=0,"",XLOOKUP(CONCAT(IC21,ID21),'MASTER PLAN'!$AB:$AB,'MASTER PLAN'!$J:$J,0,0)),"")</f>
        <v/>
      </c>
      <c r="IF21" s="70"/>
      <c r="IG21" s="94"/>
      <c r="IH21" s="71"/>
      <c r="II21" s="32"/>
      <c r="IJ21" s="72" t="str">
        <f t="array" ref="IJ21">IFERROR(IF(XLOOKUP(CONCAT(IH21,II21),'MASTER PLAN'!$AB:$AB,'MASTER PLAN'!$J:$J,0,0)=0,"",XLOOKUP(CONCAT(IH21,II21),'MASTER PLAN'!$AB:$AB,'MASTER PLAN'!$J:$J,0,0)),"")</f>
        <v/>
      </c>
      <c r="IK21" s="70"/>
      <c r="IL21" s="94"/>
      <c r="IM21" s="71"/>
      <c r="IN21" s="32"/>
      <c r="IO21" s="72" t="str">
        <f t="array" ref="IO21">IFERROR(IF(XLOOKUP(CONCAT(IM21,IN21),'MASTER PLAN'!$AB:$AB,'MASTER PLAN'!$J:$J,0,0)=0,"",XLOOKUP(CONCAT(IM21,IN21),'MASTER PLAN'!$AB:$AB,'MASTER PLAN'!$J:$J,0,0)),"")</f>
        <v/>
      </c>
      <c r="IP21" s="70"/>
      <c r="IQ21" s="94"/>
      <c r="IR21" s="70"/>
      <c r="IS21" s="71"/>
      <c r="IT21" s="32"/>
      <c r="IU21" s="72" t="str">
        <f t="array" ref="IU21">IFERROR(IF(XLOOKUP(CONCAT(IS21,IT21),'MASTER PLAN'!$AB:$AB,'MASTER PLAN'!$J:$J,0,0)=0,"",XLOOKUP(CONCAT(IS21,IT21),'MASTER PLAN'!$AB:$AB,'MASTER PLAN'!$J:$J,0,0)),"")</f>
        <v/>
      </c>
      <c r="IV21" s="70"/>
      <c r="IW21" s="94"/>
      <c r="IX21" s="71"/>
      <c r="IY21" s="32"/>
      <c r="IZ21" s="72" t="str">
        <f t="array" ref="IZ21">IFERROR(IF(XLOOKUP(CONCAT(IX21,IY21),'MASTER PLAN'!$AB:$AB,'MASTER PLAN'!$J:$J,0,0)=0,"",XLOOKUP(CONCAT(IX21,IY21),'MASTER PLAN'!$AB:$AB,'MASTER PLAN'!$J:$J,0,0)),"")</f>
        <v/>
      </c>
      <c r="JA21" s="70"/>
      <c r="JB21" s="94"/>
      <c r="JC21" s="71"/>
      <c r="JD21" s="32"/>
      <c r="JE21" s="72" t="str">
        <f t="array" ref="JE21">IFERROR(IF(XLOOKUP(CONCAT(JC21,JD21),'MASTER PLAN'!$AB:$AB,'MASTER PLAN'!$J:$J,0,0)=0,"",XLOOKUP(CONCAT(JC21,JD21),'MASTER PLAN'!$AB:$AB,'MASTER PLAN'!$J:$J,0,0)),"")</f>
        <v/>
      </c>
      <c r="JF21" s="70"/>
      <c r="JG21" s="94"/>
      <c r="JH21" s="71"/>
      <c r="JI21" s="32"/>
      <c r="JJ21" s="72" t="str">
        <f t="array" ref="JJ21">IFERROR(IF(XLOOKUP(CONCAT(JH21,JI21),'MASTER PLAN'!$AB:$AB,'MASTER PLAN'!$J:$J,0,0)=0,"",XLOOKUP(CONCAT(JH21,JI21),'MASTER PLAN'!$AB:$AB,'MASTER PLAN'!$J:$J,0,0)),"")</f>
        <v/>
      </c>
      <c r="JK21" s="70"/>
      <c r="JL21" s="94"/>
      <c r="JM21" s="71"/>
      <c r="JN21" s="32"/>
      <c r="JO21" s="72" t="str">
        <f t="array" ref="JO21">IFERROR(IF(XLOOKUP(CONCAT(JM21,JN21),'MASTER PLAN'!$AB:$AB,'MASTER PLAN'!$J:$J,0,0)=0,"",XLOOKUP(CONCAT(JM21,JN21),'MASTER PLAN'!$AB:$AB,'MASTER PLAN'!$J:$J,0,0)),"")</f>
        <v/>
      </c>
      <c r="JP21" s="70"/>
      <c r="JQ21" s="94"/>
      <c r="JR21" s="71"/>
      <c r="JS21" s="32"/>
      <c r="JT21" s="72" t="str">
        <f t="array" ref="JT21">IFERROR(IF(XLOOKUP(CONCAT(JR21,JS21),'MASTER PLAN'!$AB:$AB,'MASTER PLAN'!$J:$J,0,0)=0,"",XLOOKUP(CONCAT(JR21,JS21),'MASTER PLAN'!$AB:$AB,'MASTER PLAN'!$J:$J,0,0)),"")</f>
        <v/>
      </c>
      <c r="JU21" s="70"/>
      <c r="JV21" s="94"/>
      <c r="JW21" s="70"/>
      <c r="JX21" s="71"/>
      <c r="JY21" s="32"/>
      <c r="JZ21" s="72" t="str">
        <f t="array" ref="JZ21">IFERROR(IF(XLOOKUP(CONCAT(JX21,JY21),'MASTER PLAN'!$AB:$AB,'MASTER PLAN'!$J:$J,0,0)=0,"",XLOOKUP(CONCAT(JX21,JY21),'MASTER PLAN'!$AB:$AB,'MASTER PLAN'!$J:$J,0,0)),"")</f>
        <v/>
      </c>
      <c r="KA21" s="70"/>
      <c r="KB21" s="94"/>
      <c r="KC21" s="71"/>
      <c r="KD21" s="32"/>
      <c r="KE21" s="72" t="str">
        <f t="array" ref="KE21">IFERROR(IF(XLOOKUP(CONCAT(KC21,KD21),'MASTER PLAN'!$AB:$AB,'MASTER PLAN'!$J:$J,0,0)=0,"",XLOOKUP(CONCAT(KC21,KD21),'MASTER PLAN'!$AB:$AB,'MASTER PLAN'!$J:$J,0,0)),"")</f>
        <v/>
      </c>
      <c r="KF21" s="70"/>
      <c r="KG21" s="94"/>
      <c r="KH21" s="71"/>
      <c r="KI21" s="32"/>
      <c r="KJ21" s="72" t="str">
        <f t="array" ref="KJ21">IFERROR(IF(XLOOKUP(CONCAT(KH21,KI21),'MASTER PLAN'!$AB:$AB,'MASTER PLAN'!$J:$J,0,0)=0,"",XLOOKUP(CONCAT(KH21,KI21),'MASTER PLAN'!$AB:$AB,'MASTER PLAN'!$J:$J,0,0)),"")</f>
        <v/>
      </c>
      <c r="KK21" s="70"/>
      <c r="KL21" s="94"/>
      <c r="KM21" s="71"/>
      <c r="KN21" s="32"/>
      <c r="KO21" s="72" t="str">
        <f t="array" ref="KO21">IFERROR(IF(XLOOKUP(CONCAT(KM21,KN21),'MASTER PLAN'!$AB:$AB,'MASTER PLAN'!$J:$J,0,0)=0,"",XLOOKUP(CONCAT(KM21,KN21),'MASTER PLAN'!$AB:$AB,'MASTER PLAN'!$J:$J,0,0)),"")</f>
        <v/>
      </c>
      <c r="KP21" s="70"/>
      <c r="KQ21" s="94"/>
      <c r="KR21" s="71"/>
      <c r="KS21" s="32"/>
      <c r="KT21" s="72" t="str">
        <f t="array" ref="KT21">IFERROR(IF(XLOOKUP(CONCAT(KR21,KS21),'MASTER PLAN'!$AB:$AB,'MASTER PLAN'!$J:$J,0,0)=0,"",XLOOKUP(CONCAT(KR21,KS21),'MASTER PLAN'!$AB:$AB,'MASTER PLAN'!$J:$J,0,0)),"")</f>
        <v/>
      </c>
      <c r="KU21" s="70"/>
      <c r="KV21" s="94"/>
      <c r="KW21" s="71"/>
      <c r="KX21" s="32"/>
      <c r="KY21" s="72" t="str">
        <f t="array" ref="KY21">IFERROR(IF(XLOOKUP(CONCAT(KW21,KX21),'MASTER PLAN'!$AB:$AB,'MASTER PLAN'!$J:$J,0,0)=0,"",XLOOKUP(CONCAT(KW21,KX21),'MASTER PLAN'!$AB:$AB,'MASTER PLAN'!$J:$J,0,0)),"")</f>
        <v/>
      </c>
      <c r="KZ21" s="70"/>
      <c r="LA21" s="94"/>
      <c r="LB21" s="70"/>
      <c r="LC21" s="71"/>
      <c r="LD21" s="32"/>
      <c r="LE21" s="72" t="str">
        <f t="array" ref="LE21">IFERROR(IF(XLOOKUP(CONCAT(LC21,LD21),'MASTER PLAN'!$AB:$AB,'MASTER PLAN'!$J:$J,0,0)=0,"",XLOOKUP(CONCAT(LC21,LD21),'MASTER PLAN'!$AB:$AB,'MASTER PLAN'!$J:$J,0,0)),"")</f>
        <v/>
      </c>
      <c r="LF21" s="70"/>
      <c r="LG21" s="94"/>
      <c r="LH21" s="71"/>
      <c r="LI21" s="32"/>
      <c r="LJ21" s="72" t="str">
        <f t="array" ref="LJ21">IFERROR(IF(XLOOKUP(CONCAT(LH21,LI21),'MASTER PLAN'!$AB:$AB,'MASTER PLAN'!$J:$J,0,0)=0,"",XLOOKUP(CONCAT(LH21,LI21),'MASTER PLAN'!$AB:$AB,'MASTER PLAN'!$J:$J,0,0)),"")</f>
        <v/>
      </c>
      <c r="LK21" s="70"/>
      <c r="LL21" s="94"/>
      <c r="LM21" s="71"/>
      <c r="LN21" s="32"/>
      <c r="LO21" s="72" t="str">
        <f t="array" ref="LO21">IFERROR(IF(XLOOKUP(CONCAT(LM21,LN21),'MASTER PLAN'!$AB:$AB,'MASTER PLAN'!$J:$J,0,0)=0,"",XLOOKUP(CONCAT(LM21,LN21),'MASTER PLAN'!$AB:$AB,'MASTER PLAN'!$J:$J,0,0)),"")</f>
        <v/>
      </c>
      <c r="LP21" s="70"/>
      <c r="LQ21" s="94"/>
      <c r="LR21" s="71"/>
      <c r="LS21" s="32"/>
      <c r="LT21" s="72" t="str">
        <f t="array" ref="LT21">IFERROR(IF(XLOOKUP(CONCAT(LR21,LS21),'MASTER PLAN'!$AB:$AB,'MASTER PLAN'!$J:$J,0,0)=0,"",XLOOKUP(CONCAT(LR21,LS21),'MASTER PLAN'!$AB:$AB,'MASTER PLAN'!$J:$J,0,0)),"")</f>
        <v/>
      </c>
      <c r="LU21" s="70"/>
      <c r="LV21" s="94"/>
      <c r="LW21" s="71"/>
      <c r="LX21" s="32"/>
      <c r="LY21" s="72" t="str">
        <f t="array" ref="LY21">IFERROR(IF(XLOOKUP(CONCAT(LW21,LX21),'MASTER PLAN'!$AB:$AB,'MASTER PLAN'!$J:$J,0,0)=0,"",XLOOKUP(CONCAT(LW21,LX21),'MASTER PLAN'!$AB:$AB,'MASTER PLAN'!$J:$J,0,0)),"")</f>
        <v/>
      </c>
      <c r="LZ21" s="70"/>
      <c r="MA21" s="94"/>
      <c r="MB21" s="71"/>
      <c r="MC21" s="32"/>
      <c r="MD21" s="72" t="str">
        <f t="array" ref="MD21">IFERROR(IF(XLOOKUP(CONCAT(MB21,MC21),'MASTER PLAN'!$AB:$AB,'MASTER PLAN'!$J:$J,0,0)=0,"",XLOOKUP(CONCAT(MB21,MC21),'MASTER PLAN'!$AB:$AB,'MASTER PLAN'!$J:$J,0,0)),"")</f>
        <v/>
      </c>
      <c r="ME21" s="70"/>
      <c r="MF21" s="94"/>
      <c r="MG21" s="70"/>
      <c r="MH21" s="71"/>
      <c r="MI21" s="32"/>
      <c r="MJ21" s="72" t="str">
        <f t="array" ref="MJ21">IFERROR(IF(XLOOKUP(CONCAT(MH21,MI21),'MASTER PLAN'!$AB:$AB,'MASTER PLAN'!$J:$J,0,0)=0,"",XLOOKUP(CONCAT(MH21,MI21),'MASTER PLAN'!$AB:$AB,'MASTER PLAN'!$J:$J,0,0)),"")</f>
        <v/>
      </c>
      <c r="MK21" s="70"/>
      <c r="ML21" s="94"/>
      <c r="MM21" s="71"/>
      <c r="MN21" s="32"/>
      <c r="MO21" s="72" t="str">
        <f t="array" ref="MO21">IFERROR(IF(XLOOKUP(CONCAT(MM21,MN21),'MASTER PLAN'!$AB:$AB,'MASTER PLAN'!$J:$J,0,0)=0,"",XLOOKUP(CONCAT(MM21,MN21),'MASTER PLAN'!$AB:$AB,'MASTER PLAN'!$J:$J,0,0)),"")</f>
        <v/>
      </c>
      <c r="MP21" s="70"/>
      <c r="MQ21" s="94"/>
      <c r="MR21" s="71"/>
      <c r="MS21" s="32"/>
      <c r="MT21" s="72" t="str">
        <f t="array" ref="MT21">IFERROR(IF(XLOOKUP(CONCAT(MR21,MS21),'MASTER PLAN'!$AB:$AB,'MASTER PLAN'!$J:$J,0,0)=0,"",XLOOKUP(CONCAT(MR21,MS21),'MASTER PLAN'!$AB:$AB,'MASTER PLAN'!$J:$J,0,0)),"")</f>
        <v/>
      </c>
      <c r="MU21" s="70"/>
      <c r="MV21" s="94"/>
      <c r="MW21" s="71"/>
      <c r="MX21" s="32"/>
      <c r="MY21" s="72" t="str">
        <f t="array" ref="MY21">IFERROR(IF(XLOOKUP(CONCAT(MW21,MX21),'MASTER PLAN'!$AB:$AB,'MASTER PLAN'!$J:$J,0,0)=0,"",XLOOKUP(CONCAT(MW21,MX21),'MASTER PLAN'!$AB:$AB,'MASTER PLAN'!$J:$J,0,0)),"")</f>
        <v/>
      </c>
      <c r="MZ21" s="70"/>
      <c r="NA21" s="94"/>
      <c r="NB21" s="71"/>
      <c r="NC21" s="32"/>
      <c r="ND21" s="72" t="str">
        <f t="array" ref="ND21">IFERROR(IF(XLOOKUP(CONCAT(NB21,NC21),'MASTER PLAN'!$AB:$AB,'MASTER PLAN'!$J:$J,0,0)=0,"",XLOOKUP(CONCAT(NB21,NC21),'MASTER PLAN'!$AB:$AB,'MASTER PLAN'!$J:$J,0,0)),"")</f>
        <v/>
      </c>
      <c r="NE21" s="70"/>
      <c r="NF21" s="94"/>
      <c r="NG21" s="71"/>
      <c r="NH21" s="32"/>
      <c r="NI21" s="72" t="str">
        <f t="array" ref="NI21">IFERROR(IF(XLOOKUP(CONCAT(NG21,NH21),'MASTER PLAN'!$AB:$AB,'MASTER PLAN'!$J:$J,0,0)=0,"",XLOOKUP(CONCAT(NG21,NH21),'MASTER PLAN'!$AB:$AB,'MASTER PLAN'!$J:$J,0,0)),"")</f>
        <v/>
      </c>
      <c r="NJ21" s="70"/>
      <c r="NK21" s="94"/>
      <c r="NL21" s="70"/>
      <c r="NM21" s="71"/>
      <c r="NN21" s="32"/>
      <c r="NO21" s="72" t="str">
        <f t="array" ref="NO21">IFERROR(IF(XLOOKUP(CONCAT(NM21,NN21),'MASTER PLAN'!$AB:$AB,'MASTER PLAN'!$J:$J,0,0)=0,"",XLOOKUP(CONCAT(NM21,NN21),'MASTER PLAN'!$AB:$AB,'MASTER PLAN'!$J:$J,0,0)),"")</f>
        <v/>
      </c>
      <c r="NP21" s="70"/>
      <c r="NQ21" s="94"/>
      <c r="NR21" s="71"/>
      <c r="NS21" s="32"/>
      <c r="NT21" s="72" t="str">
        <f t="array" ref="NT21">IFERROR(IF(XLOOKUP(CONCAT(NR21,NS21),'MASTER PLAN'!$AB:$AB,'MASTER PLAN'!$J:$J,0,0)=0,"",XLOOKUP(CONCAT(NR21,NS21),'MASTER PLAN'!$AB:$AB,'MASTER PLAN'!$J:$J,0,0)),"")</f>
        <v/>
      </c>
      <c r="NU21" s="70"/>
      <c r="NV21" s="94"/>
      <c r="NW21" s="71"/>
      <c r="NX21" s="32"/>
      <c r="NY21" s="72" t="str">
        <f t="array" ref="NY21">IFERROR(IF(XLOOKUP(CONCAT(NW21,NX21),'MASTER PLAN'!$AB:$AB,'MASTER PLAN'!$J:$J,0,0)=0,"",XLOOKUP(CONCAT(NW21,NX21),'MASTER PLAN'!$AB:$AB,'MASTER PLAN'!$J:$J,0,0)),"")</f>
        <v/>
      </c>
      <c r="NZ21" s="70"/>
      <c r="OA21" s="94"/>
      <c r="OB21" s="71"/>
      <c r="OC21" s="32"/>
      <c r="OD21" s="72" t="str">
        <f t="array" ref="OD21">IFERROR(IF(XLOOKUP(CONCAT(OB21,OC21),'MASTER PLAN'!$AB:$AB,'MASTER PLAN'!$J:$J,0,0)=0,"",XLOOKUP(CONCAT(OB21,OC21),'MASTER PLAN'!$AB:$AB,'MASTER PLAN'!$J:$J,0,0)),"")</f>
        <v/>
      </c>
      <c r="OE21" s="70"/>
      <c r="OF21" s="94"/>
      <c r="OG21" s="71"/>
      <c r="OH21" s="32"/>
      <c r="OI21" s="72" t="str">
        <f t="array" ref="OI21">IFERROR(IF(XLOOKUP(CONCAT(OG21,OH21),'MASTER PLAN'!$AB:$AB,'MASTER PLAN'!$J:$J,0,0)=0,"",XLOOKUP(CONCAT(OG21,OH21),'MASTER PLAN'!$AB:$AB,'MASTER PLAN'!$J:$J,0,0)),"")</f>
        <v/>
      </c>
      <c r="OJ21" s="70"/>
      <c r="OK21" s="94"/>
      <c r="OL21" s="71"/>
      <c r="OM21" s="32"/>
      <c r="ON21" s="72" t="str">
        <f t="array" ref="ON21">IFERROR(IF(XLOOKUP(CONCAT(OL21,OM21),'MASTER PLAN'!$AB:$AB,'MASTER PLAN'!$J:$J,0,0)=0,"",XLOOKUP(CONCAT(OL21,OM21),'MASTER PLAN'!$AB:$AB,'MASTER PLAN'!$J:$J,0,0)),"")</f>
        <v/>
      </c>
      <c r="OO21" s="70"/>
      <c r="OP21" s="94"/>
      <c r="OQ21" s="70"/>
      <c r="OR21" s="70"/>
      <c r="OS21" s="70"/>
      <c r="OT21" s="70"/>
      <c r="OU21" s="70"/>
      <c r="OV21" s="70"/>
      <c r="OW21" s="70"/>
      <c r="OX21" s="70"/>
      <c r="OY21" s="70"/>
      <c r="OZ21" s="70"/>
      <c r="PA21" s="70"/>
      <c r="PB21" s="70"/>
      <c r="PC21" s="70"/>
      <c r="PD21" s="70"/>
      <c r="PE21" s="70"/>
      <c r="PF21" s="70"/>
      <c r="PG21" s="70"/>
      <c r="PH21" s="70"/>
      <c r="PI21" s="70"/>
      <c r="PJ21" s="70"/>
    </row>
    <row r="22" ht="15.75" customHeight="1">
      <c r="A22" s="42"/>
      <c r="B22" s="74"/>
      <c r="C22" s="69"/>
      <c r="D22" s="70"/>
      <c r="E22" s="71"/>
      <c r="F22" s="32"/>
      <c r="G22" s="72" t="str">
        <f t="array" ref="G22">IFERROR(IF(XLOOKUP(CONCAT(E22,F22),'MASTER PLAN'!$AB:$AB,'MASTER PLAN'!$J:$J,0,0)=0,"",XLOOKUP(CONCAT(E22,F22),'MASTER PLAN'!$AB:$AB,'MASTER PLAN'!$J:$J,0,0)),"")</f>
        <v/>
      </c>
      <c r="H22" s="70"/>
      <c r="I22" s="94"/>
      <c r="J22" s="71"/>
      <c r="K22" s="32"/>
      <c r="L22" s="72" t="str">
        <f t="array" ref="L22">IFERROR(IF(XLOOKUP(CONCAT(J22,K22),'MASTER PLAN'!$AB:$AB,'MASTER PLAN'!$J:$J,0,0)=0,"",XLOOKUP(CONCAT(J22,K22),'MASTER PLAN'!$AB:$AB,'MASTER PLAN'!$J:$J,0,0)),"")</f>
        <v/>
      </c>
      <c r="M22" s="70"/>
      <c r="N22" s="94"/>
      <c r="O22" s="71"/>
      <c r="P22" s="32"/>
      <c r="Q22" s="72" t="str">
        <f t="array" ref="Q22">IFERROR(IF(XLOOKUP(CONCAT(O22,P22),'MASTER PLAN'!$AB:$AB,'MASTER PLAN'!$J:$J,0,0)=0,"",XLOOKUP(CONCAT(O22,P22),'MASTER PLAN'!$AB:$AB,'MASTER PLAN'!$J:$J,0,0)),"")</f>
        <v/>
      </c>
      <c r="R22" s="70"/>
      <c r="S22" s="94"/>
      <c r="T22" s="71"/>
      <c r="U22" s="32"/>
      <c r="V22" s="72" t="str">
        <f t="array" ref="V22">IFERROR(IF(XLOOKUP(CONCAT(T22,U22),'MASTER PLAN'!$AB:$AB,'MASTER PLAN'!$J:$J,0,0)=0,"",XLOOKUP(CONCAT(T22,U22),'MASTER PLAN'!$AB:$AB,'MASTER PLAN'!$J:$J,0,0)),"")</f>
        <v/>
      </c>
      <c r="W22" s="70"/>
      <c r="X22" s="94"/>
      <c r="Y22" s="71"/>
      <c r="Z22" s="32"/>
      <c r="AA22" s="72" t="str">
        <f t="array" ref="AA22">IFERROR(IF(XLOOKUP(CONCAT(Y22,Z22),'MASTER PLAN'!$AB:$AB,'MASTER PLAN'!$J:$J,0,0)=0,"",XLOOKUP(CONCAT(Y22,Z22),'MASTER PLAN'!$AB:$AB,'MASTER PLAN'!$J:$J,0,0)),"")</f>
        <v/>
      </c>
      <c r="AB22" s="70"/>
      <c r="AC22" s="94"/>
      <c r="AD22" s="71"/>
      <c r="AE22" s="32"/>
      <c r="AF22" s="72" t="str">
        <f t="array" ref="AF22">IFERROR(IF(XLOOKUP(CONCAT(AD22,AE22),'MASTER PLAN'!$AB:$AB,'MASTER PLAN'!$J:$J,0,0)=0,"",XLOOKUP(CONCAT(AD22,AE22),'MASTER PLAN'!$AB:$AB,'MASTER PLAN'!$J:$J,0,0)),"")</f>
        <v/>
      </c>
      <c r="AG22" s="70"/>
      <c r="AH22" s="94"/>
      <c r="AI22" s="70"/>
      <c r="AJ22" s="71"/>
      <c r="AK22" s="32"/>
      <c r="AL22" s="72" t="str">
        <f t="array" ref="AL22">IFERROR(IF(XLOOKUP(CONCAT(AJ22,AK22),'MASTER PLAN'!$AB:$AB,'MASTER PLAN'!$J:$J,0,0)=0,"",XLOOKUP(CONCAT(AJ22,AK22),'MASTER PLAN'!$AB:$AB,'MASTER PLAN'!$J:$J,0,0)),"")</f>
        <v/>
      </c>
      <c r="AM22" s="70"/>
      <c r="AN22" s="94"/>
      <c r="AO22" s="71"/>
      <c r="AP22" s="32"/>
      <c r="AQ22" s="72" t="str">
        <f t="array" ref="AQ22">IFERROR(IF(XLOOKUP(CONCAT(AO22,AP22),'MASTER PLAN'!$AB:$AB,'MASTER PLAN'!$J:$J,0,0)=0,"",XLOOKUP(CONCAT(AO22,AP22),'MASTER PLAN'!$AB:$AB,'MASTER PLAN'!$J:$J,0,0)),"")</f>
        <v/>
      </c>
      <c r="AR22" s="70"/>
      <c r="AS22" s="94"/>
      <c r="AT22" s="71"/>
      <c r="AU22" s="32"/>
      <c r="AV22" s="72" t="str">
        <f t="array" ref="AV22">IFERROR(IF(XLOOKUP(CONCAT(AT22,AU22),'MASTER PLAN'!$AB:$AB,'MASTER PLAN'!$J:$J,0,0)=0,"",XLOOKUP(CONCAT(AT22,AU22),'MASTER PLAN'!$AB:$AB,'MASTER PLAN'!$J:$J,0,0)),"")</f>
        <v/>
      </c>
      <c r="AW22" s="70"/>
      <c r="AX22" s="94"/>
      <c r="AY22" s="71"/>
      <c r="AZ22" s="32"/>
      <c r="BA22" s="72" t="str">
        <f t="array" ref="BA22">IFERROR(IF(XLOOKUP(CONCAT(AY22,AZ22),'MASTER PLAN'!$AB:$AB,'MASTER PLAN'!$J:$J,0,0)=0,"",XLOOKUP(CONCAT(AY22,AZ22),'MASTER PLAN'!$AB:$AB,'MASTER PLAN'!$J:$J,0,0)),"")</f>
        <v/>
      </c>
      <c r="BB22" s="70"/>
      <c r="BC22" s="94"/>
      <c r="BD22" s="71"/>
      <c r="BE22" s="32"/>
      <c r="BF22" s="72" t="str">
        <f t="array" ref="BF22">IFERROR(IF(XLOOKUP(CONCAT(BD22,BE22),'MASTER PLAN'!$AB:$AB,'MASTER PLAN'!$J:$J,0,0)=0,"",XLOOKUP(CONCAT(BD22,BE22),'MASTER PLAN'!$AB:$AB,'MASTER PLAN'!$J:$J,0,0)),"")</f>
        <v/>
      </c>
      <c r="BG22" s="70"/>
      <c r="BH22" s="94"/>
      <c r="BI22" s="71"/>
      <c r="BJ22" s="32"/>
      <c r="BK22" s="72" t="str">
        <f t="array" ref="BK22">IFERROR(IF(XLOOKUP(CONCAT(BI22,BJ22),'MASTER PLAN'!$AB:$AB,'MASTER PLAN'!$J:$J,0,0)=0,"",XLOOKUP(CONCAT(BI22,BJ22),'MASTER PLAN'!$AB:$AB,'MASTER PLAN'!$J:$J,0,0)),"")</f>
        <v/>
      </c>
      <c r="BL22" s="70"/>
      <c r="BM22" s="94"/>
      <c r="BN22" s="70"/>
      <c r="BO22" s="71"/>
      <c r="BP22" s="32"/>
      <c r="BQ22" s="72" t="str">
        <f t="array" ref="BQ22">IFERROR(IF(XLOOKUP(CONCAT(BO22,BP22),'MASTER PLAN'!$AB:$AB,'MASTER PLAN'!$J:$J,0,0)=0,"",XLOOKUP(CONCAT(BO22,BP22),'MASTER PLAN'!$AB:$AB,'MASTER PLAN'!$J:$J,0,0)),"")</f>
        <v/>
      </c>
      <c r="BR22" s="70"/>
      <c r="BS22" s="94"/>
      <c r="BT22" s="71"/>
      <c r="BU22" s="32"/>
      <c r="BV22" s="72" t="str">
        <f t="array" ref="BV22">IFERROR(IF(XLOOKUP(CONCAT(BT22,BU22),'MASTER PLAN'!$AB:$AB,'MASTER PLAN'!$J:$J,0,0)=0,"",XLOOKUP(CONCAT(BT22,BU22),'MASTER PLAN'!$AB:$AB,'MASTER PLAN'!$J:$J,0,0)),"")</f>
        <v/>
      </c>
      <c r="BW22" s="70"/>
      <c r="BX22" s="94"/>
      <c r="BY22" s="71"/>
      <c r="BZ22" s="32"/>
      <c r="CA22" s="72" t="str">
        <f t="array" ref="CA22">IFERROR(IF(XLOOKUP(CONCAT(BY22,BZ22),'MASTER PLAN'!$AB:$AB,'MASTER PLAN'!$J:$J,0,0)=0,"",XLOOKUP(CONCAT(BY22,BZ22),'MASTER PLAN'!$AB:$AB,'MASTER PLAN'!$J:$J,0,0)),"")</f>
        <v/>
      </c>
      <c r="CB22" s="70"/>
      <c r="CC22" s="94"/>
      <c r="CD22" s="71"/>
      <c r="CE22" s="32"/>
      <c r="CF22" s="72" t="str">
        <f t="array" ref="CF22">IFERROR(IF(XLOOKUP(CONCAT(CD22,CE22),'MASTER PLAN'!$AB:$AB,'MASTER PLAN'!$J:$J,0,0)=0,"",XLOOKUP(CONCAT(CD22,CE22),'MASTER PLAN'!$AB:$AB,'MASTER PLAN'!$J:$J,0,0)),"")</f>
        <v/>
      </c>
      <c r="CG22" s="70"/>
      <c r="CH22" s="94"/>
      <c r="CI22" s="71"/>
      <c r="CJ22" s="32"/>
      <c r="CK22" s="72" t="str">
        <f t="array" ref="CK22">IFERROR(IF(XLOOKUP(CONCAT(CI22,CJ22),'MASTER PLAN'!$AB:$AB,'MASTER PLAN'!$J:$J,0,0)=0,"",XLOOKUP(CONCAT(CI22,CJ22),'MASTER PLAN'!$AB:$AB,'MASTER PLAN'!$J:$J,0,0)),"")</f>
        <v/>
      </c>
      <c r="CL22" s="70"/>
      <c r="CM22" s="94"/>
      <c r="CN22" s="71"/>
      <c r="CO22" s="32"/>
      <c r="CP22" s="72" t="str">
        <f t="array" ref="CP22">IFERROR(IF(XLOOKUP(CONCAT(CN22,CO22),'MASTER PLAN'!$AB:$AB,'MASTER PLAN'!$J:$J,0,0)=0,"",XLOOKUP(CONCAT(CN22,CO22),'MASTER PLAN'!$AB:$AB,'MASTER PLAN'!$J:$J,0,0)),"")</f>
        <v/>
      </c>
      <c r="CQ22" s="70"/>
      <c r="CR22" s="94"/>
      <c r="CS22" s="70"/>
      <c r="CT22" s="71"/>
      <c r="CU22" s="32"/>
      <c r="CV22" s="72" t="str">
        <f t="array" ref="CV22">IFERROR(IF(XLOOKUP(CONCAT(CT22,CU22),'MASTER PLAN'!$AB:$AB,'MASTER PLAN'!$J:$J,0,0)=0,"",XLOOKUP(CONCAT(CT22,CU22),'MASTER PLAN'!$AB:$AB,'MASTER PLAN'!$J:$J,0,0)),"")</f>
        <v/>
      </c>
      <c r="CW22" s="70"/>
      <c r="CX22" s="94"/>
      <c r="CY22" s="71"/>
      <c r="CZ22" s="32"/>
      <c r="DA22" s="72" t="str">
        <f t="array" ref="DA22">IFERROR(IF(XLOOKUP(CONCAT(CY22,CZ22),'MASTER PLAN'!$AB:$AB,'MASTER PLAN'!$J:$J,0,0)=0,"",XLOOKUP(CONCAT(CY22,CZ22),'MASTER PLAN'!$AB:$AB,'MASTER PLAN'!$J:$J,0,0)),"")</f>
        <v/>
      </c>
      <c r="DB22" s="70"/>
      <c r="DC22" s="94"/>
      <c r="DD22" s="71"/>
      <c r="DE22" s="32"/>
      <c r="DF22" s="72" t="str">
        <f t="array" ref="DF22">IFERROR(IF(XLOOKUP(CONCAT(DD22,DE22),'MASTER PLAN'!$AB:$AB,'MASTER PLAN'!$J:$J,0,0)=0,"",XLOOKUP(CONCAT(DD22,DE22),'MASTER PLAN'!$AB:$AB,'MASTER PLAN'!$J:$J,0,0)),"")</f>
        <v/>
      </c>
      <c r="DG22" s="70"/>
      <c r="DH22" s="94"/>
      <c r="DI22" s="71"/>
      <c r="DJ22" s="32"/>
      <c r="DK22" s="72" t="str">
        <f t="array" ref="DK22">IFERROR(IF(XLOOKUP(CONCAT(DI22,DJ22),'MASTER PLAN'!$AB:$AB,'MASTER PLAN'!$J:$J,0,0)=0,"",XLOOKUP(CONCAT(DI22,DJ22),'MASTER PLAN'!$AB:$AB,'MASTER PLAN'!$J:$J,0,0)),"")</f>
        <v/>
      </c>
      <c r="DL22" s="70"/>
      <c r="DM22" s="94"/>
      <c r="DN22" s="71"/>
      <c r="DO22" s="32"/>
      <c r="DP22" s="72" t="str">
        <f t="array" ref="DP22">IFERROR(IF(XLOOKUP(CONCAT(DN22,DO22),'MASTER PLAN'!$AB:$AB,'MASTER PLAN'!$J:$J,0,0)=0,"",XLOOKUP(CONCAT(DN22,DO22),'MASTER PLAN'!$AB:$AB,'MASTER PLAN'!$J:$J,0,0)),"")</f>
        <v/>
      </c>
      <c r="DQ22" s="70"/>
      <c r="DR22" s="94"/>
      <c r="DS22" s="71"/>
      <c r="DT22" s="32"/>
      <c r="DU22" s="72" t="str">
        <f t="array" ref="DU22">IFERROR(IF(XLOOKUP(CONCAT(DS22,DT22),'MASTER PLAN'!$AB:$AB,'MASTER PLAN'!$J:$J,0,0)=0,"",XLOOKUP(CONCAT(DS22,DT22),'MASTER PLAN'!$AB:$AB,'MASTER PLAN'!$J:$J,0,0)),"")</f>
        <v/>
      </c>
      <c r="DV22" s="70"/>
      <c r="DW22" s="94"/>
      <c r="DX22" s="70"/>
      <c r="DY22" s="71"/>
      <c r="DZ22" s="32"/>
      <c r="EA22" s="72" t="str">
        <f t="array" ref="EA22">IFERROR(IF(XLOOKUP(CONCAT(DY22,DZ22),'MASTER PLAN'!$AB:$AB,'MASTER PLAN'!$J:$J,0,0)=0,"",XLOOKUP(CONCAT(DY22,DZ22),'MASTER PLAN'!$AB:$AB,'MASTER PLAN'!$J:$J,0,0)),"")</f>
        <v/>
      </c>
      <c r="EB22" s="70"/>
      <c r="EC22" s="94"/>
      <c r="ED22" s="71"/>
      <c r="EE22" s="32"/>
      <c r="EF22" s="72" t="str">
        <f t="array" ref="EF22">IFERROR(IF(XLOOKUP(CONCAT(ED22,EE22),'MASTER PLAN'!$AB:$AB,'MASTER PLAN'!$J:$J,0,0)=0,"",XLOOKUP(CONCAT(ED22,EE22),'MASTER PLAN'!$AB:$AB,'MASTER PLAN'!$J:$J,0,0)),"")</f>
        <v/>
      </c>
      <c r="EG22" s="70"/>
      <c r="EH22" s="94"/>
      <c r="EI22" s="71"/>
      <c r="EJ22" s="32"/>
      <c r="EK22" s="72" t="str">
        <f t="array" ref="EK22">IFERROR(IF(XLOOKUP(CONCAT(EI22,EJ22),'MASTER PLAN'!$AB:$AB,'MASTER PLAN'!$J:$J,0,0)=0,"",XLOOKUP(CONCAT(EI22,EJ22),'MASTER PLAN'!$AB:$AB,'MASTER PLAN'!$J:$J,0,0)),"")</f>
        <v/>
      </c>
      <c r="EL22" s="70"/>
      <c r="EM22" s="94"/>
      <c r="EN22" s="71"/>
      <c r="EO22" s="32"/>
      <c r="EP22" s="72" t="str">
        <f t="array" ref="EP22">IFERROR(IF(XLOOKUP(CONCAT(EN22,EO22),'MASTER PLAN'!$AB:$AB,'MASTER PLAN'!$J:$J,0,0)=0,"",XLOOKUP(CONCAT(EN22,EO22),'MASTER PLAN'!$AB:$AB,'MASTER PLAN'!$J:$J,0,0)),"")</f>
        <v/>
      </c>
      <c r="EQ22" s="70"/>
      <c r="ER22" s="94"/>
      <c r="ES22" s="71"/>
      <c r="ET22" s="32"/>
      <c r="EU22" s="72" t="str">
        <f t="array" ref="EU22">IFERROR(IF(XLOOKUP(CONCAT(ES22,ET22),'MASTER PLAN'!$AB:$AB,'MASTER PLAN'!$J:$J,0,0)=0,"",XLOOKUP(CONCAT(ES22,ET22),'MASTER PLAN'!$AB:$AB,'MASTER PLAN'!$J:$J,0,0)),"")</f>
        <v/>
      </c>
      <c r="EV22" s="70"/>
      <c r="EW22" s="94"/>
      <c r="EX22" s="71"/>
      <c r="EY22" s="32"/>
      <c r="EZ22" s="72" t="str">
        <f t="array" ref="EZ22">IFERROR(IF(XLOOKUP(CONCAT(EX22,EY22),'MASTER PLAN'!$AB:$AB,'MASTER PLAN'!$J:$J,0,0)=0,"",XLOOKUP(CONCAT(EX22,EY22),'MASTER PLAN'!$AB:$AB,'MASTER PLAN'!$J:$J,0,0)),"")</f>
        <v/>
      </c>
      <c r="FA22" s="70"/>
      <c r="FB22" s="94"/>
      <c r="FC22" s="70"/>
      <c r="FD22" s="71"/>
      <c r="FE22" s="32"/>
      <c r="FF22" s="72" t="str">
        <f t="array" ref="FF22">IFERROR(IF(XLOOKUP(CONCAT(FD22,FE22),'MASTER PLAN'!$AB:$AB,'MASTER PLAN'!$J:$J,0,0)=0,"",XLOOKUP(CONCAT(FD22,FE22),'MASTER PLAN'!$AB:$AB,'MASTER PLAN'!$J:$J,0,0)),"")</f>
        <v/>
      </c>
      <c r="FG22" s="70"/>
      <c r="FH22" s="94"/>
      <c r="FI22" s="71"/>
      <c r="FJ22" s="32"/>
      <c r="FK22" s="72" t="str">
        <f t="array" ref="FK22">IFERROR(IF(XLOOKUP(CONCAT(FI22,FJ22),'MASTER PLAN'!$AB:$AB,'MASTER PLAN'!$J:$J,0,0)=0,"",XLOOKUP(CONCAT(FI22,FJ22),'MASTER PLAN'!$AB:$AB,'MASTER PLAN'!$J:$J,0,0)),"")</f>
        <v/>
      </c>
      <c r="FL22" s="70"/>
      <c r="FM22" s="94"/>
      <c r="FN22" s="71"/>
      <c r="FO22" s="32"/>
      <c r="FP22" s="72" t="str">
        <f t="array" ref="FP22">IFERROR(IF(XLOOKUP(CONCAT(FN22,FO22),'MASTER PLAN'!$AB:$AB,'MASTER PLAN'!$J:$J,0,0)=0,"",XLOOKUP(CONCAT(FN22,FO22),'MASTER PLAN'!$AB:$AB,'MASTER PLAN'!$J:$J,0,0)),"")</f>
        <v/>
      </c>
      <c r="FQ22" s="70"/>
      <c r="FR22" s="94"/>
      <c r="FS22" s="71"/>
      <c r="FT22" s="32"/>
      <c r="FU22" s="72" t="str">
        <f t="array" ref="FU22">IFERROR(IF(XLOOKUP(CONCAT(FS22,FT22),'MASTER PLAN'!$AB:$AB,'MASTER PLAN'!$J:$J,0,0)=0,"",XLOOKUP(CONCAT(FS22,FT22),'MASTER PLAN'!$AB:$AB,'MASTER PLAN'!$J:$J,0,0)),"")</f>
        <v/>
      </c>
      <c r="FV22" s="70"/>
      <c r="FW22" s="94"/>
      <c r="FX22" s="71"/>
      <c r="FY22" s="32"/>
      <c r="FZ22" s="72" t="str">
        <f t="array" ref="FZ22">IFERROR(IF(XLOOKUP(CONCAT(FX22,FY22),'MASTER PLAN'!$AB:$AB,'MASTER PLAN'!$J:$J,0,0)=0,"",XLOOKUP(CONCAT(FX22,FY22),'MASTER PLAN'!$AB:$AB,'MASTER PLAN'!$J:$J,0,0)),"")</f>
        <v/>
      </c>
      <c r="GA22" s="70"/>
      <c r="GB22" s="94"/>
      <c r="GC22" s="71"/>
      <c r="GD22" s="32"/>
      <c r="GE22" s="72" t="str">
        <f t="array" ref="GE22">IFERROR(IF(XLOOKUP(CONCAT(GC22,GD22),'MASTER PLAN'!$AB:$AB,'MASTER PLAN'!$J:$J,0,0)=0,"",XLOOKUP(CONCAT(GC22,GD22),'MASTER PLAN'!$AB:$AB,'MASTER PLAN'!$J:$J,0,0)),"")</f>
        <v/>
      </c>
      <c r="GF22" s="70"/>
      <c r="GG22" s="94"/>
      <c r="GH22" s="70"/>
      <c r="GI22" s="71"/>
      <c r="GJ22" s="32"/>
      <c r="GK22" s="72" t="str">
        <f t="array" ref="GK22">IFERROR(IF(XLOOKUP(CONCAT(GI22,GJ22),'MASTER PLAN'!$AB:$AB,'MASTER PLAN'!$J:$J,0,0)=0,"",XLOOKUP(CONCAT(GI22,GJ22),'MASTER PLAN'!$AB:$AB,'MASTER PLAN'!$J:$J,0,0)),"")</f>
        <v/>
      </c>
      <c r="GL22" s="70"/>
      <c r="GM22" s="94"/>
      <c r="GN22" s="71"/>
      <c r="GO22" s="32"/>
      <c r="GP22" s="72" t="str">
        <f t="array" ref="GP22">IFERROR(IF(XLOOKUP(CONCAT(GN22,GO22),'MASTER PLAN'!$AB:$AB,'MASTER PLAN'!$J:$J,0,0)=0,"",XLOOKUP(CONCAT(GN22,GO22),'MASTER PLAN'!$AB:$AB,'MASTER PLAN'!$J:$J,0,0)),"")</f>
        <v/>
      </c>
      <c r="GQ22" s="70"/>
      <c r="GR22" s="94"/>
      <c r="GS22" s="71"/>
      <c r="GT22" s="32"/>
      <c r="GU22" s="72" t="str">
        <f t="array" ref="GU22">IFERROR(IF(XLOOKUP(CONCAT(GS22,GT22),'MASTER PLAN'!$AB:$AB,'MASTER PLAN'!$J:$J,0,0)=0,"",XLOOKUP(CONCAT(GS22,GT22),'MASTER PLAN'!$AB:$AB,'MASTER PLAN'!$J:$J,0,0)),"")</f>
        <v/>
      </c>
      <c r="GV22" s="70"/>
      <c r="GW22" s="94"/>
      <c r="GX22" s="71"/>
      <c r="GY22" s="32"/>
      <c r="GZ22" s="72" t="str">
        <f t="array" ref="GZ22">IFERROR(IF(XLOOKUP(CONCAT(GX22,GY22),'MASTER PLAN'!$AB:$AB,'MASTER PLAN'!$J:$J,0,0)=0,"",XLOOKUP(CONCAT(GX22,GY22),'MASTER PLAN'!$AB:$AB,'MASTER PLAN'!$J:$J,0,0)),"")</f>
        <v/>
      </c>
      <c r="HA22" s="70"/>
      <c r="HB22" s="94"/>
      <c r="HC22" s="71"/>
      <c r="HD22" s="32"/>
      <c r="HE22" s="72" t="str">
        <f t="array" ref="HE22">IFERROR(IF(XLOOKUP(CONCAT(HC22,HD22),'MASTER PLAN'!$AB:$AB,'MASTER PLAN'!$J:$J,0,0)=0,"",XLOOKUP(CONCAT(HC22,HD22),'MASTER PLAN'!$AB:$AB,'MASTER PLAN'!$J:$J,0,0)),"")</f>
        <v/>
      </c>
      <c r="HF22" s="70"/>
      <c r="HG22" s="94"/>
      <c r="HH22" s="71"/>
      <c r="HI22" s="32"/>
      <c r="HJ22" s="72" t="str">
        <f t="array" ref="HJ22">IFERROR(IF(XLOOKUP(CONCAT(HH22,HI22),'MASTER PLAN'!$AB:$AB,'MASTER PLAN'!$J:$J,0,0)=0,"",XLOOKUP(CONCAT(HH22,HI22),'MASTER PLAN'!$AB:$AB,'MASTER PLAN'!$J:$J,0,0)),"")</f>
        <v/>
      </c>
      <c r="HK22" s="70"/>
      <c r="HL22" s="94"/>
      <c r="HM22" s="70"/>
      <c r="HN22" s="71"/>
      <c r="HO22" s="32"/>
      <c r="HP22" s="72" t="str">
        <f t="array" ref="HP22">IFERROR(IF(XLOOKUP(CONCAT(HN22,HO22),'MASTER PLAN'!$AB:$AB,'MASTER PLAN'!$J:$J,0,0)=0,"",XLOOKUP(CONCAT(HN22,HO22),'MASTER PLAN'!$AB:$AB,'MASTER PLAN'!$J:$J,0,0)),"")</f>
        <v/>
      </c>
      <c r="HQ22" s="70"/>
      <c r="HR22" s="94"/>
      <c r="HS22" s="71"/>
      <c r="HT22" s="32"/>
      <c r="HU22" s="72" t="str">
        <f t="array" ref="HU22">IFERROR(IF(XLOOKUP(CONCAT(HS22,HT22),'MASTER PLAN'!$AB:$AB,'MASTER PLAN'!$J:$J,0,0)=0,"",XLOOKUP(CONCAT(HS22,HT22),'MASTER PLAN'!$AB:$AB,'MASTER PLAN'!$J:$J,0,0)),"")</f>
        <v/>
      </c>
      <c r="HV22" s="70"/>
      <c r="HW22" s="94"/>
      <c r="HX22" s="71"/>
      <c r="HY22" s="32"/>
      <c r="HZ22" s="72" t="str">
        <f t="array" ref="HZ22">IFERROR(IF(XLOOKUP(CONCAT(HX22,HY22),'MASTER PLAN'!$AB:$AB,'MASTER PLAN'!$J:$J,0,0)=0,"",XLOOKUP(CONCAT(HX22,HY22),'MASTER PLAN'!$AB:$AB,'MASTER PLAN'!$J:$J,0,0)),"")</f>
        <v/>
      </c>
      <c r="IA22" s="70"/>
      <c r="IB22" s="94"/>
      <c r="IC22" s="71"/>
      <c r="ID22" s="32"/>
      <c r="IE22" s="72" t="str">
        <f t="array" ref="IE22">IFERROR(IF(XLOOKUP(CONCAT(IC22,ID22),'MASTER PLAN'!$AB:$AB,'MASTER PLAN'!$J:$J,0,0)=0,"",XLOOKUP(CONCAT(IC22,ID22),'MASTER PLAN'!$AB:$AB,'MASTER PLAN'!$J:$J,0,0)),"")</f>
        <v/>
      </c>
      <c r="IF22" s="70"/>
      <c r="IG22" s="94"/>
      <c r="IH22" s="71"/>
      <c r="II22" s="32"/>
      <c r="IJ22" s="72" t="str">
        <f t="array" ref="IJ22">IFERROR(IF(XLOOKUP(CONCAT(IH22,II22),'MASTER PLAN'!$AB:$AB,'MASTER PLAN'!$J:$J,0,0)=0,"",XLOOKUP(CONCAT(IH22,II22),'MASTER PLAN'!$AB:$AB,'MASTER PLAN'!$J:$J,0,0)),"")</f>
        <v/>
      </c>
      <c r="IK22" s="70"/>
      <c r="IL22" s="94"/>
      <c r="IM22" s="71"/>
      <c r="IN22" s="32"/>
      <c r="IO22" s="72" t="str">
        <f t="array" ref="IO22">IFERROR(IF(XLOOKUP(CONCAT(IM22,IN22),'MASTER PLAN'!$AB:$AB,'MASTER PLAN'!$J:$J,0,0)=0,"",XLOOKUP(CONCAT(IM22,IN22),'MASTER PLAN'!$AB:$AB,'MASTER PLAN'!$J:$J,0,0)),"")</f>
        <v/>
      </c>
      <c r="IP22" s="70"/>
      <c r="IQ22" s="94"/>
      <c r="IR22" s="70"/>
      <c r="IS22" s="71"/>
      <c r="IT22" s="32"/>
      <c r="IU22" s="72" t="str">
        <f t="array" ref="IU22">IFERROR(IF(XLOOKUP(CONCAT(IS22,IT22),'MASTER PLAN'!$AB:$AB,'MASTER PLAN'!$J:$J,0,0)=0,"",XLOOKUP(CONCAT(IS22,IT22),'MASTER PLAN'!$AB:$AB,'MASTER PLAN'!$J:$J,0,0)),"")</f>
        <v/>
      </c>
      <c r="IV22" s="70"/>
      <c r="IW22" s="94"/>
      <c r="IX22" s="71"/>
      <c r="IY22" s="32"/>
      <c r="IZ22" s="72" t="str">
        <f t="array" ref="IZ22">IFERROR(IF(XLOOKUP(CONCAT(IX22,IY22),'MASTER PLAN'!$AB:$AB,'MASTER PLAN'!$J:$J,0,0)=0,"",XLOOKUP(CONCAT(IX22,IY22),'MASTER PLAN'!$AB:$AB,'MASTER PLAN'!$J:$J,0,0)),"")</f>
        <v/>
      </c>
      <c r="JA22" s="70"/>
      <c r="JB22" s="94"/>
      <c r="JC22" s="71"/>
      <c r="JD22" s="32"/>
      <c r="JE22" s="72" t="str">
        <f t="array" ref="JE22">IFERROR(IF(XLOOKUP(CONCAT(JC22,JD22),'MASTER PLAN'!$AB:$AB,'MASTER PLAN'!$J:$J,0,0)=0,"",XLOOKUP(CONCAT(JC22,JD22),'MASTER PLAN'!$AB:$AB,'MASTER PLAN'!$J:$J,0,0)),"")</f>
        <v/>
      </c>
      <c r="JF22" s="70"/>
      <c r="JG22" s="94"/>
      <c r="JH22" s="71"/>
      <c r="JI22" s="32"/>
      <c r="JJ22" s="72" t="str">
        <f t="array" ref="JJ22">IFERROR(IF(XLOOKUP(CONCAT(JH22,JI22),'MASTER PLAN'!$AB:$AB,'MASTER PLAN'!$J:$J,0,0)=0,"",XLOOKUP(CONCAT(JH22,JI22),'MASTER PLAN'!$AB:$AB,'MASTER PLAN'!$J:$J,0,0)),"")</f>
        <v/>
      </c>
      <c r="JK22" s="70"/>
      <c r="JL22" s="94"/>
      <c r="JM22" s="71"/>
      <c r="JN22" s="32"/>
      <c r="JO22" s="72" t="str">
        <f t="array" ref="JO22">IFERROR(IF(XLOOKUP(CONCAT(JM22,JN22),'MASTER PLAN'!$AB:$AB,'MASTER PLAN'!$J:$J,0,0)=0,"",XLOOKUP(CONCAT(JM22,JN22),'MASTER PLAN'!$AB:$AB,'MASTER PLAN'!$J:$J,0,0)),"")</f>
        <v/>
      </c>
      <c r="JP22" s="70"/>
      <c r="JQ22" s="94"/>
      <c r="JR22" s="71"/>
      <c r="JS22" s="32"/>
      <c r="JT22" s="72" t="str">
        <f t="array" ref="JT22">IFERROR(IF(XLOOKUP(CONCAT(JR22,JS22),'MASTER PLAN'!$AB:$AB,'MASTER PLAN'!$J:$J,0,0)=0,"",XLOOKUP(CONCAT(JR22,JS22),'MASTER PLAN'!$AB:$AB,'MASTER PLAN'!$J:$J,0,0)),"")</f>
        <v/>
      </c>
      <c r="JU22" s="70"/>
      <c r="JV22" s="94"/>
      <c r="JW22" s="70"/>
      <c r="JX22" s="71"/>
      <c r="JY22" s="32"/>
      <c r="JZ22" s="72" t="str">
        <f t="array" ref="JZ22">IFERROR(IF(XLOOKUP(CONCAT(JX22,JY22),'MASTER PLAN'!$AB:$AB,'MASTER PLAN'!$J:$J,0,0)=0,"",XLOOKUP(CONCAT(JX22,JY22),'MASTER PLAN'!$AB:$AB,'MASTER PLAN'!$J:$J,0,0)),"")</f>
        <v/>
      </c>
      <c r="KA22" s="70"/>
      <c r="KB22" s="94"/>
      <c r="KC22" s="71"/>
      <c r="KD22" s="32"/>
      <c r="KE22" s="72" t="str">
        <f t="array" ref="KE22">IFERROR(IF(XLOOKUP(CONCAT(KC22,KD22),'MASTER PLAN'!$AB:$AB,'MASTER PLAN'!$J:$J,0,0)=0,"",XLOOKUP(CONCAT(KC22,KD22),'MASTER PLAN'!$AB:$AB,'MASTER PLAN'!$J:$J,0,0)),"")</f>
        <v/>
      </c>
      <c r="KF22" s="70"/>
      <c r="KG22" s="94"/>
      <c r="KH22" s="71"/>
      <c r="KI22" s="32"/>
      <c r="KJ22" s="72" t="str">
        <f t="array" ref="KJ22">IFERROR(IF(XLOOKUP(CONCAT(KH22,KI22),'MASTER PLAN'!$AB:$AB,'MASTER PLAN'!$J:$J,0,0)=0,"",XLOOKUP(CONCAT(KH22,KI22),'MASTER PLAN'!$AB:$AB,'MASTER PLAN'!$J:$J,0,0)),"")</f>
        <v/>
      </c>
      <c r="KK22" s="70"/>
      <c r="KL22" s="94"/>
      <c r="KM22" s="71"/>
      <c r="KN22" s="32"/>
      <c r="KO22" s="72" t="str">
        <f t="array" ref="KO22">IFERROR(IF(XLOOKUP(CONCAT(KM22,KN22),'MASTER PLAN'!$AB:$AB,'MASTER PLAN'!$J:$J,0,0)=0,"",XLOOKUP(CONCAT(KM22,KN22),'MASTER PLAN'!$AB:$AB,'MASTER PLAN'!$J:$J,0,0)),"")</f>
        <v/>
      </c>
      <c r="KP22" s="70"/>
      <c r="KQ22" s="94"/>
      <c r="KR22" s="71"/>
      <c r="KS22" s="32"/>
      <c r="KT22" s="72" t="str">
        <f t="array" ref="KT22">IFERROR(IF(XLOOKUP(CONCAT(KR22,KS22),'MASTER PLAN'!$AB:$AB,'MASTER PLAN'!$J:$J,0,0)=0,"",XLOOKUP(CONCAT(KR22,KS22),'MASTER PLAN'!$AB:$AB,'MASTER PLAN'!$J:$J,0,0)),"")</f>
        <v/>
      </c>
      <c r="KU22" s="70"/>
      <c r="KV22" s="94"/>
      <c r="KW22" s="71"/>
      <c r="KX22" s="32"/>
      <c r="KY22" s="72" t="str">
        <f t="array" ref="KY22">IFERROR(IF(XLOOKUP(CONCAT(KW22,KX22),'MASTER PLAN'!$AB:$AB,'MASTER PLAN'!$J:$J,0,0)=0,"",XLOOKUP(CONCAT(KW22,KX22),'MASTER PLAN'!$AB:$AB,'MASTER PLAN'!$J:$J,0,0)),"")</f>
        <v/>
      </c>
      <c r="KZ22" s="70"/>
      <c r="LA22" s="94"/>
      <c r="LB22" s="70"/>
      <c r="LC22" s="71"/>
      <c r="LD22" s="32"/>
      <c r="LE22" s="72" t="str">
        <f t="array" ref="LE22">IFERROR(IF(XLOOKUP(CONCAT(LC22,LD22),'MASTER PLAN'!$AB:$AB,'MASTER PLAN'!$J:$J,0,0)=0,"",XLOOKUP(CONCAT(LC22,LD22),'MASTER PLAN'!$AB:$AB,'MASTER PLAN'!$J:$J,0,0)),"")</f>
        <v/>
      </c>
      <c r="LF22" s="70"/>
      <c r="LG22" s="94"/>
      <c r="LH22" s="71"/>
      <c r="LI22" s="32"/>
      <c r="LJ22" s="72" t="str">
        <f t="array" ref="LJ22">IFERROR(IF(XLOOKUP(CONCAT(LH22,LI22),'MASTER PLAN'!$AB:$AB,'MASTER PLAN'!$J:$J,0,0)=0,"",XLOOKUP(CONCAT(LH22,LI22),'MASTER PLAN'!$AB:$AB,'MASTER PLAN'!$J:$J,0,0)),"")</f>
        <v/>
      </c>
      <c r="LK22" s="70"/>
      <c r="LL22" s="94"/>
      <c r="LM22" s="71"/>
      <c r="LN22" s="32"/>
      <c r="LO22" s="72" t="str">
        <f t="array" ref="LO22">IFERROR(IF(XLOOKUP(CONCAT(LM22,LN22),'MASTER PLAN'!$AB:$AB,'MASTER PLAN'!$J:$J,0,0)=0,"",XLOOKUP(CONCAT(LM22,LN22),'MASTER PLAN'!$AB:$AB,'MASTER PLAN'!$J:$J,0,0)),"")</f>
        <v/>
      </c>
      <c r="LP22" s="70"/>
      <c r="LQ22" s="94"/>
      <c r="LR22" s="71"/>
      <c r="LS22" s="32"/>
      <c r="LT22" s="72" t="str">
        <f t="array" ref="LT22">IFERROR(IF(XLOOKUP(CONCAT(LR22,LS22),'MASTER PLAN'!$AB:$AB,'MASTER PLAN'!$J:$J,0,0)=0,"",XLOOKUP(CONCAT(LR22,LS22),'MASTER PLAN'!$AB:$AB,'MASTER PLAN'!$J:$J,0,0)),"")</f>
        <v/>
      </c>
      <c r="LU22" s="70"/>
      <c r="LV22" s="94"/>
      <c r="LW22" s="71"/>
      <c r="LX22" s="32"/>
      <c r="LY22" s="72" t="str">
        <f t="array" ref="LY22">IFERROR(IF(XLOOKUP(CONCAT(LW22,LX22),'MASTER PLAN'!$AB:$AB,'MASTER PLAN'!$J:$J,0,0)=0,"",XLOOKUP(CONCAT(LW22,LX22),'MASTER PLAN'!$AB:$AB,'MASTER PLAN'!$J:$J,0,0)),"")</f>
        <v/>
      </c>
      <c r="LZ22" s="70"/>
      <c r="MA22" s="94"/>
      <c r="MB22" s="71"/>
      <c r="MC22" s="32"/>
      <c r="MD22" s="72" t="str">
        <f t="array" ref="MD22">IFERROR(IF(XLOOKUP(CONCAT(MB22,MC22),'MASTER PLAN'!$AB:$AB,'MASTER PLAN'!$J:$J,0,0)=0,"",XLOOKUP(CONCAT(MB22,MC22),'MASTER PLAN'!$AB:$AB,'MASTER PLAN'!$J:$J,0,0)),"")</f>
        <v/>
      </c>
      <c r="ME22" s="70"/>
      <c r="MF22" s="94"/>
      <c r="MG22" s="70"/>
      <c r="MH22" s="71"/>
      <c r="MI22" s="32"/>
      <c r="MJ22" s="72" t="str">
        <f t="array" ref="MJ22">IFERROR(IF(XLOOKUP(CONCAT(MH22,MI22),'MASTER PLAN'!$AB:$AB,'MASTER PLAN'!$J:$J,0,0)=0,"",XLOOKUP(CONCAT(MH22,MI22),'MASTER PLAN'!$AB:$AB,'MASTER PLAN'!$J:$J,0,0)),"")</f>
        <v/>
      </c>
      <c r="MK22" s="70"/>
      <c r="ML22" s="94"/>
      <c r="MM22" s="71"/>
      <c r="MN22" s="32"/>
      <c r="MO22" s="72" t="str">
        <f t="array" ref="MO22">IFERROR(IF(XLOOKUP(CONCAT(MM22,MN22),'MASTER PLAN'!$AB:$AB,'MASTER PLAN'!$J:$J,0,0)=0,"",XLOOKUP(CONCAT(MM22,MN22),'MASTER PLAN'!$AB:$AB,'MASTER PLAN'!$J:$J,0,0)),"")</f>
        <v/>
      </c>
      <c r="MP22" s="70"/>
      <c r="MQ22" s="94"/>
      <c r="MR22" s="71"/>
      <c r="MS22" s="32"/>
      <c r="MT22" s="72" t="str">
        <f t="array" ref="MT22">IFERROR(IF(XLOOKUP(CONCAT(MR22,MS22),'MASTER PLAN'!$AB:$AB,'MASTER PLAN'!$J:$J,0,0)=0,"",XLOOKUP(CONCAT(MR22,MS22),'MASTER PLAN'!$AB:$AB,'MASTER PLAN'!$J:$J,0,0)),"")</f>
        <v/>
      </c>
      <c r="MU22" s="70"/>
      <c r="MV22" s="94"/>
      <c r="MW22" s="71"/>
      <c r="MX22" s="32"/>
      <c r="MY22" s="72" t="str">
        <f t="array" ref="MY22">IFERROR(IF(XLOOKUP(CONCAT(MW22,MX22),'MASTER PLAN'!$AB:$AB,'MASTER PLAN'!$J:$J,0,0)=0,"",XLOOKUP(CONCAT(MW22,MX22),'MASTER PLAN'!$AB:$AB,'MASTER PLAN'!$J:$J,0,0)),"")</f>
        <v/>
      </c>
      <c r="MZ22" s="70"/>
      <c r="NA22" s="94"/>
      <c r="NB22" s="71"/>
      <c r="NC22" s="32"/>
      <c r="ND22" s="72" t="str">
        <f t="array" ref="ND22">IFERROR(IF(XLOOKUP(CONCAT(NB22,NC22),'MASTER PLAN'!$AB:$AB,'MASTER PLAN'!$J:$J,0,0)=0,"",XLOOKUP(CONCAT(NB22,NC22),'MASTER PLAN'!$AB:$AB,'MASTER PLAN'!$J:$J,0,0)),"")</f>
        <v/>
      </c>
      <c r="NE22" s="70"/>
      <c r="NF22" s="94"/>
      <c r="NG22" s="71"/>
      <c r="NH22" s="32"/>
      <c r="NI22" s="72" t="str">
        <f t="array" ref="NI22">IFERROR(IF(XLOOKUP(CONCAT(NG22,NH22),'MASTER PLAN'!$AB:$AB,'MASTER PLAN'!$J:$J,0,0)=0,"",XLOOKUP(CONCAT(NG22,NH22),'MASTER PLAN'!$AB:$AB,'MASTER PLAN'!$J:$J,0,0)),"")</f>
        <v/>
      </c>
      <c r="NJ22" s="70"/>
      <c r="NK22" s="94"/>
      <c r="NL22" s="70"/>
      <c r="NM22" s="71"/>
      <c r="NN22" s="32"/>
      <c r="NO22" s="72" t="str">
        <f t="array" ref="NO22">IFERROR(IF(XLOOKUP(CONCAT(NM22,NN22),'MASTER PLAN'!$AB:$AB,'MASTER PLAN'!$J:$J,0,0)=0,"",XLOOKUP(CONCAT(NM22,NN22),'MASTER PLAN'!$AB:$AB,'MASTER PLAN'!$J:$J,0,0)),"")</f>
        <v/>
      </c>
      <c r="NP22" s="70"/>
      <c r="NQ22" s="94"/>
      <c r="NR22" s="71"/>
      <c r="NS22" s="32"/>
      <c r="NT22" s="72" t="str">
        <f t="array" ref="NT22">IFERROR(IF(XLOOKUP(CONCAT(NR22,NS22),'MASTER PLAN'!$AB:$AB,'MASTER PLAN'!$J:$J,0,0)=0,"",XLOOKUP(CONCAT(NR22,NS22),'MASTER PLAN'!$AB:$AB,'MASTER PLAN'!$J:$J,0,0)),"")</f>
        <v/>
      </c>
      <c r="NU22" s="70"/>
      <c r="NV22" s="94"/>
      <c r="NW22" s="71"/>
      <c r="NX22" s="32"/>
      <c r="NY22" s="72" t="str">
        <f t="array" ref="NY22">IFERROR(IF(XLOOKUP(CONCAT(NW22,NX22),'MASTER PLAN'!$AB:$AB,'MASTER PLAN'!$J:$J,0,0)=0,"",XLOOKUP(CONCAT(NW22,NX22),'MASTER PLAN'!$AB:$AB,'MASTER PLAN'!$J:$J,0,0)),"")</f>
        <v/>
      </c>
      <c r="NZ22" s="70"/>
      <c r="OA22" s="94"/>
      <c r="OB22" s="71"/>
      <c r="OC22" s="32"/>
      <c r="OD22" s="72" t="str">
        <f t="array" ref="OD22">IFERROR(IF(XLOOKUP(CONCAT(OB22,OC22),'MASTER PLAN'!$AB:$AB,'MASTER PLAN'!$J:$J,0,0)=0,"",XLOOKUP(CONCAT(OB22,OC22),'MASTER PLAN'!$AB:$AB,'MASTER PLAN'!$J:$J,0,0)),"")</f>
        <v/>
      </c>
      <c r="OE22" s="70"/>
      <c r="OF22" s="94"/>
      <c r="OG22" s="71"/>
      <c r="OH22" s="32"/>
      <c r="OI22" s="72" t="str">
        <f t="array" ref="OI22">IFERROR(IF(XLOOKUP(CONCAT(OG22,OH22),'MASTER PLAN'!$AB:$AB,'MASTER PLAN'!$J:$J,0,0)=0,"",XLOOKUP(CONCAT(OG22,OH22),'MASTER PLAN'!$AB:$AB,'MASTER PLAN'!$J:$J,0,0)),"")</f>
        <v/>
      </c>
      <c r="OJ22" s="70"/>
      <c r="OK22" s="94"/>
      <c r="OL22" s="71"/>
      <c r="OM22" s="32"/>
      <c r="ON22" s="72" t="str">
        <f t="array" ref="ON22">IFERROR(IF(XLOOKUP(CONCAT(OL22,OM22),'MASTER PLAN'!$AB:$AB,'MASTER PLAN'!$J:$J,0,0)=0,"",XLOOKUP(CONCAT(OL22,OM22),'MASTER PLAN'!$AB:$AB,'MASTER PLAN'!$J:$J,0,0)),"")</f>
        <v/>
      </c>
      <c r="OO22" s="70"/>
      <c r="OP22" s="94"/>
      <c r="OQ22" s="70"/>
      <c r="OR22" s="70"/>
      <c r="OS22" s="70"/>
      <c r="OT22" s="70"/>
      <c r="OU22" s="70"/>
      <c r="OV22" s="70"/>
      <c r="OW22" s="70"/>
      <c r="OX22" s="70"/>
      <c r="OY22" s="70"/>
      <c r="OZ22" s="70"/>
      <c r="PA22" s="70"/>
      <c r="PB22" s="70"/>
      <c r="PC22" s="70"/>
      <c r="PD22" s="70"/>
      <c r="PE22" s="70"/>
      <c r="PF22" s="70"/>
      <c r="PG22" s="70"/>
      <c r="PH22" s="70"/>
      <c r="PI22" s="70"/>
      <c r="PJ22" s="70"/>
    </row>
    <row r="23" ht="15.75" customHeight="1">
      <c r="A23" s="42"/>
      <c r="B23" s="74"/>
      <c r="C23" s="69"/>
      <c r="D23" s="70"/>
      <c r="E23" s="71"/>
      <c r="F23" s="32"/>
      <c r="G23" s="72" t="str">
        <f t="array" ref="G23">IFERROR(IF(XLOOKUP(CONCAT(E23,F23),'MASTER PLAN'!$AB:$AB,'MASTER PLAN'!$J:$J,0,0)=0,"",XLOOKUP(CONCAT(E23,F23),'MASTER PLAN'!$AB:$AB,'MASTER PLAN'!$J:$J,0,0)),"")</f>
        <v/>
      </c>
      <c r="H23" s="70"/>
      <c r="I23" s="94"/>
      <c r="J23" s="71"/>
      <c r="K23" s="32"/>
      <c r="L23" s="72" t="str">
        <f t="array" ref="L23">IFERROR(IF(XLOOKUP(CONCAT(J23,K23),'MASTER PLAN'!$AB:$AB,'MASTER PLAN'!$J:$J,0,0)=0,"",XLOOKUP(CONCAT(J23,K23),'MASTER PLAN'!$AB:$AB,'MASTER PLAN'!$J:$J,0,0)),"")</f>
        <v/>
      </c>
      <c r="M23" s="70"/>
      <c r="N23" s="94"/>
      <c r="O23" s="71"/>
      <c r="P23" s="32"/>
      <c r="Q23" s="72" t="str">
        <f t="array" ref="Q23">IFERROR(IF(XLOOKUP(CONCAT(O23,P23),'MASTER PLAN'!$AB:$AB,'MASTER PLAN'!$J:$J,0,0)=0,"",XLOOKUP(CONCAT(O23,P23),'MASTER PLAN'!$AB:$AB,'MASTER PLAN'!$J:$J,0,0)),"")</f>
        <v/>
      </c>
      <c r="R23" s="70"/>
      <c r="S23" s="94"/>
      <c r="T23" s="71"/>
      <c r="U23" s="32"/>
      <c r="V23" s="72" t="str">
        <f t="array" ref="V23">IFERROR(IF(XLOOKUP(CONCAT(T23,U23),'MASTER PLAN'!$AB:$AB,'MASTER PLAN'!$J:$J,0,0)=0,"",XLOOKUP(CONCAT(T23,U23),'MASTER PLAN'!$AB:$AB,'MASTER PLAN'!$J:$J,0,0)),"")</f>
        <v/>
      </c>
      <c r="W23" s="70"/>
      <c r="X23" s="94"/>
      <c r="Y23" s="71"/>
      <c r="Z23" s="32"/>
      <c r="AA23" s="72" t="str">
        <f t="array" ref="AA23">IFERROR(IF(XLOOKUP(CONCAT(Y23,Z23),'MASTER PLAN'!$AB:$AB,'MASTER PLAN'!$J:$J,0,0)=0,"",XLOOKUP(CONCAT(Y23,Z23),'MASTER PLAN'!$AB:$AB,'MASTER PLAN'!$J:$J,0,0)),"")</f>
        <v/>
      </c>
      <c r="AB23" s="70"/>
      <c r="AC23" s="94"/>
      <c r="AD23" s="71"/>
      <c r="AE23" s="32"/>
      <c r="AF23" s="72" t="str">
        <f t="array" ref="AF23">IFERROR(IF(XLOOKUP(CONCAT(AD23,AE23),'MASTER PLAN'!$AB:$AB,'MASTER PLAN'!$J:$J,0,0)=0,"",XLOOKUP(CONCAT(AD23,AE23),'MASTER PLAN'!$AB:$AB,'MASTER PLAN'!$J:$J,0,0)),"")</f>
        <v/>
      </c>
      <c r="AG23" s="70"/>
      <c r="AH23" s="94"/>
      <c r="AI23" s="70"/>
      <c r="AJ23" s="71"/>
      <c r="AK23" s="32"/>
      <c r="AL23" s="72" t="str">
        <f t="array" ref="AL23">IFERROR(IF(XLOOKUP(CONCAT(AJ23,AK23),'MASTER PLAN'!$AB:$AB,'MASTER PLAN'!$J:$J,0,0)=0,"",XLOOKUP(CONCAT(AJ23,AK23),'MASTER PLAN'!$AB:$AB,'MASTER PLAN'!$J:$J,0,0)),"")</f>
        <v/>
      </c>
      <c r="AM23" s="70"/>
      <c r="AN23" s="94"/>
      <c r="AO23" s="71"/>
      <c r="AP23" s="32"/>
      <c r="AQ23" s="72" t="str">
        <f t="array" ref="AQ23">IFERROR(IF(XLOOKUP(CONCAT(AO23,AP23),'MASTER PLAN'!$AB:$AB,'MASTER PLAN'!$J:$J,0,0)=0,"",XLOOKUP(CONCAT(AO23,AP23),'MASTER PLAN'!$AB:$AB,'MASTER PLAN'!$J:$J,0,0)),"")</f>
        <v/>
      </c>
      <c r="AR23" s="70"/>
      <c r="AS23" s="94"/>
      <c r="AT23" s="71"/>
      <c r="AU23" s="32"/>
      <c r="AV23" s="72" t="str">
        <f t="array" ref="AV23">IFERROR(IF(XLOOKUP(CONCAT(AT23,AU23),'MASTER PLAN'!$AB:$AB,'MASTER PLAN'!$J:$J,0,0)=0,"",XLOOKUP(CONCAT(AT23,AU23),'MASTER PLAN'!$AB:$AB,'MASTER PLAN'!$J:$J,0,0)),"")</f>
        <v/>
      </c>
      <c r="AW23" s="70"/>
      <c r="AX23" s="94"/>
      <c r="AY23" s="71"/>
      <c r="AZ23" s="32"/>
      <c r="BA23" s="72" t="str">
        <f t="array" ref="BA23">IFERROR(IF(XLOOKUP(CONCAT(AY23,AZ23),'MASTER PLAN'!$AB:$AB,'MASTER PLAN'!$J:$J,0,0)=0,"",XLOOKUP(CONCAT(AY23,AZ23),'MASTER PLAN'!$AB:$AB,'MASTER PLAN'!$J:$J,0,0)),"")</f>
        <v/>
      </c>
      <c r="BB23" s="70"/>
      <c r="BC23" s="94"/>
      <c r="BD23" s="71"/>
      <c r="BE23" s="32"/>
      <c r="BF23" s="72" t="str">
        <f t="array" ref="BF23">IFERROR(IF(XLOOKUP(CONCAT(BD23,BE23),'MASTER PLAN'!$AB:$AB,'MASTER PLAN'!$J:$J,0,0)=0,"",XLOOKUP(CONCAT(BD23,BE23),'MASTER PLAN'!$AB:$AB,'MASTER PLAN'!$J:$J,0,0)),"")</f>
        <v/>
      </c>
      <c r="BG23" s="70"/>
      <c r="BH23" s="94"/>
      <c r="BI23" s="71"/>
      <c r="BJ23" s="32"/>
      <c r="BK23" s="72" t="str">
        <f t="array" ref="BK23">IFERROR(IF(XLOOKUP(CONCAT(BI23,BJ23),'MASTER PLAN'!$AB:$AB,'MASTER PLAN'!$J:$J,0,0)=0,"",XLOOKUP(CONCAT(BI23,BJ23),'MASTER PLAN'!$AB:$AB,'MASTER PLAN'!$J:$J,0,0)),"")</f>
        <v/>
      </c>
      <c r="BL23" s="70"/>
      <c r="BM23" s="94"/>
      <c r="BN23" s="70"/>
      <c r="BO23" s="71"/>
      <c r="BP23" s="32"/>
      <c r="BQ23" s="72" t="str">
        <f t="array" ref="BQ23">IFERROR(IF(XLOOKUP(CONCAT(BO23,BP23),'MASTER PLAN'!$AB:$AB,'MASTER PLAN'!$J:$J,0,0)=0,"",XLOOKUP(CONCAT(BO23,BP23),'MASTER PLAN'!$AB:$AB,'MASTER PLAN'!$J:$J,0,0)),"")</f>
        <v/>
      </c>
      <c r="BR23" s="70"/>
      <c r="BS23" s="94"/>
      <c r="BT23" s="71"/>
      <c r="BU23" s="32"/>
      <c r="BV23" s="72" t="str">
        <f t="array" ref="BV23">IFERROR(IF(XLOOKUP(CONCAT(BT23,BU23),'MASTER PLAN'!$AB:$AB,'MASTER PLAN'!$J:$J,0,0)=0,"",XLOOKUP(CONCAT(BT23,BU23),'MASTER PLAN'!$AB:$AB,'MASTER PLAN'!$J:$J,0,0)),"")</f>
        <v/>
      </c>
      <c r="BW23" s="70"/>
      <c r="BX23" s="94"/>
      <c r="BY23" s="71"/>
      <c r="BZ23" s="32"/>
      <c r="CA23" s="72" t="str">
        <f t="array" ref="CA23">IFERROR(IF(XLOOKUP(CONCAT(BY23,BZ23),'MASTER PLAN'!$AB:$AB,'MASTER PLAN'!$J:$J,0,0)=0,"",XLOOKUP(CONCAT(BY23,BZ23),'MASTER PLAN'!$AB:$AB,'MASTER PLAN'!$J:$J,0,0)),"")</f>
        <v/>
      </c>
      <c r="CB23" s="70"/>
      <c r="CC23" s="94"/>
      <c r="CD23" s="71"/>
      <c r="CE23" s="32"/>
      <c r="CF23" s="72" t="str">
        <f t="array" ref="CF23">IFERROR(IF(XLOOKUP(CONCAT(CD23,CE23),'MASTER PLAN'!$AB:$AB,'MASTER PLAN'!$J:$J,0,0)=0,"",XLOOKUP(CONCAT(CD23,CE23),'MASTER PLAN'!$AB:$AB,'MASTER PLAN'!$J:$J,0,0)),"")</f>
        <v/>
      </c>
      <c r="CG23" s="70"/>
      <c r="CH23" s="94"/>
      <c r="CI23" s="71"/>
      <c r="CJ23" s="32"/>
      <c r="CK23" s="72" t="str">
        <f t="array" ref="CK23">IFERROR(IF(XLOOKUP(CONCAT(CI23,CJ23),'MASTER PLAN'!$AB:$AB,'MASTER PLAN'!$J:$J,0,0)=0,"",XLOOKUP(CONCAT(CI23,CJ23),'MASTER PLAN'!$AB:$AB,'MASTER PLAN'!$J:$J,0,0)),"")</f>
        <v/>
      </c>
      <c r="CL23" s="70"/>
      <c r="CM23" s="94"/>
      <c r="CN23" s="71"/>
      <c r="CO23" s="32"/>
      <c r="CP23" s="72" t="str">
        <f t="array" ref="CP23">IFERROR(IF(XLOOKUP(CONCAT(CN23,CO23),'MASTER PLAN'!$AB:$AB,'MASTER PLAN'!$J:$J,0,0)=0,"",XLOOKUP(CONCAT(CN23,CO23),'MASTER PLAN'!$AB:$AB,'MASTER PLAN'!$J:$J,0,0)),"")</f>
        <v/>
      </c>
      <c r="CQ23" s="70"/>
      <c r="CR23" s="94"/>
      <c r="CS23" s="70"/>
      <c r="CT23" s="71"/>
      <c r="CU23" s="32"/>
      <c r="CV23" s="72" t="str">
        <f t="array" ref="CV23">IFERROR(IF(XLOOKUP(CONCAT(CT23,CU23),'MASTER PLAN'!$AB:$AB,'MASTER PLAN'!$J:$J,0,0)=0,"",XLOOKUP(CONCAT(CT23,CU23),'MASTER PLAN'!$AB:$AB,'MASTER PLAN'!$J:$J,0,0)),"")</f>
        <v/>
      </c>
      <c r="CW23" s="70"/>
      <c r="CX23" s="94"/>
      <c r="CY23" s="71"/>
      <c r="CZ23" s="32"/>
      <c r="DA23" s="72" t="str">
        <f t="array" ref="DA23">IFERROR(IF(XLOOKUP(CONCAT(CY23,CZ23),'MASTER PLAN'!$AB:$AB,'MASTER PLAN'!$J:$J,0,0)=0,"",XLOOKUP(CONCAT(CY23,CZ23),'MASTER PLAN'!$AB:$AB,'MASTER PLAN'!$J:$J,0,0)),"")</f>
        <v/>
      </c>
      <c r="DB23" s="70"/>
      <c r="DC23" s="94"/>
      <c r="DD23" s="71"/>
      <c r="DE23" s="32"/>
      <c r="DF23" s="72" t="str">
        <f t="array" ref="DF23">IFERROR(IF(XLOOKUP(CONCAT(DD23,DE23),'MASTER PLAN'!$AB:$AB,'MASTER PLAN'!$J:$J,0,0)=0,"",XLOOKUP(CONCAT(DD23,DE23),'MASTER PLAN'!$AB:$AB,'MASTER PLAN'!$J:$J,0,0)),"")</f>
        <v/>
      </c>
      <c r="DG23" s="70"/>
      <c r="DH23" s="94"/>
      <c r="DI23" s="71"/>
      <c r="DJ23" s="32"/>
      <c r="DK23" s="72" t="str">
        <f t="array" ref="DK23">IFERROR(IF(XLOOKUP(CONCAT(DI23,DJ23),'MASTER PLAN'!$AB:$AB,'MASTER PLAN'!$J:$J,0,0)=0,"",XLOOKUP(CONCAT(DI23,DJ23),'MASTER PLAN'!$AB:$AB,'MASTER PLAN'!$J:$J,0,0)),"")</f>
        <v/>
      </c>
      <c r="DL23" s="70"/>
      <c r="DM23" s="94"/>
      <c r="DN23" s="71"/>
      <c r="DO23" s="32"/>
      <c r="DP23" s="72" t="str">
        <f t="array" ref="DP23">IFERROR(IF(XLOOKUP(CONCAT(DN23,DO23),'MASTER PLAN'!$AB:$AB,'MASTER PLAN'!$J:$J,0,0)=0,"",XLOOKUP(CONCAT(DN23,DO23),'MASTER PLAN'!$AB:$AB,'MASTER PLAN'!$J:$J,0,0)),"")</f>
        <v/>
      </c>
      <c r="DQ23" s="70"/>
      <c r="DR23" s="94"/>
      <c r="DS23" s="71"/>
      <c r="DT23" s="32"/>
      <c r="DU23" s="72" t="str">
        <f t="array" ref="DU23">IFERROR(IF(XLOOKUP(CONCAT(DS23,DT23),'MASTER PLAN'!$AB:$AB,'MASTER PLAN'!$J:$J,0,0)=0,"",XLOOKUP(CONCAT(DS23,DT23),'MASTER PLAN'!$AB:$AB,'MASTER PLAN'!$J:$J,0,0)),"")</f>
        <v/>
      </c>
      <c r="DV23" s="70"/>
      <c r="DW23" s="94"/>
      <c r="DX23" s="70"/>
      <c r="DY23" s="71"/>
      <c r="DZ23" s="32"/>
      <c r="EA23" s="72" t="str">
        <f t="array" ref="EA23">IFERROR(IF(XLOOKUP(CONCAT(DY23,DZ23),'MASTER PLAN'!$AB:$AB,'MASTER PLAN'!$J:$J,0,0)=0,"",XLOOKUP(CONCAT(DY23,DZ23),'MASTER PLAN'!$AB:$AB,'MASTER PLAN'!$J:$J,0,0)),"")</f>
        <v/>
      </c>
      <c r="EB23" s="70"/>
      <c r="EC23" s="94"/>
      <c r="ED23" s="71"/>
      <c r="EE23" s="32"/>
      <c r="EF23" s="72" t="str">
        <f t="array" ref="EF23">IFERROR(IF(XLOOKUP(CONCAT(ED23,EE23),'MASTER PLAN'!$AB:$AB,'MASTER PLAN'!$J:$J,0,0)=0,"",XLOOKUP(CONCAT(ED23,EE23),'MASTER PLAN'!$AB:$AB,'MASTER PLAN'!$J:$J,0,0)),"")</f>
        <v/>
      </c>
      <c r="EG23" s="70"/>
      <c r="EH23" s="94"/>
      <c r="EI23" s="71"/>
      <c r="EJ23" s="32"/>
      <c r="EK23" s="72" t="str">
        <f t="array" ref="EK23">IFERROR(IF(XLOOKUP(CONCAT(EI23,EJ23),'MASTER PLAN'!$AB:$AB,'MASTER PLAN'!$J:$J,0,0)=0,"",XLOOKUP(CONCAT(EI23,EJ23),'MASTER PLAN'!$AB:$AB,'MASTER PLAN'!$J:$J,0,0)),"")</f>
        <v/>
      </c>
      <c r="EL23" s="70"/>
      <c r="EM23" s="94"/>
      <c r="EN23" s="71"/>
      <c r="EO23" s="32"/>
      <c r="EP23" s="72" t="str">
        <f t="array" ref="EP23">IFERROR(IF(XLOOKUP(CONCAT(EN23,EO23),'MASTER PLAN'!$AB:$AB,'MASTER PLAN'!$J:$J,0,0)=0,"",XLOOKUP(CONCAT(EN23,EO23),'MASTER PLAN'!$AB:$AB,'MASTER PLAN'!$J:$J,0,0)),"")</f>
        <v/>
      </c>
      <c r="EQ23" s="70"/>
      <c r="ER23" s="94"/>
      <c r="ES23" s="71"/>
      <c r="ET23" s="32"/>
      <c r="EU23" s="72" t="str">
        <f t="array" ref="EU23">IFERROR(IF(XLOOKUP(CONCAT(ES23,ET23),'MASTER PLAN'!$AB:$AB,'MASTER PLAN'!$J:$J,0,0)=0,"",XLOOKUP(CONCAT(ES23,ET23),'MASTER PLAN'!$AB:$AB,'MASTER PLAN'!$J:$J,0,0)),"")</f>
        <v/>
      </c>
      <c r="EV23" s="70"/>
      <c r="EW23" s="94"/>
      <c r="EX23" s="71"/>
      <c r="EY23" s="32"/>
      <c r="EZ23" s="72" t="str">
        <f t="array" ref="EZ23">IFERROR(IF(XLOOKUP(CONCAT(EX23,EY23),'MASTER PLAN'!$AB:$AB,'MASTER PLAN'!$J:$J,0,0)=0,"",XLOOKUP(CONCAT(EX23,EY23),'MASTER PLAN'!$AB:$AB,'MASTER PLAN'!$J:$J,0,0)),"")</f>
        <v/>
      </c>
      <c r="FA23" s="70"/>
      <c r="FB23" s="94"/>
      <c r="FC23" s="70"/>
      <c r="FD23" s="71"/>
      <c r="FE23" s="32"/>
      <c r="FF23" s="72" t="str">
        <f t="array" ref="FF23">IFERROR(IF(XLOOKUP(CONCAT(FD23,FE23),'MASTER PLAN'!$AB:$AB,'MASTER PLAN'!$J:$J,0,0)=0,"",XLOOKUP(CONCAT(FD23,FE23),'MASTER PLAN'!$AB:$AB,'MASTER PLAN'!$J:$J,0,0)),"")</f>
        <v/>
      </c>
      <c r="FG23" s="70"/>
      <c r="FH23" s="94"/>
      <c r="FI23" s="71"/>
      <c r="FJ23" s="32"/>
      <c r="FK23" s="72" t="str">
        <f t="array" ref="FK23">IFERROR(IF(XLOOKUP(CONCAT(FI23,FJ23),'MASTER PLAN'!$AB:$AB,'MASTER PLAN'!$J:$J,0,0)=0,"",XLOOKUP(CONCAT(FI23,FJ23),'MASTER PLAN'!$AB:$AB,'MASTER PLAN'!$J:$J,0,0)),"")</f>
        <v/>
      </c>
      <c r="FL23" s="70"/>
      <c r="FM23" s="94"/>
      <c r="FN23" s="71"/>
      <c r="FO23" s="32"/>
      <c r="FP23" s="72" t="str">
        <f t="array" ref="FP23">IFERROR(IF(XLOOKUP(CONCAT(FN23,FO23),'MASTER PLAN'!$AB:$AB,'MASTER PLAN'!$J:$J,0,0)=0,"",XLOOKUP(CONCAT(FN23,FO23),'MASTER PLAN'!$AB:$AB,'MASTER PLAN'!$J:$J,0,0)),"")</f>
        <v/>
      </c>
      <c r="FQ23" s="70"/>
      <c r="FR23" s="94"/>
      <c r="FS23" s="71"/>
      <c r="FT23" s="32"/>
      <c r="FU23" s="72" t="str">
        <f t="array" ref="FU23">IFERROR(IF(XLOOKUP(CONCAT(FS23,FT23),'MASTER PLAN'!$AB:$AB,'MASTER PLAN'!$J:$J,0,0)=0,"",XLOOKUP(CONCAT(FS23,FT23),'MASTER PLAN'!$AB:$AB,'MASTER PLAN'!$J:$J,0,0)),"")</f>
        <v/>
      </c>
      <c r="FV23" s="70"/>
      <c r="FW23" s="94"/>
      <c r="FX23" s="71"/>
      <c r="FY23" s="32"/>
      <c r="FZ23" s="72" t="str">
        <f t="array" ref="FZ23">IFERROR(IF(XLOOKUP(CONCAT(FX23,FY23),'MASTER PLAN'!$AB:$AB,'MASTER PLAN'!$J:$J,0,0)=0,"",XLOOKUP(CONCAT(FX23,FY23),'MASTER PLAN'!$AB:$AB,'MASTER PLAN'!$J:$J,0,0)),"")</f>
        <v/>
      </c>
      <c r="GA23" s="70"/>
      <c r="GB23" s="94"/>
      <c r="GC23" s="71"/>
      <c r="GD23" s="32"/>
      <c r="GE23" s="72" t="str">
        <f t="array" ref="GE23">IFERROR(IF(XLOOKUP(CONCAT(GC23,GD23),'MASTER PLAN'!$AB:$AB,'MASTER PLAN'!$J:$J,0,0)=0,"",XLOOKUP(CONCAT(GC23,GD23),'MASTER PLAN'!$AB:$AB,'MASTER PLAN'!$J:$J,0,0)),"")</f>
        <v/>
      </c>
      <c r="GF23" s="70"/>
      <c r="GG23" s="94"/>
      <c r="GH23" s="70"/>
      <c r="GI23" s="71"/>
      <c r="GJ23" s="32"/>
      <c r="GK23" s="72" t="str">
        <f t="array" ref="GK23">IFERROR(IF(XLOOKUP(CONCAT(GI23,GJ23),'MASTER PLAN'!$AB:$AB,'MASTER PLAN'!$J:$J,0,0)=0,"",XLOOKUP(CONCAT(GI23,GJ23),'MASTER PLAN'!$AB:$AB,'MASTER PLAN'!$J:$J,0,0)),"")</f>
        <v/>
      </c>
      <c r="GL23" s="70"/>
      <c r="GM23" s="94"/>
      <c r="GN23" s="71"/>
      <c r="GO23" s="32"/>
      <c r="GP23" s="72" t="str">
        <f t="array" ref="GP23">IFERROR(IF(XLOOKUP(CONCAT(GN23,GO23),'MASTER PLAN'!$AB:$AB,'MASTER PLAN'!$J:$J,0,0)=0,"",XLOOKUP(CONCAT(GN23,GO23),'MASTER PLAN'!$AB:$AB,'MASTER PLAN'!$J:$J,0,0)),"")</f>
        <v/>
      </c>
      <c r="GQ23" s="70"/>
      <c r="GR23" s="94"/>
      <c r="GS23" s="71"/>
      <c r="GT23" s="32"/>
      <c r="GU23" s="72" t="str">
        <f t="array" ref="GU23">IFERROR(IF(XLOOKUP(CONCAT(GS23,GT23),'MASTER PLAN'!$AB:$AB,'MASTER PLAN'!$J:$J,0,0)=0,"",XLOOKUP(CONCAT(GS23,GT23),'MASTER PLAN'!$AB:$AB,'MASTER PLAN'!$J:$J,0,0)),"")</f>
        <v/>
      </c>
      <c r="GV23" s="70"/>
      <c r="GW23" s="94"/>
      <c r="GX23" s="71"/>
      <c r="GY23" s="32"/>
      <c r="GZ23" s="72" t="str">
        <f t="array" ref="GZ23">IFERROR(IF(XLOOKUP(CONCAT(GX23,GY23),'MASTER PLAN'!$AB:$AB,'MASTER PLAN'!$J:$J,0,0)=0,"",XLOOKUP(CONCAT(GX23,GY23),'MASTER PLAN'!$AB:$AB,'MASTER PLAN'!$J:$J,0,0)),"")</f>
        <v/>
      </c>
      <c r="HA23" s="70"/>
      <c r="HB23" s="94"/>
      <c r="HC23" s="71"/>
      <c r="HD23" s="32"/>
      <c r="HE23" s="72" t="str">
        <f t="array" ref="HE23">IFERROR(IF(XLOOKUP(CONCAT(HC23,HD23),'MASTER PLAN'!$AB:$AB,'MASTER PLAN'!$J:$J,0,0)=0,"",XLOOKUP(CONCAT(HC23,HD23),'MASTER PLAN'!$AB:$AB,'MASTER PLAN'!$J:$J,0,0)),"")</f>
        <v/>
      </c>
      <c r="HF23" s="70"/>
      <c r="HG23" s="94"/>
      <c r="HH23" s="71"/>
      <c r="HI23" s="32"/>
      <c r="HJ23" s="72" t="str">
        <f t="array" ref="HJ23">IFERROR(IF(XLOOKUP(CONCAT(HH23,HI23),'MASTER PLAN'!$AB:$AB,'MASTER PLAN'!$J:$J,0,0)=0,"",XLOOKUP(CONCAT(HH23,HI23),'MASTER PLAN'!$AB:$AB,'MASTER PLAN'!$J:$J,0,0)),"")</f>
        <v/>
      </c>
      <c r="HK23" s="70"/>
      <c r="HL23" s="94"/>
      <c r="HM23" s="70"/>
      <c r="HN23" s="71"/>
      <c r="HO23" s="32"/>
      <c r="HP23" s="72" t="str">
        <f t="array" ref="HP23">IFERROR(IF(XLOOKUP(CONCAT(HN23,HO23),'MASTER PLAN'!$AB:$AB,'MASTER PLAN'!$J:$J,0,0)=0,"",XLOOKUP(CONCAT(HN23,HO23),'MASTER PLAN'!$AB:$AB,'MASTER PLAN'!$J:$J,0,0)),"")</f>
        <v/>
      </c>
      <c r="HQ23" s="70"/>
      <c r="HR23" s="94"/>
      <c r="HS23" s="71"/>
      <c r="HT23" s="32"/>
      <c r="HU23" s="72" t="str">
        <f t="array" ref="HU23">IFERROR(IF(XLOOKUP(CONCAT(HS23,HT23),'MASTER PLAN'!$AB:$AB,'MASTER PLAN'!$J:$J,0,0)=0,"",XLOOKUP(CONCAT(HS23,HT23),'MASTER PLAN'!$AB:$AB,'MASTER PLAN'!$J:$J,0,0)),"")</f>
        <v/>
      </c>
      <c r="HV23" s="70"/>
      <c r="HW23" s="94"/>
      <c r="HX23" s="71"/>
      <c r="HY23" s="32"/>
      <c r="HZ23" s="72" t="str">
        <f t="array" ref="HZ23">IFERROR(IF(XLOOKUP(CONCAT(HX23,HY23),'MASTER PLAN'!$AB:$AB,'MASTER PLAN'!$J:$J,0,0)=0,"",XLOOKUP(CONCAT(HX23,HY23),'MASTER PLAN'!$AB:$AB,'MASTER PLAN'!$J:$J,0,0)),"")</f>
        <v/>
      </c>
      <c r="IA23" s="70"/>
      <c r="IB23" s="94"/>
      <c r="IC23" s="71"/>
      <c r="ID23" s="32"/>
      <c r="IE23" s="72" t="str">
        <f t="array" ref="IE23">IFERROR(IF(XLOOKUP(CONCAT(IC23,ID23),'MASTER PLAN'!$AB:$AB,'MASTER PLAN'!$J:$J,0,0)=0,"",XLOOKUP(CONCAT(IC23,ID23),'MASTER PLAN'!$AB:$AB,'MASTER PLAN'!$J:$J,0,0)),"")</f>
        <v/>
      </c>
      <c r="IF23" s="70"/>
      <c r="IG23" s="94"/>
      <c r="IH23" s="71"/>
      <c r="II23" s="32"/>
      <c r="IJ23" s="72" t="str">
        <f t="array" ref="IJ23">IFERROR(IF(XLOOKUP(CONCAT(IH23,II23),'MASTER PLAN'!$AB:$AB,'MASTER PLAN'!$J:$J,0,0)=0,"",XLOOKUP(CONCAT(IH23,II23),'MASTER PLAN'!$AB:$AB,'MASTER PLAN'!$J:$J,0,0)),"")</f>
        <v/>
      </c>
      <c r="IK23" s="70"/>
      <c r="IL23" s="94"/>
      <c r="IM23" s="71"/>
      <c r="IN23" s="32"/>
      <c r="IO23" s="72" t="str">
        <f t="array" ref="IO23">IFERROR(IF(XLOOKUP(CONCAT(IM23,IN23),'MASTER PLAN'!$AB:$AB,'MASTER PLAN'!$J:$J,0,0)=0,"",XLOOKUP(CONCAT(IM23,IN23),'MASTER PLAN'!$AB:$AB,'MASTER PLAN'!$J:$J,0,0)),"")</f>
        <v/>
      </c>
      <c r="IP23" s="70"/>
      <c r="IQ23" s="94"/>
      <c r="IR23" s="70"/>
      <c r="IS23" s="71"/>
      <c r="IT23" s="32"/>
      <c r="IU23" s="72" t="str">
        <f t="array" ref="IU23">IFERROR(IF(XLOOKUP(CONCAT(IS23,IT23),'MASTER PLAN'!$AB:$AB,'MASTER PLAN'!$J:$J,0,0)=0,"",XLOOKUP(CONCAT(IS23,IT23),'MASTER PLAN'!$AB:$AB,'MASTER PLAN'!$J:$J,0,0)),"")</f>
        <v/>
      </c>
      <c r="IV23" s="70"/>
      <c r="IW23" s="94"/>
      <c r="IX23" s="71"/>
      <c r="IY23" s="32"/>
      <c r="IZ23" s="72" t="str">
        <f t="array" ref="IZ23">IFERROR(IF(XLOOKUP(CONCAT(IX23,IY23),'MASTER PLAN'!$AB:$AB,'MASTER PLAN'!$J:$J,0,0)=0,"",XLOOKUP(CONCAT(IX23,IY23),'MASTER PLAN'!$AB:$AB,'MASTER PLAN'!$J:$J,0,0)),"")</f>
        <v/>
      </c>
      <c r="JA23" s="70"/>
      <c r="JB23" s="94"/>
      <c r="JC23" s="71"/>
      <c r="JD23" s="32"/>
      <c r="JE23" s="72" t="str">
        <f t="array" ref="JE23">IFERROR(IF(XLOOKUP(CONCAT(JC23,JD23),'MASTER PLAN'!$AB:$AB,'MASTER PLAN'!$J:$J,0,0)=0,"",XLOOKUP(CONCAT(JC23,JD23),'MASTER PLAN'!$AB:$AB,'MASTER PLAN'!$J:$J,0,0)),"")</f>
        <v/>
      </c>
      <c r="JF23" s="70"/>
      <c r="JG23" s="94"/>
      <c r="JH23" s="71"/>
      <c r="JI23" s="32"/>
      <c r="JJ23" s="72" t="str">
        <f t="array" ref="JJ23">IFERROR(IF(XLOOKUP(CONCAT(JH23,JI23),'MASTER PLAN'!$AB:$AB,'MASTER PLAN'!$J:$J,0,0)=0,"",XLOOKUP(CONCAT(JH23,JI23),'MASTER PLAN'!$AB:$AB,'MASTER PLAN'!$J:$J,0,0)),"")</f>
        <v/>
      </c>
      <c r="JK23" s="70"/>
      <c r="JL23" s="94"/>
      <c r="JM23" s="71"/>
      <c r="JN23" s="32"/>
      <c r="JO23" s="72" t="str">
        <f t="array" ref="JO23">IFERROR(IF(XLOOKUP(CONCAT(JM23,JN23),'MASTER PLAN'!$AB:$AB,'MASTER PLAN'!$J:$J,0,0)=0,"",XLOOKUP(CONCAT(JM23,JN23),'MASTER PLAN'!$AB:$AB,'MASTER PLAN'!$J:$J,0,0)),"")</f>
        <v/>
      </c>
      <c r="JP23" s="70"/>
      <c r="JQ23" s="94"/>
      <c r="JR23" s="71"/>
      <c r="JS23" s="32"/>
      <c r="JT23" s="72" t="str">
        <f t="array" ref="JT23">IFERROR(IF(XLOOKUP(CONCAT(JR23,JS23),'MASTER PLAN'!$AB:$AB,'MASTER PLAN'!$J:$J,0,0)=0,"",XLOOKUP(CONCAT(JR23,JS23),'MASTER PLAN'!$AB:$AB,'MASTER PLAN'!$J:$J,0,0)),"")</f>
        <v/>
      </c>
      <c r="JU23" s="70"/>
      <c r="JV23" s="94"/>
      <c r="JW23" s="70"/>
      <c r="JX23" s="71"/>
      <c r="JY23" s="32"/>
      <c r="JZ23" s="72" t="str">
        <f t="array" ref="JZ23">IFERROR(IF(XLOOKUP(CONCAT(JX23,JY23),'MASTER PLAN'!$AB:$AB,'MASTER PLAN'!$J:$J,0,0)=0,"",XLOOKUP(CONCAT(JX23,JY23),'MASTER PLAN'!$AB:$AB,'MASTER PLAN'!$J:$J,0,0)),"")</f>
        <v/>
      </c>
      <c r="KA23" s="70"/>
      <c r="KB23" s="94"/>
      <c r="KC23" s="71"/>
      <c r="KD23" s="32"/>
      <c r="KE23" s="72" t="str">
        <f t="array" ref="KE23">IFERROR(IF(XLOOKUP(CONCAT(KC23,KD23),'MASTER PLAN'!$AB:$AB,'MASTER PLAN'!$J:$J,0,0)=0,"",XLOOKUP(CONCAT(KC23,KD23),'MASTER PLAN'!$AB:$AB,'MASTER PLAN'!$J:$J,0,0)),"")</f>
        <v/>
      </c>
      <c r="KF23" s="70"/>
      <c r="KG23" s="94"/>
      <c r="KH23" s="71"/>
      <c r="KI23" s="32"/>
      <c r="KJ23" s="72" t="str">
        <f t="array" ref="KJ23">IFERROR(IF(XLOOKUP(CONCAT(KH23,KI23),'MASTER PLAN'!$AB:$AB,'MASTER PLAN'!$J:$J,0,0)=0,"",XLOOKUP(CONCAT(KH23,KI23),'MASTER PLAN'!$AB:$AB,'MASTER PLAN'!$J:$J,0,0)),"")</f>
        <v/>
      </c>
      <c r="KK23" s="70"/>
      <c r="KL23" s="94"/>
      <c r="KM23" s="71"/>
      <c r="KN23" s="32"/>
      <c r="KO23" s="72" t="str">
        <f t="array" ref="KO23">IFERROR(IF(XLOOKUP(CONCAT(KM23,KN23),'MASTER PLAN'!$AB:$AB,'MASTER PLAN'!$J:$J,0,0)=0,"",XLOOKUP(CONCAT(KM23,KN23),'MASTER PLAN'!$AB:$AB,'MASTER PLAN'!$J:$J,0,0)),"")</f>
        <v/>
      </c>
      <c r="KP23" s="70"/>
      <c r="KQ23" s="94"/>
      <c r="KR23" s="71"/>
      <c r="KS23" s="32"/>
      <c r="KT23" s="72" t="str">
        <f t="array" ref="KT23">IFERROR(IF(XLOOKUP(CONCAT(KR23,KS23),'MASTER PLAN'!$AB:$AB,'MASTER PLAN'!$J:$J,0,0)=0,"",XLOOKUP(CONCAT(KR23,KS23),'MASTER PLAN'!$AB:$AB,'MASTER PLAN'!$J:$J,0,0)),"")</f>
        <v/>
      </c>
      <c r="KU23" s="70"/>
      <c r="KV23" s="94"/>
      <c r="KW23" s="71"/>
      <c r="KX23" s="32"/>
      <c r="KY23" s="72" t="str">
        <f t="array" ref="KY23">IFERROR(IF(XLOOKUP(CONCAT(KW23,KX23),'MASTER PLAN'!$AB:$AB,'MASTER PLAN'!$J:$J,0,0)=0,"",XLOOKUP(CONCAT(KW23,KX23),'MASTER PLAN'!$AB:$AB,'MASTER PLAN'!$J:$J,0,0)),"")</f>
        <v/>
      </c>
      <c r="KZ23" s="70"/>
      <c r="LA23" s="94"/>
      <c r="LB23" s="70"/>
      <c r="LC23" s="71"/>
      <c r="LD23" s="32"/>
      <c r="LE23" s="72" t="str">
        <f t="array" ref="LE23">IFERROR(IF(XLOOKUP(CONCAT(LC23,LD23),'MASTER PLAN'!$AB:$AB,'MASTER PLAN'!$J:$J,0,0)=0,"",XLOOKUP(CONCAT(LC23,LD23),'MASTER PLAN'!$AB:$AB,'MASTER PLAN'!$J:$J,0,0)),"")</f>
        <v/>
      </c>
      <c r="LF23" s="70"/>
      <c r="LG23" s="94"/>
      <c r="LH23" s="71"/>
      <c r="LI23" s="32"/>
      <c r="LJ23" s="72" t="str">
        <f t="array" ref="LJ23">IFERROR(IF(XLOOKUP(CONCAT(LH23,LI23),'MASTER PLAN'!$AB:$AB,'MASTER PLAN'!$J:$J,0,0)=0,"",XLOOKUP(CONCAT(LH23,LI23),'MASTER PLAN'!$AB:$AB,'MASTER PLAN'!$J:$J,0,0)),"")</f>
        <v/>
      </c>
      <c r="LK23" s="70"/>
      <c r="LL23" s="94"/>
      <c r="LM23" s="71"/>
      <c r="LN23" s="32"/>
      <c r="LO23" s="72" t="str">
        <f t="array" ref="LO23">IFERROR(IF(XLOOKUP(CONCAT(LM23,LN23),'MASTER PLAN'!$AB:$AB,'MASTER PLAN'!$J:$J,0,0)=0,"",XLOOKUP(CONCAT(LM23,LN23),'MASTER PLAN'!$AB:$AB,'MASTER PLAN'!$J:$J,0,0)),"")</f>
        <v/>
      </c>
      <c r="LP23" s="70"/>
      <c r="LQ23" s="94"/>
      <c r="LR23" s="71"/>
      <c r="LS23" s="32"/>
      <c r="LT23" s="72" t="str">
        <f t="array" ref="LT23">IFERROR(IF(XLOOKUP(CONCAT(LR23,LS23),'MASTER PLAN'!$AB:$AB,'MASTER PLAN'!$J:$J,0,0)=0,"",XLOOKUP(CONCAT(LR23,LS23),'MASTER PLAN'!$AB:$AB,'MASTER PLAN'!$J:$J,0,0)),"")</f>
        <v/>
      </c>
      <c r="LU23" s="70"/>
      <c r="LV23" s="94"/>
      <c r="LW23" s="71"/>
      <c r="LX23" s="32"/>
      <c r="LY23" s="72" t="str">
        <f t="array" ref="LY23">IFERROR(IF(XLOOKUP(CONCAT(LW23,LX23),'MASTER PLAN'!$AB:$AB,'MASTER PLAN'!$J:$J,0,0)=0,"",XLOOKUP(CONCAT(LW23,LX23),'MASTER PLAN'!$AB:$AB,'MASTER PLAN'!$J:$J,0,0)),"")</f>
        <v/>
      </c>
      <c r="LZ23" s="70"/>
      <c r="MA23" s="94"/>
      <c r="MB23" s="71"/>
      <c r="MC23" s="32"/>
      <c r="MD23" s="72" t="str">
        <f t="array" ref="MD23">IFERROR(IF(XLOOKUP(CONCAT(MB23,MC23),'MASTER PLAN'!$AB:$AB,'MASTER PLAN'!$J:$J,0,0)=0,"",XLOOKUP(CONCAT(MB23,MC23),'MASTER PLAN'!$AB:$AB,'MASTER PLAN'!$J:$J,0,0)),"")</f>
        <v/>
      </c>
      <c r="ME23" s="70"/>
      <c r="MF23" s="94"/>
      <c r="MG23" s="70"/>
      <c r="MH23" s="71"/>
      <c r="MI23" s="32"/>
      <c r="MJ23" s="72" t="str">
        <f t="array" ref="MJ23">IFERROR(IF(XLOOKUP(CONCAT(MH23,MI23),'MASTER PLAN'!$AB:$AB,'MASTER PLAN'!$J:$J,0,0)=0,"",XLOOKUP(CONCAT(MH23,MI23),'MASTER PLAN'!$AB:$AB,'MASTER PLAN'!$J:$J,0,0)),"")</f>
        <v/>
      </c>
      <c r="MK23" s="70"/>
      <c r="ML23" s="94"/>
      <c r="MM23" s="71"/>
      <c r="MN23" s="32"/>
      <c r="MO23" s="72" t="str">
        <f t="array" ref="MO23">IFERROR(IF(XLOOKUP(CONCAT(MM23,MN23),'MASTER PLAN'!$AB:$AB,'MASTER PLAN'!$J:$J,0,0)=0,"",XLOOKUP(CONCAT(MM23,MN23),'MASTER PLAN'!$AB:$AB,'MASTER PLAN'!$J:$J,0,0)),"")</f>
        <v/>
      </c>
      <c r="MP23" s="70"/>
      <c r="MQ23" s="94"/>
      <c r="MR23" s="71"/>
      <c r="MS23" s="32"/>
      <c r="MT23" s="72" t="str">
        <f t="array" ref="MT23">IFERROR(IF(XLOOKUP(CONCAT(MR23,MS23),'MASTER PLAN'!$AB:$AB,'MASTER PLAN'!$J:$J,0,0)=0,"",XLOOKUP(CONCAT(MR23,MS23),'MASTER PLAN'!$AB:$AB,'MASTER PLAN'!$J:$J,0,0)),"")</f>
        <v/>
      </c>
      <c r="MU23" s="70"/>
      <c r="MV23" s="94"/>
      <c r="MW23" s="71"/>
      <c r="MX23" s="32"/>
      <c r="MY23" s="72" t="str">
        <f t="array" ref="MY23">IFERROR(IF(XLOOKUP(CONCAT(MW23,MX23),'MASTER PLAN'!$AB:$AB,'MASTER PLAN'!$J:$J,0,0)=0,"",XLOOKUP(CONCAT(MW23,MX23),'MASTER PLAN'!$AB:$AB,'MASTER PLAN'!$J:$J,0,0)),"")</f>
        <v/>
      </c>
      <c r="MZ23" s="70"/>
      <c r="NA23" s="94"/>
      <c r="NB23" s="71"/>
      <c r="NC23" s="32"/>
      <c r="ND23" s="72" t="str">
        <f t="array" ref="ND23">IFERROR(IF(XLOOKUP(CONCAT(NB23,NC23),'MASTER PLAN'!$AB:$AB,'MASTER PLAN'!$J:$J,0,0)=0,"",XLOOKUP(CONCAT(NB23,NC23),'MASTER PLAN'!$AB:$AB,'MASTER PLAN'!$J:$J,0,0)),"")</f>
        <v/>
      </c>
      <c r="NE23" s="70"/>
      <c r="NF23" s="94"/>
      <c r="NG23" s="71"/>
      <c r="NH23" s="32"/>
      <c r="NI23" s="72" t="str">
        <f t="array" ref="NI23">IFERROR(IF(XLOOKUP(CONCAT(NG23,NH23),'MASTER PLAN'!$AB:$AB,'MASTER PLAN'!$J:$J,0,0)=0,"",XLOOKUP(CONCAT(NG23,NH23),'MASTER PLAN'!$AB:$AB,'MASTER PLAN'!$J:$J,0,0)),"")</f>
        <v/>
      </c>
      <c r="NJ23" s="70"/>
      <c r="NK23" s="94"/>
      <c r="NL23" s="70"/>
      <c r="NM23" s="71"/>
      <c r="NN23" s="32"/>
      <c r="NO23" s="72" t="str">
        <f t="array" ref="NO23">IFERROR(IF(XLOOKUP(CONCAT(NM23,NN23),'MASTER PLAN'!$AB:$AB,'MASTER PLAN'!$J:$J,0,0)=0,"",XLOOKUP(CONCAT(NM23,NN23),'MASTER PLAN'!$AB:$AB,'MASTER PLAN'!$J:$J,0,0)),"")</f>
        <v/>
      </c>
      <c r="NP23" s="70"/>
      <c r="NQ23" s="94"/>
      <c r="NR23" s="71"/>
      <c r="NS23" s="32"/>
      <c r="NT23" s="72" t="str">
        <f t="array" ref="NT23">IFERROR(IF(XLOOKUP(CONCAT(NR23,NS23),'MASTER PLAN'!$AB:$AB,'MASTER PLAN'!$J:$J,0,0)=0,"",XLOOKUP(CONCAT(NR23,NS23),'MASTER PLAN'!$AB:$AB,'MASTER PLAN'!$J:$J,0,0)),"")</f>
        <v/>
      </c>
      <c r="NU23" s="70"/>
      <c r="NV23" s="94"/>
      <c r="NW23" s="71"/>
      <c r="NX23" s="32"/>
      <c r="NY23" s="72" t="str">
        <f t="array" ref="NY23">IFERROR(IF(XLOOKUP(CONCAT(NW23,NX23),'MASTER PLAN'!$AB:$AB,'MASTER PLAN'!$J:$J,0,0)=0,"",XLOOKUP(CONCAT(NW23,NX23),'MASTER PLAN'!$AB:$AB,'MASTER PLAN'!$J:$J,0,0)),"")</f>
        <v/>
      </c>
      <c r="NZ23" s="70"/>
      <c r="OA23" s="94"/>
      <c r="OB23" s="71"/>
      <c r="OC23" s="32"/>
      <c r="OD23" s="72" t="str">
        <f t="array" ref="OD23">IFERROR(IF(XLOOKUP(CONCAT(OB23,OC23),'MASTER PLAN'!$AB:$AB,'MASTER PLAN'!$J:$J,0,0)=0,"",XLOOKUP(CONCAT(OB23,OC23),'MASTER PLAN'!$AB:$AB,'MASTER PLAN'!$J:$J,0,0)),"")</f>
        <v/>
      </c>
      <c r="OE23" s="70"/>
      <c r="OF23" s="94"/>
      <c r="OG23" s="71"/>
      <c r="OH23" s="32"/>
      <c r="OI23" s="72" t="str">
        <f t="array" ref="OI23">IFERROR(IF(XLOOKUP(CONCAT(OG23,OH23),'MASTER PLAN'!$AB:$AB,'MASTER PLAN'!$J:$J,0,0)=0,"",XLOOKUP(CONCAT(OG23,OH23),'MASTER PLAN'!$AB:$AB,'MASTER PLAN'!$J:$J,0,0)),"")</f>
        <v/>
      </c>
      <c r="OJ23" s="70"/>
      <c r="OK23" s="94"/>
      <c r="OL23" s="71"/>
      <c r="OM23" s="32"/>
      <c r="ON23" s="72" t="str">
        <f t="array" ref="ON23">IFERROR(IF(XLOOKUP(CONCAT(OL23,OM23),'MASTER PLAN'!$AB:$AB,'MASTER PLAN'!$J:$J,0,0)=0,"",XLOOKUP(CONCAT(OL23,OM23),'MASTER PLAN'!$AB:$AB,'MASTER PLAN'!$J:$J,0,0)),"")</f>
        <v/>
      </c>
      <c r="OO23" s="70"/>
      <c r="OP23" s="94"/>
      <c r="OQ23" s="70"/>
      <c r="OR23" s="70"/>
      <c r="OS23" s="70"/>
      <c r="OT23" s="70"/>
      <c r="OU23" s="70"/>
      <c r="OV23" s="70"/>
      <c r="OW23" s="70"/>
      <c r="OX23" s="70"/>
      <c r="OY23" s="70"/>
      <c r="OZ23" s="70"/>
      <c r="PA23" s="70"/>
      <c r="PB23" s="70"/>
      <c r="PC23" s="70"/>
      <c r="PD23" s="70"/>
      <c r="PE23" s="70"/>
      <c r="PF23" s="70"/>
      <c r="PG23" s="70"/>
      <c r="PH23" s="70"/>
      <c r="PI23" s="70"/>
      <c r="PJ23" s="70"/>
    </row>
    <row r="24" ht="15.75" customHeight="1">
      <c r="A24" s="42"/>
      <c r="B24" s="75"/>
      <c r="C24" s="76"/>
      <c r="D24" s="70"/>
      <c r="E24" s="77"/>
      <c r="F24" s="78"/>
      <c r="G24" s="79" t="str">
        <f t="array" ref="G24">IFERROR(IF(XLOOKUP(CONCAT(E24,F24),'MASTER PLAN'!$AB:$AB,'MASTER PLAN'!$J:$J,0,0)=0,"",XLOOKUP(CONCAT(E24,F24),'MASTER PLAN'!$AB:$AB,'MASTER PLAN'!$J:$J,0,0)),"")</f>
        <v/>
      </c>
      <c r="H24" s="98"/>
      <c r="I24" s="99"/>
      <c r="J24" s="77"/>
      <c r="K24" s="78"/>
      <c r="L24" s="79" t="str">
        <f t="array" ref="L24">IFERROR(IF(XLOOKUP(CONCAT(J24,K24),'MASTER PLAN'!$AB:$AB,'MASTER PLAN'!$J:$J,0,0)=0,"",XLOOKUP(CONCAT(J24,K24),'MASTER PLAN'!$AB:$AB,'MASTER PLAN'!$J:$J,0,0)),"")</f>
        <v/>
      </c>
      <c r="M24" s="98"/>
      <c r="N24" s="99"/>
      <c r="O24" s="77"/>
      <c r="P24" s="78"/>
      <c r="Q24" s="79" t="str">
        <f t="array" ref="Q24">IFERROR(IF(XLOOKUP(CONCAT(O24,P24),'MASTER PLAN'!$AB:$AB,'MASTER PLAN'!$J:$J,0,0)=0,"",XLOOKUP(CONCAT(O24,P24),'MASTER PLAN'!$AB:$AB,'MASTER PLAN'!$J:$J,0,0)),"")</f>
        <v/>
      </c>
      <c r="R24" s="98"/>
      <c r="S24" s="99"/>
      <c r="T24" s="77"/>
      <c r="U24" s="78"/>
      <c r="V24" s="79" t="str">
        <f t="array" ref="V24">IFERROR(IF(XLOOKUP(CONCAT(T24,U24),'MASTER PLAN'!$AB:$AB,'MASTER PLAN'!$J:$J,0,0)=0,"",XLOOKUP(CONCAT(T24,U24),'MASTER PLAN'!$AB:$AB,'MASTER PLAN'!$J:$J,0,0)),"")</f>
        <v/>
      </c>
      <c r="W24" s="98"/>
      <c r="X24" s="99"/>
      <c r="Y24" s="77"/>
      <c r="Z24" s="78"/>
      <c r="AA24" s="79" t="str">
        <f t="array" ref="AA24">IFERROR(IF(XLOOKUP(CONCAT(Y24,Z24),'MASTER PLAN'!$AB:$AB,'MASTER PLAN'!$J:$J,0,0)=0,"",XLOOKUP(CONCAT(Y24,Z24),'MASTER PLAN'!$AB:$AB,'MASTER PLAN'!$J:$J,0,0)),"")</f>
        <v/>
      </c>
      <c r="AB24" s="98"/>
      <c r="AC24" s="99"/>
      <c r="AD24" s="77"/>
      <c r="AE24" s="78"/>
      <c r="AF24" s="79" t="str">
        <f t="array" ref="AF24">IFERROR(IF(XLOOKUP(CONCAT(AD24,AE24),'MASTER PLAN'!$AB:$AB,'MASTER PLAN'!$J:$J,0,0)=0,"",XLOOKUP(CONCAT(AD24,AE24),'MASTER PLAN'!$AB:$AB,'MASTER PLAN'!$J:$J,0,0)),"")</f>
        <v/>
      </c>
      <c r="AG24" s="98"/>
      <c r="AH24" s="99"/>
      <c r="AI24" s="70"/>
      <c r="AJ24" s="77"/>
      <c r="AK24" s="78"/>
      <c r="AL24" s="79" t="str">
        <f t="array" ref="AL24">IFERROR(IF(XLOOKUP(CONCAT(AJ24,AK24),'MASTER PLAN'!$AB:$AB,'MASTER PLAN'!$J:$J,0,0)=0,"",XLOOKUP(CONCAT(AJ24,AK24),'MASTER PLAN'!$AB:$AB,'MASTER PLAN'!$J:$J,0,0)),"")</f>
        <v/>
      </c>
      <c r="AM24" s="98"/>
      <c r="AN24" s="99"/>
      <c r="AO24" s="77"/>
      <c r="AP24" s="78"/>
      <c r="AQ24" s="79" t="str">
        <f t="array" ref="AQ24">IFERROR(IF(XLOOKUP(CONCAT(AO24,AP24),'MASTER PLAN'!$AB:$AB,'MASTER PLAN'!$J:$J,0,0)=0,"",XLOOKUP(CONCAT(AO24,AP24),'MASTER PLAN'!$AB:$AB,'MASTER PLAN'!$J:$J,0,0)),"")</f>
        <v/>
      </c>
      <c r="AR24" s="98"/>
      <c r="AS24" s="99"/>
      <c r="AT24" s="77"/>
      <c r="AU24" s="78"/>
      <c r="AV24" s="79" t="str">
        <f t="array" ref="AV24">IFERROR(IF(XLOOKUP(CONCAT(AT24,AU24),'MASTER PLAN'!$AB:$AB,'MASTER PLAN'!$J:$J,0,0)=0,"",XLOOKUP(CONCAT(AT24,AU24),'MASTER PLAN'!$AB:$AB,'MASTER PLAN'!$J:$J,0,0)),"")</f>
        <v/>
      </c>
      <c r="AW24" s="98"/>
      <c r="AX24" s="99"/>
      <c r="AY24" s="77"/>
      <c r="AZ24" s="78"/>
      <c r="BA24" s="79" t="str">
        <f t="array" ref="BA24">IFERROR(IF(XLOOKUP(CONCAT(AY24,AZ24),'MASTER PLAN'!$AB:$AB,'MASTER PLAN'!$J:$J,0,0)=0,"",XLOOKUP(CONCAT(AY24,AZ24),'MASTER PLAN'!$AB:$AB,'MASTER PLAN'!$J:$J,0,0)),"")</f>
        <v/>
      </c>
      <c r="BB24" s="98"/>
      <c r="BC24" s="99"/>
      <c r="BD24" s="77"/>
      <c r="BE24" s="78"/>
      <c r="BF24" s="79" t="str">
        <f t="array" ref="BF24">IFERROR(IF(XLOOKUP(CONCAT(BD24,BE24),'MASTER PLAN'!$AB:$AB,'MASTER PLAN'!$J:$J,0,0)=0,"",XLOOKUP(CONCAT(BD24,BE24),'MASTER PLAN'!$AB:$AB,'MASTER PLAN'!$J:$J,0,0)),"")</f>
        <v/>
      </c>
      <c r="BG24" s="98"/>
      <c r="BH24" s="99"/>
      <c r="BI24" s="77"/>
      <c r="BJ24" s="78"/>
      <c r="BK24" s="79" t="str">
        <f t="array" ref="BK24">IFERROR(IF(XLOOKUP(CONCAT(BI24,BJ24),'MASTER PLAN'!$AB:$AB,'MASTER PLAN'!$J:$J,0,0)=0,"",XLOOKUP(CONCAT(BI24,BJ24),'MASTER PLAN'!$AB:$AB,'MASTER PLAN'!$J:$J,0,0)),"")</f>
        <v/>
      </c>
      <c r="BL24" s="98"/>
      <c r="BM24" s="99"/>
      <c r="BN24" s="70"/>
      <c r="BO24" s="77"/>
      <c r="BP24" s="78"/>
      <c r="BQ24" s="79" t="str">
        <f t="array" ref="BQ24">IFERROR(IF(XLOOKUP(CONCAT(BO24,BP24),'MASTER PLAN'!$AB:$AB,'MASTER PLAN'!$J:$J,0,0)=0,"",XLOOKUP(CONCAT(BO24,BP24),'MASTER PLAN'!$AB:$AB,'MASTER PLAN'!$J:$J,0,0)),"")</f>
        <v/>
      </c>
      <c r="BR24" s="98"/>
      <c r="BS24" s="99"/>
      <c r="BT24" s="77"/>
      <c r="BU24" s="78"/>
      <c r="BV24" s="79" t="str">
        <f t="array" ref="BV24">IFERROR(IF(XLOOKUP(CONCAT(BT24,BU24),'MASTER PLAN'!$AB:$AB,'MASTER PLAN'!$J:$J,0,0)=0,"",XLOOKUP(CONCAT(BT24,BU24),'MASTER PLAN'!$AB:$AB,'MASTER PLAN'!$J:$J,0,0)),"")</f>
        <v/>
      </c>
      <c r="BW24" s="98"/>
      <c r="BX24" s="99"/>
      <c r="BY24" s="77"/>
      <c r="BZ24" s="78"/>
      <c r="CA24" s="79" t="str">
        <f t="array" ref="CA24">IFERROR(IF(XLOOKUP(CONCAT(BY24,BZ24),'MASTER PLAN'!$AB:$AB,'MASTER PLAN'!$J:$J,0,0)=0,"",XLOOKUP(CONCAT(BY24,BZ24),'MASTER PLAN'!$AB:$AB,'MASTER PLAN'!$J:$J,0,0)),"")</f>
        <v/>
      </c>
      <c r="CB24" s="98"/>
      <c r="CC24" s="99"/>
      <c r="CD24" s="77"/>
      <c r="CE24" s="78"/>
      <c r="CF24" s="79" t="str">
        <f t="array" ref="CF24">IFERROR(IF(XLOOKUP(CONCAT(CD24,CE24),'MASTER PLAN'!$AB:$AB,'MASTER PLAN'!$J:$J,0,0)=0,"",XLOOKUP(CONCAT(CD24,CE24),'MASTER PLAN'!$AB:$AB,'MASTER PLAN'!$J:$J,0,0)),"")</f>
        <v/>
      </c>
      <c r="CG24" s="98"/>
      <c r="CH24" s="99"/>
      <c r="CI24" s="77"/>
      <c r="CJ24" s="78"/>
      <c r="CK24" s="79" t="str">
        <f t="array" ref="CK24">IFERROR(IF(XLOOKUP(CONCAT(CI24,CJ24),'MASTER PLAN'!$AB:$AB,'MASTER PLAN'!$J:$J,0,0)=0,"",XLOOKUP(CONCAT(CI24,CJ24),'MASTER PLAN'!$AB:$AB,'MASTER PLAN'!$J:$J,0,0)),"")</f>
        <v/>
      </c>
      <c r="CL24" s="98"/>
      <c r="CM24" s="99"/>
      <c r="CN24" s="77"/>
      <c r="CO24" s="78"/>
      <c r="CP24" s="79" t="str">
        <f t="array" ref="CP24">IFERROR(IF(XLOOKUP(CONCAT(CN24,CO24),'MASTER PLAN'!$AB:$AB,'MASTER PLAN'!$J:$J,0,0)=0,"",XLOOKUP(CONCAT(CN24,CO24),'MASTER PLAN'!$AB:$AB,'MASTER PLAN'!$J:$J,0,0)),"")</f>
        <v/>
      </c>
      <c r="CQ24" s="98"/>
      <c r="CR24" s="99"/>
      <c r="CS24" s="70"/>
      <c r="CT24" s="77"/>
      <c r="CU24" s="78"/>
      <c r="CV24" s="79" t="str">
        <f t="array" ref="CV24">IFERROR(IF(XLOOKUP(CONCAT(CT24,CU24),'MASTER PLAN'!$AB:$AB,'MASTER PLAN'!$J:$J,0,0)=0,"",XLOOKUP(CONCAT(CT24,CU24),'MASTER PLAN'!$AB:$AB,'MASTER PLAN'!$J:$J,0,0)),"")</f>
        <v/>
      </c>
      <c r="CW24" s="98"/>
      <c r="CX24" s="99"/>
      <c r="CY24" s="77"/>
      <c r="CZ24" s="78"/>
      <c r="DA24" s="79" t="str">
        <f t="array" ref="DA24">IFERROR(IF(XLOOKUP(CONCAT(CY24,CZ24),'MASTER PLAN'!$AB:$AB,'MASTER PLAN'!$J:$J,0,0)=0,"",XLOOKUP(CONCAT(CY24,CZ24),'MASTER PLAN'!$AB:$AB,'MASTER PLAN'!$J:$J,0,0)),"")</f>
        <v/>
      </c>
      <c r="DB24" s="98"/>
      <c r="DC24" s="99"/>
      <c r="DD24" s="77"/>
      <c r="DE24" s="78"/>
      <c r="DF24" s="79" t="str">
        <f t="array" ref="DF24">IFERROR(IF(XLOOKUP(CONCAT(DD24,DE24),'MASTER PLAN'!$AB:$AB,'MASTER PLAN'!$J:$J,0,0)=0,"",XLOOKUP(CONCAT(DD24,DE24),'MASTER PLAN'!$AB:$AB,'MASTER PLAN'!$J:$J,0,0)),"")</f>
        <v/>
      </c>
      <c r="DG24" s="98"/>
      <c r="DH24" s="99"/>
      <c r="DI24" s="77"/>
      <c r="DJ24" s="78"/>
      <c r="DK24" s="79" t="str">
        <f t="array" ref="DK24">IFERROR(IF(XLOOKUP(CONCAT(DI24,DJ24),'MASTER PLAN'!$AB:$AB,'MASTER PLAN'!$J:$J,0,0)=0,"",XLOOKUP(CONCAT(DI24,DJ24),'MASTER PLAN'!$AB:$AB,'MASTER PLAN'!$J:$J,0,0)),"")</f>
        <v/>
      </c>
      <c r="DL24" s="98"/>
      <c r="DM24" s="99"/>
      <c r="DN24" s="77"/>
      <c r="DO24" s="78"/>
      <c r="DP24" s="79" t="str">
        <f t="array" ref="DP24">IFERROR(IF(XLOOKUP(CONCAT(DN24,DO24),'MASTER PLAN'!$AB:$AB,'MASTER PLAN'!$J:$J,0,0)=0,"",XLOOKUP(CONCAT(DN24,DO24),'MASTER PLAN'!$AB:$AB,'MASTER PLAN'!$J:$J,0,0)),"")</f>
        <v/>
      </c>
      <c r="DQ24" s="98"/>
      <c r="DR24" s="99"/>
      <c r="DS24" s="77"/>
      <c r="DT24" s="78"/>
      <c r="DU24" s="79" t="str">
        <f t="array" ref="DU24">IFERROR(IF(XLOOKUP(CONCAT(DS24,DT24),'MASTER PLAN'!$AB:$AB,'MASTER PLAN'!$J:$J,0,0)=0,"",XLOOKUP(CONCAT(DS24,DT24),'MASTER PLAN'!$AB:$AB,'MASTER PLAN'!$J:$J,0,0)),"")</f>
        <v/>
      </c>
      <c r="DV24" s="98"/>
      <c r="DW24" s="99"/>
      <c r="DX24" s="70"/>
      <c r="DY24" s="77"/>
      <c r="DZ24" s="78"/>
      <c r="EA24" s="79" t="str">
        <f t="array" ref="EA24">IFERROR(IF(XLOOKUP(CONCAT(DY24,DZ24),'MASTER PLAN'!$AB:$AB,'MASTER PLAN'!$J:$J,0,0)=0,"",XLOOKUP(CONCAT(DY24,DZ24),'MASTER PLAN'!$AB:$AB,'MASTER PLAN'!$J:$J,0,0)),"")</f>
        <v/>
      </c>
      <c r="EB24" s="98"/>
      <c r="EC24" s="99"/>
      <c r="ED24" s="77"/>
      <c r="EE24" s="78"/>
      <c r="EF24" s="79" t="str">
        <f t="array" ref="EF24">IFERROR(IF(XLOOKUP(CONCAT(ED24,EE24),'MASTER PLAN'!$AB:$AB,'MASTER PLAN'!$J:$J,0,0)=0,"",XLOOKUP(CONCAT(ED24,EE24),'MASTER PLAN'!$AB:$AB,'MASTER PLAN'!$J:$J,0,0)),"")</f>
        <v/>
      </c>
      <c r="EG24" s="98"/>
      <c r="EH24" s="99"/>
      <c r="EI24" s="77"/>
      <c r="EJ24" s="78"/>
      <c r="EK24" s="79" t="str">
        <f t="array" ref="EK24">IFERROR(IF(XLOOKUP(CONCAT(EI24,EJ24),'MASTER PLAN'!$AB:$AB,'MASTER PLAN'!$J:$J,0,0)=0,"",XLOOKUP(CONCAT(EI24,EJ24),'MASTER PLAN'!$AB:$AB,'MASTER PLAN'!$J:$J,0,0)),"")</f>
        <v/>
      </c>
      <c r="EL24" s="98"/>
      <c r="EM24" s="99"/>
      <c r="EN24" s="77"/>
      <c r="EO24" s="78"/>
      <c r="EP24" s="79" t="str">
        <f t="array" ref="EP24">IFERROR(IF(XLOOKUP(CONCAT(EN24,EO24),'MASTER PLAN'!$AB:$AB,'MASTER PLAN'!$J:$J,0,0)=0,"",XLOOKUP(CONCAT(EN24,EO24),'MASTER PLAN'!$AB:$AB,'MASTER PLAN'!$J:$J,0,0)),"")</f>
        <v/>
      </c>
      <c r="EQ24" s="98"/>
      <c r="ER24" s="99"/>
      <c r="ES24" s="77"/>
      <c r="ET24" s="78"/>
      <c r="EU24" s="79" t="str">
        <f t="array" ref="EU24">IFERROR(IF(XLOOKUP(CONCAT(ES24,ET24),'MASTER PLAN'!$AB:$AB,'MASTER PLAN'!$J:$J,0,0)=0,"",XLOOKUP(CONCAT(ES24,ET24),'MASTER PLAN'!$AB:$AB,'MASTER PLAN'!$J:$J,0,0)),"")</f>
        <v/>
      </c>
      <c r="EV24" s="98"/>
      <c r="EW24" s="99"/>
      <c r="EX24" s="77"/>
      <c r="EY24" s="78"/>
      <c r="EZ24" s="79" t="str">
        <f t="array" ref="EZ24">IFERROR(IF(XLOOKUP(CONCAT(EX24,EY24),'MASTER PLAN'!$AB:$AB,'MASTER PLAN'!$J:$J,0,0)=0,"",XLOOKUP(CONCAT(EX24,EY24),'MASTER PLAN'!$AB:$AB,'MASTER PLAN'!$J:$J,0,0)),"")</f>
        <v/>
      </c>
      <c r="FA24" s="98"/>
      <c r="FB24" s="99"/>
      <c r="FC24" s="70"/>
      <c r="FD24" s="77"/>
      <c r="FE24" s="78"/>
      <c r="FF24" s="79" t="str">
        <f t="array" ref="FF24">IFERROR(IF(XLOOKUP(CONCAT(FD24,FE24),'MASTER PLAN'!$AB:$AB,'MASTER PLAN'!$J:$J,0,0)=0,"",XLOOKUP(CONCAT(FD24,FE24),'MASTER PLAN'!$AB:$AB,'MASTER PLAN'!$J:$J,0,0)),"")</f>
        <v/>
      </c>
      <c r="FG24" s="98"/>
      <c r="FH24" s="99"/>
      <c r="FI24" s="77"/>
      <c r="FJ24" s="78"/>
      <c r="FK24" s="79" t="str">
        <f t="array" ref="FK24">IFERROR(IF(XLOOKUP(CONCAT(FI24,FJ24),'MASTER PLAN'!$AB:$AB,'MASTER PLAN'!$J:$J,0,0)=0,"",XLOOKUP(CONCAT(FI24,FJ24),'MASTER PLAN'!$AB:$AB,'MASTER PLAN'!$J:$J,0,0)),"")</f>
        <v/>
      </c>
      <c r="FL24" s="98"/>
      <c r="FM24" s="99"/>
      <c r="FN24" s="77"/>
      <c r="FO24" s="78"/>
      <c r="FP24" s="79" t="str">
        <f t="array" ref="FP24">IFERROR(IF(XLOOKUP(CONCAT(FN24,FO24),'MASTER PLAN'!$AB:$AB,'MASTER PLAN'!$J:$J,0,0)=0,"",XLOOKUP(CONCAT(FN24,FO24),'MASTER PLAN'!$AB:$AB,'MASTER PLAN'!$J:$J,0,0)),"")</f>
        <v/>
      </c>
      <c r="FQ24" s="98"/>
      <c r="FR24" s="99"/>
      <c r="FS24" s="77"/>
      <c r="FT24" s="78"/>
      <c r="FU24" s="79" t="str">
        <f t="array" ref="FU24">IFERROR(IF(XLOOKUP(CONCAT(FS24,FT24),'MASTER PLAN'!$AB:$AB,'MASTER PLAN'!$J:$J,0,0)=0,"",XLOOKUP(CONCAT(FS24,FT24),'MASTER PLAN'!$AB:$AB,'MASTER PLAN'!$J:$J,0,0)),"")</f>
        <v/>
      </c>
      <c r="FV24" s="98"/>
      <c r="FW24" s="99"/>
      <c r="FX24" s="77"/>
      <c r="FY24" s="78"/>
      <c r="FZ24" s="79" t="str">
        <f t="array" ref="FZ24">IFERROR(IF(XLOOKUP(CONCAT(FX24,FY24),'MASTER PLAN'!$AB:$AB,'MASTER PLAN'!$J:$J,0,0)=0,"",XLOOKUP(CONCAT(FX24,FY24),'MASTER PLAN'!$AB:$AB,'MASTER PLAN'!$J:$J,0,0)),"")</f>
        <v/>
      </c>
      <c r="GA24" s="98"/>
      <c r="GB24" s="99"/>
      <c r="GC24" s="77"/>
      <c r="GD24" s="78"/>
      <c r="GE24" s="79" t="str">
        <f t="array" ref="GE24">IFERROR(IF(XLOOKUP(CONCAT(GC24,GD24),'MASTER PLAN'!$AB:$AB,'MASTER PLAN'!$J:$J,0,0)=0,"",XLOOKUP(CONCAT(GC24,GD24),'MASTER PLAN'!$AB:$AB,'MASTER PLAN'!$J:$J,0,0)),"")</f>
        <v/>
      </c>
      <c r="GF24" s="98"/>
      <c r="GG24" s="99"/>
      <c r="GH24" s="70"/>
      <c r="GI24" s="77"/>
      <c r="GJ24" s="78"/>
      <c r="GK24" s="79" t="str">
        <f t="array" ref="GK24">IFERROR(IF(XLOOKUP(CONCAT(GI24,GJ24),'MASTER PLAN'!$AB:$AB,'MASTER PLAN'!$J:$J,0,0)=0,"",XLOOKUP(CONCAT(GI24,GJ24),'MASTER PLAN'!$AB:$AB,'MASTER PLAN'!$J:$J,0,0)),"")</f>
        <v/>
      </c>
      <c r="GL24" s="98"/>
      <c r="GM24" s="99"/>
      <c r="GN24" s="77"/>
      <c r="GO24" s="78"/>
      <c r="GP24" s="79" t="str">
        <f t="array" ref="GP24">IFERROR(IF(XLOOKUP(CONCAT(GN24,GO24),'MASTER PLAN'!$AB:$AB,'MASTER PLAN'!$J:$J,0,0)=0,"",XLOOKUP(CONCAT(GN24,GO24),'MASTER PLAN'!$AB:$AB,'MASTER PLAN'!$J:$J,0,0)),"")</f>
        <v/>
      </c>
      <c r="GQ24" s="98"/>
      <c r="GR24" s="99"/>
      <c r="GS24" s="77"/>
      <c r="GT24" s="78"/>
      <c r="GU24" s="79" t="str">
        <f t="array" ref="GU24">IFERROR(IF(XLOOKUP(CONCAT(GS24,GT24),'MASTER PLAN'!$AB:$AB,'MASTER PLAN'!$J:$J,0,0)=0,"",XLOOKUP(CONCAT(GS24,GT24),'MASTER PLAN'!$AB:$AB,'MASTER PLAN'!$J:$J,0,0)),"")</f>
        <v/>
      </c>
      <c r="GV24" s="98"/>
      <c r="GW24" s="99"/>
      <c r="GX24" s="77"/>
      <c r="GY24" s="78"/>
      <c r="GZ24" s="79" t="str">
        <f t="array" ref="GZ24">IFERROR(IF(XLOOKUP(CONCAT(GX24,GY24),'MASTER PLAN'!$AB:$AB,'MASTER PLAN'!$J:$J,0,0)=0,"",XLOOKUP(CONCAT(GX24,GY24),'MASTER PLAN'!$AB:$AB,'MASTER PLAN'!$J:$J,0,0)),"")</f>
        <v/>
      </c>
      <c r="HA24" s="98"/>
      <c r="HB24" s="99"/>
      <c r="HC24" s="77"/>
      <c r="HD24" s="78"/>
      <c r="HE24" s="79" t="str">
        <f t="array" ref="HE24">IFERROR(IF(XLOOKUP(CONCAT(HC24,HD24),'MASTER PLAN'!$AB:$AB,'MASTER PLAN'!$J:$J,0,0)=0,"",XLOOKUP(CONCAT(HC24,HD24),'MASTER PLAN'!$AB:$AB,'MASTER PLAN'!$J:$J,0,0)),"")</f>
        <v/>
      </c>
      <c r="HF24" s="98"/>
      <c r="HG24" s="99"/>
      <c r="HH24" s="77"/>
      <c r="HI24" s="78"/>
      <c r="HJ24" s="79" t="str">
        <f t="array" ref="HJ24">IFERROR(IF(XLOOKUP(CONCAT(HH24,HI24),'MASTER PLAN'!$AB:$AB,'MASTER PLAN'!$J:$J,0,0)=0,"",XLOOKUP(CONCAT(HH24,HI24),'MASTER PLAN'!$AB:$AB,'MASTER PLAN'!$J:$J,0,0)),"")</f>
        <v/>
      </c>
      <c r="HK24" s="98"/>
      <c r="HL24" s="99"/>
      <c r="HM24" s="70"/>
      <c r="HN24" s="77"/>
      <c r="HO24" s="78"/>
      <c r="HP24" s="79" t="str">
        <f t="array" ref="HP24">IFERROR(IF(XLOOKUP(CONCAT(HN24,HO24),'MASTER PLAN'!$AB:$AB,'MASTER PLAN'!$J:$J,0,0)=0,"",XLOOKUP(CONCAT(HN24,HO24),'MASTER PLAN'!$AB:$AB,'MASTER PLAN'!$J:$J,0,0)),"")</f>
        <v/>
      </c>
      <c r="HQ24" s="98"/>
      <c r="HR24" s="99"/>
      <c r="HS24" s="77"/>
      <c r="HT24" s="78"/>
      <c r="HU24" s="79" t="str">
        <f t="array" ref="HU24">IFERROR(IF(XLOOKUP(CONCAT(HS24,HT24),'MASTER PLAN'!$AB:$AB,'MASTER PLAN'!$J:$J,0,0)=0,"",XLOOKUP(CONCAT(HS24,HT24),'MASTER PLAN'!$AB:$AB,'MASTER PLAN'!$J:$J,0,0)),"")</f>
        <v/>
      </c>
      <c r="HV24" s="98"/>
      <c r="HW24" s="99"/>
      <c r="HX24" s="77"/>
      <c r="HY24" s="78"/>
      <c r="HZ24" s="79" t="str">
        <f t="array" ref="HZ24">IFERROR(IF(XLOOKUP(CONCAT(HX24,HY24),'MASTER PLAN'!$AB:$AB,'MASTER PLAN'!$J:$J,0,0)=0,"",XLOOKUP(CONCAT(HX24,HY24),'MASTER PLAN'!$AB:$AB,'MASTER PLAN'!$J:$J,0,0)),"")</f>
        <v/>
      </c>
      <c r="IA24" s="98"/>
      <c r="IB24" s="99"/>
      <c r="IC24" s="77"/>
      <c r="ID24" s="78"/>
      <c r="IE24" s="79" t="str">
        <f t="array" ref="IE24">IFERROR(IF(XLOOKUP(CONCAT(IC24,ID24),'MASTER PLAN'!$AB:$AB,'MASTER PLAN'!$J:$J,0,0)=0,"",XLOOKUP(CONCAT(IC24,ID24),'MASTER PLAN'!$AB:$AB,'MASTER PLAN'!$J:$J,0,0)),"")</f>
        <v/>
      </c>
      <c r="IF24" s="98"/>
      <c r="IG24" s="99"/>
      <c r="IH24" s="77"/>
      <c r="II24" s="78"/>
      <c r="IJ24" s="79" t="str">
        <f t="array" ref="IJ24">IFERROR(IF(XLOOKUP(CONCAT(IH24,II24),'MASTER PLAN'!$AB:$AB,'MASTER PLAN'!$J:$J,0,0)=0,"",XLOOKUP(CONCAT(IH24,II24),'MASTER PLAN'!$AB:$AB,'MASTER PLAN'!$J:$J,0,0)),"")</f>
        <v/>
      </c>
      <c r="IK24" s="98"/>
      <c r="IL24" s="99"/>
      <c r="IM24" s="77"/>
      <c r="IN24" s="78"/>
      <c r="IO24" s="79" t="str">
        <f t="array" ref="IO24">IFERROR(IF(XLOOKUP(CONCAT(IM24,IN24),'MASTER PLAN'!$AB:$AB,'MASTER PLAN'!$J:$J,0,0)=0,"",XLOOKUP(CONCAT(IM24,IN24),'MASTER PLAN'!$AB:$AB,'MASTER PLAN'!$J:$J,0,0)),"")</f>
        <v/>
      </c>
      <c r="IP24" s="98"/>
      <c r="IQ24" s="99"/>
      <c r="IR24" s="70"/>
      <c r="IS24" s="77"/>
      <c r="IT24" s="78"/>
      <c r="IU24" s="79" t="str">
        <f t="array" ref="IU24">IFERROR(IF(XLOOKUP(CONCAT(IS24,IT24),'MASTER PLAN'!$AB:$AB,'MASTER PLAN'!$J:$J,0,0)=0,"",XLOOKUP(CONCAT(IS24,IT24),'MASTER PLAN'!$AB:$AB,'MASTER PLAN'!$J:$J,0,0)),"")</f>
        <v/>
      </c>
      <c r="IV24" s="98"/>
      <c r="IW24" s="99"/>
      <c r="IX24" s="77"/>
      <c r="IY24" s="78"/>
      <c r="IZ24" s="79" t="str">
        <f t="array" ref="IZ24">IFERROR(IF(XLOOKUP(CONCAT(IX24,IY24),'MASTER PLAN'!$AB:$AB,'MASTER PLAN'!$J:$J,0,0)=0,"",XLOOKUP(CONCAT(IX24,IY24),'MASTER PLAN'!$AB:$AB,'MASTER PLAN'!$J:$J,0,0)),"")</f>
        <v/>
      </c>
      <c r="JA24" s="98"/>
      <c r="JB24" s="99"/>
      <c r="JC24" s="77"/>
      <c r="JD24" s="78"/>
      <c r="JE24" s="79" t="str">
        <f t="array" ref="JE24">IFERROR(IF(XLOOKUP(CONCAT(JC24,JD24),'MASTER PLAN'!$AB:$AB,'MASTER PLAN'!$J:$J,0,0)=0,"",XLOOKUP(CONCAT(JC24,JD24),'MASTER PLAN'!$AB:$AB,'MASTER PLAN'!$J:$J,0,0)),"")</f>
        <v/>
      </c>
      <c r="JF24" s="98"/>
      <c r="JG24" s="99"/>
      <c r="JH24" s="77"/>
      <c r="JI24" s="78"/>
      <c r="JJ24" s="79" t="str">
        <f t="array" ref="JJ24">IFERROR(IF(XLOOKUP(CONCAT(JH24,JI24),'MASTER PLAN'!$AB:$AB,'MASTER PLAN'!$J:$J,0,0)=0,"",XLOOKUP(CONCAT(JH24,JI24),'MASTER PLAN'!$AB:$AB,'MASTER PLAN'!$J:$J,0,0)),"")</f>
        <v/>
      </c>
      <c r="JK24" s="98"/>
      <c r="JL24" s="99"/>
      <c r="JM24" s="77"/>
      <c r="JN24" s="78"/>
      <c r="JO24" s="79" t="str">
        <f t="array" ref="JO24">IFERROR(IF(XLOOKUP(CONCAT(JM24,JN24),'MASTER PLAN'!$AB:$AB,'MASTER PLAN'!$J:$J,0,0)=0,"",XLOOKUP(CONCAT(JM24,JN24),'MASTER PLAN'!$AB:$AB,'MASTER PLAN'!$J:$J,0,0)),"")</f>
        <v/>
      </c>
      <c r="JP24" s="98"/>
      <c r="JQ24" s="99"/>
      <c r="JR24" s="77"/>
      <c r="JS24" s="78"/>
      <c r="JT24" s="79" t="str">
        <f t="array" ref="JT24">IFERROR(IF(XLOOKUP(CONCAT(JR24,JS24),'MASTER PLAN'!$AB:$AB,'MASTER PLAN'!$J:$J,0,0)=0,"",XLOOKUP(CONCAT(JR24,JS24),'MASTER PLAN'!$AB:$AB,'MASTER PLAN'!$J:$J,0,0)),"")</f>
        <v/>
      </c>
      <c r="JU24" s="98"/>
      <c r="JV24" s="99"/>
      <c r="JW24" s="70"/>
      <c r="JX24" s="77"/>
      <c r="JY24" s="78"/>
      <c r="JZ24" s="79" t="str">
        <f t="array" ref="JZ24">IFERROR(IF(XLOOKUP(CONCAT(JX24,JY24),'MASTER PLAN'!$AB:$AB,'MASTER PLAN'!$J:$J,0,0)=0,"",XLOOKUP(CONCAT(JX24,JY24),'MASTER PLAN'!$AB:$AB,'MASTER PLAN'!$J:$J,0,0)),"")</f>
        <v/>
      </c>
      <c r="KA24" s="98"/>
      <c r="KB24" s="99"/>
      <c r="KC24" s="77"/>
      <c r="KD24" s="78"/>
      <c r="KE24" s="79" t="str">
        <f t="array" ref="KE24">IFERROR(IF(XLOOKUP(CONCAT(KC24,KD24),'MASTER PLAN'!$AB:$AB,'MASTER PLAN'!$J:$J,0,0)=0,"",XLOOKUP(CONCAT(KC24,KD24),'MASTER PLAN'!$AB:$AB,'MASTER PLAN'!$J:$J,0,0)),"")</f>
        <v/>
      </c>
      <c r="KF24" s="98"/>
      <c r="KG24" s="99"/>
      <c r="KH24" s="77"/>
      <c r="KI24" s="78"/>
      <c r="KJ24" s="79" t="str">
        <f t="array" ref="KJ24">IFERROR(IF(XLOOKUP(CONCAT(KH24,KI24),'MASTER PLAN'!$AB:$AB,'MASTER PLAN'!$J:$J,0,0)=0,"",XLOOKUP(CONCAT(KH24,KI24),'MASTER PLAN'!$AB:$AB,'MASTER PLAN'!$J:$J,0,0)),"")</f>
        <v/>
      </c>
      <c r="KK24" s="98"/>
      <c r="KL24" s="99"/>
      <c r="KM24" s="77"/>
      <c r="KN24" s="78"/>
      <c r="KO24" s="79" t="str">
        <f t="array" ref="KO24">IFERROR(IF(XLOOKUP(CONCAT(KM24,KN24),'MASTER PLAN'!$AB:$AB,'MASTER PLAN'!$J:$J,0,0)=0,"",XLOOKUP(CONCAT(KM24,KN24),'MASTER PLAN'!$AB:$AB,'MASTER PLAN'!$J:$J,0,0)),"")</f>
        <v/>
      </c>
      <c r="KP24" s="98"/>
      <c r="KQ24" s="99"/>
      <c r="KR24" s="77"/>
      <c r="KS24" s="78"/>
      <c r="KT24" s="79" t="str">
        <f t="array" ref="KT24">IFERROR(IF(XLOOKUP(CONCAT(KR24,KS24),'MASTER PLAN'!$AB:$AB,'MASTER PLAN'!$J:$J,0,0)=0,"",XLOOKUP(CONCAT(KR24,KS24),'MASTER PLAN'!$AB:$AB,'MASTER PLAN'!$J:$J,0,0)),"")</f>
        <v/>
      </c>
      <c r="KU24" s="98"/>
      <c r="KV24" s="99"/>
      <c r="KW24" s="77"/>
      <c r="KX24" s="78"/>
      <c r="KY24" s="79" t="str">
        <f t="array" ref="KY24">IFERROR(IF(XLOOKUP(CONCAT(KW24,KX24),'MASTER PLAN'!$AB:$AB,'MASTER PLAN'!$J:$J,0,0)=0,"",XLOOKUP(CONCAT(KW24,KX24),'MASTER PLAN'!$AB:$AB,'MASTER PLAN'!$J:$J,0,0)),"")</f>
        <v/>
      </c>
      <c r="KZ24" s="98"/>
      <c r="LA24" s="99"/>
      <c r="LB24" s="70"/>
      <c r="LC24" s="77"/>
      <c r="LD24" s="78"/>
      <c r="LE24" s="79" t="str">
        <f t="array" ref="LE24">IFERROR(IF(XLOOKUP(CONCAT(LC24,LD24),'MASTER PLAN'!$AB:$AB,'MASTER PLAN'!$J:$J,0,0)=0,"",XLOOKUP(CONCAT(LC24,LD24),'MASTER PLAN'!$AB:$AB,'MASTER PLAN'!$J:$J,0,0)),"")</f>
        <v/>
      </c>
      <c r="LF24" s="98"/>
      <c r="LG24" s="99"/>
      <c r="LH24" s="77"/>
      <c r="LI24" s="78"/>
      <c r="LJ24" s="79" t="str">
        <f t="array" ref="LJ24">IFERROR(IF(XLOOKUP(CONCAT(LH24,LI24),'MASTER PLAN'!$AB:$AB,'MASTER PLAN'!$J:$J,0,0)=0,"",XLOOKUP(CONCAT(LH24,LI24),'MASTER PLAN'!$AB:$AB,'MASTER PLAN'!$J:$J,0,0)),"")</f>
        <v/>
      </c>
      <c r="LK24" s="98"/>
      <c r="LL24" s="99"/>
      <c r="LM24" s="77"/>
      <c r="LN24" s="78"/>
      <c r="LO24" s="79" t="str">
        <f t="array" ref="LO24">IFERROR(IF(XLOOKUP(CONCAT(LM24,LN24),'MASTER PLAN'!$AB:$AB,'MASTER PLAN'!$J:$J,0,0)=0,"",XLOOKUP(CONCAT(LM24,LN24),'MASTER PLAN'!$AB:$AB,'MASTER PLAN'!$J:$J,0,0)),"")</f>
        <v/>
      </c>
      <c r="LP24" s="98"/>
      <c r="LQ24" s="99"/>
      <c r="LR24" s="77"/>
      <c r="LS24" s="78"/>
      <c r="LT24" s="79" t="str">
        <f t="array" ref="LT24">IFERROR(IF(XLOOKUP(CONCAT(LR24,LS24),'MASTER PLAN'!$AB:$AB,'MASTER PLAN'!$J:$J,0,0)=0,"",XLOOKUP(CONCAT(LR24,LS24),'MASTER PLAN'!$AB:$AB,'MASTER PLAN'!$J:$J,0,0)),"")</f>
        <v/>
      </c>
      <c r="LU24" s="98"/>
      <c r="LV24" s="99"/>
      <c r="LW24" s="77"/>
      <c r="LX24" s="78"/>
      <c r="LY24" s="79" t="str">
        <f t="array" ref="LY24">IFERROR(IF(XLOOKUP(CONCAT(LW24,LX24),'MASTER PLAN'!$AB:$AB,'MASTER PLAN'!$J:$J,0,0)=0,"",XLOOKUP(CONCAT(LW24,LX24),'MASTER PLAN'!$AB:$AB,'MASTER PLAN'!$J:$J,0,0)),"")</f>
        <v/>
      </c>
      <c r="LZ24" s="98"/>
      <c r="MA24" s="99"/>
      <c r="MB24" s="77"/>
      <c r="MC24" s="78"/>
      <c r="MD24" s="79" t="str">
        <f t="array" ref="MD24">IFERROR(IF(XLOOKUP(CONCAT(MB24,MC24),'MASTER PLAN'!$AB:$AB,'MASTER PLAN'!$J:$J,0,0)=0,"",XLOOKUP(CONCAT(MB24,MC24),'MASTER PLAN'!$AB:$AB,'MASTER PLAN'!$J:$J,0,0)),"")</f>
        <v/>
      </c>
      <c r="ME24" s="98"/>
      <c r="MF24" s="99"/>
      <c r="MG24" s="70"/>
      <c r="MH24" s="77"/>
      <c r="MI24" s="78"/>
      <c r="MJ24" s="79" t="str">
        <f t="array" ref="MJ24">IFERROR(IF(XLOOKUP(CONCAT(MH24,MI24),'MASTER PLAN'!$AB:$AB,'MASTER PLAN'!$J:$J,0,0)=0,"",XLOOKUP(CONCAT(MH24,MI24),'MASTER PLAN'!$AB:$AB,'MASTER PLAN'!$J:$J,0,0)),"")</f>
        <v/>
      </c>
      <c r="MK24" s="98"/>
      <c r="ML24" s="99"/>
      <c r="MM24" s="77"/>
      <c r="MN24" s="78"/>
      <c r="MO24" s="79" t="str">
        <f t="array" ref="MO24">IFERROR(IF(XLOOKUP(CONCAT(MM24,MN24),'MASTER PLAN'!$AB:$AB,'MASTER PLAN'!$J:$J,0,0)=0,"",XLOOKUP(CONCAT(MM24,MN24),'MASTER PLAN'!$AB:$AB,'MASTER PLAN'!$J:$J,0,0)),"")</f>
        <v/>
      </c>
      <c r="MP24" s="98"/>
      <c r="MQ24" s="99"/>
      <c r="MR24" s="77"/>
      <c r="MS24" s="78"/>
      <c r="MT24" s="79" t="str">
        <f t="array" ref="MT24">IFERROR(IF(XLOOKUP(CONCAT(MR24,MS24),'MASTER PLAN'!$AB:$AB,'MASTER PLAN'!$J:$J,0,0)=0,"",XLOOKUP(CONCAT(MR24,MS24),'MASTER PLAN'!$AB:$AB,'MASTER PLAN'!$J:$J,0,0)),"")</f>
        <v/>
      </c>
      <c r="MU24" s="98"/>
      <c r="MV24" s="99"/>
      <c r="MW24" s="77"/>
      <c r="MX24" s="78"/>
      <c r="MY24" s="79" t="str">
        <f t="array" ref="MY24">IFERROR(IF(XLOOKUP(CONCAT(MW24,MX24),'MASTER PLAN'!$AB:$AB,'MASTER PLAN'!$J:$J,0,0)=0,"",XLOOKUP(CONCAT(MW24,MX24),'MASTER PLAN'!$AB:$AB,'MASTER PLAN'!$J:$J,0,0)),"")</f>
        <v/>
      </c>
      <c r="MZ24" s="98"/>
      <c r="NA24" s="99"/>
      <c r="NB24" s="77"/>
      <c r="NC24" s="78"/>
      <c r="ND24" s="79" t="str">
        <f t="array" ref="ND24">IFERROR(IF(XLOOKUP(CONCAT(NB24,NC24),'MASTER PLAN'!$AB:$AB,'MASTER PLAN'!$J:$J,0,0)=0,"",XLOOKUP(CONCAT(NB24,NC24),'MASTER PLAN'!$AB:$AB,'MASTER PLAN'!$J:$J,0,0)),"")</f>
        <v/>
      </c>
      <c r="NE24" s="98"/>
      <c r="NF24" s="99"/>
      <c r="NG24" s="77"/>
      <c r="NH24" s="78"/>
      <c r="NI24" s="79" t="str">
        <f t="array" ref="NI24">IFERROR(IF(XLOOKUP(CONCAT(NG24,NH24),'MASTER PLAN'!$AB:$AB,'MASTER PLAN'!$J:$J,0,0)=0,"",XLOOKUP(CONCAT(NG24,NH24),'MASTER PLAN'!$AB:$AB,'MASTER PLAN'!$J:$J,0,0)),"")</f>
        <v/>
      </c>
      <c r="NJ24" s="98"/>
      <c r="NK24" s="99"/>
      <c r="NL24" s="70"/>
      <c r="NM24" s="77"/>
      <c r="NN24" s="78"/>
      <c r="NO24" s="79" t="str">
        <f t="array" ref="NO24">IFERROR(IF(XLOOKUP(CONCAT(NM24,NN24),'MASTER PLAN'!$AB:$AB,'MASTER PLAN'!$J:$J,0,0)=0,"",XLOOKUP(CONCAT(NM24,NN24),'MASTER PLAN'!$AB:$AB,'MASTER PLAN'!$J:$J,0,0)),"")</f>
        <v/>
      </c>
      <c r="NP24" s="98"/>
      <c r="NQ24" s="99"/>
      <c r="NR24" s="77"/>
      <c r="NS24" s="78"/>
      <c r="NT24" s="79" t="str">
        <f t="array" ref="NT24">IFERROR(IF(XLOOKUP(CONCAT(NR24,NS24),'MASTER PLAN'!$AB:$AB,'MASTER PLAN'!$J:$J,0,0)=0,"",XLOOKUP(CONCAT(NR24,NS24),'MASTER PLAN'!$AB:$AB,'MASTER PLAN'!$J:$J,0,0)),"")</f>
        <v/>
      </c>
      <c r="NU24" s="98"/>
      <c r="NV24" s="99"/>
      <c r="NW24" s="77"/>
      <c r="NX24" s="78"/>
      <c r="NY24" s="79" t="str">
        <f t="array" ref="NY24">IFERROR(IF(XLOOKUP(CONCAT(NW24,NX24),'MASTER PLAN'!$AB:$AB,'MASTER PLAN'!$J:$J,0,0)=0,"",XLOOKUP(CONCAT(NW24,NX24),'MASTER PLAN'!$AB:$AB,'MASTER PLAN'!$J:$J,0,0)),"")</f>
        <v/>
      </c>
      <c r="NZ24" s="98"/>
      <c r="OA24" s="99"/>
      <c r="OB24" s="77"/>
      <c r="OC24" s="78"/>
      <c r="OD24" s="79" t="str">
        <f t="array" ref="OD24">IFERROR(IF(XLOOKUP(CONCAT(OB24,OC24),'MASTER PLAN'!$AB:$AB,'MASTER PLAN'!$J:$J,0,0)=0,"",XLOOKUP(CONCAT(OB24,OC24),'MASTER PLAN'!$AB:$AB,'MASTER PLAN'!$J:$J,0,0)),"")</f>
        <v/>
      </c>
      <c r="OE24" s="98"/>
      <c r="OF24" s="99"/>
      <c r="OG24" s="77"/>
      <c r="OH24" s="78"/>
      <c r="OI24" s="79" t="str">
        <f t="array" ref="OI24">IFERROR(IF(XLOOKUP(CONCAT(OG24,OH24),'MASTER PLAN'!$AB:$AB,'MASTER PLAN'!$J:$J,0,0)=0,"",XLOOKUP(CONCAT(OG24,OH24),'MASTER PLAN'!$AB:$AB,'MASTER PLAN'!$J:$J,0,0)),"")</f>
        <v/>
      </c>
      <c r="OJ24" s="98"/>
      <c r="OK24" s="99"/>
      <c r="OL24" s="77"/>
      <c r="OM24" s="78"/>
      <c r="ON24" s="79" t="str">
        <f t="array" ref="ON24">IFERROR(IF(XLOOKUP(CONCAT(OL24,OM24),'MASTER PLAN'!$AB:$AB,'MASTER PLAN'!$J:$J,0,0)=0,"",XLOOKUP(CONCAT(OL24,OM24),'MASTER PLAN'!$AB:$AB,'MASTER PLAN'!$J:$J,0,0)),"")</f>
        <v/>
      </c>
      <c r="OO24" s="98"/>
      <c r="OP24" s="99"/>
      <c r="OQ24" s="70"/>
      <c r="OR24" s="70"/>
      <c r="OS24" s="70"/>
      <c r="OT24" s="70"/>
      <c r="OU24" s="70"/>
      <c r="OV24" s="70"/>
      <c r="OW24" s="70"/>
      <c r="OX24" s="70"/>
      <c r="OY24" s="70"/>
      <c r="OZ24" s="70"/>
      <c r="PA24" s="70"/>
      <c r="PB24" s="70"/>
      <c r="PC24" s="70"/>
      <c r="PD24" s="70"/>
      <c r="PE24" s="70"/>
      <c r="PF24" s="70"/>
      <c r="PG24" s="70"/>
      <c r="PH24" s="70"/>
      <c r="PI24" s="70"/>
      <c r="PJ24" s="70"/>
    </row>
    <row r="25" ht="15.75" customHeight="1">
      <c r="A25" s="42"/>
      <c r="B25" s="82">
        <v>600.0</v>
      </c>
      <c r="C25" s="83" t="s">
        <v>247</v>
      </c>
      <c r="D25" s="42"/>
      <c r="E25" s="84"/>
      <c r="F25" s="85"/>
      <c r="G25" s="85"/>
      <c r="H25" s="100">
        <f t="shared" ref="H25:I25" si="157">SUM(H20:H24)</f>
        <v>0</v>
      </c>
      <c r="I25" s="86">
        <f t="shared" si="157"/>
        <v>0</v>
      </c>
      <c r="J25" s="84"/>
      <c r="K25" s="85"/>
      <c r="L25" s="85"/>
      <c r="M25" s="100">
        <f t="shared" ref="M25:N25" si="158">SUM(M20:M24)</f>
        <v>0</v>
      </c>
      <c r="N25" s="86">
        <f t="shared" si="158"/>
        <v>0</v>
      </c>
      <c r="O25" s="84"/>
      <c r="P25" s="85"/>
      <c r="Q25" s="85"/>
      <c r="R25" s="100">
        <f t="shared" ref="R25:S25" si="159">SUM(R20:R24)</f>
        <v>0</v>
      </c>
      <c r="S25" s="86">
        <f t="shared" si="159"/>
        <v>0</v>
      </c>
      <c r="T25" s="84"/>
      <c r="U25" s="85"/>
      <c r="V25" s="85"/>
      <c r="W25" s="100">
        <f t="shared" ref="W25:X25" si="160">SUM(W20:W24)</f>
        <v>0</v>
      </c>
      <c r="X25" s="86">
        <f t="shared" si="160"/>
        <v>0</v>
      </c>
      <c r="Y25" s="84"/>
      <c r="Z25" s="85"/>
      <c r="AA25" s="85"/>
      <c r="AB25" s="100">
        <f t="shared" ref="AB25:AC25" si="161">SUM(AB20:AB24)</f>
        <v>0</v>
      </c>
      <c r="AC25" s="86">
        <f t="shared" si="161"/>
        <v>0</v>
      </c>
      <c r="AD25" s="84"/>
      <c r="AE25" s="85"/>
      <c r="AF25" s="85"/>
      <c r="AG25" s="100">
        <f t="shared" ref="AG25:AH25" si="162">SUM(AG20:AG24)</f>
        <v>0</v>
      </c>
      <c r="AH25" s="86">
        <f t="shared" si="162"/>
        <v>0</v>
      </c>
      <c r="AI25" s="42"/>
      <c r="AJ25" s="84"/>
      <c r="AK25" s="85"/>
      <c r="AL25" s="85"/>
      <c r="AM25" s="100">
        <f t="shared" ref="AM25:AN25" si="163">SUM(AM20:AM24)</f>
        <v>0</v>
      </c>
      <c r="AN25" s="86">
        <f t="shared" si="163"/>
        <v>0</v>
      </c>
      <c r="AO25" s="84"/>
      <c r="AP25" s="85"/>
      <c r="AQ25" s="85"/>
      <c r="AR25" s="100">
        <f t="shared" ref="AR25:AS25" si="164">SUM(AR20:AR24)</f>
        <v>0</v>
      </c>
      <c r="AS25" s="86">
        <f t="shared" si="164"/>
        <v>0</v>
      </c>
      <c r="AT25" s="84"/>
      <c r="AU25" s="85"/>
      <c r="AV25" s="85"/>
      <c r="AW25" s="100">
        <f t="shared" ref="AW25:AX25" si="165">SUM(AW20:AW24)</f>
        <v>0</v>
      </c>
      <c r="AX25" s="86">
        <f t="shared" si="165"/>
        <v>0</v>
      </c>
      <c r="AY25" s="84"/>
      <c r="AZ25" s="85"/>
      <c r="BA25" s="85"/>
      <c r="BB25" s="100">
        <f t="shared" ref="BB25:BC25" si="166">SUM(BB20:BB24)</f>
        <v>0</v>
      </c>
      <c r="BC25" s="86">
        <f t="shared" si="166"/>
        <v>0</v>
      </c>
      <c r="BD25" s="84"/>
      <c r="BE25" s="85"/>
      <c r="BF25" s="85"/>
      <c r="BG25" s="100">
        <f t="shared" ref="BG25:BH25" si="167">SUM(BG20:BG24)</f>
        <v>0</v>
      </c>
      <c r="BH25" s="86">
        <f t="shared" si="167"/>
        <v>0</v>
      </c>
      <c r="BI25" s="84"/>
      <c r="BJ25" s="85"/>
      <c r="BK25" s="85"/>
      <c r="BL25" s="100">
        <f t="shared" ref="BL25:BM25" si="168">SUM(BL20:BL24)</f>
        <v>0</v>
      </c>
      <c r="BM25" s="86">
        <f t="shared" si="168"/>
        <v>0</v>
      </c>
      <c r="BN25" s="42"/>
      <c r="BO25" s="84"/>
      <c r="BP25" s="85"/>
      <c r="BQ25" s="85"/>
      <c r="BR25" s="100">
        <f t="shared" ref="BR25:BS25" si="169">SUM(BR20:BR24)</f>
        <v>0</v>
      </c>
      <c r="BS25" s="86">
        <f t="shared" si="169"/>
        <v>0</v>
      </c>
      <c r="BT25" s="84"/>
      <c r="BU25" s="85"/>
      <c r="BV25" s="85"/>
      <c r="BW25" s="100">
        <f t="shared" ref="BW25:BX25" si="170">SUM(BW20:BW24)</f>
        <v>0</v>
      </c>
      <c r="BX25" s="86">
        <f t="shared" si="170"/>
        <v>0</v>
      </c>
      <c r="BY25" s="84"/>
      <c r="BZ25" s="85"/>
      <c r="CA25" s="85"/>
      <c r="CB25" s="100">
        <f t="shared" ref="CB25:CC25" si="171">SUM(CB20:CB24)</f>
        <v>0</v>
      </c>
      <c r="CC25" s="86">
        <f t="shared" si="171"/>
        <v>0</v>
      </c>
      <c r="CD25" s="84"/>
      <c r="CE25" s="85"/>
      <c r="CF25" s="85"/>
      <c r="CG25" s="100">
        <f t="shared" ref="CG25:CH25" si="172">SUM(CG20:CG24)</f>
        <v>0</v>
      </c>
      <c r="CH25" s="86">
        <f t="shared" si="172"/>
        <v>0</v>
      </c>
      <c r="CI25" s="84"/>
      <c r="CJ25" s="85"/>
      <c r="CK25" s="85"/>
      <c r="CL25" s="100">
        <f t="shared" ref="CL25:CM25" si="173">SUM(CL20:CL24)</f>
        <v>0</v>
      </c>
      <c r="CM25" s="86">
        <f t="shared" si="173"/>
        <v>0</v>
      </c>
      <c r="CN25" s="84"/>
      <c r="CO25" s="85"/>
      <c r="CP25" s="85"/>
      <c r="CQ25" s="100">
        <f t="shared" ref="CQ25:CR25" si="174">SUM(CQ20:CQ24)</f>
        <v>0</v>
      </c>
      <c r="CR25" s="86">
        <f t="shared" si="174"/>
        <v>0</v>
      </c>
      <c r="CS25" s="42"/>
      <c r="CT25" s="84"/>
      <c r="CU25" s="85"/>
      <c r="CV25" s="85"/>
      <c r="CW25" s="100">
        <f t="shared" ref="CW25:CX25" si="175">SUM(CW20:CW24)</f>
        <v>0</v>
      </c>
      <c r="CX25" s="86">
        <f t="shared" si="175"/>
        <v>0</v>
      </c>
      <c r="CY25" s="84"/>
      <c r="CZ25" s="85"/>
      <c r="DA25" s="85"/>
      <c r="DB25" s="100">
        <f t="shared" ref="DB25:DC25" si="176">SUM(DB20:DB24)</f>
        <v>0</v>
      </c>
      <c r="DC25" s="86">
        <f t="shared" si="176"/>
        <v>0</v>
      </c>
      <c r="DD25" s="84"/>
      <c r="DE25" s="85"/>
      <c r="DF25" s="85"/>
      <c r="DG25" s="100">
        <f t="shared" ref="DG25:DH25" si="177">SUM(DG20:DG24)</f>
        <v>0</v>
      </c>
      <c r="DH25" s="86">
        <f t="shared" si="177"/>
        <v>0</v>
      </c>
      <c r="DI25" s="84"/>
      <c r="DJ25" s="85"/>
      <c r="DK25" s="85"/>
      <c r="DL25" s="100">
        <f t="shared" ref="DL25:DM25" si="178">SUM(DL20:DL24)</f>
        <v>0</v>
      </c>
      <c r="DM25" s="86">
        <f t="shared" si="178"/>
        <v>0</v>
      </c>
      <c r="DN25" s="84"/>
      <c r="DO25" s="85"/>
      <c r="DP25" s="85"/>
      <c r="DQ25" s="100">
        <f t="shared" ref="DQ25:DR25" si="179">SUM(DQ20:DQ24)</f>
        <v>0</v>
      </c>
      <c r="DR25" s="86">
        <f t="shared" si="179"/>
        <v>0</v>
      </c>
      <c r="DS25" s="84"/>
      <c r="DT25" s="85"/>
      <c r="DU25" s="85"/>
      <c r="DV25" s="100">
        <f t="shared" ref="DV25:DW25" si="180">SUM(DV20:DV24)</f>
        <v>0</v>
      </c>
      <c r="DW25" s="86">
        <f t="shared" si="180"/>
        <v>0</v>
      </c>
      <c r="DX25" s="42"/>
      <c r="DY25" s="84"/>
      <c r="DZ25" s="85"/>
      <c r="EA25" s="85"/>
      <c r="EB25" s="100">
        <f t="shared" ref="EB25:EC25" si="181">SUM(EB20:EB24)</f>
        <v>0</v>
      </c>
      <c r="EC25" s="86">
        <f t="shared" si="181"/>
        <v>0</v>
      </c>
      <c r="ED25" s="84"/>
      <c r="EE25" s="85"/>
      <c r="EF25" s="85"/>
      <c r="EG25" s="100">
        <f t="shared" ref="EG25:EH25" si="182">SUM(EG20:EG24)</f>
        <v>0</v>
      </c>
      <c r="EH25" s="86">
        <f t="shared" si="182"/>
        <v>0</v>
      </c>
      <c r="EI25" s="84"/>
      <c r="EJ25" s="85"/>
      <c r="EK25" s="85"/>
      <c r="EL25" s="100">
        <f t="shared" ref="EL25:EM25" si="183">SUM(EL20:EL24)</f>
        <v>0</v>
      </c>
      <c r="EM25" s="86">
        <f t="shared" si="183"/>
        <v>0</v>
      </c>
      <c r="EN25" s="84"/>
      <c r="EO25" s="85"/>
      <c r="EP25" s="85"/>
      <c r="EQ25" s="100">
        <f t="shared" ref="EQ25:ER25" si="184">SUM(EQ20:EQ24)</f>
        <v>0</v>
      </c>
      <c r="ER25" s="86">
        <f t="shared" si="184"/>
        <v>0</v>
      </c>
      <c r="ES25" s="84"/>
      <c r="ET25" s="85"/>
      <c r="EU25" s="85"/>
      <c r="EV25" s="100">
        <f t="shared" ref="EV25:EW25" si="185">SUM(EV20:EV24)</f>
        <v>0</v>
      </c>
      <c r="EW25" s="86">
        <f t="shared" si="185"/>
        <v>0</v>
      </c>
      <c r="EX25" s="84"/>
      <c r="EY25" s="85"/>
      <c r="EZ25" s="85"/>
      <c r="FA25" s="100">
        <f t="shared" ref="FA25:FB25" si="186">SUM(FA20:FA24)</f>
        <v>0</v>
      </c>
      <c r="FB25" s="86">
        <f t="shared" si="186"/>
        <v>0</v>
      </c>
      <c r="FC25" s="42"/>
      <c r="FD25" s="84"/>
      <c r="FE25" s="85"/>
      <c r="FF25" s="85"/>
      <c r="FG25" s="100">
        <f t="shared" ref="FG25:FH25" si="187">SUM(FG20:FG24)</f>
        <v>0</v>
      </c>
      <c r="FH25" s="86">
        <f t="shared" si="187"/>
        <v>0</v>
      </c>
      <c r="FI25" s="84"/>
      <c r="FJ25" s="85"/>
      <c r="FK25" s="85"/>
      <c r="FL25" s="100">
        <f t="shared" ref="FL25:FM25" si="188">SUM(FL20:FL24)</f>
        <v>0</v>
      </c>
      <c r="FM25" s="86">
        <f t="shared" si="188"/>
        <v>0</v>
      </c>
      <c r="FN25" s="84"/>
      <c r="FO25" s="85"/>
      <c r="FP25" s="85"/>
      <c r="FQ25" s="100">
        <f t="shared" ref="FQ25:FR25" si="189">SUM(FQ20:FQ24)</f>
        <v>0</v>
      </c>
      <c r="FR25" s="86">
        <f t="shared" si="189"/>
        <v>0</v>
      </c>
      <c r="FS25" s="84"/>
      <c r="FT25" s="85"/>
      <c r="FU25" s="85"/>
      <c r="FV25" s="100">
        <f t="shared" ref="FV25:FW25" si="190">SUM(FV20:FV24)</f>
        <v>0</v>
      </c>
      <c r="FW25" s="86">
        <f t="shared" si="190"/>
        <v>0</v>
      </c>
      <c r="FX25" s="84"/>
      <c r="FY25" s="85"/>
      <c r="FZ25" s="85"/>
      <c r="GA25" s="100">
        <f t="shared" ref="GA25:GB25" si="191">SUM(GA20:GA24)</f>
        <v>0</v>
      </c>
      <c r="GB25" s="86">
        <f t="shared" si="191"/>
        <v>0</v>
      </c>
      <c r="GC25" s="84"/>
      <c r="GD25" s="85"/>
      <c r="GE25" s="85"/>
      <c r="GF25" s="100">
        <f t="shared" ref="GF25:GG25" si="192">SUM(GF20:GF24)</f>
        <v>0</v>
      </c>
      <c r="GG25" s="86">
        <f t="shared" si="192"/>
        <v>0</v>
      </c>
      <c r="GH25" s="42"/>
      <c r="GI25" s="84"/>
      <c r="GJ25" s="85"/>
      <c r="GK25" s="85"/>
      <c r="GL25" s="100">
        <f t="shared" ref="GL25:GM25" si="193">SUM(GL20:GL24)</f>
        <v>0</v>
      </c>
      <c r="GM25" s="86">
        <f t="shared" si="193"/>
        <v>0</v>
      </c>
      <c r="GN25" s="84"/>
      <c r="GO25" s="85"/>
      <c r="GP25" s="85"/>
      <c r="GQ25" s="100">
        <f t="shared" ref="GQ25:GR25" si="194">SUM(GQ20:GQ24)</f>
        <v>0</v>
      </c>
      <c r="GR25" s="86">
        <f t="shared" si="194"/>
        <v>0</v>
      </c>
      <c r="GS25" s="84"/>
      <c r="GT25" s="85"/>
      <c r="GU25" s="85"/>
      <c r="GV25" s="100">
        <f t="shared" ref="GV25:GW25" si="195">SUM(GV20:GV24)</f>
        <v>0</v>
      </c>
      <c r="GW25" s="86">
        <f t="shared" si="195"/>
        <v>0</v>
      </c>
      <c r="GX25" s="84"/>
      <c r="GY25" s="85"/>
      <c r="GZ25" s="85"/>
      <c r="HA25" s="100">
        <f t="shared" ref="HA25:HB25" si="196">SUM(HA20:HA24)</f>
        <v>0</v>
      </c>
      <c r="HB25" s="86">
        <f t="shared" si="196"/>
        <v>0</v>
      </c>
      <c r="HC25" s="84"/>
      <c r="HD25" s="85"/>
      <c r="HE25" s="85"/>
      <c r="HF25" s="100">
        <f t="shared" ref="HF25:HG25" si="197">SUM(HF20:HF24)</f>
        <v>0</v>
      </c>
      <c r="HG25" s="86">
        <f t="shared" si="197"/>
        <v>0</v>
      </c>
      <c r="HH25" s="84"/>
      <c r="HI25" s="85"/>
      <c r="HJ25" s="85"/>
      <c r="HK25" s="100">
        <f t="shared" ref="HK25:HL25" si="198">SUM(HK20:HK24)</f>
        <v>0</v>
      </c>
      <c r="HL25" s="86">
        <f t="shared" si="198"/>
        <v>0</v>
      </c>
      <c r="HM25" s="42"/>
      <c r="HN25" s="84"/>
      <c r="HO25" s="85"/>
      <c r="HP25" s="85"/>
      <c r="HQ25" s="100">
        <f t="shared" ref="HQ25:HR25" si="199">SUM(HQ20:HQ24)</f>
        <v>0</v>
      </c>
      <c r="HR25" s="86">
        <f t="shared" si="199"/>
        <v>0</v>
      </c>
      <c r="HS25" s="84"/>
      <c r="HT25" s="85"/>
      <c r="HU25" s="85"/>
      <c r="HV25" s="100">
        <f t="shared" ref="HV25:HW25" si="200">SUM(HV20:HV24)</f>
        <v>0</v>
      </c>
      <c r="HW25" s="86">
        <f t="shared" si="200"/>
        <v>0</v>
      </c>
      <c r="HX25" s="84"/>
      <c r="HY25" s="85"/>
      <c r="HZ25" s="85"/>
      <c r="IA25" s="100">
        <f t="shared" ref="IA25:IB25" si="201">SUM(IA20:IA24)</f>
        <v>0</v>
      </c>
      <c r="IB25" s="86">
        <f t="shared" si="201"/>
        <v>0</v>
      </c>
      <c r="IC25" s="84"/>
      <c r="ID25" s="85"/>
      <c r="IE25" s="85"/>
      <c r="IF25" s="100">
        <f t="shared" ref="IF25:IG25" si="202">SUM(IF20:IF24)</f>
        <v>0</v>
      </c>
      <c r="IG25" s="86">
        <f t="shared" si="202"/>
        <v>0</v>
      </c>
      <c r="IH25" s="84"/>
      <c r="II25" s="85"/>
      <c r="IJ25" s="85"/>
      <c r="IK25" s="100">
        <f t="shared" ref="IK25:IL25" si="203">SUM(IK20:IK24)</f>
        <v>0</v>
      </c>
      <c r="IL25" s="86">
        <f t="shared" si="203"/>
        <v>0</v>
      </c>
      <c r="IM25" s="84"/>
      <c r="IN25" s="85"/>
      <c r="IO25" s="85"/>
      <c r="IP25" s="100">
        <f t="shared" ref="IP25:IQ25" si="204">SUM(IP20:IP24)</f>
        <v>0</v>
      </c>
      <c r="IQ25" s="86">
        <f t="shared" si="204"/>
        <v>0</v>
      </c>
      <c r="IR25" s="42"/>
      <c r="IS25" s="84"/>
      <c r="IT25" s="85"/>
      <c r="IU25" s="85"/>
      <c r="IV25" s="100">
        <f t="shared" ref="IV25:IW25" si="205">SUM(IV20:IV24)</f>
        <v>0</v>
      </c>
      <c r="IW25" s="86">
        <f t="shared" si="205"/>
        <v>0</v>
      </c>
      <c r="IX25" s="84"/>
      <c r="IY25" s="85"/>
      <c r="IZ25" s="85"/>
      <c r="JA25" s="100">
        <f t="shared" ref="JA25:JB25" si="206">SUM(JA20:JA24)</f>
        <v>0</v>
      </c>
      <c r="JB25" s="86">
        <f t="shared" si="206"/>
        <v>0</v>
      </c>
      <c r="JC25" s="84"/>
      <c r="JD25" s="85"/>
      <c r="JE25" s="85"/>
      <c r="JF25" s="100">
        <f t="shared" ref="JF25:JG25" si="207">SUM(JF20:JF24)</f>
        <v>0</v>
      </c>
      <c r="JG25" s="86">
        <f t="shared" si="207"/>
        <v>0</v>
      </c>
      <c r="JH25" s="84"/>
      <c r="JI25" s="85"/>
      <c r="JJ25" s="85"/>
      <c r="JK25" s="100">
        <f t="shared" ref="JK25:JL25" si="208">SUM(JK20:JK24)</f>
        <v>0</v>
      </c>
      <c r="JL25" s="86">
        <f t="shared" si="208"/>
        <v>0</v>
      </c>
      <c r="JM25" s="84"/>
      <c r="JN25" s="85"/>
      <c r="JO25" s="85"/>
      <c r="JP25" s="100">
        <f t="shared" ref="JP25:JQ25" si="209">SUM(JP20:JP24)</f>
        <v>0</v>
      </c>
      <c r="JQ25" s="86">
        <f t="shared" si="209"/>
        <v>0</v>
      </c>
      <c r="JR25" s="84"/>
      <c r="JS25" s="85"/>
      <c r="JT25" s="85"/>
      <c r="JU25" s="100">
        <f t="shared" ref="JU25:JV25" si="210">SUM(JU20:JU24)</f>
        <v>0</v>
      </c>
      <c r="JV25" s="86">
        <f t="shared" si="210"/>
        <v>0</v>
      </c>
      <c r="JW25" s="42"/>
      <c r="JX25" s="84"/>
      <c r="JY25" s="85"/>
      <c r="JZ25" s="85"/>
      <c r="KA25" s="100">
        <f t="shared" ref="KA25:KB25" si="211">SUM(KA20:KA24)</f>
        <v>0</v>
      </c>
      <c r="KB25" s="86">
        <f t="shared" si="211"/>
        <v>0</v>
      </c>
      <c r="KC25" s="84"/>
      <c r="KD25" s="85"/>
      <c r="KE25" s="85"/>
      <c r="KF25" s="100">
        <f t="shared" ref="KF25:KG25" si="212">SUM(KF20:KF24)</f>
        <v>0</v>
      </c>
      <c r="KG25" s="86">
        <f t="shared" si="212"/>
        <v>0</v>
      </c>
      <c r="KH25" s="84"/>
      <c r="KI25" s="85"/>
      <c r="KJ25" s="85"/>
      <c r="KK25" s="100">
        <f t="shared" ref="KK25:KL25" si="213">SUM(KK20:KK24)</f>
        <v>0</v>
      </c>
      <c r="KL25" s="86">
        <f t="shared" si="213"/>
        <v>0</v>
      </c>
      <c r="KM25" s="84"/>
      <c r="KN25" s="85"/>
      <c r="KO25" s="85"/>
      <c r="KP25" s="100">
        <f t="shared" ref="KP25:KQ25" si="214">SUM(KP20:KP24)</f>
        <v>0</v>
      </c>
      <c r="KQ25" s="86">
        <f t="shared" si="214"/>
        <v>0</v>
      </c>
      <c r="KR25" s="84"/>
      <c r="KS25" s="85"/>
      <c r="KT25" s="85"/>
      <c r="KU25" s="100">
        <f t="shared" ref="KU25:KV25" si="215">SUM(KU20:KU24)</f>
        <v>0</v>
      </c>
      <c r="KV25" s="86">
        <f t="shared" si="215"/>
        <v>0</v>
      </c>
      <c r="KW25" s="84"/>
      <c r="KX25" s="85"/>
      <c r="KY25" s="85"/>
      <c r="KZ25" s="100">
        <f t="shared" ref="KZ25:LA25" si="216">SUM(KZ20:KZ24)</f>
        <v>0</v>
      </c>
      <c r="LA25" s="86">
        <f t="shared" si="216"/>
        <v>0</v>
      </c>
      <c r="LB25" s="42"/>
      <c r="LC25" s="84"/>
      <c r="LD25" s="85"/>
      <c r="LE25" s="85"/>
      <c r="LF25" s="100">
        <f t="shared" ref="LF25:LG25" si="217">SUM(LF20:LF24)</f>
        <v>0</v>
      </c>
      <c r="LG25" s="86">
        <f t="shared" si="217"/>
        <v>0</v>
      </c>
      <c r="LH25" s="84"/>
      <c r="LI25" s="85"/>
      <c r="LJ25" s="85"/>
      <c r="LK25" s="100">
        <f t="shared" ref="LK25:LL25" si="218">SUM(LK20:LK24)</f>
        <v>0</v>
      </c>
      <c r="LL25" s="86">
        <f t="shared" si="218"/>
        <v>0</v>
      </c>
      <c r="LM25" s="84"/>
      <c r="LN25" s="85"/>
      <c r="LO25" s="85"/>
      <c r="LP25" s="100">
        <f t="shared" ref="LP25:LQ25" si="219">SUM(LP20:LP24)</f>
        <v>0</v>
      </c>
      <c r="LQ25" s="86">
        <f t="shared" si="219"/>
        <v>0</v>
      </c>
      <c r="LR25" s="84"/>
      <c r="LS25" s="85"/>
      <c r="LT25" s="85"/>
      <c r="LU25" s="100">
        <f t="shared" ref="LU25:LV25" si="220">SUM(LU20:LU24)</f>
        <v>0</v>
      </c>
      <c r="LV25" s="86">
        <f t="shared" si="220"/>
        <v>0</v>
      </c>
      <c r="LW25" s="84"/>
      <c r="LX25" s="85"/>
      <c r="LY25" s="85"/>
      <c r="LZ25" s="100">
        <f t="shared" ref="LZ25:MA25" si="221">SUM(LZ20:LZ24)</f>
        <v>0</v>
      </c>
      <c r="MA25" s="86">
        <f t="shared" si="221"/>
        <v>0</v>
      </c>
      <c r="MB25" s="84"/>
      <c r="MC25" s="85"/>
      <c r="MD25" s="85"/>
      <c r="ME25" s="100">
        <f t="shared" ref="ME25:MF25" si="222">SUM(ME20:ME24)</f>
        <v>0</v>
      </c>
      <c r="MF25" s="86">
        <f t="shared" si="222"/>
        <v>0</v>
      </c>
      <c r="MG25" s="42"/>
      <c r="MH25" s="84"/>
      <c r="MI25" s="85"/>
      <c r="MJ25" s="85"/>
      <c r="MK25" s="100">
        <f t="shared" ref="MK25:ML25" si="223">SUM(MK20:MK24)</f>
        <v>0</v>
      </c>
      <c r="ML25" s="86">
        <f t="shared" si="223"/>
        <v>0</v>
      </c>
      <c r="MM25" s="84"/>
      <c r="MN25" s="85"/>
      <c r="MO25" s="85"/>
      <c r="MP25" s="100">
        <f t="shared" ref="MP25:MQ25" si="224">SUM(MP20:MP24)</f>
        <v>0</v>
      </c>
      <c r="MQ25" s="86">
        <f t="shared" si="224"/>
        <v>0</v>
      </c>
      <c r="MR25" s="84"/>
      <c r="MS25" s="85"/>
      <c r="MT25" s="85"/>
      <c r="MU25" s="100">
        <f t="shared" ref="MU25:MV25" si="225">SUM(MU20:MU24)</f>
        <v>0</v>
      </c>
      <c r="MV25" s="86">
        <f t="shared" si="225"/>
        <v>0</v>
      </c>
      <c r="MW25" s="84"/>
      <c r="MX25" s="85"/>
      <c r="MY25" s="85"/>
      <c r="MZ25" s="100">
        <f t="shared" ref="MZ25:NA25" si="226">SUM(MZ20:MZ24)</f>
        <v>0</v>
      </c>
      <c r="NA25" s="86">
        <f t="shared" si="226"/>
        <v>0</v>
      </c>
      <c r="NB25" s="84"/>
      <c r="NC25" s="85"/>
      <c r="ND25" s="85"/>
      <c r="NE25" s="100">
        <f t="shared" ref="NE25:NF25" si="227">SUM(NE20:NE24)</f>
        <v>0</v>
      </c>
      <c r="NF25" s="86">
        <f t="shared" si="227"/>
        <v>0</v>
      </c>
      <c r="NG25" s="84"/>
      <c r="NH25" s="85"/>
      <c r="NI25" s="85"/>
      <c r="NJ25" s="100">
        <f t="shared" ref="NJ25:NK25" si="228">SUM(NJ20:NJ24)</f>
        <v>0</v>
      </c>
      <c r="NK25" s="86">
        <f t="shared" si="228"/>
        <v>0</v>
      </c>
      <c r="NL25" s="42"/>
      <c r="NM25" s="84"/>
      <c r="NN25" s="85"/>
      <c r="NO25" s="85"/>
      <c r="NP25" s="100">
        <f t="shared" ref="NP25:NQ25" si="229">SUM(NP20:NP24)</f>
        <v>0</v>
      </c>
      <c r="NQ25" s="86">
        <f t="shared" si="229"/>
        <v>0</v>
      </c>
      <c r="NR25" s="84"/>
      <c r="NS25" s="85"/>
      <c r="NT25" s="85"/>
      <c r="NU25" s="100">
        <f t="shared" ref="NU25:NV25" si="230">SUM(NU20:NU24)</f>
        <v>0</v>
      </c>
      <c r="NV25" s="86">
        <f t="shared" si="230"/>
        <v>0</v>
      </c>
      <c r="NW25" s="84"/>
      <c r="NX25" s="85"/>
      <c r="NY25" s="85"/>
      <c r="NZ25" s="100">
        <f t="shared" ref="NZ25:OA25" si="231">SUM(NZ20:NZ24)</f>
        <v>0</v>
      </c>
      <c r="OA25" s="86">
        <f t="shared" si="231"/>
        <v>0</v>
      </c>
      <c r="OB25" s="84"/>
      <c r="OC25" s="85"/>
      <c r="OD25" s="85"/>
      <c r="OE25" s="100">
        <f t="shared" ref="OE25:OF25" si="232">SUM(OE20:OE24)</f>
        <v>0</v>
      </c>
      <c r="OF25" s="86">
        <f t="shared" si="232"/>
        <v>0</v>
      </c>
      <c r="OG25" s="84"/>
      <c r="OH25" s="85"/>
      <c r="OI25" s="85"/>
      <c r="OJ25" s="100">
        <f t="shared" ref="OJ25:OK25" si="233">SUM(OJ20:OJ24)</f>
        <v>0</v>
      </c>
      <c r="OK25" s="86">
        <f t="shared" si="233"/>
        <v>0</v>
      </c>
      <c r="OL25" s="84"/>
      <c r="OM25" s="85"/>
      <c r="ON25" s="85"/>
      <c r="OO25" s="100">
        <f t="shared" ref="OO25:OP25" si="234">SUM(OO20:OO24)</f>
        <v>0</v>
      </c>
      <c r="OP25" s="86">
        <f t="shared" si="234"/>
        <v>0</v>
      </c>
      <c r="OQ25" s="42"/>
      <c r="OR25" s="42"/>
      <c r="OS25" s="42"/>
      <c r="OT25" s="42"/>
      <c r="OU25" s="42"/>
      <c r="OV25" s="42"/>
      <c r="OW25" s="42"/>
      <c r="OX25" s="42"/>
      <c r="OY25" s="42"/>
      <c r="OZ25" s="42"/>
      <c r="PA25" s="42"/>
      <c r="PB25" s="42"/>
      <c r="PC25" s="42"/>
      <c r="PD25" s="42"/>
      <c r="PE25" s="42"/>
      <c r="PF25" s="42"/>
      <c r="PG25" s="42"/>
      <c r="PH25" s="42"/>
      <c r="PI25" s="42"/>
      <c r="PJ25" s="42"/>
    </row>
    <row r="26" ht="15.75" customHeight="1">
      <c r="A26" s="42"/>
      <c r="B26" s="42"/>
      <c r="C26" s="42"/>
      <c r="D26" s="67"/>
      <c r="AI26" s="67"/>
      <c r="BN26" s="67"/>
      <c r="CS26" s="67"/>
      <c r="DX26" s="67"/>
      <c r="FC26" s="67"/>
      <c r="GH26" s="67"/>
      <c r="HM26" s="67"/>
      <c r="IR26" s="67"/>
      <c r="JW26" s="67"/>
      <c r="LB26" s="67"/>
      <c r="MG26" s="67"/>
      <c r="NL26" s="67"/>
    </row>
    <row r="27" ht="15.75" customHeight="1">
      <c r="A27" s="42"/>
      <c r="B27" s="101" t="s">
        <v>250</v>
      </c>
      <c r="C27" s="42"/>
      <c r="D27" s="102" t="s">
        <v>251</v>
      </c>
      <c r="E27" s="102" t="s">
        <v>239</v>
      </c>
      <c r="F27" s="102" t="s">
        <v>188</v>
      </c>
      <c r="G27" s="103" t="s">
        <v>4</v>
      </c>
      <c r="H27" s="104" t="s">
        <v>244</v>
      </c>
      <c r="I27" s="104" t="s">
        <v>245</v>
      </c>
      <c r="J27" s="104" t="s">
        <v>252</v>
      </c>
      <c r="K27" s="104" t="s">
        <v>253</v>
      </c>
      <c r="L27" s="104" t="s">
        <v>254</v>
      </c>
      <c r="M27" s="102" t="s">
        <v>243</v>
      </c>
      <c r="AI27" s="38" t="str">
        <f>AJ1</f>
        <v/>
      </c>
      <c r="BN27" s="38" t="str">
        <f>BO1</f>
        <v/>
      </c>
      <c r="CS27" s="38" t="str">
        <f>CT1</f>
        <v/>
      </c>
      <c r="DX27" s="38" t="str">
        <f>DY1</f>
        <v/>
      </c>
      <c r="FC27" s="38" t="str">
        <f>FD1</f>
        <v/>
      </c>
      <c r="GH27" s="38" t="str">
        <f>GI1</f>
        <v/>
      </c>
      <c r="HM27" s="38" t="str">
        <f>HN1</f>
        <v/>
      </c>
      <c r="IR27" s="38" t="str">
        <f>IS1</f>
        <v/>
      </c>
      <c r="JW27" s="38" t="str">
        <f>JX1</f>
        <v/>
      </c>
      <c r="LB27" s="38" t="str">
        <f>LC1</f>
        <v/>
      </c>
      <c r="MG27" s="38" t="str">
        <f>MH1</f>
        <v/>
      </c>
      <c r="NL27" s="38" t="str">
        <f>NM1</f>
        <v/>
      </c>
    </row>
    <row r="28" ht="15.75" customHeight="1">
      <c r="A28" s="42"/>
      <c r="B28" s="42"/>
      <c r="C28" s="42"/>
      <c r="D28" s="38">
        <f>E2</f>
        <v>45964</v>
      </c>
      <c r="E28" s="105" t="str">
        <f t="shared" ref="E28:I28" si="235">E4</f>
        <v/>
      </c>
      <c r="F28" s="105" t="str">
        <f t="shared" si="235"/>
        <v/>
      </c>
      <c r="G28" s="105" t="str">
        <f t="shared" si="235"/>
        <v/>
      </c>
      <c r="H28" s="106" t="str">
        <f t="shared" si="235"/>
        <v/>
      </c>
      <c r="I28" s="106" t="str">
        <f t="shared" si="235"/>
        <v/>
      </c>
      <c r="J28" s="107" t="str">
        <f t="array" ref="J28">IFERROR(IF(XLOOKUP(CONCAT(E28,F28),'MASTER PLAN'!$AB:$AB,'MASTER PLAN'!$M:$M,0,0)=0,"",XLOOKUP(CONCAT(E28,F28),'MASTER PLAN'!$AB:$AB,'MASTER PLAN'!$M:$M,0,0)),"")</f>
        <v/>
      </c>
      <c r="K28" s="107">
        <f t="shared" ref="K28:K1197" si="237">J28*H28</f>
        <v>0</v>
      </c>
      <c r="L28" s="107">
        <f t="shared" ref="L28:L1197" si="238">J28*I28</f>
        <v>0</v>
      </c>
      <c r="M28" s="105" t="s">
        <v>246</v>
      </c>
      <c r="P28" s="107"/>
      <c r="Q28" s="107"/>
      <c r="R28" s="105"/>
      <c r="U28" s="107"/>
      <c r="V28" s="107"/>
      <c r="W28" s="105"/>
      <c r="Z28" s="107"/>
      <c r="AA28" s="107"/>
      <c r="AB28" s="105"/>
      <c r="AE28" s="107"/>
      <c r="AF28" s="107"/>
      <c r="AG28" s="105"/>
      <c r="AI28" s="38"/>
      <c r="AK28" s="107"/>
      <c r="AL28" s="107"/>
      <c r="AM28" s="105"/>
      <c r="AP28" s="107"/>
      <c r="AQ28" s="107"/>
      <c r="AR28" s="105"/>
      <c r="AU28" s="107"/>
      <c r="AV28" s="107"/>
      <c r="AW28" s="105"/>
      <c r="AZ28" s="107"/>
      <c r="BA28" s="107"/>
      <c r="BB28" s="105"/>
      <c r="BE28" s="107"/>
      <c r="BF28" s="107"/>
      <c r="BG28" s="105"/>
      <c r="BJ28" s="107"/>
      <c r="BK28" s="107"/>
      <c r="BL28" s="105"/>
      <c r="BN28" s="38"/>
      <c r="BP28" s="107"/>
      <c r="BQ28" s="107"/>
      <c r="BR28" s="105"/>
      <c r="BU28" s="107"/>
      <c r="BV28" s="107"/>
      <c r="BW28" s="105"/>
      <c r="BZ28" s="107"/>
      <c r="CA28" s="107"/>
      <c r="CB28" s="105"/>
      <c r="CE28" s="107"/>
      <c r="CF28" s="107"/>
      <c r="CG28" s="105"/>
      <c r="CJ28" s="107"/>
      <c r="CK28" s="107"/>
      <c r="CL28" s="105"/>
      <c r="CO28" s="107"/>
      <c r="CP28" s="107"/>
      <c r="CQ28" s="105"/>
      <c r="CS28" s="38"/>
      <c r="CU28" s="107"/>
      <c r="CV28" s="107"/>
      <c r="CW28" s="105"/>
      <c r="CZ28" s="107"/>
      <c r="DA28" s="107"/>
      <c r="DB28" s="105"/>
      <c r="DE28" s="107"/>
      <c r="DF28" s="107"/>
      <c r="DG28" s="105"/>
      <c r="DJ28" s="107"/>
      <c r="DK28" s="107"/>
      <c r="DL28" s="105"/>
      <c r="DO28" s="107"/>
      <c r="DP28" s="107"/>
      <c r="DQ28" s="105"/>
      <c r="DT28" s="107"/>
      <c r="DU28" s="107"/>
      <c r="DV28" s="105"/>
      <c r="DX28" s="38"/>
      <c r="DZ28" s="107"/>
      <c r="EA28" s="107"/>
      <c r="EB28" s="105"/>
      <c r="EE28" s="107"/>
      <c r="EF28" s="107"/>
      <c r="EG28" s="105"/>
      <c r="EJ28" s="107"/>
      <c r="EK28" s="107"/>
      <c r="EL28" s="105"/>
      <c r="EO28" s="107"/>
      <c r="EP28" s="107"/>
      <c r="EQ28" s="105"/>
      <c r="ET28" s="107"/>
      <c r="EU28" s="107"/>
      <c r="EV28" s="105"/>
      <c r="EY28" s="107"/>
      <c r="EZ28" s="107"/>
      <c r="FA28" s="105"/>
      <c r="FC28" s="38"/>
      <c r="FE28" s="107"/>
      <c r="FF28" s="107"/>
      <c r="FG28" s="105"/>
      <c r="FJ28" s="107"/>
      <c r="FK28" s="107"/>
      <c r="FL28" s="105"/>
      <c r="FO28" s="107"/>
      <c r="FP28" s="107"/>
      <c r="FQ28" s="105"/>
      <c r="FT28" s="107"/>
      <c r="FU28" s="107"/>
      <c r="FV28" s="105"/>
      <c r="FY28" s="107"/>
      <c r="FZ28" s="107"/>
      <c r="GA28" s="105"/>
      <c r="GD28" s="107"/>
      <c r="GE28" s="107"/>
      <c r="GF28" s="105"/>
      <c r="GH28" s="38"/>
      <c r="GJ28" s="107"/>
      <c r="GK28" s="107"/>
      <c r="GL28" s="105"/>
      <c r="GO28" s="107"/>
      <c r="GP28" s="107"/>
      <c r="GQ28" s="105"/>
      <c r="GT28" s="107"/>
      <c r="GU28" s="107"/>
      <c r="GV28" s="105"/>
      <c r="GY28" s="107"/>
      <c r="GZ28" s="107"/>
      <c r="HA28" s="105"/>
      <c r="HD28" s="107"/>
      <c r="HE28" s="107"/>
      <c r="HF28" s="105"/>
      <c r="HI28" s="107"/>
      <c r="HJ28" s="107"/>
      <c r="HK28" s="105"/>
      <c r="HM28" s="38"/>
      <c r="HO28" s="107"/>
      <c r="HP28" s="107"/>
      <c r="HQ28" s="105"/>
      <c r="HT28" s="107"/>
      <c r="HU28" s="107"/>
      <c r="HV28" s="105"/>
      <c r="HY28" s="107"/>
      <c r="HZ28" s="107"/>
      <c r="IA28" s="105"/>
      <c r="ID28" s="107"/>
      <c r="IE28" s="107"/>
      <c r="IF28" s="105"/>
      <c r="II28" s="107"/>
      <c r="IJ28" s="107"/>
      <c r="IK28" s="105"/>
      <c r="IN28" s="107"/>
      <c r="IO28" s="107"/>
      <c r="IP28" s="105"/>
      <c r="IR28" s="38"/>
      <c r="IT28" s="107"/>
      <c r="IU28" s="107"/>
      <c r="IV28" s="105"/>
      <c r="IY28" s="107"/>
      <c r="IZ28" s="107"/>
      <c r="JA28" s="105"/>
      <c r="JD28" s="107"/>
      <c r="JE28" s="107"/>
      <c r="JF28" s="105"/>
      <c r="JI28" s="107"/>
      <c r="JJ28" s="107"/>
      <c r="JK28" s="105"/>
      <c r="JN28" s="107"/>
      <c r="JO28" s="107"/>
      <c r="JP28" s="105"/>
      <c r="JS28" s="107"/>
      <c r="JT28" s="107"/>
      <c r="JU28" s="105"/>
      <c r="JW28" s="38"/>
      <c r="JY28" s="107"/>
      <c r="JZ28" s="107"/>
      <c r="KA28" s="105"/>
      <c r="KD28" s="107"/>
      <c r="KE28" s="107"/>
      <c r="KF28" s="105"/>
      <c r="KI28" s="107"/>
      <c r="KJ28" s="107"/>
      <c r="KK28" s="105"/>
      <c r="KN28" s="107"/>
      <c r="KO28" s="107"/>
      <c r="KP28" s="105"/>
      <c r="KS28" s="107"/>
      <c r="KT28" s="107"/>
      <c r="KU28" s="105"/>
      <c r="KX28" s="107"/>
      <c r="KY28" s="107"/>
      <c r="KZ28" s="105"/>
      <c r="LB28" s="38"/>
      <c r="LD28" s="107"/>
      <c r="LE28" s="107"/>
      <c r="LF28" s="105"/>
      <c r="LI28" s="107"/>
      <c r="LJ28" s="107"/>
      <c r="LK28" s="105"/>
      <c r="LN28" s="107"/>
      <c r="LO28" s="107"/>
      <c r="LP28" s="105"/>
      <c r="LS28" s="107"/>
      <c r="LT28" s="107"/>
      <c r="LU28" s="105"/>
      <c r="LX28" s="107"/>
      <c r="LY28" s="107"/>
      <c r="LZ28" s="105"/>
      <c r="MC28" s="107"/>
      <c r="MD28" s="107"/>
      <c r="ME28" s="105"/>
      <c r="MG28" s="38"/>
      <c r="MI28" s="107"/>
      <c r="MJ28" s="107"/>
      <c r="MK28" s="105"/>
      <c r="MN28" s="107"/>
      <c r="MO28" s="107"/>
      <c r="MP28" s="105"/>
      <c r="MS28" s="107"/>
      <c r="MT28" s="107"/>
      <c r="MU28" s="105"/>
      <c r="MX28" s="107"/>
      <c r="MY28" s="107"/>
      <c r="MZ28" s="105"/>
      <c r="NC28" s="107"/>
      <c r="ND28" s="107"/>
      <c r="NE28" s="105"/>
      <c r="NH28" s="107"/>
      <c r="NI28" s="107"/>
      <c r="NJ28" s="105"/>
      <c r="NL28" s="38"/>
      <c r="NN28" s="107"/>
      <c r="NO28" s="107"/>
      <c r="NP28" s="105"/>
      <c r="NS28" s="107"/>
      <c r="NT28" s="107"/>
      <c r="NU28" s="105"/>
      <c r="NX28" s="107"/>
      <c r="NY28" s="107"/>
      <c r="NZ28" s="105"/>
      <c r="OC28" s="107"/>
      <c r="OD28" s="107"/>
      <c r="OE28" s="105"/>
      <c r="OH28" s="107"/>
      <c r="OI28" s="107"/>
      <c r="OJ28" s="105"/>
      <c r="OM28" s="107"/>
      <c r="ON28" s="107"/>
      <c r="OO28" s="105"/>
    </row>
    <row r="29" ht="15.75" customHeight="1">
      <c r="A29" s="42"/>
      <c r="B29" s="42"/>
      <c r="C29" s="42"/>
      <c r="D29" s="38">
        <f t="shared" ref="D29:D42" si="239">D28</f>
        <v>45964</v>
      </c>
      <c r="E29" s="105" t="str">
        <f t="shared" ref="E29:I29" si="236">E5</f>
        <v/>
      </c>
      <c r="F29" s="105" t="str">
        <f t="shared" si="236"/>
        <v/>
      </c>
      <c r="G29" s="105" t="str">
        <f t="shared" si="236"/>
        <v/>
      </c>
      <c r="H29" s="106" t="str">
        <f t="shared" si="236"/>
        <v/>
      </c>
      <c r="I29" s="106" t="str">
        <f t="shared" si="236"/>
        <v/>
      </c>
      <c r="J29" s="107" t="str">
        <f t="array" ref="J29">IFERROR(IF(XLOOKUP(CONCAT(E29,F29),'MASTER PLAN'!$AB:$AB,'MASTER PLAN'!$M:$M,0,0)=0,"",XLOOKUP(CONCAT(E29,F29),'MASTER PLAN'!$AB:$AB,'MASTER PLAN'!$M:$M,0,0)),"")</f>
        <v/>
      </c>
      <c r="K29" s="107">
        <f t="shared" si="237"/>
        <v>0</v>
      </c>
      <c r="L29" s="107">
        <f t="shared" si="238"/>
        <v>0</v>
      </c>
      <c r="M29" s="105" t="s">
        <v>246</v>
      </c>
      <c r="P29" s="107"/>
      <c r="Q29" s="107"/>
      <c r="R29" s="105"/>
      <c r="U29" s="107"/>
      <c r="V29" s="107"/>
      <c r="W29" s="105"/>
      <c r="Z29" s="107"/>
      <c r="AA29" s="107"/>
      <c r="AB29" s="105"/>
      <c r="AE29" s="107"/>
      <c r="AF29" s="107"/>
      <c r="AG29" s="105"/>
      <c r="AI29" s="38"/>
      <c r="AK29" s="107"/>
      <c r="AL29" s="107"/>
      <c r="AM29" s="105"/>
      <c r="AP29" s="107"/>
      <c r="AQ29" s="107"/>
      <c r="AR29" s="105"/>
      <c r="AU29" s="107"/>
      <c r="AV29" s="107"/>
      <c r="AW29" s="105"/>
      <c r="AZ29" s="107"/>
      <c r="BA29" s="107"/>
      <c r="BB29" s="105"/>
      <c r="BE29" s="107"/>
      <c r="BF29" s="107"/>
      <c r="BG29" s="105"/>
      <c r="BJ29" s="107"/>
      <c r="BK29" s="107"/>
      <c r="BL29" s="105"/>
      <c r="BN29" s="38"/>
      <c r="BP29" s="107"/>
      <c r="BQ29" s="107"/>
      <c r="BR29" s="105"/>
      <c r="BU29" s="107"/>
      <c r="BV29" s="107"/>
      <c r="BW29" s="105"/>
      <c r="BZ29" s="107"/>
      <c r="CA29" s="107"/>
      <c r="CB29" s="105"/>
      <c r="CE29" s="107"/>
      <c r="CF29" s="107"/>
      <c r="CG29" s="105"/>
      <c r="CJ29" s="107"/>
      <c r="CK29" s="107"/>
      <c r="CL29" s="105"/>
      <c r="CO29" s="107"/>
      <c r="CP29" s="107"/>
      <c r="CQ29" s="105"/>
      <c r="CS29" s="38"/>
      <c r="CU29" s="107"/>
      <c r="CV29" s="107"/>
      <c r="CW29" s="105"/>
      <c r="CZ29" s="107"/>
      <c r="DA29" s="107"/>
      <c r="DB29" s="105"/>
      <c r="DE29" s="107"/>
      <c r="DF29" s="107"/>
      <c r="DG29" s="105"/>
      <c r="DJ29" s="107"/>
      <c r="DK29" s="107"/>
      <c r="DL29" s="105"/>
      <c r="DO29" s="107"/>
      <c r="DP29" s="107"/>
      <c r="DQ29" s="105"/>
      <c r="DT29" s="107"/>
      <c r="DU29" s="107"/>
      <c r="DV29" s="105"/>
      <c r="DX29" s="38"/>
      <c r="DZ29" s="107"/>
      <c r="EA29" s="107"/>
      <c r="EB29" s="105"/>
      <c r="EE29" s="107"/>
      <c r="EF29" s="107"/>
      <c r="EG29" s="105"/>
      <c r="EJ29" s="107"/>
      <c r="EK29" s="107"/>
      <c r="EL29" s="105"/>
      <c r="EO29" s="107"/>
      <c r="EP29" s="107"/>
      <c r="EQ29" s="105"/>
      <c r="ET29" s="107"/>
      <c r="EU29" s="107"/>
      <c r="EV29" s="105"/>
      <c r="EY29" s="107"/>
      <c r="EZ29" s="107"/>
      <c r="FA29" s="105"/>
      <c r="FC29" s="38"/>
      <c r="FE29" s="107"/>
      <c r="FF29" s="107"/>
      <c r="FG29" s="105"/>
      <c r="FJ29" s="107"/>
      <c r="FK29" s="107"/>
      <c r="FL29" s="105"/>
      <c r="FO29" s="107"/>
      <c r="FP29" s="107"/>
      <c r="FQ29" s="105"/>
      <c r="FT29" s="107"/>
      <c r="FU29" s="107"/>
      <c r="FV29" s="105"/>
      <c r="FY29" s="107"/>
      <c r="FZ29" s="107"/>
      <c r="GA29" s="105"/>
      <c r="GD29" s="107"/>
      <c r="GE29" s="107"/>
      <c r="GF29" s="105"/>
      <c r="GH29" s="38"/>
      <c r="GJ29" s="107"/>
      <c r="GK29" s="107"/>
      <c r="GL29" s="105"/>
      <c r="GO29" s="107"/>
      <c r="GP29" s="107"/>
      <c r="GQ29" s="105"/>
      <c r="GT29" s="107"/>
      <c r="GU29" s="107"/>
      <c r="GV29" s="105"/>
      <c r="GY29" s="107"/>
      <c r="GZ29" s="107"/>
      <c r="HA29" s="105"/>
      <c r="HD29" s="107"/>
      <c r="HE29" s="107"/>
      <c r="HF29" s="105"/>
      <c r="HI29" s="107"/>
      <c r="HJ29" s="107"/>
      <c r="HK29" s="105"/>
      <c r="HM29" s="38"/>
      <c r="HO29" s="107"/>
      <c r="HP29" s="107"/>
      <c r="HQ29" s="105"/>
      <c r="HT29" s="107"/>
      <c r="HU29" s="107"/>
      <c r="HV29" s="105"/>
      <c r="HY29" s="107"/>
      <c r="HZ29" s="107"/>
      <c r="IA29" s="105"/>
      <c r="ID29" s="107"/>
      <c r="IE29" s="107"/>
      <c r="IF29" s="105"/>
      <c r="II29" s="107"/>
      <c r="IJ29" s="107"/>
      <c r="IK29" s="105"/>
      <c r="IN29" s="107"/>
      <c r="IO29" s="107"/>
      <c r="IP29" s="105"/>
      <c r="IR29" s="38"/>
      <c r="IT29" s="107"/>
      <c r="IU29" s="107"/>
      <c r="IV29" s="105"/>
      <c r="IY29" s="107"/>
      <c r="IZ29" s="107"/>
      <c r="JA29" s="105"/>
      <c r="JD29" s="107"/>
      <c r="JE29" s="107"/>
      <c r="JF29" s="105"/>
      <c r="JI29" s="107"/>
      <c r="JJ29" s="107"/>
      <c r="JK29" s="105"/>
      <c r="JN29" s="107"/>
      <c r="JO29" s="107"/>
      <c r="JP29" s="105"/>
      <c r="JS29" s="107"/>
      <c r="JT29" s="107"/>
      <c r="JU29" s="105"/>
      <c r="JW29" s="38"/>
      <c r="JY29" s="107"/>
      <c r="JZ29" s="107"/>
      <c r="KA29" s="105"/>
      <c r="KD29" s="107"/>
      <c r="KE29" s="107"/>
      <c r="KF29" s="105"/>
      <c r="KI29" s="107"/>
      <c r="KJ29" s="107"/>
      <c r="KK29" s="105"/>
      <c r="KN29" s="107"/>
      <c r="KO29" s="107"/>
      <c r="KP29" s="105"/>
      <c r="KS29" s="107"/>
      <c r="KT29" s="107"/>
      <c r="KU29" s="105"/>
      <c r="KX29" s="107"/>
      <c r="KY29" s="107"/>
      <c r="KZ29" s="105"/>
      <c r="LB29" s="38"/>
      <c r="LD29" s="107"/>
      <c r="LE29" s="107"/>
      <c r="LF29" s="105"/>
      <c r="LI29" s="107"/>
      <c r="LJ29" s="107"/>
      <c r="LK29" s="105"/>
      <c r="LN29" s="107"/>
      <c r="LO29" s="107"/>
      <c r="LP29" s="105"/>
      <c r="LS29" s="107"/>
      <c r="LT29" s="107"/>
      <c r="LU29" s="105"/>
      <c r="LX29" s="107"/>
      <c r="LY29" s="107"/>
      <c r="LZ29" s="105"/>
      <c r="MC29" s="107"/>
      <c r="MD29" s="107"/>
      <c r="ME29" s="105"/>
      <c r="MG29" s="38"/>
      <c r="MI29" s="107"/>
      <c r="MJ29" s="107"/>
      <c r="MK29" s="105"/>
      <c r="MN29" s="107"/>
      <c r="MO29" s="107"/>
      <c r="MP29" s="105"/>
      <c r="MS29" s="107"/>
      <c r="MT29" s="107"/>
      <c r="MU29" s="105"/>
      <c r="MX29" s="107"/>
      <c r="MY29" s="107"/>
      <c r="MZ29" s="105"/>
      <c r="NC29" s="107"/>
      <c r="ND29" s="107"/>
      <c r="NE29" s="105"/>
      <c r="NH29" s="107"/>
      <c r="NI29" s="107"/>
      <c r="NJ29" s="105"/>
      <c r="NL29" s="38"/>
      <c r="NN29" s="107"/>
      <c r="NO29" s="107"/>
      <c r="NP29" s="105"/>
      <c r="NS29" s="107"/>
      <c r="NT29" s="107"/>
      <c r="NU29" s="105"/>
      <c r="NX29" s="107"/>
      <c r="NY29" s="107"/>
      <c r="NZ29" s="105"/>
      <c r="OC29" s="107"/>
      <c r="OD29" s="107"/>
      <c r="OE29" s="105"/>
      <c r="OH29" s="107"/>
      <c r="OI29" s="107"/>
      <c r="OJ29" s="105"/>
      <c r="OM29" s="107"/>
      <c r="ON29" s="107"/>
      <c r="OO29" s="105"/>
    </row>
    <row r="30" ht="15.75" customHeight="1">
      <c r="A30" s="42"/>
      <c r="B30" s="42"/>
      <c r="C30" s="42"/>
      <c r="D30" s="38">
        <f t="shared" si="239"/>
        <v>45964</v>
      </c>
      <c r="E30" s="105" t="str">
        <f t="shared" ref="E30:I30" si="240">E6</f>
        <v/>
      </c>
      <c r="F30" s="105" t="str">
        <f t="shared" si="240"/>
        <v/>
      </c>
      <c r="G30" s="105" t="str">
        <f t="shared" si="240"/>
        <v/>
      </c>
      <c r="H30" s="106" t="str">
        <f t="shared" si="240"/>
        <v/>
      </c>
      <c r="I30" s="106" t="str">
        <f t="shared" si="240"/>
        <v/>
      </c>
      <c r="J30" s="107" t="str">
        <f t="array" ref="J30">IFERROR(IF(XLOOKUP(CONCAT(E30,F30),'MASTER PLAN'!$AB:$AB,'MASTER PLAN'!$M:$M,0,0)=0,"",XLOOKUP(CONCAT(E30,F30),'MASTER PLAN'!$AB:$AB,'MASTER PLAN'!$M:$M,0,0)),"")</f>
        <v/>
      </c>
      <c r="K30" s="107">
        <f t="shared" si="237"/>
        <v>0</v>
      </c>
      <c r="L30" s="107">
        <f t="shared" si="238"/>
        <v>0</v>
      </c>
      <c r="M30" s="105" t="s">
        <v>246</v>
      </c>
      <c r="P30" s="107"/>
      <c r="Q30" s="107"/>
      <c r="R30" s="105"/>
      <c r="U30" s="107"/>
      <c r="V30" s="107"/>
      <c r="W30" s="105"/>
      <c r="Z30" s="107"/>
      <c r="AA30" s="107"/>
      <c r="AB30" s="105"/>
      <c r="AE30" s="107"/>
      <c r="AF30" s="107"/>
      <c r="AG30" s="105"/>
      <c r="AI30" s="38"/>
      <c r="AK30" s="107"/>
      <c r="AL30" s="107"/>
      <c r="AM30" s="105"/>
      <c r="AP30" s="107"/>
      <c r="AQ30" s="107"/>
      <c r="AR30" s="105"/>
      <c r="AU30" s="107"/>
      <c r="AV30" s="107"/>
      <c r="AW30" s="105"/>
      <c r="AZ30" s="107"/>
      <c r="BA30" s="107"/>
      <c r="BB30" s="105"/>
      <c r="BE30" s="107"/>
      <c r="BF30" s="107"/>
      <c r="BG30" s="105"/>
      <c r="BJ30" s="107"/>
      <c r="BK30" s="107"/>
      <c r="BL30" s="105"/>
      <c r="BN30" s="38"/>
      <c r="BP30" s="107"/>
      <c r="BQ30" s="107"/>
      <c r="BR30" s="105"/>
      <c r="BU30" s="107"/>
      <c r="BV30" s="107"/>
      <c r="BW30" s="105"/>
      <c r="BZ30" s="107"/>
      <c r="CA30" s="107"/>
      <c r="CB30" s="105"/>
      <c r="CE30" s="107"/>
      <c r="CF30" s="107"/>
      <c r="CG30" s="105"/>
      <c r="CJ30" s="107"/>
      <c r="CK30" s="107"/>
      <c r="CL30" s="105"/>
      <c r="CO30" s="107"/>
      <c r="CP30" s="107"/>
      <c r="CQ30" s="105"/>
      <c r="CS30" s="38"/>
      <c r="CU30" s="107"/>
      <c r="CV30" s="107"/>
      <c r="CW30" s="105"/>
      <c r="CZ30" s="107"/>
      <c r="DA30" s="107"/>
      <c r="DB30" s="105"/>
      <c r="DE30" s="107"/>
      <c r="DF30" s="107"/>
      <c r="DG30" s="105"/>
      <c r="DJ30" s="107"/>
      <c r="DK30" s="107"/>
      <c r="DL30" s="105"/>
      <c r="DO30" s="107"/>
      <c r="DP30" s="107"/>
      <c r="DQ30" s="105"/>
      <c r="DT30" s="107"/>
      <c r="DU30" s="107"/>
      <c r="DV30" s="105"/>
      <c r="DX30" s="38"/>
      <c r="DZ30" s="107"/>
      <c r="EA30" s="107"/>
      <c r="EB30" s="105"/>
      <c r="EE30" s="107"/>
      <c r="EF30" s="107"/>
      <c r="EG30" s="105"/>
      <c r="EJ30" s="107"/>
      <c r="EK30" s="107"/>
      <c r="EL30" s="105"/>
      <c r="EO30" s="107"/>
      <c r="EP30" s="107"/>
      <c r="EQ30" s="105"/>
      <c r="ET30" s="107"/>
      <c r="EU30" s="107"/>
      <c r="EV30" s="105"/>
      <c r="EY30" s="107"/>
      <c r="EZ30" s="107"/>
      <c r="FA30" s="105"/>
      <c r="FC30" s="38"/>
      <c r="FE30" s="107"/>
      <c r="FF30" s="107"/>
      <c r="FG30" s="105"/>
      <c r="FJ30" s="107"/>
      <c r="FK30" s="107"/>
      <c r="FL30" s="105"/>
      <c r="FO30" s="107"/>
      <c r="FP30" s="107"/>
      <c r="FQ30" s="105"/>
      <c r="FT30" s="107"/>
      <c r="FU30" s="107"/>
      <c r="FV30" s="105"/>
      <c r="FY30" s="107"/>
      <c r="FZ30" s="107"/>
      <c r="GA30" s="105"/>
      <c r="GD30" s="107"/>
      <c r="GE30" s="107"/>
      <c r="GF30" s="105"/>
      <c r="GH30" s="38"/>
      <c r="GJ30" s="107"/>
      <c r="GK30" s="107"/>
      <c r="GL30" s="105"/>
      <c r="GO30" s="107"/>
      <c r="GP30" s="107"/>
      <c r="GQ30" s="105"/>
      <c r="GT30" s="107"/>
      <c r="GU30" s="107"/>
      <c r="GV30" s="105"/>
      <c r="GY30" s="107"/>
      <c r="GZ30" s="107"/>
      <c r="HA30" s="105"/>
      <c r="HD30" s="107"/>
      <c r="HE30" s="107"/>
      <c r="HF30" s="105"/>
      <c r="HI30" s="107"/>
      <c r="HJ30" s="107"/>
      <c r="HK30" s="105"/>
      <c r="HM30" s="38"/>
      <c r="HO30" s="107"/>
      <c r="HP30" s="107"/>
      <c r="HQ30" s="105"/>
      <c r="HT30" s="107"/>
      <c r="HU30" s="107"/>
      <c r="HV30" s="105"/>
      <c r="HY30" s="107"/>
      <c r="HZ30" s="107"/>
      <c r="IA30" s="105"/>
      <c r="ID30" s="107"/>
      <c r="IE30" s="107"/>
      <c r="IF30" s="105"/>
      <c r="II30" s="107"/>
      <c r="IJ30" s="107"/>
      <c r="IK30" s="105"/>
      <c r="IN30" s="107"/>
      <c r="IO30" s="107"/>
      <c r="IP30" s="105"/>
      <c r="IR30" s="38"/>
      <c r="IT30" s="107"/>
      <c r="IU30" s="107"/>
      <c r="IV30" s="105"/>
      <c r="IY30" s="107"/>
      <c r="IZ30" s="107"/>
      <c r="JA30" s="105"/>
      <c r="JD30" s="107"/>
      <c r="JE30" s="107"/>
      <c r="JF30" s="105"/>
      <c r="JI30" s="107"/>
      <c r="JJ30" s="107"/>
      <c r="JK30" s="105"/>
      <c r="JN30" s="107"/>
      <c r="JO30" s="107"/>
      <c r="JP30" s="105"/>
      <c r="JS30" s="107"/>
      <c r="JT30" s="107"/>
      <c r="JU30" s="105"/>
      <c r="JW30" s="38"/>
      <c r="JY30" s="107"/>
      <c r="JZ30" s="107"/>
      <c r="KA30" s="105"/>
      <c r="KD30" s="107"/>
      <c r="KE30" s="107"/>
      <c r="KF30" s="105"/>
      <c r="KI30" s="107"/>
      <c r="KJ30" s="107"/>
      <c r="KK30" s="105"/>
      <c r="KN30" s="107"/>
      <c r="KO30" s="107"/>
      <c r="KP30" s="105"/>
      <c r="KS30" s="107"/>
      <c r="KT30" s="107"/>
      <c r="KU30" s="105"/>
      <c r="KX30" s="107"/>
      <c r="KY30" s="107"/>
      <c r="KZ30" s="105"/>
      <c r="LB30" s="38"/>
      <c r="LD30" s="107"/>
      <c r="LE30" s="107"/>
      <c r="LF30" s="105"/>
      <c r="LI30" s="107"/>
      <c r="LJ30" s="107"/>
      <c r="LK30" s="105"/>
      <c r="LN30" s="107"/>
      <c r="LO30" s="107"/>
      <c r="LP30" s="105"/>
      <c r="LS30" s="107"/>
      <c r="LT30" s="107"/>
      <c r="LU30" s="105"/>
      <c r="LX30" s="107"/>
      <c r="LY30" s="107"/>
      <c r="LZ30" s="105"/>
      <c r="MC30" s="107"/>
      <c r="MD30" s="107"/>
      <c r="ME30" s="105"/>
      <c r="MG30" s="38"/>
      <c r="MI30" s="107"/>
      <c r="MJ30" s="107"/>
      <c r="MK30" s="105"/>
      <c r="MN30" s="107"/>
      <c r="MO30" s="107"/>
      <c r="MP30" s="105"/>
      <c r="MS30" s="107"/>
      <c r="MT30" s="107"/>
      <c r="MU30" s="105"/>
      <c r="MX30" s="107"/>
      <c r="MY30" s="107"/>
      <c r="MZ30" s="105"/>
      <c r="NC30" s="107"/>
      <c r="ND30" s="107"/>
      <c r="NE30" s="105"/>
      <c r="NH30" s="107"/>
      <c r="NI30" s="107"/>
      <c r="NJ30" s="105"/>
      <c r="NL30" s="38"/>
      <c r="NN30" s="107"/>
      <c r="NO30" s="107"/>
      <c r="NP30" s="105"/>
      <c r="NS30" s="107"/>
      <c r="NT30" s="107"/>
      <c r="NU30" s="105"/>
      <c r="NX30" s="107"/>
      <c r="NY30" s="107"/>
      <c r="NZ30" s="105"/>
      <c r="OC30" s="107"/>
      <c r="OD30" s="107"/>
      <c r="OE30" s="105"/>
      <c r="OH30" s="107"/>
      <c r="OI30" s="107"/>
      <c r="OJ30" s="105"/>
      <c r="OM30" s="107"/>
      <c r="ON30" s="107"/>
      <c r="OO30" s="105"/>
    </row>
    <row r="31" ht="15.75" customHeight="1">
      <c r="A31" s="42"/>
      <c r="B31" s="42"/>
      <c r="C31" s="42"/>
      <c r="D31" s="38">
        <f t="shared" si="239"/>
        <v>45964</v>
      </c>
      <c r="E31" s="105" t="str">
        <f t="shared" ref="E31:I31" si="241">E7</f>
        <v/>
      </c>
      <c r="F31" s="105" t="str">
        <f t="shared" si="241"/>
        <v/>
      </c>
      <c r="G31" s="105" t="str">
        <f t="shared" si="241"/>
        <v/>
      </c>
      <c r="H31" s="106" t="str">
        <f t="shared" si="241"/>
        <v/>
      </c>
      <c r="I31" s="106" t="str">
        <f t="shared" si="241"/>
        <v/>
      </c>
      <c r="J31" s="107" t="str">
        <f t="array" ref="J31">IFERROR(IF(XLOOKUP(CONCAT(E31,F31),'MASTER PLAN'!$AB:$AB,'MASTER PLAN'!$M:$M,0,0)=0,"",XLOOKUP(CONCAT(E31,F31),'MASTER PLAN'!$AB:$AB,'MASTER PLAN'!$M:$M,0,0)),"")</f>
        <v/>
      </c>
      <c r="K31" s="107">
        <f t="shared" si="237"/>
        <v>0</v>
      </c>
      <c r="L31" s="107">
        <f t="shared" si="238"/>
        <v>0</v>
      </c>
      <c r="M31" s="105" t="s">
        <v>246</v>
      </c>
      <c r="P31" s="107"/>
      <c r="Q31" s="107"/>
      <c r="R31" s="105"/>
      <c r="U31" s="107"/>
      <c r="V31" s="107"/>
      <c r="W31" s="105"/>
      <c r="Z31" s="107"/>
      <c r="AA31" s="107"/>
      <c r="AB31" s="105"/>
      <c r="AE31" s="107"/>
      <c r="AF31" s="107"/>
      <c r="AG31" s="105"/>
      <c r="AI31" s="38"/>
      <c r="AK31" s="107"/>
      <c r="AL31" s="107"/>
      <c r="AM31" s="105"/>
      <c r="AP31" s="107"/>
      <c r="AQ31" s="107"/>
      <c r="AR31" s="105"/>
      <c r="AU31" s="107"/>
      <c r="AV31" s="107"/>
      <c r="AW31" s="105"/>
      <c r="AZ31" s="107"/>
      <c r="BA31" s="107"/>
      <c r="BB31" s="105"/>
      <c r="BE31" s="107"/>
      <c r="BF31" s="107"/>
      <c r="BG31" s="105"/>
      <c r="BJ31" s="107"/>
      <c r="BK31" s="107"/>
      <c r="BL31" s="105"/>
      <c r="BN31" s="38"/>
      <c r="BP31" s="107"/>
      <c r="BQ31" s="107"/>
      <c r="BR31" s="105"/>
      <c r="BU31" s="107"/>
      <c r="BV31" s="107"/>
      <c r="BW31" s="105"/>
      <c r="BZ31" s="107"/>
      <c r="CA31" s="107"/>
      <c r="CB31" s="105"/>
      <c r="CE31" s="107"/>
      <c r="CF31" s="107"/>
      <c r="CG31" s="105"/>
      <c r="CJ31" s="107"/>
      <c r="CK31" s="107"/>
      <c r="CL31" s="105"/>
      <c r="CO31" s="107"/>
      <c r="CP31" s="107"/>
      <c r="CQ31" s="105"/>
      <c r="CS31" s="38"/>
      <c r="CU31" s="107"/>
      <c r="CV31" s="107"/>
      <c r="CW31" s="105"/>
      <c r="CZ31" s="107"/>
      <c r="DA31" s="107"/>
      <c r="DB31" s="105"/>
      <c r="DE31" s="107"/>
      <c r="DF31" s="107"/>
      <c r="DG31" s="105"/>
      <c r="DJ31" s="107"/>
      <c r="DK31" s="107"/>
      <c r="DL31" s="105"/>
      <c r="DO31" s="107"/>
      <c r="DP31" s="107"/>
      <c r="DQ31" s="105"/>
      <c r="DT31" s="107"/>
      <c r="DU31" s="107"/>
      <c r="DV31" s="105"/>
      <c r="DX31" s="38"/>
      <c r="DZ31" s="107"/>
      <c r="EA31" s="107"/>
      <c r="EB31" s="105"/>
      <c r="EE31" s="107"/>
      <c r="EF31" s="107"/>
      <c r="EG31" s="105"/>
      <c r="EJ31" s="107"/>
      <c r="EK31" s="107"/>
      <c r="EL31" s="105"/>
      <c r="EO31" s="107"/>
      <c r="EP31" s="107"/>
      <c r="EQ31" s="105"/>
      <c r="ET31" s="107"/>
      <c r="EU31" s="107"/>
      <c r="EV31" s="105"/>
      <c r="EY31" s="107"/>
      <c r="EZ31" s="107"/>
      <c r="FA31" s="105"/>
      <c r="FC31" s="38"/>
      <c r="FE31" s="107"/>
      <c r="FF31" s="107"/>
      <c r="FG31" s="105"/>
      <c r="FJ31" s="107"/>
      <c r="FK31" s="107"/>
      <c r="FL31" s="105"/>
      <c r="FO31" s="107"/>
      <c r="FP31" s="107"/>
      <c r="FQ31" s="105"/>
      <c r="FT31" s="107"/>
      <c r="FU31" s="107"/>
      <c r="FV31" s="105"/>
      <c r="FY31" s="107"/>
      <c r="FZ31" s="107"/>
      <c r="GA31" s="105"/>
      <c r="GD31" s="107"/>
      <c r="GE31" s="107"/>
      <c r="GF31" s="105"/>
      <c r="GH31" s="38"/>
      <c r="GJ31" s="107"/>
      <c r="GK31" s="107"/>
      <c r="GL31" s="105"/>
      <c r="GO31" s="107"/>
      <c r="GP31" s="107"/>
      <c r="GQ31" s="105"/>
      <c r="GT31" s="107"/>
      <c r="GU31" s="107"/>
      <c r="GV31" s="105"/>
      <c r="GY31" s="107"/>
      <c r="GZ31" s="107"/>
      <c r="HA31" s="105"/>
      <c r="HD31" s="107"/>
      <c r="HE31" s="107"/>
      <c r="HF31" s="105"/>
      <c r="HI31" s="107"/>
      <c r="HJ31" s="107"/>
      <c r="HK31" s="105"/>
      <c r="HM31" s="38"/>
      <c r="HO31" s="107"/>
      <c r="HP31" s="107"/>
      <c r="HQ31" s="105"/>
      <c r="HT31" s="107"/>
      <c r="HU31" s="107"/>
      <c r="HV31" s="105"/>
      <c r="HY31" s="107"/>
      <c r="HZ31" s="107"/>
      <c r="IA31" s="105"/>
      <c r="ID31" s="107"/>
      <c r="IE31" s="107"/>
      <c r="IF31" s="105"/>
      <c r="II31" s="107"/>
      <c r="IJ31" s="107"/>
      <c r="IK31" s="105"/>
      <c r="IN31" s="107"/>
      <c r="IO31" s="107"/>
      <c r="IP31" s="105"/>
      <c r="IR31" s="38"/>
      <c r="IT31" s="107"/>
      <c r="IU31" s="107"/>
      <c r="IV31" s="105"/>
      <c r="IY31" s="107"/>
      <c r="IZ31" s="107"/>
      <c r="JA31" s="105"/>
      <c r="JD31" s="107"/>
      <c r="JE31" s="107"/>
      <c r="JF31" s="105"/>
      <c r="JI31" s="107"/>
      <c r="JJ31" s="107"/>
      <c r="JK31" s="105"/>
      <c r="JN31" s="107"/>
      <c r="JO31" s="107"/>
      <c r="JP31" s="105"/>
      <c r="JS31" s="107"/>
      <c r="JT31" s="107"/>
      <c r="JU31" s="105"/>
      <c r="JW31" s="38"/>
      <c r="JY31" s="107"/>
      <c r="JZ31" s="107"/>
      <c r="KA31" s="105"/>
      <c r="KD31" s="107"/>
      <c r="KE31" s="107"/>
      <c r="KF31" s="105"/>
      <c r="KI31" s="107"/>
      <c r="KJ31" s="107"/>
      <c r="KK31" s="105"/>
      <c r="KN31" s="107"/>
      <c r="KO31" s="107"/>
      <c r="KP31" s="105"/>
      <c r="KS31" s="107"/>
      <c r="KT31" s="107"/>
      <c r="KU31" s="105"/>
      <c r="KX31" s="107"/>
      <c r="KY31" s="107"/>
      <c r="KZ31" s="105"/>
      <c r="LB31" s="38"/>
      <c r="LD31" s="107"/>
      <c r="LE31" s="107"/>
      <c r="LF31" s="105"/>
      <c r="LI31" s="107"/>
      <c r="LJ31" s="107"/>
      <c r="LK31" s="105"/>
      <c r="LN31" s="107"/>
      <c r="LO31" s="107"/>
      <c r="LP31" s="105"/>
      <c r="LS31" s="107"/>
      <c r="LT31" s="107"/>
      <c r="LU31" s="105"/>
      <c r="LX31" s="107"/>
      <c r="LY31" s="107"/>
      <c r="LZ31" s="105"/>
      <c r="MC31" s="107"/>
      <c r="MD31" s="107"/>
      <c r="ME31" s="105"/>
      <c r="MG31" s="38"/>
      <c r="MI31" s="107"/>
      <c r="MJ31" s="107"/>
      <c r="MK31" s="105"/>
      <c r="MN31" s="107"/>
      <c r="MO31" s="107"/>
      <c r="MP31" s="105"/>
      <c r="MS31" s="107"/>
      <c r="MT31" s="107"/>
      <c r="MU31" s="105"/>
      <c r="MX31" s="107"/>
      <c r="MY31" s="107"/>
      <c r="MZ31" s="105"/>
      <c r="NC31" s="107"/>
      <c r="ND31" s="107"/>
      <c r="NE31" s="105"/>
      <c r="NH31" s="107"/>
      <c r="NI31" s="107"/>
      <c r="NJ31" s="105"/>
      <c r="NL31" s="38"/>
      <c r="NN31" s="107"/>
      <c r="NO31" s="107"/>
      <c r="NP31" s="105"/>
      <c r="NS31" s="107"/>
      <c r="NT31" s="107"/>
      <c r="NU31" s="105"/>
      <c r="NX31" s="107"/>
      <c r="NY31" s="107"/>
      <c r="NZ31" s="105"/>
      <c r="OC31" s="107"/>
      <c r="OD31" s="107"/>
      <c r="OE31" s="105"/>
      <c r="OH31" s="107"/>
      <c r="OI31" s="107"/>
      <c r="OJ31" s="105"/>
      <c r="OM31" s="107"/>
      <c r="ON31" s="107"/>
      <c r="OO31" s="105"/>
    </row>
    <row r="32" ht="15.75" customHeight="1">
      <c r="A32" s="42"/>
      <c r="B32" s="42"/>
      <c r="C32" s="42"/>
      <c r="D32" s="38">
        <f t="shared" si="239"/>
        <v>45964</v>
      </c>
      <c r="E32" s="105" t="str">
        <f t="shared" ref="E32:I32" si="242">E8</f>
        <v/>
      </c>
      <c r="F32" s="105" t="str">
        <f t="shared" si="242"/>
        <v/>
      </c>
      <c r="G32" s="105" t="str">
        <f t="shared" si="242"/>
        <v/>
      </c>
      <c r="H32" s="106" t="str">
        <f t="shared" si="242"/>
        <v/>
      </c>
      <c r="I32" s="106" t="str">
        <f t="shared" si="242"/>
        <v/>
      </c>
      <c r="J32" s="107" t="str">
        <f t="array" ref="J32">IFERROR(IF(XLOOKUP(CONCAT(E32,F32),'MASTER PLAN'!$AB:$AB,'MASTER PLAN'!$M:$M,0,0)=0,"",XLOOKUP(CONCAT(E32,F32),'MASTER PLAN'!$AB:$AB,'MASTER PLAN'!$M:$M,0,0)),"")</f>
        <v/>
      </c>
      <c r="K32" s="107">
        <f t="shared" si="237"/>
        <v>0</v>
      </c>
      <c r="L32" s="107">
        <f t="shared" si="238"/>
        <v>0</v>
      </c>
      <c r="M32" s="105" t="s">
        <v>246</v>
      </c>
      <c r="P32" s="107"/>
      <c r="Q32" s="107"/>
      <c r="R32" s="105"/>
      <c r="U32" s="107"/>
      <c r="V32" s="107"/>
      <c r="W32" s="105"/>
      <c r="Z32" s="107"/>
      <c r="AA32" s="107"/>
      <c r="AB32" s="105"/>
      <c r="AE32" s="107"/>
      <c r="AF32" s="107"/>
      <c r="AG32" s="105"/>
      <c r="AI32" s="38"/>
      <c r="AK32" s="107"/>
      <c r="AL32" s="107"/>
      <c r="AM32" s="105"/>
      <c r="AP32" s="107"/>
      <c r="AQ32" s="107"/>
      <c r="AR32" s="105"/>
      <c r="AU32" s="107"/>
      <c r="AV32" s="107"/>
      <c r="AW32" s="105"/>
      <c r="AZ32" s="107"/>
      <c r="BA32" s="107"/>
      <c r="BB32" s="105"/>
      <c r="BE32" s="107"/>
      <c r="BF32" s="107"/>
      <c r="BG32" s="105"/>
      <c r="BJ32" s="107"/>
      <c r="BK32" s="107"/>
      <c r="BL32" s="105"/>
      <c r="BN32" s="38"/>
      <c r="BP32" s="107"/>
      <c r="BQ32" s="107"/>
      <c r="BR32" s="105"/>
      <c r="BU32" s="107"/>
      <c r="BV32" s="107"/>
      <c r="BW32" s="105"/>
      <c r="BZ32" s="107"/>
      <c r="CA32" s="107"/>
      <c r="CB32" s="105"/>
      <c r="CE32" s="107"/>
      <c r="CF32" s="107"/>
      <c r="CG32" s="105"/>
      <c r="CJ32" s="107"/>
      <c r="CK32" s="107"/>
      <c r="CL32" s="105"/>
      <c r="CO32" s="107"/>
      <c r="CP32" s="107"/>
      <c r="CQ32" s="105"/>
      <c r="CS32" s="38"/>
      <c r="CU32" s="107"/>
      <c r="CV32" s="107"/>
      <c r="CW32" s="105"/>
      <c r="CZ32" s="107"/>
      <c r="DA32" s="107"/>
      <c r="DB32" s="105"/>
      <c r="DE32" s="107"/>
      <c r="DF32" s="107"/>
      <c r="DG32" s="105"/>
      <c r="DJ32" s="107"/>
      <c r="DK32" s="107"/>
      <c r="DL32" s="105"/>
      <c r="DO32" s="107"/>
      <c r="DP32" s="107"/>
      <c r="DQ32" s="105"/>
      <c r="DT32" s="107"/>
      <c r="DU32" s="107"/>
      <c r="DV32" s="105"/>
      <c r="DX32" s="38"/>
      <c r="DZ32" s="107"/>
      <c r="EA32" s="107"/>
      <c r="EB32" s="105"/>
      <c r="EE32" s="107"/>
      <c r="EF32" s="107"/>
      <c r="EG32" s="105"/>
      <c r="EJ32" s="107"/>
      <c r="EK32" s="107"/>
      <c r="EL32" s="105"/>
      <c r="EO32" s="107"/>
      <c r="EP32" s="107"/>
      <c r="EQ32" s="105"/>
      <c r="ET32" s="107"/>
      <c r="EU32" s="107"/>
      <c r="EV32" s="105"/>
      <c r="EY32" s="107"/>
      <c r="EZ32" s="107"/>
      <c r="FA32" s="105"/>
      <c r="FC32" s="38"/>
      <c r="FE32" s="107"/>
      <c r="FF32" s="107"/>
      <c r="FG32" s="105"/>
      <c r="FJ32" s="107"/>
      <c r="FK32" s="107"/>
      <c r="FL32" s="105"/>
      <c r="FO32" s="107"/>
      <c r="FP32" s="107"/>
      <c r="FQ32" s="105"/>
      <c r="FT32" s="107"/>
      <c r="FU32" s="107"/>
      <c r="FV32" s="105"/>
      <c r="FY32" s="107"/>
      <c r="FZ32" s="107"/>
      <c r="GA32" s="105"/>
      <c r="GD32" s="107"/>
      <c r="GE32" s="107"/>
      <c r="GF32" s="105"/>
      <c r="GH32" s="38"/>
      <c r="GJ32" s="107"/>
      <c r="GK32" s="107"/>
      <c r="GL32" s="105"/>
      <c r="GO32" s="107"/>
      <c r="GP32" s="107"/>
      <c r="GQ32" s="105"/>
      <c r="GT32" s="107"/>
      <c r="GU32" s="107"/>
      <c r="GV32" s="105"/>
      <c r="GY32" s="107"/>
      <c r="GZ32" s="107"/>
      <c r="HA32" s="105"/>
      <c r="HD32" s="107"/>
      <c r="HE32" s="107"/>
      <c r="HF32" s="105"/>
      <c r="HI32" s="107"/>
      <c r="HJ32" s="107"/>
      <c r="HK32" s="105"/>
      <c r="HM32" s="38"/>
      <c r="HO32" s="107"/>
      <c r="HP32" s="107"/>
      <c r="HQ32" s="105"/>
      <c r="HT32" s="107"/>
      <c r="HU32" s="107"/>
      <c r="HV32" s="105"/>
      <c r="HY32" s="107"/>
      <c r="HZ32" s="107"/>
      <c r="IA32" s="105"/>
      <c r="ID32" s="107"/>
      <c r="IE32" s="107"/>
      <c r="IF32" s="105"/>
      <c r="II32" s="107"/>
      <c r="IJ32" s="107"/>
      <c r="IK32" s="105"/>
      <c r="IN32" s="107"/>
      <c r="IO32" s="107"/>
      <c r="IP32" s="105"/>
      <c r="IR32" s="38"/>
      <c r="IT32" s="107"/>
      <c r="IU32" s="107"/>
      <c r="IV32" s="105"/>
      <c r="IY32" s="107"/>
      <c r="IZ32" s="107"/>
      <c r="JA32" s="105"/>
      <c r="JD32" s="107"/>
      <c r="JE32" s="107"/>
      <c r="JF32" s="105"/>
      <c r="JI32" s="107"/>
      <c r="JJ32" s="107"/>
      <c r="JK32" s="105"/>
      <c r="JN32" s="107"/>
      <c r="JO32" s="107"/>
      <c r="JP32" s="105"/>
      <c r="JS32" s="107"/>
      <c r="JT32" s="107"/>
      <c r="JU32" s="105"/>
      <c r="JW32" s="38"/>
      <c r="JY32" s="107"/>
      <c r="JZ32" s="107"/>
      <c r="KA32" s="105"/>
      <c r="KD32" s="107"/>
      <c r="KE32" s="107"/>
      <c r="KF32" s="105"/>
      <c r="KI32" s="107"/>
      <c r="KJ32" s="107"/>
      <c r="KK32" s="105"/>
      <c r="KN32" s="107"/>
      <c r="KO32" s="107"/>
      <c r="KP32" s="105"/>
      <c r="KS32" s="107"/>
      <c r="KT32" s="107"/>
      <c r="KU32" s="105"/>
      <c r="KX32" s="107"/>
      <c r="KY32" s="107"/>
      <c r="KZ32" s="105"/>
      <c r="LB32" s="38"/>
      <c r="LD32" s="107"/>
      <c r="LE32" s="107"/>
      <c r="LF32" s="105"/>
      <c r="LI32" s="107"/>
      <c r="LJ32" s="107"/>
      <c r="LK32" s="105"/>
      <c r="LN32" s="107"/>
      <c r="LO32" s="107"/>
      <c r="LP32" s="105"/>
      <c r="LS32" s="107"/>
      <c r="LT32" s="107"/>
      <c r="LU32" s="105"/>
      <c r="LX32" s="107"/>
      <c r="LY32" s="107"/>
      <c r="LZ32" s="105"/>
      <c r="MC32" s="107"/>
      <c r="MD32" s="107"/>
      <c r="ME32" s="105"/>
      <c r="MG32" s="38"/>
      <c r="MI32" s="107"/>
      <c r="MJ32" s="107"/>
      <c r="MK32" s="105"/>
      <c r="MN32" s="107"/>
      <c r="MO32" s="107"/>
      <c r="MP32" s="105"/>
      <c r="MS32" s="107"/>
      <c r="MT32" s="107"/>
      <c r="MU32" s="105"/>
      <c r="MX32" s="107"/>
      <c r="MY32" s="107"/>
      <c r="MZ32" s="105"/>
      <c r="NC32" s="107"/>
      <c r="ND32" s="107"/>
      <c r="NE32" s="105"/>
      <c r="NH32" s="107"/>
      <c r="NI32" s="107"/>
      <c r="NJ32" s="105"/>
      <c r="NL32" s="38"/>
      <c r="NN32" s="107"/>
      <c r="NO32" s="107"/>
      <c r="NP32" s="105"/>
      <c r="NS32" s="107"/>
      <c r="NT32" s="107"/>
      <c r="NU32" s="105"/>
      <c r="NX32" s="107"/>
      <c r="NY32" s="107"/>
      <c r="NZ32" s="105"/>
      <c r="OC32" s="107"/>
      <c r="OD32" s="107"/>
      <c r="OE32" s="105"/>
      <c r="OH32" s="107"/>
      <c r="OI32" s="107"/>
      <c r="OJ32" s="105"/>
      <c r="OM32" s="107"/>
      <c r="ON32" s="107"/>
      <c r="OO32" s="105"/>
    </row>
    <row r="33" ht="15.75" customHeight="1">
      <c r="A33" s="42"/>
      <c r="B33" s="42"/>
      <c r="C33" s="42"/>
      <c r="D33" s="38">
        <f t="shared" si="239"/>
        <v>45964</v>
      </c>
      <c r="E33" s="105" t="str">
        <f t="shared" ref="E33:I33" si="243">E12</f>
        <v/>
      </c>
      <c r="F33" s="105" t="str">
        <f t="shared" si="243"/>
        <v/>
      </c>
      <c r="G33" s="105" t="str">
        <f t="shared" si="243"/>
        <v/>
      </c>
      <c r="H33" s="106" t="str">
        <f t="shared" si="243"/>
        <v/>
      </c>
      <c r="I33" s="106" t="str">
        <f t="shared" si="243"/>
        <v/>
      </c>
      <c r="J33" s="107" t="str">
        <f t="array" ref="J33">IFERROR(IF(XLOOKUP(CONCAT(E33,F33),'MASTER PLAN'!$AB:$AB,'MASTER PLAN'!$M:$M,0,0)=0,"",XLOOKUP(CONCAT(E33,F33),'MASTER PLAN'!$AB:$AB,'MASTER PLAN'!$M:$M,0,0)),"")</f>
        <v/>
      </c>
      <c r="K33" s="107">
        <f t="shared" si="237"/>
        <v>0</v>
      </c>
      <c r="L33" s="107">
        <f t="shared" si="238"/>
        <v>0</v>
      </c>
      <c r="M33" s="105" t="s">
        <v>248</v>
      </c>
      <c r="O33" s="13"/>
      <c r="P33" s="107"/>
      <c r="Q33" s="107"/>
      <c r="R33" s="105"/>
      <c r="T33" s="13"/>
      <c r="U33" s="107"/>
      <c r="V33" s="107"/>
      <c r="W33" s="105"/>
      <c r="Y33" s="13"/>
      <c r="Z33" s="107"/>
      <c r="AA33" s="107"/>
      <c r="AB33" s="105"/>
      <c r="AD33" s="13"/>
      <c r="AE33" s="107"/>
      <c r="AF33" s="107"/>
      <c r="AG33" s="105"/>
      <c r="AI33" s="38"/>
      <c r="AJ33" s="13"/>
      <c r="AK33" s="107"/>
      <c r="AL33" s="107"/>
      <c r="AM33" s="105"/>
      <c r="AO33" s="13"/>
      <c r="AP33" s="107"/>
      <c r="AQ33" s="107"/>
      <c r="AR33" s="105"/>
      <c r="AT33" s="13"/>
      <c r="AU33" s="107"/>
      <c r="AV33" s="107"/>
      <c r="AW33" s="105"/>
      <c r="AY33" s="13"/>
      <c r="AZ33" s="107"/>
      <c r="BA33" s="107"/>
      <c r="BB33" s="105"/>
      <c r="BD33" s="13"/>
      <c r="BE33" s="107"/>
      <c r="BF33" s="107"/>
      <c r="BG33" s="105"/>
      <c r="BI33" s="13"/>
      <c r="BJ33" s="107"/>
      <c r="BK33" s="107"/>
      <c r="BL33" s="105"/>
      <c r="BN33" s="38"/>
      <c r="BO33" s="13"/>
      <c r="BP33" s="107"/>
      <c r="BQ33" s="107"/>
      <c r="BR33" s="105"/>
      <c r="BT33" s="13"/>
      <c r="BU33" s="107"/>
      <c r="BV33" s="107"/>
      <c r="BW33" s="105"/>
      <c r="BY33" s="13"/>
      <c r="BZ33" s="107"/>
      <c r="CA33" s="107"/>
      <c r="CB33" s="105"/>
      <c r="CD33" s="13"/>
      <c r="CE33" s="107"/>
      <c r="CF33" s="107"/>
      <c r="CG33" s="105"/>
      <c r="CI33" s="13"/>
      <c r="CJ33" s="107"/>
      <c r="CK33" s="107"/>
      <c r="CL33" s="105"/>
      <c r="CN33" s="13"/>
      <c r="CO33" s="107"/>
      <c r="CP33" s="107"/>
      <c r="CQ33" s="105"/>
      <c r="CS33" s="38"/>
      <c r="CT33" s="13"/>
      <c r="CU33" s="107"/>
      <c r="CV33" s="107"/>
      <c r="CW33" s="105"/>
      <c r="CY33" s="13"/>
      <c r="CZ33" s="107"/>
      <c r="DA33" s="107"/>
      <c r="DB33" s="105"/>
      <c r="DD33" s="13"/>
      <c r="DE33" s="107"/>
      <c r="DF33" s="107"/>
      <c r="DG33" s="105"/>
      <c r="DI33" s="13"/>
      <c r="DJ33" s="107"/>
      <c r="DK33" s="107"/>
      <c r="DL33" s="105"/>
      <c r="DN33" s="13"/>
      <c r="DO33" s="107"/>
      <c r="DP33" s="107"/>
      <c r="DQ33" s="105"/>
      <c r="DS33" s="13"/>
      <c r="DT33" s="107"/>
      <c r="DU33" s="107"/>
      <c r="DV33" s="105"/>
      <c r="DX33" s="38"/>
      <c r="DY33" s="13"/>
      <c r="DZ33" s="107"/>
      <c r="EA33" s="107"/>
      <c r="EB33" s="105"/>
      <c r="ED33" s="13"/>
      <c r="EE33" s="107"/>
      <c r="EF33" s="107"/>
      <c r="EG33" s="105"/>
      <c r="EI33" s="13"/>
      <c r="EJ33" s="107"/>
      <c r="EK33" s="107"/>
      <c r="EL33" s="105"/>
      <c r="EN33" s="13"/>
      <c r="EO33" s="107"/>
      <c r="EP33" s="107"/>
      <c r="EQ33" s="105"/>
      <c r="ES33" s="13"/>
      <c r="ET33" s="107"/>
      <c r="EU33" s="107"/>
      <c r="EV33" s="105"/>
      <c r="EX33" s="13"/>
      <c r="EY33" s="107"/>
      <c r="EZ33" s="107"/>
      <c r="FA33" s="105"/>
      <c r="FC33" s="38"/>
      <c r="FD33" s="13"/>
      <c r="FE33" s="107"/>
      <c r="FF33" s="107"/>
      <c r="FG33" s="105"/>
      <c r="FI33" s="13"/>
      <c r="FJ33" s="107"/>
      <c r="FK33" s="107"/>
      <c r="FL33" s="105"/>
      <c r="FN33" s="13"/>
      <c r="FO33" s="107"/>
      <c r="FP33" s="107"/>
      <c r="FQ33" s="105"/>
      <c r="FS33" s="13"/>
      <c r="FT33" s="107"/>
      <c r="FU33" s="107"/>
      <c r="FV33" s="105"/>
      <c r="FX33" s="13"/>
      <c r="FY33" s="107"/>
      <c r="FZ33" s="107"/>
      <c r="GA33" s="105"/>
      <c r="GC33" s="13"/>
      <c r="GD33" s="107"/>
      <c r="GE33" s="107"/>
      <c r="GF33" s="105"/>
      <c r="GH33" s="38"/>
      <c r="GI33" s="13"/>
      <c r="GJ33" s="107"/>
      <c r="GK33" s="107"/>
      <c r="GL33" s="105"/>
      <c r="GN33" s="13"/>
      <c r="GO33" s="107"/>
      <c r="GP33" s="107"/>
      <c r="GQ33" s="105"/>
      <c r="GS33" s="13"/>
      <c r="GT33" s="107"/>
      <c r="GU33" s="107"/>
      <c r="GV33" s="105"/>
      <c r="GX33" s="13"/>
      <c r="GY33" s="107"/>
      <c r="GZ33" s="107"/>
      <c r="HA33" s="105"/>
      <c r="HC33" s="13"/>
      <c r="HD33" s="107"/>
      <c r="HE33" s="107"/>
      <c r="HF33" s="105"/>
      <c r="HH33" s="13"/>
      <c r="HI33" s="107"/>
      <c r="HJ33" s="107"/>
      <c r="HK33" s="105"/>
      <c r="HM33" s="38"/>
      <c r="HN33" s="13"/>
      <c r="HO33" s="107"/>
      <c r="HP33" s="107"/>
      <c r="HQ33" s="105"/>
      <c r="HS33" s="13"/>
      <c r="HT33" s="107"/>
      <c r="HU33" s="107"/>
      <c r="HV33" s="105"/>
      <c r="HX33" s="13"/>
      <c r="HY33" s="107"/>
      <c r="HZ33" s="107"/>
      <c r="IA33" s="105"/>
      <c r="IC33" s="13"/>
      <c r="ID33" s="107"/>
      <c r="IE33" s="107"/>
      <c r="IF33" s="105"/>
      <c r="IH33" s="13"/>
      <c r="II33" s="107"/>
      <c r="IJ33" s="107"/>
      <c r="IK33" s="105"/>
      <c r="IM33" s="13"/>
      <c r="IN33" s="107"/>
      <c r="IO33" s="107"/>
      <c r="IP33" s="105"/>
      <c r="IR33" s="38"/>
      <c r="IS33" s="13"/>
      <c r="IT33" s="107"/>
      <c r="IU33" s="107"/>
      <c r="IV33" s="105"/>
      <c r="IX33" s="13"/>
      <c r="IY33" s="107"/>
      <c r="IZ33" s="107"/>
      <c r="JA33" s="105"/>
      <c r="JC33" s="13"/>
      <c r="JD33" s="107"/>
      <c r="JE33" s="107"/>
      <c r="JF33" s="105"/>
      <c r="JH33" s="13"/>
      <c r="JI33" s="107"/>
      <c r="JJ33" s="107"/>
      <c r="JK33" s="105"/>
      <c r="JM33" s="13"/>
      <c r="JN33" s="107"/>
      <c r="JO33" s="107"/>
      <c r="JP33" s="105"/>
      <c r="JR33" s="13"/>
      <c r="JS33" s="107"/>
      <c r="JT33" s="107"/>
      <c r="JU33" s="105"/>
      <c r="JW33" s="38"/>
      <c r="JX33" s="13"/>
      <c r="JY33" s="107"/>
      <c r="JZ33" s="107"/>
      <c r="KA33" s="105"/>
      <c r="KC33" s="13"/>
      <c r="KD33" s="107"/>
      <c r="KE33" s="107"/>
      <c r="KF33" s="105"/>
      <c r="KH33" s="13"/>
      <c r="KI33" s="107"/>
      <c r="KJ33" s="107"/>
      <c r="KK33" s="105"/>
      <c r="KM33" s="13"/>
      <c r="KN33" s="107"/>
      <c r="KO33" s="107"/>
      <c r="KP33" s="105"/>
      <c r="KR33" s="13"/>
      <c r="KS33" s="107"/>
      <c r="KT33" s="107"/>
      <c r="KU33" s="105"/>
      <c r="KW33" s="13"/>
      <c r="KX33" s="107"/>
      <c r="KY33" s="107"/>
      <c r="KZ33" s="105"/>
      <c r="LB33" s="38"/>
      <c r="LC33" s="13"/>
      <c r="LD33" s="107"/>
      <c r="LE33" s="107"/>
      <c r="LF33" s="105"/>
      <c r="LH33" s="13"/>
      <c r="LI33" s="107"/>
      <c r="LJ33" s="107"/>
      <c r="LK33" s="105"/>
      <c r="LM33" s="13"/>
      <c r="LN33" s="107"/>
      <c r="LO33" s="107"/>
      <c r="LP33" s="105"/>
      <c r="LR33" s="13"/>
      <c r="LS33" s="107"/>
      <c r="LT33" s="107"/>
      <c r="LU33" s="105"/>
      <c r="LW33" s="13"/>
      <c r="LX33" s="107"/>
      <c r="LY33" s="107"/>
      <c r="LZ33" s="105"/>
      <c r="MB33" s="13"/>
      <c r="MC33" s="107"/>
      <c r="MD33" s="107"/>
      <c r="ME33" s="105"/>
      <c r="MG33" s="38"/>
      <c r="MH33" s="13"/>
      <c r="MI33" s="107"/>
      <c r="MJ33" s="107"/>
      <c r="MK33" s="105"/>
      <c r="MM33" s="13"/>
      <c r="MN33" s="107"/>
      <c r="MO33" s="107"/>
      <c r="MP33" s="105"/>
      <c r="MR33" s="13"/>
      <c r="MS33" s="107"/>
      <c r="MT33" s="107"/>
      <c r="MU33" s="105"/>
      <c r="MW33" s="13"/>
      <c r="MX33" s="107"/>
      <c r="MY33" s="107"/>
      <c r="MZ33" s="105"/>
      <c r="NB33" s="13"/>
      <c r="NC33" s="107"/>
      <c r="ND33" s="107"/>
      <c r="NE33" s="105"/>
      <c r="NG33" s="13"/>
      <c r="NH33" s="107"/>
      <c r="NI33" s="107"/>
      <c r="NJ33" s="105"/>
      <c r="NL33" s="38"/>
      <c r="NM33" s="13"/>
      <c r="NN33" s="107"/>
      <c r="NO33" s="107"/>
      <c r="NP33" s="105"/>
      <c r="NR33" s="13"/>
      <c r="NS33" s="107"/>
      <c r="NT33" s="107"/>
      <c r="NU33" s="105"/>
      <c r="NW33" s="13"/>
      <c r="NX33" s="107"/>
      <c r="NY33" s="107"/>
      <c r="NZ33" s="105"/>
      <c r="OB33" s="13"/>
      <c r="OC33" s="107"/>
      <c r="OD33" s="107"/>
      <c r="OE33" s="105"/>
      <c r="OG33" s="13"/>
      <c r="OH33" s="107"/>
      <c r="OI33" s="107"/>
      <c r="OJ33" s="105"/>
      <c r="OL33" s="13"/>
      <c r="OM33" s="107"/>
      <c r="ON33" s="107"/>
      <c r="OO33" s="105"/>
    </row>
    <row r="34" ht="15.75" customHeight="1">
      <c r="A34" s="42"/>
      <c r="B34" s="42"/>
      <c r="C34" s="42"/>
      <c r="D34" s="38">
        <f t="shared" si="239"/>
        <v>45964</v>
      </c>
      <c r="E34" s="105" t="str">
        <f t="shared" ref="E34:I34" si="244">E13</f>
        <v/>
      </c>
      <c r="F34" s="105" t="str">
        <f t="shared" si="244"/>
        <v/>
      </c>
      <c r="G34" s="105" t="str">
        <f t="shared" si="244"/>
        <v/>
      </c>
      <c r="H34" s="106" t="str">
        <f t="shared" si="244"/>
        <v/>
      </c>
      <c r="I34" s="106" t="str">
        <f t="shared" si="244"/>
        <v/>
      </c>
      <c r="J34" s="107" t="str">
        <f t="array" ref="J34">IFERROR(IF(XLOOKUP(CONCAT(E34,F34),'MASTER PLAN'!$AB:$AB,'MASTER PLAN'!$M:$M,0,0)=0,"",XLOOKUP(CONCAT(E34,F34),'MASTER PLAN'!$AB:$AB,'MASTER PLAN'!$M:$M,0,0)),"")</f>
        <v/>
      </c>
      <c r="K34" s="107">
        <f t="shared" si="237"/>
        <v>0</v>
      </c>
      <c r="L34" s="107">
        <f t="shared" si="238"/>
        <v>0</v>
      </c>
      <c r="M34" s="105" t="s">
        <v>248</v>
      </c>
      <c r="O34" s="13"/>
      <c r="P34" s="107"/>
      <c r="Q34" s="107"/>
      <c r="R34" s="105"/>
      <c r="T34" s="13"/>
      <c r="U34" s="107"/>
      <c r="V34" s="107"/>
      <c r="W34" s="105"/>
      <c r="Y34" s="13"/>
      <c r="Z34" s="107"/>
      <c r="AA34" s="107"/>
      <c r="AB34" s="105"/>
      <c r="AD34" s="13"/>
      <c r="AE34" s="107"/>
      <c r="AF34" s="107"/>
      <c r="AG34" s="105"/>
      <c r="AI34" s="38"/>
      <c r="AJ34" s="13"/>
      <c r="AK34" s="107"/>
      <c r="AL34" s="107"/>
      <c r="AM34" s="105"/>
      <c r="AO34" s="13"/>
      <c r="AP34" s="107"/>
      <c r="AQ34" s="107"/>
      <c r="AR34" s="105"/>
      <c r="AT34" s="13"/>
      <c r="AU34" s="107"/>
      <c r="AV34" s="107"/>
      <c r="AW34" s="105"/>
      <c r="AY34" s="13"/>
      <c r="AZ34" s="107"/>
      <c r="BA34" s="107"/>
      <c r="BB34" s="105"/>
      <c r="BD34" s="13"/>
      <c r="BE34" s="107"/>
      <c r="BF34" s="107"/>
      <c r="BG34" s="105"/>
      <c r="BI34" s="13"/>
      <c r="BJ34" s="107"/>
      <c r="BK34" s="107"/>
      <c r="BL34" s="105"/>
      <c r="BN34" s="38"/>
      <c r="BO34" s="13"/>
      <c r="BP34" s="107"/>
      <c r="BQ34" s="107"/>
      <c r="BR34" s="105"/>
      <c r="BT34" s="13"/>
      <c r="BU34" s="107"/>
      <c r="BV34" s="107"/>
      <c r="BW34" s="105"/>
      <c r="BY34" s="13"/>
      <c r="BZ34" s="107"/>
      <c r="CA34" s="107"/>
      <c r="CB34" s="105"/>
      <c r="CD34" s="13"/>
      <c r="CE34" s="107"/>
      <c r="CF34" s="107"/>
      <c r="CG34" s="105"/>
      <c r="CI34" s="13"/>
      <c r="CJ34" s="107"/>
      <c r="CK34" s="107"/>
      <c r="CL34" s="105"/>
      <c r="CN34" s="13"/>
      <c r="CO34" s="107"/>
      <c r="CP34" s="107"/>
      <c r="CQ34" s="105"/>
      <c r="CS34" s="38"/>
      <c r="CT34" s="13"/>
      <c r="CU34" s="107"/>
      <c r="CV34" s="107"/>
      <c r="CW34" s="105"/>
      <c r="CY34" s="13"/>
      <c r="CZ34" s="107"/>
      <c r="DA34" s="107"/>
      <c r="DB34" s="105"/>
      <c r="DD34" s="13"/>
      <c r="DE34" s="107"/>
      <c r="DF34" s="107"/>
      <c r="DG34" s="105"/>
      <c r="DI34" s="13"/>
      <c r="DJ34" s="107"/>
      <c r="DK34" s="107"/>
      <c r="DL34" s="105"/>
      <c r="DN34" s="13"/>
      <c r="DO34" s="107"/>
      <c r="DP34" s="107"/>
      <c r="DQ34" s="105"/>
      <c r="DS34" s="13"/>
      <c r="DT34" s="107"/>
      <c r="DU34" s="107"/>
      <c r="DV34" s="105"/>
      <c r="DX34" s="38"/>
      <c r="DY34" s="13"/>
      <c r="DZ34" s="107"/>
      <c r="EA34" s="107"/>
      <c r="EB34" s="105"/>
      <c r="ED34" s="13"/>
      <c r="EE34" s="107"/>
      <c r="EF34" s="107"/>
      <c r="EG34" s="105"/>
      <c r="EI34" s="13"/>
      <c r="EJ34" s="107"/>
      <c r="EK34" s="107"/>
      <c r="EL34" s="105"/>
      <c r="EN34" s="13"/>
      <c r="EO34" s="107"/>
      <c r="EP34" s="107"/>
      <c r="EQ34" s="105"/>
      <c r="ES34" s="13"/>
      <c r="ET34" s="107"/>
      <c r="EU34" s="107"/>
      <c r="EV34" s="105"/>
      <c r="EX34" s="13"/>
      <c r="EY34" s="107"/>
      <c r="EZ34" s="107"/>
      <c r="FA34" s="105"/>
      <c r="FC34" s="38"/>
      <c r="FD34" s="13"/>
      <c r="FE34" s="107"/>
      <c r="FF34" s="107"/>
      <c r="FG34" s="105"/>
      <c r="FI34" s="13"/>
      <c r="FJ34" s="107"/>
      <c r="FK34" s="107"/>
      <c r="FL34" s="105"/>
      <c r="FN34" s="13"/>
      <c r="FO34" s="107"/>
      <c r="FP34" s="107"/>
      <c r="FQ34" s="105"/>
      <c r="FS34" s="13"/>
      <c r="FT34" s="107"/>
      <c r="FU34" s="107"/>
      <c r="FV34" s="105"/>
      <c r="FX34" s="13"/>
      <c r="FY34" s="107"/>
      <c r="FZ34" s="107"/>
      <c r="GA34" s="105"/>
      <c r="GC34" s="13"/>
      <c r="GD34" s="107"/>
      <c r="GE34" s="107"/>
      <c r="GF34" s="105"/>
      <c r="GH34" s="38"/>
      <c r="GI34" s="13"/>
      <c r="GJ34" s="107"/>
      <c r="GK34" s="107"/>
      <c r="GL34" s="105"/>
      <c r="GN34" s="13"/>
      <c r="GO34" s="107"/>
      <c r="GP34" s="107"/>
      <c r="GQ34" s="105"/>
      <c r="GS34" s="13"/>
      <c r="GT34" s="107"/>
      <c r="GU34" s="107"/>
      <c r="GV34" s="105"/>
      <c r="GX34" s="13"/>
      <c r="GY34" s="107"/>
      <c r="GZ34" s="107"/>
      <c r="HA34" s="105"/>
      <c r="HC34" s="13"/>
      <c r="HD34" s="107"/>
      <c r="HE34" s="107"/>
      <c r="HF34" s="105"/>
      <c r="HH34" s="13"/>
      <c r="HI34" s="107"/>
      <c r="HJ34" s="107"/>
      <c r="HK34" s="105"/>
      <c r="HM34" s="38"/>
      <c r="HN34" s="13"/>
      <c r="HO34" s="107"/>
      <c r="HP34" s="107"/>
      <c r="HQ34" s="105"/>
      <c r="HS34" s="13"/>
      <c r="HT34" s="107"/>
      <c r="HU34" s="107"/>
      <c r="HV34" s="105"/>
      <c r="HX34" s="13"/>
      <c r="HY34" s="107"/>
      <c r="HZ34" s="107"/>
      <c r="IA34" s="105"/>
      <c r="IC34" s="13"/>
      <c r="ID34" s="107"/>
      <c r="IE34" s="107"/>
      <c r="IF34" s="105"/>
      <c r="IH34" s="13"/>
      <c r="II34" s="107"/>
      <c r="IJ34" s="107"/>
      <c r="IK34" s="105"/>
      <c r="IM34" s="13"/>
      <c r="IN34" s="107"/>
      <c r="IO34" s="107"/>
      <c r="IP34" s="105"/>
      <c r="IR34" s="38"/>
      <c r="IS34" s="13"/>
      <c r="IT34" s="107"/>
      <c r="IU34" s="107"/>
      <c r="IV34" s="105"/>
      <c r="IX34" s="13"/>
      <c r="IY34" s="107"/>
      <c r="IZ34" s="107"/>
      <c r="JA34" s="105"/>
      <c r="JC34" s="13"/>
      <c r="JD34" s="107"/>
      <c r="JE34" s="107"/>
      <c r="JF34" s="105"/>
      <c r="JH34" s="13"/>
      <c r="JI34" s="107"/>
      <c r="JJ34" s="107"/>
      <c r="JK34" s="105"/>
      <c r="JM34" s="13"/>
      <c r="JN34" s="107"/>
      <c r="JO34" s="107"/>
      <c r="JP34" s="105"/>
      <c r="JR34" s="13"/>
      <c r="JS34" s="107"/>
      <c r="JT34" s="107"/>
      <c r="JU34" s="105"/>
      <c r="JW34" s="38"/>
      <c r="JX34" s="13"/>
      <c r="JY34" s="107"/>
      <c r="JZ34" s="107"/>
      <c r="KA34" s="105"/>
      <c r="KC34" s="13"/>
      <c r="KD34" s="107"/>
      <c r="KE34" s="107"/>
      <c r="KF34" s="105"/>
      <c r="KH34" s="13"/>
      <c r="KI34" s="107"/>
      <c r="KJ34" s="107"/>
      <c r="KK34" s="105"/>
      <c r="KM34" s="13"/>
      <c r="KN34" s="107"/>
      <c r="KO34" s="107"/>
      <c r="KP34" s="105"/>
      <c r="KR34" s="13"/>
      <c r="KS34" s="107"/>
      <c r="KT34" s="107"/>
      <c r="KU34" s="105"/>
      <c r="KW34" s="13"/>
      <c r="KX34" s="107"/>
      <c r="KY34" s="107"/>
      <c r="KZ34" s="105"/>
      <c r="LB34" s="38"/>
      <c r="LC34" s="13"/>
      <c r="LD34" s="107"/>
      <c r="LE34" s="107"/>
      <c r="LF34" s="105"/>
      <c r="LH34" s="13"/>
      <c r="LI34" s="107"/>
      <c r="LJ34" s="107"/>
      <c r="LK34" s="105"/>
      <c r="LM34" s="13"/>
      <c r="LN34" s="107"/>
      <c r="LO34" s="107"/>
      <c r="LP34" s="105"/>
      <c r="LR34" s="13"/>
      <c r="LS34" s="107"/>
      <c r="LT34" s="107"/>
      <c r="LU34" s="105"/>
      <c r="LW34" s="13"/>
      <c r="LX34" s="107"/>
      <c r="LY34" s="107"/>
      <c r="LZ34" s="105"/>
      <c r="MB34" s="13"/>
      <c r="MC34" s="107"/>
      <c r="MD34" s="107"/>
      <c r="ME34" s="105"/>
      <c r="MG34" s="38"/>
      <c r="MH34" s="13"/>
      <c r="MI34" s="107"/>
      <c r="MJ34" s="107"/>
      <c r="MK34" s="105"/>
      <c r="MM34" s="13"/>
      <c r="MN34" s="107"/>
      <c r="MO34" s="107"/>
      <c r="MP34" s="105"/>
      <c r="MR34" s="13"/>
      <c r="MS34" s="107"/>
      <c r="MT34" s="107"/>
      <c r="MU34" s="105"/>
      <c r="MW34" s="13"/>
      <c r="MX34" s="107"/>
      <c r="MY34" s="107"/>
      <c r="MZ34" s="105"/>
      <c r="NB34" s="13"/>
      <c r="NC34" s="107"/>
      <c r="ND34" s="107"/>
      <c r="NE34" s="105"/>
      <c r="NG34" s="13"/>
      <c r="NH34" s="107"/>
      <c r="NI34" s="107"/>
      <c r="NJ34" s="105"/>
      <c r="NL34" s="38"/>
      <c r="NM34" s="13"/>
      <c r="NN34" s="107"/>
      <c r="NO34" s="107"/>
      <c r="NP34" s="105"/>
      <c r="NR34" s="13"/>
      <c r="NS34" s="107"/>
      <c r="NT34" s="107"/>
      <c r="NU34" s="105"/>
      <c r="NW34" s="13"/>
      <c r="NX34" s="107"/>
      <c r="NY34" s="107"/>
      <c r="NZ34" s="105"/>
      <c r="OB34" s="13"/>
      <c r="OC34" s="107"/>
      <c r="OD34" s="107"/>
      <c r="OE34" s="105"/>
      <c r="OG34" s="13"/>
      <c r="OH34" s="107"/>
      <c r="OI34" s="107"/>
      <c r="OJ34" s="105"/>
      <c r="OL34" s="13"/>
      <c r="OM34" s="107"/>
      <c r="ON34" s="107"/>
      <c r="OO34" s="105"/>
    </row>
    <row r="35" ht="15.75" customHeight="1">
      <c r="A35" s="42"/>
      <c r="B35" s="42"/>
      <c r="C35" s="42"/>
      <c r="D35" s="38">
        <f t="shared" si="239"/>
        <v>45964</v>
      </c>
      <c r="E35" s="105" t="str">
        <f t="shared" ref="E35:I35" si="245">E14</f>
        <v/>
      </c>
      <c r="F35" s="105" t="str">
        <f t="shared" si="245"/>
        <v/>
      </c>
      <c r="G35" s="105" t="str">
        <f t="shared" si="245"/>
        <v/>
      </c>
      <c r="H35" s="106" t="str">
        <f t="shared" si="245"/>
        <v/>
      </c>
      <c r="I35" s="106" t="str">
        <f t="shared" si="245"/>
        <v/>
      </c>
      <c r="J35" s="107" t="str">
        <f t="array" ref="J35">IFERROR(IF(XLOOKUP(CONCAT(E35,F35),'MASTER PLAN'!$AB:$AB,'MASTER PLAN'!$M:$M,0,0)=0,"",XLOOKUP(CONCAT(E35,F35),'MASTER PLAN'!$AB:$AB,'MASTER PLAN'!$M:$M,0,0)),"")</f>
        <v/>
      </c>
      <c r="K35" s="107">
        <f t="shared" si="237"/>
        <v>0</v>
      </c>
      <c r="L35" s="107">
        <f t="shared" si="238"/>
        <v>0</v>
      </c>
      <c r="M35" s="105" t="s">
        <v>248</v>
      </c>
      <c r="O35" s="13"/>
      <c r="P35" s="107"/>
      <c r="Q35" s="107"/>
      <c r="R35" s="105"/>
      <c r="T35" s="13"/>
      <c r="U35" s="107"/>
      <c r="V35" s="107"/>
      <c r="W35" s="105"/>
      <c r="Y35" s="13"/>
      <c r="Z35" s="107"/>
      <c r="AA35" s="107"/>
      <c r="AB35" s="105"/>
      <c r="AD35" s="13"/>
      <c r="AE35" s="107"/>
      <c r="AF35" s="107"/>
      <c r="AG35" s="105"/>
      <c r="AI35" s="38"/>
      <c r="AJ35" s="13"/>
      <c r="AK35" s="107"/>
      <c r="AL35" s="107"/>
      <c r="AM35" s="105"/>
      <c r="AO35" s="13"/>
      <c r="AP35" s="107"/>
      <c r="AQ35" s="107"/>
      <c r="AR35" s="105"/>
      <c r="AT35" s="13"/>
      <c r="AU35" s="107"/>
      <c r="AV35" s="107"/>
      <c r="AW35" s="105"/>
      <c r="AY35" s="13"/>
      <c r="AZ35" s="107"/>
      <c r="BA35" s="107"/>
      <c r="BB35" s="105"/>
      <c r="BD35" s="13"/>
      <c r="BE35" s="107"/>
      <c r="BF35" s="107"/>
      <c r="BG35" s="105"/>
      <c r="BI35" s="13"/>
      <c r="BJ35" s="107"/>
      <c r="BK35" s="107"/>
      <c r="BL35" s="105"/>
      <c r="BN35" s="38"/>
      <c r="BO35" s="13"/>
      <c r="BP35" s="107"/>
      <c r="BQ35" s="107"/>
      <c r="BR35" s="105"/>
      <c r="BT35" s="13"/>
      <c r="BU35" s="107"/>
      <c r="BV35" s="107"/>
      <c r="BW35" s="105"/>
      <c r="BY35" s="13"/>
      <c r="BZ35" s="107"/>
      <c r="CA35" s="107"/>
      <c r="CB35" s="105"/>
      <c r="CD35" s="13"/>
      <c r="CE35" s="107"/>
      <c r="CF35" s="107"/>
      <c r="CG35" s="105"/>
      <c r="CI35" s="13"/>
      <c r="CJ35" s="107"/>
      <c r="CK35" s="107"/>
      <c r="CL35" s="105"/>
      <c r="CN35" s="13"/>
      <c r="CO35" s="107"/>
      <c r="CP35" s="107"/>
      <c r="CQ35" s="105"/>
      <c r="CS35" s="38"/>
      <c r="CT35" s="13"/>
      <c r="CU35" s="107"/>
      <c r="CV35" s="107"/>
      <c r="CW35" s="105"/>
      <c r="CY35" s="13"/>
      <c r="CZ35" s="107"/>
      <c r="DA35" s="107"/>
      <c r="DB35" s="105"/>
      <c r="DD35" s="13"/>
      <c r="DE35" s="107"/>
      <c r="DF35" s="107"/>
      <c r="DG35" s="105"/>
      <c r="DI35" s="13"/>
      <c r="DJ35" s="107"/>
      <c r="DK35" s="107"/>
      <c r="DL35" s="105"/>
      <c r="DN35" s="13"/>
      <c r="DO35" s="107"/>
      <c r="DP35" s="107"/>
      <c r="DQ35" s="105"/>
      <c r="DS35" s="13"/>
      <c r="DT35" s="107"/>
      <c r="DU35" s="107"/>
      <c r="DV35" s="105"/>
      <c r="DX35" s="38"/>
      <c r="DY35" s="13"/>
      <c r="DZ35" s="107"/>
      <c r="EA35" s="107"/>
      <c r="EB35" s="105"/>
      <c r="ED35" s="13"/>
      <c r="EE35" s="107"/>
      <c r="EF35" s="107"/>
      <c r="EG35" s="105"/>
      <c r="EI35" s="13"/>
      <c r="EJ35" s="107"/>
      <c r="EK35" s="107"/>
      <c r="EL35" s="105"/>
      <c r="EN35" s="13"/>
      <c r="EO35" s="107"/>
      <c r="EP35" s="107"/>
      <c r="EQ35" s="105"/>
      <c r="ES35" s="13"/>
      <c r="ET35" s="107"/>
      <c r="EU35" s="107"/>
      <c r="EV35" s="105"/>
      <c r="EX35" s="13"/>
      <c r="EY35" s="107"/>
      <c r="EZ35" s="107"/>
      <c r="FA35" s="105"/>
      <c r="FC35" s="38"/>
      <c r="FD35" s="13"/>
      <c r="FE35" s="107"/>
      <c r="FF35" s="107"/>
      <c r="FG35" s="105"/>
      <c r="FI35" s="13"/>
      <c r="FJ35" s="107"/>
      <c r="FK35" s="107"/>
      <c r="FL35" s="105"/>
      <c r="FN35" s="13"/>
      <c r="FO35" s="107"/>
      <c r="FP35" s="107"/>
      <c r="FQ35" s="105"/>
      <c r="FS35" s="13"/>
      <c r="FT35" s="107"/>
      <c r="FU35" s="107"/>
      <c r="FV35" s="105"/>
      <c r="FX35" s="13"/>
      <c r="FY35" s="107"/>
      <c r="FZ35" s="107"/>
      <c r="GA35" s="105"/>
      <c r="GC35" s="13"/>
      <c r="GD35" s="107"/>
      <c r="GE35" s="107"/>
      <c r="GF35" s="105"/>
      <c r="GH35" s="38"/>
      <c r="GI35" s="13"/>
      <c r="GJ35" s="107"/>
      <c r="GK35" s="107"/>
      <c r="GL35" s="105"/>
      <c r="GN35" s="13"/>
      <c r="GO35" s="107"/>
      <c r="GP35" s="107"/>
      <c r="GQ35" s="105"/>
      <c r="GS35" s="13"/>
      <c r="GT35" s="107"/>
      <c r="GU35" s="107"/>
      <c r="GV35" s="105"/>
      <c r="GX35" s="13"/>
      <c r="GY35" s="107"/>
      <c r="GZ35" s="107"/>
      <c r="HA35" s="105"/>
      <c r="HC35" s="13"/>
      <c r="HD35" s="107"/>
      <c r="HE35" s="107"/>
      <c r="HF35" s="105"/>
      <c r="HH35" s="13"/>
      <c r="HI35" s="107"/>
      <c r="HJ35" s="107"/>
      <c r="HK35" s="105"/>
      <c r="HM35" s="38"/>
      <c r="HN35" s="13"/>
      <c r="HO35" s="107"/>
      <c r="HP35" s="107"/>
      <c r="HQ35" s="105"/>
      <c r="HS35" s="13"/>
      <c r="HT35" s="107"/>
      <c r="HU35" s="107"/>
      <c r="HV35" s="105"/>
      <c r="HX35" s="13"/>
      <c r="HY35" s="107"/>
      <c r="HZ35" s="107"/>
      <c r="IA35" s="105"/>
      <c r="IC35" s="13"/>
      <c r="ID35" s="107"/>
      <c r="IE35" s="107"/>
      <c r="IF35" s="105"/>
      <c r="IH35" s="13"/>
      <c r="II35" s="107"/>
      <c r="IJ35" s="107"/>
      <c r="IK35" s="105"/>
      <c r="IM35" s="13"/>
      <c r="IN35" s="107"/>
      <c r="IO35" s="107"/>
      <c r="IP35" s="105"/>
      <c r="IR35" s="38"/>
      <c r="IS35" s="13"/>
      <c r="IT35" s="107"/>
      <c r="IU35" s="107"/>
      <c r="IV35" s="105"/>
      <c r="IX35" s="13"/>
      <c r="IY35" s="107"/>
      <c r="IZ35" s="107"/>
      <c r="JA35" s="105"/>
      <c r="JC35" s="13"/>
      <c r="JD35" s="107"/>
      <c r="JE35" s="107"/>
      <c r="JF35" s="105"/>
      <c r="JH35" s="13"/>
      <c r="JI35" s="107"/>
      <c r="JJ35" s="107"/>
      <c r="JK35" s="105"/>
      <c r="JM35" s="13"/>
      <c r="JN35" s="107"/>
      <c r="JO35" s="107"/>
      <c r="JP35" s="105"/>
      <c r="JR35" s="13"/>
      <c r="JS35" s="107"/>
      <c r="JT35" s="107"/>
      <c r="JU35" s="105"/>
      <c r="JW35" s="38"/>
      <c r="JX35" s="13"/>
      <c r="JY35" s="107"/>
      <c r="JZ35" s="107"/>
      <c r="KA35" s="105"/>
      <c r="KC35" s="13"/>
      <c r="KD35" s="107"/>
      <c r="KE35" s="107"/>
      <c r="KF35" s="105"/>
      <c r="KH35" s="13"/>
      <c r="KI35" s="107"/>
      <c r="KJ35" s="107"/>
      <c r="KK35" s="105"/>
      <c r="KM35" s="13"/>
      <c r="KN35" s="107"/>
      <c r="KO35" s="107"/>
      <c r="KP35" s="105"/>
      <c r="KR35" s="13"/>
      <c r="KS35" s="107"/>
      <c r="KT35" s="107"/>
      <c r="KU35" s="105"/>
      <c r="KW35" s="13"/>
      <c r="KX35" s="107"/>
      <c r="KY35" s="107"/>
      <c r="KZ35" s="105"/>
      <c r="LB35" s="38"/>
      <c r="LC35" s="13"/>
      <c r="LD35" s="107"/>
      <c r="LE35" s="107"/>
      <c r="LF35" s="105"/>
      <c r="LH35" s="13"/>
      <c r="LI35" s="107"/>
      <c r="LJ35" s="107"/>
      <c r="LK35" s="105"/>
      <c r="LM35" s="13"/>
      <c r="LN35" s="107"/>
      <c r="LO35" s="107"/>
      <c r="LP35" s="105"/>
      <c r="LR35" s="13"/>
      <c r="LS35" s="107"/>
      <c r="LT35" s="107"/>
      <c r="LU35" s="105"/>
      <c r="LW35" s="13"/>
      <c r="LX35" s="107"/>
      <c r="LY35" s="107"/>
      <c r="LZ35" s="105"/>
      <c r="MB35" s="13"/>
      <c r="MC35" s="107"/>
      <c r="MD35" s="107"/>
      <c r="ME35" s="105"/>
      <c r="MG35" s="38"/>
      <c r="MH35" s="13"/>
      <c r="MI35" s="107"/>
      <c r="MJ35" s="107"/>
      <c r="MK35" s="105"/>
      <c r="MM35" s="13"/>
      <c r="MN35" s="107"/>
      <c r="MO35" s="107"/>
      <c r="MP35" s="105"/>
      <c r="MR35" s="13"/>
      <c r="MS35" s="107"/>
      <c r="MT35" s="107"/>
      <c r="MU35" s="105"/>
      <c r="MW35" s="13"/>
      <c r="MX35" s="107"/>
      <c r="MY35" s="107"/>
      <c r="MZ35" s="105"/>
      <c r="NB35" s="13"/>
      <c r="NC35" s="107"/>
      <c r="ND35" s="107"/>
      <c r="NE35" s="105"/>
      <c r="NG35" s="13"/>
      <c r="NH35" s="107"/>
      <c r="NI35" s="107"/>
      <c r="NJ35" s="105"/>
      <c r="NL35" s="38"/>
      <c r="NM35" s="13"/>
      <c r="NN35" s="107"/>
      <c r="NO35" s="107"/>
      <c r="NP35" s="105"/>
      <c r="NR35" s="13"/>
      <c r="NS35" s="107"/>
      <c r="NT35" s="107"/>
      <c r="NU35" s="105"/>
      <c r="NW35" s="13"/>
      <c r="NX35" s="107"/>
      <c r="NY35" s="107"/>
      <c r="NZ35" s="105"/>
      <c r="OB35" s="13"/>
      <c r="OC35" s="107"/>
      <c r="OD35" s="107"/>
      <c r="OE35" s="105"/>
      <c r="OG35" s="13"/>
      <c r="OH35" s="107"/>
      <c r="OI35" s="107"/>
      <c r="OJ35" s="105"/>
      <c r="OL35" s="13"/>
      <c r="OM35" s="107"/>
      <c r="ON35" s="107"/>
      <c r="OO35" s="105"/>
    </row>
    <row r="36" ht="15.75" customHeight="1">
      <c r="A36" s="42"/>
      <c r="B36" s="42"/>
      <c r="C36" s="42"/>
      <c r="D36" s="38">
        <f t="shared" si="239"/>
        <v>45964</v>
      </c>
      <c r="E36" s="105" t="str">
        <f t="shared" ref="E36:I36" si="246">E15</f>
        <v/>
      </c>
      <c r="F36" s="105" t="str">
        <f t="shared" si="246"/>
        <v/>
      </c>
      <c r="G36" s="105" t="str">
        <f t="shared" si="246"/>
        <v/>
      </c>
      <c r="H36" s="106" t="str">
        <f t="shared" si="246"/>
        <v/>
      </c>
      <c r="I36" s="106" t="str">
        <f t="shared" si="246"/>
        <v/>
      </c>
      <c r="J36" s="107" t="str">
        <f t="array" ref="J36">IFERROR(IF(XLOOKUP(CONCAT(E36,F36),'MASTER PLAN'!$AB:$AB,'MASTER PLAN'!$M:$M,0,0)=0,"",XLOOKUP(CONCAT(E36,F36),'MASTER PLAN'!$AB:$AB,'MASTER PLAN'!$M:$M,0,0)),"")</f>
        <v/>
      </c>
      <c r="K36" s="107">
        <f t="shared" si="237"/>
        <v>0</v>
      </c>
      <c r="L36" s="107">
        <f t="shared" si="238"/>
        <v>0</v>
      </c>
      <c r="M36" s="105" t="s">
        <v>248</v>
      </c>
      <c r="O36" s="13"/>
      <c r="P36" s="107"/>
      <c r="Q36" s="107"/>
      <c r="R36" s="105"/>
      <c r="T36" s="13"/>
      <c r="U36" s="107"/>
      <c r="V36" s="107"/>
      <c r="W36" s="105"/>
      <c r="Y36" s="13"/>
      <c r="Z36" s="107"/>
      <c r="AA36" s="107"/>
      <c r="AB36" s="105"/>
      <c r="AD36" s="13"/>
      <c r="AE36" s="107"/>
      <c r="AF36" s="107"/>
      <c r="AG36" s="105"/>
      <c r="AI36" s="38"/>
      <c r="AJ36" s="13"/>
      <c r="AK36" s="107"/>
      <c r="AL36" s="107"/>
      <c r="AM36" s="105"/>
      <c r="AO36" s="13"/>
      <c r="AP36" s="107"/>
      <c r="AQ36" s="107"/>
      <c r="AR36" s="105"/>
      <c r="AT36" s="13"/>
      <c r="AU36" s="107"/>
      <c r="AV36" s="107"/>
      <c r="AW36" s="105"/>
      <c r="AY36" s="13"/>
      <c r="AZ36" s="107"/>
      <c r="BA36" s="107"/>
      <c r="BB36" s="105"/>
      <c r="BD36" s="13"/>
      <c r="BE36" s="107"/>
      <c r="BF36" s="107"/>
      <c r="BG36" s="105"/>
      <c r="BI36" s="13"/>
      <c r="BJ36" s="107"/>
      <c r="BK36" s="107"/>
      <c r="BL36" s="105"/>
      <c r="BN36" s="38"/>
      <c r="BO36" s="13"/>
      <c r="BP36" s="107"/>
      <c r="BQ36" s="107"/>
      <c r="BR36" s="105"/>
      <c r="BT36" s="13"/>
      <c r="BU36" s="107"/>
      <c r="BV36" s="107"/>
      <c r="BW36" s="105"/>
      <c r="BY36" s="13"/>
      <c r="BZ36" s="107"/>
      <c r="CA36" s="107"/>
      <c r="CB36" s="105"/>
      <c r="CD36" s="13"/>
      <c r="CE36" s="107"/>
      <c r="CF36" s="107"/>
      <c r="CG36" s="105"/>
      <c r="CI36" s="13"/>
      <c r="CJ36" s="107"/>
      <c r="CK36" s="107"/>
      <c r="CL36" s="105"/>
      <c r="CN36" s="13"/>
      <c r="CO36" s="107"/>
      <c r="CP36" s="107"/>
      <c r="CQ36" s="105"/>
      <c r="CS36" s="38"/>
      <c r="CT36" s="13"/>
      <c r="CU36" s="107"/>
      <c r="CV36" s="107"/>
      <c r="CW36" s="105"/>
      <c r="CY36" s="13"/>
      <c r="CZ36" s="107"/>
      <c r="DA36" s="107"/>
      <c r="DB36" s="105"/>
      <c r="DD36" s="13"/>
      <c r="DE36" s="107"/>
      <c r="DF36" s="107"/>
      <c r="DG36" s="105"/>
      <c r="DI36" s="13"/>
      <c r="DJ36" s="107"/>
      <c r="DK36" s="107"/>
      <c r="DL36" s="105"/>
      <c r="DN36" s="13"/>
      <c r="DO36" s="107"/>
      <c r="DP36" s="107"/>
      <c r="DQ36" s="105"/>
      <c r="DS36" s="13"/>
      <c r="DT36" s="107"/>
      <c r="DU36" s="107"/>
      <c r="DV36" s="105"/>
      <c r="DX36" s="38"/>
      <c r="DY36" s="13"/>
      <c r="DZ36" s="107"/>
      <c r="EA36" s="107"/>
      <c r="EB36" s="105"/>
      <c r="ED36" s="13"/>
      <c r="EE36" s="107"/>
      <c r="EF36" s="107"/>
      <c r="EG36" s="105"/>
      <c r="EI36" s="13"/>
      <c r="EJ36" s="107"/>
      <c r="EK36" s="107"/>
      <c r="EL36" s="105"/>
      <c r="EN36" s="13"/>
      <c r="EO36" s="107"/>
      <c r="EP36" s="107"/>
      <c r="EQ36" s="105"/>
      <c r="ES36" s="13"/>
      <c r="ET36" s="107"/>
      <c r="EU36" s="107"/>
      <c r="EV36" s="105"/>
      <c r="EX36" s="13"/>
      <c r="EY36" s="107"/>
      <c r="EZ36" s="107"/>
      <c r="FA36" s="105"/>
      <c r="FC36" s="38"/>
      <c r="FD36" s="13"/>
      <c r="FE36" s="107"/>
      <c r="FF36" s="107"/>
      <c r="FG36" s="105"/>
      <c r="FI36" s="13"/>
      <c r="FJ36" s="107"/>
      <c r="FK36" s="107"/>
      <c r="FL36" s="105"/>
      <c r="FN36" s="13"/>
      <c r="FO36" s="107"/>
      <c r="FP36" s="107"/>
      <c r="FQ36" s="105"/>
      <c r="FS36" s="13"/>
      <c r="FT36" s="107"/>
      <c r="FU36" s="107"/>
      <c r="FV36" s="105"/>
      <c r="FX36" s="13"/>
      <c r="FY36" s="107"/>
      <c r="FZ36" s="107"/>
      <c r="GA36" s="105"/>
      <c r="GC36" s="13"/>
      <c r="GD36" s="107"/>
      <c r="GE36" s="107"/>
      <c r="GF36" s="105"/>
      <c r="GH36" s="38"/>
      <c r="GI36" s="13"/>
      <c r="GJ36" s="107"/>
      <c r="GK36" s="107"/>
      <c r="GL36" s="105"/>
      <c r="GN36" s="13"/>
      <c r="GO36" s="107"/>
      <c r="GP36" s="107"/>
      <c r="GQ36" s="105"/>
      <c r="GS36" s="13"/>
      <c r="GT36" s="107"/>
      <c r="GU36" s="107"/>
      <c r="GV36" s="105"/>
      <c r="GX36" s="13"/>
      <c r="GY36" s="107"/>
      <c r="GZ36" s="107"/>
      <c r="HA36" s="105"/>
      <c r="HC36" s="13"/>
      <c r="HD36" s="107"/>
      <c r="HE36" s="107"/>
      <c r="HF36" s="105"/>
      <c r="HH36" s="13"/>
      <c r="HI36" s="107"/>
      <c r="HJ36" s="107"/>
      <c r="HK36" s="105"/>
      <c r="HM36" s="38"/>
      <c r="HN36" s="13"/>
      <c r="HO36" s="107"/>
      <c r="HP36" s="107"/>
      <c r="HQ36" s="105"/>
      <c r="HS36" s="13"/>
      <c r="HT36" s="107"/>
      <c r="HU36" s="107"/>
      <c r="HV36" s="105"/>
      <c r="HX36" s="13"/>
      <c r="HY36" s="107"/>
      <c r="HZ36" s="107"/>
      <c r="IA36" s="105"/>
      <c r="IC36" s="13"/>
      <c r="ID36" s="107"/>
      <c r="IE36" s="107"/>
      <c r="IF36" s="105"/>
      <c r="IH36" s="13"/>
      <c r="II36" s="107"/>
      <c r="IJ36" s="107"/>
      <c r="IK36" s="105"/>
      <c r="IM36" s="13"/>
      <c r="IN36" s="107"/>
      <c r="IO36" s="107"/>
      <c r="IP36" s="105"/>
      <c r="IR36" s="38"/>
      <c r="IS36" s="13"/>
      <c r="IT36" s="107"/>
      <c r="IU36" s="107"/>
      <c r="IV36" s="105"/>
      <c r="IX36" s="13"/>
      <c r="IY36" s="107"/>
      <c r="IZ36" s="107"/>
      <c r="JA36" s="105"/>
      <c r="JC36" s="13"/>
      <c r="JD36" s="107"/>
      <c r="JE36" s="107"/>
      <c r="JF36" s="105"/>
      <c r="JH36" s="13"/>
      <c r="JI36" s="107"/>
      <c r="JJ36" s="107"/>
      <c r="JK36" s="105"/>
      <c r="JM36" s="13"/>
      <c r="JN36" s="107"/>
      <c r="JO36" s="107"/>
      <c r="JP36" s="105"/>
      <c r="JR36" s="13"/>
      <c r="JS36" s="107"/>
      <c r="JT36" s="107"/>
      <c r="JU36" s="105"/>
      <c r="JW36" s="38"/>
      <c r="JX36" s="13"/>
      <c r="JY36" s="107"/>
      <c r="JZ36" s="107"/>
      <c r="KA36" s="105"/>
      <c r="KC36" s="13"/>
      <c r="KD36" s="107"/>
      <c r="KE36" s="107"/>
      <c r="KF36" s="105"/>
      <c r="KH36" s="13"/>
      <c r="KI36" s="107"/>
      <c r="KJ36" s="107"/>
      <c r="KK36" s="105"/>
      <c r="KM36" s="13"/>
      <c r="KN36" s="107"/>
      <c r="KO36" s="107"/>
      <c r="KP36" s="105"/>
      <c r="KR36" s="13"/>
      <c r="KS36" s="107"/>
      <c r="KT36" s="107"/>
      <c r="KU36" s="105"/>
      <c r="KW36" s="13"/>
      <c r="KX36" s="107"/>
      <c r="KY36" s="107"/>
      <c r="KZ36" s="105"/>
      <c r="LB36" s="38"/>
      <c r="LC36" s="13"/>
      <c r="LD36" s="107"/>
      <c r="LE36" s="107"/>
      <c r="LF36" s="105"/>
      <c r="LH36" s="13"/>
      <c r="LI36" s="107"/>
      <c r="LJ36" s="107"/>
      <c r="LK36" s="105"/>
      <c r="LM36" s="13"/>
      <c r="LN36" s="107"/>
      <c r="LO36" s="107"/>
      <c r="LP36" s="105"/>
      <c r="LR36" s="13"/>
      <c r="LS36" s="107"/>
      <c r="LT36" s="107"/>
      <c r="LU36" s="105"/>
      <c r="LW36" s="13"/>
      <c r="LX36" s="107"/>
      <c r="LY36" s="107"/>
      <c r="LZ36" s="105"/>
      <c r="MB36" s="13"/>
      <c r="MC36" s="107"/>
      <c r="MD36" s="107"/>
      <c r="ME36" s="105"/>
      <c r="MG36" s="38"/>
      <c r="MH36" s="13"/>
      <c r="MI36" s="107"/>
      <c r="MJ36" s="107"/>
      <c r="MK36" s="105"/>
      <c r="MM36" s="13"/>
      <c r="MN36" s="107"/>
      <c r="MO36" s="107"/>
      <c r="MP36" s="105"/>
      <c r="MR36" s="13"/>
      <c r="MS36" s="107"/>
      <c r="MT36" s="107"/>
      <c r="MU36" s="105"/>
      <c r="MW36" s="13"/>
      <c r="MX36" s="107"/>
      <c r="MY36" s="107"/>
      <c r="MZ36" s="105"/>
      <c r="NB36" s="13"/>
      <c r="NC36" s="107"/>
      <c r="ND36" s="107"/>
      <c r="NE36" s="105"/>
      <c r="NG36" s="13"/>
      <c r="NH36" s="107"/>
      <c r="NI36" s="107"/>
      <c r="NJ36" s="105"/>
      <c r="NL36" s="38"/>
      <c r="NM36" s="13"/>
      <c r="NN36" s="107"/>
      <c r="NO36" s="107"/>
      <c r="NP36" s="105"/>
      <c r="NR36" s="13"/>
      <c r="NS36" s="107"/>
      <c r="NT36" s="107"/>
      <c r="NU36" s="105"/>
      <c r="NW36" s="13"/>
      <c r="NX36" s="107"/>
      <c r="NY36" s="107"/>
      <c r="NZ36" s="105"/>
      <c r="OB36" s="13"/>
      <c r="OC36" s="107"/>
      <c r="OD36" s="107"/>
      <c r="OE36" s="105"/>
      <c r="OG36" s="13"/>
      <c r="OH36" s="107"/>
      <c r="OI36" s="107"/>
      <c r="OJ36" s="105"/>
      <c r="OL36" s="13"/>
      <c r="OM36" s="107"/>
      <c r="ON36" s="107"/>
      <c r="OO36" s="105"/>
    </row>
    <row r="37" ht="15.75" customHeight="1">
      <c r="A37" s="42"/>
      <c r="B37" s="42"/>
      <c r="C37" s="42"/>
      <c r="D37" s="38">
        <f t="shared" si="239"/>
        <v>45964</v>
      </c>
      <c r="E37" s="105" t="str">
        <f t="shared" ref="E37:I37" si="247">E16</f>
        <v/>
      </c>
      <c r="F37" s="105" t="str">
        <f t="shared" si="247"/>
        <v/>
      </c>
      <c r="G37" s="105" t="str">
        <f t="shared" si="247"/>
        <v/>
      </c>
      <c r="H37" s="106" t="str">
        <f t="shared" si="247"/>
        <v/>
      </c>
      <c r="I37" s="106" t="str">
        <f t="shared" si="247"/>
        <v/>
      </c>
      <c r="J37" s="107" t="str">
        <f t="array" ref="J37">IFERROR(IF(XLOOKUP(CONCAT(E37,F37),'MASTER PLAN'!$AB:$AB,'MASTER PLAN'!$M:$M,0,0)=0,"",XLOOKUP(CONCAT(E37,F37),'MASTER PLAN'!$AB:$AB,'MASTER PLAN'!$M:$M,0,0)),"")</f>
        <v/>
      </c>
      <c r="K37" s="107">
        <f t="shared" si="237"/>
        <v>0</v>
      </c>
      <c r="L37" s="107">
        <f t="shared" si="238"/>
        <v>0</v>
      </c>
      <c r="M37" s="105" t="s">
        <v>248</v>
      </c>
      <c r="O37" s="13"/>
      <c r="P37" s="107"/>
      <c r="Q37" s="107"/>
      <c r="R37" s="105"/>
      <c r="T37" s="13"/>
      <c r="U37" s="107"/>
      <c r="V37" s="107"/>
      <c r="W37" s="105"/>
      <c r="Y37" s="13"/>
      <c r="Z37" s="107"/>
      <c r="AA37" s="107"/>
      <c r="AB37" s="105"/>
      <c r="AD37" s="13"/>
      <c r="AE37" s="107"/>
      <c r="AF37" s="107"/>
      <c r="AG37" s="105"/>
      <c r="AI37" s="38"/>
      <c r="AJ37" s="13"/>
      <c r="AK37" s="107"/>
      <c r="AL37" s="107"/>
      <c r="AM37" s="105"/>
      <c r="AO37" s="13"/>
      <c r="AP37" s="107"/>
      <c r="AQ37" s="107"/>
      <c r="AR37" s="105"/>
      <c r="AT37" s="13"/>
      <c r="AU37" s="107"/>
      <c r="AV37" s="107"/>
      <c r="AW37" s="105"/>
      <c r="AY37" s="13"/>
      <c r="AZ37" s="107"/>
      <c r="BA37" s="107"/>
      <c r="BB37" s="105"/>
      <c r="BD37" s="13"/>
      <c r="BE37" s="107"/>
      <c r="BF37" s="107"/>
      <c r="BG37" s="105"/>
      <c r="BI37" s="13"/>
      <c r="BJ37" s="107"/>
      <c r="BK37" s="107"/>
      <c r="BL37" s="105"/>
      <c r="BN37" s="38"/>
      <c r="BO37" s="13"/>
      <c r="BP37" s="107"/>
      <c r="BQ37" s="107"/>
      <c r="BR37" s="105"/>
      <c r="BT37" s="13"/>
      <c r="BU37" s="107"/>
      <c r="BV37" s="107"/>
      <c r="BW37" s="105"/>
      <c r="BY37" s="13"/>
      <c r="BZ37" s="107"/>
      <c r="CA37" s="107"/>
      <c r="CB37" s="105"/>
      <c r="CD37" s="13"/>
      <c r="CE37" s="107"/>
      <c r="CF37" s="107"/>
      <c r="CG37" s="105"/>
      <c r="CI37" s="13"/>
      <c r="CJ37" s="107"/>
      <c r="CK37" s="107"/>
      <c r="CL37" s="105"/>
      <c r="CN37" s="13"/>
      <c r="CO37" s="107"/>
      <c r="CP37" s="107"/>
      <c r="CQ37" s="105"/>
      <c r="CS37" s="38"/>
      <c r="CT37" s="13"/>
      <c r="CU37" s="107"/>
      <c r="CV37" s="107"/>
      <c r="CW37" s="105"/>
      <c r="CY37" s="13"/>
      <c r="CZ37" s="107"/>
      <c r="DA37" s="107"/>
      <c r="DB37" s="105"/>
      <c r="DD37" s="13"/>
      <c r="DE37" s="107"/>
      <c r="DF37" s="107"/>
      <c r="DG37" s="105"/>
      <c r="DI37" s="13"/>
      <c r="DJ37" s="107"/>
      <c r="DK37" s="107"/>
      <c r="DL37" s="105"/>
      <c r="DN37" s="13"/>
      <c r="DO37" s="107"/>
      <c r="DP37" s="107"/>
      <c r="DQ37" s="105"/>
      <c r="DS37" s="13"/>
      <c r="DT37" s="107"/>
      <c r="DU37" s="107"/>
      <c r="DV37" s="105"/>
      <c r="DX37" s="38"/>
      <c r="DY37" s="13"/>
      <c r="DZ37" s="107"/>
      <c r="EA37" s="107"/>
      <c r="EB37" s="105"/>
      <c r="ED37" s="13"/>
      <c r="EE37" s="107"/>
      <c r="EF37" s="107"/>
      <c r="EG37" s="105"/>
      <c r="EI37" s="13"/>
      <c r="EJ37" s="107"/>
      <c r="EK37" s="107"/>
      <c r="EL37" s="105"/>
      <c r="EN37" s="13"/>
      <c r="EO37" s="107"/>
      <c r="EP37" s="107"/>
      <c r="EQ37" s="105"/>
      <c r="ES37" s="13"/>
      <c r="ET37" s="107"/>
      <c r="EU37" s="107"/>
      <c r="EV37" s="105"/>
      <c r="EX37" s="13"/>
      <c r="EY37" s="107"/>
      <c r="EZ37" s="107"/>
      <c r="FA37" s="105"/>
      <c r="FC37" s="38"/>
      <c r="FD37" s="13"/>
      <c r="FE37" s="107"/>
      <c r="FF37" s="107"/>
      <c r="FG37" s="105"/>
      <c r="FI37" s="13"/>
      <c r="FJ37" s="107"/>
      <c r="FK37" s="107"/>
      <c r="FL37" s="105"/>
      <c r="FN37" s="13"/>
      <c r="FO37" s="107"/>
      <c r="FP37" s="107"/>
      <c r="FQ37" s="105"/>
      <c r="FS37" s="13"/>
      <c r="FT37" s="107"/>
      <c r="FU37" s="107"/>
      <c r="FV37" s="105"/>
      <c r="FX37" s="13"/>
      <c r="FY37" s="107"/>
      <c r="FZ37" s="107"/>
      <c r="GA37" s="105"/>
      <c r="GC37" s="13"/>
      <c r="GD37" s="107"/>
      <c r="GE37" s="107"/>
      <c r="GF37" s="105"/>
      <c r="GH37" s="38"/>
      <c r="GI37" s="13"/>
      <c r="GJ37" s="107"/>
      <c r="GK37" s="107"/>
      <c r="GL37" s="105"/>
      <c r="GN37" s="13"/>
      <c r="GO37" s="107"/>
      <c r="GP37" s="107"/>
      <c r="GQ37" s="105"/>
      <c r="GS37" s="13"/>
      <c r="GT37" s="107"/>
      <c r="GU37" s="107"/>
      <c r="GV37" s="105"/>
      <c r="GX37" s="13"/>
      <c r="GY37" s="107"/>
      <c r="GZ37" s="107"/>
      <c r="HA37" s="105"/>
      <c r="HC37" s="13"/>
      <c r="HD37" s="107"/>
      <c r="HE37" s="107"/>
      <c r="HF37" s="105"/>
      <c r="HH37" s="13"/>
      <c r="HI37" s="107"/>
      <c r="HJ37" s="107"/>
      <c r="HK37" s="105"/>
      <c r="HM37" s="38"/>
      <c r="HN37" s="13"/>
      <c r="HO37" s="107"/>
      <c r="HP37" s="107"/>
      <c r="HQ37" s="105"/>
      <c r="HS37" s="13"/>
      <c r="HT37" s="107"/>
      <c r="HU37" s="107"/>
      <c r="HV37" s="105"/>
      <c r="HX37" s="13"/>
      <c r="HY37" s="107"/>
      <c r="HZ37" s="107"/>
      <c r="IA37" s="105"/>
      <c r="IC37" s="13"/>
      <c r="ID37" s="107"/>
      <c r="IE37" s="107"/>
      <c r="IF37" s="105"/>
      <c r="IH37" s="13"/>
      <c r="II37" s="107"/>
      <c r="IJ37" s="107"/>
      <c r="IK37" s="105"/>
      <c r="IM37" s="13"/>
      <c r="IN37" s="107"/>
      <c r="IO37" s="107"/>
      <c r="IP37" s="105"/>
      <c r="IR37" s="38"/>
      <c r="IS37" s="13"/>
      <c r="IT37" s="107"/>
      <c r="IU37" s="107"/>
      <c r="IV37" s="105"/>
      <c r="IX37" s="13"/>
      <c r="IY37" s="107"/>
      <c r="IZ37" s="107"/>
      <c r="JA37" s="105"/>
      <c r="JC37" s="13"/>
      <c r="JD37" s="107"/>
      <c r="JE37" s="107"/>
      <c r="JF37" s="105"/>
      <c r="JH37" s="13"/>
      <c r="JI37" s="107"/>
      <c r="JJ37" s="107"/>
      <c r="JK37" s="105"/>
      <c r="JM37" s="13"/>
      <c r="JN37" s="107"/>
      <c r="JO37" s="107"/>
      <c r="JP37" s="105"/>
      <c r="JR37" s="13"/>
      <c r="JS37" s="107"/>
      <c r="JT37" s="107"/>
      <c r="JU37" s="105"/>
      <c r="JW37" s="38"/>
      <c r="JX37" s="13"/>
      <c r="JY37" s="107"/>
      <c r="JZ37" s="107"/>
      <c r="KA37" s="105"/>
      <c r="KC37" s="13"/>
      <c r="KD37" s="107"/>
      <c r="KE37" s="107"/>
      <c r="KF37" s="105"/>
      <c r="KH37" s="13"/>
      <c r="KI37" s="107"/>
      <c r="KJ37" s="107"/>
      <c r="KK37" s="105"/>
      <c r="KM37" s="13"/>
      <c r="KN37" s="107"/>
      <c r="KO37" s="107"/>
      <c r="KP37" s="105"/>
      <c r="KR37" s="13"/>
      <c r="KS37" s="107"/>
      <c r="KT37" s="107"/>
      <c r="KU37" s="105"/>
      <c r="KW37" s="13"/>
      <c r="KX37" s="107"/>
      <c r="KY37" s="107"/>
      <c r="KZ37" s="105"/>
      <c r="LB37" s="38"/>
      <c r="LC37" s="13"/>
      <c r="LD37" s="107"/>
      <c r="LE37" s="107"/>
      <c r="LF37" s="105"/>
      <c r="LH37" s="13"/>
      <c r="LI37" s="107"/>
      <c r="LJ37" s="107"/>
      <c r="LK37" s="105"/>
      <c r="LM37" s="13"/>
      <c r="LN37" s="107"/>
      <c r="LO37" s="107"/>
      <c r="LP37" s="105"/>
      <c r="LR37" s="13"/>
      <c r="LS37" s="107"/>
      <c r="LT37" s="107"/>
      <c r="LU37" s="105"/>
      <c r="LW37" s="13"/>
      <c r="LX37" s="107"/>
      <c r="LY37" s="107"/>
      <c r="LZ37" s="105"/>
      <c r="MB37" s="13"/>
      <c r="MC37" s="107"/>
      <c r="MD37" s="107"/>
      <c r="ME37" s="105"/>
      <c r="MG37" s="38"/>
      <c r="MH37" s="13"/>
      <c r="MI37" s="107"/>
      <c r="MJ37" s="107"/>
      <c r="MK37" s="105"/>
      <c r="MM37" s="13"/>
      <c r="MN37" s="107"/>
      <c r="MO37" s="107"/>
      <c r="MP37" s="105"/>
      <c r="MR37" s="13"/>
      <c r="MS37" s="107"/>
      <c r="MT37" s="107"/>
      <c r="MU37" s="105"/>
      <c r="MW37" s="13"/>
      <c r="MX37" s="107"/>
      <c r="MY37" s="107"/>
      <c r="MZ37" s="105"/>
      <c r="NB37" s="13"/>
      <c r="NC37" s="107"/>
      <c r="ND37" s="107"/>
      <c r="NE37" s="105"/>
      <c r="NG37" s="13"/>
      <c r="NH37" s="107"/>
      <c r="NI37" s="107"/>
      <c r="NJ37" s="105"/>
      <c r="NL37" s="38"/>
      <c r="NM37" s="13"/>
      <c r="NN37" s="107"/>
      <c r="NO37" s="107"/>
      <c r="NP37" s="105"/>
      <c r="NR37" s="13"/>
      <c r="NS37" s="107"/>
      <c r="NT37" s="107"/>
      <c r="NU37" s="105"/>
      <c r="NW37" s="13"/>
      <c r="NX37" s="107"/>
      <c r="NY37" s="107"/>
      <c r="NZ37" s="105"/>
      <c r="OB37" s="13"/>
      <c r="OC37" s="107"/>
      <c r="OD37" s="107"/>
      <c r="OE37" s="105"/>
      <c r="OG37" s="13"/>
      <c r="OH37" s="107"/>
      <c r="OI37" s="107"/>
      <c r="OJ37" s="105"/>
      <c r="OL37" s="13"/>
      <c r="OM37" s="107"/>
      <c r="ON37" s="107"/>
      <c r="OO37" s="105"/>
    </row>
    <row r="38" ht="15.75" customHeight="1">
      <c r="A38" s="42"/>
      <c r="B38" s="42"/>
      <c r="C38" s="42"/>
      <c r="D38" s="38">
        <f t="shared" si="239"/>
        <v>45964</v>
      </c>
      <c r="E38" s="105" t="str">
        <f t="shared" ref="E38:I38" si="248">E20</f>
        <v/>
      </c>
      <c r="F38" s="105" t="str">
        <f t="shared" si="248"/>
        <v/>
      </c>
      <c r="G38" s="105" t="str">
        <f t="shared" si="248"/>
        <v/>
      </c>
      <c r="H38" s="106" t="str">
        <f t="shared" si="248"/>
        <v/>
      </c>
      <c r="I38" s="106" t="str">
        <f t="shared" si="248"/>
        <v/>
      </c>
      <c r="J38" s="107" t="str">
        <f t="array" ref="J38">IFERROR(IF(XLOOKUP(CONCAT(E38,F38),'MASTER PLAN'!$AB:$AB,'MASTER PLAN'!$M:$M,0,0)=0,"",XLOOKUP(CONCAT(E38,F38),'MASTER PLAN'!$AB:$AB,'MASTER PLAN'!$M:$M,0,0)),"")</f>
        <v/>
      </c>
      <c r="K38" s="107">
        <f t="shared" si="237"/>
        <v>0</v>
      </c>
      <c r="L38" s="107">
        <f t="shared" si="238"/>
        <v>0</v>
      </c>
      <c r="M38" s="105" t="s">
        <v>249</v>
      </c>
      <c r="O38" s="13"/>
      <c r="P38" s="107"/>
      <c r="Q38" s="107"/>
      <c r="R38" s="105"/>
      <c r="T38" s="13"/>
      <c r="U38" s="107"/>
      <c r="V38" s="107"/>
      <c r="W38" s="105"/>
      <c r="Y38" s="13"/>
      <c r="Z38" s="107"/>
      <c r="AA38" s="107"/>
      <c r="AB38" s="105"/>
      <c r="AD38" s="13"/>
      <c r="AE38" s="107"/>
      <c r="AF38" s="107"/>
      <c r="AG38" s="105"/>
      <c r="AI38" s="38"/>
      <c r="AJ38" s="13"/>
      <c r="AK38" s="107"/>
      <c r="AL38" s="107"/>
      <c r="AM38" s="105"/>
      <c r="AO38" s="13"/>
      <c r="AP38" s="107"/>
      <c r="AQ38" s="107"/>
      <c r="AR38" s="105"/>
      <c r="AT38" s="13"/>
      <c r="AU38" s="107"/>
      <c r="AV38" s="107"/>
      <c r="AW38" s="105"/>
      <c r="AY38" s="13"/>
      <c r="AZ38" s="107"/>
      <c r="BA38" s="107"/>
      <c r="BB38" s="105"/>
      <c r="BD38" s="13"/>
      <c r="BE38" s="107"/>
      <c r="BF38" s="107"/>
      <c r="BG38" s="105"/>
      <c r="BI38" s="13"/>
      <c r="BJ38" s="107"/>
      <c r="BK38" s="107"/>
      <c r="BL38" s="105"/>
      <c r="BN38" s="38"/>
      <c r="BO38" s="13"/>
      <c r="BP38" s="107"/>
      <c r="BQ38" s="107"/>
      <c r="BR38" s="105"/>
      <c r="BT38" s="13"/>
      <c r="BU38" s="107"/>
      <c r="BV38" s="107"/>
      <c r="BW38" s="105"/>
      <c r="BY38" s="13"/>
      <c r="BZ38" s="107"/>
      <c r="CA38" s="107"/>
      <c r="CB38" s="105"/>
      <c r="CD38" s="13"/>
      <c r="CE38" s="107"/>
      <c r="CF38" s="107"/>
      <c r="CG38" s="105"/>
      <c r="CI38" s="13"/>
      <c r="CJ38" s="107"/>
      <c r="CK38" s="107"/>
      <c r="CL38" s="105"/>
      <c r="CN38" s="13"/>
      <c r="CO38" s="107"/>
      <c r="CP38" s="107"/>
      <c r="CQ38" s="105"/>
      <c r="CS38" s="38"/>
      <c r="CT38" s="13"/>
      <c r="CU38" s="107"/>
      <c r="CV38" s="107"/>
      <c r="CW38" s="105"/>
      <c r="CY38" s="13"/>
      <c r="CZ38" s="107"/>
      <c r="DA38" s="107"/>
      <c r="DB38" s="105"/>
      <c r="DD38" s="13"/>
      <c r="DE38" s="107"/>
      <c r="DF38" s="107"/>
      <c r="DG38" s="105"/>
      <c r="DI38" s="13"/>
      <c r="DJ38" s="107"/>
      <c r="DK38" s="107"/>
      <c r="DL38" s="105"/>
      <c r="DN38" s="13"/>
      <c r="DO38" s="107"/>
      <c r="DP38" s="107"/>
      <c r="DQ38" s="105"/>
      <c r="DS38" s="13"/>
      <c r="DT38" s="107"/>
      <c r="DU38" s="107"/>
      <c r="DV38" s="105"/>
      <c r="DX38" s="38"/>
      <c r="DY38" s="13"/>
      <c r="DZ38" s="107"/>
      <c r="EA38" s="107"/>
      <c r="EB38" s="105"/>
      <c r="ED38" s="13"/>
      <c r="EE38" s="107"/>
      <c r="EF38" s="107"/>
      <c r="EG38" s="105"/>
      <c r="EI38" s="13"/>
      <c r="EJ38" s="107"/>
      <c r="EK38" s="107"/>
      <c r="EL38" s="105"/>
      <c r="EN38" s="13"/>
      <c r="EO38" s="107"/>
      <c r="EP38" s="107"/>
      <c r="EQ38" s="105"/>
      <c r="ES38" s="13"/>
      <c r="ET38" s="107"/>
      <c r="EU38" s="107"/>
      <c r="EV38" s="105"/>
      <c r="EX38" s="13"/>
      <c r="EY38" s="107"/>
      <c r="EZ38" s="107"/>
      <c r="FA38" s="105"/>
      <c r="FC38" s="38"/>
      <c r="FD38" s="13"/>
      <c r="FE38" s="107"/>
      <c r="FF38" s="107"/>
      <c r="FG38" s="105"/>
      <c r="FI38" s="13"/>
      <c r="FJ38" s="107"/>
      <c r="FK38" s="107"/>
      <c r="FL38" s="105"/>
      <c r="FN38" s="13"/>
      <c r="FO38" s="107"/>
      <c r="FP38" s="107"/>
      <c r="FQ38" s="105"/>
      <c r="FS38" s="13"/>
      <c r="FT38" s="107"/>
      <c r="FU38" s="107"/>
      <c r="FV38" s="105"/>
      <c r="FX38" s="13"/>
      <c r="FY38" s="107"/>
      <c r="FZ38" s="107"/>
      <c r="GA38" s="105"/>
      <c r="GC38" s="13"/>
      <c r="GD38" s="107"/>
      <c r="GE38" s="107"/>
      <c r="GF38" s="105"/>
      <c r="GH38" s="38"/>
      <c r="GI38" s="13"/>
      <c r="GJ38" s="107"/>
      <c r="GK38" s="107"/>
      <c r="GL38" s="105"/>
      <c r="GN38" s="13"/>
      <c r="GO38" s="107"/>
      <c r="GP38" s="107"/>
      <c r="GQ38" s="105"/>
      <c r="GS38" s="13"/>
      <c r="GT38" s="107"/>
      <c r="GU38" s="107"/>
      <c r="GV38" s="105"/>
      <c r="GX38" s="13"/>
      <c r="GY38" s="107"/>
      <c r="GZ38" s="107"/>
      <c r="HA38" s="105"/>
      <c r="HC38" s="13"/>
      <c r="HD38" s="107"/>
      <c r="HE38" s="107"/>
      <c r="HF38" s="105"/>
      <c r="HH38" s="13"/>
      <c r="HI38" s="107"/>
      <c r="HJ38" s="107"/>
      <c r="HK38" s="105"/>
      <c r="HM38" s="38"/>
      <c r="HN38" s="13"/>
      <c r="HO38" s="107"/>
      <c r="HP38" s="107"/>
      <c r="HQ38" s="105"/>
      <c r="HS38" s="13"/>
      <c r="HT38" s="107"/>
      <c r="HU38" s="107"/>
      <c r="HV38" s="105"/>
      <c r="HX38" s="13"/>
      <c r="HY38" s="107"/>
      <c r="HZ38" s="107"/>
      <c r="IA38" s="105"/>
      <c r="IC38" s="13"/>
      <c r="ID38" s="107"/>
      <c r="IE38" s="107"/>
      <c r="IF38" s="105"/>
      <c r="IH38" s="13"/>
      <c r="II38" s="107"/>
      <c r="IJ38" s="107"/>
      <c r="IK38" s="105"/>
      <c r="IM38" s="13"/>
      <c r="IN38" s="107"/>
      <c r="IO38" s="107"/>
      <c r="IP38" s="105"/>
      <c r="IR38" s="38"/>
      <c r="IS38" s="13"/>
      <c r="IT38" s="107"/>
      <c r="IU38" s="107"/>
      <c r="IV38" s="105"/>
      <c r="IX38" s="13"/>
      <c r="IY38" s="107"/>
      <c r="IZ38" s="107"/>
      <c r="JA38" s="105"/>
      <c r="JC38" s="13"/>
      <c r="JD38" s="107"/>
      <c r="JE38" s="107"/>
      <c r="JF38" s="105"/>
      <c r="JH38" s="13"/>
      <c r="JI38" s="107"/>
      <c r="JJ38" s="107"/>
      <c r="JK38" s="105"/>
      <c r="JM38" s="13"/>
      <c r="JN38" s="107"/>
      <c r="JO38" s="107"/>
      <c r="JP38" s="105"/>
      <c r="JR38" s="13"/>
      <c r="JS38" s="107"/>
      <c r="JT38" s="107"/>
      <c r="JU38" s="105"/>
      <c r="JW38" s="38"/>
      <c r="JX38" s="13"/>
      <c r="JY38" s="107"/>
      <c r="JZ38" s="107"/>
      <c r="KA38" s="105"/>
      <c r="KC38" s="13"/>
      <c r="KD38" s="107"/>
      <c r="KE38" s="107"/>
      <c r="KF38" s="105"/>
      <c r="KH38" s="13"/>
      <c r="KI38" s="107"/>
      <c r="KJ38" s="107"/>
      <c r="KK38" s="105"/>
      <c r="KM38" s="13"/>
      <c r="KN38" s="107"/>
      <c r="KO38" s="107"/>
      <c r="KP38" s="105"/>
      <c r="KR38" s="13"/>
      <c r="KS38" s="107"/>
      <c r="KT38" s="107"/>
      <c r="KU38" s="105"/>
      <c r="KW38" s="13"/>
      <c r="KX38" s="107"/>
      <c r="KY38" s="107"/>
      <c r="KZ38" s="105"/>
      <c r="LB38" s="38"/>
      <c r="LC38" s="13"/>
      <c r="LD38" s="107"/>
      <c r="LE38" s="107"/>
      <c r="LF38" s="105"/>
      <c r="LH38" s="13"/>
      <c r="LI38" s="107"/>
      <c r="LJ38" s="107"/>
      <c r="LK38" s="105"/>
      <c r="LM38" s="13"/>
      <c r="LN38" s="107"/>
      <c r="LO38" s="107"/>
      <c r="LP38" s="105"/>
      <c r="LR38" s="13"/>
      <c r="LS38" s="107"/>
      <c r="LT38" s="107"/>
      <c r="LU38" s="105"/>
      <c r="LW38" s="13"/>
      <c r="LX38" s="107"/>
      <c r="LY38" s="107"/>
      <c r="LZ38" s="105"/>
      <c r="MB38" s="13"/>
      <c r="MC38" s="107"/>
      <c r="MD38" s="107"/>
      <c r="ME38" s="105"/>
      <c r="MG38" s="38"/>
      <c r="MH38" s="13"/>
      <c r="MI38" s="107"/>
      <c r="MJ38" s="107"/>
      <c r="MK38" s="105"/>
      <c r="MM38" s="13"/>
      <c r="MN38" s="107"/>
      <c r="MO38" s="107"/>
      <c r="MP38" s="105"/>
      <c r="MR38" s="13"/>
      <c r="MS38" s="107"/>
      <c r="MT38" s="107"/>
      <c r="MU38" s="105"/>
      <c r="MW38" s="13"/>
      <c r="MX38" s="107"/>
      <c r="MY38" s="107"/>
      <c r="MZ38" s="105"/>
      <c r="NB38" s="13"/>
      <c r="NC38" s="107"/>
      <c r="ND38" s="107"/>
      <c r="NE38" s="105"/>
      <c r="NG38" s="13"/>
      <c r="NH38" s="107"/>
      <c r="NI38" s="107"/>
      <c r="NJ38" s="105"/>
      <c r="NL38" s="38"/>
      <c r="NM38" s="13"/>
      <c r="NN38" s="107"/>
      <c r="NO38" s="107"/>
      <c r="NP38" s="105"/>
      <c r="NR38" s="13"/>
      <c r="NS38" s="107"/>
      <c r="NT38" s="107"/>
      <c r="NU38" s="105"/>
      <c r="NW38" s="13"/>
      <c r="NX38" s="107"/>
      <c r="NY38" s="107"/>
      <c r="NZ38" s="105"/>
      <c r="OB38" s="13"/>
      <c r="OC38" s="107"/>
      <c r="OD38" s="107"/>
      <c r="OE38" s="105"/>
      <c r="OG38" s="13"/>
      <c r="OH38" s="107"/>
      <c r="OI38" s="107"/>
      <c r="OJ38" s="105"/>
      <c r="OL38" s="13"/>
      <c r="OM38" s="107"/>
      <c r="ON38" s="107"/>
      <c r="OO38" s="105"/>
    </row>
    <row r="39" ht="15.75" customHeight="1">
      <c r="A39" s="42"/>
      <c r="B39" s="42"/>
      <c r="C39" s="42"/>
      <c r="D39" s="38">
        <f t="shared" si="239"/>
        <v>45964</v>
      </c>
      <c r="E39" s="105" t="str">
        <f t="shared" ref="E39:I39" si="249">E21</f>
        <v/>
      </c>
      <c r="F39" s="105" t="str">
        <f t="shared" si="249"/>
        <v/>
      </c>
      <c r="G39" s="105" t="str">
        <f t="shared" si="249"/>
        <v/>
      </c>
      <c r="H39" s="106" t="str">
        <f t="shared" si="249"/>
        <v/>
      </c>
      <c r="I39" s="106" t="str">
        <f t="shared" si="249"/>
        <v/>
      </c>
      <c r="J39" s="107" t="str">
        <f t="array" ref="J39">IFERROR(IF(XLOOKUP(CONCAT(E39,F39),'MASTER PLAN'!$AB:$AB,'MASTER PLAN'!$M:$M,0,0)=0,"",XLOOKUP(CONCAT(E39,F39),'MASTER PLAN'!$AB:$AB,'MASTER PLAN'!$M:$M,0,0)),"")</f>
        <v/>
      </c>
      <c r="K39" s="107">
        <f t="shared" si="237"/>
        <v>0</v>
      </c>
      <c r="L39" s="107">
        <f t="shared" si="238"/>
        <v>0</v>
      </c>
      <c r="M39" s="105" t="s">
        <v>249</v>
      </c>
      <c r="O39" s="13"/>
      <c r="P39" s="107"/>
      <c r="Q39" s="107"/>
      <c r="R39" s="105"/>
      <c r="T39" s="13"/>
      <c r="U39" s="107"/>
      <c r="V39" s="107"/>
      <c r="W39" s="105"/>
      <c r="Y39" s="13"/>
      <c r="Z39" s="107"/>
      <c r="AA39" s="107"/>
      <c r="AB39" s="105"/>
      <c r="AD39" s="13"/>
      <c r="AE39" s="107"/>
      <c r="AF39" s="107"/>
      <c r="AG39" s="105"/>
      <c r="AI39" s="38"/>
      <c r="AJ39" s="13"/>
      <c r="AK39" s="107"/>
      <c r="AL39" s="107"/>
      <c r="AM39" s="105"/>
      <c r="AO39" s="13"/>
      <c r="AP39" s="107"/>
      <c r="AQ39" s="107"/>
      <c r="AR39" s="105"/>
      <c r="AT39" s="13"/>
      <c r="AU39" s="107"/>
      <c r="AV39" s="107"/>
      <c r="AW39" s="105"/>
      <c r="AY39" s="13"/>
      <c r="AZ39" s="107"/>
      <c r="BA39" s="107"/>
      <c r="BB39" s="105"/>
      <c r="BD39" s="13"/>
      <c r="BE39" s="107"/>
      <c r="BF39" s="107"/>
      <c r="BG39" s="105"/>
      <c r="BI39" s="13"/>
      <c r="BJ39" s="107"/>
      <c r="BK39" s="107"/>
      <c r="BL39" s="105"/>
      <c r="BN39" s="38"/>
      <c r="BO39" s="13"/>
      <c r="BP39" s="107"/>
      <c r="BQ39" s="107"/>
      <c r="BR39" s="105"/>
      <c r="BT39" s="13"/>
      <c r="BU39" s="107"/>
      <c r="BV39" s="107"/>
      <c r="BW39" s="105"/>
      <c r="BY39" s="13"/>
      <c r="BZ39" s="107"/>
      <c r="CA39" s="107"/>
      <c r="CB39" s="105"/>
      <c r="CD39" s="13"/>
      <c r="CE39" s="107"/>
      <c r="CF39" s="107"/>
      <c r="CG39" s="105"/>
      <c r="CI39" s="13"/>
      <c r="CJ39" s="107"/>
      <c r="CK39" s="107"/>
      <c r="CL39" s="105"/>
      <c r="CN39" s="13"/>
      <c r="CO39" s="107"/>
      <c r="CP39" s="107"/>
      <c r="CQ39" s="105"/>
      <c r="CS39" s="38"/>
      <c r="CT39" s="13"/>
      <c r="CU39" s="107"/>
      <c r="CV39" s="107"/>
      <c r="CW39" s="105"/>
      <c r="CY39" s="13"/>
      <c r="CZ39" s="107"/>
      <c r="DA39" s="107"/>
      <c r="DB39" s="105"/>
      <c r="DD39" s="13"/>
      <c r="DE39" s="107"/>
      <c r="DF39" s="107"/>
      <c r="DG39" s="105"/>
      <c r="DI39" s="13"/>
      <c r="DJ39" s="107"/>
      <c r="DK39" s="107"/>
      <c r="DL39" s="105"/>
      <c r="DN39" s="13"/>
      <c r="DO39" s="107"/>
      <c r="DP39" s="107"/>
      <c r="DQ39" s="105"/>
      <c r="DS39" s="13"/>
      <c r="DT39" s="107"/>
      <c r="DU39" s="107"/>
      <c r="DV39" s="105"/>
      <c r="DX39" s="38"/>
      <c r="DY39" s="13"/>
      <c r="DZ39" s="107"/>
      <c r="EA39" s="107"/>
      <c r="EB39" s="105"/>
      <c r="ED39" s="13"/>
      <c r="EE39" s="107"/>
      <c r="EF39" s="107"/>
      <c r="EG39" s="105"/>
      <c r="EI39" s="13"/>
      <c r="EJ39" s="107"/>
      <c r="EK39" s="107"/>
      <c r="EL39" s="105"/>
      <c r="EN39" s="13"/>
      <c r="EO39" s="107"/>
      <c r="EP39" s="107"/>
      <c r="EQ39" s="105"/>
      <c r="ES39" s="13"/>
      <c r="ET39" s="107"/>
      <c r="EU39" s="107"/>
      <c r="EV39" s="105"/>
      <c r="EX39" s="13"/>
      <c r="EY39" s="107"/>
      <c r="EZ39" s="107"/>
      <c r="FA39" s="105"/>
      <c r="FC39" s="38"/>
      <c r="FD39" s="13"/>
      <c r="FE39" s="107"/>
      <c r="FF39" s="107"/>
      <c r="FG39" s="105"/>
      <c r="FI39" s="13"/>
      <c r="FJ39" s="107"/>
      <c r="FK39" s="107"/>
      <c r="FL39" s="105"/>
      <c r="FN39" s="13"/>
      <c r="FO39" s="107"/>
      <c r="FP39" s="107"/>
      <c r="FQ39" s="105"/>
      <c r="FS39" s="13"/>
      <c r="FT39" s="107"/>
      <c r="FU39" s="107"/>
      <c r="FV39" s="105"/>
      <c r="FX39" s="13"/>
      <c r="FY39" s="107"/>
      <c r="FZ39" s="107"/>
      <c r="GA39" s="105"/>
      <c r="GC39" s="13"/>
      <c r="GD39" s="107"/>
      <c r="GE39" s="107"/>
      <c r="GF39" s="105"/>
      <c r="GH39" s="38"/>
      <c r="GI39" s="13"/>
      <c r="GJ39" s="107"/>
      <c r="GK39" s="107"/>
      <c r="GL39" s="105"/>
      <c r="GN39" s="13"/>
      <c r="GO39" s="107"/>
      <c r="GP39" s="107"/>
      <c r="GQ39" s="105"/>
      <c r="GS39" s="13"/>
      <c r="GT39" s="107"/>
      <c r="GU39" s="107"/>
      <c r="GV39" s="105"/>
      <c r="GX39" s="13"/>
      <c r="GY39" s="107"/>
      <c r="GZ39" s="107"/>
      <c r="HA39" s="105"/>
      <c r="HC39" s="13"/>
      <c r="HD39" s="107"/>
      <c r="HE39" s="107"/>
      <c r="HF39" s="105"/>
      <c r="HH39" s="13"/>
      <c r="HI39" s="107"/>
      <c r="HJ39" s="107"/>
      <c r="HK39" s="105"/>
      <c r="HM39" s="38"/>
      <c r="HN39" s="13"/>
      <c r="HO39" s="107"/>
      <c r="HP39" s="107"/>
      <c r="HQ39" s="105"/>
      <c r="HS39" s="13"/>
      <c r="HT39" s="107"/>
      <c r="HU39" s="107"/>
      <c r="HV39" s="105"/>
      <c r="HX39" s="13"/>
      <c r="HY39" s="107"/>
      <c r="HZ39" s="107"/>
      <c r="IA39" s="105"/>
      <c r="IC39" s="13"/>
      <c r="ID39" s="107"/>
      <c r="IE39" s="107"/>
      <c r="IF39" s="105"/>
      <c r="IH39" s="13"/>
      <c r="II39" s="107"/>
      <c r="IJ39" s="107"/>
      <c r="IK39" s="105"/>
      <c r="IM39" s="13"/>
      <c r="IN39" s="107"/>
      <c r="IO39" s="107"/>
      <c r="IP39" s="105"/>
      <c r="IR39" s="38"/>
      <c r="IS39" s="13"/>
      <c r="IT39" s="107"/>
      <c r="IU39" s="107"/>
      <c r="IV39" s="105"/>
      <c r="IX39" s="13"/>
      <c r="IY39" s="107"/>
      <c r="IZ39" s="107"/>
      <c r="JA39" s="105"/>
      <c r="JC39" s="13"/>
      <c r="JD39" s="107"/>
      <c r="JE39" s="107"/>
      <c r="JF39" s="105"/>
      <c r="JH39" s="13"/>
      <c r="JI39" s="107"/>
      <c r="JJ39" s="107"/>
      <c r="JK39" s="105"/>
      <c r="JM39" s="13"/>
      <c r="JN39" s="107"/>
      <c r="JO39" s="107"/>
      <c r="JP39" s="105"/>
      <c r="JR39" s="13"/>
      <c r="JS39" s="107"/>
      <c r="JT39" s="107"/>
      <c r="JU39" s="105"/>
      <c r="JW39" s="38"/>
      <c r="JX39" s="13"/>
      <c r="JY39" s="107"/>
      <c r="JZ39" s="107"/>
      <c r="KA39" s="105"/>
      <c r="KC39" s="13"/>
      <c r="KD39" s="107"/>
      <c r="KE39" s="107"/>
      <c r="KF39" s="105"/>
      <c r="KH39" s="13"/>
      <c r="KI39" s="107"/>
      <c r="KJ39" s="107"/>
      <c r="KK39" s="105"/>
      <c r="KM39" s="13"/>
      <c r="KN39" s="107"/>
      <c r="KO39" s="107"/>
      <c r="KP39" s="105"/>
      <c r="KR39" s="13"/>
      <c r="KS39" s="107"/>
      <c r="KT39" s="107"/>
      <c r="KU39" s="105"/>
      <c r="KW39" s="13"/>
      <c r="KX39" s="107"/>
      <c r="KY39" s="107"/>
      <c r="KZ39" s="105"/>
      <c r="LB39" s="38"/>
      <c r="LC39" s="13"/>
      <c r="LD39" s="107"/>
      <c r="LE39" s="107"/>
      <c r="LF39" s="105"/>
      <c r="LH39" s="13"/>
      <c r="LI39" s="107"/>
      <c r="LJ39" s="107"/>
      <c r="LK39" s="105"/>
      <c r="LM39" s="13"/>
      <c r="LN39" s="107"/>
      <c r="LO39" s="107"/>
      <c r="LP39" s="105"/>
      <c r="LR39" s="13"/>
      <c r="LS39" s="107"/>
      <c r="LT39" s="107"/>
      <c r="LU39" s="105"/>
      <c r="LW39" s="13"/>
      <c r="LX39" s="107"/>
      <c r="LY39" s="107"/>
      <c r="LZ39" s="105"/>
      <c r="MB39" s="13"/>
      <c r="MC39" s="107"/>
      <c r="MD39" s="107"/>
      <c r="ME39" s="105"/>
      <c r="MG39" s="38"/>
      <c r="MH39" s="13"/>
      <c r="MI39" s="107"/>
      <c r="MJ39" s="107"/>
      <c r="MK39" s="105"/>
      <c r="MM39" s="13"/>
      <c r="MN39" s="107"/>
      <c r="MO39" s="107"/>
      <c r="MP39" s="105"/>
      <c r="MR39" s="13"/>
      <c r="MS39" s="107"/>
      <c r="MT39" s="107"/>
      <c r="MU39" s="105"/>
      <c r="MW39" s="13"/>
      <c r="MX39" s="107"/>
      <c r="MY39" s="107"/>
      <c r="MZ39" s="105"/>
      <c r="NB39" s="13"/>
      <c r="NC39" s="107"/>
      <c r="ND39" s="107"/>
      <c r="NE39" s="105"/>
      <c r="NG39" s="13"/>
      <c r="NH39" s="107"/>
      <c r="NI39" s="107"/>
      <c r="NJ39" s="105"/>
      <c r="NL39" s="38"/>
      <c r="NM39" s="13"/>
      <c r="NN39" s="107"/>
      <c r="NO39" s="107"/>
      <c r="NP39" s="105"/>
      <c r="NR39" s="13"/>
      <c r="NS39" s="107"/>
      <c r="NT39" s="107"/>
      <c r="NU39" s="105"/>
      <c r="NW39" s="13"/>
      <c r="NX39" s="107"/>
      <c r="NY39" s="107"/>
      <c r="NZ39" s="105"/>
      <c r="OB39" s="13"/>
      <c r="OC39" s="107"/>
      <c r="OD39" s="107"/>
      <c r="OE39" s="105"/>
      <c r="OG39" s="13"/>
      <c r="OH39" s="107"/>
      <c r="OI39" s="107"/>
      <c r="OJ39" s="105"/>
      <c r="OL39" s="13"/>
      <c r="OM39" s="107"/>
      <c r="ON39" s="107"/>
      <c r="OO39" s="105"/>
    </row>
    <row r="40" ht="15.75" customHeight="1">
      <c r="A40" s="42"/>
      <c r="B40" s="42"/>
      <c r="C40" s="42"/>
      <c r="D40" s="38">
        <f t="shared" si="239"/>
        <v>45964</v>
      </c>
      <c r="E40" s="105" t="str">
        <f t="shared" ref="E40:I40" si="250">E22</f>
        <v/>
      </c>
      <c r="F40" s="105" t="str">
        <f t="shared" si="250"/>
        <v/>
      </c>
      <c r="G40" s="105" t="str">
        <f t="shared" si="250"/>
        <v/>
      </c>
      <c r="H40" s="106" t="str">
        <f t="shared" si="250"/>
        <v/>
      </c>
      <c r="I40" s="106" t="str">
        <f t="shared" si="250"/>
        <v/>
      </c>
      <c r="J40" s="107" t="str">
        <f t="array" ref="J40">IFERROR(IF(XLOOKUP(CONCAT(E40,F40),'MASTER PLAN'!$AB:$AB,'MASTER PLAN'!$M:$M,0,0)=0,"",XLOOKUP(CONCAT(E40,F40),'MASTER PLAN'!$AB:$AB,'MASTER PLAN'!$M:$M,0,0)),"")</f>
        <v/>
      </c>
      <c r="K40" s="107">
        <f t="shared" si="237"/>
        <v>0</v>
      </c>
      <c r="L40" s="107">
        <f t="shared" si="238"/>
        <v>0</v>
      </c>
      <c r="M40" s="105" t="s">
        <v>249</v>
      </c>
      <c r="O40" s="13"/>
      <c r="P40" s="107"/>
      <c r="Q40" s="107"/>
      <c r="R40" s="105"/>
      <c r="T40" s="13"/>
      <c r="U40" s="107"/>
      <c r="V40" s="107"/>
      <c r="W40" s="105"/>
      <c r="Y40" s="13"/>
      <c r="Z40" s="107"/>
      <c r="AA40" s="107"/>
      <c r="AB40" s="105"/>
      <c r="AD40" s="13"/>
      <c r="AE40" s="107"/>
      <c r="AF40" s="107"/>
      <c r="AG40" s="105"/>
      <c r="AI40" s="38"/>
      <c r="AJ40" s="13"/>
      <c r="AK40" s="107"/>
      <c r="AL40" s="107"/>
      <c r="AM40" s="105"/>
      <c r="AO40" s="13"/>
      <c r="AP40" s="107"/>
      <c r="AQ40" s="107"/>
      <c r="AR40" s="105"/>
      <c r="AT40" s="13"/>
      <c r="AU40" s="107"/>
      <c r="AV40" s="107"/>
      <c r="AW40" s="105"/>
      <c r="AY40" s="13"/>
      <c r="AZ40" s="107"/>
      <c r="BA40" s="107"/>
      <c r="BB40" s="105"/>
      <c r="BD40" s="13"/>
      <c r="BE40" s="107"/>
      <c r="BF40" s="107"/>
      <c r="BG40" s="105"/>
      <c r="BI40" s="13"/>
      <c r="BJ40" s="107"/>
      <c r="BK40" s="107"/>
      <c r="BL40" s="105"/>
      <c r="BN40" s="38"/>
      <c r="BO40" s="13"/>
      <c r="BP40" s="107"/>
      <c r="BQ40" s="107"/>
      <c r="BR40" s="105"/>
      <c r="BT40" s="13"/>
      <c r="BU40" s="107"/>
      <c r="BV40" s="107"/>
      <c r="BW40" s="105"/>
      <c r="BY40" s="13"/>
      <c r="BZ40" s="107"/>
      <c r="CA40" s="107"/>
      <c r="CB40" s="105"/>
      <c r="CD40" s="13"/>
      <c r="CE40" s="107"/>
      <c r="CF40" s="107"/>
      <c r="CG40" s="105"/>
      <c r="CI40" s="13"/>
      <c r="CJ40" s="107"/>
      <c r="CK40" s="107"/>
      <c r="CL40" s="105"/>
      <c r="CN40" s="13"/>
      <c r="CO40" s="107"/>
      <c r="CP40" s="107"/>
      <c r="CQ40" s="105"/>
      <c r="CS40" s="38"/>
      <c r="CT40" s="13"/>
      <c r="CU40" s="107"/>
      <c r="CV40" s="107"/>
      <c r="CW40" s="105"/>
      <c r="CY40" s="13"/>
      <c r="CZ40" s="107"/>
      <c r="DA40" s="107"/>
      <c r="DB40" s="105"/>
      <c r="DD40" s="13"/>
      <c r="DE40" s="107"/>
      <c r="DF40" s="107"/>
      <c r="DG40" s="105"/>
      <c r="DI40" s="13"/>
      <c r="DJ40" s="107"/>
      <c r="DK40" s="107"/>
      <c r="DL40" s="105"/>
      <c r="DN40" s="13"/>
      <c r="DO40" s="107"/>
      <c r="DP40" s="107"/>
      <c r="DQ40" s="105"/>
      <c r="DS40" s="13"/>
      <c r="DT40" s="107"/>
      <c r="DU40" s="107"/>
      <c r="DV40" s="105"/>
      <c r="DX40" s="38"/>
      <c r="DY40" s="13"/>
      <c r="DZ40" s="107"/>
      <c r="EA40" s="107"/>
      <c r="EB40" s="105"/>
      <c r="ED40" s="13"/>
      <c r="EE40" s="107"/>
      <c r="EF40" s="107"/>
      <c r="EG40" s="105"/>
      <c r="EI40" s="13"/>
      <c r="EJ40" s="107"/>
      <c r="EK40" s="107"/>
      <c r="EL40" s="105"/>
      <c r="EN40" s="13"/>
      <c r="EO40" s="107"/>
      <c r="EP40" s="107"/>
      <c r="EQ40" s="105"/>
      <c r="ES40" s="13"/>
      <c r="ET40" s="107"/>
      <c r="EU40" s="107"/>
      <c r="EV40" s="105"/>
      <c r="EX40" s="13"/>
      <c r="EY40" s="107"/>
      <c r="EZ40" s="107"/>
      <c r="FA40" s="105"/>
      <c r="FC40" s="38"/>
      <c r="FD40" s="13"/>
      <c r="FE40" s="107"/>
      <c r="FF40" s="107"/>
      <c r="FG40" s="105"/>
      <c r="FI40" s="13"/>
      <c r="FJ40" s="107"/>
      <c r="FK40" s="107"/>
      <c r="FL40" s="105"/>
      <c r="FN40" s="13"/>
      <c r="FO40" s="107"/>
      <c r="FP40" s="107"/>
      <c r="FQ40" s="105"/>
      <c r="FS40" s="13"/>
      <c r="FT40" s="107"/>
      <c r="FU40" s="107"/>
      <c r="FV40" s="105"/>
      <c r="FX40" s="13"/>
      <c r="FY40" s="107"/>
      <c r="FZ40" s="107"/>
      <c r="GA40" s="105"/>
      <c r="GC40" s="13"/>
      <c r="GD40" s="107"/>
      <c r="GE40" s="107"/>
      <c r="GF40" s="105"/>
      <c r="GH40" s="38"/>
      <c r="GI40" s="13"/>
      <c r="GJ40" s="107"/>
      <c r="GK40" s="107"/>
      <c r="GL40" s="105"/>
      <c r="GN40" s="13"/>
      <c r="GO40" s="107"/>
      <c r="GP40" s="107"/>
      <c r="GQ40" s="105"/>
      <c r="GS40" s="13"/>
      <c r="GT40" s="107"/>
      <c r="GU40" s="107"/>
      <c r="GV40" s="105"/>
      <c r="GX40" s="13"/>
      <c r="GY40" s="107"/>
      <c r="GZ40" s="107"/>
      <c r="HA40" s="105"/>
      <c r="HC40" s="13"/>
      <c r="HD40" s="107"/>
      <c r="HE40" s="107"/>
      <c r="HF40" s="105"/>
      <c r="HH40" s="13"/>
      <c r="HI40" s="107"/>
      <c r="HJ40" s="107"/>
      <c r="HK40" s="105"/>
      <c r="HM40" s="38"/>
      <c r="HN40" s="13"/>
      <c r="HO40" s="107"/>
      <c r="HP40" s="107"/>
      <c r="HQ40" s="105"/>
      <c r="HS40" s="13"/>
      <c r="HT40" s="107"/>
      <c r="HU40" s="107"/>
      <c r="HV40" s="105"/>
      <c r="HX40" s="13"/>
      <c r="HY40" s="107"/>
      <c r="HZ40" s="107"/>
      <c r="IA40" s="105"/>
      <c r="IC40" s="13"/>
      <c r="ID40" s="107"/>
      <c r="IE40" s="107"/>
      <c r="IF40" s="105"/>
      <c r="IH40" s="13"/>
      <c r="II40" s="107"/>
      <c r="IJ40" s="107"/>
      <c r="IK40" s="105"/>
      <c r="IM40" s="13"/>
      <c r="IN40" s="107"/>
      <c r="IO40" s="107"/>
      <c r="IP40" s="105"/>
      <c r="IR40" s="38"/>
      <c r="IS40" s="13"/>
      <c r="IT40" s="107"/>
      <c r="IU40" s="107"/>
      <c r="IV40" s="105"/>
      <c r="IX40" s="13"/>
      <c r="IY40" s="107"/>
      <c r="IZ40" s="107"/>
      <c r="JA40" s="105"/>
      <c r="JC40" s="13"/>
      <c r="JD40" s="107"/>
      <c r="JE40" s="107"/>
      <c r="JF40" s="105"/>
      <c r="JH40" s="13"/>
      <c r="JI40" s="107"/>
      <c r="JJ40" s="107"/>
      <c r="JK40" s="105"/>
      <c r="JM40" s="13"/>
      <c r="JN40" s="107"/>
      <c r="JO40" s="107"/>
      <c r="JP40" s="105"/>
      <c r="JR40" s="13"/>
      <c r="JS40" s="107"/>
      <c r="JT40" s="107"/>
      <c r="JU40" s="105"/>
      <c r="JW40" s="38"/>
      <c r="JX40" s="13"/>
      <c r="JY40" s="107"/>
      <c r="JZ40" s="107"/>
      <c r="KA40" s="105"/>
      <c r="KC40" s="13"/>
      <c r="KD40" s="107"/>
      <c r="KE40" s="107"/>
      <c r="KF40" s="105"/>
      <c r="KH40" s="13"/>
      <c r="KI40" s="107"/>
      <c r="KJ40" s="107"/>
      <c r="KK40" s="105"/>
      <c r="KM40" s="13"/>
      <c r="KN40" s="107"/>
      <c r="KO40" s="107"/>
      <c r="KP40" s="105"/>
      <c r="KR40" s="13"/>
      <c r="KS40" s="107"/>
      <c r="KT40" s="107"/>
      <c r="KU40" s="105"/>
      <c r="KW40" s="13"/>
      <c r="KX40" s="107"/>
      <c r="KY40" s="107"/>
      <c r="KZ40" s="105"/>
      <c r="LB40" s="38"/>
      <c r="LC40" s="13"/>
      <c r="LD40" s="107"/>
      <c r="LE40" s="107"/>
      <c r="LF40" s="105"/>
      <c r="LH40" s="13"/>
      <c r="LI40" s="107"/>
      <c r="LJ40" s="107"/>
      <c r="LK40" s="105"/>
      <c r="LM40" s="13"/>
      <c r="LN40" s="107"/>
      <c r="LO40" s="107"/>
      <c r="LP40" s="105"/>
      <c r="LR40" s="13"/>
      <c r="LS40" s="107"/>
      <c r="LT40" s="107"/>
      <c r="LU40" s="105"/>
      <c r="LW40" s="13"/>
      <c r="LX40" s="107"/>
      <c r="LY40" s="107"/>
      <c r="LZ40" s="105"/>
      <c r="MB40" s="13"/>
      <c r="MC40" s="107"/>
      <c r="MD40" s="107"/>
      <c r="ME40" s="105"/>
      <c r="MG40" s="38"/>
      <c r="MH40" s="13"/>
      <c r="MI40" s="107"/>
      <c r="MJ40" s="107"/>
      <c r="MK40" s="105"/>
      <c r="MM40" s="13"/>
      <c r="MN40" s="107"/>
      <c r="MO40" s="107"/>
      <c r="MP40" s="105"/>
      <c r="MR40" s="13"/>
      <c r="MS40" s="107"/>
      <c r="MT40" s="107"/>
      <c r="MU40" s="105"/>
      <c r="MW40" s="13"/>
      <c r="MX40" s="107"/>
      <c r="MY40" s="107"/>
      <c r="MZ40" s="105"/>
      <c r="NB40" s="13"/>
      <c r="NC40" s="107"/>
      <c r="ND40" s="107"/>
      <c r="NE40" s="105"/>
      <c r="NG40" s="13"/>
      <c r="NH40" s="107"/>
      <c r="NI40" s="107"/>
      <c r="NJ40" s="105"/>
      <c r="NL40" s="38"/>
      <c r="NM40" s="13"/>
      <c r="NN40" s="107"/>
      <c r="NO40" s="107"/>
      <c r="NP40" s="105"/>
      <c r="NR40" s="13"/>
      <c r="NS40" s="107"/>
      <c r="NT40" s="107"/>
      <c r="NU40" s="105"/>
      <c r="NW40" s="13"/>
      <c r="NX40" s="107"/>
      <c r="NY40" s="107"/>
      <c r="NZ40" s="105"/>
      <c r="OB40" s="13"/>
      <c r="OC40" s="107"/>
      <c r="OD40" s="107"/>
      <c r="OE40" s="105"/>
      <c r="OG40" s="13"/>
      <c r="OH40" s="107"/>
      <c r="OI40" s="107"/>
      <c r="OJ40" s="105"/>
      <c r="OL40" s="13"/>
      <c r="OM40" s="107"/>
      <c r="ON40" s="107"/>
      <c r="OO40" s="105"/>
    </row>
    <row r="41" ht="15.75" customHeight="1">
      <c r="A41" s="42"/>
      <c r="B41" s="42"/>
      <c r="C41" s="42"/>
      <c r="D41" s="38">
        <f t="shared" si="239"/>
        <v>45964</v>
      </c>
      <c r="E41" s="105" t="str">
        <f t="shared" ref="E41:I41" si="251">E23</f>
        <v/>
      </c>
      <c r="F41" s="105" t="str">
        <f t="shared" si="251"/>
        <v/>
      </c>
      <c r="G41" s="105" t="str">
        <f t="shared" si="251"/>
        <v/>
      </c>
      <c r="H41" s="106" t="str">
        <f t="shared" si="251"/>
        <v/>
      </c>
      <c r="I41" s="106" t="str">
        <f t="shared" si="251"/>
        <v/>
      </c>
      <c r="J41" s="107" t="str">
        <f t="array" ref="J41">IFERROR(IF(XLOOKUP(CONCAT(E41,F41),'MASTER PLAN'!$AB:$AB,'MASTER PLAN'!$M:$M,0,0)=0,"",XLOOKUP(CONCAT(E41,F41),'MASTER PLAN'!$AB:$AB,'MASTER PLAN'!$M:$M,0,0)),"")</f>
        <v/>
      </c>
      <c r="K41" s="107">
        <f t="shared" si="237"/>
        <v>0</v>
      </c>
      <c r="L41" s="107">
        <f t="shared" si="238"/>
        <v>0</v>
      </c>
      <c r="M41" s="105" t="s">
        <v>249</v>
      </c>
      <c r="O41" s="13"/>
      <c r="P41" s="107"/>
      <c r="Q41" s="107"/>
      <c r="R41" s="105"/>
      <c r="T41" s="13"/>
      <c r="U41" s="107"/>
      <c r="V41" s="107"/>
      <c r="W41" s="105"/>
      <c r="Y41" s="13"/>
      <c r="Z41" s="107"/>
      <c r="AA41" s="107"/>
      <c r="AB41" s="105"/>
      <c r="AD41" s="13"/>
      <c r="AE41" s="107"/>
      <c r="AF41" s="107"/>
      <c r="AG41" s="105"/>
      <c r="AI41" s="38"/>
      <c r="AJ41" s="13"/>
      <c r="AK41" s="107"/>
      <c r="AL41" s="107"/>
      <c r="AM41" s="105"/>
      <c r="AO41" s="13"/>
      <c r="AP41" s="107"/>
      <c r="AQ41" s="107"/>
      <c r="AR41" s="105"/>
      <c r="AT41" s="13"/>
      <c r="AU41" s="107"/>
      <c r="AV41" s="107"/>
      <c r="AW41" s="105"/>
      <c r="AY41" s="13"/>
      <c r="AZ41" s="107"/>
      <c r="BA41" s="107"/>
      <c r="BB41" s="105"/>
      <c r="BD41" s="13"/>
      <c r="BE41" s="107"/>
      <c r="BF41" s="107"/>
      <c r="BG41" s="105"/>
      <c r="BI41" s="13"/>
      <c r="BJ41" s="107"/>
      <c r="BK41" s="107"/>
      <c r="BL41" s="105"/>
      <c r="BN41" s="38"/>
      <c r="BO41" s="13"/>
      <c r="BP41" s="107"/>
      <c r="BQ41" s="107"/>
      <c r="BR41" s="105"/>
      <c r="BT41" s="13"/>
      <c r="BU41" s="107"/>
      <c r="BV41" s="107"/>
      <c r="BW41" s="105"/>
      <c r="BY41" s="13"/>
      <c r="BZ41" s="107"/>
      <c r="CA41" s="107"/>
      <c r="CB41" s="105"/>
      <c r="CD41" s="13"/>
      <c r="CE41" s="107"/>
      <c r="CF41" s="107"/>
      <c r="CG41" s="105"/>
      <c r="CI41" s="13"/>
      <c r="CJ41" s="107"/>
      <c r="CK41" s="107"/>
      <c r="CL41" s="105"/>
      <c r="CN41" s="13"/>
      <c r="CO41" s="107"/>
      <c r="CP41" s="107"/>
      <c r="CQ41" s="105"/>
      <c r="CS41" s="38"/>
      <c r="CT41" s="13"/>
      <c r="CU41" s="107"/>
      <c r="CV41" s="107"/>
      <c r="CW41" s="105"/>
      <c r="CY41" s="13"/>
      <c r="CZ41" s="107"/>
      <c r="DA41" s="107"/>
      <c r="DB41" s="105"/>
      <c r="DD41" s="13"/>
      <c r="DE41" s="107"/>
      <c r="DF41" s="107"/>
      <c r="DG41" s="105"/>
      <c r="DI41" s="13"/>
      <c r="DJ41" s="107"/>
      <c r="DK41" s="107"/>
      <c r="DL41" s="105"/>
      <c r="DN41" s="13"/>
      <c r="DO41" s="107"/>
      <c r="DP41" s="107"/>
      <c r="DQ41" s="105"/>
      <c r="DS41" s="13"/>
      <c r="DT41" s="107"/>
      <c r="DU41" s="107"/>
      <c r="DV41" s="105"/>
      <c r="DX41" s="38"/>
      <c r="DY41" s="13"/>
      <c r="DZ41" s="107"/>
      <c r="EA41" s="107"/>
      <c r="EB41" s="105"/>
      <c r="ED41" s="13"/>
      <c r="EE41" s="107"/>
      <c r="EF41" s="107"/>
      <c r="EG41" s="105"/>
      <c r="EI41" s="13"/>
      <c r="EJ41" s="107"/>
      <c r="EK41" s="107"/>
      <c r="EL41" s="105"/>
      <c r="EN41" s="13"/>
      <c r="EO41" s="107"/>
      <c r="EP41" s="107"/>
      <c r="EQ41" s="105"/>
      <c r="ES41" s="13"/>
      <c r="ET41" s="107"/>
      <c r="EU41" s="107"/>
      <c r="EV41" s="105"/>
      <c r="EX41" s="13"/>
      <c r="EY41" s="107"/>
      <c r="EZ41" s="107"/>
      <c r="FA41" s="105"/>
      <c r="FC41" s="38"/>
      <c r="FD41" s="13"/>
      <c r="FE41" s="107"/>
      <c r="FF41" s="107"/>
      <c r="FG41" s="105"/>
      <c r="FI41" s="13"/>
      <c r="FJ41" s="107"/>
      <c r="FK41" s="107"/>
      <c r="FL41" s="105"/>
      <c r="FN41" s="13"/>
      <c r="FO41" s="107"/>
      <c r="FP41" s="107"/>
      <c r="FQ41" s="105"/>
      <c r="FS41" s="13"/>
      <c r="FT41" s="107"/>
      <c r="FU41" s="107"/>
      <c r="FV41" s="105"/>
      <c r="FX41" s="13"/>
      <c r="FY41" s="107"/>
      <c r="FZ41" s="107"/>
      <c r="GA41" s="105"/>
      <c r="GC41" s="13"/>
      <c r="GD41" s="107"/>
      <c r="GE41" s="107"/>
      <c r="GF41" s="105"/>
      <c r="GH41" s="38"/>
      <c r="GI41" s="13"/>
      <c r="GJ41" s="107"/>
      <c r="GK41" s="107"/>
      <c r="GL41" s="105"/>
      <c r="GN41" s="13"/>
      <c r="GO41" s="107"/>
      <c r="GP41" s="107"/>
      <c r="GQ41" s="105"/>
      <c r="GS41" s="13"/>
      <c r="GT41" s="107"/>
      <c r="GU41" s="107"/>
      <c r="GV41" s="105"/>
      <c r="GX41" s="13"/>
      <c r="GY41" s="107"/>
      <c r="GZ41" s="107"/>
      <c r="HA41" s="105"/>
      <c r="HC41" s="13"/>
      <c r="HD41" s="107"/>
      <c r="HE41" s="107"/>
      <c r="HF41" s="105"/>
      <c r="HH41" s="13"/>
      <c r="HI41" s="107"/>
      <c r="HJ41" s="107"/>
      <c r="HK41" s="105"/>
      <c r="HM41" s="38"/>
      <c r="HN41" s="13"/>
      <c r="HO41" s="107"/>
      <c r="HP41" s="107"/>
      <c r="HQ41" s="105"/>
      <c r="HS41" s="13"/>
      <c r="HT41" s="107"/>
      <c r="HU41" s="107"/>
      <c r="HV41" s="105"/>
      <c r="HX41" s="13"/>
      <c r="HY41" s="107"/>
      <c r="HZ41" s="107"/>
      <c r="IA41" s="105"/>
      <c r="IC41" s="13"/>
      <c r="ID41" s="107"/>
      <c r="IE41" s="107"/>
      <c r="IF41" s="105"/>
      <c r="IH41" s="13"/>
      <c r="II41" s="107"/>
      <c r="IJ41" s="107"/>
      <c r="IK41" s="105"/>
      <c r="IM41" s="13"/>
      <c r="IN41" s="107"/>
      <c r="IO41" s="107"/>
      <c r="IP41" s="105"/>
      <c r="IR41" s="38"/>
      <c r="IS41" s="13"/>
      <c r="IT41" s="107"/>
      <c r="IU41" s="107"/>
      <c r="IV41" s="105"/>
      <c r="IX41" s="13"/>
      <c r="IY41" s="107"/>
      <c r="IZ41" s="107"/>
      <c r="JA41" s="105"/>
      <c r="JC41" s="13"/>
      <c r="JD41" s="107"/>
      <c r="JE41" s="107"/>
      <c r="JF41" s="105"/>
      <c r="JH41" s="13"/>
      <c r="JI41" s="107"/>
      <c r="JJ41" s="107"/>
      <c r="JK41" s="105"/>
      <c r="JM41" s="13"/>
      <c r="JN41" s="107"/>
      <c r="JO41" s="107"/>
      <c r="JP41" s="105"/>
      <c r="JR41" s="13"/>
      <c r="JS41" s="107"/>
      <c r="JT41" s="107"/>
      <c r="JU41" s="105"/>
      <c r="JW41" s="38"/>
      <c r="JX41" s="13"/>
      <c r="JY41" s="107"/>
      <c r="JZ41" s="107"/>
      <c r="KA41" s="105"/>
      <c r="KC41" s="13"/>
      <c r="KD41" s="107"/>
      <c r="KE41" s="107"/>
      <c r="KF41" s="105"/>
      <c r="KH41" s="13"/>
      <c r="KI41" s="107"/>
      <c r="KJ41" s="107"/>
      <c r="KK41" s="105"/>
      <c r="KM41" s="13"/>
      <c r="KN41" s="107"/>
      <c r="KO41" s="107"/>
      <c r="KP41" s="105"/>
      <c r="KR41" s="13"/>
      <c r="KS41" s="107"/>
      <c r="KT41" s="107"/>
      <c r="KU41" s="105"/>
      <c r="KW41" s="13"/>
      <c r="KX41" s="107"/>
      <c r="KY41" s="107"/>
      <c r="KZ41" s="105"/>
      <c r="LB41" s="38"/>
      <c r="LC41" s="13"/>
      <c r="LD41" s="107"/>
      <c r="LE41" s="107"/>
      <c r="LF41" s="105"/>
      <c r="LH41" s="13"/>
      <c r="LI41" s="107"/>
      <c r="LJ41" s="107"/>
      <c r="LK41" s="105"/>
      <c r="LM41" s="13"/>
      <c r="LN41" s="107"/>
      <c r="LO41" s="107"/>
      <c r="LP41" s="105"/>
      <c r="LR41" s="13"/>
      <c r="LS41" s="107"/>
      <c r="LT41" s="107"/>
      <c r="LU41" s="105"/>
      <c r="LW41" s="13"/>
      <c r="LX41" s="107"/>
      <c r="LY41" s="107"/>
      <c r="LZ41" s="105"/>
      <c r="MB41" s="13"/>
      <c r="MC41" s="107"/>
      <c r="MD41" s="107"/>
      <c r="ME41" s="105"/>
      <c r="MG41" s="38"/>
      <c r="MH41" s="13"/>
      <c r="MI41" s="107"/>
      <c r="MJ41" s="107"/>
      <c r="MK41" s="105"/>
      <c r="MM41" s="13"/>
      <c r="MN41" s="107"/>
      <c r="MO41" s="107"/>
      <c r="MP41" s="105"/>
      <c r="MR41" s="13"/>
      <c r="MS41" s="107"/>
      <c r="MT41" s="107"/>
      <c r="MU41" s="105"/>
      <c r="MW41" s="13"/>
      <c r="MX41" s="107"/>
      <c r="MY41" s="107"/>
      <c r="MZ41" s="105"/>
      <c r="NB41" s="13"/>
      <c r="NC41" s="107"/>
      <c r="ND41" s="107"/>
      <c r="NE41" s="105"/>
      <c r="NG41" s="13"/>
      <c r="NH41" s="107"/>
      <c r="NI41" s="107"/>
      <c r="NJ41" s="105"/>
      <c r="NL41" s="38"/>
      <c r="NM41" s="13"/>
      <c r="NN41" s="107"/>
      <c r="NO41" s="107"/>
      <c r="NP41" s="105"/>
      <c r="NR41" s="13"/>
      <c r="NS41" s="107"/>
      <c r="NT41" s="107"/>
      <c r="NU41" s="105"/>
      <c r="NW41" s="13"/>
      <c r="NX41" s="107"/>
      <c r="NY41" s="107"/>
      <c r="NZ41" s="105"/>
      <c r="OB41" s="13"/>
      <c r="OC41" s="107"/>
      <c r="OD41" s="107"/>
      <c r="OE41" s="105"/>
      <c r="OG41" s="13"/>
      <c r="OH41" s="107"/>
      <c r="OI41" s="107"/>
      <c r="OJ41" s="105"/>
      <c r="OL41" s="13"/>
      <c r="OM41" s="107"/>
      <c r="ON41" s="107"/>
      <c r="OO41" s="105"/>
    </row>
    <row r="42" ht="15.75" customHeight="1">
      <c r="A42" s="42"/>
      <c r="B42" s="42"/>
      <c r="C42" s="42"/>
      <c r="D42" s="38">
        <f t="shared" si="239"/>
        <v>45964</v>
      </c>
      <c r="E42" s="105" t="str">
        <f t="shared" ref="E42:I42" si="252">E24</f>
        <v/>
      </c>
      <c r="F42" s="105" t="str">
        <f t="shared" si="252"/>
        <v/>
      </c>
      <c r="G42" s="105" t="str">
        <f t="shared" si="252"/>
        <v/>
      </c>
      <c r="H42" s="106" t="str">
        <f t="shared" si="252"/>
        <v/>
      </c>
      <c r="I42" s="106" t="str">
        <f t="shared" si="252"/>
        <v/>
      </c>
      <c r="J42" s="107" t="str">
        <f t="array" ref="J42">IFERROR(IF(XLOOKUP(CONCAT(E42,F42),'MASTER PLAN'!$AB:$AB,'MASTER PLAN'!$M:$M,0,0)=0,"",XLOOKUP(CONCAT(E42,F42),'MASTER PLAN'!$AB:$AB,'MASTER PLAN'!$M:$M,0,0)),"")</f>
        <v/>
      </c>
      <c r="K42" s="107">
        <f t="shared" si="237"/>
        <v>0</v>
      </c>
      <c r="L42" s="107">
        <f t="shared" si="238"/>
        <v>0</v>
      </c>
      <c r="M42" s="105" t="s">
        <v>249</v>
      </c>
      <c r="O42" s="13"/>
      <c r="P42" s="107"/>
      <c r="Q42" s="107"/>
      <c r="R42" s="105"/>
      <c r="T42" s="13"/>
      <c r="U42" s="107"/>
      <c r="V42" s="107"/>
      <c r="W42" s="105"/>
      <c r="Y42" s="13"/>
      <c r="Z42" s="107"/>
      <c r="AA42" s="107"/>
      <c r="AB42" s="105"/>
      <c r="AD42" s="13"/>
      <c r="AE42" s="107"/>
      <c r="AF42" s="107"/>
      <c r="AG42" s="105"/>
      <c r="AI42" s="38"/>
      <c r="AJ42" s="13"/>
      <c r="AK42" s="107"/>
      <c r="AL42" s="107"/>
      <c r="AM42" s="105"/>
      <c r="AO42" s="13"/>
      <c r="AP42" s="107"/>
      <c r="AQ42" s="107"/>
      <c r="AR42" s="105"/>
      <c r="AT42" s="13"/>
      <c r="AU42" s="107"/>
      <c r="AV42" s="107"/>
      <c r="AW42" s="105"/>
      <c r="AY42" s="13"/>
      <c r="AZ42" s="107"/>
      <c r="BA42" s="107"/>
      <c r="BB42" s="105"/>
      <c r="BD42" s="13"/>
      <c r="BE42" s="107"/>
      <c r="BF42" s="107"/>
      <c r="BG42" s="105"/>
      <c r="BI42" s="13"/>
      <c r="BJ42" s="107"/>
      <c r="BK42" s="107"/>
      <c r="BL42" s="105"/>
      <c r="BN42" s="38"/>
      <c r="BO42" s="13"/>
      <c r="BP42" s="107"/>
      <c r="BQ42" s="107"/>
      <c r="BR42" s="105"/>
      <c r="BT42" s="13"/>
      <c r="BU42" s="107"/>
      <c r="BV42" s="107"/>
      <c r="BW42" s="105"/>
      <c r="BY42" s="13"/>
      <c r="BZ42" s="107"/>
      <c r="CA42" s="107"/>
      <c r="CB42" s="105"/>
      <c r="CD42" s="13"/>
      <c r="CE42" s="107"/>
      <c r="CF42" s="107"/>
      <c r="CG42" s="105"/>
      <c r="CI42" s="13"/>
      <c r="CJ42" s="107"/>
      <c r="CK42" s="107"/>
      <c r="CL42" s="105"/>
      <c r="CN42" s="13"/>
      <c r="CO42" s="107"/>
      <c r="CP42" s="107"/>
      <c r="CQ42" s="105"/>
      <c r="CS42" s="38"/>
      <c r="CT42" s="13"/>
      <c r="CU42" s="107"/>
      <c r="CV42" s="107"/>
      <c r="CW42" s="105"/>
      <c r="CY42" s="13"/>
      <c r="CZ42" s="107"/>
      <c r="DA42" s="107"/>
      <c r="DB42" s="105"/>
      <c r="DD42" s="13"/>
      <c r="DE42" s="107"/>
      <c r="DF42" s="107"/>
      <c r="DG42" s="105"/>
      <c r="DI42" s="13"/>
      <c r="DJ42" s="107"/>
      <c r="DK42" s="107"/>
      <c r="DL42" s="105"/>
      <c r="DN42" s="13"/>
      <c r="DO42" s="107"/>
      <c r="DP42" s="107"/>
      <c r="DQ42" s="105"/>
      <c r="DS42" s="13"/>
      <c r="DT42" s="107"/>
      <c r="DU42" s="107"/>
      <c r="DV42" s="105"/>
      <c r="DX42" s="38"/>
      <c r="DY42" s="13"/>
      <c r="DZ42" s="107"/>
      <c r="EA42" s="107"/>
      <c r="EB42" s="105"/>
      <c r="ED42" s="13"/>
      <c r="EE42" s="107"/>
      <c r="EF42" s="107"/>
      <c r="EG42" s="105"/>
      <c r="EI42" s="13"/>
      <c r="EJ42" s="107"/>
      <c r="EK42" s="107"/>
      <c r="EL42" s="105"/>
      <c r="EN42" s="13"/>
      <c r="EO42" s="107"/>
      <c r="EP42" s="107"/>
      <c r="EQ42" s="105"/>
      <c r="ES42" s="13"/>
      <c r="ET42" s="107"/>
      <c r="EU42" s="107"/>
      <c r="EV42" s="105"/>
      <c r="EX42" s="13"/>
      <c r="EY42" s="107"/>
      <c r="EZ42" s="107"/>
      <c r="FA42" s="105"/>
      <c r="FC42" s="38"/>
      <c r="FD42" s="13"/>
      <c r="FE42" s="107"/>
      <c r="FF42" s="107"/>
      <c r="FG42" s="105"/>
      <c r="FI42" s="13"/>
      <c r="FJ42" s="107"/>
      <c r="FK42" s="107"/>
      <c r="FL42" s="105"/>
      <c r="FN42" s="13"/>
      <c r="FO42" s="107"/>
      <c r="FP42" s="107"/>
      <c r="FQ42" s="105"/>
      <c r="FS42" s="13"/>
      <c r="FT42" s="107"/>
      <c r="FU42" s="107"/>
      <c r="FV42" s="105"/>
      <c r="FX42" s="13"/>
      <c r="FY42" s="107"/>
      <c r="FZ42" s="107"/>
      <c r="GA42" s="105"/>
      <c r="GC42" s="13"/>
      <c r="GD42" s="107"/>
      <c r="GE42" s="107"/>
      <c r="GF42" s="105"/>
      <c r="GH42" s="38"/>
      <c r="GI42" s="13"/>
      <c r="GJ42" s="107"/>
      <c r="GK42" s="107"/>
      <c r="GL42" s="105"/>
      <c r="GN42" s="13"/>
      <c r="GO42" s="107"/>
      <c r="GP42" s="107"/>
      <c r="GQ42" s="105"/>
      <c r="GS42" s="13"/>
      <c r="GT42" s="107"/>
      <c r="GU42" s="107"/>
      <c r="GV42" s="105"/>
      <c r="GX42" s="13"/>
      <c r="GY42" s="107"/>
      <c r="GZ42" s="107"/>
      <c r="HA42" s="105"/>
      <c r="HC42" s="13"/>
      <c r="HD42" s="107"/>
      <c r="HE42" s="107"/>
      <c r="HF42" s="105"/>
      <c r="HH42" s="13"/>
      <c r="HI42" s="107"/>
      <c r="HJ42" s="107"/>
      <c r="HK42" s="105"/>
      <c r="HM42" s="38"/>
      <c r="HN42" s="13"/>
      <c r="HO42" s="107"/>
      <c r="HP42" s="107"/>
      <c r="HQ42" s="105"/>
      <c r="HS42" s="13"/>
      <c r="HT42" s="107"/>
      <c r="HU42" s="107"/>
      <c r="HV42" s="105"/>
      <c r="HX42" s="13"/>
      <c r="HY42" s="107"/>
      <c r="HZ42" s="107"/>
      <c r="IA42" s="105"/>
      <c r="IC42" s="13"/>
      <c r="ID42" s="107"/>
      <c r="IE42" s="107"/>
      <c r="IF42" s="105"/>
      <c r="IH42" s="13"/>
      <c r="II42" s="107"/>
      <c r="IJ42" s="107"/>
      <c r="IK42" s="105"/>
      <c r="IM42" s="13"/>
      <c r="IN42" s="107"/>
      <c r="IO42" s="107"/>
      <c r="IP42" s="105"/>
      <c r="IR42" s="38"/>
      <c r="IS42" s="13"/>
      <c r="IT42" s="107"/>
      <c r="IU42" s="107"/>
      <c r="IV42" s="105"/>
      <c r="IX42" s="13"/>
      <c r="IY42" s="107"/>
      <c r="IZ42" s="107"/>
      <c r="JA42" s="105"/>
      <c r="JC42" s="13"/>
      <c r="JD42" s="107"/>
      <c r="JE42" s="107"/>
      <c r="JF42" s="105"/>
      <c r="JH42" s="13"/>
      <c r="JI42" s="107"/>
      <c r="JJ42" s="107"/>
      <c r="JK42" s="105"/>
      <c r="JM42" s="13"/>
      <c r="JN42" s="107"/>
      <c r="JO42" s="107"/>
      <c r="JP42" s="105"/>
      <c r="JR42" s="13"/>
      <c r="JS42" s="107"/>
      <c r="JT42" s="107"/>
      <c r="JU42" s="105"/>
      <c r="JW42" s="38"/>
      <c r="JX42" s="13"/>
      <c r="JY42" s="107"/>
      <c r="JZ42" s="107"/>
      <c r="KA42" s="105"/>
      <c r="KC42" s="13"/>
      <c r="KD42" s="107"/>
      <c r="KE42" s="107"/>
      <c r="KF42" s="105"/>
      <c r="KH42" s="13"/>
      <c r="KI42" s="107"/>
      <c r="KJ42" s="107"/>
      <c r="KK42" s="105"/>
      <c r="KM42" s="13"/>
      <c r="KN42" s="107"/>
      <c r="KO42" s="107"/>
      <c r="KP42" s="105"/>
      <c r="KR42" s="13"/>
      <c r="KS42" s="107"/>
      <c r="KT42" s="107"/>
      <c r="KU42" s="105"/>
      <c r="KW42" s="13"/>
      <c r="KX42" s="107"/>
      <c r="KY42" s="107"/>
      <c r="KZ42" s="105"/>
      <c r="LB42" s="38"/>
      <c r="LC42" s="13"/>
      <c r="LD42" s="107"/>
      <c r="LE42" s="107"/>
      <c r="LF42" s="105"/>
      <c r="LH42" s="13"/>
      <c r="LI42" s="107"/>
      <c r="LJ42" s="107"/>
      <c r="LK42" s="105"/>
      <c r="LM42" s="13"/>
      <c r="LN42" s="107"/>
      <c r="LO42" s="107"/>
      <c r="LP42" s="105"/>
      <c r="LR42" s="13"/>
      <c r="LS42" s="107"/>
      <c r="LT42" s="107"/>
      <c r="LU42" s="105"/>
      <c r="LW42" s="13"/>
      <c r="LX42" s="107"/>
      <c r="LY42" s="107"/>
      <c r="LZ42" s="105"/>
      <c r="MB42" s="13"/>
      <c r="MC42" s="107"/>
      <c r="MD42" s="107"/>
      <c r="ME42" s="105"/>
      <c r="MG42" s="38"/>
      <c r="MH42" s="13"/>
      <c r="MI42" s="107"/>
      <c r="MJ42" s="107"/>
      <c r="MK42" s="105"/>
      <c r="MM42" s="13"/>
      <c r="MN42" s="107"/>
      <c r="MO42" s="107"/>
      <c r="MP42" s="105"/>
      <c r="MR42" s="13"/>
      <c r="MS42" s="107"/>
      <c r="MT42" s="107"/>
      <c r="MU42" s="105"/>
      <c r="MW42" s="13"/>
      <c r="MX42" s="107"/>
      <c r="MY42" s="107"/>
      <c r="MZ42" s="105"/>
      <c r="NB42" s="13"/>
      <c r="NC42" s="107"/>
      <c r="ND42" s="107"/>
      <c r="NE42" s="105"/>
      <c r="NG42" s="13"/>
      <c r="NH42" s="107"/>
      <c r="NI42" s="107"/>
      <c r="NJ42" s="105"/>
      <c r="NL42" s="38"/>
      <c r="NM42" s="13"/>
      <c r="NN42" s="107"/>
      <c r="NO42" s="107"/>
      <c r="NP42" s="105"/>
      <c r="NR42" s="13"/>
      <c r="NS42" s="107"/>
      <c r="NT42" s="107"/>
      <c r="NU42" s="105"/>
      <c r="NW42" s="13"/>
      <c r="NX42" s="107"/>
      <c r="NY42" s="107"/>
      <c r="NZ42" s="105"/>
      <c r="OB42" s="13"/>
      <c r="OC42" s="107"/>
      <c r="OD42" s="107"/>
      <c r="OE42" s="105"/>
      <c r="OG42" s="13"/>
      <c r="OH42" s="107"/>
      <c r="OI42" s="107"/>
      <c r="OJ42" s="105"/>
      <c r="OL42" s="13"/>
      <c r="OM42" s="107"/>
      <c r="ON42" s="107"/>
      <c r="OO42" s="105"/>
    </row>
    <row r="43" ht="15.75" customHeight="1">
      <c r="A43" s="42"/>
      <c r="B43" s="42"/>
      <c r="C43" s="42"/>
      <c r="D43" s="38">
        <f>J2</f>
        <v>45965</v>
      </c>
      <c r="E43" s="105" t="str">
        <f t="shared" ref="E43:I43" si="253">J4</f>
        <v/>
      </c>
      <c r="F43" s="105" t="str">
        <f t="shared" si="253"/>
        <v/>
      </c>
      <c r="G43" s="105" t="str">
        <f t="shared" si="253"/>
        <v/>
      </c>
      <c r="H43" s="106" t="str">
        <f t="shared" si="253"/>
        <v/>
      </c>
      <c r="I43" s="106" t="str">
        <f t="shared" si="253"/>
        <v/>
      </c>
      <c r="J43" s="107" t="str">
        <f t="array" ref="J43">IFERROR(IF(XLOOKUP(CONCAT(E43,F43),'MASTER PLAN'!$AB:$AB,'MASTER PLAN'!$M:$M,0,0)=0,"",XLOOKUP(CONCAT(E43,F43),'MASTER PLAN'!$AB:$AB,'MASTER PLAN'!$M:$M,0,0)),"")</f>
        <v/>
      </c>
      <c r="K43" s="107">
        <f t="shared" si="237"/>
        <v>0</v>
      </c>
      <c r="L43" s="107">
        <f t="shared" si="238"/>
        <v>0</v>
      </c>
      <c r="M43" s="105" t="s">
        <v>246</v>
      </c>
      <c r="O43" s="13"/>
      <c r="P43" s="107"/>
      <c r="Q43" s="107"/>
      <c r="R43" s="105"/>
      <c r="T43" s="13"/>
      <c r="U43" s="107"/>
      <c r="V43" s="107"/>
      <c r="W43" s="105"/>
      <c r="Y43" s="13"/>
      <c r="Z43" s="107"/>
      <c r="AA43" s="107"/>
      <c r="AB43" s="105"/>
      <c r="AD43" s="13"/>
      <c r="AE43" s="107"/>
      <c r="AF43" s="107"/>
      <c r="AG43" s="105"/>
      <c r="AI43" s="38"/>
      <c r="AJ43" s="13"/>
      <c r="AK43" s="107"/>
      <c r="AL43" s="107"/>
      <c r="AM43" s="105"/>
      <c r="AO43" s="13"/>
      <c r="AP43" s="107"/>
      <c r="AQ43" s="107"/>
      <c r="AR43" s="105"/>
      <c r="AT43" s="13"/>
      <c r="AU43" s="107"/>
      <c r="AV43" s="107"/>
      <c r="AW43" s="105"/>
      <c r="AY43" s="13"/>
      <c r="AZ43" s="107"/>
      <c r="BA43" s="107"/>
      <c r="BB43" s="105"/>
      <c r="BD43" s="13"/>
      <c r="BE43" s="107"/>
      <c r="BF43" s="107"/>
      <c r="BG43" s="105"/>
      <c r="BI43" s="13"/>
      <c r="BJ43" s="107"/>
      <c r="BK43" s="107"/>
      <c r="BL43" s="105"/>
      <c r="BN43" s="38"/>
      <c r="BO43" s="13"/>
      <c r="BP43" s="107"/>
      <c r="BQ43" s="107"/>
      <c r="BR43" s="105"/>
      <c r="BT43" s="13"/>
      <c r="BU43" s="107"/>
      <c r="BV43" s="107"/>
      <c r="BW43" s="105"/>
      <c r="BY43" s="13"/>
      <c r="BZ43" s="107"/>
      <c r="CA43" s="107"/>
      <c r="CB43" s="105"/>
      <c r="CD43" s="13"/>
      <c r="CE43" s="107"/>
      <c r="CF43" s="107"/>
      <c r="CG43" s="105"/>
      <c r="CI43" s="13"/>
      <c r="CJ43" s="107"/>
      <c r="CK43" s="107"/>
      <c r="CL43" s="105"/>
      <c r="CN43" s="13"/>
      <c r="CO43" s="107"/>
      <c r="CP43" s="107"/>
      <c r="CQ43" s="105"/>
      <c r="CS43" s="38"/>
      <c r="CT43" s="13"/>
      <c r="CU43" s="107"/>
      <c r="CV43" s="107"/>
      <c r="CW43" s="105"/>
      <c r="CY43" s="13"/>
      <c r="CZ43" s="107"/>
      <c r="DA43" s="107"/>
      <c r="DB43" s="105"/>
      <c r="DD43" s="13"/>
      <c r="DE43" s="107"/>
      <c r="DF43" s="107"/>
      <c r="DG43" s="105"/>
      <c r="DI43" s="13"/>
      <c r="DJ43" s="107"/>
      <c r="DK43" s="107"/>
      <c r="DL43" s="105"/>
      <c r="DN43" s="13"/>
      <c r="DO43" s="107"/>
      <c r="DP43" s="107"/>
      <c r="DQ43" s="105"/>
      <c r="DS43" s="13"/>
      <c r="DT43" s="107"/>
      <c r="DU43" s="107"/>
      <c r="DV43" s="105"/>
      <c r="DX43" s="38"/>
      <c r="DY43" s="13"/>
      <c r="DZ43" s="107"/>
      <c r="EA43" s="107"/>
      <c r="EB43" s="105"/>
      <c r="ED43" s="13"/>
      <c r="EE43" s="107"/>
      <c r="EF43" s="107"/>
      <c r="EG43" s="105"/>
      <c r="EI43" s="13"/>
      <c r="EJ43" s="107"/>
      <c r="EK43" s="107"/>
      <c r="EL43" s="105"/>
      <c r="EN43" s="13"/>
      <c r="EO43" s="107"/>
      <c r="EP43" s="107"/>
      <c r="EQ43" s="105"/>
      <c r="ES43" s="13"/>
      <c r="ET43" s="107"/>
      <c r="EU43" s="107"/>
      <c r="EV43" s="105"/>
      <c r="EX43" s="13"/>
      <c r="EY43" s="107"/>
      <c r="EZ43" s="107"/>
      <c r="FA43" s="105"/>
      <c r="FC43" s="38"/>
      <c r="FD43" s="13"/>
      <c r="FE43" s="107"/>
      <c r="FF43" s="107"/>
      <c r="FG43" s="105"/>
      <c r="FI43" s="13"/>
      <c r="FJ43" s="107"/>
      <c r="FK43" s="107"/>
      <c r="FL43" s="105"/>
      <c r="FN43" s="13"/>
      <c r="FO43" s="107"/>
      <c r="FP43" s="107"/>
      <c r="FQ43" s="105"/>
      <c r="FS43" s="13"/>
      <c r="FT43" s="107"/>
      <c r="FU43" s="107"/>
      <c r="FV43" s="105"/>
      <c r="FX43" s="13"/>
      <c r="FY43" s="107"/>
      <c r="FZ43" s="107"/>
      <c r="GA43" s="105"/>
      <c r="GC43" s="13"/>
      <c r="GD43" s="107"/>
      <c r="GE43" s="107"/>
      <c r="GF43" s="105"/>
      <c r="GH43" s="38"/>
      <c r="GI43" s="13"/>
      <c r="GJ43" s="107"/>
      <c r="GK43" s="107"/>
      <c r="GL43" s="105"/>
      <c r="GN43" s="13"/>
      <c r="GO43" s="107"/>
      <c r="GP43" s="107"/>
      <c r="GQ43" s="105"/>
      <c r="GS43" s="13"/>
      <c r="GT43" s="107"/>
      <c r="GU43" s="107"/>
      <c r="GV43" s="105"/>
      <c r="GX43" s="13"/>
      <c r="GY43" s="107"/>
      <c r="GZ43" s="107"/>
      <c r="HA43" s="105"/>
      <c r="HC43" s="13"/>
      <c r="HD43" s="107"/>
      <c r="HE43" s="107"/>
      <c r="HF43" s="105"/>
      <c r="HH43" s="13"/>
      <c r="HI43" s="107"/>
      <c r="HJ43" s="107"/>
      <c r="HK43" s="105"/>
      <c r="HM43" s="38"/>
      <c r="HN43" s="13"/>
      <c r="HO43" s="107"/>
      <c r="HP43" s="107"/>
      <c r="HQ43" s="105"/>
      <c r="HS43" s="13"/>
      <c r="HT43" s="107"/>
      <c r="HU43" s="107"/>
      <c r="HV43" s="105"/>
      <c r="HX43" s="13"/>
      <c r="HY43" s="107"/>
      <c r="HZ43" s="107"/>
      <c r="IA43" s="105"/>
      <c r="IC43" s="13"/>
      <c r="ID43" s="107"/>
      <c r="IE43" s="107"/>
      <c r="IF43" s="105"/>
      <c r="IH43" s="13"/>
      <c r="II43" s="107"/>
      <c r="IJ43" s="107"/>
      <c r="IK43" s="105"/>
      <c r="IM43" s="13"/>
      <c r="IN43" s="107"/>
      <c r="IO43" s="107"/>
      <c r="IP43" s="105"/>
      <c r="IR43" s="38"/>
      <c r="IS43" s="13"/>
      <c r="IT43" s="107"/>
      <c r="IU43" s="107"/>
      <c r="IV43" s="105"/>
      <c r="IX43" s="13"/>
      <c r="IY43" s="107"/>
      <c r="IZ43" s="107"/>
      <c r="JA43" s="105"/>
      <c r="JC43" s="13"/>
      <c r="JD43" s="107"/>
      <c r="JE43" s="107"/>
      <c r="JF43" s="105"/>
      <c r="JH43" s="13"/>
      <c r="JI43" s="107"/>
      <c r="JJ43" s="107"/>
      <c r="JK43" s="105"/>
      <c r="JM43" s="13"/>
      <c r="JN43" s="107"/>
      <c r="JO43" s="107"/>
      <c r="JP43" s="105"/>
      <c r="JR43" s="13"/>
      <c r="JS43" s="107"/>
      <c r="JT43" s="107"/>
      <c r="JU43" s="105"/>
      <c r="JW43" s="38"/>
      <c r="JX43" s="13"/>
      <c r="JY43" s="107"/>
      <c r="JZ43" s="107"/>
      <c r="KA43" s="105"/>
      <c r="KC43" s="13"/>
      <c r="KD43" s="107"/>
      <c r="KE43" s="107"/>
      <c r="KF43" s="105"/>
      <c r="KH43" s="13"/>
      <c r="KI43" s="107"/>
      <c r="KJ43" s="107"/>
      <c r="KK43" s="105"/>
      <c r="KM43" s="13"/>
      <c r="KN43" s="107"/>
      <c r="KO43" s="107"/>
      <c r="KP43" s="105"/>
      <c r="KR43" s="13"/>
      <c r="KS43" s="107"/>
      <c r="KT43" s="107"/>
      <c r="KU43" s="105"/>
      <c r="KW43" s="13"/>
      <c r="KX43" s="107"/>
      <c r="KY43" s="107"/>
      <c r="KZ43" s="105"/>
      <c r="LB43" s="38"/>
      <c r="LC43" s="13"/>
      <c r="LD43" s="107"/>
      <c r="LE43" s="107"/>
      <c r="LF43" s="105"/>
      <c r="LH43" s="13"/>
      <c r="LI43" s="107"/>
      <c r="LJ43" s="107"/>
      <c r="LK43" s="105"/>
      <c r="LM43" s="13"/>
      <c r="LN43" s="107"/>
      <c r="LO43" s="107"/>
      <c r="LP43" s="105"/>
      <c r="LR43" s="13"/>
      <c r="LS43" s="107"/>
      <c r="LT43" s="107"/>
      <c r="LU43" s="105"/>
      <c r="LW43" s="13"/>
      <c r="LX43" s="107"/>
      <c r="LY43" s="107"/>
      <c r="LZ43" s="105"/>
      <c r="MB43" s="13"/>
      <c r="MC43" s="107"/>
      <c r="MD43" s="107"/>
      <c r="ME43" s="105"/>
      <c r="MG43" s="38"/>
      <c r="MH43" s="13"/>
      <c r="MI43" s="107"/>
      <c r="MJ43" s="107"/>
      <c r="MK43" s="105"/>
      <c r="MM43" s="13"/>
      <c r="MN43" s="107"/>
      <c r="MO43" s="107"/>
      <c r="MP43" s="105"/>
      <c r="MR43" s="13"/>
      <c r="MS43" s="107"/>
      <c r="MT43" s="107"/>
      <c r="MU43" s="105"/>
      <c r="MW43" s="13"/>
      <c r="MX43" s="107"/>
      <c r="MY43" s="107"/>
      <c r="MZ43" s="105"/>
      <c r="NB43" s="13"/>
      <c r="NC43" s="107"/>
      <c r="ND43" s="107"/>
      <c r="NE43" s="105"/>
      <c r="NG43" s="13"/>
      <c r="NH43" s="107"/>
      <c r="NI43" s="107"/>
      <c r="NJ43" s="105"/>
      <c r="NL43" s="38"/>
      <c r="NM43" s="13"/>
      <c r="NN43" s="107"/>
      <c r="NO43" s="107"/>
      <c r="NP43" s="105"/>
      <c r="NR43" s="13"/>
      <c r="NS43" s="107"/>
      <c r="NT43" s="107"/>
      <c r="NU43" s="105"/>
      <c r="NW43" s="13"/>
      <c r="NX43" s="107"/>
      <c r="NY43" s="107"/>
      <c r="NZ43" s="105"/>
      <c r="OB43" s="13"/>
      <c r="OC43" s="107"/>
      <c r="OD43" s="107"/>
      <c r="OE43" s="105"/>
      <c r="OG43" s="13"/>
      <c r="OH43" s="107"/>
      <c r="OI43" s="107"/>
      <c r="OJ43" s="105"/>
      <c r="OL43" s="13"/>
      <c r="OM43" s="107"/>
      <c r="ON43" s="107"/>
      <c r="OO43" s="105"/>
    </row>
    <row r="44" ht="15.75" customHeight="1">
      <c r="A44" s="42"/>
      <c r="B44" s="42"/>
      <c r="C44" s="42"/>
      <c r="D44" s="38">
        <f t="shared" ref="D44:D57" si="255">D43</f>
        <v>45965</v>
      </c>
      <c r="E44" s="105" t="str">
        <f t="shared" ref="E44:I44" si="254">J5</f>
        <v/>
      </c>
      <c r="F44" s="105" t="str">
        <f t="shared" si="254"/>
        <v/>
      </c>
      <c r="G44" s="105" t="str">
        <f t="shared" si="254"/>
        <v/>
      </c>
      <c r="H44" s="106" t="str">
        <f t="shared" si="254"/>
        <v/>
      </c>
      <c r="I44" s="106" t="str">
        <f t="shared" si="254"/>
        <v/>
      </c>
      <c r="J44" s="107" t="str">
        <f t="array" ref="J44">IFERROR(IF(XLOOKUP(CONCAT(E44,F44),'MASTER PLAN'!$AB:$AB,'MASTER PLAN'!$M:$M,0,0)=0,"",XLOOKUP(CONCAT(E44,F44),'MASTER PLAN'!$AB:$AB,'MASTER PLAN'!$M:$M,0,0)),"")</f>
        <v/>
      </c>
      <c r="K44" s="107">
        <f t="shared" si="237"/>
        <v>0</v>
      </c>
      <c r="L44" s="107">
        <f t="shared" si="238"/>
        <v>0</v>
      </c>
      <c r="M44" s="105" t="s">
        <v>246</v>
      </c>
      <c r="O44" s="13"/>
      <c r="P44" s="107"/>
      <c r="Q44" s="107"/>
      <c r="R44" s="105"/>
      <c r="T44" s="13"/>
      <c r="U44" s="107"/>
      <c r="V44" s="107"/>
      <c r="W44" s="105"/>
      <c r="Y44" s="13"/>
      <c r="Z44" s="107"/>
      <c r="AA44" s="107"/>
      <c r="AB44" s="105"/>
      <c r="AD44" s="13"/>
      <c r="AE44" s="107"/>
      <c r="AF44" s="107"/>
      <c r="AG44" s="105"/>
      <c r="AI44" s="38"/>
      <c r="AJ44" s="13"/>
      <c r="AK44" s="107"/>
      <c r="AL44" s="107"/>
      <c r="AM44" s="105"/>
      <c r="AO44" s="13"/>
      <c r="AP44" s="107"/>
      <c r="AQ44" s="107"/>
      <c r="AR44" s="105"/>
      <c r="AT44" s="13"/>
      <c r="AU44" s="107"/>
      <c r="AV44" s="107"/>
      <c r="AW44" s="105"/>
      <c r="AY44" s="13"/>
      <c r="AZ44" s="107"/>
      <c r="BA44" s="107"/>
      <c r="BB44" s="105"/>
      <c r="BD44" s="13"/>
      <c r="BE44" s="107"/>
      <c r="BF44" s="107"/>
      <c r="BG44" s="105"/>
      <c r="BI44" s="13"/>
      <c r="BJ44" s="107"/>
      <c r="BK44" s="107"/>
      <c r="BL44" s="105"/>
      <c r="BN44" s="38"/>
      <c r="BO44" s="13"/>
      <c r="BP44" s="107"/>
      <c r="BQ44" s="107"/>
      <c r="BR44" s="105"/>
      <c r="BT44" s="13"/>
      <c r="BU44" s="107"/>
      <c r="BV44" s="107"/>
      <c r="BW44" s="105"/>
      <c r="BY44" s="13"/>
      <c r="BZ44" s="107"/>
      <c r="CA44" s="107"/>
      <c r="CB44" s="105"/>
      <c r="CD44" s="13"/>
      <c r="CE44" s="107"/>
      <c r="CF44" s="107"/>
      <c r="CG44" s="105"/>
      <c r="CI44" s="13"/>
      <c r="CJ44" s="107"/>
      <c r="CK44" s="107"/>
      <c r="CL44" s="105"/>
      <c r="CN44" s="13"/>
      <c r="CO44" s="107"/>
      <c r="CP44" s="107"/>
      <c r="CQ44" s="105"/>
      <c r="CS44" s="38"/>
      <c r="CT44" s="13"/>
      <c r="CU44" s="107"/>
      <c r="CV44" s="107"/>
      <c r="CW44" s="105"/>
      <c r="CY44" s="13"/>
      <c r="CZ44" s="107"/>
      <c r="DA44" s="107"/>
      <c r="DB44" s="105"/>
      <c r="DD44" s="13"/>
      <c r="DE44" s="107"/>
      <c r="DF44" s="107"/>
      <c r="DG44" s="105"/>
      <c r="DI44" s="13"/>
      <c r="DJ44" s="107"/>
      <c r="DK44" s="107"/>
      <c r="DL44" s="105"/>
      <c r="DN44" s="13"/>
      <c r="DO44" s="107"/>
      <c r="DP44" s="107"/>
      <c r="DQ44" s="105"/>
      <c r="DS44" s="13"/>
      <c r="DT44" s="107"/>
      <c r="DU44" s="107"/>
      <c r="DV44" s="105"/>
      <c r="DX44" s="38"/>
      <c r="DY44" s="13"/>
      <c r="DZ44" s="107"/>
      <c r="EA44" s="107"/>
      <c r="EB44" s="105"/>
      <c r="ED44" s="13"/>
      <c r="EE44" s="107"/>
      <c r="EF44" s="107"/>
      <c r="EG44" s="105"/>
      <c r="EI44" s="13"/>
      <c r="EJ44" s="107"/>
      <c r="EK44" s="107"/>
      <c r="EL44" s="105"/>
      <c r="EN44" s="13"/>
      <c r="EO44" s="107"/>
      <c r="EP44" s="107"/>
      <c r="EQ44" s="105"/>
      <c r="ES44" s="13"/>
      <c r="ET44" s="107"/>
      <c r="EU44" s="107"/>
      <c r="EV44" s="105"/>
      <c r="EX44" s="13"/>
      <c r="EY44" s="107"/>
      <c r="EZ44" s="107"/>
      <c r="FA44" s="105"/>
      <c r="FC44" s="38"/>
      <c r="FD44" s="13"/>
      <c r="FE44" s="107"/>
      <c r="FF44" s="107"/>
      <c r="FG44" s="105"/>
      <c r="FI44" s="13"/>
      <c r="FJ44" s="107"/>
      <c r="FK44" s="107"/>
      <c r="FL44" s="105"/>
      <c r="FN44" s="13"/>
      <c r="FO44" s="107"/>
      <c r="FP44" s="107"/>
      <c r="FQ44" s="105"/>
      <c r="FS44" s="13"/>
      <c r="FT44" s="107"/>
      <c r="FU44" s="107"/>
      <c r="FV44" s="105"/>
      <c r="FX44" s="13"/>
      <c r="FY44" s="107"/>
      <c r="FZ44" s="107"/>
      <c r="GA44" s="105"/>
      <c r="GC44" s="13"/>
      <c r="GD44" s="107"/>
      <c r="GE44" s="107"/>
      <c r="GF44" s="105"/>
      <c r="GH44" s="38"/>
      <c r="GI44" s="13"/>
      <c r="GJ44" s="107"/>
      <c r="GK44" s="107"/>
      <c r="GL44" s="105"/>
      <c r="GN44" s="13"/>
      <c r="GO44" s="107"/>
      <c r="GP44" s="107"/>
      <c r="GQ44" s="105"/>
      <c r="GS44" s="13"/>
      <c r="GT44" s="107"/>
      <c r="GU44" s="107"/>
      <c r="GV44" s="105"/>
      <c r="GX44" s="13"/>
      <c r="GY44" s="107"/>
      <c r="GZ44" s="107"/>
      <c r="HA44" s="105"/>
      <c r="HC44" s="13"/>
      <c r="HD44" s="107"/>
      <c r="HE44" s="107"/>
      <c r="HF44" s="105"/>
      <c r="HH44" s="13"/>
      <c r="HI44" s="107"/>
      <c r="HJ44" s="107"/>
      <c r="HK44" s="105"/>
      <c r="HM44" s="38"/>
      <c r="HN44" s="13"/>
      <c r="HO44" s="107"/>
      <c r="HP44" s="107"/>
      <c r="HQ44" s="105"/>
      <c r="HS44" s="13"/>
      <c r="HT44" s="107"/>
      <c r="HU44" s="107"/>
      <c r="HV44" s="105"/>
      <c r="HX44" s="13"/>
      <c r="HY44" s="107"/>
      <c r="HZ44" s="107"/>
      <c r="IA44" s="105"/>
      <c r="IC44" s="13"/>
      <c r="ID44" s="107"/>
      <c r="IE44" s="107"/>
      <c r="IF44" s="105"/>
      <c r="IH44" s="13"/>
      <c r="II44" s="107"/>
      <c r="IJ44" s="107"/>
      <c r="IK44" s="105"/>
      <c r="IM44" s="13"/>
      <c r="IN44" s="107"/>
      <c r="IO44" s="107"/>
      <c r="IP44" s="105"/>
      <c r="IR44" s="38"/>
      <c r="IS44" s="13"/>
      <c r="IT44" s="107"/>
      <c r="IU44" s="107"/>
      <c r="IV44" s="105"/>
      <c r="IX44" s="13"/>
      <c r="IY44" s="107"/>
      <c r="IZ44" s="107"/>
      <c r="JA44" s="105"/>
      <c r="JC44" s="13"/>
      <c r="JD44" s="107"/>
      <c r="JE44" s="107"/>
      <c r="JF44" s="105"/>
      <c r="JH44" s="13"/>
      <c r="JI44" s="107"/>
      <c r="JJ44" s="107"/>
      <c r="JK44" s="105"/>
      <c r="JM44" s="13"/>
      <c r="JN44" s="107"/>
      <c r="JO44" s="107"/>
      <c r="JP44" s="105"/>
      <c r="JR44" s="13"/>
      <c r="JS44" s="107"/>
      <c r="JT44" s="107"/>
      <c r="JU44" s="105"/>
      <c r="JW44" s="38"/>
      <c r="JX44" s="13"/>
      <c r="JY44" s="107"/>
      <c r="JZ44" s="107"/>
      <c r="KA44" s="105"/>
      <c r="KC44" s="13"/>
      <c r="KD44" s="107"/>
      <c r="KE44" s="107"/>
      <c r="KF44" s="105"/>
      <c r="KH44" s="13"/>
      <c r="KI44" s="107"/>
      <c r="KJ44" s="107"/>
      <c r="KK44" s="105"/>
      <c r="KM44" s="13"/>
      <c r="KN44" s="107"/>
      <c r="KO44" s="107"/>
      <c r="KP44" s="105"/>
      <c r="KR44" s="13"/>
      <c r="KS44" s="107"/>
      <c r="KT44" s="107"/>
      <c r="KU44" s="105"/>
      <c r="KW44" s="13"/>
      <c r="KX44" s="107"/>
      <c r="KY44" s="107"/>
      <c r="KZ44" s="105"/>
      <c r="LB44" s="38"/>
      <c r="LC44" s="13"/>
      <c r="LD44" s="107"/>
      <c r="LE44" s="107"/>
      <c r="LF44" s="105"/>
      <c r="LH44" s="13"/>
      <c r="LI44" s="107"/>
      <c r="LJ44" s="107"/>
      <c r="LK44" s="105"/>
      <c r="LM44" s="13"/>
      <c r="LN44" s="107"/>
      <c r="LO44" s="107"/>
      <c r="LP44" s="105"/>
      <c r="LR44" s="13"/>
      <c r="LS44" s="107"/>
      <c r="LT44" s="107"/>
      <c r="LU44" s="105"/>
      <c r="LW44" s="13"/>
      <c r="LX44" s="107"/>
      <c r="LY44" s="107"/>
      <c r="LZ44" s="105"/>
      <c r="MB44" s="13"/>
      <c r="MC44" s="107"/>
      <c r="MD44" s="107"/>
      <c r="ME44" s="105"/>
      <c r="MG44" s="38"/>
      <c r="MH44" s="13"/>
      <c r="MI44" s="107"/>
      <c r="MJ44" s="107"/>
      <c r="MK44" s="105"/>
      <c r="MM44" s="13"/>
      <c r="MN44" s="107"/>
      <c r="MO44" s="107"/>
      <c r="MP44" s="105"/>
      <c r="MR44" s="13"/>
      <c r="MS44" s="107"/>
      <c r="MT44" s="107"/>
      <c r="MU44" s="105"/>
      <c r="MW44" s="13"/>
      <c r="MX44" s="107"/>
      <c r="MY44" s="107"/>
      <c r="MZ44" s="105"/>
      <c r="NB44" s="13"/>
      <c r="NC44" s="107"/>
      <c r="ND44" s="107"/>
      <c r="NE44" s="105"/>
      <c r="NG44" s="13"/>
      <c r="NH44" s="107"/>
      <c r="NI44" s="107"/>
      <c r="NJ44" s="105"/>
      <c r="NL44" s="38"/>
      <c r="NM44" s="13"/>
      <c r="NN44" s="107"/>
      <c r="NO44" s="107"/>
      <c r="NP44" s="105"/>
      <c r="NR44" s="13"/>
      <c r="NS44" s="107"/>
      <c r="NT44" s="107"/>
      <c r="NU44" s="105"/>
      <c r="NW44" s="13"/>
      <c r="NX44" s="107"/>
      <c r="NY44" s="107"/>
      <c r="NZ44" s="105"/>
      <c r="OB44" s="13"/>
      <c r="OC44" s="107"/>
      <c r="OD44" s="107"/>
      <c r="OE44" s="105"/>
      <c r="OG44" s="13"/>
      <c r="OH44" s="107"/>
      <c r="OI44" s="107"/>
      <c r="OJ44" s="105"/>
      <c r="OL44" s="13"/>
      <c r="OM44" s="107"/>
      <c r="ON44" s="107"/>
      <c r="OO44" s="105"/>
    </row>
    <row r="45" ht="15.75" customHeight="1">
      <c r="A45" s="42"/>
      <c r="B45" s="42"/>
      <c r="C45" s="42"/>
      <c r="D45" s="38">
        <f t="shared" si="255"/>
        <v>45965</v>
      </c>
      <c r="E45" s="105" t="str">
        <f t="shared" ref="E45:I45" si="256">J6</f>
        <v/>
      </c>
      <c r="F45" s="105" t="str">
        <f t="shared" si="256"/>
        <v/>
      </c>
      <c r="G45" s="105" t="str">
        <f t="shared" si="256"/>
        <v/>
      </c>
      <c r="H45" s="106" t="str">
        <f t="shared" si="256"/>
        <v/>
      </c>
      <c r="I45" s="106" t="str">
        <f t="shared" si="256"/>
        <v/>
      </c>
      <c r="J45" s="107" t="str">
        <f t="array" ref="J45">IFERROR(IF(XLOOKUP(CONCAT(E45,F45),'MASTER PLAN'!$AB:$AB,'MASTER PLAN'!$M:$M,0,0)=0,"",XLOOKUP(CONCAT(E45,F45),'MASTER PLAN'!$AB:$AB,'MASTER PLAN'!$M:$M,0,0)),"")</f>
        <v/>
      </c>
      <c r="K45" s="107">
        <f t="shared" si="237"/>
        <v>0</v>
      </c>
      <c r="L45" s="107">
        <f t="shared" si="238"/>
        <v>0</v>
      </c>
      <c r="M45" s="105" t="s">
        <v>246</v>
      </c>
      <c r="O45" s="13"/>
      <c r="P45" s="107"/>
      <c r="Q45" s="107"/>
      <c r="R45" s="105"/>
      <c r="T45" s="13"/>
      <c r="U45" s="107"/>
      <c r="V45" s="107"/>
      <c r="W45" s="105"/>
      <c r="Y45" s="13"/>
      <c r="Z45" s="107"/>
      <c r="AA45" s="107"/>
      <c r="AB45" s="105"/>
      <c r="AD45" s="13"/>
      <c r="AE45" s="107"/>
      <c r="AF45" s="107"/>
      <c r="AG45" s="105"/>
      <c r="AI45" s="38"/>
      <c r="AJ45" s="13"/>
      <c r="AK45" s="107"/>
      <c r="AL45" s="107"/>
      <c r="AM45" s="105"/>
      <c r="AO45" s="13"/>
      <c r="AP45" s="107"/>
      <c r="AQ45" s="107"/>
      <c r="AR45" s="105"/>
      <c r="AT45" s="13"/>
      <c r="AU45" s="107"/>
      <c r="AV45" s="107"/>
      <c r="AW45" s="105"/>
      <c r="AY45" s="13"/>
      <c r="AZ45" s="107"/>
      <c r="BA45" s="107"/>
      <c r="BB45" s="105"/>
      <c r="BD45" s="13"/>
      <c r="BE45" s="107"/>
      <c r="BF45" s="107"/>
      <c r="BG45" s="105"/>
      <c r="BI45" s="13"/>
      <c r="BJ45" s="107"/>
      <c r="BK45" s="107"/>
      <c r="BL45" s="105"/>
      <c r="BN45" s="38"/>
      <c r="BO45" s="13"/>
      <c r="BP45" s="107"/>
      <c r="BQ45" s="107"/>
      <c r="BR45" s="105"/>
      <c r="BT45" s="13"/>
      <c r="BU45" s="107"/>
      <c r="BV45" s="107"/>
      <c r="BW45" s="105"/>
      <c r="BY45" s="13"/>
      <c r="BZ45" s="107"/>
      <c r="CA45" s="107"/>
      <c r="CB45" s="105"/>
      <c r="CD45" s="13"/>
      <c r="CE45" s="107"/>
      <c r="CF45" s="107"/>
      <c r="CG45" s="105"/>
      <c r="CI45" s="13"/>
      <c r="CJ45" s="107"/>
      <c r="CK45" s="107"/>
      <c r="CL45" s="105"/>
      <c r="CN45" s="13"/>
      <c r="CO45" s="107"/>
      <c r="CP45" s="107"/>
      <c r="CQ45" s="105"/>
      <c r="CS45" s="38"/>
      <c r="CT45" s="13"/>
      <c r="CU45" s="107"/>
      <c r="CV45" s="107"/>
      <c r="CW45" s="105"/>
      <c r="CY45" s="13"/>
      <c r="CZ45" s="107"/>
      <c r="DA45" s="107"/>
      <c r="DB45" s="105"/>
      <c r="DD45" s="13"/>
      <c r="DE45" s="107"/>
      <c r="DF45" s="107"/>
      <c r="DG45" s="105"/>
      <c r="DI45" s="13"/>
      <c r="DJ45" s="107"/>
      <c r="DK45" s="107"/>
      <c r="DL45" s="105"/>
      <c r="DN45" s="13"/>
      <c r="DO45" s="107"/>
      <c r="DP45" s="107"/>
      <c r="DQ45" s="105"/>
      <c r="DS45" s="13"/>
      <c r="DT45" s="107"/>
      <c r="DU45" s="107"/>
      <c r="DV45" s="105"/>
      <c r="DX45" s="38"/>
      <c r="DY45" s="13"/>
      <c r="DZ45" s="107"/>
      <c r="EA45" s="107"/>
      <c r="EB45" s="105"/>
      <c r="ED45" s="13"/>
      <c r="EE45" s="107"/>
      <c r="EF45" s="107"/>
      <c r="EG45" s="105"/>
      <c r="EI45" s="13"/>
      <c r="EJ45" s="107"/>
      <c r="EK45" s="107"/>
      <c r="EL45" s="105"/>
      <c r="EN45" s="13"/>
      <c r="EO45" s="107"/>
      <c r="EP45" s="107"/>
      <c r="EQ45" s="105"/>
      <c r="ES45" s="13"/>
      <c r="ET45" s="107"/>
      <c r="EU45" s="107"/>
      <c r="EV45" s="105"/>
      <c r="EX45" s="13"/>
      <c r="EY45" s="107"/>
      <c r="EZ45" s="107"/>
      <c r="FA45" s="105"/>
      <c r="FC45" s="38"/>
      <c r="FD45" s="13"/>
      <c r="FE45" s="107"/>
      <c r="FF45" s="107"/>
      <c r="FG45" s="105"/>
      <c r="FI45" s="13"/>
      <c r="FJ45" s="107"/>
      <c r="FK45" s="107"/>
      <c r="FL45" s="105"/>
      <c r="FN45" s="13"/>
      <c r="FO45" s="107"/>
      <c r="FP45" s="107"/>
      <c r="FQ45" s="105"/>
      <c r="FS45" s="13"/>
      <c r="FT45" s="107"/>
      <c r="FU45" s="107"/>
      <c r="FV45" s="105"/>
      <c r="FX45" s="13"/>
      <c r="FY45" s="107"/>
      <c r="FZ45" s="107"/>
      <c r="GA45" s="105"/>
      <c r="GC45" s="13"/>
      <c r="GD45" s="107"/>
      <c r="GE45" s="107"/>
      <c r="GF45" s="105"/>
      <c r="GH45" s="38"/>
      <c r="GI45" s="13"/>
      <c r="GJ45" s="107"/>
      <c r="GK45" s="107"/>
      <c r="GL45" s="105"/>
      <c r="GN45" s="13"/>
      <c r="GO45" s="107"/>
      <c r="GP45" s="107"/>
      <c r="GQ45" s="105"/>
      <c r="GS45" s="13"/>
      <c r="GT45" s="107"/>
      <c r="GU45" s="107"/>
      <c r="GV45" s="105"/>
      <c r="GX45" s="13"/>
      <c r="GY45" s="107"/>
      <c r="GZ45" s="107"/>
      <c r="HA45" s="105"/>
      <c r="HC45" s="13"/>
      <c r="HD45" s="107"/>
      <c r="HE45" s="107"/>
      <c r="HF45" s="105"/>
      <c r="HH45" s="13"/>
      <c r="HI45" s="107"/>
      <c r="HJ45" s="107"/>
      <c r="HK45" s="105"/>
      <c r="HM45" s="38"/>
      <c r="HN45" s="13"/>
      <c r="HO45" s="107"/>
      <c r="HP45" s="107"/>
      <c r="HQ45" s="105"/>
      <c r="HS45" s="13"/>
      <c r="HT45" s="107"/>
      <c r="HU45" s="107"/>
      <c r="HV45" s="105"/>
      <c r="HX45" s="13"/>
      <c r="HY45" s="107"/>
      <c r="HZ45" s="107"/>
      <c r="IA45" s="105"/>
      <c r="IC45" s="13"/>
      <c r="ID45" s="107"/>
      <c r="IE45" s="107"/>
      <c r="IF45" s="105"/>
      <c r="IH45" s="13"/>
      <c r="II45" s="107"/>
      <c r="IJ45" s="107"/>
      <c r="IK45" s="105"/>
      <c r="IM45" s="13"/>
      <c r="IN45" s="107"/>
      <c r="IO45" s="107"/>
      <c r="IP45" s="105"/>
      <c r="IR45" s="38"/>
      <c r="IS45" s="13"/>
      <c r="IT45" s="107"/>
      <c r="IU45" s="107"/>
      <c r="IV45" s="105"/>
      <c r="IX45" s="13"/>
      <c r="IY45" s="107"/>
      <c r="IZ45" s="107"/>
      <c r="JA45" s="105"/>
      <c r="JC45" s="13"/>
      <c r="JD45" s="107"/>
      <c r="JE45" s="107"/>
      <c r="JF45" s="105"/>
      <c r="JH45" s="13"/>
      <c r="JI45" s="107"/>
      <c r="JJ45" s="107"/>
      <c r="JK45" s="105"/>
      <c r="JM45" s="13"/>
      <c r="JN45" s="107"/>
      <c r="JO45" s="107"/>
      <c r="JP45" s="105"/>
      <c r="JR45" s="13"/>
      <c r="JS45" s="107"/>
      <c r="JT45" s="107"/>
      <c r="JU45" s="105"/>
      <c r="JW45" s="38"/>
      <c r="JX45" s="13"/>
      <c r="JY45" s="107"/>
      <c r="JZ45" s="107"/>
      <c r="KA45" s="105"/>
      <c r="KC45" s="13"/>
      <c r="KD45" s="107"/>
      <c r="KE45" s="107"/>
      <c r="KF45" s="105"/>
      <c r="KH45" s="13"/>
      <c r="KI45" s="107"/>
      <c r="KJ45" s="107"/>
      <c r="KK45" s="105"/>
      <c r="KM45" s="13"/>
      <c r="KN45" s="107"/>
      <c r="KO45" s="107"/>
      <c r="KP45" s="105"/>
      <c r="KR45" s="13"/>
      <c r="KS45" s="107"/>
      <c r="KT45" s="107"/>
      <c r="KU45" s="105"/>
      <c r="KW45" s="13"/>
      <c r="KX45" s="107"/>
      <c r="KY45" s="107"/>
      <c r="KZ45" s="105"/>
      <c r="LB45" s="38"/>
      <c r="LC45" s="13"/>
      <c r="LD45" s="107"/>
      <c r="LE45" s="107"/>
      <c r="LF45" s="105"/>
      <c r="LH45" s="13"/>
      <c r="LI45" s="107"/>
      <c r="LJ45" s="107"/>
      <c r="LK45" s="105"/>
      <c r="LM45" s="13"/>
      <c r="LN45" s="107"/>
      <c r="LO45" s="107"/>
      <c r="LP45" s="105"/>
      <c r="LR45" s="13"/>
      <c r="LS45" s="107"/>
      <c r="LT45" s="107"/>
      <c r="LU45" s="105"/>
      <c r="LW45" s="13"/>
      <c r="LX45" s="107"/>
      <c r="LY45" s="107"/>
      <c r="LZ45" s="105"/>
      <c r="MB45" s="13"/>
      <c r="MC45" s="107"/>
      <c r="MD45" s="107"/>
      <c r="ME45" s="105"/>
      <c r="MG45" s="38"/>
      <c r="MH45" s="13"/>
      <c r="MI45" s="107"/>
      <c r="MJ45" s="107"/>
      <c r="MK45" s="105"/>
      <c r="MM45" s="13"/>
      <c r="MN45" s="107"/>
      <c r="MO45" s="107"/>
      <c r="MP45" s="105"/>
      <c r="MR45" s="13"/>
      <c r="MS45" s="107"/>
      <c r="MT45" s="107"/>
      <c r="MU45" s="105"/>
      <c r="MW45" s="13"/>
      <c r="MX45" s="107"/>
      <c r="MY45" s="107"/>
      <c r="MZ45" s="105"/>
      <c r="NB45" s="13"/>
      <c r="NC45" s="107"/>
      <c r="ND45" s="107"/>
      <c r="NE45" s="105"/>
      <c r="NG45" s="13"/>
      <c r="NH45" s="107"/>
      <c r="NI45" s="107"/>
      <c r="NJ45" s="105"/>
      <c r="NL45" s="38"/>
      <c r="NM45" s="13"/>
      <c r="NN45" s="107"/>
      <c r="NO45" s="107"/>
      <c r="NP45" s="105"/>
      <c r="NR45" s="13"/>
      <c r="NS45" s="107"/>
      <c r="NT45" s="107"/>
      <c r="NU45" s="105"/>
      <c r="NW45" s="13"/>
      <c r="NX45" s="107"/>
      <c r="NY45" s="107"/>
      <c r="NZ45" s="105"/>
      <c r="OB45" s="13"/>
      <c r="OC45" s="107"/>
      <c r="OD45" s="107"/>
      <c r="OE45" s="105"/>
      <c r="OG45" s="13"/>
      <c r="OH45" s="107"/>
      <c r="OI45" s="107"/>
      <c r="OJ45" s="105"/>
      <c r="OL45" s="13"/>
      <c r="OM45" s="107"/>
      <c r="ON45" s="107"/>
      <c r="OO45" s="105"/>
    </row>
    <row r="46" ht="15.75" customHeight="1">
      <c r="A46" s="42"/>
      <c r="B46" s="42"/>
      <c r="C46" s="42"/>
      <c r="D46" s="38">
        <f t="shared" si="255"/>
        <v>45965</v>
      </c>
      <c r="E46" s="105" t="str">
        <f t="shared" ref="E46:I46" si="257">J7</f>
        <v/>
      </c>
      <c r="F46" s="105" t="str">
        <f t="shared" si="257"/>
        <v/>
      </c>
      <c r="G46" s="105" t="str">
        <f t="shared" si="257"/>
        <v/>
      </c>
      <c r="H46" s="106" t="str">
        <f t="shared" si="257"/>
        <v/>
      </c>
      <c r="I46" s="106" t="str">
        <f t="shared" si="257"/>
        <v/>
      </c>
      <c r="J46" s="107" t="str">
        <f t="array" ref="J46">IFERROR(IF(XLOOKUP(CONCAT(E46,F46),'MASTER PLAN'!$AB:$AB,'MASTER PLAN'!$M:$M,0,0)=0,"",XLOOKUP(CONCAT(E46,F46),'MASTER PLAN'!$AB:$AB,'MASTER PLAN'!$M:$M,0,0)),"")</f>
        <v/>
      </c>
      <c r="K46" s="107">
        <f t="shared" si="237"/>
        <v>0</v>
      </c>
      <c r="L46" s="107">
        <f t="shared" si="238"/>
        <v>0</v>
      </c>
      <c r="M46" s="105" t="s">
        <v>246</v>
      </c>
      <c r="O46" s="13"/>
      <c r="P46" s="107"/>
      <c r="Q46" s="107"/>
      <c r="R46" s="105"/>
      <c r="T46" s="13"/>
      <c r="U46" s="107"/>
      <c r="V46" s="107"/>
      <c r="W46" s="105"/>
      <c r="Y46" s="13"/>
      <c r="Z46" s="107"/>
      <c r="AA46" s="107"/>
      <c r="AB46" s="105"/>
      <c r="AD46" s="13"/>
      <c r="AE46" s="107"/>
      <c r="AF46" s="107"/>
      <c r="AG46" s="105"/>
      <c r="AI46" s="38"/>
      <c r="AJ46" s="13"/>
      <c r="AK46" s="107"/>
      <c r="AL46" s="107"/>
      <c r="AM46" s="105"/>
      <c r="AO46" s="13"/>
      <c r="AP46" s="107"/>
      <c r="AQ46" s="107"/>
      <c r="AR46" s="105"/>
      <c r="AT46" s="13"/>
      <c r="AU46" s="107"/>
      <c r="AV46" s="107"/>
      <c r="AW46" s="105"/>
      <c r="AY46" s="13"/>
      <c r="AZ46" s="107"/>
      <c r="BA46" s="107"/>
      <c r="BB46" s="105"/>
      <c r="BD46" s="13"/>
      <c r="BE46" s="107"/>
      <c r="BF46" s="107"/>
      <c r="BG46" s="105"/>
      <c r="BI46" s="13"/>
      <c r="BJ46" s="107"/>
      <c r="BK46" s="107"/>
      <c r="BL46" s="105"/>
      <c r="BN46" s="38"/>
      <c r="BO46" s="13"/>
      <c r="BP46" s="107"/>
      <c r="BQ46" s="107"/>
      <c r="BR46" s="105"/>
      <c r="BT46" s="13"/>
      <c r="BU46" s="107"/>
      <c r="BV46" s="107"/>
      <c r="BW46" s="105"/>
      <c r="BY46" s="13"/>
      <c r="BZ46" s="107"/>
      <c r="CA46" s="107"/>
      <c r="CB46" s="105"/>
      <c r="CD46" s="13"/>
      <c r="CE46" s="107"/>
      <c r="CF46" s="107"/>
      <c r="CG46" s="105"/>
      <c r="CI46" s="13"/>
      <c r="CJ46" s="107"/>
      <c r="CK46" s="107"/>
      <c r="CL46" s="105"/>
      <c r="CN46" s="13"/>
      <c r="CO46" s="107"/>
      <c r="CP46" s="107"/>
      <c r="CQ46" s="105"/>
      <c r="CS46" s="38"/>
      <c r="CT46" s="13"/>
      <c r="CU46" s="107"/>
      <c r="CV46" s="107"/>
      <c r="CW46" s="105"/>
      <c r="CY46" s="13"/>
      <c r="CZ46" s="107"/>
      <c r="DA46" s="107"/>
      <c r="DB46" s="105"/>
      <c r="DD46" s="13"/>
      <c r="DE46" s="107"/>
      <c r="DF46" s="107"/>
      <c r="DG46" s="105"/>
      <c r="DI46" s="13"/>
      <c r="DJ46" s="107"/>
      <c r="DK46" s="107"/>
      <c r="DL46" s="105"/>
      <c r="DN46" s="13"/>
      <c r="DO46" s="107"/>
      <c r="DP46" s="107"/>
      <c r="DQ46" s="105"/>
      <c r="DS46" s="13"/>
      <c r="DT46" s="107"/>
      <c r="DU46" s="107"/>
      <c r="DV46" s="105"/>
      <c r="DX46" s="38"/>
      <c r="DY46" s="13"/>
      <c r="DZ46" s="107"/>
      <c r="EA46" s="107"/>
      <c r="EB46" s="105"/>
      <c r="ED46" s="13"/>
      <c r="EE46" s="107"/>
      <c r="EF46" s="107"/>
      <c r="EG46" s="105"/>
      <c r="EI46" s="13"/>
      <c r="EJ46" s="107"/>
      <c r="EK46" s="107"/>
      <c r="EL46" s="105"/>
      <c r="EN46" s="13"/>
      <c r="EO46" s="107"/>
      <c r="EP46" s="107"/>
      <c r="EQ46" s="105"/>
      <c r="ES46" s="13"/>
      <c r="ET46" s="107"/>
      <c r="EU46" s="107"/>
      <c r="EV46" s="105"/>
      <c r="EX46" s="13"/>
      <c r="EY46" s="107"/>
      <c r="EZ46" s="107"/>
      <c r="FA46" s="105"/>
      <c r="FC46" s="38"/>
      <c r="FD46" s="13"/>
      <c r="FE46" s="107"/>
      <c r="FF46" s="107"/>
      <c r="FG46" s="105"/>
      <c r="FI46" s="13"/>
      <c r="FJ46" s="107"/>
      <c r="FK46" s="107"/>
      <c r="FL46" s="105"/>
      <c r="FN46" s="13"/>
      <c r="FO46" s="107"/>
      <c r="FP46" s="107"/>
      <c r="FQ46" s="105"/>
      <c r="FS46" s="13"/>
      <c r="FT46" s="107"/>
      <c r="FU46" s="107"/>
      <c r="FV46" s="105"/>
      <c r="FX46" s="13"/>
      <c r="FY46" s="107"/>
      <c r="FZ46" s="107"/>
      <c r="GA46" s="105"/>
      <c r="GC46" s="13"/>
      <c r="GD46" s="107"/>
      <c r="GE46" s="107"/>
      <c r="GF46" s="105"/>
      <c r="GH46" s="38"/>
      <c r="GI46" s="13"/>
      <c r="GJ46" s="107"/>
      <c r="GK46" s="107"/>
      <c r="GL46" s="105"/>
      <c r="GN46" s="13"/>
      <c r="GO46" s="107"/>
      <c r="GP46" s="107"/>
      <c r="GQ46" s="105"/>
      <c r="GS46" s="13"/>
      <c r="GT46" s="107"/>
      <c r="GU46" s="107"/>
      <c r="GV46" s="105"/>
      <c r="GX46" s="13"/>
      <c r="GY46" s="107"/>
      <c r="GZ46" s="107"/>
      <c r="HA46" s="105"/>
      <c r="HC46" s="13"/>
      <c r="HD46" s="107"/>
      <c r="HE46" s="107"/>
      <c r="HF46" s="105"/>
      <c r="HH46" s="13"/>
      <c r="HI46" s="107"/>
      <c r="HJ46" s="107"/>
      <c r="HK46" s="105"/>
      <c r="HM46" s="38"/>
      <c r="HN46" s="13"/>
      <c r="HO46" s="107"/>
      <c r="HP46" s="107"/>
      <c r="HQ46" s="105"/>
      <c r="HS46" s="13"/>
      <c r="HT46" s="107"/>
      <c r="HU46" s="107"/>
      <c r="HV46" s="105"/>
      <c r="HX46" s="13"/>
      <c r="HY46" s="107"/>
      <c r="HZ46" s="107"/>
      <c r="IA46" s="105"/>
      <c r="IC46" s="13"/>
      <c r="ID46" s="107"/>
      <c r="IE46" s="107"/>
      <c r="IF46" s="105"/>
      <c r="IH46" s="13"/>
      <c r="II46" s="107"/>
      <c r="IJ46" s="107"/>
      <c r="IK46" s="105"/>
      <c r="IM46" s="13"/>
      <c r="IN46" s="107"/>
      <c r="IO46" s="107"/>
      <c r="IP46" s="105"/>
      <c r="IR46" s="38"/>
      <c r="IS46" s="13"/>
      <c r="IT46" s="107"/>
      <c r="IU46" s="107"/>
      <c r="IV46" s="105"/>
      <c r="IX46" s="13"/>
      <c r="IY46" s="107"/>
      <c r="IZ46" s="107"/>
      <c r="JA46" s="105"/>
      <c r="JC46" s="13"/>
      <c r="JD46" s="107"/>
      <c r="JE46" s="107"/>
      <c r="JF46" s="105"/>
      <c r="JH46" s="13"/>
      <c r="JI46" s="107"/>
      <c r="JJ46" s="107"/>
      <c r="JK46" s="105"/>
      <c r="JM46" s="13"/>
      <c r="JN46" s="107"/>
      <c r="JO46" s="107"/>
      <c r="JP46" s="105"/>
      <c r="JR46" s="13"/>
      <c r="JS46" s="107"/>
      <c r="JT46" s="107"/>
      <c r="JU46" s="105"/>
      <c r="JW46" s="38"/>
      <c r="JX46" s="13"/>
      <c r="JY46" s="107"/>
      <c r="JZ46" s="107"/>
      <c r="KA46" s="105"/>
      <c r="KC46" s="13"/>
      <c r="KD46" s="107"/>
      <c r="KE46" s="107"/>
      <c r="KF46" s="105"/>
      <c r="KH46" s="13"/>
      <c r="KI46" s="107"/>
      <c r="KJ46" s="107"/>
      <c r="KK46" s="105"/>
      <c r="KM46" s="13"/>
      <c r="KN46" s="107"/>
      <c r="KO46" s="107"/>
      <c r="KP46" s="105"/>
      <c r="KR46" s="13"/>
      <c r="KS46" s="107"/>
      <c r="KT46" s="107"/>
      <c r="KU46" s="105"/>
      <c r="KW46" s="13"/>
      <c r="KX46" s="107"/>
      <c r="KY46" s="107"/>
      <c r="KZ46" s="105"/>
      <c r="LB46" s="38"/>
      <c r="LC46" s="13"/>
      <c r="LD46" s="107"/>
      <c r="LE46" s="107"/>
      <c r="LF46" s="105"/>
      <c r="LH46" s="13"/>
      <c r="LI46" s="107"/>
      <c r="LJ46" s="107"/>
      <c r="LK46" s="105"/>
      <c r="LM46" s="13"/>
      <c r="LN46" s="107"/>
      <c r="LO46" s="107"/>
      <c r="LP46" s="105"/>
      <c r="LR46" s="13"/>
      <c r="LS46" s="107"/>
      <c r="LT46" s="107"/>
      <c r="LU46" s="105"/>
      <c r="LW46" s="13"/>
      <c r="LX46" s="107"/>
      <c r="LY46" s="107"/>
      <c r="LZ46" s="105"/>
      <c r="MB46" s="13"/>
      <c r="MC46" s="107"/>
      <c r="MD46" s="107"/>
      <c r="ME46" s="105"/>
      <c r="MG46" s="38"/>
      <c r="MH46" s="13"/>
      <c r="MI46" s="107"/>
      <c r="MJ46" s="107"/>
      <c r="MK46" s="105"/>
      <c r="MM46" s="13"/>
      <c r="MN46" s="107"/>
      <c r="MO46" s="107"/>
      <c r="MP46" s="105"/>
      <c r="MR46" s="13"/>
      <c r="MS46" s="107"/>
      <c r="MT46" s="107"/>
      <c r="MU46" s="105"/>
      <c r="MW46" s="13"/>
      <c r="MX46" s="107"/>
      <c r="MY46" s="107"/>
      <c r="MZ46" s="105"/>
      <c r="NB46" s="13"/>
      <c r="NC46" s="107"/>
      <c r="ND46" s="107"/>
      <c r="NE46" s="105"/>
      <c r="NG46" s="13"/>
      <c r="NH46" s="107"/>
      <c r="NI46" s="107"/>
      <c r="NJ46" s="105"/>
      <c r="NL46" s="38"/>
      <c r="NM46" s="13"/>
      <c r="NN46" s="107"/>
      <c r="NO46" s="107"/>
      <c r="NP46" s="105"/>
      <c r="NR46" s="13"/>
      <c r="NS46" s="107"/>
      <c r="NT46" s="107"/>
      <c r="NU46" s="105"/>
      <c r="NW46" s="13"/>
      <c r="NX46" s="107"/>
      <c r="NY46" s="107"/>
      <c r="NZ46" s="105"/>
      <c r="OB46" s="13"/>
      <c r="OC46" s="107"/>
      <c r="OD46" s="107"/>
      <c r="OE46" s="105"/>
      <c r="OG46" s="13"/>
      <c r="OH46" s="107"/>
      <c r="OI46" s="107"/>
      <c r="OJ46" s="105"/>
      <c r="OL46" s="13"/>
      <c r="OM46" s="107"/>
      <c r="ON46" s="107"/>
      <c r="OO46" s="105"/>
    </row>
    <row r="47" ht="15.75" customHeight="1">
      <c r="A47" s="42"/>
      <c r="B47" s="42"/>
      <c r="C47" s="42"/>
      <c r="D47" s="38">
        <f t="shared" si="255"/>
        <v>45965</v>
      </c>
      <c r="E47" s="105" t="str">
        <f t="shared" ref="E47:I47" si="258">J8</f>
        <v/>
      </c>
      <c r="F47" s="105" t="str">
        <f t="shared" si="258"/>
        <v/>
      </c>
      <c r="G47" s="105" t="str">
        <f t="shared" si="258"/>
        <v/>
      </c>
      <c r="H47" s="106" t="str">
        <f t="shared" si="258"/>
        <v/>
      </c>
      <c r="I47" s="106" t="str">
        <f t="shared" si="258"/>
        <v/>
      </c>
      <c r="J47" s="107" t="str">
        <f t="array" ref="J47">IFERROR(IF(XLOOKUP(CONCAT(E47,F47),'MASTER PLAN'!$AB:$AB,'MASTER PLAN'!$M:$M,0,0)=0,"",XLOOKUP(CONCAT(E47,F47),'MASTER PLAN'!$AB:$AB,'MASTER PLAN'!$M:$M,0,0)),"")</f>
        <v/>
      </c>
      <c r="K47" s="107">
        <f t="shared" si="237"/>
        <v>0</v>
      </c>
      <c r="L47" s="107">
        <f t="shared" si="238"/>
        <v>0</v>
      </c>
      <c r="M47" s="105" t="s">
        <v>246</v>
      </c>
      <c r="O47" s="13"/>
      <c r="P47" s="107"/>
      <c r="Q47" s="107"/>
      <c r="R47" s="105"/>
      <c r="T47" s="13"/>
      <c r="U47" s="107"/>
      <c r="V47" s="107"/>
      <c r="W47" s="105"/>
      <c r="Y47" s="13"/>
      <c r="Z47" s="107"/>
      <c r="AA47" s="107"/>
      <c r="AB47" s="105"/>
      <c r="AD47" s="13"/>
      <c r="AE47" s="107"/>
      <c r="AF47" s="107"/>
      <c r="AG47" s="105"/>
      <c r="AI47" s="38"/>
      <c r="AJ47" s="13"/>
      <c r="AK47" s="107"/>
      <c r="AL47" s="107"/>
      <c r="AM47" s="105"/>
      <c r="AO47" s="13"/>
      <c r="AP47" s="107"/>
      <c r="AQ47" s="107"/>
      <c r="AR47" s="105"/>
      <c r="AT47" s="13"/>
      <c r="AU47" s="107"/>
      <c r="AV47" s="107"/>
      <c r="AW47" s="105"/>
      <c r="AY47" s="13"/>
      <c r="AZ47" s="107"/>
      <c r="BA47" s="107"/>
      <c r="BB47" s="105"/>
      <c r="BD47" s="13"/>
      <c r="BE47" s="107"/>
      <c r="BF47" s="107"/>
      <c r="BG47" s="105"/>
      <c r="BI47" s="13"/>
      <c r="BJ47" s="107"/>
      <c r="BK47" s="107"/>
      <c r="BL47" s="105"/>
      <c r="BN47" s="38"/>
      <c r="BO47" s="13"/>
      <c r="BP47" s="107"/>
      <c r="BQ47" s="107"/>
      <c r="BR47" s="105"/>
      <c r="BT47" s="13"/>
      <c r="BU47" s="107"/>
      <c r="BV47" s="107"/>
      <c r="BW47" s="105"/>
      <c r="BY47" s="13"/>
      <c r="BZ47" s="107"/>
      <c r="CA47" s="107"/>
      <c r="CB47" s="105"/>
      <c r="CD47" s="13"/>
      <c r="CE47" s="107"/>
      <c r="CF47" s="107"/>
      <c r="CG47" s="105"/>
      <c r="CI47" s="13"/>
      <c r="CJ47" s="107"/>
      <c r="CK47" s="107"/>
      <c r="CL47" s="105"/>
      <c r="CN47" s="13"/>
      <c r="CO47" s="107"/>
      <c r="CP47" s="107"/>
      <c r="CQ47" s="105"/>
      <c r="CS47" s="38"/>
      <c r="CT47" s="13"/>
      <c r="CU47" s="107"/>
      <c r="CV47" s="107"/>
      <c r="CW47" s="105"/>
      <c r="CY47" s="13"/>
      <c r="CZ47" s="107"/>
      <c r="DA47" s="107"/>
      <c r="DB47" s="105"/>
      <c r="DD47" s="13"/>
      <c r="DE47" s="107"/>
      <c r="DF47" s="107"/>
      <c r="DG47" s="105"/>
      <c r="DI47" s="13"/>
      <c r="DJ47" s="107"/>
      <c r="DK47" s="107"/>
      <c r="DL47" s="105"/>
      <c r="DN47" s="13"/>
      <c r="DO47" s="107"/>
      <c r="DP47" s="107"/>
      <c r="DQ47" s="105"/>
      <c r="DS47" s="13"/>
      <c r="DT47" s="107"/>
      <c r="DU47" s="107"/>
      <c r="DV47" s="105"/>
      <c r="DX47" s="38"/>
      <c r="DY47" s="13"/>
      <c r="DZ47" s="107"/>
      <c r="EA47" s="107"/>
      <c r="EB47" s="105"/>
      <c r="ED47" s="13"/>
      <c r="EE47" s="107"/>
      <c r="EF47" s="107"/>
      <c r="EG47" s="105"/>
      <c r="EI47" s="13"/>
      <c r="EJ47" s="107"/>
      <c r="EK47" s="107"/>
      <c r="EL47" s="105"/>
      <c r="EN47" s="13"/>
      <c r="EO47" s="107"/>
      <c r="EP47" s="107"/>
      <c r="EQ47" s="105"/>
      <c r="ES47" s="13"/>
      <c r="ET47" s="107"/>
      <c r="EU47" s="107"/>
      <c r="EV47" s="105"/>
      <c r="EX47" s="13"/>
      <c r="EY47" s="107"/>
      <c r="EZ47" s="107"/>
      <c r="FA47" s="105"/>
      <c r="FC47" s="38"/>
      <c r="FD47" s="13"/>
      <c r="FE47" s="107"/>
      <c r="FF47" s="107"/>
      <c r="FG47" s="105"/>
      <c r="FI47" s="13"/>
      <c r="FJ47" s="107"/>
      <c r="FK47" s="107"/>
      <c r="FL47" s="105"/>
      <c r="FN47" s="13"/>
      <c r="FO47" s="107"/>
      <c r="FP47" s="107"/>
      <c r="FQ47" s="105"/>
      <c r="FS47" s="13"/>
      <c r="FT47" s="107"/>
      <c r="FU47" s="107"/>
      <c r="FV47" s="105"/>
      <c r="FX47" s="13"/>
      <c r="FY47" s="107"/>
      <c r="FZ47" s="107"/>
      <c r="GA47" s="105"/>
      <c r="GC47" s="13"/>
      <c r="GD47" s="107"/>
      <c r="GE47" s="107"/>
      <c r="GF47" s="105"/>
      <c r="GH47" s="38"/>
      <c r="GI47" s="13"/>
      <c r="GJ47" s="107"/>
      <c r="GK47" s="107"/>
      <c r="GL47" s="105"/>
      <c r="GN47" s="13"/>
      <c r="GO47" s="107"/>
      <c r="GP47" s="107"/>
      <c r="GQ47" s="105"/>
      <c r="GS47" s="13"/>
      <c r="GT47" s="107"/>
      <c r="GU47" s="107"/>
      <c r="GV47" s="105"/>
      <c r="GX47" s="13"/>
      <c r="GY47" s="107"/>
      <c r="GZ47" s="107"/>
      <c r="HA47" s="105"/>
      <c r="HC47" s="13"/>
      <c r="HD47" s="107"/>
      <c r="HE47" s="107"/>
      <c r="HF47" s="105"/>
      <c r="HH47" s="13"/>
      <c r="HI47" s="107"/>
      <c r="HJ47" s="107"/>
      <c r="HK47" s="105"/>
      <c r="HM47" s="38"/>
      <c r="HN47" s="13"/>
      <c r="HO47" s="107"/>
      <c r="HP47" s="107"/>
      <c r="HQ47" s="105"/>
      <c r="HS47" s="13"/>
      <c r="HT47" s="107"/>
      <c r="HU47" s="107"/>
      <c r="HV47" s="105"/>
      <c r="HX47" s="13"/>
      <c r="HY47" s="107"/>
      <c r="HZ47" s="107"/>
      <c r="IA47" s="105"/>
      <c r="IC47" s="13"/>
      <c r="ID47" s="107"/>
      <c r="IE47" s="107"/>
      <c r="IF47" s="105"/>
      <c r="IH47" s="13"/>
      <c r="II47" s="107"/>
      <c r="IJ47" s="107"/>
      <c r="IK47" s="105"/>
      <c r="IM47" s="13"/>
      <c r="IN47" s="107"/>
      <c r="IO47" s="107"/>
      <c r="IP47" s="105"/>
      <c r="IR47" s="38"/>
      <c r="IS47" s="13"/>
      <c r="IT47" s="107"/>
      <c r="IU47" s="107"/>
      <c r="IV47" s="105"/>
      <c r="IX47" s="13"/>
      <c r="IY47" s="107"/>
      <c r="IZ47" s="107"/>
      <c r="JA47" s="105"/>
      <c r="JC47" s="13"/>
      <c r="JD47" s="107"/>
      <c r="JE47" s="107"/>
      <c r="JF47" s="105"/>
      <c r="JH47" s="13"/>
      <c r="JI47" s="107"/>
      <c r="JJ47" s="107"/>
      <c r="JK47" s="105"/>
      <c r="JM47" s="13"/>
      <c r="JN47" s="107"/>
      <c r="JO47" s="107"/>
      <c r="JP47" s="105"/>
      <c r="JR47" s="13"/>
      <c r="JS47" s="107"/>
      <c r="JT47" s="107"/>
      <c r="JU47" s="105"/>
      <c r="JW47" s="38"/>
      <c r="JX47" s="13"/>
      <c r="JY47" s="107"/>
      <c r="JZ47" s="107"/>
      <c r="KA47" s="105"/>
      <c r="KC47" s="13"/>
      <c r="KD47" s="107"/>
      <c r="KE47" s="107"/>
      <c r="KF47" s="105"/>
      <c r="KH47" s="13"/>
      <c r="KI47" s="107"/>
      <c r="KJ47" s="107"/>
      <c r="KK47" s="105"/>
      <c r="KM47" s="13"/>
      <c r="KN47" s="107"/>
      <c r="KO47" s="107"/>
      <c r="KP47" s="105"/>
      <c r="KR47" s="13"/>
      <c r="KS47" s="107"/>
      <c r="KT47" s="107"/>
      <c r="KU47" s="105"/>
      <c r="KW47" s="13"/>
      <c r="KX47" s="107"/>
      <c r="KY47" s="107"/>
      <c r="KZ47" s="105"/>
      <c r="LB47" s="38"/>
      <c r="LC47" s="13"/>
      <c r="LD47" s="107"/>
      <c r="LE47" s="107"/>
      <c r="LF47" s="105"/>
      <c r="LH47" s="13"/>
      <c r="LI47" s="107"/>
      <c r="LJ47" s="107"/>
      <c r="LK47" s="105"/>
      <c r="LM47" s="13"/>
      <c r="LN47" s="107"/>
      <c r="LO47" s="107"/>
      <c r="LP47" s="105"/>
      <c r="LR47" s="13"/>
      <c r="LS47" s="107"/>
      <c r="LT47" s="107"/>
      <c r="LU47" s="105"/>
      <c r="LW47" s="13"/>
      <c r="LX47" s="107"/>
      <c r="LY47" s="107"/>
      <c r="LZ47" s="105"/>
      <c r="MB47" s="13"/>
      <c r="MC47" s="107"/>
      <c r="MD47" s="107"/>
      <c r="ME47" s="105"/>
      <c r="MG47" s="38"/>
      <c r="MH47" s="13"/>
      <c r="MI47" s="107"/>
      <c r="MJ47" s="107"/>
      <c r="MK47" s="105"/>
      <c r="MM47" s="13"/>
      <c r="MN47" s="107"/>
      <c r="MO47" s="107"/>
      <c r="MP47" s="105"/>
      <c r="MR47" s="13"/>
      <c r="MS47" s="107"/>
      <c r="MT47" s="107"/>
      <c r="MU47" s="105"/>
      <c r="MW47" s="13"/>
      <c r="MX47" s="107"/>
      <c r="MY47" s="107"/>
      <c r="MZ47" s="105"/>
      <c r="NB47" s="13"/>
      <c r="NC47" s="107"/>
      <c r="ND47" s="107"/>
      <c r="NE47" s="105"/>
      <c r="NG47" s="13"/>
      <c r="NH47" s="107"/>
      <c r="NI47" s="107"/>
      <c r="NJ47" s="105"/>
      <c r="NL47" s="38"/>
      <c r="NM47" s="13"/>
      <c r="NN47" s="107"/>
      <c r="NO47" s="107"/>
      <c r="NP47" s="105"/>
      <c r="NR47" s="13"/>
      <c r="NS47" s="107"/>
      <c r="NT47" s="107"/>
      <c r="NU47" s="105"/>
      <c r="NW47" s="13"/>
      <c r="NX47" s="107"/>
      <c r="NY47" s="107"/>
      <c r="NZ47" s="105"/>
      <c r="OB47" s="13"/>
      <c r="OC47" s="107"/>
      <c r="OD47" s="107"/>
      <c r="OE47" s="105"/>
      <c r="OG47" s="13"/>
      <c r="OH47" s="107"/>
      <c r="OI47" s="107"/>
      <c r="OJ47" s="105"/>
      <c r="OL47" s="13"/>
      <c r="OM47" s="107"/>
      <c r="ON47" s="107"/>
      <c r="OO47" s="105"/>
    </row>
    <row r="48" ht="15.75" customHeight="1">
      <c r="A48" s="42"/>
      <c r="B48" s="42"/>
      <c r="C48" s="42"/>
      <c r="D48" s="38">
        <f t="shared" si="255"/>
        <v>45965</v>
      </c>
      <c r="E48" s="105" t="str">
        <f t="shared" ref="E48:I48" si="259">J12</f>
        <v/>
      </c>
      <c r="F48" s="105" t="str">
        <f t="shared" si="259"/>
        <v/>
      </c>
      <c r="G48" s="105" t="str">
        <f t="shared" si="259"/>
        <v/>
      </c>
      <c r="H48" s="106" t="str">
        <f t="shared" si="259"/>
        <v/>
      </c>
      <c r="I48" s="106" t="str">
        <f t="shared" si="259"/>
        <v/>
      </c>
      <c r="J48" s="107" t="str">
        <f t="array" ref="J48">IFERROR(IF(XLOOKUP(CONCAT(E48,F48),'MASTER PLAN'!$AB:$AB,'MASTER PLAN'!$M:$M,0,0)=0,"",XLOOKUP(CONCAT(E48,F48),'MASTER PLAN'!$AB:$AB,'MASTER PLAN'!$M:$M,0,0)),"")</f>
        <v/>
      </c>
      <c r="K48" s="107">
        <f t="shared" si="237"/>
        <v>0</v>
      </c>
      <c r="L48" s="107">
        <f t="shared" si="238"/>
        <v>0</v>
      </c>
      <c r="M48" s="105" t="s">
        <v>248</v>
      </c>
      <c r="O48" s="13"/>
      <c r="P48" s="107"/>
      <c r="Q48" s="107"/>
      <c r="R48" s="105"/>
      <c r="T48" s="13"/>
      <c r="U48" s="107"/>
      <c r="V48" s="107"/>
      <c r="W48" s="105"/>
      <c r="Y48" s="13"/>
      <c r="Z48" s="107"/>
      <c r="AA48" s="107"/>
      <c r="AB48" s="105"/>
      <c r="AD48" s="13"/>
      <c r="AE48" s="107"/>
      <c r="AF48" s="107"/>
      <c r="AG48" s="105"/>
      <c r="AI48" s="38"/>
      <c r="AJ48" s="13"/>
      <c r="AK48" s="107"/>
      <c r="AL48" s="107"/>
      <c r="AM48" s="105"/>
      <c r="AO48" s="13"/>
      <c r="AP48" s="107"/>
      <c r="AQ48" s="107"/>
      <c r="AR48" s="105"/>
      <c r="AT48" s="13"/>
      <c r="AU48" s="107"/>
      <c r="AV48" s="107"/>
      <c r="AW48" s="105"/>
      <c r="AY48" s="13"/>
      <c r="AZ48" s="107"/>
      <c r="BA48" s="107"/>
      <c r="BB48" s="105"/>
      <c r="BD48" s="13"/>
      <c r="BE48" s="107"/>
      <c r="BF48" s="107"/>
      <c r="BG48" s="105"/>
      <c r="BI48" s="13"/>
      <c r="BJ48" s="107"/>
      <c r="BK48" s="107"/>
      <c r="BL48" s="105"/>
      <c r="BN48" s="38"/>
      <c r="BO48" s="13"/>
      <c r="BP48" s="107"/>
      <c r="BQ48" s="107"/>
      <c r="BR48" s="105"/>
      <c r="BT48" s="13"/>
      <c r="BU48" s="107"/>
      <c r="BV48" s="107"/>
      <c r="BW48" s="105"/>
      <c r="BY48" s="13"/>
      <c r="BZ48" s="107"/>
      <c r="CA48" s="107"/>
      <c r="CB48" s="105"/>
      <c r="CD48" s="13"/>
      <c r="CE48" s="107"/>
      <c r="CF48" s="107"/>
      <c r="CG48" s="105"/>
      <c r="CI48" s="13"/>
      <c r="CJ48" s="107"/>
      <c r="CK48" s="107"/>
      <c r="CL48" s="105"/>
      <c r="CN48" s="13"/>
      <c r="CO48" s="107"/>
      <c r="CP48" s="107"/>
      <c r="CQ48" s="105"/>
      <c r="CS48" s="38"/>
      <c r="CT48" s="13"/>
      <c r="CU48" s="107"/>
      <c r="CV48" s="107"/>
      <c r="CW48" s="105"/>
      <c r="CY48" s="13"/>
      <c r="CZ48" s="107"/>
      <c r="DA48" s="107"/>
      <c r="DB48" s="105"/>
      <c r="DD48" s="13"/>
      <c r="DE48" s="107"/>
      <c r="DF48" s="107"/>
      <c r="DG48" s="105"/>
      <c r="DI48" s="13"/>
      <c r="DJ48" s="107"/>
      <c r="DK48" s="107"/>
      <c r="DL48" s="105"/>
      <c r="DN48" s="13"/>
      <c r="DO48" s="107"/>
      <c r="DP48" s="107"/>
      <c r="DQ48" s="105"/>
      <c r="DS48" s="13"/>
      <c r="DT48" s="107"/>
      <c r="DU48" s="107"/>
      <c r="DV48" s="105"/>
      <c r="DX48" s="38"/>
      <c r="DY48" s="13"/>
      <c r="DZ48" s="107"/>
      <c r="EA48" s="107"/>
      <c r="EB48" s="105"/>
      <c r="ED48" s="13"/>
      <c r="EE48" s="107"/>
      <c r="EF48" s="107"/>
      <c r="EG48" s="105"/>
      <c r="EI48" s="13"/>
      <c r="EJ48" s="107"/>
      <c r="EK48" s="107"/>
      <c r="EL48" s="105"/>
      <c r="EN48" s="13"/>
      <c r="EO48" s="107"/>
      <c r="EP48" s="107"/>
      <c r="EQ48" s="105"/>
      <c r="ES48" s="13"/>
      <c r="ET48" s="107"/>
      <c r="EU48" s="107"/>
      <c r="EV48" s="105"/>
      <c r="EX48" s="13"/>
      <c r="EY48" s="107"/>
      <c r="EZ48" s="107"/>
      <c r="FA48" s="105"/>
      <c r="FC48" s="38"/>
      <c r="FD48" s="13"/>
      <c r="FE48" s="107"/>
      <c r="FF48" s="107"/>
      <c r="FG48" s="105"/>
      <c r="FI48" s="13"/>
      <c r="FJ48" s="107"/>
      <c r="FK48" s="107"/>
      <c r="FL48" s="105"/>
      <c r="FN48" s="13"/>
      <c r="FO48" s="107"/>
      <c r="FP48" s="107"/>
      <c r="FQ48" s="105"/>
      <c r="FS48" s="13"/>
      <c r="FT48" s="107"/>
      <c r="FU48" s="107"/>
      <c r="FV48" s="105"/>
      <c r="FX48" s="13"/>
      <c r="FY48" s="107"/>
      <c r="FZ48" s="107"/>
      <c r="GA48" s="105"/>
      <c r="GC48" s="13"/>
      <c r="GD48" s="107"/>
      <c r="GE48" s="107"/>
      <c r="GF48" s="105"/>
      <c r="GH48" s="38"/>
      <c r="GI48" s="13"/>
      <c r="GJ48" s="107"/>
      <c r="GK48" s="107"/>
      <c r="GL48" s="105"/>
      <c r="GN48" s="13"/>
      <c r="GO48" s="107"/>
      <c r="GP48" s="107"/>
      <c r="GQ48" s="105"/>
      <c r="GS48" s="13"/>
      <c r="GT48" s="107"/>
      <c r="GU48" s="107"/>
      <c r="GV48" s="105"/>
      <c r="GX48" s="13"/>
      <c r="GY48" s="107"/>
      <c r="GZ48" s="107"/>
      <c r="HA48" s="105"/>
      <c r="HC48" s="13"/>
      <c r="HD48" s="107"/>
      <c r="HE48" s="107"/>
      <c r="HF48" s="105"/>
      <c r="HH48" s="13"/>
      <c r="HI48" s="107"/>
      <c r="HJ48" s="107"/>
      <c r="HK48" s="105"/>
      <c r="HM48" s="38"/>
      <c r="HN48" s="13"/>
      <c r="HO48" s="107"/>
      <c r="HP48" s="107"/>
      <c r="HQ48" s="105"/>
      <c r="HS48" s="13"/>
      <c r="HT48" s="107"/>
      <c r="HU48" s="107"/>
      <c r="HV48" s="105"/>
      <c r="HX48" s="13"/>
      <c r="HY48" s="107"/>
      <c r="HZ48" s="107"/>
      <c r="IA48" s="105"/>
      <c r="IC48" s="13"/>
      <c r="ID48" s="107"/>
      <c r="IE48" s="107"/>
      <c r="IF48" s="105"/>
      <c r="IH48" s="13"/>
      <c r="II48" s="107"/>
      <c r="IJ48" s="107"/>
      <c r="IK48" s="105"/>
      <c r="IM48" s="13"/>
      <c r="IN48" s="107"/>
      <c r="IO48" s="107"/>
      <c r="IP48" s="105"/>
      <c r="IR48" s="38"/>
      <c r="IS48" s="13"/>
      <c r="IT48" s="107"/>
      <c r="IU48" s="107"/>
      <c r="IV48" s="105"/>
      <c r="IX48" s="13"/>
      <c r="IY48" s="107"/>
      <c r="IZ48" s="107"/>
      <c r="JA48" s="105"/>
      <c r="JC48" s="13"/>
      <c r="JD48" s="107"/>
      <c r="JE48" s="107"/>
      <c r="JF48" s="105"/>
      <c r="JH48" s="13"/>
      <c r="JI48" s="107"/>
      <c r="JJ48" s="107"/>
      <c r="JK48" s="105"/>
      <c r="JM48" s="13"/>
      <c r="JN48" s="107"/>
      <c r="JO48" s="107"/>
      <c r="JP48" s="105"/>
      <c r="JR48" s="13"/>
      <c r="JS48" s="107"/>
      <c r="JT48" s="107"/>
      <c r="JU48" s="105"/>
      <c r="JW48" s="38"/>
      <c r="JX48" s="13"/>
      <c r="JY48" s="107"/>
      <c r="JZ48" s="107"/>
      <c r="KA48" s="105"/>
      <c r="KC48" s="13"/>
      <c r="KD48" s="107"/>
      <c r="KE48" s="107"/>
      <c r="KF48" s="105"/>
      <c r="KH48" s="13"/>
      <c r="KI48" s="107"/>
      <c r="KJ48" s="107"/>
      <c r="KK48" s="105"/>
      <c r="KM48" s="13"/>
      <c r="KN48" s="107"/>
      <c r="KO48" s="107"/>
      <c r="KP48" s="105"/>
      <c r="KR48" s="13"/>
      <c r="KS48" s="107"/>
      <c r="KT48" s="107"/>
      <c r="KU48" s="105"/>
      <c r="KW48" s="13"/>
      <c r="KX48" s="107"/>
      <c r="KY48" s="107"/>
      <c r="KZ48" s="105"/>
      <c r="LB48" s="38"/>
      <c r="LC48" s="13"/>
      <c r="LD48" s="107"/>
      <c r="LE48" s="107"/>
      <c r="LF48" s="105"/>
      <c r="LH48" s="13"/>
      <c r="LI48" s="107"/>
      <c r="LJ48" s="107"/>
      <c r="LK48" s="105"/>
      <c r="LM48" s="13"/>
      <c r="LN48" s="107"/>
      <c r="LO48" s="107"/>
      <c r="LP48" s="105"/>
      <c r="LR48" s="13"/>
      <c r="LS48" s="107"/>
      <c r="LT48" s="107"/>
      <c r="LU48" s="105"/>
      <c r="LW48" s="13"/>
      <c r="LX48" s="107"/>
      <c r="LY48" s="107"/>
      <c r="LZ48" s="105"/>
      <c r="MB48" s="13"/>
      <c r="MC48" s="107"/>
      <c r="MD48" s="107"/>
      <c r="ME48" s="105"/>
      <c r="MG48" s="38"/>
      <c r="MH48" s="13"/>
      <c r="MI48" s="107"/>
      <c r="MJ48" s="107"/>
      <c r="MK48" s="105"/>
      <c r="MM48" s="13"/>
      <c r="MN48" s="107"/>
      <c r="MO48" s="107"/>
      <c r="MP48" s="105"/>
      <c r="MR48" s="13"/>
      <c r="MS48" s="107"/>
      <c r="MT48" s="107"/>
      <c r="MU48" s="105"/>
      <c r="MW48" s="13"/>
      <c r="MX48" s="107"/>
      <c r="MY48" s="107"/>
      <c r="MZ48" s="105"/>
      <c r="NB48" s="13"/>
      <c r="NC48" s="107"/>
      <c r="ND48" s="107"/>
      <c r="NE48" s="105"/>
      <c r="NG48" s="13"/>
      <c r="NH48" s="107"/>
      <c r="NI48" s="107"/>
      <c r="NJ48" s="105"/>
      <c r="NL48" s="38"/>
      <c r="NM48" s="13"/>
      <c r="NN48" s="107"/>
      <c r="NO48" s="107"/>
      <c r="NP48" s="105"/>
      <c r="NR48" s="13"/>
      <c r="NS48" s="107"/>
      <c r="NT48" s="107"/>
      <c r="NU48" s="105"/>
      <c r="NW48" s="13"/>
      <c r="NX48" s="107"/>
      <c r="NY48" s="107"/>
      <c r="NZ48" s="105"/>
      <c r="OB48" s="13"/>
      <c r="OC48" s="107"/>
      <c r="OD48" s="107"/>
      <c r="OE48" s="105"/>
      <c r="OG48" s="13"/>
      <c r="OH48" s="107"/>
      <c r="OI48" s="107"/>
      <c r="OJ48" s="105"/>
      <c r="OL48" s="13"/>
      <c r="OM48" s="107"/>
      <c r="ON48" s="107"/>
      <c r="OO48" s="105"/>
    </row>
    <row r="49" ht="15.75" customHeight="1">
      <c r="A49" s="42"/>
      <c r="B49" s="42"/>
      <c r="C49" s="42"/>
      <c r="D49" s="38">
        <f t="shared" si="255"/>
        <v>45965</v>
      </c>
      <c r="E49" s="105" t="str">
        <f t="shared" ref="E49:I49" si="260">J13</f>
        <v/>
      </c>
      <c r="F49" s="105" t="str">
        <f t="shared" si="260"/>
        <v/>
      </c>
      <c r="G49" s="105" t="str">
        <f t="shared" si="260"/>
        <v/>
      </c>
      <c r="H49" s="106" t="str">
        <f t="shared" si="260"/>
        <v/>
      </c>
      <c r="I49" s="106" t="str">
        <f t="shared" si="260"/>
        <v/>
      </c>
      <c r="J49" s="107" t="str">
        <f t="array" ref="J49">IFERROR(IF(XLOOKUP(CONCAT(E49,F49),'MASTER PLAN'!$AB:$AB,'MASTER PLAN'!$M:$M,0,0)=0,"",XLOOKUP(CONCAT(E49,F49),'MASTER PLAN'!$AB:$AB,'MASTER PLAN'!$M:$M,0,0)),"")</f>
        <v/>
      </c>
      <c r="K49" s="107">
        <f t="shared" si="237"/>
        <v>0</v>
      </c>
      <c r="L49" s="107">
        <f t="shared" si="238"/>
        <v>0</v>
      </c>
      <c r="M49" s="105" t="s">
        <v>248</v>
      </c>
      <c r="O49" s="13"/>
      <c r="P49" s="107"/>
      <c r="Q49" s="107"/>
      <c r="R49" s="105"/>
      <c r="T49" s="13"/>
      <c r="U49" s="107"/>
      <c r="V49" s="107"/>
      <c r="W49" s="105"/>
      <c r="Y49" s="13"/>
      <c r="Z49" s="107"/>
      <c r="AA49" s="107"/>
      <c r="AB49" s="105"/>
      <c r="AD49" s="13"/>
      <c r="AE49" s="107"/>
      <c r="AF49" s="107"/>
      <c r="AG49" s="105"/>
      <c r="AI49" s="38"/>
      <c r="AJ49" s="13"/>
      <c r="AK49" s="107"/>
      <c r="AL49" s="107"/>
      <c r="AM49" s="105"/>
      <c r="AO49" s="13"/>
      <c r="AP49" s="107"/>
      <c r="AQ49" s="107"/>
      <c r="AR49" s="105"/>
      <c r="AT49" s="13"/>
      <c r="AU49" s="107"/>
      <c r="AV49" s="107"/>
      <c r="AW49" s="105"/>
      <c r="AY49" s="13"/>
      <c r="AZ49" s="107"/>
      <c r="BA49" s="107"/>
      <c r="BB49" s="105"/>
      <c r="BD49" s="13"/>
      <c r="BE49" s="107"/>
      <c r="BF49" s="107"/>
      <c r="BG49" s="105"/>
      <c r="BI49" s="13"/>
      <c r="BJ49" s="107"/>
      <c r="BK49" s="107"/>
      <c r="BL49" s="105"/>
      <c r="BN49" s="38"/>
      <c r="BO49" s="13"/>
      <c r="BP49" s="107"/>
      <c r="BQ49" s="107"/>
      <c r="BR49" s="105"/>
      <c r="BT49" s="13"/>
      <c r="BU49" s="107"/>
      <c r="BV49" s="107"/>
      <c r="BW49" s="105"/>
      <c r="BY49" s="13"/>
      <c r="BZ49" s="107"/>
      <c r="CA49" s="107"/>
      <c r="CB49" s="105"/>
      <c r="CD49" s="13"/>
      <c r="CE49" s="107"/>
      <c r="CF49" s="107"/>
      <c r="CG49" s="105"/>
      <c r="CI49" s="13"/>
      <c r="CJ49" s="107"/>
      <c r="CK49" s="107"/>
      <c r="CL49" s="105"/>
      <c r="CN49" s="13"/>
      <c r="CO49" s="107"/>
      <c r="CP49" s="107"/>
      <c r="CQ49" s="105"/>
      <c r="CS49" s="38"/>
      <c r="CT49" s="13"/>
      <c r="CU49" s="107"/>
      <c r="CV49" s="107"/>
      <c r="CW49" s="105"/>
      <c r="CY49" s="13"/>
      <c r="CZ49" s="107"/>
      <c r="DA49" s="107"/>
      <c r="DB49" s="105"/>
      <c r="DD49" s="13"/>
      <c r="DE49" s="107"/>
      <c r="DF49" s="107"/>
      <c r="DG49" s="105"/>
      <c r="DI49" s="13"/>
      <c r="DJ49" s="107"/>
      <c r="DK49" s="107"/>
      <c r="DL49" s="105"/>
      <c r="DN49" s="13"/>
      <c r="DO49" s="107"/>
      <c r="DP49" s="107"/>
      <c r="DQ49" s="105"/>
      <c r="DS49" s="13"/>
      <c r="DT49" s="107"/>
      <c r="DU49" s="107"/>
      <c r="DV49" s="105"/>
      <c r="DX49" s="38"/>
      <c r="DY49" s="13"/>
      <c r="DZ49" s="107"/>
      <c r="EA49" s="107"/>
      <c r="EB49" s="105"/>
      <c r="ED49" s="13"/>
      <c r="EE49" s="107"/>
      <c r="EF49" s="107"/>
      <c r="EG49" s="105"/>
      <c r="EI49" s="13"/>
      <c r="EJ49" s="107"/>
      <c r="EK49" s="107"/>
      <c r="EL49" s="105"/>
      <c r="EN49" s="13"/>
      <c r="EO49" s="107"/>
      <c r="EP49" s="107"/>
      <c r="EQ49" s="105"/>
      <c r="ES49" s="13"/>
      <c r="ET49" s="107"/>
      <c r="EU49" s="107"/>
      <c r="EV49" s="105"/>
      <c r="EX49" s="13"/>
      <c r="EY49" s="107"/>
      <c r="EZ49" s="107"/>
      <c r="FA49" s="105"/>
      <c r="FC49" s="38"/>
      <c r="FD49" s="13"/>
      <c r="FE49" s="107"/>
      <c r="FF49" s="107"/>
      <c r="FG49" s="105"/>
      <c r="FI49" s="13"/>
      <c r="FJ49" s="107"/>
      <c r="FK49" s="107"/>
      <c r="FL49" s="105"/>
      <c r="FN49" s="13"/>
      <c r="FO49" s="107"/>
      <c r="FP49" s="107"/>
      <c r="FQ49" s="105"/>
      <c r="FS49" s="13"/>
      <c r="FT49" s="107"/>
      <c r="FU49" s="107"/>
      <c r="FV49" s="105"/>
      <c r="FX49" s="13"/>
      <c r="FY49" s="107"/>
      <c r="FZ49" s="107"/>
      <c r="GA49" s="105"/>
      <c r="GC49" s="13"/>
      <c r="GD49" s="107"/>
      <c r="GE49" s="107"/>
      <c r="GF49" s="105"/>
      <c r="GH49" s="38"/>
      <c r="GI49" s="13"/>
      <c r="GJ49" s="107"/>
      <c r="GK49" s="107"/>
      <c r="GL49" s="105"/>
      <c r="GN49" s="13"/>
      <c r="GO49" s="107"/>
      <c r="GP49" s="107"/>
      <c r="GQ49" s="105"/>
      <c r="GS49" s="13"/>
      <c r="GT49" s="107"/>
      <c r="GU49" s="107"/>
      <c r="GV49" s="105"/>
      <c r="GX49" s="13"/>
      <c r="GY49" s="107"/>
      <c r="GZ49" s="107"/>
      <c r="HA49" s="105"/>
      <c r="HC49" s="13"/>
      <c r="HD49" s="107"/>
      <c r="HE49" s="107"/>
      <c r="HF49" s="105"/>
      <c r="HH49" s="13"/>
      <c r="HI49" s="107"/>
      <c r="HJ49" s="107"/>
      <c r="HK49" s="105"/>
      <c r="HM49" s="38"/>
      <c r="HN49" s="13"/>
      <c r="HO49" s="107"/>
      <c r="HP49" s="107"/>
      <c r="HQ49" s="105"/>
      <c r="HS49" s="13"/>
      <c r="HT49" s="107"/>
      <c r="HU49" s="107"/>
      <c r="HV49" s="105"/>
      <c r="HX49" s="13"/>
      <c r="HY49" s="107"/>
      <c r="HZ49" s="107"/>
      <c r="IA49" s="105"/>
      <c r="IC49" s="13"/>
      <c r="ID49" s="107"/>
      <c r="IE49" s="107"/>
      <c r="IF49" s="105"/>
      <c r="IH49" s="13"/>
      <c r="II49" s="107"/>
      <c r="IJ49" s="107"/>
      <c r="IK49" s="105"/>
      <c r="IM49" s="13"/>
      <c r="IN49" s="107"/>
      <c r="IO49" s="107"/>
      <c r="IP49" s="105"/>
      <c r="IR49" s="38"/>
      <c r="IS49" s="13"/>
      <c r="IT49" s="107"/>
      <c r="IU49" s="107"/>
      <c r="IV49" s="105"/>
      <c r="IX49" s="13"/>
      <c r="IY49" s="107"/>
      <c r="IZ49" s="107"/>
      <c r="JA49" s="105"/>
      <c r="JC49" s="13"/>
      <c r="JD49" s="107"/>
      <c r="JE49" s="107"/>
      <c r="JF49" s="105"/>
      <c r="JH49" s="13"/>
      <c r="JI49" s="107"/>
      <c r="JJ49" s="107"/>
      <c r="JK49" s="105"/>
      <c r="JM49" s="13"/>
      <c r="JN49" s="107"/>
      <c r="JO49" s="107"/>
      <c r="JP49" s="105"/>
      <c r="JR49" s="13"/>
      <c r="JS49" s="107"/>
      <c r="JT49" s="107"/>
      <c r="JU49" s="105"/>
      <c r="JW49" s="38"/>
      <c r="JX49" s="13"/>
      <c r="JY49" s="107"/>
      <c r="JZ49" s="107"/>
      <c r="KA49" s="105"/>
      <c r="KC49" s="13"/>
      <c r="KD49" s="107"/>
      <c r="KE49" s="107"/>
      <c r="KF49" s="105"/>
      <c r="KH49" s="13"/>
      <c r="KI49" s="107"/>
      <c r="KJ49" s="107"/>
      <c r="KK49" s="105"/>
      <c r="KM49" s="13"/>
      <c r="KN49" s="107"/>
      <c r="KO49" s="107"/>
      <c r="KP49" s="105"/>
      <c r="KR49" s="13"/>
      <c r="KS49" s="107"/>
      <c r="KT49" s="107"/>
      <c r="KU49" s="105"/>
      <c r="KW49" s="13"/>
      <c r="KX49" s="107"/>
      <c r="KY49" s="107"/>
      <c r="KZ49" s="105"/>
      <c r="LB49" s="38"/>
      <c r="LC49" s="13"/>
      <c r="LD49" s="107"/>
      <c r="LE49" s="107"/>
      <c r="LF49" s="105"/>
      <c r="LH49" s="13"/>
      <c r="LI49" s="107"/>
      <c r="LJ49" s="107"/>
      <c r="LK49" s="105"/>
      <c r="LM49" s="13"/>
      <c r="LN49" s="107"/>
      <c r="LO49" s="107"/>
      <c r="LP49" s="105"/>
      <c r="LR49" s="13"/>
      <c r="LS49" s="107"/>
      <c r="LT49" s="107"/>
      <c r="LU49" s="105"/>
      <c r="LW49" s="13"/>
      <c r="LX49" s="107"/>
      <c r="LY49" s="107"/>
      <c r="LZ49" s="105"/>
      <c r="MB49" s="13"/>
      <c r="MC49" s="107"/>
      <c r="MD49" s="107"/>
      <c r="ME49" s="105"/>
      <c r="MG49" s="38"/>
      <c r="MH49" s="13"/>
      <c r="MI49" s="107"/>
      <c r="MJ49" s="107"/>
      <c r="MK49" s="105"/>
      <c r="MM49" s="13"/>
      <c r="MN49" s="107"/>
      <c r="MO49" s="107"/>
      <c r="MP49" s="105"/>
      <c r="MR49" s="13"/>
      <c r="MS49" s="107"/>
      <c r="MT49" s="107"/>
      <c r="MU49" s="105"/>
      <c r="MW49" s="13"/>
      <c r="MX49" s="107"/>
      <c r="MY49" s="107"/>
      <c r="MZ49" s="105"/>
      <c r="NB49" s="13"/>
      <c r="NC49" s="107"/>
      <c r="ND49" s="107"/>
      <c r="NE49" s="105"/>
      <c r="NG49" s="13"/>
      <c r="NH49" s="107"/>
      <c r="NI49" s="107"/>
      <c r="NJ49" s="105"/>
      <c r="NL49" s="38"/>
      <c r="NM49" s="13"/>
      <c r="NN49" s="107"/>
      <c r="NO49" s="107"/>
      <c r="NP49" s="105"/>
      <c r="NR49" s="13"/>
      <c r="NS49" s="107"/>
      <c r="NT49" s="107"/>
      <c r="NU49" s="105"/>
      <c r="NW49" s="13"/>
      <c r="NX49" s="107"/>
      <c r="NY49" s="107"/>
      <c r="NZ49" s="105"/>
      <c r="OB49" s="13"/>
      <c r="OC49" s="107"/>
      <c r="OD49" s="107"/>
      <c r="OE49" s="105"/>
      <c r="OG49" s="13"/>
      <c r="OH49" s="107"/>
      <c r="OI49" s="107"/>
      <c r="OJ49" s="105"/>
      <c r="OL49" s="13"/>
      <c r="OM49" s="107"/>
      <c r="ON49" s="107"/>
      <c r="OO49" s="105"/>
    </row>
    <row r="50" ht="15.75" customHeight="1">
      <c r="A50" s="42"/>
      <c r="B50" s="42"/>
      <c r="C50" s="42"/>
      <c r="D50" s="38">
        <f t="shared" si="255"/>
        <v>45965</v>
      </c>
      <c r="E50" s="105" t="str">
        <f t="shared" ref="E50:I50" si="261">J14</f>
        <v/>
      </c>
      <c r="F50" s="105" t="str">
        <f t="shared" si="261"/>
        <v/>
      </c>
      <c r="G50" s="105" t="str">
        <f t="shared" si="261"/>
        <v/>
      </c>
      <c r="H50" s="106" t="str">
        <f t="shared" si="261"/>
        <v/>
      </c>
      <c r="I50" s="106" t="str">
        <f t="shared" si="261"/>
        <v/>
      </c>
      <c r="J50" s="107" t="str">
        <f t="array" ref="J50">IFERROR(IF(XLOOKUP(CONCAT(E50,F50),'MASTER PLAN'!$AB:$AB,'MASTER PLAN'!$M:$M,0,0)=0,"",XLOOKUP(CONCAT(E50,F50),'MASTER PLAN'!$AB:$AB,'MASTER PLAN'!$M:$M,0,0)),"")</f>
        <v/>
      </c>
      <c r="K50" s="107">
        <f t="shared" si="237"/>
        <v>0</v>
      </c>
      <c r="L50" s="107">
        <f t="shared" si="238"/>
        <v>0</v>
      </c>
      <c r="M50" s="105" t="s">
        <v>248</v>
      </c>
      <c r="O50" s="13"/>
      <c r="P50" s="107"/>
      <c r="Q50" s="107"/>
      <c r="R50" s="105"/>
      <c r="T50" s="13"/>
      <c r="U50" s="107"/>
      <c r="V50" s="107"/>
      <c r="W50" s="105"/>
      <c r="Y50" s="13"/>
      <c r="Z50" s="107"/>
      <c r="AA50" s="107"/>
      <c r="AB50" s="105"/>
      <c r="AD50" s="13"/>
      <c r="AE50" s="107"/>
      <c r="AF50" s="107"/>
      <c r="AG50" s="105"/>
      <c r="AI50" s="38"/>
      <c r="AJ50" s="13"/>
      <c r="AK50" s="107"/>
      <c r="AL50" s="107"/>
      <c r="AM50" s="105"/>
      <c r="AO50" s="13"/>
      <c r="AP50" s="107"/>
      <c r="AQ50" s="107"/>
      <c r="AR50" s="105"/>
      <c r="AT50" s="13"/>
      <c r="AU50" s="107"/>
      <c r="AV50" s="107"/>
      <c r="AW50" s="105"/>
      <c r="AY50" s="13"/>
      <c r="AZ50" s="107"/>
      <c r="BA50" s="107"/>
      <c r="BB50" s="105"/>
      <c r="BD50" s="13"/>
      <c r="BE50" s="107"/>
      <c r="BF50" s="107"/>
      <c r="BG50" s="105"/>
      <c r="BI50" s="13"/>
      <c r="BJ50" s="107"/>
      <c r="BK50" s="107"/>
      <c r="BL50" s="105"/>
      <c r="BN50" s="38"/>
      <c r="BO50" s="13"/>
      <c r="BP50" s="107"/>
      <c r="BQ50" s="107"/>
      <c r="BR50" s="105"/>
      <c r="BT50" s="13"/>
      <c r="BU50" s="107"/>
      <c r="BV50" s="107"/>
      <c r="BW50" s="105"/>
      <c r="BY50" s="13"/>
      <c r="BZ50" s="107"/>
      <c r="CA50" s="107"/>
      <c r="CB50" s="105"/>
      <c r="CD50" s="13"/>
      <c r="CE50" s="107"/>
      <c r="CF50" s="107"/>
      <c r="CG50" s="105"/>
      <c r="CI50" s="13"/>
      <c r="CJ50" s="107"/>
      <c r="CK50" s="107"/>
      <c r="CL50" s="105"/>
      <c r="CN50" s="13"/>
      <c r="CO50" s="107"/>
      <c r="CP50" s="107"/>
      <c r="CQ50" s="105"/>
      <c r="CS50" s="38"/>
      <c r="CT50" s="13"/>
      <c r="CU50" s="107"/>
      <c r="CV50" s="107"/>
      <c r="CW50" s="105"/>
      <c r="CY50" s="13"/>
      <c r="CZ50" s="107"/>
      <c r="DA50" s="107"/>
      <c r="DB50" s="105"/>
      <c r="DD50" s="13"/>
      <c r="DE50" s="107"/>
      <c r="DF50" s="107"/>
      <c r="DG50" s="105"/>
      <c r="DI50" s="13"/>
      <c r="DJ50" s="107"/>
      <c r="DK50" s="107"/>
      <c r="DL50" s="105"/>
      <c r="DN50" s="13"/>
      <c r="DO50" s="107"/>
      <c r="DP50" s="107"/>
      <c r="DQ50" s="105"/>
      <c r="DS50" s="13"/>
      <c r="DT50" s="107"/>
      <c r="DU50" s="107"/>
      <c r="DV50" s="105"/>
      <c r="DX50" s="38"/>
      <c r="DY50" s="13"/>
      <c r="DZ50" s="107"/>
      <c r="EA50" s="107"/>
      <c r="EB50" s="105"/>
      <c r="ED50" s="13"/>
      <c r="EE50" s="107"/>
      <c r="EF50" s="107"/>
      <c r="EG50" s="105"/>
      <c r="EI50" s="13"/>
      <c r="EJ50" s="107"/>
      <c r="EK50" s="107"/>
      <c r="EL50" s="105"/>
      <c r="EN50" s="13"/>
      <c r="EO50" s="107"/>
      <c r="EP50" s="107"/>
      <c r="EQ50" s="105"/>
      <c r="ES50" s="13"/>
      <c r="ET50" s="107"/>
      <c r="EU50" s="107"/>
      <c r="EV50" s="105"/>
      <c r="EX50" s="13"/>
      <c r="EY50" s="107"/>
      <c r="EZ50" s="107"/>
      <c r="FA50" s="105"/>
      <c r="FC50" s="38"/>
      <c r="FD50" s="13"/>
      <c r="FE50" s="107"/>
      <c r="FF50" s="107"/>
      <c r="FG50" s="105"/>
      <c r="FI50" s="13"/>
      <c r="FJ50" s="107"/>
      <c r="FK50" s="107"/>
      <c r="FL50" s="105"/>
      <c r="FN50" s="13"/>
      <c r="FO50" s="107"/>
      <c r="FP50" s="107"/>
      <c r="FQ50" s="105"/>
      <c r="FS50" s="13"/>
      <c r="FT50" s="107"/>
      <c r="FU50" s="107"/>
      <c r="FV50" s="105"/>
      <c r="FX50" s="13"/>
      <c r="FY50" s="107"/>
      <c r="FZ50" s="107"/>
      <c r="GA50" s="105"/>
      <c r="GC50" s="13"/>
      <c r="GD50" s="107"/>
      <c r="GE50" s="107"/>
      <c r="GF50" s="105"/>
      <c r="GH50" s="38"/>
      <c r="GI50" s="13"/>
      <c r="GJ50" s="107"/>
      <c r="GK50" s="107"/>
      <c r="GL50" s="105"/>
      <c r="GN50" s="13"/>
      <c r="GO50" s="107"/>
      <c r="GP50" s="107"/>
      <c r="GQ50" s="105"/>
      <c r="GS50" s="13"/>
      <c r="GT50" s="107"/>
      <c r="GU50" s="107"/>
      <c r="GV50" s="105"/>
      <c r="GX50" s="13"/>
      <c r="GY50" s="107"/>
      <c r="GZ50" s="107"/>
      <c r="HA50" s="105"/>
      <c r="HC50" s="13"/>
      <c r="HD50" s="107"/>
      <c r="HE50" s="107"/>
      <c r="HF50" s="105"/>
      <c r="HH50" s="13"/>
      <c r="HI50" s="107"/>
      <c r="HJ50" s="107"/>
      <c r="HK50" s="105"/>
      <c r="HM50" s="38"/>
      <c r="HN50" s="13"/>
      <c r="HO50" s="107"/>
      <c r="HP50" s="107"/>
      <c r="HQ50" s="105"/>
      <c r="HS50" s="13"/>
      <c r="HT50" s="107"/>
      <c r="HU50" s="107"/>
      <c r="HV50" s="105"/>
      <c r="HX50" s="13"/>
      <c r="HY50" s="107"/>
      <c r="HZ50" s="107"/>
      <c r="IA50" s="105"/>
      <c r="IC50" s="13"/>
      <c r="ID50" s="107"/>
      <c r="IE50" s="107"/>
      <c r="IF50" s="105"/>
      <c r="IH50" s="13"/>
      <c r="II50" s="107"/>
      <c r="IJ50" s="107"/>
      <c r="IK50" s="105"/>
      <c r="IM50" s="13"/>
      <c r="IN50" s="107"/>
      <c r="IO50" s="107"/>
      <c r="IP50" s="105"/>
      <c r="IR50" s="38"/>
      <c r="IS50" s="13"/>
      <c r="IT50" s="107"/>
      <c r="IU50" s="107"/>
      <c r="IV50" s="105"/>
      <c r="IX50" s="13"/>
      <c r="IY50" s="107"/>
      <c r="IZ50" s="107"/>
      <c r="JA50" s="105"/>
      <c r="JC50" s="13"/>
      <c r="JD50" s="107"/>
      <c r="JE50" s="107"/>
      <c r="JF50" s="105"/>
      <c r="JH50" s="13"/>
      <c r="JI50" s="107"/>
      <c r="JJ50" s="107"/>
      <c r="JK50" s="105"/>
      <c r="JM50" s="13"/>
      <c r="JN50" s="107"/>
      <c r="JO50" s="107"/>
      <c r="JP50" s="105"/>
      <c r="JR50" s="13"/>
      <c r="JS50" s="107"/>
      <c r="JT50" s="107"/>
      <c r="JU50" s="105"/>
      <c r="JW50" s="38"/>
      <c r="JX50" s="13"/>
      <c r="JY50" s="107"/>
      <c r="JZ50" s="107"/>
      <c r="KA50" s="105"/>
      <c r="KC50" s="13"/>
      <c r="KD50" s="107"/>
      <c r="KE50" s="107"/>
      <c r="KF50" s="105"/>
      <c r="KH50" s="13"/>
      <c r="KI50" s="107"/>
      <c r="KJ50" s="107"/>
      <c r="KK50" s="105"/>
      <c r="KM50" s="13"/>
      <c r="KN50" s="107"/>
      <c r="KO50" s="107"/>
      <c r="KP50" s="105"/>
      <c r="KR50" s="13"/>
      <c r="KS50" s="107"/>
      <c r="KT50" s="107"/>
      <c r="KU50" s="105"/>
      <c r="KW50" s="13"/>
      <c r="KX50" s="107"/>
      <c r="KY50" s="107"/>
      <c r="KZ50" s="105"/>
      <c r="LB50" s="38"/>
      <c r="LC50" s="13"/>
      <c r="LD50" s="107"/>
      <c r="LE50" s="107"/>
      <c r="LF50" s="105"/>
      <c r="LH50" s="13"/>
      <c r="LI50" s="107"/>
      <c r="LJ50" s="107"/>
      <c r="LK50" s="105"/>
      <c r="LM50" s="13"/>
      <c r="LN50" s="107"/>
      <c r="LO50" s="107"/>
      <c r="LP50" s="105"/>
      <c r="LR50" s="13"/>
      <c r="LS50" s="107"/>
      <c r="LT50" s="107"/>
      <c r="LU50" s="105"/>
      <c r="LW50" s="13"/>
      <c r="LX50" s="107"/>
      <c r="LY50" s="107"/>
      <c r="LZ50" s="105"/>
      <c r="MB50" s="13"/>
      <c r="MC50" s="107"/>
      <c r="MD50" s="107"/>
      <c r="ME50" s="105"/>
      <c r="MG50" s="38"/>
      <c r="MH50" s="13"/>
      <c r="MI50" s="107"/>
      <c r="MJ50" s="107"/>
      <c r="MK50" s="105"/>
      <c r="MM50" s="13"/>
      <c r="MN50" s="107"/>
      <c r="MO50" s="107"/>
      <c r="MP50" s="105"/>
      <c r="MR50" s="13"/>
      <c r="MS50" s="107"/>
      <c r="MT50" s="107"/>
      <c r="MU50" s="105"/>
      <c r="MW50" s="13"/>
      <c r="MX50" s="107"/>
      <c r="MY50" s="107"/>
      <c r="MZ50" s="105"/>
      <c r="NB50" s="13"/>
      <c r="NC50" s="107"/>
      <c r="ND50" s="107"/>
      <c r="NE50" s="105"/>
      <c r="NG50" s="13"/>
      <c r="NH50" s="107"/>
      <c r="NI50" s="107"/>
      <c r="NJ50" s="105"/>
      <c r="NL50" s="38"/>
      <c r="NM50" s="13"/>
      <c r="NN50" s="107"/>
      <c r="NO50" s="107"/>
      <c r="NP50" s="105"/>
      <c r="NR50" s="13"/>
      <c r="NS50" s="107"/>
      <c r="NT50" s="107"/>
      <c r="NU50" s="105"/>
      <c r="NW50" s="13"/>
      <c r="NX50" s="107"/>
      <c r="NY50" s="107"/>
      <c r="NZ50" s="105"/>
      <c r="OB50" s="13"/>
      <c r="OC50" s="107"/>
      <c r="OD50" s="107"/>
      <c r="OE50" s="105"/>
      <c r="OG50" s="13"/>
      <c r="OH50" s="107"/>
      <c r="OI50" s="107"/>
      <c r="OJ50" s="105"/>
      <c r="OL50" s="13"/>
      <c r="OM50" s="107"/>
      <c r="ON50" s="107"/>
      <c r="OO50" s="105"/>
    </row>
    <row r="51" ht="15.75" customHeight="1">
      <c r="A51" s="42"/>
      <c r="B51" s="42"/>
      <c r="C51" s="42"/>
      <c r="D51" s="38">
        <f t="shared" si="255"/>
        <v>45965</v>
      </c>
      <c r="E51" s="105" t="str">
        <f t="shared" ref="E51:I51" si="262">J15</f>
        <v/>
      </c>
      <c r="F51" s="105" t="str">
        <f t="shared" si="262"/>
        <v/>
      </c>
      <c r="G51" s="105" t="str">
        <f t="shared" si="262"/>
        <v/>
      </c>
      <c r="H51" s="106" t="str">
        <f t="shared" si="262"/>
        <v/>
      </c>
      <c r="I51" s="106" t="str">
        <f t="shared" si="262"/>
        <v/>
      </c>
      <c r="J51" s="107" t="str">
        <f t="array" ref="J51">IFERROR(IF(XLOOKUP(CONCAT(E51,F51),'MASTER PLAN'!$AB:$AB,'MASTER PLAN'!$M:$M,0,0)=0,"",XLOOKUP(CONCAT(E51,F51),'MASTER PLAN'!$AB:$AB,'MASTER PLAN'!$M:$M,0,0)),"")</f>
        <v/>
      </c>
      <c r="K51" s="107">
        <f t="shared" si="237"/>
        <v>0</v>
      </c>
      <c r="L51" s="107">
        <f t="shared" si="238"/>
        <v>0</v>
      </c>
      <c r="M51" s="105" t="s">
        <v>248</v>
      </c>
      <c r="O51" s="13"/>
      <c r="P51" s="107"/>
      <c r="Q51" s="107"/>
      <c r="R51" s="105"/>
      <c r="T51" s="13"/>
      <c r="U51" s="107"/>
      <c r="V51" s="107"/>
      <c r="W51" s="105"/>
      <c r="Y51" s="13"/>
      <c r="Z51" s="107"/>
      <c r="AA51" s="107"/>
      <c r="AB51" s="105"/>
      <c r="AD51" s="13"/>
      <c r="AE51" s="107"/>
      <c r="AF51" s="107"/>
      <c r="AG51" s="105"/>
      <c r="AI51" s="38"/>
      <c r="AJ51" s="13"/>
      <c r="AK51" s="107"/>
      <c r="AL51" s="107"/>
      <c r="AM51" s="105"/>
      <c r="AO51" s="13"/>
      <c r="AP51" s="107"/>
      <c r="AQ51" s="107"/>
      <c r="AR51" s="105"/>
      <c r="AT51" s="13"/>
      <c r="AU51" s="107"/>
      <c r="AV51" s="107"/>
      <c r="AW51" s="105"/>
      <c r="AY51" s="13"/>
      <c r="AZ51" s="107"/>
      <c r="BA51" s="107"/>
      <c r="BB51" s="105"/>
      <c r="BD51" s="13"/>
      <c r="BE51" s="107"/>
      <c r="BF51" s="107"/>
      <c r="BG51" s="105"/>
      <c r="BI51" s="13"/>
      <c r="BJ51" s="107"/>
      <c r="BK51" s="107"/>
      <c r="BL51" s="105"/>
      <c r="BN51" s="38"/>
      <c r="BO51" s="13"/>
      <c r="BP51" s="107"/>
      <c r="BQ51" s="107"/>
      <c r="BR51" s="105"/>
      <c r="BT51" s="13"/>
      <c r="BU51" s="107"/>
      <c r="BV51" s="107"/>
      <c r="BW51" s="105"/>
      <c r="BY51" s="13"/>
      <c r="BZ51" s="107"/>
      <c r="CA51" s="107"/>
      <c r="CB51" s="105"/>
      <c r="CD51" s="13"/>
      <c r="CE51" s="107"/>
      <c r="CF51" s="107"/>
      <c r="CG51" s="105"/>
      <c r="CI51" s="13"/>
      <c r="CJ51" s="107"/>
      <c r="CK51" s="107"/>
      <c r="CL51" s="105"/>
      <c r="CN51" s="13"/>
      <c r="CO51" s="107"/>
      <c r="CP51" s="107"/>
      <c r="CQ51" s="105"/>
      <c r="CS51" s="38"/>
      <c r="CT51" s="13"/>
      <c r="CU51" s="107"/>
      <c r="CV51" s="107"/>
      <c r="CW51" s="105"/>
      <c r="CY51" s="13"/>
      <c r="CZ51" s="107"/>
      <c r="DA51" s="107"/>
      <c r="DB51" s="105"/>
      <c r="DD51" s="13"/>
      <c r="DE51" s="107"/>
      <c r="DF51" s="107"/>
      <c r="DG51" s="105"/>
      <c r="DI51" s="13"/>
      <c r="DJ51" s="107"/>
      <c r="DK51" s="107"/>
      <c r="DL51" s="105"/>
      <c r="DN51" s="13"/>
      <c r="DO51" s="107"/>
      <c r="DP51" s="107"/>
      <c r="DQ51" s="105"/>
      <c r="DS51" s="13"/>
      <c r="DT51" s="107"/>
      <c r="DU51" s="107"/>
      <c r="DV51" s="105"/>
      <c r="DX51" s="38"/>
      <c r="DY51" s="13"/>
      <c r="DZ51" s="107"/>
      <c r="EA51" s="107"/>
      <c r="EB51" s="105"/>
      <c r="ED51" s="13"/>
      <c r="EE51" s="107"/>
      <c r="EF51" s="107"/>
      <c r="EG51" s="105"/>
      <c r="EI51" s="13"/>
      <c r="EJ51" s="107"/>
      <c r="EK51" s="107"/>
      <c r="EL51" s="105"/>
      <c r="EN51" s="13"/>
      <c r="EO51" s="107"/>
      <c r="EP51" s="107"/>
      <c r="EQ51" s="105"/>
      <c r="ES51" s="13"/>
      <c r="ET51" s="107"/>
      <c r="EU51" s="107"/>
      <c r="EV51" s="105"/>
      <c r="EX51" s="13"/>
      <c r="EY51" s="107"/>
      <c r="EZ51" s="107"/>
      <c r="FA51" s="105"/>
      <c r="FC51" s="38"/>
      <c r="FD51" s="13"/>
      <c r="FE51" s="107"/>
      <c r="FF51" s="107"/>
      <c r="FG51" s="105"/>
      <c r="FI51" s="13"/>
      <c r="FJ51" s="107"/>
      <c r="FK51" s="107"/>
      <c r="FL51" s="105"/>
      <c r="FN51" s="13"/>
      <c r="FO51" s="107"/>
      <c r="FP51" s="107"/>
      <c r="FQ51" s="105"/>
      <c r="FS51" s="13"/>
      <c r="FT51" s="107"/>
      <c r="FU51" s="107"/>
      <c r="FV51" s="105"/>
      <c r="FX51" s="13"/>
      <c r="FY51" s="107"/>
      <c r="FZ51" s="107"/>
      <c r="GA51" s="105"/>
      <c r="GC51" s="13"/>
      <c r="GD51" s="107"/>
      <c r="GE51" s="107"/>
      <c r="GF51" s="105"/>
      <c r="GH51" s="38"/>
      <c r="GI51" s="13"/>
      <c r="GJ51" s="107"/>
      <c r="GK51" s="107"/>
      <c r="GL51" s="105"/>
      <c r="GN51" s="13"/>
      <c r="GO51" s="107"/>
      <c r="GP51" s="107"/>
      <c r="GQ51" s="105"/>
      <c r="GS51" s="13"/>
      <c r="GT51" s="107"/>
      <c r="GU51" s="107"/>
      <c r="GV51" s="105"/>
      <c r="GX51" s="13"/>
      <c r="GY51" s="107"/>
      <c r="GZ51" s="107"/>
      <c r="HA51" s="105"/>
      <c r="HC51" s="13"/>
      <c r="HD51" s="107"/>
      <c r="HE51" s="107"/>
      <c r="HF51" s="105"/>
      <c r="HH51" s="13"/>
      <c r="HI51" s="107"/>
      <c r="HJ51" s="107"/>
      <c r="HK51" s="105"/>
      <c r="HM51" s="38"/>
      <c r="HN51" s="13"/>
      <c r="HO51" s="107"/>
      <c r="HP51" s="107"/>
      <c r="HQ51" s="105"/>
      <c r="HS51" s="13"/>
      <c r="HT51" s="107"/>
      <c r="HU51" s="107"/>
      <c r="HV51" s="105"/>
      <c r="HX51" s="13"/>
      <c r="HY51" s="107"/>
      <c r="HZ51" s="107"/>
      <c r="IA51" s="105"/>
      <c r="IC51" s="13"/>
      <c r="ID51" s="107"/>
      <c r="IE51" s="107"/>
      <c r="IF51" s="105"/>
      <c r="IH51" s="13"/>
      <c r="II51" s="107"/>
      <c r="IJ51" s="107"/>
      <c r="IK51" s="105"/>
      <c r="IM51" s="13"/>
      <c r="IN51" s="107"/>
      <c r="IO51" s="107"/>
      <c r="IP51" s="105"/>
      <c r="IR51" s="38"/>
      <c r="IS51" s="13"/>
      <c r="IT51" s="107"/>
      <c r="IU51" s="107"/>
      <c r="IV51" s="105"/>
      <c r="IX51" s="13"/>
      <c r="IY51" s="107"/>
      <c r="IZ51" s="107"/>
      <c r="JA51" s="105"/>
      <c r="JC51" s="13"/>
      <c r="JD51" s="107"/>
      <c r="JE51" s="107"/>
      <c r="JF51" s="105"/>
      <c r="JH51" s="13"/>
      <c r="JI51" s="107"/>
      <c r="JJ51" s="107"/>
      <c r="JK51" s="105"/>
      <c r="JM51" s="13"/>
      <c r="JN51" s="107"/>
      <c r="JO51" s="107"/>
      <c r="JP51" s="105"/>
      <c r="JR51" s="13"/>
      <c r="JS51" s="107"/>
      <c r="JT51" s="107"/>
      <c r="JU51" s="105"/>
      <c r="JW51" s="38"/>
      <c r="JX51" s="13"/>
      <c r="JY51" s="107"/>
      <c r="JZ51" s="107"/>
      <c r="KA51" s="105"/>
      <c r="KC51" s="13"/>
      <c r="KD51" s="107"/>
      <c r="KE51" s="107"/>
      <c r="KF51" s="105"/>
      <c r="KH51" s="13"/>
      <c r="KI51" s="107"/>
      <c r="KJ51" s="107"/>
      <c r="KK51" s="105"/>
      <c r="KM51" s="13"/>
      <c r="KN51" s="107"/>
      <c r="KO51" s="107"/>
      <c r="KP51" s="105"/>
      <c r="KR51" s="13"/>
      <c r="KS51" s="107"/>
      <c r="KT51" s="107"/>
      <c r="KU51" s="105"/>
      <c r="KW51" s="13"/>
      <c r="KX51" s="107"/>
      <c r="KY51" s="107"/>
      <c r="KZ51" s="105"/>
      <c r="LB51" s="38"/>
      <c r="LC51" s="13"/>
      <c r="LD51" s="107"/>
      <c r="LE51" s="107"/>
      <c r="LF51" s="105"/>
      <c r="LH51" s="13"/>
      <c r="LI51" s="107"/>
      <c r="LJ51" s="107"/>
      <c r="LK51" s="105"/>
      <c r="LM51" s="13"/>
      <c r="LN51" s="107"/>
      <c r="LO51" s="107"/>
      <c r="LP51" s="105"/>
      <c r="LR51" s="13"/>
      <c r="LS51" s="107"/>
      <c r="LT51" s="107"/>
      <c r="LU51" s="105"/>
      <c r="LW51" s="13"/>
      <c r="LX51" s="107"/>
      <c r="LY51" s="107"/>
      <c r="LZ51" s="105"/>
      <c r="MB51" s="13"/>
      <c r="MC51" s="107"/>
      <c r="MD51" s="107"/>
      <c r="ME51" s="105"/>
      <c r="MG51" s="38"/>
      <c r="MH51" s="13"/>
      <c r="MI51" s="107"/>
      <c r="MJ51" s="107"/>
      <c r="MK51" s="105"/>
      <c r="MM51" s="13"/>
      <c r="MN51" s="107"/>
      <c r="MO51" s="107"/>
      <c r="MP51" s="105"/>
      <c r="MR51" s="13"/>
      <c r="MS51" s="107"/>
      <c r="MT51" s="107"/>
      <c r="MU51" s="105"/>
      <c r="MW51" s="13"/>
      <c r="MX51" s="107"/>
      <c r="MY51" s="107"/>
      <c r="MZ51" s="105"/>
      <c r="NB51" s="13"/>
      <c r="NC51" s="107"/>
      <c r="ND51" s="107"/>
      <c r="NE51" s="105"/>
      <c r="NG51" s="13"/>
      <c r="NH51" s="107"/>
      <c r="NI51" s="107"/>
      <c r="NJ51" s="105"/>
      <c r="NL51" s="38"/>
      <c r="NM51" s="13"/>
      <c r="NN51" s="107"/>
      <c r="NO51" s="107"/>
      <c r="NP51" s="105"/>
      <c r="NR51" s="13"/>
      <c r="NS51" s="107"/>
      <c r="NT51" s="107"/>
      <c r="NU51" s="105"/>
      <c r="NW51" s="13"/>
      <c r="NX51" s="107"/>
      <c r="NY51" s="107"/>
      <c r="NZ51" s="105"/>
      <c r="OB51" s="13"/>
      <c r="OC51" s="107"/>
      <c r="OD51" s="107"/>
      <c r="OE51" s="105"/>
      <c r="OG51" s="13"/>
      <c r="OH51" s="107"/>
      <c r="OI51" s="107"/>
      <c r="OJ51" s="105"/>
      <c r="OL51" s="13"/>
      <c r="OM51" s="107"/>
      <c r="ON51" s="107"/>
      <c r="OO51" s="105"/>
    </row>
    <row r="52" ht="15.75" customHeight="1">
      <c r="A52" s="42"/>
      <c r="B52" s="42"/>
      <c r="C52" s="42"/>
      <c r="D52" s="38">
        <f t="shared" si="255"/>
        <v>45965</v>
      </c>
      <c r="E52" s="105" t="str">
        <f t="shared" ref="E52:I52" si="263">J16</f>
        <v/>
      </c>
      <c r="F52" s="105" t="str">
        <f t="shared" si="263"/>
        <v/>
      </c>
      <c r="G52" s="105" t="str">
        <f t="shared" si="263"/>
        <v/>
      </c>
      <c r="H52" s="106" t="str">
        <f t="shared" si="263"/>
        <v/>
      </c>
      <c r="I52" s="106" t="str">
        <f t="shared" si="263"/>
        <v/>
      </c>
      <c r="J52" s="107" t="str">
        <f t="array" ref="J52">IFERROR(IF(XLOOKUP(CONCAT(E52,F52),'MASTER PLAN'!$AB:$AB,'MASTER PLAN'!$M:$M,0,0)=0,"",XLOOKUP(CONCAT(E52,F52),'MASTER PLAN'!$AB:$AB,'MASTER PLAN'!$M:$M,0,0)),"")</f>
        <v/>
      </c>
      <c r="K52" s="107">
        <f t="shared" si="237"/>
        <v>0</v>
      </c>
      <c r="L52" s="107">
        <f t="shared" si="238"/>
        <v>0</v>
      </c>
      <c r="M52" s="105" t="s">
        <v>248</v>
      </c>
      <c r="N52" s="13"/>
      <c r="O52" s="107"/>
      <c r="P52" s="107"/>
      <c r="Q52" s="105"/>
      <c r="S52" s="13"/>
      <c r="T52" s="107"/>
      <c r="U52" s="107"/>
      <c r="V52" s="105"/>
      <c r="X52" s="13"/>
      <c r="Y52" s="107"/>
      <c r="Z52" s="107"/>
      <c r="AA52" s="105"/>
      <c r="AC52" s="13"/>
      <c r="AD52" s="107"/>
      <c r="AE52" s="107"/>
      <c r="AF52" s="105"/>
      <c r="AH52" s="38"/>
      <c r="AI52" s="13"/>
      <c r="AJ52" s="107"/>
      <c r="AK52" s="107"/>
      <c r="AL52" s="105"/>
      <c r="AN52" s="13"/>
      <c r="AO52" s="107"/>
      <c r="AP52" s="107"/>
      <c r="AQ52" s="105"/>
      <c r="AS52" s="13"/>
      <c r="AT52" s="107"/>
      <c r="AU52" s="107"/>
      <c r="AV52" s="105"/>
      <c r="AX52" s="13"/>
      <c r="AY52" s="107"/>
      <c r="AZ52" s="107"/>
      <c r="BA52" s="105"/>
      <c r="BC52" s="13"/>
      <c r="BD52" s="107"/>
      <c r="BE52" s="107"/>
      <c r="BF52" s="105"/>
      <c r="BH52" s="13"/>
      <c r="BI52" s="107"/>
      <c r="BJ52" s="107"/>
      <c r="BK52" s="105"/>
      <c r="BM52" s="38"/>
      <c r="BN52" s="13"/>
      <c r="BO52" s="107"/>
      <c r="BP52" s="107"/>
      <c r="BQ52" s="105"/>
      <c r="BS52" s="13"/>
      <c r="BT52" s="107"/>
      <c r="BU52" s="107"/>
      <c r="BV52" s="105"/>
      <c r="BX52" s="13"/>
      <c r="BY52" s="107"/>
      <c r="BZ52" s="107"/>
      <c r="CA52" s="105"/>
      <c r="CC52" s="13"/>
      <c r="CD52" s="107"/>
      <c r="CE52" s="107"/>
      <c r="CF52" s="105"/>
      <c r="CH52" s="13"/>
      <c r="CI52" s="107"/>
      <c r="CJ52" s="107"/>
      <c r="CK52" s="105"/>
      <c r="CM52" s="13"/>
      <c r="CN52" s="107"/>
      <c r="CO52" s="107"/>
      <c r="CP52" s="105"/>
      <c r="CR52" s="38"/>
      <c r="CS52" s="13"/>
      <c r="CT52" s="107"/>
      <c r="CU52" s="107"/>
      <c r="CV52" s="105"/>
      <c r="CX52" s="13"/>
      <c r="CY52" s="107"/>
      <c r="CZ52" s="107"/>
      <c r="DA52" s="105"/>
      <c r="DC52" s="13"/>
      <c r="DD52" s="107"/>
      <c r="DE52" s="107"/>
      <c r="DF52" s="105"/>
      <c r="DH52" s="13"/>
      <c r="DI52" s="107"/>
      <c r="DJ52" s="107"/>
      <c r="DK52" s="105"/>
      <c r="DM52" s="13"/>
      <c r="DN52" s="107"/>
      <c r="DO52" s="107"/>
      <c r="DP52" s="105"/>
      <c r="DR52" s="13"/>
      <c r="DS52" s="107"/>
      <c r="DT52" s="107"/>
      <c r="DU52" s="105"/>
      <c r="DW52" s="38"/>
      <c r="DX52" s="13"/>
      <c r="DY52" s="107"/>
      <c r="DZ52" s="107"/>
      <c r="EA52" s="105"/>
      <c r="EC52" s="13"/>
      <c r="ED52" s="107"/>
      <c r="EE52" s="107"/>
      <c r="EF52" s="105"/>
      <c r="EH52" s="13"/>
      <c r="EI52" s="107"/>
      <c r="EJ52" s="107"/>
      <c r="EK52" s="105"/>
      <c r="EM52" s="13"/>
      <c r="EN52" s="107"/>
      <c r="EO52" s="107"/>
      <c r="EP52" s="105"/>
      <c r="ER52" s="13"/>
      <c r="ES52" s="107"/>
      <c r="ET52" s="107"/>
      <c r="EU52" s="105"/>
      <c r="EW52" s="13"/>
      <c r="EX52" s="107"/>
      <c r="EY52" s="107"/>
      <c r="EZ52" s="105"/>
      <c r="FB52" s="38"/>
      <c r="FC52" s="13"/>
      <c r="FD52" s="107"/>
      <c r="FE52" s="107"/>
      <c r="FF52" s="105"/>
      <c r="FH52" s="13"/>
      <c r="FI52" s="107"/>
      <c r="FJ52" s="107"/>
      <c r="FK52" s="105"/>
      <c r="FM52" s="13"/>
      <c r="FN52" s="107"/>
      <c r="FO52" s="107"/>
      <c r="FP52" s="105"/>
      <c r="FR52" s="13"/>
      <c r="FS52" s="107"/>
      <c r="FT52" s="107"/>
      <c r="FU52" s="105"/>
      <c r="FW52" s="13"/>
      <c r="FX52" s="107"/>
      <c r="FY52" s="107"/>
      <c r="FZ52" s="105"/>
      <c r="GB52" s="13"/>
      <c r="GC52" s="107"/>
      <c r="GD52" s="107"/>
      <c r="GE52" s="105"/>
      <c r="GG52" s="38"/>
      <c r="GH52" s="13"/>
      <c r="GI52" s="107"/>
      <c r="GJ52" s="107"/>
      <c r="GK52" s="105"/>
      <c r="GM52" s="13"/>
      <c r="GN52" s="107"/>
      <c r="GO52" s="107"/>
      <c r="GP52" s="105"/>
      <c r="GR52" s="13"/>
      <c r="GS52" s="107"/>
      <c r="GT52" s="107"/>
      <c r="GU52" s="105"/>
      <c r="GW52" s="13"/>
      <c r="GX52" s="107"/>
      <c r="GY52" s="107"/>
      <c r="GZ52" s="105"/>
      <c r="HB52" s="13"/>
      <c r="HC52" s="107"/>
      <c r="HD52" s="107"/>
      <c r="HE52" s="105"/>
      <c r="HG52" s="13"/>
      <c r="HH52" s="107"/>
      <c r="HI52" s="107"/>
      <c r="HJ52" s="105"/>
      <c r="HL52" s="38"/>
      <c r="HM52" s="13"/>
      <c r="HN52" s="107"/>
      <c r="HO52" s="107"/>
      <c r="HP52" s="105"/>
      <c r="HR52" s="13"/>
      <c r="HS52" s="107"/>
      <c r="HT52" s="107"/>
      <c r="HU52" s="105"/>
      <c r="HW52" s="13"/>
      <c r="HX52" s="107"/>
      <c r="HY52" s="107"/>
      <c r="HZ52" s="105"/>
      <c r="IB52" s="13"/>
      <c r="IC52" s="107"/>
      <c r="ID52" s="107"/>
      <c r="IE52" s="105"/>
      <c r="IG52" s="13"/>
      <c r="IH52" s="107"/>
      <c r="II52" s="107"/>
      <c r="IJ52" s="105"/>
      <c r="IL52" s="13"/>
      <c r="IM52" s="107"/>
      <c r="IN52" s="107"/>
      <c r="IO52" s="105"/>
      <c r="IQ52" s="38"/>
      <c r="IR52" s="13"/>
      <c r="IS52" s="107"/>
      <c r="IT52" s="107"/>
      <c r="IU52" s="105"/>
      <c r="IW52" s="13"/>
      <c r="IX52" s="107"/>
      <c r="IY52" s="107"/>
      <c r="IZ52" s="105"/>
      <c r="JB52" s="13"/>
      <c r="JC52" s="107"/>
      <c r="JD52" s="107"/>
      <c r="JE52" s="105"/>
      <c r="JG52" s="13"/>
      <c r="JH52" s="107"/>
      <c r="JI52" s="107"/>
      <c r="JJ52" s="105"/>
      <c r="JL52" s="13"/>
      <c r="JM52" s="107"/>
      <c r="JN52" s="107"/>
      <c r="JO52" s="105"/>
      <c r="JQ52" s="13"/>
      <c r="JR52" s="107"/>
      <c r="JS52" s="107"/>
      <c r="JT52" s="105"/>
      <c r="JW52" s="13"/>
      <c r="JX52" s="107"/>
      <c r="JY52" s="107"/>
      <c r="JZ52" s="105"/>
      <c r="KC52" s="107"/>
      <c r="KD52" s="107"/>
      <c r="KE52" s="105"/>
      <c r="KH52" s="107"/>
      <c r="KI52" s="107"/>
      <c r="KJ52" s="105"/>
      <c r="KM52" s="107"/>
      <c r="KN52" s="107"/>
      <c r="KO52" s="105"/>
      <c r="KR52" s="107"/>
      <c r="KS52" s="107"/>
      <c r="KT52" s="105"/>
      <c r="KW52" s="107"/>
      <c r="KX52" s="107"/>
      <c r="KY52" s="105"/>
      <c r="LB52" s="13"/>
      <c r="LC52" s="107"/>
      <c r="LD52" s="107"/>
      <c r="LE52" s="105"/>
      <c r="LH52" s="107"/>
      <c r="LI52" s="107"/>
      <c r="LJ52" s="105"/>
      <c r="LM52" s="107"/>
      <c r="LN52" s="107"/>
      <c r="LO52" s="105"/>
      <c r="LR52" s="107"/>
      <c r="LS52" s="107"/>
      <c r="LT52" s="105"/>
      <c r="LW52" s="107"/>
      <c r="LX52" s="107"/>
      <c r="LY52" s="105"/>
      <c r="MB52" s="107"/>
      <c r="MC52" s="107"/>
      <c r="MD52" s="105"/>
      <c r="MG52" s="13"/>
      <c r="MH52" s="107"/>
      <c r="MI52" s="107"/>
      <c r="MJ52" s="105"/>
      <c r="MM52" s="107"/>
      <c r="MN52" s="107"/>
      <c r="MO52" s="105"/>
      <c r="MR52" s="107"/>
      <c r="MS52" s="107"/>
      <c r="MT52" s="105"/>
      <c r="MW52" s="107"/>
      <c r="MX52" s="107"/>
      <c r="MY52" s="105"/>
      <c r="NB52" s="107"/>
      <c r="NC52" s="107"/>
      <c r="ND52" s="105"/>
      <c r="NG52" s="107"/>
      <c r="NH52" s="107"/>
      <c r="NI52" s="105"/>
      <c r="NL52" s="13"/>
      <c r="NM52" s="107"/>
      <c r="NN52" s="107"/>
      <c r="NO52" s="105"/>
      <c r="NR52" s="107"/>
      <c r="NS52" s="107"/>
      <c r="NT52" s="105"/>
      <c r="NW52" s="107"/>
      <c r="NX52" s="107"/>
      <c r="NY52" s="105"/>
      <c r="OB52" s="107"/>
      <c r="OC52" s="107"/>
      <c r="OD52" s="105"/>
      <c r="OG52" s="107"/>
      <c r="OH52" s="107"/>
      <c r="OI52" s="105"/>
      <c r="OL52" s="107"/>
      <c r="OM52" s="107"/>
      <c r="ON52" s="105"/>
    </row>
    <row r="53" ht="15.75" customHeight="1">
      <c r="A53" s="42"/>
      <c r="B53" s="42"/>
      <c r="C53" s="42"/>
      <c r="D53" s="38">
        <f t="shared" si="255"/>
        <v>45965</v>
      </c>
      <c r="E53" s="105" t="str">
        <f t="shared" ref="E53:I53" si="264">J20</f>
        <v/>
      </c>
      <c r="F53" s="105" t="str">
        <f t="shared" si="264"/>
        <v/>
      </c>
      <c r="G53" s="105" t="str">
        <f t="shared" si="264"/>
        <v/>
      </c>
      <c r="H53" s="106" t="str">
        <f t="shared" si="264"/>
        <v/>
      </c>
      <c r="I53" s="106" t="str">
        <f t="shared" si="264"/>
        <v/>
      </c>
      <c r="J53" s="107" t="str">
        <f t="array" ref="J53">IFERROR(IF(XLOOKUP(CONCAT(E53,F53),'MASTER PLAN'!$AB:$AB,'MASTER PLAN'!$M:$M,0,0)=0,"",XLOOKUP(CONCAT(E53,F53),'MASTER PLAN'!$AB:$AB,'MASTER PLAN'!$M:$M,0,0)),"")</f>
        <v/>
      </c>
      <c r="K53" s="107">
        <f t="shared" si="237"/>
        <v>0</v>
      </c>
      <c r="L53" s="107">
        <f t="shared" si="238"/>
        <v>0</v>
      </c>
      <c r="M53" s="105" t="s">
        <v>249</v>
      </c>
      <c r="N53" s="13"/>
      <c r="O53" s="107"/>
      <c r="P53" s="107"/>
      <c r="Q53" s="105"/>
      <c r="S53" s="13"/>
      <c r="T53" s="107"/>
      <c r="U53" s="107"/>
      <c r="V53" s="105"/>
      <c r="X53" s="13"/>
      <c r="Y53" s="107"/>
      <c r="Z53" s="107"/>
      <c r="AA53" s="105"/>
      <c r="AC53" s="13"/>
      <c r="AD53" s="107"/>
      <c r="AE53" s="107"/>
      <c r="AF53" s="105"/>
      <c r="AH53" s="38"/>
      <c r="AI53" s="13"/>
      <c r="AJ53" s="107"/>
      <c r="AK53" s="107"/>
      <c r="AL53" s="105"/>
      <c r="AN53" s="13"/>
      <c r="AO53" s="107"/>
      <c r="AP53" s="107"/>
      <c r="AQ53" s="105"/>
      <c r="AS53" s="13"/>
      <c r="AT53" s="107"/>
      <c r="AU53" s="107"/>
      <c r="AV53" s="105"/>
      <c r="AX53" s="13"/>
      <c r="AY53" s="107"/>
      <c r="AZ53" s="107"/>
      <c r="BA53" s="105"/>
      <c r="BC53" s="13"/>
      <c r="BD53" s="107"/>
      <c r="BE53" s="107"/>
      <c r="BF53" s="105"/>
      <c r="BH53" s="13"/>
      <c r="BI53" s="107"/>
      <c r="BJ53" s="107"/>
      <c r="BK53" s="105"/>
      <c r="BM53" s="38"/>
      <c r="BN53" s="13"/>
      <c r="BO53" s="107"/>
      <c r="BP53" s="107"/>
      <c r="BQ53" s="105"/>
      <c r="BS53" s="13"/>
      <c r="BT53" s="107"/>
      <c r="BU53" s="107"/>
      <c r="BV53" s="105"/>
      <c r="BX53" s="13"/>
      <c r="BY53" s="107"/>
      <c r="BZ53" s="107"/>
      <c r="CA53" s="105"/>
      <c r="CC53" s="13"/>
      <c r="CD53" s="107"/>
      <c r="CE53" s="107"/>
      <c r="CF53" s="105"/>
      <c r="CH53" s="13"/>
      <c r="CI53" s="107"/>
      <c r="CJ53" s="107"/>
      <c r="CK53" s="105"/>
      <c r="CM53" s="13"/>
      <c r="CN53" s="107"/>
      <c r="CO53" s="107"/>
      <c r="CP53" s="105"/>
      <c r="CR53" s="38"/>
      <c r="CS53" s="13"/>
      <c r="CT53" s="107"/>
      <c r="CU53" s="107"/>
      <c r="CV53" s="105"/>
      <c r="CX53" s="13"/>
      <c r="CY53" s="107"/>
      <c r="CZ53" s="107"/>
      <c r="DA53" s="105"/>
      <c r="DC53" s="13"/>
      <c r="DD53" s="107"/>
      <c r="DE53" s="107"/>
      <c r="DF53" s="105"/>
      <c r="DH53" s="13"/>
      <c r="DI53" s="107"/>
      <c r="DJ53" s="107"/>
      <c r="DK53" s="105"/>
      <c r="DM53" s="13"/>
      <c r="DN53" s="107"/>
      <c r="DO53" s="107"/>
      <c r="DP53" s="105"/>
      <c r="DR53" s="13"/>
      <c r="DS53" s="107"/>
      <c r="DT53" s="107"/>
      <c r="DU53" s="105"/>
      <c r="DW53" s="38"/>
      <c r="DX53" s="13"/>
      <c r="DY53" s="107"/>
      <c r="DZ53" s="107"/>
      <c r="EA53" s="105"/>
      <c r="EC53" s="13"/>
      <c r="ED53" s="107"/>
      <c r="EE53" s="107"/>
      <c r="EF53" s="105"/>
      <c r="EH53" s="13"/>
      <c r="EI53" s="107"/>
      <c r="EJ53" s="107"/>
      <c r="EK53" s="105"/>
      <c r="EM53" s="13"/>
      <c r="EN53" s="107"/>
      <c r="EO53" s="107"/>
      <c r="EP53" s="105"/>
      <c r="ER53" s="13"/>
      <c r="ES53" s="107"/>
      <c r="ET53" s="107"/>
      <c r="EU53" s="105"/>
      <c r="EW53" s="13"/>
      <c r="EX53" s="107"/>
      <c r="EY53" s="107"/>
      <c r="EZ53" s="105"/>
      <c r="FB53" s="38"/>
      <c r="FC53" s="13"/>
      <c r="FD53" s="107"/>
      <c r="FE53" s="107"/>
      <c r="FF53" s="105"/>
      <c r="FH53" s="13"/>
      <c r="FI53" s="107"/>
      <c r="FJ53" s="107"/>
      <c r="FK53" s="105"/>
      <c r="FM53" s="13"/>
      <c r="FN53" s="107"/>
      <c r="FO53" s="107"/>
      <c r="FP53" s="105"/>
      <c r="FR53" s="13"/>
      <c r="FS53" s="107"/>
      <c r="FT53" s="107"/>
      <c r="FU53" s="105"/>
      <c r="FW53" s="13"/>
      <c r="FX53" s="107"/>
      <c r="FY53" s="107"/>
      <c r="FZ53" s="105"/>
      <c r="GB53" s="13"/>
      <c r="GC53" s="107"/>
      <c r="GD53" s="107"/>
      <c r="GE53" s="105"/>
      <c r="GG53" s="38"/>
      <c r="GH53" s="13"/>
      <c r="GI53" s="107"/>
      <c r="GJ53" s="107"/>
      <c r="GK53" s="105"/>
      <c r="GM53" s="13"/>
      <c r="GN53" s="107"/>
      <c r="GO53" s="107"/>
      <c r="GP53" s="105"/>
      <c r="GR53" s="13"/>
      <c r="GS53" s="107"/>
      <c r="GT53" s="107"/>
      <c r="GU53" s="105"/>
      <c r="GW53" s="13"/>
      <c r="GX53" s="107"/>
      <c r="GY53" s="107"/>
      <c r="GZ53" s="105"/>
      <c r="HB53" s="13"/>
      <c r="HC53" s="107"/>
      <c r="HD53" s="107"/>
      <c r="HE53" s="105"/>
      <c r="HG53" s="13"/>
      <c r="HH53" s="107"/>
      <c r="HI53" s="107"/>
      <c r="HJ53" s="105"/>
      <c r="HL53" s="38"/>
      <c r="HM53" s="13"/>
      <c r="HN53" s="107"/>
      <c r="HO53" s="107"/>
      <c r="HP53" s="105"/>
      <c r="HR53" s="13"/>
      <c r="HS53" s="107"/>
      <c r="HT53" s="107"/>
      <c r="HU53" s="105"/>
      <c r="HW53" s="13"/>
      <c r="HX53" s="107"/>
      <c r="HY53" s="107"/>
      <c r="HZ53" s="105"/>
      <c r="IB53" s="13"/>
      <c r="IC53" s="107"/>
      <c r="ID53" s="107"/>
      <c r="IE53" s="105"/>
      <c r="IG53" s="13"/>
      <c r="IH53" s="107"/>
      <c r="II53" s="107"/>
      <c r="IJ53" s="105"/>
      <c r="IL53" s="13"/>
      <c r="IM53" s="107"/>
      <c r="IN53" s="107"/>
      <c r="IO53" s="105"/>
      <c r="IQ53" s="38"/>
      <c r="IR53" s="13"/>
      <c r="IS53" s="107"/>
      <c r="IT53" s="107"/>
      <c r="IU53" s="105"/>
      <c r="IW53" s="13"/>
      <c r="IX53" s="107"/>
      <c r="IY53" s="107"/>
      <c r="IZ53" s="105"/>
      <c r="JB53" s="13"/>
      <c r="JC53" s="107"/>
      <c r="JD53" s="107"/>
      <c r="JE53" s="105"/>
      <c r="JG53" s="13"/>
      <c r="JH53" s="107"/>
      <c r="JI53" s="107"/>
      <c r="JJ53" s="105"/>
      <c r="JL53" s="13"/>
      <c r="JM53" s="107"/>
      <c r="JN53" s="107"/>
      <c r="JO53" s="105"/>
      <c r="JQ53" s="13"/>
      <c r="JR53" s="107"/>
      <c r="JS53" s="107"/>
      <c r="JT53" s="105"/>
      <c r="JW53" s="13"/>
      <c r="JX53" s="107"/>
      <c r="JY53" s="107"/>
      <c r="JZ53" s="105"/>
      <c r="KC53" s="107"/>
      <c r="KD53" s="107"/>
      <c r="KE53" s="105"/>
      <c r="KH53" s="107"/>
      <c r="KI53" s="107"/>
      <c r="KJ53" s="105"/>
      <c r="KM53" s="107"/>
      <c r="KN53" s="107"/>
      <c r="KO53" s="105"/>
      <c r="KR53" s="107"/>
      <c r="KS53" s="107"/>
      <c r="KT53" s="105"/>
      <c r="KW53" s="107"/>
      <c r="KX53" s="107"/>
      <c r="KY53" s="105"/>
      <c r="LB53" s="13"/>
      <c r="LC53" s="107"/>
      <c r="LD53" s="107"/>
      <c r="LE53" s="105"/>
      <c r="LH53" s="107"/>
      <c r="LI53" s="107"/>
      <c r="LJ53" s="105"/>
      <c r="LM53" s="107"/>
      <c r="LN53" s="107"/>
      <c r="LO53" s="105"/>
      <c r="LR53" s="107"/>
      <c r="LS53" s="107"/>
      <c r="LT53" s="105"/>
      <c r="LW53" s="107"/>
      <c r="LX53" s="107"/>
      <c r="LY53" s="105"/>
      <c r="MB53" s="107"/>
      <c r="MC53" s="107"/>
      <c r="MD53" s="105"/>
      <c r="MG53" s="13"/>
      <c r="MH53" s="107"/>
      <c r="MI53" s="107"/>
      <c r="MJ53" s="105"/>
      <c r="MM53" s="107"/>
      <c r="MN53" s="107"/>
      <c r="MO53" s="105"/>
      <c r="MR53" s="107"/>
      <c r="MS53" s="107"/>
      <c r="MT53" s="105"/>
      <c r="MW53" s="107"/>
      <c r="MX53" s="107"/>
      <c r="MY53" s="105"/>
      <c r="NB53" s="107"/>
      <c r="NC53" s="107"/>
      <c r="ND53" s="105"/>
      <c r="NG53" s="107"/>
      <c r="NH53" s="107"/>
      <c r="NI53" s="105"/>
      <c r="NL53" s="13"/>
      <c r="NM53" s="107"/>
      <c r="NN53" s="107"/>
      <c r="NO53" s="105"/>
      <c r="NR53" s="107"/>
      <c r="NS53" s="107"/>
      <c r="NT53" s="105"/>
      <c r="NW53" s="107"/>
      <c r="NX53" s="107"/>
      <c r="NY53" s="105"/>
      <c r="OB53" s="107"/>
      <c r="OC53" s="107"/>
      <c r="OD53" s="105"/>
      <c r="OG53" s="107"/>
      <c r="OH53" s="107"/>
      <c r="OI53" s="105"/>
      <c r="OL53" s="107"/>
      <c r="OM53" s="107"/>
      <c r="ON53" s="105"/>
    </row>
    <row r="54" ht="15.75" customHeight="1">
      <c r="A54" s="42"/>
      <c r="B54" s="42"/>
      <c r="C54" s="42"/>
      <c r="D54" s="38">
        <f t="shared" si="255"/>
        <v>45965</v>
      </c>
      <c r="E54" s="105" t="str">
        <f t="shared" ref="E54:I54" si="265">J21</f>
        <v/>
      </c>
      <c r="F54" s="105" t="str">
        <f t="shared" si="265"/>
        <v/>
      </c>
      <c r="G54" s="105" t="str">
        <f t="shared" si="265"/>
        <v/>
      </c>
      <c r="H54" s="106" t="str">
        <f t="shared" si="265"/>
        <v/>
      </c>
      <c r="I54" s="106" t="str">
        <f t="shared" si="265"/>
        <v/>
      </c>
      <c r="J54" s="107" t="str">
        <f t="array" ref="J54">IFERROR(IF(XLOOKUP(CONCAT(E54,F54),'MASTER PLAN'!$AB:$AB,'MASTER PLAN'!$M:$M,0,0)=0,"",XLOOKUP(CONCAT(E54,F54),'MASTER PLAN'!$AB:$AB,'MASTER PLAN'!$M:$M,0,0)),"")</f>
        <v/>
      </c>
      <c r="K54" s="107">
        <f t="shared" si="237"/>
        <v>0</v>
      </c>
      <c r="L54" s="107">
        <f t="shared" si="238"/>
        <v>0</v>
      </c>
      <c r="M54" s="105" t="s">
        <v>249</v>
      </c>
      <c r="N54" s="13"/>
      <c r="O54" s="107"/>
      <c r="P54" s="107"/>
      <c r="Q54" s="105"/>
      <c r="S54" s="13"/>
      <c r="T54" s="107"/>
      <c r="U54" s="107"/>
      <c r="V54" s="105"/>
      <c r="X54" s="13"/>
      <c r="Y54" s="107"/>
      <c r="Z54" s="107"/>
      <c r="AA54" s="105"/>
      <c r="AC54" s="13"/>
      <c r="AD54" s="107"/>
      <c r="AE54" s="107"/>
      <c r="AF54" s="105"/>
      <c r="AH54" s="38"/>
      <c r="AI54" s="13"/>
      <c r="AJ54" s="107"/>
      <c r="AK54" s="107"/>
      <c r="AL54" s="105"/>
      <c r="AN54" s="13"/>
      <c r="AO54" s="107"/>
      <c r="AP54" s="107"/>
      <c r="AQ54" s="105"/>
      <c r="AS54" s="13"/>
      <c r="AT54" s="107"/>
      <c r="AU54" s="107"/>
      <c r="AV54" s="105"/>
      <c r="AX54" s="13"/>
      <c r="AY54" s="107"/>
      <c r="AZ54" s="107"/>
      <c r="BA54" s="105"/>
      <c r="BC54" s="13"/>
      <c r="BD54" s="107"/>
      <c r="BE54" s="107"/>
      <c r="BF54" s="105"/>
      <c r="BH54" s="13"/>
      <c r="BI54" s="107"/>
      <c r="BJ54" s="107"/>
      <c r="BK54" s="105"/>
      <c r="BM54" s="38"/>
      <c r="BN54" s="13"/>
      <c r="BO54" s="107"/>
      <c r="BP54" s="107"/>
      <c r="BQ54" s="105"/>
      <c r="BS54" s="13"/>
      <c r="BT54" s="107"/>
      <c r="BU54" s="107"/>
      <c r="BV54" s="105"/>
      <c r="BX54" s="13"/>
      <c r="BY54" s="107"/>
      <c r="BZ54" s="107"/>
      <c r="CA54" s="105"/>
      <c r="CC54" s="13"/>
      <c r="CD54" s="107"/>
      <c r="CE54" s="107"/>
      <c r="CF54" s="105"/>
      <c r="CH54" s="13"/>
      <c r="CI54" s="107"/>
      <c r="CJ54" s="107"/>
      <c r="CK54" s="105"/>
      <c r="CM54" s="13"/>
      <c r="CN54" s="107"/>
      <c r="CO54" s="107"/>
      <c r="CP54" s="105"/>
      <c r="CR54" s="38"/>
      <c r="CS54" s="13"/>
      <c r="CT54" s="107"/>
      <c r="CU54" s="107"/>
      <c r="CV54" s="105"/>
      <c r="CX54" s="13"/>
      <c r="CY54" s="107"/>
      <c r="CZ54" s="107"/>
      <c r="DA54" s="105"/>
      <c r="DC54" s="13"/>
      <c r="DD54" s="107"/>
      <c r="DE54" s="107"/>
      <c r="DF54" s="105"/>
      <c r="DH54" s="13"/>
      <c r="DI54" s="107"/>
      <c r="DJ54" s="107"/>
      <c r="DK54" s="105"/>
      <c r="DM54" s="13"/>
      <c r="DN54" s="107"/>
      <c r="DO54" s="107"/>
      <c r="DP54" s="105"/>
      <c r="DR54" s="13"/>
      <c r="DS54" s="107"/>
      <c r="DT54" s="107"/>
      <c r="DU54" s="105"/>
      <c r="DW54" s="38"/>
      <c r="DX54" s="13"/>
      <c r="DY54" s="107"/>
      <c r="DZ54" s="107"/>
      <c r="EA54" s="105"/>
      <c r="EC54" s="13"/>
      <c r="ED54" s="107"/>
      <c r="EE54" s="107"/>
      <c r="EF54" s="105"/>
      <c r="EH54" s="13"/>
      <c r="EI54" s="107"/>
      <c r="EJ54" s="107"/>
      <c r="EK54" s="105"/>
      <c r="EM54" s="13"/>
      <c r="EN54" s="107"/>
      <c r="EO54" s="107"/>
      <c r="EP54" s="105"/>
      <c r="ER54" s="13"/>
      <c r="ES54" s="107"/>
      <c r="ET54" s="107"/>
      <c r="EU54" s="105"/>
      <c r="EW54" s="13"/>
      <c r="EX54" s="107"/>
      <c r="EY54" s="107"/>
      <c r="EZ54" s="105"/>
      <c r="FB54" s="38"/>
      <c r="FC54" s="13"/>
      <c r="FD54" s="107"/>
      <c r="FE54" s="107"/>
      <c r="FF54" s="105"/>
      <c r="FH54" s="13"/>
      <c r="FI54" s="107"/>
      <c r="FJ54" s="107"/>
      <c r="FK54" s="105"/>
      <c r="FM54" s="13"/>
      <c r="FN54" s="107"/>
      <c r="FO54" s="107"/>
      <c r="FP54" s="105"/>
      <c r="FR54" s="13"/>
      <c r="FS54" s="107"/>
      <c r="FT54" s="107"/>
      <c r="FU54" s="105"/>
      <c r="FW54" s="13"/>
      <c r="FX54" s="107"/>
      <c r="FY54" s="107"/>
      <c r="FZ54" s="105"/>
      <c r="GB54" s="13"/>
      <c r="GC54" s="107"/>
      <c r="GD54" s="107"/>
      <c r="GE54" s="105"/>
      <c r="GG54" s="38"/>
      <c r="GH54" s="13"/>
      <c r="GI54" s="107"/>
      <c r="GJ54" s="107"/>
      <c r="GK54" s="105"/>
      <c r="GM54" s="13"/>
      <c r="GN54" s="107"/>
      <c r="GO54" s="107"/>
      <c r="GP54" s="105"/>
      <c r="GR54" s="13"/>
      <c r="GS54" s="107"/>
      <c r="GT54" s="107"/>
      <c r="GU54" s="105"/>
      <c r="GW54" s="13"/>
      <c r="GX54" s="107"/>
      <c r="GY54" s="107"/>
      <c r="GZ54" s="105"/>
      <c r="HB54" s="13"/>
      <c r="HC54" s="107"/>
      <c r="HD54" s="107"/>
      <c r="HE54" s="105"/>
      <c r="HG54" s="13"/>
      <c r="HH54" s="107"/>
      <c r="HI54" s="107"/>
      <c r="HJ54" s="105"/>
      <c r="HL54" s="38"/>
      <c r="HM54" s="13"/>
      <c r="HN54" s="107"/>
      <c r="HO54" s="107"/>
      <c r="HP54" s="105"/>
      <c r="HR54" s="13"/>
      <c r="HS54" s="107"/>
      <c r="HT54" s="107"/>
      <c r="HU54" s="105"/>
      <c r="HW54" s="13"/>
      <c r="HX54" s="107"/>
      <c r="HY54" s="107"/>
      <c r="HZ54" s="105"/>
      <c r="IB54" s="13"/>
      <c r="IC54" s="107"/>
      <c r="ID54" s="107"/>
      <c r="IE54" s="105"/>
      <c r="IG54" s="13"/>
      <c r="IH54" s="107"/>
      <c r="II54" s="107"/>
      <c r="IJ54" s="105"/>
      <c r="IL54" s="13"/>
      <c r="IM54" s="107"/>
      <c r="IN54" s="107"/>
      <c r="IO54" s="105"/>
      <c r="IQ54" s="38"/>
      <c r="IR54" s="13"/>
      <c r="IS54" s="107"/>
      <c r="IT54" s="107"/>
      <c r="IU54" s="105"/>
      <c r="IW54" s="13"/>
      <c r="IX54" s="107"/>
      <c r="IY54" s="107"/>
      <c r="IZ54" s="105"/>
      <c r="JB54" s="13"/>
      <c r="JC54" s="107"/>
      <c r="JD54" s="107"/>
      <c r="JE54" s="105"/>
      <c r="JG54" s="13"/>
      <c r="JH54" s="107"/>
      <c r="JI54" s="107"/>
      <c r="JJ54" s="105"/>
      <c r="JL54" s="13"/>
      <c r="JM54" s="107"/>
      <c r="JN54" s="107"/>
      <c r="JO54" s="105"/>
      <c r="JQ54" s="13"/>
      <c r="JR54" s="107"/>
      <c r="JS54" s="107"/>
      <c r="JT54" s="105"/>
      <c r="JW54" s="13"/>
      <c r="JX54" s="107"/>
      <c r="JY54" s="107"/>
      <c r="JZ54" s="105"/>
      <c r="KC54" s="107"/>
      <c r="KD54" s="107"/>
      <c r="KE54" s="105"/>
      <c r="KH54" s="107"/>
      <c r="KI54" s="107"/>
      <c r="KJ54" s="105"/>
      <c r="KM54" s="107"/>
      <c r="KN54" s="107"/>
      <c r="KO54" s="105"/>
      <c r="KR54" s="107"/>
      <c r="KS54" s="107"/>
      <c r="KT54" s="105"/>
      <c r="KW54" s="107"/>
      <c r="KX54" s="107"/>
      <c r="KY54" s="105"/>
      <c r="LB54" s="13"/>
      <c r="LC54" s="107"/>
      <c r="LD54" s="107"/>
      <c r="LE54" s="105"/>
      <c r="LH54" s="107"/>
      <c r="LI54" s="107"/>
      <c r="LJ54" s="105"/>
      <c r="LM54" s="107"/>
      <c r="LN54" s="107"/>
      <c r="LO54" s="105"/>
      <c r="LR54" s="107"/>
      <c r="LS54" s="107"/>
      <c r="LT54" s="105"/>
      <c r="LW54" s="107"/>
      <c r="LX54" s="107"/>
      <c r="LY54" s="105"/>
      <c r="MB54" s="107"/>
      <c r="MC54" s="107"/>
      <c r="MD54" s="105"/>
      <c r="MG54" s="13"/>
      <c r="MH54" s="107"/>
      <c r="MI54" s="107"/>
      <c r="MJ54" s="105"/>
      <c r="MM54" s="107"/>
      <c r="MN54" s="107"/>
      <c r="MO54" s="105"/>
      <c r="MR54" s="107"/>
      <c r="MS54" s="107"/>
      <c r="MT54" s="105"/>
      <c r="MW54" s="107"/>
      <c r="MX54" s="107"/>
      <c r="MY54" s="105"/>
      <c r="NB54" s="107"/>
      <c r="NC54" s="107"/>
      <c r="ND54" s="105"/>
      <c r="NG54" s="107"/>
      <c r="NH54" s="107"/>
      <c r="NI54" s="105"/>
      <c r="NL54" s="13"/>
      <c r="NM54" s="107"/>
      <c r="NN54" s="107"/>
      <c r="NO54" s="105"/>
      <c r="NR54" s="107"/>
      <c r="NS54" s="107"/>
      <c r="NT54" s="105"/>
      <c r="NW54" s="107"/>
      <c r="NX54" s="107"/>
      <c r="NY54" s="105"/>
      <c r="OB54" s="107"/>
      <c r="OC54" s="107"/>
      <c r="OD54" s="105"/>
      <c r="OG54" s="107"/>
      <c r="OH54" s="107"/>
      <c r="OI54" s="105"/>
      <c r="OL54" s="107"/>
      <c r="OM54" s="107"/>
      <c r="ON54" s="105"/>
    </row>
    <row r="55" ht="15.75" customHeight="1">
      <c r="A55" s="42"/>
      <c r="B55" s="42"/>
      <c r="C55" s="42"/>
      <c r="D55" s="38">
        <f t="shared" si="255"/>
        <v>45965</v>
      </c>
      <c r="E55" s="105" t="str">
        <f t="shared" ref="E55:I55" si="266">J22</f>
        <v/>
      </c>
      <c r="F55" s="105" t="str">
        <f t="shared" si="266"/>
        <v/>
      </c>
      <c r="G55" s="105" t="str">
        <f t="shared" si="266"/>
        <v/>
      </c>
      <c r="H55" s="106" t="str">
        <f t="shared" si="266"/>
        <v/>
      </c>
      <c r="I55" s="106" t="str">
        <f t="shared" si="266"/>
        <v/>
      </c>
      <c r="J55" s="107" t="str">
        <f t="array" ref="J55">IFERROR(IF(XLOOKUP(CONCAT(E55,F55),'MASTER PLAN'!$AB:$AB,'MASTER PLAN'!$M:$M,0,0)=0,"",XLOOKUP(CONCAT(E55,F55),'MASTER PLAN'!$AB:$AB,'MASTER PLAN'!$M:$M,0,0)),"")</f>
        <v/>
      </c>
      <c r="K55" s="107">
        <f t="shared" si="237"/>
        <v>0</v>
      </c>
      <c r="L55" s="107">
        <f t="shared" si="238"/>
        <v>0</v>
      </c>
      <c r="M55" s="105" t="s">
        <v>249</v>
      </c>
      <c r="N55" s="13"/>
      <c r="O55" s="107"/>
      <c r="P55" s="107"/>
      <c r="Q55" s="105"/>
      <c r="S55" s="13"/>
      <c r="T55" s="107"/>
      <c r="U55" s="107"/>
      <c r="V55" s="105"/>
      <c r="X55" s="13"/>
      <c r="Y55" s="107"/>
      <c r="Z55" s="107"/>
      <c r="AA55" s="105"/>
      <c r="AC55" s="13"/>
      <c r="AD55" s="107"/>
      <c r="AE55" s="107"/>
      <c r="AF55" s="105"/>
      <c r="AH55" s="38"/>
      <c r="AI55" s="13"/>
      <c r="AJ55" s="107"/>
      <c r="AK55" s="107"/>
      <c r="AL55" s="105"/>
      <c r="AN55" s="13"/>
      <c r="AO55" s="107"/>
      <c r="AP55" s="107"/>
      <c r="AQ55" s="105"/>
      <c r="AS55" s="13"/>
      <c r="AT55" s="107"/>
      <c r="AU55" s="107"/>
      <c r="AV55" s="105"/>
      <c r="AX55" s="13"/>
      <c r="AY55" s="107"/>
      <c r="AZ55" s="107"/>
      <c r="BA55" s="105"/>
      <c r="BC55" s="13"/>
      <c r="BD55" s="107"/>
      <c r="BE55" s="107"/>
      <c r="BF55" s="105"/>
      <c r="BH55" s="13"/>
      <c r="BI55" s="107"/>
      <c r="BJ55" s="107"/>
      <c r="BK55" s="105"/>
      <c r="BM55" s="38"/>
      <c r="BN55" s="13"/>
      <c r="BO55" s="107"/>
      <c r="BP55" s="107"/>
      <c r="BQ55" s="105"/>
      <c r="BS55" s="13"/>
      <c r="BT55" s="107"/>
      <c r="BU55" s="107"/>
      <c r="BV55" s="105"/>
      <c r="BX55" s="13"/>
      <c r="BY55" s="107"/>
      <c r="BZ55" s="107"/>
      <c r="CA55" s="105"/>
      <c r="CC55" s="13"/>
      <c r="CD55" s="107"/>
      <c r="CE55" s="107"/>
      <c r="CF55" s="105"/>
      <c r="CH55" s="13"/>
      <c r="CI55" s="107"/>
      <c r="CJ55" s="107"/>
      <c r="CK55" s="105"/>
      <c r="CM55" s="13"/>
      <c r="CN55" s="107"/>
      <c r="CO55" s="107"/>
      <c r="CP55" s="105"/>
      <c r="CR55" s="38"/>
      <c r="CS55" s="13"/>
      <c r="CT55" s="107"/>
      <c r="CU55" s="107"/>
      <c r="CV55" s="105"/>
      <c r="CX55" s="13"/>
      <c r="CY55" s="107"/>
      <c r="CZ55" s="107"/>
      <c r="DA55" s="105"/>
      <c r="DC55" s="13"/>
      <c r="DD55" s="107"/>
      <c r="DE55" s="107"/>
      <c r="DF55" s="105"/>
      <c r="DH55" s="13"/>
      <c r="DI55" s="107"/>
      <c r="DJ55" s="107"/>
      <c r="DK55" s="105"/>
      <c r="DM55" s="13"/>
      <c r="DN55" s="107"/>
      <c r="DO55" s="107"/>
      <c r="DP55" s="105"/>
      <c r="DR55" s="13"/>
      <c r="DS55" s="107"/>
      <c r="DT55" s="107"/>
      <c r="DU55" s="105"/>
      <c r="DW55" s="38"/>
      <c r="DX55" s="13"/>
      <c r="DY55" s="107"/>
      <c r="DZ55" s="107"/>
      <c r="EA55" s="105"/>
      <c r="EC55" s="13"/>
      <c r="ED55" s="107"/>
      <c r="EE55" s="107"/>
      <c r="EF55" s="105"/>
      <c r="EH55" s="13"/>
      <c r="EI55" s="107"/>
      <c r="EJ55" s="107"/>
      <c r="EK55" s="105"/>
      <c r="EM55" s="13"/>
      <c r="EN55" s="107"/>
      <c r="EO55" s="107"/>
      <c r="EP55" s="105"/>
      <c r="ER55" s="13"/>
      <c r="ES55" s="107"/>
      <c r="ET55" s="107"/>
      <c r="EU55" s="105"/>
      <c r="EW55" s="13"/>
      <c r="EX55" s="107"/>
      <c r="EY55" s="107"/>
      <c r="EZ55" s="105"/>
      <c r="FB55" s="38"/>
      <c r="FC55" s="13"/>
      <c r="FD55" s="107"/>
      <c r="FE55" s="107"/>
      <c r="FF55" s="105"/>
      <c r="FH55" s="13"/>
      <c r="FI55" s="107"/>
      <c r="FJ55" s="107"/>
      <c r="FK55" s="105"/>
      <c r="FM55" s="13"/>
      <c r="FN55" s="107"/>
      <c r="FO55" s="107"/>
      <c r="FP55" s="105"/>
      <c r="FR55" s="13"/>
      <c r="FS55" s="107"/>
      <c r="FT55" s="107"/>
      <c r="FU55" s="105"/>
      <c r="FW55" s="13"/>
      <c r="FX55" s="107"/>
      <c r="FY55" s="107"/>
      <c r="FZ55" s="105"/>
      <c r="GB55" s="13"/>
      <c r="GC55" s="107"/>
      <c r="GD55" s="107"/>
      <c r="GE55" s="105"/>
      <c r="GG55" s="38"/>
      <c r="GH55" s="13"/>
      <c r="GI55" s="107"/>
      <c r="GJ55" s="107"/>
      <c r="GK55" s="105"/>
      <c r="GM55" s="13"/>
      <c r="GN55" s="107"/>
      <c r="GO55" s="107"/>
      <c r="GP55" s="105"/>
      <c r="GR55" s="13"/>
      <c r="GS55" s="107"/>
      <c r="GT55" s="107"/>
      <c r="GU55" s="105"/>
      <c r="GW55" s="13"/>
      <c r="GX55" s="107"/>
      <c r="GY55" s="107"/>
      <c r="GZ55" s="105"/>
      <c r="HB55" s="13"/>
      <c r="HC55" s="107"/>
      <c r="HD55" s="107"/>
      <c r="HE55" s="105"/>
      <c r="HG55" s="13"/>
      <c r="HH55" s="107"/>
      <c r="HI55" s="107"/>
      <c r="HJ55" s="105"/>
      <c r="HL55" s="38"/>
      <c r="HM55" s="13"/>
      <c r="HN55" s="107"/>
      <c r="HO55" s="107"/>
      <c r="HP55" s="105"/>
      <c r="HR55" s="13"/>
      <c r="HS55" s="107"/>
      <c r="HT55" s="107"/>
      <c r="HU55" s="105"/>
      <c r="HW55" s="13"/>
      <c r="HX55" s="107"/>
      <c r="HY55" s="107"/>
      <c r="HZ55" s="105"/>
      <c r="IB55" s="13"/>
      <c r="IC55" s="107"/>
      <c r="ID55" s="107"/>
      <c r="IE55" s="105"/>
      <c r="IG55" s="13"/>
      <c r="IH55" s="107"/>
      <c r="II55" s="107"/>
      <c r="IJ55" s="105"/>
      <c r="IL55" s="13"/>
      <c r="IM55" s="107"/>
      <c r="IN55" s="107"/>
      <c r="IO55" s="105"/>
      <c r="IQ55" s="38"/>
      <c r="IR55" s="13"/>
      <c r="IS55" s="107"/>
      <c r="IT55" s="107"/>
      <c r="IU55" s="105"/>
      <c r="IW55" s="13"/>
      <c r="IX55" s="107"/>
      <c r="IY55" s="107"/>
      <c r="IZ55" s="105"/>
      <c r="JB55" s="13"/>
      <c r="JC55" s="107"/>
      <c r="JD55" s="107"/>
      <c r="JE55" s="105"/>
      <c r="JG55" s="13"/>
      <c r="JH55" s="107"/>
      <c r="JI55" s="107"/>
      <c r="JJ55" s="105"/>
      <c r="JL55" s="13"/>
      <c r="JM55" s="107"/>
      <c r="JN55" s="107"/>
      <c r="JO55" s="105"/>
      <c r="JQ55" s="13"/>
      <c r="JR55" s="107"/>
      <c r="JS55" s="107"/>
      <c r="JT55" s="105"/>
      <c r="JW55" s="13"/>
      <c r="JX55" s="107"/>
      <c r="JY55" s="107"/>
      <c r="JZ55" s="105"/>
      <c r="KC55" s="107"/>
      <c r="KD55" s="107"/>
      <c r="KE55" s="105"/>
      <c r="KH55" s="107"/>
      <c r="KI55" s="107"/>
      <c r="KJ55" s="105"/>
      <c r="KM55" s="107"/>
      <c r="KN55" s="107"/>
      <c r="KO55" s="105"/>
      <c r="KR55" s="107"/>
      <c r="KS55" s="107"/>
      <c r="KT55" s="105"/>
      <c r="KW55" s="107"/>
      <c r="KX55" s="107"/>
      <c r="KY55" s="105"/>
      <c r="LB55" s="13"/>
      <c r="LC55" s="107"/>
      <c r="LD55" s="107"/>
      <c r="LE55" s="105"/>
      <c r="LH55" s="107"/>
      <c r="LI55" s="107"/>
      <c r="LJ55" s="105"/>
      <c r="LM55" s="107"/>
      <c r="LN55" s="107"/>
      <c r="LO55" s="105"/>
      <c r="LR55" s="107"/>
      <c r="LS55" s="107"/>
      <c r="LT55" s="105"/>
      <c r="LW55" s="107"/>
      <c r="LX55" s="107"/>
      <c r="LY55" s="105"/>
      <c r="MB55" s="107"/>
      <c r="MC55" s="107"/>
      <c r="MD55" s="105"/>
      <c r="MG55" s="13"/>
      <c r="MH55" s="107"/>
      <c r="MI55" s="107"/>
      <c r="MJ55" s="105"/>
      <c r="MM55" s="107"/>
      <c r="MN55" s="107"/>
      <c r="MO55" s="105"/>
      <c r="MR55" s="107"/>
      <c r="MS55" s="107"/>
      <c r="MT55" s="105"/>
      <c r="MW55" s="107"/>
      <c r="MX55" s="107"/>
      <c r="MY55" s="105"/>
      <c r="NB55" s="107"/>
      <c r="NC55" s="107"/>
      <c r="ND55" s="105"/>
      <c r="NG55" s="107"/>
      <c r="NH55" s="107"/>
      <c r="NI55" s="105"/>
      <c r="NL55" s="13"/>
      <c r="NM55" s="107"/>
      <c r="NN55" s="107"/>
      <c r="NO55" s="105"/>
      <c r="NR55" s="107"/>
      <c r="NS55" s="107"/>
      <c r="NT55" s="105"/>
      <c r="NW55" s="107"/>
      <c r="NX55" s="107"/>
      <c r="NY55" s="105"/>
      <c r="OB55" s="107"/>
      <c r="OC55" s="107"/>
      <c r="OD55" s="105"/>
      <c r="OG55" s="107"/>
      <c r="OH55" s="107"/>
      <c r="OI55" s="105"/>
      <c r="OL55" s="107"/>
      <c r="OM55" s="107"/>
      <c r="ON55" s="105"/>
    </row>
    <row r="56" ht="15.75" customHeight="1">
      <c r="A56" s="42"/>
      <c r="B56" s="42"/>
      <c r="C56" s="42"/>
      <c r="D56" s="38">
        <f t="shared" si="255"/>
        <v>45965</v>
      </c>
      <c r="E56" s="105" t="str">
        <f t="shared" ref="E56:I56" si="267">J23</f>
        <v/>
      </c>
      <c r="F56" s="105" t="str">
        <f t="shared" si="267"/>
        <v/>
      </c>
      <c r="G56" s="105" t="str">
        <f t="shared" si="267"/>
        <v/>
      </c>
      <c r="H56" s="106" t="str">
        <f t="shared" si="267"/>
        <v/>
      </c>
      <c r="I56" s="106" t="str">
        <f t="shared" si="267"/>
        <v/>
      </c>
      <c r="J56" s="107" t="str">
        <f t="array" ref="J56">IFERROR(IF(XLOOKUP(CONCAT(E56,F56),'MASTER PLAN'!$AB:$AB,'MASTER PLAN'!$M:$M,0,0)=0,"",XLOOKUP(CONCAT(E56,F56),'MASTER PLAN'!$AB:$AB,'MASTER PLAN'!$M:$M,0,0)),"")</f>
        <v/>
      </c>
      <c r="K56" s="107">
        <f t="shared" si="237"/>
        <v>0</v>
      </c>
      <c r="L56" s="107">
        <f t="shared" si="238"/>
        <v>0</v>
      </c>
      <c r="M56" s="105" t="s">
        <v>249</v>
      </c>
      <c r="N56" s="13"/>
      <c r="O56" s="107"/>
      <c r="P56" s="107"/>
      <c r="Q56" s="105"/>
      <c r="S56" s="13"/>
      <c r="T56" s="107"/>
      <c r="U56" s="107"/>
      <c r="V56" s="105"/>
      <c r="X56" s="13"/>
      <c r="Y56" s="107"/>
      <c r="Z56" s="107"/>
      <c r="AA56" s="105"/>
      <c r="AC56" s="13"/>
      <c r="AD56" s="107"/>
      <c r="AE56" s="107"/>
      <c r="AF56" s="105"/>
      <c r="AH56" s="38"/>
      <c r="AI56" s="13"/>
      <c r="AJ56" s="107"/>
      <c r="AK56" s="107"/>
      <c r="AL56" s="105"/>
      <c r="AN56" s="13"/>
      <c r="AO56" s="107"/>
      <c r="AP56" s="107"/>
      <c r="AQ56" s="105"/>
      <c r="AS56" s="13"/>
      <c r="AT56" s="107"/>
      <c r="AU56" s="107"/>
      <c r="AV56" s="105"/>
      <c r="AX56" s="13"/>
      <c r="AY56" s="107"/>
      <c r="AZ56" s="107"/>
      <c r="BA56" s="105"/>
      <c r="BC56" s="13"/>
      <c r="BD56" s="107"/>
      <c r="BE56" s="107"/>
      <c r="BF56" s="105"/>
      <c r="BH56" s="13"/>
      <c r="BI56" s="107"/>
      <c r="BJ56" s="107"/>
      <c r="BK56" s="105"/>
      <c r="BM56" s="38"/>
      <c r="BN56" s="13"/>
      <c r="BO56" s="107"/>
      <c r="BP56" s="107"/>
      <c r="BQ56" s="105"/>
      <c r="BS56" s="13"/>
      <c r="BT56" s="107"/>
      <c r="BU56" s="107"/>
      <c r="BV56" s="105"/>
      <c r="BX56" s="13"/>
      <c r="BY56" s="107"/>
      <c r="BZ56" s="107"/>
      <c r="CA56" s="105"/>
      <c r="CC56" s="13"/>
      <c r="CD56" s="107"/>
      <c r="CE56" s="107"/>
      <c r="CF56" s="105"/>
      <c r="CH56" s="13"/>
      <c r="CI56" s="107"/>
      <c r="CJ56" s="107"/>
      <c r="CK56" s="105"/>
      <c r="CM56" s="13"/>
      <c r="CN56" s="107"/>
      <c r="CO56" s="107"/>
      <c r="CP56" s="105"/>
      <c r="CR56" s="38"/>
      <c r="CS56" s="13"/>
      <c r="CT56" s="107"/>
      <c r="CU56" s="107"/>
      <c r="CV56" s="105"/>
      <c r="CX56" s="13"/>
      <c r="CY56" s="107"/>
      <c r="CZ56" s="107"/>
      <c r="DA56" s="105"/>
      <c r="DC56" s="13"/>
      <c r="DD56" s="107"/>
      <c r="DE56" s="107"/>
      <c r="DF56" s="105"/>
      <c r="DH56" s="13"/>
      <c r="DI56" s="107"/>
      <c r="DJ56" s="107"/>
      <c r="DK56" s="105"/>
      <c r="DM56" s="13"/>
      <c r="DN56" s="107"/>
      <c r="DO56" s="107"/>
      <c r="DP56" s="105"/>
      <c r="DR56" s="13"/>
      <c r="DS56" s="107"/>
      <c r="DT56" s="107"/>
      <c r="DU56" s="105"/>
      <c r="DW56" s="38"/>
      <c r="DX56" s="13"/>
      <c r="DY56" s="107"/>
      <c r="DZ56" s="107"/>
      <c r="EA56" s="105"/>
      <c r="EC56" s="13"/>
      <c r="ED56" s="107"/>
      <c r="EE56" s="107"/>
      <c r="EF56" s="105"/>
      <c r="EH56" s="13"/>
      <c r="EI56" s="107"/>
      <c r="EJ56" s="107"/>
      <c r="EK56" s="105"/>
      <c r="EM56" s="13"/>
      <c r="EN56" s="107"/>
      <c r="EO56" s="107"/>
      <c r="EP56" s="105"/>
      <c r="ER56" s="13"/>
      <c r="ES56" s="107"/>
      <c r="ET56" s="107"/>
      <c r="EU56" s="105"/>
      <c r="EW56" s="13"/>
      <c r="EX56" s="107"/>
      <c r="EY56" s="107"/>
      <c r="EZ56" s="105"/>
      <c r="FB56" s="38"/>
      <c r="FC56" s="13"/>
      <c r="FD56" s="107"/>
      <c r="FE56" s="107"/>
      <c r="FF56" s="105"/>
      <c r="FH56" s="13"/>
      <c r="FI56" s="107"/>
      <c r="FJ56" s="107"/>
      <c r="FK56" s="105"/>
      <c r="FM56" s="13"/>
      <c r="FN56" s="107"/>
      <c r="FO56" s="107"/>
      <c r="FP56" s="105"/>
      <c r="FR56" s="13"/>
      <c r="FS56" s="107"/>
      <c r="FT56" s="107"/>
      <c r="FU56" s="105"/>
      <c r="FW56" s="13"/>
      <c r="FX56" s="107"/>
      <c r="FY56" s="107"/>
      <c r="FZ56" s="105"/>
      <c r="GB56" s="13"/>
      <c r="GC56" s="107"/>
      <c r="GD56" s="107"/>
      <c r="GE56" s="105"/>
      <c r="GG56" s="38"/>
      <c r="GH56" s="13"/>
      <c r="GI56" s="107"/>
      <c r="GJ56" s="107"/>
      <c r="GK56" s="105"/>
      <c r="GM56" s="13"/>
      <c r="GN56" s="107"/>
      <c r="GO56" s="107"/>
      <c r="GP56" s="105"/>
      <c r="GR56" s="13"/>
      <c r="GS56" s="107"/>
      <c r="GT56" s="107"/>
      <c r="GU56" s="105"/>
      <c r="GW56" s="13"/>
      <c r="GX56" s="107"/>
      <c r="GY56" s="107"/>
      <c r="GZ56" s="105"/>
      <c r="HB56" s="13"/>
      <c r="HC56" s="107"/>
      <c r="HD56" s="107"/>
      <c r="HE56" s="105"/>
      <c r="HG56" s="13"/>
      <c r="HH56" s="107"/>
      <c r="HI56" s="107"/>
      <c r="HJ56" s="105"/>
      <c r="HL56" s="38"/>
      <c r="HM56" s="13"/>
      <c r="HN56" s="107"/>
      <c r="HO56" s="107"/>
      <c r="HP56" s="105"/>
      <c r="HR56" s="13"/>
      <c r="HS56" s="107"/>
      <c r="HT56" s="107"/>
      <c r="HU56" s="105"/>
      <c r="HW56" s="13"/>
      <c r="HX56" s="107"/>
      <c r="HY56" s="107"/>
      <c r="HZ56" s="105"/>
      <c r="IB56" s="13"/>
      <c r="IC56" s="107"/>
      <c r="ID56" s="107"/>
      <c r="IE56" s="105"/>
      <c r="IG56" s="13"/>
      <c r="IH56" s="107"/>
      <c r="II56" s="107"/>
      <c r="IJ56" s="105"/>
      <c r="IL56" s="13"/>
      <c r="IM56" s="107"/>
      <c r="IN56" s="107"/>
      <c r="IO56" s="105"/>
      <c r="IQ56" s="38"/>
      <c r="IR56" s="13"/>
      <c r="IS56" s="107"/>
      <c r="IT56" s="107"/>
      <c r="IU56" s="105"/>
      <c r="IW56" s="13"/>
      <c r="IX56" s="107"/>
      <c r="IY56" s="107"/>
      <c r="IZ56" s="105"/>
      <c r="JB56" s="13"/>
      <c r="JC56" s="107"/>
      <c r="JD56" s="107"/>
      <c r="JE56" s="105"/>
      <c r="JG56" s="13"/>
      <c r="JH56" s="107"/>
      <c r="JI56" s="107"/>
      <c r="JJ56" s="105"/>
      <c r="JL56" s="13"/>
      <c r="JM56" s="107"/>
      <c r="JN56" s="107"/>
      <c r="JO56" s="105"/>
      <c r="JQ56" s="13"/>
      <c r="JR56" s="107"/>
      <c r="JS56" s="107"/>
      <c r="JT56" s="105"/>
      <c r="JW56" s="13"/>
      <c r="JX56" s="107"/>
      <c r="JY56" s="107"/>
      <c r="JZ56" s="105"/>
      <c r="KC56" s="107"/>
      <c r="KD56" s="107"/>
      <c r="KE56" s="105"/>
      <c r="KH56" s="107"/>
      <c r="KI56" s="107"/>
      <c r="KJ56" s="105"/>
      <c r="KM56" s="107"/>
      <c r="KN56" s="107"/>
      <c r="KO56" s="105"/>
      <c r="KR56" s="107"/>
      <c r="KS56" s="107"/>
      <c r="KT56" s="105"/>
      <c r="KW56" s="107"/>
      <c r="KX56" s="107"/>
      <c r="KY56" s="105"/>
      <c r="LB56" s="13"/>
      <c r="LC56" s="107"/>
      <c r="LD56" s="107"/>
      <c r="LE56" s="105"/>
      <c r="LH56" s="107"/>
      <c r="LI56" s="107"/>
      <c r="LJ56" s="105"/>
      <c r="LM56" s="107"/>
      <c r="LN56" s="107"/>
      <c r="LO56" s="105"/>
      <c r="LR56" s="107"/>
      <c r="LS56" s="107"/>
      <c r="LT56" s="105"/>
      <c r="LW56" s="107"/>
      <c r="LX56" s="107"/>
      <c r="LY56" s="105"/>
      <c r="MB56" s="107"/>
      <c r="MC56" s="107"/>
      <c r="MD56" s="105"/>
      <c r="MG56" s="13"/>
      <c r="MH56" s="107"/>
      <c r="MI56" s="107"/>
      <c r="MJ56" s="105"/>
      <c r="MM56" s="107"/>
      <c r="MN56" s="107"/>
      <c r="MO56" s="105"/>
      <c r="MR56" s="107"/>
      <c r="MS56" s="107"/>
      <c r="MT56" s="105"/>
      <c r="MW56" s="107"/>
      <c r="MX56" s="107"/>
      <c r="MY56" s="105"/>
      <c r="NB56" s="107"/>
      <c r="NC56" s="107"/>
      <c r="ND56" s="105"/>
      <c r="NG56" s="107"/>
      <c r="NH56" s="107"/>
      <c r="NI56" s="105"/>
      <c r="NL56" s="13"/>
      <c r="NM56" s="107"/>
      <c r="NN56" s="107"/>
      <c r="NO56" s="105"/>
      <c r="NR56" s="107"/>
      <c r="NS56" s="107"/>
      <c r="NT56" s="105"/>
      <c r="NW56" s="107"/>
      <c r="NX56" s="107"/>
      <c r="NY56" s="105"/>
      <c r="OB56" s="107"/>
      <c r="OC56" s="107"/>
      <c r="OD56" s="105"/>
      <c r="OG56" s="107"/>
      <c r="OH56" s="107"/>
      <c r="OI56" s="105"/>
      <c r="OL56" s="107"/>
      <c r="OM56" s="107"/>
      <c r="ON56" s="105"/>
    </row>
    <row r="57" ht="15.75" customHeight="1">
      <c r="A57" s="42"/>
      <c r="B57" s="42"/>
      <c r="C57" s="42"/>
      <c r="D57" s="38">
        <f t="shared" si="255"/>
        <v>45965</v>
      </c>
      <c r="E57" s="105" t="str">
        <f t="shared" ref="E57:I57" si="268">J24</f>
        <v/>
      </c>
      <c r="F57" s="105" t="str">
        <f t="shared" si="268"/>
        <v/>
      </c>
      <c r="G57" s="105" t="str">
        <f t="shared" si="268"/>
        <v/>
      </c>
      <c r="H57" s="106" t="str">
        <f t="shared" si="268"/>
        <v/>
      </c>
      <c r="I57" s="106" t="str">
        <f t="shared" si="268"/>
        <v/>
      </c>
      <c r="J57" s="107" t="str">
        <f t="array" ref="J57">IFERROR(IF(XLOOKUP(CONCAT(E57,F57),'MASTER PLAN'!$AB:$AB,'MASTER PLAN'!$M:$M,0,0)=0,"",XLOOKUP(CONCAT(E57,F57),'MASTER PLAN'!$AB:$AB,'MASTER PLAN'!$M:$M,0,0)),"")</f>
        <v/>
      </c>
      <c r="K57" s="107">
        <f t="shared" si="237"/>
        <v>0</v>
      </c>
      <c r="L57" s="107">
        <f t="shared" si="238"/>
        <v>0</v>
      </c>
      <c r="M57" s="105" t="s">
        <v>249</v>
      </c>
      <c r="N57" s="13"/>
      <c r="O57" s="107"/>
      <c r="P57" s="107"/>
      <c r="Q57" s="105"/>
      <c r="S57" s="13"/>
      <c r="T57" s="107"/>
      <c r="U57" s="107"/>
      <c r="V57" s="105"/>
      <c r="X57" s="13"/>
      <c r="Y57" s="107"/>
      <c r="Z57" s="107"/>
      <c r="AA57" s="105"/>
      <c r="AC57" s="13"/>
      <c r="AD57" s="107"/>
      <c r="AE57" s="107"/>
      <c r="AF57" s="105"/>
      <c r="AH57" s="38"/>
      <c r="AI57" s="13"/>
      <c r="AJ57" s="107"/>
      <c r="AK57" s="107"/>
      <c r="AL57" s="105"/>
      <c r="AN57" s="13"/>
      <c r="AO57" s="107"/>
      <c r="AP57" s="107"/>
      <c r="AQ57" s="105"/>
      <c r="AS57" s="13"/>
      <c r="AT57" s="107"/>
      <c r="AU57" s="107"/>
      <c r="AV57" s="105"/>
      <c r="AX57" s="13"/>
      <c r="AY57" s="107"/>
      <c r="AZ57" s="107"/>
      <c r="BA57" s="105"/>
      <c r="BC57" s="13"/>
      <c r="BD57" s="107"/>
      <c r="BE57" s="107"/>
      <c r="BF57" s="105"/>
      <c r="BH57" s="13"/>
      <c r="BI57" s="107"/>
      <c r="BJ57" s="107"/>
      <c r="BK57" s="105"/>
      <c r="BM57" s="38"/>
      <c r="BN57" s="13"/>
      <c r="BO57" s="107"/>
      <c r="BP57" s="107"/>
      <c r="BQ57" s="105"/>
      <c r="BS57" s="13"/>
      <c r="BT57" s="107"/>
      <c r="BU57" s="107"/>
      <c r="BV57" s="105"/>
      <c r="BX57" s="13"/>
      <c r="BY57" s="107"/>
      <c r="BZ57" s="107"/>
      <c r="CA57" s="105"/>
      <c r="CC57" s="13"/>
      <c r="CD57" s="107"/>
      <c r="CE57" s="107"/>
      <c r="CF57" s="105"/>
      <c r="CH57" s="13"/>
      <c r="CI57" s="107"/>
      <c r="CJ57" s="107"/>
      <c r="CK57" s="105"/>
      <c r="CM57" s="13"/>
      <c r="CN57" s="107"/>
      <c r="CO57" s="107"/>
      <c r="CP57" s="105"/>
      <c r="CR57" s="38"/>
      <c r="CS57" s="13"/>
      <c r="CT57" s="107"/>
      <c r="CU57" s="107"/>
      <c r="CV57" s="105"/>
      <c r="CX57" s="13"/>
      <c r="CY57" s="107"/>
      <c r="CZ57" s="107"/>
      <c r="DA57" s="105"/>
      <c r="DC57" s="13"/>
      <c r="DD57" s="107"/>
      <c r="DE57" s="107"/>
      <c r="DF57" s="105"/>
      <c r="DH57" s="13"/>
      <c r="DI57" s="107"/>
      <c r="DJ57" s="107"/>
      <c r="DK57" s="105"/>
      <c r="DM57" s="13"/>
      <c r="DN57" s="107"/>
      <c r="DO57" s="107"/>
      <c r="DP57" s="105"/>
      <c r="DR57" s="13"/>
      <c r="DS57" s="107"/>
      <c r="DT57" s="107"/>
      <c r="DU57" s="105"/>
      <c r="DW57" s="38"/>
      <c r="DX57" s="13"/>
      <c r="DY57" s="107"/>
      <c r="DZ57" s="107"/>
      <c r="EA57" s="105"/>
      <c r="EC57" s="13"/>
      <c r="ED57" s="107"/>
      <c r="EE57" s="107"/>
      <c r="EF57" s="105"/>
      <c r="EH57" s="13"/>
      <c r="EI57" s="107"/>
      <c r="EJ57" s="107"/>
      <c r="EK57" s="105"/>
      <c r="EM57" s="13"/>
      <c r="EN57" s="107"/>
      <c r="EO57" s="107"/>
      <c r="EP57" s="105"/>
      <c r="ER57" s="13"/>
      <c r="ES57" s="107"/>
      <c r="ET57" s="107"/>
      <c r="EU57" s="105"/>
      <c r="EW57" s="13"/>
      <c r="EX57" s="107"/>
      <c r="EY57" s="107"/>
      <c r="EZ57" s="105"/>
      <c r="FB57" s="38"/>
      <c r="FC57" s="13"/>
      <c r="FD57" s="107"/>
      <c r="FE57" s="107"/>
      <c r="FF57" s="105"/>
      <c r="FH57" s="13"/>
      <c r="FI57" s="107"/>
      <c r="FJ57" s="107"/>
      <c r="FK57" s="105"/>
      <c r="FM57" s="13"/>
      <c r="FN57" s="107"/>
      <c r="FO57" s="107"/>
      <c r="FP57" s="105"/>
      <c r="FR57" s="13"/>
      <c r="FS57" s="107"/>
      <c r="FT57" s="107"/>
      <c r="FU57" s="105"/>
      <c r="FW57" s="13"/>
      <c r="FX57" s="107"/>
      <c r="FY57" s="107"/>
      <c r="FZ57" s="105"/>
      <c r="GB57" s="13"/>
      <c r="GC57" s="107"/>
      <c r="GD57" s="107"/>
      <c r="GE57" s="105"/>
      <c r="GG57" s="38"/>
      <c r="GH57" s="13"/>
      <c r="GI57" s="107"/>
      <c r="GJ57" s="107"/>
      <c r="GK57" s="105"/>
      <c r="GM57" s="13"/>
      <c r="GN57" s="107"/>
      <c r="GO57" s="107"/>
      <c r="GP57" s="105"/>
      <c r="GR57" s="13"/>
      <c r="GS57" s="107"/>
      <c r="GT57" s="107"/>
      <c r="GU57" s="105"/>
      <c r="GW57" s="13"/>
      <c r="GX57" s="107"/>
      <c r="GY57" s="107"/>
      <c r="GZ57" s="105"/>
      <c r="HB57" s="13"/>
      <c r="HC57" s="107"/>
      <c r="HD57" s="107"/>
      <c r="HE57" s="105"/>
      <c r="HG57" s="13"/>
      <c r="HH57" s="107"/>
      <c r="HI57" s="107"/>
      <c r="HJ57" s="105"/>
      <c r="HL57" s="38"/>
      <c r="HM57" s="13"/>
      <c r="HN57" s="107"/>
      <c r="HO57" s="107"/>
      <c r="HP57" s="105"/>
      <c r="HR57" s="13"/>
      <c r="HS57" s="107"/>
      <c r="HT57" s="107"/>
      <c r="HU57" s="105"/>
      <c r="HW57" s="13"/>
      <c r="HX57" s="107"/>
      <c r="HY57" s="107"/>
      <c r="HZ57" s="105"/>
      <c r="IB57" s="13"/>
      <c r="IC57" s="107"/>
      <c r="ID57" s="107"/>
      <c r="IE57" s="105"/>
      <c r="IG57" s="13"/>
      <c r="IH57" s="107"/>
      <c r="II57" s="107"/>
      <c r="IJ57" s="105"/>
      <c r="IL57" s="13"/>
      <c r="IM57" s="107"/>
      <c r="IN57" s="107"/>
      <c r="IO57" s="105"/>
      <c r="IQ57" s="38"/>
      <c r="IR57" s="13"/>
      <c r="IS57" s="107"/>
      <c r="IT57" s="107"/>
      <c r="IU57" s="105"/>
      <c r="IW57" s="13"/>
      <c r="IX57" s="107"/>
      <c r="IY57" s="107"/>
      <c r="IZ57" s="105"/>
      <c r="JB57" s="13"/>
      <c r="JC57" s="107"/>
      <c r="JD57" s="107"/>
      <c r="JE57" s="105"/>
      <c r="JG57" s="13"/>
      <c r="JH57" s="107"/>
      <c r="JI57" s="107"/>
      <c r="JJ57" s="105"/>
      <c r="JL57" s="13"/>
      <c r="JM57" s="107"/>
      <c r="JN57" s="107"/>
      <c r="JO57" s="105"/>
      <c r="JQ57" s="13"/>
      <c r="JR57" s="107"/>
      <c r="JS57" s="107"/>
      <c r="JT57" s="105"/>
      <c r="JW57" s="13"/>
      <c r="JX57" s="107"/>
      <c r="JY57" s="107"/>
      <c r="JZ57" s="105"/>
      <c r="KC57" s="107"/>
      <c r="KD57" s="107"/>
      <c r="KE57" s="105"/>
      <c r="KH57" s="107"/>
      <c r="KI57" s="107"/>
      <c r="KJ57" s="105"/>
      <c r="KM57" s="107"/>
      <c r="KN57" s="107"/>
      <c r="KO57" s="105"/>
      <c r="KR57" s="107"/>
      <c r="KS57" s="107"/>
      <c r="KT57" s="105"/>
      <c r="KW57" s="107"/>
      <c r="KX57" s="107"/>
      <c r="KY57" s="105"/>
      <c r="LB57" s="13"/>
      <c r="LC57" s="107"/>
      <c r="LD57" s="107"/>
      <c r="LE57" s="105"/>
      <c r="LH57" s="107"/>
      <c r="LI57" s="107"/>
      <c r="LJ57" s="105"/>
      <c r="LM57" s="107"/>
      <c r="LN57" s="107"/>
      <c r="LO57" s="105"/>
      <c r="LR57" s="107"/>
      <c r="LS57" s="107"/>
      <c r="LT57" s="105"/>
      <c r="LW57" s="107"/>
      <c r="LX57" s="107"/>
      <c r="LY57" s="105"/>
      <c r="MB57" s="107"/>
      <c r="MC57" s="107"/>
      <c r="MD57" s="105"/>
      <c r="MG57" s="13"/>
      <c r="MH57" s="107"/>
      <c r="MI57" s="107"/>
      <c r="MJ57" s="105"/>
      <c r="MM57" s="107"/>
      <c r="MN57" s="107"/>
      <c r="MO57" s="105"/>
      <c r="MR57" s="107"/>
      <c r="MS57" s="107"/>
      <c r="MT57" s="105"/>
      <c r="MW57" s="107"/>
      <c r="MX57" s="107"/>
      <c r="MY57" s="105"/>
      <c r="NB57" s="107"/>
      <c r="NC57" s="107"/>
      <c r="ND57" s="105"/>
      <c r="NG57" s="107"/>
      <c r="NH57" s="107"/>
      <c r="NI57" s="105"/>
      <c r="NL57" s="13"/>
      <c r="NM57" s="107"/>
      <c r="NN57" s="107"/>
      <c r="NO57" s="105"/>
      <c r="NR57" s="107"/>
      <c r="NS57" s="107"/>
      <c r="NT57" s="105"/>
      <c r="NW57" s="107"/>
      <c r="NX57" s="107"/>
      <c r="NY57" s="105"/>
      <c r="OB57" s="107"/>
      <c r="OC57" s="107"/>
      <c r="OD57" s="105"/>
      <c r="OG57" s="107"/>
      <c r="OH57" s="107"/>
      <c r="OI57" s="105"/>
      <c r="OL57" s="107"/>
      <c r="OM57" s="107"/>
      <c r="ON57" s="105"/>
    </row>
    <row r="58" ht="15.75" customHeight="1">
      <c r="A58" s="42"/>
      <c r="B58" s="42"/>
      <c r="C58" s="42"/>
      <c r="D58" s="38">
        <f>O2</f>
        <v>45966</v>
      </c>
      <c r="E58" s="105" t="str">
        <f t="shared" ref="E58:I58" si="269">O4</f>
        <v/>
      </c>
      <c r="F58" s="105" t="str">
        <f t="shared" si="269"/>
        <v/>
      </c>
      <c r="G58" s="105" t="str">
        <f t="shared" si="269"/>
        <v/>
      </c>
      <c r="H58" s="106" t="str">
        <f t="shared" si="269"/>
        <v/>
      </c>
      <c r="I58" s="106" t="str">
        <f t="shared" si="269"/>
        <v/>
      </c>
      <c r="J58" s="107" t="str">
        <f t="array" ref="J58">IFERROR(IF(XLOOKUP(CONCAT(E58,F58),'MASTER PLAN'!$AB:$AB,'MASTER PLAN'!$M:$M,0,0)=0,"",XLOOKUP(CONCAT(E58,F58),'MASTER PLAN'!$AB:$AB,'MASTER PLAN'!$M:$M,0,0)),"")</f>
        <v/>
      </c>
      <c r="K58" s="107">
        <f t="shared" si="237"/>
        <v>0</v>
      </c>
      <c r="L58" s="107">
        <f t="shared" si="238"/>
        <v>0</v>
      </c>
      <c r="M58" s="105" t="s">
        <v>246</v>
      </c>
      <c r="N58" s="13"/>
      <c r="O58" s="107"/>
      <c r="P58" s="107"/>
      <c r="Q58" s="105"/>
      <c r="S58" s="13"/>
      <c r="T58" s="107"/>
      <c r="U58" s="107"/>
      <c r="V58" s="105"/>
      <c r="X58" s="13"/>
      <c r="Y58" s="107"/>
      <c r="Z58" s="107"/>
      <c r="AA58" s="105"/>
      <c r="AC58" s="13"/>
      <c r="AD58" s="107"/>
      <c r="AE58" s="107"/>
      <c r="AF58" s="105"/>
      <c r="AH58" s="38"/>
      <c r="AI58" s="13"/>
      <c r="AJ58" s="107"/>
      <c r="AK58" s="107"/>
      <c r="AL58" s="105"/>
      <c r="AN58" s="13"/>
      <c r="AO58" s="107"/>
      <c r="AP58" s="107"/>
      <c r="AQ58" s="105"/>
      <c r="AS58" s="13"/>
      <c r="AT58" s="107"/>
      <c r="AU58" s="107"/>
      <c r="AV58" s="105"/>
      <c r="AX58" s="13"/>
      <c r="AY58" s="107"/>
      <c r="AZ58" s="107"/>
      <c r="BA58" s="105"/>
      <c r="BC58" s="13"/>
      <c r="BD58" s="107"/>
      <c r="BE58" s="107"/>
      <c r="BF58" s="105"/>
      <c r="BH58" s="13"/>
      <c r="BI58" s="107"/>
      <c r="BJ58" s="107"/>
      <c r="BK58" s="105"/>
      <c r="BM58" s="38"/>
      <c r="BN58" s="13"/>
      <c r="BO58" s="107"/>
      <c r="BP58" s="107"/>
      <c r="BQ58" s="105"/>
      <c r="BS58" s="13"/>
      <c r="BT58" s="107"/>
      <c r="BU58" s="107"/>
      <c r="BV58" s="105"/>
      <c r="BX58" s="13"/>
      <c r="BY58" s="107"/>
      <c r="BZ58" s="107"/>
      <c r="CA58" s="105"/>
      <c r="CC58" s="13"/>
      <c r="CD58" s="107"/>
      <c r="CE58" s="107"/>
      <c r="CF58" s="105"/>
      <c r="CH58" s="13"/>
      <c r="CI58" s="107"/>
      <c r="CJ58" s="107"/>
      <c r="CK58" s="105"/>
      <c r="CM58" s="13"/>
      <c r="CN58" s="107"/>
      <c r="CO58" s="107"/>
      <c r="CP58" s="105"/>
      <c r="CR58" s="38"/>
      <c r="CS58" s="13"/>
      <c r="CT58" s="107"/>
      <c r="CU58" s="107"/>
      <c r="CV58" s="105"/>
      <c r="CX58" s="13"/>
      <c r="CY58" s="107"/>
      <c r="CZ58" s="107"/>
      <c r="DA58" s="105"/>
      <c r="DC58" s="13"/>
      <c r="DD58" s="107"/>
      <c r="DE58" s="107"/>
      <c r="DF58" s="105"/>
      <c r="DH58" s="13"/>
      <c r="DI58" s="107"/>
      <c r="DJ58" s="107"/>
      <c r="DK58" s="105"/>
      <c r="DM58" s="13"/>
      <c r="DN58" s="107"/>
      <c r="DO58" s="107"/>
      <c r="DP58" s="105"/>
      <c r="DR58" s="13"/>
      <c r="DS58" s="107"/>
      <c r="DT58" s="107"/>
      <c r="DU58" s="105"/>
      <c r="DW58" s="38"/>
      <c r="DX58" s="13"/>
      <c r="DY58" s="107"/>
      <c r="DZ58" s="107"/>
      <c r="EA58" s="105"/>
      <c r="EC58" s="13"/>
      <c r="ED58" s="107"/>
      <c r="EE58" s="107"/>
      <c r="EF58" s="105"/>
      <c r="EH58" s="13"/>
      <c r="EI58" s="107"/>
      <c r="EJ58" s="107"/>
      <c r="EK58" s="105"/>
      <c r="EM58" s="13"/>
      <c r="EN58" s="107"/>
      <c r="EO58" s="107"/>
      <c r="EP58" s="105"/>
      <c r="ER58" s="13"/>
      <c r="ES58" s="107"/>
      <c r="ET58" s="107"/>
      <c r="EU58" s="105"/>
      <c r="EW58" s="13"/>
      <c r="EX58" s="107"/>
      <c r="EY58" s="107"/>
      <c r="EZ58" s="105"/>
      <c r="FB58" s="38"/>
      <c r="FC58" s="13"/>
      <c r="FD58" s="107"/>
      <c r="FE58" s="107"/>
      <c r="FF58" s="105"/>
      <c r="FH58" s="13"/>
      <c r="FI58" s="107"/>
      <c r="FJ58" s="107"/>
      <c r="FK58" s="105"/>
      <c r="FM58" s="13"/>
      <c r="FN58" s="107"/>
      <c r="FO58" s="107"/>
      <c r="FP58" s="105"/>
      <c r="FR58" s="13"/>
      <c r="FS58" s="107"/>
      <c r="FT58" s="107"/>
      <c r="FU58" s="105"/>
      <c r="FW58" s="13"/>
      <c r="FX58" s="107"/>
      <c r="FY58" s="107"/>
      <c r="FZ58" s="105"/>
      <c r="GB58" s="13"/>
      <c r="GC58" s="107"/>
      <c r="GD58" s="107"/>
      <c r="GE58" s="105"/>
      <c r="GG58" s="38"/>
      <c r="GH58" s="13"/>
      <c r="GI58" s="107"/>
      <c r="GJ58" s="107"/>
      <c r="GK58" s="105"/>
      <c r="GM58" s="13"/>
      <c r="GN58" s="107"/>
      <c r="GO58" s="107"/>
      <c r="GP58" s="105"/>
      <c r="GR58" s="13"/>
      <c r="GS58" s="107"/>
      <c r="GT58" s="107"/>
      <c r="GU58" s="105"/>
      <c r="GW58" s="13"/>
      <c r="GX58" s="107"/>
      <c r="GY58" s="107"/>
      <c r="GZ58" s="105"/>
      <c r="HB58" s="13"/>
      <c r="HC58" s="107"/>
      <c r="HD58" s="107"/>
      <c r="HE58" s="105"/>
      <c r="HG58" s="13"/>
      <c r="HH58" s="107"/>
      <c r="HI58" s="107"/>
      <c r="HJ58" s="105"/>
      <c r="HL58" s="38"/>
      <c r="HM58" s="13"/>
      <c r="HN58" s="107"/>
      <c r="HO58" s="107"/>
      <c r="HP58" s="105"/>
      <c r="HR58" s="13"/>
      <c r="HS58" s="107"/>
      <c r="HT58" s="107"/>
      <c r="HU58" s="105"/>
      <c r="HW58" s="13"/>
      <c r="HX58" s="107"/>
      <c r="HY58" s="107"/>
      <c r="HZ58" s="105"/>
      <c r="IB58" s="13"/>
      <c r="IC58" s="107"/>
      <c r="ID58" s="107"/>
      <c r="IE58" s="105"/>
      <c r="IG58" s="13"/>
      <c r="IH58" s="107"/>
      <c r="II58" s="107"/>
      <c r="IJ58" s="105"/>
      <c r="IL58" s="13"/>
      <c r="IM58" s="107"/>
      <c r="IN58" s="107"/>
      <c r="IO58" s="105"/>
      <c r="IQ58" s="38"/>
      <c r="IR58" s="13"/>
      <c r="IS58" s="107"/>
      <c r="IT58" s="107"/>
      <c r="IU58" s="105"/>
      <c r="IW58" s="13"/>
      <c r="IX58" s="107"/>
      <c r="IY58" s="107"/>
      <c r="IZ58" s="105"/>
      <c r="JB58" s="13"/>
      <c r="JC58" s="107"/>
      <c r="JD58" s="107"/>
      <c r="JE58" s="105"/>
      <c r="JG58" s="13"/>
      <c r="JH58" s="107"/>
      <c r="JI58" s="107"/>
      <c r="JJ58" s="105"/>
      <c r="JL58" s="13"/>
      <c r="JM58" s="107"/>
      <c r="JN58" s="107"/>
      <c r="JO58" s="105"/>
      <c r="JQ58" s="13"/>
      <c r="JR58" s="107"/>
      <c r="JS58" s="107"/>
      <c r="JT58" s="105"/>
      <c r="JW58" s="13"/>
      <c r="JX58" s="107"/>
      <c r="JY58" s="107"/>
      <c r="JZ58" s="105"/>
      <c r="KC58" s="107"/>
      <c r="KD58" s="107"/>
      <c r="KE58" s="105"/>
      <c r="KH58" s="107"/>
      <c r="KI58" s="107"/>
      <c r="KJ58" s="105"/>
      <c r="KM58" s="107"/>
      <c r="KN58" s="107"/>
      <c r="KO58" s="105"/>
      <c r="KR58" s="107"/>
      <c r="KS58" s="107"/>
      <c r="KT58" s="105"/>
      <c r="KW58" s="107"/>
      <c r="KX58" s="107"/>
      <c r="KY58" s="105"/>
      <c r="LB58" s="13"/>
      <c r="LC58" s="107"/>
      <c r="LD58" s="107"/>
      <c r="LE58" s="105"/>
      <c r="LH58" s="107"/>
      <c r="LI58" s="107"/>
      <c r="LJ58" s="105"/>
      <c r="LM58" s="107"/>
      <c r="LN58" s="107"/>
      <c r="LO58" s="105"/>
      <c r="LR58" s="107"/>
      <c r="LS58" s="107"/>
      <c r="LT58" s="105"/>
      <c r="LW58" s="107"/>
      <c r="LX58" s="107"/>
      <c r="LY58" s="105"/>
      <c r="MB58" s="107"/>
      <c r="MC58" s="107"/>
      <c r="MD58" s="105"/>
      <c r="MG58" s="13"/>
      <c r="MH58" s="107"/>
      <c r="MI58" s="107"/>
      <c r="MJ58" s="105"/>
      <c r="MM58" s="107"/>
      <c r="MN58" s="107"/>
      <c r="MO58" s="105"/>
      <c r="MR58" s="107"/>
      <c r="MS58" s="107"/>
      <c r="MT58" s="105"/>
      <c r="MW58" s="107"/>
      <c r="MX58" s="107"/>
      <c r="MY58" s="105"/>
      <c r="NB58" s="107"/>
      <c r="NC58" s="107"/>
      <c r="ND58" s="105"/>
      <c r="NG58" s="107"/>
      <c r="NH58" s="107"/>
      <c r="NI58" s="105"/>
      <c r="NL58" s="13"/>
      <c r="NM58" s="107"/>
      <c r="NN58" s="107"/>
      <c r="NO58" s="105"/>
      <c r="NR58" s="107"/>
      <c r="NS58" s="107"/>
      <c r="NT58" s="105"/>
      <c r="NW58" s="107"/>
      <c r="NX58" s="107"/>
      <c r="NY58" s="105"/>
      <c r="OB58" s="107"/>
      <c r="OC58" s="107"/>
      <c r="OD58" s="105"/>
      <c r="OG58" s="107"/>
      <c r="OH58" s="107"/>
      <c r="OI58" s="105"/>
      <c r="OL58" s="107"/>
      <c r="OM58" s="107"/>
      <c r="ON58" s="105"/>
    </row>
    <row r="59" ht="15.75" customHeight="1">
      <c r="A59" s="42"/>
      <c r="B59" s="42"/>
      <c r="C59" s="42"/>
      <c r="D59" s="38">
        <f t="shared" ref="D59:D72" si="271">D58</f>
        <v>45966</v>
      </c>
      <c r="E59" s="105" t="str">
        <f t="shared" ref="E59:I59" si="270">O5</f>
        <v/>
      </c>
      <c r="F59" s="105" t="str">
        <f t="shared" si="270"/>
        <v/>
      </c>
      <c r="G59" s="105" t="str">
        <f t="shared" si="270"/>
        <v/>
      </c>
      <c r="H59" s="106" t="str">
        <f t="shared" si="270"/>
        <v/>
      </c>
      <c r="I59" s="106" t="str">
        <f t="shared" si="270"/>
        <v/>
      </c>
      <c r="J59" s="107" t="str">
        <f t="array" ref="J59">IFERROR(IF(XLOOKUP(CONCAT(E59,F59),'MASTER PLAN'!$AB:$AB,'MASTER PLAN'!$M:$M,0,0)=0,"",XLOOKUP(CONCAT(E59,F59),'MASTER PLAN'!$AB:$AB,'MASTER PLAN'!$M:$M,0,0)),"")</f>
        <v/>
      </c>
      <c r="K59" s="107">
        <f t="shared" si="237"/>
        <v>0</v>
      </c>
      <c r="L59" s="107">
        <f t="shared" si="238"/>
        <v>0</v>
      </c>
      <c r="M59" s="105" t="s">
        <v>246</v>
      </c>
      <c r="N59" s="13"/>
      <c r="O59" s="107"/>
      <c r="P59" s="107"/>
      <c r="Q59" s="105"/>
      <c r="S59" s="13"/>
      <c r="T59" s="107"/>
      <c r="U59" s="107"/>
      <c r="V59" s="105"/>
      <c r="X59" s="13"/>
      <c r="Y59" s="107"/>
      <c r="Z59" s="107"/>
      <c r="AA59" s="105"/>
      <c r="AC59" s="13"/>
      <c r="AD59" s="107"/>
      <c r="AE59" s="107"/>
      <c r="AF59" s="105"/>
      <c r="AH59" s="38"/>
      <c r="AI59" s="13"/>
      <c r="AJ59" s="107"/>
      <c r="AK59" s="107"/>
      <c r="AL59" s="105"/>
      <c r="AN59" s="13"/>
      <c r="AO59" s="107"/>
      <c r="AP59" s="107"/>
      <c r="AQ59" s="105"/>
      <c r="AS59" s="13"/>
      <c r="AT59" s="107"/>
      <c r="AU59" s="107"/>
      <c r="AV59" s="105"/>
      <c r="AX59" s="13"/>
      <c r="AY59" s="107"/>
      <c r="AZ59" s="107"/>
      <c r="BA59" s="105"/>
      <c r="BC59" s="13"/>
      <c r="BD59" s="107"/>
      <c r="BE59" s="107"/>
      <c r="BF59" s="105"/>
      <c r="BH59" s="13"/>
      <c r="BI59" s="107"/>
      <c r="BJ59" s="107"/>
      <c r="BK59" s="105"/>
      <c r="BM59" s="38"/>
      <c r="BN59" s="13"/>
      <c r="BO59" s="107"/>
      <c r="BP59" s="107"/>
      <c r="BQ59" s="105"/>
      <c r="BS59" s="13"/>
      <c r="BT59" s="107"/>
      <c r="BU59" s="107"/>
      <c r="BV59" s="105"/>
      <c r="BX59" s="13"/>
      <c r="BY59" s="107"/>
      <c r="BZ59" s="107"/>
      <c r="CA59" s="105"/>
      <c r="CC59" s="13"/>
      <c r="CD59" s="107"/>
      <c r="CE59" s="107"/>
      <c r="CF59" s="105"/>
      <c r="CH59" s="13"/>
      <c r="CI59" s="107"/>
      <c r="CJ59" s="107"/>
      <c r="CK59" s="105"/>
      <c r="CM59" s="13"/>
      <c r="CN59" s="107"/>
      <c r="CO59" s="107"/>
      <c r="CP59" s="105"/>
      <c r="CR59" s="38"/>
      <c r="CS59" s="13"/>
      <c r="CT59" s="107"/>
      <c r="CU59" s="107"/>
      <c r="CV59" s="105"/>
      <c r="CX59" s="13"/>
      <c r="CY59" s="107"/>
      <c r="CZ59" s="107"/>
      <c r="DA59" s="105"/>
      <c r="DC59" s="13"/>
      <c r="DD59" s="107"/>
      <c r="DE59" s="107"/>
      <c r="DF59" s="105"/>
      <c r="DH59" s="13"/>
      <c r="DI59" s="107"/>
      <c r="DJ59" s="107"/>
      <c r="DK59" s="105"/>
      <c r="DM59" s="13"/>
      <c r="DN59" s="107"/>
      <c r="DO59" s="107"/>
      <c r="DP59" s="105"/>
      <c r="DR59" s="13"/>
      <c r="DS59" s="107"/>
      <c r="DT59" s="107"/>
      <c r="DU59" s="105"/>
      <c r="DW59" s="38"/>
      <c r="DX59" s="13"/>
      <c r="DY59" s="107"/>
      <c r="DZ59" s="107"/>
      <c r="EA59" s="105"/>
      <c r="EC59" s="13"/>
      <c r="ED59" s="107"/>
      <c r="EE59" s="107"/>
      <c r="EF59" s="105"/>
      <c r="EH59" s="13"/>
      <c r="EI59" s="107"/>
      <c r="EJ59" s="107"/>
      <c r="EK59" s="105"/>
      <c r="EM59" s="13"/>
      <c r="EN59" s="107"/>
      <c r="EO59" s="107"/>
      <c r="EP59" s="105"/>
      <c r="ER59" s="13"/>
      <c r="ES59" s="107"/>
      <c r="ET59" s="107"/>
      <c r="EU59" s="105"/>
      <c r="EW59" s="13"/>
      <c r="EX59" s="107"/>
      <c r="EY59" s="107"/>
      <c r="EZ59" s="105"/>
      <c r="FB59" s="38"/>
      <c r="FC59" s="13"/>
      <c r="FD59" s="107"/>
      <c r="FE59" s="107"/>
      <c r="FF59" s="105"/>
      <c r="FH59" s="13"/>
      <c r="FI59" s="107"/>
      <c r="FJ59" s="107"/>
      <c r="FK59" s="105"/>
      <c r="FM59" s="13"/>
      <c r="FN59" s="107"/>
      <c r="FO59" s="107"/>
      <c r="FP59" s="105"/>
      <c r="FR59" s="13"/>
      <c r="FS59" s="107"/>
      <c r="FT59" s="107"/>
      <c r="FU59" s="105"/>
      <c r="FW59" s="13"/>
      <c r="FX59" s="107"/>
      <c r="FY59" s="107"/>
      <c r="FZ59" s="105"/>
      <c r="GB59" s="13"/>
      <c r="GC59" s="107"/>
      <c r="GD59" s="107"/>
      <c r="GE59" s="105"/>
      <c r="GG59" s="38"/>
      <c r="GH59" s="13"/>
      <c r="GI59" s="107"/>
      <c r="GJ59" s="107"/>
      <c r="GK59" s="105"/>
      <c r="GM59" s="13"/>
      <c r="GN59" s="107"/>
      <c r="GO59" s="107"/>
      <c r="GP59" s="105"/>
      <c r="GR59" s="13"/>
      <c r="GS59" s="107"/>
      <c r="GT59" s="107"/>
      <c r="GU59" s="105"/>
      <c r="GW59" s="13"/>
      <c r="GX59" s="107"/>
      <c r="GY59" s="107"/>
      <c r="GZ59" s="105"/>
      <c r="HB59" s="13"/>
      <c r="HC59" s="107"/>
      <c r="HD59" s="107"/>
      <c r="HE59" s="105"/>
      <c r="HG59" s="13"/>
      <c r="HH59" s="107"/>
      <c r="HI59" s="107"/>
      <c r="HJ59" s="105"/>
      <c r="HL59" s="38"/>
      <c r="HM59" s="13"/>
      <c r="HN59" s="107"/>
      <c r="HO59" s="107"/>
      <c r="HP59" s="105"/>
      <c r="HR59" s="13"/>
      <c r="HS59" s="107"/>
      <c r="HT59" s="107"/>
      <c r="HU59" s="105"/>
      <c r="HW59" s="13"/>
      <c r="HX59" s="107"/>
      <c r="HY59" s="107"/>
      <c r="HZ59" s="105"/>
      <c r="IB59" s="13"/>
      <c r="IC59" s="107"/>
      <c r="ID59" s="107"/>
      <c r="IE59" s="105"/>
      <c r="IG59" s="13"/>
      <c r="IH59" s="107"/>
      <c r="II59" s="107"/>
      <c r="IJ59" s="105"/>
      <c r="IL59" s="13"/>
      <c r="IM59" s="107"/>
      <c r="IN59" s="107"/>
      <c r="IO59" s="105"/>
      <c r="IQ59" s="38"/>
      <c r="IR59" s="13"/>
      <c r="IS59" s="107"/>
      <c r="IT59" s="107"/>
      <c r="IU59" s="105"/>
      <c r="IW59" s="13"/>
      <c r="IX59" s="107"/>
      <c r="IY59" s="107"/>
      <c r="IZ59" s="105"/>
      <c r="JB59" s="13"/>
      <c r="JC59" s="107"/>
      <c r="JD59" s="107"/>
      <c r="JE59" s="105"/>
      <c r="JG59" s="13"/>
      <c r="JH59" s="107"/>
      <c r="JI59" s="107"/>
      <c r="JJ59" s="105"/>
      <c r="JL59" s="13"/>
      <c r="JM59" s="107"/>
      <c r="JN59" s="107"/>
      <c r="JO59" s="105"/>
      <c r="JQ59" s="13"/>
      <c r="JR59" s="107"/>
      <c r="JS59" s="107"/>
      <c r="JT59" s="105"/>
      <c r="JW59" s="13"/>
      <c r="JX59" s="107"/>
      <c r="JY59" s="107"/>
      <c r="JZ59" s="105"/>
      <c r="KC59" s="107"/>
      <c r="KD59" s="107"/>
      <c r="KE59" s="105"/>
      <c r="KH59" s="107"/>
      <c r="KI59" s="107"/>
      <c r="KJ59" s="105"/>
      <c r="KM59" s="107"/>
      <c r="KN59" s="107"/>
      <c r="KO59" s="105"/>
      <c r="KR59" s="107"/>
      <c r="KS59" s="107"/>
      <c r="KT59" s="105"/>
      <c r="KW59" s="107"/>
      <c r="KX59" s="107"/>
      <c r="KY59" s="105"/>
      <c r="LB59" s="13"/>
      <c r="LC59" s="107"/>
      <c r="LD59" s="107"/>
      <c r="LE59" s="105"/>
      <c r="LH59" s="107"/>
      <c r="LI59" s="107"/>
      <c r="LJ59" s="105"/>
      <c r="LM59" s="107"/>
      <c r="LN59" s="107"/>
      <c r="LO59" s="105"/>
      <c r="LR59" s="107"/>
      <c r="LS59" s="107"/>
      <c r="LT59" s="105"/>
      <c r="LW59" s="107"/>
      <c r="LX59" s="107"/>
      <c r="LY59" s="105"/>
      <c r="MB59" s="107"/>
      <c r="MC59" s="107"/>
      <c r="MD59" s="105"/>
      <c r="MG59" s="13"/>
      <c r="MH59" s="107"/>
      <c r="MI59" s="107"/>
      <c r="MJ59" s="105"/>
      <c r="MM59" s="107"/>
      <c r="MN59" s="107"/>
      <c r="MO59" s="105"/>
      <c r="MR59" s="107"/>
      <c r="MS59" s="107"/>
      <c r="MT59" s="105"/>
      <c r="MW59" s="107"/>
      <c r="MX59" s="107"/>
      <c r="MY59" s="105"/>
      <c r="NB59" s="107"/>
      <c r="NC59" s="107"/>
      <c r="ND59" s="105"/>
      <c r="NG59" s="107"/>
      <c r="NH59" s="107"/>
      <c r="NI59" s="105"/>
      <c r="NL59" s="13"/>
      <c r="NM59" s="107"/>
      <c r="NN59" s="107"/>
      <c r="NO59" s="105"/>
      <c r="NR59" s="107"/>
      <c r="NS59" s="107"/>
      <c r="NT59" s="105"/>
      <c r="NW59" s="107"/>
      <c r="NX59" s="107"/>
      <c r="NY59" s="105"/>
      <c r="OB59" s="107"/>
      <c r="OC59" s="107"/>
      <c r="OD59" s="105"/>
      <c r="OG59" s="107"/>
      <c r="OH59" s="107"/>
      <c r="OI59" s="105"/>
      <c r="OL59" s="107"/>
      <c r="OM59" s="107"/>
      <c r="ON59" s="105"/>
    </row>
    <row r="60" ht="15.75" customHeight="1">
      <c r="A60" s="42"/>
      <c r="B60" s="42"/>
      <c r="C60" s="42"/>
      <c r="D60" s="38">
        <f t="shared" si="271"/>
        <v>45966</v>
      </c>
      <c r="E60" s="105" t="str">
        <f t="shared" ref="E60:I60" si="272">O6</f>
        <v/>
      </c>
      <c r="F60" s="105" t="str">
        <f t="shared" si="272"/>
        <v/>
      </c>
      <c r="G60" s="105" t="str">
        <f t="shared" si="272"/>
        <v/>
      </c>
      <c r="H60" s="106" t="str">
        <f t="shared" si="272"/>
        <v/>
      </c>
      <c r="I60" s="106" t="str">
        <f t="shared" si="272"/>
        <v/>
      </c>
      <c r="J60" s="107" t="str">
        <f t="array" ref="J60">IFERROR(IF(XLOOKUP(CONCAT(E60,F60),'MASTER PLAN'!$AB:$AB,'MASTER PLAN'!$M:$M,0,0)=0,"",XLOOKUP(CONCAT(E60,F60),'MASTER PLAN'!$AB:$AB,'MASTER PLAN'!$M:$M,0,0)),"")</f>
        <v/>
      </c>
      <c r="K60" s="107">
        <f t="shared" si="237"/>
        <v>0</v>
      </c>
      <c r="L60" s="107">
        <f t="shared" si="238"/>
        <v>0</v>
      </c>
      <c r="M60" s="105" t="s">
        <v>246</v>
      </c>
      <c r="N60" s="13"/>
      <c r="O60" s="107"/>
      <c r="P60" s="107"/>
      <c r="Q60" s="105"/>
      <c r="S60" s="13"/>
      <c r="T60" s="107"/>
      <c r="U60" s="107"/>
      <c r="V60" s="105"/>
      <c r="X60" s="13"/>
      <c r="Y60" s="107"/>
      <c r="Z60" s="107"/>
      <c r="AA60" s="105"/>
      <c r="AC60" s="13"/>
      <c r="AD60" s="107"/>
      <c r="AE60" s="107"/>
      <c r="AF60" s="105"/>
      <c r="AH60" s="38"/>
      <c r="AI60" s="13"/>
      <c r="AJ60" s="107"/>
      <c r="AK60" s="107"/>
      <c r="AL60" s="105"/>
      <c r="AN60" s="13"/>
      <c r="AO60" s="107"/>
      <c r="AP60" s="107"/>
      <c r="AQ60" s="105"/>
      <c r="AS60" s="13"/>
      <c r="AT60" s="107"/>
      <c r="AU60" s="107"/>
      <c r="AV60" s="105"/>
      <c r="AX60" s="13"/>
      <c r="AY60" s="107"/>
      <c r="AZ60" s="107"/>
      <c r="BA60" s="105"/>
      <c r="BC60" s="13"/>
      <c r="BD60" s="107"/>
      <c r="BE60" s="107"/>
      <c r="BF60" s="105"/>
      <c r="BH60" s="13"/>
      <c r="BI60" s="107"/>
      <c r="BJ60" s="107"/>
      <c r="BK60" s="105"/>
      <c r="BM60" s="38"/>
      <c r="BN60" s="13"/>
      <c r="BO60" s="107"/>
      <c r="BP60" s="107"/>
      <c r="BQ60" s="105"/>
      <c r="BS60" s="13"/>
      <c r="BT60" s="107"/>
      <c r="BU60" s="107"/>
      <c r="BV60" s="105"/>
      <c r="BX60" s="13"/>
      <c r="BY60" s="107"/>
      <c r="BZ60" s="107"/>
      <c r="CA60" s="105"/>
      <c r="CC60" s="13"/>
      <c r="CD60" s="107"/>
      <c r="CE60" s="107"/>
      <c r="CF60" s="105"/>
      <c r="CH60" s="13"/>
      <c r="CI60" s="107"/>
      <c r="CJ60" s="107"/>
      <c r="CK60" s="105"/>
      <c r="CM60" s="13"/>
      <c r="CN60" s="107"/>
      <c r="CO60" s="107"/>
      <c r="CP60" s="105"/>
      <c r="CR60" s="38"/>
      <c r="CS60" s="13"/>
      <c r="CT60" s="107"/>
      <c r="CU60" s="107"/>
      <c r="CV60" s="105"/>
      <c r="CX60" s="13"/>
      <c r="CY60" s="107"/>
      <c r="CZ60" s="107"/>
      <c r="DA60" s="105"/>
      <c r="DC60" s="13"/>
      <c r="DD60" s="107"/>
      <c r="DE60" s="107"/>
      <c r="DF60" s="105"/>
      <c r="DH60" s="13"/>
      <c r="DI60" s="107"/>
      <c r="DJ60" s="107"/>
      <c r="DK60" s="105"/>
      <c r="DM60" s="13"/>
      <c r="DN60" s="107"/>
      <c r="DO60" s="107"/>
      <c r="DP60" s="105"/>
      <c r="DR60" s="13"/>
      <c r="DS60" s="107"/>
      <c r="DT60" s="107"/>
      <c r="DU60" s="105"/>
      <c r="DW60" s="38"/>
      <c r="DX60" s="13"/>
      <c r="DY60" s="107"/>
      <c r="DZ60" s="107"/>
      <c r="EA60" s="105"/>
      <c r="EC60" s="13"/>
      <c r="ED60" s="107"/>
      <c r="EE60" s="107"/>
      <c r="EF60" s="105"/>
      <c r="EH60" s="13"/>
      <c r="EI60" s="107"/>
      <c r="EJ60" s="107"/>
      <c r="EK60" s="105"/>
      <c r="EM60" s="13"/>
      <c r="EN60" s="107"/>
      <c r="EO60" s="107"/>
      <c r="EP60" s="105"/>
      <c r="ER60" s="13"/>
      <c r="ES60" s="107"/>
      <c r="ET60" s="107"/>
      <c r="EU60" s="105"/>
      <c r="EW60" s="13"/>
      <c r="EX60" s="107"/>
      <c r="EY60" s="107"/>
      <c r="EZ60" s="105"/>
      <c r="FB60" s="38"/>
      <c r="FC60" s="13"/>
      <c r="FD60" s="107"/>
      <c r="FE60" s="107"/>
      <c r="FF60" s="105"/>
      <c r="FH60" s="13"/>
      <c r="FI60" s="107"/>
      <c r="FJ60" s="107"/>
      <c r="FK60" s="105"/>
      <c r="FM60" s="13"/>
      <c r="FN60" s="107"/>
      <c r="FO60" s="107"/>
      <c r="FP60" s="105"/>
      <c r="FR60" s="13"/>
      <c r="FS60" s="107"/>
      <c r="FT60" s="107"/>
      <c r="FU60" s="105"/>
      <c r="FW60" s="13"/>
      <c r="FX60" s="107"/>
      <c r="FY60" s="107"/>
      <c r="FZ60" s="105"/>
      <c r="GB60" s="13"/>
      <c r="GC60" s="107"/>
      <c r="GD60" s="107"/>
      <c r="GE60" s="105"/>
      <c r="GG60" s="38"/>
      <c r="GH60" s="13"/>
      <c r="GI60" s="107"/>
      <c r="GJ60" s="107"/>
      <c r="GK60" s="105"/>
      <c r="GM60" s="13"/>
      <c r="GN60" s="107"/>
      <c r="GO60" s="107"/>
      <c r="GP60" s="105"/>
      <c r="GR60" s="13"/>
      <c r="GS60" s="107"/>
      <c r="GT60" s="107"/>
      <c r="GU60" s="105"/>
      <c r="GW60" s="13"/>
      <c r="GX60" s="107"/>
      <c r="GY60" s="107"/>
      <c r="GZ60" s="105"/>
      <c r="HB60" s="13"/>
      <c r="HC60" s="107"/>
      <c r="HD60" s="107"/>
      <c r="HE60" s="105"/>
      <c r="HG60" s="13"/>
      <c r="HH60" s="107"/>
      <c r="HI60" s="107"/>
      <c r="HJ60" s="105"/>
      <c r="HL60" s="38"/>
      <c r="HM60" s="13"/>
      <c r="HN60" s="107"/>
      <c r="HO60" s="107"/>
      <c r="HP60" s="105"/>
      <c r="HR60" s="13"/>
      <c r="HS60" s="107"/>
      <c r="HT60" s="107"/>
      <c r="HU60" s="105"/>
      <c r="HW60" s="13"/>
      <c r="HX60" s="107"/>
      <c r="HY60" s="107"/>
      <c r="HZ60" s="105"/>
      <c r="IB60" s="13"/>
      <c r="IC60" s="107"/>
      <c r="ID60" s="107"/>
      <c r="IE60" s="105"/>
      <c r="IG60" s="13"/>
      <c r="IH60" s="107"/>
      <c r="II60" s="107"/>
      <c r="IJ60" s="105"/>
      <c r="IL60" s="13"/>
      <c r="IM60" s="107"/>
      <c r="IN60" s="107"/>
      <c r="IO60" s="105"/>
      <c r="IQ60" s="38"/>
      <c r="IR60" s="13"/>
      <c r="IS60" s="107"/>
      <c r="IT60" s="107"/>
      <c r="IU60" s="105"/>
      <c r="IW60" s="13"/>
      <c r="IX60" s="107"/>
      <c r="IY60" s="107"/>
      <c r="IZ60" s="105"/>
      <c r="JB60" s="13"/>
      <c r="JC60" s="107"/>
      <c r="JD60" s="107"/>
      <c r="JE60" s="105"/>
      <c r="JG60" s="13"/>
      <c r="JH60" s="107"/>
      <c r="JI60" s="107"/>
      <c r="JJ60" s="105"/>
      <c r="JL60" s="13"/>
      <c r="JM60" s="107"/>
      <c r="JN60" s="107"/>
      <c r="JO60" s="105"/>
      <c r="JQ60" s="13"/>
      <c r="JR60" s="107"/>
      <c r="JS60" s="107"/>
      <c r="JT60" s="105"/>
      <c r="JW60" s="13"/>
      <c r="JX60" s="107"/>
      <c r="JY60" s="107"/>
      <c r="JZ60" s="105"/>
      <c r="KC60" s="107"/>
      <c r="KD60" s="107"/>
      <c r="KE60" s="105"/>
      <c r="KH60" s="107"/>
      <c r="KI60" s="107"/>
      <c r="KJ60" s="105"/>
      <c r="KM60" s="107"/>
      <c r="KN60" s="107"/>
      <c r="KO60" s="105"/>
      <c r="KR60" s="107"/>
      <c r="KS60" s="107"/>
      <c r="KT60" s="105"/>
      <c r="KW60" s="107"/>
      <c r="KX60" s="107"/>
      <c r="KY60" s="105"/>
      <c r="LB60" s="13"/>
      <c r="LC60" s="107"/>
      <c r="LD60" s="107"/>
      <c r="LE60" s="105"/>
      <c r="LH60" s="107"/>
      <c r="LI60" s="107"/>
      <c r="LJ60" s="105"/>
      <c r="LM60" s="107"/>
      <c r="LN60" s="107"/>
      <c r="LO60" s="105"/>
      <c r="LR60" s="107"/>
      <c r="LS60" s="107"/>
      <c r="LT60" s="105"/>
      <c r="LW60" s="107"/>
      <c r="LX60" s="107"/>
      <c r="LY60" s="105"/>
      <c r="MB60" s="107"/>
      <c r="MC60" s="107"/>
      <c r="MD60" s="105"/>
      <c r="MG60" s="13"/>
      <c r="MH60" s="107"/>
      <c r="MI60" s="107"/>
      <c r="MJ60" s="105"/>
      <c r="MM60" s="107"/>
      <c r="MN60" s="107"/>
      <c r="MO60" s="105"/>
      <c r="MR60" s="107"/>
      <c r="MS60" s="107"/>
      <c r="MT60" s="105"/>
      <c r="MW60" s="107"/>
      <c r="MX60" s="107"/>
      <c r="MY60" s="105"/>
      <c r="NB60" s="107"/>
      <c r="NC60" s="107"/>
      <c r="ND60" s="105"/>
      <c r="NG60" s="107"/>
      <c r="NH60" s="107"/>
      <c r="NI60" s="105"/>
      <c r="NL60" s="13"/>
      <c r="NM60" s="107"/>
      <c r="NN60" s="107"/>
      <c r="NO60" s="105"/>
      <c r="NR60" s="107"/>
      <c r="NS60" s="107"/>
      <c r="NT60" s="105"/>
      <c r="NW60" s="107"/>
      <c r="NX60" s="107"/>
      <c r="NY60" s="105"/>
      <c r="OB60" s="107"/>
      <c r="OC60" s="107"/>
      <c r="OD60" s="105"/>
      <c r="OG60" s="107"/>
      <c r="OH60" s="107"/>
      <c r="OI60" s="105"/>
      <c r="OL60" s="107"/>
      <c r="OM60" s="107"/>
      <c r="ON60" s="105"/>
    </row>
    <row r="61" ht="15.75" customHeight="1">
      <c r="A61" s="42"/>
      <c r="B61" s="42"/>
      <c r="C61" s="42"/>
      <c r="D61" s="38">
        <f t="shared" si="271"/>
        <v>45966</v>
      </c>
      <c r="E61" s="105" t="str">
        <f t="shared" ref="E61:I61" si="273">O7</f>
        <v/>
      </c>
      <c r="F61" s="105" t="str">
        <f t="shared" si="273"/>
        <v/>
      </c>
      <c r="G61" s="105" t="str">
        <f t="shared" si="273"/>
        <v/>
      </c>
      <c r="H61" s="106" t="str">
        <f t="shared" si="273"/>
        <v/>
      </c>
      <c r="I61" s="106" t="str">
        <f t="shared" si="273"/>
        <v/>
      </c>
      <c r="J61" s="107" t="str">
        <f t="array" ref="J61">IFERROR(IF(XLOOKUP(CONCAT(E61,F61),'MASTER PLAN'!$AB:$AB,'MASTER PLAN'!$M:$M,0,0)=0,"",XLOOKUP(CONCAT(E61,F61),'MASTER PLAN'!$AB:$AB,'MASTER PLAN'!$M:$M,0,0)),"")</f>
        <v/>
      </c>
      <c r="K61" s="107">
        <f t="shared" si="237"/>
        <v>0</v>
      </c>
      <c r="L61" s="107">
        <f t="shared" si="238"/>
        <v>0</v>
      </c>
      <c r="M61" s="105" t="s">
        <v>246</v>
      </c>
      <c r="N61" s="13"/>
      <c r="O61" s="107"/>
      <c r="P61" s="107"/>
      <c r="Q61" s="105"/>
      <c r="S61" s="13"/>
      <c r="T61" s="107"/>
      <c r="U61" s="107"/>
      <c r="V61" s="105"/>
      <c r="X61" s="13"/>
      <c r="Y61" s="107"/>
      <c r="Z61" s="107"/>
      <c r="AA61" s="105"/>
      <c r="AC61" s="13"/>
      <c r="AD61" s="107"/>
      <c r="AE61" s="107"/>
      <c r="AF61" s="105"/>
      <c r="AH61" s="38"/>
      <c r="AI61" s="13"/>
      <c r="AJ61" s="107"/>
      <c r="AK61" s="107"/>
      <c r="AL61" s="105"/>
      <c r="AN61" s="13"/>
      <c r="AO61" s="107"/>
      <c r="AP61" s="107"/>
      <c r="AQ61" s="105"/>
      <c r="AS61" s="13"/>
      <c r="AT61" s="107"/>
      <c r="AU61" s="107"/>
      <c r="AV61" s="105"/>
      <c r="AX61" s="13"/>
      <c r="AY61" s="107"/>
      <c r="AZ61" s="107"/>
      <c r="BA61" s="105"/>
      <c r="BC61" s="13"/>
      <c r="BD61" s="107"/>
      <c r="BE61" s="107"/>
      <c r="BF61" s="105"/>
      <c r="BH61" s="13"/>
      <c r="BI61" s="107"/>
      <c r="BJ61" s="107"/>
      <c r="BK61" s="105"/>
      <c r="BM61" s="38"/>
      <c r="BN61" s="13"/>
      <c r="BO61" s="107"/>
      <c r="BP61" s="107"/>
      <c r="BQ61" s="105"/>
      <c r="BS61" s="13"/>
      <c r="BT61" s="107"/>
      <c r="BU61" s="107"/>
      <c r="BV61" s="105"/>
      <c r="BX61" s="13"/>
      <c r="BY61" s="107"/>
      <c r="BZ61" s="107"/>
      <c r="CA61" s="105"/>
      <c r="CC61" s="13"/>
      <c r="CD61" s="107"/>
      <c r="CE61" s="107"/>
      <c r="CF61" s="105"/>
      <c r="CH61" s="13"/>
      <c r="CI61" s="107"/>
      <c r="CJ61" s="107"/>
      <c r="CK61" s="105"/>
      <c r="CM61" s="13"/>
      <c r="CN61" s="107"/>
      <c r="CO61" s="107"/>
      <c r="CP61" s="105"/>
      <c r="CR61" s="38"/>
      <c r="CS61" s="13"/>
      <c r="CT61" s="107"/>
      <c r="CU61" s="107"/>
      <c r="CV61" s="105"/>
      <c r="CX61" s="13"/>
      <c r="CY61" s="107"/>
      <c r="CZ61" s="107"/>
      <c r="DA61" s="105"/>
      <c r="DC61" s="13"/>
      <c r="DD61" s="107"/>
      <c r="DE61" s="107"/>
      <c r="DF61" s="105"/>
      <c r="DH61" s="13"/>
      <c r="DI61" s="107"/>
      <c r="DJ61" s="107"/>
      <c r="DK61" s="105"/>
      <c r="DM61" s="13"/>
      <c r="DN61" s="107"/>
      <c r="DO61" s="107"/>
      <c r="DP61" s="105"/>
      <c r="DR61" s="13"/>
      <c r="DS61" s="107"/>
      <c r="DT61" s="107"/>
      <c r="DU61" s="105"/>
      <c r="DW61" s="38"/>
      <c r="DX61" s="13"/>
      <c r="DY61" s="107"/>
      <c r="DZ61" s="107"/>
      <c r="EA61" s="105"/>
      <c r="EC61" s="13"/>
      <c r="ED61" s="107"/>
      <c r="EE61" s="107"/>
      <c r="EF61" s="105"/>
      <c r="EH61" s="13"/>
      <c r="EI61" s="107"/>
      <c r="EJ61" s="107"/>
      <c r="EK61" s="105"/>
      <c r="EM61" s="13"/>
      <c r="EN61" s="107"/>
      <c r="EO61" s="107"/>
      <c r="EP61" s="105"/>
      <c r="ER61" s="13"/>
      <c r="ES61" s="107"/>
      <c r="ET61" s="107"/>
      <c r="EU61" s="105"/>
      <c r="EW61" s="13"/>
      <c r="EX61" s="107"/>
      <c r="EY61" s="107"/>
      <c r="EZ61" s="105"/>
      <c r="FB61" s="38"/>
      <c r="FC61" s="13"/>
      <c r="FD61" s="107"/>
      <c r="FE61" s="107"/>
      <c r="FF61" s="105"/>
      <c r="FH61" s="13"/>
      <c r="FI61" s="107"/>
      <c r="FJ61" s="107"/>
      <c r="FK61" s="105"/>
      <c r="FM61" s="13"/>
      <c r="FN61" s="107"/>
      <c r="FO61" s="107"/>
      <c r="FP61" s="105"/>
      <c r="FR61" s="13"/>
      <c r="FS61" s="107"/>
      <c r="FT61" s="107"/>
      <c r="FU61" s="105"/>
      <c r="FW61" s="13"/>
      <c r="FX61" s="107"/>
      <c r="FY61" s="107"/>
      <c r="FZ61" s="105"/>
      <c r="GB61" s="13"/>
      <c r="GC61" s="107"/>
      <c r="GD61" s="107"/>
      <c r="GE61" s="105"/>
      <c r="GG61" s="38"/>
      <c r="GH61" s="13"/>
      <c r="GI61" s="107"/>
      <c r="GJ61" s="107"/>
      <c r="GK61" s="105"/>
      <c r="GM61" s="13"/>
      <c r="GN61" s="107"/>
      <c r="GO61" s="107"/>
      <c r="GP61" s="105"/>
      <c r="GR61" s="13"/>
      <c r="GS61" s="107"/>
      <c r="GT61" s="107"/>
      <c r="GU61" s="105"/>
      <c r="GW61" s="13"/>
      <c r="GX61" s="107"/>
      <c r="GY61" s="107"/>
      <c r="GZ61" s="105"/>
      <c r="HB61" s="13"/>
      <c r="HC61" s="107"/>
      <c r="HD61" s="107"/>
      <c r="HE61" s="105"/>
      <c r="HG61" s="13"/>
      <c r="HH61" s="107"/>
      <c r="HI61" s="107"/>
      <c r="HJ61" s="105"/>
      <c r="HL61" s="38"/>
      <c r="HM61" s="13"/>
      <c r="HN61" s="107"/>
      <c r="HO61" s="107"/>
      <c r="HP61" s="105"/>
      <c r="HR61" s="13"/>
      <c r="HS61" s="107"/>
      <c r="HT61" s="107"/>
      <c r="HU61" s="105"/>
      <c r="HW61" s="13"/>
      <c r="HX61" s="107"/>
      <c r="HY61" s="107"/>
      <c r="HZ61" s="105"/>
      <c r="IB61" s="13"/>
      <c r="IC61" s="107"/>
      <c r="ID61" s="107"/>
      <c r="IE61" s="105"/>
      <c r="IG61" s="13"/>
      <c r="IH61" s="107"/>
      <c r="II61" s="107"/>
      <c r="IJ61" s="105"/>
      <c r="IL61" s="13"/>
      <c r="IM61" s="107"/>
      <c r="IN61" s="107"/>
      <c r="IO61" s="105"/>
      <c r="IQ61" s="38"/>
      <c r="IR61" s="13"/>
      <c r="IS61" s="107"/>
      <c r="IT61" s="107"/>
      <c r="IU61" s="105"/>
      <c r="IW61" s="13"/>
      <c r="IX61" s="107"/>
      <c r="IY61" s="107"/>
      <c r="IZ61" s="105"/>
      <c r="JB61" s="13"/>
      <c r="JC61" s="107"/>
      <c r="JD61" s="107"/>
      <c r="JE61" s="105"/>
      <c r="JG61" s="13"/>
      <c r="JH61" s="107"/>
      <c r="JI61" s="107"/>
      <c r="JJ61" s="105"/>
      <c r="JL61" s="13"/>
      <c r="JM61" s="107"/>
      <c r="JN61" s="107"/>
      <c r="JO61" s="105"/>
      <c r="JQ61" s="13"/>
      <c r="JR61" s="107"/>
      <c r="JS61" s="107"/>
      <c r="JT61" s="105"/>
      <c r="JW61" s="13"/>
      <c r="JX61" s="107"/>
      <c r="JY61" s="107"/>
      <c r="JZ61" s="105"/>
      <c r="KC61" s="107"/>
      <c r="KD61" s="107"/>
      <c r="KE61" s="105"/>
      <c r="KH61" s="107"/>
      <c r="KI61" s="107"/>
      <c r="KJ61" s="105"/>
      <c r="KM61" s="107"/>
      <c r="KN61" s="107"/>
      <c r="KO61" s="105"/>
      <c r="KR61" s="107"/>
      <c r="KS61" s="107"/>
      <c r="KT61" s="105"/>
      <c r="KW61" s="107"/>
      <c r="KX61" s="107"/>
      <c r="KY61" s="105"/>
      <c r="LB61" s="13"/>
      <c r="LC61" s="107"/>
      <c r="LD61" s="107"/>
      <c r="LE61" s="105"/>
      <c r="LH61" s="107"/>
      <c r="LI61" s="107"/>
      <c r="LJ61" s="105"/>
      <c r="LM61" s="107"/>
      <c r="LN61" s="107"/>
      <c r="LO61" s="105"/>
      <c r="LR61" s="107"/>
      <c r="LS61" s="107"/>
      <c r="LT61" s="105"/>
      <c r="LW61" s="107"/>
      <c r="LX61" s="107"/>
      <c r="LY61" s="105"/>
      <c r="MB61" s="107"/>
      <c r="MC61" s="107"/>
      <c r="MD61" s="105"/>
      <c r="MG61" s="13"/>
      <c r="MH61" s="107"/>
      <c r="MI61" s="107"/>
      <c r="MJ61" s="105"/>
      <c r="MM61" s="107"/>
      <c r="MN61" s="107"/>
      <c r="MO61" s="105"/>
      <c r="MR61" s="107"/>
      <c r="MS61" s="107"/>
      <c r="MT61" s="105"/>
      <c r="MW61" s="107"/>
      <c r="MX61" s="107"/>
      <c r="MY61" s="105"/>
      <c r="NB61" s="107"/>
      <c r="NC61" s="107"/>
      <c r="ND61" s="105"/>
      <c r="NG61" s="107"/>
      <c r="NH61" s="107"/>
      <c r="NI61" s="105"/>
      <c r="NL61" s="13"/>
      <c r="NM61" s="107"/>
      <c r="NN61" s="107"/>
      <c r="NO61" s="105"/>
      <c r="NR61" s="107"/>
      <c r="NS61" s="107"/>
      <c r="NT61" s="105"/>
      <c r="NW61" s="107"/>
      <c r="NX61" s="107"/>
      <c r="NY61" s="105"/>
      <c r="OB61" s="107"/>
      <c r="OC61" s="107"/>
      <c r="OD61" s="105"/>
      <c r="OG61" s="107"/>
      <c r="OH61" s="107"/>
      <c r="OI61" s="105"/>
      <c r="OL61" s="107"/>
      <c r="OM61" s="107"/>
      <c r="ON61" s="105"/>
    </row>
    <row r="62" ht="15.75" customHeight="1">
      <c r="A62" s="42"/>
      <c r="B62" s="42"/>
      <c r="C62" s="42"/>
      <c r="D62" s="38">
        <f t="shared" si="271"/>
        <v>45966</v>
      </c>
      <c r="E62" s="105" t="str">
        <f t="shared" ref="E62:I62" si="274">O8</f>
        <v/>
      </c>
      <c r="F62" s="105" t="str">
        <f t="shared" si="274"/>
        <v/>
      </c>
      <c r="G62" s="105" t="str">
        <f t="shared" si="274"/>
        <v/>
      </c>
      <c r="H62" s="106" t="str">
        <f t="shared" si="274"/>
        <v/>
      </c>
      <c r="I62" s="106" t="str">
        <f t="shared" si="274"/>
        <v/>
      </c>
      <c r="J62" s="107" t="str">
        <f t="array" ref="J62">IFERROR(IF(XLOOKUP(CONCAT(E62,F62),'MASTER PLAN'!$AB:$AB,'MASTER PLAN'!$M:$M,0,0)=0,"",XLOOKUP(CONCAT(E62,F62),'MASTER PLAN'!$AB:$AB,'MASTER PLAN'!$M:$M,0,0)),"")</f>
        <v/>
      </c>
      <c r="K62" s="107">
        <f t="shared" si="237"/>
        <v>0</v>
      </c>
      <c r="L62" s="107">
        <f t="shared" si="238"/>
        <v>0</v>
      </c>
      <c r="M62" s="105" t="s">
        <v>246</v>
      </c>
      <c r="N62" s="13"/>
      <c r="O62" s="107"/>
      <c r="P62" s="107"/>
      <c r="Q62" s="105"/>
      <c r="S62" s="13"/>
      <c r="T62" s="107"/>
      <c r="U62" s="107"/>
      <c r="V62" s="105"/>
      <c r="X62" s="13"/>
      <c r="Y62" s="107"/>
      <c r="Z62" s="107"/>
      <c r="AA62" s="105"/>
      <c r="AC62" s="13"/>
      <c r="AD62" s="107"/>
      <c r="AE62" s="107"/>
      <c r="AF62" s="105"/>
      <c r="AH62" s="38"/>
      <c r="AI62" s="13"/>
      <c r="AJ62" s="107"/>
      <c r="AK62" s="107"/>
      <c r="AL62" s="105"/>
      <c r="AN62" s="13"/>
      <c r="AO62" s="107"/>
      <c r="AP62" s="107"/>
      <c r="AQ62" s="105"/>
      <c r="AS62" s="13"/>
      <c r="AT62" s="107"/>
      <c r="AU62" s="107"/>
      <c r="AV62" s="105"/>
      <c r="AX62" s="13"/>
      <c r="AY62" s="107"/>
      <c r="AZ62" s="107"/>
      <c r="BA62" s="105"/>
      <c r="BC62" s="13"/>
      <c r="BD62" s="107"/>
      <c r="BE62" s="107"/>
      <c r="BF62" s="105"/>
      <c r="BH62" s="13"/>
      <c r="BI62" s="107"/>
      <c r="BJ62" s="107"/>
      <c r="BK62" s="105"/>
      <c r="BM62" s="38"/>
      <c r="BN62" s="13"/>
      <c r="BO62" s="107"/>
      <c r="BP62" s="107"/>
      <c r="BQ62" s="105"/>
      <c r="BS62" s="13"/>
      <c r="BT62" s="107"/>
      <c r="BU62" s="107"/>
      <c r="BV62" s="105"/>
      <c r="BX62" s="13"/>
      <c r="BY62" s="107"/>
      <c r="BZ62" s="107"/>
      <c r="CA62" s="105"/>
      <c r="CC62" s="13"/>
      <c r="CD62" s="107"/>
      <c r="CE62" s="107"/>
      <c r="CF62" s="105"/>
      <c r="CH62" s="13"/>
      <c r="CI62" s="107"/>
      <c r="CJ62" s="107"/>
      <c r="CK62" s="105"/>
      <c r="CM62" s="13"/>
      <c r="CN62" s="107"/>
      <c r="CO62" s="107"/>
      <c r="CP62" s="105"/>
      <c r="CR62" s="38"/>
      <c r="CS62" s="13"/>
      <c r="CT62" s="107"/>
      <c r="CU62" s="107"/>
      <c r="CV62" s="105"/>
      <c r="CX62" s="13"/>
      <c r="CY62" s="107"/>
      <c r="CZ62" s="107"/>
      <c r="DA62" s="105"/>
      <c r="DC62" s="13"/>
      <c r="DD62" s="107"/>
      <c r="DE62" s="107"/>
      <c r="DF62" s="105"/>
      <c r="DH62" s="13"/>
      <c r="DI62" s="107"/>
      <c r="DJ62" s="107"/>
      <c r="DK62" s="105"/>
      <c r="DM62" s="13"/>
      <c r="DN62" s="107"/>
      <c r="DO62" s="107"/>
      <c r="DP62" s="105"/>
      <c r="DR62" s="13"/>
      <c r="DS62" s="107"/>
      <c r="DT62" s="107"/>
      <c r="DU62" s="105"/>
      <c r="DW62" s="38"/>
      <c r="DX62" s="13"/>
      <c r="DY62" s="107"/>
      <c r="DZ62" s="107"/>
      <c r="EA62" s="105"/>
      <c r="EC62" s="13"/>
      <c r="ED62" s="107"/>
      <c r="EE62" s="107"/>
      <c r="EF62" s="105"/>
      <c r="EH62" s="13"/>
      <c r="EI62" s="107"/>
      <c r="EJ62" s="107"/>
      <c r="EK62" s="105"/>
      <c r="EM62" s="13"/>
      <c r="EN62" s="107"/>
      <c r="EO62" s="107"/>
      <c r="EP62" s="105"/>
      <c r="ER62" s="13"/>
      <c r="ES62" s="107"/>
      <c r="ET62" s="107"/>
      <c r="EU62" s="105"/>
      <c r="EW62" s="13"/>
      <c r="EX62" s="107"/>
      <c r="EY62" s="107"/>
      <c r="EZ62" s="105"/>
      <c r="FB62" s="38"/>
      <c r="FC62" s="13"/>
      <c r="FD62" s="107"/>
      <c r="FE62" s="107"/>
      <c r="FF62" s="105"/>
      <c r="FH62" s="13"/>
      <c r="FI62" s="107"/>
      <c r="FJ62" s="107"/>
      <c r="FK62" s="105"/>
      <c r="FM62" s="13"/>
      <c r="FN62" s="107"/>
      <c r="FO62" s="107"/>
      <c r="FP62" s="105"/>
      <c r="FR62" s="13"/>
      <c r="FS62" s="107"/>
      <c r="FT62" s="107"/>
      <c r="FU62" s="105"/>
      <c r="FW62" s="13"/>
      <c r="FX62" s="107"/>
      <c r="FY62" s="107"/>
      <c r="FZ62" s="105"/>
      <c r="GB62" s="13"/>
      <c r="GC62" s="107"/>
      <c r="GD62" s="107"/>
      <c r="GE62" s="105"/>
      <c r="GG62" s="38"/>
      <c r="GH62" s="13"/>
      <c r="GI62" s="107"/>
      <c r="GJ62" s="107"/>
      <c r="GK62" s="105"/>
      <c r="GM62" s="13"/>
      <c r="GN62" s="107"/>
      <c r="GO62" s="107"/>
      <c r="GP62" s="105"/>
      <c r="GR62" s="13"/>
      <c r="GS62" s="107"/>
      <c r="GT62" s="107"/>
      <c r="GU62" s="105"/>
      <c r="GW62" s="13"/>
      <c r="GX62" s="107"/>
      <c r="GY62" s="107"/>
      <c r="GZ62" s="105"/>
      <c r="HB62" s="13"/>
      <c r="HC62" s="107"/>
      <c r="HD62" s="107"/>
      <c r="HE62" s="105"/>
      <c r="HG62" s="13"/>
      <c r="HH62" s="107"/>
      <c r="HI62" s="107"/>
      <c r="HJ62" s="105"/>
      <c r="HL62" s="38"/>
      <c r="HM62" s="13"/>
      <c r="HN62" s="107"/>
      <c r="HO62" s="107"/>
      <c r="HP62" s="105"/>
      <c r="HR62" s="13"/>
      <c r="HS62" s="107"/>
      <c r="HT62" s="107"/>
      <c r="HU62" s="105"/>
      <c r="HW62" s="13"/>
      <c r="HX62" s="107"/>
      <c r="HY62" s="107"/>
      <c r="HZ62" s="105"/>
      <c r="IB62" s="13"/>
      <c r="IC62" s="107"/>
      <c r="ID62" s="107"/>
      <c r="IE62" s="105"/>
      <c r="IG62" s="13"/>
      <c r="IH62" s="107"/>
      <c r="II62" s="107"/>
      <c r="IJ62" s="105"/>
      <c r="IL62" s="13"/>
      <c r="IM62" s="107"/>
      <c r="IN62" s="107"/>
      <c r="IO62" s="105"/>
      <c r="IQ62" s="38"/>
      <c r="IR62" s="13"/>
      <c r="IS62" s="107"/>
      <c r="IT62" s="107"/>
      <c r="IU62" s="105"/>
      <c r="IW62" s="13"/>
      <c r="IX62" s="107"/>
      <c r="IY62" s="107"/>
      <c r="IZ62" s="105"/>
      <c r="JB62" s="13"/>
      <c r="JC62" s="107"/>
      <c r="JD62" s="107"/>
      <c r="JE62" s="105"/>
      <c r="JG62" s="13"/>
      <c r="JH62" s="107"/>
      <c r="JI62" s="107"/>
      <c r="JJ62" s="105"/>
      <c r="JL62" s="13"/>
      <c r="JM62" s="107"/>
      <c r="JN62" s="107"/>
      <c r="JO62" s="105"/>
      <c r="JQ62" s="13"/>
      <c r="JR62" s="107"/>
      <c r="JS62" s="107"/>
      <c r="JT62" s="105"/>
      <c r="JW62" s="13"/>
      <c r="JX62" s="107"/>
      <c r="JY62" s="107"/>
      <c r="JZ62" s="105"/>
      <c r="KC62" s="107"/>
      <c r="KD62" s="107"/>
      <c r="KE62" s="105"/>
      <c r="KH62" s="107"/>
      <c r="KI62" s="107"/>
      <c r="KJ62" s="105"/>
      <c r="KM62" s="107"/>
      <c r="KN62" s="107"/>
      <c r="KO62" s="105"/>
      <c r="KR62" s="107"/>
      <c r="KS62" s="107"/>
      <c r="KT62" s="105"/>
      <c r="KW62" s="107"/>
      <c r="KX62" s="107"/>
      <c r="KY62" s="105"/>
      <c r="LB62" s="13"/>
      <c r="LC62" s="107"/>
      <c r="LD62" s="107"/>
      <c r="LE62" s="105"/>
      <c r="LH62" s="107"/>
      <c r="LI62" s="107"/>
      <c r="LJ62" s="105"/>
      <c r="LM62" s="107"/>
      <c r="LN62" s="107"/>
      <c r="LO62" s="105"/>
      <c r="LR62" s="107"/>
      <c r="LS62" s="107"/>
      <c r="LT62" s="105"/>
      <c r="LW62" s="107"/>
      <c r="LX62" s="107"/>
      <c r="LY62" s="105"/>
      <c r="MB62" s="107"/>
      <c r="MC62" s="107"/>
      <c r="MD62" s="105"/>
      <c r="MG62" s="13"/>
      <c r="MH62" s="107"/>
      <c r="MI62" s="107"/>
      <c r="MJ62" s="105"/>
      <c r="MM62" s="107"/>
      <c r="MN62" s="107"/>
      <c r="MO62" s="105"/>
      <c r="MR62" s="107"/>
      <c r="MS62" s="107"/>
      <c r="MT62" s="105"/>
      <c r="MW62" s="107"/>
      <c r="MX62" s="107"/>
      <c r="MY62" s="105"/>
      <c r="NB62" s="107"/>
      <c r="NC62" s="107"/>
      <c r="ND62" s="105"/>
      <c r="NG62" s="107"/>
      <c r="NH62" s="107"/>
      <c r="NI62" s="105"/>
      <c r="NL62" s="13"/>
      <c r="NM62" s="107"/>
      <c r="NN62" s="107"/>
      <c r="NO62" s="105"/>
      <c r="NR62" s="107"/>
      <c r="NS62" s="107"/>
      <c r="NT62" s="105"/>
      <c r="NW62" s="107"/>
      <c r="NX62" s="107"/>
      <c r="NY62" s="105"/>
      <c r="OB62" s="107"/>
      <c r="OC62" s="107"/>
      <c r="OD62" s="105"/>
      <c r="OG62" s="107"/>
      <c r="OH62" s="107"/>
      <c r="OI62" s="105"/>
      <c r="OL62" s="107"/>
      <c r="OM62" s="107"/>
      <c r="ON62" s="105"/>
    </row>
    <row r="63" ht="15.75" customHeight="1">
      <c r="A63" s="42"/>
      <c r="B63" s="42"/>
      <c r="C63" s="42"/>
      <c r="D63" s="38">
        <f t="shared" si="271"/>
        <v>45966</v>
      </c>
      <c r="E63" s="105" t="str">
        <f t="shared" ref="E63:I63" si="275">O12</f>
        <v/>
      </c>
      <c r="F63" s="105" t="str">
        <f t="shared" si="275"/>
        <v/>
      </c>
      <c r="G63" s="105" t="str">
        <f t="shared" si="275"/>
        <v/>
      </c>
      <c r="H63" s="106" t="str">
        <f t="shared" si="275"/>
        <v/>
      </c>
      <c r="I63" s="106" t="str">
        <f t="shared" si="275"/>
        <v/>
      </c>
      <c r="J63" s="107" t="str">
        <f t="array" ref="J63">IFERROR(IF(XLOOKUP(CONCAT(E63,F63),'MASTER PLAN'!$AB:$AB,'MASTER PLAN'!$M:$M,0,0)=0,"",XLOOKUP(CONCAT(E63,F63),'MASTER PLAN'!$AB:$AB,'MASTER PLAN'!$M:$M,0,0)),"")</f>
        <v/>
      </c>
      <c r="K63" s="107">
        <f t="shared" si="237"/>
        <v>0</v>
      </c>
      <c r="L63" s="107">
        <f t="shared" si="238"/>
        <v>0</v>
      </c>
      <c r="M63" s="105" t="s">
        <v>248</v>
      </c>
      <c r="N63" s="13"/>
      <c r="O63" s="107"/>
      <c r="P63" s="107"/>
      <c r="Q63" s="105"/>
      <c r="S63" s="13"/>
      <c r="T63" s="107"/>
      <c r="U63" s="107"/>
      <c r="V63" s="105"/>
      <c r="X63" s="13"/>
      <c r="Y63" s="107"/>
      <c r="Z63" s="107"/>
      <c r="AA63" s="105"/>
      <c r="AC63" s="13"/>
      <c r="AD63" s="107"/>
      <c r="AE63" s="107"/>
      <c r="AF63" s="105"/>
      <c r="AH63" s="38"/>
      <c r="AI63" s="13"/>
      <c r="AJ63" s="107"/>
      <c r="AK63" s="107"/>
      <c r="AL63" s="105"/>
      <c r="AN63" s="13"/>
      <c r="AO63" s="107"/>
      <c r="AP63" s="107"/>
      <c r="AQ63" s="105"/>
      <c r="AS63" s="13"/>
      <c r="AT63" s="107"/>
      <c r="AU63" s="107"/>
      <c r="AV63" s="105"/>
      <c r="AX63" s="13"/>
      <c r="AY63" s="107"/>
      <c r="AZ63" s="107"/>
      <c r="BA63" s="105"/>
      <c r="BC63" s="13"/>
      <c r="BD63" s="107"/>
      <c r="BE63" s="107"/>
      <c r="BF63" s="105"/>
      <c r="BH63" s="13"/>
      <c r="BI63" s="107"/>
      <c r="BJ63" s="107"/>
      <c r="BK63" s="105"/>
      <c r="BM63" s="38"/>
      <c r="BN63" s="13"/>
      <c r="BO63" s="107"/>
      <c r="BP63" s="107"/>
      <c r="BQ63" s="105"/>
      <c r="BS63" s="13"/>
      <c r="BT63" s="107"/>
      <c r="BU63" s="107"/>
      <c r="BV63" s="105"/>
      <c r="BX63" s="13"/>
      <c r="BY63" s="107"/>
      <c r="BZ63" s="107"/>
      <c r="CA63" s="105"/>
      <c r="CC63" s="13"/>
      <c r="CD63" s="107"/>
      <c r="CE63" s="107"/>
      <c r="CF63" s="105"/>
      <c r="CH63" s="13"/>
      <c r="CI63" s="107"/>
      <c r="CJ63" s="107"/>
      <c r="CK63" s="105"/>
      <c r="CM63" s="13"/>
      <c r="CN63" s="107"/>
      <c r="CO63" s="107"/>
      <c r="CP63" s="105"/>
      <c r="CR63" s="38"/>
      <c r="CS63" s="13"/>
      <c r="CT63" s="107"/>
      <c r="CU63" s="107"/>
      <c r="CV63" s="105"/>
      <c r="CX63" s="13"/>
      <c r="CY63" s="107"/>
      <c r="CZ63" s="107"/>
      <c r="DA63" s="105"/>
      <c r="DC63" s="13"/>
      <c r="DD63" s="107"/>
      <c r="DE63" s="107"/>
      <c r="DF63" s="105"/>
      <c r="DH63" s="13"/>
      <c r="DI63" s="107"/>
      <c r="DJ63" s="107"/>
      <c r="DK63" s="105"/>
      <c r="DM63" s="13"/>
      <c r="DN63" s="107"/>
      <c r="DO63" s="107"/>
      <c r="DP63" s="105"/>
      <c r="DR63" s="13"/>
      <c r="DS63" s="107"/>
      <c r="DT63" s="107"/>
      <c r="DU63" s="105"/>
      <c r="DW63" s="38"/>
      <c r="DX63" s="13"/>
      <c r="DY63" s="107"/>
      <c r="DZ63" s="107"/>
      <c r="EA63" s="105"/>
      <c r="EC63" s="13"/>
      <c r="ED63" s="107"/>
      <c r="EE63" s="107"/>
      <c r="EF63" s="105"/>
      <c r="EH63" s="13"/>
      <c r="EI63" s="107"/>
      <c r="EJ63" s="107"/>
      <c r="EK63" s="105"/>
      <c r="EM63" s="13"/>
      <c r="EN63" s="107"/>
      <c r="EO63" s="107"/>
      <c r="EP63" s="105"/>
      <c r="ER63" s="13"/>
      <c r="ES63" s="107"/>
      <c r="ET63" s="107"/>
      <c r="EU63" s="105"/>
      <c r="EW63" s="13"/>
      <c r="EX63" s="107"/>
      <c r="EY63" s="107"/>
      <c r="EZ63" s="105"/>
      <c r="FB63" s="38"/>
      <c r="FC63" s="13"/>
      <c r="FD63" s="107"/>
      <c r="FE63" s="107"/>
      <c r="FF63" s="105"/>
      <c r="FH63" s="13"/>
      <c r="FI63" s="107"/>
      <c r="FJ63" s="107"/>
      <c r="FK63" s="105"/>
      <c r="FM63" s="13"/>
      <c r="FN63" s="107"/>
      <c r="FO63" s="107"/>
      <c r="FP63" s="105"/>
      <c r="FR63" s="13"/>
      <c r="FS63" s="107"/>
      <c r="FT63" s="107"/>
      <c r="FU63" s="105"/>
      <c r="FW63" s="13"/>
      <c r="FX63" s="107"/>
      <c r="FY63" s="107"/>
      <c r="FZ63" s="105"/>
      <c r="GB63" s="13"/>
      <c r="GC63" s="107"/>
      <c r="GD63" s="107"/>
      <c r="GE63" s="105"/>
      <c r="GG63" s="38"/>
      <c r="GH63" s="13"/>
      <c r="GI63" s="107"/>
      <c r="GJ63" s="107"/>
      <c r="GK63" s="105"/>
      <c r="GM63" s="13"/>
      <c r="GN63" s="107"/>
      <c r="GO63" s="107"/>
      <c r="GP63" s="105"/>
      <c r="GR63" s="13"/>
      <c r="GS63" s="107"/>
      <c r="GT63" s="107"/>
      <c r="GU63" s="105"/>
      <c r="GW63" s="13"/>
      <c r="GX63" s="107"/>
      <c r="GY63" s="107"/>
      <c r="GZ63" s="105"/>
      <c r="HB63" s="13"/>
      <c r="HC63" s="107"/>
      <c r="HD63" s="107"/>
      <c r="HE63" s="105"/>
      <c r="HG63" s="13"/>
      <c r="HH63" s="107"/>
      <c r="HI63" s="107"/>
      <c r="HJ63" s="105"/>
      <c r="HL63" s="38"/>
      <c r="HM63" s="13"/>
      <c r="HN63" s="107"/>
      <c r="HO63" s="107"/>
      <c r="HP63" s="105"/>
      <c r="HR63" s="13"/>
      <c r="HS63" s="107"/>
      <c r="HT63" s="107"/>
      <c r="HU63" s="105"/>
      <c r="HW63" s="13"/>
      <c r="HX63" s="107"/>
      <c r="HY63" s="107"/>
      <c r="HZ63" s="105"/>
      <c r="IB63" s="13"/>
      <c r="IC63" s="107"/>
      <c r="ID63" s="107"/>
      <c r="IE63" s="105"/>
      <c r="IG63" s="13"/>
      <c r="IH63" s="107"/>
      <c r="II63" s="107"/>
      <c r="IJ63" s="105"/>
      <c r="IL63" s="13"/>
      <c r="IM63" s="107"/>
      <c r="IN63" s="107"/>
      <c r="IO63" s="105"/>
      <c r="IQ63" s="38"/>
      <c r="IR63" s="13"/>
      <c r="IS63" s="107"/>
      <c r="IT63" s="107"/>
      <c r="IU63" s="105"/>
      <c r="IW63" s="13"/>
      <c r="IX63" s="107"/>
      <c r="IY63" s="107"/>
      <c r="IZ63" s="105"/>
      <c r="JB63" s="13"/>
      <c r="JC63" s="107"/>
      <c r="JD63" s="107"/>
      <c r="JE63" s="105"/>
      <c r="JG63" s="13"/>
      <c r="JH63" s="107"/>
      <c r="JI63" s="107"/>
      <c r="JJ63" s="105"/>
      <c r="JL63" s="13"/>
      <c r="JM63" s="107"/>
      <c r="JN63" s="107"/>
      <c r="JO63" s="105"/>
      <c r="JQ63" s="13"/>
      <c r="JR63" s="107"/>
      <c r="JS63" s="107"/>
      <c r="JT63" s="105"/>
      <c r="JW63" s="13"/>
      <c r="JX63" s="107"/>
      <c r="JY63" s="107"/>
      <c r="JZ63" s="105"/>
      <c r="KC63" s="107"/>
      <c r="KD63" s="107"/>
      <c r="KE63" s="105"/>
      <c r="KH63" s="107"/>
      <c r="KI63" s="107"/>
      <c r="KJ63" s="105"/>
      <c r="KM63" s="107"/>
      <c r="KN63" s="107"/>
      <c r="KO63" s="105"/>
      <c r="KR63" s="107"/>
      <c r="KS63" s="107"/>
      <c r="KT63" s="105"/>
      <c r="KW63" s="107"/>
      <c r="KX63" s="107"/>
      <c r="KY63" s="105"/>
      <c r="LB63" s="13"/>
      <c r="LC63" s="107"/>
      <c r="LD63" s="107"/>
      <c r="LE63" s="105"/>
      <c r="LH63" s="107"/>
      <c r="LI63" s="107"/>
      <c r="LJ63" s="105"/>
      <c r="LM63" s="107"/>
      <c r="LN63" s="107"/>
      <c r="LO63" s="105"/>
      <c r="LR63" s="107"/>
      <c r="LS63" s="107"/>
      <c r="LT63" s="105"/>
      <c r="LW63" s="107"/>
      <c r="LX63" s="107"/>
      <c r="LY63" s="105"/>
      <c r="MB63" s="107"/>
      <c r="MC63" s="107"/>
      <c r="MD63" s="105"/>
      <c r="MG63" s="13"/>
      <c r="MH63" s="107"/>
      <c r="MI63" s="107"/>
      <c r="MJ63" s="105"/>
      <c r="MM63" s="107"/>
      <c r="MN63" s="107"/>
      <c r="MO63" s="105"/>
      <c r="MR63" s="107"/>
      <c r="MS63" s="107"/>
      <c r="MT63" s="105"/>
      <c r="MW63" s="107"/>
      <c r="MX63" s="107"/>
      <c r="MY63" s="105"/>
      <c r="NB63" s="107"/>
      <c r="NC63" s="107"/>
      <c r="ND63" s="105"/>
      <c r="NG63" s="107"/>
      <c r="NH63" s="107"/>
      <c r="NI63" s="105"/>
      <c r="NL63" s="13"/>
      <c r="NM63" s="107"/>
      <c r="NN63" s="107"/>
      <c r="NO63" s="105"/>
      <c r="NR63" s="107"/>
      <c r="NS63" s="107"/>
      <c r="NT63" s="105"/>
      <c r="NW63" s="107"/>
      <c r="NX63" s="107"/>
      <c r="NY63" s="105"/>
      <c r="OB63" s="107"/>
      <c r="OC63" s="107"/>
      <c r="OD63" s="105"/>
      <c r="OG63" s="107"/>
      <c r="OH63" s="107"/>
      <c r="OI63" s="105"/>
      <c r="OL63" s="107"/>
      <c r="OM63" s="107"/>
      <c r="ON63" s="105"/>
    </row>
    <row r="64" ht="15.75" customHeight="1">
      <c r="A64" s="42"/>
      <c r="B64" s="42"/>
      <c r="C64" s="42"/>
      <c r="D64" s="38">
        <f t="shared" si="271"/>
        <v>45966</v>
      </c>
      <c r="E64" s="105" t="str">
        <f t="shared" ref="E64:I64" si="276">O13</f>
        <v/>
      </c>
      <c r="F64" s="105" t="str">
        <f t="shared" si="276"/>
        <v/>
      </c>
      <c r="G64" s="105" t="str">
        <f t="shared" si="276"/>
        <v/>
      </c>
      <c r="H64" s="106" t="str">
        <f t="shared" si="276"/>
        <v/>
      </c>
      <c r="I64" s="106" t="str">
        <f t="shared" si="276"/>
        <v/>
      </c>
      <c r="J64" s="107" t="str">
        <f t="array" ref="J64">IFERROR(IF(XLOOKUP(CONCAT(E64,F64),'MASTER PLAN'!$AB:$AB,'MASTER PLAN'!$M:$M,0,0)=0,"",XLOOKUP(CONCAT(E64,F64),'MASTER PLAN'!$AB:$AB,'MASTER PLAN'!$M:$M,0,0)),"")</f>
        <v/>
      </c>
      <c r="K64" s="107">
        <f t="shared" si="237"/>
        <v>0</v>
      </c>
      <c r="L64" s="107">
        <f t="shared" si="238"/>
        <v>0</v>
      </c>
      <c r="M64" s="105" t="s">
        <v>248</v>
      </c>
      <c r="N64" s="13"/>
      <c r="O64" s="107"/>
      <c r="P64" s="107"/>
      <c r="Q64" s="105"/>
      <c r="S64" s="13"/>
      <c r="T64" s="107"/>
      <c r="U64" s="107"/>
      <c r="V64" s="105"/>
      <c r="X64" s="13"/>
      <c r="Y64" s="107"/>
      <c r="Z64" s="107"/>
      <c r="AA64" s="105"/>
      <c r="AC64" s="13"/>
      <c r="AD64" s="107"/>
      <c r="AE64" s="107"/>
      <c r="AF64" s="105"/>
      <c r="AH64" s="38"/>
      <c r="AI64" s="13"/>
      <c r="AJ64" s="107"/>
      <c r="AK64" s="107"/>
      <c r="AL64" s="105"/>
      <c r="AN64" s="13"/>
      <c r="AO64" s="107"/>
      <c r="AP64" s="107"/>
      <c r="AQ64" s="105"/>
      <c r="AS64" s="13"/>
      <c r="AT64" s="107"/>
      <c r="AU64" s="107"/>
      <c r="AV64" s="105"/>
      <c r="AX64" s="13"/>
      <c r="AY64" s="107"/>
      <c r="AZ64" s="107"/>
      <c r="BA64" s="105"/>
      <c r="BC64" s="13"/>
      <c r="BD64" s="107"/>
      <c r="BE64" s="107"/>
      <c r="BF64" s="105"/>
      <c r="BH64" s="13"/>
      <c r="BI64" s="107"/>
      <c r="BJ64" s="107"/>
      <c r="BK64" s="105"/>
      <c r="BM64" s="38"/>
      <c r="BN64" s="13"/>
      <c r="BO64" s="107"/>
      <c r="BP64" s="107"/>
      <c r="BQ64" s="105"/>
      <c r="BS64" s="13"/>
      <c r="BT64" s="107"/>
      <c r="BU64" s="107"/>
      <c r="BV64" s="105"/>
      <c r="BX64" s="13"/>
      <c r="BY64" s="107"/>
      <c r="BZ64" s="107"/>
      <c r="CA64" s="105"/>
      <c r="CC64" s="13"/>
      <c r="CD64" s="107"/>
      <c r="CE64" s="107"/>
      <c r="CF64" s="105"/>
      <c r="CH64" s="13"/>
      <c r="CI64" s="107"/>
      <c r="CJ64" s="107"/>
      <c r="CK64" s="105"/>
      <c r="CM64" s="13"/>
      <c r="CN64" s="107"/>
      <c r="CO64" s="107"/>
      <c r="CP64" s="105"/>
      <c r="CR64" s="38"/>
      <c r="CS64" s="13"/>
      <c r="CT64" s="107"/>
      <c r="CU64" s="107"/>
      <c r="CV64" s="105"/>
      <c r="CX64" s="13"/>
      <c r="CY64" s="107"/>
      <c r="CZ64" s="107"/>
      <c r="DA64" s="105"/>
      <c r="DC64" s="13"/>
      <c r="DD64" s="107"/>
      <c r="DE64" s="107"/>
      <c r="DF64" s="105"/>
      <c r="DH64" s="13"/>
      <c r="DI64" s="107"/>
      <c r="DJ64" s="107"/>
      <c r="DK64" s="105"/>
      <c r="DM64" s="13"/>
      <c r="DN64" s="107"/>
      <c r="DO64" s="107"/>
      <c r="DP64" s="105"/>
      <c r="DR64" s="13"/>
      <c r="DS64" s="107"/>
      <c r="DT64" s="107"/>
      <c r="DU64" s="105"/>
      <c r="DW64" s="38"/>
      <c r="DX64" s="13"/>
      <c r="DY64" s="107"/>
      <c r="DZ64" s="107"/>
      <c r="EA64" s="105"/>
      <c r="EC64" s="13"/>
      <c r="ED64" s="107"/>
      <c r="EE64" s="107"/>
      <c r="EF64" s="105"/>
      <c r="EH64" s="13"/>
      <c r="EI64" s="107"/>
      <c r="EJ64" s="107"/>
      <c r="EK64" s="105"/>
      <c r="EM64" s="13"/>
      <c r="EN64" s="107"/>
      <c r="EO64" s="107"/>
      <c r="EP64" s="105"/>
      <c r="ER64" s="13"/>
      <c r="ES64" s="107"/>
      <c r="ET64" s="107"/>
      <c r="EU64" s="105"/>
      <c r="EW64" s="13"/>
      <c r="EX64" s="107"/>
      <c r="EY64" s="107"/>
      <c r="EZ64" s="105"/>
      <c r="FB64" s="38"/>
      <c r="FC64" s="13"/>
      <c r="FD64" s="107"/>
      <c r="FE64" s="107"/>
      <c r="FF64" s="105"/>
      <c r="FH64" s="13"/>
      <c r="FI64" s="107"/>
      <c r="FJ64" s="107"/>
      <c r="FK64" s="105"/>
      <c r="FM64" s="13"/>
      <c r="FN64" s="107"/>
      <c r="FO64" s="107"/>
      <c r="FP64" s="105"/>
      <c r="FR64" s="13"/>
      <c r="FS64" s="107"/>
      <c r="FT64" s="107"/>
      <c r="FU64" s="105"/>
      <c r="FW64" s="13"/>
      <c r="FX64" s="107"/>
      <c r="FY64" s="107"/>
      <c r="FZ64" s="105"/>
      <c r="GB64" s="13"/>
      <c r="GC64" s="107"/>
      <c r="GD64" s="107"/>
      <c r="GE64" s="105"/>
      <c r="GG64" s="38"/>
      <c r="GH64" s="13"/>
      <c r="GI64" s="107"/>
      <c r="GJ64" s="107"/>
      <c r="GK64" s="105"/>
      <c r="GM64" s="13"/>
      <c r="GN64" s="107"/>
      <c r="GO64" s="107"/>
      <c r="GP64" s="105"/>
      <c r="GR64" s="13"/>
      <c r="GS64" s="107"/>
      <c r="GT64" s="107"/>
      <c r="GU64" s="105"/>
      <c r="GW64" s="13"/>
      <c r="GX64" s="107"/>
      <c r="GY64" s="107"/>
      <c r="GZ64" s="105"/>
      <c r="HB64" s="13"/>
      <c r="HC64" s="107"/>
      <c r="HD64" s="107"/>
      <c r="HE64" s="105"/>
      <c r="HG64" s="13"/>
      <c r="HH64" s="107"/>
      <c r="HI64" s="107"/>
      <c r="HJ64" s="105"/>
      <c r="HL64" s="38"/>
      <c r="HM64" s="13"/>
      <c r="HN64" s="107"/>
      <c r="HO64" s="107"/>
      <c r="HP64" s="105"/>
      <c r="HR64" s="13"/>
      <c r="HS64" s="107"/>
      <c r="HT64" s="107"/>
      <c r="HU64" s="105"/>
      <c r="HW64" s="13"/>
      <c r="HX64" s="107"/>
      <c r="HY64" s="107"/>
      <c r="HZ64" s="105"/>
      <c r="IB64" s="13"/>
      <c r="IC64" s="107"/>
      <c r="ID64" s="107"/>
      <c r="IE64" s="105"/>
      <c r="IG64" s="13"/>
      <c r="IH64" s="107"/>
      <c r="II64" s="107"/>
      <c r="IJ64" s="105"/>
      <c r="IL64" s="13"/>
      <c r="IM64" s="107"/>
      <c r="IN64" s="107"/>
      <c r="IO64" s="105"/>
      <c r="IQ64" s="38"/>
      <c r="IR64" s="13"/>
      <c r="IS64" s="107"/>
      <c r="IT64" s="107"/>
      <c r="IU64" s="105"/>
      <c r="IW64" s="13"/>
      <c r="IX64" s="107"/>
      <c r="IY64" s="107"/>
      <c r="IZ64" s="105"/>
      <c r="JB64" s="13"/>
      <c r="JC64" s="107"/>
      <c r="JD64" s="107"/>
      <c r="JE64" s="105"/>
      <c r="JG64" s="13"/>
      <c r="JH64" s="107"/>
      <c r="JI64" s="107"/>
      <c r="JJ64" s="105"/>
      <c r="JL64" s="13"/>
      <c r="JM64" s="107"/>
      <c r="JN64" s="107"/>
      <c r="JO64" s="105"/>
      <c r="JQ64" s="13"/>
      <c r="JR64" s="107"/>
      <c r="JS64" s="107"/>
      <c r="JT64" s="105"/>
      <c r="JW64" s="13"/>
      <c r="JX64" s="107"/>
      <c r="JY64" s="107"/>
      <c r="JZ64" s="105"/>
      <c r="KC64" s="107"/>
      <c r="KD64" s="107"/>
      <c r="KE64" s="105"/>
      <c r="KH64" s="107"/>
      <c r="KI64" s="107"/>
      <c r="KJ64" s="105"/>
      <c r="KM64" s="107"/>
      <c r="KN64" s="107"/>
      <c r="KO64" s="105"/>
      <c r="KR64" s="107"/>
      <c r="KS64" s="107"/>
      <c r="KT64" s="105"/>
      <c r="KW64" s="107"/>
      <c r="KX64" s="107"/>
      <c r="KY64" s="105"/>
      <c r="LB64" s="13"/>
      <c r="LC64" s="107"/>
      <c r="LD64" s="107"/>
      <c r="LE64" s="105"/>
      <c r="LH64" s="107"/>
      <c r="LI64" s="107"/>
      <c r="LJ64" s="105"/>
      <c r="LM64" s="107"/>
      <c r="LN64" s="107"/>
      <c r="LO64" s="105"/>
      <c r="LR64" s="107"/>
      <c r="LS64" s="107"/>
      <c r="LT64" s="105"/>
      <c r="LW64" s="107"/>
      <c r="LX64" s="107"/>
      <c r="LY64" s="105"/>
      <c r="MB64" s="107"/>
      <c r="MC64" s="107"/>
      <c r="MD64" s="105"/>
      <c r="MG64" s="13"/>
      <c r="MH64" s="107"/>
      <c r="MI64" s="107"/>
      <c r="MJ64" s="105"/>
      <c r="MM64" s="107"/>
      <c r="MN64" s="107"/>
      <c r="MO64" s="105"/>
      <c r="MR64" s="107"/>
      <c r="MS64" s="107"/>
      <c r="MT64" s="105"/>
      <c r="MW64" s="107"/>
      <c r="MX64" s="107"/>
      <c r="MY64" s="105"/>
      <c r="NB64" s="107"/>
      <c r="NC64" s="107"/>
      <c r="ND64" s="105"/>
      <c r="NG64" s="107"/>
      <c r="NH64" s="107"/>
      <c r="NI64" s="105"/>
      <c r="NL64" s="13"/>
      <c r="NM64" s="107"/>
      <c r="NN64" s="107"/>
      <c r="NO64" s="105"/>
      <c r="NR64" s="107"/>
      <c r="NS64" s="107"/>
      <c r="NT64" s="105"/>
      <c r="NW64" s="107"/>
      <c r="NX64" s="107"/>
      <c r="NY64" s="105"/>
      <c r="OB64" s="107"/>
      <c r="OC64" s="107"/>
      <c r="OD64" s="105"/>
      <c r="OG64" s="107"/>
      <c r="OH64" s="107"/>
      <c r="OI64" s="105"/>
      <c r="OL64" s="107"/>
      <c r="OM64" s="107"/>
      <c r="ON64" s="105"/>
    </row>
    <row r="65" ht="15.75" customHeight="1">
      <c r="A65" s="42"/>
      <c r="B65" s="42"/>
      <c r="C65" s="42"/>
      <c r="D65" s="38">
        <f t="shared" si="271"/>
        <v>45966</v>
      </c>
      <c r="E65" s="105" t="str">
        <f t="shared" ref="E65:I65" si="277">O14</f>
        <v/>
      </c>
      <c r="F65" s="105" t="str">
        <f t="shared" si="277"/>
        <v/>
      </c>
      <c r="G65" s="105" t="str">
        <f t="shared" si="277"/>
        <v/>
      </c>
      <c r="H65" s="106" t="str">
        <f t="shared" si="277"/>
        <v/>
      </c>
      <c r="I65" s="106" t="str">
        <f t="shared" si="277"/>
        <v/>
      </c>
      <c r="J65" s="107" t="str">
        <f t="array" ref="J65">IFERROR(IF(XLOOKUP(CONCAT(E65,F65),'MASTER PLAN'!$AB:$AB,'MASTER PLAN'!$M:$M,0,0)=0,"",XLOOKUP(CONCAT(E65,F65),'MASTER PLAN'!$AB:$AB,'MASTER PLAN'!$M:$M,0,0)),"")</f>
        <v/>
      </c>
      <c r="K65" s="107">
        <f t="shared" si="237"/>
        <v>0</v>
      </c>
      <c r="L65" s="107">
        <f t="shared" si="238"/>
        <v>0</v>
      </c>
      <c r="M65" s="105" t="s">
        <v>248</v>
      </c>
      <c r="N65" s="13"/>
      <c r="O65" s="107"/>
      <c r="P65" s="107"/>
      <c r="Q65" s="105"/>
      <c r="S65" s="13"/>
      <c r="T65" s="107"/>
      <c r="U65" s="107"/>
      <c r="V65" s="105"/>
      <c r="X65" s="13"/>
      <c r="Y65" s="107"/>
      <c r="Z65" s="107"/>
      <c r="AA65" s="105"/>
      <c r="AC65" s="13"/>
      <c r="AD65" s="107"/>
      <c r="AE65" s="107"/>
      <c r="AF65" s="105"/>
      <c r="AH65" s="38"/>
      <c r="AI65" s="13"/>
      <c r="AJ65" s="107"/>
      <c r="AK65" s="107"/>
      <c r="AL65" s="105"/>
      <c r="AN65" s="13"/>
      <c r="AO65" s="107"/>
      <c r="AP65" s="107"/>
      <c r="AQ65" s="105"/>
      <c r="AS65" s="13"/>
      <c r="AT65" s="107"/>
      <c r="AU65" s="107"/>
      <c r="AV65" s="105"/>
      <c r="AX65" s="13"/>
      <c r="AY65" s="107"/>
      <c r="AZ65" s="107"/>
      <c r="BA65" s="105"/>
      <c r="BC65" s="13"/>
      <c r="BD65" s="107"/>
      <c r="BE65" s="107"/>
      <c r="BF65" s="105"/>
      <c r="BH65" s="13"/>
      <c r="BI65" s="107"/>
      <c r="BJ65" s="107"/>
      <c r="BK65" s="105"/>
      <c r="BM65" s="38"/>
      <c r="BN65" s="13"/>
      <c r="BO65" s="107"/>
      <c r="BP65" s="107"/>
      <c r="BQ65" s="105"/>
      <c r="BS65" s="13"/>
      <c r="BT65" s="107"/>
      <c r="BU65" s="107"/>
      <c r="BV65" s="105"/>
      <c r="BX65" s="13"/>
      <c r="BY65" s="107"/>
      <c r="BZ65" s="107"/>
      <c r="CA65" s="105"/>
      <c r="CC65" s="13"/>
      <c r="CD65" s="107"/>
      <c r="CE65" s="107"/>
      <c r="CF65" s="105"/>
      <c r="CH65" s="13"/>
      <c r="CI65" s="107"/>
      <c r="CJ65" s="107"/>
      <c r="CK65" s="105"/>
      <c r="CM65" s="13"/>
      <c r="CN65" s="107"/>
      <c r="CO65" s="107"/>
      <c r="CP65" s="105"/>
      <c r="CR65" s="38"/>
      <c r="CS65" s="13"/>
      <c r="CT65" s="107"/>
      <c r="CU65" s="107"/>
      <c r="CV65" s="105"/>
      <c r="CX65" s="13"/>
      <c r="CY65" s="107"/>
      <c r="CZ65" s="107"/>
      <c r="DA65" s="105"/>
      <c r="DC65" s="13"/>
      <c r="DD65" s="107"/>
      <c r="DE65" s="107"/>
      <c r="DF65" s="105"/>
      <c r="DH65" s="13"/>
      <c r="DI65" s="107"/>
      <c r="DJ65" s="107"/>
      <c r="DK65" s="105"/>
      <c r="DM65" s="13"/>
      <c r="DN65" s="107"/>
      <c r="DO65" s="107"/>
      <c r="DP65" s="105"/>
      <c r="DR65" s="13"/>
      <c r="DS65" s="107"/>
      <c r="DT65" s="107"/>
      <c r="DU65" s="105"/>
      <c r="DW65" s="38"/>
      <c r="DX65" s="13"/>
      <c r="DY65" s="107"/>
      <c r="DZ65" s="107"/>
      <c r="EA65" s="105"/>
      <c r="EC65" s="13"/>
      <c r="ED65" s="107"/>
      <c r="EE65" s="107"/>
      <c r="EF65" s="105"/>
      <c r="EH65" s="13"/>
      <c r="EI65" s="107"/>
      <c r="EJ65" s="107"/>
      <c r="EK65" s="105"/>
      <c r="EM65" s="13"/>
      <c r="EN65" s="107"/>
      <c r="EO65" s="107"/>
      <c r="EP65" s="105"/>
      <c r="ER65" s="13"/>
      <c r="ES65" s="107"/>
      <c r="ET65" s="107"/>
      <c r="EU65" s="105"/>
      <c r="EW65" s="13"/>
      <c r="EX65" s="107"/>
      <c r="EY65" s="107"/>
      <c r="EZ65" s="105"/>
      <c r="FB65" s="38"/>
      <c r="FC65" s="13"/>
      <c r="FD65" s="107"/>
      <c r="FE65" s="107"/>
      <c r="FF65" s="105"/>
      <c r="FH65" s="13"/>
      <c r="FI65" s="107"/>
      <c r="FJ65" s="107"/>
      <c r="FK65" s="105"/>
      <c r="FM65" s="13"/>
      <c r="FN65" s="107"/>
      <c r="FO65" s="107"/>
      <c r="FP65" s="105"/>
      <c r="FR65" s="13"/>
      <c r="FS65" s="107"/>
      <c r="FT65" s="107"/>
      <c r="FU65" s="105"/>
      <c r="FW65" s="13"/>
      <c r="FX65" s="107"/>
      <c r="FY65" s="107"/>
      <c r="FZ65" s="105"/>
      <c r="GB65" s="13"/>
      <c r="GC65" s="107"/>
      <c r="GD65" s="107"/>
      <c r="GE65" s="105"/>
      <c r="GG65" s="38"/>
      <c r="GH65" s="13"/>
      <c r="GI65" s="107"/>
      <c r="GJ65" s="107"/>
      <c r="GK65" s="105"/>
      <c r="GM65" s="13"/>
      <c r="GN65" s="107"/>
      <c r="GO65" s="107"/>
      <c r="GP65" s="105"/>
      <c r="GR65" s="13"/>
      <c r="GS65" s="107"/>
      <c r="GT65" s="107"/>
      <c r="GU65" s="105"/>
      <c r="GW65" s="13"/>
      <c r="GX65" s="107"/>
      <c r="GY65" s="107"/>
      <c r="GZ65" s="105"/>
      <c r="HB65" s="13"/>
      <c r="HC65" s="107"/>
      <c r="HD65" s="107"/>
      <c r="HE65" s="105"/>
      <c r="HG65" s="13"/>
      <c r="HH65" s="107"/>
      <c r="HI65" s="107"/>
      <c r="HJ65" s="105"/>
      <c r="HL65" s="38"/>
      <c r="HM65" s="13"/>
      <c r="HN65" s="107"/>
      <c r="HO65" s="107"/>
      <c r="HP65" s="105"/>
      <c r="HR65" s="13"/>
      <c r="HS65" s="107"/>
      <c r="HT65" s="107"/>
      <c r="HU65" s="105"/>
      <c r="HW65" s="13"/>
      <c r="HX65" s="107"/>
      <c r="HY65" s="107"/>
      <c r="HZ65" s="105"/>
      <c r="IB65" s="13"/>
      <c r="IC65" s="107"/>
      <c r="ID65" s="107"/>
      <c r="IE65" s="105"/>
      <c r="IG65" s="13"/>
      <c r="IH65" s="107"/>
      <c r="II65" s="107"/>
      <c r="IJ65" s="105"/>
      <c r="IL65" s="13"/>
      <c r="IM65" s="107"/>
      <c r="IN65" s="107"/>
      <c r="IO65" s="105"/>
      <c r="IQ65" s="38"/>
      <c r="IR65" s="13"/>
      <c r="IS65" s="107"/>
      <c r="IT65" s="107"/>
      <c r="IU65" s="105"/>
      <c r="IW65" s="13"/>
      <c r="IX65" s="107"/>
      <c r="IY65" s="107"/>
      <c r="IZ65" s="105"/>
      <c r="JB65" s="13"/>
      <c r="JC65" s="107"/>
      <c r="JD65" s="107"/>
      <c r="JE65" s="105"/>
      <c r="JG65" s="13"/>
      <c r="JH65" s="107"/>
      <c r="JI65" s="107"/>
      <c r="JJ65" s="105"/>
      <c r="JL65" s="13"/>
      <c r="JM65" s="107"/>
      <c r="JN65" s="107"/>
      <c r="JO65" s="105"/>
      <c r="JQ65" s="13"/>
      <c r="JR65" s="107"/>
      <c r="JS65" s="107"/>
      <c r="JT65" s="105"/>
      <c r="JW65" s="13"/>
      <c r="JX65" s="107"/>
      <c r="JY65" s="107"/>
      <c r="JZ65" s="105"/>
      <c r="KC65" s="107"/>
      <c r="KD65" s="107"/>
      <c r="KE65" s="105"/>
      <c r="KH65" s="107"/>
      <c r="KI65" s="107"/>
      <c r="KJ65" s="105"/>
      <c r="KM65" s="107"/>
      <c r="KN65" s="107"/>
      <c r="KO65" s="105"/>
      <c r="KR65" s="107"/>
      <c r="KS65" s="107"/>
      <c r="KT65" s="105"/>
      <c r="KW65" s="107"/>
      <c r="KX65" s="107"/>
      <c r="KY65" s="105"/>
      <c r="LB65" s="13"/>
      <c r="LC65" s="107"/>
      <c r="LD65" s="107"/>
      <c r="LE65" s="105"/>
      <c r="LH65" s="107"/>
      <c r="LI65" s="107"/>
      <c r="LJ65" s="105"/>
      <c r="LM65" s="107"/>
      <c r="LN65" s="107"/>
      <c r="LO65" s="105"/>
      <c r="LR65" s="107"/>
      <c r="LS65" s="107"/>
      <c r="LT65" s="105"/>
      <c r="LW65" s="107"/>
      <c r="LX65" s="107"/>
      <c r="LY65" s="105"/>
      <c r="MB65" s="107"/>
      <c r="MC65" s="107"/>
      <c r="MD65" s="105"/>
      <c r="MG65" s="13"/>
      <c r="MH65" s="107"/>
      <c r="MI65" s="107"/>
      <c r="MJ65" s="105"/>
      <c r="MM65" s="107"/>
      <c r="MN65" s="107"/>
      <c r="MO65" s="105"/>
      <c r="MR65" s="107"/>
      <c r="MS65" s="107"/>
      <c r="MT65" s="105"/>
      <c r="MW65" s="107"/>
      <c r="MX65" s="107"/>
      <c r="MY65" s="105"/>
      <c r="NB65" s="107"/>
      <c r="NC65" s="107"/>
      <c r="ND65" s="105"/>
      <c r="NG65" s="107"/>
      <c r="NH65" s="107"/>
      <c r="NI65" s="105"/>
      <c r="NL65" s="13"/>
      <c r="NM65" s="107"/>
      <c r="NN65" s="107"/>
      <c r="NO65" s="105"/>
      <c r="NR65" s="107"/>
      <c r="NS65" s="107"/>
      <c r="NT65" s="105"/>
      <c r="NW65" s="107"/>
      <c r="NX65" s="107"/>
      <c r="NY65" s="105"/>
      <c r="OB65" s="107"/>
      <c r="OC65" s="107"/>
      <c r="OD65" s="105"/>
      <c r="OG65" s="107"/>
      <c r="OH65" s="107"/>
      <c r="OI65" s="105"/>
      <c r="OL65" s="107"/>
      <c r="OM65" s="107"/>
      <c r="ON65" s="105"/>
    </row>
    <row r="66" ht="15.75" customHeight="1">
      <c r="A66" s="42"/>
      <c r="B66" s="42"/>
      <c r="C66" s="42"/>
      <c r="D66" s="38">
        <f t="shared" si="271"/>
        <v>45966</v>
      </c>
      <c r="E66" s="105" t="str">
        <f t="shared" ref="E66:I66" si="278">O15</f>
        <v/>
      </c>
      <c r="F66" s="105" t="str">
        <f t="shared" si="278"/>
        <v/>
      </c>
      <c r="G66" s="105" t="str">
        <f t="shared" si="278"/>
        <v/>
      </c>
      <c r="H66" s="106" t="str">
        <f t="shared" si="278"/>
        <v/>
      </c>
      <c r="I66" s="106" t="str">
        <f t="shared" si="278"/>
        <v/>
      </c>
      <c r="J66" s="107" t="str">
        <f t="array" ref="J66">IFERROR(IF(XLOOKUP(CONCAT(E66,F66),'MASTER PLAN'!$AB:$AB,'MASTER PLAN'!$M:$M,0,0)=0,"",XLOOKUP(CONCAT(E66,F66),'MASTER PLAN'!$AB:$AB,'MASTER PLAN'!$M:$M,0,0)),"")</f>
        <v/>
      </c>
      <c r="K66" s="107">
        <f t="shared" si="237"/>
        <v>0</v>
      </c>
      <c r="L66" s="107">
        <f t="shared" si="238"/>
        <v>0</v>
      </c>
      <c r="M66" s="105" t="s">
        <v>248</v>
      </c>
      <c r="N66" s="13"/>
      <c r="O66" s="107"/>
      <c r="P66" s="107"/>
      <c r="Q66" s="105"/>
      <c r="S66" s="13"/>
      <c r="T66" s="107"/>
      <c r="U66" s="107"/>
      <c r="V66" s="105"/>
      <c r="X66" s="13"/>
      <c r="Y66" s="107"/>
      <c r="Z66" s="107"/>
      <c r="AA66" s="105"/>
      <c r="AC66" s="13"/>
      <c r="AD66" s="107"/>
      <c r="AE66" s="107"/>
      <c r="AF66" s="105"/>
      <c r="AH66" s="38"/>
      <c r="AI66" s="13"/>
      <c r="AJ66" s="107"/>
      <c r="AK66" s="107"/>
      <c r="AL66" s="105"/>
      <c r="AN66" s="13"/>
      <c r="AO66" s="107"/>
      <c r="AP66" s="107"/>
      <c r="AQ66" s="105"/>
      <c r="AS66" s="13"/>
      <c r="AT66" s="107"/>
      <c r="AU66" s="107"/>
      <c r="AV66" s="105"/>
      <c r="AX66" s="13"/>
      <c r="AY66" s="107"/>
      <c r="AZ66" s="107"/>
      <c r="BA66" s="105"/>
      <c r="BC66" s="13"/>
      <c r="BD66" s="107"/>
      <c r="BE66" s="107"/>
      <c r="BF66" s="105"/>
      <c r="BH66" s="13"/>
      <c r="BI66" s="107"/>
      <c r="BJ66" s="107"/>
      <c r="BK66" s="105"/>
      <c r="BM66" s="38"/>
      <c r="BN66" s="13"/>
      <c r="BO66" s="107"/>
      <c r="BP66" s="107"/>
      <c r="BQ66" s="105"/>
      <c r="BS66" s="13"/>
      <c r="BT66" s="107"/>
      <c r="BU66" s="107"/>
      <c r="BV66" s="105"/>
      <c r="BX66" s="13"/>
      <c r="BY66" s="107"/>
      <c r="BZ66" s="107"/>
      <c r="CA66" s="105"/>
      <c r="CC66" s="13"/>
      <c r="CD66" s="107"/>
      <c r="CE66" s="107"/>
      <c r="CF66" s="105"/>
      <c r="CH66" s="13"/>
      <c r="CI66" s="107"/>
      <c r="CJ66" s="107"/>
      <c r="CK66" s="105"/>
      <c r="CM66" s="13"/>
      <c r="CN66" s="107"/>
      <c r="CO66" s="107"/>
      <c r="CP66" s="105"/>
      <c r="CR66" s="38"/>
      <c r="CS66" s="13"/>
      <c r="CT66" s="107"/>
      <c r="CU66" s="107"/>
      <c r="CV66" s="105"/>
      <c r="CX66" s="13"/>
      <c r="CY66" s="107"/>
      <c r="CZ66" s="107"/>
      <c r="DA66" s="105"/>
      <c r="DC66" s="13"/>
      <c r="DD66" s="107"/>
      <c r="DE66" s="107"/>
      <c r="DF66" s="105"/>
      <c r="DH66" s="13"/>
      <c r="DI66" s="107"/>
      <c r="DJ66" s="107"/>
      <c r="DK66" s="105"/>
      <c r="DM66" s="13"/>
      <c r="DN66" s="107"/>
      <c r="DO66" s="107"/>
      <c r="DP66" s="105"/>
      <c r="DR66" s="13"/>
      <c r="DS66" s="107"/>
      <c r="DT66" s="107"/>
      <c r="DU66" s="105"/>
      <c r="DW66" s="38"/>
      <c r="DX66" s="13"/>
      <c r="DY66" s="107"/>
      <c r="DZ66" s="107"/>
      <c r="EA66" s="105"/>
      <c r="EC66" s="13"/>
      <c r="ED66" s="107"/>
      <c r="EE66" s="107"/>
      <c r="EF66" s="105"/>
      <c r="EH66" s="13"/>
      <c r="EI66" s="107"/>
      <c r="EJ66" s="107"/>
      <c r="EK66" s="105"/>
      <c r="EM66" s="13"/>
      <c r="EN66" s="107"/>
      <c r="EO66" s="107"/>
      <c r="EP66" s="105"/>
      <c r="ER66" s="13"/>
      <c r="ES66" s="107"/>
      <c r="ET66" s="107"/>
      <c r="EU66" s="105"/>
      <c r="EW66" s="13"/>
      <c r="EX66" s="107"/>
      <c r="EY66" s="107"/>
      <c r="EZ66" s="105"/>
      <c r="FB66" s="38"/>
      <c r="FC66" s="13"/>
      <c r="FD66" s="107"/>
      <c r="FE66" s="107"/>
      <c r="FF66" s="105"/>
      <c r="FH66" s="13"/>
      <c r="FI66" s="107"/>
      <c r="FJ66" s="107"/>
      <c r="FK66" s="105"/>
      <c r="FM66" s="13"/>
      <c r="FN66" s="107"/>
      <c r="FO66" s="107"/>
      <c r="FP66" s="105"/>
      <c r="FR66" s="13"/>
      <c r="FS66" s="107"/>
      <c r="FT66" s="107"/>
      <c r="FU66" s="105"/>
      <c r="FW66" s="13"/>
      <c r="FX66" s="107"/>
      <c r="FY66" s="107"/>
      <c r="FZ66" s="105"/>
      <c r="GB66" s="13"/>
      <c r="GC66" s="107"/>
      <c r="GD66" s="107"/>
      <c r="GE66" s="105"/>
      <c r="GG66" s="38"/>
      <c r="GH66" s="13"/>
      <c r="GI66" s="107"/>
      <c r="GJ66" s="107"/>
      <c r="GK66" s="105"/>
      <c r="GM66" s="13"/>
      <c r="GN66" s="107"/>
      <c r="GO66" s="107"/>
      <c r="GP66" s="105"/>
      <c r="GR66" s="13"/>
      <c r="GS66" s="107"/>
      <c r="GT66" s="107"/>
      <c r="GU66" s="105"/>
      <c r="GW66" s="13"/>
      <c r="GX66" s="107"/>
      <c r="GY66" s="107"/>
      <c r="GZ66" s="105"/>
      <c r="HB66" s="13"/>
      <c r="HC66" s="107"/>
      <c r="HD66" s="107"/>
      <c r="HE66" s="105"/>
      <c r="HG66" s="13"/>
      <c r="HH66" s="107"/>
      <c r="HI66" s="107"/>
      <c r="HJ66" s="105"/>
      <c r="HL66" s="38"/>
      <c r="HM66" s="13"/>
      <c r="HN66" s="107"/>
      <c r="HO66" s="107"/>
      <c r="HP66" s="105"/>
      <c r="HR66" s="13"/>
      <c r="HS66" s="107"/>
      <c r="HT66" s="107"/>
      <c r="HU66" s="105"/>
      <c r="HW66" s="13"/>
      <c r="HX66" s="107"/>
      <c r="HY66" s="107"/>
      <c r="HZ66" s="105"/>
      <c r="IB66" s="13"/>
      <c r="IC66" s="107"/>
      <c r="ID66" s="107"/>
      <c r="IE66" s="105"/>
      <c r="IG66" s="13"/>
      <c r="IH66" s="107"/>
      <c r="II66" s="107"/>
      <c r="IJ66" s="105"/>
      <c r="IL66" s="13"/>
      <c r="IM66" s="107"/>
      <c r="IN66" s="107"/>
      <c r="IO66" s="105"/>
      <c r="IQ66" s="38"/>
      <c r="IR66" s="13"/>
      <c r="IS66" s="107"/>
      <c r="IT66" s="107"/>
      <c r="IU66" s="105"/>
      <c r="IW66" s="13"/>
      <c r="IX66" s="107"/>
      <c r="IY66" s="107"/>
      <c r="IZ66" s="105"/>
      <c r="JB66" s="13"/>
      <c r="JC66" s="107"/>
      <c r="JD66" s="107"/>
      <c r="JE66" s="105"/>
      <c r="JG66" s="13"/>
      <c r="JH66" s="107"/>
      <c r="JI66" s="107"/>
      <c r="JJ66" s="105"/>
      <c r="JL66" s="13"/>
      <c r="JM66" s="107"/>
      <c r="JN66" s="107"/>
      <c r="JO66" s="105"/>
      <c r="JQ66" s="13"/>
      <c r="JR66" s="107"/>
      <c r="JS66" s="107"/>
      <c r="JT66" s="105"/>
      <c r="JW66" s="13"/>
      <c r="JX66" s="107"/>
      <c r="JY66" s="107"/>
      <c r="JZ66" s="105"/>
      <c r="KC66" s="107"/>
      <c r="KD66" s="107"/>
      <c r="KE66" s="105"/>
      <c r="KH66" s="107"/>
      <c r="KI66" s="107"/>
      <c r="KJ66" s="105"/>
      <c r="KM66" s="107"/>
      <c r="KN66" s="107"/>
      <c r="KO66" s="105"/>
      <c r="KR66" s="107"/>
      <c r="KS66" s="107"/>
      <c r="KT66" s="105"/>
      <c r="KW66" s="107"/>
      <c r="KX66" s="107"/>
      <c r="KY66" s="105"/>
      <c r="LB66" s="13"/>
      <c r="LC66" s="107"/>
      <c r="LD66" s="107"/>
      <c r="LE66" s="105"/>
      <c r="LH66" s="107"/>
      <c r="LI66" s="107"/>
      <c r="LJ66" s="105"/>
      <c r="LM66" s="107"/>
      <c r="LN66" s="107"/>
      <c r="LO66" s="105"/>
      <c r="LR66" s="107"/>
      <c r="LS66" s="107"/>
      <c r="LT66" s="105"/>
      <c r="LW66" s="107"/>
      <c r="LX66" s="107"/>
      <c r="LY66" s="105"/>
      <c r="MB66" s="107"/>
      <c r="MC66" s="107"/>
      <c r="MD66" s="105"/>
      <c r="MG66" s="13"/>
      <c r="MH66" s="107"/>
      <c r="MI66" s="107"/>
      <c r="MJ66" s="105"/>
      <c r="MM66" s="107"/>
      <c r="MN66" s="107"/>
      <c r="MO66" s="105"/>
      <c r="MR66" s="107"/>
      <c r="MS66" s="107"/>
      <c r="MT66" s="105"/>
      <c r="MW66" s="107"/>
      <c r="MX66" s="107"/>
      <c r="MY66" s="105"/>
      <c r="NB66" s="107"/>
      <c r="NC66" s="107"/>
      <c r="ND66" s="105"/>
      <c r="NG66" s="107"/>
      <c r="NH66" s="107"/>
      <c r="NI66" s="105"/>
      <c r="NL66" s="13"/>
      <c r="NM66" s="107"/>
      <c r="NN66" s="107"/>
      <c r="NO66" s="105"/>
      <c r="NR66" s="107"/>
      <c r="NS66" s="107"/>
      <c r="NT66" s="105"/>
      <c r="NW66" s="107"/>
      <c r="NX66" s="107"/>
      <c r="NY66" s="105"/>
      <c r="OB66" s="107"/>
      <c r="OC66" s="107"/>
      <c r="OD66" s="105"/>
      <c r="OG66" s="107"/>
      <c r="OH66" s="107"/>
      <c r="OI66" s="105"/>
      <c r="OL66" s="107"/>
      <c r="OM66" s="107"/>
      <c r="ON66" s="105"/>
    </row>
    <row r="67" ht="15.75" customHeight="1">
      <c r="A67" s="42"/>
      <c r="B67" s="42"/>
      <c r="C67" s="42"/>
      <c r="D67" s="38">
        <f t="shared" si="271"/>
        <v>45966</v>
      </c>
      <c r="E67" s="105" t="str">
        <f t="shared" ref="E67:I67" si="279">O16</f>
        <v/>
      </c>
      <c r="F67" s="105" t="str">
        <f t="shared" si="279"/>
        <v/>
      </c>
      <c r="G67" s="105" t="str">
        <f t="shared" si="279"/>
        <v/>
      </c>
      <c r="H67" s="106" t="str">
        <f t="shared" si="279"/>
        <v/>
      </c>
      <c r="I67" s="106" t="str">
        <f t="shared" si="279"/>
        <v/>
      </c>
      <c r="J67" s="107" t="str">
        <f t="array" ref="J67">IFERROR(IF(XLOOKUP(CONCAT(E67,F67),'MASTER PLAN'!$AB:$AB,'MASTER PLAN'!$M:$M,0,0)=0,"",XLOOKUP(CONCAT(E67,F67),'MASTER PLAN'!$AB:$AB,'MASTER PLAN'!$M:$M,0,0)),"")</f>
        <v/>
      </c>
      <c r="K67" s="107">
        <f t="shared" si="237"/>
        <v>0</v>
      </c>
      <c r="L67" s="107">
        <f t="shared" si="238"/>
        <v>0</v>
      </c>
      <c r="M67" s="105" t="s">
        <v>248</v>
      </c>
      <c r="N67" s="13"/>
      <c r="O67" s="107"/>
      <c r="P67" s="107"/>
      <c r="Q67" s="105"/>
      <c r="S67" s="13"/>
      <c r="T67" s="107"/>
      <c r="U67" s="107"/>
      <c r="V67" s="105"/>
      <c r="X67" s="13"/>
      <c r="Y67" s="107"/>
      <c r="Z67" s="107"/>
      <c r="AA67" s="105"/>
      <c r="AC67" s="13"/>
      <c r="AD67" s="107"/>
      <c r="AE67" s="107"/>
      <c r="AF67" s="105"/>
      <c r="AH67" s="38"/>
      <c r="AI67" s="13"/>
      <c r="AJ67" s="107"/>
      <c r="AK67" s="107"/>
      <c r="AL67" s="105"/>
      <c r="AN67" s="13"/>
      <c r="AO67" s="107"/>
      <c r="AP67" s="107"/>
      <c r="AQ67" s="105"/>
      <c r="AS67" s="13"/>
      <c r="AT67" s="107"/>
      <c r="AU67" s="107"/>
      <c r="AV67" s="105"/>
      <c r="AX67" s="13"/>
      <c r="AY67" s="107"/>
      <c r="AZ67" s="107"/>
      <c r="BA67" s="105"/>
      <c r="BC67" s="13"/>
      <c r="BD67" s="107"/>
      <c r="BE67" s="107"/>
      <c r="BF67" s="105"/>
      <c r="BH67" s="13"/>
      <c r="BI67" s="107"/>
      <c r="BJ67" s="107"/>
      <c r="BK67" s="105"/>
      <c r="BM67" s="38"/>
      <c r="BN67" s="13"/>
      <c r="BO67" s="107"/>
      <c r="BP67" s="107"/>
      <c r="BQ67" s="105"/>
      <c r="BS67" s="13"/>
      <c r="BT67" s="107"/>
      <c r="BU67" s="107"/>
      <c r="BV67" s="105"/>
      <c r="BX67" s="13"/>
      <c r="BY67" s="107"/>
      <c r="BZ67" s="107"/>
      <c r="CA67" s="105"/>
      <c r="CC67" s="13"/>
      <c r="CD67" s="107"/>
      <c r="CE67" s="107"/>
      <c r="CF67" s="105"/>
      <c r="CH67" s="13"/>
      <c r="CI67" s="107"/>
      <c r="CJ67" s="107"/>
      <c r="CK67" s="105"/>
      <c r="CM67" s="13"/>
      <c r="CN67" s="107"/>
      <c r="CO67" s="107"/>
      <c r="CP67" s="105"/>
      <c r="CR67" s="38"/>
      <c r="CS67" s="13"/>
      <c r="CT67" s="107"/>
      <c r="CU67" s="107"/>
      <c r="CV67" s="105"/>
      <c r="CX67" s="13"/>
      <c r="CY67" s="107"/>
      <c r="CZ67" s="107"/>
      <c r="DA67" s="105"/>
      <c r="DC67" s="13"/>
      <c r="DD67" s="107"/>
      <c r="DE67" s="107"/>
      <c r="DF67" s="105"/>
      <c r="DH67" s="13"/>
      <c r="DI67" s="107"/>
      <c r="DJ67" s="107"/>
      <c r="DK67" s="105"/>
      <c r="DM67" s="13"/>
      <c r="DN67" s="107"/>
      <c r="DO67" s="107"/>
      <c r="DP67" s="105"/>
      <c r="DR67" s="13"/>
      <c r="DS67" s="107"/>
      <c r="DT67" s="107"/>
      <c r="DU67" s="105"/>
      <c r="DW67" s="38"/>
      <c r="DX67" s="13"/>
      <c r="DY67" s="107"/>
      <c r="DZ67" s="107"/>
      <c r="EA67" s="105"/>
      <c r="EC67" s="13"/>
      <c r="ED67" s="107"/>
      <c r="EE67" s="107"/>
      <c r="EF67" s="105"/>
      <c r="EH67" s="13"/>
      <c r="EI67" s="107"/>
      <c r="EJ67" s="107"/>
      <c r="EK67" s="105"/>
      <c r="EM67" s="13"/>
      <c r="EN67" s="107"/>
      <c r="EO67" s="107"/>
      <c r="EP67" s="105"/>
      <c r="ER67" s="13"/>
      <c r="ES67" s="107"/>
      <c r="ET67" s="107"/>
      <c r="EU67" s="105"/>
      <c r="EW67" s="13"/>
      <c r="EX67" s="107"/>
      <c r="EY67" s="107"/>
      <c r="EZ67" s="105"/>
      <c r="FB67" s="38"/>
      <c r="FC67" s="13"/>
      <c r="FD67" s="107"/>
      <c r="FE67" s="107"/>
      <c r="FF67" s="105"/>
      <c r="FH67" s="13"/>
      <c r="FI67" s="107"/>
      <c r="FJ67" s="107"/>
      <c r="FK67" s="105"/>
      <c r="FM67" s="13"/>
      <c r="FN67" s="107"/>
      <c r="FO67" s="107"/>
      <c r="FP67" s="105"/>
      <c r="FR67" s="13"/>
      <c r="FS67" s="107"/>
      <c r="FT67" s="107"/>
      <c r="FU67" s="105"/>
      <c r="FW67" s="13"/>
      <c r="FX67" s="107"/>
      <c r="FY67" s="107"/>
      <c r="FZ67" s="105"/>
      <c r="GB67" s="13"/>
      <c r="GC67" s="107"/>
      <c r="GD67" s="107"/>
      <c r="GE67" s="105"/>
      <c r="GG67" s="38"/>
      <c r="GH67" s="13"/>
      <c r="GI67" s="107"/>
      <c r="GJ67" s="107"/>
      <c r="GK67" s="105"/>
      <c r="GM67" s="13"/>
      <c r="GN67" s="107"/>
      <c r="GO67" s="107"/>
      <c r="GP67" s="105"/>
      <c r="GR67" s="13"/>
      <c r="GS67" s="107"/>
      <c r="GT67" s="107"/>
      <c r="GU67" s="105"/>
      <c r="GW67" s="13"/>
      <c r="GX67" s="107"/>
      <c r="GY67" s="107"/>
      <c r="GZ67" s="105"/>
      <c r="HB67" s="13"/>
      <c r="HC67" s="107"/>
      <c r="HD67" s="107"/>
      <c r="HE67" s="105"/>
      <c r="HG67" s="13"/>
      <c r="HH67" s="107"/>
      <c r="HI67" s="107"/>
      <c r="HJ67" s="105"/>
      <c r="HL67" s="38"/>
      <c r="HM67" s="13"/>
      <c r="HN67" s="107"/>
      <c r="HO67" s="107"/>
      <c r="HP67" s="105"/>
      <c r="HR67" s="13"/>
      <c r="HS67" s="107"/>
      <c r="HT67" s="107"/>
      <c r="HU67" s="105"/>
      <c r="HW67" s="13"/>
      <c r="HX67" s="107"/>
      <c r="HY67" s="107"/>
      <c r="HZ67" s="105"/>
      <c r="IB67" s="13"/>
      <c r="IC67" s="107"/>
      <c r="ID67" s="107"/>
      <c r="IE67" s="105"/>
      <c r="IG67" s="13"/>
      <c r="IH67" s="107"/>
      <c r="II67" s="107"/>
      <c r="IJ67" s="105"/>
      <c r="IL67" s="13"/>
      <c r="IM67" s="107"/>
      <c r="IN67" s="107"/>
      <c r="IO67" s="105"/>
      <c r="IQ67" s="38"/>
      <c r="IR67" s="13"/>
      <c r="IS67" s="107"/>
      <c r="IT67" s="107"/>
      <c r="IU67" s="105"/>
      <c r="IW67" s="13"/>
      <c r="IX67" s="107"/>
      <c r="IY67" s="107"/>
      <c r="IZ67" s="105"/>
      <c r="JB67" s="13"/>
      <c r="JC67" s="107"/>
      <c r="JD67" s="107"/>
      <c r="JE67" s="105"/>
      <c r="JG67" s="13"/>
      <c r="JH67" s="107"/>
      <c r="JI67" s="107"/>
      <c r="JJ67" s="105"/>
      <c r="JL67" s="13"/>
      <c r="JM67" s="107"/>
      <c r="JN67" s="107"/>
      <c r="JO67" s="105"/>
      <c r="JQ67" s="13"/>
      <c r="JR67" s="107"/>
      <c r="JS67" s="107"/>
      <c r="JT67" s="105"/>
      <c r="JW67" s="13"/>
      <c r="JX67" s="107"/>
      <c r="JY67" s="107"/>
      <c r="JZ67" s="105"/>
      <c r="KC67" s="107"/>
      <c r="KD67" s="107"/>
      <c r="KE67" s="105"/>
      <c r="KH67" s="107"/>
      <c r="KI67" s="107"/>
      <c r="KJ67" s="105"/>
      <c r="KM67" s="107"/>
      <c r="KN67" s="107"/>
      <c r="KO67" s="105"/>
      <c r="KR67" s="107"/>
      <c r="KS67" s="107"/>
      <c r="KT67" s="105"/>
      <c r="KW67" s="107"/>
      <c r="KX67" s="107"/>
      <c r="KY67" s="105"/>
      <c r="LB67" s="13"/>
      <c r="LC67" s="107"/>
      <c r="LD67" s="107"/>
      <c r="LE67" s="105"/>
      <c r="LH67" s="107"/>
      <c r="LI67" s="107"/>
      <c r="LJ67" s="105"/>
      <c r="LM67" s="107"/>
      <c r="LN67" s="107"/>
      <c r="LO67" s="105"/>
      <c r="LR67" s="107"/>
      <c r="LS67" s="107"/>
      <c r="LT67" s="105"/>
      <c r="LW67" s="107"/>
      <c r="LX67" s="107"/>
      <c r="LY67" s="105"/>
      <c r="MB67" s="107"/>
      <c r="MC67" s="107"/>
      <c r="MD67" s="105"/>
      <c r="MG67" s="13"/>
      <c r="MH67" s="107"/>
      <c r="MI67" s="107"/>
      <c r="MJ67" s="105"/>
      <c r="MM67" s="107"/>
      <c r="MN67" s="107"/>
      <c r="MO67" s="105"/>
      <c r="MR67" s="107"/>
      <c r="MS67" s="107"/>
      <c r="MT67" s="105"/>
      <c r="MW67" s="107"/>
      <c r="MX67" s="107"/>
      <c r="MY67" s="105"/>
      <c r="NB67" s="107"/>
      <c r="NC67" s="107"/>
      <c r="ND67" s="105"/>
      <c r="NG67" s="107"/>
      <c r="NH67" s="107"/>
      <c r="NI67" s="105"/>
      <c r="NL67" s="13"/>
      <c r="NM67" s="107"/>
      <c r="NN67" s="107"/>
      <c r="NO67" s="105"/>
      <c r="NR67" s="107"/>
      <c r="NS67" s="107"/>
      <c r="NT67" s="105"/>
      <c r="NW67" s="107"/>
      <c r="NX67" s="107"/>
      <c r="NY67" s="105"/>
      <c r="OB67" s="107"/>
      <c r="OC67" s="107"/>
      <c r="OD67" s="105"/>
      <c r="OG67" s="107"/>
      <c r="OH67" s="107"/>
      <c r="OI67" s="105"/>
      <c r="OL67" s="107"/>
      <c r="OM67" s="107"/>
      <c r="ON67" s="105"/>
    </row>
    <row r="68" ht="15.75" customHeight="1">
      <c r="A68" s="42"/>
      <c r="B68" s="42"/>
      <c r="C68" s="42"/>
      <c r="D68" s="38">
        <f t="shared" si="271"/>
        <v>45966</v>
      </c>
      <c r="E68" s="105" t="str">
        <f t="shared" ref="E68:I68" si="280">O20</f>
        <v/>
      </c>
      <c r="F68" s="105" t="str">
        <f t="shared" si="280"/>
        <v/>
      </c>
      <c r="G68" s="105" t="str">
        <f t="shared" si="280"/>
        <v/>
      </c>
      <c r="H68" s="106" t="str">
        <f t="shared" si="280"/>
        <v/>
      </c>
      <c r="I68" s="106" t="str">
        <f t="shared" si="280"/>
        <v/>
      </c>
      <c r="J68" s="107" t="str">
        <f t="array" ref="J68">IFERROR(IF(XLOOKUP(CONCAT(E68,F68),'MASTER PLAN'!$AB:$AB,'MASTER PLAN'!$M:$M,0,0)=0,"",XLOOKUP(CONCAT(E68,F68),'MASTER PLAN'!$AB:$AB,'MASTER PLAN'!$M:$M,0,0)),"")</f>
        <v/>
      </c>
      <c r="K68" s="107">
        <f t="shared" si="237"/>
        <v>0</v>
      </c>
      <c r="L68" s="107">
        <f t="shared" si="238"/>
        <v>0</v>
      </c>
      <c r="M68" s="105" t="s">
        <v>249</v>
      </c>
      <c r="N68" s="13"/>
      <c r="O68" s="107"/>
      <c r="P68" s="107"/>
      <c r="Q68" s="105"/>
      <c r="S68" s="13"/>
      <c r="T68" s="107"/>
      <c r="U68" s="107"/>
      <c r="V68" s="105"/>
      <c r="X68" s="13"/>
      <c r="Y68" s="107"/>
      <c r="Z68" s="107"/>
      <c r="AA68" s="105"/>
      <c r="AC68" s="13"/>
      <c r="AD68" s="107"/>
      <c r="AE68" s="107"/>
      <c r="AF68" s="105"/>
      <c r="AH68" s="38"/>
      <c r="AI68" s="13"/>
      <c r="AJ68" s="107"/>
      <c r="AK68" s="107"/>
      <c r="AL68" s="105"/>
      <c r="AN68" s="13"/>
      <c r="AO68" s="107"/>
      <c r="AP68" s="107"/>
      <c r="AQ68" s="105"/>
      <c r="AS68" s="13"/>
      <c r="AT68" s="107"/>
      <c r="AU68" s="107"/>
      <c r="AV68" s="105"/>
      <c r="AX68" s="13"/>
      <c r="AY68" s="107"/>
      <c r="AZ68" s="107"/>
      <c r="BA68" s="105"/>
      <c r="BC68" s="13"/>
      <c r="BD68" s="107"/>
      <c r="BE68" s="107"/>
      <c r="BF68" s="105"/>
      <c r="BH68" s="13"/>
      <c r="BI68" s="107"/>
      <c r="BJ68" s="107"/>
      <c r="BK68" s="105"/>
      <c r="BM68" s="38"/>
      <c r="BN68" s="13"/>
      <c r="BO68" s="107"/>
      <c r="BP68" s="107"/>
      <c r="BQ68" s="105"/>
      <c r="BS68" s="13"/>
      <c r="BT68" s="107"/>
      <c r="BU68" s="107"/>
      <c r="BV68" s="105"/>
      <c r="BX68" s="13"/>
      <c r="BY68" s="107"/>
      <c r="BZ68" s="107"/>
      <c r="CA68" s="105"/>
      <c r="CC68" s="13"/>
      <c r="CD68" s="107"/>
      <c r="CE68" s="107"/>
      <c r="CF68" s="105"/>
      <c r="CH68" s="13"/>
      <c r="CI68" s="107"/>
      <c r="CJ68" s="107"/>
      <c r="CK68" s="105"/>
      <c r="CM68" s="13"/>
      <c r="CN68" s="107"/>
      <c r="CO68" s="107"/>
      <c r="CP68" s="105"/>
      <c r="CR68" s="38"/>
      <c r="CS68" s="13"/>
      <c r="CT68" s="107"/>
      <c r="CU68" s="107"/>
      <c r="CV68" s="105"/>
      <c r="CX68" s="13"/>
      <c r="CY68" s="107"/>
      <c r="CZ68" s="107"/>
      <c r="DA68" s="105"/>
      <c r="DC68" s="13"/>
      <c r="DD68" s="107"/>
      <c r="DE68" s="107"/>
      <c r="DF68" s="105"/>
      <c r="DH68" s="13"/>
      <c r="DI68" s="107"/>
      <c r="DJ68" s="107"/>
      <c r="DK68" s="105"/>
      <c r="DM68" s="13"/>
      <c r="DN68" s="107"/>
      <c r="DO68" s="107"/>
      <c r="DP68" s="105"/>
      <c r="DR68" s="13"/>
      <c r="DS68" s="107"/>
      <c r="DT68" s="107"/>
      <c r="DU68" s="105"/>
      <c r="DW68" s="38"/>
      <c r="DX68" s="13"/>
      <c r="DY68" s="107"/>
      <c r="DZ68" s="107"/>
      <c r="EA68" s="105"/>
      <c r="EC68" s="13"/>
      <c r="ED68" s="107"/>
      <c r="EE68" s="107"/>
      <c r="EF68" s="105"/>
      <c r="EH68" s="13"/>
      <c r="EI68" s="107"/>
      <c r="EJ68" s="107"/>
      <c r="EK68" s="105"/>
      <c r="EM68" s="13"/>
      <c r="EN68" s="107"/>
      <c r="EO68" s="107"/>
      <c r="EP68" s="105"/>
      <c r="ER68" s="13"/>
      <c r="ES68" s="107"/>
      <c r="ET68" s="107"/>
      <c r="EU68" s="105"/>
      <c r="EW68" s="13"/>
      <c r="EX68" s="107"/>
      <c r="EY68" s="107"/>
      <c r="EZ68" s="105"/>
      <c r="FB68" s="38"/>
      <c r="FC68" s="13"/>
      <c r="FD68" s="107"/>
      <c r="FE68" s="107"/>
      <c r="FF68" s="105"/>
      <c r="FH68" s="13"/>
      <c r="FI68" s="107"/>
      <c r="FJ68" s="107"/>
      <c r="FK68" s="105"/>
      <c r="FM68" s="13"/>
      <c r="FN68" s="107"/>
      <c r="FO68" s="107"/>
      <c r="FP68" s="105"/>
      <c r="FR68" s="13"/>
      <c r="FS68" s="107"/>
      <c r="FT68" s="107"/>
      <c r="FU68" s="105"/>
      <c r="FW68" s="13"/>
      <c r="FX68" s="107"/>
      <c r="FY68" s="107"/>
      <c r="FZ68" s="105"/>
      <c r="GB68" s="13"/>
      <c r="GC68" s="107"/>
      <c r="GD68" s="107"/>
      <c r="GE68" s="105"/>
      <c r="GG68" s="38"/>
      <c r="GH68" s="13"/>
      <c r="GI68" s="107"/>
      <c r="GJ68" s="107"/>
      <c r="GK68" s="105"/>
      <c r="GM68" s="13"/>
      <c r="GN68" s="107"/>
      <c r="GO68" s="107"/>
      <c r="GP68" s="105"/>
      <c r="GR68" s="13"/>
      <c r="GS68" s="107"/>
      <c r="GT68" s="107"/>
      <c r="GU68" s="105"/>
      <c r="GW68" s="13"/>
      <c r="GX68" s="107"/>
      <c r="GY68" s="107"/>
      <c r="GZ68" s="105"/>
      <c r="HB68" s="13"/>
      <c r="HC68" s="107"/>
      <c r="HD68" s="107"/>
      <c r="HE68" s="105"/>
      <c r="HG68" s="13"/>
      <c r="HH68" s="107"/>
      <c r="HI68" s="107"/>
      <c r="HJ68" s="105"/>
      <c r="HL68" s="38"/>
      <c r="HM68" s="13"/>
      <c r="HN68" s="107"/>
      <c r="HO68" s="107"/>
      <c r="HP68" s="105"/>
      <c r="HR68" s="13"/>
      <c r="HS68" s="107"/>
      <c r="HT68" s="107"/>
      <c r="HU68" s="105"/>
      <c r="HW68" s="13"/>
      <c r="HX68" s="107"/>
      <c r="HY68" s="107"/>
      <c r="HZ68" s="105"/>
      <c r="IB68" s="13"/>
      <c r="IC68" s="107"/>
      <c r="ID68" s="107"/>
      <c r="IE68" s="105"/>
      <c r="IG68" s="13"/>
      <c r="IH68" s="107"/>
      <c r="II68" s="107"/>
      <c r="IJ68" s="105"/>
      <c r="IL68" s="13"/>
      <c r="IM68" s="107"/>
      <c r="IN68" s="107"/>
      <c r="IO68" s="105"/>
      <c r="IQ68" s="38"/>
      <c r="IR68" s="13"/>
      <c r="IS68" s="107"/>
      <c r="IT68" s="107"/>
      <c r="IU68" s="105"/>
      <c r="IW68" s="13"/>
      <c r="IX68" s="107"/>
      <c r="IY68" s="107"/>
      <c r="IZ68" s="105"/>
      <c r="JB68" s="13"/>
      <c r="JC68" s="107"/>
      <c r="JD68" s="107"/>
      <c r="JE68" s="105"/>
      <c r="JG68" s="13"/>
      <c r="JH68" s="107"/>
      <c r="JI68" s="107"/>
      <c r="JJ68" s="105"/>
      <c r="JL68" s="13"/>
      <c r="JM68" s="107"/>
      <c r="JN68" s="107"/>
      <c r="JO68" s="105"/>
      <c r="JQ68" s="13"/>
      <c r="JR68" s="107"/>
      <c r="JS68" s="107"/>
      <c r="JT68" s="105"/>
      <c r="JW68" s="13"/>
      <c r="JX68" s="107"/>
      <c r="JY68" s="107"/>
      <c r="JZ68" s="105"/>
      <c r="KC68" s="107"/>
      <c r="KD68" s="107"/>
      <c r="KE68" s="105"/>
      <c r="KH68" s="107"/>
      <c r="KI68" s="107"/>
      <c r="KJ68" s="105"/>
      <c r="KM68" s="107"/>
      <c r="KN68" s="107"/>
      <c r="KO68" s="105"/>
      <c r="KR68" s="107"/>
      <c r="KS68" s="107"/>
      <c r="KT68" s="105"/>
      <c r="KW68" s="107"/>
      <c r="KX68" s="107"/>
      <c r="KY68" s="105"/>
      <c r="LB68" s="13"/>
      <c r="LC68" s="107"/>
      <c r="LD68" s="107"/>
      <c r="LE68" s="105"/>
      <c r="LH68" s="107"/>
      <c r="LI68" s="107"/>
      <c r="LJ68" s="105"/>
      <c r="LM68" s="107"/>
      <c r="LN68" s="107"/>
      <c r="LO68" s="105"/>
      <c r="LR68" s="107"/>
      <c r="LS68" s="107"/>
      <c r="LT68" s="105"/>
      <c r="LW68" s="107"/>
      <c r="LX68" s="107"/>
      <c r="LY68" s="105"/>
      <c r="MB68" s="107"/>
      <c r="MC68" s="107"/>
      <c r="MD68" s="105"/>
      <c r="MG68" s="13"/>
      <c r="MH68" s="107"/>
      <c r="MI68" s="107"/>
      <c r="MJ68" s="105"/>
      <c r="MM68" s="107"/>
      <c r="MN68" s="107"/>
      <c r="MO68" s="105"/>
      <c r="MR68" s="107"/>
      <c r="MS68" s="107"/>
      <c r="MT68" s="105"/>
      <c r="MW68" s="107"/>
      <c r="MX68" s="107"/>
      <c r="MY68" s="105"/>
      <c r="NB68" s="107"/>
      <c r="NC68" s="107"/>
      <c r="ND68" s="105"/>
      <c r="NG68" s="107"/>
      <c r="NH68" s="107"/>
      <c r="NI68" s="105"/>
      <c r="NL68" s="13"/>
      <c r="NM68" s="107"/>
      <c r="NN68" s="107"/>
      <c r="NO68" s="105"/>
      <c r="NR68" s="107"/>
      <c r="NS68" s="107"/>
      <c r="NT68" s="105"/>
      <c r="NW68" s="107"/>
      <c r="NX68" s="107"/>
      <c r="NY68" s="105"/>
      <c r="OB68" s="107"/>
      <c r="OC68" s="107"/>
      <c r="OD68" s="105"/>
      <c r="OG68" s="107"/>
      <c r="OH68" s="107"/>
      <c r="OI68" s="105"/>
      <c r="OL68" s="107"/>
      <c r="OM68" s="107"/>
      <c r="ON68" s="105"/>
    </row>
    <row r="69" ht="15.75" customHeight="1">
      <c r="A69" s="42"/>
      <c r="B69" s="42"/>
      <c r="C69" s="42"/>
      <c r="D69" s="38">
        <f t="shared" si="271"/>
        <v>45966</v>
      </c>
      <c r="E69" s="105" t="str">
        <f t="shared" ref="E69:I69" si="281">O21</f>
        <v/>
      </c>
      <c r="F69" s="105" t="str">
        <f t="shared" si="281"/>
        <v/>
      </c>
      <c r="G69" s="105" t="str">
        <f t="shared" si="281"/>
        <v/>
      </c>
      <c r="H69" s="106" t="str">
        <f t="shared" si="281"/>
        <v/>
      </c>
      <c r="I69" s="106" t="str">
        <f t="shared" si="281"/>
        <v/>
      </c>
      <c r="J69" s="107" t="str">
        <f t="array" ref="J69">IFERROR(IF(XLOOKUP(CONCAT(E69,F69),'MASTER PLAN'!$AB:$AB,'MASTER PLAN'!$M:$M,0,0)=0,"",XLOOKUP(CONCAT(E69,F69),'MASTER PLAN'!$AB:$AB,'MASTER PLAN'!$M:$M,0,0)),"")</f>
        <v/>
      </c>
      <c r="K69" s="107">
        <f t="shared" si="237"/>
        <v>0</v>
      </c>
      <c r="L69" s="107">
        <f t="shared" si="238"/>
        <v>0</v>
      </c>
      <c r="M69" s="105" t="s">
        <v>249</v>
      </c>
      <c r="N69" s="13"/>
      <c r="O69" s="107"/>
      <c r="P69" s="107"/>
      <c r="Q69" s="105"/>
      <c r="S69" s="13"/>
      <c r="T69" s="107"/>
      <c r="U69" s="107"/>
      <c r="V69" s="105"/>
      <c r="X69" s="13"/>
      <c r="Y69" s="107"/>
      <c r="Z69" s="107"/>
      <c r="AA69" s="105"/>
      <c r="AC69" s="13"/>
      <c r="AD69" s="107"/>
      <c r="AE69" s="107"/>
      <c r="AF69" s="105"/>
      <c r="AH69" s="38"/>
      <c r="AI69" s="13"/>
      <c r="AJ69" s="107"/>
      <c r="AK69" s="107"/>
      <c r="AL69" s="105"/>
      <c r="AN69" s="13"/>
      <c r="AO69" s="107"/>
      <c r="AP69" s="107"/>
      <c r="AQ69" s="105"/>
      <c r="AS69" s="13"/>
      <c r="AT69" s="107"/>
      <c r="AU69" s="107"/>
      <c r="AV69" s="105"/>
      <c r="AX69" s="13"/>
      <c r="AY69" s="107"/>
      <c r="AZ69" s="107"/>
      <c r="BA69" s="105"/>
      <c r="BC69" s="13"/>
      <c r="BD69" s="107"/>
      <c r="BE69" s="107"/>
      <c r="BF69" s="105"/>
      <c r="BH69" s="13"/>
      <c r="BI69" s="107"/>
      <c r="BJ69" s="107"/>
      <c r="BK69" s="105"/>
      <c r="BM69" s="38"/>
      <c r="BN69" s="13"/>
      <c r="BO69" s="107"/>
      <c r="BP69" s="107"/>
      <c r="BQ69" s="105"/>
      <c r="BS69" s="13"/>
      <c r="BT69" s="107"/>
      <c r="BU69" s="107"/>
      <c r="BV69" s="105"/>
      <c r="BX69" s="13"/>
      <c r="BY69" s="107"/>
      <c r="BZ69" s="107"/>
      <c r="CA69" s="105"/>
      <c r="CC69" s="13"/>
      <c r="CD69" s="107"/>
      <c r="CE69" s="107"/>
      <c r="CF69" s="105"/>
      <c r="CH69" s="13"/>
      <c r="CI69" s="107"/>
      <c r="CJ69" s="107"/>
      <c r="CK69" s="105"/>
      <c r="CM69" s="13"/>
      <c r="CN69" s="107"/>
      <c r="CO69" s="107"/>
      <c r="CP69" s="105"/>
      <c r="CR69" s="38"/>
      <c r="CS69" s="13"/>
      <c r="CT69" s="107"/>
      <c r="CU69" s="107"/>
      <c r="CV69" s="105"/>
      <c r="CX69" s="13"/>
      <c r="CY69" s="107"/>
      <c r="CZ69" s="107"/>
      <c r="DA69" s="105"/>
      <c r="DC69" s="13"/>
      <c r="DD69" s="107"/>
      <c r="DE69" s="107"/>
      <c r="DF69" s="105"/>
      <c r="DH69" s="13"/>
      <c r="DI69" s="107"/>
      <c r="DJ69" s="107"/>
      <c r="DK69" s="105"/>
      <c r="DM69" s="13"/>
      <c r="DN69" s="107"/>
      <c r="DO69" s="107"/>
      <c r="DP69" s="105"/>
      <c r="DR69" s="13"/>
      <c r="DS69" s="107"/>
      <c r="DT69" s="107"/>
      <c r="DU69" s="105"/>
      <c r="DW69" s="38"/>
      <c r="DX69" s="13"/>
      <c r="DY69" s="107"/>
      <c r="DZ69" s="107"/>
      <c r="EA69" s="105"/>
      <c r="EC69" s="13"/>
      <c r="ED69" s="107"/>
      <c r="EE69" s="107"/>
      <c r="EF69" s="105"/>
      <c r="EH69" s="13"/>
      <c r="EI69" s="107"/>
      <c r="EJ69" s="107"/>
      <c r="EK69" s="105"/>
      <c r="EM69" s="13"/>
      <c r="EN69" s="107"/>
      <c r="EO69" s="107"/>
      <c r="EP69" s="105"/>
      <c r="ER69" s="13"/>
      <c r="ES69" s="107"/>
      <c r="ET69" s="107"/>
      <c r="EU69" s="105"/>
      <c r="EW69" s="13"/>
      <c r="EX69" s="107"/>
      <c r="EY69" s="107"/>
      <c r="EZ69" s="105"/>
      <c r="FB69" s="38"/>
      <c r="FC69" s="13"/>
      <c r="FD69" s="107"/>
      <c r="FE69" s="107"/>
      <c r="FF69" s="105"/>
      <c r="FH69" s="13"/>
      <c r="FI69" s="107"/>
      <c r="FJ69" s="107"/>
      <c r="FK69" s="105"/>
      <c r="FM69" s="13"/>
      <c r="FN69" s="107"/>
      <c r="FO69" s="107"/>
      <c r="FP69" s="105"/>
      <c r="FR69" s="13"/>
      <c r="FS69" s="107"/>
      <c r="FT69" s="107"/>
      <c r="FU69" s="105"/>
      <c r="FW69" s="13"/>
      <c r="FX69" s="107"/>
      <c r="FY69" s="107"/>
      <c r="FZ69" s="105"/>
      <c r="GB69" s="13"/>
      <c r="GC69" s="107"/>
      <c r="GD69" s="107"/>
      <c r="GE69" s="105"/>
      <c r="GG69" s="38"/>
      <c r="GH69" s="13"/>
      <c r="GI69" s="107"/>
      <c r="GJ69" s="107"/>
      <c r="GK69" s="105"/>
      <c r="GM69" s="13"/>
      <c r="GN69" s="107"/>
      <c r="GO69" s="107"/>
      <c r="GP69" s="105"/>
      <c r="GR69" s="13"/>
      <c r="GS69" s="107"/>
      <c r="GT69" s="107"/>
      <c r="GU69" s="105"/>
      <c r="GW69" s="13"/>
      <c r="GX69" s="107"/>
      <c r="GY69" s="107"/>
      <c r="GZ69" s="105"/>
      <c r="HB69" s="13"/>
      <c r="HC69" s="107"/>
      <c r="HD69" s="107"/>
      <c r="HE69" s="105"/>
      <c r="HG69" s="13"/>
      <c r="HH69" s="107"/>
      <c r="HI69" s="107"/>
      <c r="HJ69" s="105"/>
      <c r="HL69" s="38"/>
      <c r="HM69" s="13"/>
      <c r="HN69" s="107"/>
      <c r="HO69" s="107"/>
      <c r="HP69" s="105"/>
      <c r="HR69" s="13"/>
      <c r="HS69" s="107"/>
      <c r="HT69" s="107"/>
      <c r="HU69" s="105"/>
      <c r="HW69" s="13"/>
      <c r="HX69" s="107"/>
      <c r="HY69" s="107"/>
      <c r="HZ69" s="105"/>
      <c r="IB69" s="13"/>
      <c r="IC69" s="107"/>
      <c r="ID69" s="107"/>
      <c r="IE69" s="105"/>
      <c r="IG69" s="13"/>
      <c r="IH69" s="107"/>
      <c r="II69" s="107"/>
      <c r="IJ69" s="105"/>
      <c r="IL69" s="13"/>
      <c r="IM69" s="107"/>
      <c r="IN69" s="107"/>
      <c r="IO69" s="105"/>
      <c r="IQ69" s="38"/>
      <c r="IR69" s="13"/>
      <c r="IS69" s="107"/>
      <c r="IT69" s="107"/>
      <c r="IU69" s="105"/>
      <c r="IW69" s="13"/>
      <c r="IX69" s="107"/>
      <c r="IY69" s="107"/>
      <c r="IZ69" s="105"/>
      <c r="JB69" s="13"/>
      <c r="JC69" s="107"/>
      <c r="JD69" s="107"/>
      <c r="JE69" s="105"/>
      <c r="JG69" s="13"/>
      <c r="JH69" s="107"/>
      <c r="JI69" s="107"/>
      <c r="JJ69" s="105"/>
      <c r="JL69" s="13"/>
      <c r="JM69" s="107"/>
      <c r="JN69" s="107"/>
      <c r="JO69" s="105"/>
      <c r="JQ69" s="13"/>
      <c r="JR69" s="107"/>
      <c r="JS69" s="107"/>
      <c r="JT69" s="105"/>
      <c r="JW69" s="13"/>
      <c r="JX69" s="107"/>
      <c r="JY69" s="107"/>
      <c r="JZ69" s="105"/>
      <c r="KC69" s="107"/>
      <c r="KD69" s="107"/>
      <c r="KE69" s="105"/>
      <c r="KH69" s="107"/>
      <c r="KI69" s="107"/>
      <c r="KJ69" s="105"/>
      <c r="KM69" s="107"/>
      <c r="KN69" s="107"/>
      <c r="KO69" s="105"/>
      <c r="KR69" s="107"/>
      <c r="KS69" s="107"/>
      <c r="KT69" s="105"/>
      <c r="KW69" s="107"/>
      <c r="KX69" s="107"/>
      <c r="KY69" s="105"/>
      <c r="LB69" s="13"/>
      <c r="LC69" s="107"/>
      <c r="LD69" s="107"/>
      <c r="LE69" s="105"/>
      <c r="LH69" s="107"/>
      <c r="LI69" s="107"/>
      <c r="LJ69" s="105"/>
      <c r="LM69" s="107"/>
      <c r="LN69" s="107"/>
      <c r="LO69" s="105"/>
      <c r="LR69" s="107"/>
      <c r="LS69" s="107"/>
      <c r="LT69" s="105"/>
      <c r="LW69" s="107"/>
      <c r="LX69" s="107"/>
      <c r="LY69" s="105"/>
      <c r="MB69" s="107"/>
      <c r="MC69" s="107"/>
      <c r="MD69" s="105"/>
      <c r="MG69" s="13"/>
      <c r="MH69" s="107"/>
      <c r="MI69" s="107"/>
      <c r="MJ69" s="105"/>
      <c r="MM69" s="107"/>
      <c r="MN69" s="107"/>
      <c r="MO69" s="105"/>
      <c r="MR69" s="107"/>
      <c r="MS69" s="107"/>
      <c r="MT69" s="105"/>
      <c r="MW69" s="107"/>
      <c r="MX69" s="107"/>
      <c r="MY69" s="105"/>
      <c r="NB69" s="107"/>
      <c r="NC69" s="107"/>
      <c r="ND69" s="105"/>
      <c r="NG69" s="107"/>
      <c r="NH69" s="107"/>
      <c r="NI69" s="105"/>
      <c r="NL69" s="13"/>
      <c r="NM69" s="107"/>
      <c r="NN69" s="107"/>
      <c r="NO69" s="105"/>
      <c r="NR69" s="107"/>
      <c r="NS69" s="107"/>
      <c r="NT69" s="105"/>
      <c r="NW69" s="107"/>
      <c r="NX69" s="107"/>
      <c r="NY69" s="105"/>
      <c r="OB69" s="107"/>
      <c r="OC69" s="107"/>
      <c r="OD69" s="105"/>
      <c r="OG69" s="107"/>
      <c r="OH69" s="107"/>
      <c r="OI69" s="105"/>
      <c r="OL69" s="107"/>
      <c r="OM69" s="107"/>
      <c r="ON69" s="105"/>
    </row>
    <row r="70" ht="15.75" customHeight="1">
      <c r="A70" s="42"/>
      <c r="B70" s="42"/>
      <c r="C70" s="42"/>
      <c r="D70" s="38">
        <f t="shared" si="271"/>
        <v>45966</v>
      </c>
      <c r="E70" s="105" t="str">
        <f t="shared" ref="E70:I70" si="282">O22</f>
        <v/>
      </c>
      <c r="F70" s="105" t="str">
        <f t="shared" si="282"/>
        <v/>
      </c>
      <c r="G70" s="105" t="str">
        <f t="shared" si="282"/>
        <v/>
      </c>
      <c r="H70" s="106" t="str">
        <f t="shared" si="282"/>
        <v/>
      </c>
      <c r="I70" s="106" t="str">
        <f t="shared" si="282"/>
        <v/>
      </c>
      <c r="J70" s="107" t="str">
        <f t="array" ref="J70">IFERROR(IF(XLOOKUP(CONCAT(E70,F70),'MASTER PLAN'!$AB:$AB,'MASTER PLAN'!$M:$M,0,0)=0,"",XLOOKUP(CONCAT(E70,F70),'MASTER PLAN'!$AB:$AB,'MASTER PLAN'!$M:$M,0,0)),"")</f>
        <v/>
      </c>
      <c r="K70" s="107">
        <f t="shared" si="237"/>
        <v>0</v>
      </c>
      <c r="L70" s="107">
        <f t="shared" si="238"/>
        <v>0</v>
      </c>
      <c r="M70" s="105" t="s">
        <v>249</v>
      </c>
      <c r="N70" s="13"/>
      <c r="O70" s="107"/>
      <c r="P70" s="107"/>
      <c r="Q70" s="105"/>
      <c r="S70" s="13"/>
      <c r="T70" s="107"/>
      <c r="U70" s="107"/>
      <c r="V70" s="105"/>
      <c r="X70" s="13"/>
      <c r="Y70" s="107"/>
      <c r="Z70" s="107"/>
      <c r="AA70" s="105"/>
      <c r="AC70" s="13"/>
      <c r="AD70" s="107"/>
      <c r="AE70" s="107"/>
      <c r="AF70" s="105"/>
      <c r="AH70" s="38"/>
      <c r="AI70" s="13"/>
      <c r="AJ70" s="107"/>
      <c r="AK70" s="107"/>
      <c r="AL70" s="105"/>
      <c r="AN70" s="13"/>
      <c r="AO70" s="107"/>
      <c r="AP70" s="107"/>
      <c r="AQ70" s="105"/>
      <c r="AS70" s="13"/>
      <c r="AT70" s="107"/>
      <c r="AU70" s="107"/>
      <c r="AV70" s="105"/>
      <c r="AX70" s="13"/>
      <c r="AY70" s="107"/>
      <c r="AZ70" s="107"/>
      <c r="BA70" s="105"/>
      <c r="BC70" s="13"/>
      <c r="BD70" s="107"/>
      <c r="BE70" s="107"/>
      <c r="BF70" s="105"/>
      <c r="BH70" s="13"/>
      <c r="BI70" s="107"/>
      <c r="BJ70" s="107"/>
      <c r="BK70" s="105"/>
      <c r="BM70" s="38"/>
      <c r="BN70" s="13"/>
      <c r="BO70" s="107"/>
      <c r="BP70" s="107"/>
      <c r="BQ70" s="105"/>
      <c r="BS70" s="13"/>
      <c r="BT70" s="107"/>
      <c r="BU70" s="107"/>
      <c r="BV70" s="105"/>
      <c r="BX70" s="13"/>
      <c r="BY70" s="107"/>
      <c r="BZ70" s="107"/>
      <c r="CA70" s="105"/>
      <c r="CC70" s="13"/>
      <c r="CD70" s="107"/>
      <c r="CE70" s="107"/>
      <c r="CF70" s="105"/>
      <c r="CH70" s="13"/>
      <c r="CI70" s="107"/>
      <c r="CJ70" s="107"/>
      <c r="CK70" s="105"/>
      <c r="CM70" s="13"/>
      <c r="CN70" s="107"/>
      <c r="CO70" s="107"/>
      <c r="CP70" s="105"/>
      <c r="CR70" s="38"/>
      <c r="CS70" s="13"/>
      <c r="CT70" s="107"/>
      <c r="CU70" s="107"/>
      <c r="CV70" s="105"/>
      <c r="CX70" s="13"/>
      <c r="CY70" s="107"/>
      <c r="CZ70" s="107"/>
      <c r="DA70" s="105"/>
      <c r="DC70" s="13"/>
      <c r="DD70" s="107"/>
      <c r="DE70" s="107"/>
      <c r="DF70" s="105"/>
      <c r="DH70" s="13"/>
      <c r="DI70" s="107"/>
      <c r="DJ70" s="107"/>
      <c r="DK70" s="105"/>
      <c r="DM70" s="13"/>
      <c r="DN70" s="107"/>
      <c r="DO70" s="107"/>
      <c r="DP70" s="105"/>
      <c r="DR70" s="13"/>
      <c r="DS70" s="107"/>
      <c r="DT70" s="107"/>
      <c r="DU70" s="105"/>
      <c r="DW70" s="38"/>
      <c r="DX70" s="13"/>
      <c r="DY70" s="107"/>
      <c r="DZ70" s="107"/>
      <c r="EA70" s="105"/>
      <c r="EC70" s="13"/>
      <c r="ED70" s="107"/>
      <c r="EE70" s="107"/>
      <c r="EF70" s="105"/>
      <c r="EH70" s="13"/>
      <c r="EI70" s="107"/>
      <c r="EJ70" s="107"/>
      <c r="EK70" s="105"/>
      <c r="EM70" s="13"/>
      <c r="EN70" s="107"/>
      <c r="EO70" s="107"/>
      <c r="EP70" s="105"/>
      <c r="ER70" s="13"/>
      <c r="ES70" s="107"/>
      <c r="ET70" s="107"/>
      <c r="EU70" s="105"/>
      <c r="EW70" s="13"/>
      <c r="EX70" s="107"/>
      <c r="EY70" s="107"/>
      <c r="EZ70" s="105"/>
      <c r="FB70" s="38"/>
      <c r="FC70" s="13"/>
      <c r="FD70" s="107"/>
      <c r="FE70" s="107"/>
      <c r="FF70" s="105"/>
      <c r="FH70" s="13"/>
      <c r="FI70" s="107"/>
      <c r="FJ70" s="107"/>
      <c r="FK70" s="105"/>
      <c r="FM70" s="13"/>
      <c r="FN70" s="107"/>
      <c r="FO70" s="107"/>
      <c r="FP70" s="105"/>
      <c r="FR70" s="13"/>
      <c r="FS70" s="107"/>
      <c r="FT70" s="107"/>
      <c r="FU70" s="105"/>
      <c r="FW70" s="13"/>
      <c r="FX70" s="107"/>
      <c r="FY70" s="107"/>
      <c r="FZ70" s="105"/>
      <c r="GB70" s="13"/>
      <c r="GC70" s="107"/>
      <c r="GD70" s="107"/>
      <c r="GE70" s="105"/>
      <c r="GG70" s="38"/>
      <c r="GH70" s="13"/>
      <c r="GI70" s="107"/>
      <c r="GJ70" s="107"/>
      <c r="GK70" s="105"/>
      <c r="GM70" s="13"/>
      <c r="GN70" s="107"/>
      <c r="GO70" s="107"/>
      <c r="GP70" s="105"/>
      <c r="GR70" s="13"/>
      <c r="GS70" s="107"/>
      <c r="GT70" s="107"/>
      <c r="GU70" s="105"/>
      <c r="GW70" s="13"/>
      <c r="GX70" s="107"/>
      <c r="GY70" s="107"/>
      <c r="GZ70" s="105"/>
      <c r="HB70" s="13"/>
      <c r="HC70" s="107"/>
      <c r="HD70" s="107"/>
      <c r="HE70" s="105"/>
      <c r="HG70" s="13"/>
      <c r="HH70" s="107"/>
      <c r="HI70" s="107"/>
      <c r="HJ70" s="105"/>
      <c r="HL70" s="38"/>
      <c r="HM70" s="13"/>
      <c r="HN70" s="107"/>
      <c r="HO70" s="107"/>
      <c r="HP70" s="105"/>
      <c r="HR70" s="13"/>
      <c r="HS70" s="107"/>
      <c r="HT70" s="107"/>
      <c r="HU70" s="105"/>
      <c r="HW70" s="13"/>
      <c r="HX70" s="107"/>
      <c r="HY70" s="107"/>
      <c r="HZ70" s="105"/>
      <c r="IB70" s="13"/>
      <c r="IC70" s="107"/>
      <c r="ID70" s="107"/>
      <c r="IE70" s="105"/>
      <c r="IG70" s="13"/>
      <c r="IH70" s="107"/>
      <c r="II70" s="107"/>
      <c r="IJ70" s="105"/>
      <c r="IL70" s="13"/>
      <c r="IM70" s="107"/>
      <c r="IN70" s="107"/>
      <c r="IO70" s="105"/>
      <c r="IQ70" s="38"/>
      <c r="IR70" s="13"/>
      <c r="IS70" s="107"/>
      <c r="IT70" s="107"/>
      <c r="IU70" s="105"/>
      <c r="IW70" s="13"/>
      <c r="IX70" s="107"/>
      <c r="IY70" s="107"/>
      <c r="IZ70" s="105"/>
      <c r="JB70" s="13"/>
      <c r="JC70" s="107"/>
      <c r="JD70" s="107"/>
      <c r="JE70" s="105"/>
      <c r="JG70" s="13"/>
      <c r="JH70" s="107"/>
      <c r="JI70" s="107"/>
      <c r="JJ70" s="105"/>
      <c r="JL70" s="13"/>
      <c r="JM70" s="107"/>
      <c r="JN70" s="107"/>
      <c r="JO70" s="105"/>
      <c r="JQ70" s="13"/>
      <c r="JR70" s="107"/>
      <c r="JS70" s="107"/>
      <c r="JT70" s="105"/>
      <c r="JW70" s="13"/>
      <c r="JX70" s="107"/>
      <c r="JY70" s="107"/>
      <c r="JZ70" s="105"/>
      <c r="KC70" s="107"/>
      <c r="KD70" s="107"/>
      <c r="KE70" s="105"/>
      <c r="KH70" s="107"/>
      <c r="KI70" s="107"/>
      <c r="KJ70" s="105"/>
      <c r="KM70" s="107"/>
      <c r="KN70" s="107"/>
      <c r="KO70" s="105"/>
      <c r="KR70" s="107"/>
      <c r="KS70" s="107"/>
      <c r="KT70" s="105"/>
      <c r="KW70" s="107"/>
      <c r="KX70" s="107"/>
      <c r="KY70" s="105"/>
      <c r="LB70" s="13"/>
      <c r="LC70" s="107"/>
      <c r="LD70" s="107"/>
      <c r="LE70" s="105"/>
      <c r="LH70" s="107"/>
      <c r="LI70" s="107"/>
      <c r="LJ70" s="105"/>
      <c r="LM70" s="107"/>
      <c r="LN70" s="107"/>
      <c r="LO70" s="105"/>
      <c r="LR70" s="107"/>
      <c r="LS70" s="107"/>
      <c r="LT70" s="105"/>
      <c r="LW70" s="107"/>
      <c r="LX70" s="107"/>
      <c r="LY70" s="105"/>
      <c r="MB70" s="107"/>
      <c r="MC70" s="107"/>
      <c r="MD70" s="105"/>
      <c r="MG70" s="13"/>
      <c r="MH70" s="107"/>
      <c r="MI70" s="107"/>
      <c r="MJ70" s="105"/>
      <c r="MM70" s="107"/>
      <c r="MN70" s="107"/>
      <c r="MO70" s="105"/>
      <c r="MR70" s="107"/>
      <c r="MS70" s="107"/>
      <c r="MT70" s="105"/>
      <c r="MW70" s="107"/>
      <c r="MX70" s="107"/>
      <c r="MY70" s="105"/>
      <c r="NB70" s="107"/>
      <c r="NC70" s="107"/>
      <c r="ND70" s="105"/>
      <c r="NG70" s="107"/>
      <c r="NH70" s="107"/>
      <c r="NI70" s="105"/>
      <c r="NL70" s="13"/>
      <c r="NM70" s="107"/>
      <c r="NN70" s="107"/>
      <c r="NO70" s="105"/>
      <c r="NR70" s="107"/>
      <c r="NS70" s="107"/>
      <c r="NT70" s="105"/>
      <c r="NW70" s="107"/>
      <c r="NX70" s="107"/>
      <c r="NY70" s="105"/>
      <c r="OB70" s="107"/>
      <c r="OC70" s="107"/>
      <c r="OD70" s="105"/>
      <c r="OG70" s="107"/>
      <c r="OH70" s="107"/>
      <c r="OI70" s="105"/>
      <c r="OL70" s="107"/>
      <c r="OM70" s="107"/>
      <c r="ON70" s="105"/>
    </row>
    <row r="71" ht="15.75" customHeight="1">
      <c r="A71" s="42"/>
      <c r="B71" s="42"/>
      <c r="C71" s="42"/>
      <c r="D71" s="38">
        <f t="shared" si="271"/>
        <v>45966</v>
      </c>
      <c r="E71" s="105" t="str">
        <f t="shared" ref="E71:I71" si="283">O23</f>
        <v/>
      </c>
      <c r="F71" s="105" t="str">
        <f t="shared" si="283"/>
        <v/>
      </c>
      <c r="G71" s="105" t="str">
        <f t="shared" si="283"/>
        <v/>
      </c>
      <c r="H71" s="106" t="str">
        <f t="shared" si="283"/>
        <v/>
      </c>
      <c r="I71" s="106" t="str">
        <f t="shared" si="283"/>
        <v/>
      </c>
      <c r="J71" s="107" t="str">
        <f t="array" ref="J71">IFERROR(IF(XLOOKUP(CONCAT(E71,F71),'MASTER PLAN'!$AB:$AB,'MASTER PLAN'!$M:$M,0,0)=0,"",XLOOKUP(CONCAT(E71,F71),'MASTER PLAN'!$AB:$AB,'MASTER PLAN'!$M:$M,0,0)),"")</f>
        <v/>
      </c>
      <c r="K71" s="107">
        <f t="shared" si="237"/>
        <v>0</v>
      </c>
      <c r="L71" s="107">
        <f t="shared" si="238"/>
        <v>0</v>
      </c>
      <c r="M71" s="105" t="s">
        <v>249</v>
      </c>
      <c r="N71" s="13"/>
      <c r="O71" s="107"/>
      <c r="P71" s="107"/>
      <c r="Q71" s="105"/>
      <c r="S71" s="13"/>
      <c r="T71" s="107"/>
      <c r="U71" s="107"/>
      <c r="V71" s="105"/>
      <c r="X71" s="13"/>
      <c r="Y71" s="107"/>
      <c r="Z71" s="107"/>
      <c r="AA71" s="105"/>
      <c r="AC71" s="13"/>
      <c r="AD71" s="107"/>
      <c r="AE71" s="107"/>
      <c r="AF71" s="105"/>
      <c r="AH71" s="38"/>
      <c r="AI71" s="13"/>
      <c r="AJ71" s="107"/>
      <c r="AK71" s="107"/>
      <c r="AL71" s="105"/>
      <c r="AN71" s="13"/>
      <c r="AO71" s="107"/>
      <c r="AP71" s="107"/>
      <c r="AQ71" s="105"/>
      <c r="AS71" s="13"/>
      <c r="AT71" s="107"/>
      <c r="AU71" s="107"/>
      <c r="AV71" s="105"/>
      <c r="AX71" s="13"/>
      <c r="AY71" s="107"/>
      <c r="AZ71" s="107"/>
      <c r="BA71" s="105"/>
      <c r="BC71" s="13"/>
      <c r="BD71" s="107"/>
      <c r="BE71" s="107"/>
      <c r="BF71" s="105"/>
      <c r="BH71" s="13"/>
      <c r="BI71" s="107"/>
      <c r="BJ71" s="107"/>
      <c r="BK71" s="105"/>
      <c r="BM71" s="38"/>
      <c r="BN71" s="13"/>
      <c r="BO71" s="107"/>
      <c r="BP71" s="107"/>
      <c r="BQ71" s="105"/>
      <c r="BS71" s="13"/>
      <c r="BT71" s="107"/>
      <c r="BU71" s="107"/>
      <c r="BV71" s="105"/>
      <c r="BX71" s="13"/>
      <c r="BY71" s="107"/>
      <c r="BZ71" s="107"/>
      <c r="CA71" s="105"/>
      <c r="CC71" s="13"/>
      <c r="CD71" s="107"/>
      <c r="CE71" s="107"/>
      <c r="CF71" s="105"/>
      <c r="CH71" s="13"/>
      <c r="CI71" s="107"/>
      <c r="CJ71" s="107"/>
      <c r="CK71" s="105"/>
      <c r="CM71" s="13"/>
      <c r="CN71" s="107"/>
      <c r="CO71" s="107"/>
      <c r="CP71" s="105"/>
      <c r="CR71" s="38"/>
      <c r="CS71" s="13"/>
      <c r="CT71" s="107"/>
      <c r="CU71" s="107"/>
      <c r="CV71" s="105"/>
      <c r="CX71" s="13"/>
      <c r="CY71" s="107"/>
      <c r="CZ71" s="107"/>
      <c r="DA71" s="105"/>
      <c r="DC71" s="13"/>
      <c r="DD71" s="107"/>
      <c r="DE71" s="107"/>
      <c r="DF71" s="105"/>
      <c r="DH71" s="13"/>
      <c r="DI71" s="107"/>
      <c r="DJ71" s="107"/>
      <c r="DK71" s="105"/>
      <c r="DM71" s="13"/>
      <c r="DN71" s="107"/>
      <c r="DO71" s="107"/>
      <c r="DP71" s="105"/>
      <c r="DR71" s="13"/>
      <c r="DS71" s="107"/>
      <c r="DT71" s="107"/>
      <c r="DU71" s="105"/>
      <c r="DW71" s="38"/>
      <c r="DX71" s="13"/>
      <c r="DY71" s="107"/>
      <c r="DZ71" s="107"/>
      <c r="EA71" s="105"/>
      <c r="EC71" s="13"/>
      <c r="ED71" s="107"/>
      <c r="EE71" s="107"/>
      <c r="EF71" s="105"/>
      <c r="EH71" s="13"/>
      <c r="EI71" s="107"/>
      <c r="EJ71" s="107"/>
      <c r="EK71" s="105"/>
      <c r="EM71" s="13"/>
      <c r="EN71" s="107"/>
      <c r="EO71" s="107"/>
      <c r="EP71" s="105"/>
      <c r="ER71" s="13"/>
      <c r="ES71" s="107"/>
      <c r="ET71" s="107"/>
      <c r="EU71" s="105"/>
      <c r="EW71" s="13"/>
      <c r="EX71" s="107"/>
      <c r="EY71" s="107"/>
      <c r="EZ71" s="105"/>
      <c r="FB71" s="38"/>
      <c r="FC71" s="13"/>
      <c r="FD71" s="107"/>
      <c r="FE71" s="107"/>
      <c r="FF71" s="105"/>
      <c r="FH71" s="13"/>
      <c r="FI71" s="107"/>
      <c r="FJ71" s="107"/>
      <c r="FK71" s="105"/>
      <c r="FM71" s="13"/>
      <c r="FN71" s="107"/>
      <c r="FO71" s="107"/>
      <c r="FP71" s="105"/>
      <c r="FR71" s="13"/>
      <c r="FS71" s="107"/>
      <c r="FT71" s="107"/>
      <c r="FU71" s="105"/>
      <c r="FW71" s="13"/>
      <c r="FX71" s="107"/>
      <c r="FY71" s="107"/>
      <c r="FZ71" s="105"/>
      <c r="GB71" s="13"/>
      <c r="GC71" s="107"/>
      <c r="GD71" s="107"/>
      <c r="GE71" s="105"/>
      <c r="GG71" s="38"/>
      <c r="GH71" s="13"/>
      <c r="GI71" s="107"/>
      <c r="GJ71" s="107"/>
      <c r="GK71" s="105"/>
      <c r="GM71" s="13"/>
      <c r="GN71" s="107"/>
      <c r="GO71" s="107"/>
      <c r="GP71" s="105"/>
      <c r="GR71" s="13"/>
      <c r="GS71" s="107"/>
      <c r="GT71" s="107"/>
      <c r="GU71" s="105"/>
      <c r="GW71" s="13"/>
      <c r="GX71" s="107"/>
      <c r="GY71" s="107"/>
      <c r="GZ71" s="105"/>
      <c r="HB71" s="13"/>
      <c r="HC71" s="107"/>
      <c r="HD71" s="107"/>
      <c r="HE71" s="105"/>
      <c r="HG71" s="13"/>
      <c r="HH71" s="107"/>
      <c r="HI71" s="107"/>
      <c r="HJ71" s="105"/>
      <c r="HL71" s="38"/>
      <c r="HM71" s="13"/>
      <c r="HN71" s="107"/>
      <c r="HO71" s="107"/>
      <c r="HP71" s="105"/>
      <c r="HR71" s="13"/>
      <c r="HS71" s="107"/>
      <c r="HT71" s="107"/>
      <c r="HU71" s="105"/>
      <c r="HW71" s="13"/>
      <c r="HX71" s="107"/>
      <c r="HY71" s="107"/>
      <c r="HZ71" s="105"/>
      <c r="IB71" s="13"/>
      <c r="IC71" s="107"/>
      <c r="ID71" s="107"/>
      <c r="IE71" s="105"/>
      <c r="IG71" s="13"/>
      <c r="IH71" s="107"/>
      <c r="II71" s="107"/>
      <c r="IJ71" s="105"/>
      <c r="IL71" s="13"/>
      <c r="IM71" s="107"/>
      <c r="IN71" s="107"/>
      <c r="IO71" s="105"/>
      <c r="IQ71" s="38"/>
      <c r="IR71" s="13"/>
      <c r="IS71" s="107"/>
      <c r="IT71" s="107"/>
      <c r="IU71" s="105"/>
      <c r="IW71" s="13"/>
      <c r="IX71" s="107"/>
      <c r="IY71" s="107"/>
      <c r="IZ71" s="105"/>
      <c r="JB71" s="13"/>
      <c r="JC71" s="107"/>
      <c r="JD71" s="107"/>
      <c r="JE71" s="105"/>
      <c r="JG71" s="13"/>
      <c r="JH71" s="107"/>
      <c r="JI71" s="107"/>
      <c r="JJ71" s="105"/>
      <c r="JL71" s="13"/>
      <c r="JM71" s="107"/>
      <c r="JN71" s="107"/>
      <c r="JO71" s="105"/>
      <c r="JQ71" s="13"/>
      <c r="JR71" s="107"/>
      <c r="JS71" s="107"/>
      <c r="JT71" s="105"/>
      <c r="JW71" s="13"/>
      <c r="JX71" s="107"/>
      <c r="JY71" s="107"/>
      <c r="JZ71" s="105"/>
      <c r="KC71" s="107"/>
      <c r="KD71" s="107"/>
      <c r="KE71" s="105"/>
      <c r="KH71" s="107"/>
      <c r="KI71" s="107"/>
      <c r="KJ71" s="105"/>
      <c r="KM71" s="107"/>
      <c r="KN71" s="107"/>
      <c r="KO71" s="105"/>
      <c r="KR71" s="107"/>
      <c r="KS71" s="107"/>
      <c r="KT71" s="105"/>
      <c r="KW71" s="107"/>
      <c r="KX71" s="107"/>
      <c r="KY71" s="105"/>
      <c r="LB71" s="13"/>
      <c r="LC71" s="107"/>
      <c r="LD71" s="107"/>
      <c r="LE71" s="105"/>
      <c r="LH71" s="107"/>
      <c r="LI71" s="107"/>
      <c r="LJ71" s="105"/>
      <c r="LM71" s="107"/>
      <c r="LN71" s="107"/>
      <c r="LO71" s="105"/>
      <c r="LR71" s="107"/>
      <c r="LS71" s="107"/>
      <c r="LT71" s="105"/>
      <c r="LW71" s="107"/>
      <c r="LX71" s="107"/>
      <c r="LY71" s="105"/>
      <c r="MB71" s="107"/>
      <c r="MC71" s="107"/>
      <c r="MD71" s="105"/>
      <c r="MG71" s="13"/>
      <c r="MH71" s="107"/>
      <c r="MI71" s="107"/>
      <c r="MJ71" s="105"/>
      <c r="MM71" s="107"/>
      <c r="MN71" s="107"/>
      <c r="MO71" s="105"/>
      <c r="MR71" s="107"/>
      <c r="MS71" s="107"/>
      <c r="MT71" s="105"/>
      <c r="MW71" s="107"/>
      <c r="MX71" s="107"/>
      <c r="MY71" s="105"/>
      <c r="NB71" s="107"/>
      <c r="NC71" s="107"/>
      <c r="ND71" s="105"/>
      <c r="NG71" s="107"/>
      <c r="NH71" s="107"/>
      <c r="NI71" s="105"/>
      <c r="NL71" s="13"/>
      <c r="NM71" s="107"/>
      <c r="NN71" s="107"/>
      <c r="NO71" s="105"/>
      <c r="NR71" s="107"/>
      <c r="NS71" s="107"/>
      <c r="NT71" s="105"/>
      <c r="NW71" s="107"/>
      <c r="NX71" s="107"/>
      <c r="NY71" s="105"/>
      <c r="OB71" s="107"/>
      <c r="OC71" s="107"/>
      <c r="OD71" s="105"/>
      <c r="OG71" s="107"/>
      <c r="OH71" s="107"/>
      <c r="OI71" s="105"/>
      <c r="OL71" s="107"/>
      <c r="OM71" s="107"/>
      <c r="ON71" s="105"/>
    </row>
    <row r="72" ht="15.75" customHeight="1">
      <c r="A72" s="42"/>
      <c r="B72" s="42"/>
      <c r="C72" s="42"/>
      <c r="D72" s="38">
        <f t="shared" si="271"/>
        <v>45966</v>
      </c>
      <c r="E72" s="105" t="str">
        <f t="shared" ref="E72:I72" si="284">O24</f>
        <v/>
      </c>
      <c r="F72" s="105" t="str">
        <f t="shared" si="284"/>
        <v/>
      </c>
      <c r="G72" s="105" t="str">
        <f t="shared" si="284"/>
        <v/>
      </c>
      <c r="H72" s="106" t="str">
        <f t="shared" si="284"/>
        <v/>
      </c>
      <c r="I72" s="106" t="str">
        <f t="shared" si="284"/>
        <v/>
      </c>
      <c r="J72" s="107" t="str">
        <f t="array" ref="J72">IFERROR(IF(XLOOKUP(CONCAT(E72,F72),'MASTER PLAN'!$AB:$AB,'MASTER PLAN'!$M:$M,0,0)=0,"",XLOOKUP(CONCAT(E72,F72),'MASTER PLAN'!$AB:$AB,'MASTER PLAN'!$M:$M,0,0)),"")</f>
        <v/>
      </c>
      <c r="K72" s="107">
        <f t="shared" si="237"/>
        <v>0</v>
      </c>
      <c r="L72" s="107">
        <f t="shared" si="238"/>
        <v>0</v>
      </c>
      <c r="M72" s="105" t="s">
        <v>249</v>
      </c>
      <c r="N72" s="13"/>
      <c r="O72" s="107"/>
      <c r="P72" s="107"/>
      <c r="Q72" s="105"/>
      <c r="S72" s="13"/>
      <c r="T72" s="107"/>
      <c r="U72" s="107"/>
      <c r="V72" s="105"/>
      <c r="X72" s="13"/>
      <c r="Y72" s="107"/>
      <c r="Z72" s="107"/>
      <c r="AA72" s="105"/>
      <c r="AC72" s="13"/>
      <c r="AD72" s="107"/>
      <c r="AE72" s="107"/>
      <c r="AF72" s="105"/>
      <c r="AH72" s="38"/>
      <c r="AI72" s="13"/>
      <c r="AJ72" s="107"/>
      <c r="AK72" s="107"/>
      <c r="AL72" s="105"/>
      <c r="AN72" s="13"/>
      <c r="AO72" s="107"/>
      <c r="AP72" s="107"/>
      <c r="AQ72" s="105"/>
      <c r="AS72" s="13"/>
      <c r="AT72" s="107"/>
      <c r="AU72" s="107"/>
      <c r="AV72" s="105"/>
      <c r="AX72" s="13"/>
      <c r="AY72" s="107"/>
      <c r="AZ72" s="107"/>
      <c r="BA72" s="105"/>
      <c r="BC72" s="13"/>
      <c r="BD72" s="107"/>
      <c r="BE72" s="107"/>
      <c r="BF72" s="105"/>
      <c r="BH72" s="13"/>
      <c r="BI72" s="107"/>
      <c r="BJ72" s="107"/>
      <c r="BK72" s="105"/>
      <c r="BM72" s="38"/>
      <c r="BN72" s="13"/>
      <c r="BO72" s="107"/>
      <c r="BP72" s="107"/>
      <c r="BQ72" s="105"/>
      <c r="BS72" s="13"/>
      <c r="BT72" s="107"/>
      <c r="BU72" s="107"/>
      <c r="BV72" s="105"/>
      <c r="BX72" s="13"/>
      <c r="BY72" s="107"/>
      <c r="BZ72" s="107"/>
      <c r="CA72" s="105"/>
      <c r="CC72" s="13"/>
      <c r="CD72" s="107"/>
      <c r="CE72" s="107"/>
      <c r="CF72" s="105"/>
      <c r="CH72" s="13"/>
      <c r="CI72" s="107"/>
      <c r="CJ72" s="107"/>
      <c r="CK72" s="105"/>
      <c r="CM72" s="13"/>
      <c r="CN72" s="107"/>
      <c r="CO72" s="107"/>
      <c r="CP72" s="105"/>
      <c r="CR72" s="38"/>
      <c r="CS72" s="13"/>
      <c r="CT72" s="107"/>
      <c r="CU72" s="107"/>
      <c r="CV72" s="105"/>
      <c r="CX72" s="13"/>
      <c r="CY72" s="107"/>
      <c r="CZ72" s="107"/>
      <c r="DA72" s="105"/>
      <c r="DC72" s="13"/>
      <c r="DD72" s="107"/>
      <c r="DE72" s="107"/>
      <c r="DF72" s="105"/>
      <c r="DH72" s="13"/>
      <c r="DI72" s="107"/>
      <c r="DJ72" s="107"/>
      <c r="DK72" s="105"/>
      <c r="DM72" s="13"/>
      <c r="DN72" s="107"/>
      <c r="DO72" s="107"/>
      <c r="DP72" s="105"/>
      <c r="DR72" s="13"/>
      <c r="DS72" s="107"/>
      <c r="DT72" s="107"/>
      <c r="DU72" s="105"/>
      <c r="DW72" s="38"/>
      <c r="DX72" s="13"/>
      <c r="DY72" s="107"/>
      <c r="DZ72" s="107"/>
      <c r="EA72" s="105"/>
      <c r="EC72" s="13"/>
      <c r="ED72" s="107"/>
      <c r="EE72" s="107"/>
      <c r="EF72" s="105"/>
      <c r="EH72" s="13"/>
      <c r="EI72" s="107"/>
      <c r="EJ72" s="107"/>
      <c r="EK72" s="105"/>
      <c r="EM72" s="13"/>
      <c r="EN72" s="107"/>
      <c r="EO72" s="107"/>
      <c r="EP72" s="105"/>
      <c r="ER72" s="13"/>
      <c r="ES72" s="107"/>
      <c r="ET72" s="107"/>
      <c r="EU72" s="105"/>
      <c r="EW72" s="13"/>
      <c r="EX72" s="107"/>
      <c r="EY72" s="107"/>
      <c r="EZ72" s="105"/>
      <c r="FB72" s="38"/>
      <c r="FC72" s="13"/>
      <c r="FD72" s="107"/>
      <c r="FE72" s="107"/>
      <c r="FF72" s="105"/>
      <c r="FH72" s="13"/>
      <c r="FI72" s="107"/>
      <c r="FJ72" s="107"/>
      <c r="FK72" s="105"/>
      <c r="FM72" s="13"/>
      <c r="FN72" s="107"/>
      <c r="FO72" s="107"/>
      <c r="FP72" s="105"/>
      <c r="FR72" s="13"/>
      <c r="FS72" s="107"/>
      <c r="FT72" s="107"/>
      <c r="FU72" s="105"/>
      <c r="FW72" s="13"/>
      <c r="FX72" s="107"/>
      <c r="FY72" s="107"/>
      <c r="FZ72" s="105"/>
      <c r="GB72" s="13"/>
      <c r="GC72" s="107"/>
      <c r="GD72" s="107"/>
      <c r="GE72" s="105"/>
      <c r="GG72" s="38"/>
      <c r="GH72" s="13"/>
      <c r="GI72" s="107"/>
      <c r="GJ72" s="107"/>
      <c r="GK72" s="105"/>
      <c r="GM72" s="13"/>
      <c r="GN72" s="107"/>
      <c r="GO72" s="107"/>
      <c r="GP72" s="105"/>
      <c r="GR72" s="13"/>
      <c r="GS72" s="107"/>
      <c r="GT72" s="107"/>
      <c r="GU72" s="105"/>
      <c r="GW72" s="13"/>
      <c r="GX72" s="107"/>
      <c r="GY72" s="107"/>
      <c r="GZ72" s="105"/>
      <c r="HB72" s="13"/>
      <c r="HC72" s="107"/>
      <c r="HD72" s="107"/>
      <c r="HE72" s="105"/>
      <c r="HG72" s="13"/>
      <c r="HH72" s="107"/>
      <c r="HI72" s="107"/>
      <c r="HJ72" s="105"/>
      <c r="HL72" s="38"/>
      <c r="HM72" s="13"/>
      <c r="HN72" s="107"/>
      <c r="HO72" s="107"/>
      <c r="HP72" s="105"/>
      <c r="HR72" s="13"/>
      <c r="HS72" s="107"/>
      <c r="HT72" s="107"/>
      <c r="HU72" s="105"/>
      <c r="HW72" s="13"/>
      <c r="HX72" s="107"/>
      <c r="HY72" s="107"/>
      <c r="HZ72" s="105"/>
      <c r="IB72" s="13"/>
      <c r="IC72" s="107"/>
      <c r="ID72" s="107"/>
      <c r="IE72" s="105"/>
      <c r="IG72" s="13"/>
      <c r="IH72" s="107"/>
      <c r="II72" s="107"/>
      <c r="IJ72" s="105"/>
      <c r="IL72" s="13"/>
      <c r="IM72" s="107"/>
      <c r="IN72" s="107"/>
      <c r="IO72" s="105"/>
      <c r="IQ72" s="38"/>
      <c r="IR72" s="13"/>
      <c r="IS72" s="107"/>
      <c r="IT72" s="107"/>
      <c r="IU72" s="105"/>
      <c r="IW72" s="13"/>
      <c r="IX72" s="107"/>
      <c r="IY72" s="107"/>
      <c r="IZ72" s="105"/>
      <c r="JB72" s="13"/>
      <c r="JC72" s="107"/>
      <c r="JD72" s="107"/>
      <c r="JE72" s="105"/>
      <c r="JG72" s="13"/>
      <c r="JH72" s="107"/>
      <c r="JI72" s="107"/>
      <c r="JJ72" s="105"/>
      <c r="JL72" s="13"/>
      <c r="JM72" s="107"/>
      <c r="JN72" s="107"/>
      <c r="JO72" s="105"/>
      <c r="JQ72" s="13"/>
      <c r="JR72" s="107"/>
      <c r="JS72" s="107"/>
      <c r="JT72" s="105"/>
      <c r="JW72" s="13"/>
      <c r="JX72" s="107"/>
      <c r="JY72" s="107"/>
      <c r="JZ72" s="105"/>
      <c r="KC72" s="107"/>
      <c r="KD72" s="107"/>
      <c r="KE72" s="105"/>
      <c r="KH72" s="107"/>
      <c r="KI72" s="107"/>
      <c r="KJ72" s="105"/>
      <c r="KM72" s="107"/>
      <c r="KN72" s="107"/>
      <c r="KO72" s="105"/>
      <c r="KR72" s="107"/>
      <c r="KS72" s="107"/>
      <c r="KT72" s="105"/>
      <c r="KW72" s="107"/>
      <c r="KX72" s="107"/>
      <c r="KY72" s="105"/>
      <c r="LB72" s="13"/>
      <c r="LC72" s="107"/>
      <c r="LD72" s="107"/>
      <c r="LE72" s="105"/>
      <c r="LH72" s="107"/>
      <c r="LI72" s="107"/>
      <c r="LJ72" s="105"/>
      <c r="LM72" s="107"/>
      <c r="LN72" s="107"/>
      <c r="LO72" s="105"/>
      <c r="LR72" s="107"/>
      <c r="LS72" s="107"/>
      <c r="LT72" s="105"/>
      <c r="LW72" s="107"/>
      <c r="LX72" s="107"/>
      <c r="LY72" s="105"/>
      <c r="MB72" s="107"/>
      <c r="MC72" s="107"/>
      <c r="MD72" s="105"/>
      <c r="MG72" s="13"/>
      <c r="MH72" s="107"/>
      <c r="MI72" s="107"/>
      <c r="MJ72" s="105"/>
      <c r="MM72" s="107"/>
      <c r="MN72" s="107"/>
      <c r="MO72" s="105"/>
      <c r="MR72" s="107"/>
      <c r="MS72" s="107"/>
      <c r="MT72" s="105"/>
      <c r="MW72" s="107"/>
      <c r="MX72" s="107"/>
      <c r="MY72" s="105"/>
      <c r="NB72" s="107"/>
      <c r="NC72" s="107"/>
      <c r="ND72" s="105"/>
      <c r="NG72" s="107"/>
      <c r="NH72" s="107"/>
      <c r="NI72" s="105"/>
      <c r="NL72" s="13"/>
      <c r="NM72" s="107"/>
      <c r="NN72" s="107"/>
      <c r="NO72" s="105"/>
      <c r="NR72" s="107"/>
      <c r="NS72" s="107"/>
      <c r="NT72" s="105"/>
      <c r="NW72" s="107"/>
      <c r="NX72" s="107"/>
      <c r="NY72" s="105"/>
      <c r="OB72" s="107"/>
      <c r="OC72" s="107"/>
      <c r="OD72" s="105"/>
      <c r="OG72" s="107"/>
      <c r="OH72" s="107"/>
      <c r="OI72" s="105"/>
      <c r="OL72" s="107"/>
      <c r="OM72" s="107"/>
      <c r="ON72" s="105"/>
    </row>
    <row r="73" ht="15.75" customHeight="1">
      <c r="A73" s="42"/>
      <c r="B73" s="42"/>
      <c r="C73" s="42"/>
      <c r="D73" s="38">
        <f>T2</f>
        <v>45967</v>
      </c>
      <c r="E73" s="105" t="str">
        <f t="shared" ref="E73:I73" si="285">T4</f>
        <v/>
      </c>
      <c r="F73" s="105" t="str">
        <f t="shared" si="285"/>
        <v/>
      </c>
      <c r="G73" s="105" t="str">
        <f t="shared" si="285"/>
        <v/>
      </c>
      <c r="H73" s="106" t="str">
        <f t="shared" si="285"/>
        <v/>
      </c>
      <c r="I73" s="106" t="str">
        <f t="shared" si="285"/>
        <v/>
      </c>
      <c r="J73" s="107" t="str">
        <f t="array" ref="J73">IFERROR(IF(XLOOKUP(CONCAT(E73,F73),'MASTER PLAN'!$AB:$AB,'MASTER PLAN'!$M:$M,0,0)=0,"",XLOOKUP(CONCAT(E73,F73),'MASTER PLAN'!$AB:$AB,'MASTER PLAN'!$M:$M,0,0)),"")</f>
        <v/>
      </c>
      <c r="K73" s="107">
        <f t="shared" si="237"/>
        <v>0</v>
      </c>
      <c r="L73" s="107">
        <f t="shared" si="238"/>
        <v>0</v>
      </c>
      <c r="M73" s="105" t="s">
        <v>246</v>
      </c>
      <c r="N73" s="13"/>
      <c r="O73" s="107"/>
      <c r="P73" s="107"/>
      <c r="Q73" s="105"/>
      <c r="S73" s="13"/>
      <c r="T73" s="107"/>
      <c r="U73" s="107"/>
      <c r="V73" s="105"/>
      <c r="X73" s="13"/>
      <c r="Y73" s="107"/>
      <c r="Z73" s="107"/>
      <c r="AA73" s="105"/>
      <c r="AC73" s="13"/>
      <c r="AD73" s="107"/>
      <c r="AE73" s="107"/>
      <c r="AF73" s="105"/>
      <c r="AH73" s="38"/>
      <c r="AI73" s="13"/>
      <c r="AJ73" s="107"/>
      <c r="AK73" s="107"/>
      <c r="AL73" s="105"/>
      <c r="AN73" s="13"/>
      <c r="AO73" s="107"/>
      <c r="AP73" s="107"/>
      <c r="AQ73" s="105"/>
      <c r="AS73" s="13"/>
      <c r="AT73" s="107"/>
      <c r="AU73" s="107"/>
      <c r="AV73" s="105"/>
      <c r="AX73" s="13"/>
      <c r="AY73" s="107"/>
      <c r="AZ73" s="107"/>
      <c r="BA73" s="105"/>
      <c r="BC73" s="13"/>
      <c r="BD73" s="107"/>
      <c r="BE73" s="107"/>
      <c r="BF73" s="105"/>
      <c r="BH73" s="13"/>
      <c r="BI73" s="107"/>
      <c r="BJ73" s="107"/>
      <c r="BK73" s="105"/>
      <c r="BM73" s="38"/>
      <c r="BN73" s="13"/>
      <c r="BO73" s="107"/>
      <c r="BP73" s="107"/>
      <c r="BQ73" s="105"/>
      <c r="BS73" s="13"/>
      <c r="BT73" s="107"/>
      <c r="BU73" s="107"/>
      <c r="BV73" s="105"/>
      <c r="BX73" s="13"/>
      <c r="BY73" s="107"/>
      <c r="BZ73" s="107"/>
      <c r="CA73" s="105"/>
      <c r="CC73" s="13"/>
      <c r="CD73" s="107"/>
      <c r="CE73" s="107"/>
      <c r="CF73" s="105"/>
      <c r="CH73" s="13"/>
      <c r="CI73" s="107"/>
      <c r="CJ73" s="107"/>
      <c r="CK73" s="105"/>
      <c r="CM73" s="13"/>
      <c r="CN73" s="107"/>
      <c r="CO73" s="107"/>
      <c r="CP73" s="105"/>
      <c r="CR73" s="38"/>
      <c r="CS73" s="13"/>
      <c r="CT73" s="107"/>
      <c r="CU73" s="107"/>
      <c r="CV73" s="105"/>
      <c r="CX73" s="13"/>
      <c r="CY73" s="107"/>
      <c r="CZ73" s="107"/>
      <c r="DA73" s="105"/>
      <c r="DC73" s="13"/>
      <c r="DD73" s="107"/>
      <c r="DE73" s="107"/>
      <c r="DF73" s="105"/>
      <c r="DH73" s="13"/>
      <c r="DI73" s="107"/>
      <c r="DJ73" s="107"/>
      <c r="DK73" s="105"/>
      <c r="DM73" s="13"/>
      <c r="DN73" s="107"/>
      <c r="DO73" s="107"/>
      <c r="DP73" s="105"/>
      <c r="DR73" s="13"/>
      <c r="DS73" s="107"/>
      <c r="DT73" s="107"/>
      <c r="DU73" s="105"/>
      <c r="DW73" s="38"/>
      <c r="DX73" s="13"/>
      <c r="DY73" s="107"/>
      <c r="DZ73" s="107"/>
      <c r="EA73" s="105"/>
      <c r="EC73" s="13"/>
      <c r="ED73" s="107"/>
      <c r="EE73" s="107"/>
      <c r="EF73" s="105"/>
      <c r="EH73" s="13"/>
      <c r="EI73" s="107"/>
      <c r="EJ73" s="107"/>
      <c r="EK73" s="105"/>
      <c r="EM73" s="13"/>
      <c r="EN73" s="107"/>
      <c r="EO73" s="107"/>
      <c r="EP73" s="105"/>
      <c r="ER73" s="13"/>
      <c r="ES73" s="107"/>
      <c r="ET73" s="107"/>
      <c r="EU73" s="105"/>
      <c r="EW73" s="13"/>
      <c r="EX73" s="107"/>
      <c r="EY73" s="107"/>
      <c r="EZ73" s="105"/>
      <c r="FB73" s="38"/>
      <c r="FC73" s="13"/>
      <c r="FD73" s="107"/>
      <c r="FE73" s="107"/>
      <c r="FF73" s="105"/>
      <c r="FH73" s="13"/>
      <c r="FI73" s="107"/>
      <c r="FJ73" s="107"/>
      <c r="FK73" s="105"/>
      <c r="FM73" s="13"/>
      <c r="FN73" s="107"/>
      <c r="FO73" s="107"/>
      <c r="FP73" s="105"/>
      <c r="FR73" s="13"/>
      <c r="FS73" s="107"/>
      <c r="FT73" s="107"/>
      <c r="FU73" s="105"/>
      <c r="FW73" s="13"/>
      <c r="FX73" s="107"/>
      <c r="FY73" s="107"/>
      <c r="FZ73" s="105"/>
      <c r="GB73" s="13"/>
      <c r="GC73" s="107"/>
      <c r="GD73" s="107"/>
      <c r="GE73" s="105"/>
      <c r="GG73" s="38"/>
      <c r="GH73" s="13"/>
      <c r="GI73" s="107"/>
      <c r="GJ73" s="107"/>
      <c r="GK73" s="105"/>
      <c r="GM73" s="13"/>
      <c r="GN73" s="107"/>
      <c r="GO73" s="107"/>
      <c r="GP73" s="105"/>
      <c r="GR73" s="13"/>
      <c r="GS73" s="107"/>
      <c r="GT73" s="107"/>
      <c r="GU73" s="105"/>
      <c r="GW73" s="13"/>
      <c r="GX73" s="107"/>
      <c r="GY73" s="107"/>
      <c r="GZ73" s="105"/>
      <c r="HB73" s="13"/>
      <c r="HC73" s="107"/>
      <c r="HD73" s="107"/>
      <c r="HE73" s="105"/>
      <c r="HG73" s="13"/>
      <c r="HH73" s="107"/>
      <c r="HI73" s="107"/>
      <c r="HJ73" s="105"/>
      <c r="HL73" s="38"/>
      <c r="HM73" s="13"/>
      <c r="HN73" s="107"/>
      <c r="HO73" s="107"/>
      <c r="HP73" s="105"/>
      <c r="HR73" s="13"/>
      <c r="HS73" s="107"/>
      <c r="HT73" s="107"/>
      <c r="HU73" s="105"/>
      <c r="HW73" s="13"/>
      <c r="HX73" s="107"/>
      <c r="HY73" s="107"/>
      <c r="HZ73" s="105"/>
      <c r="IB73" s="13"/>
      <c r="IC73" s="107"/>
      <c r="ID73" s="107"/>
      <c r="IE73" s="105"/>
      <c r="IG73" s="13"/>
      <c r="IH73" s="107"/>
      <c r="II73" s="107"/>
      <c r="IJ73" s="105"/>
      <c r="IL73" s="13"/>
      <c r="IM73" s="107"/>
      <c r="IN73" s="107"/>
      <c r="IO73" s="105"/>
      <c r="IQ73" s="38"/>
      <c r="IR73" s="13"/>
      <c r="IS73" s="107"/>
      <c r="IT73" s="107"/>
      <c r="IU73" s="105"/>
      <c r="IW73" s="13"/>
      <c r="IX73" s="107"/>
      <c r="IY73" s="107"/>
      <c r="IZ73" s="105"/>
      <c r="JB73" s="13"/>
      <c r="JC73" s="107"/>
      <c r="JD73" s="107"/>
      <c r="JE73" s="105"/>
      <c r="JG73" s="13"/>
      <c r="JH73" s="107"/>
      <c r="JI73" s="107"/>
      <c r="JJ73" s="105"/>
      <c r="JL73" s="13"/>
      <c r="JM73" s="107"/>
      <c r="JN73" s="107"/>
      <c r="JO73" s="105"/>
      <c r="JQ73" s="13"/>
      <c r="JR73" s="107"/>
      <c r="JS73" s="107"/>
      <c r="JT73" s="105"/>
      <c r="JW73" s="13"/>
      <c r="JX73" s="107"/>
      <c r="JY73" s="107"/>
      <c r="JZ73" s="105"/>
      <c r="KC73" s="107"/>
      <c r="KD73" s="107"/>
      <c r="KE73" s="105"/>
      <c r="KH73" s="107"/>
      <c r="KI73" s="107"/>
      <c r="KJ73" s="105"/>
      <c r="KM73" s="107"/>
      <c r="KN73" s="107"/>
      <c r="KO73" s="105"/>
      <c r="KR73" s="107"/>
      <c r="KS73" s="107"/>
      <c r="KT73" s="105"/>
      <c r="KW73" s="107"/>
      <c r="KX73" s="107"/>
      <c r="KY73" s="105"/>
      <c r="LB73" s="13"/>
      <c r="LC73" s="107"/>
      <c r="LD73" s="107"/>
      <c r="LE73" s="105"/>
      <c r="LH73" s="107"/>
      <c r="LI73" s="107"/>
      <c r="LJ73" s="105"/>
      <c r="LM73" s="107"/>
      <c r="LN73" s="107"/>
      <c r="LO73" s="105"/>
      <c r="LR73" s="107"/>
      <c r="LS73" s="107"/>
      <c r="LT73" s="105"/>
      <c r="LW73" s="107"/>
      <c r="LX73" s="107"/>
      <c r="LY73" s="105"/>
      <c r="MB73" s="107"/>
      <c r="MC73" s="107"/>
      <c r="MD73" s="105"/>
      <c r="MG73" s="13"/>
      <c r="MH73" s="107"/>
      <c r="MI73" s="107"/>
      <c r="MJ73" s="105"/>
      <c r="MM73" s="107"/>
      <c r="MN73" s="107"/>
      <c r="MO73" s="105"/>
      <c r="MR73" s="107"/>
      <c r="MS73" s="107"/>
      <c r="MT73" s="105"/>
      <c r="MW73" s="107"/>
      <c r="MX73" s="107"/>
      <c r="MY73" s="105"/>
      <c r="NB73" s="107"/>
      <c r="NC73" s="107"/>
      <c r="ND73" s="105"/>
      <c r="NG73" s="107"/>
      <c r="NH73" s="107"/>
      <c r="NI73" s="105"/>
      <c r="NL73" s="13"/>
      <c r="NM73" s="107"/>
      <c r="NN73" s="107"/>
      <c r="NO73" s="105"/>
      <c r="NR73" s="107"/>
      <c r="NS73" s="107"/>
      <c r="NT73" s="105"/>
      <c r="NW73" s="107"/>
      <c r="NX73" s="107"/>
      <c r="NY73" s="105"/>
      <c r="OB73" s="107"/>
      <c r="OC73" s="107"/>
      <c r="OD73" s="105"/>
      <c r="OG73" s="107"/>
      <c r="OH73" s="107"/>
      <c r="OI73" s="105"/>
      <c r="OL73" s="107"/>
      <c r="OM73" s="107"/>
      <c r="ON73" s="105"/>
    </row>
    <row r="74" ht="15.75" customHeight="1">
      <c r="A74" s="42"/>
      <c r="B74" s="42"/>
      <c r="C74" s="42"/>
      <c r="D74" s="38">
        <f t="shared" ref="D74:D87" si="287">D73</f>
        <v>45967</v>
      </c>
      <c r="E74" s="105" t="str">
        <f t="shared" ref="E74:I74" si="286">T5</f>
        <v/>
      </c>
      <c r="F74" s="105" t="str">
        <f t="shared" si="286"/>
        <v/>
      </c>
      <c r="G74" s="105" t="str">
        <f t="shared" si="286"/>
        <v/>
      </c>
      <c r="H74" s="106" t="str">
        <f t="shared" si="286"/>
        <v/>
      </c>
      <c r="I74" s="106" t="str">
        <f t="shared" si="286"/>
        <v/>
      </c>
      <c r="J74" s="107" t="str">
        <f t="array" ref="J74">IFERROR(IF(XLOOKUP(CONCAT(E74,F74),'MASTER PLAN'!$AB:$AB,'MASTER PLAN'!$M:$M,0,0)=0,"",XLOOKUP(CONCAT(E74,F74),'MASTER PLAN'!$AB:$AB,'MASTER PLAN'!$M:$M,0,0)),"")</f>
        <v/>
      </c>
      <c r="K74" s="107">
        <f t="shared" si="237"/>
        <v>0</v>
      </c>
      <c r="L74" s="107">
        <f t="shared" si="238"/>
        <v>0</v>
      </c>
      <c r="M74" s="105" t="s">
        <v>246</v>
      </c>
      <c r="N74" s="13"/>
      <c r="O74" s="107"/>
      <c r="P74" s="107"/>
      <c r="Q74" s="105"/>
      <c r="S74" s="13"/>
      <c r="T74" s="107"/>
      <c r="U74" s="107"/>
      <c r="V74" s="105"/>
      <c r="X74" s="13"/>
      <c r="Y74" s="107"/>
      <c r="Z74" s="107"/>
      <c r="AA74" s="105"/>
      <c r="AC74" s="13"/>
      <c r="AD74" s="107"/>
      <c r="AE74" s="107"/>
      <c r="AF74" s="105"/>
      <c r="AH74" s="38"/>
      <c r="AI74" s="13"/>
      <c r="AJ74" s="107"/>
      <c r="AK74" s="107"/>
      <c r="AL74" s="105"/>
      <c r="AN74" s="13"/>
      <c r="AO74" s="107"/>
      <c r="AP74" s="107"/>
      <c r="AQ74" s="105"/>
      <c r="AS74" s="13"/>
      <c r="AT74" s="107"/>
      <c r="AU74" s="107"/>
      <c r="AV74" s="105"/>
      <c r="AX74" s="13"/>
      <c r="AY74" s="107"/>
      <c r="AZ74" s="107"/>
      <c r="BA74" s="105"/>
      <c r="BC74" s="13"/>
      <c r="BD74" s="107"/>
      <c r="BE74" s="107"/>
      <c r="BF74" s="105"/>
      <c r="BH74" s="13"/>
      <c r="BI74" s="107"/>
      <c r="BJ74" s="107"/>
      <c r="BK74" s="105"/>
      <c r="BM74" s="38"/>
      <c r="BN74" s="13"/>
      <c r="BO74" s="107"/>
      <c r="BP74" s="107"/>
      <c r="BQ74" s="105"/>
      <c r="BS74" s="13"/>
      <c r="BT74" s="107"/>
      <c r="BU74" s="107"/>
      <c r="BV74" s="105"/>
      <c r="BX74" s="13"/>
      <c r="BY74" s="107"/>
      <c r="BZ74" s="107"/>
      <c r="CA74" s="105"/>
      <c r="CC74" s="13"/>
      <c r="CD74" s="107"/>
      <c r="CE74" s="107"/>
      <c r="CF74" s="105"/>
      <c r="CH74" s="13"/>
      <c r="CI74" s="107"/>
      <c r="CJ74" s="107"/>
      <c r="CK74" s="105"/>
      <c r="CM74" s="13"/>
      <c r="CN74" s="107"/>
      <c r="CO74" s="107"/>
      <c r="CP74" s="105"/>
      <c r="CR74" s="38"/>
      <c r="CS74" s="13"/>
      <c r="CT74" s="107"/>
      <c r="CU74" s="107"/>
      <c r="CV74" s="105"/>
      <c r="CX74" s="13"/>
      <c r="CY74" s="107"/>
      <c r="CZ74" s="107"/>
      <c r="DA74" s="105"/>
      <c r="DC74" s="13"/>
      <c r="DD74" s="107"/>
      <c r="DE74" s="107"/>
      <c r="DF74" s="105"/>
      <c r="DH74" s="13"/>
      <c r="DI74" s="107"/>
      <c r="DJ74" s="107"/>
      <c r="DK74" s="105"/>
      <c r="DM74" s="13"/>
      <c r="DN74" s="107"/>
      <c r="DO74" s="107"/>
      <c r="DP74" s="105"/>
      <c r="DR74" s="13"/>
      <c r="DS74" s="107"/>
      <c r="DT74" s="107"/>
      <c r="DU74" s="105"/>
      <c r="DW74" s="38"/>
      <c r="DX74" s="13"/>
      <c r="DY74" s="107"/>
      <c r="DZ74" s="107"/>
      <c r="EA74" s="105"/>
      <c r="EC74" s="13"/>
      <c r="ED74" s="107"/>
      <c r="EE74" s="107"/>
      <c r="EF74" s="105"/>
      <c r="EH74" s="13"/>
      <c r="EI74" s="107"/>
      <c r="EJ74" s="107"/>
      <c r="EK74" s="105"/>
      <c r="EM74" s="13"/>
      <c r="EN74" s="107"/>
      <c r="EO74" s="107"/>
      <c r="EP74" s="105"/>
      <c r="ER74" s="13"/>
      <c r="ES74" s="107"/>
      <c r="ET74" s="107"/>
      <c r="EU74" s="105"/>
      <c r="EW74" s="13"/>
      <c r="EX74" s="107"/>
      <c r="EY74" s="107"/>
      <c r="EZ74" s="105"/>
      <c r="FB74" s="38"/>
      <c r="FC74" s="13"/>
      <c r="FD74" s="107"/>
      <c r="FE74" s="107"/>
      <c r="FF74" s="105"/>
      <c r="FH74" s="13"/>
      <c r="FI74" s="107"/>
      <c r="FJ74" s="107"/>
      <c r="FK74" s="105"/>
      <c r="FM74" s="13"/>
      <c r="FN74" s="107"/>
      <c r="FO74" s="107"/>
      <c r="FP74" s="105"/>
      <c r="FR74" s="13"/>
      <c r="FS74" s="107"/>
      <c r="FT74" s="107"/>
      <c r="FU74" s="105"/>
      <c r="FW74" s="13"/>
      <c r="FX74" s="107"/>
      <c r="FY74" s="107"/>
      <c r="FZ74" s="105"/>
      <c r="GB74" s="13"/>
      <c r="GC74" s="107"/>
      <c r="GD74" s="107"/>
      <c r="GE74" s="105"/>
      <c r="GG74" s="38"/>
      <c r="GH74" s="13"/>
      <c r="GI74" s="107"/>
      <c r="GJ74" s="107"/>
      <c r="GK74" s="105"/>
      <c r="GM74" s="13"/>
      <c r="GN74" s="107"/>
      <c r="GO74" s="107"/>
      <c r="GP74" s="105"/>
      <c r="GR74" s="13"/>
      <c r="GS74" s="107"/>
      <c r="GT74" s="107"/>
      <c r="GU74" s="105"/>
      <c r="GW74" s="13"/>
      <c r="GX74" s="107"/>
      <c r="GY74" s="107"/>
      <c r="GZ74" s="105"/>
      <c r="HB74" s="13"/>
      <c r="HC74" s="107"/>
      <c r="HD74" s="107"/>
      <c r="HE74" s="105"/>
      <c r="HG74" s="13"/>
      <c r="HH74" s="107"/>
      <c r="HI74" s="107"/>
      <c r="HJ74" s="105"/>
      <c r="HL74" s="38"/>
      <c r="HM74" s="13"/>
      <c r="HN74" s="107"/>
      <c r="HO74" s="107"/>
      <c r="HP74" s="105"/>
      <c r="HR74" s="13"/>
      <c r="HS74" s="107"/>
      <c r="HT74" s="107"/>
      <c r="HU74" s="105"/>
      <c r="HW74" s="13"/>
      <c r="HX74" s="107"/>
      <c r="HY74" s="107"/>
      <c r="HZ74" s="105"/>
      <c r="IB74" s="13"/>
      <c r="IC74" s="107"/>
      <c r="ID74" s="107"/>
      <c r="IE74" s="105"/>
      <c r="IG74" s="13"/>
      <c r="IH74" s="107"/>
      <c r="II74" s="107"/>
      <c r="IJ74" s="105"/>
      <c r="IL74" s="13"/>
      <c r="IM74" s="107"/>
      <c r="IN74" s="107"/>
      <c r="IO74" s="105"/>
      <c r="IQ74" s="38"/>
      <c r="IR74" s="13"/>
      <c r="IS74" s="107"/>
      <c r="IT74" s="107"/>
      <c r="IU74" s="105"/>
      <c r="IW74" s="13"/>
      <c r="IX74" s="107"/>
      <c r="IY74" s="107"/>
      <c r="IZ74" s="105"/>
      <c r="JB74" s="13"/>
      <c r="JC74" s="107"/>
      <c r="JD74" s="107"/>
      <c r="JE74" s="105"/>
      <c r="JG74" s="13"/>
      <c r="JH74" s="107"/>
      <c r="JI74" s="107"/>
      <c r="JJ74" s="105"/>
      <c r="JL74" s="13"/>
      <c r="JM74" s="107"/>
      <c r="JN74" s="107"/>
      <c r="JO74" s="105"/>
      <c r="JQ74" s="13"/>
      <c r="JR74" s="107"/>
      <c r="JS74" s="107"/>
      <c r="JT74" s="105"/>
      <c r="JW74" s="13"/>
      <c r="JX74" s="107"/>
      <c r="JY74" s="107"/>
      <c r="JZ74" s="105"/>
      <c r="KC74" s="107"/>
      <c r="KD74" s="107"/>
      <c r="KE74" s="105"/>
      <c r="KH74" s="107"/>
      <c r="KI74" s="107"/>
      <c r="KJ74" s="105"/>
      <c r="KM74" s="107"/>
      <c r="KN74" s="107"/>
      <c r="KO74" s="105"/>
      <c r="KR74" s="107"/>
      <c r="KS74" s="107"/>
      <c r="KT74" s="105"/>
      <c r="KW74" s="107"/>
      <c r="KX74" s="107"/>
      <c r="KY74" s="105"/>
      <c r="LB74" s="13"/>
      <c r="LC74" s="107"/>
      <c r="LD74" s="107"/>
      <c r="LE74" s="105"/>
      <c r="LH74" s="107"/>
      <c r="LI74" s="107"/>
      <c r="LJ74" s="105"/>
      <c r="LM74" s="107"/>
      <c r="LN74" s="107"/>
      <c r="LO74" s="105"/>
      <c r="LR74" s="107"/>
      <c r="LS74" s="107"/>
      <c r="LT74" s="105"/>
      <c r="LW74" s="107"/>
      <c r="LX74" s="107"/>
      <c r="LY74" s="105"/>
      <c r="MB74" s="107"/>
      <c r="MC74" s="107"/>
      <c r="MD74" s="105"/>
      <c r="MG74" s="13"/>
      <c r="MH74" s="107"/>
      <c r="MI74" s="107"/>
      <c r="MJ74" s="105"/>
      <c r="MM74" s="107"/>
      <c r="MN74" s="107"/>
      <c r="MO74" s="105"/>
      <c r="MR74" s="107"/>
      <c r="MS74" s="107"/>
      <c r="MT74" s="105"/>
      <c r="MW74" s="107"/>
      <c r="MX74" s="107"/>
      <c r="MY74" s="105"/>
      <c r="NB74" s="107"/>
      <c r="NC74" s="107"/>
      <c r="ND74" s="105"/>
      <c r="NG74" s="107"/>
      <c r="NH74" s="107"/>
      <c r="NI74" s="105"/>
      <c r="NL74" s="13"/>
      <c r="NM74" s="107"/>
      <c r="NN74" s="107"/>
      <c r="NO74" s="105"/>
      <c r="NR74" s="107"/>
      <c r="NS74" s="107"/>
      <c r="NT74" s="105"/>
      <c r="NW74" s="107"/>
      <c r="NX74" s="107"/>
      <c r="NY74" s="105"/>
      <c r="OB74" s="107"/>
      <c r="OC74" s="107"/>
      <c r="OD74" s="105"/>
      <c r="OG74" s="107"/>
      <c r="OH74" s="107"/>
      <c r="OI74" s="105"/>
      <c r="OL74" s="107"/>
      <c r="OM74" s="107"/>
      <c r="ON74" s="105"/>
    </row>
    <row r="75" ht="15.75" customHeight="1">
      <c r="A75" s="42"/>
      <c r="B75" s="42"/>
      <c r="C75" s="42"/>
      <c r="D75" s="38">
        <f t="shared" si="287"/>
        <v>45967</v>
      </c>
      <c r="E75" s="105" t="str">
        <f t="shared" ref="E75:I75" si="288">T6</f>
        <v/>
      </c>
      <c r="F75" s="105" t="str">
        <f t="shared" si="288"/>
        <v/>
      </c>
      <c r="G75" s="105" t="str">
        <f t="shared" si="288"/>
        <v/>
      </c>
      <c r="H75" s="106" t="str">
        <f t="shared" si="288"/>
        <v/>
      </c>
      <c r="I75" s="106" t="str">
        <f t="shared" si="288"/>
        <v/>
      </c>
      <c r="J75" s="107" t="str">
        <f t="array" ref="J75">IFERROR(IF(XLOOKUP(CONCAT(E75,F75),'MASTER PLAN'!$AB:$AB,'MASTER PLAN'!$M:$M,0,0)=0,"",XLOOKUP(CONCAT(E75,F75),'MASTER PLAN'!$AB:$AB,'MASTER PLAN'!$M:$M,0,0)),"")</f>
        <v/>
      </c>
      <c r="K75" s="107">
        <f t="shared" si="237"/>
        <v>0</v>
      </c>
      <c r="L75" s="107">
        <f t="shared" si="238"/>
        <v>0</v>
      </c>
      <c r="M75" s="105" t="s">
        <v>246</v>
      </c>
      <c r="O75" s="13"/>
      <c r="P75" s="107"/>
      <c r="Q75" s="107"/>
      <c r="R75" s="105"/>
      <c r="T75" s="13"/>
      <c r="U75" s="107"/>
      <c r="V75" s="107"/>
      <c r="W75" s="105"/>
      <c r="Y75" s="13"/>
      <c r="Z75" s="107"/>
      <c r="AA75" s="107"/>
      <c r="AB75" s="105"/>
      <c r="AD75" s="13"/>
      <c r="AE75" s="107"/>
      <c r="AF75" s="107"/>
      <c r="AG75" s="105"/>
      <c r="AI75" s="38"/>
      <c r="AJ75" s="13"/>
      <c r="AK75" s="107"/>
      <c r="AL75" s="107"/>
      <c r="AM75" s="105"/>
      <c r="AO75" s="13"/>
      <c r="AP75" s="107"/>
      <c r="AQ75" s="107"/>
      <c r="AR75" s="105"/>
      <c r="AT75" s="13"/>
      <c r="AU75" s="107"/>
      <c r="AV75" s="107"/>
      <c r="AW75" s="105"/>
      <c r="AY75" s="13"/>
      <c r="AZ75" s="107"/>
      <c r="BA75" s="107"/>
      <c r="BB75" s="105"/>
      <c r="BD75" s="13"/>
      <c r="BE75" s="107"/>
      <c r="BF75" s="107"/>
      <c r="BG75" s="105"/>
      <c r="BI75" s="13"/>
      <c r="BJ75" s="107"/>
      <c r="BK75" s="107"/>
      <c r="BL75" s="105"/>
      <c r="BN75" s="38"/>
      <c r="BO75" s="13"/>
      <c r="BP75" s="107"/>
      <c r="BQ75" s="107"/>
      <c r="BR75" s="105"/>
      <c r="BT75" s="13"/>
      <c r="BU75" s="107"/>
      <c r="BV75" s="107"/>
      <c r="BW75" s="105"/>
      <c r="BY75" s="13"/>
      <c r="BZ75" s="107"/>
      <c r="CA75" s="107"/>
      <c r="CB75" s="105"/>
      <c r="CD75" s="13"/>
      <c r="CE75" s="107"/>
      <c r="CF75" s="107"/>
      <c r="CG75" s="105"/>
      <c r="CI75" s="13"/>
      <c r="CJ75" s="107"/>
      <c r="CK75" s="107"/>
      <c r="CL75" s="105"/>
      <c r="CN75" s="13"/>
      <c r="CO75" s="107"/>
      <c r="CP75" s="107"/>
      <c r="CQ75" s="105"/>
      <c r="CS75" s="38"/>
      <c r="CT75" s="13"/>
      <c r="CU75" s="107"/>
      <c r="CV75" s="107"/>
      <c r="CW75" s="105"/>
      <c r="CY75" s="13"/>
      <c r="CZ75" s="107"/>
      <c r="DA75" s="107"/>
      <c r="DB75" s="105"/>
      <c r="DD75" s="13"/>
      <c r="DE75" s="107"/>
      <c r="DF75" s="107"/>
      <c r="DG75" s="105"/>
      <c r="DI75" s="13"/>
      <c r="DJ75" s="107"/>
      <c r="DK75" s="107"/>
      <c r="DL75" s="105"/>
      <c r="DN75" s="13"/>
      <c r="DO75" s="107"/>
      <c r="DP75" s="107"/>
      <c r="DQ75" s="105"/>
      <c r="DS75" s="13"/>
      <c r="DT75" s="107"/>
      <c r="DU75" s="107"/>
      <c r="DV75" s="105"/>
      <c r="DX75" s="38"/>
      <c r="DY75" s="13"/>
      <c r="DZ75" s="107"/>
      <c r="EA75" s="107"/>
      <c r="EB75" s="105"/>
      <c r="ED75" s="13"/>
      <c r="EE75" s="107"/>
      <c r="EF75" s="107"/>
      <c r="EG75" s="105"/>
      <c r="EI75" s="13"/>
      <c r="EJ75" s="107"/>
      <c r="EK75" s="107"/>
      <c r="EL75" s="105"/>
      <c r="EN75" s="13"/>
      <c r="EO75" s="107"/>
      <c r="EP75" s="107"/>
      <c r="EQ75" s="105"/>
      <c r="ES75" s="13"/>
      <c r="ET75" s="107"/>
      <c r="EU75" s="107"/>
      <c r="EV75" s="105"/>
      <c r="EX75" s="13"/>
      <c r="EY75" s="107"/>
      <c r="EZ75" s="107"/>
      <c r="FA75" s="105"/>
      <c r="FC75" s="38"/>
      <c r="FD75" s="13"/>
      <c r="FE75" s="107"/>
      <c r="FF75" s="107"/>
      <c r="FG75" s="105"/>
      <c r="FI75" s="13"/>
      <c r="FJ75" s="107"/>
      <c r="FK75" s="107"/>
      <c r="FL75" s="105"/>
      <c r="FN75" s="13"/>
      <c r="FO75" s="107"/>
      <c r="FP75" s="107"/>
      <c r="FQ75" s="105"/>
      <c r="FS75" s="13"/>
      <c r="FT75" s="107"/>
      <c r="FU75" s="107"/>
      <c r="FV75" s="105"/>
      <c r="FX75" s="13"/>
      <c r="FY75" s="107"/>
      <c r="FZ75" s="107"/>
      <c r="GA75" s="105"/>
      <c r="GC75" s="13"/>
      <c r="GD75" s="107"/>
      <c r="GE75" s="107"/>
      <c r="GF75" s="105"/>
      <c r="GH75" s="38"/>
      <c r="GI75" s="13"/>
      <c r="GJ75" s="107"/>
      <c r="GK75" s="107"/>
      <c r="GL75" s="105"/>
      <c r="GN75" s="13"/>
      <c r="GO75" s="107"/>
      <c r="GP75" s="107"/>
      <c r="GQ75" s="105"/>
      <c r="GS75" s="13"/>
      <c r="GT75" s="107"/>
      <c r="GU75" s="107"/>
      <c r="GV75" s="105"/>
      <c r="GX75" s="13"/>
      <c r="GY75" s="107"/>
      <c r="GZ75" s="107"/>
      <c r="HA75" s="105"/>
      <c r="HC75" s="13"/>
      <c r="HD75" s="107"/>
      <c r="HE75" s="107"/>
      <c r="HF75" s="105"/>
      <c r="HH75" s="13"/>
      <c r="HI75" s="107"/>
      <c r="HJ75" s="107"/>
      <c r="HK75" s="105"/>
      <c r="HM75" s="38"/>
      <c r="HN75" s="13"/>
      <c r="HO75" s="107"/>
      <c r="HP75" s="107"/>
      <c r="HQ75" s="105"/>
      <c r="HS75" s="13"/>
      <c r="HT75" s="107"/>
      <c r="HU75" s="107"/>
      <c r="HV75" s="105"/>
      <c r="HX75" s="13"/>
      <c r="HY75" s="107"/>
      <c r="HZ75" s="107"/>
      <c r="IA75" s="105"/>
      <c r="IC75" s="13"/>
      <c r="ID75" s="107"/>
      <c r="IE75" s="107"/>
      <c r="IF75" s="105"/>
      <c r="IH75" s="13"/>
      <c r="II75" s="107"/>
      <c r="IJ75" s="107"/>
      <c r="IK75" s="105"/>
      <c r="IM75" s="13"/>
      <c r="IN75" s="107"/>
      <c r="IO75" s="107"/>
      <c r="IP75" s="105"/>
      <c r="IR75" s="38"/>
      <c r="IS75" s="13"/>
      <c r="IT75" s="107"/>
      <c r="IU75" s="107"/>
      <c r="IV75" s="105"/>
      <c r="IX75" s="13"/>
      <c r="IY75" s="107"/>
      <c r="IZ75" s="107"/>
      <c r="JA75" s="105"/>
      <c r="JC75" s="13"/>
      <c r="JD75" s="107"/>
      <c r="JE75" s="107"/>
      <c r="JF75" s="105"/>
      <c r="JH75" s="13"/>
      <c r="JI75" s="107"/>
      <c r="JJ75" s="107"/>
      <c r="JK75" s="105"/>
      <c r="JM75" s="13"/>
      <c r="JN75" s="107"/>
      <c r="JO75" s="107"/>
      <c r="JP75" s="105"/>
      <c r="JR75" s="13"/>
      <c r="JS75" s="107"/>
      <c r="JT75" s="107"/>
      <c r="JU75" s="105"/>
      <c r="JW75" s="38"/>
      <c r="JX75" s="13"/>
      <c r="JY75" s="107"/>
      <c r="JZ75" s="107"/>
      <c r="KA75" s="105"/>
      <c r="KC75" s="13"/>
      <c r="KD75" s="107"/>
      <c r="KE75" s="107"/>
      <c r="KF75" s="105"/>
      <c r="KH75" s="13"/>
      <c r="KI75" s="107"/>
      <c r="KJ75" s="107"/>
      <c r="KK75" s="105"/>
      <c r="KM75" s="13"/>
      <c r="KN75" s="107"/>
      <c r="KO75" s="107"/>
      <c r="KP75" s="105"/>
      <c r="KR75" s="13"/>
      <c r="KS75" s="107"/>
      <c r="KT75" s="107"/>
      <c r="KU75" s="105"/>
      <c r="KW75" s="13"/>
      <c r="KX75" s="107"/>
      <c r="KY75" s="107"/>
      <c r="KZ75" s="105"/>
      <c r="LB75" s="38"/>
      <c r="LC75" s="13"/>
      <c r="LD75" s="107"/>
      <c r="LE75" s="107"/>
      <c r="LF75" s="105"/>
      <c r="LH75" s="13"/>
      <c r="LI75" s="107"/>
      <c r="LJ75" s="107"/>
      <c r="LK75" s="105"/>
      <c r="LM75" s="13"/>
      <c r="LN75" s="107"/>
      <c r="LO75" s="107"/>
      <c r="LP75" s="105"/>
      <c r="LR75" s="13"/>
      <c r="LS75" s="107"/>
      <c r="LT75" s="107"/>
      <c r="LU75" s="105"/>
      <c r="LW75" s="13"/>
      <c r="LX75" s="107"/>
      <c r="LY75" s="107"/>
      <c r="LZ75" s="105"/>
      <c r="MB75" s="13"/>
      <c r="MC75" s="107"/>
      <c r="MD75" s="107"/>
      <c r="ME75" s="105"/>
      <c r="MG75" s="38"/>
      <c r="MH75" s="13"/>
      <c r="MI75" s="107"/>
      <c r="MJ75" s="107"/>
      <c r="MK75" s="105"/>
      <c r="MM75" s="13"/>
      <c r="MN75" s="107"/>
      <c r="MO75" s="107"/>
      <c r="MP75" s="105"/>
      <c r="MR75" s="13"/>
      <c r="MS75" s="107"/>
      <c r="MT75" s="107"/>
      <c r="MU75" s="105"/>
      <c r="MW75" s="13"/>
      <c r="MX75" s="107"/>
      <c r="MY75" s="107"/>
      <c r="MZ75" s="105"/>
      <c r="NB75" s="13"/>
      <c r="NC75" s="107"/>
      <c r="ND75" s="107"/>
      <c r="NE75" s="105"/>
      <c r="NG75" s="13"/>
      <c r="NH75" s="107"/>
      <c r="NI75" s="107"/>
      <c r="NJ75" s="105"/>
      <c r="NL75" s="38"/>
      <c r="NM75" s="13"/>
      <c r="NN75" s="107"/>
      <c r="NO75" s="107"/>
      <c r="NP75" s="105"/>
      <c r="NR75" s="13"/>
      <c r="NS75" s="107"/>
      <c r="NT75" s="107"/>
      <c r="NU75" s="105"/>
      <c r="NW75" s="13"/>
      <c r="NX75" s="107"/>
      <c r="NY75" s="107"/>
      <c r="NZ75" s="105"/>
      <c r="OB75" s="13"/>
      <c r="OC75" s="107"/>
      <c r="OD75" s="107"/>
      <c r="OE75" s="105"/>
      <c r="OG75" s="13"/>
      <c r="OH75" s="107"/>
      <c r="OI75" s="107"/>
      <c r="OJ75" s="105"/>
      <c r="OL75" s="13"/>
      <c r="OM75" s="107"/>
      <c r="ON75" s="107"/>
      <c r="OO75" s="105"/>
    </row>
    <row r="76" ht="15.75" customHeight="1">
      <c r="A76" s="42"/>
      <c r="B76" s="42"/>
      <c r="C76" s="42"/>
      <c r="D76" s="38">
        <f t="shared" si="287"/>
        <v>45967</v>
      </c>
      <c r="E76" s="105" t="str">
        <f t="shared" ref="E76:I76" si="289">T7</f>
        <v/>
      </c>
      <c r="F76" s="105" t="str">
        <f t="shared" si="289"/>
        <v/>
      </c>
      <c r="G76" s="105" t="str">
        <f t="shared" si="289"/>
        <v/>
      </c>
      <c r="H76" s="106" t="str">
        <f t="shared" si="289"/>
        <v/>
      </c>
      <c r="I76" s="106" t="str">
        <f t="shared" si="289"/>
        <v/>
      </c>
      <c r="J76" s="107" t="str">
        <f t="array" ref="J76">IFERROR(IF(XLOOKUP(CONCAT(E76,F76),'MASTER PLAN'!$AB:$AB,'MASTER PLAN'!$M:$M,0,0)=0,"",XLOOKUP(CONCAT(E76,F76),'MASTER PLAN'!$AB:$AB,'MASTER PLAN'!$M:$M,0,0)),"")</f>
        <v/>
      </c>
      <c r="K76" s="107">
        <f t="shared" si="237"/>
        <v>0</v>
      </c>
      <c r="L76" s="107">
        <f t="shared" si="238"/>
        <v>0</v>
      </c>
      <c r="M76" s="105" t="s">
        <v>246</v>
      </c>
      <c r="O76" s="13"/>
      <c r="P76" s="107"/>
      <c r="Q76" s="107"/>
      <c r="R76" s="105"/>
      <c r="T76" s="13"/>
      <c r="U76" s="107"/>
      <c r="V76" s="107"/>
      <c r="W76" s="105"/>
      <c r="Y76" s="13"/>
      <c r="Z76" s="107"/>
      <c r="AA76" s="107"/>
      <c r="AB76" s="105"/>
      <c r="AD76" s="13"/>
      <c r="AE76" s="107"/>
      <c r="AF76" s="107"/>
      <c r="AG76" s="105"/>
      <c r="AI76" s="38"/>
      <c r="AJ76" s="13"/>
      <c r="AK76" s="107"/>
      <c r="AL76" s="107"/>
      <c r="AM76" s="105"/>
      <c r="AO76" s="13"/>
      <c r="AP76" s="107"/>
      <c r="AQ76" s="107"/>
      <c r="AR76" s="105"/>
      <c r="AT76" s="13"/>
      <c r="AU76" s="107"/>
      <c r="AV76" s="107"/>
      <c r="AW76" s="105"/>
      <c r="AY76" s="13"/>
      <c r="AZ76" s="107"/>
      <c r="BA76" s="107"/>
      <c r="BB76" s="105"/>
      <c r="BD76" s="13"/>
      <c r="BE76" s="107"/>
      <c r="BF76" s="107"/>
      <c r="BG76" s="105"/>
      <c r="BI76" s="13"/>
      <c r="BJ76" s="107"/>
      <c r="BK76" s="107"/>
      <c r="BL76" s="105"/>
      <c r="BN76" s="38"/>
      <c r="BO76" s="13"/>
      <c r="BP76" s="107"/>
      <c r="BQ76" s="107"/>
      <c r="BR76" s="105"/>
      <c r="BT76" s="13"/>
      <c r="BU76" s="107"/>
      <c r="BV76" s="107"/>
      <c r="BW76" s="105"/>
      <c r="BY76" s="13"/>
      <c r="BZ76" s="107"/>
      <c r="CA76" s="107"/>
      <c r="CB76" s="105"/>
      <c r="CD76" s="13"/>
      <c r="CE76" s="107"/>
      <c r="CF76" s="107"/>
      <c r="CG76" s="105"/>
      <c r="CI76" s="13"/>
      <c r="CJ76" s="107"/>
      <c r="CK76" s="107"/>
      <c r="CL76" s="105"/>
      <c r="CN76" s="13"/>
      <c r="CO76" s="107"/>
      <c r="CP76" s="107"/>
      <c r="CQ76" s="105"/>
      <c r="CS76" s="38"/>
      <c r="CT76" s="13"/>
      <c r="CU76" s="107"/>
      <c r="CV76" s="107"/>
      <c r="CW76" s="105"/>
      <c r="CY76" s="13"/>
      <c r="CZ76" s="107"/>
      <c r="DA76" s="107"/>
      <c r="DB76" s="105"/>
      <c r="DD76" s="13"/>
      <c r="DE76" s="107"/>
      <c r="DF76" s="107"/>
      <c r="DG76" s="105"/>
      <c r="DI76" s="13"/>
      <c r="DJ76" s="107"/>
      <c r="DK76" s="107"/>
      <c r="DL76" s="105"/>
      <c r="DN76" s="13"/>
      <c r="DO76" s="107"/>
      <c r="DP76" s="107"/>
      <c r="DQ76" s="105"/>
      <c r="DS76" s="13"/>
      <c r="DT76" s="107"/>
      <c r="DU76" s="107"/>
      <c r="DV76" s="105"/>
      <c r="DX76" s="38"/>
      <c r="DY76" s="13"/>
      <c r="DZ76" s="107"/>
      <c r="EA76" s="107"/>
      <c r="EB76" s="105"/>
      <c r="ED76" s="13"/>
      <c r="EE76" s="107"/>
      <c r="EF76" s="107"/>
      <c r="EG76" s="105"/>
      <c r="EI76" s="13"/>
      <c r="EJ76" s="107"/>
      <c r="EK76" s="107"/>
      <c r="EL76" s="105"/>
      <c r="EN76" s="13"/>
      <c r="EO76" s="107"/>
      <c r="EP76" s="107"/>
      <c r="EQ76" s="105"/>
      <c r="ES76" s="13"/>
      <c r="ET76" s="107"/>
      <c r="EU76" s="107"/>
      <c r="EV76" s="105"/>
      <c r="EX76" s="13"/>
      <c r="EY76" s="107"/>
      <c r="EZ76" s="107"/>
      <c r="FA76" s="105"/>
      <c r="FC76" s="38"/>
      <c r="FD76" s="13"/>
      <c r="FE76" s="107"/>
      <c r="FF76" s="107"/>
      <c r="FG76" s="105"/>
      <c r="FI76" s="13"/>
      <c r="FJ76" s="107"/>
      <c r="FK76" s="107"/>
      <c r="FL76" s="105"/>
      <c r="FN76" s="13"/>
      <c r="FO76" s="107"/>
      <c r="FP76" s="107"/>
      <c r="FQ76" s="105"/>
      <c r="FS76" s="13"/>
      <c r="FT76" s="107"/>
      <c r="FU76" s="107"/>
      <c r="FV76" s="105"/>
      <c r="FX76" s="13"/>
      <c r="FY76" s="107"/>
      <c r="FZ76" s="107"/>
      <c r="GA76" s="105"/>
      <c r="GC76" s="13"/>
      <c r="GD76" s="107"/>
      <c r="GE76" s="107"/>
      <c r="GF76" s="105"/>
      <c r="GH76" s="38"/>
      <c r="GI76" s="13"/>
      <c r="GJ76" s="107"/>
      <c r="GK76" s="107"/>
      <c r="GL76" s="105"/>
      <c r="GN76" s="13"/>
      <c r="GO76" s="107"/>
      <c r="GP76" s="107"/>
      <c r="GQ76" s="105"/>
      <c r="GS76" s="13"/>
      <c r="GT76" s="107"/>
      <c r="GU76" s="107"/>
      <c r="GV76" s="105"/>
      <c r="GX76" s="13"/>
      <c r="GY76" s="107"/>
      <c r="GZ76" s="107"/>
      <c r="HA76" s="105"/>
      <c r="HC76" s="13"/>
      <c r="HD76" s="107"/>
      <c r="HE76" s="107"/>
      <c r="HF76" s="105"/>
      <c r="HH76" s="13"/>
      <c r="HI76" s="107"/>
      <c r="HJ76" s="107"/>
      <c r="HK76" s="105"/>
      <c r="HM76" s="38"/>
      <c r="HN76" s="13"/>
      <c r="HO76" s="107"/>
      <c r="HP76" s="107"/>
      <c r="HQ76" s="105"/>
      <c r="HS76" s="13"/>
      <c r="HT76" s="107"/>
      <c r="HU76" s="107"/>
      <c r="HV76" s="105"/>
      <c r="HX76" s="13"/>
      <c r="HY76" s="107"/>
      <c r="HZ76" s="107"/>
      <c r="IA76" s="105"/>
      <c r="IC76" s="13"/>
      <c r="ID76" s="107"/>
      <c r="IE76" s="107"/>
      <c r="IF76" s="105"/>
      <c r="IH76" s="13"/>
      <c r="II76" s="107"/>
      <c r="IJ76" s="107"/>
      <c r="IK76" s="105"/>
      <c r="IM76" s="13"/>
      <c r="IN76" s="107"/>
      <c r="IO76" s="107"/>
      <c r="IP76" s="105"/>
      <c r="IR76" s="38"/>
      <c r="IS76" s="13"/>
      <c r="IT76" s="107"/>
      <c r="IU76" s="107"/>
      <c r="IV76" s="105"/>
      <c r="IX76" s="13"/>
      <c r="IY76" s="107"/>
      <c r="IZ76" s="107"/>
      <c r="JA76" s="105"/>
      <c r="JC76" s="13"/>
      <c r="JD76" s="107"/>
      <c r="JE76" s="107"/>
      <c r="JF76" s="105"/>
      <c r="JH76" s="13"/>
      <c r="JI76" s="107"/>
      <c r="JJ76" s="107"/>
      <c r="JK76" s="105"/>
      <c r="JM76" s="13"/>
      <c r="JN76" s="107"/>
      <c r="JO76" s="107"/>
      <c r="JP76" s="105"/>
      <c r="JR76" s="13"/>
      <c r="JS76" s="107"/>
      <c r="JT76" s="107"/>
      <c r="JU76" s="105"/>
      <c r="JW76" s="38"/>
      <c r="JX76" s="13"/>
      <c r="JY76" s="107"/>
      <c r="JZ76" s="107"/>
      <c r="KA76" s="105"/>
      <c r="KC76" s="13"/>
      <c r="KD76" s="107"/>
      <c r="KE76" s="107"/>
      <c r="KF76" s="105"/>
      <c r="KH76" s="13"/>
      <c r="KI76" s="107"/>
      <c r="KJ76" s="107"/>
      <c r="KK76" s="105"/>
      <c r="KM76" s="13"/>
      <c r="KN76" s="107"/>
      <c r="KO76" s="107"/>
      <c r="KP76" s="105"/>
      <c r="KR76" s="13"/>
      <c r="KS76" s="107"/>
      <c r="KT76" s="107"/>
      <c r="KU76" s="105"/>
      <c r="KW76" s="13"/>
      <c r="KX76" s="107"/>
      <c r="KY76" s="107"/>
      <c r="KZ76" s="105"/>
      <c r="LB76" s="38"/>
      <c r="LC76" s="13"/>
      <c r="LD76" s="107"/>
      <c r="LE76" s="107"/>
      <c r="LF76" s="105"/>
      <c r="LH76" s="13"/>
      <c r="LI76" s="107"/>
      <c r="LJ76" s="107"/>
      <c r="LK76" s="105"/>
      <c r="LM76" s="13"/>
      <c r="LN76" s="107"/>
      <c r="LO76" s="107"/>
      <c r="LP76" s="105"/>
      <c r="LR76" s="13"/>
      <c r="LS76" s="107"/>
      <c r="LT76" s="107"/>
      <c r="LU76" s="105"/>
      <c r="LW76" s="13"/>
      <c r="LX76" s="107"/>
      <c r="LY76" s="107"/>
      <c r="LZ76" s="105"/>
      <c r="MB76" s="13"/>
      <c r="MC76" s="107"/>
      <c r="MD76" s="107"/>
      <c r="ME76" s="105"/>
      <c r="MG76" s="38"/>
      <c r="MH76" s="13"/>
      <c r="MI76" s="107"/>
      <c r="MJ76" s="107"/>
      <c r="MK76" s="105"/>
      <c r="MM76" s="13"/>
      <c r="MN76" s="107"/>
      <c r="MO76" s="107"/>
      <c r="MP76" s="105"/>
      <c r="MR76" s="13"/>
      <c r="MS76" s="107"/>
      <c r="MT76" s="107"/>
      <c r="MU76" s="105"/>
      <c r="MW76" s="13"/>
      <c r="MX76" s="107"/>
      <c r="MY76" s="107"/>
      <c r="MZ76" s="105"/>
      <c r="NB76" s="13"/>
      <c r="NC76" s="107"/>
      <c r="ND76" s="107"/>
      <c r="NE76" s="105"/>
      <c r="NG76" s="13"/>
      <c r="NH76" s="107"/>
      <c r="NI76" s="107"/>
      <c r="NJ76" s="105"/>
      <c r="NL76" s="38"/>
      <c r="NM76" s="13"/>
      <c r="NN76" s="107"/>
      <c r="NO76" s="107"/>
      <c r="NP76" s="105"/>
      <c r="NR76" s="13"/>
      <c r="NS76" s="107"/>
      <c r="NT76" s="107"/>
      <c r="NU76" s="105"/>
      <c r="NW76" s="13"/>
      <c r="NX76" s="107"/>
      <c r="NY76" s="107"/>
      <c r="NZ76" s="105"/>
      <c r="OB76" s="13"/>
      <c r="OC76" s="107"/>
      <c r="OD76" s="107"/>
      <c r="OE76" s="105"/>
      <c r="OG76" s="13"/>
      <c r="OH76" s="107"/>
      <c r="OI76" s="107"/>
      <c r="OJ76" s="105"/>
      <c r="OL76" s="13"/>
      <c r="OM76" s="107"/>
      <c r="ON76" s="107"/>
      <c r="OO76" s="105"/>
    </row>
    <row r="77" ht="15.75" customHeight="1">
      <c r="A77" s="42"/>
      <c r="B77" s="42"/>
      <c r="C77" s="42"/>
      <c r="D77" s="38">
        <f t="shared" si="287"/>
        <v>45967</v>
      </c>
      <c r="E77" s="105" t="str">
        <f t="shared" ref="E77:I77" si="290">T8</f>
        <v/>
      </c>
      <c r="F77" s="105" t="str">
        <f t="shared" si="290"/>
        <v/>
      </c>
      <c r="G77" s="105" t="str">
        <f t="shared" si="290"/>
        <v/>
      </c>
      <c r="H77" s="106" t="str">
        <f t="shared" si="290"/>
        <v/>
      </c>
      <c r="I77" s="106" t="str">
        <f t="shared" si="290"/>
        <v/>
      </c>
      <c r="J77" s="107" t="str">
        <f t="array" ref="J77">IFERROR(IF(XLOOKUP(CONCAT(E77,F77),'MASTER PLAN'!$AB:$AB,'MASTER PLAN'!$M:$M,0,0)=0,"",XLOOKUP(CONCAT(E77,F77),'MASTER PLAN'!$AB:$AB,'MASTER PLAN'!$M:$M,0,0)),"")</f>
        <v/>
      </c>
      <c r="K77" s="107">
        <f t="shared" si="237"/>
        <v>0</v>
      </c>
      <c r="L77" s="107">
        <f t="shared" si="238"/>
        <v>0</v>
      </c>
      <c r="M77" s="105" t="s">
        <v>246</v>
      </c>
      <c r="O77" s="13"/>
      <c r="P77" s="107"/>
      <c r="Q77" s="107"/>
      <c r="R77" s="105"/>
      <c r="T77" s="13"/>
      <c r="U77" s="107"/>
      <c r="V77" s="107"/>
      <c r="W77" s="105"/>
      <c r="Y77" s="13"/>
      <c r="Z77" s="107"/>
      <c r="AA77" s="107"/>
      <c r="AB77" s="105"/>
      <c r="AD77" s="13"/>
      <c r="AE77" s="107"/>
      <c r="AF77" s="107"/>
      <c r="AG77" s="105"/>
      <c r="AI77" s="38"/>
      <c r="AJ77" s="13"/>
      <c r="AK77" s="107"/>
      <c r="AL77" s="107"/>
      <c r="AM77" s="105"/>
      <c r="AO77" s="13"/>
      <c r="AP77" s="107"/>
      <c r="AQ77" s="107"/>
      <c r="AR77" s="105"/>
      <c r="AT77" s="13"/>
      <c r="AU77" s="107"/>
      <c r="AV77" s="107"/>
      <c r="AW77" s="105"/>
      <c r="AY77" s="13"/>
      <c r="AZ77" s="107"/>
      <c r="BA77" s="107"/>
      <c r="BB77" s="105"/>
      <c r="BD77" s="13"/>
      <c r="BE77" s="107"/>
      <c r="BF77" s="107"/>
      <c r="BG77" s="105"/>
      <c r="BI77" s="13"/>
      <c r="BJ77" s="107"/>
      <c r="BK77" s="107"/>
      <c r="BL77" s="105"/>
      <c r="BN77" s="38"/>
      <c r="BO77" s="13"/>
      <c r="BP77" s="107"/>
      <c r="BQ77" s="107"/>
      <c r="BR77" s="105"/>
      <c r="BT77" s="13"/>
      <c r="BU77" s="107"/>
      <c r="BV77" s="107"/>
      <c r="BW77" s="105"/>
      <c r="BY77" s="13"/>
      <c r="BZ77" s="107"/>
      <c r="CA77" s="107"/>
      <c r="CB77" s="105"/>
      <c r="CD77" s="13"/>
      <c r="CE77" s="107"/>
      <c r="CF77" s="107"/>
      <c r="CG77" s="105"/>
      <c r="CI77" s="13"/>
      <c r="CJ77" s="107"/>
      <c r="CK77" s="107"/>
      <c r="CL77" s="105"/>
      <c r="CN77" s="13"/>
      <c r="CO77" s="107"/>
      <c r="CP77" s="107"/>
      <c r="CQ77" s="105"/>
      <c r="CS77" s="38"/>
      <c r="CT77" s="13"/>
      <c r="CU77" s="107"/>
      <c r="CV77" s="107"/>
      <c r="CW77" s="105"/>
      <c r="CY77" s="13"/>
      <c r="CZ77" s="107"/>
      <c r="DA77" s="107"/>
      <c r="DB77" s="105"/>
      <c r="DD77" s="13"/>
      <c r="DE77" s="107"/>
      <c r="DF77" s="107"/>
      <c r="DG77" s="105"/>
      <c r="DI77" s="13"/>
      <c r="DJ77" s="107"/>
      <c r="DK77" s="107"/>
      <c r="DL77" s="105"/>
      <c r="DN77" s="13"/>
      <c r="DO77" s="107"/>
      <c r="DP77" s="107"/>
      <c r="DQ77" s="105"/>
      <c r="DS77" s="13"/>
      <c r="DT77" s="107"/>
      <c r="DU77" s="107"/>
      <c r="DV77" s="105"/>
      <c r="DX77" s="38"/>
      <c r="DY77" s="13"/>
      <c r="DZ77" s="107"/>
      <c r="EA77" s="107"/>
      <c r="EB77" s="105"/>
      <c r="ED77" s="13"/>
      <c r="EE77" s="107"/>
      <c r="EF77" s="107"/>
      <c r="EG77" s="105"/>
      <c r="EI77" s="13"/>
      <c r="EJ77" s="107"/>
      <c r="EK77" s="107"/>
      <c r="EL77" s="105"/>
      <c r="EN77" s="13"/>
      <c r="EO77" s="107"/>
      <c r="EP77" s="107"/>
      <c r="EQ77" s="105"/>
      <c r="ES77" s="13"/>
      <c r="ET77" s="107"/>
      <c r="EU77" s="107"/>
      <c r="EV77" s="105"/>
      <c r="EX77" s="13"/>
      <c r="EY77" s="107"/>
      <c r="EZ77" s="107"/>
      <c r="FA77" s="105"/>
      <c r="FC77" s="38"/>
      <c r="FD77" s="13"/>
      <c r="FE77" s="107"/>
      <c r="FF77" s="107"/>
      <c r="FG77" s="105"/>
      <c r="FI77" s="13"/>
      <c r="FJ77" s="107"/>
      <c r="FK77" s="107"/>
      <c r="FL77" s="105"/>
      <c r="FN77" s="13"/>
      <c r="FO77" s="107"/>
      <c r="FP77" s="107"/>
      <c r="FQ77" s="105"/>
      <c r="FS77" s="13"/>
      <c r="FT77" s="107"/>
      <c r="FU77" s="107"/>
      <c r="FV77" s="105"/>
      <c r="FX77" s="13"/>
      <c r="FY77" s="107"/>
      <c r="FZ77" s="107"/>
      <c r="GA77" s="105"/>
      <c r="GC77" s="13"/>
      <c r="GD77" s="107"/>
      <c r="GE77" s="107"/>
      <c r="GF77" s="105"/>
      <c r="GH77" s="38"/>
      <c r="GI77" s="13"/>
      <c r="GJ77" s="107"/>
      <c r="GK77" s="107"/>
      <c r="GL77" s="105"/>
      <c r="GN77" s="13"/>
      <c r="GO77" s="107"/>
      <c r="GP77" s="107"/>
      <c r="GQ77" s="105"/>
      <c r="GS77" s="13"/>
      <c r="GT77" s="107"/>
      <c r="GU77" s="107"/>
      <c r="GV77" s="105"/>
      <c r="GX77" s="13"/>
      <c r="GY77" s="107"/>
      <c r="GZ77" s="107"/>
      <c r="HA77" s="105"/>
      <c r="HC77" s="13"/>
      <c r="HD77" s="107"/>
      <c r="HE77" s="107"/>
      <c r="HF77" s="105"/>
      <c r="HH77" s="13"/>
      <c r="HI77" s="107"/>
      <c r="HJ77" s="107"/>
      <c r="HK77" s="105"/>
      <c r="HM77" s="38"/>
      <c r="HN77" s="13"/>
      <c r="HO77" s="107"/>
      <c r="HP77" s="107"/>
      <c r="HQ77" s="105"/>
      <c r="HS77" s="13"/>
      <c r="HT77" s="107"/>
      <c r="HU77" s="107"/>
      <c r="HV77" s="105"/>
      <c r="HX77" s="13"/>
      <c r="HY77" s="107"/>
      <c r="HZ77" s="107"/>
      <c r="IA77" s="105"/>
      <c r="IC77" s="13"/>
      <c r="ID77" s="107"/>
      <c r="IE77" s="107"/>
      <c r="IF77" s="105"/>
      <c r="IH77" s="13"/>
      <c r="II77" s="107"/>
      <c r="IJ77" s="107"/>
      <c r="IK77" s="105"/>
      <c r="IM77" s="13"/>
      <c r="IN77" s="107"/>
      <c r="IO77" s="107"/>
      <c r="IP77" s="105"/>
      <c r="IR77" s="38"/>
      <c r="IS77" s="13"/>
      <c r="IT77" s="107"/>
      <c r="IU77" s="107"/>
      <c r="IV77" s="105"/>
      <c r="IX77" s="13"/>
      <c r="IY77" s="107"/>
      <c r="IZ77" s="107"/>
      <c r="JA77" s="105"/>
      <c r="JC77" s="13"/>
      <c r="JD77" s="107"/>
      <c r="JE77" s="107"/>
      <c r="JF77" s="105"/>
      <c r="JH77" s="13"/>
      <c r="JI77" s="107"/>
      <c r="JJ77" s="107"/>
      <c r="JK77" s="105"/>
      <c r="JM77" s="13"/>
      <c r="JN77" s="107"/>
      <c r="JO77" s="107"/>
      <c r="JP77" s="105"/>
      <c r="JR77" s="13"/>
      <c r="JS77" s="107"/>
      <c r="JT77" s="107"/>
      <c r="JU77" s="105"/>
      <c r="JW77" s="38"/>
      <c r="JX77" s="13"/>
      <c r="JY77" s="107"/>
      <c r="JZ77" s="107"/>
      <c r="KA77" s="105"/>
      <c r="KC77" s="13"/>
      <c r="KD77" s="107"/>
      <c r="KE77" s="107"/>
      <c r="KF77" s="105"/>
      <c r="KH77" s="13"/>
      <c r="KI77" s="107"/>
      <c r="KJ77" s="107"/>
      <c r="KK77" s="105"/>
      <c r="KM77" s="13"/>
      <c r="KN77" s="107"/>
      <c r="KO77" s="107"/>
      <c r="KP77" s="105"/>
      <c r="KR77" s="13"/>
      <c r="KS77" s="107"/>
      <c r="KT77" s="107"/>
      <c r="KU77" s="105"/>
      <c r="KW77" s="13"/>
      <c r="KX77" s="107"/>
      <c r="KY77" s="107"/>
      <c r="KZ77" s="105"/>
      <c r="LB77" s="38"/>
      <c r="LC77" s="13"/>
      <c r="LD77" s="107"/>
      <c r="LE77" s="107"/>
      <c r="LF77" s="105"/>
      <c r="LH77" s="13"/>
      <c r="LI77" s="107"/>
      <c r="LJ77" s="107"/>
      <c r="LK77" s="105"/>
      <c r="LM77" s="13"/>
      <c r="LN77" s="107"/>
      <c r="LO77" s="107"/>
      <c r="LP77" s="105"/>
      <c r="LR77" s="13"/>
      <c r="LS77" s="107"/>
      <c r="LT77" s="107"/>
      <c r="LU77" s="105"/>
      <c r="LW77" s="13"/>
      <c r="LX77" s="107"/>
      <c r="LY77" s="107"/>
      <c r="LZ77" s="105"/>
      <c r="MB77" s="13"/>
      <c r="MC77" s="107"/>
      <c r="MD77" s="107"/>
      <c r="ME77" s="105"/>
      <c r="MG77" s="38"/>
      <c r="MH77" s="13"/>
      <c r="MI77" s="107"/>
      <c r="MJ77" s="107"/>
      <c r="MK77" s="105"/>
      <c r="MM77" s="13"/>
      <c r="MN77" s="107"/>
      <c r="MO77" s="107"/>
      <c r="MP77" s="105"/>
      <c r="MR77" s="13"/>
      <c r="MS77" s="107"/>
      <c r="MT77" s="107"/>
      <c r="MU77" s="105"/>
      <c r="MW77" s="13"/>
      <c r="MX77" s="107"/>
      <c r="MY77" s="107"/>
      <c r="MZ77" s="105"/>
      <c r="NB77" s="13"/>
      <c r="NC77" s="107"/>
      <c r="ND77" s="107"/>
      <c r="NE77" s="105"/>
      <c r="NG77" s="13"/>
      <c r="NH77" s="107"/>
      <c r="NI77" s="107"/>
      <c r="NJ77" s="105"/>
      <c r="NL77" s="38"/>
      <c r="NM77" s="13"/>
      <c r="NN77" s="107"/>
      <c r="NO77" s="107"/>
      <c r="NP77" s="105"/>
      <c r="NR77" s="13"/>
      <c r="NS77" s="107"/>
      <c r="NT77" s="107"/>
      <c r="NU77" s="105"/>
      <c r="NW77" s="13"/>
      <c r="NX77" s="107"/>
      <c r="NY77" s="107"/>
      <c r="NZ77" s="105"/>
      <c r="OB77" s="13"/>
      <c r="OC77" s="107"/>
      <c r="OD77" s="107"/>
      <c r="OE77" s="105"/>
      <c r="OG77" s="13"/>
      <c r="OH77" s="107"/>
      <c r="OI77" s="107"/>
      <c r="OJ77" s="105"/>
      <c r="OL77" s="13"/>
      <c r="OM77" s="107"/>
      <c r="ON77" s="107"/>
      <c r="OO77" s="105"/>
    </row>
    <row r="78" ht="15.75" customHeight="1">
      <c r="A78" s="42"/>
      <c r="B78" s="42"/>
      <c r="C78" s="42"/>
      <c r="D78" s="38">
        <f t="shared" si="287"/>
        <v>45967</v>
      </c>
      <c r="E78" s="105" t="str">
        <f t="shared" ref="E78:I78" si="291">T12</f>
        <v/>
      </c>
      <c r="F78" s="105" t="str">
        <f t="shared" si="291"/>
        <v/>
      </c>
      <c r="G78" s="105" t="str">
        <f t="shared" si="291"/>
        <v/>
      </c>
      <c r="H78" s="106" t="str">
        <f t="shared" si="291"/>
        <v/>
      </c>
      <c r="I78" s="106" t="str">
        <f t="shared" si="291"/>
        <v/>
      </c>
      <c r="J78" s="107" t="str">
        <f t="array" ref="J78">IFERROR(IF(XLOOKUP(CONCAT(E78,F78),'MASTER PLAN'!$AB:$AB,'MASTER PLAN'!$M:$M,0,0)=0,"",XLOOKUP(CONCAT(E78,F78),'MASTER PLAN'!$AB:$AB,'MASTER PLAN'!$M:$M,0,0)),"")</f>
        <v/>
      </c>
      <c r="K78" s="107">
        <f t="shared" si="237"/>
        <v>0</v>
      </c>
      <c r="L78" s="107">
        <f t="shared" si="238"/>
        <v>0</v>
      </c>
      <c r="M78" s="105" t="s">
        <v>248</v>
      </c>
      <c r="O78" s="13"/>
      <c r="P78" s="107"/>
      <c r="Q78" s="107"/>
      <c r="R78" s="105"/>
      <c r="T78" s="13"/>
      <c r="U78" s="107"/>
      <c r="V78" s="107"/>
      <c r="W78" s="105"/>
      <c r="Y78" s="13"/>
      <c r="Z78" s="107"/>
      <c r="AA78" s="107"/>
      <c r="AB78" s="105"/>
      <c r="AD78" s="13"/>
      <c r="AE78" s="107"/>
      <c r="AF78" s="107"/>
      <c r="AG78" s="105"/>
      <c r="AI78" s="38"/>
      <c r="AJ78" s="13"/>
      <c r="AK78" s="107"/>
      <c r="AL78" s="107"/>
      <c r="AM78" s="105"/>
      <c r="AO78" s="13"/>
      <c r="AP78" s="107"/>
      <c r="AQ78" s="107"/>
      <c r="AR78" s="105"/>
      <c r="AT78" s="13"/>
      <c r="AU78" s="107"/>
      <c r="AV78" s="107"/>
      <c r="AW78" s="105"/>
      <c r="AY78" s="13"/>
      <c r="AZ78" s="107"/>
      <c r="BA78" s="107"/>
      <c r="BB78" s="105"/>
      <c r="BD78" s="13"/>
      <c r="BE78" s="107"/>
      <c r="BF78" s="107"/>
      <c r="BG78" s="105"/>
      <c r="BI78" s="13"/>
      <c r="BJ78" s="107"/>
      <c r="BK78" s="107"/>
      <c r="BL78" s="105"/>
      <c r="BN78" s="38"/>
      <c r="BO78" s="13"/>
      <c r="BP78" s="107"/>
      <c r="BQ78" s="107"/>
      <c r="BR78" s="105"/>
      <c r="BT78" s="13"/>
      <c r="BU78" s="107"/>
      <c r="BV78" s="107"/>
      <c r="BW78" s="105"/>
      <c r="BY78" s="13"/>
      <c r="BZ78" s="107"/>
      <c r="CA78" s="107"/>
      <c r="CB78" s="105"/>
      <c r="CD78" s="13"/>
      <c r="CE78" s="107"/>
      <c r="CF78" s="107"/>
      <c r="CG78" s="105"/>
      <c r="CI78" s="13"/>
      <c r="CJ78" s="107"/>
      <c r="CK78" s="107"/>
      <c r="CL78" s="105"/>
      <c r="CN78" s="13"/>
      <c r="CO78" s="107"/>
      <c r="CP78" s="107"/>
      <c r="CQ78" s="105"/>
      <c r="CS78" s="38"/>
      <c r="CT78" s="13"/>
      <c r="CU78" s="107"/>
      <c r="CV78" s="107"/>
      <c r="CW78" s="105"/>
      <c r="CY78" s="13"/>
      <c r="CZ78" s="107"/>
      <c r="DA78" s="107"/>
      <c r="DB78" s="105"/>
      <c r="DD78" s="13"/>
      <c r="DE78" s="107"/>
      <c r="DF78" s="107"/>
      <c r="DG78" s="105"/>
      <c r="DI78" s="13"/>
      <c r="DJ78" s="107"/>
      <c r="DK78" s="107"/>
      <c r="DL78" s="105"/>
      <c r="DN78" s="13"/>
      <c r="DO78" s="107"/>
      <c r="DP78" s="107"/>
      <c r="DQ78" s="105"/>
      <c r="DS78" s="13"/>
      <c r="DT78" s="107"/>
      <c r="DU78" s="107"/>
      <c r="DV78" s="105"/>
      <c r="DX78" s="38"/>
      <c r="DY78" s="13"/>
      <c r="DZ78" s="107"/>
      <c r="EA78" s="107"/>
      <c r="EB78" s="105"/>
      <c r="ED78" s="13"/>
      <c r="EE78" s="107"/>
      <c r="EF78" s="107"/>
      <c r="EG78" s="105"/>
      <c r="EI78" s="13"/>
      <c r="EJ78" s="107"/>
      <c r="EK78" s="107"/>
      <c r="EL78" s="105"/>
      <c r="EN78" s="13"/>
      <c r="EO78" s="107"/>
      <c r="EP78" s="107"/>
      <c r="EQ78" s="105"/>
      <c r="ES78" s="13"/>
      <c r="ET78" s="107"/>
      <c r="EU78" s="107"/>
      <c r="EV78" s="105"/>
      <c r="EX78" s="13"/>
      <c r="EY78" s="107"/>
      <c r="EZ78" s="107"/>
      <c r="FA78" s="105"/>
      <c r="FC78" s="38"/>
      <c r="FD78" s="13"/>
      <c r="FE78" s="107"/>
      <c r="FF78" s="107"/>
      <c r="FG78" s="105"/>
      <c r="FI78" s="13"/>
      <c r="FJ78" s="107"/>
      <c r="FK78" s="107"/>
      <c r="FL78" s="105"/>
      <c r="FN78" s="13"/>
      <c r="FO78" s="107"/>
      <c r="FP78" s="107"/>
      <c r="FQ78" s="105"/>
      <c r="FS78" s="13"/>
      <c r="FT78" s="107"/>
      <c r="FU78" s="107"/>
      <c r="FV78" s="105"/>
      <c r="FX78" s="13"/>
      <c r="FY78" s="107"/>
      <c r="FZ78" s="107"/>
      <c r="GA78" s="105"/>
      <c r="GC78" s="13"/>
      <c r="GD78" s="107"/>
      <c r="GE78" s="107"/>
      <c r="GF78" s="105"/>
      <c r="GH78" s="38"/>
      <c r="GI78" s="13"/>
      <c r="GJ78" s="107"/>
      <c r="GK78" s="107"/>
      <c r="GL78" s="105"/>
      <c r="GN78" s="13"/>
      <c r="GO78" s="107"/>
      <c r="GP78" s="107"/>
      <c r="GQ78" s="105"/>
      <c r="GS78" s="13"/>
      <c r="GT78" s="107"/>
      <c r="GU78" s="107"/>
      <c r="GV78" s="105"/>
      <c r="GX78" s="13"/>
      <c r="GY78" s="107"/>
      <c r="GZ78" s="107"/>
      <c r="HA78" s="105"/>
      <c r="HC78" s="13"/>
      <c r="HD78" s="107"/>
      <c r="HE78" s="107"/>
      <c r="HF78" s="105"/>
      <c r="HH78" s="13"/>
      <c r="HI78" s="107"/>
      <c r="HJ78" s="107"/>
      <c r="HK78" s="105"/>
      <c r="HM78" s="38"/>
      <c r="HN78" s="13"/>
      <c r="HO78" s="107"/>
      <c r="HP78" s="107"/>
      <c r="HQ78" s="105"/>
      <c r="HS78" s="13"/>
      <c r="HT78" s="107"/>
      <c r="HU78" s="107"/>
      <c r="HV78" s="105"/>
      <c r="HX78" s="13"/>
      <c r="HY78" s="107"/>
      <c r="HZ78" s="107"/>
      <c r="IA78" s="105"/>
      <c r="IC78" s="13"/>
      <c r="ID78" s="107"/>
      <c r="IE78" s="107"/>
      <c r="IF78" s="105"/>
      <c r="IH78" s="13"/>
      <c r="II78" s="107"/>
      <c r="IJ78" s="107"/>
      <c r="IK78" s="105"/>
      <c r="IM78" s="13"/>
      <c r="IN78" s="107"/>
      <c r="IO78" s="107"/>
      <c r="IP78" s="105"/>
      <c r="IR78" s="38"/>
      <c r="IS78" s="13"/>
      <c r="IT78" s="107"/>
      <c r="IU78" s="107"/>
      <c r="IV78" s="105"/>
      <c r="IX78" s="13"/>
      <c r="IY78" s="107"/>
      <c r="IZ78" s="107"/>
      <c r="JA78" s="105"/>
      <c r="JC78" s="13"/>
      <c r="JD78" s="107"/>
      <c r="JE78" s="107"/>
      <c r="JF78" s="105"/>
      <c r="JH78" s="13"/>
      <c r="JI78" s="107"/>
      <c r="JJ78" s="107"/>
      <c r="JK78" s="105"/>
      <c r="JM78" s="13"/>
      <c r="JN78" s="107"/>
      <c r="JO78" s="107"/>
      <c r="JP78" s="105"/>
      <c r="JR78" s="13"/>
      <c r="JS78" s="107"/>
      <c r="JT78" s="107"/>
      <c r="JU78" s="105"/>
      <c r="JW78" s="38"/>
      <c r="JX78" s="13"/>
      <c r="JY78" s="107"/>
      <c r="JZ78" s="107"/>
      <c r="KA78" s="105"/>
      <c r="KC78" s="13"/>
      <c r="KD78" s="107"/>
      <c r="KE78" s="107"/>
      <c r="KF78" s="105"/>
      <c r="KH78" s="13"/>
      <c r="KI78" s="107"/>
      <c r="KJ78" s="107"/>
      <c r="KK78" s="105"/>
      <c r="KM78" s="13"/>
      <c r="KN78" s="107"/>
      <c r="KO78" s="107"/>
      <c r="KP78" s="105"/>
      <c r="KR78" s="13"/>
      <c r="KS78" s="107"/>
      <c r="KT78" s="107"/>
      <c r="KU78" s="105"/>
      <c r="KW78" s="13"/>
      <c r="KX78" s="107"/>
      <c r="KY78" s="107"/>
      <c r="KZ78" s="105"/>
      <c r="LB78" s="38"/>
      <c r="LC78" s="13"/>
      <c r="LD78" s="107"/>
      <c r="LE78" s="107"/>
      <c r="LF78" s="105"/>
      <c r="LH78" s="13"/>
      <c r="LI78" s="107"/>
      <c r="LJ78" s="107"/>
      <c r="LK78" s="105"/>
      <c r="LM78" s="13"/>
      <c r="LN78" s="107"/>
      <c r="LO78" s="107"/>
      <c r="LP78" s="105"/>
      <c r="LR78" s="13"/>
      <c r="LS78" s="107"/>
      <c r="LT78" s="107"/>
      <c r="LU78" s="105"/>
      <c r="LW78" s="13"/>
      <c r="LX78" s="107"/>
      <c r="LY78" s="107"/>
      <c r="LZ78" s="105"/>
      <c r="MB78" s="13"/>
      <c r="MC78" s="107"/>
      <c r="MD78" s="107"/>
      <c r="ME78" s="105"/>
      <c r="MG78" s="38"/>
      <c r="MH78" s="13"/>
      <c r="MI78" s="107"/>
      <c r="MJ78" s="107"/>
      <c r="MK78" s="105"/>
      <c r="MM78" s="13"/>
      <c r="MN78" s="107"/>
      <c r="MO78" s="107"/>
      <c r="MP78" s="105"/>
      <c r="MR78" s="13"/>
      <c r="MS78" s="107"/>
      <c r="MT78" s="107"/>
      <c r="MU78" s="105"/>
      <c r="MW78" s="13"/>
      <c r="MX78" s="107"/>
      <c r="MY78" s="107"/>
      <c r="MZ78" s="105"/>
      <c r="NB78" s="13"/>
      <c r="NC78" s="107"/>
      <c r="ND78" s="107"/>
      <c r="NE78" s="105"/>
      <c r="NG78" s="13"/>
      <c r="NH78" s="107"/>
      <c r="NI78" s="107"/>
      <c r="NJ78" s="105"/>
      <c r="NL78" s="38"/>
      <c r="NM78" s="13"/>
      <c r="NN78" s="107"/>
      <c r="NO78" s="107"/>
      <c r="NP78" s="105"/>
      <c r="NR78" s="13"/>
      <c r="NS78" s="107"/>
      <c r="NT78" s="107"/>
      <c r="NU78" s="105"/>
      <c r="NW78" s="13"/>
      <c r="NX78" s="107"/>
      <c r="NY78" s="107"/>
      <c r="NZ78" s="105"/>
      <c r="OB78" s="13"/>
      <c r="OC78" s="107"/>
      <c r="OD78" s="107"/>
      <c r="OE78" s="105"/>
      <c r="OG78" s="13"/>
      <c r="OH78" s="107"/>
      <c r="OI78" s="107"/>
      <c r="OJ78" s="105"/>
      <c r="OL78" s="13"/>
      <c r="OM78" s="107"/>
      <c r="ON78" s="107"/>
      <c r="OO78" s="105"/>
    </row>
    <row r="79" ht="15.75" customHeight="1">
      <c r="A79" s="42"/>
      <c r="B79" s="42"/>
      <c r="C79" s="42"/>
      <c r="D79" s="38">
        <f t="shared" si="287"/>
        <v>45967</v>
      </c>
      <c r="E79" s="105" t="str">
        <f t="shared" ref="E79:I79" si="292">T13</f>
        <v/>
      </c>
      <c r="F79" s="105" t="str">
        <f t="shared" si="292"/>
        <v/>
      </c>
      <c r="G79" s="105" t="str">
        <f t="shared" si="292"/>
        <v/>
      </c>
      <c r="H79" s="106" t="str">
        <f t="shared" si="292"/>
        <v/>
      </c>
      <c r="I79" s="106" t="str">
        <f t="shared" si="292"/>
        <v/>
      </c>
      <c r="J79" s="107" t="str">
        <f t="array" ref="J79">IFERROR(IF(XLOOKUP(CONCAT(E79,F79),'MASTER PLAN'!$AB:$AB,'MASTER PLAN'!$M:$M,0,0)=0,"",XLOOKUP(CONCAT(E79,F79),'MASTER PLAN'!$AB:$AB,'MASTER PLAN'!$M:$M,0,0)),"")</f>
        <v/>
      </c>
      <c r="K79" s="107">
        <f t="shared" si="237"/>
        <v>0</v>
      </c>
      <c r="L79" s="107">
        <f t="shared" si="238"/>
        <v>0</v>
      </c>
      <c r="M79" s="105" t="s">
        <v>248</v>
      </c>
      <c r="O79" s="13"/>
      <c r="P79" s="107"/>
      <c r="Q79" s="107"/>
      <c r="R79" s="105"/>
      <c r="T79" s="13"/>
      <c r="U79" s="107"/>
      <c r="V79" s="107"/>
      <c r="W79" s="105"/>
      <c r="Y79" s="13"/>
      <c r="Z79" s="107"/>
      <c r="AA79" s="107"/>
      <c r="AB79" s="105"/>
      <c r="AD79" s="13"/>
      <c r="AE79" s="107"/>
      <c r="AF79" s="107"/>
      <c r="AG79" s="105"/>
      <c r="AI79" s="38"/>
      <c r="AJ79" s="13"/>
      <c r="AK79" s="107"/>
      <c r="AL79" s="107"/>
      <c r="AM79" s="105"/>
      <c r="AO79" s="13"/>
      <c r="AP79" s="107"/>
      <c r="AQ79" s="107"/>
      <c r="AR79" s="105"/>
      <c r="AT79" s="13"/>
      <c r="AU79" s="107"/>
      <c r="AV79" s="107"/>
      <c r="AW79" s="105"/>
      <c r="AY79" s="13"/>
      <c r="AZ79" s="107"/>
      <c r="BA79" s="107"/>
      <c r="BB79" s="105"/>
      <c r="BD79" s="13"/>
      <c r="BE79" s="107"/>
      <c r="BF79" s="107"/>
      <c r="BG79" s="105"/>
      <c r="BI79" s="13"/>
      <c r="BJ79" s="107"/>
      <c r="BK79" s="107"/>
      <c r="BL79" s="105"/>
      <c r="BN79" s="38"/>
      <c r="BO79" s="13"/>
      <c r="BP79" s="107"/>
      <c r="BQ79" s="107"/>
      <c r="BR79" s="105"/>
      <c r="BT79" s="13"/>
      <c r="BU79" s="107"/>
      <c r="BV79" s="107"/>
      <c r="BW79" s="105"/>
      <c r="BY79" s="13"/>
      <c r="BZ79" s="107"/>
      <c r="CA79" s="107"/>
      <c r="CB79" s="105"/>
      <c r="CD79" s="13"/>
      <c r="CE79" s="107"/>
      <c r="CF79" s="107"/>
      <c r="CG79" s="105"/>
      <c r="CI79" s="13"/>
      <c r="CJ79" s="107"/>
      <c r="CK79" s="107"/>
      <c r="CL79" s="105"/>
      <c r="CN79" s="13"/>
      <c r="CO79" s="107"/>
      <c r="CP79" s="107"/>
      <c r="CQ79" s="105"/>
      <c r="CS79" s="38"/>
      <c r="CT79" s="13"/>
      <c r="CU79" s="107"/>
      <c r="CV79" s="107"/>
      <c r="CW79" s="105"/>
      <c r="CY79" s="13"/>
      <c r="CZ79" s="107"/>
      <c r="DA79" s="107"/>
      <c r="DB79" s="105"/>
      <c r="DD79" s="13"/>
      <c r="DE79" s="107"/>
      <c r="DF79" s="107"/>
      <c r="DG79" s="105"/>
      <c r="DI79" s="13"/>
      <c r="DJ79" s="107"/>
      <c r="DK79" s="107"/>
      <c r="DL79" s="105"/>
      <c r="DN79" s="13"/>
      <c r="DO79" s="107"/>
      <c r="DP79" s="107"/>
      <c r="DQ79" s="105"/>
      <c r="DS79" s="13"/>
      <c r="DT79" s="107"/>
      <c r="DU79" s="107"/>
      <c r="DV79" s="105"/>
      <c r="DX79" s="38"/>
      <c r="DY79" s="13"/>
      <c r="DZ79" s="107"/>
      <c r="EA79" s="107"/>
      <c r="EB79" s="105"/>
      <c r="ED79" s="13"/>
      <c r="EE79" s="107"/>
      <c r="EF79" s="107"/>
      <c r="EG79" s="105"/>
      <c r="EI79" s="13"/>
      <c r="EJ79" s="107"/>
      <c r="EK79" s="107"/>
      <c r="EL79" s="105"/>
      <c r="EN79" s="13"/>
      <c r="EO79" s="107"/>
      <c r="EP79" s="107"/>
      <c r="EQ79" s="105"/>
      <c r="ES79" s="13"/>
      <c r="ET79" s="107"/>
      <c r="EU79" s="107"/>
      <c r="EV79" s="105"/>
      <c r="EX79" s="13"/>
      <c r="EY79" s="107"/>
      <c r="EZ79" s="107"/>
      <c r="FA79" s="105"/>
      <c r="FC79" s="38"/>
      <c r="FD79" s="13"/>
      <c r="FE79" s="107"/>
      <c r="FF79" s="107"/>
      <c r="FG79" s="105"/>
      <c r="FI79" s="13"/>
      <c r="FJ79" s="107"/>
      <c r="FK79" s="107"/>
      <c r="FL79" s="105"/>
      <c r="FN79" s="13"/>
      <c r="FO79" s="107"/>
      <c r="FP79" s="107"/>
      <c r="FQ79" s="105"/>
      <c r="FS79" s="13"/>
      <c r="FT79" s="107"/>
      <c r="FU79" s="107"/>
      <c r="FV79" s="105"/>
      <c r="FX79" s="13"/>
      <c r="FY79" s="107"/>
      <c r="FZ79" s="107"/>
      <c r="GA79" s="105"/>
      <c r="GC79" s="13"/>
      <c r="GD79" s="107"/>
      <c r="GE79" s="107"/>
      <c r="GF79" s="105"/>
      <c r="GH79" s="38"/>
      <c r="GI79" s="13"/>
      <c r="GJ79" s="107"/>
      <c r="GK79" s="107"/>
      <c r="GL79" s="105"/>
      <c r="GN79" s="13"/>
      <c r="GO79" s="107"/>
      <c r="GP79" s="107"/>
      <c r="GQ79" s="105"/>
      <c r="GS79" s="13"/>
      <c r="GT79" s="107"/>
      <c r="GU79" s="107"/>
      <c r="GV79" s="105"/>
      <c r="GX79" s="13"/>
      <c r="GY79" s="107"/>
      <c r="GZ79" s="107"/>
      <c r="HA79" s="105"/>
      <c r="HC79" s="13"/>
      <c r="HD79" s="107"/>
      <c r="HE79" s="107"/>
      <c r="HF79" s="105"/>
      <c r="HH79" s="13"/>
      <c r="HI79" s="107"/>
      <c r="HJ79" s="107"/>
      <c r="HK79" s="105"/>
      <c r="HM79" s="38"/>
      <c r="HN79" s="13"/>
      <c r="HO79" s="107"/>
      <c r="HP79" s="107"/>
      <c r="HQ79" s="105"/>
      <c r="HS79" s="13"/>
      <c r="HT79" s="107"/>
      <c r="HU79" s="107"/>
      <c r="HV79" s="105"/>
      <c r="HX79" s="13"/>
      <c r="HY79" s="107"/>
      <c r="HZ79" s="107"/>
      <c r="IA79" s="105"/>
      <c r="IC79" s="13"/>
      <c r="ID79" s="107"/>
      <c r="IE79" s="107"/>
      <c r="IF79" s="105"/>
      <c r="IH79" s="13"/>
      <c r="II79" s="107"/>
      <c r="IJ79" s="107"/>
      <c r="IK79" s="105"/>
      <c r="IM79" s="13"/>
      <c r="IN79" s="107"/>
      <c r="IO79" s="107"/>
      <c r="IP79" s="105"/>
      <c r="IR79" s="38"/>
      <c r="IS79" s="13"/>
      <c r="IT79" s="107"/>
      <c r="IU79" s="107"/>
      <c r="IV79" s="105"/>
      <c r="IX79" s="13"/>
      <c r="IY79" s="107"/>
      <c r="IZ79" s="107"/>
      <c r="JA79" s="105"/>
      <c r="JC79" s="13"/>
      <c r="JD79" s="107"/>
      <c r="JE79" s="107"/>
      <c r="JF79" s="105"/>
      <c r="JH79" s="13"/>
      <c r="JI79" s="107"/>
      <c r="JJ79" s="107"/>
      <c r="JK79" s="105"/>
      <c r="JM79" s="13"/>
      <c r="JN79" s="107"/>
      <c r="JO79" s="107"/>
      <c r="JP79" s="105"/>
      <c r="JR79" s="13"/>
      <c r="JS79" s="107"/>
      <c r="JT79" s="107"/>
      <c r="JU79" s="105"/>
      <c r="JW79" s="38"/>
      <c r="JX79" s="13"/>
      <c r="JY79" s="107"/>
      <c r="JZ79" s="107"/>
      <c r="KA79" s="105"/>
      <c r="KC79" s="13"/>
      <c r="KD79" s="107"/>
      <c r="KE79" s="107"/>
      <c r="KF79" s="105"/>
      <c r="KH79" s="13"/>
      <c r="KI79" s="107"/>
      <c r="KJ79" s="107"/>
      <c r="KK79" s="105"/>
      <c r="KM79" s="13"/>
      <c r="KN79" s="107"/>
      <c r="KO79" s="107"/>
      <c r="KP79" s="105"/>
      <c r="KR79" s="13"/>
      <c r="KS79" s="107"/>
      <c r="KT79" s="107"/>
      <c r="KU79" s="105"/>
      <c r="KW79" s="13"/>
      <c r="KX79" s="107"/>
      <c r="KY79" s="107"/>
      <c r="KZ79" s="105"/>
      <c r="LB79" s="38"/>
      <c r="LC79" s="13"/>
      <c r="LD79" s="107"/>
      <c r="LE79" s="107"/>
      <c r="LF79" s="105"/>
      <c r="LH79" s="13"/>
      <c r="LI79" s="107"/>
      <c r="LJ79" s="107"/>
      <c r="LK79" s="105"/>
      <c r="LM79" s="13"/>
      <c r="LN79" s="107"/>
      <c r="LO79" s="107"/>
      <c r="LP79" s="105"/>
      <c r="LR79" s="13"/>
      <c r="LS79" s="107"/>
      <c r="LT79" s="107"/>
      <c r="LU79" s="105"/>
      <c r="LW79" s="13"/>
      <c r="LX79" s="107"/>
      <c r="LY79" s="107"/>
      <c r="LZ79" s="105"/>
      <c r="MB79" s="13"/>
      <c r="MC79" s="107"/>
      <c r="MD79" s="107"/>
      <c r="ME79" s="105"/>
      <c r="MG79" s="38"/>
      <c r="MH79" s="13"/>
      <c r="MI79" s="107"/>
      <c r="MJ79" s="107"/>
      <c r="MK79" s="105"/>
      <c r="MM79" s="13"/>
      <c r="MN79" s="107"/>
      <c r="MO79" s="107"/>
      <c r="MP79" s="105"/>
      <c r="MR79" s="13"/>
      <c r="MS79" s="107"/>
      <c r="MT79" s="107"/>
      <c r="MU79" s="105"/>
      <c r="MW79" s="13"/>
      <c r="MX79" s="107"/>
      <c r="MY79" s="107"/>
      <c r="MZ79" s="105"/>
      <c r="NB79" s="13"/>
      <c r="NC79" s="107"/>
      <c r="ND79" s="107"/>
      <c r="NE79" s="105"/>
      <c r="NG79" s="13"/>
      <c r="NH79" s="107"/>
      <c r="NI79" s="107"/>
      <c r="NJ79" s="105"/>
      <c r="NL79" s="38"/>
      <c r="NM79" s="13"/>
      <c r="NN79" s="107"/>
      <c r="NO79" s="107"/>
      <c r="NP79" s="105"/>
      <c r="NR79" s="13"/>
      <c r="NS79" s="107"/>
      <c r="NT79" s="107"/>
      <c r="NU79" s="105"/>
      <c r="NW79" s="13"/>
      <c r="NX79" s="107"/>
      <c r="NY79" s="107"/>
      <c r="NZ79" s="105"/>
      <c r="OB79" s="13"/>
      <c r="OC79" s="107"/>
      <c r="OD79" s="107"/>
      <c r="OE79" s="105"/>
      <c r="OG79" s="13"/>
      <c r="OH79" s="107"/>
      <c r="OI79" s="107"/>
      <c r="OJ79" s="105"/>
      <c r="OL79" s="13"/>
      <c r="OM79" s="107"/>
      <c r="ON79" s="107"/>
      <c r="OO79" s="105"/>
    </row>
    <row r="80" ht="15.75" customHeight="1">
      <c r="A80" s="42"/>
      <c r="B80" s="42"/>
      <c r="C80" s="42"/>
      <c r="D80" s="38">
        <f t="shared" si="287"/>
        <v>45967</v>
      </c>
      <c r="E80" s="105" t="str">
        <f t="shared" ref="E80:I80" si="293">T14</f>
        <v/>
      </c>
      <c r="F80" s="105" t="str">
        <f t="shared" si="293"/>
        <v/>
      </c>
      <c r="G80" s="105" t="str">
        <f t="shared" si="293"/>
        <v/>
      </c>
      <c r="H80" s="106" t="str">
        <f t="shared" si="293"/>
        <v/>
      </c>
      <c r="I80" s="106" t="str">
        <f t="shared" si="293"/>
        <v/>
      </c>
      <c r="J80" s="107" t="str">
        <f t="array" ref="J80">IFERROR(IF(XLOOKUP(CONCAT(E80,F80),'MASTER PLAN'!$AB:$AB,'MASTER PLAN'!$M:$M,0,0)=0,"",XLOOKUP(CONCAT(E80,F80),'MASTER PLAN'!$AB:$AB,'MASTER PLAN'!$M:$M,0,0)),"")</f>
        <v/>
      </c>
      <c r="K80" s="107">
        <f t="shared" si="237"/>
        <v>0</v>
      </c>
      <c r="L80" s="107">
        <f t="shared" si="238"/>
        <v>0</v>
      </c>
      <c r="M80" s="105" t="s">
        <v>248</v>
      </c>
      <c r="O80" s="13"/>
      <c r="P80" s="107"/>
      <c r="Q80" s="107"/>
      <c r="R80" s="105"/>
      <c r="T80" s="13"/>
      <c r="U80" s="107"/>
      <c r="V80" s="107"/>
      <c r="W80" s="105"/>
      <c r="Y80" s="13"/>
      <c r="Z80" s="107"/>
      <c r="AA80" s="107"/>
      <c r="AB80" s="105"/>
      <c r="AD80" s="13"/>
      <c r="AE80" s="107"/>
      <c r="AF80" s="107"/>
      <c r="AG80" s="105"/>
      <c r="AI80" s="38"/>
      <c r="AJ80" s="13"/>
      <c r="AK80" s="107"/>
      <c r="AL80" s="107"/>
      <c r="AM80" s="105"/>
      <c r="AO80" s="13"/>
      <c r="AP80" s="107"/>
      <c r="AQ80" s="107"/>
      <c r="AR80" s="105"/>
      <c r="AT80" s="13"/>
      <c r="AU80" s="107"/>
      <c r="AV80" s="107"/>
      <c r="AW80" s="105"/>
      <c r="AY80" s="13"/>
      <c r="AZ80" s="107"/>
      <c r="BA80" s="107"/>
      <c r="BB80" s="105"/>
      <c r="BD80" s="13"/>
      <c r="BE80" s="107"/>
      <c r="BF80" s="107"/>
      <c r="BG80" s="105"/>
      <c r="BI80" s="13"/>
      <c r="BJ80" s="107"/>
      <c r="BK80" s="107"/>
      <c r="BL80" s="105"/>
      <c r="BN80" s="38"/>
      <c r="BO80" s="13"/>
      <c r="BP80" s="107"/>
      <c r="BQ80" s="107"/>
      <c r="BR80" s="105"/>
      <c r="BT80" s="13"/>
      <c r="BU80" s="107"/>
      <c r="BV80" s="107"/>
      <c r="BW80" s="105"/>
      <c r="BY80" s="13"/>
      <c r="BZ80" s="107"/>
      <c r="CA80" s="107"/>
      <c r="CB80" s="105"/>
      <c r="CD80" s="13"/>
      <c r="CE80" s="107"/>
      <c r="CF80" s="107"/>
      <c r="CG80" s="105"/>
      <c r="CI80" s="13"/>
      <c r="CJ80" s="107"/>
      <c r="CK80" s="107"/>
      <c r="CL80" s="105"/>
      <c r="CN80" s="13"/>
      <c r="CO80" s="107"/>
      <c r="CP80" s="107"/>
      <c r="CQ80" s="105"/>
      <c r="CS80" s="38"/>
      <c r="CT80" s="13"/>
      <c r="CU80" s="107"/>
      <c r="CV80" s="107"/>
      <c r="CW80" s="105"/>
      <c r="CY80" s="13"/>
      <c r="CZ80" s="107"/>
      <c r="DA80" s="107"/>
      <c r="DB80" s="105"/>
      <c r="DD80" s="13"/>
      <c r="DE80" s="107"/>
      <c r="DF80" s="107"/>
      <c r="DG80" s="105"/>
      <c r="DI80" s="13"/>
      <c r="DJ80" s="107"/>
      <c r="DK80" s="107"/>
      <c r="DL80" s="105"/>
      <c r="DN80" s="13"/>
      <c r="DO80" s="107"/>
      <c r="DP80" s="107"/>
      <c r="DQ80" s="105"/>
      <c r="DS80" s="13"/>
      <c r="DT80" s="107"/>
      <c r="DU80" s="107"/>
      <c r="DV80" s="105"/>
      <c r="DX80" s="38"/>
      <c r="DY80" s="13"/>
      <c r="DZ80" s="107"/>
      <c r="EA80" s="107"/>
      <c r="EB80" s="105"/>
      <c r="ED80" s="13"/>
      <c r="EE80" s="107"/>
      <c r="EF80" s="107"/>
      <c r="EG80" s="105"/>
      <c r="EI80" s="13"/>
      <c r="EJ80" s="107"/>
      <c r="EK80" s="107"/>
      <c r="EL80" s="105"/>
      <c r="EN80" s="13"/>
      <c r="EO80" s="107"/>
      <c r="EP80" s="107"/>
      <c r="EQ80" s="105"/>
      <c r="ES80" s="13"/>
      <c r="ET80" s="107"/>
      <c r="EU80" s="107"/>
      <c r="EV80" s="105"/>
      <c r="EX80" s="13"/>
      <c r="EY80" s="107"/>
      <c r="EZ80" s="107"/>
      <c r="FA80" s="105"/>
      <c r="FC80" s="38"/>
      <c r="FD80" s="13"/>
      <c r="FE80" s="107"/>
      <c r="FF80" s="107"/>
      <c r="FG80" s="105"/>
      <c r="FI80" s="13"/>
      <c r="FJ80" s="107"/>
      <c r="FK80" s="107"/>
      <c r="FL80" s="105"/>
      <c r="FN80" s="13"/>
      <c r="FO80" s="107"/>
      <c r="FP80" s="107"/>
      <c r="FQ80" s="105"/>
      <c r="FS80" s="13"/>
      <c r="FT80" s="107"/>
      <c r="FU80" s="107"/>
      <c r="FV80" s="105"/>
      <c r="FX80" s="13"/>
      <c r="FY80" s="107"/>
      <c r="FZ80" s="107"/>
      <c r="GA80" s="105"/>
      <c r="GC80" s="13"/>
      <c r="GD80" s="107"/>
      <c r="GE80" s="107"/>
      <c r="GF80" s="105"/>
      <c r="GH80" s="38"/>
      <c r="GI80" s="13"/>
      <c r="GJ80" s="107"/>
      <c r="GK80" s="107"/>
      <c r="GL80" s="105"/>
      <c r="GN80" s="13"/>
      <c r="GO80" s="107"/>
      <c r="GP80" s="107"/>
      <c r="GQ80" s="105"/>
      <c r="GS80" s="13"/>
      <c r="GT80" s="107"/>
      <c r="GU80" s="107"/>
      <c r="GV80" s="105"/>
      <c r="GX80" s="13"/>
      <c r="GY80" s="107"/>
      <c r="GZ80" s="107"/>
      <c r="HA80" s="105"/>
      <c r="HC80" s="13"/>
      <c r="HD80" s="107"/>
      <c r="HE80" s="107"/>
      <c r="HF80" s="105"/>
      <c r="HH80" s="13"/>
      <c r="HI80" s="107"/>
      <c r="HJ80" s="107"/>
      <c r="HK80" s="105"/>
      <c r="HM80" s="38"/>
      <c r="HN80" s="13"/>
      <c r="HO80" s="107"/>
      <c r="HP80" s="107"/>
      <c r="HQ80" s="105"/>
      <c r="HS80" s="13"/>
      <c r="HT80" s="107"/>
      <c r="HU80" s="107"/>
      <c r="HV80" s="105"/>
      <c r="HX80" s="13"/>
      <c r="HY80" s="107"/>
      <c r="HZ80" s="107"/>
      <c r="IA80" s="105"/>
      <c r="IC80" s="13"/>
      <c r="ID80" s="107"/>
      <c r="IE80" s="107"/>
      <c r="IF80" s="105"/>
      <c r="IH80" s="13"/>
      <c r="II80" s="107"/>
      <c r="IJ80" s="107"/>
      <c r="IK80" s="105"/>
      <c r="IM80" s="13"/>
      <c r="IN80" s="107"/>
      <c r="IO80" s="107"/>
      <c r="IP80" s="105"/>
      <c r="IR80" s="38"/>
      <c r="IS80" s="13"/>
      <c r="IT80" s="107"/>
      <c r="IU80" s="107"/>
      <c r="IV80" s="105"/>
      <c r="IX80" s="13"/>
      <c r="IY80" s="107"/>
      <c r="IZ80" s="107"/>
      <c r="JA80" s="105"/>
      <c r="JC80" s="13"/>
      <c r="JD80" s="107"/>
      <c r="JE80" s="107"/>
      <c r="JF80" s="105"/>
      <c r="JH80" s="13"/>
      <c r="JI80" s="107"/>
      <c r="JJ80" s="107"/>
      <c r="JK80" s="105"/>
      <c r="JM80" s="13"/>
      <c r="JN80" s="107"/>
      <c r="JO80" s="107"/>
      <c r="JP80" s="105"/>
      <c r="JR80" s="13"/>
      <c r="JS80" s="107"/>
      <c r="JT80" s="107"/>
      <c r="JU80" s="105"/>
      <c r="JW80" s="38"/>
      <c r="JX80" s="13"/>
      <c r="JY80" s="107"/>
      <c r="JZ80" s="107"/>
      <c r="KA80" s="105"/>
      <c r="KC80" s="13"/>
      <c r="KD80" s="107"/>
      <c r="KE80" s="107"/>
      <c r="KF80" s="105"/>
      <c r="KH80" s="13"/>
      <c r="KI80" s="107"/>
      <c r="KJ80" s="107"/>
      <c r="KK80" s="105"/>
      <c r="KM80" s="13"/>
      <c r="KN80" s="107"/>
      <c r="KO80" s="107"/>
      <c r="KP80" s="105"/>
      <c r="KR80" s="13"/>
      <c r="KS80" s="107"/>
      <c r="KT80" s="107"/>
      <c r="KU80" s="105"/>
      <c r="KW80" s="13"/>
      <c r="KX80" s="107"/>
      <c r="KY80" s="107"/>
      <c r="KZ80" s="105"/>
      <c r="LB80" s="38"/>
      <c r="LC80" s="13"/>
      <c r="LD80" s="107"/>
      <c r="LE80" s="107"/>
      <c r="LF80" s="105"/>
      <c r="LH80" s="13"/>
      <c r="LI80" s="107"/>
      <c r="LJ80" s="107"/>
      <c r="LK80" s="105"/>
      <c r="LM80" s="13"/>
      <c r="LN80" s="107"/>
      <c r="LO80" s="107"/>
      <c r="LP80" s="105"/>
      <c r="LR80" s="13"/>
      <c r="LS80" s="107"/>
      <c r="LT80" s="107"/>
      <c r="LU80" s="105"/>
      <c r="LW80" s="13"/>
      <c r="LX80" s="107"/>
      <c r="LY80" s="107"/>
      <c r="LZ80" s="105"/>
      <c r="MB80" s="13"/>
      <c r="MC80" s="107"/>
      <c r="MD80" s="107"/>
      <c r="ME80" s="105"/>
      <c r="MG80" s="38"/>
      <c r="MH80" s="13"/>
      <c r="MI80" s="107"/>
      <c r="MJ80" s="107"/>
      <c r="MK80" s="105"/>
      <c r="MM80" s="13"/>
      <c r="MN80" s="107"/>
      <c r="MO80" s="107"/>
      <c r="MP80" s="105"/>
      <c r="MR80" s="13"/>
      <c r="MS80" s="107"/>
      <c r="MT80" s="107"/>
      <c r="MU80" s="105"/>
      <c r="MW80" s="13"/>
      <c r="MX80" s="107"/>
      <c r="MY80" s="107"/>
      <c r="MZ80" s="105"/>
      <c r="NB80" s="13"/>
      <c r="NC80" s="107"/>
      <c r="ND80" s="107"/>
      <c r="NE80" s="105"/>
      <c r="NG80" s="13"/>
      <c r="NH80" s="107"/>
      <c r="NI80" s="107"/>
      <c r="NJ80" s="105"/>
      <c r="NL80" s="38"/>
      <c r="NM80" s="13"/>
      <c r="NN80" s="107"/>
      <c r="NO80" s="107"/>
      <c r="NP80" s="105"/>
      <c r="NR80" s="13"/>
      <c r="NS80" s="107"/>
      <c r="NT80" s="107"/>
      <c r="NU80" s="105"/>
      <c r="NW80" s="13"/>
      <c r="NX80" s="107"/>
      <c r="NY80" s="107"/>
      <c r="NZ80" s="105"/>
      <c r="OB80" s="13"/>
      <c r="OC80" s="107"/>
      <c r="OD80" s="107"/>
      <c r="OE80" s="105"/>
      <c r="OG80" s="13"/>
      <c r="OH80" s="107"/>
      <c r="OI80" s="107"/>
      <c r="OJ80" s="105"/>
      <c r="OL80" s="13"/>
      <c r="OM80" s="107"/>
      <c r="ON80" s="107"/>
      <c r="OO80" s="105"/>
    </row>
    <row r="81" ht="15.75" customHeight="1">
      <c r="A81" s="42"/>
      <c r="B81" s="42"/>
      <c r="C81" s="42"/>
      <c r="D81" s="38">
        <f t="shared" si="287"/>
        <v>45967</v>
      </c>
      <c r="E81" s="105" t="str">
        <f t="shared" ref="E81:I81" si="294">T15</f>
        <v/>
      </c>
      <c r="F81" s="105" t="str">
        <f t="shared" si="294"/>
        <v/>
      </c>
      <c r="G81" s="105" t="str">
        <f t="shared" si="294"/>
        <v/>
      </c>
      <c r="H81" s="106" t="str">
        <f t="shared" si="294"/>
        <v/>
      </c>
      <c r="I81" s="106" t="str">
        <f t="shared" si="294"/>
        <v/>
      </c>
      <c r="J81" s="107" t="str">
        <f t="array" ref="J81">IFERROR(IF(XLOOKUP(CONCAT(E81,F81),'MASTER PLAN'!$AB:$AB,'MASTER PLAN'!$M:$M,0,0)=0,"",XLOOKUP(CONCAT(E81,F81),'MASTER PLAN'!$AB:$AB,'MASTER PLAN'!$M:$M,0,0)),"")</f>
        <v/>
      </c>
      <c r="K81" s="107">
        <f t="shared" si="237"/>
        <v>0</v>
      </c>
      <c r="L81" s="107">
        <f t="shared" si="238"/>
        <v>0</v>
      </c>
      <c r="M81" s="105" t="s">
        <v>248</v>
      </c>
      <c r="O81" s="13"/>
      <c r="P81" s="107"/>
      <c r="Q81" s="107"/>
      <c r="R81" s="105"/>
      <c r="T81" s="13"/>
      <c r="U81" s="107"/>
      <c r="V81" s="107"/>
      <c r="W81" s="105"/>
      <c r="Y81" s="13"/>
      <c r="Z81" s="107"/>
      <c r="AA81" s="107"/>
      <c r="AB81" s="105"/>
      <c r="AD81" s="13"/>
      <c r="AE81" s="107"/>
      <c r="AF81" s="107"/>
      <c r="AG81" s="105"/>
      <c r="AI81" s="38"/>
      <c r="AJ81" s="13"/>
      <c r="AK81" s="107"/>
      <c r="AL81" s="107"/>
      <c r="AM81" s="105"/>
      <c r="AO81" s="13"/>
      <c r="AP81" s="107"/>
      <c r="AQ81" s="107"/>
      <c r="AR81" s="105"/>
      <c r="AT81" s="13"/>
      <c r="AU81" s="107"/>
      <c r="AV81" s="107"/>
      <c r="AW81" s="105"/>
      <c r="AY81" s="13"/>
      <c r="AZ81" s="107"/>
      <c r="BA81" s="107"/>
      <c r="BB81" s="105"/>
      <c r="BD81" s="13"/>
      <c r="BE81" s="107"/>
      <c r="BF81" s="107"/>
      <c r="BG81" s="105"/>
      <c r="BI81" s="13"/>
      <c r="BJ81" s="107"/>
      <c r="BK81" s="107"/>
      <c r="BL81" s="105"/>
      <c r="BN81" s="38"/>
      <c r="BO81" s="13"/>
      <c r="BP81" s="107"/>
      <c r="BQ81" s="107"/>
      <c r="BR81" s="105"/>
      <c r="BT81" s="13"/>
      <c r="BU81" s="107"/>
      <c r="BV81" s="107"/>
      <c r="BW81" s="105"/>
      <c r="BY81" s="13"/>
      <c r="BZ81" s="107"/>
      <c r="CA81" s="107"/>
      <c r="CB81" s="105"/>
      <c r="CD81" s="13"/>
      <c r="CE81" s="107"/>
      <c r="CF81" s="107"/>
      <c r="CG81" s="105"/>
      <c r="CI81" s="13"/>
      <c r="CJ81" s="107"/>
      <c r="CK81" s="107"/>
      <c r="CL81" s="105"/>
      <c r="CN81" s="13"/>
      <c r="CO81" s="107"/>
      <c r="CP81" s="107"/>
      <c r="CQ81" s="105"/>
      <c r="CS81" s="38"/>
      <c r="CT81" s="13"/>
      <c r="CU81" s="107"/>
      <c r="CV81" s="107"/>
      <c r="CW81" s="105"/>
      <c r="CY81" s="13"/>
      <c r="CZ81" s="107"/>
      <c r="DA81" s="107"/>
      <c r="DB81" s="105"/>
      <c r="DD81" s="13"/>
      <c r="DE81" s="107"/>
      <c r="DF81" s="107"/>
      <c r="DG81" s="105"/>
      <c r="DI81" s="13"/>
      <c r="DJ81" s="107"/>
      <c r="DK81" s="107"/>
      <c r="DL81" s="105"/>
      <c r="DN81" s="13"/>
      <c r="DO81" s="107"/>
      <c r="DP81" s="107"/>
      <c r="DQ81" s="105"/>
      <c r="DS81" s="13"/>
      <c r="DT81" s="107"/>
      <c r="DU81" s="107"/>
      <c r="DV81" s="105"/>
      <c r="DX81" s="38"/>
      <c r="DY81" s="13"/>
      <c r="DZ81" s="107"/>
      <c r="EA81" s="107"/>
      <c r="EB81" s="105"/>
      <c r="ED81" s="13"/>
      <c r="EE81" s="107"/>
      <c r="EF81" s="107"/>
      <c r="EG81" s="105"/>
      <c r="EI81" s="13"/>
      <c r="EJ81" s="107"/>
      <c r="EK81" s="107"/>
      <c r="EL81" s="105"/>
      <c r="EN81" s="13"/>
      <c r="EO81" s="107"/>
      <c r="EP81" s="107"/>
      <c r="EQ81" s="105"/>
      <c r="ES81" s="13"/>
      <c r="ET81" s="107"/>
      <c r="EU81" s="107"/>
      <c r="EV81" s="105"/>
      <c r="EX81" s="13"/>
      <c r="EY81" s="107"/>
      <c r="EZ81" s="107"/>
      <c r="FA81" s="105"/>
      <c r="FC81" s="38"/>
      <c r="FD81" s="13"/>
      <c r="FE81" s="107"/>
      <c r="FF81" s="107"/>
      <c r="FG81" s="105"/>
      <c r="FI81" s="13"/>
      <c r="FJ81" s="107"/>
      <c r="FK81" s="107"/>
      <c r="FL81" s="105"/>
      <c r="FN81" s="13"/>
      <c r="FO81" s="107"/>
      <c r="FP81" s="107"/>
      <c r="FQ81" s="105"/>
      <c r="FS81" s="13"/>
      <c r="FT81" s="107"/>
      <c r="FU81" s="107"/>
      <c r="FV81" s="105"/>
      <c r="FX81" s="13"/>
      <c r="FY81" s="107"/>
      <c r="FZ81" s="107"/>
      <c r="GA81" s="105"/>
      <c r="GC81" s="13"/>
      <c r="GD81" s="107"/>
      <c r="GE81" s="107"/>
      <c r="GF81" s="105"/>
      <c r="GH81" s="38"/>
      <c r="GI81" s="13"/>
      <c r="GJ81" s="107"/>
      <c r="GK81" s="107"/>
      <c r="GL81" s="105"/>
      <c r="GN81" s="13"/>
      <c r="GO81" s="107"/>
      <c r="GP81" s="107"/>
      <c r="GQ81" s="105"/>
      <c r="GS81" s="13"/>
      <c r="GT81" s="107"/>
      <c r="GU81" s="107"/>
      <c r="GV81" s="105"/>
      <c r="GX81" s="13"/>
      <c r="GY81" s="107"/>
      <c r="GZ81" s="107"/>
      <c r="HA81" s="105"/>
      <c r="HC81" s="13"/>
      <c r="HD81" s="107"/>
      <c r="HE81" s="107"/>
      <c r="HF81" s="105"/>
      <c r="HH81" s="13"/>
      <c r="HI81" s="107"/>
      <c r="HJ81" s="107"/>
      <c r="HK81" s="105"/>
      <c r="HM81" s="38"/>
      <c r="HN81" s="13"/>
      <c r="HO81" s="107"/>
      <c r="HP81" s="107"/>
      <c r="HQ81" s="105"/>
      <c r="HS81" s="13"/>
      <c r="HT81" s="107"/>
      <c r="HU81" s="107"/>
      <c r="HV81" s="105"/>
      <c r="HX81" s="13"/>
      <c r="HY81" s="107"/>
      <c r="HZ81" s="107"/>
      <c r="IA81" s="105"/>
      <c r="IC81" s="13"/>
      <c r="ID81" s="107"/>
      <c r="IE81" s="107"/>
      <c r="IF81" s="105"/>
      <c r="IH81" s="13"/>
      <c r="II81" s="107"/>
      <c r="IJ81" s="107"/>
      <c r="IK81" s="105"/>
      <c r="IM81" s="13"/>
      <c r="IN81" s="107"/>
      <c r="IO81" s="107"/>
      <c r="IP81" s="105"/>
      <c r="IR81" s="38"/>
      <c r="IS81" s="13"/>
      <c r="IT81" s="107"/>
      <c r="IU81" s="107"/>
      <c r="IV81" s="105"/>
      <c r="IX81" s="13"/>
      <c r="IY81" s="107"/>
      <c r="IZ81" s="107"/>
      <c r="JA81" s="105"/>
      <c r="JC81" s="13"/>
      <c r="JD81" s="107"/>
      <c r="JE81" s="107"/>
      <c r="JF81" s="105"/>
      <c r="JH81" s="13"/>
      <c r="JI81" s="107"/>
      <c r="JJ81" s="107"/>
      <c r="JK81" s="105"/>
      <c r="JM81" s="13"/>
      <c r="JN81" s="107"/>
      <c r="JO81" s="107"/>
      <c r="JP81" s="105"/>
      <c r="JR81" s="13"/>
      <c r="JS81" s="107"/>
      <c r="JT81" s="107"/>
      <c r="JU81" s="105"/>
      <c r="JW81" s="38"/>
      <c r="JX81" s="13"/>
      <c r="JY81" s="107"/>
      <c r="JZ81" s="107"/>
      <c r="KA81" s="105"/>
      <c r="KC81" s="13"/>
      <c r="KD81" s="107"/>
      <c r="KE81" s="107"/>
      <c r="KF81" s="105"/>
      <c r="KH81" s="13"/>
      <c r="KI81" s="107"/>
      <c r="KJ81" s="107"/>
      <c r="KK81" s="105"/>
      <c r="KM81" s="13"/>
      <c r="KN81" s="107"/>
      <c r="KO81" s="107"/>
      <c r="KP81" s="105"/>
      <c r="KR81" s="13"/>
      <c r="KS81" s="107"/>
      <c r="KT81" s="107"/>
      <c r="KU81" s="105"/>
      <c r="KW81" s="13"/>
      <c r="KX81" s="107"/>
      <c r="KY81" s="107"/>
      <c r="KZ81" s="105"/>
      <c r="LB81" s="38"/>
      <c r="LC81" s="13"/>
      <c r="LD81" s="107"/>
      <c r="LE81" s="107"/>
      <c r="LF81" s="105"/>
      <c r="LH81" s="13"/>
      <c r="LI81" s="107"/>
      <c r="LJ81" s="107"/>
      <c r="LK81" s="105"/>
      <c r="LM81" s="13"/>
      <c r="LN81" s="107"/>
      <c r="LO81" s="107"/>
      <c r="LP81" s="105"/>
      <c r="LR81" s="13"/>
      <c r="LS81" s="107"/>
      <c r="LT81" s="107"/>
      <c r="LU81" s="105"/>
      <c r="LW81" s="13"/>
      <c r="LX81" s="107"/>
      <c r="LY81" s="107"/>
      <c r="LZ81" s="105"/>
      <c r="MB81" s="13"/>
      <c r="MC81" s="107"/>
      <c r="MD81" s="107"/>
      <c r="ME81" s="105"/>
      <c r="MG81" s="38"/>
      <c r="MH81" s="13"/>
      <c r="MI81" s="107"/>
      <c r="MJ81" s="107"/>
      <c r="MK81" s="105"/>
      <c r="MM81" s="13"/>
      <c r="MN81" s="107"/>
      <c r="MO81" s="107"/>
      <c r="MP81" s="105"/>
      <c r="MR81" s="13"/>
      <c r="MS81" s="107"/>
      <c r="MT81" s="107"/>
      <c r="MU81" s="105"/>
      <c r="MW81" s="13"/>
      <c r="MX81" s="107"/>
      <c r="MY81" s="107"/>
      <c r="MZ81" s="105"/>
      <c r="NB81" s="13"/>
      <c r="NC81" s="107"/>
      <c r="ND81" s="107"/>
      <c r="NE81" s="105"/>
      <c r="NG81" s="13"/>
      <c r="NH81" s="107"/>
      <c r="NI81" s="107"/>
      <c r="NJ81" s="105"/>
      <c r="NL81" s="38"/>
      <c r="NM81" s="13"/>
      <c r="NN81" s="107"/>
      <c r="NO81" s="107"/>
      <c r="NP81" s="105"/>
      <c r="NR81" s="13"/>
      <c r="NS81" s="107"/>
      <c r="NT81" s="107"/>
      <c r="NU81" s="105"/>
      <c r="NW81" s="13"/>
      <c r="NX81" s="107"/>
      <c r="NY81" s="107"/>
      <c r="NZ81" s="105"/>
      <c r="OB81" s="13"/>
      <c r="OC81" s="107"/>
      <c r="OD81" s="107"/>
      <c r="OE81" s="105"/>
      <c r="OG81" s="13"/>
      <c r="OH81" s="107"/>
      <c r="OI81" s="107"/>
      <c r="OJ81" s="105"/>
      <c r="OL81" s="13"/>
      <c r="OM81" s="107"/>
      <c r="ON81" s="107"/>
      <c r="OO81" s="105"/>
    </row>
    <row r="82" ht="15.75" customHeight="1">
      <c r="A82" s="42"/>
      <c r="B82" s="42"/>
      <c r="C82" s="42"/>
      <c r="D82" s="38">
        <f t="shared" si="287"/>
        <v>45967</v>
      </c>
      <c r="E82" s="105" t="str">
        <f t="shared" ref="E82:I82" si="295">T16</f>
        <v/>
      </c>
      <c r="F82" s="105" t="str">
        <f t="shared" si="295"/>
        <v/>
      </c>
      <c r="G82" s="105" t="str">
        <f t="shared" si="295"/>
        <v/>
      </c>
      <c r="H82" s="106" t="str">
        <f t="shared" si="295"/>
        <v/>
      </c>
      <c r="I82" s="106" t="str">
        <f t="shared" si="295"/>
        <v/>
      </c>
      <c r="J82" s="107" t="str">
        <f t="array" ref="J82">IFERROR(IF(XLOOKUP(CONCAT(E82,F82),'MASTER PLAN'!$AB:$AB,'MASTER PLAN'!$M:$M,0,0)=0,"",XLOOKUP(CONCAT(E82,F82),'MASTER PLAN'!$AB:$AB,'MASTER PLAN'!$M:$M,0,0)),"")</f>
        <v/>
      </c>
      <c r="K82" s="107">
        <f t="shared" si="237"/>
        <v>0</v>
      </c>
      <c r="L82" s="107">
        <f t="shared" si="238"/>
        <v>0</v>
      </c>
      <c r="M82" s="105" t="s">
        <v>248</v>
      </c>
      <c r="O82" s="13"/>
      <c r="P82" s="107"/>
      <c r="Q82" s="107"/>
      <c r="R82" s="105"/>
      <c r="T82" s="13"/>
      <c r="U82" s="107"/>
      <c r="V82" s="107"/>
      <c r="W82" s="105"/>
      <c r="Y82" s="13"/>
      <c r="Z82" s="107"/>
      <c r="AA82" s="107"/>
      <c r="AB82" s="105"/>
      <c r="AD82" s="13"/>
      <c r="AE82" s="107"/>
      <c r="AF82" s="107"/>
      <c r="AG82" s="105"/>
      <c r="AI82" s="38"/>
      <c r="AJ82" s="13"/>
      <c r="AK82" s="107"/>
      <c r="AL82" s="107"/>
      <c r="AM82" s="105"/>
      <c r="AO82" s="13"/>
      <c r="AP82" s="107"/>
      <c r="AQ82" s="107"/>
      <c r="AR82" s="105"/>
      <c r="AT82" s="13"/>
      <c r="AU82" s="107"/>
      <c r="AV82" s="107"/>
      <c r="AW82" s="105"/>
      <c r="AY82" s="13"/>
      <c r="AZ82" s="107"/>
      <c r="BA82" s="107"/>
      <c r="BB82" s="105"/>
      <c r="BD82" s="13"/>
      <c r="BE82" s="107"/>
      <c r="BF82" s="107"/>
      <c r="BG82" s="105"/>
      <c r="BI82" s="13"/>
      <c r="BJ82" s="107"/>
      <c r="BK82" s="107"/>
      <c r="BL82" s="105"/>
      <c r="BN82" s="38"/>
      <c r="BO82" s="13"/>
      <c r="BP82" s="107"/>
      <c r="BQ82" s="107"/>
      <c r="BR82" s="105"/>
      <c r="BT82" s="13"/>
      <c r="BU82" s="107"/>
      <c r="BV82" s="107"/>
      <c r="BW82" s="105"/>
      <c r="BY82" s="13"/>
      <c r="BZ82" s="107"/>
      <c r="CA82" s="107"/>
      <c r="CB82" s="105"/>
      <c r="CD82" s="13"/>
      <c r="CE82" s="107"/>
      <c r="CF82" s="107"/>
      <c r="CG82" s="105"/>
      <c r="CI82" s="13"/>
      <c r="CJ82" s="107"/>
      <c r="CK82" s="107"/>
      <c r="CL82" s="105"/>
      <c r="CN82" s="13"/>
      <c r="CO82" s="107"/>
      <c r="CP82" s="107"/>
      <c r="CQ82" s="105"/>
      <c r="CS82" s="38"/>
      <c r="CT82" s="13"/>
      <c r="CU82" s="107"/>
      <c r="CV82" s="107"/>
      <c r="CW82" s="105"/>
      <c r="CY82" s="13"/>
      <c r="CZ82" s="107"/>
      <c r="DA82" s="107"/>
      <c r="DB82" s="105"/>
      <c r="DD82" s="13"/>
      <c r="DE82" s="107"/>
      <c r="DF82" s="107"/>
      <c r="DG82" s="105"/>
      <c r="DI82" s="13"/>
      <c r="DJ82" s="107"/>
      <c r="DK82" s="107"/>
      <c r="DL82" s="105"/>
      <c r="DN82" s="13"/>
      <c r="DO82" s="107"/>
      <c r="DP82" s="107"/>
      <c r="DQ82" s="105"/>
      <c r="DS82" s="13"/>
      <c r="DT82" s="107"/>
      <c r="DU82" s="107"/>
      <c r="DV82" s="105"/>
      <c r="DX82" s="38"/>
      <c r="DY82" s="13"/>
      <c r="DZ82" s="107"/>
      <c r="EA82" s="107"/>
      <c r="EB82" s="105"/>
      <c r="ED82" s="13"/>
      <c r="EE82" s="107"/>
      <c r="EF82" s="107"/>
      <c r="EG82" s="105"/>
      <c r="EI82" s="13"/>
      <c r="EJ82" s="107"/>
      <c r="EK82" s="107"/>
      <c r="EL82" s="105"/>
      <c r="EN82" s="13"/>
      <c r="EO82" s="107"/>
      <c r="EP82" s="107"/>
      <c r="EQ82" s="105"/>
      <c r="ES82" s="13"/>
      <c r="ET82" s="107"/>
      <c r="EU82" s="107"/>
      <c r="EV82" s="105"/>
      <c r="EX82" s="13"/>
      <c r="EY82" s="107"/>
      <c r="EZ82" s="107"/>
      <c r="FA82" s="105"/>
      <c r="FC82" s="38"/>
      <c r="FD82" s="13"/>
      <c r="FE82" s="107"/>
      <c r="FF82" s="107"/>
      <c r="FG82" s="105"/>
      <c r="FI82" s="13"/>
      <c r="FJ82" s="107"/>
      <c r="FK82" s="107"/>
      <c r="FL82" s="105"/>
      <c r="FN82" s="13"/>
      <c r="FO82" s="107"/>
      <c r="FP82" s="107"/>
      <c r="FQ82" s="105"/>
      <c r="FS82" s="13"/>
      <c r="FT82" s="107"/>
      <c r="FU82" s="107"/>
      <c r="FV82" s="105"/>
      <c r="FX82" s="13"/>
      <c r="FY82" s="107"/>
      <c r="FZ82" s="107"/>
      <c r="GA82" s="105"/>
      <c r="GC82" s="13"/>
      <c r="GD82" s="107"/>
      <c r="GE82" s="107"/>
      <c r="GF82" s="105"/>
      <c r="GH82" s="38"/>
      <c r="GI82" s="13"/>
      <c r="GJ82" s="107"/>
      <c r="GK82" s="107"/>
      <c r="GL82" s="105"/>
      <c r="GN82" s="13"/>
      <c r="GO82" s="107"/>
      <c r="GP82" s="107"/>
      <c r="GQ82" s="105"/>
      <c r="GS82" s="13"/>
      <c r="GT82" s="107"/>
      <c r="GU82" s="107"/>
      <c r="GV82" s="105"/>
      <c r="GX82" s="13"/>
      <c r="GY82" s="107"/>
      <c r="GZ82" s="107"/>
      <c r="HA82" s="105"/>
      <c r="HC82" s="13"/>
      <c r="HD82" s="107"/>
      <c r="HE82" s="107"/>
      <c r="HF82" s="105"/>
      <c r="HH82" s="13"/>
      <c r="HI82" s="107"/>
      <c r="HJ82" s="107"/>
      <c r="HK82" s="105"/>
      <c r="HM82" s="38"/>
      <c r="HN82" s="13"/>
      <c r="HO82" s="107"/>
      <c r="HP82" s="107"/>
      <c r="HQ82" s="105"/>
      <c r="HS82" s="13"/>
      <c r="HT82" s="107"/>
      <c r="HU82" s="107"/>
      <c r="HV82" s="105"/>
      <c r="HX82" s="13"/>
      <c r="HY82" s="107"/>
      <c r="HZ82" s="107"/>
      <c r="IA82" s="105"/>
      <c r="IC82" s="13"/>
      <c r="ID82" s="107"/>
      <c r="IE82" s="107"/>
      <c r="IF82" s="105"/>
      <c r="IH82" s="13"/>
      <c r="II82" s="107"/>
      <c r="IJ82" s="107"/>
      <c r="IK82" s="105"/>
      <c r="IM82" s="13"/>
      <c r="IN82" s="107"/>
      <c r="IO82" s="107"/>
      <c r="IP82" s="105"/>
      <c r="IR82" s="38"/>
      <c r="IS82" s="13"/>
      <c r="IT82" s="107"/>
      <c r="IU82" s="107"/>
      <c r="IV82" s="105"/>
      <c r="IX82" s="13"/>
      <c r="IY82" s="107"/>
      <c r="IZ82" s="107"/>
      <c r="JA82" s="105"/>
      <c r="JC82" s="13"/>
      <c r="JD82" s="107"/>
      <c r="JE82" s="107"/>
      <c r="JF82" s="105"/>
      <c r="JH82" s="13"/>
      <c r="JI82" s="107"/>
      <c r="JJ82" s="107"/>
      <c r="JK82" s="105"/>
      <c r="JM82" s="13"/>
      <c r="JN82" s="107"/>
      <c r="JO82" s="107"/>
      <c r="JP82" s="105"/>
      <c r="JR82" s="13"/>
      <c r="JS82" s="107"/>
      <c r="JT82" s="107"/>
      <c r="JU82" s="105"/>
      <c r="JW82" s="38"/>
      <c r="JX82" s="13"/>
      <c r="JY82" s="107"/>
      <c r="JZ82" s="107"/>
      <c r="KA82" s="105"/>
      <c r="KC82" s="13"/>
      <c r="KD82" s="107"/>
      <c r="KE82" s="107"/>
      <c r="KF82" s="105"/>
      <c r="KH82" s="13"/>
      <c r="KI82" s="107"/>
      <c r="KJ82" s="107"/>
      <c r="KK82" s="105"/>
      <c r="KM82" s="13"/>
      <c r="KN82" s="107"/>
      <c r="KO82" s="107"/>
      <c r="KP82" s="105"/>
      <c r="KR82" s="13"/>
      <c r="KS82" s="107"/>
      <c r="KT82" s="107"/>
      <c r="KU82" s="105"/>
      <c r="KW82" s="13"/>
      <c r="KX82" s="107"/>
      <c r="KY82" s="107"/>
      <c r="KZ82" s="105"/>
      <c r="LB82" s="38"/>
      <c r="LC82" s="13"/>
      <c r="LD82" s="107"/>
      <c r="LE82" s="107"/>
      <c r="LF82" s="105"/>
      <c r="LH82" s="13"/>
      <c r="LI82" s="107"/>
      <c r="LJ82" s="107"/>
      <c r="LK82" s="105"/>
      <c r="LM82" s="13"/>
      <c r="LN82" s="107"/>
      <c r="LO82" s="107"/>
      <c r="LP82" s="105"/>
      <c r="LR82" s="13"/>
      <c r="LS82" s="107"/>
      <c r="LT82" s="107"/>
      <c r="LU82" s="105"/>
      <c r="LW82" s="13"/>
      <c r="LX82" s="107"/>
      <c r="LY82" s="107"/>
      <c r="LZ82" s="105"/>
      <c r="MB82" s="13"/>
      <c r="MC82" s="107"/>
      <c r="MD82" s="107"/>
      <c r="ME82" s="105"/>
      <c r="MG82" s="38"/>
      <c r="MH82" s="13"/>
      <c r="MI82" s="107"/>
      <c r="MJ82" s="107"/>
      <c r="MK82" s="105"/>
      <c r="MM82" s="13"/>
      <c r="MN82" s="107"/>
      <c r="MO82" s="107"/>
      <c r="MP82" s="105"/>
      <c r="MR82" s="13"/>
      <c r="MS82" s="107"/>
      <c r="MT82" s="107"/>
      <c r="MU82" s="105"/>
      <c r="MW82" s="13"/>
      <c r="MX82" s="107"/>
      <c r="MY82" s="107"/>
      <c r="MZ82" s="105"/>
      <c r="NB82" s="13"/>
      <c r="NC82" s="107"/>
      <c r="ND82" s="107"/>
      <c r="NE82" s="105"/>
      <c r="NG82" s="13"/>
      <c r="NH82" s="107"/>
      <c r="NI82" s="107"/>
      <c r="NJ82" s="105"/>
      <c r="NL82" s="38"/>
      <c r="NM82" s="13"/>
      <c r="NN82" s="107"/>
      <c r="NO82" s="107"/>
      <c r="NP82" s="105"/>
      <c r="NR82" s="13"/>
      <c r="NS82" s="107"/>
      <c r="NT82" s="107"/>
      <c r="NU82" s="105"/>
      <c r="NW82" s="13"/>
      <c r="NX82" s="107"/>
      <c r="NY82" s="107"/>
      <c r="NZ82" s="105"/>
      <c r="OB82" s="13"/>
      <c r="OC82" s="107"/>
      <c r="OD82" s="107"/>
      <c r="OE82" s="105"/>
      <c r="OG82" s="13"/>
      <c r="OH82" s="107"/>
      <c r="OI82" s="107"/>
      <c r="OJ82" s="105"/>
      <c r="OL82" s="13"/>
      <c r="OM82" s="107"/>
      <c r="ON82" s="107"/>
      <c r="OO82" s="105"/>
    </row>
    <row r="83" ht="15.75" customHeight="1">
      <c r="A83" s="42"/>
      <c r="B83" s="42"/>
      <c r="C83" s="42"/>
      <c r="D83" s="38">
        <f t="shared" si="287"/>
        <v>45967</v>
      </c>
      <c r="E83" s="105" t="str">
        <f t="shared" ref="E83:I83" si="296">T20</f>
        <v/>
      </c>
      <c r="F83" s="105" t="str">
        <f t="shared" si="296"/>
        <v/>
      </c>
      <c r="G83" s="105" t="str">
        <f t="shared" si="296"/>
        <v/>
      </c>
      <c r="H83" s="106" t="str">
        <f t="shared" si="296"/>
        <v/>
      </c>
      <c r="I83" s="106" t="str">
        <f t="shared" si="296"/>
        <v/>
      </c>
      <c r="J83" s="107" t="str">
        <f t="array" ref="J83">IFERROR(IF(XLOOKUP(CONCAT(E83,F83),'MASTER PLAN'!$AB:$AB,'MASTER PLAN'!$M:$M,0,0)=0,"",XLOOKUP(CONCAT(E83,F83),'MASTER PLAN'!$AB:$AB,'MASTER PLAN'!$M:$M,0,0)),"")</f>
        <v/>
      </c>
      <c r="K83" s="107">
        <f t="shared" si="237"/>
        <v>0</v>
      </c>
      <c r="L83" s="107">
        <f t="shared" si="238"/>
        <v>0</v>
      </c>
      <c r="M83" s="105" t="s">
        <v>249</v>
      </c>
      <c r="O83" s="13"/>
      <c r="P83" s="107"/>
      <c r="Q83" s="107"/>
      <c r="R83" s="105"/>
      <c r="T83" s="13"/>
      <c r="U83" s="107"/>
      <c r="V83" s="107"/>
      <c r="W83" s="105"/>
      <c r="Y83" s="13"/>
      <c r="Z83" s="107"/>
      <c r="AA83" s="107"/>
      <c r="AB83" s="105"/>
      <c r="AD83" s="13"/>
      <c r="AE83" s="107"/>
      <c r="AF83" s="107"/>
      <c r="AG83" s="105"/>
      <c r="AI83" s="38"/>
      <c r="AJ83" s="13"/>
      <c r="AK83" s="107"/>
      <c r="AL83" s="107"/>
      <c r="AM83" s="105"/>
      <c r="AO83" s="13"/>
      <c r="AP83" s="107"/>
      <c r="AQ83" s="107"/>
      <c r="AR83" s="105"/>
      <c r="AT83" s="13"/>
      <c r="AU83" s="107"/>
      <c r="AV83" s="107"/>
      <c r="AW83" s="105"/>
      <c r="AY83" s="13"/>
      <c r="AZ83" s="107"/>
      <c r="BA83" s="107"/>
      <c r="BB83" s="105"/>
      <c r="BD83" s="13"/>
      <c r="BE83" s="107"/>
      <c r="BF83" s="107"/>
      <c r="BG83" s="105"/>
      <c r="BI83" s="13"/>
      <c r="BJ83" s="107"/>
      <c r="BK83" s="107"/>
      <c r="BL83" s="105"/>
      <c r="BN83" s="38"/>
      <c r="BO83" s="13"/>
      <c r="BP83" s="107"/>
      <c r="BQ83" s="107"/>
      <c r="BR83" s="105"/>
      <c r="BT83" s="13"/>
      <c r="BU83" s="107"/>
      <c r="BV83" s="107"/>
      <c r="BW83" s="105"/>
      <c r="BY83" s="13"/>
      <c r="BZ83" s="107"/>
      <c r="CA83" s="107"/>
      <c r="CB83" s="105"/>
      <c r="CD83" s="13"/>
      <c r="CE83" s="107"/>
      <c r="CF83" s="107"/>
      <c r="CG83" s="105"/>
      <c r="CI83" s="13"/>
      <c r="CJ83" s="107"/>
      <c r="CK83" s="107"/>
      <c r="CL83" s="105"/>
      <c r="CN83" s="13"/>
      <c r="CO83" s="107"/>
      <c r="CP83" s="107"/>
      <c r="CQ83" s="105"/>
      <c r="CS83" s="38"/>
      <c r="CT83" s="13"/>
      <c r="CU83" s="107"/>
      <c r="CV83" s="107"/>
      <c r="CW83" s="105"/>
      <c r="CY83" s="13"/>
      <c r="CZ83" s="107"/>
      <c r="DA83" s="107"/>
      <c r="DB83" s="105"/>
      <c r="DD83" s="13"/>
      <c r="DE83" s="107"/>
      <c r="DF83" s="107"/>
      <c r="DG83" s="105"/>
      <c r="DI83" s="13"/>
      <c r="DJ83" s="107"/>
      <c r="DK83" s="107"/>
      <c r="DL83" s="105"/>
      <c r="DN83" s="13"/>
      <c r="DO83" s="107"/>
      <c r="DP83" s="107"/>
      <c r="DQ83" s="105"/>
      <c r="DS83" s="13"/>
      <c r="DT83" s="107"/>
      <c r="DU83" s="107"/>
      <c r="DV83" s="105"/>
      <c r="DX83" s="38"/>
      <c r="DY83" s="13"/>
      <c r="DZ83" s="107"/>
      <c r="EA83" s="107"/>
      <c r="EB83" s="105"/>
      <c r="ED83" s="13"/>
      <c r="EE83" s="107"/>
      <c r="EF83" s="107"/>
      <c r="EG83" s="105"/>
      <c r="EI83" s="13"/>
      <c r="EJ83" s="107"/>
      <c r="EK83" s="107"/>
      <c r="EL83" s="105"/>
      <c r="EN83" s="13"/>
      <c r="EO83" s="107"/>
      <c r="EP83" s="107"/>
      <c r="EQ83" s="105"/>
      <c r="ES83" s="13"/>
      <c r="ET83" s="107"/>
      <c r="EU83" s="107"/>
      <c r="EV83" s="105"/>
      <c r="EX83" s="13"/>
      <c r="EY83" s="107"/>
      <c r="EZ83" s="107"/>
      <c r="FA83" s="105"/>
      <c r="FC83" s="38"/>
      <c r="FD83" s="13"/>
      <c r="FE83" s="107"/>
      <c r="FF83" s="107"/>
      <c r="FG83" s="105"/>
      <c r="FI83" s="13"/>
      <c r="FJ83" s="107"/>
      <c r="FK83" s="107"/>
      <c r="FL83" s="105"/>
      <c r="FN83" s="13"/>
      <c r="FO83" s="107"/>
      <c r="FP83" s="107"/>
      <c r="FQ83" s="105"/>
      <c r="FS83" s="13"/>
      <c r="FT83" s="107"/>
      <c r="FU83" s="107"/>
      <c r="FV83" s="105"/>
      <c r="FX83" s="13"/>
      <c r="FY83" s="107"/>
      <c r="FZ83" s="107"/>
      <c r="GA83" s="105"/>
      <c r="GC83" s="13"/>
      <c r="GD83" s="107"/>
      <c r="GE83" s="107"/>
      <c r="GF83" s="105"/>
      <c r="GH83" s="38"/>
      <c r="GI83" s="13"/>
      <c r="GJ83" s="107"/>
      <c r="GK83" s="107"/>
      <c r="GL83" s="105"/>
      <c r="GN83" s="13"/>
      <c r="GO83" s="107"/>
      <c r="GP83" s="107"/>
      <c r="GQ83" s="105"/>
      <c r="GS83" s="13"/>
      <c r="GT83" s="107"/>
      <c r="GU83" s="107"/>
      <c r="GV83" s="105"/>
      <c r="GX83" s="13"/>
      <c r="GY83" s="107"/>
      <c r="GZ83" s="107"/>
      <c r="HA83" s="105"/>
      <c r="HC83" s="13"/>
      <c r="HD83" s="107"/>
      <c r="HE83" s="107"/>
      <c r="HF83" s="105"/>
      <c r="HH83" s="13"/>
      <c r="HI83" s="107"/>
      <c r="HJ83" s="107"/>
      <c r="HK83" s="105"/>
      <c r="HM83" s="38"/>
      <c r="HN83" s="13"/>
      <c r="HO83" s="107"/>
      <c r="HP83" s="107"/>
      <c r="HQ83" s="105"/>
      <c r="HS83" s="13"/>
      <c r="HT83" s="107"/>
      <c r="HU83" s="107"/>
      <c r="HV83" s="105"/>
      <c r="HX83" s="13"/>
      <c r="HY83" s="107"/>
      <c r="HZ83" s="107"/>
      <c r="IA83" s="105"/>
      <c r="IC83" s="13"/>
      <c r="ID83" s="107"/>
      <c r="IE83" s="107"/>
      <c r="IF83" s="105"/>
      <c r="IH83" s="13"/>
      <c r="II83" s="107"/>
      <c r="IJ83" s="107"/>
      <c r="IK83" s="105"/>
      <c r="IM83" s="13"/>
      <c r="IN83" s="107"/>
      <c r="IO83" s="107"/>
      <c r="IP83" s="105"/>
      <c r="IR83" s="38"/>
      <c r="IS83" s="13"/>
      <c r="IT83" s="107"/>
      <c r="IU83" s="107"/>
      <c r="IV83" s="105"/>
      <c r="IX83" s="13"/>
      <c r="IY83" s="107"/>
      <c r="IZ83" s="107"/>
      <c r="JA83" s="105"/>
      <c r="JC83" s="13"/>
      <c r="JD83" s="107"/>
      <c r="JE83" s="107"/>
      <c r="JF83" s="105"/>
      <c r="JH83" s="13"/>
      <c r="JI83" s="107"/>
      <c r="JJ83" s="107"/>
      <c r="JK83" s="105"/>
      <c r="JM83" s="13"/>
      <c r="JN83" s="107"/>
      <c r="JO83" s="107"/>
      <c r="JP83" s="105"/>
      <c r="JR83" s="13"/>
      <c r="JS83" s="107"/>
      <c r="JT83" s="107"/>
      <c r="JU83" s="105"/>
      <c r="JW83" s="38"/>
      <c r="JX83" s="13"/>
      <c r="JY83" s="107"/>
      <c r="JZ83" s="107"/>
      <c r="KA83" s="105"/>
      <c r="KC83" s="13"/>
      <c r="KD83" s="107"/>
      <c r="KE83" s="107"/>
      <c r="KF83" s="105"/>
      <c r="KH83" s="13"/>
      <c r="KI83" s="107"/>
      <c r="KJ83" s="107"/>
      <c r="KK83" s="105"/>
      <c r="KM83" s="13"/>
      <c r="KN83" s="107"/>
      <c r="KO83" s="107"/>
      <c r="KP83" s="105"/>
      <c r="KR83" s="13"/>
      <c r="KS83" s="107"/>
      <c r="KT83" s="107"/>
      <c r="KU83" s="105"/>
      <c r="KW83" s="13"/>
      <c r="KX83" s="107"/>
      <c r="KY83" s="107"/>
      <c r="KZ83" s="105"/>
      <c r="LB83" s="38"/>
      <c r="LC83" s="13"/>
      <c r="LD83" s="107"/>
      <c r="LE83" s="107"/>
      <c r="LF83" s="105"/>
      <c r="LH83" s="13"/>
      <c r="LI83" s="107"/>
      <c r="LJ83" s="107"/>
      <c r="LK83" s="105"/>
      <c r="LM83" s="13"/>
      <c r="LN83" s="107"/>
      <c r="LO83" s="107"/>
      <c r="LP83" s="105"/>
      <c r="LR83" s="13"/>
      <c r="LS83" s="107"/>
      <c r="LT83" s="107"/>
      <c r="LU83" s="105"/>
      <c r="LW83" s="13"/>
      <c r="LX83" s="107"/>
      <c r="LY83" s="107"/>
      <c r="LZ83" s="105"/>
      <c r="MB83" s="13"/>
      <c r="MC83" s="107"/>
      <c r="MD83" s="107"/>
      <c r="ME83" s="105"/>
      <c r="MG83" s="38"/>
      <c r="MH83" s="13"/>
      <c r="MI83" s="107"/>
      <c r="MJ83" s="107"/>
      <c r="MK83" s="105"/>
      <c r="MM83" s="13"/>
      <c r="MN83" s="107"/>
      <c r="MO83" s="107"/>
      <c r="MP83" s="105"/>
      <c r="MR83" s="13"/>
      <c r="MS83" s="107"/>
      <c r="MT83" s="107"/>
      <c r="MU83" s="105"/>
      <c r="MW83" s="13"/>
      <c r="MX83" s="107"/>
      <c r="MY83" s="107"/>
      <c r="MZ83" s="105"/>
      <c r="NB83" s="13"/>
      <c r="NC83" s="107"/>
      <c r="ND83" s="107"/>
      <c r="NE83" s="105"/>
      <c r="NG83" s="13"/>
      <c r="NH83" s="107"/>
      <c r="NI83" s="107"/>
      <c r="NJ83" s="105"/>
      <c r="NL83" s="38"/>
      <c r="NM83" s="13"/>
      <c r="NN83" s="107"/>
      <c r="NO83" s="107"/>
      <c r="NP83" s="105"/>
      <c r="NR83" s="13"/>
      <c r="NS83" s="107"/>
      <c r="NT83" s="107"/>
      <c r="NU83" s="105"/>
      <c r="NW83" s="13"/>
      <c r="NX83" s="107"/>
      <c r="NY83" s="107"/>
      <c r="NZ83" s="105"/>
      <c r="OB83" s="13"/>
      <c r="OC83" s="107"/>
      <c r="OD83" s="107"/>
      <c r="OE83" s="105"/>
      <c r="OG83" s="13"/>
      <c r="OH83" s="107"/>
      <c r="OI83" s="107"/>
      <c r="OJ83" s="105"/>
      <c r="OL83" s="13"/>
      <c r="OM83" s="107"/>
      <c r="ON83" s="107"/>
      <c r="OO83" s="105"/>
    </row>
    <row r="84" ht="15.75" customHeight="1">
      <c r="A84" s="42"/>
      <c r="B84" s="42"/>
      <c r="C84" s="42"/>
      <c r="D84" s="38">
        <f t="shared" si="287"/>
        <v>45967</v>
      </c>
      <c r="E84" s="105" t="str">
        <f t="shared" ref="E84:I84" si="297">T21</f>
        <v/>
      </c>
      <c r="F84" s="105" t="str">
        <f t="shared" si="297"/>
        <v/>
      </c>
      <c r="G84" s="105" t="str">
        <f t="shared" si="297"/>
        <v/>
      </c>
      <c r="H84" s="106" t="str">
        <f t="shared" si="297"/>
        <v/>
      </c>
      <c r="I84" s="106" t="str">
        <f t="shared" si="297"/>
        <v/>
      </c>
      <c r="J84" s="107" t="str">
        <f t="array" ref="J84">IFERROR(IF(XLOOKUP(CONCAT(E84,F84),'MASTER PLAN'!$AB:$AB,'MASTER PLAN'!$M:$M,0,0)=0,"",XLOOKUP(CONCAT(E84,F84),'MASTER PLAN'!$AB:$AB,'MASTER PLAN'!$M:$M,0,0)),"")</f>
        <v/>
      </c>
      <c r="K84" s="107">
        <f t="shared" si="237"/>
        <v>0</v>
      </c>
      <c r="L84" s="107">
        <f t="shared" si="238"/>
        <v>0</v>
      </c>
      <c r="M84" s="105" t="s">
        <v>249</v>
      </c>
      <c r="O84" s="13"/>
      <c r="P84" s="107"/>
      <c r="Q84" s="107"/>
      <c r="R84" s="105"/>
      <c r="T84" s="13"/>
      <c r="U84" s="107"/>
      <c r="V84" s="107"/>
      <c r="W84" s="105"/>
      <c r="Y84" s="13"/>
      <c r="Z84" s="107"/>
      <c r="AA84" s="107"/>
      <c r="AB84" s="105"/>
      <c r="AD84" s="13"/>
      <c r="AE84" s="107"/>
      <c r="AF84" s="107"/>
      <c r="AG84" s="105"/>
      <c r="AI84" s="38"/>
      <c r="AJ84" s="13"/>
      <c r="AK84" s="107"/>
      <c r="AL84" s="107"/>
      <c r="AM84" s="105"/>
      <c r="AO84" s="13"/>
      <c r="AP84" s="107"/>
      <c r="AQ84" s="107"/>
      <c r="AR84" s="105"/>
      <c r="AT84" s="13"/>
      <c r="AU84" s="107"/>
      <c r="AV84" s="107"/>
      <c r="AW84" s="105"/>
      <c r="AY84" s="13"/>
      <c r="AZ84" s="107"/>
      <c r="BA84" s="107"/>
      <c r="BB84" s="105"/>
      <c r="BD84" s="13"/>
      <c r="BE84" s="107"/>
      <c r="BF84" s="107"/>
      <c r="BG84" s="105"/>
      <c r="BI84" s="13"/>
      <c r="BJ84" s="107"/>
      <c r="BK84" s="107"/>
      <c r="BL84" s="105"/>
      <c r="BN84" s="38"/>
      <c r="BO84" s="13"/>
      <c r="BP84" s="107"/>
      <c r="BQ84" s="107"/>
      <c r="BR84" s="105"/>
      <c r="BT84" s="13"/>
      <c r="BU84" s="107"/>
      <c r="BV84" s="107"/>
      <c r="BW84" s="105"/>
      <c r="BY84" s="13"/>
      <c r="BZ84" s="107"/>
      <c r="CA84" s="107"/>
      <c r="CB84" s="105"/>
      <c r="CD84" s="13"/>
      <c r="CE84" s="107"/>
      <c r="CF84" s="107"/>
      <c r="CG84" s="105"/>
      <c r="CI84" s="13"/>
      <c r="CJ84" s="107"/>
      <c r="CK84" s="107"/>
      <c r="CL84" s="105"/>
      <c r="CN84" s="13"/>
      <c r="CO84" s="107"/>
      <c r="CP84" s="107"/>
      <c r="CQ84" s="105"/>
      <c r="CS84" s="38"/>
      <c r="CT84" s="13"/>
      <c r="CU84" s="107"/>
      <c r="CV84" s="107"/>
      <c r="CW84" s="105"/>
      <c r="CY84" s="13"/>
      <c r="CZ84" s="107"/>
      <c r="DA84" s="107"/>
      <c r="DB84" s="105"/>
      <c r="DD84" s="13"/>
      <c r="DE84" s="107"/>
      <c r="DF84" s="107"/>
      <c r="DG84" s="105"/>
      <c r="DI84" s="13"/>
      <c r="DJ84" s="107"/>
      <c r="DK84" s="107"/>
      <c r="DL84" s="105"/>
      <c r="DN84" s="13"/>
      <c r="DO84" s="107"/>
      <c r="DP84" s="107"/>
      <c r="DQ84" s="105"/>
      <c r="DS84" s="13"/>
      <c r="DT84" s="107"/>
      <c r="DU84" s="107"/>
      <c r="DV84" s="105"/>
      <c r="DX84" s="38"/>
      <c r="DY84" s="13"/>
      <c r="DZ84" s="107"/>
      <c r="EA84" s="107"/>
      <c r="EB84" s="105"/>
      <c r="ED84" s="13"/>
      <c r="EE84" s="107"/>
      <c r="EF84" s="107"/>
      <c r="EG84" s="105"/>
      <c r="EI84" s="13"/>
      <c r="EJ84" s="107"/>
      <c r="EK84" s="107"/>
      <c r="EL84" s="105"/>
      <c r="EN84" s="13"/>
      <c r="EO84" s="107"/>
      <c r="EP84" s="107"/>
      <c r="EQ84" s="105"/>
      <c r="ES84" s="13"/>
      <c r="ET84" s="107"/>
      <c r="EU84" s="107"/>
      <c r="EV84" s="105"/>
      <c r="EX84" s="13"/>
      <c r="EY84" s="107"/>
      <c r="EZ84" s="107"/>
      <c r="FA84" s="105"/>
      <c r="FC84" s="38"/>
      <c r="FD84" s="13"/>
      <c r="FE84" s="107"/>
      <c r="FF84" s="107"/>
      <c r="FG84" s="105"/>
      <c r="FI84" s="13"/>
      <c r="FJ84" s="107"/>
      <c r="FK84" s="107"/>
      <c r="FL84" s="105"/>
      <c r="FN84" s="13"/>
      <c r="FO84" s="107"/>
      <c r="FP84" s="107"/>
      <c r="FQ84" s="105"/>
      <c r="FS84" s="13"/>
      <c r="FT84" s="107"/>
      <c r="FU84" s="107"/>
      <c r="FV84" s="105"/>
      <c r="FX84" s="13"/>
      <c r="FY84" s="107"/>
      <c r="FZ84" s="107"/>
      <c r="GA84" s="105"/>
      <c r="GC84" s="13"/>
      <c r="GD84" s="107"/>
      <c r="GE84" s="107"/>
      <c r="GF84" s="105"/>
      <c r="GH84" s="38"/>
      <c r="GI84" s="13"/>
      <c r="GJ84" s="107"/>
      <c r="GK84" s="107"/>
      <c r="GL84" s="105"/>
      <c r="GN84" s="13"/>
      <c r="GO84" s="107"/>
      <c r="GP84" s="107"/>
      <c r="GQ84" s="105"/>
      <c r="GS84" s="13"/>
      <c r="GT84" s="107"/>
      <c r="GU84" s="107"/>
      <c r="GV84" s="105"/>
      <c r="GX84" s="13"/>
      <c r="GY84" s="107"/>
      <c r="GZ84" s="107"/>
      <c r="HA84" s="105"/>
      <c r="HC84" s="13"/>
      <c r="HD84" s="107"/>
      <c r="HE84" s="107"/>
      <c r="HF84" s="105"/>
      <c r="HH84" s="13"/>
      <c r="HI84" s="107"/>
      <c r="HJ84" s="107"/>
      <c r="HK84" s="105"/>
      <c r="HM84" s="38"/>
      <c r="HN84" s="13"/>
      <c r="HO84" s="107"/>
      <c r="HP84" s="107"/>
      <c r="HQ84" s="105"/>
      <c r="HS84" s="13"/>
      <c r="HT84" s="107"/>
      <c r="HU84" s="107"/>
      <c r="HV84" s="105"/>
      <c r="HX84" s="13"/>
      <c r="HY84" s="107"/>
      <c r="HZ84" s="107"/>
      <c r="IA84" s="105"/>
      <c r="IC84" s="13"/>
      <c r="ID84" s="107"/>
      <c r="IE84" s="107"/>
      <c r="IF84" s="105"/>
      <c r="IH84" s="13"/>
      <c r="II84" s="107"/>
      <c r="IJ84" s="107"/>
      <c r="IK84" s="105"/>
      <c r="IM84" s="13"/>
      <c r="IN84" s="107"/>
      <c r="IO84" s="107"/>
      <c r="IP84" s="105"/>
      <c r="IR84" s="38"/>
      <c r="IS84" s="13"/>
      <c r="IT84" s="107"/>
      <c r="IU84" s="107"/>
      <c r="IV84" s="105"/>
      <c r="IX84" s="13"/>
      <c r="IY84" s="107"/>
      <c r="IZ84" s="107"/>
      <c r="JA84" s="105"/>
      <c r="JC84" s="13"/>
      <c r="JD84" s="107"/>
      <c r="JE84" s="107"/>
      <c r="JF84" s="105"/>
      <c r="JH84" s="13"/>
      <c r="JI84" s="107"/>
      <c r="JJ84" s="107"/>
      <c r="JK84" s="105"/>
      <c r="JM84" s="13"/>
      <c r="JN84" s="107"/>
      <c r="JO84" s="107"/>
      <c r="JP84" s="105"/>
      <c r="JR84" s="13"/>
      <c r="JS84" s="107"/>
      <c r="JT84" s="107"/>
      <c r="JU84" s="105"/>
      <c r="JW84" s="38"/>
      <c r="JX84" s="13"/>
      <c r="JY84" s="107"/>
      <c r="JZ84" s="107"/>
      <c r="KA84" s="105"/>
      <c r="KC84" s="13"/>
      <c r="KD84" s="107"/>
      <c r="KE84" s="107"/>
      <c r="KF84" s="105"/>
      <c r="KH84" s="13"/>
      <c r="KI84" s="107"/>
      <c r="KJ84" s="107"/>
      <c r="KK84" s="105"/>
      <c r="KM84" s="13"/>
      <c r="KN84" s="107"/>
      <c r="KO84" s="107"/>
      <c r="KP84" s="105"/>
      <c r="KR84" s="13"/>
      <c r="KS84" s="107"/>
      <c r="KT84" s="107"/>
      <c r="KU84" s="105"/>
      <c r="KW84" s="13"/>
      <c r="KX84" s="107"/>
      <c r="KY84" s="107"/>
      <c r="KZ84" s="105"/>
      <c r="LB84" s="38"/>
      <c r="LC84" s="13"/>
      <c r="LD84" s="107"/>
      <c r="LE84" s="107"/>
      <c r="LF84" s="105"/>
      <c r="LH84" s="13"/>
      <c r="LI84" s="107"/>
      <c r="LJ84" s="107"/>
      <c r="LK84" s="105"/>
      <c r="LM84" s="13"/>
      <c r="LN84" s="107"/>
      <c r="LO84" s="107"/>
      <c r="LP84" s="105"/>
      <c r="LR84" s="13"/>
      <c r="LS84" s="107"/>
      <c r="LT84" s="107"/>
      <c r="LU84" s="105"/>
      <c r="LW84" s="13"/>
      <c r="LX84" s="107"/>
      <c r="LY84" s="107"/>
      <c r="LZ84" s="105"/>
      <c r="MB84" s="13"/>
      <c r="MC84" s="107"/>
      <c r="MD84" s="107"/>
      <c r="ME84" s="105"/>
      <c r="MG84" s="38"/>
      <c r="MH84" s="13"/>
      <c r="MI84" s="107"/>
      <c r="MJ84" s="107"/>
      <c r="MK84" s="105"/>
      <c r="MM84" s="13"/>
      <c r="MN84" s="107"/>
      <c r="MO84" s="107"/>
      <c r="MP84" s="105"/>
      <c r="MR84" s="13"/>
      <c r="MS84" s="107"/>
      <c r="MT84" s="107"/>
      <c r="MU84" s="105"/>
      <c r="MW84" s="13"/>
      <c r="MX84" s="107"/>
      <c r="MY84" s="107"/>
      <c r="MZ84" s="105"/>
      <c r="NB84" s="13"/>
      <c r="NC84" s="107"/>
      <c r="ND84" s="107"/>
      <c r="NE84" s="105"/>
      <c r="NG84" s="13"/>
      <c r="NH84" s="107"/>
      <c r="NI84" s="107"/>
      <c r="NJ84" s="105"/>
      <c r="NL84" s="38"/>
      <c r="NM84" s="13"/>
      <c r="NN84" s="107"/>
      <c r="NO84" s="107"/>
      <c r="NP84" s="105"/>
      <c r="NR84" s="13"/>
      <c r="NS84" s="107"/>
      <c r="NT84" s="107"/>
      <c r="NU84" s="105"/>
      <c r="NW84" s="13"/>
      <c r="NX84" s="107"/>
      <c r="NY84" s="107"/>
      <c r="NZ84" s="105"/>
      <c r="OB84" s="13"/>
      <c r="OC84" s="107"/>
      <c r="OD84" s="107"/>
      <c r="OE84" s="105"/>
      <c r="OG84" s="13"/>
      <c r="OH84" s="107"/>
      <c r="OI84" s="107"/>
      <c r="OJ84" s="105"/>
      <c r="OL84" s="13"/>
      <c r="OM84" s="107"/>
      <c r="ON84" s="107"/>
      <c r="OO84" s="105"/>
    </row>
    <row r="85" ht="15.75" customHeight="1">
      <c r="A85" s="42"/>
      <c r="B85" s="42"/>
      <c r="C85" s="42"/>
      <c r="D85" s="38">
        <f t="shared" si="287"/>
        <v>45967</v>
      </c>
      <c r="E85" s="105" t="str">
        <f t="shared" ref="E85:I85" si="298">T22</f>
        <v/>
      </c>
      <c r="F85" s="105" t="str">
        <f t="shared" si="298"/>
        <v/>
      </c>
      <c r="G85" s="105" t="str">
        <f t="shared" si="298"/>
        <v/>
      </c>
      <c r="H85" s="106" t="str">
        <f t="shared" si="298"/>
        <v/>
      </c>
      <c r="I85" s="106" t="str">
        <f t="shared" si="298"/>
        <v/>
      </c>
      <c r="J85" s="107" t="str">
        <f t="array" ref="J85">IFERROR(IF(XLOOKUP(CONCAT(E85,F85),'MASTER PLAN'!$AB:$AB,'MASTER PLAN'!$M:$M,0,0)=0,"",XLOOKUP(CONCAT(E85,F85),'MASTER PLAN'!$AB:$AB,'MASTER PLAN'!$M:$M,0,0)),"")</f>
        <v/>
      </c>
      <c r="K85" s="107">
        <f t="shared" si="237"/>
        <v>0</v>
      </c>
      <c r="L85" s="107">
        <f t="shared" si="238"/>
        <v>0</v>
      </c>
      <c r="M85" s="105" t="s">
        <v>249</v>
      </c>
      <c r="O85" s="13"/>
      <c r="P85" s="107"/>
      <c r="Q85" s="107"/>
      <c r="R85" s="105"/>
      <c r="T85" s="13"/>
      <c r="U85" s="107"/>
      <c r="V85" s="107"/>
      <c r="W85" s="105"/>
      <c r="Y85" s="13"/>
      <c r="Z85" s="107"/>
      <c r="AA85" s="107"/>
      <c r="AB85" s="105"/>
      <c r="AD85" s="13"/>
      <c r="AE85" s="107"/>
      <c r="AF85" s="107"/>
      <c r="AG85" s="105"/>
      <c r="AI85" s="38"/>
      <c r="AJ85" s="13"/>
      <c r="AK85" s="107"/>
      <c r="AL85" s="107"/>
      <c r="AM85" s="105"/>
      <c r="AO85" s="13"/>
      <c r="AP85" s="107"/>
      <c r="AQ85" s="107"/>
      <c r="AR85" s="105"/>
      <c r="AT85" s="13"/>
      <c r="AU85" s="107"/>
      <c r="AV85" s="107"/>
      <c r="AW85" s="105"/>
      <c r="AY85" s="13"/>
      <c r="AZ85" s="107"/>
      <c r="BA85" s="107"/>
      <c r="BB85" s="105"/>
      <c r="BD85" s="13"/>
      <c r="BE85" s="107"/>
      <c r="BF85" s="107"/>
      <c r="BG85" s="105"/>
      <c r="BI85" s="13"/>
      <c r="BJ85" s="107"/>
      <c r="BK85" s="107"/>
      <c r="BL85" s="105"/>
      <c r="BN85" s="38"/>
      <c r="BO85" s="13"/>
      <c r="BP85" s="107"/>
      <c r="BQ85" s="107"/>
      <c r="BR85" s="105"/>
      <c r="BT85" s="13"/>
      <c r="BU85" s="107"/>
      <c r="BV85" s="107"/>
      <c r="BW85" s="105"/>
      <c r="BY85" s="13"/>
      <c r="BZ85" s="107"/>
      <c r="CA85" s="107"/>
      <c r="CB85" s="105"/>
      <c r="CD85" s="13"/>
      <c r="CE85" s="107"/>
      <c r="CF85" s="107"/>
      <c r="CG85" s="105"/>
      <c r="CI85" s="13"/>
      <c r="CJ85" s="107"/>
      <c r="CK85" s="107"/>
      <c r="CL85" s="105"/>
      <c r="CN85" s="13"/>
      <c r="CO85" s="107"/>
      <c r="CP85" s="107"/>
      <c r="CQ85" s="105"/>
      <c r="CS85" s="38"/>
      <c r="CT85" s="13"/>
      <c r="CU85" s="107"/>
      <c r="CV85" s="107"/>
      <c r="CW85" s="105"/>
      <c r="CY85" s="13"/>
      <c r="CZ85" s="107"/>
      <c r="DA85" s="107"/>
      <c r="DB85" s="105"/>
      <c r="DD85" s="13"/>
      <c r="DE85" s="107"/>
      <c r="DF85" s="107"/>
      <c r="DG85" s="105"/>
      <c r="DI85" s="13"/>
      <c r="DJ85" s="107"/>
      <c r="DK85" s="107"/>
      <c r="DL85" s="105"/>
      <c r="DN85" s="13"/>
      <c r="DO85" s="107"/>
      <c r="DP85" s="107"/>
      <c r="DQ85" s="105"/>
      <c r="DS85" s="13"/>
      <c r="DT85" s="107"/>
      <c r="DU85" s="107"/>
      <c r="DV85" s="105"/>
      <c r="DX85" s="38"/>
      <c r="DY85" s="13"/>
      <c r="DZ85" s="107"/>
      <c r="EA85" s="107"/>
      <c r="EB85" s="105"/>
      <c r="ED85" s="13"/>
      <c r="EE85" s="107"/>
      <c r="EF85" s="107"/>
      <c r="EG85" s="105"/>
      <c r="EI85" s="13"/>
      <c r="EJ85" s="107"/>
      <c r="EK85" s="107"/>
      <c r="EL85" s="105"/>
      <c r="EN85" s="13"/>
      <c r="EO85" s="107"/>
      <c r="EP85" s="107"/>
      <c r="EQ85" s="105"/>
      <c r="ES85" s="13"/>
      <c r="ET85" s="107"/>
      <c r="EU85" s="107"/>
      <c r="EV85" s="105"/>
      <c r="EX85" s="13"/>
      <c r="EY85" s="107"/>
      <c r="EZ85" s="107"/>
      <c r="FA85" s="105"/>
      <c r="FC85" s="38"/>
      <c r="FD85" s="13"/>
      <c r="FE85" s="107"/>
      <c r="FF85" s="107"/>
      <c r="FG85" s="105"/>
      <c r="FI85" s="13"/>
      <c r="FJ85" s="107"/>
      <c r="FK85" s="107"/>
      <c r="FL85" s="105"/>
      <c r="FN85" s="13"/>
      <c r="FO85" s="107"/>
      <c r="FP85" s="107"/>
      <c r="FQ85" s="105"/>
      <c r="FS85" s="13"/>
      <c r="FT85" s="107"/>
      <c r="FU85" s="107"/>
      <c r="FV85" s="105"/>
      <c r="FX85" s="13"/>
      <c r="FY85" s="107"/>
      <c r="FZ85" s="107"/>
      <c r="GA85" s="105"/>
      <c r="GC85" s="13"/>
      <c r="GD85" s="107"/>
      <c r="GE85" s="107"/>
      <c r="GF85" s="105"/>
      <c r="GH85" s="38"/>
      <c r="GI85" s="13"/>
      <c r="GJ85" s="107"/>
      <c r="GK85" s="107"/>
      <c r="GL85" s="105"/>
      <c r="GN85" s="13"/>
      <c r="GO85" s="107"/>
      <c r="GP85" s="107"/>
      <c r="GQ85" s="105"/>
      <c r="GS85" s="13"/>
      <c r="GT85" s="107"/>
      <c r="GU85" s="107"/>
      <c r="GV85" s="105"/>
      <c r="GX85" s="13"/>
      <c r="GY85" s="107"/>
      <c r="GZ85" s="107"/>
      <c r="HA85" s="105"/>
      <c r="HC85" s="13"/>
      <c r="HD85" s="107"/>
      <c r="HE85" s="107"/>
      <c r="HF85" s="105"/>
      <c r="HH85" s="13"/>
      <c r="HI85" s="107"/>
      <c r="HJ85" s="107"/>
      <c r="HK85" s="105"/>
      <c r="HM85" s="38"/>
      <c r="HN85" s="13"/>
      <c r="HO85" s="107"/>
      <c r="HP85" s="107"/>
      <c r="HQ85" s="105"/>
      <c r="HS85" s="13"/>
      <c r="HT85" s="107"/>
      <c r="HU85" s="107"/>
      <c r="HV85" s="105"/>
      <c r="HX85" s="13"/>
      <c r="HY85" s="107"/>
      <c r="HZ85" s="107"/>
      <c r="IA85" s="105"/>
      <c r="IC85" s="13"/>
      <c r="ID85" s="107"/>
      <c r="IE85" s="107"/>
      <c r="IF85" s="105"/>
      <c r="IH85" s="13"/>
      <c r="II85" s="107"/>
      <c r="IJ85" s="107"/>
      <c r="IK85" s="105"/>
      <c r="IM85" s="13"/>
      <c r="IN85" s="107"/>
      <c r="IO85" s="107"/>
      <c r="IP85" s="105"/>
      <c r="IR85" s="38"/>
      <c r="IS85" s="13"/>
      <c r="IT85" s="107"/>
      <c r="IU85" s="107"/>
      <c r="IV85" s="105"/>
      <c r="IX85" s="13"/>
      <c r="IY85" s="107"/>
      <c r="IZ85" s="107"/>
      <c r="JA85" s="105"/>
      <c r="JC85" s="13"/>
      <c r="JD85" s="107"/>
      <c r="JE85" s="107"/>
      <c r="JF85" s="105"/>
      <c r="JH85" s="13"/>
      <c r="JI85" s="107"/>
      <c r="JJ85" s="107"/>
      <c r="JK85" s="105"/>
      <c r="JM85" s="13"/>
      <c r="JN85" s="107"/>
      <c r="JO85" s="107"/>
      <c r="JP85" s="105"/>
      <c r="JR85" s="13"/>
      <c r="JS85" s="107"/>
      <c r="JT85" s="107"/>
      <c r="JU85" s="105"/>
      <c r="JW85" s="38"/>
      <c r="JX85" s="13"/>
      <c r="JY85" s="107"/>
      <c r="JZ85" s="107"/>
      <c r="KA85" s="105"/>
      <c r="KC85" s="13"/>
      <c r="KD85" s="107"/>
      <c r="KE85" s="107"/>
      <c r="KF85" s="105"/>
      <c r="KH85" s="13"/>
      <c r="KI85" s="107"/>
      <c r="KJ85" s="107"/>
      <c r="KK85" s="105"/>
      <c r="KM85" s="13"/>
      <c r="KN85" s="107"/>
      <c r="KO85" s="107"/>
      <c r="KP85" s="105"/>
      <c r="KR85" s="13"/>
      <c r="KS85" s="107"/>
      <c r="KT85" s="107"/>
      <c r="KU85" s="105"/>
      <c r="KW85" s="13"/>
      <c r="KX85" s="107"/>
      <c r="KY85" s="107"/>
      <c r="KZ85" s="105"/>
      <c r="LB85" s="38"/>
      <c r="LC85" s="13"/>
      <c r="LD85" s="107"/>
      <c r="LE85" s="107"/>
      <c r="LF85" s="105"/>
      <c r="LH85" s="13"/>
      <c r="LI85" s="107"/>
      <c r="LJ85" s="107"/>
      <c r="LK85" s="105"/>
      <c r="LM85" s="13"/>
      <c r="LN85" s="107"/>
      <c r="LO85" s="107"/>
      <c r="LP85" s="105"/>
      <c r="LR85" s="13"/>
      <c r="LS85" s="107"/>
      <c r="LT85" s="107"/>
      <c r="LU85" s="105"/>
      <c r="LW85" s="13"/>
      <c r="LX85" s="107"/>
      <c r="LY85" s="107"/>
      <c r="LZ85" s="105"/>
      <c r="MB85" s="13"/>
      <c r="MC85" s="107"/>
      <c r="MD85" s="107"/>
      <c r="ME85" s="105"/>
      <c r="MG85" s="38"/>
      <c r="MH85" s="13"/>
      <c r="MI85" s="107"/>
      <c r="MJ85" s="107"/>
      <c r="MK85" s="105"/>
      <c r="MM85" s="13"/>
      <c r="MN85" s="107"/>
      <c r="MO85" s="107"/>
      <c r="MP85" s="105"/>
      <c r="MR85" s="13"/>
      <c r="MS85" s="107"/>
      <c r="MT85" s="107"/>
      <c r="MU85" s="105"/>
      <c r="MW85" s="13"/>
      <c r="MX85" s="107"/>
      <c r="MY85" s="107"/>
      <c r="MZ85" s="105"/>
      <c r="NB85" s="13"/>
      <c r="NC85" s="107"/>
      <c r="ND85" s="107"/>
      <c r="NE85" s="105"/>
      <c r="NG85" s="13"/>
      <c r="NH85" s="107"/>
      <c r="NI85" s="107"/>
      <c r="NJ85" s="105"/>
      <c r="NL85" s="38"/>
      <c r="NM85" s="13"/>
      <c r="NN85" s="107"/>
      <c r="NO85" s="107"/>
      <c r="NP85" s="105"/>
      <c r="NR85" s="13"/>
      <c r="NS85" s="107"/>
      <c r="NT85" s="107"/>
      <c r="NU85" s="105"/>
      <c r="NW85" s="13"/>
      <c r="NX85" s="107"/>
      <c r="NY85" s="107"/>
      <c r="NZ85" s="105"/>
      <c r="OB85" s="13"/>
      <c r="OC85" s="107"/>
      <c r="OD85" s="107"/>
      <c r="OE85" s="105"/>
      <c r="OG85" s="13"/>
      <c r="OH85" s="107"/>
      <c r="OI85" s="107"/>
      <c r="OJ85" s="105"/>
      <c r="OL85" s="13"/>
      <c r="OM85" s="107"/>
      <c r="ON85" s="107"/>
      <c r="OO85" s="105"/>
    </row>
    <row r="86" ht="15.75" customHeight="1">
      <c r="A86" s="42"/>
      <c r="B86" s="42"/>
      <c r="C86" s="42"/>
      <c r="D86" s="38">
        <f t="shared" si="287"/>
        <v>45967</v>
      </c>
      <c r="E86" s="105" t="str">
        <f t="shared" ref="E86:I86" si="299">T23</f>
        <v/>
      </c>
      <c r="F86" s="105" t="str">
        <f t="shared" si="299"/>
        <v/>
      </c>
      <c r="G86" s="105" t="str">
        <f t="shared" si="299"/>
        <v/>
      </c>
      <c r="H86" s="106" t="str">
        <f t="shared" si="299"/>
        <v/>
      </c>
      <c r="I86" s="106" t="str">
        <f t="shared" si="299"/>
        <v/>
      </c>
      <c r="J86" s="107" t="str">
        <f t="array" ref="J86">IFERROR(IF(XLOOKUP(CONCAT(E86,F86),'MASTER PLAN'!$AB:$AB,'MASTER PLAN'!$M:$M,0,0)=0,"",XLOOKUP(CONCAT(E86,F86),'MASTER PLAN'!$AB:$AB,'MASTER PLAN'!$M:$M,0,0)),"")</f>
        <v/>
      </c>
      <c r="K86" s="107">
        <f t="shared" si="237"/>
        <v>0</v>
      </c>
      <c r="L86" s="107">
        <f t="shared" si="238"/>
        <v>0</v>
      </c>
      <c r="M86" s="105" t="s">
        <v>249</v>
      </c>
      <c r="O86" s="13"/>
      <c r="P86" s="107"/>
      <c r="Q86" s="107"/>
      <c r="R86" s="105"/>
      <c r="T86" s="13"/>
      <c r="U86" s="107"/>
      <c r="V86" s="107"/>
      <c r="W86" s="105"/>
      <c r="Y86" s="13"/>
      <c r="Z86" s="107"/>
      <c r="AA86" s="107"/>
      <c r="AB86" s="105"/>
      <c r="AD86" s="13"/>
      <c r="AE86" s="107"/>
      <c r="AF86" s="107"/>
      <c r="AG86" s="105"/>
      <c r="AI86" s="38"/>
      <c r="AJ86" s="13"/>
      <c r="AK86" s="107"/>
      <c r="AL86" s="107"/>
      <c r="AM86" s="105"/>
      <c r="AO86" s="13"/>
      <c r="AP86" s="107"/>
      <c r="AQ86" s="107"/>
      <c r="AR86" s="105"/>
      <c r="AT86" s="13"/>
      <c r="AU86" s="107"/>
      <c r="AV86" s="107"/>
      <c r="AW86" s="105"/>
      <c r="AY86" s="13"/>
      <c r="AZ86" s="107"/>
      <c r="BA86" s="107"/>
      <c r="BB86" s="105"/>
      <c r="BD86" s="13"/>
      <c r="BE86" s="107"/>
      <c r="BF86" s="107"/>
      <c r="BG86" s="105"/>
      <c r="BI86" s="13"/>
      <c r="BJ86" s="107"/>
      <c r="BK86" s="107"/>
      <c r="BL86" s="105"/>
      <c r="BN86" s="38"/>
      <c r="BO86" s="13"/>
      <c r="BP86" s="107"/>
      <c r="BQ86" s="107"/>
      <c r="BR86" s="105"/>
      <c r="BT86" s="13"/>
      <c r="BU86" s="107"/>
      <c r="BV86" s="107"/>
      <c r="BW86" s="105"/>
      <c r="BY86" s="13"/>
      <c r="BZ86" s="107"/>
      <c r="CA86" s="107"/>
      <c r="CB86" s="105"/>
      <c r="CD86" s="13"/>
      <c r="CE86" s="107"/>
      <c r="CF86" s="107"/>
      <c r="CG86" s="105"/>
      <c r="CI86" s="13"/>
      <c r="CJ86" s="107"/>
      <c r="CK86" s="107"/>
      <c r="CL86" s="105"/>
      <c r="CN86" s="13"/>
      <c r="CO86" s="107"/>
      <c r="CP86" s="107"/>
      <c r="CQ86" s="105"/>
      <c r="CS86" s="38"/>
      <c r="CT86" s="13"/>
      <c r="CU86" s="107"/>
      <c r="CV86" s="107"/>
      <c r="CW86" s="105"/>
      <c r="CY86" s="13"/>
      <c r="CZ86" s="107"/>
      <c r="DA86" s="107"/>
      <c r="DB86" s="105"/>
      <c r="DD86" s="13"/>
      <c r="DE86" s="107"/>
      <c r="DF86" s="107"/>
      <c r="DG86" s="105"/>
      <c r="DI86" s="13"/>
      <c r="DJ86" s="107"/>
      <c r="DK86" s="107"/>
      <c r="DL86" s="105"/>
      <c r="DN86" s="13"/>
      <c r="DO86" s="107"/>
      <c r="DP86" s="107"/>
      <c r="DQ86" s="105"/>
      <c r="DS86" s="13"/>
      <c r="DT86" s="107"/>
      <c r="DU86" s="107"/>
      <c r="DV86" s="105"/>
      <c r="DX86" s="38"/>
      <c r="DY86" s="13"/>
      <c r="DZ86" s="107"/>
      <c r="EA86" s="107"/>
      <c r="EB86" s="105"/>
      <c r="ED86" s="13"/>
      <c r="EE86" s="107"/>
      <c r="EF86" s="107"/>
      <c r="EG86" s="105"/>
      <c r="EI86" s="13"/>
      <c r="EJ86" s="107"/>
      <c r="EK86" s="107"/>
      <c r="EL86" s="105"/>
      <c r="EN86" s="13"/>
      <c r="EO86" s="107"/>
      <c r="EP86" s="107"/>
      <c r="EQ86" s="105"/>
      <c r="ES86" s="13"/>
      <c r="ET86" s="107"/>
      <c r="EU86" s="107"/>
      <c r="EV86" s="105"/>
      <c r="EX86" s="13"/>
      <c r="EY86" s="107"/>
      <c r="EZ86" s="107"/>
      <c r="FA86" s="105"/>
      <c r="FC86" s="38"/>
      <c r="FD86" s="13"/>
      <c r="FE86" s="107"/>
      <c r="FF86" s="107"/>
      <c r="FG86" s="105"/>
      <c r="FI86" s="13"/>
      <c r="FJ86" s="107"/>
      <c r="FK86" s="107"/>
      <c r="FL86" s="105"/>
      <c r="FN86" s="13"/>
      <c r="FO86" s="107"/>
      <c r="FP86" s="107"/>
      <c r="FQ86" s="105"/>
      <c r="FS86" s="13"/>
      <c r="FT86" s="107"/>
      <c r="FU86" s="107"/>
      <c r="FV86" s="105"/>
      <c r="FX86" s="13"/>
      <c r="FY86" s="107"/>
      <c r="FZ86" s="107"/>
      <c r="GA86" s="105"/>
      <c r="GC86" s="13"/>
      <c r="GD86" s="107"/>
      <c r="GE86" s="107"/>
      <c r="GF86" s="105"/>
      <c r="GH86" s="38"/>
      <c r="GI86" s="13"/>
      <c r="GJ86" s="107"/>
      <c r="GK86" s="107"/>
      <c r="GL86" s="105"/>
      <c r="GN86" s="13"/>
      <c r="GO86" s="107"/>
      <c r="GP86" s="107"/>
      <c r="GQ86" s="105"/>
      <c r="GS86" s="13"/>
      <c r="GT86" s="107"/>
      <c r="GU86" s="107"/>
      <c r="GV86" s="105"/>
      <c r="GX86" s="13"/>
      <c r="GY86" s="107"/>
      <c r="GZ86" s="107"/>
      <c r="HA86" s="105"/>
      <c r="HC86" s="13"/>
      <c r="HD86" s="107"/>
      <c r="HE86" s="107"/>
      <c r="HF86" s="105"/>
      <c r="HH86" s="13"/>
      <c r="HI86" s="107"/>
      <c r="HJ86" s="107"/>
      <c r="HK86" s="105"/>
      <c r="HM86" s="38"/>
      <c r="HN86" s="13"/>
      <c r="HO86" s="107"/>
      <c r="HP86" s="107"/>
      <c r="HQ86" s="105"/>
      <c r="HS86" s="13"/>
      <c r="HT86" s="107"/>
      <c r="HU86" s="107"/>
      <c r="HV86" s="105"/>
      <c r="HX86" s="13"/>
      <c r="HY86" s="107"/>
      <c r="HZ86" s="107"/>
      <c r="IA86" s="105"/>
      <c r="IC86" s="13"/>
      <c r="ID86" s="107"/>
      <c r="IE86" s="107"/>
      <c r="IF86" s="105"/>
      <c r="IH86" s="13"/>
      <c r="II86" s="107"/>
      <c r="IJ86" s="107"/>
      <c r="IK86" s="105"/>
      <c r="IM86" s="13"/>
      <c r="IN86" s="107"/>
      <c r="IO86" s="107"/>
      <c r="IP86" s="105"/>
      <c r="IR86" s="38"/>
      <c r="IS86" s="13"/>
      <c r="IT86" s="107"/>
      <c r="IU86" s="107"/>
      <c r="IV86" s="105"/>
      <c r="IX86" s="13"/>
      <c r="IY86" s="107"/>
      <c r="IZ86" s="107"/>
      <c r="JA86" s="105"/>
      <c r="JC86" s="13"/>
      <c r="JD86" s="107"/>
      <c r="JE86" s="107"/>
      <c r="JF86" s="105"/>
      <c r="JH86" s="13"/>
      <c r="JI86" s="107"/>
      <c r="JJ86" s="107"/>
      <c r="JK86" s="105"/>
      <c r="JM86" s="13"/>
      <c r="JN86" s="107"/>
      <c r="JO86" s="107"/>
      <c r="JP86" s="105"/>
      <c r="JR86" s="13"/>
      <c r="JS86" s="107"/>
      <c r="JT86" s="107"/>
      <c r="JU86" s="105"/>
      <c r="JW86" s="38"/>
      <c r="JX86" s="13"/>
      <c r="JY86" s="107"/>
      <c r="JZ86" s="107"/>
      <c r="KA86" s="105"/>
      <c r="KC86" s="13"/>
      <c r="KD86" s="107"/>
      <c r="KE86" s="107"/>
      <c r="KF86" s="105"/>
      <c r="KH86" s="13"/>
      <c r="KI86" s="107"/>
      <c r="KJ86" s="107"/>
      <c r="KK86" s="105"/>
      <c r="KM86" s="13"/>
      <c r="KN86" s="107"/>
      <c r="KO86" s="107"/>
      <c r="KP86" s="105"/>
      <c r="KR86" s="13"/>
      <c r="KS86" s="107"/>
      <c r="KT86" s="107"/>
      <c r="KU86" s="105"/>
      <c r="KW86" s="13"/>
      <c r="KX86" s="107"/>
      <c r="KY86" s="107"/>
      <c r="KZ86" s="105"/>
      <c r="LB86" s="38"/>
      <c r="LC86" s="13"/>
      <c r="LD86" s="107"/>
      <c r="LE86" s="107"/>
      <c r="LF86" s="105"/>
      <c r="LH86" s="13"/>
      <c r="LI86" s="107"/>
      <c r="LJ86" s="107"/>
      <c r="LK86" s="105"/>
      <c r="LM86" s="13"/>
      <c r="LN86" s="107"/>
      <c r="LO86" s="107"/>
      <c r="LP86" s="105"/>
      <c r="LR86" s="13"/>
      <c r="LS86" s="107"/>
      <c r="LT86" s="107"/>
      <c r="LU86" s="105"/>
      <c r="LW86" s="13"/>
      <c r="LX86" s="107"/>
      <c r="LY86" s="107"/>
      <c r="LZ86" s="105"/>
      <c r="MB86" s="13"/>
      <c r="MC86" s="107"/>
      <c r="MD86" s="107"/>
      <c r="ME86" s="105"/>
      <c r="MG86" s="38"/>
      <c r="MH86" s="13"/>
      <c r="MI86" s="107"/>
      <c r="MJ86" s="107"/>
      <c r="MK86" s="105"/>
      <c r="MM86" s="13"/>
      <c r="MN86" s="107"/>
      <c r="MO86" s="107"/>
      <c r="MP86" s="105"/>
      <c r="MR86" s="13"/>
      <c r="MS86" s="107"/>
      <c r="MT86" s="107"/>
      <c r="MU86" s="105"/>
      <c r="MW86" s="13"/>
      <c r="MX86" s="107"/>
      <c r="MY86" s="107"/>
      <c r="MZ86" s="105"/>
      <c r="NB86" s="13"/>
      <c r="NC86" s="107"/>
      <c r="ND86" s="107"/>
      <c r="NE86" s="105"/>
      <c r="NG86" s="13"/>
      <c r="NH86" s="107"/>
      <c r="NI86" s="107"/>
      <c r="NJ86" s="105"/>
      <c r="NL86" s="38"/>
      <c r="NM86" s="13"/>
      <c r="NN86" s="107"/>
      <c r="NO86" s="107"/>
      <c r="NP86" s="105"/>
      <c r="NR86" s="13"/>
      <c r="NS86" s="107"/>
      <c r="NT86" s="107"/>
      <c r="NU86" s="105"/>
      <c r="NW86" s="13"/>
      <c r="NX86" s="107"/>
      <c r="NY86" s="107"/>
      <c r="NZ86" s="105"/>
      <c r="OB86" s="13"/>
      <c r="OC86" s="107"/>
      <c r="OD86" s="107"/>
      <c r="OE86" s="105"/>
      <c r="OG86" s="13"/>
      <c r="OH86" s="107"/>
      <c r="OI86" s="107"/>
      <c r="OJ86" s="105"/>
      <c r="OL86" s="13"/>
      <c r="OM86" s="107"/>
      <c r="ON86" s="107"/>
      <c r="OO86" s="105"/>
    </row>
    <row r="87" ht="15.75" customHeight="1">
      <c r="A87" s="42"/>
      <c r="B87" s="42"/>
      <c r="C87" s="42"/>
      <c r="D87" s="38">
        <f t="shared" si="287"/>
        <v>45967</v>
      </c>
      <c r="E87" s="105" t="str">
        <f t="shared" ref="E87:I87" si="300">T24</f>
        <v/>
      </c>
      <c r="F87" s="105" t="str">
        <f t="shared" si="300"/>
        <v/>
      </c>
      <c r="G87" s="105" t="str">
        <f t="shared" si="300"/>
        <v/>
      </c>
      <c r="H87" s="106" t="str">
        <f t="shared" si="300"/>
        <v/>
      </c>
      <c r="I87" s="106" t="str">
        <f t="shared" si="300"/>
        <v/>
      </c>
      <c r="J87" s="107" t="str">
        <f t="array" ref="J87">IFERROR(IF(XLOOKUP(CONCAT(E87,F87),'MASTER PLAN'!$AB:$AB,'MASTER PLAN'!$M:$M,0,0)=0,"",XLOOKUP(CONCAT(E87,F87),'MASTER PLAN'!$AB:$AB,'MASTER PLAN'!$M:$M,0,0)),"")</f>
        <v/>
      </c>
      <c r="K87" s="107">
        <f t="shared" si="237"/>
        <v>0</v>
      </c>
      <c r="L87" s="107">
        <f t="shared" si="238"/>
        <v>0</v>
      </c>
      <c r="M87" s="105" t="s">
        <v>249</v>
      </c>
      <c r="O87" s="13"/>
      <c r="P87" s="107"/>
      <c r="Q87" s="107"/>
      <c r="R87" s="105"/>
      <c r="T87" s="13"/>
      <c r="U87" s="107"/>
      <c r="V87" s="107"/>
      <c r="W87" s="105"/>
      <c r="Y87" s="13"/>
      <c r="Z87" s="107"/>
      <c r="AA87" s="107"/>
      <c r="AB87" s="105"/>
      <c r="AD87" s="13"/>
      <c r="AE87" s="107"/>
      <c r="AF87" s="107"/>
      <c r="AG87" s="105"/>
      <c r="AI87" s="38"/>
      <c r="AJ87" s="13"/>
      <c r="AK87" s="107"/>
      <c r="AL87" s="107"/>
      <c r="AM87" s="105"/>
      <c r="AO87" s="13"/>
      <c r="AP87" s="107"/>
      <c r="AQ87" s="107"/>
      <c r="AR87" s="105"/>
      <c r="AT87" s="13"/>
      <c r="AU87" s="107"/>
      <c r="AV87" s="107"/>
      <c r="AW87" s="105"/>
      <c r="AY87" s="13"/>
      <c r="AZ87" s="107"/>
      <c r="BA87" s="107"/>
      <c r="BB87" s="105"/>
      <c r="BD87" s="13"/>
      <c r="BE87" s="107"/>
      <c r="BF87" s="107"/>
      <c r="BG87" s="105"/>
      <c r="BI87" s="13"/>
      <c r="BJ87" s="107"/>
      <c r="BK87" s="107"/>
      <c r="BL87" s="105"/>
      <c r="BN87" s="38"/>
      <c r="BO87" s="13"/>
      <c r="BP87" s="107"/>
      <c r="BQ87" s="107"/>
      <c r="BR87" s="105"/>
      <c r="BT87" s="13"/>
      <c r="BU87" s="107"/>
      <c r="BV87" s="107"/>
      <c r="BW87" s="105"/>
      <c r="BY87" s="13"/>
      <c r="BZ87" s="107"/>
      <c r="CA87" s="107"/>
      <c r="CB87" s="105"/>
      <c r="CD87" s="13"/>
      <c r="CE87" s="107"/>
      <c r="CF87" s="107"/>
      <c r="CG87" s="105"/>
      <c r="CI87" s="13"/>
      <c r="CJ87" s="107"/>
      <c r="CK87" s="107"/>
      <c r="CL87" s="105"/>
      <c r="CN87" s="13"/>
      <c r="CO87" s="107"/>
      <c r="CP87" s="107"/>
      <c r="CQ87" s="105"/>
      <c r="CS87" s="38"/>
      <c r="CT87" s="13"/>
      <c r="CU87" s="107"/>
      <c r="CV87" s="107"/>
      <c r="CW87" s="105"/>
      <c r="CY87" s="13"/>
      <c r="CZ87" s="107"/>
      <c r="DA87" s="107"/>
      <c r="DB87" s="105"/>
      <c r="DD87" s="13"/>
      <c r="DE87" s="107"/>
      <c r="DF87" s="107"/>
      <c r="DG87" s="105"/>
      <c r="DI87" s="13"/>
      <c r="DJ87" s="107"/>
      <c r="DK87" s="107"/>
      <c r="DL87" s="105"/>
      <c r="DN87" s="13"/>
      <c r="DO87" s="107"/>
      <c r="DP87" s="107"/>
      <c r="DQ87" s="105"/>
      <c r="DS87" s="13"/>
      <c r="DT87" s="107"/>
      <c r="DU87" s="107"/>
      <c r="DV87" s="105"/>
      <c r="DX87" s="38"/>
      <c r="DY87" s="13"/>
      <c r="DZ87" s="107"/>
      <c r="EA87" s="107"/>
      <c r="EB87" s="105"/>
      <c r="ED87" s="13"/>
      <c r="EE87" s="107"/>
      <c r="EF87" s="107"/>
      <c r="EG87" s="105"/>
      <c r="EI87" s="13"/>
      <c r="EJ87" s="107"/>
      <c r="EK87" s="107"/>
      <c r="EL87" s="105"/>
      <c r="EN87" s="13"/>
      <c r="EO87" s="107"/>
      <c r="EP87" s="107"/>
      <c r="EQ87" s="105"/>
      <c r="ES87" s="13"/>
      <c r="ET87" s="107"/>
      <c r="EU87" s="107"/>
      <c r="EV87" s="105"/>
      <c r="EX87" s="13"/>
      <c r="EY87" s="107"/>
      <c r="EZ87" s="107"/>
      <c r="FA87" s="105"/>
      <c r="FC87" s="38"/>
      <c r="FD87" s="13"/>
      <c r="FE87" s="107"/>
      <c r="FF87" s="107"/>
      <c r="FG87" s="105"/>
      <c r="FI87" s="13"/>
      <c r="FJ87" s="107"/>
      <c r="FK87" s="107"/>
      <c r="FL87" s="105"/>
      <c r="FN87" s="13"/>
      <c r="FO87" s="107"/>
      <c r="FP87" s="107"/>
      <c r="FQ87" s="105"/>
      <c r="FS87" s="13"/>
      <c r="FT87" s="107"/>
      <c r="FU87" s="107"/>
      <c r="FV87" s="105"/>
      <c r="FX87" s="13"/>
      <c r="FY87" s="107"/>
      <c r="FZ87" s="107"/>
      <c r="GA87" s="105"/>
      <c r="GC87" s="13"/>
      <c r="GD87" s="107"/>
      <c r="GE87" s="107"/>
      <c r="GF87" s="105"/>
      <c r="GH87" s="38"/>
      <c r="GI87" s="13"/>
      <c r="GJ87" s="107"/>
      <c r="GK87" s="107"/>
      <c r="GL87" s="105"/>
      <c r="GN87" s="13"/>
      <c r="GO87" s="107"/>
      <c r="GP87" s="107"/>
      <c r="GQ87" s="105"/>
      <c r="GS87" s="13"/>
      <c r="GT87" s="107"/>
      <c r="GU87" s="107"/>
      <c r="GV87" s="105"/>
      <c r="GX87" s="13"/>
      <c r="GY87" s="107"/>
      <c r="GZ87" s="107"/>
      <c r="HA87" s="105"/>
      <c r="HC87" s="13"/>
      <c r="HD87" s="107"/>
      <c r="HE87" s="107"/>
      <c r="HF87" s="105"/>
      <c r="HH87" s="13"/>
      <c r="HI87" s="107"/>
      <c r="HJ87" s="107"/>
      <c r="HK87" s="105"/>
      <c r="HM87" s="38"/>
      <c r="HN87" s="13"/>
      <c r="HO87" s="107"/>
      <c r="HP87" s="107"/>
      <c r="HQ87" s="105"/>
      <c r="HS87" s="13"/>
      <c r="HT87" s="107"/>
      <c r="HU87" s="107"/>
      <c r="HV87" s="105"/>
      <c r="HX87" s="13"/>
      <c r="HY87" s="107"/>
      <c r="HZ87" s="107"/>
      <c r="IA87" s="105"/>
      <c r="IC87" s="13"/>
      <c r="ID87" s="107"/>
      <c r="IE87" s="107"/>
      <c r="IF87" s="105"/>
      <c r="IH87" s="13"/>
      <c r="II87" s="107"/>
      <c r="IJ87" s="107"/>
      <c r="IK87" s="105"/>
      <c r="IM87" s="13"/>
      <c r="IN87" s="107"/>
      <c r="IO87" s="107"/>
      <c r="IP87" s="105"/>
      <c r="IR87" s="38"/>
      <c r="IS87" s="13"/>
      <c r="IT87" s="107"/>
      <c r="IU87" s="107"/>
      <c r="IV87" s="105"/>
      <c r="IX87" s="13"/>
      <c r="IY87" s="107"/>
      <c r="IZ87" s="107"/>
      <c r="JA87" s="105"/>
      <c r="JC87" s="13"/>
      <c r="JD87" s="107"/>
      <c r="JE87" s="107"/>
      <c r="JF87" s="105"/>
      <c r="JH87" s="13"/>
      <c r="JI87" s="107"/>
      <c r="JJ87" s="107"/>
      <c r="JK87" s="105"/>
      <c r="JM87" s="13"/>
      <c r="JN87" s="107"/>
      <c r="JO87" s="107"/>
      <c r="JP87" s="105"/>
      <c r="JR87" s="13"/>
      <c r="JS87" s="107"/>
      <c r="JT87" s="107"/>
      <c r="JU87" s="105"/>
      <c r="JW87" s="38"/>
      <c r="JX87" s="13"/>
      <c r="JY87" s="107"/>
      <c r="JZ87" s="107"/>
      <c r="KA87" s="105"/>
      <c r="KC87" s="13"/>
      <c r="KD87" s="107"/>
      <c r="KE87" s="107"/>
      <c r="KF87" s="105"/>
      <c r="KH87" s="13"/>
      <c r="KI87" s="107"/>
      <c r="KJ87" s="107"/>
      <c r="KK87" s="105"/>
      <c r="KM87" s="13"/>
      <c r="KN87" s="107"/>
      <c r="KO87" s="107"/>
      <c r="KP87" s="105"/>
      <c r="KR87" s="13"/>
      <c r="KS87" s="107"/>
      <c r="KT87" s="107"/>
      <c r="KU87" s="105"/>
      <c r="KW87" s="13"/>
      <c r="KX87" s="107"/>
      <c r="KY87" s="107"/>
      <c r="KZ87" s="105"/>
      <c r="LB87" s="38"/>
      <c r="LC87" s="13"/>
      <c r="LD87" s="107"/>
      <c r="LE87" s="107"/>
      <c r="LF87" s="105"/>
      <c r="LH87" s="13"/>
      <c r="LI87" s="107"/>
      <c r="LJ87" s="107"/>
      <c r="LK87" s="105"/>
      <c r="LM87" s="13"/>
      <c r="LN87" s="107"/>
      <c r="LO87" s="107"/>
      <c r="LP87" s="105"/>
      <c r="LR87" s="13"/>
      <c r="LS87" s="107"/>
      <c r="LT87" s="107"/>
      <c r="LU87" s="105"/>
      <c r="LW87" s="13"/>
      <c r="LX87" s="107"/>
      <c r="LY87" s="107"/>
      <c r="LZ87" s="105"/>
      <c r="MB87" s="13"/>
      <c r="MC87" s="107"/>
      <c r="MD87" s="107"/>
      <c r="ME87" s="105"/>
      <c r="MG87" s="38"/>
      <c r="MH87" s="13"/>
      <c r="MI87" s="107"/>
      <c r="MJ87" s="107"/>
      <c r="MK87" s="105"/>
      <c r="MM87" s="13"/>
      <c r="MN87" s="107"/>
      <c r="MO87" s="107"/>
      <c r="MP87" s="105"/>
      <c r="MR87" s="13"/>
      <c r="MS87" s="107"/>
      <c r="MT87" s="107"/>
      <c r="MU87" s="105"/>
      <c r="MW87" s="13"/>
      <c r="MX87" s="107"/>
      <c r="MY87" s="107"/>
      <c r="MZ87" s="105"/>
      <c r="NB87" s="13"/>
      <c r="NC87" s="107"/>
      <c r="ND87" s="107"/>
      <c r="NE87" s="105"/>
      <c r="NG87" s="13"/>
      <c r="NH87" s="107"/>
      <c r="NI87" s="107"/>
      <c r="NJ87" s="105"/>
      <c r="NL87" s="38"/>
      <c r="NM87" s="13"/>
      <c r="NN87" s="107"/>
      <c r="NO87" s="107"/>
      <c r="NP87" s="105"/>
      <c r="NR87" s="13"/>
      <c r="NS87" s="107"/>
      <c r="NT87" s="107"/>
      <c r="NU87" s="105"/>
      <c r="NW87" s="13"/>
      <c r="NX87" s="107"/>
      <c r="NY87" s="107"/>
      <c r="NZ87" s="105"/>
      <c r="OB87" s="13"/>
      <c r="OC87" s="107"/>
      <c r="OD87" s="107"/>
      <c r="OE87" s="105"/>
      <c r="OG87" s="13"/>
      <c r="OH87" s="107"/>
      <c r="OI87" s="107"/>
      <c r="OJ87" s="105"/>
      <c r="OL87" s="13"/>
      <c r="OM87" s="107"/>
      <c r="ON87" s="107"/>
      <c r="OO87" s="105"/>
    </row>
    <row r="88" ht="15.75" customHeight="1">
      <c r="A88" s="42"/>
      <c r="B88" s="42"/>
      <c r="C88" s="42"/>
      <c r="D88" s="38">
        <f>Y2</f>
        <v>45968</v>
      </c>
      <c r="E88" s="105" t="str">
        <f t="shared" ref="E88:I88" si="301">Y4</f>
        <v/>
      </c>
      <c r="F88" s="105" t="str">
        <f t="shared" si="301"/>
        <v/>
      </c>
      <c r="G88" s="105" t="str">
        <f t="shared" si="301"/>
        <v/>
      </c>
      <c r="H88" s="106" t="str">
        <f t="shared" si="301"/>
        <v/>
      </c>
      <c r="I88" s="106" t="str">
        <f t="shared" si="301"/>
        <v/>
      </c>
      <c r="J88" s="107" t="str">
        <f t="array" ref="J88">IFERROR(IF(XLOOKUP(CONCAT(E88,F88),'MASTER PLAN'!$AB:$AB,'MASTER PLAN'!$M:$M,0,0)=0,"",XLOOKUP(CONCAT(E88,F88),'MASTER PLAN'!$AB:$AB,'MASTER PLAN'!$M:$M,0,0)),"")</f>
        <v/>
      </c>
      <c r="K88" s="107">
        <f t="shared" si="237"/>
        <v>0</v>
      </c>
      <c r="L88" s="107">
        <f t="shared" si="238"/>
        <v>0</v>
      </c>
      <c r="M88" s="105" t="s">
        <v>246</v>
      </c>
      <c r="O88" s="13"/>
      <c r="P88" s="107"/>
      <c r="Q88" s="107"/>
      <c r="R88" s="105"/>
      <c r="T88" s="13"/>
      <c r="U88" s="107"/>
      <c r="V88" s="107"/>
      <c r="W88" s="105"/>
      <c r="Y88" s="13"/>
      <c r="Z88" s="107"/>
      <c r="AA88" s="107"/>
      <c r="AB88" s="105"/>
      <c r="AD88" s="13"/>
      <c r="AE88" s="107"/>
      <c r="AF88" s="107"/>
      <c r="AG88" s="105"/>
      <c r="AI88" s="38"/>
      <c r="AJ88" s="13"/>
      <c r="AK88" s="107"/>
      <c r="AL88" s="107"/>
      <c r="AM88" s="105"/>
      <c r="AO88" s="13"/>
      <c r="AP88" s="107"/>
      <c r="AQ88" s="107"/>
      <c r="AR88" s="105"/>
      <c r="AT88" s="13"/>
      <c r="AU88" s="107"/>
      <c r="AV88" s="107"/>
      <c r="AW88" s="105"/>
      <c r="AY88" s="13"/>
      <c r="AZ88" s="107"/>
      <c r="BA88" s="107"/>
      <c r="BB88" s="105"/>
      <c r="BD88" s="13"/>
      <c r="BE88" s="107"/>
      <c r="BF88" s="107"/>
      <c r="BG88" s="105"/>
      <c r="BI88" s="13"/>
      <c r="BJ88" s="107"/>
      <c r="BK88" s="107"/>
      <c r="BL88" s="105"/>
      <c r="BN88" s="38"/>
      <c r="BO88" s="13"/>
      <c r="BP88" s="107"/>
      <c r="BQ88" s="107"/>
      <c r="BR88" s="105"/>
      <c r="BT88" s="13"/>
      <c r="BU88" s="107"/>
      <c r="BV88" s="107"/>
      <c r="BW88" s="105"/>
      <c r="BY88" s="13"/>
      <c r="BZ88" s="107"/>
      <c r="CA88" s="107"/>
      <c r="CB88" s="105"/>
      <c r="CD88" s="13"/>
      <c r="CE88" s="107"/>
      <c r="CF88" s="107"/>
      <c r="CG88" s="105"/>
      <c r="CI88" s="13"/>
      <c r="CJ88" s="107"/>
      <c r="CK88" s="107"/>
      <c r="CL88" s="105"/>
      <c r="CN88" s="13"/>
      <c r="CO88" s="107"/>
      <c r="CP88" s="107"/>
      <c r="CQ88" s="105"/>
      <c r="CS88" s="38"/>
      <c r="CT88" s="13"/>
      <c r="CU88" s="107"/>
      <c r="CV88" s="107"/>
      <c r="CW88" s="105"/>
      <c r="CY88" s="13"/>
      <c r="CZ88" s="107"/>
      <c r="DA88" s="107"/>
      <c r="DB88" s="105"/>
      <c r="DD88" s="13"/>
      <c r="DE88" s="107"/>
      <c r="DF88" s="107"/>
      <c r="DG88" s="105"/>
      <c r="DI88" s="13"/>
      <c r="DJ88" s="107"/>
      <c r="DK88" s="107"/>
      <c r="DL88" s="105"/>
      <c r="DN88" s="13"/>
      <c r="DO88" s="107"/>
      <c r="DP88" s="107"/>
      <c r="DQ88" s="105"/>
      <c r="DS88" s="13"/>
      <c r="DT88" s="107"/>
      <c r="DU88" s="107"/>
      <c r="DV88" s="105"/>
      <c r="DX88" s="38"/>
      <c r="DY88" s="13"/>
      <c r="DZ88" s="107"/>
      <c r="EA88" s="107"/>
      <c r="EB88" s="105"/>
      <c r="ED88" s="13"/>
      <c r="EE88" s="107"/>
      <c r="EF88" s="107"/>
      <c r="EG88" s="105"/>
      <c r="EI88" s="13"/>
      <c r="EJ88" s="107"/>
      <c r="EK88" s="107"/>
      <c r="EL88" s="105"/>
      <c r="EN88" s="13"/>
      <c r="EO88" s="107"/>
      <c r="EP88" s="107"/>
      <c r="EQ88" s="105"/>
      <c r="ES88" s="13"/>
      <c r="ET88" s="107"/>
      <c r="EU88" s="107"/>
      <c r="EV88" s="105"/>
      <c r="EX88" s="13"/>
      <c r="EY88" s="107"/>
      <c r="EZ88" s="107"/>
      <c r="FA88" s="105"/>
      <c r="FC88" s="38"/>
      <c r="FD88" s="13"/>
      <c r="FE88" s="107"/>
      <c r="FF88" s="107"/>
      <c r="FG88" s="105"/>
      <c r="FI88" s="13"/>
      <c r="FJ88" s="107"/>
      <c r="FK88" s="107"/>
      <c r="FL88" s="105"/>
      <c r="FN88" s="13"/>
      <c r="FO88" s="107"/>
      <c r="FP88" s="107"/>
      <c r="FQ88" s="105"/>
      <c r="FS88" s="13"/>
      <c r="FT88" s="107"/>
      <c r="FU88" s="107"/>
      <c r="FV88" s="105"/>
      <c r="FX88" s="13"/>
      <c r="FY88" s="107"/>
      <c r="FZ88" s="107"/>
      <c r="GA88" s="105"/>
      <c r="GC88" s="13"/>
      <c r="GD88" s="107"/>
      <c r="GE88" s="107"/>
      <c r="GF88" s="105"/>
      <c r="GH88" s="38"/>
      <c r="GI88" s="13"/>
      <c r="GJ88" s="107"/>
      <c r="GK88" s="107"/>
      <c r="GL88" s="105"/>
      <c r="GN88" s="13"/>
      <c r="GO88" s="107"/>
      <c r="GP88" s="107"/>
      <c r="GQ88" s="105"/>
      <c r="GS88" s="13"/>
      <c r="GT88" s="107"/>
      <c r="GU88" s="107"/>
      <c r="GV88" s="105"/>
      <c r="GX88" s="13"/>
      <c r="GY88" s="107"/>
      <c r="GZ88" s="107"/>
      <c r="HA88" s="105"/>
      <c r="HC88" s="13"/>
      <c r="HD88" s="107"/>
      <c r="HE88" s="107"/>
      <c r="HF88" s="105"/>
      <c r="HH88" s="13"/>
      <c r="HI88" s="107"/>
      <c r="HJ88" s="107"/>
      <c r="HK88" s="105"/>
      <c r="HM88" s="38"/>
      <c r="HN88" s="13"/>
      <c r="HO88" s="107"/>
      <c r="HP88" s="107"/>
      <c r="HQ88" s="105"/>
      <c r="HS88" s="13"/>
      <c r="HT88" s="107"/>
      <c r="HU88" s="107"/>
      <c r="HV88" s="105"/>
      <c r="HX88" s="13"/>
      <c r="HY88" s="107"/>
      <c r="HZ88" s="107"/>
      <c r="IA88" s="105"/>
      <c r="IC88" s="13"/>
      <c r="ID88" s="107"/>
      <c r="IE88" s="107"/>
      <c r="IF88" s="105"/>
      <c r="IH88" s="13"/>
      <c r="II88" s="107"/>
      <c r="IJ88" s="107"/>
      <c r="IK88" s="105"/>
      <c r="IM88" s="13"/>
      <c r="IN88" s="107"/>
      <c r="IO88" s="107"/>
      <c r="IP88" s="105"/>
      <c r="IR88" s="38"/>
      <c r="IS88" s="13"/>
      <c r="IT88" s="107"/>
      <c r="IU88" s="107"/>
      <c r="IV88" s="105"/>
      <c r="IX88" s="13"/>
      <c r="IY88" s="107"/>
      <c r="IZ88" s="107"/>
      <c r="JA88" s="105"/>
      <c r="JC88" s="13"/>
      <c r="JD88" s="107"/>
      <c r="JE88" s="107"/>
      <c r="JF88" s="105"/>
      <c r="JH88" s="13"/>
      <c r="JI88" s="107"/>
      <c r="JJ88" s="107"/>
      <c r="JK88" s="105"/>
      <c r="JM88" s="13"/>
      <c r="JN88" s="107"/>
      <c r="JO88" s="107"/>
      <c r="JP88" s="105"/>
      <c r="JR88" s="13"/>
      <c r="JS88" s="107"/>
      <c r="JT88" s="107"/>
      <c r="JU88" s="105"/>
      <c r="JW88" s="38"/>
      <c r="JX88" s="13"/>
      <c r="JY88" s="107"/>
      <c r="JZ88" s="107"/>
      <c r="KA88" s="105"/>
      <c r="KC88" s="13"/>
      <c r="KD88" s="107"/>
      <c r="KE88" s="107"/>
      <c r="KF88" s="105"/>
      <c r="KH88" s="13"/>
      <c r="KI88" s="107"/>
      <c r="KJ88" s="107"/>
      <c r="KK88" s="105"/>
      <c r="KM88" s="13"/>
      <c r="KN88" s="107"/>
      <c r="KO88" s="107"/>
      <c r="KP88" s="105"/>
      <c r="KR88" s="13"/>
      <c r="KS88" s="107"/>
      <c r="KT88" s="107"/>
      <c r="KU88" s="105"/>
      <c r="KW88" s="13"/>
      <c r="KX88" s="107"/>
      <c r="KY88" s="107"/>
      <c r="KZ88" s="105"/>
      <c r="LB88" s="38"/>
      <c r="LC88" s="13"/>
      <c r="LD88" s="107"/>
      <c r="LE88" s="107"/>
      <c r="LF88" s="105"/>
      <c r="LH88" s="13"/>
      <c r="LI88" s="107"/>
      <c r="LJ88" s="107"/>
      <c r="LK88" s="105"/>
      <c r="LM88" s="13"/>
      <c r="LN88" s="107"/>
      <c r="LO88" s="107"/>
      <c r="LP88" s="105"/>
      <c r="LR88" s="13"/>
      <c r="LS88" s="107"/>
      <c r="LT88" s="107"/>
      <c r="LU88" s="105"/>
      <c r="LW88" s="13"/>
      <c r="LX88" s="107"/>
      <c r="LY88" s="107"/>
      <c r="LZ88" s="105"/>
      <c r="MB88" s="13"/>
      <c r="MC88" s="107"/>
      <c r="MD88" s="107"/>
      <c r="ME88" s="105"/>
      <c r="MG88" s="38"/>
      <c r="MH88" s="13"/>
      <c r="MI88" s="107"/>
      <c r="MJ88" s="107"/>
      <c r="MK88" s="105"/>
      <c r="MM88" s="13"/>
      <c r="MN88" s="107"/>
      <c r="MO88" s="107"/>
      <c r="MP88" s="105"/>
      <c r="MR88" s="13"/>
      <c r="MS88" s="107"/>
      <c r="MT88" s="107"/>
      <c r="MU88" s="105"/>
      <c r="MW88" s="13"/>
      <c r="MX88" s="107"/>
      <c r="MY88" s="107"/>
      <c r="MZ88" s="105"/>
      <c r="NB88" s="13"/>
      <c r="NC88" s="107"/>
      <c r="ND88" s="107"/>
      <c r="NE88" s="105"/>
      <c r="NG88" s="13"/>
      <c r="NH88" s="107"/>
      <c r="NI88" s="107"/>
      <c r="NJ88" s="105"/>
      <c r="NL88" s="38"/>
      <c r="NM88" s="13"/>
      <c r="NN88" s="107"/>
      <c r="NO88" s="107"/>
      <c r="NP88" s="105"/>
      <c r="NR88" s="13"/>
      <c r="NS88" s="107"/>
      <c r="NT88" s="107"/>
      <c r="NU88" s="105"/>
      <c r="NW88" s="13"/>
      <c r="NX88" s="107"/>
      <c r="NY88" s="107"/>
      <c r="NZ88" s="105"/>
      <c r="OB88" s="13"/>
      <c r="OC88" s="107"/>
      <c r="OD88" s="107"/>
      <c r="OE88" s="105"/>
      <c r="OG88" s="13"/>
      <c r="OH88" s="107"/>
      <c r="OI88" s="107"/>
      <c r="OJ88" s="105"/>
      <c r="OL88" s="13"/>
      <c r="OM88" s="107"/>
      <c r="ON88" s="107"/>
      <c r="OO88" s="105"/>
    </row>
    <row r="89" ht="15.75" customHeight="1">
      <c r="A89" s="42"/>
      <c r="B89" s="42"/>
      <c r="C89" s="42"/>
      <c r="D89" s="38">
        <f t="shared" ref="D89:D102" si="303">D88</f>
        <v>45968</v>
      </c>
      <c r="E89" s="105" t="str">
        <f t="shared" ref="E89:I89" si="302">Y5</f>
        <v/>
      </c>
      <c r="F89" s="105" t="str">
        <f t="shared" si="302"/>
        <v/>
      </c>
      <c r="G89" s="105" t="str">
        <f t="shared" si="302"/>
        <v/>
      </c>
      <c r="H89" s="106" t="str">
        <f t="shared" si="302"/>
        <v/>
      </c>
      <c r="I89" s="106" t="str">
        <f t="shared" si="302"/>
        <v/>
      </c>
      <c r="J89" s="107" t="str">
        <f t="array" ref="J89">IFERROR(IF(XLOOKUP(CONCAT(E89,F89),'MASTER PLAN'!$AB:$AB,'MASTER PLAN'!$M:$M,0,0)=0,"",XLOOKUP(CONCAT(E89,F89),'MASTER PLAN'!$AB:$AB,'MASTER PLAN'!$M:$M,0,0)),"")</f>
        <v/>
      </c>
      <c r="K89" s="107">
        <f t="shared" si="237"/>
        <v>0</v>
      </c>
      <c r="L89" s="107">
        <f t="shared" si="238"/>
        <v>0</v>
      </c>
      <c r="M89" s="105" t="s">
        <v>246</v>
      </c>
      <c r="O89" s="13"/>
      <c r="P89" s="107"/>
      <c r="Q89" s="107"/>
      <c r="R89" s="105"/>
      <c r="T89" s="13"/>
      <c r="U89" s="107"/>
      <c r="V89" s="107"/>
      <c r="W89" s="105"/>
      <c r="Y89" s="13"/>
      <c r="Z89" s="107"/>
      <c r="AA89" s="107"/>
      <c r="AB89" s="105"/>
      <c r="AD89" s="13"/>
      <c r="AE89" s="107"/>
      <c r="AF89" s="107"/>
      <c r="AG89" s="105"/>
      <c r="AI89" s="38"/>
      <c r="AJ89" s="13"/>
      <c r="AK89" s="107"/>
      <c r="AL89" s="107"/>
      <c r="AM89" s="105"/>
      <c r="AO89" s="13"/>
      <c r="AP89" s="107"/>
      <c r="AQ89" s="107"/>
      <c r="AR89" s="105"/>
      <c r="AT89" s="13"/>
      <c r="AU89" s="107"/>
      <c r="AV89" s="107"/>
      <c r="AW89" s="105"/>
      <c r="AY89" s="13"/>
      <c r="AZ89" s="107"/>
      <c r="BA89" s="107"/>
      <c r="BB89" s="105"/>
      <c r="BD89" s="13"/>
      <c r="BE89" s="107"/>
      <c r="BF89" s="107"/>
      <c r="BG89" s="105"/>
      <c r="BI89" s="13"/>
      <c r="BJ89" s="107"/>
      <c r="BK89" s="107"/>
      <c r="BL89" s="105"/>
      <c r="BN89" s="38"/>
      <c r="BO89" s="13"/>
      <c r="BP89" s="107"/>
      <c r="BQ89" s="107"/>
      <c r="BR89" s="105"/>
      <c r="BT89" s="13"/>
      <c r="BU89" s="107"/>
      <c r="BV89" s="107"/>
      <c r="BW89" s="105"/>
      <c r="BY89" s="13"/>
      <c r="BZ89" s="107"/>
      <c r="CA89" s="107"/>
      <c r="CB89" s="105"/>
      <c r="CD89" s="13"/>
      <c r="CE89" s="107"/>
      <c r="CF89" s="107"/>
      <c r="CG89" s="105"/>
      <c r="CI89" s="13"/>
      <c r="CJ89" s="107"/>
      <c r="CK89" s="107"/>
      <c r="CL89" s="105"/>
      <c r="CN89" s="13"/>
      <c r="CO89" s="107"/>
      <c r="CP89" s="107"/>
      <c r="CQ89" s="105"/>
      <c r="CS89" s="38"/>
      <c r="CT89" s="13"/>
      <c r="CU89" s="107"/>
      <c r="CV89" s="107"/>
      <c r="CW89" s="105"/>
      <c r="CY89" s="13"/>
      <c r="CZ89" s="107"/>
      <c r="DA89" s="107"/>
      <c r="DB89" s="105"/>
      <c r="DD89" s="13"/>
      <c r="DE89" s="107"/>
      <c r="DF89" s="107"/>
      <c r="DG89" s="105"/>
      <c r="DI89" s="13"/>
      <c r="DJ89" s="107"/>
      <c r="DK89" s="107"/>
      <c r="DL89" s="105"/>
      <c r="DN89" s="13"/>
      <c r="DO89" s="107"/>
      <c r="DP89" s="107"/>
      <c r="DQ89" s="105"/>
      <c r="DS89" s="13"/>
      <c r="DT89" s="107"/>
      <c r="DU89" s="107"/>
      <c r="DV89" s="105"/>
      <c r="DX89" s="38"/>
      <c r="DY89" s="13"/>
      <c r="DZ89" s="107"/>
      <c r="EA89" s="107"/>
      <c r="EB89" s="105"/>
      <c r="ED89" s="13"/>
      <c r="EE89" s="107"/>
      <c r="EF89" s="107"/>
      <c r="EG89" s="105"/>
      <c r="EI89" s="13"/>
      <c r="EJ89" s="107"/>
      <c r="EK89" s="107"/>
      <c r="EL89" s="105"/>
      <c r="EN89" s="13"/>
      <c r="EO89" s="107"/>
      <c r="EP89" s="107"/>
      <c r="EQ89" s="105"/>
      <c r="ES89" s="13"/>
      <c r="ET89" s="107"/>
      <c r="EU89" s="107"/>
      <c r="EV89" s="105"/>
      <c r="EX89" s="13"/>
      <c r="EY89" s="107"/>
      <c r="EZ89" s="107"/>
      <c r="FA89" s="105"/>
      <c r="FC89" s="38"/>
      <c r="FD89" s="13"/>
      <c r="FE89" s="107"/>
      <c r="FF89" s="107"/>
      <c r="FG89" s="105"/>
      <c r="FI89" s="13"/>
      <c r="FJ89" s="107"/>
      <c r="FK89" s="107"/>
      <c r="FL89" s="105"/>
      <c r="FN89" s="13"/>
      <c r="FO89" s="107"/>
      <c r="FP89" s="107"/>
      <c r="FQ89" s="105"/>
      <c r="FS89" s="13"/>
      <c r="FT89" s="107"/>
      <c r="FU89" s="107"/>
      <c r="FV89" s="105"/>
      <c r="FX89" s="13"/>
      <c r="FY89" s="107"/>
      <c r="FZ89" s="107"/>
      <c r="GA89" s="105"/>
      <c r="GC89" s="13"/>
      <c r="GD89" s="107"/>
      <c r="GE89" s="107"/>
      <c r="GF89" s="105"/>
      <c r="GH89" s="38"/>
      <c r="GI89" s="13"/>
      <c r="GJ89" s="107"/>
      <c r="GK89" s="107"/>
      <c r="GL89" s="105"/>
      <c r="GN89" s="13"/>
      <c r="GO89" s="107"/>
      <c r="GP89" s="107"/>
      <c r="GQ89" s="105"/>
      <c r="GS89" s="13"/>
      <c r="GT89" s="107"/>
      <c r="GU89" s="107"/>
      <c r="GV89" s="105"/>
      <c r="GX89" s="13"/>
      <c r="GY89" s="107"/>
      <c r="GZ89" s="107"/>
      <c r="HA89" s="105"/>
      <c r="HC89" s="13"/>
      <c r="HD89" s="107"/>
      <c r="HE89" s="107"/>
      <c r="HF89" s="105"/>
      <c r="HH89" s="13"/>
      <c r="HI89" s="107"/>
      <c r="HJ89" s="107"/>
      <c r="HK89" s="105"/>
      <c r="HM89" s="38"/>
      <c r="HN89" s="13"/>
      <c r="HO89" s="107"/>
      <c r="HP89" s="107"/>
      <c r="HQ89" s="105"/>
      <c r="HS89" s="13"/>
      <c r="HT89" s="107"/>
      <c r="HU89" s="107"/>
      <c r="HV89" s="105"/>
      <c r="HX89" s="13"/>
      <c r="HY89" s="107"/>
      <c r="HZ89" s="107"/>
      <c r="IA89" s="105"/>
      <c r="IC89" s="13"/>
      <c r="ID89" s="107"/>
      <c r="IE89" s="107"/>
      <c r="IF89" s="105"/>
      <c r="IH89" s="13"/>
      <c r="II89" s="107"/>
      <c r="IJ89" s="107"/>
      <c r="IK89" s="105"/>
      <c r="IM89" s="13"/>
      <c r="IN89" s="107"/>
      <c r="IO89" s="107"/>
      <c r="IP89" s="105"/>
      <c r="IR89" s="38"/>
      <c r="IS89" s="13"/>
      <c r="IT89" s="107"/>
      <c r="IU89" s="107"/>
      <c r="IV89" s="105"/>
      <c r="IX89" s="13"/>
      <c r="IY89" s="107"/>
      <c r="IZ89" s="107"/>
      <c r="JA89" s="105"/>
      <c r="JC89" s="13"/>
      <c r="JD89" s="107"/>
      <c r="JE89" s="107"/>
      <c r="JF89" s="105"/>
      <c r="JH89" s="13"/>
      <c r="JI89" s="107"/>
      <c r="JJ89" s="107"/>
      <c r="JK89" s="105"/>
      <c r="JM89" s="13"/>
      <c r="JN89" s="107"/>
      <c r="JO89" s="107"/>
      <c r="JP89" s="105"/>
      <c r="JR89" s="13"/>
      <c r="JS89" s="107"/>
      <c r="JT89" s="107"/>
      <c r="JU89" s="105"/>
      <c r="JW89" s="38"/>
      <c r="JX89" s="13"/>
      <c r="JY89" s="107"/>
      <c r="JZ89" s="107"/>
      <c r="KA89" s="105"/>
      <c r="KC89" s="13"/>
      <c r="KD89" s="107"/>
      <c r="KE89" s="107"/>
      <c r="KF89" s="105"/>
      <c r="KH89" s="13"/>
      <c r="KI89" s="107"/>
      <c r="KJ89" s="107"/>
      <c r="KK89" s="105"/>
      <c r="KM89" s="13"/>
      <c r="KN89" s="107"/>
      <c r="KO89" s="107"/>
      <c r="KP89" s="105"/>
      <c r="KR89" s="13"/>
      <c r="KS89" s="107"/>
      <c r="KT89" s="107"/>
      <c r="KU89" s="105"/>
      <c r="KW89" s="13"/>
      <c r="KX89" s="107"/>
      <c r="KY89" s="107"/>
      <c r="KZ89" s="105"/>
      <c r="LB89" s="38"/>
      <c r="LC89" s="13"/>
      <c r="LD89" s="107"/>
      <c r="LE89" s="107"/>
      <c r="LF89" s="105"/>
      <c r="LH89" s="13"/>
      <c r="LI89" s="107"/>
      <c r="LJ89" s="107"/>
      <c r="LK89" s="105"/>
      <c r="LM89" s="13"/>
      <c r="LN89" s="107"/>
      <c r="LO89" s="107"/>
      <c r="LP89" s="105"/>
      <c r="LR89" s="13"/>
      <c r="LS89" s="107"/>
      <c r="LT89" s="107"/>
      <c r="LU89" s="105"/>
      <c r="LW89" s="13"/>
      <c r="LX89" s="107"/>
      <c r="LY89" s="107"/>
      <c r="LZ89" s="105"/>
      <c r="MB89" s="13"/>
      <c r="MC89" s="107"/>
      <c r="MD89" s="107"/>
      <c r="ME89" s="105"/>
      <c r="MG89" s="38"/>
      <c r="MH89" s="13"/>
      <c r="MI89" s="107"/>
      <c r="MJ89" s="107"/>
      <c r="MK89" s="105"/>
      <c r="MM89" s="13"/>
      <c r="MN89" s="107"/>
      <c r="MO89" s="107"/>
      <c r="MP89" s="105"/>
      <c r="MR89" s="13"/>
      <c r="MS89" s="107"/>
      <c r="MT89" s="107"/>
      <c r="MU89" s="105"/>
      <c r="MW89" s="13"/>
      <c r="MX89" s="107"/>
      <c r="MY89" s="107"/>
      <c r="MZ89" s="105"/>
      <c r="NB89" s="13"/>
      <c r="NC89" s="107"/>
      <c r="ND89" s="107"/>
      <c r="NE89" s="105"/>
      <c r="NG89" s="13"/>
      <c r="NH89" s="107"/>
      <c r="NI89" s="107"/>
      <c r="NJ89" s="105"/>
      <c r="NL89" s="38"/>
      <c r="NM89" s="13"/>
      <c r="NN89" s="107"/>
      <c r="NO89" s="107"/>
      <c r="NP89" s="105"/>
      <c r="NR89" s="13"/>
      <c r="NS89" s="107"/>
      <c r="NT89" s="107"/>
      <c r="NU89" s="105"/>
      <c r="NW89" s="13"/>
      <c r="NX89" s="107"/>
      <c r="NY89" s="107"/>
      <c r="NZ89" s="105"/>
      <c r="OB89" s="13"/>
      <c r="OC89" s="107"/>
      <c r="OD89" s="107"/>
      <c r="OE89" s="105"/>
      <c r="OG89" s="13"/>
      <c r="OH89" s="107"/>
      <c r="OI89" s="107"/>
      <c r="OJ89" s="105"/>
      <c r="OL89" s="13"/>
      <c r="OM89" s="107"/>
      <c r="ON89" s="107"/>
      <c r="OO89" s="105"/>
    </row>
    <row r="90" ht="15.75" customHeight="1">
      <c r="A90" s="42"/>
      <c r="B90" s="42"/>
      <c r="C90" s="42"/>
      <c r="D90" s="38">
        <f t="shared" si="303"/>
        <v>45968</v>
      </c>
      <c r="E90" s="105" t="str">
        <f t="shared" ref="E90:I90" si="304">Y6</f>
        <v/>
      </c>
      <c r="F90" s="105" t="str">
        <f t="shared" si="304"/>
        <v/>
      </c>
      <c r="G90" s="105" t="str">
        <f t="shared" si="304"/>
        <v/>
      </c>
      <c r="H90" s="106" t="str">
        <f t="shared" si="304"/>
        <v/>
      </c>
      <c r="I90" s="106" t="str">
        <f t="shared" si="304"/>
        <v/>
      </c>
      <c r="J90" s="107" t="str">
        <f t="array" ref="J90">IFERROR(IF(XLOOKUP(CONCAT(E90,F90),'MASTER PLAN'!$AB:$AB,'MASTER PLAN'!$M:$M,0,0)=0,"",XLOOKUP(CONCAT(E90,F90),'MASTER PLAN'!$AB:$AB,'MASTER PLAN'!$M:$M,0,0)),"")</f>
        <v/>
      </c>
      <c r="K90" s="107">
        <f t="shared" si="237"/>
        <v>0</v>
      </c>
      <c r="L90" s="107">
        <f t="shared" si="238"/>
        <v>0</v>
      </c>
      <c r="M90" s="105" t="s">
        <v>246</v>
      </c>
      <c r="O90" s="13"/>
      <c r="P90" s="107"/>
      <c r="Q90" s="107"/>
      <c r="R90" s="105"/>
      <c r="T90" s="13"/>
      <c r="U90" s="107"/>
      <c r="V90" s="107"/>
      <c r="W90" s="105"/>
      <c r="Y90" s="13"/>
      <c r="Z90" s="107"/>
      <c r="AA90" s="107"/>
      <c r="AB90" s="105"/>
      <c r="AD90" s="13"/>
      <c r="AE90" s="107"/>
      <c r="AF90" s="107"/>
      <c r="AG90" s="105"/>
      <c r="AI90" s="38"/>
      <c r="AJ90" s="13"/>
      <c r="AK90" s="107"/>
      <c r="AL90" s="107"/>
      <c r="AM90" s="105"/>
      <c r="AO90" s="13"/>
      <c r="AP90" s="107"/>
      <c r="AQ90" s="107"/>
      <c r="AR90" s="105"/>
      <c r="AT90" s="13"/>
      <c r="AU90" s="107"/>
      <c r="AV90" s="107"/>
      <c r="AW90" s="105"/>
      <c r="AY90" s="13"/>
      <c r="AZ90" s="107"/>
      <c r="BA90" s="107"/>
      <c r="BB90" s="105"/>
      <c r="BD90" s="13"/>
      <c r="BE90" s="107"/>
      <c r="BF90" s="107"/>
      <c r="BG90" s="105"/>
      <c r="BI90" s="13"/>
      <c r="BJ90" s="107"/>
      <c r="BK90" s="107"/>
      <c r="BL90" s="105"/>
      <c r="BN90" s="38"/>
      <c r="BO90" s="13"/>
      <c r="BP90" s="107"/>
      <c r="BQ90" s="107"/>
      <c r="BR90" s="105"/>
      <c r="BT90" s="13"/>
      <c r="BU90" s="107"/>
      <c r="BV90" s="107"/>
      <c r="BW90" s="105"/>
      <c r="BY90" s="13"/>
      <c r="BZ90" s="107"/>
      <c r="CA90" s="107"/>
      <c r="CB90" s="105"/>
      <c r="CD90" s="13"/>
      <c r="CE90" s="107"/>
      <c r="CF90" s="107"/>
      <c r="CG90" s="105"/>
      <c r="CI90" s="13"/>
      <c r="CJ90" s="107"/>
      <c r="CK90" s="107"/>
      <c r="CL90" s="105"/>
      <c r="CN90" s="13"/>
      <c r="CO90" s="107"/>
      <c r="CP90" s="107"/>
      <c r="CQ90" s="105"/>
      <c r="CS90" s="38"/>
      <c r="CT90" s="13"/>
      <c r="CU90" s="107"/>
      <c r="CV90" s="107"/>
      <c r="CW90" s="105"/>
      <c r="CY90" s="13"/>
      <c r="CZ90" s="107"/>
      <c r="DA90" s="107"/>
      <c r="DB90" s="105"/>
      <c r="DD90" s="13"/>
      <c r="DE90" s="107"/>
      <c r="DF90" s="107"/>
      <c r="DG90" s="105"/>
      <c r="DI90" s="13"/>
      <c r="DJ90" s="107"/>
      <c r="DK90" s="107"/>
      <c r="DL90" s="105"/>
      <c r="DN90" s="13"/>
      <c r="DO90" s="107"/>
      <c r="DP90" s="107"/>
      <c r="DQ90" s="105"/>
      <c r="DS90" s="13"/>
      <c r="DT90" s="107"/>
      <c r="DU90" s="107"/>
      <c r="DV90" s="105"/>
      <c r="DX90" s="38"/>
      <c r="DY90" s="13"/>
      <c r="DZ90" s="107"/>
      <c r="EA90" s="107"/>
      <c r="EB90" s="105"/>
      <c r="ED90" s="13"/>
      <c r="EE90" s="107"/>
      <c r="EF90" s="107"/>
      <c r="EG90" s="105"/>
      <c r="EI90" s="13"/>
      <c r="EJ90" s="107"/>
      <c r="EK90" s="107"/>
      <c r="EL90" s="105"/>
      <c r="EN90" s="13"/>
      <c r="EO90" s="107"/>
      <c r="EP90" s="107"/>
      <c r="EQ90" s="105"/>
      <c r="ES90" s="13"/>
      <c r="ET90" s="107"/>
      <c r="EU90" s="107"/>
      <c r="EV90" s="105"/>
      <c r="EX90" s="13"/>
      <c r="EY90" s="107"/>
      <c r="EZ90" s="107"/>
      <c r="FA90" s="105"/>
      <c r="FC90" s="38"/>
      <c r="FD90" s="13"/>
      <c r="FE90" s="107"/>
      <c r="FF90" s="107"/>
      <c r="FG90" s="105"/>
      <c r="FI90" s="13"/>
      <c r="FJ90" s="107"/>
      <c r="FK90" s="107"/>
      <c r="FL90" s="105"/>
      <c r="FN90" s="13"/>
      <c r="FO90" s="107"/>
      <c r="FP90" s="107"/>
      <c r="FQ90" s="105"/>
      <c r="FS90" s="13"/>
      <c r="FT90" s="107"/>
      <c r="FU90" s="107"/>
      <c r="FV90" s="105"/>
      <c r="FX90" s="13"/>
      <c r="FY90" s="107"/>
      <c r="FZ90" s="107"/>
      <c r="GA90" s="105"/>
      <c r="GC90" s="13"/>
      <c r="GD90" s="107"/>
      <c r="GE90" s="107"/>
      <c r="GF90" s="105"/>
      <c r="GH90" s="38"/>
      <c r="GI90" s="13"/>
      <c r="GJ90" s="107"/>
      <c r="GK90" s="107"/>
      <c r="GL90" s="105"/>
      <c r="GN90" s="13"/>
      <c r="GO90" s="107"/>
      <c r="GP90" s="107"/>
      <c r="GQ90" s="105"/>
      <c r="GS90" s="13"/>
      <c r="GT90" s="107"/>
      <c r="GU90" s="107"/>
      <c r="GV90" s="105"/>
      <c r="GX90" s="13"/>
      <c r="GY90" s="107"/>
      <c r="GZ90" s="107"/>
      <c r="HA90" s="105"/>
      <c r="HC90" s="13"/>
      <c r="HD90" s="107"/>
      <c r="HE90" s="107"/>
      <c r="HF90" s="105"/>
      <c r="HH90" s="13"/>
      <c r="HI90" s="107"/>
      <c r="HJ90" s="107"/>
      <c r="HK90" s="105"/>
      <c r="HM90" s="38"/>
      <c r="HN90" s="13"/>
      <c r="HO90" s="107"/>
      <c r="HP90" s="107"/>
      <c r="HQ90" s="105"/>
      <c r="HS90" s="13"/>
      <c r="HT90" s="107"/>
      <c r="HU90" s="107"/>
      <c r="HV90" s="105"/>
      <c r="HX90" s="13"/>
      <c r="HY90" s="107"/>
      <c r="HZ90" s="107"/>
      <c r="IA90" s="105"/>
      <c r="IC90" s="13"/>
      <c r="ID90" s="107"/>
      <c r="IE90" s="107"/>
      <c r="IF90" s="105"/>
      <c r="IH90" s="13"/>
      <c r="II90" s="107"/>
      <c r="IJ90" s="107"/>
      <c r="IK90" s="105"/>
      <c r="IM90" s="13"/>
      <c r="IN90" s="107"/>
      <c r="IO90" s="107"/>
      <c r="IP90" s="105"/>
      <c r="IR90" s="38"/>
      <c r="IS90" s="13"/>
      <c r="IT90" s="107"/>
      <c r="IU90" s="107"/>
      <c r="IV90" s="105"/>
      <c r="IX90" s="13"/>
      <c r="IY90" s="107"/>
      <c r="IZ90" s="107"/>
      <c r="JA90" s="105"/>
      <c r="JC90" s="13"/>
      <c r="JD90" s="107"/>
      <c r="JE90" s="107"/>
      <c r="JF90" s="105"/>
      <c r="JH90" s="13"/>
      <c r="JI90" s="107"/>
      <c r="JJ90" s="107"/>
      <c r="JK90" s="105"/>
      <c r="JM90" s="13"/>
      <c r="JN90" s="107"/>
      <c r="JO90" s="107"/>
      <c r="JP90" s="105"/>
      <c r="JR90" s="13"/>
      <c r="JS90" s="107"/>
      <c r="JT90" s="107"/>
      <c r="JU90" s="105"/>
      <c r="JW90" s="38"/>
      <c r="JX90" s="13"/>
      <c r="JY90" s="107"/>
      <c r="JZ90" s="107"/>
      <c r="KA90" s="105"/>
      <c r="KC90" s="13"/>
      <c r="KD90" s="107"/>
      <c r="KE90" s="107"/>
      <c r="KF90" s="105"/>
      <c r="KH90" s="13"/>
      <c r="KI90" s="107"/>
      <c r="KJ90" s="107"/>
      <c r="KK90" s="105"/>
      <c r="KM90" s="13"/>
      <c r="KN90" s="107"/>
      <c r="KO90" s="107"/>
      <c r="KP90" s="105"/>
      <c r="KR90" s="13"/>
      <c r="KS90" s="107"/>
      <c r="KT90" s="107"/>
      <c r="KU90" s="105"/>
      <c r="KW90" s="13"/>
      <c r="KX90" s="107"/>
      <c r="KY90" s="107"/>
      <c r="KZ90" s="105"/>
      <c r="LB90" s="38"/>
      <c r="LC90" s="13"/>
      <c r="LD90" s="107"/>
      <c r="LE90" s="107"/>
      <c r="LF90" s="105"/>
      <c r="LH90" s="13"/>
      <c r="LI90" s="107"/>
      <c r="LJ90" s="107"/>
      <c r="LK90" s="105"/>
      <c r="LM90" s="13"/>
      <c r="LN90" s="107"/>
      <c r="LO90" s="107"/>
      <c r="LP90" s="105"/>
      <c r="LR90" s="13"/>
      <c r="LS90" s="107"/>
      <c r="LT90" s="107"/>
      <c r="LU90" s="105"/>
      <c r="LW90" s="13"/>
      <c r="LX90" s="107"/>
      <c r="LY90" s="107"/>
      <c r="LZ90" s="105"/>
      <c r="MB90" s="13"/>
      <c r="MC90" s="107"/>
      <c r="MD90" s="107"/>
      <c r="ME90" s="105"/>
      <c r="MG90" s="38"/>
      <c r="MH90" s="13"/>
      <c r="MI90" s="107"/>
      <c r="MJ90" s="107"/>
      <c r="MK90" s="105"/>
      <c r="MM90" s="13"/>
      <c r="MN90" s="107"/>
      <c r="MO90" s="107"/>
      <c r="MP90" s="105"/>
      <c r="MR90" s="13"/>
      <c r="MS90" s="107"/>
      <c r="MT90" s="107"/>
      <c r="MU90" s="105"/>
      <c r="MW90" s="13"/>
      <c r="MX90" s="107"/>
      <c r="MY90" s="107"/>
      <c r="MZ90" s="105"/>
      <c r="NB90" s="13"/>
      <c r="NC90" s="107"/>
      <c r="ND90" s="107"/>
      <c r="NE90" s="105"/>
      <c r="NG90" s="13"/>
      <c r="NH90" s="107"/>
      <c r="NI90" s="107"/>
      <c r="NJ90" s="105"/>
      <c r="NL90" s="38"/>
      <c r="NM90" s="13"/>
      <c r="NN90" s="107"/>
      <c r="NO90" s="107"/>
      <c r="NP90" s="105"/>
      <c r="NR90" s="13"/>
      <c r="NS90" s="107"/>
      <c r="NT90" s="107"/>
      <c r="NU90" s="105"/>
      <c r="NW90" s="13"/>
      <c r="NX90" s="107"/>
      <c r="NY90" s="107"/>
      <c r="NZ90" s="105"/>
      <c r="OB90" s="13"/>
      <c r="OC90" s="107"/>
      <c r="OD90" s="107"/>
      <c r="OE90" s="105"/>
      <c r="OG90" s="13"/>
      <c r="OH90" s="107"/>
      <c r="OI90" s="107"/>
      <c r="OJ90" s="105"/>
      <c r="OL90" s="13"/>
      <c r="OM90" s="107"/>
      <c r="ON90" s="107"/>
      <c r="OO90" s="105"/>
    </row>
    <row r="91" ht="15.75" customHeight="1">
      <c r="A91" s="42"/>
      <c r="B91" s="42"/>
      <c r="C91" s="42"/>
      <c r="D91" s="38">
        <f t="shared" si="303"/>
        <v>45968</v>
      </c>
      <c r="E91" s="105" t="str">
        <f t="shared" ref="E91:I91" si="305">Y7</f>
        <v/>
      </c>
      <c r="F91" s="105" t="str">
        <f t="shared" si="305"/>
        <v/>
      </c>
      <c r="G91" s="105" t="str">
        <f t="shared" si="305"/>
        <v/>
      </c>
      <c r="H91" s="106" t="str">
        <f t="shared" si="305"/>
        <v/>
      </c>
      <c r="I91" s="106" t="str">
        <f t="shared" si="305"/>
        <v/>
      </c>
      <c r="J91" s="107" t="str">
        <f t="array" ref="J91">IFERROR(IF(XLOOKUP(CONCAT(E91,F91),'MASTER PLAN'!$AB:$AB,'MASTER PLAN'!$M:$M,0,0)=0,"",XLOOKUP(CONCAT(E91,F91),'MASTER PLAN'!$AB:$AB,'MASTER PLAN'!$M:$M,0,0)),"")</f>
        <v/>
      </c>
      <c r="K91" s="107">
        <f t="shared" si="237"/>
        <v>0</v>
      </c>
      <c r="L91" s="107">
        <f t="shared" si="238"/>
        <v>0</v>
      </c>
      <c r="M91" s="105" t="s">
        <v>246</v>
      </c>
      <c r="O91" s="13"/>
      <c r="P91" s="107"/>
      <c r="Q91" s="107"/>
      <c r="R91" s="105"/>
      <c r="T91" s="13"/>
      <c r="U91" s="107"/>
      <c r="V91" s="107"/>
      <c r="W91" s="105"/>
      <c r="Y91" s="13"/>
      <c r="Z91" s="107"/>
      <c r="AA91" s="107"/>
      <c r="AB91" s="105"/>
      <c r="AD91" s="13"/>
      <c r="AE91" s="107"/>
      <c r="AF91" s="107"/>
      <c r="AG91" s="105"/>
      <c r="AI91" s="38"/>
      <c r="AJ91" s="13"/>
      <c r="AK91" s="107"/>
      <c r="AL91" s="107"/>
      <c r="AM91" s="105"/>
      <c r="AO91" s="13"/>
      <c r="AP91" s="107"/>
      <c r="AQ91" s="107"/>
      <c r="AR91" s="105"/>
      <c r="AT91" s="13"/>
      <c r="AU91" s="107"/>
      <c r="AV91" s="107"/>
      <c r="AW91" s="105"/>
      <c r="AY91" s="13"/>
      <c r="AZ91" s="107"/>
      <c r="BA91" s="107"/>
      <c r="BB91" s="105"/>
      <c r="BD91" s="13"/>
      <c r="BE91" s="107"/>
      <c r="BF91" s="107"/>
      <c r="BG91" s="105"/>
      <c r="BI91" s="13"/>
      <c r="BJ91" s="107"/>
      <c r="BK91" s="107"/>
      <c r="BL91" s="105"/>
      <c r="BN91" s="38"/>
      <c r="BO91" s="13"/>
      <c r="BP91" s="107"/>
      <c r="BQ91" s="107"/>
      <c r="BR91" s="105"/>
      <c r="BT91" s="13"/>
      <c r="BU91" s="107"/>
      <c r="BV91" s="107"/>
      <c r="BW91" s="105"/>
      <c r="BY91" s="13"/>
      <c r="BZ91" s="107"/>
      <c r="CA91" s="107"/>
      <c r="CB91" s="105"/>
      <c r="CD91" s="13"/>
      <c r="CE91" s="107"/>
      <c r="CF91" s="107"/>
      <c r="CG91" s="105"/>
      <c r="CI91" s="13"/>
      <c r="CJ91" s="107"/>
      <c r="CK91" s="107"/>
      <c r="CL91" s="105"/>
      <c r="CN91" s="13"/>
      <c r="CO91" s="107"/>
      <c r="CP91" s="107"/>
      <c r="CQ91" s="105"/>
      <c r="CS91" s="38"/>
      <c r="CT91" s="13"/>
      <c r="CU91" s="107"/>
      <c r="CV91" s="107"/>
      <c r="CW91" s="105"/>
      <c r="CY91" s="13"/>
      <c r="CZ91" s="107"/>
      <c r="DA91" s="107"/>
      <c r="DB91" s="105"/>
      <c r="DD91" s="13"/>
      <c r="DE91" s="107"/>
      <c r="DF91" s="107"/>
      <c r="DG91" s="105"/>
      <c r="DI91" s="13"/>
      <c r="DJ91" s="107"/>
      <c r="DK91" s="107"/>
      <c r="DL91" s="105"/>
      <c r="DN91" s="13"/>
      <c r="DO91" s="107"/>
      <c r="DP91" s="107"/>
      <c r="DQ91" s="105"/>
      <c r="DS91" s="13"/>
      <c r="DT91" s="107"/>
      <c r="DU91" s="107"/>
      <c r="DV91" s="105"/>
      <c r="DX91" s="38"/>
      <c r="DY91" s="13"/>
      <c r="DZ91" s="107"/>
      <c r="EA91" s="107"/>
      <c r="EB91" s="105"/>
      <c r="ED91" s="13"/>
      <c r="EE91" s="107"/>
      <c r="EF91" s="107"/>
      <c r="EG91" s="105"/>
      <c r="EI91" s="13"/>
      <c r="EJ91" s="107"/>
      <c r="EK91" s="107"/>
      <c r="EL91" s="105"/>
      <c r="EN91" s="13"/>
      <c r="EO91" s="107"/>
      <c r="EP91" s="107"/>
      <c r="EQ91" s="105"/>
      <c r="ES91" s="13"/>
      <c r="ET91" s="107"/>
      <c r="EU91" s="107"/>
      <c r="EV91" s="105"/>
      <c r="EX91" s="13"/>
      <c r="EY91" s="107"/>
      <c r="EZ91" s="107"/>
      <c r="FA91" s="105"/>
      <c r="FC91" s="38"/>
      <c r="FD91" s="13"/>
      <c r="FE91" s="107"/>
      <c r="FF91" s="107"/>
      <c r="FG91" s="105"/>
      <c r="FI91" s="13"/>
      <c r="FJ91" s="107"/>
      <c r="FK91" s="107"/>
      <c r="FL91" s="105"/>
      <c r="FN91" s="13"/>
      <c r="FO91" s="107"/>
      <c r="FP91" s="107"/>
      <c r="FQ91" s="105"/>
      <c r="FS91" s="13"/>
      <c r="FT91" s="107"/>
      <c r="FU91" s="107"/>
      <c r="FV91" s="105"/>
      <c r="FX91" s="13"/>
      <c r="FY91" s="107"/>
      <c r="FZ91" s="107"/>
      <c r="GA91" s="105"/>
      <c r="GC91" s="13"/>
      <c r="GD91" s="107"/>
      <c r="GE91" s="107"/>
      <c r="GF91" s="105"/>
      <c r="GH91" s="38"/>
      <c r="GI91" s="13"/>
      <c r="GJ91" s="107"/>
      <c r="GK91" s="107"/>
      <c r="GL91" s="105"/>
      <c r="GN91" s="13"/>
      <c r="GO91" s="107"/>
      <c r="GP91" s="107"/>
      <c r="GQ91" s="105"/>
      <c r="GS91" s="13"/>
      <c r="GT91" s="107"/>
      <c r="GU91" s="107"/>
      <c r="GV91" s="105"/>
      <c r="GX91" s="13"/>
      <c r="GY91" s="107"/>
      <c r="GZ91" s="107"/>
      <c r="HA91" s="105"/>
      <c r="HC91" s="13"/>
      <c r="HD91" s="107"/>
      <c r="HE91" s="107"/>
      <c r="HF91" s="105"/>
      <c r="HH91" s="13"/>
      <c r="HI91" s="107"/>
      <c r="HJ91" s="107"/>
      <c r="HK91" s="105"/>
      <c r="HM91" s="38"/>
      <c r="HN91" s="13"/>
      <c r="HO91" s="107"/>
      <c r="HP91" s="107"/>
      <c r="HQ91" s="105"/>
      <c r="HS91" s="13"/>
      <c r="HT91" s="107"/>
      <c r="HU91" s="107"/>
      <c r="HV91" s="105"/>
      <c r="HX91" s="13"/>
      <c r="HY91" s="107"/>
      <c r="HZ91" s="107"/>
      <c r="IA91" s="105"/>
      <c r="IC91" s="13"/>
      <c r="ID91" s="107"/>
      <c r="IE91" s="107"/>
      <c r="IF91" s="105"/>
      <c r="IH91" s="13"/>
      <c r="II91" s="107"/>
      <c r="IJ91" s="107"/>
      <c r="IK91" s="105"/>
      <c r="IM91" s="13"/>
      <c r="IN91" s="107"/>
      <c r="IO91" s="107"/>
      <c r="IP91" s="105"/>
      <c r="IR91" s="38"/>
      <c r="IS91" s="13"/>
      <c r="IT91" s="107"/>
      <c r="IU91" s="107"/>
      <c r="IV91" s="105"/>
      <c r="IX91" s="13"/>
      <c r="IY91" s="107"/>
      <c r="IZ91" s="107"/>
      <c r="JA91" s="105"/>
      <c r="JC91" s="13"/>
      <c r="JD91" s="107"/>
      <c r="JE91" s="107"/>
      <c r="JF91" s="105"/>
      <c r="JH91" s="13"/>
      <c r="JI91" s="107"/>
      <c r="JJ91" s="107"/>
      <c r="JK91" s="105"/>
      <c r="JM91" s="13"/>
      <c r="JN91" s="107"/>
      <c r="JO91" s="107"/>
      <c r="JP91" s="105"/>
      <c r="JR91" s="13"/>
      <c r="JS91" s="107"/>
      <c r="JT91" s="107"/>
      <c r="JU91" s="105"/>
      <c r="JW91" s="38"/>
      <c r="JX91" s="13"/>
      <c r="JY91" s="107"/>
      <c r="JZ91" s="107"/>
      <c r="KA91" s="105"/>
      <c r="KC91" s="13"/>
      <c r="KD91" s="107"/>
      <c r="KE91" s="107"/>
      <c r="KF91" s="105"/>
      <c r="KH91" s="13"/>
      <c r="KI91" s="107"/>
      <c r="KJ91" s="107"/>
      <c r="KK91" s="105"/>
      <c r="KM91" s="13"/>
      <c r="KN91" s="107"/>
      <c r="KO91" s="107"/>
      <c r="KP91" s="105"/>
      <c r="KR91" s="13"/>
      <c r="KS91" s="107"/>
      <c r="KT91" s="107"/>
      <c r="KU91" s="105"/>
      <c r="KW91" s="13"/>
      <c r="KX91" s="107"/>
      <c r="KY91" s="107"/>
      <c r="KZ91" s="105"/>
      <c r="LB91" s="38"/>
      <c r="LC91" s="13"/>
      <c r="LD91" s="107"/>
      <c r="LE91" s="107"/>
      <c r="LF91" s="105"/>
      <c r="LH91" s="13"/>
      <c r="LI91" s="107"/>
      <c r="LJ91" s="107"/>
      <c r="LK91" s="105"/>
      <c r="LM91" s="13"/>
      <c r="LN91" s="107"/>
      <c r="LO91" s="107"/>
      <c r="LP91" s="105"/>
      <c r="LR91" s="13"/>
      <c r="LS91" s="107"/>
      <c r="LT91" s="107"/>
      <c r="LU91" s="105"/>
      <c r="LW91" s="13"/>
      <c r="LX91" s="107"/>
      <c r="LY91" s="107"/>
      <c r="LZ91" s="105"/>
      <c r="MB91" s="13"/>
      <c r="MC91" s="107"/>
      <c r="MD91" s="107"/>
      <c r="ME91" s="105"/>
      <c r="MG91" s="38"/>
      <c r="MH91" s="13"/>
      <c r="MI91" s="107"/>
      <c r="MJ91" s="107"/>
      <c r="MK91" s="105"/>
      <c r="MM91" s="13"/>
      <c r="MN91" s="107"/>
      <c r="MO91" s="107"/>
      <c r="MP91" s="105"/>
      <c r="MR91" s="13"/>
      <c r="MS91" s="107"/>
      <c r="MT91" s="107"/>
      <c r="MU91" s="105"/>
      <c r="MW91" s="13"/>
      <c r="MX91" s="107"/>
      <c r="MY91" s="107"/>
      <c r="MZ91" s="105"/>
      <c r="NB91" s="13"/>
      <c r="NC91" s="107"/>
      <c r="ND91" s="107"/>
      <c r="NE91" s="105"/>
      <c r="NG91" s="13"/>
      <c r="NH91" s="107"/>
      <c r="NI91" s="107"/>
      <c r="NJ91" s="105"/>
      <c r="NL91" s="38"/>
      <c r="NM91" s="13"/>
      <c r="NN91" s="107"/>
      <c r="NO91" s="107"/>
      <c r="NP91" s="105"/>
      <c r="NR91" s="13"/>
      <c r="NS91" s="107"/>
      <c r="NT91" s="107"/>
      <c r="NU91" s="105"/>
      <c r="NW91" s="13"/>
      <c r="NX91" s="107"/>
      <c r="NY91" s="107"/>
      <c r="NZ91" s="105"/>
      <c r="OB91" s="13"/>
      <c r="OC91" s="107"/>
      <c r="OD91" s="107"/>
      <c r="OE91" s="105"/>
      <c r="OG91" s="13"/>
      <c r="OH91" s="107"/>
      <c r="OI91" s="107"/>
      <c r="OJ91" s="105"/>
      <c r="OL91" s="13"/>
      <c r="OM91" s="107"/>
      <c r="ON91" s="107"/>
      <c r="OO91" s="105"/>
    </row>
    <row r="92" ht="15.75" customHeight="1">
      <c r="A92" s="42"/>
      <c r="B92" s="42"/>
      <c r="C92" s="42"/>
      <c r="D92" s="38">
        <f t="shared" si="303"/>
        <v>45968</v>
      </c>
      <c r="E92" s="105" t="str">
        <f t="shared" ref="E92:I92" si="306">Y8</f>
        <v/>
      </c>
      <c r="F92" s="105" t="str">
        <f t="shared" si="306"/>
        <v/>
      </c>
      <c r="G92" s="105" t="str">
        <f t="shared" si="306"/>
        <v/>
      </c>
      <c r="H92" s="106" t="str">
        <f t="shared" si="306"/>
        <v/>
      </c>
      <c r="I92" s="106" t="str">
        <f t="shared" si="306"/>
        <v/>
      </c>
      <c r="J92" s="107" t="str">
        <f t="array" ref="J92">IFERROR(IF(XLOOKUP(CONCAT(E92,F92),'MASTER PLAN'!$AB:$AB,'MASTER PLAN'!$M:$M,0,0)=0,"",XLOOKUP(CONCAT(E92,F92),'MASTER PLAN'!$AB:$AB,'MASTER PLAN'!$M:$M,0,0)),"")</f>
        <v/>
      </c>
      <c r="K92" s="107">
        <f t="shared" si="237"/>
        <v>0</v>
      </c>
      <c r="L92" s="107">
        <f t="shared" si="238"/>
        <v>0</v>
      </c>
      <c r="M92" s="105" t="s">
        <v>246</v>
      </c>
      <c r="O92" s="13"/>
      <c r="P92" s="107"/>
      <c r="Q92" s="107"/>
      <c r="R92" s="105"/>
      <c r="T92" s="13"/>
      <c r="U92" s="107"/>
      <c r="V92" s="107"/>
      <c r="W92" s="105"/>
      <c r="Y92" s="13"/>
      <c r="Z92" s="107"/>
      <c r="AA92" s="107"/>
      <c r="AB92" s="105"/>
      <c r="AD92" s="13"/>
      <c r="AE92" s="107"/>
      <c r="AF92" s="107"/>
      <c r="AG92" s="105"/>
      <c r="AI92" s="38"/>
      <c r="AJ92" s="13"/>
      <c r="AK92" s="107"/>
      <c r="AL92" s="107"/>
      <c r="AM92" s="105"/>
      <c r="AO92" s="13"/>
      <c r="AP92" s="107"/>
      <c r="AQ92" s="107"/>
      <c r="AR92" s="105"/>
      <c r="AT92" s="13"/>
      <c r="AU92" s="107"/>
      <c r="AV92" s="107"/>
      <c r="AW92" s="105"/>
      <c r="AY92" s="13"/>
      <c r="AZ92" s="107"/>
      <c r="BA92" s="107"/>
      <c r="BB92" s="105"/>
      <c r="BD92" s="13"/>
      <c r="BE92" s="107"/>
      <c r="BF92" s="107"/>
      <c r="BG92" s="105"/>
      <c r="BI92" s="13"/>
      <c r="BJ92" s="107"/>
      <c r="BK92" s="107"/>
      <c r="BL92" s="105"/>
      <c r="BN92" s="38"/>
      <c r="BO92" s="13"/>
      <c r="BP92" s="107"/>
      <c r="BQ92" s="107"/>
      <c r="BR92" s="105"/>
      <c r="BT92" s="13"/>
      <c r="BU92" s="107"/>
      <c r="BV92" s="107"/>
      <c r="BW92" s="105"/>
      <c r="BY92" s="13"/>
      <c r="BZ92" s="107"/>
      <c r="CA92" s="107"/>
      <c r="CB92" s="105"/>
      <c r="CD92" s="13"/>
      <c r="CE92" s="107"/>
      <c r="CF92" s="107"/>
      <c r="CG92" s="105"/>
      <c r="CI92" s="13"/>
      <c r="CJ92" s="107"/>
      <c r="CK92" s="107"/>
      <c r="CL92" s="105"/>
      <c r="CN92" s="13"/>
      <c r="CO92" s="107"/>
      <c r="CP92" s="107"/>
      <c r="CQ92" s="105"/>
      <c r="CS92" s="38"/>
      <c r="CT92" s="13"/>
      <c r="CU92" s="107"/>
      <c r="CV92" s="107"/>
      <c r="CW92" s="105"/>
      <c r="CY92" s="13"/>
      <c r="CZ92" s="107"/>
      <c r="DA92" s="107"/>
      <c r="DB92" s="105"/>
      <c r="DD92" s="13"/>
      <c r="DE92" s="107"/>
      <c r="DF92" s="107"/>
      <c r="DG92" s="105"/>
      <c r="DI92" s="13"/>
      <c r="DJ92" s="107"/>
      <c r="DK92" s="107"/>
      <c r="DL92" s="105"/>
      <c r="DN92" s="13"/>
      <c r="DO92" s="107"/>
      <c r="DP92" s="107"/>
      <c r="DQ92" s="105"/>
      <c r="DS92" s="13"/>
      <c r="DT92" s="107"/>
      <c r="DU92" s="107"/>
      <c r="DV92" s="105"/>
      <c r="DX92" s="38"/>
      <c r="DY92" s="13"/>
      <c r="DZ92" s="107"/>
      <c r="EA92" s="107"/>
      <c r="EB92" s="105"/>
      <c r="ED92" s="13"/>
      <c r="EE92" s="107"/>
      <c r="EF92" s="107"/>
      <c r="EG92" s="105"/>
      <c r="EI92" s="13"/>
      <c r="EJ92" s="107"/>
      <c r="EK92" s="107"/>
      <c r="EL92" s="105"/>
      <c r="EN92" s="13"/>
      <c r="EO92" s="107"/>
      <c r="EP92" s="107"/>
      <c r="EQ92" s="105"/>
      <c r="ES92" s="13"/>
      <c r="ET92" s="107"/>
      <c r="EU92" s="107"/>
      <c r="EV92" s="105"/>
      <c r="EX92" s="13"/>
      <c r="EY92" s="107"/>
      <c r="EZ92" s="107"/>
      <c r="FA92" s="105"/>
      <c r="FC92" s="38"/>
      <c r="FD92" s="13"/>
      <c r="FE92" s="107"/>
      <c r="FF92" s="107"/>
      <c r="FG92" s="105"/>
      <c r="FI92" s="13"/>
      <c r="FJ92" s="107"/>
      <c r="FK92" s="107"/>
      <c r="FL92" s="105"/>
      <c r="FN92" s="13"/>
      <c r="FO92" s="107"/>
      <c r="FP92" s="107"/>
      <c r="FQ92" s="105"/>
      <c r="FS92" s="13"/>
      <c r="FT92" s="107"/>
      <c r="FU92" s="107"/>
      <c r="FV92" s="105"/>
      <c r="FX92" s="13"/>
      <c r="FY92" s="107"/>
      <c r="FZ92" s="107"/>
      <c r="GA92" s="105"/>
      <c r="GC92" s="13"/>
      <c r="GD92" s="107"/>
      <c r="GE92" s="107"/>
      <c r="GF92" s="105"/>
      <c r="GH92" s="38"/>
      <c r="GI92" s="13"/>
      <c r="GJ92" s="107"/>
      <c r="GK92" s="107"/>
      <c r="GL92" s="105"/>
      <c r="GN92" s="13"/>
      <c r="GO92" s="107"/>
      <c r="GP92" s="107"/>
      <c r="GQ92" s="105"/>
      <c r="GS92" s="13"/>
      <c r="GT92" s="107"/>
      <c r="GU92" s="107"/>
      <c r="GV92" s="105"/>
      <c r="GX92" s="13"/>
      <c r="GY92" s="107"/>
      <c r="GZ92" s="107"/>
      <c r="HA92" s="105"/>
      <c r="HC92" s="13"/>
      <c r="HD92" s="107"/>
      <c r="HE92" s="107"/>
      <c r="HF92" s="105"/>
      <c r="HH92" s="13"/>
      <c r="HI92" s="107"/>
      <c r="HJ92" s="107"/>
      <c r="HK92" s="105"/>
      <c r="HM92" s="38"/>
      <c r="HN92" s="13"/>
      <c r="HO92" s="107"/>
      <c r="HP92" s="107"/>
      <c r="HQ92" s="105"/>
      <c r="HS92" s="13"/>
      <c r="HT92" s="107"/>
      <c r="HU92" s="107"/>
      <c r="HV92" s="105"/>
      <c r="HX92" s="13"/>
      <c r="HY92" s="107"/>
      <c r="HZ92" s="107"/>
      <c r="IA92" s="105"/>
      <c r="IC92" s="13"/>
      <c r="ID92" s="107"/>
      <c r="IE92" s="107"/>
      <c r="IF92" s="105"/>
      <c r="IH92" s="13"/>
      <c r="II92" s="107"/>
      <c r="IJ92" s="107"/>
      <c r="IK92" s="105"/>
      <c r="IM92" s="13"/>
      <c r="IN92" s="107"/>
      <c r="IO92" s="107"/>
      <c r="IP92" s="105"/>
      <c r="IR92" s="38"/>
      <c r="IS92" s="13"/>
      <c r="IT92" s="107"/>
      <c r="IU92" s="107"/>
      <c r="IV92" s="105"/>
      <c r="IX92" s="13"/>
      <c r="IY92" s="107"/>
      <c r="IZ92" s="107"/>
      <c r="JA92" s="105"/>
      <c r="JC92" s="13"/>
      <c r="JD92" s="107"/>
      <c r="JE92" s="107"/>
      <c r="JF92" s="105"/>
      <c r="JH92" s="13"/>
      <c r="JI92" s="107"/>
      <c r="JJ92" s="107"/>
      <c r="JK92" s="105"/>
      <c r="JM92" s="13"/>
      <c r="JN92" s="107"/>
      <c r="JO92" s="107"/>
      <c r="JP92" s="105"/>
      <c r="JR92" s="13"/>
      <c r="JS92" s="107"/>
      <c r="JT92" s="107"/>
      <c r="JU92" s="105"/>
      <c r="JW92" s="38"/>
      <c r="JX92" s="13"/>
      <c r="JY92" s="107"/>
      <c r="JZ92" s="107"/>
      <c r="KA92" s="105"/>
      <c r="KC92" s="13"/>
      <c r="KD92" s="107"/>
      <c r="KE92" s="107"/>
      <c r="KF92" s="105"/>
      <c r="KH92" s="13"/>
      <c r="KI92" s="107"/>
      <c r="KJ92" s="107"/>
      <c r="KK92" s="105"/>
      <c r="KM92" s="13"/>
      <c r="KN92" s="107"/>
      <c r="KO92" s="107"/>
      <c r="KP92" s="105"/>
      <c r="KR92" s="13"/>
      <c r="KS92" s="107"/>
      <c r="KT92" s="107"/>
      <c r="KU92" s="105"/>
      <c r="KW92" s="13"/>
      <c r="KX92" s="107"/>
      <c r="KY92" s="107"/>
      <c r="KZ92" s="105"/>
      <c r="LB92" s="38"/>
      <c r="LC92" s="13"/>
      <c r="LD92" s="107"/>
      <c r="LE92" s="107"/>
      <c r="LF92" s="105"/>
      <c r="LH92" s="13"/>
      <c r="LI92" s="107"/>
      <c r="LJ92" s="107"/>
      <c r="LK92" s="105"/>
      <c r="LM92" s="13"/>
      <c r="LN92" s="107"/>
      <c r="LO92" s="107"/>
      <c r="LP92" s="105"/>
      <c r="LR92" s="13"/>
      <c r="LS92" s="107"/>
      <c r="LT92" s="107"/>
      <c r="LU92" s="105"/>
      <c r="LW92" s="13"/>
      <c r="LX92" s="107"/>
      <c r="LY92" s="107"/>
      <c r="LZ92" s="105"/>
      <c r="MB92" s="13"/>
      <c r="MC92" s="107"/>
      <c r="MD92" s="107"/>
      <c r="ME92" s="105"/>
      <c r="MG92" s="38"/>
      <c r="MH92" s="13"/>
      <c r="MI92" s="107"/>
      <c r="MJ92" s="107"/>
      <c r="MK92" s="105"/>
      <c r="MM92" s="13"/>
      <c r="MN92" s="107"/>
      <c r="MO92" s="107"/>
      <c r="MP92" s="105"/>
      <c r="MR92" s="13"/>
      <c r="MS92" s="107"/>
      <c r="MT92" s="107"/>
      <c r="MU92" s="105"/>
      <c r="MW92" s="13"/>
      <c r="MX92" s="107"/>
      <c r="MY92" s="107"/>
      <c r="MZ92" s="105"/>
      <c r="NB92" s="13"/>
      <c r="NC92" s="107"/>
      <c r="ND92" s="107"/>
      <c r="NE92" s="105"/>
      <c r="NG92" s="13"/>
      <c r="NH92" s="107"/>
      <c r="NI92" s="107"/>
      <c r="NJ92" s="105"/>
      <c r="NL92" s="38"/>
      <c r="NM92" s="13"/>
      <c r="NN92" s="107"/>
      <c r="NO92" s="107"/>
      <c r="NP92" s="105"/>
      <c r="NR92" s="13"/>
      <c r="NS92" s="107"/>
      <c r="NT92" s="107"/>
      <c r="NU92" s="105"/>
      <c r="NW92" s="13"/>
      <c r="NX92" s="107"/>
      <c r="NY92" s="107"/>
      <c r="NZ92" s="105"/>
      <c r="OB92" s="13"/>
      <c r="OC92" s="107"/>
      <c r="OD92" s="107"/>
      <c r="OE92" s="105"/>
      <c r="OG92" s="13"/>
      <c r="OH92" s="107"/>
      <c r="OI92" s="107"/>
      <c r="OJ92" s="105"/>
      <c r="OL92" s="13"/>
      <c r="OM92" s="107"/>
      <c r="ON92" s="107"/>
      <c r="OO92" s="105"/>
    </row>
    <row r="93" ht="15.75" customHeight="1">
      <c r="A93" s="42"/>
      <c r="B93" s="42"/>
      <c r="C93" s="42"/>
      <c r="D93" s="38">
        <f t="shared" si="303"/>
        <v>45968</v>
      </c>
      <c r="E93" s="105" t="str">
        <f t="shared" ref="E93:I93" si="307">Y12</f>
        <v/>
      </c>
      <c r="F93" s="105" t="str">
        <f t="shared" si="307"/>
        <v/>
      </c>
      <c r="G93" s="105" t="str">
        <f t="shared" si="307"/>
        <v/>
      </c>
      <c r="H93" s="106" t="str">
        <f t="shared" si="307"/>
        <v/>
      </c>
      <c r="I93" s="106" t="str">
        <f t="shared" si="307"/>
        <v/>
      </c>
      <c r="J93" s="107" t="str">
        <f t="array" ref="J93">IFERROR(IF(XLOOKUP(CONCAT(E93,F93),'MASTER PLAN'!$AB:$AB,'MASTER PLAN'!$M:$M,0,0)=0,"",XLOOKUP(CONCAT(E93,F93),'MASTER PLAN'!$AB:$AB,'MASTER PLAN'!$M:$M,0,0)),"")</f>
        <v/>
      </c>
      <c r="K93" s="107">
        <f t="shared" si="237"/>
        <v>0</v>
      </c>
      <c r="L93" s="107">
        <f t="shared" si="238"/>
        <v>0</v>
      </c>
      <c r="M93" s="105" t="s">
        <v>248</v>
      </c>
      <c r="O93" s="13"/>
      <c r="P93" s="107"/>
      <c r="Q93" s="107"/>
      <c r="R93" s="105"/>
      <c r="T93" s="13"/>
      <c r="U93" s="107"/>
      <c r="V93" s="107"/>
      <c r="W93" s="105"/>
      <c r="Y93" s="13"/>
      <c r="Z93" s="107"/>
      <c r="AA93" s="107"/>
      <c r="AB93" s="105"/>
      <c r="AD93" s="13"/>
      <c r="AE93" s="107"/>
      <c r="AF93" s="107"/>
      <c r="AG93" s="105"/>
      <c r="AI93" s="38"/>
      <c r="AJ93" s="13"/>
      <c r="AK93" s="107"/>
      <c r="AL93" s="107"/>
      <c r="AM93" s="105"/>
      <c r="AO93" s="13"/>
      <c r="AP93" s="107"/>
      <c r="AQ93" s="107"/>
      <c r="AR93" s="105"/>
      <c r="AT93" s="13"/>
      <c r="AU93" s="107"/>
      <c r="AV93" s="107"/>
      <c r="AW93" s="105"/>
      <c r="AY93" s="13"/>
      <c r="AZ93" s="107"/>
      <c r="BA93" s="107"/>
      <c r="BB93" s="105"/>
      <c r="BD93" s="13"/>
      <c r="BE93" s="107"/>
      <c r="BF93" s="107"/>
      <c r="BG93" s="105"/>
      <c r="BI93" s="13"/>
      <c r="BJ93" s="107"/>
      <c r="BK93" s="107"/>
      <c r="BL93" s="105"/>
      <c r="BN93" s="38"/>
      <c r="BO93" s="13"/>
      <c r="BP93" s="107"/>
      <c r="BQ93" s="107"/>
      <c r="BR93" s="105"/>
      <c r="BT93" s="13"/>
      <c r="BU93" s="107"/>
      <c r="BV93" s="107"/>
      <c r="BW93" s="105"/>
      <c r="BY93" s="13"/>
      <c r="BZ93" s="107"/>
      <c r="CA93" s="107"/>
      <c r="CB93" s="105"/>
      <c r="CD93" s="13"/>
      <c r="CE93" s="107"/>
      <c r="CF93" s="107"/>
      <c r="CG93" s="105"/>
      <c r="CI93" s="13"/>
      <c r="CJ93" s="107"/>
      <c r="CK93" s="107"/>
      <c r="CL93" s="105"/>
      <c r="CN93" s="13"/>
      <c r="CO93" s="107"/>
      <c r="CP93" s="107"/>
      <c r="CQ93" s="105"/>
      <c r="CS93" s="38"/>
      <c r="CT93" s="13"/>
      <c r="CU93" s="107"/>
      <c r="CV93" s="107"/>
      <c r="CW93" s="105"/>
      <c r="CY93" s="13"/>
      <c r="CZ93" s="107"/>
      <c r="DA93" s="107"/>
      <c r="DB93" s="105"/>
      <c r="DD93" s="13"/>
      <c r="DE93" s="107"/>
      <c r="DF93" s="107"/>
      <c r="DG93" s="105"/>
      <c r="DI93" s="13"/>
      <c r="DJ93" s="107"/>
      <c r="DK93" s="107"/>
      <c r="DL93" s="105"/>
      <c r="DN93" s="13"/>
      <c r="DO93" s="107"/>
      <c r="DP93" s="107"/>
      <c r="DQ93" s="105"/>
      <c r="DS93" s="13"/>
      <c r="DT93" s="107"/>
      <c r="DU93" s="107"/>
      <c r="DV93" s="105"/>
      <c r="DX93" s="38"/>
      <c r="DY93" s="13"/>
      <c r="DZ93" s="107"/>
      <c r="EA93" s="107"/>
      <c r="EB93" s="105"/>
      <c r="ED93" s="13"/>
      <c r="EE93" s="107"/>
      <c r="EF93" s="107"/>
      <c r="EG93" s="105"/>
      <c r="EI93" s="13"/>
      <c r="EJ93" s="107"/>
      <c r="EK93" s="107"/>
      <c r="EL93" s="105"/>
      <c r="EN93" s="13"/>
      <c r="EO93" s="107"/>
      <c r="EP93" s="107"/>
      <c r="EQ93" s="105"/>
      <c r="ES93" s="13"/>
      <c r="ET93" s="107"/>
      <c r="EU93" s="107"/>
      <c r="EV93" s="105"/>
      <c r="EX93" s="13"/>
      <c r="EY93" s="107"/>
      <c r="EZ93" s="107"/>
      <c r="FA93" s="105"/>
      <c r="FC93" s="38"/>
      <c r="FD93" s="13"/>
      <c r="FE93" s="107"/>
      <c r="FF93" s="107"/>
      <c r="FG93" s="105"/>
      <c r="FI93" s="13"/>
      <c r="FJ93" s="107"/>
      <c r="FK93" s="107"/>
      <c r="FL93" s="105"/>
      <c r="FN93" s="13"/>
      <c r="FO93" s="107"/>
      <c r="FP93" s="107"/>
      <c r="FQ93" s="105"/>
      <c r="FS93" s="13"/>
      <c r="FT93" s="107"/>
      <c r="FU93" s="107"/>
      <c r="FV93" s="105"/>
      <c r="FX93" s="13"/>
      <c r="FY93" s="107"/>
      <c r="FZ93" s="107"/>
      <c r="GA93" s="105"/>
      <c r="GC93" s="13"/>
      <c r="GD93" s="107"/>
      <c r="GE93" s="107"/>
      <c r="GF93" s="105"/>
      <c r="GH93" s="38"/>
      <c r="GI93" s="13"/>
      <c r="GJ93" s="107"/>
      <c r="GK93" s="107"/>
      <c r="GL93" s="105"/>
      <c r="GN93" s="13"/>
      <c r="GO93" s="107"/>
      <c r="GP93" s="107"/>
      <c r="GQ93" s="105"/>
      <c r="GS93" s="13"/>
      <c r="GT93" s="107"/>
      <c r="GU93" s="107"/>
      <c r="GV93" s="105"/>
      <c r="GX93" s="13"/>
      <c r="GY93" s="107"/>
      <c r="GZ93" s="107"/>
      <c r="HA93" s="105"/>
      <c r="HC93" s="13"/>
      <c r="HD93" s="107"/>
      <c r="HE93" s="107"/>
      <c r="HF93" s="105"/>
      <c r="HH93" s="13"/>
      <c r="HI93" s="107"/>
      <c r="HJ93" s="107"/>
      <c r="HK93" s="105"/>
      <c r="HM93" s="38"/>
      <c r="HN93" s="13"/>
      <c r="HO93" s="107"/>
      <c r="HP93" s="107"/>
      <c r="HQ93" s="105"/>
      <c r="HS93" s="13"/>
      <c r="HT93" s="107"/>
      <c r="HU93" s="107"/>
      <c r="HV93" s="105"/>
      <c r="HX93" s="13"/>
      <c r="HY93" s="107"/>
      <c r="HZ93" s="107"/>
      <c r="IA93" s="105"/>
      <c r="IC93" s="13"/>
      <c r="ID93" s="107"/>
      <c r="IE93" s="107"/>
      <c r="IF93" s="105"/>
      <c r="IH93" s="13"/>
      <c r="II93" s="107"/>
      <c r="IJ93" s="107"/>
      <c r="IK93" s="105"/>
      <c r="IM93" s="13"/>
      <c r="IN93" s="107"/>
      <c r="IO93" s="107"/>
      <c r="IP93" s="105"/>
      <c r="IR93" s="38"/>
      <c r="IS93" s="13"/>
      <c r="IT93" s="107"/>
      <c r="IU93" s="107"/>
      <c r="IV93" s="105"/>
      <c r="IX93" s="13"/>
      <c r="IY93" s="107"/>
      <c r="IZ93" s="107"/>
      <c r="JA93" s="105"/>
      <c r="JC93" s="13"/>
      <c r="JD93" s="107"/>
      <c r="JE93" s="107"/>
      <c r="JF93" s="105"/>
      <c r="JH93" s="13"/>
      <c r="JI93" s="107"/>
      <c r="JJ93" s="107"/>
      <c r="JK93" s="105"/>
      <c r="JM93" s="13"/>
      <c r="JN93" s="107"/>
      <c r="JO93" s="107"/>
      <c r="JP93" s="105"/>
      <c r="JR93" s="13"/>
      <c r="JS93" s="107"/>
      <c r="JT93" s="107"/>
      <c r="JU93" s="105"/>
      <c r="JW93" s="38"/>
      <c r="JX93" s="13"/>
      <c r="JY93" s="107"/>
      <c r="JZ93" s="107"/>
      <c r="KA93" s="105"/>
      <c r="KC93" s="13"/>
      <c r="KD93" s="107"/>
      <c r="KE93" s="107"/>
      <c r="KF93" s="105"/>
      <c r="KH93" s="13"/>
      <c r="KI93" s="107"/>
      <c r="KJ93" s="107"/>
      <c r="KK93" s="105"/>
      <c r="KM93" s="13"/>
      <c r="KN93" s="107"/>
      <c r="KO93" s="107"/>
      <c r="KP93" s="105"/>
      <c r="KR93" s="13"/>
      <c r="KS93" s="107"/>
      <c r="KT93" s="107"/>
      <c r="KU93" s="105"/>
      <c r="KW93" s="13"/>
      <c r="KX93" s="107"/>
      <c r="KY93" s="107"/>
      <c r="KZ93" s="105"/>
      <c r="LB93" s="38"/>
      <c r="LC93" s="13"/>
      <c r="LD93" s="107"/>
      <c r="LE93" s="107"/>
      <c r="LF93" s="105"/>
      <c r="LH93" s="13"/>
      <c r="LI93" s="107"/>
      <c r="LJ93" s="107"/>
      <c r="LK93" s="105"/>
      <c r="LM93" s="13"/>
      <c r="LN93" s="107"/>
      <c r="LO93" s="107"/>
      <c r="LP93" s="105"/>
      <c r="LR93" s="13"/>
      <c r="LS93" s="107"/>
      <c r="LT93" s="107"/>
      <c r="LU93" s="105"/>
      <c r="LW93" s="13"/>
      <c r="LX93" s="107"/>
      <c r="LY93" s="107"/>
      <c r="LZ93" s="105"/>
      <c r="MB93" s="13"/>
      <c r="MC93" s="107"/>
      <c r="MD93" s="107"/>
      <c r="ME93" s="105"/>
      <c r="MG93" s="38"/>
      <c r="MH93" s="13"/>
      <c r="MI93" s="107"/>
      <c r="MJ93" s="107"/>
      <c r="MK93" s="105"/>
      <c r="MM93" s="13"/>
      <c r="MN93" s="107"/>
      <c r="MO93" s="107"/>
      <c r="MP93" s="105"/>
      <c r="MR93" s="13"/>
      <c r="MS93" s="107"/>
      <c r="MT93" s="107"/>
      <c r="MU93" s="105"/>
      <c r="MW93" s="13"/>
      <c r="MX93" s="107"/>
      <c r="MY93" s="107"/>
      <c r="MZ93" s="105"/>
      <c r="NB93" s="13"/>
      <c r="NC93" s="107"/>
      <c r="ND93" s="107"/>
      <c r="NE93" s="105"/>
      <c r="NG93" s="13"/>
      <c r="NH93" s="107"/>
      <c r="NI93" s="107"/>
      <c r="NJ93" s="105"/>
      <c r="NL93" s="38"/>
      <c r="NM93" s="13"/>
      <c r="NN93" s="107"/>
      <c r="NO93" s="107"/>
      <c r="NP93" s="105"/>
      <c r="NR93" s="13"/>
      <c r="NS93" s="107"/>
      <c r="NT93" s="107"/>
      <c r="NU93" s="105"/>
      <c r="NW93" s="13"/>
      <c r="NX93" s="107"/>
      <c r="NY93" s="107"/>
      <c r="NZ93" s="105"/>
      <c r="OB93" s="13"/>
      <c r="OC93" s="107"/>
      <c r="OD93" s="107"/>
      <c r="OE93" s="105"/>
      <c r="OG93" s="13"/>
      <c r="OH93" s="107"/>
      <c r="OI93" s="107"/>
      <c r="OJ93" s="105"/>
      <c r="OL93" s="13"/>
      <c r="OM93" s="107"/>
      <c r="ON93" s="107"/>
      <c r="OO93" s="105"/>
    </row>
    <row r="94" ht="15.75" customHeight="1">
      <c r="A94" s="42"/>
      <c r="B94" s="42"/>
      <c r="C94" s="42"/>
      <c r="D94" s="38">
        <f t="shared" si="303"/>
        <v>45968</v>
      </c>
      <c r="E94" s="105" t="str">
        <f t="shared" ref="E94:I94" si="308">Y13</f>
        <v/>
      </c>
      <c r="F94" s="105" t="str">
        <f t="shared" si="308"/>
        <v/>
      </c>
      <c r="G94" s="105" t="str">
        <f t="shared" si="308"/>
        <v/>
      </c>
      <c r="H94" s="106" t="str">
        <f t="shared" si="308"/>
        <v/>
      </c>
      <c r="I94" s="106" t="str">
        <f t="shared" si="308"/>
        <v/>
      </c>
      <c r="J94" s="107" t="str">
        <f t="array" ref="J94">IFERROR(IF(XLOOKUP(CONCAT(E94,F94),'MASTER PLAN'!$AB:$AB,'MASTER PLAN'!$M:$M,0,0)=0,"",XLOOKUP(CONCAT(E94,F94),'MASTER PLAN'!$AB:$AB,'MASTER PLAN'!$M:$M,0,0)),"")</f>
        <v/>
      </c>
      <c r="K94" s="107">
        <f t="shared" si="237"/>
        <v>0</v>
      </c>
      <c r="L94" s="107">
        <f t="shared" si="238"/>
        <v>0</v>
      </c>
      <c r="M94" s="105" t="s">
        <v>248</v>
      </c>
      <c r="O94" s="13"/>
      <c r="P94" s="107"/>
      <c r="Q94" s="107"/>
      <c r="R94" s="105"/>
      <c r="T94" s="13"/>
      <c r="U94" s="107"/>
      <c r="V94" s="107"/>
      <c r="W94" s="105"/>
      <c r="Y94" s="13"/>
      <c r="Z94" s="107"/>
      <c r="AA94" s="107"/>
      <c r="AB94" s="105"/>
      <c r="AD94" s="13"/>
      <c r="AE94" s="107"/>
      <c r="AF94" s="107"/>
      <c r="AG94" s="105"/>
      <c r="AI94" s="38"/>
      <c r="AJ94" s="13"/>
      <c r="AK94" s="107"/>
      <c r="AL94" s="107"/>
      <c r="AM94" s="105"/>
      <c r="AO94" s="13"/>
      <c r="AP94" s="107"/>
      <c r="AQ94" s="107"/>
      <c r="AR94" s="105"/>
      <c r="AT94" s="13"/>
      <c r="AU94" s="107"/>
      <c r="AV94" s="107"/>
      <c r="AW94" s="105"/>
      <c r="AY94" s="13"/>
      <c r="AZ94" s="107"/>
      <c r="BA94" s="107"/>
      <c r="BB94" s="105"/>
      <c r="BD94" s="13"/>
      <c r="BE94" s="107"/>
      <c r="BF94" s="107"/>
      <c r="BG94" s="105"/>
      <c r="BI94" s="13"/>
      <c r="BJ94" s="107"/>
      <c r="BK94" s="107"/>
      <c r="BL94" s="105"/>
      <c r="BN94" s="38"/>
      <c r="BO94" s="13"/>
      <c r="BP94" s="107"/>
      <c r="BQ94" s="107"/>
      <c r="BR94" s="105"/>
      <c r="BT94" s="13"/>
      <c r="BU94" s="107"/>
      <c r="BV94" s="107"/>
      <c r="BW94" s="105"/>
      <c r="BY94" s="13"/>
      <c r="BZ94" s="107"/>
      <c r="CA94" s="107"/>
      <c r="CB94" s="105"/>
      <c r="CD94" s="13"/>
      <c r="CE94" s="107"/>
      <c r="CF94" s="107"/>
      <c r="CG94" s="105"/>
      <c r="CI94" s="13"/>
      <c r="CJ94" s="107"/>
      <c r="CK94" s="107"/>
      <c r="CL94" s="105"/>
      <c r="CN94" s="13"/>
      <c r="CO94" s="107"/>
      <c r="CP94" s="107"/>
      <c r="CQ94" s="105"/>
      <c r="CS94" s="38"/>
      <c r="CT94" s="13"/>
      <c r="CU94" s="107"/>
      <c r="CV94" s="107"/>
      <c r="CW94" s="105"/>
      <c r="CY94" s="13"/>
      <c r="CZ94" s="107"/>
      <c r="DA94" s="107"/>
      <c r="DB94" s="105"/>
      <c r="DD94" s="13"/>
      <c r="DE94" s="107"/>
      <c r="DF94" s="107"/>
      <c r="DG94" s="105"/>
      <c r="DI94" s="13"/>
      <c r="DJ94" s="107"/>
      <c r="DK94" s="107"/>
      <c r="DL94" s="105"/>
      <c r="DN94" s="13"/>
      <c r="DO94" s="107"/>
      <c r="DP94" s="107"/>
      <c r="DQ94" s="105"/>
      <c r="DS94" s="13"/>
      <c r="DT94" s="107"/>
      <c r="DU94" s="107"/>
      <c r="DV94" s="105"/>
      <c r="DX94" s="38"/>
      <c r="DY94" s="13"/>
      <c r="DZ94" s="107"/>
      <c r="EA94" s="107"/>
      <c r="EB94" s="105"/>
      <c r="ED94" s="13"/>
      <c r="EE94" s="107"/>
      <c r="EF94" s="107"/>
      <c r="EG94" s="105"/>
      <c r="EI94" s="13"/>
      <c r="EJ94" s="107"/>
      <c r="EK94" s="107"/>
      <c r="EL94" s="105"/>
      <c r="EN94" s="13"/>
      <c r="EO94" s="107"/>
      <c r="EP94" s="107"/>
      <c r="EQ94" s="105"/>
      <c r="ES94" s="13"/>
      <c r="ET94" s="107"/>
      <c r="EU94" s="107"/>
      <c r="EV94" s="105"/>
      <c r="EX94" s="13"/>
      <c r="EY94" s="107"/>
      <c r="EZ94" s="107"/>
      <c r="FA94" s="105"/>
      <c r="FC94" s="38"/>
      <c r="FD94" s="13"/>
      <c r="FE94" s="107"/>
      <c r="FF94" s="107"/>
      <c r="FG94" s="105"/>
      <c r="FI94" s="13"/>
      <c r="FJ94" s="107"/>
      <c r="FK94" s="107"/>
      <c r="FL94" s="105"/>
      <c r="FN94" s="13"/>
      <c r="FO94" s="107"/>
      <c r="FP94" s="107"/>
      <c r="FQ94" s="105"/>
      <c r="FS94" s="13"/>
      <c r="FT94" s="107"/>
      <c r="FU94" s="107"/>
      <c r="FV94" s="105"/>
      <c r="FX94" s="13"/>
      <c r="FY94" s="107"/>
      <c r="FZ94" s="107"/>
      <c r="GA94" s="105"/>
      <c r="GC94" s="13"/>
      <c r="GD94" s="107"/>
      <c r="GE94" s="107"/>
      <c r="GF94" s="105"/>
      <c r="GH94" s="38"/>
      <c r="GI94" s="13"/>
      <c r="GJ94" s="107"/>
      <c r="GK94" s="107"/>
      <c r="GL94" s="105"/>
      <c r="GN94" s="13"/>
      <c r="GO94" s="107"/>
      <c r="GP94" s="107"/>
      <c r="GQ94" s="105"/>
      <c r="GS94" s="13"/>
      <c r="GT94" s="107"/>
      <c r="GU94" s="107"/>
      <c r="GV94" s="105"/>
      <c r="GX94" s="13"/>
      <c r="GY94" s="107"/>
      <c r="GZ94" s="107"/>
      <c r="HA94" s="105"/>
      <c r="HC94" s="13"/>
      <c r="HD94" s="107"/>
      <c r="HE94" s="107"/>
      <c r="HF94" s="105"/>
      <c r="HH94" s="13"/>
      <c r="HI94" s="107"/>
      <c r="HJ94" s="107"/>
      <c r="HK94" s="105"/>
      <c r="HM94" s="38"/>
      <c r="HN94" s="13"/>
      <c r="HO94" s="107"/>
      <c r="HP94" s="107"/>
      <c r="HQ94" s="105"/>
      <c r="HS94" s="13"/>
      <c r="HT94" s="107"/>
      <c r="HU94" s="107"/>
      <c r="HV94" s="105"/>
      <c r="HX94" s="13"/>
      <c r="HY94" s="107"/>
      <c r="HZ94" s="107"/>
      <c r="IA94" s="105"/>
      <c r="IC94" s="13"/>
      <c r="ID94" s="107"/>
      <c r="IE94" s="107"/>
      <c r="IF94" s="105"/>
      <c r="IH94" s="13"/>
      <c r="II94" s="107"/>
      <c r="IJ94" s="107"/>
      <c r="IK94" s="105"/>
      <c r="IM94" s="13"/>
      <c r="IN94" s="107"/>
      <c r="IO94" s="107"/>
      <c r="IP94" s="105"/>
      <c r="IR94" s="38"/>
      <c r="IS94" s="13"/>
      <c r="IT94" s="107"/>
      <c r="IU94" s="107"/>
      <c r="IV94" s="105"/>
      <c r="IX94" s="13"/>
      <c r="IY94" s="107"/>
      <c r="IZ94" s="107"/>
      <c r="JA94" s="105"/>
      <c r="JC94" s="13"/>
      <c r="JD94" s="107"/>
      <c r="JE94" s="107"/>
      <c r="JF94" s="105"/>
      <c r="JH94" s="13"/>
      <c r="JI94" s="107"/>
      <c r="JJ94" s="107"/>
      <c r="JK94" s="105"/>
      <c r="JM94" s="13"/>
      <c r="JN94" s="107"/>
      <c r="JO94" s="107"/>
      <c r="JP94" s="105"/>
      <c r="JR94" s="13"/>
      <c r="JS94" s="107"/>
      <c r="JT94" s="107"/>
      <c r="JU94" s="105"/>
      <c r="JW94" s="38"/>
      <c r="JX94" s="13"/>
      <c r="JY94" s="107"/>
      <c r="JZ94" s="107"/>
      <c r="KA94" s="105"/>
      <c r="KC94" s="13"/>
      <c r="KD94" s="107"/>
      <c r="KE94" s="107"/>
      <c r="KF94" s="105"/>
      <c r="KH94" s="13"/>
      <c r="KI94" s="107"/>
      <c r="KJ94" s="107"/>
      <c r="KK94" s="105"/>
      <c r="KM94" s="13"/>
      <c r="KN94" s="107"/>
      <c r="KO94" s="107"/>
      <c r="KP94" s="105"/>
      <c r="KR94" s="13"/>
      <c r="KS94" s="107"/>
      <c r="KT94" s="107"/>
      <c r="KU94" s="105"/>
      <c r="KW94" s="13"/>
      <c r="KX94" s="107"/>
      <c r="KY94" s="107"/>
      <c r="KZ94" s="105"/>
      <c r="LB94" s="38"/>
      <c r="LC94" s="13"/>
      <c r="LD94" s="107"/>
      <c r="LE94" s="107"/>
      <c r="LF94" s="105"/>
      <c r="LH94" s="13"/>
      <c r="LI94" s="107"/>
      <c r="LJ94" s="107"/>
      <c r="LK94" s="105"/>
      <c r="LM94" s="13"/>
      <c r="LN94" s="107"/>
      <c r="LO94" s="107"/>
      <c r="LP94" s="105"/>
      <c r="LR94" s="13"/>
      <c r="LS94" s="107"/>
      <c r="LT94" s="107"/>
      <c r="LU94" s="105"/>
      <c r="LW94" s="13"/>
      <c r="LX94" s="107"/>
      <c r="LY94" s="107"/>
      <c r="LZ94" s="105"/>
      <c r="MB94" s="13"/>
      <c r="MC94" s="107"/>
      <c r="MD94" s="107"/>
      <c r="ME94" s="105"/>
      <c r="MG94" s="38"/>
      <c r="MH94" s="13"/>
      <c r="MI94" s="107"/>
      <c r="MJ94" s="107"/>
      <c r="MK94" s="105"/>
      <c r="MM94" s="13"/>
      <c r="MN94" s="107"/>
      <c r="MO94" s="107"/>
      <c r="MP94" s="105"/>
      <c r="MR94" s="13"/>
      <c r="MS94" s="107"/>
      <c r="MT94" s="107"/>
      <c r="MU94" s="105"/>
      <c r="MW94" s="13"/>
      <c r="MX94" s="107"/>
      <c r="MY94" s="107"/>
      <c r="MZ94" s="105"/>
      <c r="NB94" s="13"/>
      <c r="NC94" s="107"/>
      <c r="ND94" s="107"/>
      <c r="NE94" s="105"/>
      <c r="NG94" s="13"/>
      <c r="NH94" s="107"/>
      <c r="NI94" s="107"/>
      <c r="NJ94" s="105"/>
      <c r="NL94" s="38"/>
      <c r="NM94" s="13"/>
      <c r="NN94" s="107"/>
      <c r="NO94" s="107"/>
      <c r="NP94" s="105"/>
      <c r="NR94" s="13"/>
      <c r="NS94" s="107"/>
      <c r="NT94" s="107"/>
      <c r="NU94" s="105"/>
      <c r="NW94" s="13"/>
      <c r="NX94" s="107"/>
      <c r="NY94" s="107"/>
      <c r="NZ94" s="105"/>
      <c r="OB94" s="13"/>
      <c r="OC94" s="107"/>
      <c r="OD94" s="107"/>
      <c r="OE94" s="105"/>
      <c r="OG94" s="13"/>
      <c r="OH94" s="107"/>
      <c r="OI94" s="107"/>
      <c r="OJ94" s="105"/>
      <c r="OL94" s="13"/>
      <c r="OM94" s="107"/>
      <c r="ON94" s="107"/>
      <c r="OO94" s="105"/>
    </row>
    <row r="95" ht="15.75" customHeight="1">
      <c r="A95" s="42"/>
      <c r="B95" s="42"/>
      <c r="C95" s="42"/>
      <c r="D95" s="38">
        <f t="shared" si="303"/>
        <v>45968</v>
      </c>
      <c r="E95" s="105" t="str">
        <f t="shared" ref="E95:I95" si="309">Y14</f>
        <v/>
      </c>
      <c r="F95" s="105" t="str">
        <f t="shared" si="309"/>
        <v/>
      </c>
      <c r="G95" s="105" t="str">
        <f t="shared" si="309"/>
        <v/>
      </c>
      <c r="H95" s="106" t="str">
        <f t="shared" si="309"/>
        <v/>
      </c>
      <c r="I95" s="106" t="str">
        <f t="shared" si="309"/>
        <v/>
      </c>
      <c r="J95" s="107" t="str">
        <f t="array" ref="J95">IFERROR(IF(XLOOKUP(CONCAT(E95,F95),'MASTER PLAN'!$AB:$AB,'MASTER PLAN'!$M:$M,0,0)=0,"",XLOOKUP(CONCAT(E95,F95),'MASTER PLAN'!$AB:$AB,'MASTER PLAN'!$M:$M,0,0)),"")</f>
        <v/>
      </c>
      <c r="K95" s="107">
        <f t="shared" si="237"/>
        <v>0</v>
      </c>
      <c r="L95" s="107">
        <f t="shared" si="238"/>
        <v>0</v>
      </c>
      <c r="M95" s="105" t="s">
        <v>248</v>
      </c>
      <c r="O95" s="13"/>
      <c r="P95" s="107"/>
      <c r="Q95" s="107"/>
      <c r="R95" s="105"/>
      <c r="T95" s="13"/>
      <c r="U95" s="107"/>
      <c r="V95" s="107"/>
      <c r="W95" s="105"/>
      <c r="Y95" s="13"/>
      <c r="Z95" s="107"/>
      <c r="AA95" s="107"/>
      <c r="AB95" s="105"/>
      <c r="AD95" s="13"/>
      <c r="AE95" s="107"/>
      <c r="AF95" s="107"/>
      <c r="AG95" s="105"/>
      <c r="AI95" s="38"/>
      <c r="AJ95" s="13"/>
      <c r="AK95" s="107"/>
      <c r="AL95" s="107"/>
      <c r="AM95" s="105"/>
      <c r="AO95" s="13"/>
      <c r="AP95" s="107"/>
      <c r="AQ95" s="107"/>
      <c r="AR95" s="105"/>
      <c r="AT95" s="13"/>
      <c r="AU95" s="107"/>
      <c r="AV95" s="107"/>
      <c r="AW95" s="105"/>
      <c r="AY95" s="13"/>
      <c r="AZ95" s="107"/>
      <c r="BA95" s="107"/>
      <c r="BB95" s="105"/>
      <c r="BD95" s="13"/>
      <c r="BE95" s="107"/>
      <c r="BF95" s="107"/>
      <c r="BG95" s="105"/>
      <c r="BI95" s="13"/>
      <c r="BJ95" s="107"/>
      <c r="BK95" s="107"/>
      <c r="BL95" s="105"/>
      <c r="BN95" s="38"/>
      <c r="BO95" s="13"/>
      <c r="BP95" s="107"/>
      <c r="BQ95" s="107"/>
      <c r="BR95" s="105"/>
      <c r="BT95" s="13"/>
      <c r="BU95" s="107"/>
      <c r="BV95" s="107"/>
      <c r="BW95" s="105"/>
      <c r="BY95" s="13"/>
      <c r="BZ95" s="107"/>
      <c r="CA95" s="107"/>
      <c r="CB95" s="105"/>
      <c r="CD95" s="13"/>
      <c r="CE95" s="107"/>
      <c r="CF95" s="107"/>
      <c r="CG95" s="105"/>
      <c r="CI95" s="13"/>
      <c r="CJ95" s="107"/>
      <c r="CK95" s="107"/>
      <c r="CL95" s="105"/>
      <c r="CN95" s="13"/>
      <c r="CO95" s="107"/>
      <c r="CP95" s="107"/>
      <c r="CQ95" s="105"/>
      <c r="CS95" s="38"/>
      <c r="CT95" s="13"/>
      <c r="CU95" s="107"/>
      <c r="CV95" s="107"/>
      <c r="CW95" s="105"/>
      <c r="CY95" s="13"/>
      <c r="CZ95" s="107"/>
      <c r="DA95" s="107"/>
      <c r="DB95" s="105"/>
      <c r="DD95" s="13"/>
      <c r="DE95" s="107"/>
      <c r="DF95" s="107"/>
      <c r="DG95" s="105"/>
      <c r="DI95" s="13"/>
      <c r="DJ95" s="107"/>
      <c r="DK95" s="107"/>
      <c r="DL95" s="105"/>
      <c r="DN95" s="13"/>
      <c r="DO95" s="107"/>
      <c r="DP95" s="107"/>
      <c r="DQ95" s="105"/>
      <c r="DS95" s="13"/>
      <c r="DT95" s="107"/>
      <c r="DU95" s="107"/>
      <c r="DV95" s="105"/>
      <c r="DX95" s="38"/>
      <c r="DY95" s="13"/>
      <c r="DZ95" s="107"/>
      <c r="EA95" s="107"/>
      <c r="EB95" s="105"/>
      <c r="ED95" s="13"/>
      <c r="EE95" s="107"/>
      <c r="EF95" s="107"/>
      <c r="EG95" s="105"/>
      <c r="EI95" s="13"/>
      <c r="EJ95" s="107"/>
      <c r="EK95" s="107"/>
      <c r="EL95" s="105"/>
      <c r="EN95" s="13"/>
      <c r="EO95" s="107"/>
      <c r="EP95" s="107"/>
      <c r="EQ95" s="105"/>
      <c r="ES95" s="13"/>
      <c r="ET95" s="107"/>
      <c r="EU95" s="107"/>
      <c r="EV95" s="105"/>
      <c r="EX95" s="13"/>
      <c r="EY95" s="107"/>
      <c r="EZ95" s="107"/>
      <c r="FA95" s="105"/>
      <c r="FC95" s="38"/>
      <c r="FD95" s="13"/>
      <c r="FE95" s="107"/>
      <c r="FF95" s="107"/>
      <c r="FG95" s="105"/>
      <c r="FI95" s="13"/>
      <c r="FJ95" s="107"/>
      <c r="FK95" s="107"/>
      <c r="FL95" s="105"/>
      <c r="FN95" s="13"/>
      <c r="FO95" s="107"/>
      <c r="FP95" s="107"/>
      <c r="FQ95" s="105"/>
      <c r="FS95" s="13"/>
      <c r="FT95" s="107"/>
      <c r="FU95" s="107"/>
      <c r="FV95" s="105"/>
      <c r="FX95" s="13"/>
      <c r="FY95" s="107"/>
      <c r="FZ95" s="107"/>
      <c r="GA95" s="105"/>
      <c r="GC95" s="13"/>
      <c r="GD95" s="107"/>
      <c r="GE95" s="107"/>
      <c r="GF95" s="105"/>
      <c r="GH95" s="38"/>
      <c r="GI95" s="13"/>
      <c r="GJ95" s="107"/>
      <c r="GK95" s="107"/>
      <c r="GL95" s="105"/>
      <c r="GN95" s="13"/>
      <c r="GO95" s="107"/>
      <c r="GP95" s="107"/>
      <c r="GQ95" s="105"/>
      <c r="GS95" s="13"/>
      <c r="GT95" s="107"/>
      <c r="GU95" s="107"/>
      <c r="GV95" s="105"/>
      <c r="GX95" s="13"/>
      <c r="GY95" s="107"/>
      <c r="GZ95" s="107"/>
      <c r="HA95" s="105"/>
      <c r="HC95" s="13"/>
      <c r="HD95" s="107"/>
      <c r="HE95" s="107"/>
      <c r="HF95" s="105"/>
      <c r="HH95" s="13"/>
      <c r="HI95" s="107"/>
      <c r="HJ95" s="107"/>
      <c r="HK95" s="105"/>
      <c r="HM95" s="38"/>
      <c r="HN95" s="13"/>
      <c r="HO95" s="107"/>
      <c r="HP95" s="107"/>
      <c r="HQ95" s="105"/>
      <c r="HS95" s="13"/>
      <c r="HT95" s="107"/>
      <c r="HU95" s="107"/>
      <c r="HV95" s="105"/>
      <c r="HX95" s="13"/>
      <c r="HY95" s="107"/>
      <c r="HZ95" s="107"/>
      <c r="IA95" s="105"/>
      <c r="IC95" s="13"/>
      <c r="ID95" s="107"/>
      <c r="IE95" s="107"/>
      <c r="IF95" s="105"/>
      <c r="IH95" s="13"/>
      <c r="II95" s="107"/>
      <c r="IJ95" s="107"/>
      <c r="IK95" s="105"/>
      <c r="IM95" s="13"/>
      <c r="IN95" s="107"/>
      <c r="IO95" s="107"/>
      <c r="IP95" s="105"/>
      <c r="IR95" s="38"/>
      <c r="IS95" s="13"/>
      <c r="IT95" s="107"/>
      <c r="IU95" s="107"/>
      <c r="IV95" s="105"/>
      <c r="IX95" s="13"/>
      <c r="IY95" s="107"/>
      <c r="IZ95" s="107"/>
      <c r="JA95" s="105"/>
      <c r="JC95" s="13"/>
      <c r="JD95" s="107"/>
      <c r="JE95" s="107"/>
      <c r="JF95" s="105"/>
      <c r="JH95" s="13"/>
      <c r="JI95" s="107"/>
      <c r="JJ95" s="107"/>
      <c r="JK95" s="105"/>
      <c r="JM95" s="13"/>
      <c r="JN95" s="107"/>
      <c r="JO95" s="107"/>
      <c r="JP95" s="105"/>
      <c r="JR95" s="13"/>
      <c r="JS95" s="107"/>
      <c r="JT95" s="107"/>
      <c r="JU95" s="105"/>
      <c r="JW95" s="38"/>
      <c r="JX95" s="13"/>
      <c r="JY95" s="107"/>
      <c r="JZ95" s="107"/>
      <c r="KA95" s="105"/>
      <c r="KC95" s="13"/>
      <c r="KD95" s="107"/>
      <c r="KE95" s="107"/>
      <c r="KF95" s="105"/>
      <c r="KH95" s="13"/>
      <c r="KI95" s="107"/>
      <c r="KJ95" s="107"/>
      <c r="KK95" s="105"/>
      <c r="KM95" s="13"/>
      <c r="KN95" s="107"/>
      <c r="KO95" s="107"/>
      <c r="KP95" s="105"/>
      <c r="KR95" s="13"/>
      <c r="KS95" s="107"/>
      <c r="KT95" s="107"/>
      <c r="KU95" s="105"/>
      <c r="KW95" s="13"/>
      <c r="KX95" s="107"/>
      <c r="KY95" s="107"/>
      <c r="KZ95" s="105"/>
      <c r="LB95" s="38"/>
      <c r="LC95" s="13"/>
      <c r="LD95" s="107"/>
      <c r="LE95" s="107"/>
      <c r="LF95" s="105"/>
      <c r="LH95" s="13"/>
      <c r="LI95" s="107"/>
      <c r="LJ95" s="107"/>
      <c r="LK95" s="105"/>
      <c r="LM95" s="13"/>
      <c r="LN95" s="107"/>
      <c r="LO95" s="107"/>
      <c r="LP95" s="105"/>
      <c r="LR95" s="13"/>
      <c r="LS95" s="107"/>
      <c r="LT95" s="107"/>
      <c r="LU95" s="105"/>
      <c r="LW95" s="13"/>
      <c r="LX95" s="107"/>
      <c r="LY95" s="107"/>
      <c r="LZ95" s="105"/>
      <c r="MB95" s="13"/>
      <c r="MC95" s="107"/>
      <c r="MD95" s="107"/>
      <c r="ME95" s="105"/>
      <c r="MG95" s="38"/>
      <c r="MH95" s="13"/>
      <c r="MI95" s="107"/>
      <c r="MJ95" s="107"/>
      <c r="MK95" s="105"/>
      <c r="MM95" s="13"/>
      <c r="MN95" s="107"/>
      <c r="MO95" s="107"/>
      <c r="MP95" s="105"/>
      <c r="MR95" s="13"/>
      <c r="MS95" s="107"/>
      <c r="MT95" s="107"/>
      <c r="MU95" s="105"/>
      <c r="MW95" s="13"/>
      <c r="MX95" s="107"/>
      <c r="MY95" s="107"/>
      <c r="MZ95" s="105"/>
      <c r="NB95" s="13"/>
      <c r="NC95" s="107"/>
      <c r="ND95" s="107"/>
      <c r="NE95" s="105"/>
      <c r="NG95" s="13"/>
      <c r="NH95" s="107"/>
      <c r="NI95" s="107"/>
      <c r="NJ95" s="105"/>
      <c r="NL95" s="38"/>
      <c r="NM95" s="13"/>
      <c r="NN95" s="107"/>
      <c r="NO95" s="107"/>
      <c r="NP95" s="105"/>
      <c r="NR95" s="13"/>
      <c r="NS95" s="107"/>
      <c r="NT95" s="107"/>
      <c r="NU95" s="105"/>
      <c r="NW95" s="13"/>
      <c r="NX95" s="107"/>
      <c r="NY95" s="107"/>
      <c r="NZ95" s="105"/>
      <c r="OB95" s="13"/>
      <c r="OC95" s="107"/>
      <c r="OD95" s="107"/>
      <c r="OE95" s="105"/>
      <c r="OG95" s="13"/>
      <c r="OH95" s="107"/>
      <c r="OI95" s="107"/>
      <c r="OJ95" s="105"/>
      <c r="OL95" s="13"/>
      <c r="OM95" s="107"/>
      <c r="ON95" s="107"/>
      <c r="OO95" s="105"/>
    </row>
    <row r="96" ht="15.75" customHeight="1">
      <c r="A96" s="42"/>
      <c r="B96" s="42"/>
      <c r="C96" s="42"/>
      <c r="D96" s="38">
        <f t="shared" si="303"/>
        <v>45968</v>
      </c>
      <c r="E96" s="105" t="str">
        <f t="shared" ref="E96:I96" si="310">Y15</f>
        <v/>
      </c>
      <c r="F96" s="105" t="str">
        <f t="shared" si="310"/>
        <v/>
      </c>
      <c r="G96" s="105" t="str">
        <f t="shared" si="310"/>
        <v/>
      </c>
      <c r="H96" s="106" t="str">
        <f t="shared" si="310"/>
        <v/>
      </c>
      <c r="I96" s="106" t="str">
        <f t="shared" si="310"/>
        <v/>
      </c>
      <c r="J96" s="107" t="str">
        <f t="array" ref="J96">IFERROR(IF(XLOOKUP(CONCAT(E96,F96),'MASTER PLAN'!$AB:$AB,'MASTER PLAN'!$M:$M,0,0)=0,"",XLOOKUP(CONCAT(E96,F96),'MASTER PLAN'!$AB:$AB,'MASTER PLAN'!$M:$M,0,0)),"")</f>
        <v/>
      </c>
      <c r="K96" s="107">
        <f t="shared" si="237"/>
        <v>0</v>
      </c>
      <c r="L96" s="107">
        <f t="shared" si="238"/>
        <v>0</v>
      </c>
      <c r="M96" s="105" t="s">
        <v>248</v>
      </c>
      <c r="O96" s="13"/>
      <c r="P96" s="107"/>
      <c r="Q96" s="107"/>
      <c r="R96" s="105"/>
      <c r="T96" s="13"/>
      <c r="U96" s="107"/>
      <c r="V96" s="107"/>
      <c r="W96" s="105"/>
      <c r="Y96" s="13"/>
      <c r="Z96" s="107"/>
      <c r="AA96" s="107"/>
      <c r="AB96" s="105"/>
      <c r="AD96" s="13"/>
      <c r="AE96" s="107"/>
      <c r="AF96" s="107"/>
      <c r="AG96" s="105"/>
      <c r="AI96" s="38"/>
      <c r="AJ96" s="13"/>
      <c r="AK96" s="107"/>
      <c r="AL96" s="107"/>
      <c r="AM96" s="105"/>
      <c r="AO96" s="13"/>
      <c r="AP96" s="107"/>
      <c r="AQ96" s="107"/>
      <c r="AR96" s="105"/>
      <c r="AT96" s="13"/>
      <c r="AU96" s="107"/>
      <c r="AV96" s="107"/>
      <c r="AW96" s="105"/>
      <c r="AY96" s="13"/>
      <c r="AZ96" s="107"/>
      <c r="BA96" s="107"/>
      <c r="BB96" s="105"/>
      <c r="BD96" s="13"/>
      <c r="BE96" s="107"/>
      <c r="BF96" s="107"/>
      <c r="BG96" s="105"/>
      <c r="BI96" s="13"/>
      <c r="BJ96" s="107"/>
      <c r="BK96" s="107"/>
      <c r="BL96" s="105"/>
      <c r="BN96" s="38"/>
      <c r="BO96" s="13"/>
      <c r="BP96" s="107"/>
      <c r="BQ96" s="107"/>
      <c r="BR96" s="105"/>
      <c r="BT96" s="13"/>
      <c r="BU96" s="107"/>
      <c r="BV96" s="107"/>
      <c r="BW96" s="105"/>
      <c r="BY96" s="13"/>
      <c r="BZ96" s="107"/>
      <c r="CA96" s="107"/>
      <c r="CB96" s="105"/>
      <c r="CD96" s="13"/>
      <c r="CE96" s="107"/>
      <c r="CF96" s="107"/>
      <c r="CG96" s="105"/>
      <c r="CI96" s="13"/>
      <c r="CJ96" s="107"/>
      <c r="CK96" s="107"/>
      <c r="CL96" s="105"/>
      <c r="CN96" s="13"/>
      <c r="CO96" s="107"/>
      <c r="CP96" s="107"/>
      <c r="CQ96" s="105"/>
      <c r="CS96" s="38"/>
      <c r="CT96" s="13"/>
      <c r="CU96" s="107"/>
      <c r="CV96" s="107"/>
      <c r="CW96" s="105"/>
      <c r="CY96" s="13"/>
      <c r="CZ96" s="107"/>
      <c r="DA96" s="107"/>
      <c r="DB96" s="105"/>
      <c r="DD96" s="13"/>
      <c r="DE96" s="107"/>
      <c r="DF96" s="107"/>
      <c r="DG96" s="105"/>
      <c r="DI96" s="13"/>
      <c r="DJ96" s="107"/>
      <c r="DK96" s="107"/>
      <c r="DL96" s="105"/>
      <c r="DN96" s="13"/>
      <c r="DO96" s="107"/>
      <c r="DP96" s="107"/>
      <c r="DQ96" s="105"/>
      <c r="DS96" s="13"/>
      <c r="DT96" s="107"/>
      <c r="DU96" s="107"/>
      <c r="DV96" s="105"/>
      <c r="DX96" s="38"/>
      <c r="DY96" s="13"/>
      <c r="DZ96" s="107"/>
      <c r="EA96" s="107"/>
      <c r="EB96" s="105"/>
      <c r="ED96" s="13"/>
      <c r="EE96" s="107"/>
      <c r="EF96" s="107"/>
      <c r="EG96" s="105"/>
      <c r="EI96" s="13"/>
      <c r="EJ96" s="107"/>
      <c r="EK96" s="107"/>
      <c r="EL96" s="105"/>
      <c r="EN96" s="13"/>
      <c r="EO96" s="107"/>
      <c r="EP96" s="107"/>
      <c r="EQ96" s="105"/>
      <c r="ES96" s="13"/>
      <c r="ET96" s="107"/>
      <c r="EU96" s="107"/>
      <c r="EV96" s="105"/>
      <c r="EX96" s="13"/>
      <c r="EY96" s="107"/>
      <c r="EZ96" s="107"/>
      <c r="FA96" s="105"/>
      <c r="FC96" s="38"/>
      <c r="FD96" s="13"/>
      <c r="FE96" s="107"/>
      <c r="FF96" s="107"/>
      <c r="FG96" s="105"/>
      <c r="FI96" s="13"/>
      <c r="FJ96" s="107"/>
      <c r="FK96" s="107"/>
      <c r="FL96" s="105"/>
      <c r="FN96" s="13"/>
      <c r="FO96" s="107"/>
      <c r="FP96" s="107"/>
      <c r="FQ96" s="105"/>
      <c r="FS96" s="13"/>
      <c r="FT96" s="107"/>
      <c r="FU96" s="107"/>
      <c r="FV96" s="105"/>
      <c r="FX96" s="13"/>
      <c r="FY96" s="107"/>
      <c r="FZ96" s="107"/>
      <c r="GA96" s="105"/>
      <c r="GC96" s="13"/>
      <c r="GD96" s="107"/>
      <c r="GE96" s="107"/>
      <c r="GF96" s="105"/>
      <c r="GH96" s="38"/>
      <c r="GI96" s="13"/>
      <c r="GJ96" s="107"/>
      <c r="GK96" s="107"/>
      <c r="GL96" s="105"/>
      <c r="GN96" s="13"/>
      <c r="GO96" s="107"/>
      <c r="GP96" s="107"/>
      <c r="GQ96" s="105"/>
      <c r="GS96" s="13"/>
      <c r="GT96" s="107"/>
      <c r="GU96" s="107"/>
      <c r="GV96" s="105"/>
      <c r="GX96" s="13"/>
      <c r="GY96" s="107"/>
      <c r="GZ96" s="107"/>
      <c r="HA96" s="105"/>
      <c r="HC96" s="13"/>
      <c r="HD96" s="107"/>
      <c r="HE96" s="107"/>
      <c r="HF96" s="105"/>
      <c r="HH96" s="13"/>
      <c r="HI96" s="107"/>
      <c r="HJ96" s="107"/>
      <c r="HK96" s="105"/>
      <c r="HM96" s="38"/>
      <c r="HN96" s="13"/>
      <c r="HO96" s="107"/>
      <c r="HP96" s="107"/>
      <c r="HQ96" s="105"/>
      <c r="HS96" s="13"/>
      <c r="HT96" s="107"/>
      <c r="HU96" s="107"/>
      <c r="HV96" s="105"/>
      <c r="HX96" s="13"/>
      <c r="HY96" s="107"/>
      <c r="HZ96" s="107"/>
      <c r="IA96" s="105"/>
      <c r="IC96" s="13"/>
      <c r="ID96" s="107"/>
      <c r="IE96" s="107"/>
      <c r="IF96" s="105"/>
      <c r="IH96" s="13"/>
      <c r="II96" s="107"/>
      <c r="IJ96" s="107"/>
      <c r="IK96" s="105"/>
      <c r="IM96" s="13"/>
      <c r="IN96" s="107"/>
      <c r="IO96" s="107"/>
      <c r="IP96" s="105"/>
      <c r="IR96" s="38"/>
      <c r="IS96" s="13"/>
      <c r="IT96" s="107"/>
      <c r="IU96" s="107"/>
      <c r="IV96" s="105"/>
      <c r="IX96" s="13"/>
      <c r="IY96" s="107"/>
      <c r="IZ96" s="107"/>
      <c r="JA96" s="105"/>
      <c r="JC96" s="13"/>
      <c r="JD96" s="107"/>
      <c r="JE96" s="107"/>
      <c r="JF96" s="105"/>
      <c r="JH96" s="13"/>
      <c r="JI96" s="107"/>
      <c r="JJ96" s="107"/>
      <c r="JK96" s="105"/>
      <c r="JM96" s="13"/>
      <c r="JN96" s="107"/>
      <c r="JO96" s="107"/>
      <c r="JP96" s="105"/>
      <c r="JR96" s="13"/>
      <c r="JS96" s="107"/>
      <c r="JT96" s="107"/>
      <c r="JU96" s="105"/>
      <c r="JW96" s="38"/>
      <c r="JX96" s="13"/>
      <c r="JY96" s="107"/>
      <c r="JZ96" s="107"/>
      <c r="KA96" s="105"/>
      <c r="KC96" s="13"/>
      <c r="KD96" s="107"/>
      <c r="KE96" s="107"/>
      <c r="KF96" s="105"/>
      <c r="KH96" s="13"/>
      <c r="KI96" s="107"/>
      <c r="KJ96" s="107"/>
      <c r="KK96" s="105"/>
      <c r="KM96" s="13"/>
      <c r="KN96" s="107"/>
      <c r="KO96" s="107"/>
      <c r="KP96" s="105"/>
      <c r="KR96" s="13"/>
      <c r="KS96" s="107"/>
      <c r="KT96" s="107"/>
      <c r="KU96" s="105"/>
      <c r="KW96" s="13"/>
      <c r="KX96" s="107"/>
      <c r="KY96" s="107"/>
      <c r="KZ96" s="105"/>
      <c r="LB96" s="38"/>
      <c r="LC96" s="13"/>
      <c r="LD96" s="107"/>
      <c r="LE96" s="107"/>
      <c r="LF96" s="105"/>
      <c r="LH96" s="13"/>
      <c r="LI96" s="107"/>
      <c r="LJ96" s="107"/>
      <c r="LK96" s="105"/>
      <c r="LM96" s="13"/>
      <c r="LN96" s="107"/>
      <c r="LO96" s="107"/>
      <c r="LP96" s="105"/>
      <c r="LR96" s="13"/>
      <c r="LS96" s="107"/>
      <c r="LT96" s="107"/>
      <c r="LU96" s="105"/>
      <c r="LW96" s="13"/>
      <c r="LX96" s="107"/>
      <c r="LY96" s="107"/>
      <c r="LZ96" s="105"/>
      <c r="MB96" s="13"/>
      <c r="MC96" s="107"/>
      <c r="MD96" s="107"/>
      <c r="ME96" s="105"/>
      <c r="MG96" s="38"/>
      <c r="MH96" s="13"/>
      <c r="MI96" s="107"/>
      <c r="MJ96" s="107"/>
      <c r="MK96" s="105"/>
      <c r="MM96" s="13"/>
      <c r="MN96" s="107"/>
      <c r="MO96" s="107"/>
      <c r="MP96" s="105"/>
      <c r="MR96" s="13"/>
      <c r="MS96" s="107"/>
      <c r="MT96" s="107"/>
      <c r="MU96" s="105"/>
      <c r="MW96" s="13"/>
      <c r="MX96" s="107"/>
      <c r="MY96" s="107"/>
      <c r="MZ96" s="105"/>
      <c r="NB96" s="13"/>
      <c r="NC96" s="107"/>
      <c r="ND96" s="107"/>
      <c r="NE96" s="105"/>
      <c r="NG96" s="13"/>
      <c r="NH96" s="107"/>
      <c r="NI96" s="107"/>
      <c r="NJ96" s="105"/>
      <c r="NL96" s="38"/>
      <c r="NM96" s="13"/>
      <c r="NN96" s="107"/>
      <c r="NO96" s="107"/>
      <c r="NP96" s="105"/>
      <c r="NR96" s="13"/>
      <c r="NS96" s="107"/>
      <c r="NT96" s="107"/>
      <c r="NU96" s="105"/>
      <c r="NW96" s="13"/>
      <c r="NX96" s="107"/>
      <c r="NY96" s="107"/>
      <c r="NZ96" s="105"/>
      <c r="OB96" s="13"/>
      <c r="OC96" s="107"/>
      <c r="OD96" s="107"/>
      <c r="OE96" s="105"/>
      <c r="OG96" s="13"/>
      <c r="OH96" s="107"/>
      <c r="OI96" s="107"/>
      <c r="OJ96" s="105"/>
      <c r="OL96" s="13"/>
      <c r="OM96" s="107"/>
      <c r="ON96" s="107"/>
      <c r="OO96" s="105"/>
    </row>
    <row r="97" ht="15.75" customHeight="1">
      <c r="A97" s="42"/>
      <c r="B97" s="42"/>
      <c r="C97" s="42"/>
      <c r="D97" s="38">
        <f t="shared" si="303"/>
        <v>45968</v>
      </c>
      <c r="E97" s="105" t="str">
        <f t="shared" ref="E97:I97" si="311">Y16</f>
        <v/>
      </c>
      <c r="F97" s="105" t="str">
        <f t="shared" si="311"/>
        <v/>
      </c>
      <c r="G97" s="105" t="str">
        <f t="shared" si="311"/>
        <v/>
      </c>
      <c r="H97" s="106" t="str">
        <f t="shared" si="311"/>
        <v/>
      </c>
      <c r="I97" s="106" t="str">
        <f t="shared" si="311"/>
        <v/>
      </c>
      <c r="J97" s="107" t="str">
        <f t="array" ref="J97">IFERROR(IF(XLOOKUP(CONCAT(E97,F97),'MASTER PLAN'!$AB:$AB,'MASTER PLAN'!$M:$M,0,0)=0,"",XLOOKUP(CONCAT(E97,F97),'MASTER PLAN'!$AB:$AB,'MASTER PLAN'!$M:$M,0,0)),"")</f>
        <v/>
      </c>
      <c r="K97" s="107">
        <f t="shared" si="237"/>
        <v>0</v>
      </c>
      <c r="L97" s="107">
        <f t="shared" si="238"/>
        <v>0</v>
      </c>
      <c r="M97" s="105" t="s">
        <v>248</v>
      </c>
      <c r="O97" s="13"/>
      <c r="P97" s="107"/>
      <c r="Q97" s="107"/>
      <c r="R97" s="105"/>
      <c r="T97" s="13"/>
      <c r="U97" s="107"/>
      <c r="V97" s="107"/>
      <c r="W97" s="105"/>
      <c r="Y97" s="13"/>
      <c r="Z97" s="107"/>
      <c r="AA97" s="107"/>
      <c r="AB97" s="105"/>
      <c r="AD97" s="13"/>
      <c r="AE97" s="107"/>
      <c r="AF97" s="107"/>
      <c r="AG97" s="105"/>
      <c r="AI97" s="38"/>
      <c r="AJ97" s="13"/>
      <c r="AK97" s="107"/>
      <c r="AL97" s="107"/>
      <c r="AM97" s="105"/>
      <c r="AO97" s="13"/>
      <c r="AP97" s="107"/>
      <c r="AQ97" s="107"/>
      <c r="AR97" s="105"/>
      <c r="AT97" s="13"/>
      <c r="AU97" s="107"/>
      <c r="AV97" s="107"/>
      <c r="AW97" s="105"/>
      <c r="AY97" s="13"/>
      <c r="AZ97" s="107"/>
      <c r="BA97" s="107"/>
      <c r="BB97" s="105"/>
      <c r="BD97" s="13"/>
      <c r="BE97" s="107"/>
      <c r="BF97" s="107"/>
      <c r="BG97" s="105"/>
      <c r="BI97" s="13"/>
      <c r="BJ97" s="107"/>
      <c r="BK97" s="107"/>
      <c r="BL97" s="105"/>
      <c r="BN97" s="38"/>
      <c r="BO97" s="13"/>
      <c r="BP97" s="107"/>
      <c r="BQ97" s="107"/>
      <c r="BR97" s="105"/>
      <c r="BT97" s="13"/>
      <c r="BU97" s="107"/>
      <c r="BV97" s="107"/>
      <c r="BW97" s="105"/>
      <c r="BY97" s="13"/>
      <c r="BZ97" s="107"/>
      <c r="CA97" s="107"/>
      <c r="CB97" s="105"/>
      <c r="CD97" s="13"/>
      <c r="CE97" s="107"/>
      <c r="CF97" s="107"/>
      <c r="CG97" s="105"/>
      <c r="CI97" s="13"/>
      <c r="CJ97" s="107"/>
      <c r="CK97" s="107"/>
      <c r="CL97" s="105"/>
      <c r="CN97" s="13"/>
      <c r="CO97" s="107"/>
      <c r="CP97" s="107"/>
      <c r="CQ97" s="105"/>
      <c r="CS97" s="38"/>
      <c r="CT97" s="13"/>
      <c r="CU97" s="107"/>
      <c r="CV97" s="107"/>
      <c r="CW97" s="105"/>
      <c r="CY97" s="13"/>
      <c r="CZ97" s="107"/>
      <c r="DA97" s="107"/>
      <c r="DB97" s="105"/>
      <c r="DD97" s="13"/>
      <c r="DE97" s="107"/>
      <c r="DF97" s="107"/>
      <c r="DG97" s="105"/>
      <c r="DI97" s="13"/>
      <c r="DJ97" s="107"/>
      <c r="DK97" s="107"/>
      <c r="DL97" s="105"/>
      <c r="DN97" s="13"/>
      <c r="DO97" s="107"/>
      <c r="DP97" s="107"/>
      <c r="DQ97" s="105"/>
      <c r="DS97" s="13"/>
      <c r="DT97" s="107"/>
      <c r="DU97" s="107"/>
      <c r="DV97" s="105"/>
      <c r="DX97" s="38"/>
      <c r="DY97" s="13"/>
      <c r="DZ97" s="107"/>
      <c r="EA97" s="107"/>
      <c r="EB97" s="105"/>
      <c r="ED97" s="13"/>
      <c r="EE97" s="107"/>
      <c r="EF97" s="107"/>
      <c r="EG97" s="105"/>
      <c r="EI97" s="13"/>
      <c r="EJ97" s="107"/>
      <c r="EK97" s="107"/>
      <c r="EL97" s="105"/>
      <c r="EN97" s="13"/>
      <c r="EO97" s="107"/>
      <c r="EP97" s="107"/>
      <c r="EQ97" s="105"/>
      <c r="ES97" s="13"/>
      <c r="ET97" s="107"/>
      <c r="EU97" s="107"/>
      <c r="EV97" s="105"/>
      <c r="EX97" s="13"/>
      <c r="EY97" s="107"/>
      <c r="EZ97" s="107"/>
      <c r="FA97" s="105"/>
      <c r="FC97" s="38"/>
      <c r="FD97" s="13"/>
      <c r="FE97" s="107"/>
      <c r="FF97" s="107"/>
      <c r="FG97" s="105"/>
      <c r="FI97" s="13"/>
      <c r="FJ97" s="107"/>
      <c r="FK97" s="107"/>
      <c r="FL97" s="105"/>
      <c r="FN97" s="13"/>
      <c r="FO97" s="107"/>
      <c r="FP97" s="107"/>
      <c r="FQ97" s="105"/>
      <c r="FS97" s="13"/>
      <c r="FT97" s="107"/>
      <c r="FU97" s="107"/>
      <c r="FV97" s="105"/>
      <c r="FX97" s="13"/>
      <c r="FY97" s="107"/>
      <c r="FZ97" s="107"/>
      <c r="GA97" s="105"/>
      <c r="GC97" s="13"/>
      <c r="GD97" s="107"/>
      <c r="GE97" s="107"/>
      <c r="GF97" s="105"/>
      <c r="GH97" s="38"/>
      <c r="GI97" s="13"/>
      <c r="GJ97" s="107"/>
      <c r="GK97" s="107"/>
      <c r="GL97" s="105"/>
      <c r="GN97" s="13"/>
      <c r="GO97" s="107"/>
      <c r="GP97" s="107"/>
      <c r="GQ97" s="105"/>
      <c r="GS97" s="13"/>
      <c r="GT97" s="107"/>
      <c r="GU97" s="107"/>
      <c r="GV97" s="105"/>
      <c r="GX97" s="13"/>
      <c r="GY97" s="107"/>
      <c r="GZ97" s="107"/>
      <c r="HA97" s="105"/>
      <c r="HC97" s="13"/>
      <c r="HD97" s="107"/>
      <c r="HE97" s="107"/>
      <c r="HF97" s="105"/>
      <c r="HH97" s="13"/>
      <c r="HI97" s="107"/>
      <c r="HJ97" s="107"/>
      <c r="HK97" s="105"/>
      <c r="HM97" s="38"/>
      <c r="HN97" s="13"/>
      <c r="HO97" s="107"/>
      <c r="HP97" s="107"/>
      <c r="HQ97" s="105"/>
      <c r="HS97" s="13"/>
      <c r="HT97" s="107"/>
      <c r="HU97" s="107"/>
      <c r="HV97" s="105"/>
      <c r="HX97" s="13"/>
      <c r="HY97" s="107"/>
      <c r="HZ97" s="107"/>
      <c r="IA97" s="105"/>
      <c r="IC97" s="13"/>
      <c r="ID97" s="107"/>
      <c r="IE97" s="107"/>
      <c r="IF97" s="105"/>
      <c r="IH97" s="13"/>
      <c r="II97" s="107"/>
      <c r="IJ97" s="107"/>
      <c r="IK97" s="105"/>
      <c r="IM97" s="13"/>
      <c r="IN97" s="107"/>
      <c r="IO97" s="107"/>
      <c r="IP97" s="105"/>
      <c r="IR97" s="38"/>
      <c r="IS97" s="13"/>
      <c r="IT97" s="107"/>
      <c r="IU97" s="107"/>
      <c r="IV97" s="105"/>
      <c r="IX97" s="13"/>
      <c r="IY97" s="107"/>
      <c r="IZ97" s="107"/>
      <c r="JA97" s="105"/>
      <c r="JC97" s="13"/>
      <c r="JD97" s="107"/>
      <c r="JE97" s="107"/>
      <c r="JF97" s="105"/>
      <c r="JH97" s="13"/>
      <c r="JI97" s="107"/>
      <c r="JJ97" s="107"/>
      <c r="JK97" s="105"/>
      <c r="JM97" s="13"/>
      <c r="JN97" s="107"/>
      <c r="JO97" s="107"/>
      <c r="JP97" s="105"/>
      <c r="JR97" s="13"/>
      <c r="JS97" s="107"/>
      <c r="JT97" s="107"/>
      <c r="JU97" s="105"/>
      <c r="JW97" s="38"/>
      <c r="JX97" s="13"/>
      <c r="JY97" s="107"/>
      <c r="JZ97" s="107"/>
      <c r="KA97" s="105"/>
      <c r="KC97" s="13"/>
      <c r="KD97" s="107"/>
      <c r="KE97" s="107"/>
      <c r="KF97" s="105"/>
      <c r="KH97" s="13"/>
      <c r="KI97" s="107"/>
      <c r="KJ97" s="107"/>
      <c r="KK97" s="105"/>
      <c r="KM97" s="13"/>
      <c r="KN97" s="107"/>
      <c r="KO97" s="107"/>
      <c r="KP97" s="105"/>
      <c r="KR97" s="13"/>
      <c r="KS97" s="107"/>
      <c r="KT97" s="107"/>
      <c r="KU97" s="105"/>
      <c r="KW97" s="13"/>
      <c r="KX97" s="107"/>
      <c r="KY97" s="107"/>
      <c r="KZ97" s="105"/>
      <c r="LB97" s="38"/>
      <c r="LC97" s="13"/>
      <c r="LD97" s="107"/>
      <c r="LE97" s="107"/>
      <c r="LF97" s="105"/>
      <c r="LH97" s="13"/>
      <c r="LI97" s="107"/>
      <c r="LJ97" s="107"/>
      <c r="LK97" s="105"/>
      <c r="LM97" s="13"/>
      <c r="LN97" s="107"/>
      <c r="LO97" s="107"/>
      <c r="LP97" s="105"/>
      <c r="LR97" s="13"/>
      <c r="LS97" s="107"/>
      <c r="LT97" s="107"/>
      <c r="LU97" s="105"/>
      <c r="LW97" s="13"/>
      <c r="LX97" s="107"/>
      <c r="LY97" s="107"/>
      <c r="LZ97" s="105"/>
      <c r="MB97" s="13"/>
      <c r="MC97" s="107"/>
      <c r="MD97" s="107"/>
      <c r="ME97" s="105"/>
      <c r="MG97" s="38"/>
      <c r="MH97" s="13"/>
      <c r="MI97" s="107"/>
      <c r="MJ97" s="107"/>
      <c r="MK97" s="105"/>
      <c r="MM97" s="13"/>
      <c r="MN97" s="107"/>
      <c r="MO97" s="107"/>
      <c r="MP97" s="105"/>
      <c r="MR97" s="13"/>
      <c r="MS97" s="107"/>
      <c r="MT97" s="107"/>
      <c r="MU97" s="105"/>
      <c r="MW97" s="13"/>
      <c r="MX97" s="107"/>
      <c r="MY97" s="107"/>
      <c r="MZ97" s="105"/>
      <c r="NB97" s="13"/>
      <c r="NC97" s="107"/>
      <c r="ND97" s="107"/>
      <c r="NE97" s="105"/>
      <c r="NG97" s="13"/>
      <c r="NH97" s="107"/>
      <c r="NI97" s="107"/>
      <c r="NJ97" s="105"/>
      <c r="NL97" s="38"/>
      <c r="NM97" s="13"/>
      <c r="NN97" s="107"/>
      <c r="NO97" s="107"/>
      <c r="NP97" s="105"/>
      <c r="NR97" s="13"/>
      <c r="NS97" s="107"/>
      <c r="NT97" s="107"/>
      <c r="NU97" s="105"/>
      <c r="NW97" s="13"/>
      <c r="NX97" s="107"/>
      <c r="NY97" s="107"/>
      <c r="NZ97" s="105"/>
      <c r="OB97" s="13"/>
      <c r="OC97" s="107"/>
      <c r="OD97" s="107"/>
      <c r="OE97" s="105"/>
      <c r="OG97" s="13"/>
      <c r="OH97" s="107"/>
      <c r="OI97" s="107"/>
      <c r="OJ97" s="105"/>
      <c r="OL97" s="13"/>
      <c r="OM97" s="107"/>
      <c r="ON97" s="107"/>
      <c r="OO97" s="105"/>
    </row>
    <row r="98" ht="15.75" customHeight="1">
      <c r="A98" s="42"/>
      <c r="B98" s="42"/>
      <c r="C98" s="42"/>
      <c r="D98" s="38">
        <f t="shared" si="303"/>
        <v>45968</v>
      </c>
      <c r="E98" s="105" t="str">
        <f t="shared" ref="E98:I98" si="312">Y20</f>
        <v/>
      </c>
      <c r="F98" s="105" t="str">
        <f t="shared" si="312"/>
        <v/>
      </c>
      <c r="G98" s="105" t="str">
        <f t="shared" si="312"/>
        <v/>
      </c>
      <c r="H98" s="106" t="str">
        <f t="shared" si="312"/>
        <v/>
      </c>
      <c r="I98" s="106" t="str">
        <f t="shared" si="312"/>
        <v/>
      </c>
      <c r="J98" s="107" t="str">
        <f t="array" ref="J98">IFERROR(IF(XLOOKUP(CONCAT(E98,F98),'MASTER PLAN'!$AB:$AB,'MASTER PLAN'!$M:$M,0,0)=0,"",XLOOKUP(CONCAT(E98,F98),'MASTER PLAN'!$AB:$AB,'MASTER PLAN'!$M:$M,0,0)),"")</f>
        <v/>
      </c>
      <c r="K98" s="107">
        <f t="shared" si="237"/>
        <v>0</v>
      </c>
      <c r="L98" s="107">
        <f t="shared" si="238"/>
        <v>0</v>
      </c>
      <c r="M98" s="105" t="s">
        <v>249</v>
      </c>
      <c r="O98" s="13"/>
      <c r="P98" s="107"/>
      <c r="Q98" s="107"/>
      <c r="R98" s="105"/>
      <c r="T98" s="13"/>
      <c r="U98" s="107"/>
      <c r="V98" s="107"/>
      <c r="W98" s="105"/>
      <c r="Y98" s="13"/>
      <c r="Z98" s="107"/>
      <c r="AA98" s="107"/>
      <c r="AB98" s="105"/>
      <c r="AD98" s="13"/>
      <c r="AE98" s="107"/>
      <c r="AF98" s="107"/>
      <c r="AG98" s="105"/>
      <c r="AI98" s="38"/>
      <c r="AJ98" s="13"/>
      <c r="AK98" s="107"/>
      <c r="AL98" s="107"/>
      <c r="AM98" s="105"/>
      <c r="AO98" s="13"/>
      <c r="AP98" s="107"/>
      <c r="AQ98" s="107"/>
      <c r="AR98" s="105"/>
      <c r="AT98" s="13"/>
      <c r="AU98" s="107"/>
      <c r="AV98" s="107"/>
      <c r="AW98" s="105"/>
      <c r="AY98" s="13"/>
      <c r="AZ98" s="107"/>
      <c r="BA98" s="107"/>
      <c r="BB98" s="105"/>
      <c r="BD98" s="13"/>
      <c r="BE98" s="107"/>
      <c r="BF98" s="107"/>
      <c r="BG98" s="105"/>
      <c r="BI98" s="13"/>
      <c r="BJ98" s="107"/>
      <c r="BK98" s="107"/>
      <c r="BL98" s="105"/>
      <c r="BN98" s="38"/>
      <c r="BO98" s="13"/>
      <c r="BP98" s="107"/>
      <c r="BQ98" s="107"/>
      <c r="BR98" s="105"/>
      <c r="BT98" s="13"/>
      <c r="BU98" s="107"/>
      <c r="BV98" s="107"/>
      <c r="BW98" s="105"/>
      <c r="BY98" s="13"/>
      <c r="BZ98" s="107"/>
      <c r="CA98" s="107"/>
      <c r="CB98" s="105"/>
      <c r="CD98" s="13"/>
      <c r="CE98" s="107"/>
      <c r="CF98" s="107"/>
      <c r="CG98" s="105"/>
      <c r="CI98" s="13"/>
      <c r="CJ98" s="107"/>
      <c r="CK98" s="107"/>
      <c r="CL98" s="105"/>
      <c r="CN98" s="13"/>
      <c r="CO98" s="107"/>
      <c r="CP98" s="107"/>
      <c r="CQ98" s="105"/>
      <c r="CS98" s="38"/>
      <c r="CT98" s="13"/>
      <c r="CU98" s="107"/>
      <c r="CV98" s="107"/>
      <c r="CW98" s="105"/>
      <c r="CY98" s="13"/>
      <c r="CZ98" s="107"/>
      <c r="DA98" s="107"/>
      <c r="DB98" s="105"/>
      <c r="DD98" s="13"/>
      <c r="DE98" s="107"/>
      <c r="DF98" s="107"/>
      <c r="DG98" s="105"/>
      <c r="DI98" s="13"/>
      <c r="DJ98" s="107"/>
      <c r="DK98" s="107"/>
      <c r="DL98" s="105"/>
      <c r="DN98" s="13"/>
      <c r="DO98" s="107"/>
      <c r="DP98" s="107"/>
      <c r="DQ98" s="105"/>
      <c r="DS98" s="13"/>
      <c r="DT98" s="107"/>
      <c r="DU98" s="107"/>
      <c r="DV98" s="105"/>
      <c r="DX98" s="38"/>
      <c r="DY98" s="13"/>
      <c r="DZ98" s="107"/>
      <c r="EA98" s="107"/>
      <c r="EB98" s="105"/>
      <c r="ED98" s="13"/>
      <c r="EE98" s="107"/>
      <c r="EF98" s="107"/>
      <c r="EG98" s="105"/>
      <c r="EI98" s="13"/>
      <c r="EJ98" s="107"/>
      <c r="EK98" s="107"/>
      <c r="EL98" s="105"/>
      <c r="EN98" s="13"/>
      <c r="EO98" s="107"/>
      <c r="EP98" s="107"/>
      <c r="EQ98" s="105"/>
      <c r="ES98" s="13"/>
      <c r="ET98" s="107"/>
      <c r="EU98" s="107"/>
      <c r="EV98" s="105"/>
      <c r="EX98" s="13"/>
      <c r="EY98" s="107"/>
      <c r="EZ98" s="107"/>
      <c r="FA98" s="105"/>
      <c r="FC98" s="38"/>
      <c r="FD98" s="13"/>
      <c r="FE98" s="107"/>
      <c r="FF98" s="107"/>
      <c r="FG98" s="105"/>
      <c r="FI98" s="13"/>
      <c r="FJ98" s="107"/>
      <c r="FK98" s="107"/>
      <c r="FL98" s="105"/>
      <c r="FN98" s="13"/>
      <c r="FO98" s="107"/>
      <c r="FP98" s="107"/>
      <c r="FQ98" s="105"/>
      <c r="FS98" s="13"/>
      <c r="FT98" s="107"/>
      <c r="FU98" s="107"/>
      <c r="FV98" s="105"/>
      <c r="FX98" s="13"/>
      <c r="FY98" s="107"/>
      <c r="FZ98" s="107"/>
      <c r="GA98" s="105"/>
      <c r="GC98" s="13"/>
      <c r="GD98" s="107"/>
      <c r="GE98" s="107"/>
      <c r="GF98" s="105"/>
      <c r="GH98" s="38"/>
      <c r="GI98" s="13"/>
      <c r="GJ98" s="107"/>
      <c r="GK98" s="107"/>
      <c r="GL98" s="105"/>
      <c r="GN98" s="13"/>
      <c r="GO98" s="107"/>
      <c r="GP98" s="107"/>
      <c r="GQ98" s="105"/>
      <c r="GS98" s="13"/>
      <c r="GT98" s="107"/>
      <c r="GU98" s="107"/>
      <c r="GV98" s="105"/>
      <c r="GX98" s="13"/>
      <c r="GY98" s="107"/>
      <c r="GZ98" s="107"/>
      <c r="HA98" s="105"/>
      <c r="HC98" s="13"/>
      <c r="HD98" s="107"/>
      <c r="HE98" s="107"/>
      <c r="HF98" s="105"/>
      <c r="HH98" s="13"/>
      <c r="HI98" s="107"/>
      <c r="HJ98" s="107"/>
      <c r="HK98" s="105"/>
      <c r="HM98" s="38"/>
      <c r="HN98" s="13"/>
      <c r="HO98" s="107"/>
      <c r="HP98" s="107"/>
      <c r="HQ98" s="105"/>
      <c r="HS98" s="13"/>
      <c r="HT98" s="107"/>
      <c r="HU98" s="107"/>
      <c r="HV98" s="105"/>
      <c r="HX98" s="13"/>
      <c r="HY98" s="107"/>
      <c r="HZ98" s="107"/>
      <c r="IA98" s="105"/>
      <c r="IC98" s="13"/>
      <c r="ID98" s="107"/>
      <c r="IE98" s="107"/>
      <c r="IF98" s="105"/>
      <c r="IH98" s="13"/>
      <c r="II98" s="107"/>
      <c r="IJ98" s="107"/>
      <c r="IK98" s="105"/>
      <c r="IM98" s="13"/>
      <c r="IN98" s="107"/>
      <c r="IO98" s="107"/>
      <c r="IP98" s="105"/>
      <c r="IR98" s="38"/>
      <c r="IS98" s="13"/>
      <c r="IT98" s="107"/>
      <c r="IU98" s="107"/>
      <c r="IV98" s="105"/>
      <c r="IX98" s="13"/>
      <c r="IY98" s="107"/>
      <c r="IZ98" s="107"/>
      <c r="JA98" s="105"/>
      <c r="JC98" s="13"/>
      <c r="JD98" s="107"/>
      <c r="JE98" s="107"/>
      <c r="JF98" s="105"/>
      <c r="JH98" s="13"/>
      <c r="JI98" s="107"/>
      <c r="JJ98" s="107"/>
      <c r="JK98" s="105"/>
      <c r="JM98" s="13"/>
      <c r="JN98" s="107"/>
      <c r="JO98" s="107"/>
      <c r="JP98" s="105"/>
      <c r="JR98" s="13"/>
      <c r="JS98" s="107"/>
      <c r="JT98" s="107"/>
      <c r="JU98" s="105"/>
      <c r="JW98" s="38"/>
      <c r="JX98" s="13"/>
      <c r="JY98" s="107"/>
      <c r="JZ98" s="107"/>
      <c r="KA98" s="105"/>
      <c r="KC98" s="13"/>
      <c r="KD98" s="107"/>
      <c r="KE98" s="107"/>
      <c r="KF98" s="105"/>
      <c r="KH98" s="13"/>
      <c r="KI98" s="107"/>
      <c r="KJ98" s="107"/>
      <c r="KK98" s="105"/>
      <c r="KM98" s="13"/>
      <c r="KN98" s="107"/>
      <c r="KO98" s="107"/>
      <c r="KP98" s="105"/>
      <c r="KR98" s="13"/>
      <c r="KS98" s="107"/>
      <c r="KT98" s="107"/>
      <c r="KU98" s="105"/>
      <c r="KW98" s="13"/>
      <c r="KX98" s="107"/>
      <c r="KY98" s="107"/>
      <c r="KZ98" s="105"/>
      <c r="LB98" s="38"/>
      <c r="LC98" s="13"/>
      <c r="LD98" s="107"/>
      <c r="LE98" s="107"/>
      <c r="LF98" s="105"/>
      <c r="LH98" s="13"/>
      <c r="LI98" s="107"/>
      <c r="LJ98" s="107"/>
      <c r="LK98" s="105"/>
      <c r="LM98" s="13"/>
      <c r="LN98" s="107"/>
      <c r="LO98" s="107"/>
      <c r="LP98" s="105"/>
      <c r="LR98" s="13"/>
      <c r="LS98" s="107"/>
      <c r="LT98" s="107"/>
      <c r="LU98" s="105"/>
      <c r="LW98" s="13"/>
      <c r="LX98" s="107"/>
      <c r="LY98" s="107"/>
      <c r="LZ98" s="105"/>
      <c r="MB98" s="13"/>
      <c r="MC98" s="107"/>
      <c r="MD98" s="107"/>
      <c r="ME98" s="105"/>
      <c r="MG98" s="38"/>
      <c r="MH98" s="13"/>
      <c r="MI98" s="107"/>
      <c r="MJ98" s="107"/>
      <c r="MK98" s="105"/>
      <c r="MM98" s="13"/>
      <c r="MN98" s="107"/>
      <c r="MO98" s="107"/>
      <c r="MP98" s="105"/>
      <c r="MR98" s="13"/>
      <c r="MS98" s="107"/>
      <c r="MT98" s="107"/>
      <c r="MU98" s="105"/>
      <c r="MW98" s="13"/>
      <c r="MX98" s="107"/>
      <c r="MY98" s="107"/>
      <c r="MZ98" s="105"/>
      <c r="NB98" s="13"/>
      <c r="NC98" s="107"/>
      <c r="ND98" s="107"/>
      <c r="NE98" s="105"/>
      <c r="NG98" s="13"/>
      <c r="NH98" s="107"/>
      <c r="NI98" s="107"/>
      <c r="NJ98" s="105"/>
      <c r="NL98" s="38"/>
      <c r="NM98" s="13"/>
      <c r="NN98" s="107"/>
      <c r="NO98" s="107"/>
      <c r="NP98" s="105"/>
      <c r="NR98" s="13"/>
      <c r="NS98" s="107"/>
      <c r="NT98" s="107"/>
      <c r="NU98" s="105"/>
      <c r="NW98" s="13"/>
      <c r="NX98" s="107"/>
      <c r="NY98" s="107"/>
      <c r="NZ98" s="105"/>
      <c r="OB98" s="13"/>
      <c r="OC98" s="107"/>
      <c r="OD98" s="107"/>
      <c r="OE98" s="105"/>
      <c r="OG98" s="13"/>
      <c r="OH98" s="107"/>
      <c r="OI98" s="107"/>
      <c r="OJ98" s="105"/>
      <c r="OL98" s="13"/>
      <c r="OM98" s="107"/>
      <c r="ON98" s="107"/>
      <c r="OO98" s="105"/>
    </row>
    <row r="99" ht="15.75" customHeight="1">
      <c r="A99" s="42"/>
      <c r="B99" s="42"/>
      <c r="C99" s="42"/>
      <c r="D99" s="38">
        <f t="shared" si="303"/>
        <v>45968</v>
      </c>
      <c r="E99" s="105" t="str">
        <f t="shared" ref="E99:I99" si="313">Y21</f>
        <v/>
      </c>
      <c r="F99" s="105" t="str">
        <f t="shared" si="313"/>
        <v/>
      </c>
      <c r="G99" s="105" t="str">
        <f t="shared" si="313"/>
        <v/>
      </c>
      <c r="H99" s="106" t="str">
        <f t="shared" si="313"/>
        <v/>
      </c>
      <c r="I99" s="106" t="str">
        <f t="shared" si="313"/>
        <v/>
      </c>
      <c r="J99" s="107" t="str">
        <f t="array" ref="J99">IFERROR(IF(XLOOKUP(CONCAT(E99,F99),'MASTER PLAN'!$AB:$AB,'MASTER PLAN'!$M:$M,0,0)=0,"",XLOOKUP(CONCAT(E99,F99),'MASTER PLAN'!$AB:$AB,'MASTER PLAN'!$M:$M,0,0)),"")</f>
        <v/>
      </c>
      <c r="K99" s="107">
        <f t="shared" si="237"/>
        <v>0</v>
      </c>
      <c r="L99" s="107">
        <f t="shared" si="238"/>
        <v>0</v>
      </c>
      <c r="M99" s="105" t="s">
        <v>249</v>
      </c>
      <c r="O99" s="13"/>
      <c r="P99" s="107"/>
      <c r="Q99" s="107"/>
      <c r="R99" s="105"/>
      <c r="T99" s="13"/>
      <c r="U99" s="107"/>
      <c r="V99" s="107"/>
      <c r="W99" s="105"/>
      <c r="Y99" s="13"/>
      <c r="Z99" s="107"/>
      <c r="AA99" s="107"/>
      <c r="AB99" s="105"/>
      <c r="AD99" s="13"/>
      <c r="AE99" s="107"/>
      <c r="AF99" s="107"/>
      <c r="AG99" s="105"/>
      <c r="AI99" s="38"/>
      <c r="AJ99" s="13"/>
      <c r="AK99" s="107"/>
      <c r="AL99" s="107"/>
      <c r="AM99" s="105"/>
      <c r="AO99" s="13"/>
      <c r="AP99" s="107"/>
      <c r="AQ99" s="107"/>
      <c r="AR99" s="105"/>
      <c r="AT99" s="13"/>
      <c r="AU99" s="107"/>
      <c r="AV99" s="107"/>
      <c r="AW99" s="105"/>
      <c r="AY99" s="13"/>
      <c r="AZ99" s="107"/>
      <c r="BA99" s="107"/>
      <c r="BB99" s="105"/>
      <c r="BD99" s="13"/>
      <c r="BE99" s="107"/>
      <c r="BF99" s="107"/>
      <c r="BG99" s="105"/>
      <c r="BI99" s="13"/>
      <c r="BJ99" s="107"/>
      <c r="BK99" s="107"/>
      <c r="BL99" s="105"/>
      <c r="BN99" s="38"/>
      <c r="BO99" s="13"/>
      <c r="BP99" s="107"/>
      <c r="BQ99" s="107"/>
      <c r="BR99" s="105"/>
      <c r="BT99" s="13"/>
      <c r="BU99" s="107"/>
      <c r="BV99" s="107"/>
      <c r="BW99" s="105"/>
      <c r="BY99" s="13"/>
      <c r="BZ99" s="107"/>
      <c r="CA99" s="107"/>
      <c r="CB99" s="105"/>
      <c r="CD99" s="13"/>
      <c r="CE99" s="107"/>
      <c r="CF99" s="107"/>
      <c r="CG99" s="105"/>
      <c r="CI99" s="13"/>
      <c r="CJ99" s="107"/>
      <c r="CK99" s="107"/>
      <c r="CL99" s="105"/>
      <c r="CN99" s="13"/>
      <c r="CO99" s="107"/>
      <c r="CP99" s="107"/>
      <c r="CQ99" s="105"/>
      <c r="CS99" s="38"/>
      <c r="CT99" s="13"/>
      <c r="CU99" s="107"/>
      <c r="CV99" s="107"/>
      <c r="CW99" s="105"/>
      <c r="CY99" s="13"/>
      <c r="CZ99" s="107"/>
      <c r="DA99" s="107"/>
      <c r="DB99" s="105"/>
      <c r="DD99" s="13"/>
      <c r="DE99" s="107"/>
      <c r="DF99" s="107"/>
      <c r="DG99" s="105"/>
      <c r="DI99" s="13"/>
      <c r="DJ99" s="107"/>
      <c r="DK99" s="107"/>
      <c r="DL99" s="105"/>
      <c r="DN99" s="13"/>
      <c r="DO99" s="107"/>
      <c r="DP99" s="107"/>
      <c r="DQ99" s="105"/>
      <c r="DS99" s="13"/>
      <c r="DT99" s="107"/>
      <c r="DU99" s="107"/>
      <c r="DV99" s="105"/>
      <c r="DX99" s="38"/>
      <c r="DY99" s="13"/>
      <c r="DZ99" s="107"/>
      <c r="EA99" s="107"/>
      <c r="EB99" s="105"/>
      <c r="ED99" s="13"/>
      <c r="EE99" s="107"/>
      <c r="EF99" s="107"/>
      <c r="EG99" s="105"/>
      <c r="EI99" s="13"/>
      <c r="EJ99" s="107"/>
      <c r="EK99" s="107"/>
      <c r="EL99" s="105"/>
      <c r="EN99" s="13"/>
      <c r="EO99" s="107"/>
      <c r="EP99" s="107"/>
      <c r="EQ99" s="105"/>
      <c r="ES99" s="13"/>
      <c r="ET99" s="107"/>
      <c r="EU99" s="107"/>
      <c r="EV99" s="105"/>
      <c r="EX99" s="13"/>
      <c r="EY99" s="107"/>
      <c r="EZ99" s="107"/>
      <c r="FA99" s="105"/>
      <c r="FC99" s="38"/>
      <c r="FD99" s="13"/>
      <c r="FE99" s="107"/>
      <c r="FF99" s="107"/>
      <c r="FG99" s="105"/>
      <c r="FI99" s="13"/>
      <c r="FJ99" s="107"/>
      <c r="FK99" s="107"/>
      <c r="FL99" s="105"/>
      <c r="FN99" s="13"/>
      <c r="FO99" s="107"/>
      <c r="FP99" s="107"/>
      <c r="FQ99" s="105"/>
      <c r="FS99" s="13"/>
      <c r="FT99" s="107"/>
      <c r="FU99" s="107"/>
      <c r="FV99" s="105"/>
      <c r="FX99" s="13"/>
      <c r="FY99" s="107"/>
      <c r="FZ99" s="107"/>
      <c r="GA99" s="105"/>
      <c r="GC99" s="13"/>
      <c r="GD99" s="107"/>
      <c r="GE99" s="107"/>
      <c r="GF99" s="105"/>
      <c r="GH99" s="38"/>
      <c r="GI99" s="13"/>
      <c r="GJ99" s="107"/>
      <c r="GK99" s="107"/>
      <c r="GL99" s="105"/>
      <c r="GN99" s="13"/>
      <c r="GO99" s="107"/>
      <c r="GP99" s="107"/>
      <c r="GQ99" s="105"/>
      <c r="GS99" s="13"/>
      <c r="GT99" s="107"/>
      <c r="GU99" s="107"/>
      <c r="GV99" s="105"/>
      <c r="GX99" s="13"/>
      <c r="GY99" s="107"/>
      <c r="GZ99" s="107"/>
      <c r="HA99" s="105"/>
      <c r="HC99" s="13"/>
      <c r="HD99" s="107"/>
      <c r="HE99" s="107"/>
      <c r="HF99" s="105"/>
      <c r="HH99" s="13"/>
      <c r="HI99" s="107"/>
      <c r="HJ99" s="107"/>
      <c r="HK99" s="105"/>
      <c r="HM99" s="38"/>
      <c r="HN99" s="13"/>
      <c r="HO99" s="107"/>
      <c r="HP99" s="107"/>
      <c r="HQ99" s="105"/>
      <c r="HS99" s="13"/>
      <c r="HT99" s="107"/>
      <c r="HU99" s="107"/>
      <c r="HV99" s="105"/>
      <c r="HX99" s="13"/>
      <c r="HY99" s="107"/>
      <c r="HZ99" s="107"/>
      <c r="IA99" s="105"/>
      <c r="IC99" s="13"/>
      <c r="ID99" s="107"/>
      <c r="IE99" s="107"/>
      <c r="IF99" s="105"/>
      <c r="IH99" s="13"/>
      <c r="II99" s="107"/>
      <c r="IJ99" s="107"/>
      <c r="IK99" s="105"/>
      <c r="IM99" s="13"/>
      <c r="IN99" s="107"/>
      <c r="IO99" s="107"/>
      <c r="IP99" s="105"/>
      <c r="IR99" s="38"/>
      <c r="IS99" s="13"/>
      <c r="IT99" s="107"/>
      <c r="IU99" s="107"/>
      <c r="IV99" s="105"/>
      <c r="IX99" s="13"/>
      <c r="IY99" s="107"/>
      <c r="IZ99" s="107"/>
      <c r="JA99" s="105"/>
      <c r="JC99" s="13"/>
      <c r="JD99" s="107"/>
      <c r="JE99" s="107"/>
      <c r="JF99" s="105"/>
      <c r="JH99" s="13"/>
      <c r="JI99" s="107"/>
      <c r="JJ99" s="107"/>
      <c r="JK99" s="105"/>
      <c r="JM99" s="13"/>
      <c r="JN99" s="107"/>
      <c r="JO99" s="107"/>
      <c r="JP99" s="105"/>
      <c r="JR99" s="13"/>
      <c r="JS99" s="107"/>
      <c r="JT99" s="107"/>
      <c r="JU99" s="105"/>
      <c r="JW99" s="38"/>
      <c r="JX99" s="13"/>
      <c r="JY99" s="107"/>
      <c r="JZ99" s="107"/>
      <c r="KA99" s="105"/>
      <c r="KC99" s="13"/>
      <c r="KD99" s="107"/>
      <c r="KE99" s="107"/>
      <c r="KF99" s="105"/>
      <c r="KH99" s="13"/>
      <c r="KI99" s="107"/>
      <c r="KJ99" s="107"/>
      <c r="KK99" s="105"/>
      <c r="KM99" s="13"/>
      <c r="KN99" s="107"/>
      <c r="KO99" s="107"/>
      <c r="KP99" s="105"/>
      <c r="KR99" s="13"/>
      <c r="KS99" s="107"/>
      <c r="KT99" s="107"/>
      <c r="KU99" s="105"/>
      <c r="KW99" s="13"/>
      <c r="KX99" s="107"/>
      <c r="KY99" s="107"/>
      <c r="KZ99" s="105"/>
      <c r="LB99" s="38"/>
      <c r="LC99" s="13"/>
      <c r="LD99" s="107"/>
      <c r="LE99" s="107"/>
      <c r="LF99" s="105"/>
      <c r="LH99" s="13"/>
      <c r="LI99" s="107"/>
      <c r="LJ99" s="107"/>
      <c r="LK99" s="105"/>
      <c r="LM99" s="13"/>
      <c r="LN99" s="107"/>
      <c r="LO99" s="107"/>
      <c r="LP99" s="105"/>
      <c r="LR99" s="13"/>
      <c r="LS99" s="107"/>
      <c r="LT99" s="107"/>
      <c r="LU99" s="105"/>
      <c r="LW99" s="13"/>
      <c r="LX99" s="107"/>
      <c r="LY99" s="107"/>
      <c r="LZ99" s="105"/>
      <c r="MB99" s="13"/>
      <c r="MC99" s="107"/>
      <c r="MD99" s="107"/>
      <c r="ME99" s="105"/>
      <c r="MG99" s="38"/>
      <c r="MH99" s="13"/>
      <c r="MI99" s="107"/>
      <c r="MJ99" s="107"/>
      <c r="MK99" s="105"/>
      <c r="MM99" s="13"/>
      <c r="MN99" s="107"/>
      <c r="MO99" s="107"/>
      <c r="MP99" s="105"/>
      <c r="MR99" s="13"/>
      <c r="MS99" s="107"/>
      <c r="MT99" s="107"/>
      <c r="MU99" s="105"/>
      <c r="MW99" s="13"/>
      <c r="MX99" s="107"/>
      <c r="MY99" s="107"/>
      <c r="MZ99" s="105"/>
      <c r="NB99" s="13"/>
      <c r="NC99" s="107"/>
      <c r="ND99" s="107"/>
      <c r="NE99" s="105"/>
      <c r="NG99" s="13"/>
      <c r="NH99" s="107"/>
      <c r="NI99" s="107"/>
      <c r="NJ99" s="105"/>
      <c r="NL99" s="38"/>
      <c r="NM99" s="13"/>
      <c r="NN99" s="107"/>
      <c r="NO99" s="107"/>
      <c r="NP99" s="105"/>
      <c r="NR99" s="13"/>
      <c r="NS99" s="107"/>
      <c r="NT99" s="107"/>
      <c r="NU99" s="105"/>
      <c r="NW99" s="13"/>
      <c r="NX99" s="107"/>
      <c r="NY99" s="107"/>
      <c r="NZ99" s="105"/>
      <c r="OB99" s="13"/>
      <c r="OC99" s="107"/>
      <c r="OD99" s="107"/>
      <c r="OE99" s="105"/>
      <c r="OG99" s="13"/>
      <c r="OH99" s="107"/>
      <c r="OI99" s="107"/>
      <c r="OJ99" s="105"/>
      <c r="OL99" s="13"/>
      <c r="OM99" s="107"/>
      <c r="ON99" s="107"/>
      <c r="OO99" s="105"/>
    </row>
    <row r="100" ht="15.75" customHeight="1">
      <c r="A100" s="42"/>
      <c r="B100" s="42"/>
      <c r="C100" s="42"/>
      <c r="D100" s="38">
        <f t="shared" si="303"/>
        <v>45968</v>
      </c>
      <c r="E100" s="105" t="str">
        <f t="shared" ref="E100:I100" si="314">Y22</f>
        <v/>
      </c>
      <c r="F100" s="105" t="str">
        <f t="shared" si="314"/>
        <v/>
      </c>
      <c r="G100" s="105" t="str">
        <f t="shared" si="314"/>
        <v/>
      </c>
      <c r="H100" s="106" t="str">
        <f t="shared" si="314"/>
        <v/>
      </c>
      <c r="I100" s="106" t="str">
        <f t="shared" si="314"/>
        <v/>
      </c>
      <c r="J100" s="107" t="str">
        <f t="array" ref="J100">IFERROR(IF(XLOOKUP(CONCAT(E100,F100),'MASTER PLAN'!$AB:$AB,'MASTER PLAN'!$M:$M,0,0)=0,"",XLOOKUP(CONCAT(E100,F100),'MASTER PLAN'!$AB:$AB,'MASTER PLAN'!$M:$M,0,0)),"")</f>
        <v/>
      </c>
      <c r="K100" s="107">
        <f t="shared" si="237"/>
        <v>0</v>
      </c>
      <c r="L100" s="107">
        <f t="shared" si="238"/>
        <v>0</v>
      </c>
      <c r="M100" s="105" t="s">
        <v>249</v>
      </c>
      <c r="O100" s="13"/>
      <c r="P100" s="107"/>
      <c r="Q100" s="107"/>
      <c r="R100" s="105"/>
      <c r="T100" s="13"/>
      <c r="U100" s="107"/>
      <c r="V100" s="107"/>
      <c r="W100" s="105"/>
      <c r="Y100" s="13"/>
      <c r="Z100" s="107"/>
      <c r="AA100" s="107"/>
      <c r="AB100" s="105"/>
      <c r="AD100" s="13"/>
      <c r="AE100" s="107"/>
      <c r="AF100" s="107"/>
      <c r="AG100" s="105"/>
      <c r="AI100" s="38"/>
      <c r="AJ100" s="13"/>
      <c r="AK100" s="107"/>
      <c r="AL100" s="107"/>
      <c r="AM100" s="105"/>
      <c r="AO100" s="13"/>
      <c r="AP100" s="107"/>
      <c r="AQ100" s="107"/>
      <c r="AR100" s="105"/>
      <c r="AT100" s="13"/>
      <c r="AU100" s="107"/>
      <c r="AV100" s="107"/>
      <c r="AW100" s="105"/>
      <c r="AY100" s="13"/>
      <c r="AZ100" s="107"/>
      <c r="BA100" s="107"/>
      <c r="BB100" s="105"/>
      <c r="BD100" s="13"/>
      <c r="BE100" s="107"/>
      <c r="BF100" s="107"/>
      <c r="BG100" s="105"/>
      <c r="BI100" s="13"/>
      <c r="BJ100" s="107"/>
      <c r="BK100" s="107"/>
      <c r="BL100" s="105"/>
      <c r="BN100" s="38"/>
      <c r="BO100" s="13"/>
      <c r="BP100" s="107"/>
      <c r="BQ100" s="107"/>
      <c r="BR100" s="105"/>
      <c r="BT100" s="13"/>
      <c r="BU100" s="107"/>
      <c r="BV100" s="107"/>
      <c r="BW100" s="105"/>
      <c r="BY100" s="13"/>
      <c r="BZ100" s="107"/>
      <c r="CA100" s="107"/>
      <c r="CB100" s="105"/>
      <c r="CD100" s="13"/>
      <c r="CE100" s="107"/>
      <c r="CF100" s="107"/>
      <c r="CG100" s="105"/>
      <c r="CI100" s="13"/>
      <c r="CJ100" s="107"/>
      <c r="CK100" s="107"/>
      <c r="CL100" s="105"/>
      <c r="CN100" s="13"/>
      <c r="CO100" s="107"/>
      <c r="CP100" s="107"/>
      <c r="CQ100" s="105"/>
      <c r="CS100" s="38"/>
      <c r="CT100" s="13"/>
      <c r="CU100" s="107"/>
      <c r="CV100" s="107"/>
      <c r="CW100" s="105"/>
      <c r="CY100" s="13"/>
      <c r="CZ100" s="107"/>
      <c r="DA100" s="107"/>
      <c r="DB100" s="105"/>
      <c r="DD100" s="13"/>
      <c r="DE100" s="107"/>
      <c r="DF100" s="107"/>
      <c r="DG100" s="105"/>
      <c r="DI100" s="13"/>
      <c r="DJ100" s="107"/>
      <c r="DK100" s="107"/>
      <c r="DL100" s="105"/>
      <c r="DN100" s="13"/>
      <c r="DO100" s="107"/>
      <c r="DP100" s="107"/>
      <c r="DQ100" s="105"/>
      <c r="DS100" s="13"/>
      <c r="DT100" s="107"/>
      <c r="DU100" s="107"/>
      <c r="DV100" s="105"/>
      <c r="DX100" s="38"/>
      <c r="DY100" s="13"/>
      <c r="DZ100" s="107"/>
      <c r="EA100" s="107"/>
      <c r="EB100" s="105"/>
      <c r="ED100" s="13"/>
      <c r="EE100" s="107"/>
      <c r="EF100" s="107"/>
      <c r="EG100" s="105"/>
      <c r="EI100" s="13"/>
      <c r="EJ100" s="107"/>
      <c r="EK100" s="107"/>
      <c r="EL100" s="105"/>
      <c r="EN100" s="13"/>
      <c r="EO100" s="107"/>
      <c r="EP100" s="107"/>
      <c r="EQ100" s="105"/>
      <c r="ES100" s="13"/>
      <c r="ET100" s="107"/>
      <c r="EU100" s="107"/>
      <c r="EV100" s="105"/>
      <c r="EX100" s="13"/>
      <c r="EY100" s="107"/>
      <c r="EZ100" s="107"/>
      <c r="FA100" s="105"/>
      <c r="FC100" s="38"/>
      <c r="FD100" s="13"/>
      <c r="FE100" s="107"/>
      <c r="FF100" s="107"/>
      <c r="FG100" s="105"/>
      <c r="FI100" s="13"/>
      <c r="FJ100" s="107"/>
      <c r="FK100" s="107"/>
      <c r="FL100" s="105"/>
      <c r="FN100" s="13"/>
      <c r="FO100" s="107"/>
      <c r="FP100" s="107"/>
      <c r="FQ100" s="105"/>
      <c r="FS100" s="13"/>
      <c r="FT100" s="107"/>
      <c r="FU100" s="107"/>
      <c r="FV100" s="105"/>
      <c r="FX100" s="13"/>
      <c r="FY100" s="107"/>
      <c r="FZ100" s="107"/>
      <c r="GA100" s="105"/>
      <c r="GC100" s="13"/>
      <c r="GD100" s="107"/>
      <c r="GE100" s="107"/>
      <c r="GF100" s="105"/>
      <c r="GH100" s="38"/>
      <c r="GI100" s="13"/>
      <c r="GJ100" s="107"/>
      <c r="GK100" s="107"/>
      <c r="GL100" s="105"/>
      <c r="GN100" s="13"/>
      <c r="GO100" s="107"/>
      <c r="GP100" s="107"/>
      <c r="GQ100" s="105"/>
      <c r="GS100" s="13"/>
      <c r="GT100" s="107"/>
      <c r="GU100" s="107"/>
      <c r="GV100" s="105"/>
      <c r="GX100" s="13"/>
      <c r="GY100" s="107"/>
      <c r="GZ100" s="107"/>
      <c r="HA100" s="105"/>
      <c r="HC100" s="13"/>
      <c r="HD100" s="107"/>
      <c r="HE100" s="107"/>
      <c r="HF100" s="105"/>
      <c r="HH100" s="13"/>
      <c r="HI100" s="107"/>
      <c r="HJ100" s="107"/>
      <c r="HK100" s="105"/>
      <c r="HM100" s="38"/>
      <c r="HN100" s="13"/>
      <c r="HO100" s="107"/>
      <c r="HP100" s="107"/>
      <c r="HQ100" s="105"/>
      <c r="HS100" s="13"/>
      <c r="HT100" s="107"/>
      <c r="HU100" s="107"/>
      <c r="HV100" s="105"/>
      <c r="HX100" s="13"/>
      <c r="HY100" s="107"/>
      <c r="HZ100" s="107"/>
      <c r="IA100" s="105"/>
      <c r="IC100" s="13"/>
      <c r="ID100" s="107"/>
      <c r="IE100" s="107"/>
      <c r="IF100" s="105"/>
      <c r="IH100" s="13"/>
      <c r="II100" s="107"/>
      <c r="IJ100" s="107"/>
      <c r="IK100" s="105"/>
      <c r="IM100" s="13"/>
      <c r="IN100" s="107"/>
      <c r="IO100" s="107"/>
      <c r="IP100" s="105"/>
      <c r="IR100" s="38"/>
      <c r="IS100" s="13"/>
      <c r="IT100" s="107"/>
      <c r="IU100" s="107"/>
      <c r="IV100" s="105"/>
      <c r="IX100" s="13"/>
      <c r="IY100" s="107"/>
      <c r="IZ100" s="107"/>
      <c r="JA100" s="105"/>
      <c r="JC100" s="13"/>
      <c r="JD100" s="107"/>
      <c r="JE100" s="107"/>
      <c r="JF100" s="105"/>
      <c r="JH100" s="13"/>
      <c r="JI100" s="107"/>
      <c r="JJ100" s="107"/>
      <c r="JK100" s="105"/>
      <c r="JM100" s="13"/>
      <c r="JN100" s="107"/>
      <c r="JO100" s="107"/>
      <c r="JP100" s="105"/>
      <c r="JR100" s="13"/>
      <c r="JS100" s="107"/>
      <c r="JT100" s="107"/>
      <c r="JU100" s="105"/>
      <c r="JW100" s="38"/>
      <c r="JX100" s="13"/>
      <c r="JY100" s="107"/>
      <c r="JZ100" s="107"/>
      <c r="KA100" s="105"/>
      <c r="KC100" s="13"/>
      <c r="KD100" s="107"/>
      <c r="KE100" s="107"/>
      <c r="KF100" s="105"/>
      <c r="KH100" s="13"/>
      <c r="KI100" s="107"/>
      <c r="KJ100" s="107"/>
      <c r="KK100" s="105"/>
      <c r="KM100" s="13"/>
      <c r="KN100" s="107"/>
      <c r="KO100" s="107"/>
      <c r="KP100" s="105"/>
      <c r="KR100" s="13"/>
      <c r="KS100" s="107"/>
      <c r="KT100" s="107"/>
      <c r="KU100" s="105"/>
      <c r="KW100" s="13"/>
      <c r="KX100" s="107"/>
      <c r="KY100" s="107"/>
      <c r="KZ100" s="105"/>
      <c r="LB100" s="38"/>
      <c r="LC100" s="13"/>
      <c r="LD100" s="107"/>
      <c r="LE100" s="107"/>
      <c r="LF100" s="105"/>
      <c r="LH100" s="13"/>
      <c r="LI100" s="107"/>
      <c r="LJ100" s="107"/>
      <c r="LK100" s="105"/>
      <c r="LM100" s="13"/>
      <c r="LN100" s="107"/>
      <c r="LO100" s="107"/>
      <c r="LP100" s="105"/>
      <c r="LR100" s="13"/>
      <c r="LS100" s="107"/>
      <c r="LT100" s="107"/>
      <c r="LU100" s="105"/>
      <c r="LW100" s="13"/>
      <c r="LX100" s="107"/>
      <c r="LY100" s="107"/>
      <c r="LZ100" s="105"/>
      <c r="MB100" s="13"/>
      <c r="MC100" s="107"/>
      <c r="MD100" s="107"/>
      <c r="ME100" s="105"/>
      <c r="MG100" s="38"/>
      <c r="MH100" s="13"/>
      <c r="MI100" s="107"/>
      <c r="MJ100" s="107"/>
      <c r="MK100" s="105"/>
      <c r="MM100" s="13"/>
      <c r="MN100" s="107"/>
      <c r="MO100" s="107"/>
      <c r="MP100" s="105"/>
      <c r="MR100" s="13"/>
      <c r="MS100" s="107"/>
      <c r="MT100" s="107"/>
      <c r="MU100" s="105"/>
      <c r="MW100" s="13"/>
      <c r="MX100" s="107"/>
      <c r="MY100" s="107"/>
      <c r="MZ100" s="105"/>
      <c r="NB100" s="13"/>
      <c r="NC100" s="107"/>
      <c r="ND100" s="107"/>
      <c r="NE100" s="105"/>
      <c r="NG100" s="13"/>
      <c r="NH100" s="107"/>
      <c r="NI100" s="107"/>
      <c r="NJ100" s="105"/>
      <c r="NL100" s="38"/>
      <c r="NM100" s="13"/>
      <c r="NN100" s="107"/>
      <c r="NO100" s="107"/>
      <c r="NP100" s="105"/>
      <c r="NR100" s="13"/>
      <c r="NS100" s="107"/>
      <c r="NT100" s="107"/>
      <c r="NU100" s="105"/>
      <c r="NW100" s="13"/>
      <c r="NX100" s="107"/>
      <c r="NY100" s="107"/>
      <c r="NZ100" s="105"/>
      <c r="OB100" s="13"/>
      <c r="OC100" s="107"/>
      <c r="OD100" s="107"/>
      <c r="OE100" s="105"/>
      <c r="OG100" s="13"/>
      <c r="OH100" s="107"/>
      <c r="OI100" s="107"/>
      <c r="OJ100" s="105"/>
      <c r="OL100" s="13"/>
      <c r="OM100" s="107"/>
      <c r="ON100" s="107"/>
      <c r="OO100" s="105"/>
    </row>
    <row r="101" ht="15.75" customHeight="1">
      <c r="A101" s="42"/>
      <c r="B101" s="42"/>
      <c r="C101" s="42"/>
      <c r="D101" s="38">
        <f t="shared" si="303"/>
        <v>45968</v>
      </c>
      <c r="E101" s="105" t="str">
        <f t="shared" ref="E101:I101" si="315">Y23</f>
        <v/>
      </c>
      <c r="F101" s="105" t="str">
        <f t="shared" si="315"/>
        <v/>
      </c>
      <c r="G101" s="105" t="str">
        <f t="shared" si="315"/>
        <v/>
      </c>
      <c r="H101" s="106" t="str">
        <f t="shared" si="315"/>
        <v/>
      </c>
      <c r="I101" s="106" t="str">
        <f t="shared" si="315"/>
        <v/>
      </c>
      <c r="J101" s="107" t="str">
        <f t="array" ref="J101">IFERROR(IF(XLOOKUP(CONCAT(E101,F101),'MASTER PLAN'!$AB:$AB,'MASTER PLAN'!$M:$M,0,0)=0,"",XLOOKUP(CONCAT(E101,F101),'MASTER PLAN'!$AB:$AB,'MASTER PLAN'!$M:$M,0,0)),"")</f>
        <v/>
      </c>
      <c r="K101" s="107">
        <f t="shared" si="237"/>
        <v>0</v>
      </c>
      <c r="L101" s="107">
        <f t="shared" si="238"/>
        <v>0</v>
      </c>
      <c r="M101" s="105" t="s">
        <v>249</v>
      </c>
      <c r="O101" s="13"/>
      <c r="P101" s="107"/>
      <c r="Q101" s="107"/>
      <c r="R101" s="105"/>
      <c r="T101" s="13"/>
      <c r="U101" s="107"/>
      <c r="V101" s="107"/>
      <c r="W101" s="105"/>
      <c r="Y101" s="13"/>
      <c r="Z101" s="107"/>
      <c r="AA101" s="107"/>
      <c r="AB101" s="105"/>
      <c r="AD101" s="13"/>
      <c r="AE101" s="107"/>
      <c r="AF101" s="107"/>
      <c r="AG101" s="105"/>
      <c r="AI101" s="38"/>
      <c r="AJ101" s="13"/>
      <c r="AK101" s="107"/>
      <c r="AL101" s="107"/>
      <c r="AM101" s="105"/>
      <c r="AO101" s="13"/>
      <c r="AP101" s="107"/>
      <c r="AQ101" s="107"/>
      <c r="AR101" s="105"/>
      <c r="AT101" s="13"/>
      <c r="AU101" s="107"/>
      <c r="AV101" s="107"/>
      <c r="AW101" s="105"/>
      <c r="AY101" s="13"/>
      <c r="AZ101" s="107"/>
      <c r="BA101" s="107"/>
      <c r="BB101" s="105"/>
      <c r="BD101" s="13"/>
      <c r="BE101" s="107"/>
      <c r="BF101" s="107"/>
      <c r="BG101" s="105"/>
      <c r="BI101" s="13"/>
      <c r="BJ101" s="107"/>
      <c r="BK101" s="107"/>
      <c r="BL101" s="105"/>
      <c r="BN101" s="38"/>
      <c r="BO101" s="13"/>
      <c r="BP101" s="107"/>
      <c r="BQ101" s="107"/>
      <c r="BR101" s="105"/>
      <c r="BT101" s="13"/>
      <c r="BU101" s="107"/>
      <c r="BV101" s="107"/>
      <c r="BW101" s="105"/>
      <c r="BY101" s="13"/>
      <c r="BZ101" s="107"/>
      <c r="CA101" s="107"/>
      <c r="CB101" s="105"/>
      <c r="CD101" s="13"/>
      <c r="CE101" s="107"/>
      <c r="CF101" s="107"/>
      <c r="CG101" s="105"/>
      <c r="CI101" s="13"/>
      <c r="CJ101" s="107"/>
      <c r="CK101" s="107"/>
      <c r="CL101" s="105"/>
      <c r="CN101" s="13"/>
      <c r="CO101" s="107"/>
      <c r="CP101" s="107"/>
      <c r="CQ101" s="105"/>
      <c r="CS101" s="38"/>
      <c r="CT101" s="13"/>
      <c r="CU101" s="107"/>
      <c r="CV101" s="107"/>
      <c r="CW101" s="105"/>
      <c r="CY101" s="13"/>
      <c r="CZ101" s="107"/>
      <c r="DA101" s="107"/>
      <c r="DB101" s="105"/>
      <c r="DD101" s="13"/>
      <c r="DE101" s="107"/>
      <c r="DF101" s="107"/>
      <c r="DG101" s="105"/>
      <c r="DI101" s="13"/>
      <c r="DJ101" s="107"/>
      <c r="DK101" s="107"/>
      <c r="DL101" s="105"/>
      <c r="DN101" s="13"/>
      <c r="DO101" s="107"/>
      <c r="DP101" s="107"/>
      <c r="DQ101" s="105"/>
      <c r="DS101" s="13"/>
      <c r="DT101" s="107"/>
      <c r="DU101" s="107"/>
      <c r="DV101" s="105"/>
      <c r="DX101" s="38"/>
      <c r="DY101" s="13"/>
      <c r="DZ101" s="107"/>
      <c r="EA101" s="107"/>
      <c r="EB101" s="105"/>
      <c r="ED101" s="13"/>
      <c r="EE101" s="107"/>
      <c r="EF101" s="107"/>
      <c r="EG101" s="105"/>
      <c r="EI101" s="13"/>
      <c r="EJ101" s="107"/>
      <c r="EK101" s="107"/>
      <c r="EL101" s="105"/>
      <c r="EN101" s="13"/>
      <c r="EO101" s="107"/>
      <c r="EP101" s="107"/>
      <c r="EQ101" s="105"/>
      <c r="ES101" s="13"/>
      <c r="ET101" s="107"/>
      <c r="EU101" s="107"/>
      <c r="EV101" s="105"/>
      <c r="EX101" s="13"/>
      <c r="EY101" s="107"/>
      <c r="EZ101" s="107"/>
      <c r="FA101" s="105"/>
      <c r="FC101" s="38"/>
      <c r="FD101" s="13"/>
      <c r="FE101" s="107"/>
      <c r="FF101" s="107"/>
      <c r="FG101" s="105"/>
      <c r="FI101" s="13"/>
      <c r="FJ101" s="107"/>
      <c r="FK101" s="107"/>
      <c r="FL101" s="105"/>
      <c r="FN101" s="13"/>
      <c r="FO101" s="107"/>
      <c r="FP101" s="107"/>
      <c r="FQ101" s="105"/>
      <c r="FS101" s="13"/>
      <c r="FT101" s="107"/>
      <c r="FU101" s="107"/>
      <c r="FV101" s="105"/>
      <c r="FX101" s="13"/>
      <c r="FY101" s="107"/>
      <c r="FZ101" s="107"/>
      <c r="GA101" s="105"/>
      <c r="GC101" s="13"/>
      <c r="GD101" s="107"/>
      <c r="GE101" s="107"/>
      <c r="GF101" s="105"/>
      <c r="GH101" s="38"/>
      <c r="GI101" s="13"/>
      <c r="GJ101" s="107"/>
      <c r="GK101" s="107"/>
      <c r="GL101" s="105"/>
      <c r="GN101" s="13"/>
      <c r="GO101" s="107"/>
      <c r="GP101" s="107"/>
      <c r="GQ101" s="105"/>
      <c r="GS101" s="13"/>
      <c r="GT101" s="107"/>
      <c r="GU101" s="107"/>
      <c r="GV101" s="105"/>
      <c r="GX101" s="13"/>
      <c r="GY101" s="107"/>
      <c r="GZ101" s="107"/>
      <c r="HA101" s="105"/>
      <c r="HC101" s="13"/>
      <c r="HD101" s="107"/>
      <c r="HE101" s="107"/>
      <c r="HF101" s="105"/>
      <c r="HH101" s="13"/>
      <c r="HI101" s="107"/>
      <c r="HJ101" s="107"/>
      <c r="HK101" s="105"/>
      <c r="HM101" s="38"/>
      <c r="HN101" s="13"/>
      <c r="HO101" s="107"/>
      <c r="HP101" s="107"/>
      <c r="HQ101" s="105"/>
      <c r="HS101" s="13"/>
      <c r="HT101" s="107"/>
      <c r="HU101" s="107"/>
      <c r="HV101" s="105"/>
      <c r="HX101" s="13"/>
      <c r="HY101" s="107"/>
      <c r="HZ101" s="107"/>
      <c r="IA101" s="105"/>
      <c r="IC101" s="13"/>
      <c r="ID101" s="107"/>
      <c r="IE101" s="107"/>
      <c r="IF101" s="105"/>
      <c r="IH101" s="13"/>
      <c r="II101" s="107"/>
      <c r="IJ101" s="107"/>
      <c r="IK101" s="105"/>
      <c r="IM101" s="13"/>
      <c r="IN101" s="107"/>
      <c r="IO101" s="107"/>
      <c r="IP101" s="105"/>
      <c r="IR101" s="38"/>
      <c r="IS101" s="13"/>
      <c r="IT101" s="107"/>
      <c r="IU101" s="107"/>
      <c r="IV101" s="105"/>
      <c r="IX101" s="13"/>
      <c r="IY101" s="107"/>
      <c r="IZ101" s="107"/>
      <c r="JA101" s="105"/>
      <c r="JC101" s="13"/>
      <c r="JD101" s="107"/>
      <c r="JE101" s="107"/>
      <c r="JF101" s="105"/>
      <c r="JH101" s="13"/>
      <c r="JI101" s="107"/>
      <c r="JJ101" s="107"/>
      <c r="JK101" s="105"/>
      <c r="JM101" s="13"/>
      <c r="JN101" s="107"/>
      <c r="JO101" s="107"/>
      <c r="JP101" s="105"/>
      <c r="JR101" s="13"/>
      <c r="JS101" s="107"/>
      <c r="JT101" s="107"/>
      <c r="JU101" s="105"/>
      <c r="JW101" s="38"/>
      <c r="JX101" s="13"/>
      <c r="JY101" s="107"/>
      <c r="JZ101" s="107"/>
      <c r="KA101" s="105"/>
      <c r="KC101" s="13"/>
      <c r="KD101" s="107"/>
      <c r="KE101" s="107"/>
      <c r="KF101" s="105"/>
      <c r="KH101" s="13"/>
      <c r="KI101" s="107"/>
      <c r="KJ101" s="107"/>
      <c r="KK101" s="105"/>
      <c r="KM101" s="13"/>
      <c r="KN101" s="107"/>
      <c r="KO101" s="107"/>
      <c r="KP101" s="105"/>
      <c r="KR101" s="13"/>
      <c r="KS101" s="107"/>
      <c r="KT101" s="107"/>
      <c r="KU101" s="105"/>
      <c r="KW101" s="13"/>
      <c r="KX101" s="107"/>
      <c r="KY101" s="107"/>
      <c r="KZ101" s="105"/>
      <c r="LB101" s="38"/>
      <c r="LC101" s="13"/>
      <c r="LD101" s="107"/>
      <c r="LE101" s="107"/>
      <c r="LF101" s="105"/>
      <c r="LH101" s="13"/>
      <c r="LI101" s="107"/>
      <c r="LJ101" s="107"/>
      <c r="LK101" s="105"/>
      <c r="LM101" s="13"/>
      <c r="LN101" s="107"/>
      <c r="LO101" s="107"/>
      <c r="LP101" s="105"/>
      <c r="LR101" s="13"/>
      <c r="LS101" s="107"/>
      <c r="LT101" s="107"/>
      <c r="LU101" s="105"/>
      <c r="LW101" s="13"/>
      <c r="LX101" s="107"/>
      <c r="LY101" s="107"/>
      <c r="LZ101" s="105"/>
      <c r="MB101" s="13"/>
      <c r="MC101" s="107"/>
      <c r="MD101" s="107"/>
      <c r="ME101" s="105"/>
      <c r="MG101" s="38"/>
      <c r="MH101" s="13"/>
      <c r="MI101" s="107"/>
      <c r="MJ101" s="107"/>
      <c r="MK101" s="105"/>
      <c r="MM101" s="13"/>
      <c r="MN101" s="107"/>
      <c r="MO101" s="107"/>
      <c r="MP101" s="105"/>
      <c r="MR101" s="13"/>
      <c r="MS101" s="107"/>
      <c r="MT101" s="107"/>
      <c r="MU101" s="105"/>
      <c r="MW101" s="13"/>
      <c r="MX101" s="107"/>
      <c r="MY101" s="107"/>
      <c r="MZ101" s="105"/>
      <c r="NB101" s="13"/>
      <c r="NC101" s="107"/>
      <c r="ND101" s="107"/>
      <c r="NE101" s="105"/>
      <c r="NG101" s="13"/>
      <c r="NH101" s="107"/>
      <c r="NI101" s="107"/>
      <c r="NJ101" s="105"/>
      <c r="NL101" s="38"/>
      <c r="NM101" s="13"/>
      <c r="NN101" s="107"/>
      <c r="NO101" s="107"/>
      <c r="NP101" s="105"/>
      <c r="NR101" s="13"/>
      <c r="NS101" s="107"/>
      <c r="NT101" s="107"/>
      <c r="NU101" s="105"/>
      <c r="NW101" s="13"/>
      <c r="NX101" s="107"/>
      <c r="NY101" s="107"/>
      <c r="NZ101" s="105"/>
      <c r="OB101" s="13"/>
      <c r="OC101" s="107"/>
      <c r="OD101" s="107"/>
      <c r="OE101" s="105"/>
      <c r="OG101" s="13"/>
      <c r="OH101" s="107"/>
      <c r="OI101" s="107"/>
      <c r="OJ101" s="105"/>
      <c r="OL101" s="13"/>
      <c r="OM101" s="107"/>
      <c r="ON101" s="107"/>
      <c r="OO101" s="105"/>
    </row>
    <row r="102" ht="15.75" customHeight="1">
      <c r="A102" s="42"/>
      <c r="B102" s="42"/>
      <c r="C102" s="42"/>
      <c r="D102" s="38">
        <f t="shared" si="303"/>
        <v>45968</v>
      </c>
      <c r="E102" s="105" t="str">
        <f t="shared" ref="E102:I102" si="316">Y24</f>
        <v/>
      </c>
      <c r="F102" s="105" t="str">
        <f t="shared" si="316"/>
        <v/>
      </c>
      <c r="G102" s="105" t="str">
        <f t="shared" si="316"/>
        <v/>
      </c>
      <c r="H102" s="106" t="str">
        <f t="shared" si="316"/>
        <v/>
      </c>
      <c r="I102" s="106" t="str">
        <f t="shared" si="316"/>
        <v/>
      </c>
      <c r="J102" s="107" t="str">
        <f t="array" ref="J102">IFERROR(IF(XLOOKUP(CONCAT(E102,F102),'MASTER PLAN'!$AB:$AB,'MASTER PLAN'!$M:$M,0,0)=0,"",XLOOKUP(CONCAT(E102,F102),'MASTER PLAN'!$AB:$AB,'MASTER PLAN'!$M:$M,0,0)),"")</f>
        <v/>
      </c>
      <c r="K102" s="107">
        <f t="shared" si="237"/>
        <v>0</v>
      </c>
      <c r="L102" s="107">
        <f t="shared" si="238"/>
        <v>0</v>
      </c>
      <c r="M102" s="105" t="s">
        <v>249</v>
      </c>
      <c r="O102" s="13"/>
      <c r="P102" s="107"/>
      <c r="Q102" s="107"/>
      <c r="R102" s="105"/>
      <c r="T102" s="13"/>
      <c r="U102" s="107"/>
      <c r="V102" s="107"/>
      <c r="W102" s="105"/>
      <c r="Y102" s="13"/>
      <c r="Z102" s="107"/>
      <c r="AA102" s="107"/>
      <c r="AB102" s="105"/>
      <c r="AD102" s="13"/>
      <c r="AE102" s="107"/>
      <c r="AF102" s="107"/>
      <c r="AG102" s="105"/>
      <c r="AI102" s="38"/>
      <c r="AJ102" s="13"/>
      <c r="AK102" s="107"/>
      <c r="AL102" s="107"/>
      <c r="AM102" s="105"/>
      <c r="AO102" s="13"/>
      <c r="AP102" s="107"/>
      <c r="AQ102" s="107"/>
      <c r="AR102" s="105"/>
      <c r="AT102" s="13"/>
      <c r="AU102" s="107"/>
      <c r="AV102" s="107"/>
      <c r="AW102" s="105"/>
      <c r="AY102" s="13"/>
      <c r="AZ102" s="107"/>
      <c r="BA102" s="107"/>
      <c r="BB102" s="105"/>
      <c r="BD102" s="13"/>
      <c r="BE102" s="107"/>
      <c r="BF102" s="107"/>
      <c r="BG102" s="105"/>
      <c r="BI102" s="13"/>
      <c r="BJ102" s="107"/>
      <c r="BK102" s="107"/>
      <c r="BL102" s="105"/>
      <c r="BN102" s="38"/>
      <c r="BO102" s="13"/>
      <c r="BP102" s="107"/>
      <c r="BQ102" s="107"/>
      <c r="BR102" s="105"/>
      <c r="BT102" s="13"/>
      <c r="BU102" s="107"/>
      <c r="BV102" s="107"/>
      <c r="BW102" s="105"/>
      <c r="BY102" s="13"/>
      <c r="BZ102" s="107"/>
      <c r="CA102" s="107"/>
      <c r="CB102" s="105"/>
      <c r="CD102" s="13"/>
      <c r="CE102" s="107"/>
      <c r="CF102" s="107"/>
      <c r="CG102" s="105"/>
      <c r="CI102" s="13"/>
      <c r="CJ102" s="107"/>
      <c r="CK102" s="107"/>
      <c r="CL102" s="105"/>
      <c r="CN102" s="13"/>
      <c r="CO102" s="107"/>
      <c r="CP102" s="107"/>
      <c r="CQ102" s="105"/>
      <c r="CS102" s="38"/>
      <c r="CT102" s="13"/>
      <c r="CU102" s="107"/>
      <c r="CV102" s="107"/>
      <c r="CW102" s="105"/>
      <c r="CY102" s="13"/>
      <c r="CZ102" s="107"/>
      <c r="DA102" s="107"/>
      <c r="DB102" s="105"/>
      <c r="DD102" s="13"/>
      <c r="DE102" s="107"/>
      <c r="DF102" s="107"/>
      <c r="DG102" s="105"/>
      <c r="DI102" s="13"/>
      <c r="DJ102" s="107"/>
      <c r="DK102" s="107"/>
      <c r="DL102" s="105"/>
      <c r="DN102" s="13"/>
      <c r="DO102" s="107"/>
      <c r="DP102" s="107"/>
      <c r="DQ102" s="105"/>
      <c r="DS102" s="13"/>
      <c r="DT102" s="107"/>
      <c r="DU102" s="107"/>
      <c r="DV102" s="105"/>
      <c r="DX102" s="38"/>
      <c r="DY102" s="13"/>
      <c r="DZ102" s="107"/>
      <c r="EA102" s="107"/>
      <c r="EB102" s="105"/>
      <c r="ED102" s="13"/>
      <c r="EE102" s="107"/>
      <c r="EF102" s="107"/>
      <c r="EG102" s="105"/>
      <c r="EI102" s="13"/>
      <c r="EJ102" s="107"/>
      <c r="EK102" s="107"/>
      <c r="EL102" s="105"/>
      <c r="EN102" s="13"/>
      <c r="EO102" s="107"/>
      <c r="EP102" s="107"/>
      <c r="EQ102" s="105"/>
      <c r="ES102" s="13"/>
      <c r="ET102" s="107"/>
      <c r="EU102" s="107"/>
      <c r="EV102" s="105"/>
      <c r="EX102" s="13"/>
      <c r="EY102" s="107"/>
      <c r="EZ102" s="107"/>
      <c r="FA102" s="105"/>
      <c r="FC102" s="38"/>
      <c r="FD102" s="13"/>
      <c r="FE102" s="107"/>
      <c r="FF102" s="107"/>
      <c r="FG102" s="105"/>
      <c r="FI102" s="13"/>
      <c r="FJ102" s="107"/>
      <c r="FK102" s="107"/>
      <c r="FL102" s="105"/>
      <c r="FN102" s="13"/>
      <c r="FO102" s="107"/>
      <c r="FP102" s="107"/>
      <c r="FQ102" s="105"/>
      <c r="FS102" s="13"/>
      <c r="FT102" s="107"/>
      <c r="FU102" s="107"/>
      <c r="FV102" s="105"/>
      <c r="FX102" s="13"/>
      <c r="FY102" s="107"/>
      <c r="FZ102" s="107"/>
      <c r="GA102" s="105"/>
      <c r="GC102" s="13"/>
      <c r="GD102" s="107"/>
      <c r="GE102" s="107"/>
      <c r="GF102" s="105"/>
      <c r="GH102" s="38"/>
      <c r="GI102" s="13"/>
      <c r="GJ102" s="107"/>
      <c r="GK102" s="107"/>
      <c r="GL102" s="105"/>
      <c r="GN102" s="13"/>
      <c r="GO102" s="107"/>
      <c r="GP102" s="107"/>
      <c r="GQ102" s="105"/>
      <c r="GS102" s="13"/>
      <c r="GT102" s="107"/>
      <c r="GU102" s="107"/>
      <c r="GV102" s="105"/>
      <c r="GX102" s="13"/>
      <c r="GY102" s="107"/>
      <c r="GZ102" s="107"/>
      <c r="HA102" s="105"/>
      <c r="HC102" s="13"/>
      <c r="HD102" s="107"/>
      <c r="HE102" s="107"/>
      <c r="HF102" s="105"/>
      <c r="HH102" s="13"/>
      <c r="HI102" s="107"/>
      <c r="HJ102" s="107"/>
      <c r="HK102" s="105"/>
      <c r="HM102" s="38"/>
      <c r="HN102" s="13"/>
      <c r="HO102" s="107"/>
      <c r="HP102" s="107"/>
      <c r="HQ102" s="105"/>
      <c r="HS102" s="13"/>
      <c r="HT102" s="107"/>
      <c r="HU102" s="107"/>
      <c r="HV102" s="105"/>
      <c r="HX102" s="13"/>
      <c r="HY102" s="107"/>
      <c r="HZ102" s="107"/>
      <c r="IA102" s="105"/>
      <c r="IC102" s="13"/>
      <c r="ID102" s="107"/>
      <c r="IE102" s="107"/>
      <c r="IF102" s="105"/>
      <c r="IH102" s="13"/>
      <c r="II102" s="107"/>
      <c r="IJ102" s="107"/>
      <c r="IK102" s="105"/>
      <c r="IM102" s="13"/>
      <c r="IN102" s="107"/>
      <c r="IO102" s="107"/>
      <c r="IP102" s="105"/>
      <c r="IR102" s="38"/>
      <c r="IS102" s="13"/>
      <c r="IT102" s="107"/>
      <c r="IU102" s="107"/>
      <c r="IV102" s="105"/>
      <c r="IX102" s="13"/>
      <c r="IY102" s="107"/>
      <c r="IZ102" s="107"/>
      <c r="JA102" s="105"/>
      <c r="JC102" s="13"/>
      <c r="JD102" s="107"/>
      <c r="JE102" s="107"/>
      <c r="JF102" s="105"/>
      <c r="JH102" s="13"/>
      <c r="JI102" s="107"/>
      <c r="JJ102" s="107"/>
      <c r="JK102" s="105"/>
      <c r="JM102" s="13"/>
      <c r="JN102" s="107"/>
      <c r="JO102" s="107"/>
      <c r="JP102" s="105"/>
      <c r="JR102" s="13"/>
      <c r="JS102" s="107"/>
      <c r="JT102" s="107"/>
      <c r="JU102" s="105"/>
      <c r="JW102" s="38"/>
      <c r="JX102" s="13"/>
      <c r="JY102" s="107"/>
      <c r="JZ102" s="107"/>
      <c r="KA102" s="105"/>
      <c r="KC102" s="13"/>
      <c r="KD102" s="107"/>
      <c r="KE102" s="107"/>
      <c r="KF102" s="105"/>
      <c r="KH102" s="13"/>
      <c r="KI102" s="107"/>
      <c r="KJ102" s="107"/>
      <c r="KK102" s="105"/>
      <c r="KM102" s="13"/>
      <c r="KN102" s="107"/>
      <c r="KO102" s="107"/>
      <c r="KP102" s="105"/>
      <c r="KR102" s="13"/>
      <c r="KS102" s="107"/>
      <c r="KT102" s="107"/>
      <c r="KU102" s="105"/>
      <c r="KW102" s="13"/>
      <c r="KX102" s="107"/>
      <c r="KY102" s="107"/>
      <c r="KZ102" s="105"/>
      <c r="LB102" s="38"/>
      <c r="LC102" s="13"/>
      <c r="LD102" s="107"/>
      <c r="LE102" s="107"/>
      <c r="LF102" s="105"/>
      <c r="LH102" s="13"/>
      <c r="LI102" s="107"/>
      <c r="LJ102" s="107"/>
      <c r="LK102" s="105"/>
      <c r="LM102" s="13"/>
      <c r="LN102" s="107"/>
      <c r="LO102" s="107"/>
      <c r="LP102" s="105"/>
      <c r="LR102" s="13"/>
      <c r="LS102" s="107"/>
      <c r="LT102" s="107"/>
      <c r="LU102" s="105"/>
      <c r="LW102" s="13"/>
      <c r="LX102" s="107"/>
      <c r="LY102" s="107"/>
      <c r="LZ102" s="105"/>
      <c r="MB102" s="13"/>
      <c r="MC102" s="107"/>
      <c r="MD102" s="107"/>
      <c r="ME102" s="105"/>
      <c r="MG102" s="38"/>
      <c r="MH102" s="13"/>
      <c r="MI102" s="107"/>
      <c r="MJ102" s="107"/>
      <c r="MK102" s="105"/>
      <c r="MM102" s="13"/>
      <c r="MN102" s="107"/>
      <c r="MO102" s="107"/>
      <c r="MP102" s="105"/>
      <c r="MR102" s="13"/>
      <c r="MS102" s="107"/>
      <c r="MT102" s="107"/>
      <c r="MU102" s="105"/>
      <c r="MW102" s="13"/>
      <c r="MX102" s="107"/>
      <c r="MY102" s="107"/>
      <c r="MZ102" s="105"/>
      <c r="NB102" s="13"/>
      <c r="NC102" s="107"/>
      <c r="ND102" s="107"/>
      <c r="NE102" s="105"/>
      <c r="NG102" s="13"/>
      <c r="NH102" s="107"/>
      <c r="NI102" s="107"/>
      <c r="NJ102" s="105"/>
      <c r="NL102" s="38"/>
      <c r="NM102" s="13"/>
      <c r="NN102" s="107"/>
      <c r="NO102" s="107"/>
      <c r="NP102" s="105"/>
      <c r="NR102" s="13"/>
      <c r="NS102" s="107"/>
      <c r="NT102" s="107"/>
      <c r="NU102" s="105"/>
      <c r="NW102" s="13"/>
      <c r="NX102" s="107"/>
      <c r="NY102" s="107"/>
      <c r="NZ102" s="105"/>
      <c r="OB102" s="13"/>
      <c r="OC102" s="107"/>
      <c r="OD102" s="107"/>
      <c r="OE102" s="105"/>
      <c r="OG102" s="13"/>
      <c r="OH102" s="107"/>
      <c r="OI102" s="107"/>
      <c r="OJ102" s="105"/>
      <c r="OL102" s="13"/>
      <c r="OM102" s="107"/>
      <c r="ON102" s="107"/>
      <c r="OO102" s="105"/>
    </row>
    <row r="103" ht="15.75" customHeight="1">
      <c r="A103" s="42"/>
      <c r="B103" s="42"/>
      <c r="C103" s="42"/>
      <c r="D103" s="38">
        <f>AD2</f>
        <v>45969</v>
      </c>
      <c r="E103" s="105" t="str">
        <f t="shared" ref="E103:I103" si="317">AD4</f>
        <v/>
      </c>
      <c r="F103" s="105" t="str">
        <f t="shared" si="317"/>
        <v/>
      </c>
      <c r="G103" s="105" t="str">
        <f t="shared" si="317"/>
        <v/>
      </c>
      <c r="H103" s="106" t="str">
        <f t="shared" si="317"/>
        <v/>
      </c>
      <c r="I103" s="106" t="str">
        <f t="shared" si="317"/>
        <v/>
      </c>
      <c r="J103" s="107" t="str">
        <f t="array" ref="J103">IFERROR(IF(XLOOKUP(CONCAT(E103,F103),'MASTER PLAN'!$AB:$AB,'MASTER PLAN'!$M:$M,0,0)=0,"",XLOOKUP(CONCAT(E103,F103),'MASTER PLAN'!$AB:$AB,'MASTER PLAN'!$M:$M,0,0)),"")</f>
        <v/>
      </c>
      <c r="K103" s="107">
        <f t="shared" si="237"/>
        <v>0</v>
      </c>
      <c r="L103" s="107">
        <f t="shared" si="238"/>
        <v>0</v>
      </c>
      <c r="M103" s="105" t="s">
        <v>246</v>
      </c>
      <c r="O103" s="13"/>
      <c r="P103" s="107"/>
      <c r="Q103" s="107"/>
      <c r="R103" s="105"/>
      <c r="T103" s="13"/>
      <c r="U103" s="107"/>
      <c r="V103" s="107"/>
      <c r="W103" s="105"/>
      <c r="Y103" s="13"/>
      <c r="Z103" s="107"/>
      <c r="AA103" s="107"/>
      <c r="AB103" s="105"/>
      <c r="AD103" s="13"/>
      <c r="AE103" s="107"/>
      <c r="AF103" s="107"/>
      <c r="AG103" s="105"/>
      <c r="AI103" s="38"/>
      <c r="AJ103" s="13"/>
      <c r="AK103" s="107"/>
      <c r="AL103" s="107"/>
      <c r="AM103" s="105"/>
      <c r="AO103" s="13"/>
      <c r="AP103" s="107"/>
      <c r="AQ103" s="107"/>
      <c r="AR103" s="105"/>
      <c r="AT103" s="13"/>
      <c r="AU103" s="107"/>
      <c r="AV103" s="107"/>
      <c r="AW103" s="105"/>
      <c r="AY103" s="13"/>
      <c r="AZ103" s="107"/>
      <c r="BA103" s="107"/>
      <c r="BB103" s="105"/>
      <c r="BD103" s="13"/>
      <c r="BE103" s="107"/>
      <c r="BF103" s="107"/>
      <c r="BG103" s="105"/>
      <c r="BI103" s="13"/>
      <c r="BJ103" s="107"/>
      <c r="BK103" s="107"/>
      <c r="BL103" s="105"/>
      <c r="BN103" s="38"/>
      <c r="BO103" s="13"/>
      <c r="BP103" s="107"/>
      <c r="BQ103" s="107"/>
      <c r="BR103" s="105"/>
      <c r="BT103" s="13"/>
      <c r="BU103" s="107"/>
      <c r="BV103" s="107"/>
      <c r="BW103" s="105"/>
      <c r="BY103" s="13"/>
      <c r="BZ103" s="107"/>
      <c r="CA103" s="107"/>
      <c r="CB103" s="105"/>
      <c r="CD103" s="13"/>
      <c r="CE103" s="107"/>
      <c r="CF103" s="107"/>
      <c r="CG103" s="105"/>
      <c r="CI103" s="13"/>
      <c r="CJ103" s="107"/>
      <c r="CK103" s="107"/>
      <c r="CL103" s="105"/>
      <c r="CN103" s="13"/>
      <c r="CO103" s="107"/>
      <c r="CP103" s="107"/>
      <c r="CQ103" s="105"/>
      <c r="CS103" s="38"/>
      <c r="CT103" s="13"/>
      <c r="CU103" s="107"/>
      <c r="CV103" s="107"/>
      <c r="CW103" s="105"/>
      <c r="CY103" s="13"/>
      <c r="CZ103" s="107"/>
      <c r="DA103" s="107"/>
      <c r="DB103" s="105"/>
      <c r="DD103" s="13"/>
      <c r="DE103" s="107"/>
      <c r="DF103" s="107"/>
      <c r="DG103" s="105"/>
      <c r="DI103" s="13"/>
      <c r="DJ103" s="107"/>
      <c r="DK103" s="107"/>
      <c r="DL103" s="105"/>
      <c r="DN103" s="13"/>
      <c r="DO103" s="107"/>
      <c r="DP103" s="107"/>
      <c r="DQ103" s="105"/>
      <c r="DS103" s="13"/>
      <c r="DT103" s="107"/>
      <c r="DU103" s="107"/>
      <c r="DV103" s="105"/>
      <c r="DX103" s="38"/>
      <c r="DY103" s="13"/>
      <c r="DZ103" s="107"/>
      <c r="EA103" s="107"/>
      <c r="EB103" s="105"/>
      <c r="ED103" s="13"/>
      <c r="EE103" s="107"/>
      <c r="EF103" s="107"/>
      <c r="EG103" s="105"/>
      <c r="EI103" s="13"/>
      <c r="EJ103" s="107"/>
      <c r="EK103" s="107"/>
      <c r="EL103" s="105"/>
      <c r="EN103" s="13"/>
      <c r="EO103" s="107"/>
      <c r="EP103" s="107"/>
      <c r="EQ103" s="105"/>
      <c r="ES103" s="13"/>
      <c r="ET103" s="107"/>
      <c r="EU103" s="107"/>
      <c r="EV103" s="105"/>
      <c r="EX103" s="13"/>
      <c r="EY103" s="107"/>
      <c r="EZ103" s="107"/>
      <c r="FA103" s="105"/>
      <c r="FC103" s="38"/>
      <c r="FD103" s="13"/>
      <c r="FE103" s="107"/>
      <c r="FF103" s="107"/>
      <c r="FG103" s="105"/>
      <c r="FI103" s="13"/>
      <c r="FJ103" s="107"/>
      <c r="FK103" s="107"/>
      <c r="FL103" s="105"/>
      <c r="FN103" s="13"/>
      <c r="FO103" s="107"/>
      <c r="FP103" s="107"/>
      <c r="FQ103" s="105"/>
      <c r="FS103" s="13"/>
      <c r="FT103" s="107"/>
      <c r="FU103" s="107"/>
      <c r="FV103" s="105"/>
      <c r="FX103" s="13"/>
      <c r="FY103" s="107"/>
      <c r="FZ103" s="107"/>
      <c r="GA103" s="105"/>
      <c r="GC103" s="13"/>
      <c r="GD103" s="107"/>
      <c r="GE103" s="107"/>
      <c r="GF103" s="105"/>
      <c r="GH103" s="38"/>
      <c r="GI103" s="13"/>
      <c r="GJ103" s="107"/>
      <c r="GK103" s="107"/>
      <c r="GL103" s="105"/>
      <c r="GN103" s="13"/>
      <c r="GO103" s="107"/>
      <c r="GP103" s="107"/>
      <c r="GQ103" s="105"/>
      <c r="GS103" s="13"/>
      <c r="GT103" s="107"/>
      <c r="GU103" s="107"/>
      <c r="GV103" s="105"/>
      <c r="GX103" s="13"/>
      <c r="GY103" s="107"/>
      <c r="GZ103" s="107"/>
      <c r="HA103" s="105"/>
      <c r="HC103" s="13"/>
      <c r="HD103" s="107"/>
      <c r="HE103" s="107"/>
      <c r="HF103" s="105"/>
      <c r="HH103" s="13"/>
      <c r="HI103" s="107"/>
      <c r="HJ103" s="107"/>
      <c r="HK103" s="105"/>
      <c r="HM103" s="38"/>
      <c r="HN103" s="13"/>
      <c r="HO103" s="107"/>
      <c r="HP103" s="107"/>
      <c r="HQ103" s="105"/>
      <c r="HS103" s="13"/>
      <c r="HT103" s="107"/>
      <c r="HU103" s="107"/>
      <c r="HV103" s="105"/>
      <c r="HX103" s="13"/>
      <c r="HY103" s="107"/>
      <c r="HZ103" s="107"/>
      <c r="IA103" s="105"/>
      <c r="IC103" s="13"/>
      <c r="ID103" s="107"/>
      <c r="IE103" s="107"/>
      <c r="IF103" s="105"/>
      <c r="IH103" s="13"/>
      <c r="II103" s="107"/>
      <c r="IJ103" s="107"/>
      <c r="IK103" s="105"/>
      <c r="IM103" s="13"/>
      <c r="IN103" s="107"/>
      <c r="IO103" s="107"/>
      <c r="IP103" s="105"/>
      <c r="IR103" s="38"/>
      <c r="IS103" s="13"/>
      <c r="IT103" s="107"/>
      <c r="IU103" s="107"/>
      <c r="IV103" s="105"/>
      <c r="IX103" s="13"/>
      <c r="IY103" s="107"/>
      <c r="IZ103" s="107"/>
      <c r="JA103" s="105"/>
      <c r="JC103" s="13"/>
      <c r="JD103" s="107"/>
      <c r="JE103" s="107"/>
      <c r="JF103" s="105"/>
      <c r="JH103" s="13"/>
      <c r="JI103" s="107"/>
      <c r="JJ103" s="107"/>
      <c r="JK103" s="105"/>
      <c r="JM103" s="13"/>
      <c r="JN103" s="107"/>
      <c r="JO103" s="107"/>
      <c r="JP103" s="105"/>
      <c r="JR103" s="13"/>
      <c r="JS103" s="107"/>
      <c r="JT103" s="107"/>
      <c r="JU103" s="105"/>
      <c r="JW103" s="38"/>
      <c r="JX103" s="13"/>
      <c r="JY103" s="107"/>
      <c r="JZ103" s="107"/>
      <c r="KA103" s="105"/>
      <c r="KC103" s="13"/>
      <c r="KD103" s="107"/>
      <c r="KE103" s="107"/>
      <c r="KF103" s="105"/>
      <c r="KH103" s="13"/>
      <c r="KI103" s="107"/>
      <c r="KJ103" s="107"/>
      <c r="KK103" s="105"/>
      <c r="KM103" s="13"/>
      <c r="KN103" s="107"/>
      <c r="KO103" s="107"/>
      <c r="KP103" s="105"/>
      <c r="KR103" s="13"/>
      <c r="KS103" s="107"/>
      <c r="KT103" s="107"/>
      <c r="KU103" s="105"/>
      <c r="KW103" s="13"/>
      <c r="KX103" s="107"/>
      <c r="KY103" s="107"/>
      <c r="KZ103" s="105"/>
      <c r="LB103" s="38"/>
      <c r="LC103" s="13"/>
      <c r="LD103" s="107"/>
      <c r="LE103" s="107"/>
      <c r="LF103" s="105"/>
      <c r="LH103" s="13"/>
      <c r="LI103" s="107"/>
      <c r="LJ103" s="107"/>
      <c r="LK103" s="105"/>
      <c r="LM103" s="13"/>
      <c r="LN103" s="107"/>
      <c r="LO103" s="107"/>
      <c r="LP103" s="105"/>
      <c r="LR103" s="13"/>
      <c r="LS103" s="107"/>
      <c r="LT103" s="107"/>
      <c r="LU103" s="105"/>
      <c r="LW103" s="13"/>
      <c r="LX103" s="107"/>
      <c r="LY103" s="107"/>
      <c r="LZ103" s="105"/>
      <c r="MB103" s="13"/>
      <c r="MC103" s="107"/>
      <c r="MD103" s="107"/>
      <c r="ME103" s="105"/>
      <c r="MG103" s="38"/>
      <c r="MH103" s="13"/>
      <c r="MI103" s="107"/>
      <c r="MJ103" s="107"/>
      <c r="MK103" s="105"/>
      <c r="MM103" s="13"/>
      <c r="MN103" s="107"/>
      <c r="MO103" s="107"/>
      <c r="MP103" s="105"/>
      <c r="MR103" s="13"/>
      <c r="MS103" s="107"/>
      <c r="MT103" s="107"/>
      <c r="MU103" s="105"/>
      <c r="MW103" s="13"/>
      <c r="MX103" s="107"/>
      <c r="MY103" s="107"/>
      <c r="MZ103" s="105"/>
      <c r="NB103" s="13"/>
      <c r="NC103" s="107"/>
      <c r="ND103" s="107"/>
      <c r="NE103" s="105"/>
      <c r="NG103" s="13"/>
      <c r="NH103" s="107"/>
      <c r="NI103" s="107"/>
      <c r="NJ103" s="105"/>
      <c r="NL103" s="38"/>
      <c r="NM103" s="13"/>
      <c r="NN103" s="107"/>
      <c r="NO103" s="107"/>
      <c r="NP103" s="105"/>
      <c r="NR103" s="13"/>
      <c r="NS103" s="107"/>
      <c r="NT103" s="107"/>
      <c r="NU103" s="105"/>
      <c r="NW103" s="13"/>
      <c r="NX103" s="107"/>
      <c r="NY103" s="107"/>
      <c r="NZ103" s="105"/>
      <c r="OB103" s="13"/>
      <c r="OC103" s="107"/>
      <c r="OD103" s="107"/>
      <c r="OE103" s="105"/>
      <c r="OG103" s="13"/>
      <c r="OH103" s="107"/>
      <c r="OI103" s="107"/>
      <c r="OJ103" s="105"/>
      <c r="OL103" s="13"/>
      <c r="OM103" s="107"/>
      <c r="ON103" s="107"/>
      <c r="OO103" s="105"/>
    </row>
    <row r="104" ht="15.75" customHeight="1">
      <c r="A104" s="42"/>
      <c r="B104" s="42"/>
      <c r="C104" s="42"/>
      <c r="D104" s="38">
        <f t="shared" ref="D104:D117" si="319">D103</f>
        <v>45969</v>
      </c>
      <c r="E104" s="105" t="str">
        <f t="shared" ref="E104:I104" si="318">AD5</f>
        <v/>
      </c>
      <c r="F104" s="105" t="str">
        <f t="shared" si="318"/>
        <v/>
      </c>
      <c r="G104" s="105" t="str">
        <f t="shared" si="318"/>
        <v/>
      </c>
      <c r="H104" s="106" t="str">
        <f t="shared" si="318"/>
        <v/>
      </c>
      <c r="I104" s="106" t="str">
        <f t="shared" si="318"/>
        <v/>
      </c>
      <c r="J104" s="107" t="str">
        <f t="array" ref="J104">IFERROR(IF(XLOOKUP(CONCAT(E104,F104),'MASTER PLAN'!$AB:$AB,'MASTER PLAN'!$M:$M,0,0)=0,"",XLOOKUP(CONCAT(E104,F104),'MASTER PLAN'!$AB:$AB,'MASTER PLAN'!$M:$M,0,0)),"")</f>
        <v/>
      </c>
      <c r="K104" s="107">
        <f t="shared" si="237"/>
        <v>0</v>
      </c>
      <c r="L104" s="107">
        <f t="shared" si="238"/>
        <v>0</v>
      </c>
      <c r="M104" s="105" t="s">
        <v>246</v>
      </c>
      <c r="O104" s="13"/>
      <c r="P104" s="107"/>
      <c r="Q104" s="107"/>
      <c r="R104" s="105"/>
      <c r="T104" s="13"/>
      <c r="U104" s="107"/>
      <c r="V104" s="107"/>
      <c r="W104" s="105"/>
      <c r="Y104" s="13"/>
      <c r="Z104" s="107"/>
      <c r="AA104" s="107"/>
      <c r="AB104" s="105"/>
      <c r="AD104" s="13"/>
      <c r="AE104" s="107"/>
      <c r="AF104" s="107"/>
      <c r="AG104" s="105"/>
      <c r="AI104" s="38"/>
      <c r="AJ104" s="13"/>
      <c r="AK104" s="107"/>
      <c r="AL104" s="107"/>
      <c r="AM104" s="105"/>
      <c r="AO104" s="13"/>
      <c r="AP104" s="107"/>
      <c r="AQ104" s="107"/>
      <c r="AR104" s="105"/>
      <c r="AT104" s="13"/>
      <c r="AU104" s="107"/>
      <c r="AV104" s="107"/>
      <c r="AW104" s="105"/>
      <c r="AY104" s="13"/>
      <c r="AZ104" s="107"/>
      <c r="BA104" s="107"/>
      <c r="BB104" s="105"/>
      <c r="BD104" s="13"/>
      <c r="BE104" s="107"/>
      <c r="BF104" s="107"/>
      <c r="BG104" s="105"/>
      <c r="BI104" s="13"/>
      <c r="BJ104" s="107"/>
      <c r="BK104" s="107"/>
      <c r="BL104" s="105"/>
      <c r="BN104" s="38"/>
      <c r="BO104" s="13"/>
      <c r="BP104" s="107"/>
      <c r="BQ104" s="107"/>
      <c r="BR104" s="105"/>
      <c r="BT104" s="13"/>
      <c r="BU104" s="107"/>
      <c r="BV104" s="107"/>
      <c r="BW104" s="105"/>
      <c r="BY104" s="13"/>
      <c r="BZ104" s="107"/>
      <c r="CA104" s="107"/>
      <c r="CB104" s="105"/>
      <c r="CD104" s="13"/>
      <c r="CE104" s="107"/>
      <c r="CF104" s="107"/>
      <c r="CG104" s="105"/>
      <c r="CI104" s="13"/>
      <c r="CJ104" s="107"/>
      <c r="CK104" s="107"/>
      <c r="CL104" s="105"/>
      <c r="CN104" s="13"/>
      <c r="CO104" s="107"/>
      <c r="CP104" s="107"/>
      <c r="CQ104" s="105"/>
      <c r="CS104" s="38"/>
      <c r="CT104" s="13"/>
      <c r="CU104" s="107"/>
      <c r="CV104" s="107"/>
      <c r="CW104" s="105"/>
      <c r="CY104" s="13"/>
      <c r="CZ104" s="107"/>
      <c r="DA104" s="107"/>
      <c r="DB104" s="105"/>
      <c r="DD104" s="13"/>
      <c r="DE104" s="107"/>
      <c r="DF104" s="107"/>
      <c r="DG104" s="105"/>
      <c r="DI104" s="13"/>
      <c r="DJ104" s="107"/>
      <c r="DK104" s="107"/>
      <c r="DL104" s="105"/>
      <c r="DN104" s="13"/>
      <c r="DO104" s="107"/>
      <c r="DP104" s="107"/>
      <c r="DQ104" s="105"/>
      <c r="DS104" s="13"/>
      <c r="DT104" s="107"/>
      <c r="DU104" s="107"/>
      <c r="DV104" s="105"/>
      <c r="DX104" s="38"/>
      <c r="DY104" s="13"/>
      <c r="DZ104" s="107"/>
      <c r="EA104" s="107"/>
      <c r="EB104" s="105"/>
      <c r="ED104" s="13"/>
      <c r="EE104" s="107"/>
      <c r="EF104" s="107"/>
      <c r="EG104" s="105"/>
      <c r="EI104" s="13"/>
      <c r="EJ104" s="107"/>
      <c r="EK104" s="107"/>
      <c r="EL104" s="105"/>
      <c r="EN104" s="13"/>
      <c r="EO104" s="107"/>
      <c r="EP104" s="107"/>
      <c r="EQ104" s="105"/>
      <c r="ES104" s="13"/>
      <c r="ET104" s="107"/>
      <c r="EU104" s="107"/>
      <c r="EV104" s="105"/>
      <c r="EX104" s="13"/>
      <c r="EY104" s="107"/>
      <c r="EZ104" s="107"/>
      <c r="FA104" s="105"/>
      <c r="FC104" s="38"/>
      <c r="FD104" s="13"/>
      <c r="FE104" s="107"/>
      <c r="FF104" s="107"/>
      <c r="FG104" s="105"/>
      <c r="FI104" s="13"/>
      <c r="FJ104" s="107"/>
      <c r="FK104" s="107"/>
      <c r="FL104" s="105"/>
      <c r="FN104" s="13"/>
      <c r="FO104" s="107"/>
      <c r="FP104" s="107"/>
      <c r="FQ104" s="105"/>
      <c r="FS104" s="13"/>
      <c r="FT104" s="107"/>
      <c r="FU104" s="107"/>
      <c r="FV104" s="105"/>
      <c r="FX104" s="13"/>
      <c r="FY104" s="107"/>
      <c r="FZ104" s="107"/>
      <c r="GA104" s="105"/>
      <c r="GC104" s="13"/>
      <c r="GD104" s="107"/>
      <c r="GE104" s="107"/>
      <c r="GF104" s="105"/>
      <c r="GH104" s="38"/>
      <c r="GI104" s="13"/>
      <c r="GJ104" s="107"/>
      <c r="GK104" s="107"/>
      <c r="GL104" s="105"/>
      <c r="GN104" s="13"/>
      <c r="GO104" s="107"/>
      <c r="GP104" s="107"/>
      <c r="GQ104" s="105"/>
      <c r="GS104" s="13"/>
      <c r="GT104" s="107"/>
      <c r="GU104" s="107"/>
      <c r="GV104" s="105"/>
      <c r="GX104" s="13"/>
      <c r="GY104" s="107"/>
      <c r="GZ104" s="107"/>
      <c r="HA104" s="105"/>
      <c r="HC104" s="13"/>
      <c r="HD104" s="107"/>
      <c r="HE104" s="107"/>
      <c r="HF104" s="105"/>
      <c r="HH104" s="13"/>
      <c r="HI104" s="107"/>
      <c r="HJ104" s="107"/>
      <c r="HK104" s="105"/>
      <c r="HM104" s="38"/>
      <c r="HN104" s="13"/>
      <c r="HO104" s="107"/>
      <c r="HP104" s="107"/>
      <c r="HQ104" s="105"/>
      <c r="HS104" s="13"/>
      <c r="HT104" s="107"/>
      <c r="HU104" s="107"/>
      <c r="HV104" s="105"/>
      <c r="HX104" s="13"/>
      <c r="HY104" s="107"/>
      <c r="HZ104" s="107"/>
      <c r="IA104" s="105"/>
      <c r="IC104" s="13"/>
      <c r="ID104" s="107"/>
      <c r="IE104" s="107"/>
      <c r="IF104" s="105"/>
      <c r="IH104" s="13"/>
      <c r="II104" s="107"/>
      <c r="IJ104" s="107"/>
      <c r="IK104" s="105"/>
      <c r="IM104" s="13"/>
      <c r="IN104" s="107"/>
      <c r="IO104" s="107"/>
      <c r="IP104" s="105"/>
      <c r="IR104" s="38"/>
      <c r="IS104" s="13"/>
      <c r="IT104" s="107"/>
      <c r="IU104" s="107"/>
      <c r="IV104" s="105"/>
      <c r="IX104" s="13"/>
      <c r="IY104" s="107"/>
      <c r="IZ104" s="107"/>
      <c r="JA104" s="105"/>
      <c r="JC104" s="13"/>
      <c r="JD104" s="107"/>
      <c r="JE104" s="107"/>
      <c r="JF104" s="105"/>
      <c r="JH104" s="13"/>
      <c r="JI104" s="107"/>
      <c r="JJ104" s="107"/>
      <c r="JK104" s="105"/>
      <c r="JM104" s="13"/>
      <c r="JN104" s="107"/>
      <c r="JO104" s="107"/>
      <c r="JP104" s="105"/>
      <c r="JR104" s="13"/>
      <c r="JS104" s="107"/>
      <c r="JT104" s="107"/>
      <c r="JU104" s="105"/>
      <c r="JW104" s="38"/>
      <c r="JX104" s="13"/>
      <c r="JY104" s="107"/>
      <c r="JZ104" s="107"/>
      <c r="KA104" s="105"/>
      <c r="KC104" s="13"/>
      <c r="KD104" s="107"/>
      <c r="KE104" s="107"/>
      <c r="KF104" s="105"/>
      <c r="KH104" s="13"/>
      <c r="KI104" s="107"/>
      <c r="KJ104" s="107"/>
      <c r="KK104" s="105"/>
      <c r="KM104" s="13"/>
      <c r="KN104" s="107"/>
      <c r="KO104" s="107"/>
      <c r="KP104" s="105"/>
      <c r="KR104" s="13"/>
      <c r="KS104" s="107"/>
      <c r="KT104" s="107"/>
      <c r="KU104" s="105"/>
      <c r="KW104" s="13"/>
      <c r="KX104" s="107"/>
      <c r="KY104" s="107"/>
      <c r="KZ104" s="105"/>
      <c r="LB104" s="38"/>
      <c r="LC104" s="13"/>
      <c r="LD104" s="107"/>
      <c r="LE104" s="107"/>
      <c r="LF104" s="105"/>
      <c r="LH104" s="13"/>
      <c r="LI104" s="107"/>
      <c r="LJ104" s="107"/>
      <c r="LK104" s="105"/>
      <c r="LM104" s="13"/>
      <c r="LN104" s="107"/>
      <c r="LO104" s="107"/>
      <c r="LP104" s="105"/>
      <c r="LR104" s="13"/>
      <c r="LS104" s="107"/>
      <c r="LT104" s="107"/>
      <c r="LU104" s="105"/>
      <c r="LW104" s="13"/>
      <c r="LX104" s="107"/>
      <c r="LY104" s="107"/>
      <c r="LZ104" s="105"/>
      <c r="MB104" s="13"/>
      <c r="MC104" s="107"/>
      <c r="MD104" s="107"/>
      <c r="ME104" s="105"/>
      <c r="MG104" s="38"/>
      <c r="MH104" s="13"/>
      <c r="MI104" s="107"/>
      <c r="MJ104" s="107"/>
      <c r="MK104" s="105"/>
      <c r="MM104" s="13"/>
      <c r="MN104" s="107"/>
      <c r="MO104" s="107"/>
      <c r="MP104" s="105"/>
      <c r="MR104" s="13"/>
      <c r="MS104" s="107"/>
      <c r="MT104" s="107"/>
      <c r="MU104" s="105"/>
      <c r="MW104" s="13"/>
      <c r="MX104" s="107"/>
      <c r="MY104" s="107"/>
      <c r="MZ104" s="105"/>
      <c r="NB104" s="13"/>
      <c r="NC104" s="107"/>
      <c r="ND104" s="107"/>
      <c r="NE104" s="105"/>
      <c r="NG104" s="13"/>
      <c r="NH104" s="107"/>
      <c r="NI104" s="107"/>
      <c r="NJ104" s="105"/>
      <c r="NL104" s="38"/>
      <c r="NM104" s="13"/>
      <c r="NN104" s="107"/>
      <c r="NO104" s="107"/>
      <c r="NP104" s="105"/>
      <c r="NR104" s="13"/>
      <c r="NS104" s="107"/>
      <c r="NT104" s="107"/>
      <c r="NU104" s="105"/>
      <c r="NW104" s="13"/>
      <c r="NX104" s="107"/>
      <c r="NY104" s="107"/>
      <c r="NZ104" s="105"/>
      <c r="OB104" s="13"/>
      <c r="OC104" s="107"/>
      <c r="OD104" s="107"/>
      <c r="OE104" s="105"/>
      <c r="OG104" s="13"/>
      <c r="OH104" s="107"/>
      <c r="OI104" s="107"/>
      <c r="OJ104" s="105"/>
      <c r="OL104" s="13"/>
      <c r="OM104" s="107"/>
      <c r="ON104" s="107"/>
      <c r="OO104" s="105"/>
    </row>
    <row r="105" ht="15.75" customHeight="1">
      <c r="A105" s="42"/>
      <c r="B105" s="42"/>
      <c r="C105" s="42"/>
      <c r="D105" s="38">
        <f t="shared" si="319"/>
        <v>45969</v>
      </c>
      <c r="E105" s="105" t="str">
        <f t="shared" ref="E105:I105" si="320">AD6</f>
        <v/>
      </c>
      <c r="F105" s="105" t="str">
        <f t="shared" si="320"/>
        <v/>
      </c>
      <c r="G105" s="105" t="str">
        <f t="shared" si="320"/>
        <v/>
      </c>
      <c r="H105" s="106" t="str">
        <f t="shared" si="320"/>
        <v/>
      </c>
      <c r="I105" s="106" t="str">
        <f t="shared" si="320"/>
        <v/>
      </c>
      <c r="J105" s="107" t="str">
        <f t="array" ref="J105">IFERROR(IF(XLOOKUP(CONCAT(E105,F105),'MASTER PLAN'!$AB:$AB,'MASTER PLAN'!$M:$M,0,0)=0,"",XLOOKUP(CONCAT(E105,F105),'MASTER PLAN'!$AB:$AB,'MASTER PLAN'!$M:$M,0,0)),"")</f>
        <v/>
      </c>
      <c r="K105" s="107">
        <f t="shared" si="237"/>
        <v>0</v>
      </c>
      <c r="L105" s="107">
        <f t="shared" si="238"/>
        <v>0</v>
      </c>
      <c r="M105" s="105" t="s">
        <v>246</v>
      </c>
      <c r="O105" s="13"/>
      <c r="P105" s="107"/>
      <c r="Q105" s="107"/>
      <c r="R105" s="105"/>
      <c r="T105" s="13"/>
      <c r="U105" s="107"/>
      <c r="V105" s="107"/>
      <c r="W105" s="105"/>
      <c r="Y105" s="13"/>
      <c r="Z105" s="107"/>
      <c r="AA105" s="107"/>
      <c r="AB105" s="105"/>
      <c r="AD105" s="13"/>
      <c r="AE105" s="107"/>
      <c r="AF105" s="107"/>
      <c r="AG105" s="105"/>
      <c r="AI105" s="38"/>
      <c r="AJ105" s="13"/>
      <c r="AK105" s="107"/>
      <c r="AL105" s="107"/>
      <c r="AM105" s="105"/>
      <c r="AO105" s="13"/>
      <c r="AP105" s="107"/>
      <c r="AQ105" s="107"/>
      <c r="AR105" s="105"/>
      <c r="AT105" s="13"/>
      <c r="AU105" s="107"/>
      <c r="AV105" s="107"/>
      <c r="AW105" s="105"/>
      <c r="AY105" s="13"/>
      <c r="AZ105" s="107"/>
      <c r="BA105" s="107"/>
      <c r="BB105" s="105"/>
      <c r="BD105" s="13"/>
      <c r="BE105" s="107"/>
      <c r="BF105" s="107"/>
      <c r="BG105" s="105"/>
      <c r="BI105" s="13"/>
      <c r="BJ105" s="107"/>
      <c r="BK105" s="107"/>
      <c r="BL105" s="105"/>
      <c r="BN105" s="38"/>
      <c r="BO105" s="13"/>
      <c r="BP105" s="107"/>
      <c r="BQ105" s="107"/>
      <c r="BR105" s="105"/>
      <c r="BT105" s="13"/>
      <c r="BU105" s="107"/>
      <c r="BV105" s="107"/>
      <c r="BW105" s="105"/>
      <c r="BY105" s="13"/>
      <c r="BZ105" s="107"/>
      <c r="CA105" s="107"/>
      <c r="CB105" s="105"/>
      <c r="CD105" s="13"/>
      <c r="CE105" s="107"/>
      <c r="CF105" s="107"/>
      <c r="CG105" s="105"/>
      <c r="CI105" s="13"/>
      <c r="CJ105" s="107"/>
      <c r="CK105" s="107"/>
      <c r="CL105" s="105"/>
      <c r="CN105" s="13"/>
      <c r="CO105" s="107"/>
      <c r="CP105" s="107"/>
      <c r="CQ105" s="105"/>
      <c r="CS105" s="38"/>
      <c r="CT105" s="13"/>
      <c r="CU105" s="107"/>
      <c r="CV105" s="107"/>
      <c r="CW105" s="105"/>
      <c r="CY105" s="13"/>
      <c r="CZ105" s="107"/>
      <c r="DA105" s="107"/>
      <c r="DB105" s="105"/>
      <c r="DD105" s="13"/>
      <c r="DE105" s="107"/>
      <c r="DF105" s="107"/>
      <c r="DG105" s="105"/>
      <c r="DI105" s="13"/>
      <c r="DJ105" s="107"/>
      <c r="DK105" s="107"/>
      <c r="DL105" s="105"/>
      <c r="DN105" s="13"/>
      <c r="DO105" s="107"/>
      <c r="DP105" s="107"/>
      <c r="DQ105" s="105"/>
      <c r="DS105" s="13"/>
      <c r="DT105" s="107"/>
      <c r="DU105" s="107"/>
      <c r="DV105" s="105"/>
      <c r="DX105" s="38"/>
      <c r="DY105" s="13"/>
      <c r="DZ105" s="107"/>
      <c r="EA105" s="107"/>
      <c r="EB105" s="105"/>
      <c r="ED105" s="13"/>
      <c r="EE105" s="107"/>
      <c r="EF105" s="107"/>
      <c r="EG105" s="105"/>
      <c r="EI105" s="13"/>
      <c r="EJ105" s="107"/>
      <c r="EK105" s="107"/>
      <c r="EL105" s="105"/>
      <c r="EN105" s="13"/>
      <c r="EO105" s="107"/>
      <c r="EP105" s="107"/>
      <c r="EQ105" s="105"/>
      <c r="ES105" s="13"/>
      <c r="ET105" s="107"/>
      <c r="EU105" s="107"/>
      <c r="EV105" s="105"/>
      <c r="EX105" s="13"/>
      <c r="EY105" s="107"/>
      <c r="EZ105" s="107"/>
      <c r="FA105" s="105"/>
      <c r="FC105" s="38"/>
      <c r="FD105" s="13"/>
      <c r="FE105" s="107"/>
      <c r="FF105" s="107"/>
      <c r="FG105" s="105"/>
      <c r="FI105" s="13"/>
      <c r="FJ105" s="107"/>
      <c r="FK105" s="107"/>
      <c r="FL105" s="105"/>
      <c r="FN105" s="13"/>
      <c r="FO105" s="107"/>
      <c r="FP105" s="107"/>
      <c r="FQ105" s="105"/>
      <c r="FS105" s="13"/>
      <c r="FT105" s="107"/>
      <c r="FU105" s="107"/>
      <c r="FV105" s="105"/>
      <c r="FX105" s="13"/>
      <c r="FY105" s="107"/>
      <c r="FZ105" s="107"/>
      <c r="GA105" s="105"/>
      <c r="GC105" s="13"/>
      <c r="GD105" s="107"/>
      <c r="GE105" s="107"/>
      <c r="GF105" s="105"/>
      <c r="GH105" s="38"/>
      <c r="GI105" s="13"/>
      <c r="GJ105" s="107"/>
      <c r="GK105" s="107"/>
      <c r="GL105" s="105"/>
      <c r="GN105" s="13"/>
      <c r="GO105" s="107"/>
      <c r="GP105" s="107"/>
      <c r="GQ105" s="105"/>
      <c r="GS105" s="13"/>
      <c r="GT105" s="107"/>
      <c r="GU105" s="107"/>
      <c r="GV105" s="105"/>
      <c r="GX105" s="13"/>
      <c r="GY105" s="107"/>
      <c r="GZ105" s="107"/>
      <c r="HA105" s="105"/>
      <c r="HC105" s="13"/>
      <c r="HD105" s="107"/>
      <c r="HE105" s="107"/>
      <c r="HF105" s="105"/>
      <c r="HH105" s="13"/>
      <c r="HI105" s="107"/>
      <c r="HJ105" s="107"/>
      <c r="HK105" s="105"/>
      <c r="HM105" s="38"/>
      <c r="HN105" s="13"/>
      <c r="HO105" s="107"/>
      <c r="HP105" s="107"/>
      <c r="HQ105" s="105"/>
      <c r="HS105" s="13"/>
      <c r="HT105" s="107"/>
      <c r="HU105" s="107"/>
      <c r="HV105" s="105"/>
      <c r="HX105" s="13"/>
      <c r="HY105" s="107"/>
      <c r="HZ105" s="107"/>
      <c r="IA105" s="105"/>
      <c r="IC105" s="13"/>
      <c r="ID105" s="107"/>
      <c r="IE105" s="107"/>
      <c r="IF105" s="105"/>
      <c r="IH105" s="13"/>
      <c r="II105" s="107"/>
      <c r="IJ105" s="107"/>
      <c r="IK105" s="105"/>
      <c r="IM105" s="13"/>
      <c r="IN105" s="107"/>
      <c r="IO105" s="107"/>
      <c r="IP105" s="105"/>
      <c r="IR105" s="38"/>
      <c r="IS105" s="13"/>
      <c r="IT105" s="107"/>
      <c r="IU105" s="107"/>
      <c r="IV105" s="105"/>
      <c r="IX105" s="13"/>
      <c r="IY105" s="107"/>
      <c r="IZ105" s="107"/>
      <c r="JA105" s="105"/>
      <c r="JC105" s="13"/>
      <c r="JD105" s="107"/>
      <c r="JE105" s="107"/>
      <c r="JF105" s="105"/>
      <c r="JH105" s="13"/>
      <c r="JI105" s="107"/>
      <c r="JJ105" s="107"/>
      <c r="JK105" s="105"/>
      <c r="JM105" s="13"/>
      <c r="JN105" s="107"/>
      <c r="JO105" s="107"/>
      <c r="JP105" s="105"/>
      <c r="JR105" s="13"/>
      <c r="JS105" s="107"/>
      <c r="JT105" s="107"/>
      <c r="JU105" s="105"/>
      <c r="JW105" s="38"/>
      <c r="JX105" s="13"/>
      <c r="JY105" s="107"/>
      <c r="JZ105" s="107"/>
      <c r="KA105" s="105"/>
      <c r="KC105" s="13"/>
      <c r="KD105" s="107"/>
      <c r="KE105" s="107"/>
      <c r="KF105" s="105"/>
      <c r="KH105" s="13"/>
      <c r="KI105" s="107"/>
      <c r="KJ105" s="107"/>
      <c r="KK105" s="105"/>
      <c r="KM105" s="13"/>
      <c r="KN105" s="107"/>
      <c r="KO105" s="107"/>
      <c r="KP105" s="105"/>
      <c r="KR105" s="13"/>
      <c r="KS105" s="107"/>
      <c r="KT105" s="107"/>
      <c r="KU105" s="105"/>
      <c r="KW105" s="13"/>
      <c r="KX105" s="107"/>
      <c r="KY105" s="107"/>
      <c r="KZ105" s="105"/>
      <c r="LB105" s="38"/>
      <c r="LC105" s="13"/>
      <c r="LD105" s="107"/>
      <c r="LE105" s="107"/>
      <c r="LF105" s="105"/>
      <c r="LH105" s="13"/>
      <c r="LI105" s="107"/>
      <c r="LJ105" s="107"/>
      <c r="LK105" s="105"/>
      <c r="LM105" s="13"/>
      <c r="LN105" s="107"/>
      <c r="LO105" s="107"/>
      <c r="LP105" s="105"/>
      <c r="LR105" s="13"/>
      <c r="LS105" s="107"/>
      <c r="LT105" s="107"/>
      <c r="LU105" s="105"/>
      <c r="LW105" s="13"/>
      <c r="LX105" s="107"/>
      <c r="LY105" s="107"/>
      <c r="LZ105" s="105"/>
      <c r="MB105" s="13"/>
      <c r="MC105" s="107"/>
      <c r="MD105" s="107"/>
      <c r="ME105" s="105"/>
      <c r="MG105" s="38"/>
      <c r="MH105" s="13"/>
      <c r="MI105" s="107"/>
      <c r="MJ105" s="107"/>
      <c r="MK105" s="105"/>
      <c r="MM105" s="13"/>
      <c r="MN105" s="107"/>
      <c r="MO105" s="107"/>
      <c r="MP105" s="105"/>
      <c r="MR105" s="13"/>
      <c r="MS105" s="107"/>
      <c r="MT105" s="107"/>
      <c r="MU105" s="105"/>
      <c r="MW105" s="13"/>
      <c r="MX105" s="107"/>
      <c r="MY105" s="107"/>
      <c r="MZ105" s="105"/>
      <c r="NB105" s="13"/>
      <c r="NC105" s="107"/>
      <c r="ND105" s="107"/>
      <c r="NE105" s="105"/>
      <c r="NG105" s="13"/>
      <c r="NH105" s="107"/>
      <c r="NI105" s="107"/>
      <c r="NJ105" s="105"/>
      <c r="NL105" s="38"/>
      <c r="NM105" s="13"/>
      <c r="NN105" s="107"/>
      <c r="NO105" s="107"/>
      <c r="NP105" s="105"/>
      <c r="NR105" s="13"/>
      <c r="NS105" s="107"/>
      <c r="NT105" s="107"/>
      <c r="NU105" s="105"/>
      <c r="NW105" s="13"/>
      <c r="NX105" s="107"/>
      <c r="NY105" s="107"/>
      <c r="NZ105" s="105"/>
      <c r="OB105" s="13"/>
      <c r="OC105" s="107"/>
      <c r="OD105" s="107"/>
      <c r="OE105" s="105"/>
      <c r="OG105" s="13"/>
      <c r="OH105" s="107"/>
      <c r="OI105" s="107"/>
      <c r="OJ105" s="105"/>
      <c r="OL105" s="13"/>
      <c r="OM105" s="107"/>
      <c r="ON105" s="107"/>
      <c r="OO105" s="105"/>
    </row>
    <row r="106" ht="15.75" customHeight="1">
      <c r="A106" s="42"/>
      <c r="B106" s="42"/>
      <c r="C106" s="42"/>
      <c r="D106" s="38">
        <f t="shared" si="319"/>
        <v>45969</v>
      </c>
      <c r="E106" s="105" t="str">
        <f t="shared" ref="E106:I106" si="321">AD7</f>
        <v/>
      </c>
      <c r="F106" s="105" t="str">
        <f t="shared" si="321"/>
        <v/>
      </c>
      <c r="G106" s="105" t="str">
        <f t="shared" si="321"/>
        <v/>
      </c>
      <c r="H106" s="106" t="str">
        <f t="shared" si="321"/>
        <v/>
      </c>
      <c r="I106" s="106" t="str">
        <f t="shared" si="321"/>
        <v/>
      </c>
      <c r="J106" s="107" t="str">
        <f t="array" ref="J106">IFERROR(IF(XLOOKUP(CONCAT(E106,F106),'MASTER PLAN'!$AB:$AB,'MASTER PLAN'!$M:$M,0,0)=0,"",XLOOKUP(CONCAT(E106,F106),'MASTER PLAN'!$AB:$AB,'MASTER PLAN'!$M:$M,0,0)),"")</f>
        <v/>
      </c>
      <c r="K106" s="107">
        <f t="shared" si="237"/>
        <v>0</v>
      </c>
      <c r="L106" s="107">
        <f t="shared" si="238"/>
        <v>0</v>
      </c>
      <c r="M106" s="105" t="s">
        <v>246</v>
      </c>
      <c r="O106" s="13"/>
      <c r="P106" s="107"/>
      <c r="Q106" s="107"/>
      <c r="R106" s="105"/>
      <c r="T106" s="13"/>
      <c r="U106" s="107"/>
      <c r="V106" s="107"/>
      <c r="W106" s="105"/>
      <c r="Y106" s="13"/>
      <c r="Z106" s="107"/>
      <c r="AA106" s="107"/>
      <c r="AB106" s="105"/>
      <c r="AD106" s="13"/>
      <c r="AE106" s="107"/>
      <c r="AF106" s="107"/>
      <c r="AG106" s="105"/>
      <c r="AI106" s="38"/>
      <c r="AJ106" s="13"/>
      <c r="AK106" s="107"/>
      <c r="AL106" s="107"/>
      <c r="AM106" s="105"/>
      <c r="AO106" s="13"/>
      <c r="AP106" s="107"/>
      <c r="AQ106" s="107"/>
      <c r="AR106" s="105"/>
      <c r="AT106" s="13"/>
      <c r="AU106" s="107"/>
      <c r="AV106" s="107"/>
      <c r="AW106" s="105"/>
      <c r="AY106" s="13"/>
      <c r="AZ106" s="107"/>
      <c r="BA106" s="107"/>
      <c r="BB106" s="105"/>
      <c r="BD106" s="13"/>
      <c r="BE106" s="107"/>
      <c r="BF106" s="107"/>
      <c r="BG106" s="105"/>
      <c r="BI106" s="13"/>
      <c r="BJ106" s="107"/>
      <c r="BK106" s="107"/>
      <c r="BL106" s="105"/>
      <c r="BN106" s="38"/>
      <c r="BO106" s="13"/>
      <c r="BP106" s="107"/>
      <c r="BQ106" s="107"/>
      <c r="BR106" s="105"/>
      <c r="BT106" s="13"/>
      <c r="BU106" s="107"/>
      <c r="BV106" s="107"/>
      <c r="BW106" s="105"/>
      <c r="BY106" s="13"/>
      <c r="BZ106" s="107"/>
      <c r="CA106" s="107"/>
      <c r="CB106" s="105"/>
      <c r="CD106" s="13"/>
      <c r="CE106" s="107"/>
      <c r="CF106" s="107"/>
      <c r="CG106" s="105"/>
      <c r="CI106" s="13"/>
      <c r="CJ106" s="107"/>
      <c r="CK106" s="107"/>
      <c r="CL106" s="105"/>
      <c r="CN106" s="13"/>
      <c r="CO106" s="107"/>
      <c r="CP106" s="107"/>
      <c r="CQ106" s="105"/>
      <c r="CS106" s="38"/>
      <c r="CT106" s="13"/>
      <c r="CU106" s="107"/>
      <c r="CV106" s="107"/>
      <c r="CW106" s="105"/>
      <c r="CY106" s="13"/>
      <c r="CZ106" s="107"/>
      <c r="DA106" s="107"/>
      <c r="DB106" s="105"/>
      <c r="DD106" s="13"/>
      <c r="DE106" s="107"/>
      <c r="DF106" s="107"/>
      <c r="DG106" s="105"/>
      <c r="DI106" s="13"/>
      <c r="DJ106" s="107"/>
      <c r="DK106" s="107"/>
      <c r="DL106" s="105"/>
      <c r="DN106" s="13"/>
      <c r="DO106" s="107"/>
      <c r="DP106" s="107"/>
      <c r="DQ106" s="105"/>
      <c r="DS106" s="13"/>
      <c r="DT106" s="107"/>
      <c r="DU106" s="107"/>
      <c r="DV106" s="105"/>
      <c r="DX106" s="38"/>
      <c r="DY106" s="13"/>
      <c r="DZ106" s="107"/>
      <c r="EA106" s="107"/>
      <c r="EB106" s="105"/>
      <c r="ED106" s="13"/>
      <c r="EE106" s="107"/>
      <c r="EF106" s="107"/>
      <c r="EG106" s="105"/>
      <c r="EI106" s="13"/>
      <c r="EJ106" s="107"/>
      <c r="EK106" s="107"/>
      <c r="EL106" s="105"/>
      <c r="EN106" s="13"/>
      <c r="EO106" s="107"/>
      <c r="EP106" s="107"/>
      <c r="EQ106" s="105"/>
      <c r="ES106" s="13"/>
      <c r="ET106" s="107"/>
      <c r="EU106" s="107"/>
      <c r="EV106" s="105"/>
      <c r="EX106" s="13"/>
      <c r="EY106" s="107"/>
      <c r="EZ106" s="107"/>
      <c r="FA106" s="105"/>
      <c r="FC106" s="38"/>
      <c r="FD106" s="13"/>
      <c r="FE106" s="107"/>
      <c r="FF106" s="107"/>
      <c r="FG106" s="105"/>
      <c r="FI106" s="13"/>
      <c r="FJ106" s="107"/>
      <c r="FK106" s="107"/>
      <c r="FL106" s="105"/>
      <c r="FN106" s="13"/>
      <c r="FO106" s="107"/>
      <c r="FP106" s="107"/>
      <c r="FQ106" s="105"/>
      <c r="FS106" s="13"/>
      <c r="FT106" s="107"/>
      <c r="FU106" s="107"/>
      <c r="FV106" s="105"/>
      <c r="FX106" s="13"/>
      <c r="FY106" s="107"/>
      <c r="FZ106" s="107"/>
      <c r="GA106" s="105"/>
      <c r="GC106" s="13"/>
      <c r="GD106" s="107"/>
      <c r="GE106" s="107"/>
      <c r="GF106" s="105"/>
      <c r="GH106" s="38"/>
      <c r="GI106" s="13"/>
      <c r="GJ106" s="107"/>
      <c r="GK106" s="107"/>
      <c r="GL106" s="105"/>
      <c r="GN106" s="13"/>
      <c r="GO106" s="107"/>
      <c r="GP106" s="107"/>
      <c r="GQ106" s="105"/>
      <c r="GS106" s="13"/>
      <c r="GT106" s="107"/>
      <c r="GU106" s="107"/>
      <c r="GV106" s="105"/>
      <c r="GX106" s="13"/>
      <c r="GY106" s="107"/>
      <c r="GZ106" s="107"/>
      <c r="HA106" s="105"/>
      <c r="HC106" s="13"/>
      <c r="HD106" s="107"/>
      <c r="HE106" s="107"/>
      <c r="HF106" s="105"/>
      <c r="HH106" s="13"/>
      <c r="HI106" s="107"/>
      <c r="HJ106" s="107"/>
      <c r="HK106" s="105"/>
      <c r="HM106" s="38"/>
      <c r="HN106" s="13"/>
      <c r="HO106" s="107"/>
      <c r="HP106" s="107"/>
      <c r="HQ106" s="105"/>
      <c r="HS106" s="13"/>
      <c r="HT106" s="107"/>
      <c r="HU106" s="107"/>
      <c r="HV106" s="105"/>
      <c r="HX106" s="13"/>
      <c r="HY106" s="107"/>
      <c r="HZ106" s="107"/>
      <c r="IA106" s="105"/>
      <c r="IC106" s="13"/>
      <c r="ID106" s="107"/>
      <c r="IE106" s="107"/>
      <c r="IF106" s="105"/>
      <c r="IH106" s="13"/>
      <c r="II106" s="107"/>
      <c r="IJ106" s="107"/>
      <c r="IK106" s="105"/>
      <c r="IM106" s="13"/>
      <c r="IN106" s="107"/>
      <c r="IO106" s="107"/>
      <c r="IP106" s="105"/>
      <c r="IR106" s="38"/>
      <c r="IS106" s="13"/>
      <c r="IT106" s="107"/>
      <c r="IU106" s="107"/>
      <c r="IV106" s="105"/>
      <c r="IX106" s="13"/>
      <c r="IY106" s="107"/>
      <c r="IZ106" s="107"/>
      <c r="JA106" s="105"/>
      <c r="JC106" s="13"/>
      <c r="JD106" s="107"/>
      <c r="JE106" s="107"/>
      <c r="JF106" s="105"/>
      <c r="JH106" s="13"/>
      <c r="JI106" s="107"/>
      <c r="JJ106" s="107"/>
      <c r="JK106" s="105"/>
      <c r="JM106" s="13"/>
      <c r="JN106" s="107"/>
      <c r="JO106" s="107"/>
      <c r="JP106" s="105"/>
      <c r="JR106" s="13"/>
      <c r="JS106" s="107"/>
      <c r="JT106" s="107"/>
      <c r="JU106" s="105"/>
      <c r="JW106" s="38"/>
      <c r="JX106" s="13"/>
      <c r="JY106" s="107"/>
      <c r="JZ106" s="107"/>
      <c r="KA106" s="105"/>
      <c r="KC106" s="13"/>
      <c r="KD106" s="107"/>
      <c r="KE106" s="107"/>
      <c r="KF106" s="105"/>
      <c r="KH106" s="13"/>
      <c r="KI106" s="107"/>
      <c r="KJ106" s="107"/>
      <c r="KK106" s="105"/>
      <c r="KM106" s="13"/>
      <c r="KN106" s="107"/>
      <c r="KO106" s="107"/>
      <c r="KP106" s="105"/>
      <c r="KR106" s="13"/>
      <c r="KS106" s="107"/>
      <c r="KT106" s="107"/>
      <c r="KU106" s="105"/>
      <c r="KW106" s="13"/>
      <c r="KX106" s="107"/>
      <c r="KY106" s="107"/>
      <c r="KZ106" s="105"/>
      <c r="LB106" s="38"/>
      <c r="LC106" s="13"/>
      <c r="LD106" s="107"/>
      <c r="LE106" s="107"/>
      <c r="LF106" s="105"/>
      <c r="LH106" s="13"/>
      <c r="LI106" s="107"/>
      <c r="LJ106" s="107"/>
      <c r="LK106" s="105"/>
      <c r="LM106" s="13"/>
      <c r="LN106" s="107"/>
      <c r="LO106" s="107"/>
      <c r="LP106" s="105"/>
      <c r="LR106" s="13"/>
      <c r="LS106" s="107"/>
      <c r="LT106" s="107"/>
      <c r="LU106" s="105"/>
      <c r="LW106" s="13"/>
      <c r="LX106" s="107"/>
      <c r="LY106" s="107"/>
      <c r="LZ106" s="105"/>
      <c r="MB106" s="13"/>
      <c r="MC106" s="107"/>
      <c r="MD106" s="107"/>
      <c r="ME106" s="105"/>
      <c r="MG106" s="38"/>
      <c r="MH106" s="13"/>
      <c r="MI106" s="107"/>
      <c r="MJ106" s="107"/>
      <c r="MK106" s="105"/>
      <c r="MM106" s="13"/>
      <c r="MN106" s="107"/>
      <c r="MO106" s="107"/>
      <c r="MP106" s="105"/>
      <c r="MR106" s="13"/>
      <c r="MS106" s="107"/>
      <c r="MT106" s="107"/>
      <c r="MU106" s="105"/>
      <c r="MW106" s="13"/>
      <c r="MX106" s="107"/>
      <c r="MY106" s="107"/>
      <c r="MZ106" s="105"/>
      <c r="NB106" s="13"/>
      <c r="NC106" s="107"/>
      <c r="ND106" s="107"/>
      <c r="NE106" s="105"/>
      <c r="NG106" s="13"/>
      <c r="NH106" s="107"/>
      <c r="NI106" s="107"/>
      <c r="NJ106" s="105"/>
      <c r="NL106" s="38"/>
      <c r="NM106" s="13"/>
      <c r="NN106" s="107"/>
      <c r="NO106" s="107"/>
      <c r="NP106" s="105"/>
      <c r="NR106" s="13"/>
      <c r="NS106" s="107"/>
      <c r="NT106" s="107"/>
      <c r="NU106" s="105"/>
      <c r="NW106" s="13"/>
      <c r="NX106" s="107"/>
      <c r="NY106" s="107"/>
      <c r="NZ106" s="105"/>
      <c r="OB106" s="13"/>
      <c r="OC106" s="107"/>
      <c r="OD106" s="107"/>
      <c r="OE106" s="105"/>
      <c r="OG106" s="13"/>
      <c r="OH106" s="107"/>
      <c r="OI106" s="107"/>
      <c r="OJ106" s="105"/>
      <c r="OL106" s="13"/>
      <c r="OM106" s="107"/>
      <c r="ON106" s="107"/>
      <c r="OO106" s="105"/>
    </row>
    <row r="107" ht="15.75" customHeight="1">
      <c r="A107" s="42"/>
      <c r="B107" s="42"/>
      <c r="C107" s="42"/>
      <c r="D107" s="38">
        <f t="shared" si="319"/>
        <v>45969</v>
      </c>
      <c r="E107" s="105" t="str">
        <f t="shared" ref="E107:I107" si="322">AD8</f>
        <v/>
      </c>
      <c r="F107" s="105" t="str">
        <f t="shared" si="322"/>
        <v/>
      </c>
      <c r="G107" s="105" t="str">
        <f t="shared" si="322"/>
        <v/>
      </c>
      <c r="H107" s="106" t="str">
        <f t="shared" si="322"/>
        <v/>
      </c>
      <c r="I107" s="106" t="str">
        <f t="shared" si="322"/>
        <v/>
      </c>
      <c r="J107" s="107" t="str">
        <f t="array" ref="J107">IFERROR(IF(XLOOKUP(CONCAT(E107,F107),'MASTER PLAN'!$AB:$AB,'MASTER PLAN'!$M:$M,0,0)=0,"",XLOOKUP(CONCAT(E107,F107),'MASTER PLAN'!$AB:$AB,'MASTER PLAN'!$M:$M,0,0)),"")</f>
        <v/>
      </c>
      <c r="K107" s="107">
        <f t="shared" si="237"/>
        <v>0</v>
      </c>
      <c r="L107" s="107">
        <f t="shared" si="238"/>
        <v>0</v>
      </c>
      <c r="M107" s="105" t="s">
        <v>246</v>
      </c>
      <c r="O107" s="13"/>
      <c r="P107" s="107"/>
      <c r="Q107" s="107"/>
      <c r="R107" s="105"/>
      <c r="T107" s="13"/>
      <c r="U107" s="107"/>
      <c r="V107" s="107"/>
      <c r="W107" s="105"/>
      <c r="Y107" s="13"/>
      <c r="Z107" s="107"/>
      <c r="AA107" s="107"/>
      <c r="AB107" s="105"/>
      <c r="AD107" s="13"/>
      <c r="AE107" s="107"/>
      <c r="AF107" s="107"/>
      <c r="AG107" s="105"/>
      <c r="AI107" s="38"/>
      <c r="AJ107" s="13"/>
      <c r="AK107" s="107"/>
      <c r="AL107" s="107"/>
      <c r="AM107" s="105"/>
      <c r="AO107" s="13"/>
      <c r="AP107" s="107"/>
      <c r="AQ107" s="107"/>
      <c r="AR107" s="105"/>
      <c r="AT107" s="13"/>
      <c r="AU107" s="107"/>
      <c r="AV107" s="107"/>
      <c r="AW107" s="105"/>
      <c r="AY107" s="13"/>
      <c r="AZ107" s="107"/>
      <c r="BA107" s="107"/>
      <c r="BB107" s="105"/>
      <c r="BD107" s="13"/>
      <c r="BE107" s="107"/>
      <c r="BF107" s="107"/>
      <c r="BG107" s="105"/>
      <c r="BI107" s="13"/>
      <c r="BJ107" s="107"/>
      <c r="BK107" s="107"/>
      <c r="BL107" s="105"/>
      <c r="BN107" s="38"/>
      <c r="BO107" s="13"/>
      <c r="BP107" s="107"/>
      <c r="BQ107" s="107"/>
      <c r="BR107" s="105"/>
      <c r="BT107" s="13"/>
      <c r="BU107" s="107"/>
      <c r="BV107" s="107"/>
      <c r="BW107" s="105"/>
      <c r="BY107" s="13"/>
      <c r="BZ107" s="107"/>
      <c r="CA107" s="107"/>
      <c r="CB107" s="105"/>
      <c r="CD107" s="13"/>
      <c r="CE107" s="107"/>
      <c r="CF107" s="107"/>
      <c r="CG107" s="105"/>
      <c r="CI107" s="13"/>
      <c r="CJ107" s="107"/>
      <c r="CK107" s="107"/>
      <c r="CL107" s="105"/>
      <c r="CN107" s="13"/>
      <c r="CO107" s="107"/>
      <c r="CP107" s="107"/>
      <c r="CQ107" s="105"/>
      <c r="CS107" s="38"/>
      <c r="CT107" s="13"/>
      <c r="CU107" s="107"/>
      <c r="CV107" s="107"/>
      <c r="CW107" s="105"/>
      <c r="CY107" s="13"/>
      <c r="CZ107" s="107"/>
      <c r="DA107" s="107"/>
      <c r="DB107" s="105"/>
      <c r="DD107" s="13"/>
      <c r="DE107" s="107"/>
      <c r="DF107" s="107"/>
      <c r="DG107" s="105"/>
      <c r="DI107" s="13"/>
      <c r="DJ107" s="107"/>
      <c r="DK107" s="107"/>
      <c r="DL107" s="105"/>
      <c r="DN107" s="13"/>
      <c r="DO107" s="107"/>
      <c r="DP107" s="107"/>
      <c r="DQ107" s="105"/>
      <c r="DS107" s="13"/>
      <c r="DT107" s="107"/>
      <c r="DU107" s="107"/>
      <c r="DV107" s="105"/>
      <c r="DX107" s="38"/>
      <c r="DY107" s="13"/>
      <c r="DZ107" s="107"/>
      <c r="EA107" s="107"/>
      <c r="EB107" s="105"/>
      <c r="ED107" s="13"/>
      <c r="EE107" s="107"/>
      <c r="EF107" s="107"/>
      <c r="EG107" s="105"/>
      <c r="EI107" s="13"/>
      <c r="EJ107" s="107"/>
      <c r="EK107" s="107"/>
      <c r="EL107" s="105"/>
      <c r="EN107" s="13"/>
      <c r="EO107" s="107"/>
      <c r="EP107" s="107"/>
      <c r="EQ107" s="105"/>
      <c r="ES107" s="13"/>
      <c r="ET107" s="107"/>
      <c r="EU107" s="107"/>
      <c r="EV107" s="105"/>
      <c r="EX107" s="13"/>
      <c r="EY107" s="107"/>
      <c r="EZ107" s="107"/>
      <c r="FA107" s="105"/>
      <c r="FC107" s="38"/>
      <c r="FD107" s="13"/>
      <c r="FE107" s="107"/>
      <c r="FF107" s="107"/>
      <c r="FG107" s="105"/>
      <c r="FI107" s="13"/>
      <c r="FJ107" s="107"/>
      <c r="FK107" s="107"/>
      <c r="FL107" s="105"/>
      <c r="FN107" s="13"/>
      <c r="FO107" s="107"/>
      <c r="FP107" s="107"/>
      <c r="FQ107" s="105"/>
      <c r="FS107" s="13"/>
      <c r="FT107" s="107"/>
      <c r="FU107" s="107"/>
      <c r="FV107" s="105"/>
      <c r="FX107" s="13"/>
      <c r="FY107" s="107"/>
      <c r="FZ107" s="107"/>
      <c r="GA107" s="105"/>
      <c r="GC107" s="13"/>
      <c r="GD107" s="107"/>
      <c r="GE107" s="107"/>
      <c r="GF107" s="105"/>
      <c r="GH107" s="38"/>
      <c r="GI107" s="13"/>
      <c r="GJ107" s="107"/>
      <c r="GK107" s="107"/>
      <c r="GL107" s="105"/>
      <c r="GN107" s="13"/>
      <c r="GO107" s="107"/>
      <c r="GP107" s="107"/>
      <c r="GQ107" s="105"/>
      <c r="GS107" s="13"/>
      <c r="GT107" s="107"/>
      <c r="GU107" s="107"/>
      <c r="GV107" s="105"/>
      <c r="GX107" s="13"/>
      <c r="GY107" s="107"/>
      <c r="GZ107" s="107"/>
      <c r="HA107" s="105"/>
      <c r="HC107" s="13"/>
      <c r="HD107" s="107"/>
      <c r="HE107" s="107"/>
      <c r="HF107" s="105"/>
      <c r="HH107" s="13"/>
      <c r="HI107" s="107"/>
      <c r="HJ107" s="107"/>
      <c r="HK107" s="105"/>
      <c r="HM107" s="38"/>
      <c r="HN107" s="13"/>
      <c r="HO107" s="107"/>
      <c r="HP107" s="107"/>
      <c r="HQ107" s="105"/>
      <c r="HS107" s="13"/>
      <c r="HT107" s="107"/>
      <c r="HU107" s="107"/>
      <c r="HV107" s="105"/>
      <c r="HX107" s="13"/>
      <c r="HY107" s="107"/>
      <c r="HZ107" s="107"/>
      <c r="IA107" s="105"/>
      <c r="IC107" s="13"/>
      <c r="ID107" s="107"/>
      <c r="IE107" s="107"/>
      <c r="IF107" s="105"/>
      <c r="IH107" s="13"/>
      <c r="II107" s="107"/>
      <c r="IJ107" s="107"/>
      <c r="IK107" s="105"/>
      <c r="IM107" s="13"/>
      <c r="IN107" s="107"/>
      <c r="IO107" s="107"/>
      <c r="IP107" s="105"/>
      <c r="IR107" s="38"/>
      <c r="IS107" s="13"/>
      <c r="IT107" s="107"/>
      <c r="IU107" s="107"/>
      <c r="IV107" s="105"/>
      <c r="IX107" s="13"/>
      <c r="IY107" s="107"/>
      <c r="IZ107" s="107"/>
      <c r="JA107" s="105"/>
      <c r="JC107" s="13"/>
      <c r="JD107" s="107"/>
      <c r="JE107" s="107"/>
      <c r="JF107" s="105"/>
      <c r="JH107" s="13"/>
      <c r="JI107" s="107"/>
      <c r="JJ107" s="107"/>
      <c r="JK107" s="105"/>
      <c r="JM107" s="13"/>
      <c r="JN107" s="107"/>
      <c r="JO107" s="107"/>
      <c r="JP107" s="105"/>
      <c r="JR107" s="13"/>
      <c r="JS107" s="107"/>
      <c r="JT107" s="107"/>
      <c r="JU107" s="105"/>
      <c r="JW107" s="38"/>
      <c r="JX107" s="13"/>
      <c r="JY107" s="107"/>
      <c r="JZ107" s="107"/>
      <c r="KA107" s="105"/>
      <c r="KC107" s="13"/>
      <c r="KD107" s="107"/>
      <c r="KE107" s="107"/>
      <c r="KF107" s="105"/>
      <c r="KH107" s="13"/>
      <c r="KI107" s="107"/>
      <c r="KJ107" s="107"/>
      <c r="KK107" s="105"/>
      <c r="KM107" s="13"/>
      <c r="KN107" s="107"/>
      <c r="KO107" s="107"/>
      <c r="KP107" s="105"/>
      <c r="KR107" s="13"/>
      <c r="KS107" s="107"/>
      <c r="KT107" s="107"/>
      <c r="KU107" s="105"/>
      <c r="KW107" s="13"/>
      <c r="KX107" s="107"/>
      <c r="KY107" s="107"/>
      <c r="KZ107" s="105"/>
      <c r="LB107" s="38"/>
      <c r="LC107" s="13"/>
      <c r="LD107" s="107"/>
      <c r="LE107" s="107"/>
      <c r="LF107" s="105"/>
      <c r="LH107" s="13"/>
      <c r="LI107" s="107"/>
      <c r="LJ107" s="107"/>
      <c r="LK107" s="105"/>
      <c r="LM107" s="13"/>
      <c r="LN107" s="107"/>
      <c r="LO107" s="107"/>
      <c r="LP107" s="105"/>
      <c r="LR107" s="13"/>
      <c r="LS107" s="107"/>
      <c r="LT107" s="107"/>
      <c r="LU107" s="105"/>
      <c r="LW107" s="13"/>
      <c r="LX107" s="107"/>
      <c r="LY107" s="107"/>
      <c r="LZ107" s="105"/>
      <c r="MB107" s="13"/>
      <c r="MC107" s="107"/>
      <c r="MD107" s="107"/>
      <c r="ME107" s="105"/>
      <c r="MG107" s="38"/>
      <c r="MH107" s="13"/>
      <c r="MI107" s="107"/>
      <c r="MJ107" s="107"/>
      <c r="MK107" s="105"/>
      <c r="MM107" s="13"/>
      <c r="MN107" s="107"/>
      <c r="MO107" s="107"/>
      <c r="MP107" s="105"/>
      <c r="MR107" s="13"/>
      <c r="MS107" s="107"/>
      <c r="MT107" s="107"/>
      <c r="MU107" s="105"/>
      <c r="MW107" s="13"/>
      <c r="MX107" s="107"/>
      <c r="MY107" s="107"/>
      <c r="MZ107" s="105"/>
      <c r="NB107" s="13"/>
      <c r="NC107" s="107"/>
      <c r="ND107" s="107"/>
      <c r="NE107" s="105"/>
      <c r="NG107" s="13"/>
      <c r="NH107" s="107"/>
      <c r="NI107" s="107"/>
      <c r="NJ107" s="105"/>
      <c r="NL107" s="38"/>
      <c r="NM107" s="13"/>
      <c r="NN107" s="107"/>
      <c r="NO107" s="107"/>
      <c r="NP107" s="105"/>
      <c r="NR107" s="13"/>
      <c r="NS107" s="107"/>
      <c r="NT107" s="107"/>
      <c r="NU107" s="105"/>
      <c r="NW107" s="13"/>
      <c r="NX107" s="107"/>
      <c r="NY107" s="107"/>
      <c r="NZ107" s="105"/>
      <c r="OB107" s="13"/>
      <c r="OC107" s="107"/>
      <c r="OD107" s="107"/>
      <c r="OE107" s="105"/>
      <c r="OG107" s="13"/>
      <c r="OH107" s="107"/>
      <c r="OI107" s="107"/>
      <c r="OJ107" s="105"/>
      <c r="OL107" s="13"/>
      <c r="OM107" s="107"/>
      <c r="ON107" s="107"/>
      <c r="OO107" s="105"/>
    </row>
    <row r="108" ht="15.75" customHeight="1">
      <c r="A108" s="42"/>
      <c r="B108" s="42"/>
      <c r="C108" s="42"/>
      <c r="D108" s="38">
        <f t="shared" si="319"/>
        <v>45969</v>
      </c>
      <c r="E108" s="105" t="str">
        <f t="shared" ref="E108:I108" si="323">AD12</f>
        <v/>
      </c>
      <c r="F108" s="105" t="str">
        <f t="shared" si="323"/>
        <v/>
      </c>
      <c r="G108" s="105" t="str">
        <f t="shared" si="323"/>
        <v/>
      </c>
      <c r="H108" s="106" t="str">
        <f t="shared" si="323"/>
        <v/>
      </c>
      <c r="I108" s="106" t="str">
        <f t="shared" si="323"/>
        <v/>
      </c>
      <c r="J108" s="107" t="str">
        <f t="array" ref="J108">IFERROR(IF(XLOOKUP(CONCAT(E108,F108),'MASTER PLAN'!$AB:$AB,'MASTER PLAN'!$M:$M,0,0)=0,"",XLOOKUP(CONCAT(E108,F108),'MASTER PLAN'!$AB:$AB,'MASTER PLAN'!$M:$M,0,0)),"")</f>
        <v/>
      </c>
      <c r="K108" s="107">
        <f t="shared" si="237"/>
        <v>0</v>
      </c>
      <c r="L108" s="107">
        <f t="shared" si="238"/>
        <v>0</v>
      </c>
      <c r="M108" s="105" t="s">
        <v>248</v>
      </c>
      <c r="O108" s="13"/>
      <c r="P108" s="107"/>
      <c r="Q108" s="107"/>
      <c r="R108" s="105"/>
      <c r="T108" s="13"/>
      <c r="U108" s="107"/>
      <c r="V108" s="107"/>
      <c r="W108" s="105"/>
      <c r="Y108" s="13"/>
      <c r="Z108" s="107"/>
      <c r="AA108" s="107"/>
      <c r="AB108" s="105"/>
      <c r="AD108" s="13"/>
      <c r="AE108" s="107"/>
      <c r="AF108" s="107"/>
      <c r="AG108" s="105"/>
      <c r="AI108" s="38"/>
      <c r="AJ108" s="13"/>
      <c r="AK108" s="107"/>
      <c r="AL108" s="107"/>
      <c r="AM108" s="105"/>
      <c r="AO108" s="13"/>
      <c r="AP108" s="107"/>
      <c r="AQ108" s="107"/>
      <c r="AR108" s="105"/>
      <c r="AT108" s="13"/>
      <c r="AU108" s="107"/>
      <c r="AV108" s="107"/>
      <c r="AW108" s="105"/>
      <c r="AY108" s="13"/>
      <c r="AZ108" s="107"/>
      <c r="BA108" s="107"/>
      <c r="BB108" s="105"/>
      <c r="BD108" s="13"/>
      <c r="BE108" s="107"/>
      <c r="BF108" s="107"/>
      <c r="BG108" s="105"/>
      <c r="BI108" s="13"/>
      <c r="BJ108" s="107"/>
      <c r="BK108" s="107"/>
      <c r="BL108" s="105"/>
      <c r="BN108" s="38"/>
      <c r="BO108" s="13"/>
      <c r="BP108" s="107"/>
      <c r="BQ108" s="107"/>
      <c r="BR108" s="105"/>
      <c r="BT108" s="13"/>
      <c r="BU108" s="107"/>
      <c r="BV108" s="107"/>
      <c r="BW108" s="105"/>
      <c r="BY108" s="13"/>
      <c r="BZ108" s="107"/>
      <c r="CA108" s="107"/>
      <c r="CB108" s="105"/>
      <c r="CD108" s="13"/>
      <c r="CE108" s="107"/>
      <c r="CF108" s="107"/>
      <c r="CG108" s="105"/>
      <c r="CI108" s="13"/>
      <c r="CJ108" s="107"/>
      <c r="CK108" s="107"/>
      <c r="CL108" s="105"/>
      <c r="CN108" s="13"/>
      <c r="CO108" s="107"/>
      <c r="CP108" s="107"/>
      <c r="CQ108" s="105"/>
      <c r="CS108" s="38"/>
      <c r="CT108" s="13"/>
      <c r="CU108" s="107"/>
      <c r="CV108" s="107"/>
      <c r="CW108" s="105"/>
      <c r="CY108" s="13"/>
      <c r="CZ108" s="107"/>
      <c r="DA108" s="107"/>
      <c r="DB108" s="105"/>
      <c r="DD108" s="13"/>
      <c r="DE108" s="107"/>
      <c r="DF108" s="107"/>
      <c r="DG108" s="105"/>
      <c r="DI108" s="13"/>
      <c r="DJ108" s="107"/>
      <c r="DK108" s="107"/>
      <c r="DL108" s="105"/>
      <c r="DN108" s="13"/>
      <c r="DO108" s="107"/>
      <c r="DP108" s="107"/>
      <c r="DQ108" s="105"/>
      <c r="DS108" s="13"/>
      <c r="DT108" s="107"/>
      <c r="DU108" s="107"/>
      <c r="DV108" s="105"/>
      <c r="DX108" s="38"/>
      <c r="DY108" s="13"/>
      <c r="DZ108" s="107"/>
      <c r="EA108" s="107"/>
      <c r="EB108" s="105"/>
      <c r="ED108" s="13"/>
      <c r="EE108" s="107"/>
      <c r="EF108" s="107"/>
      <c r="EG108" s="105"/>
      <c r="EI108" s="13"/>
      <c r="EJ108" s="107"/>
      <c r="EK108" s="107"/>
      <c r="EL108" s="105"/>
      <c r="EN108" s="13"/>
      <c r="EO108" s="107"/>
      <c r="EP108" s="107"/>
      <c r="EQ108" s="105"/>
      <c r="ES108" s="13"/>
      <c r="ET108" s="107"/>
      <c r="EU108" s="107"/>
      <c r="EV108" s="105"/>
      <c r="EX108" s="13"/>
      <c r="EY108" s="107"/>
      <c r="EZ108" s="107"/>
      <c r="FA108" s="105"/>
      <c r="FC108" s="38"/>
      <c r="FD108" s="13"/>
      <c r="FE108" s="107"/>
      <c r="FF108" s="107"/>
      <c r="FG108" s="105"/>
      <c r="FI108" s="13"/>
      <c r="FJ108" s="107"/>
      <c r="FK108" s="107"/>
      <c r="FL108" s="105"/>
      <c r="FN108" s="13"/>
      <c r="FO108" s="107"/>
      <c r="FP108" s="107"/>
      <c r="FQ108" s="105"/>
      <c r="FS108" s="13"/>
      <c r="FT108" s="107"/>
      <c r="FU108" s="107"/>
      <c r="FV108" s="105"/>
      <c r="FX108" s="13"/>
      <c r="FY108" s="107"/>
      <c r="FZ108" s="107"/>
      <c r="GA108" s="105"/>
      <c r="GC108" s="13"/>
      <c r="GD108" s="107"/>
      <c r="GE108" s="107"/>
      <c r="GF108" s="105"/>
      <c r="GH108" s="38"/>
      <c r="GI108" s="13"/>
      <c r="GJ108" s="107"/>
      <c r="GK108" s="107"/>
      <c r="GL108" s="105"/>
      <c r="GN108" s="13"/>
      <c r="GO108" s="107"/>
      <c r="GP108" s="107"/>
      <c r="GQ108" s="105"/>
      <c r="GS108" s="13"/>
      <c r="GT108" s="107"/>
      <c r="GU108" s="107"/>
      <c r="GV108" s="105"/>
      <c r="GX108" s="13"/>
      <c r="GY108" s="107"/>
      <c r="GZ108" s="107"/>
      <c r="HA108" s="105"/>
      <c r="HC108" s="13"/>
      <c r="HD108" s="107"/>
      <c r="HE108" s="107"/>
      <c r="HF108" s="105"/>
      <c r="HH108" s="13"/>
      <c r="HI108" s="107"/>
      <c r="HJ108" s="107"/>
      <c r="HK108" s="105"/>
      <c r="HM108" s="38"/>
      <c r="HN108" s="13"/>
      <c r="HO108" s="107"/>
      <c r="HP108" s="107"/>
      <c r="HQ108" s="105"/>
      <c r="HS108" s="13"/>
      <c r="HT108" s="107"/>
      <c r="HU108" s="107"/>
      <c r="HV108" s="105"/>
      <c r="HX108" s="13"/>
      <c r="HY108" s="107"/>
      <c r="HZ108" s="107"/>
      <c r="IA108" s="105"/>
      <c r="IC108" s="13"/>
      <c r="ID108" s="107"/>
      <c r="IE108" s="107"/>
      <c r="IF108" s="105"/>
      <c r="IH108" s="13"/>
      <c r="II108" s="107"/>
      <c r="IJ108" s="107"/>
      <c r="IK108" s="105"/>
      <c r="IM108" s="13"/>
      <c r="IN108" s="107"/>
      <c r="IO108" s="107"/>
      <c r="IP108" s="105"/>
      <c r="IR108" s="38"/>
      <c r="IS108" s="13"/>
      <c r="IT108" s="107"/>
      <c r="IU108" s="107"/>
      <c r="IV108" s="105"/>
      <c r="IX108" s="13"/>
      <c r="IY108" s="107"/>
      <c r="IZ108" s="107"/>
      <c r="JA108" s="105"/>
      <c r="JC108" s="13"/>
      <c r="JD108" s="107"/>
      <c r="JE108" s="107"/>
      <c r="JF108" s="105"/>
      <c r="JH108" s="13"/>
      <c r="JI108" s="107"/>
      <c r="JJ108" s="107"/>
      <c r="JK108" s="105"/>
      <c r="JM108" s="13"/>
      <c r="JN108" s="107"/>
      <c r="JO108" s="107"/>
      <c r="JP108" s="105"/>
      <c r="JR108" s="13"/>
      <c r="JS108" s="107"/>
      <c r="JT108" s="107"/>
      <c r="JU108" s="105"/>
      <c r="JW108" s="38"/>
      <c r="JX108" s="13"/>
      <c r="JY108" s="107"/>
      <c r="JZ108" s="107"/>
      <c r="KA108" s="105"/>
      <c r="KC108" s="13"/>
      <c r="KD108" s="107"/>
      <c r="KE108" s="107"/>
      <c r="KF108" s="105"/>
      <c r="KH108" s="13"/>
      <c r="KI108" s="107"/>
      <c r="KJ108" s="107"/>
      <c r="KK108" s="105"/>
      <c r="KM108" s="13"/>
      <c r="KN108" s="107"/>
      <c r="KO108" s="107"/>
      <c r="KP108" s="105"/>
      <c r="KR108" s="13"/>
      <c r="KS108" s="107"/>
      <c r="KT108" s="107"/>
      <c r="KU108" s="105"/>
      <c r="KW108" s="13"/>
      <c r="KX108" s="107"/>
      <c r="KY108" s="107"/>
      <c r="KZ108" s="105"/>
      <c r="LB108" s="38"/>
      <c r="LC108" s="13"/>
      <c r="LD108" s="107"/>
      <c r="LE108" s="107"/>
      <c r="LF108" s="105"/>
      <c r="LH108" s="13"/>
      <c r="LI108" s="107"/>
      <c r="LJ108" s="107"/>
      <c r="LK108" s="105"/>
      <c r="LM108" s="13"/>
      <c r="LN108" s="107"/>
      <c r="LO108" s="107"/>
      <c r="LP108" s="105"/>
      <c r="LR108" s="13"/>
      <c r="LS108" s="107"/>
      <c r="LT108" s="107"/>
      <c r="LU108" s="105"/>
      <c r="LW108" s="13"/>
      <c r="LX108" s="107"/>
      <c r="LY108" s="107"/>
      <c r="LZ108" s="105"/>
      <c r="MB108" s="13"/>
      <c r="MC108" s="107"/>
      <c r="MD108" s="107"/>
      <c r="ME108" s="105"/>
      <c r="MG108" s="38"/>
      <c r="MH108" s="13"/>
      <c r="MI108" s="107"/>
      <c r="MJ108" s="107"/>
      <c r="MK108" s="105"/>
      <c r="MM108" s="13"/>
      <c r="MN108" s="107"/>
      <c r="MO108" s="107"/>
      <c r="MP108" s="105"/>
      <c r="MR108" s="13"/>
      <c r="MS108" s="107"/>
      <c r="MT108" s="107"/>
      <c r="MU108" s="105"/>
      <c r="MW108" s="13"/>
      <c r="MX108" s="107"/>
      <c r="MY108" s="107"/>
      <c r="MZ108" s="105"/>
      <c r="NB108" s="13"/>
      <c r="NC108" s="107"/>
      <c r="ND108" s="107"/>
      <c r="NE108" s="105"/>
      <c r="NG108" s="13"/>
      <c r="NH108" s="107"/>
      <c r="NI108" s="107"/>
      <c r="NJ108" s="105"/>
      <c r="NL108" s="38"/>
      <c r="NM108" s="13"/>
      <c r="NN108" s="107"/>
      <c r="NO108" s="107"/>
      <c r="NP108" s="105"/>
      <c r="NR108" s="13"/>
      <c r="NS108" s="107"/>
      <c r="NT108" s="107"/>
      <c r="NU108" s="105"/>
      <c r="NW108" s="13"/>
      <c r="NX108" s="107"/>
      <c r="NY108" s="107"/>
      <c r="NZ108" s="105"/>
      <c r="OB108" s="13"/>
      <c r="OC108" s="107"/>
      <c r="OD108" s="107"/>
      <c r="OE108" s="105"/>
      <c r="OG108" s="13"/>
      <c r="OH108" s="107"/>
      <c r="OI108" s="107"/>
      <c r="OJ108" s="105"/>
      <c r="OL108" s="13"/>
      <c r="OM108" s="107"/>
      <c r="ON108" s="107"/>
      <c r="OO108" s="105"/>
    </row>
    <row r="109" ht="15.75" customHeight="1">
      <c r="A109" s="42"/>
      <c r="B109" s="42"/>
      <c r="C109" s="42"/>
      <c r="D109" s="38">
        <f t="shared" si="319"/>
        <v>45969</v>
      </c>
      <c r="E109" s="105" t="str">
        <f t="shared" ref="E109:I109" si="324">AD13</f>
        <v/>
      </c>
      <c r="F109" s="105" t="str">
        <f t="shared" si="324"/>
        <v/>
      </c>
      <c r="G109" s="105" t="str">
        <f t="shared" si="324"/>
        <v/>
      </c>
      <c r="H109" s="106" t="str">
        <f t="shared" si="324"/>
        <v/>
      </c>
      <c r="I109" s="106" t="str">
        <f t="shared" si="324"/>
        <v/>
      </c>
      <c r="J109" s="107" t="str">
        <f t="array" ref="J109">IFERROR(IF(XLOOKUP(CONCAT(E109,F109),'MASTER PLAN'!$AB:$AB,'MASTER PLAN'!$M:$M,0,0)=0,"",XLOOKUP(CONCAT(E109,F109),'MASTER PLAN'!$AB:$AB,'MASTER PLAN'!$M:$M,0,0)),"")</f>
        <v/>
      </c>
      <c r="K109" s="107">
        <f t="shared" si="237"/>
        <v>0</v>
      </c>
      <c r="L109" s="107">
        <f t="shared" si="238"/>
        <v>0</v>
      </c>
      <c r="M109" s="105" t="s">
        <v>248</v>
      </c>
      <c r="O109" s="13"/>
      <c r="P109" s="107"/>
      <c r="Q109" s="107"/>
      <c r="R109" s="105"/>
      <c r="T109" s="13"/>
      <c r="U109" s="107"/>
      <c r="V109" s="107"/>
      <c r="W109" s="105"/>
      <c r="Y109" s="13"/>
      <c r="Z109" s="107"/>
      <c r="AA109" s="107"/>
      <c r="AB109" s="105"/>
      <c r="AD109" s="13"/>
      <c r="AE109" s="107"/>
      <c r="AF109" s="107"/>
      <c r="AG109" s="105"/>
      <c r="AI109" s="38"/>
      <c r="AJ109" s="13"/>
      <c r="AK109" s="107"/>
      <c r="AL109" s="107"/>
      <c r="AM109" s="105"/>
      <c r="AO109" s="13"/>
      <c r="AP109" s="107"/>
      <c r="AQ109" s="107"/>
      <c r="AR109" s="105"/>
      <c r="AT109" s="13"/>
      <c r="AU109" s="107"/>
      <c r="AV109" s="107"/>
      <c r="AW109" s="105"/>
      <c r="AY109" s="13"/>
      <c r="AZ109" s="107"/>
      <c r="BA109" s="107"/>
      <c r="BB109" s="105"/>
      <c r="BD109" s="13"/>
      <c r="BE109" s="107"/>
      <c r="BF109" s="107"/>
      <c r="BG109" s="105"/>
      <c r="BI109" s="13"/>
      <c r="BJ109" s="107"/>
      <c r="BK109" s="107"/>
      <c r="BL109" s="105"/>
      <c r="BN109" s="38"/>
      <c r="BO109" s="13"/>
      <c r="BP109" s="107"/>
      <c r="BQ109" s="107"/>
      <c r="BR109" s="105"/>
      <c r="BT109" s="13"/>
      <c r="BU109" s="107"/>
      <c r="BV109" s="107"/>
      <c r="BW109" s="105"/>
      <c r="BY109" s="13"/>
      <c r="BZ109" s="107"/>
      <c r="CA109" s="107"/>
      <c r="CB109" s="105"/>
      <c r="CD109" s="13"/>
      <c r="CE109" s="107"/>
      <c r="CF109" s="107"/>
      <c r="CG109" s="105"/>
      <c r="CI109" s="13"/>
      <c r="CJ109" s="107"/>
      <c r="CK109" s="107"/>
      <c r="CL109" s="105"/>
      <c r="CN109" s="13"/>
      <c r="CO109" s="107"/>
      <c r="CP109" s="107"/>
      <c r="CQ109" s="105"/>
      <c r="CS109" s="38"/>
      <c r="CT109" s="13"/>
      <c r="CU109" s="107"/>
      <c r="CV109" s="107"/>
      <c r="CW109" s="105"/>
      <c r="CY109" s="13"/>
      <c r="CZ109" s="107"/>
      <c r="DA109" s="107"/>
      <c r="DB109" s="105"/>
      <c r="DD109" s="13"/>
      <c r="DE109" s="107"/>
      <c r="DF109" s="107"/>
      <c r="DG109" s="105"/>
      <c r="DI109" s="13"/>
      <c r="DJ109" s="107"/>
      <c r="DK109" s="107"/>
      <c r="DL109" s="105"/>
      <c r="DN109" s="13"/>
      <c r="DO109" s="107"/>
      <c r="DP109" s="107"/>
      <c r="DQ109" s="105"/>
      <c r="DS109" s="13"/>
      <c r="DT109" s="107"/>
      <c r="DU109" s="107"/>
      <c r="DV109" s="105"/>
      <c r="DX109" s="38"/>
      <c r="DY109" s="13"/>
      <c r="DZ109" s="107"/>
      <c r="EA109" s="107"/>
      <c r="EB109" s="105"/>
      <c r="ED109" s="13"/>
      <c r="EE109" s="107"/>
      <c r="EF109" s="107"/>
      <c r="EG109" s="105"/>
      <c r="EI109" s="13"/>
      <c r="EJ109" s="107"/>
      <c r="EK109" s="107"/>
      <c r="EL109" s="105"/>
      <c r="EN109" s="13"/>
      <c r="EO109" s="107"/>
      <c r="EP109" s="107"/>
      <c r="EQ109" s="105"/>
      <c r="ES109" s="13"/>
      <c r="ET109" s="107"/>
      <c r="EU109" s="107"/>
      <c r="EV109" s="105"/>
      <c r="EX109" s="13"/>
      <c r="EY109" s="107"/>
      <c r="EZ109" s="107"/>
      <c r="FA109" s="105"/>
      <c r="FC109" s="38"/>
      <c r="FD109" s="13"/>
      <c r="FE109" s="107"/>
      <c r="FF109" s="107"/>
      <c r="FG109" s="105"/>
      <c r="FI109" s="13"/>
      <c r="FJ109" s="107"/>
      <c r="FK109" s="107"/>
      <c r="FL109" s="105"/>
      <c r="FN109" s="13"/>
      <c r="FO109" s="107"/>
      <c r="FP109" s="107"/>
      <c r="FQ109" s="105"/>
      <c r="FS109" s="13"/>
      <c r="FT109" s="107"/>
      <c r="FU109" s="107"/>
      <c r="FV109" s="105"/>
      <c r="FX109" s="13"/>
      <c r="FY109" s="107"/>
      <c r="FZ109" s="107"/>
      <c r="GA109" s="105"/>
      <c r="GC109" s="13"/>
      <c r="GD109" s="107"/>
      <c r="GE109" s="107"/>
      <c r="GF109" s="105"/>
      <c r="GH109" s="38"/>
      <c r="GI109" s="13"/>
      <c r="GJ109" s="107"/>
      <c r="GK109" s="107"/>
      <c r="GL109" s="105"/>
      <c r="GN109" s="13"/>
      <c r="GO109" s="107"/>
      <c r="GP109" s="107"/>
      <c r="GQ109" s="105"/>
      <c r="GS109" s="13"/>
      <c r="GT109" s="107"/>
      <c r="GU109" s="107"/>
      <c r="GV109" s="105"/>
      <c r="GX109" s="13"/>
      <c r="GY109" s="107"/>
      <c r="GZ109" s="107"/>
      <c r="HA109" s="105"/>
      <c r="HC109" s="13"/>
      <c r="HD109" s="107"/>
      <c r="HE109" s="107"/>
      <c r="HF109" s="105"/>
      <c r="HH109" s="13"/>
      <c r="HI109" s="107"/>
      <c r="HJ109" s="107"/>
      <c r="HK109" s="105"/>
      <c r="HM109" s="38"/>
      <c r="HN109" s="13"/>
      <c r="HO109" s="107"/>
      <c r="HP109" s="107"/>
      <c r="HQ109" s="105"/>
      <c r="HS109" s="13"/>
      <c r="HT109" s="107"/>
      <c r="HU109" s="107"/>
      <c r="HV109" s="105"/>
      <c r="HX109" s="13"/>
      <c r="HY109" s="107"/>
      <c r="HZ109" s="107"/>
      <c r="IA109" s="105"/>
      <c r="IC109" s="13"/>
      <c r="ID109" s="107"/>
      <c r="IE109" s="107"/>
      <c r="IF109" s="105"/>
      <c r="IH109" s="13"/>
      <c r="II109" s="107"/>
      <c r="IJ109" s="107"/>
      <c r="IK109" s="105"/>
      <c r="IM109" s="13"/>
      <c r="IN109" s="107"/>
      <c r="IO109" s="107"/>
      <c r="IP109" s="105"/>
      <c r="IR109" s="38"/>
      <c r="IS109" s="13"/>
      <c r="IT109" s="107"/>
      <c r="IU109" s="107"/>
      <c r="IV109" s="105"/>
      <c r="IX109" s="13"/>
      <c r="IY109" s="107"/>
      <c r="IZ109" s="107"/>
      <c r="JA109" s="105"/>
      <c r="JC109" s="13"/>
      <c r="JD109" s="107"/>
      <c r="JE109" s="107"/>
      <c r="JF109" s="105"/>
      <c r="JH109" s="13"/>
      <c r="JI109" s="107"/>
      <c r="JJ109" s="107"/>
      <c r="JK109" s="105"/>
      <c r="JM109" s="13"/>
      <c r="JN109" s="107"/>
      <c r="JO109" s="107"/>
      <c r="JP109" s="105"/>
      <c r="JR109" s="13"/>
      <c r="JS109" s="107"/>
      <c r="JT109" s="107"/>
      <c r="JU109" s="105"/>
      <c r="JW109" s="38"/>
      <c r="JX109" s="13"/>
      <c r="JY109" s="107"/>
      <c r="JZ109" s="107"/>
      <c r="KA109" s="105"/>
      <c r="KC109" s="13"/>
      <c r="KD109" s="107"/>
      <c r="KE109" s="107"/>
      <c r="KF109" s="105"/>
      <c r="KH109" s="13"/>
      <c r="KI109" s="107"/>
      <c r="KJ109" s="107"/>
      <c r="KK109" s="105"/>
      <c r="KM109" s="13"/>
      <c r="KN109" s="107"/>
      <c r="KO109" s="107"/>
      <c r="KP109" s="105"/>
      <c r="KR109" s="13"/>
      <c r="KS109" s="107"/>
      <c r="KT109" s="107"/>
      <c r="KU109" s="105"/>
      <c r="KW109" s="13"/>
      <c r="KX109" s="107"/>
      <c r="KY109" s="107"/>
      <c r="KZ109" s="105"/>
      <c r="LB109" s="38"/>
      <c r="LC109" s="13"/>
      <c r="LD109" s="107"/>
      <c r="LE109" s="107"/>
      <c r="LF109" s="105"/>
      <c r="LH109" s="13"/>
      <c r="LI109" s="107"/>
      <c r="LJ109" s="107"/>
      <c r="LK109" s="105"/>
      <c r="LM109" s="13"/>
      <c r="LN109" s="107"/>
      <c r="LO109" s="107"/>
      <c r="LP109" s="105"/>
      <c r="LR109" s="13"/>
      <c r="LS109" s="107"/>
      <c r="LT109" s="107"/>
      <c r="LU109" s="105"/>
      <c r="LW109" s="13"/>
      <c r="LX109" s="107"/>
      <c r="LY109" s="107"/>
      <c r="LZ109" s="105"/>
      <c r="MB109" s="13"/>
      <c r="MC109" s="107"/>
      <c r="MD109" s="107"/>
      <c r="ME109" s="105"/>
      <c r="MG109" s="38"/>
      <c r="MH109" s="13"/>
      <c r="MI109" s="107"/>
      <c r="MJ109" s="107"/>
      <c r="MK109" s="105"/>
      <c r="MM109" s="13"/>
      <c r="MN109" s="107"/>
      <c r="MO109" s="107"/>
      <c r="MP109" s="105"/>
      <c r="MR109" s="13"/>
      <c r="MS109" s="107"/>
      <c r="MT109" s="107"/>
      <c r="MU109" s="105"/>
      <c r="MW109" s="13"/>
      <c r="MX109" s="107"/>
      <c r="MY109" s="107"/>
      <c r="MZ109" s="105"/>
      <c r="NB109" s="13"/>
      <c r="NC109" s="107"/>
      <c r="ND109" s="107"/>
      <c r="NE109" s="105"/>
      <c r="NG109" s="13"/>
      <c r="NH109" s="107"/>
      <c r="NI109" s="107"/>
      <c r="NJ109" s="105"/>
      <c r="NL109" s="38"/>
      <c r="NM109" s="13"/>
      <c r="NN109" s="107"/>
      <c r="NO109" s="107"/>
      <c r="NP109" s="105"/>
      <c r="NR109" s="13"/>
      <c r="NS109" s="107"/>
      <c r="NT109" s="107"/>
      <c r="NU109" s="105"/>
      <c r="NW109" s="13"/>
      <c r="NX109" s="107"/>
      <c r="NY109" s="107"/>
      <c r="NZ109" s="105"/>
      <c r="OB109" s="13"/>
      <c r="OC109" s="107"/>
      <c r="OD109" s="107"/>
      <c r="OE109" s="105"/>
      <c r="OG109" s="13"/>
      <c r="OH109" s="107"/>
      <c r="OI109" s="107"/>
      <c r="OJ109" s="105"/>
      <c r="OL109" s="13"/>
      <c r="OM109" s="107"/>
      <c r="ON109" s="107"/>
      <c r="OO109" s="105"/>
    </row>
    <row r="110" ht="15.75" customHeight="1">
      <c r="A110" s="42"/>
      <c r="B110" s="42"/>
      <c r="C110" s="42"/>
      <c r="D110" s="38">
        <f t="shared" si="319"/>
        <v>45969</v>
      </c>
      <c r="E110" s="105" t="str">
        <f t="shared" ref="E110:I110" si="325">AD14</f>
        <v/>
      </c>
      <c r="F110" s="105" t="str">
        <f t="shared" si="325"/>
        <v/>
      </c>
      <c r="G110" s="105" t="str">
        <f t="shared" si="325"/>
        <v/>
      </c>
      <c r="H110" s="106" t="str">
        <f t="shared" si="325"/>
        <v/>
      </c>
      <c r="I110" s="106" t="str">
        <f t="shared" si="325"/>
        <v/>
      </c>
      <c r="J110" s="107" t="str">
        <f t="array" ref="J110">IFERROR(IF(XLOOKUP(CONCAT(E110,F110),'MASTER PLAN'!$AB:$AB,'MASTER PLAN'!$M:$M,0,0)=0,"",XLOOKUP(CONCAT(E110,F110),'MASTER PLAN'!$AB:$AB,'MASTER PLAN'!$M:$M,0,0)),"")</f>
        <v/>
      </c>
      <c r="K110" s="107">
        <f t="shared" si="237"/>
        <v>0</v>
      </c>
      <c r="L110" s="107">
        <f t="shared" si="238"/>
        <v>0</v>
      </c>
      <c r="M110" s="105" t="s">
        <v>248</v>
      </c>
      <c r="O110" s="13"/>
      <c r="P110" s="107"/>
      <c r="Q110" s="107"/>
      <c r="R110" s="105"/>
      <c r="T110" s="13"/>
      <c r="U110" s="107"/>
      <c r="V110" s="107"/>
      <c r="W110" s="105"/>
      <c r="Y110" s="13"/>
      <c r="Z110" s="107"/>
      <c r="AA110" s="107"/>
      <c r="AB110" s="105"/>
      <c r="AD110" s="13"/>
      <c r="AE110" s="107"/>
      <c r="AF110" s="107"/>
      <c r="AG110" s="105"/>
      <c r="AI110" s="38"/>
      <c r="AJ110" s="13"/>
      <c r="AK110" s="107"/>
      <c r="AL110" s="107"/>
      <c r="AM110" s="105"/>
      <c r="AO110" s="13"/>
      <c r="AP110" s="107"/>
      <c r="AQ110" s="107"/>
      <c r="AR110" s="105"/>
      <c r="AT110" s="13"/>
      <c r="AU110" s="107"/>
      <c r="AV110" s="107"/>
      <c r="AW110" s="105"/>
      <c r="AY110" s="13"/>
      <c r="AZ110" s="107"/>
      <c r="BA110" s="107"/>
      <c r="BB110" s="105"/>
      <c r="BD110" s="13"/>
      <c r="BE110" s="107"/>
      <c r="BF110" s="107"/>
      <c r="BG110" s="105"/>
      <c r="BI110" s="13"/>
      <c r="BJ110" s="107"/>
      <c r="BK110" s="107"/>
      <c r="BL110" s="105"/>
      <c r="BN110" s="38"/>
      <c r="BO110" s="13"/>
      <c r="BP110" s="107"/>
      <c r="BQ110" s="107"/>
      <c r="BR110" s="105"/>
      <c r="BT110" s="13"/>
      <c r="BU110" s="107"/>
      <c r="BV110" s="107"/>
      <c r="BW110" s="105"/>
      <c r="BY110" s="13"/>
      <c r="BZ110" s="107"/>
      <c r="CA110" s="107"/>
      <c r="CB110" s="105"/>
      <c r="CD110" s="13"/>
      <c r="CE110" s="107"/>
      <c r="CF110" s="107"/>
      <c r="CG110" s="105"/>
      <c r="CI110" s="13"/>
      <c r="CJ110" s="107"/>
      <c r="CK110" s="107"/>
      <c r="CL110" s="105"/>
      <c r="CN110" s="13"/>
      <c r="CO110" s="107"/>
      <c r="CP110" s="107"/>
      <c r="CQ110" s="105"/>
      <c r="CS110" s="38"/>
      <c r="CT110" s="13"/>
      <c r="CU110" s="107"/>
      <c r="CV110" s="107"/>
      <c r="CW110" s="105"/>
      <c r="CY110" s="13"/>
      <c r="CZ110" s="107"/>
      <c r="DA110" s="107"/>
      <c r="DB110" s="105"/>
      <c r="DD110" s="13"/>
      <c r="DE110" s="107"/>
      <c r="DF110" s="107"/>
      <c r="DG110" s="105"/>
      <c r="DI110" s="13"/>
      <c r="DJ110" s="107"/>
      <c r="DK110" s="107"/>
      <c r="DL110" s="105"/>
      <c r="DN110" s="13"/>
      <c r="DO110" s="107"/>
      <c r="DP110" s="107"/>
      <c r="DQ110" s="105"/>
      <c r="DS110" s="13"/>
      <c r="DT110" s="107"/>
      <c r="DU110" s="107"/>
      <c r="DV110" s="105"/>
      <c r="DX110" s="38"/>
      <c r="DY110" s="13"/>
      <c r="DZ110" s="107"/>
      <c r="EA110" s="107"/>
      <c r="EB110" s="105"/>
      <c r="ED110" s="13"/>
      <c r="EE110" s="107"/>
      <c r="EF110" s="107"/>
      <c r="EG110" s="105"/>
      <c r="EI110" s="13"/>
      <c r="EJ110" s="107"/>
      <c r="EK110" s="107"/>
      <c r="EL110" s="105"/>
      <c r="EN110" s="13"/>
      <c r="EO110" s="107"/>
      <c r="EP110" s="107"/>
      <c r="EQ110" s="105"/>
      <c r="ES110" s="13"/>
      <c r="ET110" s="107"/>
      <c r="EU110" s="107"/>
      <c r="EV110" s="105"/>
      <c r="EX110" s="13"/>
      <c r="EY110" s="107"/>
      <c r="EZ110" s="107"/>
      <c r="FA110" s="105"/>
      <c r="FC110" s="38"/>
      <c r="FD110" s="13"/>
      <c r="FE110" s="107"/>
      <c r="FF110" s="107"/>
      <c r="FG110" s="105"/>
      <c r="FI110" s="13"/>
      <c r="FJ110" s="107"/>
      <c r="FK110" s="107"/>
      <c r="FL110" s="105"/>
      <c r="FN110" s="13"/>
      <c r="FO110" s="107"/>
      <c r="FP110" s="107"/>
      <c r="FQ110" s="105"/>
      <c r="FS110" s="13"/>
      <c r="FT110" s="107"/>
      <c r="FU110" s="107"/>
      <c r="FV110" s="105"/>
      <c r="FX110" s="13"/>
      <c r="FY110" s="107"/>
      <c r="FZ110" s="107"/>
      <c r="GA110" s="105"/>
      <c r="GC110" s="13"/>
      <c r="GD110" s="107"/>
      <c r="GE110" s="107"/>
      <c r="GF110" s="105"/>
      <c r="GH110" s="38"/>
      <c r="GI110" s="13"/>
      <c r="GJ110" s="107"/>
      <c r="GK110" s="107"/>
      <c r="GL110" s="105"/>
      <c r="GN110" s="13"/>
      <c r="GO110" s="107"/>
      <c r="GP110" s="107"/>
      <c r="GQ110" s="105"/>
      <c r="GS110" s="13"/>
      <c r="GT110" s="107"/>
      <c r="GU110" s="107"/>
      <c r="GV110" s="105"/>
      <c r="GX110" s="13"/>
      <c r="GY110" s="107"/>
      <c r="GZ110" s="107"/>
      <c r="HA110" s="105"/>
      <c r="HC110" s="13"/>
      <c r="HD110" s="107"/>
      <c r="HE110" s="107"/>
      <c r="HF110" s="105"/>
      <c r="HH110" s="13"/>
      <c r="HI110" s="107"/>
      <c r="HJ110" s="107"/>
      <c r="HK110" s="105"/>
      <c r="HM110" s="38"/>
      <c r="HN110" s="13"/>
      <c r="HO110" s="107"/>
      <c r="HP110" s="107"/>
      <c r="HQ110" s="105"/>
      <c r="HS110" s="13"/>
      <c r="HT110" s="107"/>
      <c r="HU110" s="107"/>
      <c r="HV110" s="105"/>
      <c r="HX110" s="13"/>
      <c r="HY110" s="107"/>
      <c r="HZ110" s="107"/>
      <c r="IA110" s="105"/>
      <c r="IC110" s="13"/>
      <c r="ID110" s="107"/>
      <c r="IE110" s="107"/>
      <c r="IF110" s="105"/>
      <c r="IH110" s="13"/>
      <c r="II110" s="107"/>
      <c r="IJ110" s="107"/>
      <c r="IK110" s="105"/>
      <c r="IM110" s="13"/>
      <c r="IN110" s="107"/>
      <c r="IO110" s="107"/>
      <c r="IP110" s="105"/>
      <c r="IR110" s="38"/>
      <c r="IS110" s="13"/>
      <c r="IT110" s="107"/>
      <c r="IU110" s="107"/>
      <c r="IV110" s="105"/>
      <c r="IX110" s="13"/>
      <c r="IY110" s="107"/>
      <c r="IZ110" s="107"/>
      <c r="JA110" s="105"/>
      <c r="JC110" s="13"/>
      <c r="JD110" s="107"/>
      <c r="JE110" s="107"/>
      <c r="JF110" s="105"/>
      <c r="JH110" s="13"/>
      <c r="JI110" s="107"/>
      <c r="JJ110" s="107"/>
      <c r="JK110" s="105"/>
      <c r="JM110" s="13"/>
      <c r="JN110" s="107"/>
      <c r="JO110" s="107"/>
      <c r="JP110" s="105"/>
      <c r="JR110" s="13"/>
      <c r="JS110" s="107"/>
      <c r="JT110" s="107"/>
      <c r="JU110" s="105"/>
      <c r="JW110" s="38"/>
      <c r="JX110" s="13"/>
      <c r="JY110" s="107"/>
      <c r="JZ110" s="107"/>
      <c r="KA110" s="105"/>
      <c r="KC110" s="13"/>
      <c r="KD110" s="107"/>
      <c r="KE110" s="107"/>
      <c r="KF110" s="105"/>
      <c r="KH110" s="13"/>
      <c r="KI110" s="107"/>
      <c r="KJ110" s="107"/>
      <c r="KK110" s="105"/>
      <c r="KM110" s="13"/>
      <c r="KN110" s="107"/>
      <c r="KO110" s="107"/>
      <c r="KP110" s="105"/>
      <c r="KR110" s="13"/>
      <c r="KS110" s="107"/>
      <c r="KT110" s="107"/>
      <c r="KU110" s="105"/>
      <c r="KW110" s="13"/>
      <c r="KX110" s="107"/>
      <c r="KY110" s="107"/>
      <c r="KZ110" s="105"/>
      <c r="LB110" s="38"/>
      <c r="LC110" s="13"/>
      <c r="LD110" s="107"/>
      <c r="LE110" s="107"/>
      <c r="LF110" s="105"/>
      <c r="LH110" s="13"/>
      <c r="LI110" s="107"/>
      <c r="LJ110" s="107"/>
      <c r="LK110" s="105"/>
      <c r="LM110" s="13"/>
      <c r="LN110" s="107"/>
      <c r="LO110" s="107"/>
      <c r="LP110" s="105"/>
      <c r="LR110" s="13"/>
      <c r="LS110" s="107"/>
      <c r="LT110" s="107"/>
      <c r="LU110" s="105"/>
      <c r="LW110" s="13"/>
      <c r="LX110" s="107"/>
      <c r="LY110" s="107"/>
      <c r="LZ110" s="105"/>
      <c r="MB110" s="13"/>
      <c r="MC110" s="107"/>
      <c r="MD110" s="107"/>
      <c r="ME110" s="105"/>
      <c r="MG110" s="38"/>
      <c r="MH110" s="13"/>
      <c r="MI110" s="107"/>
      <c r="MJ110" s="107"/>
      <c r="MK110" s="105"/>
      <c r="MM110" s="13"/>
      <c r="MN110" s="107"/>
      <c r="MO110" s="107"/>
      <c r="MP110" s="105"/>
      <c r="MR110" s="13"/>
      <c r="MS110" s="107"/>
      <c r="MT110" s="107"/>
      <c r="MU110" s="105"/>
      <c r="MW110" s="13"/>
      <c r="MX110" s="107"/>
      <c r="MY110" s="107"/>
      <c r="MZ110" s="105"/>
      <c r="NB110" s="13"/>
      <c r="NC110" s="107"/>
      <c r="ND110" s="107"/>
      <c r="NE110" s="105"/>
      <c r="NG110" s="13"/>
      <c r="NH110" s="107"/>
      <c r="NI110" s="107"/>
      <c r="NJ110" s="105"/>
      <c r="NL110" s="38"/>
      <c r="NM110" s="13"/>
      <c r="NN110" s="107"/>
      <c r="NO110" s="107"/>
      <c r="NP110" s="105"/>
      <c r="NR110" s="13"/>
      <c r="NS110" s="107"/>
      <c r="NT110" s="107"/>
      <c r="NU110" s="105"/>
      <c r="NW110" s="13"/>
      <c r="NX110" s="107"/>
      <c r="NY110" s="107"/>
      <c r="NZ110" s="105"/>
      <c r="OB110" s="13"/>
      <c r="OC110" s="107"/>
      <c r="OD110" s="107"/>
      <c r="OE110" s="105"/>
      <c r="OG110" s="13"/>
      <c r="OH110" s="107"/>
      <c r="OI110" s="107"/>
      <c r="OJ110" s="105"/>
      <c r="OL110" s="13"/>
      <c r="OM110" s="107"/>
      <c r="ON110" s="107"/>
      <c r="OO110" s="105"/>
    </row>
    <row r="111" ht="15.75" customHeight="1">
      <c r="A111" s="42"/>
      <c r="B111" s="42"/>
      <c r="C111" s="42"/>
      <c r="D111" s="38">
        <f t="shared" si="319"/>
        <v>45969</v>
      </c>
      <c r="E111" s="105" t="str">
        <f t="shared" ref="E111:I111" si="326">AD15</f>
        <v/>
      </c>
      <c r="F111" s="105" t="str">
        <f t="shared" si="326"/>
        <v/>
      </c>
      <c r="G111" s="105" t="str">
        <f t="shared" si="326"/>
        <v/>
      </c>
      <c r="H111" s="106" t="str">
        <f t="shared" si="326"/>
        <v/>
      </c>
      <c r="I111" s="106" t="str">
        <f t="shared" si="326"/>
        <v/>
      </c>
      <c r="J111" s="107" t="str">
        <f t="array" ref="J111">IFERROR(IF(XLOOKUP(CONCAT(E111,F111),'MASTER PLAN'!$AB:$AB,'MASTER PLAN'!$M:$M,0,0)=0,"",XLOOKUP(CONCAT(E111,F111),'MASTER PLAN'!$AB:$AB,'MASTER PLAN'!$M:$M,0,0)),"")</f>
        <v/>
      </c>
      <c r="K111" s="107">
        <f t="shared" si="237"/>
        <v>0</v>
      </c>
      <c r="L111" s="107">
        <f t="shared" si="238"/>
        <v>0</v>
      </c>
      <c r="M111" s="105" t="s">
        <v>248</v>
      </c>
      <c r="O111" s="13"/>
      <c r="P111" s="107"/>
      <c r="Q111" s="107"/>
      <c r="R111" s="105"/>
      <c r="T111" s="13"/>
      <c r="U111" s="107"/>
      <c r="V111" s="107"/>
      <c r="W111" s="105"/>
      <c r="Y111" s="13"/>
      <c r="Z111" s="107"/>
      <c r="AA111" s="107"/>
      <c r="AB111" s="105"/>
      <c r="AD111" s="13"/>
      <c r="AE111" s="107"/>
      <c r="AF111" s="107"/>
      <c r="AG111" s="105"/>
      <c r="AI111" s="38"/>
      <c r="AJ111" s="13"/>
      <c r="AK111" s="107"/>
      <c r="AL111" s="107"/>
      <c r="AM111" s="105"/>
      <c r="AO111" s="13"/>
      <c r="AP111" s="107"/>
      <c r="AQ111" s="107"/>
      <c r="AR111" s="105"/>
      <c r="AT111" s="13"/>
      <c r="AU111" s="107"/>
      <c r="AV111" s="107"/>
      <c r="AW111" s="105"/>
      <c r="AY111" s="13"/>
      <c r="AZ111" s="107"/>
      <c r="BA111" s="107"/>
      <c r="BB111" s="105"/>
      <c r="BD111" s="13"/>
      <c r="BE111" s="107"/>
      <c r="BF111" s="107"/>
      <c r="BG111" s="105"/>
      <c r="BI111" s="13"/>
      <c r="BJ111" s="107"/>
      <c r="BK111" s="107"/>
      <c r="BL111" s="105"/>
      <c r="BN111" s="38"/>
      <c r="BO111" s="13"/>
      <c r="BP111" s="107"/>
      <c r="BQ111" s="107"/>
      <c r="BR111" s="105"/>
      <c r="BT111" s="13"/>
      <c r="BU111" s="107"/>
      <c r="BV111" s="107"/>
      <c r="BW111" s="105"/>
      <c r="BY111" s="13"/>
      <c r="BZ111" s="107"/>
      <c r="CA111" s="107"/>
      <c r="CB111" s="105"/>
      <c r="CD111" s="13"/>
      <c r="CE111" s="107"/>
      <c r="CF111" s="107"/>
      <c r="CG111" s="105"/>
      <c r="CI111" s="13"/>
      <c r="CJ111" s="107"/>
      <c r="CK111" s="107"/>
      <c r="CL111" s="105"/>
      <c r="CN111" s="13"/>
      <c r="CO111" s="107"/>
      <c r="CP111" s="107"/>
      <c r="CQ111" s="105"/>
      <c r="CS111" s="38"/>
      <c r="CT111" s="13"/>
      <c r="CU111" s="107"/>
      <c r="CV111" s="107"/>
      <c r="CW111" s="105"/>
      <c r="CY111" s="13"/>
      <c r="CZ111" s="107"/>
      <c r="DA111" s="107"/>
      <c r="DB111" s="105"/>
      <c r="DD111" s="13"/>
      <c r="DE111" s="107"/>
      <c r="DF111" s="107"/>
      <c r="DG111" s="105"/>
      <c r="DI111" s="13"/>
      <c r="DJ111" s="107"/>
      <c r="DK111" s="107"/>
      <c r="DL111" s="105"/>
      <c r="DN111" s="13"/>
      <c r="DO111" s="107"/>
      <c r="DP111" s="107"/>
      <c r="DQ111" s="105"/>
      <c r="DS111" s="13"/>
      <c r="DT111" s="107"/>
      <c r="DU111" s="107"/>
      <c r="DV111" s="105"/>
      <c r="DX111" s="38"/>
      <c r="DY111" s="13"/>
      <c r="DZ111" s="107"/>
      <c r="EA111" s="107"/>
      <c r="EB111" s="105"/>
      <c r="ED111" s="13"/>
      <c r="EE111" s="107"/>
      <c r="EF111" s="107"/>
      <c r="EG111" s="105"/>
      <c r="EI111" s="13"/>
      <c r="EJ111" s="107"/>
      <c r="EK111" s="107"/>
      <c r="EL111" s="105"/>
      <c r="EN111" s="13"/>
      <c r="EO111" s="107"/>
      <c r="EP111" s="107"/>
      <c r="EQ111" s="105"/>
      <c r="ES111" s="13"/>
      <c r="ET111" s="107"/>
      <c r="EU111" s="107"/>
      <c r="EV111" s="105"/>
      <c r="EX111" s="13"/>
      <c r="EY111" s="107"/>
      <c r="EZ111" s="107"/>
      <c r="FA111" s="105"/>
      <c r="FC111" s="38"/>
      <c r="FD111" s="13"/>
      <c r="FE111" s="107"/>
      <c r="FF111" s="107"/>
      <c r="FG111" s="105"/>
      <c r="FI111" s="13"/>
      <c r="FJ111" s="107"/>
      <c r="FK111" s="107"/>
      <c r="FL111" s="105"/>
      <c r="FN111" s="13"/>
      <c r="FO111" s="107"/>
      <c r="FP111" s="107"/>
      <c r="FQ111" s="105"/>
      <c r="FS111" s="13"/>
      <c r="FT111" s="107"/>
      <c r="FU111" s="107"/>
      <c r="FV111" s="105"/>
      <c r="FX111" s="13"/>
      <c r="FY111" s="107"/>
      <c r="FZ111" s="107"/>
      <c r="GA111" s="105"/>
      <c r="GC111" s="13"/>
      <c r="GD111" s="107"/>
      <c r="GE111" s="107"/>
      <c r="GF111" s="105"/>
      <c r="GH111" s="38"/>
      <c r="GI111" s="13"/>
      <c r="GJ111" s="107"/>
      <c r="GK111" s="107"/>
      <c r="GL111" s="105"/>
      <c r="GN111" s="13"/>
      <c r="GO111" s="107"/>
      <c r="GP111" s="107"/>
      <c r="GQ111" s="105"/>
      <c r="GS111" s="13"/>
      <c r="GT111" s="107"/>
      <c r="GU111" s="107"/>
      <c r="GV111" s="105"/>
      <c r="GX111" s="13"/>
      <c r="GY111" s="107"/>
      <c r="GZ111" s="107"/>
      <c r="HA111" s="105"/>
      <c r="HC111" s="13"/>
      <c r="HD111" s="107"/>
      <c r="HE111" s="107"/>
      <c r="HF111" s="105"/>
      <c r="HH111" s="13"/>
      <c r="HI111" s="107"/>
      <c r="HJ111" s="107"/>
      <c r="HK111" s="105"/>
      <c r="HM111" s="38"/>
      <c r="HN111" s="13"/>
      <c r="HO111" s="107"/>
      <c r="HP111" s="107"/>
      <c r="HQ111" s="105"/>
      <c r="HS111" s="13"/>
      <c r="HT111" s="107"/>
      <c r="HU111" s="107"/>
      <c r="HV111" s="105"/>
      <c r="HX111" s="13"/>
      <c r="HY111" s="107"/>
      <c r="HZ111" s="107"/>
      <c r="IA111" s="105"/>
      <c r="IC111" s="13"/>
      <c r="ID111" s="107"/>
      <c r="IE111" s="107"/>
      <c r="IF111" s="105"/>
      <c r="IH111" s="13"/>
      <c r="II111" s="107"/>
      <c r="IJ111" s="107"/>
      <c r="IK111" s="105"/>
      <c r="IM111" s="13"/>
      <c r="IN111" s="107"/>
      <c r="IO111" s="107"/>
      <c r="IP111" s="105"/>
      <c r="IR111" s="38"/>
      <c r="IS111" s="13"/>
      <c r="IT111" s="107"/>
      <c r="IU111" s="107"/>
      <c r="IV111" s="105"/>
      <c r="IX111" s="13"/>
      <c r="IY111" s="107"/>
      <c r="IZ111" s="107"/>
      <c r="JA111" s="105"/>
      <c r="JC111" s="13"/>
      <c r="JD111" s="107"/>
      <c r="JE111" s="107"/>
      <c r="JF111" s="105"/>
      <c r="JH111" s="13"/>
      <c r="JI111" s="107"/>
      <c r="JJ111" s="107"/>
      <c r="JK111" s="105"/>
      <c r="JM111" s="13"/>
      <c r="JN111" s="107"/>
      <c r="JO111" s="107"/>
      <c r="JP111" s="105"/>
      <c r="JR111" s="13"/>
      <c r="JS111" s="107"/>
      <c r="JT111" s="107"/>
      <c r="JU111" s="105"/>
      <c r="JW111" s="38"/>
      <c r="JX111" s="13"/>
      <c r="JY111" s="107"/>
      <c r="JZ111" s="107"/>
      <c r="KA111" s="105"/>
      <c r="KC111" s="13"/>
      <c r="KD111" s="107"/>
      <c r="KE111" s="107"/>
      <c r="KF111" s="105"/>
      <c r="KH111" s="13"/>
      <c r="KI111" s="107"/>
      <c r="KJ111" s="107"/>
      <c r="KK111" s="105"/>
      <c r="KM111" s="13"/>
      <c r="KN111" s="107"/>
      <c r="KO111" s="107"/>
      <c r="KP111" s="105"/>
      <c r="KR111" s="13"/>
      <c r="KS111" s="107"/>
      <c r="KT111" s="107"/>
      <c r="KU111" s="105"/>
      <c r="KW111" s="13"/>
      <c r="KX111" s="107"/>
      <c r="KY111" s="107"/>
      <c r="KZ111" s="105"/>
      <c r="LB111" s="38"/>
      <c r="LC111" s="13"/>
      <c r="LD111" s="107"/>
      <c r="LE111" s="107"/>
      <c r="LF111" s="105"/>
      <c r="LH111" s="13"/>
      <c r="LI111" s="107"/>
      <c r="LJ111" s="107"/>
      <c r="LK111" s="105"/>
      <c r="LM111" s="13"/>
      <c r="LN111" s="107"/>
      <c r="LO111" s="107"/>
      <c r="LP111" s="105"/>
      <c r="LR111" s="13"/>
      <c r="LS111" s="107"/>
      <c r="LT111" s="107"/>
      <c r="LU111" s="105"/>
      <c r="LW111" s="13"/>
      <c r="LX111" s="107"/>
      <c r="LY111" s="107"/>
      <c r="LZ111" s="105"/>
      <c r="MB111" s="13"/>
      <c r="MC111" s="107"/>
      <c r="MD111" s="107"/>
      <c r="ME111" s="105"/>
      <c r="MG111" s="38"/>
      <c r="MH111" s="13"/>
      <c r="MI111" s="107"/>
      <c r="MJ111" s="107"/>
      <c r="MK111" s="105"/>
      <c r="MM111" s="13"/>
      <c r="MN111" s="107"/>
      <c r="MO111" s="107"/>
      <c r="MP111" s="105"/>
      <c r="MR111" s="13"/>
      <c r="MS111" s="107"/>
      <c r="MT111" s="107"/>
      <c r="MU111" s="105"/>
      <c r="MW111" s="13"/>
      <c r="MX111" s="107"/>
      <c r="MY111" s="107"/>
      <c r="MZ111" s="105"/>
      <c r="NB111" s="13"/>
      <c r="NC111" s="107"/>
      <c r="ND111" s="107"/>
      <c r="NE111" s="105"/>
      <c r="NG111" s="13"/>
      <c r="NH111" s="107"/>
      <c r="NI111" s="107"/>
      <c r="NJ111" s="105"/>
      <c r="NL111" s="38"/>
      <c r="NM111" s="13"/>
      <c r="NN111" s="107"/>
      <c r="NO111" s="107"/>
      <c r="NP111" s="105"/>
      <c r="NR111" s="13"/>
      <c r="NS111" s="107"/>
      <c r="NT111" s="107"/>
      <c r="NU111" s="105"/>
      <c r="NW111" s="13"/>
      <c r="NX111" s="107"/>
      <c r="NY111" s="107"/>
      <c r="NZ111" s="105"/>
      <c r="OB111" s="13"/>
      <c r="OC111" s="107"/>
      <c r="OD111" s="107"/>
      <c r="OE111" s="105"/>
      <c r="OG111" s="13"/>
      <c r="OH111" s="107"/>
      <c r="OI111" s="107"/>
      <c r="OJ111" s="105"/>
      <c r="OL111" s="13"/>
      <c r="OM111" s="107"/>
      <c r="ON111" s="107"/>
      <c r="OO111" s="105"/>
    </row>
    <row r="112" ht="15.75" customHeight="1">
      <c r="A112" s="42"/>
      <c r="B112" s="42"/>
      <c r="C112" s="42"/>
      <c r="D112" s="38">
        <f t="shared" si="319"/>
        <v>45969</v>
      </c>
      <c r="E112" s="105" t="str">
        <f t="shared" ref="E112:I112" si="327">AD16</f>
        <v/>
      </c>
      <c r="F112" s="105" t="str">
        <f t="shared" si="327"/>
        <v/>
      </c>
      <c r="G112" s="105" t="str">
        <f t="shared" si="327"/>
        <v/>
      </c>
      <c r="H112" s="106" t="str">
        <f t="shared" si="327"/>
        <v/>
      </c>
      <c r="I112" s="106" t="str">
        <f t="shared" si="327"/>
        <v/>
      </c>
      <c r="J112" s="107" t="str">
        <f t="array" ref="J112">IFERROR(IF(XLOOKUP(CONCAT(E112,F112),'MASTER PLAN'!$AB:$AB,'MASTER PLAN'!$M:$M,0,0)=0,"",XLOOKUP(CONCAT(E112,F112),'MASTER PLAN'!$AB:$AB,'MASTER PLAN'!$M:$M,0,0)),"")</f>
        <v/>
      </c>
      <c r="K112" s="107">
        <f t="shared" si="237"/>
        <v>0</v>
      </c>
      <c r="L112" s="107">
        <f t="shared" si="238"/>
        <v>0</v>
      </c>
      <c r="M112" s="105" t="s">
        <v>248</v>
      </c>
      <c r="O112" s="13"/>
      <c r="P112" s="107"/>
      <c r="Q112" s="107"/>
      <c r="R112" s="105"/>
      <c r="T112" s="13"/>
      <c r="U112" s="107"/>
      <c r="V112" s="107"/>
      <c r="W112" s="105"/>
      <c r="Y112" s="13"/>
      <c r="Z112" s="107"/>
      <c r="AA112" s="107"/>
      <c r="AB112" s="105"/>
      <c r="AD112" s="13"/>
      <c r="AE112" s="107"/>
      <c r="AF112" s="107"/>
      <c r="AG112" s="105"/>
      <c r="AI112" s="38"/>
      <c r="AJ112" s="13"/>
      <c r="AK112" s="107"/>
      <c r="AL112" s="107"/>
      <c r="AM112" s="105"/>
      <c r="AO112" s="13"/>
      <c r="AP112" s="107"/>
      <c r="AQ112" s="107"/>
      <c r="AR112" s="105"/>
      <c r="AT112" s="13"/>
      <c r="AU112" s="107"/>
      <c r="AV112" s="107"/>
      <c r="AW112" s="105"/>
      <c r="AY112" s="13"/>
      <c r="AZ112" s="107"/>
      <c r="BA112" s="107"/>
      <c r="BB112" s="105"/>
      <c r="BD112" s="13"/>
      <c r="BE112" s="107"/>
      <c r="BF112" s="107"/>
      <c r="BG112" s="105"/>
      <c r="BI112" s="13"/>
      <c r="BJ112" s="107"/>
      <c r="BK112" s="107"/>
      <c r="BL112" s="105"/>
      <c r="BN112" s="38"/>
      <c r="BO112" s="13"/>
      <c r="BP112" s="107"/>
      <c r="BQ112" s="107"/>
      <c r="BR112" s="105"/>
      <c r="BT112" s="13"/>
      <c r="BU112" s="107"/>
      <c r="BV112" s="107"/>
      <c r="BW112" s="105"/>
      <c r="BY112" s="13"/>
      <c r="BZ112" s="107"/>
      <c r="CA112" s="107"/>
      <c r="CB112" s="105"/>
      <c r="CD112" s="13"/>
      <c r="CE112" s="107"/>
      <c r="CF112" s="107"/>
      <c r="CG112" s="105"/>
      <c r="CI112" s="13"/>
      <c r="CJ112" s="107"/>
      <c r="CK112" s="107"/>
      <c r="CL112" s="105"/>
      <c r="CN112" s="13"/>
      <c r="CO112" s="107"/>
      <c r="CP112" s="107"/>
      <c r="CQ112" s="105"/>
      <c r="CS112" s="38"/>
      <c r="CT112" s="13"/>
      <c r="CU112" s="107"/>
      <c r="CV112" s="107"/>
      <c r="CW112" s="105"/>
      <c r="CY112" s="13"/>
      <c r="CZ112" s="107"/>
      <c r="DA112" s="107"/>
      <c r="DB112" s="105"/>
      <c r="DD112" s="13"/>
      <c r="DE112" s="107"/>
      <c r="DF112" s="107"/>
      <c r="DG112" s="105"/>
      <c r="DI112" s="13"/>
      <c r="DJ112" s="107"/>
      <c r="DK112" s="107"/>
      <c r="DL112" s="105"/>
      <c r="DN112" s="13"/>
      <c r="DO112" s="107"/>
      <c r="DP112" s="107"/>
      <c r="DQ112" s="105"/>
      <c r="DS112" s="13"/>
      <c r="DT112" s="107"/>
      <c r="DU112" s="107"/>
      <c r="DV112" s="105"/>
      <c r="DX112" s="38"/>
      <c r="DY112" s="13"/>
      <c r="DZ112" s="107"/>
      <c r="EA112" s="107"/>
      <c r="EB112" s="105"/>
      <c r="ED112" s="13"/>
      <c r="EE112" s="107"/>
      <c r="EF112" s="107"/>
      <c r="EG112" s="105"/>
      <c r="EI112" s="13"/>
      <c r="EJ112" s="107"/>
      <c r="EK112" s="107"/>
      <c r="EL112" s="105"/>
      <c r="EN112" s="13"/>
      <c r="EO112" s="107"/>
      <c r="EP112" s="107"/>
      <c r="EQ112" s="105"/>
      <c r="ES112" s="13"/>
      <c r="ET112" s="107"/>
      <c r="EU112" s="107"/>
      <c r="EV112" s="105"/>
      <c r="EX112" s="13"/>
      <c r="EY112" s="107"/>
      <c r="EZ112" s="107"/>
      <c r="FA112" s="105"/>
      <c r="FC112" s="38"/>
      <c r="FD112" s="13"/>
      <c r="FE112" s="107"/>
      <c r="FF112" s="107"/>
      <c r="FG112" s="105"/>
      <c r="FI112" s="13"/>
      <c r="FJ112" s="107"/>
      <c r="FK112" s="107"/>
      <c r="FL112" s="105"/>
      <c r="FN112" s="13"/>
      <c r="FO112" s="107"/>
      <c r="FP112" s="107"/>
      <c r="FQ112" s="105"/>
      <c r="FS112" s="13"/>
      <c r="FT112" s="107"/>
      <c r="FU112" s="107"/>
      <c r="FV112" s="105"/>
      <c r="FX112" s="13"/>
      <c r="FY112" s="107"/>
      <c r="FZ112" s="107"/>
      <c r="GA112" s="105"/>
      <c r="GC112" s="13"/>
      <c r="GD112" s="107"/>
      <c r="GE112" s="107"/>
      <c r="GF112" s="105"/>
      <c r="GH112" s="38"/>
      <c r="GI112" s="13"/>
      <c r="GJ112" s="107"/>
      <c r="GK112" s="107"/>
      <c r="GL112" s="105"/>
      <c r="GN112" s="13"/>
      <c r="GO112" s="107"/>
      <c r="GP112" s="107"/>
      <c r="GQ112" s="105"/>
      <c r="GS112" s="13"/>
      <c r="GT112" s="107"/>
      <c r="GU112" s="107"/>
      <c r="GV112" s="105"/>
      <c r="GX112" s="13"/>
      <c r="GY112" s="107"/>
      <c r="GZ112" s="107"/>
      <c r="HA112" s="105"/>
      <c r="HC112" s="13"/>
      <c r="HD112" s="107"/>
      <c r="HE112" s="107"/>
      <c r="HF112" s="105"/>
      <c r="HH112" s="13"/>
      <c r="HI112" s="107"/>
      <c r="HJ112" s="107"/>
      <c r="HK112" s="105"/>
      <c r="HM112" s="38"/>
      <c r="HN112" s="13"/>
      <c r="HO112" s="107"/>
      <c r="HP112" s="107"/>
      <c r="HQ112" s="105"/>
      <c r="HS112" s="13"/>
      <c r="HT112" s="107"/>
      <c r="HU112" s="107"/>
      <c r="HV112" s="105"/>
      <c r="HX112" s="13"/>
      <c r="HY112" s="107"/>
      <c r="HZ112" s="107"/>
      <c r="IA112" s="105"/>
      <c r="IC112" s="13"/>
      <c r="ID112" s="107"/>
      <c r="IE112" s="107"/>
      <c r="IF112" s="105"/>
      <c r="IH112" s="13"/>
      <c r="II112" s="107"/>
      <c r="IJ112" s="107"/>
      <c r="IK112" s="105"/>
      <c r="IM112" s="13"/>
      <c r="IN112" s="107"/>
      <c r="IO112" s="107"/>
      <c r="IP112" s="105"/>
      <c r="IR112" s="38"/>
      <c r="IS112" s="13"/>
      <c r="IT112" s="107"/>
      <c r="IU112" s="107"/>
      <c r="IV112" s="105"/>
      <c r="IX112" s="13"/>
      <c r="IY112" s="107"/>
      <c r="IZ112" s="107"/>
      <c r="JA112" s="105"/>
      <c r="JC112" s="13"/>
      <c r="JD112" s="107"/>
      <c r="JE112" s="107"/>
      <c r="JF112" s="105"/>
      <c r="JH112" s="13"/>
      <c r="JI112" s="107"/>
      <c r="JJ112" s="107"/>
      <c r="JK112" s="105"/>
      <c r="JM112" s="13"/>
      <c r="JN112" s="107"/>
      <c r="JO112" s="107"/>
      <c r="JP112" s="105"/>
      <c r="JR112" s="13"/>
      <c r="JS112" s="107"/>
      <c r="JT112" s="107"/>
      <c r="JU112" s="105"/>
      <c r="JW112" s="38"/>
      <c r="JX112" s="13"/>
      <c r="JY112" s="107"/>
      <c r="JZ112" s="107"/>
      <c r="KA112" s="105"/>
      <c r="KC112" s="13"/>
      <c r="KD112" s="107"/>
      <c r="KE112" s="107"/>
      <c r="KF112" s="105"/>
      <c r="KH112" s="13"/>
      <c r="KI112" s="107"/>
      <c r="KJ112" s="107"/>
      <c r="KK112" s="105"/>
      <c r="KM112" s="13"/>
      <c r="KN112" s="107"/>
      <c r="KO112" s="107"/>
      <c r="KP112" s="105"/>
      <c r="KR112" s="13"/>
      <c r="KS112" s="107"/>
      <c r="KT112" s="107"/>
      <c r="KU112" s="105"/>
      <c r="KW112" s="13"/>
      <c r="KX112" s="107"/>
      <c r="KY112" s="107"/>
      <c r="KZ112" s="105"/>
      <c r="LB112" s="38"/>
      <c r="LC112" s="13"/>
      <c r="LD112" s="107"/>
      <c r="LE112" s="107"/>
      <c r="LF112" s="105"/>
      <c r="LH112" s="13"/>
      <c r="LI112" s="107"/>
      <c r="LJ112" s="107"/>
      <c r="LK112" s="105"/>
      <c r="LM112" s="13"/>
      <c r="LN112" s="107"/>
      <c r="LO112" s="107"/>
      <c r="LP112" s="105"/>
      <c r="LR112" s="13"/>
      <c r="LS112" s="107"/>
      <c r="LT112" s="107"/>
      <c r="LU112" s="105"/>
      <c r="LW112" s="13"/>
      <c r="LX112" s="107"/>
      <c r="LY112" s="107"/>
      <c r="LZ112" s="105"/>
      <c r="MB112" s="13"/>
      <c r="MC112" s="107"/>
      <c r="MD112" s="107"/>
      <c r="ME112" s="105"/>
      <c r="MG112" s="38"/>
      <c r="MH112" s="13"/>
      <c r="MI112" s="107"/>
      <c r="MJ112" s="107"/>
      <c r="MK112" s="105"/>
      <c r="MM112" s="13"/>
      <c r="MN112" s="107"/>
      <c r="MO112" s="107"/>
      <c r="MP112" s="105"/>
      <c r="MR112" s="13"/>
      <c r="MS112" s="107"/>
      <c r="MT112" s="107"/>
      <c r="MU112" s="105"/>
      <c r="MW112" s="13"/>
      <c r="MX112" s="107"/>
      <c r="MY112" s="107"/>
      <c r="MZ112" s="105"/>
      <c r="NB112" s="13"/>
      <c r="NC112" s="107"/>
      <c r="ND112" s="107"/>
      <c r="NE112" s="105"/>
      <c r="NG112" s="13"/>
      <c r="NH112" s="107"/>
      <c r="NI112" s="107"/>
      <c r="NJ112" s="105"/>
      <c r="NL112" s="38"/>
      <c r="NM112" s="13"/>
      <c r="NN112" s="107"/>
      <c r="NO112" s="107"/>
      <c r="NP112" s="105"/>
      <c r="NR112" s="13"/>
      <c r="NS112" s="107"/>
      <c r="NT112" s="107"/>
      <c r="NU112" s="105"/>
      <c r="NW112" s="13"/>
      <c r="NX112" s="107"/>
      <c r="NY112" s="107"/>
      <c r="NZ112" s="105"/>
      <c r="OB112" s="13"/>
      <c r="OC112" s="107"/>
      <c r="OD112" s="107"/>
      <c r="OE112" s="105"/>
      <c r="OG112" s="13"/>
      <c r="OH112" s="107"/>
      <c r="OI112" s="107"/>
      <c r="OJ112" s="105"/>
      <c r="OL112" s="13"/>
      <c r="OM112" s="107"/>
      <c r="ON112" s="107"/>
      <c r="OO112" s="105"/>
    </row>
    <row r="113" ht="15.75" customHeight="1">
      <c r="A113" s="42"/>
      <c r="B113" s="42"/>
      <c r="C113" s="42"/>
      <c r="D113" s="38">
        <f t="shared" si="319"/>
        <v>45969</v>
      </c>
      <c r="E113" s="105" t="str">
        <f t="shared" ref="E113:I113" si="328">AD20</f>
        <v/>
      </c>
      <c r="F113" s="105" t="str">
        <f t="shared" si="328"/>
        <v/>
      </c>
      <c r="G113" s="105" t="str">
        <f t="shared" si="328"/>
        <v/>
      </c>
      <c r="H113" s="106" t="str">
        <f t="shared" si="328"/>
        <v/>
      </c>
      <c r="I113" s="106" t="str">
        <f t="shared" si="328"/>
        <v/>
      </c>
      <c r="J113" s="107" t="str">
        <f t="array" ref="J113">IFERROR(IF(XLOOKUP(CONCAT(E113,F113),'MASTER PLAN'!$AB:$AB,'MASTER PLAN'!$M:$M,0,0)=0,"",XLOOKUP(CONCAT(E113,F113),'MASTER PLAN'!$AB:$AB,'MASTER PLAN'!$M:$M,0,0)),"")</f>
        <v/>
      </c>
      <c r="K113" s="107">
        <f t="shared" si="237"/>
        <v>0</v>
      </c>
      <c r="L113" s="107">
        <f t="shared" si="238"/>
        <v>0</v>
      </c>
      <c r="M113" s="105" t="s">
        <v>249</v>
      </c>
      <c r="O113" s="13"/>
      <c r="P113" s="107"/>
      <c r="Q113" s="107"/>
      <c r="R113" s="105"/>
      <c r="T113" s="13"/>
      <c r="U113" s="107"/>
      <c r="V113" s="107"/>
      <c r="W113" s="105"/>
      <c r="Y113" s="13"/>
      <c r="Z113" s="107"/>
      <c r="AA113" s="107"/>
      <c r="AB113" s="105"/>
      <c r="AD113" s="13"/>
      <c r="AE113" s="107"/>
      <c r="AF113" s="107"/>
      <c r="AG113" s="105"/>
      <c r="AI113" s="38"/>
      <c r="AJ113" s="13"/>
      <c r="AK113" s="107"/>
      <c r="AL113" s="107"/>
      <c r="AM113" s="105"/>
      <c r="AO113" s="13"/>
      <c r="AP113" s="107"/>
      <c r="AQ113" s="107"/>
      <c r="AR113" s="105"/>
      <c r="AT113" s="13"/>
      <c r="AU113" s="107"/>
      <c r="AV113" s="107"/>
      <c r="AW113" s="105"/>
      <c r="AY113" s="13"/>
      <c r="AZ113" s="107"/>
      <c r="BA113" s="107"/>
      <c r="BB113" s="105"/>
      <c r="BD113" s="13"/>
      <c r="BE113" s="107"/>
      <c r="BF113" s="107"/>
      <c r="BG113" s="105"/>
      <c r="BI113" s="13"/>
      <c r="BJ113" s="107"/>
      <c r="BK113" s="107"/>
      <c r="BL113" s="105"/>
      <c r="BN113" s="38"/>
      <c r="BO113" s="13"/>
      <c r="BP113" s="107"/>
      <c r="BQ113" s="107"/>
      <c r="BR113" s="105"/>
      <c r="BT113" s="13"/>
      <c r="BU113" s="107"/>
      <c r="BV113" s="107"/>
      <c r="BW113" s="105"/>
      <c r="BY113" s="13"/>
      <c r="BZ113" s="107"/>
      <c r="CA113" s="107"/>
      <c r="CB113" s="105"/>
      <c r="CD113" s="13"/>
      <c r="CE113" s="107"/>
      <c r="CF113" s="107"/>
      <c r="CG113" s="105"/>
      <c r="CI113" s="13"/>
      <c r="CJ113" s="107"/>
      <c r="CK113" s="107"/>
      <c r="CL113" s="105"/>
      <c r="CN113" s="13"/>
      <c r="CO113" s="107"/>
      <c r="CP113" s="107"/>
      <c r="CQ113" s="105"/>
      <c r="CS113" s="38"/>
      <c r="CT113" s="13"/>
      <c r="CU113" s="107"/>
      <c r="CV113" s="107"/>
      <c r="CW113" s="105"/>
      <c r="CY113" s="13"/>
      <c r="CZ113" s="107"/>
      <c r="DA113" s="107"/>
      <c r="DB113" s="105"/>
      <c r="DD113" s="13"/>
      <c r="DE113" s="107"/>
      <c r="DF113" s="107"/>
      <c r="DG113" s="105"/>
      <c r="DI113" s="13"/>
      <c r="DJ113" s="107"/>
      <c r="DK113" s="107"/>
      <c r="DL113" s="105"/>
      <c r="DN113" s="13"/>
      <c r="DO113" s="107"/>
      <c r="DP113" s="107"/>
      <c r="DQ113" s="105"/>
      <c r="DS113" s="13"/>
      <c r="DT113" s="107"/>
      <c r="DU113" s="107"/>
      <c r="DV113" s="105"/>
      <c r="DX113" s="38"/>
      <c r="DY113" s="13"/>
      <c r="DZ113" s="107"/>
      <c r="EA113" s="107"/>
      <c r="EB113" s="105"/>
      <c r="ED113" s="13"/>
      <c r="EE113" s="107"/>
      <c r="EF113" s="107"/>
      <c r="EG113" s="105"/>
      <c r="EI113" s="13"/>
      <c r="EJ113" s="107"/>
      <c r="EK113" s="107"/>
      <c r="EL113" s="105"/>
      <c r="EN113" s="13"/>
      <c r="EO113" s="107"/>
      <c r="EP113" s="107"/>
      <c r="EQ113" s="105"/>
      <c r="ES113" s="13"/>
      <c r="ET113" s="107"/>
      <c r="EU113" s="107"/>
      <c r="EV113" s="105"/>
      <c r="EX113" s="13"/>
      <c r="EY113" s="107"/>
      <c r="EZ113" s="107"/>
      <c r="FA113" s="105"/>
      <c r="FC113" s="38"/>
      <c r="FD113" s="13"/>
      <c r="FE113" s="107"/>
      <c r="FF113" s="107"/>
      <c r="FG113" s="105"/>
      <c r="FI113" s="13"/>
      <c r="FJ113" s="107"/>
      <c r="FK113" s="107"/>
      <c r="FL113" s="105"/>
      <c r="FN113" s="13"/>
      <c r="FO113" s="107"/>
      <c r="FP113" s="107"/>
      <c r="FQ113" s="105"/>
      <c r="FS113" s="13"/>
      <c r="FT113" s="107"/>
      <c r="FU113" s="107"/>
      <c r="FV113" s="105"/>
      <c r="FX113" s="13"/>
      <c r="FY113" s="107"/>
      <c r="FZ113" s="107"/>
      <c r="GA113" s="105"/>
      <c r="GC113" s="13"/>
      <c r="GD113" s="107"/>
      <c r="GE113" s="107"/>
      <c r="GF113" s="105"/>
      <c r="GH113" s="38"/>
      <c r="GI113" s="13"/>
      <c r="GJ113" s="107"/>
      <c r="GK113" s="107"/>
      <c r="GL113" s="105"/>
      <c r="GN113" s="13"/>
      <c r="GO113" s="107"/>
      <c r="GP113" s="107"/>
      <c r="GQ113" s="105"/>
      <c r="GS113" s="13"/>
      <c r="GT113" s="107"/>
      <c r="GU113" s="107"/>
      <c r="GV113" s="105"/>
      <c r="GX113" s="13"/>
      <c r="GY113" s="107"/>
      <c r="GZ113" s="107"/>
      <c r="HA113" s="105"/>
      <c r="HC113" s="13"/>
      <c r="HD113" s="107"/>
      <c r="HE113" s="107"/>
      <c r="HF113" s="105"/>
      <c r="HH113" s="13"/>
      <c r="HI113" s="107"/>
      <c r="HJ113" s="107"/>
      <c r="HK113" s="105"/>
      <c r="HM113" s="38"/>
      <c r="HN113" s="13"/>
      <c r="HO113" s="107"/>
      <c r="HP113" s="107"/>
      <c r="HQ113" s="105"/>
      <c r="HS113" s="13"/>
      <c r="HT113" s="107"/>
      <c r="HU113" s="107"/>
      <c r="HV113" s="105"/>
      <c r="HX113" s="13"/>
      <c r="HY113" s="107"/>
      <c r="HZ113" s="107"/>
      <c r="IA113" s="105"/>
      <c r="IC113" s="13"/>
      <c r="ID113" s="107"/>
      <c r="IE113" s="107"/>
      <c r="IF113" s="105"/>
      <c r="IH113" s="13"/>
      <c r="II113" s="107"/>
      <c r="IJ113" s="107"/>
      <c r="IK113" s="105"/>
      <c r="IM113" s="13"/>
      <c r="IN113" s="107"/>
      <c r="IO113" s="107"/>
      <c r="IP113" s="105"/>
      <c r="IR113" s="38"/>
      <c r="IS113" s="13"/>
      <c r="IT113" s="107"/>
      <c r="IU113" s="107"/>
      <c r="IV113" s="105"/>
      <c r="IX113" s="13"/>
      <c r="IY113" s="107"/>
      <c r="IZ113" s="107"/>
      <c r="JA113" s="105"/>
      <c r="JC113" s="13"/>
      <c r="JD113" s="107"/>
      <c r="JE113" s="107"/>
      <c r="JF113" s="105"/>
      <c r="JH113" s="13"/>
      <c r="JI113" s="107"/>
      <c r="JJ113" s="107"/>
      <c r="JK113" s="105"/>
      <c r="JM113" s="13"/>
      <c r="JN113" s="107"/>
      <c r="JO113" s="107"/>
      <c r="JP113" s="105"/>
      <c r="JR113" s="13"/>
      <c r="JS113" s="107"/>
      <c r="JT113" s="107"/>
      <c r="JU113" s="105"/>
      <c r="JW113" s="38"/>
      <c r="JX113" s="13"/>
      <c r="JY113" s="107"/>
      <c r="JZ113" s="107"/>
      <c r="KA113" s="105"/>
      <c r="KC113" s="13"/>
      <c r="KD113" s="107"/>
      <c r="KE113" s="107"/>
      <c r="KF113" s="105"/>
      <c r="KH113" s="13"/>
      <c r="KI113" s="107"/>
      <c r="KJ113" s="107"/>
      <c r="KK113" s="105"/>
      <c r="KM113" s="13"/>
      <c r="KN113" s="107"/>
      <c r="KO113" s="107"/>
      <c r="KP113" s="105"/>
      <c r="KR113" s="13"/>
      <c r="KS113" s="107"/>
      <c r="KT113" s="107"/>
      <c r="KU113" s="105"/>
      <c r="KW113" s="13"/>
      <c r="KX113" s="107"/>
      <c r="KY113" s="107"/>
      <c r="KZ113" s="105"/>
      <c r="LB113" s="38"/>
      <c r="LC113" s="13"/>
      <c r="LD113" s="107"/>
      <c r="LE113" s="107"/>
      <c r="LF113" s="105"/>
      <c r="LH113" s="13"/>
      <c r="LI113" s="107"/>
      <c r="LJ113" s="107"/>
      <c r="LK113" s="105"/>
      <c r="LM113" s="13"/>
      <c r="LN113" s="107"/>
      <c r="LO113" s="107"/>
      <c r="LP113" s="105"/>
      <c r="LR113" s="13"/>
      <c r="LS113" s="107"/>
      <c r="LT113" s="107"/>
      <c r="LU113" s="105"/>
      <c r="LW113" s="13"/>
      <c r="LX113" s="107"/>
      <c r="LY113" s="107"/>
      <c r="LZ113" s="105"/>
      <c r="MB113" s="13"/>
      <c r="MC113" s="107"/>
      <c r="MD113" s="107"/>
      <c r="ME113" s="105"/>
      <c r="MG113" s="38"/>
      <c r="MH113" s="13"/>
      <c r="MI113" s="107"/>
      <c r="MJ113" s="107"/>
      <c r="MK113" s="105"/>
      <c r="MM113" s="13"/>
      <c r="MN113" s="107"/>
      <c r="MO113" s="107"/>
      <c r="MP113" s="105"/>
      <c r="MR113" s="13"/>
      <c r="MS113" s="107"/>
      <c r="MT113" s="107"/>
      <c r="MU113" s="105"/>
      <c r="MW113" s="13"/>
      <c r="MX113" s="107"/>
      <c r="MY113" s="107"/>
      <c r="MZ113" s="105"/>
      <c r="NB113" s="13"/>
      <c r="NC113" s="107"/>
      <c r="ND113" s="107"/>
      <c r="NE113" s="105"/>
      <c r="NG113" s="13"/>
      <c r="NH113" s="107"/>
      <c r="NI113" s="107"/>
      <c r="NJ113" s="105"/>
      <c r="NL113" s="38"/>
      <c r="NM113" s="13"/>
      <c r="NN113" s="107"/>
      <c r="NO113" s="107"/>
      <c r="NP113" s="105"/>
      <c r="NR113" s="13"/>
      <c r="NS113" s="107"/>
      <c r="NT113" s="107"/>
      <c r="NU113" s="105"/>
      <c r="NW113" s="13"/>
      <c r="NX113" s="107"/>
      <c r="NY113" s="107"/>
      <c r="NZ113" s="105"/>
      <c r="OB113" s="13"/>
      <c r="OC113" s="107"/>
      <c r="OD113" s="107"/>
      <c r="OE113" s="105"/>
      <c r="OG113" s="13"/>
      <c r="OH113" s="107"/>
      <c r="OI113" s="107"/>
      <c r="OJ113" s="105"/>
      <c r="OL113" s="13"/>
      <c r="OM113" s="107"/>
      <c r="ON113" s="107"/>
      <c r="OO113" s="105"/>
    </row>
    <row r="114" ht="15.75" customHeight="1">
      <c r="A114" s="42"/>
      <c r="B114" s="42"/>
      <c r="C114" s="42"/>
      <c r="D114" s="38">
        <f t="shared" si="319"/>
        <v>45969</v>
      </c>
      <c r="E114" s="105" t="str">
        <f t="shared" ref="E114:I114" si="329">AD21</f>
        <v/>
      </c>
      <c r="F114" s="105" t="str">
        <f t="shared" si="329"/>
        <v/>
      </c>
      <c r="G114" s="105" t="str">
        <f t="shared" si="329"/>
        <v/>
      </c>
      <c r="H114" s="106" t="str">
        <f t="shared" si="329"/>
        <v/>
      </c>
      <c r="I114" s="106" t="str">
        <f t="shared" si="329"/>
        <v/>
      </c>
      <c r="J114" s="107" t="str">
        <f t="array" ref="J114">IFERROR(IF(XLOOKUP(CONCAT(E114,F114),'MASTER PLAN'!$AB:$AB,'MASTER PLAN'!$M:$M,0,0)=0,"",XLOOKUP(CONCAT(E114,F114),'MASTER PLAN'!$AB:$AB,'MASTER PLAN'!$M:$M,0,0)),"")</f>
        <v/>
      </c>
      <c r="K114" s="107">
        <f t="shared" si="237"/>
        <v>0</v>
      </c>
      <c r="L114" s="107">
        <f t="shared" si="238"/>
        <v>0</v>
      </c>
      <c r="M114" s="105" t="s">
        <v>249</v>
      </c>
      <c r="O114" s="13"/>
      <c r="P114" s="107"/>
      <c r="Q114" s="107"/>
      <c r="R114" s="105"/>
      <c r="T114" s="13"/>
      <c r="U114" s="107"/>
      <c r="V114" s="107"/>
      <c r="W114" s="105"/>
      <c r="Y114" s="13"/>
      <c r="Z114" s="107"/>
      <c r="AA114" s="107"/>
      <c r="AB114" s="105"/>
      <c r="AD114" s="13"/>
      <c r="AE114" s="107"/>
      <c r="AF114" s="107"/>
      <c r="AG114" s="105"/>
      <c r="AI114" s="38"/>
      <c r="AJ114" s="13"/>
      <c r="AK114" s="107"/>
      <c r="AL114" s="107"/>
      <c r="AM114" s="105"/>
      <c r="AO114" s="13"/>
      <c r="AP114" s="107"/>
      <c r="AQ114" s="107"/>
      <c r="AR114" s="105"/>
      <c r="AT114" s="13"/>
      <c r="AU114" s="107"/>
      <c r="AV114" s="107"/>
      <c r="AW114" s="105"/>
      <c r="AY114" s="13"/>
      <c r="AZ114" s="107"/>
      <c r="BA114" s="107"/>
      <c r="BB114" s="105"/>
      <c r="BD114" s="13"/>
      <c r="BE114" s="107"/>
      <c r="BF114" s="107"/>
      <c r="BG114" s="105"/>
      <c r="BI114" s="13"/>
      <c r="BJ114" s="107"/>
      <c r="BK114" s="107"/>
      <c r="BL114" s="105"/>
      <c r="BN114" s="38"/>
      <c r="BO114" s="13"/>
      <c r="BP114" s="107"/>
      <c r="BQ114" s="107"/>
      <c r="BR114" s="105"/>
      <c r="BT114" s="13"/>
      <c r="BU114" s="107"/>
      <c r="BV114" s="107"/>
      <c r="BW114" s="105"/>
      <c r="BY114" s="13"/>
      <c r="BZ114" s="107"/>
      <c r="CA114" s="107"/>
      <c r="CB114" s="105"/>
      <c r="CD114" s="13"/>
      <c r="CE114" s="107"/>
      <c r="CF114" s="107"/>
      <c r="CG114" s="105"/>
      <c r="CI114" s="13"/>
      <c r="CJ114" s="107"/>
      <c r="CK114" s="107"/>
      <c r="CL114" s="105"/>
      <c r="CN114" s="13"/>
      <c r="CO114" s="107"/>
      <c r="CP114" s="107"/>
      <c r="CQ114" s="105"/>
      <c r="CS114" s="38"/>
      <c r="CT114" s="13"/>
      <c r="CU114" s="107"/>
      <c r="CV114" s="107"/>
      <c r="CW114" s="105"/>
      <c r="CY114" s="13"/>
      <c r="CZ114" s="107"/>
      <c r="DA114" s="107"/>
      <c r="DB114" s="105"/>
      <c r="DD114" s="13"/>
      <c r="DE114" s="107"/>
      <c r="DF114" s="107"/>
      <c r="DG114" s="105"/>
      <c r="DI114" s="13"/>
      <c r="DJ114" s="107"/>
      <c r="DK114" s="107"/>
      <c r="DL114" s="105"/>
      <c r="DN114" s="13"/>
      <c r="DO114" s="107"/>
      <c r="DP114" s="107"/>
      <c r="DQ114" s="105"/>
      <c r="DS114" s="13"/>
      <c r="DT114" s="107"/>
      <c r="DU114" s="107"/>
      <c r="DV114" s="105"/>
      <c r="DX114" s="38"/>
      <c r="DY114" s="13"/>
      <c r="DZ114" s="107"/>
      <c r="EA114" s="107"/>
      <c r="EB114" s="105"/>
      <c r="ED114" s="13"/>
      <c r="EE114" s="107"/>
      <c r="EF114" s="107"/>
      <c r="EG114" s="105"/>
      <c r="EI114" s="13"/>
      <c r="EJ114" s="107"/>
      <c r="EK114" s="107"/>
      <c r="EL114" s="105"/>
      <c r="EN114" s="13"/>
      <c r="EO114" s="107"/>
      <c r="EP114" s="107"/>
      <c r="EQ114" s="105"/>
      <c r="ES114" s="13"/>
      <c r="ET114" s="107"/>
      <c r="EU114" s="107"/>
      <c r="EV114" s="105"/>
      <c r="EX114" s="13"/>
      <c r="EY114" s="107"/>
      <c r="EZ114" s="107"/>
      <c r="FA114" s="105"/>
      <c r="FC114" s="38"/>
      <c r="FD114" s="13"/>
      <c r="FE114" s="107"/>
      <c r="FF114" s="107"/>
      <c r="FG114" s="105"/>
      <c r="FI114" s="13"/>
      <c r="FJ114" s="107"/>
      <c r="FK114" s="107"/>
      <c r="FL114" s="105"/>
      <c r="FN114" s="13"/>
      <c r="FO114" s="107"/>
      <c r="FP114" s="107"/>
      <c r="FQ114" s="105"/>
      <c r="FS114" s="13"/>
      <c r="FT114" s="107"/>
      <c r="FU114" s="107"/>
      <c r="FV114" s="105"/>
      <c r="FX114" s="13"/>
      <c r="FY114" s="107"/>
      <c r="FZ114" s="107"/>
      <c r="GA114" s="105"/>
      <c r="GC114" s="13"/>
      <c r="GD114" s="107"/>
      <c r="GE114" s="107"/>
      <c r="GF114" s="105"/>
      <c r="GH114" s="38"/>
      <c r="GI114" s="13"/>
      <c r="GJ114" s="107"/>
      <c r="GK114" s="107"/>
      <c r="GL114" s="105"/>
      <c r="GN114" s="13"/>
      <c r="GO114" s="107"/>
      <c r="GP114" s="107"/>
      <c r="GQ114" s="105"/>
      <c r="GS114" s="13"/>
      <c r="GT114" s="107"/>
      <c r="GU114" s="107"/>
      <c r="GV114" s="105"/>
      <c r="GX114" s="13"/>
      <c r="GY114" s="107"/>
      <c r="GZ114" s="107"/>
      <c r="HA114" s="105"/>
      <c r="HC114" s="13"/>
      <c r="HD114" s="107"/>
      <c r="HE114" s="107"/>
      <c r="HF114" s="105"/>
      <c r="HH114" s="13"/>
      <c r="HI114" s="107"/>
      <c r="HJ114" s="107"/>
      <c r="HK114" s="105"/>
      <c r="HM114" s="38"/>
      <c r="HN114" s="13"/>
      <c r="HO114" s="107"/>
      <c r="HP114" s="107"/>
      <c r="HQ114" s="105"/>
      <c r="HS114" s="13"/>
      <c r="HT114" s="107"/>
      <c r="HU114" s="107"/>
      <c r="HV114" s="105"/>
      <c r="HX114" s="13"/>
      <c r="HY114" s="107"/>
      <c r="HZ114" s="107"/>
      <c r="IA114" s="105"/>
      <c r="IC114" s="13"/>
      <c r="ID114" s="107"/>
      <c r="IE114" s="107"/>
      <c r="IF114" s="105"/>
      <c r="IH114" s="13"/>
      <c r="II114" s="107"/>
      <c r="IJ114" s="107"/>
      <c r="IK114" s="105"/>
      <c r="IM114" s="13"/>
      <c r="IN114" s="107"/>
      <c r="IO114" s="107"/>
      <c r="IP114" s="105"/>
      <c r="IR114" s="38"/>
      <c r="IS114" s="13"/>
      <c r="IT114" s="107"/>
      <c r="IU114" s="107"/>
      <c r="IV114" s="105"/>
      <c r="IX114" s="13"/>
      <c r="IY114" s="107"/>
      <c r="IZ114" s="107"/>
      <c r="JA114" s="105"/>
      <c r="JC114" s="13"/>
      <c r="JD114" s="107"/>
      <c r="JE114" s="107"/>
      <c r="JF114" s="105"/>
      <c r="JH114" s="13"/>
      <c r="JI114" s="107"/>
      <c r="JJ114" s="107"/>
      <c r="JK114" s="105"/>
      <c r="JM114" s="13"/>
      <c r="JN114" s="107"/>
      <c r="JO114" s="107"/>
      <c r="JP114" s="105"/>
      <c r="JR114" s="13"/>
      <c r="JS114" s="107"/>
      <c r="JT114" s="107"/>
      <c r="JU114" s="105"/>
      <c r="JW114" s="38"/>
      <c r="JX114" s="13"/>
      <c r="JY114" s="107"/>
      <c r="JZ114" s="107"/>
      <c r="KA114" s="105"/>
      <c r="KC114" s="13"/>
      <c r="KD114" s="107"/>
      <c r="KE114" s="107"/>
      <c r="KF114" s="105"/>
      <c r="KH114" s="13"/>
      <c r="KI114" s="107"/>
      <c r="KJ114" s="107"/>
      <c r="KK114" s="105"/>
      <c r="KM114" s="13"/>
      <c r="KN114" s="107"/>
      <c r="KO114" s="107"/>
      <c r="KP114" s="105"/>
      <c r="KR114" s="13"/>
      <c r="KS114" s="107"/>
      <c r="KT114" s="107"/>
      <c r="KU114" s="105"/>
      <c r="KW114" s="13"/>
      <c r="KX114" s="107"/>
      <c r="KY114" s="107"/>
      <c r="KZ114" s="105"/>
      <c r="LB114" s="38"/>
      <c r="LC114" s="13"/>
      <c r="LD114" s="107"/>
      <c r="LE114" s="107"/>
      <c r="LF114" s="105"/>
      <c r="LH114" s="13"/>
      <c r="LI114" s="107"/>
      <c r="LJ114" s="107"/>
      <c r="LK114" s="105"/>
      <c r="LM114" s="13"/>
      <c r="LN114" s="107"/>
      <c r="LO114" s="107"/>
      <c r="LP114" s="105"/>
      <c r="LR114" s="13"/>
      <c r="LS114" s="107"/>
      <c r="LT114" s="107"/>
      <c r="LU114" s="105"/>
      <c r="LW114" s="13"/>
      <c r="LX114" s="107"/>
      <c r="LY114" s="107"/>
      <c r="LZ114" s="105"/>
      <c r="MB114" s="13"/>
      <c r="MC114" s="107"/>
      <c r="MD114" s="107"/>
      <c r="ME114" s="105"/>
      <c r="MG114" s="38"/>
      <c r="MH114" s="13"/>
      <c r="MI114" s="107"/>
      <c r="MJ114" s="107"/>
      <c r="MK114" s="105"/>
      <c r="MM114" s="13"/>
      <c r="MN114" s="107"/>
      <c r="MO114" s="107"/>
      <c r="MP114" s="105"/>
      <c r="MR114" s="13"/>
      <c r="MS114" s="107"/>
      <c r="MT114" s="107"/>
      <c r="MU114" s="105"/>
      <c r="MW114" s="13"/>
      <c r="MX114" s="107"/>
      <c r="MY114" s="107"/>
      <c r="MZ114" s="105"/>
      <c r="NB114" s="13"/>
      <c r="NC114" s="107"/>
      <c r="ND114" s="107"/>
      <c r="NE114" s="105"/>
      <c r="NG114" s="13"/>
      <c r="NH114" s="107"/>
      <c r="NI114" s="107"/>
      <c r="NJ114" s="105"/>
      <c r="NL114" s="38"/>
      <c r="NM114" s="13"/>
      <c r="NN114" s="107"/>
      <c r="NO114" s="107"/>
      <c r="NP114" s="105"/>
      <c r="NR114" s="13"/>
      <c r="NS114" s="107"/>
      <c r="NT114" s="107"/>
      <c r="NU114" s="105"/>
      <c r="NW114" s="13"/>
      <c r="NX114" s="107"/>
      <c r="NY114" s="107"/>
      <c r="NZ114" s="105"/>
      <c r="OB114" s="13"/>
      <c r="OC114" s="107"/>
      <c r="OD114" s="107"/>
      <c r="OE114" s="105"/>
      <c r="OG114" s="13"/>
      <c r="OH114" s="107"/>
      <c r="OI114" s="107"/>
      <c r="OJ114" s="105"/>
      <c r="OL114" s="13"/>
      <c r="OM114" s="107"/>
      <c r="ON114" s="107"/>
      <c r="OO114" s="105"/>
    </row>
    <row r="115" ht="15.75" customHeight="1">
      <c r="A115" s="42"/>
      <c r="B115" s="42"/>
      <c r="C115" s="42"/>
      <c r="D115" s="38">
        <f t="shared" si="319"/>
        <v>45969</v>
      </c>
      <c r="E115" s="105" t="str">
        <f t="shared" ref="E115:I115" si="330">AD22</f>
        <v/>
      </c>
      <c r="F115" s="105" t="str">
        <f t="shared" si="330"/>
        <v/>
      </c>
      <c r="G115" s="105" t="str">
        <f t="shared" si="330"/>
        <v/>
      </c>
      <c r="H115" s="106" t="str">
        <f t="shared" si="330"/>
        <v/>
      </c>
      <c r="I115" s="106" t="str">
        <f t="shared" si="330"/>
        <v/>
      </c>
      <c r="J115" s="107" t="str">
        <f t="array" ref="J115">IFERROR(IF(XLOOKUP(CONCAT(E115,F115),'MASTER PLAN'!$AB:$AB,'MASTER PLAN'!$M:$M,0,0)=0,"",XLOOKUP(CONCAT(E115,F115),'MASTER PLAN'!$AB:$AB,'MASTER PLAN'!$M:$M,0,0)),"")</f>
        <v/>
      </c>
      <c r="K115" s="107">
        <f t="shared" si="237"/>
        <v>0</v>
      </c>
      <c r="L115" s="107">
        <f t="shared" si="238"/>
        <v>0</v>
      </c>
      <c r="M115" s="105" t="s">
        <v>249</v>
      </c>
      <c r="O115" s="13"/>
      <c r="P115" s="107"/>
      <c r="Q115" s="107"/>
      <c r="R115" s="105"/>
      <c r="T115" s="13"/>
      <c r="U115" s="107"/>
      <c r="V115" s="107"/>
      <c r="W115" s="105"/>
      <c r="Y115" s="13"/>
      <c r="Z115" s="107"/>
      <c r="AA115" s="107"/>
      <c r="AB115" s="105"/>
      <c r="AD115" s="13"/>
      <c r="AE115" s="107"/>
      <c r="AF115" s="107"/>
      <c r="AG115" s="105"/>
      <c r="AI115" s="38"/>
      <c r="AJ115" s="13"/>
      <c r="AK115" s="107"/>
      <c r="AL115" s="107"/>
      <c r="AM115" s="105"/>
      <c r="AO115" s="13"/>
      <c r="AP115" s="107"/>
      <c r="AQ115" s="107"/>
      <c r="AR115" s="105"/>
      <c r="AT115" s="13"/>
      <c r="AU115" s="107"/>
      <c r="AV115" s="107"/>
      <c r="AW115" s="105"/>
      <c r="AY115" s="13"/>
      <c r="AZ115" s="107"/>
      <c r="BA115" s="107"/>
      <c r="BB115" s="105"/>
      <c r="BD115" s="13"/>
      <c r="BE115" s="107"/>
      <c r="BF115" s="107"/>
      <c r="BG115" s="105"/>
      <c r="BI115" s="13"/>
      <c r="BJ115" s="107"/>
      <c r="BK115" s="107"/>
      <c r="BL115" s="105"/>
      <c r="BN115" s="38"/>
      <c r="BO115" s="13"/>
      <c r="BP115" s="107"/>
      <c r="BQ115" s="107"/>
      <c r="BR115" s="105"/>
      <c r="BT115" s="13"/>
      <c r="BU115" s="107"/>
      <c r="BV115" s="107"/>
      <c r="BW115" s="105"/>
      <c r="BY115" s="13"/>
      <c r="BZ115" s="107"/>
      <c r="CA115" s="107"/>
      <c r="CB115" s="105"/>
      <c r="CD115" s="13"/>
      <c r="CE115" s="107"/>
      <c r="CF115" s="107"/>
      <c r="CG115" s="105"/>
      <c r="CI115" s="13"/>
      <c r="CJ115" s="107"/>
      <c r="CK115" s="107"/>
      <c r="CL115" s="105"/>
      <c r="CN115" s="13"/>
      <c r="CO115" s="107"/>
      <c r="CP115" s="107"/>
      <c r="CQ115" s="105"/>
      <c r="CS115" s="38"/>
      <c r="CT115" s="13"/>
      <c r="CU115" s="107"/>
      <c r="CV115" s="107"/>
      <c r="CW115" s="105"/>
      <c r="CY115" s="13"/>
      <c r="CZ115" s="107"/>
      <c r="DA115" s="107"/>
      <c r="DB115" s="105"/>
      <c r="DD115" s="13"/>
      <c r="DE115" s="107"/>
      <c r="DF115" s="107"/>
      <c r="DG115" s="105"/>
      <c r="DI115" s="13"/>
      <c r="DJ115" s="107"/>
      <c r="DK115" s="107"/>
      <c r="DL115" s="105"/>
      <c r="DN115" s="13"/>
      <c r="DO115" s="107"/>
      <c r="DP115" s="107"/>
      <c r="DQ115" s="105"/>
      <c r="DS115" s="13"/>
      <c r="DT115" s="107"/>
      <c r="DU115" s="107"/>
      <c r="DV115" s="105"/>
      <c r="DX115" s="38"/>
      <c r="DY115" s="13"/>
      <c r="DZ115" s="107"/>
      <c r="EA115" s="107"/>
      <c r="EB115" s="105"/>
      <c r="ED115" s="13"/>
      <c r="EE115" s="107"/>
      <c r="EF115" s="107"/>
      <c r="EG115" s="105"/>
      <c r="EI115" s="13"/>
      <c r="EJ115" s="107"/>
      <c r="EK115" s="107"/>
      <c r="EL115" s="105"/>
      <c r="EN115" s="13"/>
      <c r="EO115" s="107"/>
      <c r="EP115" s="107"/>
      <c r="EQ115" s="105"/>
      <c r="ES115" s="13"/>
      <c r="ET115" s="107"/>
      <c r="EU115" s="107"/>
      <c r="EV115" s="105"/>
      <c r="EX115" s="13"/>
      <c r="EY115" s="107"/>
      <c r="EZ115" s="107"/>
      <c r="FA115" s="105"/>
      <c r="FC115" s="38"/>
      <c r="FD115" s="13"/>
      <c r="FE115" s="107"/>
      <c r="FF115" s="107"/>
      <c r="FG115" s="105"/>
      <c r="FI115" s="13"/>
      <c r="FJ115" s="107"/>
      <c r="FK115" s="107"/>
      <c r="FL115" s="105"/>
      <c r="FN115" s="13"/>
      <c r="FO115" s="107"/>
      <c r="FP115" s="107"/>
      <c r="FQ115" s="105"/>
      <c r="FS115" s="13"/>
      <c r="FT115" s="107"/>
      <c r="FU115" s="107"/>
      <c r="FV115" s="105"/>
      <c r="FX115" s="13"/>
      <c r="FY115" s="107"/>
      <c r="FZ115" s="107"/>
      <c r="GA115" s="105"/>
      <c r="GC115" s="13"/>
      <c r="GD115" s="107"/>
      <c r="GE115" s="107"/>
      <c r="GF115" s="105"/>
      <c r="GH115" s="38"/>
      <c r="GI115" s="13"/>
      <c r="GJ115" s="107"/>
      <c r="GK115" s="107"/>
      <c r="GL115" s="105"/>
      <c r="GN115" s="13"/>
      <c r="GO115" s="107"/>
      <c r="GP115" s="107"/>
      <c r="GQ115" s="105"/>
      <c r="GS115" s="13"/>
      <c r="GT115" s="107"/>
      <c r="GU115" s="107"/>
      <c r="GV115" s="105"/>
      <c r="GX115" s="13"/>
      <c r="GY115" s="107"/>
      <c r="GZ115" s="107"/>
      <c r="HA115" s="105"/>
      <c r="HC115" s="13"/>
      <c r="HD115" s="107"/>
      <c r="HE115" s="107"/>
      <c r="HF115" s="105"/>
      <c r="HH115" s="13"/>
      <c r="HI115" s="107"/>
      <c r="HJ115" s="107"/>
      <c r="HK115" s="105"/>
      <c r="HM115" s="38"/>
      <c r="HN115" s="13"/>
      <c r="HO115" s="107"/>
      <c r="HP115" s="107"/>
      <c r="HQ115" s="105"/>
      <c r="HS115" s="13"/>
      <c r="HT115" s="107"/>
      <c r="HU115" s="107"/>
      <c r="HV115" s="105"/>
      <c r="HX115" s="13"/>
      <c r="HY115" s="107"/>
      <c r="HZ115" s="107"/>
      <c r="IA115" s="105"/>
      <c r="IC115" s="13"/>
      <c r="ID115" s="107"/>
      <c r="IE115" s="107"/>
      <c r="IF115" s="105"/>
      <c r="IH115" s="13"/>
      <c r="II115" s="107"/>
      <c r="IJ115" s="107"/>
      <c r="IK115" s="105"/>
      <c r="IM115" s="13"/>
      <c r="IN115" s="107"/>
      <c r="IO115" s="107"/>
      <c r="IP115" s="105"/>
      <c r="IR115" s="38"/>
      <c r="IS115" s="13"/>
      <c r="IT115" s="107"/>
      <c r="IU115" s="107"/>
      <c r="IV115" s="105"/>
      <c r="IX115" s="13"/>
      <c r="IY115" s="107"/>
      <c r="IZ115" s="107"/>
      <c r="JA115" s="105"/>
      <c r="JC115" s="13"/>
      <c r="JD115" s="107"/>
      <c r="JE115" s="107"/>
      <c r="JF115" s="105"/>
      <c r="JH115" s="13"/>
      <c r="JI115" s="107"/>
      <c r="JJ115" s="107"/>
      <c r="JK115" s="105"/>
      <c r="JM115" s="13"/>
      <c r="JN115" s="107"/>
      <c r="JO115" s="107"/>
      <c r="JP115" s="105"/>
      <c r="JR115" s="13"/>
      <c r="JS115" s="107"/>
      <c r="JT115" s="107"/>
      <c r="JU115" s="105"/>
      <c r="JW115" s="38"/>
      <c r="JX115" s="13"/>
      <c r="JY115" s="107"/>
      <c r="JZ115" s="107"/>
      <c r="KA115" s="105"/>
      <c r="KC115" s="13"/>
      <c r="KD115" s="107"/>
      <c r="KE115" s="107"/>
      <c r="KF115" s="105"/>
      <c r="KH115" s="13"/>
      <c r="KI115" s="107"/>
      <c r="KJ115" s="107"/>
      <c r="KK115" s="105"/>
      <c r="KM115" s="13"/>
      <c r="KN115" s="107"/>
      <c r="KO115" s="107"/>
      <c r="KP115" s="105"/>
      <c r="KR115" s="13"/>
      <c r="KS115" s="107"/>
      <c r="KT115" s="107"/>
      <c r="KU115" s="105"/>
      <c r="KW115" s="13"/>
      <c r="KX115" s="107"/>
      <c r="KY115" s="107"/>
      <c r="KZ115" s="105"/>
      <c r="LB115" s="38"/>
      <c r="LC115" s="13"/>
      <c r="LD115" s="107"/>
      <c r="LE115" s="107"/>
      <c r="LF115" s="105"/>
      <c r="LH115" s="13"/>
      <c r="LI115" s="107"/>
      <c r="LJ115" s="107"/>
      <c r="LK115" s="105"/>
      <c r="LM115" s="13"/>
      <c r="LN115" s="107"/>
      <c r="LO115" s="107"/>
      <c r="LP115" s="105"/>
      <c r="LR115" s="13"/>
      <c r="LS115" s="107"/>
      <c r="LT115" s="107"/>
      <c r="LU115" s="105"/>
      <c r="LW115" s="13"/>
      <c r="LX115" s="107"/>
      <c r="LY115" s="107"/>
      <c r="LZ115" s="105"/>
      <c r="MB115" s="13"/>
      <c r="MC115" s="107"/>
      <c r="MD115" s="107"/>
      <c r="ME115" s="105"/>
      <c r="MG115" s="38"/>
      <c r="MH115" s="13"/>
      <c r="MI115" s="107"/>
      <c r="MJ115" s="107"/>
      <c r="MK115" s="105"/>
      <c r="MM115" s="13"/>
      <c r="MN115" s="107"/>
      <c r="MO115" s="107"/>
      <c r="MP115" s="105"/>
      <c r="MR115" s="13"/>
      <c r="MS115" s="107"/>
      <c r="MT115" s="107"/>
      <c r="MU115" s="105"/>
      <c r="MW115" s="13"/>
      <c r="MX115" s="107"/>
      <c r="MY115" s="107"/>
      <c r="MZ115" s="105"/>
      <c r="NB115" s="13"/>
      <c r="NC115" s="107"/>
      <c r="ND115" s="107"/>
      <c r="NE115" s="105"/>
      <c r="NG115" s="13"/>
      <c r="NH115" s="107"/>
      <c r="NI115" s="107"/>
      <c r="NJ115" s="105"/>
      <c r="NL115" s="38"/>
      <c r="NM115" s="13"/>
      <c r="NN115" s="107"/>
      <c r="NO115" s="107"/>
      <c r="NP115" s="105"/>
      <c r="NR115" s="13"/>
      <c r="NS115" s="107"/>
      <c r="NT115" s="107"/>
      <c r="NU115" s="105"/>
      <c r="NW115" s="13"/>
      <c r="NX115" s="107"/>
      <c r="NY115" s="107"/>
      <c r="NZ115" s="105"/>
      <c r="OB115" s="13"/>
      <c r="OC115" s="107"/>
      <c r="OD115" s="107"/>
      <c r="OE115" s="105"/>
      <c r="OG115" s="13"/>
      <c r="OH115" s="107"/>
      <c r="OI115" s="107"/>
      <c r="OJ115" s="105"/>
      <c r="OL115" s="13"/>
      <c r="OM115" s="107"/>
      <c r="ON115" s="107"/>
      <c r="OO115" s="105"/>
    </row>
    <row r="116" ht="15.75" customHeight="1">
      <c r="A116" s="42"/>
      <c r="B116" s="42"/>
      <c r="C116" s="42"/>
      <c r="D116" s="38">
        <f t="shared" si="319"/>
        <v>45969</v>
      </c>
      <c r="E116" s="105" t="str">
        <f t="shared" ref="E116:I116" si="331">AD23</f>
        <v/>
      </c>
      <c r="F116" s="105" t="str">
        <f t="shared" si="331"/>
        <v/>
      </c>
      <c r="G116" s="105" t="str">
        <f t="shared" si="331"/>
        <v/>
      </c>
      <c r="H116" s="106" t="str">
        <f t="shared" si="331"/>
        <v/>
      </c>
      <c r="I116" s="106" t="str">
        <f t="shared" si="331"/>
        <v/>
      </c>
      <c r="J116" s="107" t="str">
        <f t="array" ref="J116">IFERROR(IF(XLOOKUP(CONCAT(E116,F116),'MASTER PLAN'!$AB:$AB,'MASTER PLAN'!$M:$M,0,0)=0,"",XLOOKUP(CONCAT(E116,F116),'MASTER PLAN'!$AB:$AB,'MASTER PLAN'!$M:$M,0,0)),"")</f>
        <v/>
      </c>
      <c r="K116" s="107">
        <f t="shared" si="237"/>
        <v>0</v>
      </c>
      <c r="L116" s="107">
        <f t="shared" si="238"/>
        <v>0</v>
      </c>
      <c r="M116" s="105" t="s">
        <v>249</v>
      </c>
      <c r="O116" s="13"/>
      <c r="P116" s="107"/>
      <c r="Q116" s="107"/>
      <c r="R116" s="105"/>
      <c r="T116" s="13"/>
      <c r="U116" s="107"/>
      <c r="V116" s="107"/>
      <c r="W116" s="105"/>
      <c r="Y116" s="13"/>
      <c r="Z116" s="107"/>
      <c r="AA116" s="107"/>
      <c r="AB116" s="105"/>
      <c r="AD116" s="13"/>
      <c r="AE116" s="107"/>
      <c r="AF116" s="107"/>
      <c r="AG116" s="105"/>
      <c r="AI116" s="38"/>
      <c r="AJ116" s="13"/>
      <c r="AK116" s="107"/>
      <c r="AL116" s="107"/>
      <c r="AM116" s="105"/>
      <c r="AO116" s="13"/>
      <c r="AP116" s="107"/>
      <c r="AQ116" s="107"/>
      <c r="AR116" s="105"/>
      <c r="AT116" s="13"/>
      <c r="AU116" s="107"/>
      <c r="AV116" s="107"/>
      <c r="AW116" s="105"/>
      <c r="AY116" s="13"/>
      <c r="AZ116" s="107"/>
      <c r="BA116" s="107"/>
      <c r="BB116" s="105"/>
      <c r="BD116" s="13"/>
      <c r="BE116" s="107"/>
      <c r="BF116" s="107"/>
      <c r="BG116" s="105"/>
      <c r="BI116" s="13"/>
      <c r="BJ116" s="107"/>
      <c r="BK116" s="107"/>
      <c r="BL116" s="105"/>
      <c r="BN116" s="38"/>
      <c r="BO116" s="13"/>
      <c r="BP116" s="107"/>
      <c r="BQ116" s="107"/>
      <c r="BR116" s="105"/>
      <c r="BT116" s="13"/>
      <c r="BU116" s="107"/>
      <c r="BV116" s="107"/>
      <c r="BW116" s="105"/>
      <c r="BY116" s="13"/>
      <c r="BZ116" s="107"/>
      <c r="CA116" s="107"/>
      <c r="CB116" s="105"/>
      <c r="CD116" s="13"/>
      <c r="CE116" s="107"/>
      <c r="CF116" s="107"/>
      <c r="CG116" s="105"/>
      <c r="CI116" s="13"/>
      <c r="CJ116" s="107"/>
      <c r="CK116" s="107"/>
      <c r="CL116" s="105"/>
      <c r="CN116" s="13"/>
      <c r="CO116" s="107"/>
      <c r="CP116" s="107"/>
      <c r="CQ116" s="105"/>
      <c r="CS116" s="38"/>
      <c r="CT116" s="13"/>
      <c r="CU116" s="107"/>
      <c r="CV116" s="107"/>
      <c r="CW116" s="105"/>
      <c r="CY116" s="13"/>
      <c r="CZ116" s="107"/>
      <c r="DA116" s="107"/>
      <c r="DB116" s="105"/>
      <c r="DD116" s="13"/>
      <c r="DE116" s="107"/>
      <c r="DF116" s="107"/>
      <c r="DG116" s="105"/>
      <c r="DI116" s="13"/>
      <c r="DJ116" s="107"/>
      <c r="DK116" s="107"/>
      <c r="DL116" s="105"/>
      <c r="DN116" s="13"/>
      <c r="DO116" s="107"/>
      <c r="DP116" s="107"/>
      <c r="DQ116" s="105"/>
      <c r="DS116" s="13"/>
      <c r="DT116" s="107"/>
      <c r="DU116" s="107"/>
      <c r="DV116" s="105"/>
      <c r="DX116" s="38"/>
      <c r="DY116" s="13"/>
      <c r="DZ116" s="107"/>
      <c r="EA116" s="107"/>
      <c r="EB116" s="105"/>
      <c r="ED116" s="13"/>
      <c r="EE116" s="107"/>
      <c r="EF116" s="107"/>
      <c r="EG116" s="105"/>
      <c r="EI116" s="13"/>
      <c r="EJ116" s="107"/>
      <c r="EK116" s="107"/>
      <c r="EL116" s="105"/>
      <c r="EN116" s="13"/>
      <c r="EO116" s="107"/>
      <c r="EP116" s="107"/>
      <c r="EQ116" s="105"/>
      <c r="ES116" s="13"/>
      <c r="ET116" s="107"/>
      <c r="EU116" s="107"/>
      <c r="EV116" s="105"/>
      <c r="EX116" s="13"/>
      <c r="EY116" s="107"/>
      <c r="EZ116" s="107"/>
      <c r="FA116" s="105"/>
      <c r="FC116" s="38"/>
      <c r="FD116" s="13"/>
      <c r="FE116" s="107"/>
      <c r="FF116" s="107"/>
      <c r="FG116" s="105"/>
      <c r="FI116" s="13"/>
      <c r="FJ116" s="107"/>
      <c r="FK116" s="107"/>
      <c r="FL116" s="105"/>
      <c r="FN116" s="13"/>
      <c r="FO116" s="107"/>
      <c r="FP116" s="107"/>
      <c r="FQ116" s="105"/>
      <c r="FS116" s="13"/>
      <c r="FT116" s="107"/>
      <c r="FU116" s="107"/>
      <c r="FV116" s="105"/>
      <c r="FX116" s="13"/>
      <c r="FY116" s="107"/>
      <c r="FZ116" s="107"/>
      <c r="GA116" s="105"/>
      <c r="GC116" s="13"/>
      <c r="GD116" s="107"/>
      <c r="GE116" s="107"/>
      <c r="GF116" s="105"/>
      <c r="GH116" s="38"/>
      <c r="GI116" s="13"/>
      <c r="GJ116" s="107"/>
      <c r="GK116" s="107"/>
      <c r="GL116" s="105"/>
      <c r="GN116" s="13"/>
      <c r="GO116" s="107"/>
      <c r="GP116" s="107"/>
      <c r="GQ116" s="105"/>
      <c r="GS116" s="13"/>
      <c r="GT116" s="107"/>
      <c r="GU116" s="107"/>
      <c r="GV116" s="105"/>
      <c r="GX116" s="13"/>
      <c r="GY116" s="107"/>
      <c r="GZ116" s="107"/>
      <c r="HA116" s="105"/>
      <c r="HC116" s="13"/>
      <c r="HD116" s="107"/>
      <c r="HE116" s="107"/>
      <c r="HF116" s="105"/>
      <c r="HH116" s="13"/>
      <c r="HI116" s="107"/>
      <c r="HJ116" s="107"/>
      <c r="HK116" s="105"/>
      <c r="HM116" s="38"/>
      <c r="HN116" s="13"/>
      <c r="HO116" s="107"/>
      <c r="HP116" s="107"/>
      <c r="HQ116" s="105"/>
      <c r="HS116" s="13"/>
      <c r="HT116" s="107"/>
      <c r="HU116" s="107"/>
      <c r="HV116" s="105"/>
      <c r="HX116" s="13"/>
      <c r="HY116" s="107"/>
      <c r="HZ116" s="107"/>
      <c r="IA116" s="105"/>
      <c r="IC116" s="13"/>
      <c r="ID116" s="107"/>
      <c r="IE116" s="107"/>
      <c r="IF116" s="105"/>
      <c r="IH116" s="13"/>
      <c r="II116" s="107"/>
      <c r="IJ116" s="107"/>
      <c r="IK116" s="105"/>
      <c r="IM116" s="13"/>
      <c r="IN116" s="107"/>
      <c r="IO116" s="107"/>
      <c r="IP116" s="105"/>
      <c r="IR116" s="38"/>
      <c r="IS116" s="13"/>
      <c r="IT116" s="107"/>
      <c r="IU116" s="107"/>
      <c r="IV116" s="105"/>
      <c r="IX116" s="13"/>
      <c r="IY116" s="107"/>
      <c r="IZ116" s="107"/>
      <c r="JA116" s="105"/>
      <c r="JC116" s="13"/>
      <c r="JD116" s="107"/>
      <c r="JE116" s="107"/>
      <c r="JF116" s="105"/>
      <c r="JH116" s="13"/>
      <c r="JI116" s="107"/>
      <c r="JJ116" s="107"/>
      <c r="JK116" s="105"/>
      <c r="JM116" s="13"/>
      <c r="JN116" s="107"/>
      <c r="JO116" s="107"/>
      <c r="JP116" s="105"/>
      <c r="JR116" s="13"/>
      <c r="JS116" s="107"/>
      <c r="JT116" s="107"/>
      <c r="JU116" s="105"/>
      <c r="JW116" s="38"/>
      <c r="JX116" s="13"/>
      <c r="JY116" s="107"/>
      <c r="JZ116" s="107"/>
      <c r="KA116" s="105"/>
      <c r="KC116" s="13"/>
      <c r="KD116" s="107"/>
      <c r="KE116" s="107"/>
      <c r="KF116" s="105"/>
      <c r="KH116" s="13"/>
      <c r="KI116" s="107"/>
      <c r="KJ116" s="107"/>
      <c r="KK116" s="105"/>
      <c r="KM116" s="13"/>
      <c r="KN116" s="107"/>
      <c r="KO116" s="107"/>
      <c r="KP116" s="105"/>
      <c r="KR116" s="13"/>
      <c r="KS116" s="107"/>
      <c r="KT116" s="107"/>
      <c r="KU116" s="105"/>
      <c r="KW116" s="13"/>
      <c r="KX116" s="107"/>
      <c r="KY116" s="107"/>
      <c r="KZ116" s="105"/>
      <c r="LB116" s="38"/>
      <c r="LC116" s="13"/>
      <c r="LD116" s="107"/>
      <c r="LE116" s="107"/>
      <c r="LF116" s="105"/>
      <c r="LH116" s="13"/>
      <c r="LI116" s="107"/>
      <c r="LJ116" s="107"/>
      <c r="LK116" s="105"/>
      <c r="LM116" s="13"/>
      <c r="LN116" s="107"/>
      <c r="LO116" s="107"/>
      <c r="LP116" s="105"/>
      <c r="LR116" s="13"/>
      <c r="LS116" s="107"/>
      <c r="LT116" s="107"/>
      <c r="LU116" s="105"/>
      <c r="LW116" s="13"/>
      <c r="LX116" s="107"/>
      <c r="LY116" s="107"/>
      <c r="LZ116" s="105"/>
      <c r="MB116" s="13"/>
      <c r="MC116" s="107"/>
      <c r="MD116" s="107"/>
      <c r="ME116" s="105"/>
      <c r="MG116" s="38"/>
      <c r="MH116" s="13"/>
      <c r="MI116" s="107"/>
      <c r="MJ116" s="107"/>
      <c r="MK116" s="105"/>
      <c r="MM116" s="13"/>
      <c r="MN116" s="107"/>
      <c r="MO116" s="107"/>
      <c r="MP116" s="105"/>
      <c r="MR116" s="13"/>
      <c r="MS116" s="107"/>
      <c r="MT116" s="107"/>
      <c r="MU116" s="105"/>
      <c r="MW116" s="13"/>
      <c r="MX116" s="107"/>
      <c r="MY116" s="107"/>
      <c r="MZ116" s="105"/>
      <c r="NB116" s="13"/>
      <c r="NC116" s="107"/>
      <c r="ND116" s="107"/>
      <c r="NE116" s="105"/>
      <c r="NG116" s="13"/>
      <c r="NH116" s="107"/>
      <c r="NI116" s="107"/>
      <c r="NJ116" s="105"/>
      <c r="NL116" s="38"/>
      <c r="NM116" s="13"/>
      <c r="NN116" s="107"/>
      <c r="NO116" s="107"/>
      <c r="NP116" s="105"/>
      <c r="NR116" s="13"/>
      <c r="NS116" s="107"/>
      <c r="NT116" s="107"/>
      <c r="NU116" s="105"/>
      <c r="NW116" s="13"/>
      <c r="NX116" s="107"/>
      <c r="NY116" s="107"/>
      <c r="NZ116" s="105"/>
      <c r="OB116" s="13"/>
      <c r="OC116" s="107"/>
      <c r="OD116" s="107"/>
      <c r="OE116" s="105"/>
      <c r="OG116" s="13"/>
      <c r="OH116" s="107"/>
      <c r="OI116" s="107"/>
      <c r="OJ116" s="105"/>
      <c r="OL116" s="13"/>
      <c r="OM116" s="107"/>
      <c r="ON116" s="107"/>
      <c r="OO116" s="105"/>
    </row>
    <row r="117" ht="15.75" customHeight="1">
      <c r="A117" s="42"/>
      <c r="B117" s="42"/>
      <c r="C117" s="42"/>
      <c r="D117" s="38">
        <f t="shared" si="319"/>
        <v>45969</v>
      </c>
      <c r="E117" s="105" t="str">
        <f t="shared" ref="E117:I117" si="332">AD24</f>
        <v/>
      </c>
      <c r="F117" s="105" t="str">
        <f t="shared" si="332"/>
        <v/>
      </c>
      <c r="G117" s="105" t="str">
        <f t="shared" si="332"/>
        <v/>
      </c>
      <c r="H117" s="106" t="str">
        <f t="shared" si="332"/>
        <v/>
      </c>
      <c r="I117" s="106" t="str">
        <f t="shared" si="332"/>
        <v/>
      </c>
      <c r="J117" s="107" t="str">
        <f t="array" ref="J117">IFERROR(IF(XLOOKUP(CONCAT(E117,F117),'MASTER PLAN'!$AB:$AB,'MASTER PLAN'!$M:$M,0,0)=0,"",XLOOKUP(CONCAT(E117,F117),'MASTER PLAN'!$AB:$AB,'MASTER PLAN'!$M:$M,0,0)),"")</f>
        <v/>
      </c>
      <c r="K117" s="107">
        <f t="shared" si="237"/>
        <v>0</v>
      </c>
      <c r="L117" s="107">
        <f t="shared" si="238"/>
        <v>0</v>
      </c>
      <c r="M117" s="105" t="s">
        <v>249</v>
      </c>
      <c r="O117" s="13"/>
      <c r="P117" s="107"/>
      <c r="Q117" s="107"/>
      <c r="R117" s="105"/>
      <c r="T117" s="13"/>
      <c r="U117" s="107"/>
      <c r="V117" s="107"/>
      <c r="W117" s="105"/>
      <c r="Y117" s="13"/>
      <c r="Z117" s="107"/>
      <c r="AA117" s="107"/>
      <c r="AB117" s="105"/>
      <c r="AD117" s="13"/>
      <c r="AE117" s="107"/>
      <c r="AF117" s="107"/>
      <c r="AG117" s="105"/>
      <c r="AI117" s="38"/>
      <c r="AJ117" s="13"/>
      <c r="AK117" s="107"/>
      <c r="AL117" s="107"/>
      <c r="AM117" s="105"/>
      <c r="AO117" s="13"/>
      <c r="AP117" s="107"/>
      <c r="AQ117" s="107"/>
      <c r="AR117" s="105"/>
      <c r="AT117" s="13"/>
      <c r="AU117" s="107"/>
      <c r="AV117" s="107"/>
      <c r="AW117" s="105"/>
      <c r="AY117" s="13"/>
      <c r="AZ117" s="107"/>
      <c r="BA117" s="107"/>
      <c r="BB117" s="105"/>
      <c r="BD117" s="13"/>
      <c r="BE117" s="107"/>
      <c r="BF117" s="107"/>
      <c r="BG117" s="105"/>
      <c r="BI117" s="13"/>
      <c r="BJ117" s="107"/>
      <c r="BK117" s="107"/>
      <c r="BL117" s="105"/>
      <c r="BN117" s="38"/>
      <c r="BO117" s="13"/>
      <c r="BP117" s="107"/>
      <c r="BQ117" s="107"/>
      <c r="BR117" s="105"/>
      <c r="BT117" s="13"/>
      <c r="BU117" s="107"/>
      <c r="BV117" s="107"/>
      <c r="BW117" s="105"/>
      <c r="BY117" s="13"/>
      <c r="BZ117" s="107"/>
      <c r="CA117" s="107"/>
      <c r="CB117" s="105"/>
      <c r="CD117" s="13"/>
      <c r="CE117" s="107"/>
      <c r="CF117" s="107"/>
      <c r="CG117" s="105"/>
      <c r="CI117" s="13"/>
      <c r="CJ117" s="107"/>
      <c r="CK117" s="107"/>
      <c r="CL117" s="105"/>
      <c r="CN117" s="13"/>
      <c r="CO117" s="107"/>
      <c r="CP117" s="107"/>
      <c r="CQ117" s="105"/>
      <c r="CS117" s="38"/>
      <c r="CT117" s="13"/>
      <c r="CU117" s="107"/>
      <c r="CV117" s="107"/>
      <c r="CW117" s="105"/>
      <c r="CY117" s="13"/>
      <c r="CZ117" s="107"/>
      <c r="DA117" s="107"/>
      <c r="DB117" s="105"/>
      <c r="DD117" s="13"/>
      <c r="DE117" s="107"/>
      <c r="DF117" s="107"/>
      <c r="DG117" s="105"/>
      <c r="DI117" s="13"/>
      <c r="DJ117" s="107"/>
      <c r="DK117" s="107"/>
      <c r="DL117" s="105"/>
      <c r="DN117" s="13"/>
      <c r="DO117" s="107"/>
      <c r="DP117" s="107"/>
      <c r="DQ117" s="105"/>
      <c r="DS117" s="13"/>
      <c r="DT117" s="107"/>
      <c r="DU117" s="107"/>
      <c r="DV117" s="105"/>
      <c r="DX117" s="38"/>
      <c r="DY117" s="13"/>
      <c r="DZ117" s="107"/>
      <c r="EA117" s="107"/>
      <c r="EB117" s="105"/>
      <c r="ED117" s="13"/>
      <c r="EE117" s="107"/>
      <c r="EF117" s="107"/>
      <c r="EG117" s="105"/>
      <c r="EI117" s="13"/>
      <c r="EJ117" s="107"/>
      <c r="EK117" s="107"/>
      <c r="EL117" s="105"/>
      <c r="EN117" s="13"/>
      <c r="EO117" s="107"/>
      <c r="EP117" s="107"/>
      <c r="EQ117" s="105"/>
      <c r="ES117" s="13"/>
      <c r="ET117" s="107"/>
      <c r="EU117" s="107"/>
      <c r="EV117" s="105"/>
      <c r="EX117" s="13"/>
      <c r="EY117" s="107"/>
      <c r="EZ117" s="107"/>
      <c r="FA117" s="105"/>
      <c r="FC117" s="38"/>
      <c r="FD117" s="13"/>
      <c r="FE117" s="107"/>
      <c r="FF117" s="107"/>
      <c r="FG117" s="105"/>
      <c r="FI117" s="13"/>
      <c r="FJ117" s="107"/>
      <c r="FK117" s="107"/>
      <c r="FL117" s="105"/>
      <c r="FN117" s="13"/>
      <c r="FO117" s="107"/>
      <c r="FP117" s="107"/>
      <c r="FQ117" s="105"/>
      <c r="FS117" s="13"/>
      <c r="FT117" s="107"/>
      <c r="FU117" s="107"/>
      <c r="FV117" s="105"/>
      <c r="FX117" s="13"/>
      <c r="FY117" s="107"/>
      <c r="FZ117" s="107"/>
      <c r="GA117" s="105"/>
      <c r="GC117" s="13"/>
      <c r="GD117" s="107"/>
      <c r="GE117" s="107"/>
      <c r="GF117" s="105"/>
      <c r="GH117" s="38"/>
      <c r="GI117" s="13"/>
      <c r="GJ117" s="107"/>
      <c r="GK117" s="107"/>
      <c r="GL117" s="105"/>
      <c r="GN117" s="13"/>
      <c r="GO117" s="107"/>
      <c r="GP117" s="107"/>
      <c r="GQ117" s="105"/>
      <c r="GS117" s="13"/>
      <c r="GT117" s="107"/>
      <c r="GU117" s="107"/>
      <c r="GV117" s="105"/>
      <c r="GX117" s="13"/>
      <c r="GY117" s="107"/>
      <c r="GZ117" s="107"/>
      <c r="HA117" s="105"/>
      <c r="HC117" s="13"/>
      <c r="HD117" s="107"/>
      <c r="HE117" s="107"/>
      <c r="HF117" s="105"/>
      <c r="HH117" s="13"/>
      <c r="HI117" s="107"/>
      <c r="HJ117" s="107"/>
      <c r="HK117" s="105"/>
      <c r="HM117" s="38"/>
      <c r="HN117" s="13"/>
      <c r="HO117" s="107"/>
      <c r="HP117" s="107"/>
      <c r="HQ117" s="105"/>
      <c r="HS117" s="13"/>
      <c r="HT117" s="107"/>
      <c r="HU117" s="107"/>
      <c r="HV117" s="105"/>
      <c r="HX117" s="13"/>
      <c r="HY117" s="107"/>
      <c r="HZ117" s="107"/>
      <c r="IA117" s="105"/>
      <c r="IC117" s="13"/>
      <c r="ID117" s="107"/>
      <c r="IE117" s="107"/>
      <c r="IF117" s="105"/>
      <c r="IH117" s="13"/>
      <c r="II117" s="107"/>
      <c r="IJ117" s="107"/>
      <c r="IK117" s="105"/>
      <c r="IM117" s="13"/>
      <c r="IN117" s="107"/>
      <c r="IO117" s="107"/>
      <c r="IP117" s="105"/>
      <c r="IR117" s="38"/>
      <c r="IS117" s="13"/>
      <c r="IT117" s="107"/>
      <c r="IU117" s="107"/>
      <c r="IV117" s="105"/>
      <c r="IX117" s="13"/>
      <c r="IY117" s="107"/>
      <c r="IZ117" s="107"/>
      <c r="JA117" s="105"/>
      <c r="JC117" s="13"/>
      <c r="JD117" s="107"/>
      <c r="JE117" s="107"/>
      <c r="JF117" s="105"/>
      <c r="JH117" s="13"/>
      <c r="JI117" s="107"/>
      <c r="JJ117" s="107"/>
      <c r="JK117" s="105"/>
      <c r="JM117" s="13"/>
      <c r="JN117" s="107"/>
      <c r="JO117" s="107"/>
      <c r="JP117" s="105"/>
      <c r="JR117" s="13"/>
      <c r="JS117" s="107"/>
      <c r="JT117" s="107"/>
      <c r="JU117" s="105"/>
      <c r="JW117" s="38"/>
      <c r="JX117" s="13"/>
      <c r="JY117" s="107"/>
      <c r="JZ117" s="107"/>
      <c r="KA117" s="105"/>
      <c r="KC117" s="13"/>
      <c r="KD117" s="107"/>
      <c r="KE117" s="107"/>
      <c r="KF117" s="105"/>
      <c r="KH117" s="13"/>
      <c r="KI117" s="107"/>
      <c r="KJ117" s="107"/>
      <c r="KK117" s="105"/>
      <c r="KM117" s="13"/>
      <c r="KN117" s="107"/>
      <c r="KO117" s="107"/>
      <c r="KP117" s="105"/>
      <c r="KR117" s="13"/>
      <c r="KS117" s="107"/>
      <c r="KT117" s="107"/>
      <c r="KU117" s="105"/>
      <c r="KW117" s="13"/>
      <c r="KX117" s="107"/>
      <c r="KY117" s="107"/>
      <c r="KZ117" s="105"/>
      <c r="LB117" s="38"/>
      <c r="LC117" s="13"/>
      <c r="LD117" s="107"/>
      <c r="LE117" s="107"/>
      <c r="LF117" s="105"/>
      <c r="LH117" s="13"/>
      <c r="LI117" s="107"/>
      <c r="LJ117" s="107"/>
      <c r="LK117" s="105"/>
      <c r="LM117" s="13"/>
      <c r="LN117" s="107"/>
      <c r="LO117" s="107"/>
      <c r="LP117" s="105"/>
      <c r="LR117" s="13"/>
      <c r="LS117" s="107"/>
      <c r="LT117" s="107"/>
      <c r="LU117" s="105"/>
      <c r="LW117" s="13"/>
      <c r="LX117" s="107"/>
      <c r="LY117" s="107"/>
      <c r="LZ117" s="105"/>
      <c r="MB117" s="13"/>
      <c r="MC117" s="107"/>
      <c r="MD117" s="107"/>
      <c r="ME117" s="105"/>
      <c r="MG117" s="38"/>
      <c r="MH117" s="13"/>
      <c r="MI117" s="107"/>
      <c r="MJ117" s="107"/>
      <c r="MK117" s="105"/>
      <c r="MM117" s="13"/>
      <c r="MN117" s="107"/>
      <c r="MO117" s="107"/>
      <c r="MP117" s="105"/>
      <c r="MR117" s="13"/>
      <c r="MS117" s="107"/>
      <c r="MT117" s="107"/>
      <c r="MU117" s="105"/>
      <c r="MW117" s="13"/>
      <c r="MX117" s="107"/>
      <c r="MY117" s="107"/>
      <c r="MZ117" s="105"/>
      <c r="NB117" s="13"/>
      <c r="NC117" s="107"/>
      <c r="ND117" s="107"/>
      <c r="NE117" s="105"/>
      <c r="NG117" s="13"/>
      <c r="NH117" s="107"/>
      <c r="NI117" s="107"/>
      <c r="NJ117" s="105"/>
      <c r="NL117" s="38"/>
      <c r="NM117" s="13"/>
      <c r="NN117" s="107"/>
      <c r="NO117" s="107"/>
      <c r="NP117" s="105"/>
      <c r="NR117" s="13"/>
      <c r="NS117" s="107"/>
      <c r="NT117" s="107"/>
      <c r="NU117" s="105"/>
      <c r="NW117" s="13"/>
      <c r="NX117" s="107"/>
      <c r="NY117" s="107"/>
      <c r="NZ117" s="105"/>
      <c r="OB117" s="13"/>
      <c r="OC117" s="107"/>
      <c r="OD117" s="107"/>
      <c r="OE117" s="105"/>
      <c r="OG117" s="13"/>
      <c r="OH117" s="107"/>
      <c r="OI117" s="107"/>
      <c r="OJ117" s="105"/>
      <c r="OL117" s="13"/>
      <c r="OM117" s="107"/>
      <c r="ON117" s="107"/>
      <c r="OO117" s="105"/>
    </row>
    <row r="118" ht="15.75" customHeight="1">
      <c r="A118" s="42"/>
      <c r="B118" s="42"/>
      <c r="C118" s="42"/>
      <c r="D118" s="38">
        <f>AJ2</f>
        <v>45971</v>
      </c>
      <c r="E118" s="105" t="str">
        <f t="shared" ref="E118:I118" si="333">AJ4</f>
        <v/>
      </c>
      <c r="F118" s="105" t="str">
        <f t="shared" si="333"/>
        <v/>
      </c>
      <c r="G118" s="105" t="str">
        <f t="shared" si="333"/>
        <v/>
      </c>
      <c r="H118" s="106" t="str">
        <f t="shared" si="333"/>
        <v/>
      </c>
      <c r="I118" s="106" t="str">
        <f t="shared" si="333"/>
        <v/>
      </c>
      <c r="J118" s="107" t="str">
        <f t="array" ref="J118">IFERROR(IF(XLOOKUP(CONCAT(E118,F118),'MASTER PLAN'!$AB:$AB,'MASTER PLAN'!$M:$M,0,0)=0,"",XLOOKUP(CONCAT(E118,F118),'MASTER PLAN'!$AB:$AB,'MASTER PLAN'!$M:$M,0,0)),"")</f>
        <v/>
      </c>
      <c r="K118" s="107">
        <f t="shared" si="237"/>
        <v>0</v>
      </c>
      <c r="L118" s="107">
        <f t="shared" si="238"/>
        <v>0</v>
      </c>
      <c r="M118" s="105" t="s">
        <v>246</v>
      </c>
      <c r="O118" s="13"/>
      <c r="P118" s="107"/>
      <c r="Q118" s="107"/>
      <c r="R118" s="105"/>
      <c r="T118" s="13"/>
      <c r="U118" s="107"/>
      <c r="V118" s="107"/>
      <c r="W118" s="105"/>
      <c r="Y118" s="13"/>
      <c r="Z118" s="107"/>
      <c r="AA118" s="107"/>
      <c r="AB118" s="105"/>
      <c r="AD118" s="13"/>
      <c r="AE118" s="107"/>
      <c r="AF118" s="107"/>
      <c r="AG118" s="105"/>
      <c r="AI118" s="38"/>
      <c r="AJ118" s="13"/>
      <c r="AK118" s="107"/>
      <c r="AL118" s="107"/>
      <c r="AM118" s="105"/>
      <c r="AO118" s="13"/>
      <c r="AP118" s="107"/>
      <c r="AQ118" s="107"/>
      <c r="AR118" s="105"/>
      <c r="AT118" s="13"/>
      <c r="AU118" s="107"/>
      <c r="AV118" s="107"/>
      <c r="AW118" s="105"/>
      <c r="AY118" s="13"/>
      <c r="AZ118" s="107"/>
      <c r="BA118" s="107"/>
      <c r="BB118" s="105"/>
      <c r="BD118" s="13"/>
      <c r="BE118" s="107"/>
      <c r="BF118" s="107"/>
      <c r="BG118" s="105"/>
      <c r="BI118" s="13"/>
      <c r="BJ118" s="107"/>
      <c r="BK118" s="107"/>
      <c r="BL118" s="105"/>
      <c r="BN118" s="38"/>
      <c r="BO118" s="13"/>
      <c r="BP118" s="107"/>
      <c r="BQ118" s="107"/>
      <c r="BR118" s="105"/>
      <c r="BT118" s="13"/>
      <c r="BU118" s="107"/>
      <c r="BV118" s="107"/>
      <c r="BW118" s="105"/>
      <c r="BY118" s="13"/>
      <c r="BZ118" s="107"/>
      <c r="CA118" s="107"/>
      <c r="CB118" s="105"/>
      <c r="CD118" s="13"/>
      <c r="CE118" s="107"/>
      <c r="CF118" s="107"/>
      <c r="CG118" s="105"/>
      <c r="CI118" s="13"/>
      <c r="CJ118" s="107"/>
      <c r="CK118" s="107"/>
      <c r="CL118" s="105"/>
      <c r="CN118" s="13"/>
      <c r="CO118" s="107"/>
      <c r="CP118" s="107"/>
      <c r="CQ118" s="105"/>
      <c r="CS118" s="38"/>
      <c r="CT118" s="13"/>
      <c r="CU118" s="107"/>
      <c r="CV118" s="107"/>
      <c r="CW118" s="105"/>
      <c r="CY118" s="13"/>
      <c r="CZ118" s="107"/>
      <c r="DA118" s="107"/>
      <c r="DB118" s="105"/>
      <c r="DD118" s="13"/>
      <c r="DE118" s="107"/>
      <c r="DF118" s="107"/>
      <c r="DG118" s="105"/>
      <c r="DI118" s="13"/>
      <c r="DJ118" s="107"/>
      <c r="DK118" s="107"/>
      <c r="DL118" s="105"/>
      <c r="DN118" s="13"/>
      <c r="DO118" s="107"/>
      <c r="DP118" s="107"/>
      <c r="DQ118" s="105"/>
      <c r="DS118" s="13"/>
      <c r="DT118" s="107"/>
      <c r="DU118" s="107"/>
      <c r="DV118" s="105"/>
      <c r="DX118" s="38"/>
      <c r="DY118" s="13"/>
      <c r="DZ118" s="107"/>
      <c r="EA118" s="107"/>
      <c r="EB118" s="105"/>
      <c r="ED118" s="13"/>
      <c r="EE118" s="107"/>
      <c r="EF118" s="107"/>
      <c r="EG118" s="105"/>
      <c r="EI118" s="13"/>
      <c r="EJ118" s="107"/>
      <c r="EK118" s="107"/>
      <c r="EL118" s="105"/>
      <c r="EN118" s="13"/>
      <c r="EO118" s="107"/>
      <c r="EP118" s="107"/>
      <c r="EQ118" s="105"/>
      <c r="ES118" s="13"/>
      <c r="ET118" s="107"/>
      <c r="EU118" s="107"/>
      <c r="EV118" s="105"/>
      <c r="EX118" s="13"/>
      <c r="EY118" s="107"/>
      <c r="EZ118" s="107"/>
      <c r="FA118" s="105"/>
      <c r="FC118" s="38"/>
      <c r="FD118" s="13"/>
      <c r="FE118" s="107"/>
      <c r="FF118" s="107"/>
      <c r="FG118" s="105"/>
      <c r="FI118" s="13"/>
      <c r="FJ118" s="107"/>
      <c r="FK118" s="107"/>
      <c r="FL118" s="105"/>
      <c r="FN118" s="13"/>
      <c r="FO118" s="107"/>
      <c r="FP118" s="107"/>
      <c r="FQ118" s="105"/>
      <c r="FS118" s="13"/>
      <c r="FT118" s="107"/>
      <c r="FU118" s="107"/>
      <c r="FV118" s="105"/>
      <c r="FX118" s="13"/>
      <c r="FY118" s="107"/>
      <c r="FZ118" s="107"/>
      <c r="GA118" s="105"/>
      <c r="GC118" s="13"/>
      <c r="GD118" s="107"/>
      <c r="GE118" s="107"/>
      <c r="GF118" s="105"/>
      <c r="GH118" s="38"/>
      <c r="GI118" s="13"/>
      <c r="GJ118" s="107"/>
      <c r="GK118" s="107"/>
      <c r="GL118" s="105"/>
      <c r="GN118" s="13"/>
      <c r="GO118" s="107"/>
      <c r="GP118" s="107"/>
      <c r="GQ118" s="105"/>
      <c r="GS118" s="13"/>
      <c r="GT118" s="107"/>
      <c r="GU118" s="107"/>
      <c r="GV118" s="105"/>
      <c r="GX118" s="13"/>
      <c r="GY118" s="107"/>
      <c r="GZ118" s="107"/>
      <c r="HA118" s="105"/>
      <c r="HC118" s="13"/>
      <c r="HD118" s="107"/>
      <c r="HE118" s="107"/>
      <c r="HF118" s="105"/>
      <c r="HH118" s="13"/>
      <c r="HI118" s="107"/>
      <c r="HJ118" s="107"/>
      <c r="HK118" s="105"/>
      <c r="HM118" s="38"/>
      <c r="HN118" s="13"/>
      <c r="HO118" s="107"/>
      <c r="HP118" s="107"/>
      <c r="HQ118" s="105"/>
      <c r="HS118" s="13"/>
      <c r="HT118" s="107"/>
      <c r="HU118" s="107"/>
      <c r="HV118" s="105"/>
      <c r="HX118" s="13"/>
      <c r="HY118" s="107"/>
      <c r="HZ118" s="107"/>
      <c r="IA118" s="105"/>
      <c r="IC118" s="13"/>
      <c r="ID118" s="107"/>
      <c r="IE118" s="107"/>
      <c r="IF118" s="105"/>
      <c r="IH118" s="13"/>
      <c r="II118" s="107"/>
      <c r="IJ118" s="107"/>
      <c r="IK118" s="105"/>
      <c r="IM118" s="13"/>
      <c r="IN118" s="107"/>
      <c r="IO118" s="107"/>
      <c r="IP118" s="105"/>
      <c r="IR118" s="38"/>
      <c r="IS118" s="13"/>
      <c r="IT118" s="107"/>
      <c r="IU118" s="107"/>
      <c r="IV118" s="105"/>
      <c r="IX118" s="13"/>
      <c r="IY118" s="107"/>
      <c r="IZ118" s="107"/>
      <c r="JA118" s="105"/>
      <c r="JC118" s="13"/>
      <c r="JD118" s="107"/>
      <c r="JE118" s="107"/>
      <c r="JF118" s="105"/>
      <c r="JH118" s="13"/>
      <c r="JI118" s="107"/>
      <c r="JJ118" s="107"/>
      <c r="JK118" s="105"/>
      <c r="JM118" s="13"/>
      <c r="JN118" s="107"/>
      <c r="JO118" s="107"/>
      <c r="JP118" s="105"/>
      <c r="JR118" s="13"/>
      <c r="JS118" s="107"/>
      <c r="JT118" s="107"/>
      <c r="JU118" s="105"/>
      <c r="JW118" s="38"/>
      <c r="JX118" s="13"/>
      <c r="JY118" s="107"/>
      <c r="JZ118" s="107"/>
      <c r="KA118" s="105"/>
      <c r="KC118" s="13"/>
      <c r="KD118" s="107"/>
      <c r="KE118" s="107"/>
      <c r="KF118" s="105"/>
      <c r="KH118" s="13"/>
      <c r="KI118" s="107"/>
      <c r="KJ118" s="107"/>
      <c r="KK118" s="105"/>
      <c r="KM118" s="13"/>
      <c r="KN118" s="107"/>
      <c r="KO118" s="107"/>
      <c r="KP118" s="105"/>
      <c r="KR118" s="13"/>
      <c r="KS118" s="107"/>
      <c r="KT118" s="107"/>
      <c r="KU118" s="105"/>
      <c r="KW118" s="13"/>
      <c r="KX118" s="107"/>
      <c r="KY118" s="107"/>
      <c r="KZ118" s="105"/>
      <c r="LB118" s="38"/>
      <c r="LC118" s="13"/>
      <c r="LD118" s="107"/>
      <c r="LE118" s="107"/>
      <c r="LF118" s="105"/>
      <c r="LH118" s="13"/>
      <c r="LI118" s="107"/>
      <c r="LJ118" s="107"/>
      <c r="LK118" s="105"/>
      <c r="LM118" s="13"/>
      <c r="LN118" s="107"/>
      <c r="LO118" s="107"/>
      <c r="LP118" s="105"/>
      <c r="LR118" s="13"/>
      <c r="LS118" s="107"/>
      <c r="LT118" s="107"/>
      <c r="LU118" s="105"/>
      <c r="LW118" s="13"/>
      <c r="LX118" s="107"/>
      <c r="LY118" s="107"/>
      <c r="LZ118" s="105"/>
      <c r="MB118" s="13"/>
      <c r="MC118" s="107"/>
      <c r="MD118" s="107"/>
      <c r="ME118" s="105"/>
      <c r="MG118" s="38"/>
      <c r="MH118" s="13"/>
      <c r="MI118" s="107"/>
      <c r="MJ118" s="107"/>
      <c r="MK118" s="105"/>
      <c r="MM118" s="13"/>
      <c r="MN118" s="107"/>
      <c r="MO118" s="107"/>
      <c r="MP118" s="105"/>
      <c r="MR118" s="13"/>
      <c r="MS118" s="107"/>
      <c r="MT118" s="107"/>
      <c r="MU118" s="105"/>
      <c r="MW118" s="13"/>
      <c r="MX118" s="107"/>
      <c r="MY118" s="107"/>
      <c r="MZ118" s="105"/>
      <c r="NB118" s="13"/>
      <c r="NC118" s="107"/>
      <c r="ND118" s="107"/>
      <c r="NE118" s="105"/>
      <c r="NG118" s="13"/>
      <c r="NH118" s="107"/>
      <c r="NI118" s="107"/>
      <c r="NJ118" s="105"/>
      <c r="NL118" s="38"/>
      <c r="NM118" s="13"/>
      <c r="NN118" s="107"/>
      <c r="NO118" s="107"/>
      <c r="NP118" s="105"/>
      <c r="NR118" s="13"/>
      <c r="NS118" s="107"/>
      <c r="NT118" s="107"/>
      <c r="NU118" s="105"/>
      <c r="NW118" s="13"/>
      <c r="NX118" s="107"/>
      <c r="NY118" s="107"/>
      <c r="NZ118" s="105"/>
      <c r="OB118" s="13"/>
      <c r="OC118" s="107"/>
      <c r="OD118" s="107"/>
      <c r="OE118" s="105"/>
      <c r="OG118" s="13"/>
      <c r="OH118" s="107"/>
      <c r="OI118" s="107"/>
      <c r="OJ118" s="105"/>
      <c r="OL118" s="13"/>
      <c r="OM118" s="107"/>
      <c r="ON118" s="107"/>
      <c r="OO118" s="105"/>
    </row>
    <row r="119" ht="15.75" customHeight="1">
      <c r="A119" s="42"/>
      <c r="B119" s="42"/>
      <c r="C119" s="42"/>
      <c r="D119" s="38">
        <f t="shared" ref="D119:D132" si="335">D118</f>
        <v>45971</v>
      </c>
      <c r="E119" s="105" t="str">
        <f t="shared" ref="E119:I119" si="334">AJ5</f>
        <v/>
      </c>
      <c r="F119" s="105" t="str">
        <f t="shared" si="334"/>
        <v/>
      </c>
      <c r="G119" s="105" t="str">
        <f t="shared" si="334"/>
        <v/>
      </c>
      <c r="H119" s="106" t="str">
        <f t="shared" si="334"/>
        <v/>
      </c>
      <c r="I119" s="106" t="str">
        <f t="shared" si="334"/>
        <v/>
      </c>
      <c r="J119" s="107" t="str">
        <f t="array" ref="J119">IFERROR(IF(XLOOKUP(CONCAT(E119,F119),'MASTER PLAN'!$AB:$AB,'MASTER PLAN'!$M:$M,0,0)=0,"",XLOOKUP(CONCAT(E119,F119),'MASTER PLAN'!$AB:$AB,'MASTER PLAN'!$M:$M,0,0)),"")</f>
        <v/>
      </c>
      <c r="K119" s="107">
        <f t="shared" si="237"/>
        <v>0</v>
      </c>
      <c r="L119" s="107">
        <f t="shared" si="238"/>
        <v>0</v>
      </c>
      <c r="M119" s="105" t="s">
        <v>246</v>
      </c>
      <c r="O119" s="13"/>
      <c r="P119" s="107"/>
      <c r="Q119" s="107"/>
      <c r="R119" s="105"/>
      <c r="T119" s="13"/>
      <c r="U119" s="107"/>
      <c r="V119" s="107"/>
      <c r="W119" s="105"/>
      <c r="Y119" s="13"/>
      <c r="Z119" s="107"/>
      <c r="AA119" s="107"/>
      <c r="AB119" s="105"/>
      <c r="AD119" s="13"/>
      <c r="AE119" s="107"/>
      <c r="AF119" s="107"/>
      <c r="AG119" s="105"/>
      <c r="AI119" s="38"/>
      <c r="AJ119" s="13"/>
      <c r="AK119" s="107"/>
      <c r="AL119" s="107"/>
      <c r="AM119" s="105"/>
      <c r="AO119" s="13"/>
      <c r="AP119" s="107"/>
      <c r="AQ119" s="107"/>
      <c r="AR119" s="105"/>
      <c r="AT119" s="13"/>
      <c r="AU119" s="107"/>
      <c r="AV119" s="107"/>
      <c r="AW119" s="105"/>
      <c r="AY119" s="13"/>
      <c r="AZ119" s="107"/>
      <c r="BA119" s="107"/>
      <c r="BB119" s="105"/>
      <c r="BD119" s="13"/>
      <c r="BE119" s="107"/>
      <c r="BF119" s="107"/>
      <c r="BG119" s="105"/>
      <c r="BI119" s="13"/>
      <c r="BJ119" s="107"/>
      <c r="BK119" s="107"/>
      <c r="BL119" s="105"/>
      <c r="BN119" s="38"/>
      <c r="BO119" s="13"/>
      <c r="BP119" s="107"/>
      <c r="BQ119" s="107"/>
      <c r="BR119" s="105"/>
      <c r="BT119" s="13"/>
      <c r="BU119" s="107"/>
      <c r="BV119" s="107"/>
      <c r="BW119" s="105"/>
      <c r="BY119" s="13"/>
      <c r="BZ119" s="107"/>
      <c r="CA119" s="107"/>
      <c r="CB119" s="105"/>
      <c r="CD119" s="13"/>
      <c r="CE119" s="107"/>
      <c r="CF119" s="107"/>
      <c r="CG119" s="105"/>
      <c r="CI119" s="13"/>
      <c r="CJ119" s="107"/>
      <c r="CK119" s="107"/>
      <c r="CL119" s="105"/>
      <c r="CN119" s="13"/>
      <c r="CO119" s="107"/>
      <c r="CP119" s="107"/>
      <c r="CQ119" s="105"/>
      <c r="CS119" s="38"/>
      <c r="CT119" s="13"/>
      <c r="CU119" s="107"/>
      <c r="CV119" s="107"/>
      <c r="CW119" s="105"/>
      <c r="CY119" s="13"/>
      <c r="CZ119" s="107"/>
      <c r="DA119" s="107"/>
      <c r="DB119" s="105"/>
      <c r="DD119" s="13"/>
      <c r="DE119" s="107"/>
      <c r="DF119" s="107"/>
      <c r="DG119" s="105"/>
      <c r="DI119" s="13"/>
      <c r="DJ119" s="107"/>
      <c r="DK119" s="107"/>
      <c r="DL119" s="105"/>
      <c r="DN119" s="13"/>
      <c r="DO119" s="107"/>
      <c r="DP119" s="107"/>
      <c r="DQ119" s="105"/>
      <c r="DS119" s="13"/>
      <c r="DT119" s="107"/>
      <c r="DU119" s="107"/>
      <c r="DV119" s="105"/>
      <c r="DX119" s="38"/>
      <c r="DY119" s="13"/>
      <c r="DZ119" s="107"/>
      <c r="EA119" s="107"/>
      <c r="EB119" s="105"/>
      <c r="ED119" s="13"/>
      <c r="EE119" s="107"/>
      <c r="EF119" s="107"/>
      <c r="EG119" s="105"/>
      <c r="EI119" s="13"/>
      <c r="EJ119" s="107"/>
      <c r="EK119" s="107"/>
      <c r="EL119" s="105"/>
      <c r="EN119" s="13"/>
      <c r="EO119" s="107"/>
      <c r="EP119" s="107"/>
      <c r="EQ119" s="105"/>
      <c r="ES119" s="13"/>
      <c r="ET119" s="107"/>
      <c r="EU119" s="107"/>
      <c r="EV119" s="105"/>
      <c r="EX119" s="13"/>
      <c r="EY119" s="107"/>
      <c r="EZ119" s="107"/>
      <c r="FA119" s="105"/>
      <c r="FC119" s="38"/>
      <c r="FD119" s="13"/>
      <c r="FE119" s="107"/>
      <c r="FF119" s="107"/>
      <c r="FG119" s="105"/>
      <c r="FI119" s="13"/>
      <c r="FJ119" s="107"/>
      <c r="FK119" s="107"/>
      <c r="FL119" s="105"/>
      <c r="FN119" s="13"/>
      <c r="FO119" s="107"/>
      <c r="FP119" s="107"/>
      <c r="FQ119" s="105"/>
      <c r="FS119" s="13"/>
      <c r="FT119" s="107"/>
      <c r="FU119" s="107"/>
      <c r="FV119" s="105"/>
      <c r="FX119" s="13"/>
      <c r="FY119" s="107"/>
      <c r="FZ119" s="107"/>
      <c r="GA119" s="105"/>
      <c r="GC119" s="13"/>
      <c r="GD119" s="107"/>
      <c r="GE119" s="107"/>
      <c r="GF119" s="105"/>
      <c r="GH119" s="38"/>
      <c r="GI119" s="13"/>
      <c r="GJ119" s="107"/>
      <c r="GK119" s="107"/>
      <c r="GL119" s="105"/>
      <c r="GN119" s="13"/>
      <c r="GO119" s="107"/>
      <c r="GP119" s="107"/>
      <c r="GQ119" s="105"/>
      <c r="GS119" s="13"/>
      <c r="GT119" s="107"/>
      <c r="GU119" s="107"/>
      <c r="GV119" s="105"/>
      <c r="GX119" s="13"/>
      <c r="GY119" s="107"/>
      <c r="GZ119" s="107"/>
      <c r="HA119" s="105"/>
      <c r="HC119" s="13"/>
      <c r="HD119" s="107"/>
      <c r="HE119" s="107"/>
      <c r="HF119" s="105"/>
      <c r="HH119" s="13"/>
      <c r="HI119" s="107"/>
      <c r="HJ119" s="107"/>
      <c r="HK119" s="105"/>
      <c r="HM119" s="38"/>
      <c r="HN119" s="13"/>
      <c r="HO119" s="107"/>
      <c r="HP119" s="107"/>
      <c r="HQ119" s="105"/>
      <c r="HS119" s="13"/>
      <c r="HT119" s="107"/>
      <c r="HU119" s="107"/>
      <c r="HV119" s="105"/>
      <c r="HX119" s="13"/>
      <c r="HY119" s="107"/>
      <c r="HZ119" s="107"/>
      <c r="IA119" s="105"/>
      <c r="IC119" s="13"/>
      <c r="ID119" s="107"/>
      <c r="IE119" s="107"/>
      <c r="IF119" s="105"/>
      <c r="IH119" s="13"/>
      <c r="II119" s="107"/>
      <c r="IJ119" s="107"/>
      <c r="IK119" s="105"/>
      <c r="IM119" s="13"/>
      <c r="IN119" s="107"/>
      <c r="IO119" s="107"/>
      <c r="IP119" s="105"/>
      <c r="IR119" s="38"/>
      <c r="IS119" s="13"/>
      <c r="IT119" s="107"/>
      <c r="IU119" s="107"/>
      <c r="IV119" s="105"/>
      <c r="IX119" s="13"/>
      <c r="IY119" s="107"/>
      <c r="IZ119" s="107"/>
      <c r="JA119" s="105"/>
      <c r="JC119" s="13"/>
      <c r="JD119" s="107"/>
      <c r="JE119" s="107"/>
      <c r="JF119" s="105"/>
      <c r="JH119" s="13"/>
      <c r="JI119" s="107"/>
      <c r="JJ119" s="107"/>
      <c r="JK119" s="105"/>
      <c r="JM119" s="13"/>
      <c r="JN119" s="107"/>
      <c r="JO119" s="107"/>
      <c r="JP119" s="105"/>
      <c r="JR119" s="13"/>
      <c r="JS119" s="107"/>
      <c r="JT119" s="107"/>
      <c r="JU119" s="105"/>
      <c r="JW119" s="38"/>
      <c r="JX119" s="13"/>
      <c r="JY119" s="107"/>
      <c r="JZ119" s="107"/>
      <c r="KA119" s="105"/>
      <c r="KC119" s="13"/>
      <c r="KD119" s="107"/>
      <c r="KE119" s="107"/>
      <c r="KF119" s="105"/>
      <c r="KH119" s="13"/>
      <c r="KI119" s="107"/>
      <c r="KJ119" s="107"/>
      <c r="KK119" s="105"/>
      <c r="KM119" s="13"/>
      <c r="KN119" s="107"/>
      <c r="KO119" s="107"/>
      <c r="KP119" s="105"/>
      <c r="KR119" s="13"/>
      <c r="KS119" s="107"/>
      <c r="KT119" s="107"/>
      <c r="KU119" s="105"/>
      <c r="KW119" s="13"/>
      <c r="KX119" s="107"/>
      <c r="KY119" s="107"/>
      <c r="KZ119" s="105"/>
      <c r="LB119" s="38"/>
      <c r="LC119" s="13"/>
      <c r="LD119" s="107"/>
      <c r="LE119" s="107"/>
      <c r="LF119" s="105"/>
      <c r="LH119" s="13"/>
      <c r="LI119" s="107"/>
      <c r="LJ119" s="107"/>
      <c r="LK119" s="105"/>
      <c r="LM119" s="13"/>
      <c r="LN119" s="107"/>
      <c r="LO119" s="107"/>
      <c r="LP119" s="105"/>
      <c r="LR119" s="13"/>
      <c r="LS119" s="107"/>
      <c r="LT119" s="107"/>
      <c r="LU119" s="105"/>
      <c r="LW119" s="13"/>
      <c r="LX119" s="107"/>
      <c r="LY119" s="107"/>
      <c r="LZ119" s="105"/>
      <c r="MB119" s="13"/>
      <c r="MC119" s="107"/>
      <c r="MD119" s="107"/>
      <c r="ME119" s="105"/>
      <c r="MG119" s="38"/>
      <c r="MH119" s="13"/>
      <c r="MI119" s="107"/>
      <c r="MJ119" s="107"/>
      <c r="MK119" s="105"/>
      <c r="MM119" s="13"/>
      <c r="MN119" s="107"/>
      <c r="MO119" s="107"/>
      <c r="MP119" s="105"/>
      <c r="MR119" s="13"/>
      <c r="MS119" s="107"/>
      <c r="MT119" s="107"/>
      <c r="MU119" s="105"/>
      <c r="MW119" s="13"/>
      <c r="MX119" s="107"/>
      <c r="MY119" s="107"/>
      <c r="MZ119" s="105"/>
      <c r="NB119" s="13"/>
      <c r="NC119" s="107"/>
      <c r="ND119" s="107"/>
      <c r="NE119" s="105"/>
      <c r="NG119" s="13"/>
      <c r="NH119" s="107"/>
      <c r="NI119" s="107"/>
      <c r="NJ119" s="105"/>
      <c r="NL119" s="38"/>
      <c r="NM119" s="13"/>
      <c r="NN119" s="107"/>
      <c r="NO119" s="107"/>
      <c r="NP119" s="105"/>
      <c r="NR119" s="13"/>
      <c r="NS119" s="107"/>
      <c r="NT119" s="107"/>
      <c r="NU119" s="105"/>
      <c r="NW119" s="13"/>
      <c r="NX119" s="107"/>
      <c r="NY119" s="107"/>
      <c r="NZ119" s="105"/>
      <c r="OB119" s="13"/>
      <c r="OC119" s="107"/>
      <c r="OD119" s="107"/>
      <c r="OE119" s="105"/>
      <c r="OG119" s="13"/>
      <c r="OH119" s="107"/>
      <c r="OI119" s="107"/>
      <c r="OJ119" s="105"/>
      <c r="OL119" s="13"/>
      <c r="OM119" s="107"/>
      <c r="ON119" s="107"/>
      <c r="OO119" s="105"/>
    </row>
    <row r="120" ht="15.75" customHeight="1">
      <c r="A120" s="42"/>
      <c r="B120" s="42"/>
      <c r="C120" s="42"/>
      <c r="D120" s="38">
        <f t="shared" si="335"/>
        <v>45971</v>
      </c>
      <c r="E120" s="105" t="str">
        <f t="shared" ref="E120:I120" si="336">AJ6</f>
        <v/>
      </c>
      <c r="F120" s="105" t="str">
        <f t="shared" si="336"/>
        <v/>
      </c>
      <c r="G120" s="105" t="str">
        <f t="shared" si="336"/>
        <v/>
      </c>
      <c r="H120" s="106" t="str">
        <f t="shared" si="336"/>
        <v/>
      </c>
      <c r="I120" s="106" t="str">
        <f t="shared" si="336"/>
        <v/>
      </c>
      <c r="J120" s="107" t="str">
        <f t="array" ref="J120">IFERROR(IF(XLOOKUP(CONCAT(E120,F120),'MASTER PLAN'!$AB:$AB,'MASTER PLAN'!$M:$M,0,0)=0,"",XLOOKUP(CONCAT(E120,F120),'MASTER PLAN'!$AB:$AB,'MASTER PLAN'!$M:$M,0,0)),"")</f>
        <v/>
      </c>
      <c r="K120" s="107">
        <f t="shared" si="237"/>
        <v>0</v>
      </c>
      <c r="L120" s="107">
        <f t="shared" si="238"/>
        <v>0</v>
      </c>
      <c r="M120" s="105" t="s">
        <v>246</v>
      </c>
      <c r="O120" s="13"/>
      <c r="P120" s="107"/>
      <c r="Q120" s="107"/>
      <c r="R120" s="105"/>
      <c r="T120" s="13"/>
      <c r="U120" s="107"/>
      <c r="V120" s="107"/>
      <c r="W120" s="105"/>
      <c r="Y120" s="13"/>
      <c r="Z120" s="107"/>
      <c r="AA120" s="107"/>
      <c r="AB120" s="105"/>
      <c r="AD120" s="13"/>
      <c r="AE120" s="107"/>
      <c r="AF120" s="107"/>
      <c r="AG120" s="105"/>
      <c r="AI120" s="38"/>
      <c r="AJ120" s="13"/>
      <c r="AK120" s="107"/>
      <c r="AL120" s="107"/>
      <c r="AM120" s="105"/>
      <c r="AO120" s="13"/>
      <c r="AP120" s="107"/>
      <c r="AQ120" s="107"/>
      <c r="AR120" s="105"/>
      <c r="AT120" s="13"/>
      <c r="AU120" s="107"/>
      <c r="AV120" s="107"/>
      <c r="AW120" s="105"/>
      <c r="AY120" s="13"/>
      <c r="AZ120" s="107"/>
      <c r="BA120" s="107"/>
      <c r="BB120" s="105"/>
      <c r="BD120" s="13"/>
      <c r="BE120" s="107"/>
      <c r="BF120" s="107"/>
      <c r="BG120" s="105"/>
      <c r="BI120" s="13"/>
      <c r="BJ120" s="107"/>
      <c r="BK120" s="107"/>
      <c r="BL120" s="105"/>
      <c r="BN120" s="38"/>
      <c r="BO120" s="13"/>
      <c r="BP120" s="107"/>
      <c r="BQ120" s="107"/>
      <c r="BR120" s="105"/>
      <c r="BT120" s="13"/>
      <c r="BU120" s="107"/>
      <c r="BV120" s="107"/>
      <c r="BW120" s="105"/>
      <c r="BY120" s="13"/>
      <c r="BZ120" s="107"/>
      <c r="CA120" s="107"/>
      <c r="CB120" s="105"/>
      <c r="CD120" s="13"/>
      <c r="CE120" s="107"/>
      <c r="CF120" s="107"/>
      <c r="CG120" s="105"/>
      <c r="CI120" s="13"/>
      <c r="CJ120" s="107"/>
      <c r="CK120" s="107"/>
      <c r="CL120" s="105"/>
      <c r="CN120" s="13"/>
      <c r="CO120" s="107"/>
      <c r="CP120" s="107"/>
      <c r="CQ120" s="105"/>
      <c r="CS120" s="38"/>
      <c r="CT120" s="13"/>
      <c r="CU120" s="107"/>
      <c r="CV120" s="107"/>
      <c r="CW120" s="105"/>
      <c r="CY120" s="13"/>
      <c r="CZ120" s="107"/>
      <c r="DA120" s="107"/>
      <c r="DB120" s="105"/>
      <c r="DD120" s="13"/>
      <c r="DE120" s="107"/>
      <c r="DF120" s="107"/>
      <c r="DG120" s="105"/>
      <c r="DI120" s="13"/>
      <c r="DJ120" s="107"/>
      <c r="DK120" s="107"/>
      <c r="DL120" s="105"/>
      <c r="DN120" s="13"/>
      <c r="DO120" s="107"/>
      <c r="DP120" s="107"/>
      <c r="DQ120" s="105"/>
      <c r="DS120" s="13"/>
      <c r="DT120" s="107"/>
      <c r="DU120" s="107"/>
      <c r="DV120" s="105"/>
      <c r="DX120" s="38"/>
      <c r="DY120" s="13"/>
      <c r="DZ120" s="107"/>
      <c r="EA120" s="107"/>
      <c r="EB120" s="105"/>
      <c r="ED120" s="13"/>
      <c r="EE120" s="107"/>
      <c r="EF120" s="107"/>
      <c r="EG120" s="105"/>
      <c r="EI120" s="13"/>
      <c r="EJ120" s="107"/>
      <c r="EK120" s="107"/>
      <c r="EL120" s="105"/>
      <c r="EN120" s="13"/>
      <c r="EO120" s="107"/>
      <c r="EP120" s="107"/>
      <c r="EQ120" s="105"/>
      <c r="ES120" s="13"/>
      <c r="ET120" s="107"/>
      <c r="EU120" s="107"/>
      <c r="EV120" s="105"/>
      <c r="EX120" s="13"/>
      <c r="EY120" s="107"/>
      <c r="EZ120" s="107"/>
      <c r="FA120" s="105"/>
      <c r="FC120" s="38"/>
      <c r="FD120" s="13"/>
      <c r="FE120" s="107"/>
      <c r="FF120" s="107"/>
      <c r="FG120" s="105"/>
      <c r="FI120" s="13"/>
      <c r="FJ120" s="107"/>
      <c r="FK120" s="107"/>
      <c r="FL120" s="105"/>
      <c r="FN120" s="13"/>
      <c r="FO120" s="107"/>
      <c r="FP120" s="107"/>
      <c r="FQ120" s="105"/>
      <c r="FS120" s="13"/>
      <c r="FT120" s="107"/>
      <c r="FU120" s="107"/>
      <c r="FV120" s="105"/>
      <c r="FX120" s="13"/>
      <c r="FY120" s="107"/>
      <c r="FZ120" s="107"/>
      <c r="GA120" s="105"/>
      <c r="GC120" s="13"/>
      <c r="GD120" s="107"/>
      <c r="GE120" s="107"/>
      <c r="GF120" s="105"/>
      <c r="GH120" s="38"/>
      <c r="GI120" s="13"/>
      <c r="GJ120" s="107"/>
      <c r="GK120" s="107"/>
      <c r="GL120" s="105"/>
      <c r="GN120" s="13"/>
      <c r="GO120" s="107"/>
      <c r="GP120" s="107"/>
      <c r="GQ120" s="105"/>
      <c r="GS120" s="13"/>
      <c r="GT120" s="107"/>
      <c r="GU120" s="107"/>
      <c r="GV120" s="105"/>
      <c r="GX120" s="13"/>
      <c r="GY120" s="107"/>
      <c r="GZ120" s="107"/>
      <c r="HA120" s="105"/>
      <c r="HC120" s="13"/>
      <c r="HD120" s="107"/>
      <c r="HE120" s="107"/>
      <c r="HF120" s="105"/>
      <c r="HH120" s="13"/>
      <c r="HI120" s="107"/>
      <c r="HJ120" s="107"/>
      <c r="HK120" s="105"/>
      <c r="HM120" s="38"/>
      <c r="HN120" s="13"/>
      <c r="HO120" s="107"/>
      <c r="HP120" s="107"/>
      <c r="HQ120" s="105"/>
      <c r="HS120" s="13"/>
      <c r="HT120" s="107"/>
      <c r="HU120" s="107"/>
      <c r="HV120" s="105"/>
      <c r="HX120" s="13"/>
      <c r="HY120" s="107"/>
      <c r="HZ120" s="107"/>
      <c r="IA120" s="105"/>
      <c r="IC120" s="13"/>
      <c r="ID120" s="107"/>
      <c r="IE120" s="107"/>
      <c r="IF120" s="105"/>
      <c r="IH120" s="13"/>
      <c r="II120" s="107"/>
      <c r="IJ120" s="107"/>
      <c r="IK120" s="105"/>
      <c r="IM120" s="13"/>
      <c r="IN120" s="107"/>
      <c r="IO120" s="107"/>
      <c r="IP120" s="105"/>
      <c r="IR120" s="38"/>
      <c r="IS120" s="13"/>
      <c r="IT120" s="107"/>
      <c r="IU120" s="107"/>
      <c r="IV120" s="105"/>
      <c r="IX120" s="13"/>
      <c r="IY120" s="107"/>
      <c r="IZ120" s="107"/>
      <c r="JA120" s="105"/>
      <c r="JC120" s="13"/>
      <c r="JD120" s="107"/>
      <c r="JE120" s="107"/>
      <c r="JF120" s="105"/>
      <c r="JH120" s="13"/>
      <c r="JI120" s="107"/>
      <c r="JJ120" s="107"/>
      <c r="JK120" s="105"/>
      <c r="JM120" s="13"/>
      <c r="JN120" s="107"/>
      <c r="JO120" s="107"/>
      <c r="JP120" s="105"/>
      <c r="JR120" s="13"/>
      <c r="JS120" s="107"/>
      <c r="JT120" s="107"/>
      <c r="JU120" s="105"/>
      <c r="JW120" s="38"/>
      <c r="JX120" s="13"/>
      <c r="JY120" s="107"/>
      <c r="JZ120" s="107"/>
      <c r="KA120" s="105"/>
      <c r="KC120" s="13"/>
      <c r="KD120" s="107"/>
      <c r="KE120" s="107"/>
      <c r="KF120" s="105"/>
      <c r="KH120" s="13"/>
      <c r="KI120" s="107"/>
      <c r="KJ120" s="107"/>
      <c r="KK120" s="105"/>
      <c r="KM120" s="13"/>
      <c r="KN120" s="107"/>
      <c r="KO120" s="107"/>
      <c r="KP120" s="105"/>
      <c r="KR120" s="13"/>
      <c r="KS120" s="107"/>
      <c r="KT120" s="107"/>
      <c r="KU120" s="105"/>
      <c r="KW120" s="13"/>
      <c r="KX120" s="107"/>
      <c r="KY120" s="107"/>
      <c r="KZ120" s="105"/>
      <c r="LB120" s="38"/>
      <c r="LC120" s="13"/>
      <c r="LD120" s="107"/>
      <c r="LE120" s="107"/>
      <c r="LF120" s="105"/>
      <c r="LH120" s="13"/>
      <c r="LI120" s="107"/>
      <c r="LJ120" s="107"/>
      <c r="LK120" s="105"/>
      <c r="LM120" s="13"/>
      <c r="LN120" s="107"/>
      <c r="LO120" s="107"/>
      <c r="LP120" s="105"/>
      <c r="LR120" s="13"/>
      <c r="LS120" s="107"/>
      <c r="LT120" s="107"/>
      <c r="LU120" s="105"/>
      <c r="LW120" s="13"/>
      <c r="LX120" s="107"/>
      <c r="LY120" s="107"/>
      <c r="LZ120" s="105"/>
      <c r="MB120" s="13"/>
      <c r="MC120" s="107"/>
      <c r="MD120" s="107"/>
      <c r="ME120" s="105"/>
      <c r="MG120" s="38"/>
      <c r="MH120" s="13"/>
      <c r="MI120" s="107"/>
      <c r="MJ120" s="107"/>
      <c r="MK120" s="105"/>
      <c r="MM120" s="13"/>
      <c r="MN120" s="107"/>
      <c r="MO120" s="107"/>
      <c r="MP120" s="105"/>
      <c r="MR120" s="13"/>
      <c r="MS120" s="107"/>
      <c r="MT120" s="107"/>
      <c r="MU120" s="105"/>
      <c r="MW120" s="13"/>
      <c r="MX120" s="107"/>
      <c r="MY120" s="107"/>
      <c r="MZ120" s="105"/>
      <c r="NB120" s="13"/>
      <c r="NC120" s="107"/>
      <c r="ND120" s="107"/>
      <c r="NE120" s="105"/>
      <c r="NG120" s="13"/>
      <c r="NH120" s="107"/>
      <c r="NI120" s="107"/>
      <c r="NJ120" s="105"/>
      <c r="NL120" s="38"/>
      <c r="NM120" s="13"/>
      <c r="NN120" s="107"/>
      <c r="NO120" s="107"/>
      <c r="NP120" s="105"/>
      <c r="NR120" s="13"/>
      <c r="NS120" s="107"/>
      <c r="NT120" s="107"/>
      <c r="NU120" s="105"/>
      <c r="NW120" s="13"/>
      <c r="NX120" s="107"/>
      <c r="NY120" s="107"/>
      <c r="NZ120" s="105"/>
      <c r="OB120" s="13"/>
      <c r="OC120" s="107"/>
      <c r="OD120" s="107"/>
      <c r="OE120" s="105"/>
      <c r="OG120" s="13"/>
      <c r="OH120" s="107"/>
      <c r="OI120" s="107"/>
      <c r="OJ120" s="105"/>
      <c r="OL120" s="13"/>
      <c r="OM120" s="107"/>
      <c r="ON120" s="107"/>
      <c r="OO120" s="105"/>
    </row>
    <row r="121" ht="15.75" customHeight="1">
      <c r="A121" s="42"/>
      <c r="B121" s="42"/>
      <c r="C121" s="42"/>
      <c r="D121" s="38">
        <f t="shared" si="335"/>
        <v>45971</v>
      </c>
      <c r="E121" s="105" t="str">
        <f t="shared" ref="E121:I121" si="337">AJ7</f>
        <v/>
      </c>
      <c r="F121" s="105" t="str">
        <f t="shared" si="337"/>
        <v/>
      </c>
      <c r="G121" s="105" t="str">
        <f t="shared" si="337"/>
        <v/>
      </c>
      <c r="H121" s="106" t="str">
        <f t="shared" si="337"/>
        <v/>
      </c>
      <c r="I121" s="106" t="str">
        <f t="shared" si="337"/>
        <v/>
      </c>
      <c r="J121" s="107" t="str">
        <f t="array" ref="J121">IFERROR(IF(XLOOKUP(CONCAT(E121,F121),'MASTER PLAN'!$AB:$AB,'MASTER PLAN'!$M:$M,0,0)=0,"",XLOOKUP(CONCAT(E121,F121),'MASTER PLAN'!$AB:$AB,'MASTER PLAN'!$M:$M,0,0)),"")</f>
        <v/>
      </c>
      <c r="K121" s="107">
        <f t="shared" si="237"/>
        <v>0</v>
      </c>
      <c r="L121" s="107">
        <f t="shared" si="238"/>
        <v>0</v>
      </c>
      <c r="M121" s="105" t="s">
        <v>246</v>
      </c>
      <c r="O121" s="13"/>
      <c r="P121" s="107"/>
      <c r="Q121" s="107"/>
      <c r="R121" s="105"/>
      <c r="T121" s="13"/>
      <c r="U121" s="107"/>
      <c r="V121" s="107"/>
      <c r="W121" s="105"/>
      <c r="Y121" s="13"/>
      <c r="Z121" s="107"/>
      <c r="AA121" s="107"/>
      <c r="AB121" s="105"/>
      <c r="AD121" s="13"/>
      <c r="AE121" s="107"/>
      <c r="AF121" s="107"/>
      <c r="AG121" s="105"/>
      <c r="AI121" s="38"/>
      <c r="AJ121" s="13"/>
      <c r="AK121" s="107"/>
      <c r="AL121" s="107"/>
      <c r="AM121" s="105"/>
      <c r="AO121" s="13"/>
      <c r="AP121" s="107"/>
      <c r="AQ121" s="107"/>
      <c r="AR121" s="105"/>
      <c r="AT121" s="13"/>
      <c r="AU121" s="107"/>
      <c r="AV121" s="107"/>
      <c r="AW121" s="105"/>
      <c r="AY121" s="13"/>
      <c r="AZ121" s="107"/>
      <c r="BA121" s="107"/>
      <c r="BB121" s="105"/>
      <c r="BD121" s="13"/>
      <c r="BE121" s="107"/>
      <c r="BF121" s="107"/>
      <c r="BG121" s="105"/>
      <c r="BI121" s="13"/>
      <c r="BJ121" s="107"/>
      <c r="BK121" s="107"/>
      <c r="BL121" s="105"/>
      <c r="BN121" s="38"/>
      <c r="BO121" s="13"/>
      <c r="BP121" s="107"/>
      <c r="BQ121" s="107"/>
      <c r="BR121" s="105"/>
      <c r="BT121" s="13"/>
      <c r="BU121" s="107"/>
      <c r="BV121" s="107"/>
      <c r="BW121" s="105"/>
      <c r="BY121" s="13"/>
      <c r="BZ121" s="107"/>
      <c r="CA121" s="107"/>
      <c r="CB121" s="105"/>
      <c r="CD121" s="13"/>
      <c r="CE121" s="107"/>
      <c r="CF121" s="107"/>
      <c r="CG121" s="105"/>
      <c r="CI121" s="13"/>
      <c r="CJ121" s="107"/>
      <c r="CK121" s="107"/>
      <c r="CL121" s="105"/>
      <c r="CN121" s="13"/>
      <c r="CO121" s="107"/>
      <c r="CP121" s="107"/>
      <c r="CQ121" s="105"/>
      <c r="CS121" s="38"/>
      <c r="CT121" s="13"/>
      <c r="CU121" s="107"/>
      <c r="CV121" s="107"/>
      <c r="CW121" s="105"/>
      <c r="CY121" s="13"/>
      <c r="CZ121" s="107"/>
      <c r="DA121" s="107"/>
      <c r="DB121" s="105"/>
      <c r="DD121" s="13"/>
      <c r="DE121" s="107"/>
      <c r="DF121" s="107"/>
      <c r="DG121" s="105"/>
      <c r="DI121" s="13"/>
      <c r="DJ121" s="107"/>
      <c r="DK121" s="107"/>
      <c r="DL121" s="105"/>
      <c r="DN121" s="13"/>
      <c r="DO121" s="107"/>
      <c r="DP121" s="107"/>
      <c r="DQ121" s="105"/>
      <c r="DS121" s="13"/>
      <c r="DT121" s="107"/>
      <c r="DU121" s="107"/>
      <c r="DV121" s="105"/>
      <c r="DX121" s="38"/>
      <c r="DY121" s="13"/>
      <c r="DZ121" s="107"/>
      <c r="EA121" s="107"/>
      <c r="EB121" s="105"/>
      <c r="ED121" s="13"/>
      <c r="EE121" s="107"/>
      <c r="EF121" s="107"/>
      <c r="EG121" s="105"/>
      <c r="EI121" s="13"/>
      <c r="EJ121" s="107"/>
      <c r="EK121" s="107"/>
      <c r="EL121" s="105"/>
      <c r="EN121" s="13"/>
      <c r="EO121" s="107"/>
      <c r="EP121" s="107"/>
      <c r="EQ121" s="105"/>
      <c r="ES121" s="13"/>
      <c r="ET121" s="107"/>
      <c r="EU121" s="107"/>
      <c r="EV121" s="105"/>
      <c r="EX121" s="13"/>
      <c r="EY121" s="107"/>
      <c r="EZ121" s="107"/>
      <c r="FA121" s="105"/>
      <c r="FC121" s="38"/>
      <c r="FD121" s="13"/>
      <c r="FE121" s="107"/>
      <c r="FF121" s="107"/>
      <c r="FG121" s="105"/>
      <c r="FI121" s="13"/>
      <c r="FJ121" s="107"/>
      <c r="FK121" s="107"/>
      <c r="FL121" s="105"/>
      <c r="FN121" s="13"/>
      <c r="FO121" s="107"/>
      <c r="FP121" s="107"/>
      <c r="FQ121" s="105"/>
      <c r="FS121" s="13"/>
      <c r="FT121" s="107"/>
      <c r="FU121" s="107"/>
      <c r="FV121" s="105"/>
      <c r="FX121" s="13"/>
      <c r="FY121" s="107"/>
      <c r="FZ121" s="107"/>
      <c r="GA121" s="105"/>
      <c r="GC121" s="13"/>
      <c r="GD121" s="107"/>
      <c r="GE121" s="107"/>
      <c r="GF121" s="105"/>
      <c r="GH121" s="38"/>
      <c r="GI121" s="13"/>
      <c r="GJ121" s="107"/>
      <c r="GK121" s="107"/>
      <c r="GL121" s="105"/>
      <c r="GN121" s="13"/>
      <c r="GO121" s="107"/>
      <c r="GP121" s="107"/>
      <c r="GQ121" s="105"/>
      <c r="GS121" s="13"/>
      <c r="GT121" s="107"/>
      <c r="GU121" s="107"/>
      <c r="GV121" s="105"/>
      <c r="GX121" s="13"/>
      <c r="GY121" s="107"/>
      <c r="GZ121" s="107"/>
      <c r="HA121" s="105"/>
      <c r="HC121" s="13"/>
      <c r="HD121" s="107"/>
      <c r="HE121" s="107"/>
      <c r="HF121" s="105"/>
      <c r="HH121" s="13"/>
      <c r="HI121" s="107"/>
      <c r="HJ121" s="107"/>
      <c r="HK121" s="105"/>
      <c r="HM121" s="38"/>
      <c r="HN121" s="13"/>
      <c r="HO121" s="107"/>
      <c r="HP121" s="107"/>
      <c r="HQ121" s="105"/>
      <c r="HS121" s="13"/>
      <c r="HT121" s="107"/>
      <c r="HU121" s="107"/>
      <c r="HV121" s="105"/>
      <c r="HX121" s="13"/>
      <c r="HY121" s="107"/>
      <c r="HZ121" s="107"/>
      <c r="IA121" s="105"/>
      <c r="IC121" s="13"/>
      <c r="ID121" s="107"/>
      <c r="IE121" s="107"/>
      <c r="IF121" s="105"/>
      <c r="IH121" s="13"/>
      <c r="II121" s="107"/>
      <c r="IJ121" s="107"/>
      <c r="IK121" s="105"/>
      <c r="IM121" s="13"/>
      <c r="IN121" s="107"/>
      <c r="IO121" s="107"/>
      <c r="IP121" s="105"/>
      <c r="IR121" s="38"/>
      <c r="IS121" s="13"/>
      <c r="IT121" s="107"/>
      <c r="IU121" s="107"/>
      <c r="IV121" s="105"/>
      <c r="IX121" s="13"/>
      <c r="IY121" s="107"/>
      <c r="IZ121" s="107"/>
      <c r="JA121" s="105"/>
      <c r="JC121" s="13"/>
      <c r="JD121" s="107"/>
      <c r="JE121" s="107"/>
      <c r="JF121" s="105"/>
      <c r="JH121" s="13"/>
      <c r="JI121" s="107"/>
      <c r="JJ121" s="107"/>
      <c r="JK121" s="105"/>
      <c r="JM121" s="13"/>
      <c r="JN121" s="107"/>
      <c r="JO121" s="107"/>
      <c r="JP121" s="105"/>
      <c r="JR121" s="13"/>
      <c r="JS121" s="107"/>
      <c r="JT121" s="107"/>
      <c r="JU121" s="105"/>
      <c r="JW121" s="38"/>
      <c r="JX121" s="13"/>
      <c r="JY121" s="107"/>
      <c r="JZ121" s="107"/>
      <c r="KA121" s="105"/>
      <c r="KC121" s="13"/>
      <c r="KD121" s="107"/>
      <c r="KE121" s="107"/>
      <c r="KF121" s="105"/>
      <c r="KH121" s="13"/>
      <c r="KI121" s="107"/>
      <c r="KJ121" s="107"/>
      <c r="KK121" s="105"/>
      <c r="KM121" s="13"/>
      <c r="KN121" s="107"/>
      <c r="KO121" s="107"/>
      <c r="KP121" s="105"/>
      <c r="KR121" s="13"/>
      <c r="KS121" s="107"/>
      <c r="KT121" s="107"/>
      <c r="KU121" s="105"/>
      <c r="KW121" s="13"/>
      <c r="KX121" s="107"/>
      <c r="KY121" s="107"/>
      <c r="KZ121" s="105"/>
      <c r="LB121" s="38"/>
      <c r="LC121" s="13"/>
      <c r="LD121" s="107"/>
      <c r="LE121" s="107"/>
      <c r="LF121" s="105"/>
      <c r="LH121" s="13"/>
      <c r="LI121" s="107"/>
      <c r="LJ121" s="107"/>
      <c r="LK121" s="105"/>
      <c r="LM121" s="13"/>
      <c r="LN121" s="107"/>
      <c r="LO121" s="107"/>
      <c r="LP121" s="105"/>
      <c r="LR121" s="13"/>
      <c r="LS121" s="107"/>
      <c r="LT121" s="107"/>
      <c r="LU121" s="105"/>
      <c r="LW121" s="13"/>
      <c r="LX121" s="107"/>
      <c r="LY121" s="107"/>
      <c r="LZ121" s="105"/>
      <c r="MB121" s="13"/>
      <c r="MC121" s="107"/>
      <c r="MD121" s="107"/>
      <c r="ME121" s="105"/>
      <c r="MG121" s="38"/>
      <c r="MH121" s="13"/>
      <c r="MI121" s="107"/>
      <c r="MJ121" s="107"/>
      <c r="MK121" s="105"/>
      <c r="MM121" s="13"/>
      <c r="MN121" s="107"/>
      <c r="MO121" s="107"/>
      <c r="MP121" s="105"/>
      <c r="MR121" s="13"/>
      <c r="MS121" s="107"/>
      <c r="MT121" s="107"/>
      <c r="MU121" s="105"/>
      <c r="MW121" s="13"/>
      <c r="MX121" s="107"/>
      <c r="MY121" s="107"/>
      <c r="MZ121" s="105"/>
      <c r="NB121" s="13"/>
      <c r="NC121" s="107"/>
      <c r="ND121" s="107"/>
      <c r="NE121" s="105"/>
      <c r="NG121" s="13"/>
      <c r="NH121" s="107"/>
      <c r="NI121" s="107"/>
      <c r="NJ121" s="105"/>
      <c r="NL121" s="38"/>
      <c r="NM121" s="13"/>
      <c r="NN121" s="107"/>
      <c r="NO121" s="107"/>
      <c r="NP121" s="105"/>
      <c r="NR121" s="13"/>
      <c r="NS121" s="107"/>
      <c r="NT121" s="107"/>
      <c r="NU121" s="105"/>
      <c r="NW121" s="13"/>
      <c r="NX121" s="107"/>
      <c r="NY121" s="107"/>
      <c r="NZ121" s="105"/>
      <c r="OB121" s="13"/>
      <c r="OC121" s="107"/>
      <c r="OD121" s="107"/>
      <c r="OE121" s="105"/>
      <c r="OG121" s="13"/>
      <c r="OH121" s="107"/>
      <c r="OI121" s="107"/>
      <c r="OJ121" s="105"/>
      <c r="OL121" s="13"/>
      <c r="OM121" s="107"/>
      <c r="ON121" s="107"/>
      <c r="OO121" s="105"/>
    </row>
    <row r="122" ht="15.75" customHeight="1">
      <c r="A122" s="42"/>
      <c r="B122" s="42"/>
      <c r="C122" s="42"/>
      <c r="D122" s="38">
        <f t="shared" si="335"/>
        <v>45971</v>
      </c>
      <c r="E122" s="105" t="str">
        <f t="shared" ref="E122:I122" si="338">AJ8</f>
        <v/>
      </c>
      <c r="F122" s="105" t="str">
        <f t="shared" si="338"/>
        <v/>
      </c>
      <c r="G122" s="105" t="str">
        <f t="shared" si="338"/>
        <v/>
      </c>
      <c r="H122" s="106" t="str">
        <f t="shared" si="338"/>
        <v/>
      </c>
      <c r="I122" s="106" t="str">
        <f t="shared" si="338"/>
        <v/>
      </c>
      <c r="J122" s="107" t="str">
        <f t="array" ref="J122">IFERROR(IF(XLOOKUP(CONCAT(E122,F122),'MASTER PLAN'!$AB:$AB,'MASTER PLAN'!$M:$M,0,0)=0,"",XLOOKUP(CONCAT(E122,F122),'MASTER PLAN'!$AB:$AB,'MASTER PLAN'!$M:$M,0,0)),"")</f>
        <v/>
      </c>
      <c r="K122" s="107">
        <f t="shared" si="237"/>
        <v>0</v>
      </c>
      <c r="L122" s="107">
        <f t="shared" si="238"/>
        <v>0</v>
      </c>
      <c r="M122" s="105" t="s">
        <v>246</v>
      </c>
      <c r="O122" s="13"/>
      <c r="P122" s="107"/>
      <c r="Q122" s="107"/>
      <c r="R122" s="105"/>
      <c r="T122" s="13"/>
      <c r="U122" s="107"/>
      <c r="V122" s="107"/>
      <c r="W122" s="105"/>
      <c r="Y122" s="13"/>
      <c r="Z122" s="107"/>
      <c r="AA122" s="107"/>
      <c r="AB122" s="105"/>
      <c r="AD122" s="13"/>
      <c r="AE122" s="107"/>
      <c r="AF122" s="107"/>
      <c r="AG122" s="105"/>
      <c r="AI122" s="38"/>
      <c r="AJ122" s="13"/>
      <c r="AK122" s="107"/>
      <c r="AL122" s="107"/>
      <c r="AM122" s="105"/>
      <c r="AO122" s="13"/>
      <c r="AP122" s="107"/>
      <c r="AQ122" s="107"/>
      <c r="AR122" s="105"/>
      <c r="AT122" s="13"/>
      <c r="AU122" s="107"/>
      <c r="AV122" s="107"/>
      <c r="AW122" s="105"/>
      <c r="AY122" s="13"/>
      <c r="AZ122" s="107"/>
      <c r="BA122" s="107"/>
      <c r="BB122" s="105"/>
      <c r="BD122" s="13"/>
      <c r="BE122" s="107"/>
      <c r="BF122" s="107"/>
      <c r="BG122" s="105"/>
      <c r="BI122" s="13"/>
      <c r="BJ122" s="107"/>
      <c r="BK122" s="107"/>
      <c r="BL122" s="105"/>
      <c r="BN122" s="38"/>
      <c r="BO122" s="13"/>
      <c r="BP122" s="107"/>
      <c r="BQ122" s="107"/>
      <c r="BR122" s="105"/>
      <c r="BT122" s="13"/>
      <c r="BU122" s="107"/>
      <c r="BV122" s="107"/>
      <c r="BW122" s="105"/>
      <c r="BY122" s="13"/>
      <c r="BZ122" s="107"/>
      <c r="CA122" s="107"/>
      <c r="CB122" s="105"/>
      <c r="CD122" s="13"/>
      <c r="CE122" s="107"/>
      <c r="CF122" s="107"/>
      <c r="CG122" s="105"/>
      <c r="CI122" s="13"/>
      <c r="CJ122" s="107"/>
      <c r="CK122" s="107"/>
      <c r="CL122" s="105"/>
      <c r="CN122" s="13"/>
      <c r="CO122" s="107"/>
      <c r="CP122" s="107"/>
      <c r="CQ122" s="105"/>
      <c r="CS122" s="38"/>
      <c r="CT122" s="13"/>
      <c r="CU122" s="107"/>
      <c r="CV122" s="107"/>
      <c r="CW122" s="105"/>
      <c r="CY122" s="13"/>
      <c r="CZ122" s="107"/>
      <c r="DA122" s="107"/>
      <c r="DB122" s="105"/>
      <c r="DD122" s="13"/>
      <c r="DE122" s="107"/>
      <c r="DF122" s="107"/>
      <c r="DG122" s="105"/>
      <c r="DI122" s="13"/>
      <c r="DJ122" s="107"/>
      <c r="DK122" s="107"/>
      <c r="DL122" s="105"/>
      <c r="DN122" s="13"/>
      <c r="DO122" s="107"/>
      <c r="DP122" s="107"/>
      <c r="DQ122" s="105"/>
      <c r="DS122" s="13"/>
      <c r="DT122" s="107"/>
      <c r="DU122" s="107"/>
      <c r="DV122" s="105"/>
      <c r="DX122" s="38"/>
      <c r="DY122" s="13"/>
      <c r="DZ122" s="107"/>
      <c r="EA122" s="107"/>
      <c r="EB122" s="105"/>
      <c r="ED122" s="13"/>
      <c r="EE122" s="107"/>
      <c r="EF122" s="107"/>
      <c r="EG122" s="105"/>
      <c r="EI122" s="13"/>
      <c r="EJ122" s="107"/>
      <c r="EK122" s="107"/>
      <c r="EL122" s="105"/>
      <c r="EN122" s="13"/>
      <c r="EO122" s="107"/>
      <c r="EP122" s="107"/>
      <c r="EQ122" s="105"/>
      <c r="ES122" s="13"/>
      <c r="ET122" s="107"/>
      <c r="EU122" s="107"/>
      <c r="EV122" s="105"/>
      <c r="EX122" s="13"/>
      <c r="EY122" s="107"/>
      <c r="EZ122" s="107"/>
      <c r="FA122" s="105"/>
      <c r="FC122" s="38"/>
      <c r="FD122" s="13"/>
      <c r="FE122" s="107"/>
      <c r="FF122" s="107"/>
      <c r="FG122" s="105"/>
      <c r="FI122" s="13"/>
      <c r="FJ122" s="107"/>
      <c r="FK122" s="107"/>
      <c r="FL122" s="105"/>
      <c r="FN122" s="13"/>
      <c r="FO122" s="107"/>
      <c r="FP122" s="107"/>
      <c r="FQ122" s="105"/>
      <c r="FS122" s="13"/>
      <c r="FT122" s="107"/>
      <c r="FU122" s="107"/>
      <c r="FV122" s="105"/>
      <c r="FX122" s="13"/>
      <c r="FY122" s="107"/>
      <c r="FZ122" s="107"/>
      <c r="GA122" s="105"/>
      <c r="GC122" s="13"/>
      <c r="GD122" s="107"/>
      <c r="GE122" s="107"/>
      <c r="GF122" s="105"/>
      <c r="GH122" s="38"/>
      <c r="GI122" s="13"/>
      <c r="GJ122" s="107"/>
      <c r="GK122" s="107"/>
      <c r="GL122" s="105"/>
      <c r="GN122" s="13"/>
      <c r="GO122" s="107"/>
      <c r="GP122" s="107"/>
      <c r="GQ122" s="105"/>
      <c r="GS122" s="13"/>
      <c r="GT122" s="107"/>
      <c r="GU122" s="107"/>
      <c r="GV122" s="105"/>
      <c r="GX122" s="13"/>
      <c r="GY122" s="107"/>
      <c r="GZ122" s="107"/>
      <c r="HA122" s="105"/>
      <c r="HC122" s="13"/>
      <c r="HD122" s="107"/>
      <c r="HE122" s="107"/>
      <c r="HF122" s="105"/>
      <c r="HH122" s="13"/>
      <c r="HI122" s="107"/>
      <c r="HJ122" s="107"/>
      <c r="HK122" s="105"/>
      <c r="HM122" s="38"/>
      <c r="HN122" s="13"/>
      <c r="HO122" s="107"/>
      <c r="HP122" s="107"/>
      <c r="HQ122" s="105"/>
      <c r="HS122" s="13"/>
      <c r="HT122" s="107"/>
      <c r="HU122" s="107"/>
      <c r="HV122" s="105"/>
      <c r="HX122" s="13"/>
      <c r="HY122" s="107"/>
      <c r="HZ122" s="107"/>
      <c r="IA122" s="105"/>
      <c r="IC122" s="13"/>
      <c r="ID122" s="107"/>
      <c r="IE122" s="107"/>
      <c r="IF122" s="105"/>
      <c r="IH122" s="13"/>
      <c r="II122" s="107"/>
      <c r="IJ122" s="107"/>
      <c r="IK122" s="105"/>
      <c r="IM122" s="13"/>
      <c r="IN122" s="107"/>
      <c r="IO122" s="107"/>
      <c r="IP122" s="105"/>
      <c r="IR122" s="38"/>
      <c r="IS122" s="13"/>
      <c r="IT122" s="107"/>
      <c r="IU122" s="107"/>
      <c r="IV122" s="105"/>
      <c r="IX122" s="13"/>
      <c r="IY122" s="107"/>
      <c r="IZ122" s="107"/>
      <c r="JA122" s="105"/>
      <c r="JC122" s="13"/>
      <c r="JD122" s="107"/>
      <c r="JE122" s="107"/>
      <c r="JF122" s="105"/>
      <c r="JH122" s="13"/>
      <c r="JI122" s="107"/>
      <c r="JJ122" s="107"/>
      <c r="JK122" s="105"/>
      <c r="JM122" s="13"/>
      <c r="JN122" s="107"/>
      <c r="JO122" s="107"/>
      <c r="JP122" s="105"/>
      <c r="JR122" s="13"/>
      <c r="JS122" s="107"/>
      <c r="JT122" s="107"/>
      <c r="JU122" s="105"/>
      <c r="JW122" s="38"/>
      <c r="JX122" s="13"/>
      <c r="JY122" s="107"/>
      <c r="JZ122" s="107"/>
      <c r="KA122" s="105"/>
      <c r="KC122" s="13"/>
      <c r="KD122" s="107"/>
      <c r="KE122" s="107"/>
      <c r="KF122" s="105"/>
      <c r="KH122" s="13"/>
      <c r="KI122" s="107"/>
      <c r="KJ122" s="107"/>
      <c r="KK122" s="105"/>
      <c r="KM122" s="13"/>
      <c r="KN122" s="107"/>
      <c r="KO122" s="107"/>
      <c r="KP122" s="105"/>
      <c r="KR122" s="13"/>
      <c r="KS122" s="107"/>
      <c r="KT122" s="107"/>
      <c r="KU122" s="105"/>
      <c r="KW122" s="13"/>
      <c r="KX122" s="107"/>
      <c r="KY122" s="107"/>
      <c r="KZ122" s="105"/>
      <c r="LB122" s="38"/>
      <c r="LC122" s="13"/>
      <c r="LD122" s="107"/>
      <c r="LE122" s="107"/>
      <c r="LF122" s="105"/>
      <c r="LH122" s="13"/>
      <c r="LI122" s="107"/>
      <c r="LJ122" s="107"/>
      <c r="LK122" s="105"/>
      <c r="LM122" s="13"/>
      <c r="LN122" s="107"/>
      <c r="LO122" s="107"/>
      <c r="LP122" s="105"/>
      <c r="LR122" s="13"/>
      <c r="LS122" s="107"/>
      <c r="LT122" s="107"/>
      <c r="LU122" s="105"/>
      <c r="LW122" s="13"/>
      <c r="LX122" s="107"/>
      <c r="LY122" s="107"/>
      <c r="LZ122" s="105"/>
      <c r="MB122" s="13"/>
      <c r="MC122" s="107"/>
      <c r="MD122" s="107"/>
      <c r="ME122" s="105"/>
      <c r="MG122" s="38"/>
      <c r="MH122" s="13"/>
      <c r="MI122" s="107"/>
      <c r="MJ122" s="107"/>
      <c r="MK122" s="105"/>
      <c r="MM122" s="13"/>
      <c r="MN122" s="107"/>
      <c r="MO122" s="107"/>
      <c r="MP122" s="105"/>
      <c r="MR122" s="13"/>
      <c r="MS122" s="107"/>
      <c r="MT122" s="107"/>
      <c r="MU122" s="105"/>
      <c r="MW122" s="13"/>
      <c r="MX122" s="107"/>
      <c r="MY122" s="107"/>
      <c r="MZ122" s="105"/>
      <c r="NB122" s="13"/>
      <c r="NC122" s="107"/>
      <c r="ND122" s="107"/>
      <c r="NE122" s="105"/>
      <c r="NG122" s="13"/>
      <c r="NH122" s="107"/>
      <c r="NI122" s="107"/>
      <c r="NJ122" s="105"/>
      <c r="NL122" s="38"/>
      <c r="NM122" s="13"/>
      <c r="NN122" s="107"/>
      <c r="NO122" s="107"/>
      <c r="NP122" s="105"/>
      <c r="NR122" s="13"/>
      <c r="NS122" s="107"/>
      <c r="NT122" s="107"/>
      <c r="NU122" s="105"/>
      <c r="NW122" s="13"/>
      <c r="NX122" s="107"/>
      <c r="NY122" s="107"/>
      <c r="NZ122" s="105"/>
      <c r="OB122" s="13"/>
      <c r="OC122" s="107"/>
      <c r="OD122" s="107"/>
      <c r="OE122" s="105"/>
      <c r="OG122" s="13"/>
      <c r="OH122" s="107"/>
      <c r="OI122" s="107"/>
      <c r="OJ122" s="105"/>
      <c r="OL122" s="13"/>
      <c r="OM122" s="107"/>
      <c r="ON122" s="107"/>
      <c r="OO122" s="105"/>
    </row>
    <row r="123" ht="15.75" customHeight="1">
      <c r="A123" s="42"/>
      <c r="B123" s="42"/>
      <c r="C123" s="42"/>
      <c r="D123" s="38">
        <f t="shared" si="335"/>
        <v>45971</v>
      </c>
      <c r="E123" s="105" t="str">
        <f t="shared" ref="E123:I123" si="339">AJ12</f>
        <v/>
      </c>
      <c r="F123" s="105" t="str">
        <f t="shared" si="339"/>
        <v/>
      </c>
      <c r="G123" s="105" t="str">
        <f t="shared" si="339"/>
        <v/>
      </c>
      <c r="H123" s="106" t="str">
        <f t="shared" si="339"/>
        <v/>
      </c>
      <c r="I123" s="106" t="str">
        <f t="shared" si="339"/>
        <v/>
      </c>
      <c r="J123" s="107" t="str">
        <f t="array" ref="J123">IFERROR(IF(XLOOKUP(CONCAT(E123,F123),'MASTER PLAN'!$AB:$AB,'MASTER PLAN'!$M:$M,0,0)=0,"",XLOOKUP(CONCAT(E123,F123),'MASTER PLAN'!$AB:$AB,'MASTER PLAN'!$M:$M,0,0)),"")</f>
        <v/>
      </c>
      <c r="K123" s="107">
        <f t="shared" si="237"/>
        <v>0</v>
      </c>
      <c r="L123" s="107">
        <f t="shared" si="238"/>
        <v>0</v>
      </c>
      <c r="M123" s="105" t="s">
        <v>248</v>
      </c>
      <c r="O123" s="13"/>
      <c r="P123" s="107"/>
      <c r="Q123" s="107"/>
      <c r="R123" s="105"/>
      <c r="T123" s="13"/>
      <c r="U123" s="107"/>
      <c r="V123" s="107"/>
      <c r="W123" s="105"/>
      <c r="Y123" s="13"/>
      <c r="Z123" s="107"/>
      <c r="AA123" s="107"/>
      <c r="AB123" s="105"/>
      <c r="AD123" s="13"/>
      <c r="AE123" s="107"/>
      <c r="AF123" s="107"/>
      <c r="AG123" s="105"/>
      <c r="AI123" s="38"/>
      <c r="AJ123" s="13"/>
      <c r="AK123" s="107"/>
      <c r="AL123" s="107"/>
      <c r="AM123" s="105"/>
      <c r="AO123" s="13"/>
      <c r="AP123" s="107"/>
      <c r="AQ123" s="107"/>
      <c r="AR123" s="105"/>
      <c r="AT123" s="13"/>
      <c r="AU123" s="107"/>
      <c r="AV123" s="107"/>
      <c r="AW123" s="105"/>
      <c r="AY123" s="13"/>
      <c r="AZ123" s="107"/>
      <c r="BA123" s="107"/>
      <c r="BB123" s="105"/>
      <c r="BD123" s="13"/>
      <c r="BE123" s="107"/>
      <c r="BF123" s="107"/>
      <c r="BG123" s="105"/>
      <c r="BI123" s="13"/>
      <c r="BJ123" s="107"/>
      <c r="BK123" s="107"/>
      <c r="BL123" s="105"/>
      <c r="BN123" s="38"/>
      <c r="BO123" s="13"/>
      <c r="BP123" s="107"/>
      <c r="BQ123" s="107"/>
      <c r="BR123" s="105"/>
      <c r="BT123" s="13"/>
      <c r="BU123" s="107"/>
      <c r="BV123" s="107"/>
      <c r="BW123" s="105"/>
      <c r="BY123" s="13"/>
      <c r="BZ123" s="107"/>
      <c r="CA123" s="107"/>
      <c r="CB123" s="105"/>
      <c r="CD123" s="13"/>
      <c r="CE123" s="107"/>
      <c r="CF123" s="107"/>
      <c r="CG123" s="105"/>
      <c r="CI123" s="13"/>
      <c r="CJ123" s="107"/>
      <c r="CK123" s="107"/>
      <c r="CL123" s="105"/>
      <c r="CN123" s="13"/>
      <c r="CO123" s="107"/>
      <c r="CP123" s="107"/>
      <c r="CQ123" s="105"/>
      <c r="CS123" s="38"/>
      <c r="CT123" s="13"/>
      <c r="CU123" s="107"/>
      <c r="CV123" s="107"/>
      <c r="CW123" s="105"/>
      <c r="CY123" s="13"/>
      <c r="CZ123" s="107"/>
      <c r="DA123" s="107"/>
      <c r="DB123" s="105"/>
      <c r="DD123" s="13"/>
      <c r="DE123" s="107"/>
      <c r="DF123" s="107"/>
      <c r="DG123" s="105"/>
      <c r="DI123" s="13"/>
      <c r="DJ123" s="107"/>
      <c r="DK123" s="107"/>
      <c r="DL123" s="105"/>
      <c r="DN123" s="13"/>
      <c r="DO123" s="107"/>
      <c r="DP123" s="107"/>
      <c r="DQ123" s="105"/>
      <c r="DS123" s="13"/>
      <c r="DT123" s="107"/>
      <c r="DU123" s="107"/>
      <c r="DV123" s="105"/>
      <c r="DX123" s="38"/>
      <c r="DY123" s="13"/>
      <c r="DZ123" s="107"/>
      <c r="EA123" s="107"/>
      <c r="EB123" s="105"/>
      <c r="ED123" s="13"/>
      <c r="EE123" s="107"/>
      <c r="EF123" s="107"/>
      <c r="EG123" s="105"/>
      <c r="EI123" s="13"/>
      <c r="EJ123" s="107"/>
      <c r="EK123" s="107"/>
      <c r="EL123" s="105"/>
      <c r="EN123" s="13"/>
      <c r="EO123" s="107"/>
      <c r="EP123" s="107"/>
      <c r="EQ123" s="105"/>
      <c r="ES123" s="13"/>
      <c r="ET123" s="107"/>
      <c r="EU123" s="107"/>
      <c r="EV123" s="105"/>
      <c r="EX123" s="13"/>
      <c r="EY123" s="107"/>
      <c r="EZ123" s="107"/>
      <c r="FA123" s="105"/>
      <c r="FC123" s="38"/>
      <c r="FD123" s="13"/>
      <c r="FE123" s="107"/>
      <c r="FF123" s="107"/>
      <c r="FG123" s="105"/>
      <c r="FI123" s="13"/>
      <c r="FJ123" s="107"/>
      <c r="FK123" s="107"/>
      <c r="FL123" s="105"/>
      <c r="FN123" s="13"/>
      <c r="FO123" s="107"/>
      <c r="FP123" s="107"/>
      <c r="FQ123" s="105"/>
      <c r="FS123" s="13"/>
      <c r="FT123" s="107"/>
      <c r="FU123" s="107"/>
      <c r="FV123" s="105"/>
      <c r="FX123" s="13"/>
      <c r="FY123" s="107"/>
      <c r="FZ123" s="107"/>
      <c r="GA123" s="105"/>
      <c r="GC123" s="13"/>
      <c r="GD123" s="107"/>
      <c r="GE123" s="107"/>
      <c r="GF123" s="105"/>
      <c r="GH123" s="38"/>
      <c r="GI123" s="13"/>
      <c r="GJ123" s="107"/>
      <c r="GK123" s="107"/>
      <c r="GL123" s="105"/>
      <c r="GN123" s="13"/>
      <c r="GO123" s="107"/>
      <c r="GP123" s="107"/>
      <c r="GQ123" s="105"/>
      <c r="GS123" s="13"/>
      <c r="GT123" s="107"/>
      <c r="GU123" s="107"/>
      <c r="GV123" s="105"/>
      <c r="GX123" s="13"/>
      <c r="GY123" s="107"/>
      <c r="GZ123" s="107"/>
      <c r="HA123" s="105"/>
      <c r="HC123" s="13"/>
      <c r="HD123" s="107"/>
      <c r="HE123" s="107"/>
      <c r="HF123" s="105"/>
      <c r="HH123" s="13"/>
      <c r="HI123" s="107"/>
      <c r="HJ123" s="107"/>
      <c r="HK123" s="105"/>
      <c r="HM123" s="38"/>
      <c r="HN123" s="13"/>
      <c r="HO123" s="107"/>
      <c r="HP123" s="107"/>
      <c r="HQ123" s="105"/>
      <c r="HS123" s="13"/>
      <c r="HT123" s="107"/>
      <c r="HU123" s="107"/>
      <c r="HV123" s="105"/>
      <c r="HX123" s="13"/>
      <c r="HY123" s="107"/>
      <c r="HZ123" s="107"/>
      <c r="IA123" s="105"/>
      <c r="IC123" s="13"/>
      <c r="ID123" s="107"/>
      <c r="IE123" s="107"/>
      <c r="IF123" s="105"/>
      <c r="IH123" s="13"/>
      <c r="II123" s="107"/>
      <c r="IJ123" s="107"/>
      <c r="IK123" s="105"/>
      <c r="IM123" s="13"/>
      <c r="IN123" s="107"/>
      <c r="IO123" s="107"/>
      <c r="IP123" s="105"/>
      <c r="IR123" s="38"/>
      <c r="IS123" s="13"/>
      <c r="IT123" s="107"/>
      <c r="IU123" s="107"/>
      <c r="IV123" s="105"/>
      <c r="IX123" s="13"/>
      <c r="IY123" s="107"/>
      <c r="IZ123" s="107"/>
      <c r="JA123" s="105"/>
      <c r="JC123" s="13"/>
      <c r="JD123" s="107"/>
      <c r="JE123" s="107"/>
      <c r="JF123" s="105"/>
      <c r="JH123" s="13"/>
      <c r="JI123" s="107"/>
      <c r="JJ123" s="107"/>
      <c r="JK123" s="105"/>
      <c r="JM123" s="13"/>
      <c r="JN123" s="107"/>
      <c r="JO123" s="107"/>
      <c r="JP123" s="105"/>
      <c r="JR123" s="13"/>
      <c r="JS123" s="107"/>
      <c r="JT123" s="107"/>
      <c r="JU123" s="105"/>
      <c r="JW123" s="38"/>
      <c r="JX123" s="13"/>
      <c r="JY123" s="107"/>
      <c r="JZ123" s="107"/>
      <c r="KA123" s="105"/>
      <c r="KC123" s="13"/>
      <c r="KD123" s="107"/>
      <c r="KE123" s="107"/>
      <c r="KF123" s="105"/>
      <c r="KH123" s="13"/>
      <c r="KI123" s="107"/>
      <c r="KJ123" s="107"/>
      <c r="KK123" s="105"/>
      <c r="KM123" s="13"/>
      <c r="KN123" s="107"/>
      <c r="KO123" s="107"/>
      <c r="KP123" s="105"/>
      <c r="KR123" s="13"/>
      <c r="KS123" s="107"/>
      <c r="KT123" s="107"/>
      <c r="KU123" s="105"/>
      <c r="KW123" s="13"/>
      <c r="KX123" s="107"/>
      <c r="KY123" s="107"/>
      <c r="KZ123" s="105"/>
      <c r="LB123" s="38"/>
      <c r="LC123" s="13"/>
      <c r="LD123" s="107"/>
      <c r="LE123" s="107"/>
      <c r="LF123" s="105"/>
      <c r="LH123" s="13"/>
      <c r="LI123" s="107"/>
      <c r="LJ123" s="107"/>
      <c r="LK123" s="105"/>
      <c r="LM123" s="13"/>
      <c r="LN123" s="107"/>
      <c r="LO123" s="107"/>
      <c r="LP123" s="105"/>
      <c r="LR123" s="13"/>
      <c r="LS123" s="107"/>
      <c r="LT123" s="107"/>
      <c r="LU123" s="105"/>
      <c r="LW123" s="13"/>
      <c r="LX123" s="107"/>
      <c r="LY123" s="107"/>
      <c r="LZ123" s="105"/>
      <c r="MB123" s="13"/>
      <c r="MC123" s="107"/>
      <c r="MD123" s="107"/>
      <c r="ME123" s="105"/>
      <c r="MG123" s="38"/>
      <c r="MH123" s="13"/>
      <c r="MI123" s="107"/>
      <c r="MJ123" s="107"/>
      <c r="MK123" s="105"/>
      <c r="MM123" s="13"/>
      <c r="MN123" s="107"/>
      <c r="MO123" s="107"/>
      <c r="MP123" s="105"/>
      <c r="MR123" s="13"/>
      <c r="MS123" s="107"/>
      <c r="MT123" s="107"/>
      <c r="MU123" s="105"/>
      <c r="MW123" s="13"/>
      <c r="MX123" s="107"/>
      <c r="MY123" s="107"/>
      <c r="MZ123" s="105"/>
      <c r="NB123" s="13"/>
      <c r="NC123" s="107"/>
      <c r="ND123" s="107"/>
      <c r="NE123" s="105"/>
      <c r="NG123" s="13"/>
      <c r="NH123" s="107"/>
      <c r="NI123" s="107"/>
      <c r="NJ123" s="105"/>
      <c r="NL123" s="38"/>
      <c r="NM123" s="13"/>
      <c r="NN123" s="107"/>
      <c r="NO123" s="107"/>
      <c r="NP123" s="105"/>
      <c r="NR123" s="13"/>
      <c r="NS123" s="107"/>
      <c r="NT123" s="107"/>
      <c r="NU123" s="105"/>
      <c r="NW123" s="13"/>
      <c r="NX123" s="107"/>
      <c r="NY123" s="107"/>
      <c r="NZ123" s="105"/>
      <c r="OB123" s="13"/>
      <c r="OC123" s="107"/>
      <c r="OD123" s="107"/>
      <c r="OE123" s="105"/>
      <c r="OG123" s="13"/>
      <c r="OH123" s="107"/>
      <c r="OI123" s="107"/>
      <c r="OJ123" s="105"/>
      <c r="OL123" s="13"/>
      <c r="OM123" s="107"/>
      <c r="ON123" s="107"/>
      <c r="OO123" s="105"/>
    </row>
    <row r="124" ht="15.75" customHeight="1">
      <c r="A124" s="42"/>
      <c r="B124" s="42"/>
      <c r="C124" s="42"/>
      <c r="D124" s="38">
        <f t="shared" si="335"/>
        <v>45971</v>
      </c>
      <c r="E124" s="105" t="str">
        <f t="shared" ref="E124:I124" si="340">AJ13</f>
        <v/>
      </c>
      <c r="F124" s="105" t="str">
        <f t="shared" si="340"/>
        <v/>
      </c>
      <c r="G124" s="105" t="str">
        <f t="shared" si="340"/>
        <v/>
      </c>
      <c r="H124" s="106" t="str">
        <f t="shared" si="340"/>
        <v/>
      </c>
      <c r="I124" s="106" t="str">
        <f t="shared" si="340"/>
        <v/>
      </c>
      <c r="J124" s="107" t="str">
        <f t="array" ref="J124">IFERROR(IF(XLOOKUP(CONCAT(E124,F124),'MASTER PLAN'!$AB:$AB,'MASTER PLAN'!$M:$M,0,0)=0,"",XLOOKUP(CONCAT(E124,F124),'MASTER PLAN'!$AB:$AB,'MASTER PLAN'!$M:$M,0,0)),"")</f>
        <v/>
      </c>
      <c r="K124" s="107">
        <f t="shared" si="237"/>
        <v>0</v>
      </c>
      <c r="L124" s="107">
        <f t="shared" si="238"/>
        <v>0</v>
      </c>
      <c r="M124" s="105" t="s">
        <v>248</v>
      </c>
      <c r="O124" s="13"/>
      <c r="P124" s="107"/>
      <c r="Q124" s="107"/>
      <c r="R124" s="105"/>
      <c r="T124" s="13"/>
      <c r="U124" s="107"/>
      <c r="V124" s="107"/>
      <c r="W124" s="105"/>
      <c r="Y124" s="13"/>
      <c r="Z124" s="107"/>
      <c r="AA124" s="107"/>
      <c r="AB124" s="105"/>
      <c r="AD124" s="13"/>
      <c r="AE124" s="107"/>
      <c r="AF124" s="107"/>
      <c r="AG124" s="105"/>
      <c r="AI124" s="38"/>
      <c r="AJ124" s="13"/>
      <c r="AK124" s="107"/>
      <c r="AL124" s="107"/>
      <c r="AM124" s="105"/>
      <c r="AO124" s="13"/>
      <c r="AP124" s="107"/>
      <c r="AQ124" s="107"/>
      <c r="AR124" s="105"/>
      <c r="AT124" s="13"/>
      <c r="AU124" s="107"/>
      <c r="AV124" s="107"/>
      <c r="AW124" s="105"/>
      <c r="AY124" s="13"/>
      <c r="AZ124" s="107"/>
      <c r="BA124" s="107"/>
      <c r="BB124" s="105"/>
      <c r="BD124" s="13"/>
      <c r="BE124" s="107"/>
      <c r="BF124" s="107"/>
      <c r="BG124" s="105"/>
      <c r="BI124" s="13"/>
      <c r="BJ124" s="107"/>
      <c r="BK124" s="107"/>
      <c r="BL124" s="105"/>
      <c r="BN124" s="38"/>
      <c r="BO124" s="13"/>
      <c r="BP124" s="107"/>
      <c r="BQ124" s="107"/>
      <c r="BR124" s="105"/>
      <c r="BT124" s="13"/>
      <c r="BU124" s="107"/>
      <c r="BV124" s="107"/>
      <c r="BW124" s="105"/>
      <c r="BY124" s="13"/>
      <c r="BZ124" s="107"/>
      <c r="CA124" s="107"/>
      <c r="CB124" s="105"/>
      <c r="CD124" s="13"/>
      <c r="CE124" s="107"/>
      <c r="CF124" s="107"/>
      <c r="CG124" s="105"/>
      <c r="CI124" s="13"/>
      <c r="CJ124" s="107"/>
      <c r="CK124" s="107"/>
      <c r="CL124" s="105"/>
      <c r="CN124" s="13"/>
      <c r="CO124" s="107"/>
      <c r="CP124" s="107"/>
      <c r="CQ124" s="105"/>
      <c r="CS124" s="38"/>
      <c r="CT124" s="13"/>
      <c r="CU124" s="107"/>
      <c r="CV124" s="107"/>
      <c r="CW124" s="105"/>
      <c r="CY124" s="13"/>
      <c r="CZ124" s="107"/>
      <c r="DA124" s="107"/>
      <c r="DB124" s="105"/>
      <c r="DD124" s="13"/>
      <c r="DE124" s="107"/>
      <c r="DF124" s="107"/>
      <c r="DG124" s="105"/>
      <c r="DI124" s="13"/>
      <c r="DJ124" s="107"/>
      <c r="DK124" s="107"/>
      <c r="DL124" s="105"/>
      <c r="DN124" s="13"/>
      <c r="DO124" s="107"/>
      <c r="DP124" s="107"/>
      <c r="DQ124" s="105"/>
      <c r="DS124" s="13"/>
      <c r="DT124" s="107"/>
      <c r="DU124" s="107"/>
      <c r="DV124" s="105"/>
      <c r="DX124" s="38"/>
      <c r="DY124" s="13"/>
      <c r="DZ124" s="107"/>
      <c r="EA124" s="107"/>
      <c r="EB124" s="105"/>
      <c r="ED124" s="13"/>
      <c r="EE124" s="107"/>
      <c r="EF124" s="107"/>
      <c r="EG124" s="105"/>
      <c r="EI124" s="13"/>
      <c r="EJ124" s="107"/>
      <c r="EK124" s="107"/>
      <c r="EL124" s="105"/>
      <c r="EN124" s="13"/>
      <c r="EO124" s="107"/>
      <c r="EP124" s="107"/>
      <c r="EQ124" s="105"/>
      <c r="ES124" s="13"/>
      <c r="ET124" s="107"/>
      <c r="EU124" s="107"/>
      <c r="EV124" s="105"/>
      <c r="EX124" s="13"/>
      <c r="EY124" s="107"/>
      <c r="EZ124" s="107"/>
      <c r="FA124" s="105"/>
      <c r="FC124" s="38"/>
      <c r="FD124" s="13"/>
      <c r="FE124" s="107"/>
      <c r="FF124" s="107"/>
      <c r="FG124" s="105"/>
      <c r="FI124" s="13"/>
      <c r="FJ124" s="107"/>
      <c r="FK124" s="107"/>
      <c r="FL124" s="105"/>
      <c r="FN124" s="13"/>
      <c r="FO124" s="107"/>
      <c r="FP124" s="107"/>
      <c r="FQ124" s="105"/>
      <c r="FS124" s="13"/>
      <c r="FT124" s="107"/>
      <c r="FU124" s="107"/>
      <c r="FV124" s="105"/>
      <c r="FX124" s="13"/>
      <c r="FY124" s="107"/>
      <c r="FZ124" s="107"/>
      <c r="GA124" s="105"/>
      <c r="GC124" s="13"/>
      <c r="GD124" s="107"/>
      <c r="GE124" s="107"/>
      <c r="GF124" s="105"/>
      <c r="GH124" s="38"/>
      <c r="GI124" s="13"/>
      <c r="GJ124" s="107"/>
      <c r="GK124" s="107"/>
      <c r="GL124" s="105"/>
      <c r="GN124" s="13"/>
      <c r="GO124" s="107"/>
      <c r="GP124" s="107"/>
      <c r="GQ124" s="105"/>
      <c r="GS124" s="13"/>
      <c r="GT124" s="107"/>
      <c r="GU124" s="107"/>
      <c r="GV124" s="105"/>
      <c r="GX124" s="13"/>
      <c r="GY124" s="107"/>
      <c r="GZ124" s="107"/>
      <c r="HA124" s="105"/>
      <c r="HC124" s="13"/>
      <c r="HD124" s="107"/>
      <c r="HE124" s="107"/>
      <c r="HF124" s="105"/>
      <c r="HH124" s="13"/>
      <c r="HI124" s="107"/>
      <c r="HJ124" s="107"/>
      <c r="HK124" s="105"/>
      <c r="HM124" s="38"/>
      <c r="HN124" s="13"/>
      <c r="HO124" s="107"/>
      <c r="HP124" s="107"/>
      <c r="HQ124" s="105"/>
      <c r="HS124" s="13"/>
      <c r="HT124" s="107"/>
      <c r="HU124" s="107"/>
      <c r="HV124" s="105"/>
      <c r="HX124" s="13"/>
      <c r="HY124" s="107"/>
      <c r="HZ124" s="107"/>
      <c r="IA124" s="105"/>
      <c r="IC124" s="13"/>
      <c r="ID124" s="107"/>
      <c r="IE124" s="107"/>
      <c r="IF124" s="105"/>
      <c r="IH124" s="13"/>
      <c r="II124" s="107"/>
      <c r="IJ124" s="107"/>
      <c r="IK124" s="105"/>
      <c r="IM124" s="13"/>
      <c r="IN124" s="107"/>
      <c r="IO124" s="107"/>
      <c r="IP124" s="105"/>
      <c r="IR124" s="38"/>
      <c r="IS124" s="13"/>
      <c r="IT124" s="107"/>
      <c r="IU124" s="107"/>
      <c r="IV124" s="105"/>
      <c r="IX124" s="13"/>
      <c r="IY124" s="107"/>
      <c r="IZ124" s="107"/>
      <c r="JA124" s="105"/>
      <c r="JC124" s="13"/>
      <c r="JD124" s="107"/>
      <c r="JE124" s="107"/>
      <c r="JF124" s="105"/>
      <c r="JH124" s="13"/>
      <c r="JI124" s="107"/>
      <c r="JJ124" s="107"/>
      <c r="JK124" s="105"/>
      <c r="JM124" s="13"/>
      <c r="JN124" s="107"/>
      <c r="JO124" s="107"/>
      <c r="JP124" s="105"/>
      <c r="JR124" s="13"/>
      <c r="JS124" s="107"/>
      <c r="JT124" s="107"/>
      <c r="JU124" s="105"/>
      <c r="JW124" s="38"/>
      <c r="JX124" s="13"/>
      <c r="JY124" s="107"/>
      <c r="JZ124" s="107"/>
      <c r="KA124" s="105"/>
      <c r="KC124" s="13"/>
      <c r="KD124" s="107"/>
      <c r="KE124" s="107"/>
      <c r="KF124" s="105"/>
      <c r="KH124" s="13"/>
      <c r="KI124" s="107"/>
      <c r="KJ124" s="107"/>
      <c r="KK124" s="105"/>
      <c r="KM124" s="13"/>
      <c r="KN124" s="107"/>
      <c r="KO124" s="107"/>
      <c r="KP124" s="105"/>
      <c r="KR124" s="13"/>
      <c r="KS124" s="107"/>
      <c r="KT124" s="107"/>
      <c r="KU124" s="105"/>
      <c r="KW124" s="13"/>
      <c r="KX124" s="107"/>
      <c r="KY124" s="107"/>
      <c r="KZ124" s="105"/>
      <c r="LB124" s="38"/>
      <c r="LC124" s="13"/>
      <c r="LD124" s="107"/>
      <c r="LE124" s="107"/>
      <c r="LF124" s="105"/>
      <c r="LH124" s="13"/>
      <c r="LI124" s="107"/>
      <c r="LJ124" s="107"/>
      <c r="LK124" s="105"/>
      <c r="LM124" s="13"/>
      <c r="LN124" s="107"/>
      <c r="LO124" s="107"/>
      <c r="LP124" s="105"/>
      <c r="LR124" s="13"/>
      <c r="LS124" s="107"/>
      <c r="LT124" s="107"/>
      <c r="LU124" s="105"/>
      <c r="LW124" s="13"/>
      <c r="LX124" s="107"/>
      <c r="LY124" s="107"/>
      <c r="LZ124" s="105"/>
      <c r="MB124" s="13"/>
      <c r="MC124" s="107"/>
      <c r="MD124" s="107"/>
      <c r="ME124" s="105"/>
      <c r="MG124" s="38"/>
      <c r="MH124" s="13"/>
      <c r="MI124" s="107"/>
      <c r="MJ124" s="107"/>
      <c r="MK124" s="105"/>
      <c r="MM124" s="13"/>
      <c r="MN124" s="107"/>
      <c r="MO124" s="107"/>
      <c r="MP124" s="105"/>
      <c r="MR124" s="13"/>
      <c r="MS124" s="107"/>
      <c r="MT124" s="107"/>
      <c r="MU124" s="105"/>
      <c r="MW124" s="13"/>
      <c r="MX124" s="107"/>
      <c r="MY124" s="107"/>
      <c r="MZ124" s="105"/>
      <c r="NB124" s="13"/>
      <c r="NC124" s="107"/>
      <c r="ND124" s="107"/>
      <c r="NE124" s="105"/>
      <c r="NG124" s="13"/>
      <c r="NH124" s="107"/>
      <c r="NI124" s="107"/>
      <c r="NJ124" s="105"/>
      <c r="NL124" s="38"/>
      <c r="NM124" s="13"/>
      <c r="NN124" s="107"/>
      <c r="NO124" s="107"/>
      <c r="NP124" s="105"/>
      <c r="NR124" s="13"/>
      <c r="NS124" s="107"/>
      <c r="NT124" s="107"/>
      <c r="NU124" s="105"/>
      <c r="NW124" s="13"/>
      <c r="NX124" s="107"/>
      <c r="NY124" s="107"/>
      <c r="NZ124" s="105"/>
      <c r="OB124" s="13"/>
      <c r="OC124" s="107"/>
      <c r="OD124" s="107"/>
      <c r="OE124" s="105"/>
      <c r="OG124" s="13"/>
      <c r="OH124" s="107"/>
      <c r="OI124" s="107"/>
      <c r="OJ124" s="105"/>
      <c r="OL124" s="13"/>
      <c r="OM124" s="107"/>
      <c r="ON124" s="107"/>
      <c r="OO124" s="105"/>
    </row>
    <row r="125" ht="15.75" customHeight="1">
      <c r="A125" s="42"/>
      <c r="B125" s="42"/>
      <c r="C125" s="42"/>
      <c r="D125" s="38">
        <f t="shared" si="335"/>
        <v>45971</v>
      </c>
      <c r="E125" s="105" t="str">
        <f t="shared" ref="E125:I125" si="341">AJ14</f>
        <v/>
      </c>
      <c r="F125" s="105" t="str">
        <f t="shared" si="341"/>
        <v/>
      </c>
      <c r="G125" s="105" t="str">
        <f t="shared" si="341"/>
        <v/>
      </c>
      <c r="H125" s="106" t="str">
        <f t="shared" si="341"/>
        <v/>
      </c>
      <c r="I125" s="106" t="str">
        <f t="shared" si="341"/>
        <v/>
      </c>
      <c r="J125" s="107" t="str">
        <f t="array" ref="J125">IFERROR(IF(XLOOKUP(CONCAT(E125,F125),'MASTER PLAN'!$AB:$AB,'MASTER PLAN'!$M:$M,0,0)=0,"",XLOOKUP(CONCAT(E125,F125),'MASTER PLAN'!$AB:$AB,'MASTER PLAN'!$M:$M,0,0)),"")</f>
        <v/>
      </c>
      <c r="K125" s="107">
        <f t="shared" si="237"/>
        <v>0</v>
      </c>
      <c r="L125" s="107">
        <f t="shared" si="238"/>
        <v>0</v>
      </c>
      <c r="M125" s="105" t="s">
        <v>248</v>
      </c>
      <c r="O125" s="13"/>
      <c r="P125" s="107"/>
      <c r="Q125" s="107"/>
      <c r="R125" s="105"/>
      <c r="T125" s="13"/>
      <c r="U125" s="107"/>
      <c r="V125" s="107"/>
      <c r="W125" s="105"/>
      <c r="Y125" s="13"/>
      <c r="Z125" s="107"/>
      <c r="AA125" s="107"/>
      <c r="AB125" s="105"/>
      <c r="AD125" s="13"/>
      <c r="AE125" s="107"/>
      <c r="AF125" s="107"/>
      <c r="AG125" s="105"/>
      <c r="AI125" s="38"/>
      <c r="AJ125" s="13"/>
      <c r="AK125" s="107"/>
      <c r="AL125" s="107"/>
      <c r="AM125" s="105"/>
      <c r="AO125" s="13"/>
      <c r="AP125" s="107"/>
      <c r="AQ125" s="107"/>
      <c r="AR125" s="105"/>
      <c r="AT125" s="13"/>
      <c r="AU125" s="107"/>
      <c r="AV125" s="107"/>
      <c r="AW125" s="105"/>
      <c r="AY125" s="13"/>
      <c r="AZ125" s="107"/>
      <c r="BA125" s="107"/>
      <c r="BB125" s="105"/>
      <c r="BD125" s="13"/>
      <c r="BE125" s="107"/>
      <c r="BF125" s="107"/>
      <c r="BG125" s="105"/>
      <c r="BI125" s="13"/>
      <c r="BJ125" s="107"/>
      <c r="BK125" s="107"/>
      <c r="BL125" s="105"/>
      <c r="BN125" s="38"/>
      <c r="BO125" s="13"/>
      <c r="BP125" s="107"/>
      <c r="BQ125" s="107"/>
      <c r="BR125" s="105"/>
      <c r="BT125" s="13"/>
      <c r="BU125" s="107"/>
      <c r="BV125" s="107"/>
      <c r="BW125" s="105"/>
      <c r="BY125" s="13"/>
      <c r="BZ125" s="107"/>
      <c r="CA125" s="107"/>
      <c r="CB125" s="105"/>
      <c r="CD125" s="13"/>
      <c r="CE125" s="107"/>
      <c r="CF125" s="107"/>
      <c r="CG125" s="105"/>
      <c r="CI125" s="13"/>
      <c r="CJ125" s="107"/>
      <c r="CK125" s="107"/>
      <c r="CL125" s="105"/>
      <c r="CN125" s="13"/>
      <c r="CO125" s="107"/>
      <c r="CP125" s="107"/>
      <c r="CQ125" s="105"/>
      <c r="CS125" s="38"/>
      <c r="CT125" s="13"/>
      <c r="CU125" s="107"/>
      <c r="CV125" s="107"/>
      <c r="CW125" s="105"/>
      <c r="CY125" s="13"/>
      <c r="CZ125" s="107"/>
      <c r="DA125" s="107"/>
      <c r="DB125" s="105"/>
      <c r="DD125" s="13"/>
      <c r="DE125" s="107"/>
      <c r="DF125" s="107"/>
      <c r="DG125" s="105"/>
      <c r="DI125" s="13"/>
      <c r="DJ125" s="107"/>
      <c r="DK125" s="107"/>
      <c r="DL125" s="105"/>
      <c r="DN125" s="13"/>
      <c r="DO125" s="107"/>
      <c r="DP125" s="107"/>
      <c r="DQ125" s="105"/>
      <c r="DS125" s="13"/>
      <c r="DT125" s="107"/>
      <c r="DU125" s="107"/>
      <c r="DV125" s="105"/>
      <c r="DX125" s="38"/>
      <c r="DY125" s="13"/>
      <c r="DZ125" s="107"/>
      <c r="EA125" s="107"/>
      <c r="EB125" s="105"/>
      <c r="ED125" s="13"/>
      <c r="EE125" s="107"/>
      <c r="EF125" s="107"/>
      <c r="EG125" s="105"/>
      <c r="EI125" s="13"/>
      <c r="EJ125" s="107"/>
      <c r="EK125" s="107"/>
      <c r="EL125" s="105"/>
      <c r="EN125" s="13"/>
      <c r="EO125" s="107"/>
      <c r="EP125" s="107"/>
      <c r="EQ125" s="105"/>
      <c r="ES125" s="13"/>
      <c r="ET125" s="107"/>
      <c r="EU125" s="107"/>
      <c r="EV125" s="105"/>
      <c r="EX125" s="13"/>
      <c r="EY125" s="107"/>
      <c r="EZ125" s="107"/>
      <c r="FA125" s="105"/>
      <c r="FC125" s="38"/>
      <c r="FD125" s="13"/>
      <c r="FE125" s="107"/>
      <c r="FF125" s="107"/>
      <c r="FG125" s="105"/>
      <c r="FI125" s="13"/>
      <c r="FJ125" s="107"/>
      <c r="FK125" s="107"/>
      <c r="FL125" s="105"/>
      <c r="FN125" s="13"/>
      <c r="FO125" s="107"/>
      <c r="FP125" s="107"/>
      <c r="FQ125" s="105"/>
      <c r="FS125" s="13"/>
      <c r="FT125" s="107"/>
      <c r="FU125" s="107"/>
      <c r="FV125" s="105"/>
      <c r="FX125" s="13"/>
      <c r="FY125" s="107"/>
      <c r="FZ125" s="107"/>
      <c r="GA125" s="105"/>
      <c r="GC125" s="13"/>
      <c r="GD125" s="107"/>
      <c r="GE125" s="107"/>
      <c r="GF125" s="105"/>
      <c r="GH125" s="38"/>
      <c r="GI125" s="13"/>
      <c r="GJ125" s="107"/>
      <c r="GK125" s="107"/>
      <c r="GL125" s="105"/>
      <c r="GN125" s="13"/>
      <c r="GO125" s="107"/>
      <c r="GP125" s="107"/>
      <c r="GQ125" s="105"/>
      <c r="GS125" s="13"/>
      <c r="GT125" s="107"/>
      <c r="GU125" s="107"/>
      <c r="GV125" s="105"/>
      <c r="GX125" s="13"/>
      <c r="GY125" s="107"/>
      <c r="GZ125" s="107"/>
      <c r="HA125" s="105"/>
      <c r="HC125" s="13"/>
      <c r="HD125" s="107"/>
      <c r="HE125" s="107"/>
      <c r="HF125" s="105"/>
      <c r="HH125" s="13"/>
      <c r="HI125" s="107"/>
      <c r="HJ125" s="107"/>
      <c r="HK125" s="105"/>
      <c r="HM125" s="38"/>
      <c r="HN125" s="13"/>
      <c r="HO125" s="107"/>
      <c r="HP125" s="107"/>
      <c r="HQ125" s="105"/>
      <c r="HS125" s="13"/>
      <c r="HT125" s="107"/>
      <c r="HU125" s="107"/>
      <c r="HV125" s="105"/>
      <c r="HX125" s="13"/>
      <c r="HY125" s="107"/>
      <c r="HZ125" s="107"/>
      <c r="IA125" s="105"/>
      <c r="IC125" s="13"/>
      <c r="ID125" s="107"/>
      <c r="IE125" s="107"/>
      <c r="IF125" s="105"/>
      <c r="IH125" s="13"/>
      <c r="II125" s="107"/>
      <c r="IJ125" s="107"/>
      <c r="IK125" s="105"/>
      <c r="IM125" s="13"/>
      <c r="IN125" s="107"/>
      <c r="IO125" s="107"/>
      <c r="IP125" s="105"/>
      <c r="IR125" s="38"/>
      <c r="IS125" s="13"/>
      <c r="IT125" s="107"/>
      <c r="IU125" s="107"/>
      <c r="IV125" s="105"/>
      <c r="IX125" s="13"/>
      <c r="IY125" s="107"/>
      <c r="IZ125" s="107"/>
      <c r="JA125" s="105"/>
      <c r="JC125" s="13"/>
      <c r="JD125" s="107"/>
      <c r="JE125" s="107"/>
      <c r="JF125" s="105"/>
      <c r="JH125" s="13"/>
      <c r="JI125" s="107"/>
      <c r="JJ125" s="107"/>
      <c r="JK125" s="105"/>
      <c r="JM125" s="13"/>
      <c r="JN125" s="107"/>
      <c r="JO125" s="107"/>
      <c r="JP125" s="105"/>
      <c r="JR125" s="13"/>
      <c r="JS125" s="107"/>
      <c r="JT125" s="107"/>
      <c r="JU125" s="105"/>
      <c r="JW125" s="38"/>
      <c r="JX125" s="13"/>
      <c r="JY125" s="107"/>
      <c r="JZ125" s="107"/>
      <c r="KA125" s="105"/>
      <c r="KC125" s="13"/>
      <c r="KD125" s="107"/>
      <c r="KE125" s="107"/>
      <c r="KF125" s="105"/>
      <c r="KH125" s="13"/>
      <c r="KI125" s="107"/>
      <c r="KJ125" s="107"/>
      <c r="KK125" s="105"/>
      <c r="KM125" s="13"/>
      <c r="KN125" s="107"/>
      <c r="KO125" s="107"/>
      <c r="KP125" s="105"/>
      <c r="KR125" s="13"/>
      <c r="KS125" s="107"/>
      <c r="KT125" s="107"/>
      <c r="KU125" s="105"/>
      <c r="KW125" s="13"/>
      <c r="KX125" s="107"/>
      <c r="KY125" s="107"/>
      <c r="KZ125" s="105"/>
      <c r="LB125" s="38"/>
      <c r="LC125" s="13"/>
      <c r="LD125" s="107"/>
      <c r="LE125" s="107"/>
      <c r="LF125" s="105"/>
      <c r="LH125" s="13"/>
      <c r="LI125" s="107"/>
      <c r="LJ125" s="107"/>
      <c r="LK125" s="105"/>
      <c r="LM125" s="13"/>
      <c r="LN125" s="107"/>
      <c r="LO125" s="107"/>
      <c r="LP125" s="105"/>
      <c r="LR125" s="13"/>
      <c r="LS125" s="107"/>
      <c r="LT125" s="107"/>
      <c r="LU125" s="105"/>
      <c r="LW125" s="13"/>
      <c r="LX125" s="107"/>
      <c r="LY125" s="107"/>
      <c r="LZ125" s="105"/>
      <c r="MB125" s="13"/>
      <c r="MC125" s="107"/>
      <c r="MD125" s="107"/>
      <c r="ME125" s="105"/>
      <c r="MG125" s="38"/>
      <c r="MH125" s="13"/>
      <c r="MI125" s="107"/>
      <c r="MJ125" s="107"/>
      <c r="MK125" s="105"/>
      <c r="MM125" s="13"/>
      <c r="MN125" s="107"/>
      <c r="MO125" s="107"/>
      <c r="MP125" s="105"/>
      <c r="MR125" s="13"/>
      <c r="MS125" s="107"/>
      <c r="MT125" s="107"/>
      <c r="MU125" s="105"/>
      <c r="MW125" s="13"/>
      <c r="MX125" s="107"/>
      <c r="MY125" s="107"/>
      <c r="MZ125" s="105"/>
      <c r="NB125" s="13"/>
      <c r="NC125" s="107"/>
      <c r="ND125" s="107"/>
      <c r="NE125" s="105"/>
      <c r="NG125" s="13"/>
      <c r="NH125" s="107"/>
      <c r="NI125" s="107"/>
      <c r="NJ125" s="105"/>
      <c r="NL125" s="38"/>
      <c r="NM125" s="13"/>
      <c r="NN125" s="107"/>
      <c r="NO125" s="107"/>
      <c r="NP125" s="105"/>
      <c r="NR125" s="13"/>
      <c r="NS125" s="107"/>
      <c r="NT125" s="107"/>
      <c r="NU125" s="105"/>
      <c r="NW125" s="13"/>
      <c r="NX125" s="107"/>
      <c r="NY125" s="107"/>
      <c r="NZ125" s="105"/>
      <c r="OB125" s="13"/>
      <c r="OC125" s="107"/>
      <c r="OD125" s="107"/>
      <c r="OE125" s="105"/>
      <c r="OG125" s="13"/>
      <c r="OH125" s="107"/>
      <c r="OI125" s="107"/>
      <c r="OJ125" s="105"/>
      <c r="OL125" s="13"/>
      <c r="OM125" s="107"/>
      <c r="ON125" s="107"/>
      <c r="OO125" s="105"/>
    </row>
    <row r="126" ht="15.75" customHeight="1">
      <c r="A126" s="42"/>
      <c r="B126" s="42"/>
      <c r="C126" s="42"/>
      <c r="D126" s="38">
        <f t="shared" si="335"/>
        <v>45971</v>
      </c>
      <c r="E126" s="105" t="str">
        <f t="shared" ref="E126:I126" si="342">AJ15</f>
        <v/>
      </c>
      <c r="F126" s="105" t="str">
        <f t="shared" si="342"/>
        <v/>
      </c>
      <c r="G126" s="105" t="str">
        <f t="shared" si="342"/>
        <v/>
      </c>
      <c r="H126" s="106" t="str">
        <f t="shared" si="342"/>
        <v/>
      </c>
      <c r="I126" s="106" t="str">
        <f t="shared" si="342"/>
        <v/>
      </c>
      <c r="J126" s="107" t="str">
        <f t="array" ref="J126">IFERROR(IF(XLOOKUP(CONCAT(E126,F126),'MASTER PLAN'!$AB:$AB,'MASTER PLAN'!$M:$M,0,0)=0,"",XLOOKUP(CONCAT(E126,F126),'MASTER PLAN'!$AB:$AB,'MASTER PLAN'!$M:$M,0,0)),"")</f>
        <v/>
      </c>
      <c r="K126" s="107">
        <f t="shared" si="237"/>
        <v>0</v>
      </c>
      <c r="L126" s="107">
        <f t="shared" si="238"/>
        <v>0</v>
      </c>
      <c r="M126" s="105" t="s">
        <v>248</v>
      </c>
      <c r="O126" s="13"/>
      <c r="P126" s="107"/>
      <c r="Q126" s="107"/>
      <c r="R126" s="105"/>
      <c r="T126" s="13"/>
      <c r="U126" s="107"/>
      <c r="V126" s="107"/>
      <c r="W126" s="105"/>
      <c r="Y126" s="13"/>
      <c r="Z126" s="107"/>
      <c r="AA126" s="107"/>
      <c r="AB126" s="105"/>
      <c r="AD126" s="13"/>
      <c r="AE126" s="107"/>
      <c r="AF126" s="107"/>
      <c r="AG126" s="105"/>
      <c r="AI126" s="38"/>
      <c r="AJ126" s="13"/>
      <c r="AK126" s="107"/>
      <c r="AL126" s="107"/>
      <c r="AM126" s="105"/>
      <c r="AO126" s="13"/>
      <c r="AP126" s="107"/>
      <c r="AQ126" s="107"/>
      <c r="AR126" s="105"/>
      <c r="AT126" s="13"/>
      <c r="AU126" s="107"/>
      <c r="AV126" s="107"/>
      <c r="AW126" s="105"/>
      <c r="AY126" s="13"/>
      <c r="AZ126" s="107"/>
      <c r="BA126" s="107"/>
      <c r="BB126" s="105"/>
      <c r="BD126" s="13"/>
      <c r="BE126" s="107"/>
      <c r="BF126" s="107"/>
      <c r="BG126" s="105"/>
      <c r="BI126" s="13"/>
      <c r="BJ126" s="107"/>
      <c r="BK126" s="107"/>
      <c r="BL126" s="105"/>
      <c r="BN126" s="38"/>
      <c r="BO126" s="13"/>
      <c r="BP126" s="107"/>
      <c r="BQ126" s="107"/>
      <c r="BR126" s="105"/>
      <c r="BT126" s="13"/>
      <c r="BU126" s="107"/>
      <c r="BV126" s="107"/>
      <c r="BW126" s="105"/>
      <c r="BY126" s="13"/>
      <c r="BZ126" s="107"/>
      <c r="CA126" s="107"/>
      <c r="CB126" s="105"/>
      <c r="CD126" s="13"/>
      <c r="CE126" s="107"/>
      <c r="CF126" s="107"/>
      <c r="CG126" s="105"/>
      <c r="CI126" s="13"/>
      <c r="CJ126" s="107"/>
      <c r="CK126" s="107"/>
      <c r="CL126" s="105"/>
      <c r="CN126" s="13"/>
      <c r="CO126" s="107"/>
      <c r="CP126" s="107"/>
      <c r="CQ126" s="105"/>
      <c r="CS126" s="38"/>
      <c r="CT126" s="13"/>
      <c r="CU126" s="107"/>
      <c r="CV126" s="107"/>
      <c r="CW126" s="105"/>
      <c r="CY126" s="13"/>
      <c r="CZ126" s="107"/>
      <c r="DA126" s="107"/>
      <c r="DB126" s="105"/>
      <c r="DD126" s="13"/>
      <c r="DE126" s="107"/>
      <c r="DF126" s="107"/>
      <c r="DG126" s="105"/>
      <c r="DI126" s="13"/>
      <c r="DJ126" s="107"/>
      <c r="DK126" s="107"/>
      <c r="DL126" s="105"/>
      <c r="DN126" s="13"/>
      <c r="DO126" s="107"/>
      <c r="DP126" s="107"/>
      <c r="DQ126" s="105"/>
      <c r="DS126" s="13"/>
      <c r="DT126" s="107"/>
      <c r="DU126" s="107"/>
      <c r="DV126" s="105"/>
      <c r="DX126" s="38"/>
      <c r="DY126" s="13"/>
      <c r="DZ126" s="107"/>
      <c r="EA126" s="107"/>
      <c r="EB126" s="105"/>
      <c r="ED126" s="13"/>
      <c r="EE126" s="107"/>
      <c r="EF126" s="107"/>
      <c r="EG126" s="105"/>
      <c r="EI126" s="13"/>
      <c r="EJ126" s="107"/>
      <c r="EK126" s="107"/>
      <c r="EL126" s="105"/>
      <c r="EN126" s="13"/>
      <c r="EO126" s="107"/>
      <c r="EP126" s="107"/>
      <c r="EQ126" s="105"/>
      <c r="ES126" s="13"/>
      <c r="ET126" s="107"/>
      <c r="EU126" s="107"/>
      <c r="EV126" s="105"/>
      <c r="EX126" s="13"/>
      <c r="EY126" s="107"/>
      <c r="EZ126" s="107"/>
      <c r="FA126" s="105"/>
      <c r="FC126" s="38"/>
      <c r="FD126" s="13"/>
      <c r="FE126" s="107"/>
      <c r="FF126" s="107"/>
      <c r="FG126" s="105"/>
      <c r="FI126" s="13"/>
      <c r="FJ126" s="107"/>
      <c r="FK126" s="107"/>
      <c r="FL126" s="105"/>
      <c r="FN126" s="13"/>
      <c r="FO126" s="107"/>
      <c r="FP126" s="107"/>
      <c r="FQ126" s="105"/>
      <c r="FS126" s="13"/>
      <c r="FT126" s="107"/>
      <c r="FU126" s="107"/>
      <c r="FV126" s="105"/>
      <c r="FX126" s="13"/>
      <c r="FY126" s="107"/>
      <c r="FZ126" s="107"/>
      <c r="GA126" s="105"/>
      <c r="GC126" s="13"/>
      <c r="GD126" s="107"/>
      <c r="GE126" s="107"/>
      <c r="GF126" s="105"/>
      <c r="GH126" s="38"/>
      <c r="GI126" s="13"/>
      <c r="GJ126" s="107"/>
      <c r="GK126" s="107"/>
      <c r="GL126" s="105"/>
      <c r="GN126" s="13"/>
      <c r="GO126" s="107"/>
      <c r="GP126" s="107"/>
      <c r="GQ126" s="105"/>
      <c r="GS126" s="13"/>
      <c r="GT126" s="107"/>
      <c r="GU126" s="107"/>
      <c r="GV126" s="105"/>
      <c r="GX126" s="13"/>
      <c r="GY126" s="107"/>
      <c r="GZ126" s="107"/>
      <c r="HA126" s="105"/>
      <c r="HC126" s="13"/>
      <c r="HD126" s="107"/>
      <c r="HE126" s="107"/>
      <c r="HF126" s="105"/>
      <c r="HH126" s="13"/>
      <c r="HI126" s="107"/>
      <c r="HJ126" s="107"/>
      <c r="HK126" s="105"/>
      <c r="HM126" s="38"/>
      <c r="HN126" s="13"/>
      <c r="HO126" s="107"/>
      <c r="HP126" s="107"/>
      <c r="HQ126" s="105"/>
      <c r="HS126" s="13"/>
      <c r="HT126" s="107"/>
      <c r="HU126" s="107"/>
      <c r="HV126" s="105"/>
      <c r="HX126" s="13"/>
      <c r="HY126" s="107"/>
      <c r="HZ126" s="107"/>
      <c r="IA126" s="105"/>
      <c r="IC126" s="13"/>
      <c r="ID126" s="107"/>
      <c r="IE126" s="107"/>
      <c r="IF126" s="105"/>
      <c r="IH126" s="13"/>
      <c r="II126" s="107"/>
      <c r="IJ126" s="107"/>
      <c r="IK126" s="105"/>
      <c r="IM126" s="13"/>
      <c r="IN126" s="107"/>
      <c r="IO126" s="107"/>
      <c r="IP126" s="105"/>
      <c r="IR126" s="38"/>
      <c r="IS126" s="13"/>
      <c r="IT126" s="107"/>
      <c r="IU126" s="107"/>
      <c r="IV126" s="105"/>
      <c r="IX126" s="13"/>
      <c r="IY126" s="107"/>
      <c r="IZ126" s="107"/>
      <c r="JA126" s="105"/>
      <c r="JC126" s="13"/>
      <c r="JD126" s="107"/>
      <c r="JE126" s="107"/>
      <c r="JF126" s="105"/>
      <c r="JH126" s="13"/>
      <c r="JI126" s="107"/>
      <c r="JJ126" s="107"/>
      <c r="JK126" s="105"/>
      <c r="JM126" s="13"/>
      <c r="JN126" s="107"/>
      <c r="JO126" s="107"/>
      <c r="JP126" s="105"/>
      <c r="JR126" s="13"/>
      <c r="JS126" s="107"/>
      <c r="JT126" s="107"/>
      <c r="JU126" s="105"/>
      <c r="JW126" s="38"/>
      <c r="JX126" s="13"/>
      <c r="JY126" s="107"/>
      <c r="JZ126" s="107"/>
      <c r="KA126" s="105"/>
      <c r="KC126" s="13"/>
      <c r="KD126" s="107"/>
      <c r="KE126" s="107"/>
      <c r="KF126" s="105"/>
      <c r="KH126" s="13"/>
      <c r="KI126" s="107"/>
      <c r="KJ126" s="107"/>
      <c r="KK126" s="105"/>
      <c r="KM126" s="13"/>
      <c r="KN126" s="107"/>
      <c r="KO126" s="107"/>
      <c r="KP126" s="105"/>
      <c r="KR126" s="13"/>
      <c r="KS126" s="107"/>
      <c r="KT126" s="107"/>
      <c r="KU126" s="105"/>
      <c r="KW126" s="13"/>
      <c r="KX126" s="107"/>
      <c r="KY126" s="107"/>
      <c r="KZ126" s="105"/>
      <c r="LB126" s="38"/>
      <c r="LC126" s="13"/>
      <c r="LD126" s="107"/>
      <c r="LE126" s="107"/>
      <c r="LF126" s="105"/>
      <c r="LH126" s="13"/>
      <c r="LI126" s="107"/>
      <c r="LJ126" s="107"/>
      <c r="LK126" s="105"/>
      <c r="LM126" s="13"/>
      <c r="LN126" s="107"/>
      <c r="LO126" s="107"/>
      <c r="LP126" s="105"/>
      <c r="LR126" s="13"/>
      <c r="LS126" s="107"/>
      <c r="LT126" s="107"/>
      <c r="LU126" s="105"/>
      <c r="LW126" s="13"/>
      <c r="LX126" s="107"/>
      <c r="LY126" s="107"/>
      <c r="LZ126" s="105"/>
      <c r="MB126" s="13"/>
      <c r="MC126" s="107"/>
      <c r="MD126" s="107"/>
      <c r="ME126" s="105"/>
      <c r="MG126" s="38"/>
      <c r="MH126" s="13"/>
      <c r="MI126" s="107"/>
      <c r="MJ126" s="107"/>
      <c r="MK126" s="105"/>
      <c r="MM126" s="13"/>
      <c r="MN126" s="107"/>
      <c r="MO126" s="107"/>
      <c r="MP126" s="105"/>
      <c r="MR126" s="13"/>
      <c r="MS126" s="107"/>
      <c r="MT126" s="107"/>
      <c r="MU126" s="105"/>
      <c r="MW126" s="13"/>
      <c r="MX126" s="107"/>
      <c r="MY126" s="107"/>
      <c r="MZ126" s="105"/>
      <c r="NB126" s="13"/>
      <c r="NC126" s="107"/>
      <c r="ND126" s="107"/>
      <c r="NE126" s="105"/>
      <c r="NG126" s="13"/>
      <c r="NH126" s="107"/>
      <c r="NI126" s="107"/>
      <c r="NJ126" s="105"/>
      <c r="NL126" s="38"/>
      <c r="NM126" s="13"/>
      <c r="NN126" s="107"/>
      <c r="NO126" s="107"/>
      <c r="NP126" s="105"/>
      <c r="NR126" s="13"/>
      <c r="NS126" s="107"/>
      <c r="NT126" s="107"/>
      <c r="NU126" s="105"/>
      <c r="NW126" s="13"/>
      <c r="NX126" s="107"/>
      <c r="NY126" s="107"/>
      <c r="NZ126" s="105"/>
      <c r="OB126" s="13"/>
      <c r="OC126" s="107"/>
      <c r="OD126" s="107"/>
      <c r="OE126" s="105"/>
      <c r="OG126" s="13"/>
      <c r="OH126" s="107"/>
      <c r="OI126" s="107"/>
      <c r="OJ126" s="105"/>
      <c r="OL126" s="13"/>
      <c r="OM126" s="107"/>
      <c r="ON126" s="107"/>
      <c r="OO126" s="105"/>
    </row>
    <row r="127" ht="15.75" customHeight="1">
      <c r="A127" s="42"/>
      <c r="B127" s="42"/>
      <c r="C127" s="42"/>
      <c r="D127" s="38">
        <f t="shared" si="335"/>
        <v>45971</v>
      </c>
      <c r="E127" s="105" t="str">
        <f t="shared" ref="E127:I127" si="343">AJ16</f>
        <v/>
      </c>
      <c r="F127" s="105" t="str">
        <f t="shared" si="343"/>
        <v/>
      </c>
      <c r="G127" s="105" t="str">
        <f t="shared" si="343"/>
        <v/>
      </c>
      <c r="H127" s="106" t="str">
        <f t="shared" si="343"/>
        <v/>
      </c>
      <c r="I127" s="106" t="str">
        <f t="shared" si="343"/>
        <v/>
      </c>
      <c r="J127" s="107" t="str">
        <f t="array" ref="J127">IFERROR(IF(XLOOKUP(CONCAT(E127,F127),'MASTER PLAN'!$AB:$AB,'MASTER PLAN'!$M:$M,0,0)=0,"",XLOOKUP(CONCAT(E127,F127),'MASTER PLAN'!$AB:$AB,'MASTER PLAN'!$M:$M,0,0)),"")</f>
        <v/>
      </c>
      <c r="K127" s="107">
        <f t="shared" si="237"/>
        <v>0</v>
      </c>
      <c r="L127" s="107">
        <f t="shared" si="238"/>
        <v>0</v>
      </c>
      <c r="M127" s="105" t="s">
        <v>248</v>
      </c>
      <c r="O127" s="13"/>
      <c r="P127" s="107"/>
      <c r="Q127" s="107"/>
      <c r="R127" s="105"/>
      <c r="T127" s="13"/>
      <c r="U127" s="107"/>
      <c r="V127" s="107"/>
      <c r="W127" s="105"/>
      <c r="Y127" s="13"/>
      <c r="Z127" s="107"/>
      <c r="AA127" s="107"/>
      <c r="AB127" s="105"/>
      <c r="AD127" s="13"/>
      <c r="AE127" s="107"/>
      <c r="AF127" s="107"/>
      <c r="AG127" s="105"/>
      <c r="AI127" s="38"/>
      <c r="AJ127" s="13"/>
      <c r="AK127" s="107"/>
      <c r="AL127" s="107"/>
      <c r="AM127" s="105"/>
      <c r="AO127" s="13"/>
      <c r="AP127" s="107"/>
      <c r="AQ127" s="107"/>
      <c r="AR127" s="105"/>
      <c r="AT127" s="13"/>
      <c r="AU127" s="107"/>
      <c r="AV127" s="107"/>
      <c r="AW127" s="105"/>
      <c r="AY127" s="13"/>
      <c r="AZ127" s="107"/>
      <c r="BA127" s="107"/>
      <c r="BB127" s="105"/>
      <c r="BD127" s="13"/>
      <c r="BE127" s="107"/>
      <c r="BF127" s="107"/>
      <c r="BG127" s="105"/>
      <c r="BI127" s="13"/>
      <c r="BJ127" s="107"/>
      <c r="BK127" s="107"/>
      <c r="BL127" s="105"/>
      <c r="BN127" s="38"/>
      <c r="BO127" s="13"/>
      <c r="BP127" s="107"/>
      <c r="BQ127" s="107"/>
      <c r="BR127" s="105"/>
      <c r="BT127" s="13"/>
      <c r="BU127" s="107"/>
      <c r="BV127" s="107"/>
      <c r="BW127" s="105"/>
      <c r="BY127" s="13"/>
      <c r="BZ127" s="107"/>
      <c r="CA127" s="107"/>
      <c r="CB127" s="105"/>
      <c r="CD127" s="13"/>
      <c r="CE127" s="107"/>
      <c r="CF127" s="107"/>
      <c r="CG127" s="105"/>
      <c r="CI127" s="13"/>
      <c r="CJ127" s="107"/>
      <c r="CK127" s="107"/>
      <c r="CL127" s="105"/>
      <c r="CN127" s="13"/>
      <c r="CO127" s="107"/>
      <c r="CP127" s="107"/>
      <c r="CQ127" s="105"/>
      <c r="CS127" s="38"/>
      <c r="CT127" s="13"/>
      <c r="CU127" s="107"/>
      <c r="CV127" s="107"/>
      <c r="CW127" s="105"/>
      <c r="CY127" s="13"/>
      <c r="CZ127" s="107"/>
      <c r="DA127" s="107"/>
      <c r="DB127" s="105"/>
      <c r="DD127" s="13"/>
      <c r="DE127" s="107"/>
      <c r="DF127" s="107"/>
      <c r="DG127" s="105"/>
      <c r="DI127" s="13"/>
      <c r="DJ127" s="107"/>
      <c r="DK127" s="107"/>
      <c r="DL127" s="105"/>
      <c r="DN127" s="13"/>
      <c r="DO127" s="107"/>
      <c r="DP127" s="107"/>
      <c r="DQ127" s="105"/>
      <c r="DS127" s="13"/>
      <c r="DT127" s="107"/>
      <c r="DU127" s="107"/>
      <c r="DV127" s="105"/>
      <c r="DX127" s="38"/>
      <c r="DY127" s="13"/>
      <c r="DZ127" s="107"/>
      <c r="EA127" s="107"/>
      <c r="EB127" s="105"/>
      <c r="ED127" s="13"/>
      <c r="EE127" s="107"/>
      <c r="EF127" s="107"/>
      <c r="EG127" s="105"/>
      <c r="EI127" s="13"/>
      <c r="EJ127" s="107"/>
      <c r="EK127" s="107"/>
      <c r="EL127" s="105"/>
      <c r="EN127" s="13"/>
      <c r="EO127" s="107"/>
      <c r="EP127" s="107"/>
      <c r="EQ127" s="105"/>
      <c r="ES127" s="13"/>
      <c r="ET127" s="107"/>
      <c r="EU127" s="107"/>
      <c r="EV127" s="105"/>
      <c r="EX127" s="13"/>
      <c r="EY127" s="107"/>
      <c r="EZ127" s="107"/>
      <c r="FA127" s="105"/>
      <c r="FC127" s="38"/>
      <c r="FD127" s="13"/>
      <c r="FE127" s="107"/>
      <c r="FF127" s="107"/>
      <c r="FG127" s="105"/>
      <c r="FI127" s="13"/>
      <c r="FJ127" s="107"/>
      <c r="FK127" s="107"/>
      <c r="FL127" s="105"/>
      <c r="FN127" s="13"/>
      <c r="FO127" s="107"/>
      <c r="FP127" s="107"/>
      <c r="FQ127" s="105"/>
      <c r="FS127" s="13"/>
      <c r="FT127" s="107"/>
      <c r="FU127" s="107"/>
      <c r="FV127" s="105"/>
      <c r="FX127" s="13"/>
      <c r="FY127" s="107"/>
      <c r="FZ127" s="107"/>
      <c r="GA127" s="105"/>
      <c r="GC127" s="13"/>
      <c r="GD127" s="107"/>
      <c r="GE127" s="107"/>
      <c r="GF127" s="105"/>
      <c r="GH127" s="38"/>
      <c r="GI127" s="13"/>
      <c r="GJ127" s="107"/>
      <c r="GK127" s="107"/>
      <c r="GL127" s="105"/>
      <c r="GN127" s="13"/>
      <c r="GO127" s="107"/>
      <c r="GP127" s="107"/>
      <c r="GQ127" s="105"/>
      <c r="GS127" s="13"/>
      <c r="GT127" s="107"/>
      <c r="GU127" s="107"/>
      <c r="GV127" s="105"/>
      <c r="GX127" s="13"/>
      <c r="GY127" s="107"/>
      <c r="GZ127" s="107"/>
      <c r="HA127" s="105"/>
      <c r="HC127" s="13"/>
      <c r="HD127" s="107"/>
      <c r="HE127" s="107"/>
      <c r="HF127" s="105"/>
      <c r="HH127" s="13"/>
      <c r="HI127" s="107"/>
      <c r="HJ127" s="107"/>
      <c r="HK127" s="105"/>
      <c r="HM127" s="38"/>
      <c r="HN127" s="13"/>
      <c r="HO127" s="107"/>
      <c r="HP127" s="107"/>
      <c r="HQ127" s="105"/>
      <c r="HS127" s="13"/>
      <c r="HT127" s="107"/>
      <c r="HU127" s="107"/>
      <c r="HV127" s="105"/>
      <c r="HX127" s="13"/>
      <c r="HY127" s="107"/>
      <c r="HZ127" s="107"/>
      <c r="IA127" s="105"/>
      <c r="IC127" s="13"/>
      <c r="ID127" s="107"/>
      <c r="IE127" s="107"/>
      <c r="IF127" s="105"/>
      <c r="IH127" s="13"/>
      <c r="II127" s="107"/>
      <c r="IJ127" s="107"/>
      <c r="IK127" s="105"/>
      <c r="IM127" s="13"/>
      <c r="IN127" s="107"/>
      <c r="IO127" s="107"/>
      <c r="IP127" s="105"/>
      <c r="IR127" s="38"/>
      <c r="IS127" s="13"/>
      <c r="IT127" s="107"/>
      <c r="IU127" s="107"/>
      <c r="IV127" s="105"/>
      <c r="IX127" s="13"/>
      <c r="IY127" s="107"/>
      <c r="IZ127" s="107"/>
      <c r="JA127" s="105"/>
      <c r="JC127" s="13"/>
      <c r="JD127" s="107"/>
      <c r="JE127" s="107"/>
      <c r="JF127" s="105"/>
      <c r="JH127" s="13"/>
      <c r="JI127" s="107"/>
      <c r="JJ127" s="107"/>
      <c r="JK127" s="105"/>
      <c r="JM127" s="13"/>
      <c r="JN127" s="107"/>
      <c r="JO127" s="107"/>
      <c r="JP127" s="105"/>
      <c r="JR127" s="13"/>
      <c r="JS127" s="107"/>
      <c r="JT127" s="107"/>
      <c r="JU127" s="105"/>
      <c r="JW127" s="38"/>
      <c r="JX127" s="13"/>
      <c r="JY127" s="107"/>
      <c r="JZ127" s="107"/>
      <c r="KA127" s="105"/>
      <c r="KC127" s="13"/>
      <c r="KD127" s="107"/>
      <c r="KE127" s="107"/>
      <c r="KF127" s="105"/>
      <c r="KH127" s="13"/>
      <c r="KI127" s="107"/>
      <c r="KJ127" s="107"/>
      <c r="KK127" s="105"/>
      <c r="KM127" s="13"/>
      <c r="KN127" s="107"/>
      <c r="KO127" s="107"/>
      <c r="KP127" s="105"/>
      <c r="KR127" s="13"/>
      <c r="KS127" s="107"/>
      <c r="KT127" s="107"/>
      <c r="KU127" s="105"/>
      <c r="KW127" s="13"/>
      <c r="KX127" s="107"/>
      <c r="KY127" s="107"/>
      <c r="KZ127" s="105"/>
      <c r="LB127" s="38"/>
      <c r="LC127" s="13"/>
      <c r="LD127" s="107"/>
      <c r="LE127" s="107"/>
      <c r="LF127" s="105"/>
      <c r="LH127" s="13"/>
      <c r="LI127" s="107"/>
      <c r="LJ127" s="107"/>
      <c r="LK127" s="105"/>
      <c r="LM127" s="13"/>
      <c r="LN127" s="107"/>
      <c r="LO127" s="107"/>
      <c r="LP127" s="105"/>
      <c r="LR127" s="13"/>
      <c r="LS127" s="107"/>
      <c r="LT127" s="107"/>
      <c r="LU127" s="105"/>
      <c r="LW127" s="13"/>
      <c r="LX127" s="107"/>
      <c r="LY127" s="107"/>
      <c r="LZ127" s="105"/>
      <c r="MB127" s="13"/>
      <c r="MC127" s="107"/>
      <c r="MD127" s="107"/>
      <c r="ME127" s="105"/>
      <c r="MG127" s="38"/>
      <c r="MH127" s="13"/>
      <c r="MI127" s="107"/>
      <c r="MJ127" s="107"/>
      <c r="MK127" s="105"/>
      <c r="MM127" s="13"/>
      <c r="MN127" s="107"/>
      <c r="MO127" s="107"/>
      <c r="MP127" s="105"/>
      <c r="MR127" s="13"/>
      <c r="MS127" s="107"/>
      <c r="MT127" s="107"/>
      <c r="MU127" s="105"/>
      <c r="MW127" s="13"/>
      <c r="MX127" s="107"/>
      <c r="MY127" s="107"/>
      <c r="MZ127" s="105"/>
      <c r="NB127" s="13"/>
      <c r="NC127" s="107"/>
      <c r="ND127" s="107"/>
      <c r="NE127" s="105"/>
      <c r="NG127" s="13"/>
      <c r="NH127" s="107"/>
      <c r="NI127" s="107"/>
      <c r="NJ127" s="105"/>
      <c r="NL127" s="38"/>
      <c r="NM127" s="13"/>
      <c r="NN127" s="107"/>
      <c r="NO127" s="107"/>
      <c r="NP127" s="105"/>
      <c r="NR127" s="13"/>
      <c r="NS127" s="107"/>
      <c r="NT127" s="107"/>
      <c r="NU127" s="105"/>
      <c r="NW127" s="13"/>
      <c r="NX127" s="107"/>
      <c r="NY127" s="107"/>
      <c r="NZ127" s="105"/>
      <c r="OB127" s="13"/>
      <c r="OC127" s="107"/>
      <c r="OD127" s="107"/>
      <c r="OE127" s="105"/>
      <c r="OG127" s="13"/>
      <c r="OH127" s="107"/>
      <c r="OI127" s="107"/>
      <c r="OJ127" s="105"/>
      <c r="OL127" s="13"/>
      <c r="OM127" s="107"/>
      <c r="ON127" s="107"/>
      <c r="OO127" s="105"/>
    </row>
    <row r="128" ht="15.75" customHeight="1">
      <c r="A128" s="42"/>
      <c r="B128" s="42"/>
      <c r="C128" s="42"/>
      <c r="D128" s="38">
        <f t="shared" si="335"/>
        <v>45971</v>
      </c>
      <c r="E128" s="105" t="str">
        <f t="shared" ref="E128:I128" si="344">AJ20</f>
        <v/>
      </c>
      <c r="F128" s="105" t="str">
        <f t="shared" si="344"/>
        <v/>
      </c>
      <c r="G128" s="105" t="str">
        <f t="shared" si="344"/>
        <v/>
      </c>
      <c r="H128" s="106" t="str">
        <f t="shared" si="344"/>
        <v/>
      </c>
      <c r="I128" s="106" t="str">
        <f t="shared" si="344"/>
        <v/>
      </c>
      <c r="J128" s="107" t="str">
        <f t="array" ref="J128">IFERROR(IF(XLOOKUP(CONCAT(E128,F128),'MASTER PLAN'!$AB:$AB,'MASTER PLAN'!$M:$M,0,0)=0,"",XLOOKUP(CONCAT(E128,F128),'MASTER PLAN'!$AB:$AB,'MASTER PLAN'!$M:$M,0,0)),"")</f>
        <v/>
      </c>
      <c r="K128" s="107">
        <f t="shared" si="237"/>
        <v>0</v>
      </c>
      <c r="L128" s="107">
        <f t="shared" si="238"/>
        <v>0</v>
      </c>
      <c r="M128" s="105" t="s">
        <v>249</v>
      </c>
      <c r="O128" s="13"/>
      <c r="P128" s="107"/>
      <c r="Q128" s="107"/>
      <c r="R128" s="105"/>
      <c r="T128" s="13"/>
      <c r="U128" s="107"/>
      <c r="V128" s="107"/>
      <c r="W128" s="105"/>
      <c r="Y128" s="13"/>
      <c r="Z128" s="107"/>
      <c r="AA128" s="107"/>
      <c r="AB128" s="105"/>
      <c r="AD128" s="13"/>
      <c r="AE128" s="107"/>
      <c r="AF128" s="107"/>
      <c r="AG128" s="105"/>
      <c r="AI128" s="38"/>
      <c r="AJ128" s="13"/>
      <c r="AK128" s="107"/>
      <c r="AL128" s="107"/>
      <c r="AM128" s="105"/>
      <c r="AO128" s="13"/>
      <c r="AP128" s="107"/>
      <c r="AQ128" s="107"/>
      <c r="AR128" s="105"/>
      <c r="AT128" s="13"/>
      <c r="AU128" s="107"/>
      <c r="AV128" s="107"/>
      <c r="AW128" s="105"/>
      <c r="AY128" s="13"/>
      <c r="AZ128" s="107"/>
      <c r="BA128" s="107"/>
      <c r="BB128" s="105"/>
      <c r="BD128" s="13"/>
      <c r="BE128" s="107"/>
      <c r="BF128" s="107"/>
      <c r="BG128" s="105"/>
      <c r="BI128" s="13"/>
      <c r="BJ128" s="107"/>
      <c r="BK128" s="107"/>
      <c r="BL128" s="105"/>
      <c r="BN128" s="38"/>
      <c r="BO128" s="13"/>
      <c r="BP128" s="107"/>
      <c r="BQ128" s="107"/>
      <c r="BR128" s="105"/>
      <c r="BT128" s="13"/>
      <c r="BU128" s="107"/>
      <c r="BV128" s="107"/>
      <c r="BW128" s="105"/>
      <c r="BY128" s="13"/>
      <c r="BZ128" s="107"/>
      <c r="CA128" s="107"/>
      <c r="CB128" s="105"/>
      <c r="CD128" s="13"/>
      <c r="CE128" s="107"/>
      <c r="CF128" s="107"/>
      <c r="CG128" s="105"/>
      <c r="CI128" s="13"/>
      <c r="CJ128" s="107"/>
      <c r="CK128" s="107"/>
      <c r="CL128" s="105"/>
      <c r="CN128" s="13"/>
      <c r="CO128" s="107"/>
      <c r="CP128" s="107"/>
      <c r="CQ128" s="105"/>
      <c r="CS128" s="38"/>
      <c r="CT128" s="13"/>
      <c r="CU128" s="107"/>
      <c r="CV128" s="107"/>
      <c r="CW128" s="105"/>
      <c r="CY128" s="13"/>
      <c r="CZ128" s="107"/>
      <c r="DA128" s="107"/>
      <c r="DB128" s="105"/>
      <c r="DD128" s="13"/>
      <c r="DE128" s="107"/>
      <c r="DF128" s="107"/>
      <c r="DG128" s="105"/>
      <c r="DI128" s="13"/>
      <c r="DJ128" s="107"/>
      <c r="DK128" s="107"/>
      <c r="DL128" s="105"/>
      <c r="DN128" s="13"/>
      <c r="DO128" s="107"/>
      <c r="DP128" s="107"/>
      <c r="DQ128" s="105"/>
      <c r="DS128" s="13"/>
      <c r="DT128" s="107"/>
      <c r="DU128" s="107"/>
      <c r="DV128" s="105"/>
      <c r="DX128" s="38"/>
      <c r="DY128" s="13"/>
      <c r="DZ128" s="107"/>
      <c r="EA128" s="107"/>
      <c r="EB128" s="105"/>
      <c r="ED128" s="13"/>
      <c r="EE128" s="107"/>
      <c r="EF128" s="107"/>
      <c r="EG128" s="105"/>
      <c r="EI128" s="13"/>
      <c r="EJ128" s="107"/>
      <c r="EK128" s="107"/>
      <c r="EL128" s="105"/>
      <c r="EN128" s="13"/>
      <c r="EO128" s="107"/>
      <c r="EP128" s="107"/>
      <c r="EQ128" s="105"/>
      <c r="ES128" s="13"/>
      <c r="ET128" s="107"/>
      <c r="EU128" s="107"/>
      <c r="EV128" s="105"/>
      <c r="EX128" s="13"/>
      <c r="EY128" s="107"/>
      <c r="EZ128" s="107"/>
      <c r="FA128" s="105"/>
      <c r="FC128" s="38"/>
      <c r="FD128" s="13"/>
      <c r="FE128" s="107"/>
      <c r="FF128" s="107"/>
      <c r="FG128" s="105"/>
      <c r="FI128" s="13"/>
      <c r="FJ128" s="107"/>
      <c r="FK128" s="107"/>
      <c r="FL128" s="105"/>
      <c r="FN128" s="13"/>
      <c r="FO128" s="107"/>
      <c r="FP128" s="107"/>
      <c r="FQ128" s="105"/>
      <c r="FS128" s="13"/>
      <c r="FT128" s="107"/>
      <c r="FU128" s="107"/>
      <c r="FV128" s="105"/>
      <c r="FX128" s="13"/>
      <c r="FY128" s="107"/>
      <c r="FZ128" s="107"/>
      <c r="GA128" s="105"/>
      <c r="GC128" s="13"/>
      <c r="GD128" s="107"/>
      <c r="GE128" s="107"/>
      <c r="GF128" s="105"/>
      <c r="GH128" s="38"/>
      <c r="GI128" s="13"/>
      <c r="GJ128" s="107"/>
      <c r="GK128" s="107"/>
      <c r="GL128" s="105"/>
      <c r="GN128" s="13"/>
      <c r="GO128" s="107"/>
      <c r="GP128" s="107"/>
      <c r="GQ128" s="105"/>
      <c r="GS128" s="13"/>
      <c r="GT128" s="107"/>
      <c r="GU128" s="107"/>
      <c r="GV128" s="105"/>
      <c r="GX128" s="13"/>
      <c r="GY128" s="107"/>
      <c r="GZ128" s="107"/>
      <c r="HA128" s="105"/>
      <c r="HC128" s="13"/>
      <c r="HD128" s="107"/>
      <c r="HE128" s="107"/>
      <c r="HF128" s="105"/>
      <c r="HH128" s="13"/>
      <c r="HI128" s="107"/>
      <c r="HJ128" s="107"/>
      <c r="HK128" s="105"/>
      <c r="HM128" s="38"/>
      <c r="HN128" s="13"/>
      <c r="HO128" s="107"/>
      <c r="HP128" s="107"/>
      <c r="HQ128" s="105"/>
      <c r="HS128" s="13"/>
      <c r="HT128" s="107"/>
      <c r="HU128" s="107"/>
      <c r="HV128" s="105"/>
      <c r="HX128" s="13"/>
      <c r="HY128" s="107"/>
      <c r="HZ128" s="107"/>
      <c r="IA128" s="105"/>
      <c r="IC128" s="13"/>
      <c r="ID128" s="107"/>
      <c r="IE128" s="107"/>
      <c r="IF128" s="105"/>
      <c r="IH128" s="13"/>
      <c r="II128" s="107"/>
      <c r="IJ128" s="107"/>
      <c r="IK128" s="105"/>
      <c r="IM128" s="13"/>
      <c r="IN128" s="107"/>
      <c r="IO128" s="107"/>
      <c r="IP128" s="105"/>
      <c r="IR128" s="38"/>
      <c r="IS128" s="13"/>
      <c r="IT128" s="107"/>
      <c r="IU128" s="107"/>
      <c r="IV128" s="105"/>
      <c r="IX128" s="13"/>
      <c r="IY128" s="107"/>
      <c r="IZ128" s="107"/>
      <c r="JA128" s="105"/>
      <c r="JC128" s="13"/>
      <c r="JD128" s="107"/>
      <c r="JE128" s="107"/>
      <c r="JF128" s="105"/>
      <c r="JH128" s="13"/>
      <c r="JI128" s="107"/>
      <c r="JJ128" s="107"/>
      <c r="JK128" s="105"/>
      <c r="JM128" s="13"/>
      <c r="JN128" s="107"/>
      <c r="JO128" s="107"/>
      <c r="JP128" s="105"/>
      <c r="JR128" s="13"/>
      <c r="JS128" s="107"/>
      <c r="JT128" s="107"/>
      <c r="JU128" s="105"/>
      <c r="JW128" s="38"/>
      <c r="JX128" s="13"/>
      <c r="JY128" s="107"/>
      <c r="JZ128" s="107"/>
      <c r="KA128" s="105"/>
      <c r="KC128" s="13"/>
      <c r="KD128" s="107"/>
      <c r="KE128" s="107"/>
      <c r="KF128" s="105"/>
      <c r="KH128" s="13"/>
      <c r="KI128" s="107"/>
      <c r="KJ128" s="107"/>
      <c r="KK128" s="105"/>
      <c r="KM128" s="13"/>
      <c r="KN128" s="107"/>
      <c r="KO128" s="107"/>
      <c r="KP128" s="105"/>
      <c r="KR128" s="13"/>
      <c r="KS128" s="107"/>
      <c r="KT128" s="107"/>
      <c r="KU128" s="105"/>
      <c r="KW128" s="13"/>
      <c r="KX128" s="107"/>
      <c r="KY128" s="107"/>
      <c r="KZ128" s="105"/>
      <c r="LB128" s="38"/>
      <c r="LC128" s="13"/>
      <c r="LD128" s="107"/>
      <c r="LE128" s="107"/>
      <c r="LF128" s="105"/>
      <c r="LH128" s="13"/>
      <c r="LI128" s="107"/>
      <c r="LJ128" s="107"/>
      <c r="LK128" s="105"/>
      <c r="LM128" s="13"/>
      <c r="LN128" s="107"/>
      <c r="LO128" s="107"/>
      <c r="LP128" s="105"/>
      <c r="LR128" s="13"/>
      <c r="LS128" s="107"/>
      <c r="LT128" s="107"/>
      <c r="LU128" s="105"/>
      <c r="LW128" s="13"/>
      <c r="LX128" s="107"/>
      <c r="LY128" s="107"/>
      <c r="LZ128" s="105"/>
      <c r="MB128" s="13"/>
      <c r="MC128" s="107"/>
      <c r="MD128" s="107"/>
      <c r="ME128" s="105"/>
      <c r="MG128" s="38"/>
      <c r="MH128" s="13"/>
      <c r="MI128" s="107"/>
      <c r="MJ128" s="107"/>
      <c r="MK128" s="105"/>
      <c r="MM128" s="13"/>
      <c r="MN128" s="107"/>
      <c r="MO128" s="107"/>
      <c r="MP128" s="105"/>
      <c r="MR128" s="13"/>
      <c r="MS128" s="107"/>
      <c r="MT128" s="107"/>
      <c r="MU128" s="105"/>
      <c r="MW128" s="13"/>
      <c r="MX128" s="107"/>
      <c r="MY128" s="107"/>
      <c r="MZ128" s="105"/>
      <c r="NB128" s="13"/>
      <c r="NC128" s="107"/>
      <c r="ND128" s="107"/>
      <c r="NE128" s="105"/>
      <c r="NG128" s="13"/>
      <c r="NH128" s="107"/>
      <c r="NI128" s="107"/>
      <c r="NJ128" s="105"/>
      <c r="NL128" s="38"/>
      <c r="NM128" s="13"/>
      <c r="NN128" s="107"/>
      <c r="NO128" s="107"/>
      <c r="NP128" s="105"/>
      <c r="NR128" s="13"/>
      <c r="NS128" s="107"/>
      <c r="NT128" s="107"/>
      <c r="NU128" s="105"/>
      <c r="NW128" s="13"/>
      <c r="NX128" s="107"/>
      <c r="NY128" s="107"/>
      <c r="NZ128" s="105"/>
      <c r="OB128" s="13"/>
      <c r="OC128" s="107"/>
      <c r="OD128" s="107"/>
      <c r="OE128" s="105"/>
      <c r="OG128" s="13"/>
      <c r="OH128" s="107"/>
      <c r="OI128" s="107"/>
      <c r="OJ128" s="105"/>
      <c r="OL128" s="13"/>
      <c r="OM128" s="107"/>
      <c r="ON128" s="107"/>
      <c r="OO128" s="105"/>
    </row>
    <row r="129" ht="15.75" customHeight="1">
      <c r="A129" s="42"/>
      <c r="B129" s="42"/>
      <c r="C129" s="42"/>
      <c r="D129" s="38">
        <f t="shared" si="335"/>
        <v>45971</v>
      </c>
      <c r="E129" s="105" t="str">
        <f t="shared" ref="E129:I129" si="345">AJ21</f>
        <v/>
      </c>
      <c r="F129" s="105" t="str">
        <f t="shared" si="345"/>
        <v/>
      </c>
      <c r="G129" s="105" t="str">
        <f t="shared" si="345"/>
        <v/>
      </c>
      <c r="H129" s="106" t="str">
        <f t="shared" si="345"/>
        <v/>
      </c>
      <c r="I129" s="106" t="str">
        <f t="shared" si="345"/>
        <v/>
      </c>
      <c r="J129" s="107" t="str">
        <f t="array" ref="J129">IFERROR(IF(XLOOKUP(CONCAT(E129,F129),'MASTER PLAN'!$AB:$AB,'MASTER PLAN'!$M:$M,0,0)=0,"",XLOOKUP(CONCAT(E129,F129),'MASTER PLAN'!$AB:$AB,'MASTER PLAN'!$M:$M,0,0)),"")</f>
        <v/>
      </c>
      <c r="K129" s="107">
        <f t="shared" si="237"/>
        <v>0</v>
      </c>
      <c r="L129" s="107">
        <f t="shared" si="238"/>
        <v>0</v>
      </c>
      <c r="M129" s="105" t="s">
        <v>249</v>
      </c>
      <c r="O129" s="13"/>
      <c r="P129" s="107"/>
      <c r="Q129" s="107"/>
      <c r="R129" s="105"/>
      <c r="T129" s="13"/>
      <c r="U129" s="107"/>
      <c r="V129" s="107"/>
      <c r="W129" s="105"/>
      <c r="Y129" s="13"/>
      <c r="Z129" s="107"/>
      <c r="AA129" s="107"/>
      <c r="AB129" s="105"/>
      <c r="AD129" s="13"/>
      <c r="AE129" s="107"/>
      <c r="AF129" s="107"/>
      <c r="AG129" s="105"/>
      <c r="AI129" s="38"/>
      <c r="AJ129" s="13"/>
      <c r="AK129" s="107"/>
      <c r="AL129" s="107"/>
      <c r="AM129" s="105"/>
      <c r="AO129" s="13"/>
      <c r="AP129" s="107"/>
      <c r="AQ129" s="107"/>
      <c r="AR129" s="105"/>
      <c r="AT129" s="13"/>
      <c r="AU129" s="107"/>
      <c r="AV129" s="107"/>
      <c r="AW129" s="105"/>
      <c r="AY129" s="13"/>
      <c r="AZ129" s="107"/>
      <c r="BA129" s="107"/>
      <c r="BB129" s="105"/>
      <c r="BD129" s="13"/>
      <c r="BE129" s="107"/>
      <c r="BF129" s="107"/>
      <c r="BG129" s="105"/>
      <c r="BI129" s="13"/>
      <c r="BJ129" s="107"/>
      <c r="BK129" s="107"/>
      <c r="BL129" s="105"/>
      <c r="BN129" s="38"/>
      <c r="BO129" s="13"/>
      <c r="BP129" s="107"/>
      <c r="BQ129" s="107"/>
      <c r="BR129" s="105"/>
      <c r="BT129" s="13"/>
      <c r="BU129" s="107"/>
      <c r="BV129" s="107"/>
      <c r="BW129" s="105"/>
      <c r="BY129" s="13"/>
      <c r="BZ129" s="107"/>
      <c r="CA129" s="107"/>
      <c r="CB129" s="105"/>
      <c r="CD129" s="13"/>
      <c r="CE129" s="107"/>
      <c r="CF129" s="107"/>
      <c r="CG129" s="105"/>
      <c r="CI129" s="13"/>
      <c r="CJ129" s="107"/>
      <c r="CK129" s="107"/>
      <c r="CL129" s="105"/>
      <c r="CN129" s="13"/>
      <c r="CO129" s="107"/>
      <c r="CP129" s="107"/>
      <c r="CQ129" s="105"/>
      <c r="CS129" s="38"/>
      <c r="CT129" s="13"/>
      <c r="CU129" s="107"/>
      <c r="CV129" s="107"/>
      <c r="CW129" s="105"/>
      <c r="CY129" s="13"/>
      <c r="CZ129" s="107"/>
      <c r="DA129" s="107"/>
      <c r="DB129" s="105"/>
      <c r="DD129" s="13"/>
      <c r="DE129" s="107"/>
      <c r="DF129" s="107"/>
      <c r="DG129" s="105"/>
      <c r="DI129" s="13"/>
      <c r="DJ129" s="107"/>
      <c r="DK129" s="107"/>
      <c r="DL129" s="105"/>
      <c r="DN129" s="13"/>
      <c r="DO129" s="107"/>
      <c r="DP129" s="107"/>
      <c r="DQ129" s="105"/>
      <c r="DS129" s="13"/>
      <c r="DT129" s="107"/>
      <c r="DU129" s="107"/>
      <c r="DV129" s="105"/>
      <c r="DX129" s="38"/>
      <c r="DY129" s="13"/>
      <c r="DZ129" s="107"/>
      <c r="EA129" s="107"/>
      <c r="EB129" s="105"/>
      <c r="ED129" s="13"/>
      <c r="EE129" s="107"/>
      <c r="EF129" s="107"/>
      <c r="EG129" s="105"/>
      <c r="EI129" s="13"/>
      <c r="EJ129" s="107"/>
      <c r="EK129" s="107"/>
      <c r="EL129" s="105"/>
      <c r="EN129" s="13"/>
      <c r="EO129" s="107"/>
      <c r="EP129" s="107"/>
      <c r="EQ129" s="105"/>
      <c r="ES129" s="13"/>
      <c r="ET129" s="107"/>
      <c r="EU129" s="107"/>
      <c r="EV129" s="105"/>
      <c r="EX129" s="13"/>
      <c r="EY129" s="107"/>
      <c r="EZ129" s="107"/>
      <c r="FA129" s="105"/>
      <c r="FC129" s="38"/>
      <c r="FD129" s="13"/>
      <c r="FE129" s="107"/>
      <c r="FF129" s="107"/>
      <c r="FG129" s="105"/>
      <c r="FI129" s="13"/>
      <c r="FJ129" s="107"/>
      <c r="FK129" s="107"/>
      <c r="FL129" s="105"/>
      <c r="FN129" s="13"/>
      <c r="FO129" s="107"/>
      <c r="FP129" s="107"/>
      <c r="FQ129" s="105"/>
      <c r="FS129" s="13"/>
      <c r="FT129" s="107"/>
      <c r="FU129" s="107"/>
      <c r="FV129" s="105"/>
      <c r="FX129" s="13"/>
      <c r="FY129" s="107"/>
      <c r="FZ129" s="107"/>
      <c r="GA129" s="105"/>
      <c r="GC129" s="13"/>
      <c r="GD129" s="107"/>
      <c r="GE129" s="107"/>
      <c r="GF129" s="105"/>
      <c r="GH129" s="38"/>
      <c r="GI129" s="13"/>
      <c r="GJ129" s="107"/>
      <c r="GK129" s="107"/>
      <c r="GL129" s="105"/>
      <c r="GN129" s="13"/>
      <c r="GO129" s="107"/>
      <c r="GP129" s="107"/>
      <c r="GQ129" s="105"/>
      <c r="GS129" s="13"/>
      <c r="GT129" s="107"/>
      <c r="GU129" s="107"/>
      <c r="GV129" s="105"/>
      <c r="GX129" s="13"/>
      <c r="GY129" s="107"/>
      <c r="GZ129" s="107"/>
      <c r="HA129" s="105"/>
      <c r="HC129" s="13"/>
      <c r="HD129" s="107"/>
      <c r="HE129" s="107"/>
      <c r="HF129" s="105"/>
      <c r="HH129" s="13"/>
      <c r="HI129" s="107"/>
      <c r="HJ129" s="107"/>
      <c r="HK129" s="105"/>
      <c r="HM129" s="38"/>
      <c r="HN129" s="13"/>
      <c r="HO129" s="107"/>
      <c r="HP129" s="107"/>
      <c r="HQ129" s="105"/>
      <c r="HS129" s="13"/>
      <c r="HT129" s="107"/>
      <c r="HU129" s="107"/>
      <c r="HV129" s="105"/>
      <c r="HX129" s="13"/>
      <c r="HY129" s="107"/>
      <c r="HZ129" s="107"/>
      <c r="IA129" s="105"/>
      <c r="IC129" s="13"/>
      <c r="ID129" s="107"/>
      <c r="IE129" s="107"/>
      <c r="IF129" s="105"/>
      <c r="IH129" s="13"/>
      <c r="II129" s="107"/>
      <c r="IJ129" s="107"/>
      <c r="IK129" s="105"/>
      <c r="IM129" s="13"/>
      <c r="IN129" s="107"/>
      <c r="IO129" s="107"/>
      <c r="IP129" s="105"/>
      <c r="IR129" s="38"/>
      <c r="IS129" s="13"/>
      <c r="IT129" s="107"/>
      <c r="IU129" s="107"/>
      <c r="IV129" s="105"/>
      <c r="IX129" s="13"/>
      <c r="IY129" s="107"/>
      <c r="IZ129" s="107"/>
      <c r="JA129" s="105"/>
      <c r="JC129" s="13"/>
      <c r="JD129" s="107"/>
      <c r="JE129" s="107"/>
      <c r="JF129" s="105"/>
      <c r="JH129" s="13"/>
      <c r="JI129" s="107"/>
      <c r="JJ129" s="107"/>
      <c r="JK129" s="105"/>
      <c r="JM129" s="13"/>
      <c r="JN129" s="107"/>
      <c r="JO129" s="107"/>
      <c r="JP129" s="105"/>
      <c r="JR129" s="13"/>
      <c r="JS129" s="107"/>
      <c r="JT129" s="107"/>
      <c r="JU129" s="105"/>
      <c r="JW129" s="38"/>
      <c r="JX129" s="13"/>
      <c r="JY129" s="107"/>
      <c r="JZ129" s="107"/>
      <c r="KA129" s="105"/>
      <c r="KC129" s="13"/>
      <c r="KD129" s="107"/>
      <c r="KE129" s="107"/>
      <c r="KF129" s="105"/>
      <c r="KH129" s="13"/>
      <c r="KI129" s="107"/>
      <c r="KJ129" s="107"/>
      <c r="KK129" s="105"/>
      <c r="KM129" s="13"/>
      <c r="KN129" s="107"/>
      <c r="KO129" s="107"/>
      <c r="KP129" s="105"/>
      <c r="KR129" s="13"/>
      <c r="KS129" s="107"/>
      <c r="KT129" s="107"/>
      <c r="KU129" s="105"/>
      <c r="KW129" s="13"/>
      <c r="KX129" s="107"/>
      <c r="KY129" s="107"/>
      <c r="KZ129" s="105"/>
      <c r="LB129" s="38"/>
      <c r="LC129" s="13"/>
      <c r="LD129" s="107"/>
      <c r="LE129" s="107"/>
      <c r="LF129" s="105"/>
      <c r="LH129" s="13"/>
      <c r="LI129" s="107"/>
      <c r="LJ129" s="107"/>
      <c r="LK129" s="105"/>
      <c r="LM129" s="13"/>
      <c r="LN129" s="107"/>
      <c r="LO129" s="107"/>
      <c r="LP129" s="105"/>
      <c r="LR129" s="13"/>
      <c r="LS129" s="107"/>
      <c r="LT129" s="107"/>
      <c r="LU129" s="105"/>
      <c r="LW129" s="13"/>
      <c r="LX129" s="107"/>
      <c r="LY129" s="107"/>
      <c r="LZ129" s="105"/>
      <c r="MB129" s="13"/>
      <c r="MC129" s="107"/>
      <c r="MD129" s="107"/>
      <c r="ME129" s="105"/>
      <c r="MG129" s="38"/>
      <c r="MH129" s="13"/>
      <c r="MI129" s="107"/>
      <c r="MJ129" s="107"/>
      <c r="MK129" s="105"/>
      <c r="MM129" s="13"/>
      <c r="MN129" s="107"/>
      <c r="MO129" s="107"/>
      <c r="MP129" s="105"/>
      <c r="MR129" s="13"/>
      <c r="MS129" s="107"/>
      <c r="MT129" s="107"/>
      <c r="MU129" s="105"/>
      <c r="MW129" s="13"/>
      <c r="MX129" s="107"/>
      <c r="MY129" s="107"/>
      <c r="MZ129" s="105"/>
      <c r="NB129" s="13"/>
      <c r="NC129" s="107"/>
      <c r="ND129" s="107"/>
      <c r="NE129" s="105"/>
      <c r="NG129" s="13"/>
      <c r="NH129" s="107"/>
      <c r="NI129" s="107"/>
      <c r="NJ129" s="105"/>
      <c r="NL129" s="38"/>
      <c r="NM129" s="13"/>
      <c r="NN129" s="107"/>
      <c r="NO129" s="107"/>
      <c r="NP129" s="105"/>
      <c r="NR129" s="13"/>
      <c r="NS129" s="107"/>
      <c r="NT129" s="107"/>
      <c r="NU129" s="105"/>
      <c r="NW129" s="13"/>
      <c r="NX129" s="107"/>
      <c r="NY129" s="107"/>
      <c r="NZ129" s="105"/>
      <c r="OB129" s="13"/>
      <c r="OC129" s="107"/>
      <c r="OD129" s="107"/>
      <c r="OE129" s="105"/>
      <c r="OG129" s="13"/>
      <c r="OH129" s="107"/>
      <c r="OI129" s="107"/>
      <c r="OJ129" s="105"/>
      <c r="OL129" s="13"/>
      <c r="OM129" s="107"/>
      <c r="ON129" s="107"/>
      <c r="OO129" s="105"/>
    </row>
    <row r="130" ht="15.75" customHeight="1">
      <c r="A130" s="42"/>
      <c r="B130" s="42"/>
      <c r="C130" s="42"/>
      <c r="D130" s="38">
        <f t="shared" si="335"/>
        <v>45971</v>
      </c>
      <c r="E130" s="105" t="str">
        <f t="shared" ref="E130:I130" si="346">AJ22</f>
        <v/>
      </c>
      <c r="F130" s="105" t="str">
        <f t="shared" si="346"/>
        <v/>
      </c>
      <c r="G130" s="105" t="str">
        <f t="shared" si="346"/>
        <v/>
      </c>
      <c r="H130" s="106" t="str">
        <f t="shared" si="346"/>
        <v/>
      </c>
      <c r="I130" s="106" t="str">
        <f t="shared" si="346"/>
        <v/>
      </c>
      <c r="J130" s="107" t="str">
        <f t="array" ref="J130">IFERROR(IF(XLOOKUP(CONCAT(E130,F130),'MASTER PLAN'!$AB:$AB,'MASTER PLAN'!$M:$M,0,0)=0,"",XLOOKUP(CONCAT(E130,F130),'MASTER PLAN'!$AB:$AB,'MASTER PLAN'!$M:$M,0,0)),"")</f>
        <v/>
      </c>
      <c r="K130" s="107">
        <f t="shared" si="237"/>
        <v>0</v>
      </c>
      <c r="L130" s="107">
        <f t="shared" si="238"/>
        <v>0</v>
      </c>
      <c r="M130" s="105" t="s">
        <v>249</v>
      </c>
      <c r="O130" s="13"/>
      <c r="P130" s="107"/>
      <c r="Q130" s="107"/>
      <c r="R130" s="105"/>
      <c r="T130" s="13"/>
      <c r="U130" s="107"/>
      <c r="V130" s="107"/>
      <c r="W130" s="105"/>
      <c r="Y130" s="13"/>
      <c r="Z130" s="107"/>
      <c r="AA130" s="107"/>
      <c r="AB130" s="105"/>
      <c r="AD130" s="13"/>
      <c r="AE130" s="107"/>
      <c r="AF130" s="107"/>
      <c r="AG130" s="105"/>
      <c r="AI130" s="38"/>
      <c r="AJ130" s="13"/>
      <c r="AK130" s="107"/>
      <c r="AL130" s="107"/>
      <c r="AM130" s="105"/>
      <c r="AO130" s="13"/>
      <c r="AP130" s="107"/>
      <c r="AQ130" s="107"/>
      <c r="AR130" s="105"/>
      <c r="AT130" s="13"/>
      <c r="AU130" s="107"/>
      <c r="AV130" s="107"/>
      <c r="AW130" s="105"/>
      <c r="AY130" s="13"/>
      <c r="AZ130" s="107"/>
      <c r="BA130" s="107"/>
      <c r="BB130" s="105"/>
      <c r="BD130" s="13"/>
      <c r="BE130" s="107"/>
      <c r="BF130" s="107"/>
      <c r="BG130" s="105"/>
      <c r="BI130" s="13"/>
      <c r="BJ130" s="107"/>
      <c r="BK130" s="107"/>
      <c r="BL130" s="105"/>
      <c r="BN130" s="38"/>
      <c r="BO130" s="13"/>
      <c r="BP130" s="107"/>
      <c r="BQ130" s="107"/>
      <c r="BR130" s="105"/>
      <c r="BT130" s="13"/>
      <c r="BU130" s="107"/>
      <c r="BV130" s="107"/>
      <c r="BW130" s="105"/>
      <c r="BY130" s="13"/>
      <c r="BZ130" s="107"/>
      <c r="CA130" s="107"/>
      <c r="CB130" s="105"/>
      <c r="CD130" s="13"/>
      <c r="CE130" s="107"/>
      <c r="CF130" s="107"/>
      <c r="CG130" s="105"/>
      <c r="CI130" s="13"/>
      <c r="CJ130" s="107"/>
      <c r="CK130" s="107"/>
      <c r="CL130" s="105"/>
      <c r="CN130" s="13"/>
      <c r="CO130" s="107"/>
      <c r="CP130" s="107"/>
      <c r="CQ130" s="105"/>
      <c r="CS130" s="38"/>
      <c r="CT130" s="13"/>
      <c r="CU130" s="107"/>
      <c r="CV130" s="107"/>
      <c r="CW130" s="105"/>
      <c r="CY130" s="13"/>
      <c r="CZ130" s="107"/>
      <c r="DA130" s="107"/>
      <c r="DB130" s="105"/>
      <c r="DD130" s="13"/>
      <c r="DE130" s="107"/>
      <c r="DF130" s="107"/>
      <c r="DG130" s="105"/>
      <c r="DI130" s="13"/>
      <c r="DJ130" s="107"/>
      <c r="DK130" s="107"/>
      <c r="DL130" s="105"/>
      <c r="DN130" s="13"/>
      <c r="DO130" s="107"/>
      <c r="DP130" s="107"/>
      <c r="DQ130" s="105"/>
      <c r="DS130" s="13"/>
      <c r="DT130" s="107"/>
      <c r="DU130" s="107"/>
      <c r="DV130" s="105"/>
      <c r="DX130" s="38"/>
      <c r="DY130" s="13"/>
      <c r="DZ130" s="107"/>
      <c r="EA130" s="107"/>
      <c r="EB130" s="105"/>
      <c r="ED130" s="13"/>
      <c r="EE130" s="107"/>
      <c r="EF130" s="107"/>
      <c r="EG130" s="105"/>
      <c r="EI130" s="13"/>
      <c r="EJ130" s="107"/>
      <c r="EK130" s="107"/>
      <c r="EL130" s="105"/>
      <c r="EN130" s="13"/>
      <c r="EO130" s="107"/>
      <c r="EP130" s="107"/>
      <c r="EQ130" s="105"/>
      <c r="ES130" s="13"/>
      <c r="ET130" s="107"/>
      <c r="EU130" s="107"/>
      <c r="EV130" s="105"/>
      <c r="EX130" s="13"/>
      <c r="EY130" s="107"/>
      <c r="EZ130" s="107"/>
      <c r="FA130" s="105"/>
      <c r="FC130" s="38"/>
      <c r="FD130" s="13"/>
      <c r="FE130" s="107"/>
      <c r="FF130" s="107"/>
      <c r="FG130" s="105"/>
      <c r="FI130" s="13"/>
      <c r="FJ130" s="107"/>
      <c r="FK130" s="107"/>
      <c r="FL130" s="105"/>
      <c r="FN130" s="13"/>
      <c r="FO130" s="107"/>
      <c r="FP130" s="107"/>
      <c r="FQ130" s="105"/>
      <c r="FS130" s="13"/>
      <c r="FT130" s="107"/>
      <c r="FU130" s="107"/>
      <c r="FV130" s="105"/>
      <c r="FX130" s="13"/>
      <c r="FY130" s="107"/>
      <c r="FZ130" s="107"/>
      <c r="GA130" s="105"/>
      <c r="GC130" s="13"/>
      <c r="GD130" s="107"/>
      <c r="GE130" s="107"/>
      <c r="GF130" s="105"/>
      <c r="GH130" s="38"/>
      <c r="GI130" s="13"/>
      <c r="GJ130" s="107"/>
      <c r="GK130" s="107"/>
      <c r="GL130" s="105"/>
      <c r="GN130" s="13"/>
      <c r="GO130" s="107"/>
      <c r="GP130" s="107"/>
      <c r="GQ130" s="105"/>
      <c r="GS130" s="13"/>
      <c r="GT130" s="107"/>
      <c r="GU130" s="107"/>
      <c r="GV130" s="105"/>
      <c r="GX130" s="13"/>
      <c r="GY130" s="107"/>
      <c r="GZ130" s="107"/>
      <c r="HA130" s="105"/>
      <c r="HC130" s="13"/>
      <c r="HD130" s="107"/>
      <c r="HE130" s="107"/>
      <c r="HF130" s="105"/>
      <c r="HH130" s="13"/>
      <c r="HI130" s="107"/>
      <c r="HJ130" s="107"/>
      <c r="HK130" s="105"/>
      <c r="HM130" s="38"/>
      <c r="HN130" s="13"/>
      <c r="HO130" s="107"/>
      <c r="HP130" s="107"/>
      <c r="HQ130" s="105"/>
      <c r="HS130" s="13"/>
      <c r="HT130" s="107"/>
      <c r="HU130" s="107"/>
      <c r="HV130" s="105"/>
      <c r="HX130" s="13"/>
      <c r="HY130" s="107"/>
      <c r="HZ130" s="107"/>
      <c r="IA130" s="105"/>
      <c r="IC130" s="13"/>
      <c r="ID130" s="107"/>
      <c r="IE130" s="107"/>
      <c r="IF130" s="105"/>
      <c r="IH130" s="13"/>
      <c r="II130" s="107"/>
      <c r="IJ130" s="107"/>
      <c r="IK130" s="105"/>
      <c r="IM130" s="13"/>
      <c r="IN130" s="107"/>
      <c r="IO130" s="107"/>
      <c r="IP130" s="105"/>
      <c r="IR130" s="38"/>
      <c r="IS130" s="13"/>
      <c r="IT130" s="107"/>
      <c r="IU130" s="107"/>
      <c r="IV130" s="105"/>
      <c r="IX130" s="13"/>
      <c r="IY130" s="107"/>
      <c r="IZ130" s="107"/>
      <c r="JA130" s="105"/>
      <c r="JC130" s="13"/>
      <c r="JD130" s="107"/>
      <c r="JE130" s="107"/>
      <c r="JF130" s="105"/>
      <c r="JH130" s="13"/>
      <c r="JI130" s="107"/>
      <c r="JJ130" s="107"/>
      <c r="JK130" s="105"/>
      <c r="JM130" s="13"/>
      <c r="JN130" s="107"/>
      <c r="JO130" s="107"/>
      <c r="JP130" s="105"/>
      <c r="JR130" s="13"/>
      <c r="JS130" s="107"/>
      <c r="JT130" s="107"/>
      <c r="JU130" s="105"/>
      <c r="JW130" s="38"/>
      <c r="JX130" s="13"/>
      <c r="JY130" s="107"/>
      <c r="JZ130" s="107"/>
      <c r="KA130" s="105"/>
      <c r="KC130" s="13"/>
      <c r="KD130" s="107"/>
      <c r="KE130" s="107"/>
      <c r="KF130" s="105"/>
      <c r="KH130" s="13"/>
      <c r="KI130" s="107"/>
      <c r="KJ130" s="107"/>
      <c r="KK130" s="105"/>
      <c r="KM130" s="13"/>
      <c r="KN130" s="107"/>
      <c r="KO130" s="107"/>
      <c r="KP130" s="105"/>
      <c r="KR130" s="13"/>
      <c r="KS130" s="107"/>
      <c r="KT130" s="107"/>
      <c r="KU130" s="105"/>
      <c r="KW130" s="13"/>
      <c r="KX130" s="107"/>
      <c r="KY130" s="107"/>
      <c r="KZ130" s="105"/>
      <c r="LB130" s="38"/>
      <c r="LC130" s="13"/>
      <c r="LD130" s="107"/>
      <c r="LE130" s="107"/>
      <c r="LF130" s="105"/>
      <c r="LH130" s="13"/>
      <c r="LI130" s="107"/>
      <c r="LJ130" s="107"/>
      <c r="LK130" s="105"/>
      <c r="LM130" s="13"/>
      <c r="LN130" s="107"/>
      <c r="LO130" s="107"/>
      <c r="LP130" s="105"/>
      <c r="LR130" s="13"/>
      <c r="LS130" s="107"/>
      <c r="LT130" s="107"/>
      <c r="LU130" s="105"/>
      <c r="LW130" s="13"/>
      <c r="LX130" s="107"/>
      <c r="LY130" s="107"/>
      <c r="LZ130" s="105"/>
      <c r="MB130" s="13"/>
      <c r="MC130" s="107"/>
      <c r="MD130" s="107"/>
      <c r="ME130" s="105"/>
      <c r="MG130" s="38"/>
      <c r="MH130" s="13"/>
      <c r="MI130" s="107"/>
      <c r="MJ130" s="107"/>
      <c r="MK130" s="105"/>
      <c r="MM130" s="13"/>
      <c r="MN130" s="107"/>
      <c r="MO130" s="107"/>
      <c r="MP130" s="105"/>
      <c r="MR130" s="13"/>
      <c r="MS130" s="107"/>
      <c r="MT130" s="107"/>
      <c r="MU130" s="105"/>
      <c r="MW130" s="13"/>
      <c r="MX130" s="107"/>
      <c r="MY130" s="107"/>
      <c r="MZ130" s="105"/>
      <c r="NB130" s="13"/>
      <c r="NC130" s="107"/>
      <c r="ND130" s="107"/>
      <c r="NE130" s="105"/>
      <c r="NG130" s="13"/>
      <c r="NH130" s="107"/>
      <c r="NI130" s="107"/>
      <c r="NJ130" s="105"/>
      <c r="NL130" s="38"/>
      <c r="NM130" s="13"/>
      <c r="NN130" s="107"/>
      <c r="NO130" s="107"/>
      <c r="NP130" s="105"/>
      <c r="NR130" s="13"/>
      <c r="NS130" s="107"/>
      <c r="NT130" s="107"/>
      <c r="NU130" s="105"/>
      <c r="NW130" s="13"/>
      <c r="NX130" s="107"/>
      <c r="NY130" s="107"/>
      <c r="NZ130" s="105"/>
      <c r="OB130" s="13"/>
      <c r="OC130" s="107"/>
      <c r="OD130" s="107"/>
      <c r="OE130" s="105"/>
      <c r="OG130" s="13"/>
      <c r="OH130" s="107"/>
      <c r="OI130" s="107"/>
      <c r="OJ130" s="105"/>
      <c r="OL130" s="13"/>
      <c r="OM130" s="107"/>
      <c r="ON130" s="107"/>
      <c r="OO130" s="105"/>
    </row>
    <row r="131" ht="15.75" customHeight="1">
      <c r="A131" s="42"/>
      <c r="B131" s="42"/>
      <c r="C131" s="42"/>
      <c r="D131" s="38">
        <f t="shared" si="335"/>
        <v>45971</v>
      </c>
      <c r="E131" s="105" t="str">
        <f t="shared" ref="E131:I131" si="347">AJ23</f>
        <v/>
      </c>
      <c r="F131" s="105" t="str">
        <f t="shared" si="347"/>
        <v/>
      </c>
      <c r="G131" s="105" t="str">
        <f t="shared" si="347"/>
        <v/>
      </c>
      <c r="H131" s="106" t="str">
        <f t="shared" si="347"/>
        <v/>
      </c>
      <c r="I131" s="106" t="str">
        <f t="shared" si="347"/>
        <v/>
      </c>
      <c r="J131" s="107" t="str">
        <f t="array" ref="J131">IFERROR(IF(XLOOKUP(CONCAT(E131,F131),'MASTER PLAN'!$AB:$AB,'MASTER PLAN'!$M:$M,0,0)=0,"",XLOOKUP(CONCAT(E131,F131),'MASTER PLAN'!$AB:$AB,'MASTER PLAN'!$M:$M,0,0)),"")</f>
        <v/>
      </c>
      <c r="K131" s="107">
        <f t="shared" si="237"/>
        <v>0</v>
      </c>
      <c r="L131" s="107">
        <f t="shared" si="238"/>
        <v>0</v>
      </c>
      <c r="M131" s="105" t="s">
        <v>249</v>
      </c>
      <c r="O131" s="13"/>
      <c r="P131" s="107"/>
      <c r="Q131" s="107"/>
      <c r="R131" s="105"/>
      <c r="T131" s="13"/>
      <c r="U131" s="107"/>
      <c r="V131" s="107"/>
      <c r="W131" s="105"/>
      <c r="Y131" s="13"/>
      <c r="Z131" s="107"/>
      <c r="AA131" s="107"/>
      <c r="AB131" s="105"/>
      <c r="AD131" s="13"/>
      <c r="AE131" s="107"/>
      <c r="AF131" s="107"/>
      <c r="AG131" s="105"/>
      <c r="AI131" s="38"/>
      <c r="AJ131" s="13"/>
      <c r="AK131" s="107"/>
      <c r="AL131" s="107"/>
      <c r="AM131" s="105"/>
      <c r="AO131" s="13"/>
      <c r="AP131" s="107"/>
      <c r="AQ131" s="107"/>
      <c r="AR131" s="105"/>
      <c r="AT131" s="13"/>
      <c r="AU131" s="107"/>
      <c r="AV131" s="107"/>
      <c r="AW131" s="105"/>
      <c r="AY131" s="13"/>
      <c r="AZ131" s="107"/>
      <c r="BA131" s="107"/>
      <c r="BB131" s="105"/>
      <c r="BD131" s="13"/>
      <c r="BE131" s="107"/>
      <c r="BF131" s="107"/>
      <c r="BG131" s="105"/>
      <c r="BI131" s="13"/>
      <c r="BJ131" s="107"/>
      <c r="BK131" s="107"/>
      <c r="BL131" s="105"/>
      <c r="BN131" s="38"/>
      <c r="BO131" s="13"/>
      <c r="BP131" s="107"/>
      <c r="BQ131" s="107"/>
      <c r="BR131" s="105"/>
      <c r="BT131" s="13"/>
      <c r="BU131" s="107"/>
      <c r="BV131" s="107"/>
      <c r="BW131" s="105"/>
      <c r="BY131" s="13"/>
      <c r="BZ131" s="107"/>
      <c r="CA131" s="107"/>
      <c r="CB131" s="105"/>
      <c r="CD131" s="13"/>
      <c r="CE131" s="107"/>
      <c r="CF131" s="107"/>
      <c r="CG131" s="105"/>
      <c r="CI131" s="13"/>
      <c r="CJ131" s="107"/>
      <c r="CK131" s="107"/>
      <c r="CL131" s="105"/>
      <c r="CN131" s="13"/>
      <c r="CO131" s="107"/>
      <c r="CP131" s="107"/>
      <c r="CQ131" s="105"/>
      <c r="CS131" s="38"/>
      <c r="CT131" s="13"/>
      <c r="CU131" s="107"/>
      <c r="CV131" s="107"/>
      <c r="CW131" s="105"/>
      <c r="CY131" s="13"/>
      <c r="CZ131" s="107"/>
      <c r="DA131" s="107"/>
      <c r="DB131" s="105"/>
      <c r="DD131" s="13"/>
      <c r="DE131" s="107"/>
      <c r="DF131" s="107"/>
      <c r="DG131" s="105"/>
      <c r="DI131" s="13"/>
      <c r="DJ131" s="107"/>
      <c r="DK131" s="107"/>
      <c r="DL131" s="105"/>
      <c r="DN131" s="13"/>
      <c r="DO131" s="107"/>
      <c r="DP131" s="107"/>
      <c r="DQ131" s="105"/>
      <c r="DS131" s="13"/>
      <c r="DT131" s="107"/>
      <c r="DU131" s="107"/>
      <c r="DV131" s="105"/>
      <c r="DX131" s="38"/>
      <c r="DY131" s="13"/>
      <c r="DZ131" s="107"/>
      <c r="EA131" s="107"/>
      <c r="EB131" s="105"/>
      <c r="ED131" s="13"/>
      <c r="EE131" s="107"/>
      <c r="EF131" s="107"/>
      <c r="EG131" s="105"/>
      <c r="EI131" s="13"/>
      <c r="EJ131" s="107"/>
      <c r="EK131" s="107"/>
      <c r="EL131" s="105"/>
      <c r="EN131" s="13"/>
      <c r="EO131" s="107"/>
      <c r="EP131" s="107"/>
      <c r="EQ131" s="105"/>
      <c r="ES131" s="13"/>
      <c r="ET131" s="107"/>
      <c r="EU131" s="107"/>
      <c r="EV131" s="105"/>
      <c r="EX131" s="13"/>
      <c r="EY131" s="107"/>
      <c r="EZ131" s="107"/>
      <c r="FA131" s="105"/>
      <c r="FC131" s="38"/>
      <c r="FD131" s="13"/>
      <c r="FE131" s="107"/>
      <c r="FF131" s="107"/>
      <c r="FG131" s="105"/>
      <c r="FI131" s="13"/>
      <c r="FJ131" s="107"/>
      <c r="FK131" s="107"/>
      <c r="FL131" s="105"/>
      <c r="FN131" s="13"/>
      <c r="FO131" s="107"/>
      <c r="FP131" s="107"/>
      <c r="FQ131" s="105"/>
      <c r="FS131" s="13"/>
      <c r="FT131" s="107"/>
      <c r="FU131" s="107"/>
      <c r="FV131" s="105"/>
      <c r="FX131" s="13"/>
      <c r="FY131" s="107"/>
      <c r="FZ131" s="107"/>
      <c r="GA131" s="105"/>
      <c r="GC131" s="13"/>
      <c r="GD131" s="107"/>
      <c r="GE131" s="107"/>
      <c r="GF131" s="105"/>
      <c r="GH131" s="38"/>
      <c r="GI131" s="13"/>
      <c r="GJ131" s="107"/>
      <c r="GK131" s="107"/>
      <c r="GL131" s="105"/>
      <c r="GN131" s="13"/>
      <c r="GO131" s="107"/>
      <c r="GP131" s="107"/>
      <c r="GQ131" s="105"/>
      <c r="GS131" s="13"/>
      <c r="GT131" s="107"/>
      <c r="GU131" s="107"/>
      <c r="GV131" s="105"/>
      <c r="GX131" s="13"/>
      <c r="GY131" s="107"/>
      <c r="GZ131" s="107"/>
      <c r="HA131" s="105"/>
      <c r="HC131" s="13"/>
      <c r="HD131" s="107"/>
      <c r="HE131" s="107"/>
      <c r="HF131" s="105"/>
      <c r="HH131" s="13"/>
      <c r="HI131" s="107"/>
      <c r="HJ131" s="107"/>
      <c r="HK131" s="105"/>
      <c r="HM131" s="38"/>
      <c r="HN131" s="13"/>
      <c r="HO131" s="107"/>
      <c r="HP131" s="107"/>
      <c r="HQ131" s="105"/>
      <c r="HS131" s="13"/>
      <c r="HT131" s="107"/>
      <c r="HU131" s="107"/>
      <c r="HV131" s="105"/>
      <c r="HX131" s="13"/>
      <c r="HY131" s="107"/>
      <c r="HZ131" s="107"/>
      <c r="IA131" s="105"/>
      <c r="IC131" s="13"/>
      <c r="ID131" s="107"/>
      <c r="IE131" s="107"/>
      <c r="IF131" s="105"/>
      <c r="IH131" s="13"/>
      <c r="II131" s="107"/>
      <c r="IJ131" s="107"/>
      <c r="IK131" s="105"/>
      <c r="IM131" s="13"/>
      <c r="IN131" s="107"/>
      <c r="IO131" s="107"/>
      <c r="IP131" s="105"/>
      <c r="IR131" s="38"/>
      <c r="IS131" s="13"/>
      <c r="IT131" s="107"/>
      <c r="IU131" s="107"/>
      <c r="IV131" s="105"/>
      <c r="IX131" s="13"/>
      <c r="IY131" s="107"/>
      <c r="IZ131" s="107"/>
      <c r="JA131" s="105"/>
      <c r="JC131" s="13"/>
      <c r="JD131" s="107"/>
      <c r="JE131" s="107"/>
      <c r="JF131" s="105"/>
      <c r="JH131" s="13"/>
      <c r="JI131" s="107"/>
      <c r="JJ131" s="107"/>
      <c r="JK131" s="105"/>
      <c r="JM131" s="13"/>
      <c r="JN131" s="107"/>
      <c r="JO131" s="107"/>
      <c r="JP131" s="105"/>
      <c r="JR131" s="13"/>
      <c r="JS131" s="107"/>
      <c r="JT131" s="107"/>
      <c r="JU131" s="105"/>
      <c r="JW131" s="38"/>
      <c r="JX131" s="13"/>
      <c r="JY131" s="107"/>
      <c r="JZ131" s="107"/>
      <c r="KA131" s="105"/>
      <c r="KC131" s="13"/>
      <c r="KD131" s="107"/>
      <c r="KE131" s="107"/>
      <c r="KF131" s="105"/>
      <c r="KH131" s="13"/>
      <c r="KI131" s="107"/>
      <c r="KJ131" s="107"/>
      <c r="KK131" s="105"/>
      <c r="KM131" s="13"/>
      <c r="KN131" s="107"/>
      <c r="KO131" s="107"/>
      <c r="KP131" s="105"/>
      <c r="KR131" s="13"/>
      <c r="KS131" s="107"/>
      <c r="KT131" s="107"/>
      <c r="KU131" s="105"/>
      <c r="KW131" s="13"/>
      <c r="KX131" s="107"/>
      <c r="KY131" s="107"/>
      <c r="KZ131" s="105"/>
      <c r="LB131" s="38"/>
      <c r="LC131" s="13"/>
      <c r="LD131" s="107"/>
      <c r="LE131" s="107"/>
      <c r="LF131" s="105"/>
      <c r="LH131" s="13"/>
      <c r="LI131" s="107"/>
      <c r="LJ131" s="107"/>
      <c r="LK131" s="105"/>
      <c r="LM131" s="13"/>
      <c r="LN131" s="107"/>
      <c r="LO131" s="107"/>
      <c r="LP131" s="105"/>
      <c r="LR131" s="13"/>
      <c r="LS131" s="107"/>
      <c r="LT131" s="107"/>
      <c r="LU131" s="105"/>
      <c r="LW131" s="13"/>
      <c r="LX131" s="107"/>
      <c r="LY131" s="107"/>
      <c r="LZ131" s="105"/>
      <c r="MB131" s="13"/>
      <c r="MC131" s="107"/>
      <c r="MD131" s="107"/>
      <c r="ME131" s="105"/>
      <c r="MG131" s="38"/>
      <c r="MH131" s="13"/>
      <c r="MI131" s="107"/>
      <c r="MJ131" s="107"/>
      <c r="MK131" s="105"/>
      <c r="MM131" s="13"/>
      <c r="MN131" s="107"/>
      <c r="MO131" s="107"/>
      <c r="MP131" s="105"/>
      <c r="MR131" s="13"/>
      <c r="MS131" s="107"/>
      <c r="MT131" s="107"/>
      <c r="MU131" s="105"/>
      <c r="MW131" s="13"/>
      <c r="MX131" s="107"/>
      <c r="MY131" s="107"/>
      <c r="MZ131" s="105"/>
      <c r="NB131" s="13"/>
      <c r="NC131" s="107"/>
      <c r="ND131" s="107"/>
      <c r="NE131" s="105"/>
      <c r="NG131" s="13"/>
      <c r="NH131" s="107"/>
      <c r="NI131" s="107"/>
      <c r="NJ131" s="105"/>
      <c r="NL131" s="38"/>
      <c r="NM131" s="13"/>
      <c r="NN131" s="107"/>
      <c r="NO131" s="107"/>
      <c r="NP131" s="105"/>
      <c r="NR131" s="13"/>
      <c r="NS131" s="107"/>
      <c r="NT131" s="107"/>
      <c r="NU131" s="105"/>
      <c r="NW131" s="13"/>
      <c r="NX131" s="107"/>
      <c r="NY131" s="107"/>
      <c r="NZ131" s="105"/>
      <c r="OB131" s="13"/>
      <c r="OC131" s="107"/>
      <c r="OD131" s="107"/>
      <c r="OE131" s="105"/>
      <c r="OG131" s="13"/>
      <c r="OH131" s="107"/>
      <c r="OI131" s="107"/>
      <c r="OJ131" s="105"/>
      <c r="OL131" s="13"/>
      <c r="OM131" s="107"/>
      <c r="ON131" s="107"/>
      <c r="OO131" s="105"/>
    </row>
    <row r="132" ht="15.75" customHeight="1">
      <c r="A132" s="42"/>
      <c r="B132" s="42"/>
      <c r="C132" s="42"/>
      <c r="D132" s="38">
        <f t="shared" si="335"/>
        <v>45971</v>
      </c>
      <c r="E132" s="105" t="str">
        <f t="shared" ref="E132:I132" si="348">AJ24</f>
        <v/>
      </c>
      <c r="F132" s="105" t="str">
        <f t="shared" si="348"/>
        <v/>
      </c>
      <c r="G132" s="105" t="str">
        <f t="shared" si="348"/>
        <v/>
      </c>
      <c r="H132" s="106" t="str">
        <f t="shared" si="348"/>
        <v/>
      </c>
      <c r="I132" s="106" t="str">
        <f t="shared" si="348"/>
        <v/>
      </c>
      <c r="J132" s="107" t="str">
        <f t="array" ref="J132">IFERROR(IF(XLOOKUP(CONCAT(E132,F132),'MASTER PLAN'!$AB:$AB,'MASTER PLAN'!$M:$M,0,0)=0,"",XLOOKUP(CONCAT(E132,F132),'MASTER PLAN'!$AB:$AB,'MASTER PLAN'!$M:$M,0,0)),"")</f>
        <v/>
      </c>
      <c r="K132" s="107">
        <f t="shared" si="237"/>
        <v>0</v>
      </c>
      <c r="L132" s="107">
        <f t="shared" si="238"/>
        <v>0</v>
      </c>
      <c r="M132" s="105" t="s">
        <v>249</v>
      </c>
      <c r="O132" s="13"/>
      <c r="P132" s="107"/>
      <c r="Q132" s="107"/>
      <c r="R132" s="105"/>
      <c r="T132" s="13"/>
      <c r="U132" s="107"/>
      <c r="V132" s="107"/>
      <c r="W132" s="105"/>
      <c r="Y132" s="13"/>
      <c r="Z132" s="107"/>
      <c r="AA132" s="107"/>
      <c r="AB132" s="105"/>
      <c r="AD132" s="13"/>
      <c r="AE132" s="107"/>
      <c r="AF132" s="107"/>
      <c r="AG132" s="105"/>
      <c r="AI132" s="38"/>
      <c r="AJ132" s="13"/>
      <c r="AK132" s="107"/>
      <c r="AL132" s="107"/>
      <c r="AM132" s="105"/>
      <c r="AO132" s="13"/>
      <c r="AP132" s="107"/>
      <c r="AQ132" s="107"/>
      <c r="AR132" s="105"/>
      <c r="AT132" s="13"/>
      <c r="AU132" s="107"/>
      <c r="AV132" s="107"/>
      <c r="AW132" s="105"/>
      <c r="AY132" s="13"/>
      <c r="AZ132" s="107"/>
      <c r="BA132" s="107"/>
      <c r="BB132" s="105"/>
      <c r="BD132" s="13"/>
      <c r="BE132" s="107"/>
      <c r="BF132" s="107"/>
      <c r="BG132" s="105"/>
      <c r="BI132" s="13"/>
      <c r="BJ132" s="107"/>
      <c r="BK132" s="107"/>
      <c r="BL132" s="105"/>
      <c r="BN132" s="38"/>
      <c r="BO132" s="13"/>
      <c r="BP132" s="107"/>
      <c r="BQ132" s="107"/>
      <c r="BR132" s="105"/>
      <c r="BT132" s="13"/>
      <c r="BU132" s="107"/>
      <c r="BV132" s="107"/>
      <c r="BW132" s="105"/>
      <c r="BY132" s="13"/>
      <c r="BZ132" s="107"/>
      <c r="CA132" s="107"/>
      <c r="CB132" s="105"/>
      <c r="CD132" s="13"/>
      <c r="CE132" s="107"/>
      <c r="CF132" s="107"/>
      <c r="CG132" s="105"/>
      <c r="CI132" s="13"/>
      <c r="CJ132" s="107"/>
      <c r="CK132" s="107"/>
      <c r="CL132" s="105"/>
      <c r="CN132" s="13"/>
      <c r="CO132" s="107"/>
      <c r="CP132" s="107"/>
      <c r="CQ132" s="105"/>
      <c r="CS132" s="38"/>
      <c r="CT132" s="13"/>
      <c r="CU132" s="107"/>
      <c r="CV132" s="107"/>
      <c r="CW132" s="105"/>
      <c r="CY132" s="13"/>
      <c r="CZ132" s="107"/>
      <c r="DA132" s="107"/>
      <c r="DB132" s="105"/>
      <c r="DD132" s="13"/>
      <c r="DE132" s="107"/>
      <c r="DF132" s="107"/>
      <c r="DG132" s="105"/>
      <c r="DI132" s="13"/>
      <c r="DJ132" s="107"/>
      <c r="DK132" s="107"/>
      <c r="DL132" s="105"/>
      <c r="DN132" s="13"/>
      <c r="DO132" s="107"/>
      <c r="DP132" s="107"/>
      <c r="DQ132" s="105"/>
      <c r="DS132" s="13"/>
      <c r="DT132" s="107"/>
      <c r="DU132" s="107"/>
      <c r="DV132" s="105"/>
      <c r="DX132" s="38"/>
      <c r="DY132" s="13"/>
      <c r="DZ132" s="107"/>
      <c r="EA132" s="107"/>
      <c r="EB132" s="105"/>
      <c r="ED132" s="13"/>
      <c r="EE132" s="107"/>
      <c r="EF132" s="107"/>
      <c r="EG132" s="105"/>
      <c r="EI132" s="13"/>
      <c r="EJ132" s="107"/>
      <c r="EK132" s="107"/>
      <c r="EL132" s="105"/>
      <c r="EN132" s="13"/>
      <c r="EO132" s="107"/>
      <c r="EP132" s="107"/>
      <c r="EQ132" s="105"/>
      <c r="ES132" s="13"/>
      <c r="ET132" s="107"/>
      <c r="EU132" s="107"/>
      <c r="EV132" s="105"/>
      <c r="EX132" s="13"/>
      <c r="EY132" s="107"/>
      <c r="EZ132" s="107"/>
      <c r="FA132" s="105"/>
      <c r="FC132" s="38"/>
      <c r="FD132" s="13"/>
      <c r="FE132" s="107"/>
      <c r="FF132" s="107"/>
      <c r="FG132" s="105"/>
      <c r="FI132" s="13"/>
      <c r="FJ132" s="107"/>
      <c r="FK132" s="107"/>
      <c r="FL132" s="105"/>
      <c r="FN132" s="13"/>
      <c r="FO132" s="107"/>
      <c r="FP132" s="107"/>
      <c r="FQ132" s="105"/>
      <c r="FS132" s="13"/>
      <c r="FT132" s="107"/>
      <c r="FU132" s="107"/>
      <c r="FV132" s="105"/>
      <c r="FX132" s="13"/>
      <c r="FY132" s="107"/>
      <c r="FZ132" s="107"/>
      <c r="GA132" s="105"/>
      <c r="GC132" s="13"/>
      <c r="GD132" s="107"/>
      <c r="GE132" s="107"/>
      <c r="GF132" s="105"/>
      <c r="GH132" s="38"/>
      <c r="GI132" s="13"/>
      <c r="GJ132" s="107"/>
      <c r="GK132" s="107"/>
      <c r="GL132" s="105"/>
      <c r="GN132" s="13"/>
      <c r="GO132" s="107"/>
      <c r="GP132" s="107"/>
      <c r="GQ132" s="105"/>
      <c r="GS132" s="13"/>
      <c r="GT132" s="107"/>
      <c r="GU132" s="107"/>
      <c r="GV132" s="105"/>
      <c r="GX132" s="13"/>
      <c r="GY132" s="107"/>
      <c r="GZ132" s="107"/>
      <c r="HA132" s="105"/>
      <c r="HC132" s="13"/>
      <c r="HD132" s="107"/>
      <c r="HE132" s="107"/>
      <c r="HF132" s="105"/>
      <c r="HH132" s="13"/>
      <c r="HI132" s="107"/>
      <c r="HJ132" s="107"/>
      <c r="HK132" s="105"/>
      <c r="HM132" s="38"/>
      <c r="HN132" s="13"/>
      <c r="HO132" s="107"/>
      <c r="HP132" s="107"/>
      <c r="HQ132" s="105"/>
      <c r="HS132" s="13"/>
      <c r="HT132" s="107"/>
      <c r="HU132" s="107"/>
      <c r="HV132" s="105"/>
      <c r="HX132" s="13"/>
      <c r="HY132" s="107"/>
      <c r="HZ132" s="107"/>
      <c r="IA132" s="105"/>
      <c r="IC132" s="13"/>
      <c r="ID132" s="107"/>
      <c r="IE132" s="107"/>
      <c r="IF132" s="105"/>
      <c r="IH132" s="13"/>
      <c r="II132" s="107"/>
      <c r="IJ132" s="107"/>
      <c r="IK132" s="105"/>
      <c r="IM132" s="13"/>
      <c r="IN132" s="107"/>
      <c r="IO132" s="107"/>
      <c r="IP132" s="105"/>
      <c r="IR132" s="38"/>
      <c r="IS132" s="13"/>
      <c r="IT132" s="107"/>
      <c r="IU132" s="107"/>
      <c r="IV132" s="105"/>
      <c r="IX132" s="13"/>
      <c r="IY132" s="107"/>
      <c r="IZ132" s="107"/>
      <c r="JA132" s="105"/>
      <c r="JC132" s="13"/>
      <c r="JD132" s="107"/>
      <c r="JE132" s="107"/>
      <c r="JF132" s="105"/>
      <c r="JH132" s="13"/>
      <c r="JI132" s="107"/>
      <c r="JJ132" s="107"/>
      <c r="JK132" s="105"/>
      <c r="JM132" s="13"/>
      <c r="JN132" s="107"/>
      <c r="JO132" s="107"/>
      <c r="JP132" s="105"/>
      <c r="JR132" s="13"/>
      <c r="JS132" s="107"/>
      <c r="JT132" s="107"/>
      <c r="JU132" s="105"/>
      <c r="JW132" s="38"/>
      <c r="JX132" s="13"/>
      <c r="JY132" s="107"/>
      <c r="JZ132" s="107"/>
      <c r="KA132" s="105"/>
      <c r="KC132" s="13"/>
      <c r="KD132" s="107"/>
      <c r="KE132" s="107"/>
      <c r="KF132" s="105"/>
      <c r="KH132" s="13"/>
      <c r="KI132" s="107"/>
      <c r="KJ132" s="107"/>
      <c r="KK132" s="105"/>
      <c r="KM132" s="13"/>
      <c r="KN132" s="107"/>
      <c r="KO132" s="107"/>
      <c r="KP132" s="105"/>
      <c r="KR132" s="13"/>
      <c r="KS132" s="107"/>
      <c r="KT132" s="107"/>
      <c r="KU132" s="105"/>
      <c r="KW132" s="13"/>
      <c r="KX132" s="107"/>
      <c r="KY132" s="107"/>
      <c r="KZ132" s="105"/>
      <c r="LB132" s="38"/>
      <c r="LC132" s="13"/>
      <c r="LD132" s="107"/>
      <c r="LE132" s="107"/>
      <c r="LF132" s="105"/>
      <c r="LH132" s="13"/>
      <c r="LI132" s="107"/>
      <c r="LJ132" s="107"/>
      <c r="LK132" s="105"/>
      <c r="LM132" s="13"/>
      <c r="LN132" s="107"/>
      <c r="LO132" s="107"/>
      <c r="LP132" s="105"/>
      <c r="LR132" s="13"/>
      <c r="LS132" s="107"/>
      <c r="LT132" s="107"/>
      <c r="LU132" s="105"/>
      <c r="LW132" s="13"/>
      <c r="LX132" s="107"/>
      <c r="LY132" s="107"/>
      <c r="LZ132" s="105"/>
      <c r="MB132" s="13"/>
      <c r="MC132" s="107"/>
      <c r="MD132" s="107"/>
      <c r="ME132" s="105"/>
      <c r="MG132" s="38"/>
      <c r="MH132" s="13"/>
      <c r="MI132" s="107"/>
      <c r="MJ132" s="107"/>
      <c r="MK132" s="105"/>
      <c r="MM132" s="13"/>
      <c r="MN132" s="107"/>
      <c r="MO132" s="107"/>
      <c r="MP132" s="105"/>
      <c r="MR132" s="13"/>
      <c r="MS132" s="107"/>
      <c r="MT132" s="107"/>
      <c r="MU132" s="105"/>
      <c r="MW132" s="13"/>
      <c r="MX132" s="107"/>
      <c r="MY132" s="107"/>
      <c r="MZ132" s="105"/>
      <c r="NB132" s="13"/>
      <c r="NC132" s="107"/>
      <c r="ND132" s="107"/>
      <c r="NE132" s="105"/>
      <c r="NG132" s="13"/>
      <c r="NH132" s="107"/>
      <c r="NI132" s="107"/>
      <c r="NJ132" s="105"/>
      <c r="NL132" s="38"/>
      <c r="NM132" s="13"/>
      <c r="NN132" s="107"/>
      <c r="NO132" s="107"/>
      <c r="NP132" s="105"/>
      <c r="NR132" s="13"/>
      <c r="NS132" s="107"/>
      <c r="NT132" s="107"/>
      <c r="NU132" s="105"/>
      <c r="NW132" s="13"/>
      <c r="NX132" s="107"/>
      <c r="NY132" s="107"/>
      <c r="NZ132" s="105"/>
      <c r="OB132" s="13"/>
      <c r="OC132" s="107"/>
      <c r="OD132" s="107"/>
      <c r="OE132" s="105"/>
      <c r="OG132" s="13"/>
      <c r="OH132" s="107"/>
      <c r="OI132" s="107"/>
      <c r="OJ132" s="105"/>
      <c r="OL132" s="13"/>
      <c r="OM132" s="107"/>
      <c r="ON132" s="107"/>
      <c r="OO132" s="105"/>
    </row>
    <row r="133" ht="15.75" customHeight="1">
      <c r="A133" s="42"/>
      <c r="B133" s="42"/>
      <c r="C133" s="42"/>
      <c r="D133" s="38">
        <f>AO2</f>
        <v>45972</v>
      </c>
      <c r="E133" s="105" t="str">
        <f t="shared" ref="E133:I133" si="349">AO4</f>
        <v/>
      </c>
      <c r="F133" s="105" t="str">
        <f t="shared" si="349"/>
        <v/>
      </c>
      <c r="G133" s="105" t="str">
        <f t="shared" si="349"/>
        <v/>
      </c>
      <c r="H133" s="106" t="str">
        <f t="shared" si="349"/>
        <v/>
      </c>
      <c r="I133" s="106" t="str">
        <f t="shared" si="349"/>
        <v/>
      </c>
      <c r="J133" s="107" t="str">
        <f t="array" ref="J133">IFERROR(IF(XLOOKUP(CONCAT(E133,F133),'MASTER PLAN'!$AB:$AB,'MASTER PLAN'!$M:$M,0,0)=0,"",XLOOKUP(CONCAT(E133,F133),'MASTER PLAN'!$AB:$AB,'MASTER PLAN'!$M:$M,0,0)),"")</f>
        <v/>
      </c>
      <c r="K133" s="107">
        <f t="shared" si="237"/>
        <v>0</v>
      </c>
      <c r="L133" s="107">
        <f t="shared" si="238"/>
        <v>0</v>
      </c>
      <c r="M133" s="105" t="s">
        <v>246</v>
      </c>
      <c r="O133" s="13"/>
      <c r="P133" s="107"/>
      <c r="Q133" s="107"/>
      <c r="R133" s="105"/>
      <c r="T133" s="13"/>
      <c r="U133" s="107"/>
      <c r="V133" s="107"/>
      <c r="W133" s="105"/>
      <c r="Y133" s="13"/>
      <c r="Z133" s="107"/>
      <c r="AA133" s="107"/>
      <c r="AB133" s="105"/>
      <c r="AD133" s="13"/>
      <c r="AE133" s="107"/>
      <c r="AF133" s="107"/>
      <c r="AG133" s="105"/>
      <c r="AI133" s="38"/>
      <c r="AJ133" s="13"/>
      <c r="AK133" s="107"/>
      <c r="AL133" s="107"/>
      <c r="AM133" s="105"/>
      <c r="AO133" s="13"/>
      <c r="AP133" s="107"/>
      <c r="AQ133" s="107"/>
      <c r="AR133" s="105"/>
      <c r="AT133" s="13"/>
      <c r="AU133" s="107"/>
      <c r="AV133" s="107"/>
      <c r="AW133" s="105"/>
      <c r="AY133" s="13"/>
      <c r="AZ133" s="107"/>
      <c r="BA133" s="107"/>
      <c r="BB133" s="105"/>
      <c r="BD133" s="13"/>
      <c r="BE133" s="107"/>
      <c r="BF133" s="107"/>
      <c r="BG133" s="105"/>
      <c r="BI133" s="13"/>
      <c r="BJ133" s="107"/>
      <c r="BK133" s="107"/>
      <c r="BL133" s="105"/>
      <c r="BN133" s="38"/>
      <c r="BO133" s="13"/>
      <c r="BP133" s="107"/>
      <c r="BQ133" s="107"/>
      <c r="BR133" s="105"/>
      <c r="BT133" s="13"/>
      <c r="BU133" s="107"/>
      <c r="BV133" s="107"/>
      <c r="BW133" s="105"/>
      <c r="BY133" s="13"/>
      <c r="BZ133" s="107"/>
      <c r="CA133" s="107"/>
      <c r="CB133" s="105"/>
      <c r="CD133" s="13"/>
      <c r="CE133" s="107"/>
      <c r="CF133" s="107"/>
      <c r="CG133" s="105"/>
      <c r="CI133" s="13"/>
      <c r="CJ133" s="107"/>
      <c r="CK133" s="107"/>
      <c r="CL133" s="105"/>
      <c r="CN133" s="13"/>
      <c r="CO133" s="107"/>
      <c r="CP133" s="107"/>
      <c r="CQ133" s="105"/>
      <c r="CS133" s="38"/>
      <c r="CT133" s="13"/>
      <c r="CU133" s="107"/>
      <c r="CV133" s="107"/>
      <c r="CW133" s="105"/>
      <c r="CY133" s="13"/>
      <c r="CZ133" s="107"/>
      <c r="DA133" s="107"/>
      <c r="DB133" s="105"/>
      <c r="DD133" s="13"/>
      <c r="DE133" s="107"/>
      <c r="DF133" s="107"/>
      <c r="DG133" s="105"/>
      <c r="DI133" s="13"/>
      <c r="DJ133" s="107"/>
      <c r="DK133" s="107"/>
      <c r="DL133" s="105"/>
      <c r="DN133" s="13"/>
      <c r="DO133" s="107"/>
      <c r="DP133" s="107"/>
      <c r="DQ133" s="105"/>
      <c r="DS133" s="13"/>
      <c r="DT133" s="107"/>
      <c r="DU133" s="107"/>
      <c r="DV133" s="105"/>
      <c r="DX133" s="38"/>
      <c r="DY133" s="13"/>
      <c r="DZ133" s="107"/>
      <c r="EA133" s="107"/>
      <c r="EB133" s="105"/>
      <c r="ED133" s="13"/>
      <c r="EE133" s="107"/>
      <c r="EF133" s="107"/>
      <c r="EG133" s="105"/>
      <c r="EI133" s="13"/>
      <c r="EJ133" s="107"/>
      <c r="EK133" s="107"/>
      <c r="EL133" s="105"/>
      <c r="EN133" s="13"/>
      <c r="EO133" s="107"/>
      <c r="EP133" s="107"/>
      <c r="EQ133" s="105"/>
      <c r="ES133" s="13"/>
      <c r="ET133" s="107"/>
      <c r="EU133" s="107"/>
      <c r="EV133" s="105"/>
      <c r="EX133" s="13"/>
      <c r="EY133" s="107"/>
      <c r="EZ133" s="107"/>
      <c r="FA133" s="105"/>
      <c r="FC133" s="38"/>
      <c r="FD133" s="13"/>
      <c r="FE133" s="107"/>
      <c r="FF133" s="107"/>
      <c r="FG133" s="105"/>
      <c r="FI133" s="13"/>
      <c r="FJ133" s="107"/>
      <c r="FK133" s="107"/>
      <c r="FL133" s="105"/>
      <c r="FN133" s="13"/>
      <c r="FO133" s="107"/>
      <c r="FP133" s="107"/>
      <c r="FQ133" s="105"/>
      <c r="FS133" s="13"/>
      <c r="FT133" s="107"/>
      <c r="FU133" s="107"/>
      <c r="FV133" s="105"/>
      <c r="FX133" s="13"/>
      <c r="FY133" s="107"/>
      <c r="FZ133" s="107"/>
      <c r="GA133" s="105"/>
      <c r="GC133" s="13"/>
      <c r="GD133" s="107"/>
      <c r="GE133" s="107"/>
      <c r="GF133" s="105"/>
      <c r="GH133" s="38"/>
      <c r="GI133" s="13"/>
      <c r="GJ133" s="107"/>
      <c r="GK133" s="107"/>
      <c r="GL133" s="105"/>
      <c r="GN133" s="13"/>
      <c r="GO133" s="107"/>
      <c r="GP133" s="107"/>
      <c r="GQ133" s="105"/>
      <c r="GS133" s="13"/>
      <c r="GT133" s="107"/>
      <c r="GU133" s="107"/>
      <c r="GV133" s="105"/>
      <c r="GX133" s="13"/>
      <c r="GY133" s="107"/>
      <c r="GZ133" s="107"/>
      <c r="HA133" s="105"/>
      <c r="HC133" s="13"/>
      <c r="HD133" s="107"/>
      <c r="HE133" s="107"/>
      <c r="HF133" s="105"/>
      <c r="HH133" s="13"/>
      <c r="HI133" s="107"/>
      <c r="HJ133" s="107"/>
      <c r="HK133" s="105"/>
      <c r="HM133" s="38"/>
      <c r="HN133" s="13"/>
      <c r="HO133" s="107"/>
      <c r="HP133" s="107"/>
      <c r="HQ133" s="105"/>
      <c r="HS133" s="13"/>
      <c r="HT133" s="107"/>
      <c r="HU133" s="107"/>
      <c r="HV133" s="105"/>
      <c r="HX133" s="13"/>
      <c r="HY133" s="107"/>
      <c r="HZ133" s="107"/>
      <c r="IA133" s="105"/>
      <c r="IC133" s="13"/>
      <c r="ID133" s="107"/>
      <c r="IE133" s="107"/>
      <c r="IF133" s="105"/>
      <c r="IH133" s="13"/>
      <c r="II133" s="107"/>
      <c r="IJ133" s="107"/>
      <c r="IK133" s="105"/>
      <c r="IM133" s="13"/>
      <c r="IN133" s="107"/>
      <c r="IO133" s="107"/>
      <c r="IP133" s="105"/>
      <c r="IR133" s="38"/>
      <c r="IS133" s="13"/>
      <c r="IT133" s="107"/>
      <c r="IU133" s="107"/>
      <c r="IV133" s="105"/>
      <c r="IX133" s="13"/>
      <c r="IY133" s="107"/>
      <c r="IZ133" s="107"/>
      <c r="JA133" s="105"/>
      <c r="JC133" s="13"/>
      <c r="JD133" s="107"/>
      <c r="JE133" s="107"/>
      <c r="JF133" s="105"/>
      <c r="JH133" s="13"/>
      <c r="JI133" s="107"/>
      <c r="JJ133" s="107"/>
      <c r="JK133" s="105"/>
      <c r="JM133" s="13"/>
      <c r="JN133" s="107"/>
      <c r="JO133" s="107"/>
      <c r="JP133" s="105"/>
      <c r="JR133" s="13"/>
      <c r="JS133" s="107"/>
      <c r="JT133" s="107"/>
      <c r="JU133" s="105"/>
      <c r="JW133" s="38"/>
      <c r="JX133" s="13"/>
      <c r="JY133" s="107"/>
      <c r="JZ133" s="107"/>
      <c r="KA133" s="105"/>
      <c r="KC133" s="13"/>
      <c r="KD133" s="107"/>
      <c r="KE133" s="107"/>
      <c r="KF133" s="105"/>
      <c r="KH133" s="13"/>
      <c r="KI133" s="107"/>
      <c r="KJ133" s="107"/>
      <c r="KK133" s="105"/>
      <c r="KM133" s="13"/>
      <c r="KN133" s="107"/>
      <c r="KO133" s="107"/>
      <c r="KP133" s="105"/>
      <c r="KR133" s="13"/>
      <c r="KS133" s="107"/>
      <c r="KT133" s="107"/>
      <c r="KU133" s="105"/>
      <c r="KW133" s="13"/>
      <c r="KX133" s="107"/>
      <c r="KY133" s="107"/>
      <c r="KZ133" s="105"/>
      <c r="LB133" s="38"/>
      <c r="LC133" s="13"/>
      <c r="LD133" s="107"/>
      <c r="LE133" s="107"/>
      <c r="LF133" s="105"/>
      <c r="LH133" s="13"/>
      <c r="LI133" s="107"/>
      <c r="LJ133" s="107"/>
      <c r="LK133" s="105"/>
      <c r="LM133" s="13"/>
      <c r="LN133" s="107"/>
      <c r="LO133" s="107"/>
      <c r="LP133" s="105"/>
      <c r="LR133" s="13"/>
      <c r="LS133" s="107"/>
      <c r="LT133" s="107"/>
      <c r="LU133" s="105"/>
      <c r="LW133" s="13"/>
      <c r="LX133" s="107"/>
      <c r="LY133" s="107"/>
      <c r="LZ133" s="105"/>
      <c r="MB133" s="13"/>
      <c r="MC133" s="107"/>
      <c r="MD133" s="107"/>
      <c r="ME133" s="105"/>
      <c r="MG133" s="38"/>
      <c r="MH133" s="13"/>
      <c r="MI133" s="107"/>
      <c r="MJ133" s="107"/>
      <c r="MK133" s="105"/>
      <c r="MM133" s="13"/>
      <c r="MN133" s="107"/>
      <c r="MO133" s="107"/>
      <c r="MP133" s="105"/>
      <c r="MR133" s="13"/>
      <c r="MS133" s="107"/>
      <c r="MT133" s="107"/>
      <c r="MU133" s="105"/>
      <c r="MW133" s="13"/>
      <c r="MX133" s="107"/>
      <c r="MY133" s="107"/>
      <c r="MZ133" s="105"/>
      <c r="NB133" s="13"/>
      <c r="NC133" s="107"/>
      <c r="ND133" s="107"/>
      <c r="NE133" s="105"/>
      <c r="NG133" s="13"/>
      <c r="NH133" s="107"/>
      <c r="NI133" s="107"/>
      <c r="NJ133" s="105"/>
      <c r="NL133" s="38"/>
      <c r="NM133" s="13"/>
      <c r="NN133" s="107"/>
      <c r="NO133" s="107"/>
      <c r="NP133" s="105"/>
      <c r="NR133" s="13"/>
      <c r="NS133" s="107"/>
      <c r="NT133" s="107"/>
      <c r="NU133" s="105"/>
      <c r="NW133" s="13"/>
      <c r="NX133" s="107"/>
      <c r="NY133" s="107"/>
      <c r="NZ133" s="105"/>
      <c r="OB133" s="13"/>
      <c r="OC133" s="107"/>
      <c r="OD133" s="107"/>
      <c r="OE133" s="105"/>
      <c r="OG133" s="13"/>
      <c r="OH133" s="107"/>
      <c r="OI133" s="107"/>
      <c r="OJ133" s="105"/>
      <c r="OL133" s="13"/>
      <c r="OM133" s="107"/>
      <c r="ON133" s="107"/>
      <c r="OO133" s="105"/>
    </row>
    <row r="134" ht="15.75" customHeight="1">
      <c r="A134" s="42"/>
      <c r="B134" s="42"/>
      <c r="C134" s="42"/>
      <c r="D134" s="38">
        <f t="shared" ref="D134:D147" si="351">D133</f>
        <v>45972</v>
      </c>
      <c r="E134" s="105" t="str">
        <f t="shared" ref="E134:I134" si="350">AO5</f>
        <v/>
      </c>
      <c r="F134" s="105" t="str">
        <f t="shared" si="350"/>
        <v/>
      </c>
      <c r="G134" s="105" t="str">
        <f t="shared" si="350"/>
        <v/>
      </c>
      <c r="H134" s="106" t="str">
        <f t="shared" si="350"/>
        <v/>
      </c>
      <c r="I134" s="106" t="str">
        <f t="shared" si="350"/>
        <v/>
      </c>
      <c r="J134" s="107" t="str">
        <f t="array" ref="J134">IFERROR(IF(XLOOKUP(CONCAT(E134,F134),'MASTER PLAN'!$AB:$AB,'MASTER PLAN'!$M:$M,0,0)=0,"",XLOOKUP(CONCAT(E134,F134),'MASTER PLAN'!$AB:$AB,'MASTER PLAN'!$M:$M,0,0)),"")</f>
        <v/>
      </c>
      <c r="K134" s="107">
        <f t="shared" si="237"/>
        <v>0</v>
      </c>
      <c r="L134" s="107">
        <f t="shared" si="238"/>
        <v>0</v>
      </c>
      <c r="M134" s="105" t="s">
        <v>246</v>
      </c>
      <c r="O134" s="13"/>
      <c r="P134" s="107"/>
      <c r="Q134" s="107"/>
      <c r="R134" s="105"/>
      <c r="T134" s="13"/>
      <c r="U134" s="107"/>
      <c r="V134" s="107"/>
      <c r="W134" s="105"/>
      <c r="Y134" s="13"/>
      <c r="Z134" s="107"/>
      <c r="AA134" s="107"/>
      <c r="AB134" s="105"/>
      <c r="AD134" s="13"/>
      <c r="AE134" s="107"/>
      <c r="AF134" s="107"/>
      <c r="AG134" s="105"/>
      <c r="AI134" s="38"/>
      <c r="AJ134" s="13"/>
      <c r="AK134" s="107"/>
      <c r="AL134" s="107"/>
      <c r="AM134" s="105"/>
      <c r="AO134" s="13"/>
      <c r="AP134" s="107"/>
      <c r="AQ134" s="107"/>
      <c r="AR134" s="105"/>
      <c r="AT134" s="13"/>
      <c r="AU134" s="107"/>
      <c r="AV134" s="107"/>
      <c r="AW134" s="105"/>
      <c r="AY134" s="13"/>
      <c r="AZ134" s="107"/>
      <c r="BA134" s="107"/>
      <c r="BB134" s="105"/>
      <c r="BD134" s="13"/>
      <c r="BE134" s="107"/>
      <c r="BF134" s="107"/>
      <c r="BG134" s="105"/>
      <c r="BI134" s="13"/>
      <c r="BJ134" s="107"/>
      <c r="BK134" s="107"/>
      <c r="BL134" s="105"/>
      <c r="BN134" s="38"/>
      <c r="BO134" s="13"/>
      <c r="BP134" s="107"/>
      <c r="BQ134" s="107"/>
      <c r="BR134" s="105"/>
      <c r="BT134" s="13"/>
      <c r="BU134" s="107"/>
      <c r="BV134" s="107"/>
      <c r="BW134" s="105"/>
      <c r="BY134" s="13"/>
      <c r="BZ134" s="107"/>
      <c r="CA134" s="107"/>
      <c r="CB134" s="105"/>
      <c r="CD134" s="13"/>
      <c r="CE134" s="107"/>
      <c r="CF134" s="107"/>
      <c r="CG134" s="105"/>
      <c r="CI134" s="13"/>
      <c r="CJ134" s="107"/>
      <c r="CK134" s="107"/>
      <c r="CL134" s="105"/>
      <c r="CN134" s="13"/>
      <c r="CO134" s="107"/>
      <c r="CP134" s="107"/>
      <c r="CQ134" s="105"/>
      <c r="CS134" s="38"/>
      <c r="CT134" s="13"/>
      <c r="CU134" s="107"/>
      <c r="CV134" s="107"/>
      <c r="CW134" s="105"/>
      <c r="CY134" s="13"/>
      <c r="CZ134" s="107"/>
      <c r="DA134" s="107"/>
      <c r="DB134" s="105"/>
      <c r="DD134" s="13"/>
      <c r="DE134" s="107"/>
      <c r="DF134" s="107"/>
      <c r="DG134" s="105"/>
      <c r="DI134" s="13"/>
      <c r="DJ134" s="107"/>
      <c r="DK134" s="107"/>
      <c r="DL134" s="105"/>
      <c r="DN134" s="13"/>
      <c r="DO134" s="107"/>
      <c r="DP134" s="107"/>
      <c r="DQ134" s="105"/>
      <c r="DS134" s="13"/>
      <c r="DT134" s="107"/>
      <c r="DU134" s="107"/>
      <c r="DV134" s="105"/>
      <c r="DX134" s="38"/>
      <c r="DY134" s="13"/>
      <c r="DZ134" s="107"/>
      <c r="EA134" s="107"/>
      <c r="EB134" s="105"/>
      <c r="ED134" s="13"/>
      <c r="EE134" s="107"/>
      <c r="EF134" s="107"/>
      <c r="EG134" s="105"/>
      <c r="EI134" s="13"/>
      <c r="EJ134" s="107"/>
      <c r="EK134" s="107"/>
      <c r="EL134" s="105"/>
      <c r="EN134" s="13"/>
      <c r="EO134" s="107"/>
      <c r="EP134" s="107"/>
      <c r="EQ134" s="105"/>
      <c r="ES134" s="13"/>
      <c r="ET134" s="107"/>
      <c r="EU134" s="107"/>
      <c r="EV134" s="105"/>
      <c r="EX134" s="13"/>
      <c r="EY134" s="107"/>
      <c r="EZ134" s="107"/>
      <c r="FA134" s="105"/>
      <c r="FC134" s="38"/>
      <c r="FD134" s="13"/>
      <c r="FE134" s="107"/>
      <c r="FF134" s="107"/>
      <c r="FG134" s="105"/>
      <c r="FI134" s="13"/>
      <c r="FJ134" s="107"/>
      <c r="FK134" s="107"/>
      <c r="FL134" s="105"/>
      <c r="FN134" s="13"/>
      <c r="FO134" s="107"/>
      <c r="FP134" s="107"/>
      <c r="FQ134" s="105"/>
      <c r="FS134" s="13"/>
      <c r="FT134" s="107"/>
      <c r="FU134" s="107"/>
      <c r="FV134" s="105"/>
      <c r="FX134" s="13"/>
      <c r="FY134" s="107"/>
      <c r="FZ134" s="107"/>
      <c r="GA134" s="105"/>
      <c r="GC134" s="13"/>
      <c r="GD134" s="107"/>
      <c r="GE134" s="107"/>
      <c r="GF134" s="105"/>
      <c r="GH134" s="38"/>
      <c r="GI134" s="13"/>
      <c r="GJ134" s="107"/>
      <c r="GK134" s="107"/>
      <c r="GL134" s="105"/>
      <c r="GN134" s="13"/>
      <c r="GO134" s="107"/>
      <c r="GP134" s="107"/>
      <c r="GQ134" s="105"/>
      <c r="GS134" s="13"/>
      <c r="GT134" s="107"/>
      <c r="GU134" s="107"/>
      <c r="GV134" s="105"/>
      <c r="GX134" s="13"/>
      <c r="GY134" s="107"/>
      <c r="GZ134" s="107"/>
      <c r="HA134" s="105"/>
      <c r="HC134" s="13"/>
      <c r="HD134" s="107"/>
      <c r="HE134" s="107"/>
      <c r="HF134" s="105"/>
      <c r="HH134" s="13"/>
      <c r="HI134" s="107"/>
      <c r="HJ134" s="107"/>
      <c r="HK134" s="105"/>
      <c r="HM134" s="38"/>
      <c r="HN134" s="13"/>
      <c r="HO134" s="107"/>
      <c r="HP134" s="107"/>
      <c r="HQ134" s="105"/>
      <c r="HS134" s="13"/>
      <c r="HT134" s="107"/>
      <c r="HU134" s="107"/>
      <c r="HV134" s="105"/>
      <c r="HX134" s="13"/>
      <c r="HY134" s="107"/>
      <c r="HZ134" s="107"/>
      <c r="IA134" s="105"/>
      <c r="IC134" s="13"/>
      <c r="ID134" s="107"/>
      <c r="IE134" s="107"/>
      <c r="IF134" s="105"/>
      <c r="IH134" s="13"/>
      <c r="II134" s="107"/>
      <c r="IJ134" s="107"/>
      <c r="IK134" s="105"/>
      <c r="IM134" s="13"/>
      <c r="IN134" s="107"/>
      <c r="IO134" s="107"/>
      <c r="IP134" s="105"/>
      <c r="IR134" s="38"/>
      <c r="IS134" s="13"/>
      <c r="IT134" s="107"/>
      <c r="IU134" s="107"/>
      <c r="IV134" s="105"/>
      <c r="IX134" s="13"/>
      <c r="IY134" s="107"/>
      <c r="IZ134" s="107"/>
      <c r="JA134" s="105"/>
      <c r="JC134" s="13"/>
      <c r="JD134" s="107"/>
      <c r="JE134" s="107"/>
      <c r="JF134" s="105"/>
      <c r="JH134" s="13"/>
      <c r="JI134" s="107"/>
      <c r="JJ134" s="107"/>
      <c r="JK134" s="105"/>
      <c r="JM134" s="13"/>
      <c r="JN134" s="107"/>
      <c r="JO134" s="107"/>
      <c r="JP134" s="105"/>
      <c r="JR134" s="13"/>
      <c r="JS134" s="107"/>
      <c r="JT134" s="107"/>
      <c r="JU134" s="105"/>
      <c r="JW134" s="38"/>
      <c r="JX134" s="13"/>
      <c r="JY134" s="107"/>
      <c r="JZ134" s="107"/>
      <c r="KA134" s="105"/>
      <c r="KC134" s="13"/>
      <c r="KD134" s="107"/>
      <c r="KE134" s="107"/>
      <c r="KF134" s="105"/>
      <c r="KH134" s="13"/>
      <c r="KI134" s="107"/>
      <c r="KJ134" s="107"/>
      <c r="KK134" s="105"/>
      <c r="KM134" s="13"/>
      <c r="KN134" s="107"/>
      <c r="KO134" s="107"/>
      <c r="KP134" s="105"/>
      <c r="KR134" s="13"/>
      <c r="KS134" s="107"/>
      <c r="KT134" s="107"/>
      <c r="KU134" s="105"/>
      <c r="KW134" s="13"/>
      <c r="KX134" s="107"/>
      <c r="KY134" s="107"/>
      <c r="KZ134" s="105"/>
      <c r="LB134" s="38"/>
      <c r="LC134" s="13"/>
      <c r="LD134" s="107"/>
      <c r="LE134" s="107"/>
      <c r="LF134" s="105"/>
      <c r="LH134" s="13"/>
      <c r="LI134" s="107"/>
      <c r="LJ134" s="107"/>
      <c r="LK134" s="105"/>
      <c r="LM134" s="13"/>
      <c r="LN134" s="107"/>
      <c r="LO134" s="107"/>
      <c r="LP134" s="105"/>
      <c r="LR134" s="13"/>
      <c r="LS134" s="107"/>
      <c r="LT134" s="107"/>
      <c r="LU134" s="105"/>
      <c r="LW134" s="13"/>
      <c r="LX134" s="107"/>
      <c r="LY134" s="107"/>
      <c r="LZ134" s="105"/>
      <c r="MB134" s="13"/>
      <c r="MC134" s="107"/>
      <c r="MD134" s="107"/>
      <c r="ME134" s="105"/>
      <c r="MG134" s="38"/>
      <c r="MH134" s="13"/>
      <c r="MI134" s="107"/>
      <c r="MJ134" s="107"/>
      <c r="MK134" s="105"/>
      <c r="MM134" s="13"/>
      <c r="MN134" s="107"/>
      <c r="MO134" s="107"/>
      <c r="MP134" s="105"/>
      <c r="MR134" s="13"/>
      <c r="MS134" s="107"/>
      <c r="MT134" s="107"/>
      <c r="MU134" s="105"/>
      <c r="MW134" s="13"/>
      <c r="MX134" s="107"/>
      <c r="MY134" s="107"/>
      <c r="MZ134" s="105"/>
      <c r="NB134" s="13"/>
      <c r="NC134" s="107"/>
      <c r="ND134" s="107"/>
      <c r="NE134" s="105"/>
      <c r="NG134" s="13"/>
      <c r="NH134" s="107"/>
      <c r="NI134" s="107"/>
      <c r="NJ134" s="105"/>
      <c r="NL134" s="38"/>
      <c r="NM134" s="13"/>
      <c r="NN134" s="107"/>
      <c r="NO134" s="107"/>
      <c r="NP134" s="105"/>
      <c r="NR134" s="13"/>
      <c r="NS134" s="107"/>
      <c r="NT134" s="107"/>
      <c r="NU134" s="105"/>
      <c r="NW134" s="13"/>
      <c r="NX134" s="107"/>
      <c r="NY134" s="107"/>
      <c r="NZ134" s="105"/>
      <c r="OB134" s="13"/>
      <c r="OC134" s="107"/>
      <c r="OD134" s="107"/>
      <c r="OE134" s="105"/>
      <c r="OG134" s="13"/>
      <c r="OH134" s="107"/>
      <c r="OI134" s="107"/>
      <c r="OJ134" s="105"/>
      <c r="OL134" s="13"/>
      <c r="OM134" s="107"/>
      <c r="ON134" s="107"/>
      <c r="OO134" s="105"/>
    </row>
    <row r="135" ht="15.75" customHeight="1">
      <c r="A135" s="42"/>
      <c r="B135" s="42"/>
      <c r="C135" s="42"/>
      <c r="D135" s="38">
        <f t="shared" si="351"/>
        <v>45972</v>
      </c>
      <c r="E135" s="105" t="str">
        <f t="shared" ref="E135:I135" si="352">AO6</f>
        <v/>
      </c>
      <c r="F135" s="105" t="str">
        <f t="shared" si="352"/>
        <v/>
      </c>
      <c r="G135" s="105" t="str">
        <f t="shared" si="352"/>
        <v/>
      </c>
      <c r="H135" s="106" t="str">
        <f t="shared" si="352"/>
        <v/>
      </c>
      <c r="I135" s="106" t="str">
        <f t="shared" si="352"/>
        <v/>
      </c>
      <c r="J135" s="107" t="str">
        <f t="array" ref="J135">IFERROR(IF(XLOOKUP(CONCAT(E135,F135),'MASTER PLAN'!$AB:$AB,'MASTER PLAN'!$M:$M,0,0)=0,"",XLOOKUP(CONCAT(E135,F135),'MASTER PLAN'!$AB:$AB,'MASTER PLAN'!$M:$M,0,0)),"")</f>
        <v/>
      </c>
      <c r="K135" s="107">
        <f t="shared" si="237"/>
        <v>0</v>
      </c>
      <c r="L135" s="107">
        <f t="shared" si="238"/>
        <v>0</v>
      </c>
      <c r="M135" s="105" t="s">
        <v>246</v>
      </c>
      <c r="O135" s="13"/>
      <c r="P135" s="107"/>
      <c r="Q135" s="107"/>
      <c r="R135" s="105"/>
      <c r="T135" s="13"/>
      <c r="U135" s="107"/>
      <c r="V135" s="107"/>
      <c r="W135" s="105"/>
      <c r="Y135" s="13"/>
      <c r="Z135" s="107"/>
      <c r="AA135" s="107"/>
      <c r="AB135" s="105"/>
      <c r="AD135" s="13"/>
      <c r="AE135" s="107"/>
      <c r="AF135" s="107"/>
      <c r="AG135" s="105"/>
      <c r="AI135" s="38"/>
      <c r="AJ135" s="13"/>
      <c r="AK135" s="107"/>
      <c r="AL135" s="107"/>
      <c r="AM135" s="105"/>
      <c r="AO135" s="13"/>
      <c r="AP135" s="107"/>
      <c r="AQ135" s="107"/>
      <c r="AR135" s="105"/>
      <c r="AT135" s="13"/>
      <c r="AU135" s="107"/>
      <c r="AV135" s="107"/>
      <c r="AW135" s="105"/>
      <c r="AY135" s="13"/>
      <c r="AZ135" s="107"/>
      <c r="BA135" s="107"/>
      <c r="BB135" s="105"/>
      <c r="BD135" s="13"/>
      <c r="BE135" s="107"/>
      <c r="BF135" s="107"/>
      <c r="BG135" s="105"/>
      <c r="BI135" s="13"/>
      <c r="BJ135" s="107"/>
      <c r="BK135" s="107"/>
      <c r="BL135" s="105"/>
      <c r="BN135" s="38"/>
      <c r="BO135" s="13"/>
      <c r="BP135" s="107"/>
      <c r="BQ135" s="107"/>
      <c r="BR135" s="105"/>
      <c r="BT135" s="13"/>
      <c r="BU135" s="107"/>
      <c r="BV135" s="107"/>
      <c r="BW135" s="105"/>
      <c r="BY135" s="13"/>
      <c r="BZ135" s="107"/>
      <c r="CA135" s="107"/>
      <c r="CB135" s="105"/>
      <c r="CD135" s="13"/>
      <c r="CE135" s="107"/>
      <c r="CF135" s="107"/>
      <c r="CG135" s="105"/>
      <c r="CI135" s="13"/>
      <c r="CJ135" s="107"/>
      <c r="CK135" s="107"/>
      <c r="CL135" s="105"/>
      <c r="CN135" s="13"/>
      <c r="CO135" s="107"/>
      <c r="CP135" s="107"/>
      <c r="CQ135" s="105"/>
      <c r="CS135" s="38"/>
      <c r="CT135" s="13"/>
      <c r="CU135" s="107"/>
      <c r="CV135" s="107"/>
      <c r="CW135" s="105"/>
      <c r="CY135" s="13"/>
      <c r="CZ135" s="107"/>
      <c r="DA135" s="107"/>
      <c r="DB135" s="105"/>
      <c r="DD135" s="13"/>
      <c r="DE135" s="107"/>
      <c r="DF135" s="107"/>
      <c r="DG135" s="105"/>
      <c r="DI135" s="13"/>
      <c r="DJ135" s="107"/>
      <c r="DK135" s="107"/>
      <c r="DL135" s="105"/>
      <c r="DN135" s="13"/>
      <c r="DO135" s="107"/>
      <c r="DP135" s="107"/>
      <c r="DQ135" s="105"/>
      <c r="DS135" s="13"/>
      <c r="DT135" s="107"/>
      <c r="DU135" s="107"/>
      <c r="DV135" s="105"/>
      <c r="DX135" s="38"/>
      <c r="DY135" s="13"/>
      <c r="DZ135" s="107"/>
      <c r="EA135" s="107"/>
      <c r="EB135" s="105"/>
      <c r="ED135" s="13"/>
      <c r="EE135" s="107"/>
      <c r="EF135" s="107"/>
      <c r="EG135" s="105"/>
      <c r="EI135" s="13"/>
      <c r="EJ135" s="107"/>
      <c r="EK135" s="107"/>
      <c r="EL135" s="105"/>
      <c r="EN135" s="13"/>
      <c r="EO135" s="107"/>
      <c r="EP135" s="107"/>
      <c r="EQ135" s="105"/>
      <c r="ES135" s="13"/>
      <c r="ET135" s="107"/>
      <c r="EU135" s="107"/>
      <c r="EV135" s="105"/>
      <c r="EX135" s="13"/>
      <c r="EY135" s="107"/>
      <c r="EZ135" s="107"/>
      <c r="FA135" s="105"/>
      <c r="FC135" s="38"/>
      <c r="FD135" s="13"/>
      <c r="FE135" s="107"/>
      <c r="FF135" s="107"/>
      <c r="FG135" s="105"/>
      <c r="FI135" s="13"/>
      <c r="FJ135" s="107"/>
      <c r="FK135" s="107"/>
      <c r="FL135" s="105"/>
      <c r="FN135" s="13"/>
      <c r="FO135" s="107"/>
      <c r="FP135" s="107"/>
      <c r="FQ135" s="105"/>
      <c r="FS135" s="13"/>
      <c r="FT135" s="107"/>
      <c r="FU135" s="107"/>
      <c r="FV135" s="105"/>
      <c r="FX135" s="13"/>
      <c r="FY135" s="107"/>
      <c r="FZ135" s="107"/>
      <c r="GA135" s="105"/>
      <c r="GC135" s="13"/>
      <c r="GD135" s="107"/>
      <c r="GE135" s="107"/>
      <c r="GF135" s="105"/>
      <c r="GH135" s="38"/>
      <c r="GI135" s="13"/>
      <c r="GJ135" s="107"/>
      <c r="GK135" s="107"/>
      <c r="GL135" s="105"/>
      <c r="GN135" s="13"/>
      <c r="GO135" s="107"/>
      <c r="GP135" s="107"/>
      <c r="GQ135" s="105"/>
      <c r="GS135" s="13"/>
      <c r="GT135" s="107"/>
      <c r="GU135" s="107"/>
      <c r="GV135" s="105"/>
      <c r="GX135" s="13"/>
      <c r="GY135" s="107"/>
      <c r="GZ135" s="107"/>
      <c r="HA135" s="105"/>
      <c r="HC135" s="13"/>
      <c r="HD135" s="107"/>
      <c r="HE135" s="107"/>
      <c r="HF135" s="105"/>
      <c r="HH135" s="13"/>
      <c r="HI135" s="107"/>
      <c r="HJ135" s="107"/>
      <c r="HK135" s="105"/>
      <c r="HM135" s="38"/>
      <c r="HN135" s="13"/>
      <c r="HO135" s="107"/>
      <c r="HP135" s="107"/>
      <c r="HQ135" s="105"/>
      <c r="HS135" s="13"/>
      <c r="HT135" s="107"/>
      <c r="HU135" s="107"/>
      <c r="HV135" s="105"/>
      <c r="HX135" s="13"/>
      <c r="HY135" s="107"/>
      <c r="HZ135" s="107"/>
      <c r="IA135" s="105"/>
      <c r="IC135" s="13"/>
      <c r="ID135" s="107"/>
      <c r="IE135" s="107"/>
      <c r="IF135" s="105"/>
      <c r="IH135" s="13"/>
      <c r="II135" s="107"/>
      <c r="IJ135" s="107"/>
      <c r="IK135" s="105"/>
      <c r="IM135" s="13"/>
      <c r="IN135" s="107"/>
      <c r="IO135" s="107"/>
      <c r="IP135" s="105"/>
      <c r="IR135" s="38"/>
      <c r="IS135" s="13"/>
      <c r="IT135" s="107"/>
      <c r="IU135" s="107"/>
      <c r="IV135" s="105"/>
      <c r="IX135" s="13"/>
      <c r="IY135" s="107"/>
      <c r="IZ135" s="107"/>
      <c r="JA135" s="105"/>
      <c r="JC135" s="13"/>
      <c r="JD135" s="107"/>
      <c r="JE135" s="107"/>
      <c r="JF135" s="105"/>
      <c r="JH135" s="13"/>
      <c r="JI135" s="107"/>
      <c r="JJ135" s="107"/>
      <c r="JK135" s="105"/>
      <c r="JM135" s="13"/>
      <c r="JN135" s="107"/>
      <c r="JO135" s="107"/>
      <c r="JP135" s="105"/>
      <c r="JR135" s="13"/>
      <c r="JS135" s="107"/>
      <c r="JT135" s="107"/>
      <c r="JU135" s="105"/>
      <c r="JW135" s="38"/>
      <c r="JX135" s="13"/>
      <c r="JY135" s="107"/>
      <c r="JZ135" s="107"/>
      <c r="KA135" s="105"/>
      <c r="KC135" s="13"/>
      <c r="KD135" s="107"/>
      <c r="KE135" s="107"/>
      <c r="KF135" s="105"/>
      <c r="KH135" s="13"/>
      <c r="KI135" s="107"/>
      <c r="KJ135" s="107"/>
      <c r="KK135" s="105"/>
      <c r="KM135" s="13"/>
      <c r="KN135" s="107"/>
      <c r="KO135" s="107"/>
      <c r="KP135" s="105"/>
      <c r="KR135" s="13"/>
      <c r="KS135" s="107"/>
      <c r="KT135" s="107"/>
      <c r="KU135" s="105"/>
      <c r="KW135" s="13"/>
      <c r="KX135" s="107"/>
      <c r="KY135" s="107"/>
      <c r="KZ135" s="105"/>
      <c r="LB135" s="38"/>
      <c r="LC135" s="13"/>
      <c r="LD135" s="107"/>
      <c r="LE135" s="107"/>
      <c r="LF135" s="105"/>
      <c r="LH135" s="13"/>
      <c r="LI135" s="107"/>
      <c r="LJ135" s="107"/>
      <c r="LK135" s="105"/>
      <c r="LM135" s="13"/>
      <c r="LN135" s="107"/>
      <c r="LO135" s="107"/>
      <c r="LP135" s="105"/>
      <c r="LR135" s="13"/>
      <c r="LS135" s="107"/>
      <c r="LT135" s="107"/>
      <c r="LU135" s="105"/>
      <c r="LW135" s="13"/>
      <c r="LX135" s="107"/>
      <c r="LY135" s="107"/>
      <c r="LZ135" s="105"/>
      <c r="MB135" s="13"/>
      <c r="MC135" s="107"/>
      <c r="MD135" s="107"/>
      <c r="ME135" s="105"/>
      <c r="MG135" s="38"/>
      <c r="MH135" s="13"/>
      <c r="MI135" s="107"/>
      <c r="MJ135" s="107"/>
      <c r="MK135" s="105"/>
      <c r="MM135" s="13"/>
      <c r="MN135" s="107"/>
      <c r="MO135" s="107"/>
      <c r="MP135" s="105"/>
      <c r="MR135" s="13"/>
      <c r="MS135" s="107"/>
      <c r="MT135" s="107"/>
      <c r="MU135" s="105"/>
      <c r="MW135" s="13"/>
      <c r="MX135" s="107"/>
      <c r="MY135" s="107"/>
      <c r="MZ135" s="105"/>
      <c r="NB135" s="13"/>
      <c r="NC135" s="107"/>
      <c r="ND135" s="107"/>
      <c r="NE135" s="105"/>
      <c r="NG135" s="13"/>
      <c r="NH135" s="107"/>
      <c r="NI135" s="107"/>
      <c r="NJ135" s="105"/>
      <c r="NL135" s="38"/>
      <c r="NM135" s="13"/>
      <c r="NN135" s="107"/>
      <c r="NO135" s="107"/>
      <c r="NP135" s="105"/>
      <c r="NR135" s="13"/>
      <c r="NS135" s="107"/>
      <c r="NT135" s="107"/>
      <c r="NU135" s="105"/>
      <c r="NW135" s="13"/>
      <c r="NX135" s="107"/>
      <c r="NY135" s="107"/>
      <c r="NZ135" s="105"/>
      <c r="OB135" s="13"/>
      <c r="OC135" s="107"/>
      <c r="OD135" s="107"/>
      <c r="OE135" s="105"/>
      <c r="OG135" s="13"/>
      <c r="OH135" s="107"/>
      <c r="OI135" s="107"/>
      <c r="OJ135" s="105"/>
      <c r="OL135" s="13"/>
      <c r="OM135" s="107"/>
      <c r="ON135" s="107"/>
      <c r="OO135" s="105"/>
    </row>
    <row r="136" ht="15.75" customHeight="1">
      <c r="A136" s="42"/>
      <c r="B136" s="42"/>
      <c r="C136" s="42"/>
      <c r="D136" s="38">
        <f t="shared" si="351"/>
        <v>45972</v>
      </c>
      <c r="E136" s="105" t="str">
        <f t="shared" ref="E136:I136" si="353">AO7</f>
        <v/>
      </c>
      <c r="F136" s="105" t="str">
        <f t="shared" si="353"/>
        <v/>
      </c>
      <c r="G136" s="105" t="str">
        <f t="shared" si="353"/>
        <v/>
      </c>
      <c r="H136" s="106" t="str">
        <f t="shared" si="353"/>
        <v/>
      </c>
      <c r="I136" s="106" t="str">
        <f t="shared" si="353"/>
        <v/>
      </c>
      <c r="J136" s="107" t="str">
        <f t="array" ref="J136">IFERROR(IF(XLOOKUP(CONCAT(E136,F136),'MASTER PLAN'!$AB:$AB,'MASTER PLAN'!$M:$M,0,0)=0,"",XLOOKUP(CONCAT(E136,F136),'MASTER PLAN'!$AB:$AB,'MASTER PLAN'!$M:$M,0,0)),"")</f>
        <v/>
      </c>
      <c r="K136" s="107">
        <f t="shared" si="237"/>
        <v>0</v>
      </c>
      <c r="L136" s="107">
        <f t="shared" si="238"/>
        <v>0</v>
      </c>
      <c r="M136" s="105" t="s">
        <v>246</v>
      </c>
      <c r="O136" s="13"/>
      <c r="P136" s="107"/>
      <c r="Q136" s="107"/>
      <c r="R136" s="105"/>
      <c r="T136" s="13"/>
      <c r="U136" s="107"/>
      <c r="V136" s="107"/>
      <c r="W136" s="105"/>
      <c r="Y136" s="13"/>
      <c r="Z136" s="107"/>
      <c r="AA136" s="107"/>
      <c r="AB136" s="105"/>
      <c r="AD136" s="13"/>
      <c r="AE136" s="107"/>
      <c r="AF136" s="107"/>
      <c r="AG136" s="105"/>
      <c r="AI136" s="38"/>
      <c r="AJ136" s="13"/>
      <c r="AK136" s="107"/>
      <c r="AL136" s="107"/>
      <c r="AM136" s="105"/>
      <c r="AO136" s="13"/>
      <c r="AP136" s="107"/>
      <c r="AQ136" s="107"/>
      <c r="AR136" s="105"/>
      <c r="AT136" s="13"/>
      <c r="AU136" s="107"/>
      <c r="AV136" s="107"/>
      <c r="AW136" s="105"/>
      <c r="AY136" s="13"/>
      <c r="AZ136" s="107"/>
      <c r="BA136" s="107"/>
      <c r="BB136" s="105"/>
      <c r="BD136" s="13"/>
      <c r="BE136" s="107"/>
      <c r="BF136" s="107"/>
      <c r="BG136" s="105"/>
      <c r="BI136" s="13"/>
      <c r="BJ136" s="107"/>
      <c r="BK136" s="107"/>
      <c r="BL136" s="105"/>
      <c r="BN136" s="38"/>
      <c r="BO136" s="13"/>
      <c r="BP136" s="107"/>
      <c r="BQ136" s="107"/>
      <c r="BR136" s="105"/>
      <c r="BT136" s="13"/>
      <c r="BU136" s="107"/>
      <c r="BV136" s="107"/>
      <c r="BW136" s="105"/>
      <c r="BY136" s="13"/>
      <c r="BZ136" s="107"/>
      <c r="CA136" s="107"/>
      <c r="CB136" s="105"/>
      <c r="CD136" s="13"/>
      <c r="CE136" s="107"/>
      <c r="CF136" s="107"/>
      <c r="CG136" s="105"/>
      <c r="CI136" s="13"/>
      <c r="CJ136" s="107"/>
      <c r="CK136" s="107"/>
      <c r="CL136" s="105"/>
      <c r="CN136" s="13"/>
      <c r="CO136" s="107"/>
      <c r="CP136" s="107"/>
      <c r="CQ136" s="105"/>
      <c r="CS136" s="38"/>
      <c r="CT136" s="13"/>
      <c r="CU136" s="107"/>
      <c r="CV136" s="107"/>
      <c r="CW136" s="105"/>
      <c r="CY136" s="13"/>
      <c r="CZ136" s="107"/>
      <c r="DA136" s="107"/>
      <c r="DB136" s="105"/>
      <c r="DD136" s="13"/>
      <c r="DE136" s="107"/>
      <c r="DF136" s="107"/>
      <c r="DG136" s="105"/>
      <c r="DI136" s="13"/>
      <c r="DJ136" s="107"/>
      <c r="DK136" s="107"/>
      <c r="DL136" s="105"/>
      <c r="DN136" s="13"/>
      <c r="DO136" s="107"/>
      <c r="DP136" s="107"/>
      <c r="DQ136" s="105"/>
      <c r="DS136" s="13"/>
      <c r="DT136" s="107"/>
      <c r="DU136" s="107"/>
      <c r="DV136" s="105"/>
      <c r="DX136" s="38"/>
      <c r="DY136" s="13"/>
      <c r="DZ136" s="107"/>
      <c r="EA136" s="107"/>
      <c r="EB136" s="105"/>
      <c r="ED136" s="13"/>
      <c r="EE136" s="107"/>
      <c r="EF136" s="107"/>
      <c r="EG136" s="105"/>
      <c r="EI136" s="13"/>
      <c r="EJ136" s="107"/>
      <c r="EK136" s="107"/>
      <c r="EL136" s="105"/>
      <c r="EN136" s="13"/>
      <c r="EO136" s="107"/>
      <c r="EP136" s="107"/>
      <c r="EQ136" s="105"/>
      <c r="ES136" s="13"/>
      <c r="ET136" s="107"/>
      <c r="EU136" s="107"/>
      <c r="EV136" s="105"/>
      <c r="EX136" s="13"/>
      <c r="EY136" s="107"/>
      <c r="EZ136" s="107"/>
      <c r="FA136" s="105"/>
      <c r="FC136" s="38"/>
      <c r="FD136" s="13"/>
      <c r="FE136" s="107"/>
      <c r="FF136" s="107"/>
      <c r="FG136" s="105"/>
      <c r="FI136" s="13"/>
      <c r="FJ136" s="107"/>
      <c r="FK136" s="107"/>
      <c r="FL136" s="105"/>
      <c r="FN136" s="13"/>
      <c r="FO136" s="107"/>
      <c r="FP136" s="107"/>
      <c r="FQ136" s="105"/>
      <c r="FS136" s="13"/>
      <c r="FT136" s="107"/>
      <c r="FU136" s="107"/>
      <c r="FV136" s="105"/>
      <c r="FX136" s="13"/>
      <c r="FY136" s="107"/>
      <c r="FZ136" s="107"/>
      <c r="GA136" s="105"/>
      <c r="GC136" s="13"/>
      <c r="GD136" s="107"/>
      <c r="GE136" s="107"/>
      <c r="GF136" s="105"/>
      <c r="GH136" s="38"/>
      <c r="GI136" s="13"/>
      <c r="GJ136" s="107"/>
      <c r="GK136" s="107"/>
      <c r="GL136" s="105"/>
      <c r="GN136" s="13"/>
      <c r="GO136" s="107"/>
      <c r="GP136" s="107"/>
      <c r="GQ136" s="105"/>
      <c r="GS136" s="13"/>
      <c r="GT136" s="107"/>
      <c r="GU136" s="107"/>
      <c r="GV136" s="105"/>
      <c r="GX136" s="13"/>
      <c r="GY136" s="107"/>
      <c r="GZ136" s="107"/>
      <c r="HA136" s="105"/>
      <c r="HC136" s="13"/>
      <c r="HD136" s="107"/>
      <c r="HE136" s="107"/>
      <c r="HF136" s="105"/>
      <c r="HH136" s="13"/>
      <c r="HI136" s="107"/>
      <c r="HJ136" s="107"/>
      <c r="HK136" s="105"/>
      <c r="HM136" s="38"/>
      <c r="HN136" s="13"/>
      <c r="HO136" s="107"/>
      <c r="HP136" s="107"/>
      <c r="HQ136" s="105"/>
      <c r="HS136" s="13"/>
      <c r="HT136" s="107"/>
      <c r="HU136" s="107"/>
      <c r="HV136" s="105"/>
      <c r="HX136" s="13"/>
      <c r="HY136" s="107"/>
      <c r="HZ136" s="107"/>
      <c r="IA136" s="105"/>
      <c r="IC136" s="13"/>
      <c r="ID136" s="107"/>
      <c r="IE136" s="107"/>
      <c r="IF136" s="105"/>
      <c r="IH136" s="13"/>
      <c r="II136" s="107"/>
      <c r="IJ136" s="107"/>
      <c r="IK136" s="105"/>
      <c r="IM136" s="13"/>
      <c r="IN136" s="107"/>
      <c r="IO136" s="107"/>
      <c r="IP136" s="105"/>
      <c r="IR136" s="38"/>
      <c r="IS136" s="13"/>
      <c r="IT136" s="107"/>
      <c r="IU136" s="107"/>
      <c r="IV136" s="105"/>
      <c r="IX136" s="13"/>
      <c r="IY136" s="107"/>
      <c r="IZ136" s="107"/>
      <c r="JA136" s="105"/>
      <c r="JC136" s="13"/>
      <c r="JD136" s="107"/>
      <c r="JE136" s="107"/>
      <c r="JF136" s="105"/>
      <c r="JH136" s="13"/>
      <c r="JI136" s="107"/>
      <c r="JJ136" s="107"/>
      <c r="JK136" s="105"/>
      <c r="JM136" s="13"/>
      <c r="JN136" s="107"/>
      <c r="JO136" s="107"/>
      <c r="JP136" s="105"/>
      <c r="JR136" s="13"/>
      <c r="JS136" s="107"/>
      <c r="JT136" s="107"/>
      <c r="JU136" s="105"/>
      <c r="JW136" s="38"/>
      <c r="JX136" s="13"/>
      <c r="JY136" s="107"/>
      <c r="JZ136" s="107"/>
      <c r="KA136" s="105"/>
      <c r="KC136" s="13"/>
      <c r="KD136" s="107"/>
      <c r="KE136" s="107"/>
      <c r="KF136" s="105"/>
      <c r="KH136" s="13"/>
      <c r="KI136" s="107"/>
      <c r="KJ136" s="107"/>
      <c r="KK136" s="105"/>
      <c r="KM136" s="13"/>
      <c r="KN136" s="107"/>
      <c r="KO136" s="107"/>
      <c r="KP136" s="105"/>
      <c r="KR136" s="13"/>
      <c r="KS136" s="107"/>
      <c r="KT136" s="107"/>
      <c r="KU136" s="105"/>
      <c r="KW136" s="13"/>
      <c r="KX136" s="107"/>
      <c r="KY136" s="107"/>
      <c r="KZ136" s="105"/>
      <c r="LB136" s="38"/>
      <c r="LC136" s="13"/>
      <c r="LD136" s="107"/>
      <c r="LE136" s="107"/>
      <c r="LF136" s="105"/>
      <c r="LH136" s="13"/>
      <c r="LI136" s="107"/>
      <c r="LJ136" s="107"/>
      <c r="LK136" s="105"/>
      <c r="LM136" s="13"/>
      <c r="LN136" s="107"/>
      <c r="LO136" s="107"/>
      <c r="LP136" s="105"/>
      <c r="LR136" s="13"/>
      <c r="LS136" s="107"/>
      <c r="LT136" s="107"/>
      <c r="LU136" s="105"/>
      <c r="LW136" s="13"/>
      <c r="LX136" s="107"/>
      <c r="LY136" s="107"/>
      <c r="LZ136" s="105"/>
      <c r="MB136" s="13"/>
      <c r="MC136" s="107"/>
      <c r="MD136" s="107"/>
      <c r="ME136" s="105"/>
      <c r="MG136" s="38"/>
      <c r="MH136" s="13"/>
      <c r="MI136" s="107"/>
      <c r="MJ136" s="107"/>
      <c r="MK136" s="105"/>
      <c r="MM136" s="13"/>
      <c r="MN136" s="107"/>
      <c r="MO136" s="107"/>
      <c r="MP136" s="105"/>
      <c r="MR136" s="13"/>
      <c r="MS136" s="107"/>
      <c r="MT136" s="107"/>
      <c r="MU136" s="105"/>
      <c r="MW136" s="13"/>
      <c r="MX136" s="107"/>
      <c r="MY136" s="107"/>
      <c r="MZ136" s="105"/>
      <c r="NB136" s="13"/>
      <c r="NC136" s="107"/>
      <c r="ND136" s="107"/>
      <c r="NE136" s="105"/>
      <c r="NG136" s="13"/>
      <c r="NH136" s="107"/>
      <c r="NI136" s="107"/>
      <c r="NJ136" s="105"/>
      <c r="NL136" s="38"/>
      <c r="NM136" s="13"/>
      <c r="NN136" s="107"/>
      <c r="NO136" s="107"/>
      <c r="NP136" s="105"/>
      <c r="NR136" s="13"/>
      <c r="NS136" s="107"/>
      <c r="NT136" s="107"/>
      <c r="NU136" s="105"/>
      <c r="NW136" s="13"/>
      <c r="NX136" s="107"/>
      <c r="NY136" s="107"/>
      <c r="NZ136" s="105"/>
      <c r="OB136" s="13"/>
      <c r="OC136" s="107"/>
      <c r="OD136" s="107"/>
      <c r="OE136" s="105"/>
      <c r="OG136" s="13"/>
      <c r="OH136" s="107"/>
      <c r="OI136" s="107"/>
      <c r="OJ136" s="105"/>
      <c r="OL136" s="13"/>
      <c r="OM136" s="107"/>
      <c r="ON136" s="107"/>
      <c r="OO136" s="105"/>
    </row>
    <row r="137" ht="15.75" customHeight="1">
      <c r="A137" s="42"/>
      <c r="B137" s="42"/>
      <c r="C137" s="42"/>
      <c r="D137" s="38">
        <f t="shared" si="351"/>
        <v>45972</v>
      </c>
      <c r="E137" s="105" t="str">
        <f t="shared" ref="E137:I137" si="354">AO8</f>
        <v/>
      </c>
      <c r="F137" s="105" t="str">
        <f t="shared" si="354"/>
        <v/>
      </c>
      <c r="G137" s="105" t="str">
        <f t="shared" si="354"/>
        <v/>
      </c>
      <c r="H137" s="106" t="str">
        <f t="shared" si="354"/>
        <v/>
      </c>
      <c r="I137" s="106" t="str">
        <f t="shared" si="354"/>
        <v/>
      </c>
      <c r="J137" s="107" t="str">
        <f t="array" ref="J137">IFERROR(IF(XLOOKUP(CONCAT(E137,F137),'MASTER PLAN'!$AB:$AB,'MASTER PLAN'!$M:$M,0,0)=0,"",XLOOKUP(CONCAT(E137,F137),'MASTER PLAN'!$AB:$AB,'MASTER PLAN'!$M:$M,0,0)),"")</f>
        <v/>
      </c>
      <c r="K137" s="107">
        <f t="shared" si="237"/>
        <v>0</v>
      </c>
      <c r="L137" s="107">
        <f t="shared" si="238"/>
        <v>0</v>
      </c>
      <c r="M137" s="105" t="s">
        <v>246</v>
      </c>
      <c r="O137" s="13"/>
      <c r="P137" s="107"/>
      <c r="Q137" s="107"/>
      <c r="R137" s="105"/>
      <c r="T137" s="13"/>
      <c r="U137" s="107"/>
      <c r="V137" s="107"/>
      <c r="W137" s="105"/>
      <c r="Y137" s="13"/>
      <c r="Z137" s="107"/>
      <c r="AA137" s="107"/>
      <c r="AB137" s="105"/>
      <c r="AD137" s="13"/>
      <c r="AE137" s="107"/>
      <c r="AF137" s="107"/>
      <c r="AG137" s="105"/>
      <c r="AI137" s="38"/>
      <c r="AJ137" s="13"/>
      <c r="AK137" s="107"/>
      <c r="AL137" s="107"/>
      <c r="AM137" s="105"/>
      <c r="AO137" s="13"/>
      <c r="AP137" s="107"/>
      <c r="AQ137" s="107"/>
      <c r="AR137" s="105"/>
      <c r="AT137" s="13"/>
      <c r="AU137" s="107"/>
      <c r="AV137" s="107"/>
      <c r="AW137" s="105"/>
      <c r="AY137" s="13"/>
      <c r="AZ137" s="107"/>
      <c r="BA137" s="107"/>
      <c r="BB137" s="105"/>
      <c r="BD137" s="13"/>
      <c r="BE137" s="107"/>
      <c r="BF137" s="107"/>
      <c r="BG137" s="105"/>
      <c r="BI137" s="13"/>
      <c r="BJ137" s="107"/>
      <c r="BK137" s="107"/>
      <c r="BL137" s="105"/>
      <c r="BN137" s="38"/>
      <c r="BO137" s="13"/>
      <c r="BP137" s="107"/>
      <c r="BQ137" s="107"/>
      <c r="BR137" s="105"/>
      <c r="BT137" s="13"/>
      <c r="BU137" s="107"/>
      <c r="BV137" s="107"/>
      <c r="BW137" s="105"/>
      <c r="BY137" s="13"/>
      <c r="BZ137" s="107"/>
      <c r="CA137" s="107"/>
      <c r="CB137" s="105"/>
      <c r="CD137" s="13"/>
      <c r="CE137" s="107"/>
      <c r="CF137" s="107"/>
      <c r="CG137" s="105"/>
      <c r="CI137" s="13"/>
      <c r="CJ137" s="107"/>
      <c r="CK137" s="107"/>
      <c r="CL137" s="105"/>
      <c r="CN137" s="13"/>
      <c r="CO137" s="107"/>
      <c r="CP137" s="107"/>
      <c r="CQ137" s="105"/>
      <c r="CS137" s="38"/>
      <c r="CT137" s="13"/>
      <c r="CU137" s="107"/>
      <c r="CV137" s="107"/>
      <c r="CW137" s="105"/>
      <c r="CY137" s="13"/>
      <c r="CZ137" s="107"/>
      <c r="DA137" s="107"/>
      <c r="DB137" s="105"/>
      <c r="DD137" s="13"/>
      <c r="DE137" s="107"/>
      <c r="DF137" s="107"/>
      <c r="DG137" s="105"/>
      <c r="DI137" s="13"/>
      <c r="DJ137" s="107"/>
      <c r="DK137" s="107"/>
      <c r="DL137" s="105"/>
      <c r="DN137" s="13"/>
      <c r="DO137" s="107"/>
      <c r="DP137" s="107"/>
      <c r="DQ137" s="105"/>
      <c r="DS137" s="13"/>
      <c r="DT137" s="107"/>
      <c r="DU137" s="107"/>
      <c r="DV137" s="105"/>
      <c r="DX137" s="38"/>
      <c r="DY137" s="13"/>
      <c r="DZ137" s="107"/>
      <c r="EA137" s="107"/>
      <c r="EB137" s="105"/>
      <c r="ED137" s="13"/>
      <c r="EE137" s="107"/>
      <c r="EF137" s="107"/>
      <c r="EG137" s="105"/>
      <c r="EI137" s="13"/>
      <c r="EJ137" s="107"/>
      <c r="EK137" s="107"/>
      <c r="EL137" s="105"/>
      <c r="EN137" s="13"/>
      <c r="EO137" s="107"/>
      <c r="EP137" s="107"/>
      <c r="EQ137" s="105"/>
      <c r="ES137" s="13"/>
      <c r="ET137" s="107"/>
      <c r="EU137" s="107"/>
      <c r="EV137" s="105"/>
      <c r="EX137" s="13"/>
      <c r="EY137" s="107"/>
      <c r="EZ137" s="107"/>
      <c r="FA137" s="105"/>
      <c r="FC137" s="38"/>
      <c r="FD137" s="13"/>
      <c r="FE137" s="107"/>
      <c r="FF137" s="107"/>
      <c r="FG137" s="105"/>
      <c r="FI137" s="13"/>
      <c r="FJ137" s="107"/>
      <c r="FK137" s="107"/>
      <c r="FL137" s="105"/>
      <c r="FN137" s="13"/>
      <c r="FO137" s="107"/>
      <c r="FP137" s="107"/>
      <c r="FQ137" s="105"/>
      <c r="FS137" s="13"/>
      <c r="FT137" s="107"/>
      <c r="FU137" s="107"/>
      <c r="FV137" s="105"/>
      <c r="FX137" s="13"/>
      <c r="FY137" s="107"/>
      <c r="FZ137" s="107"/>
      <c r="GA137" s="105"/>
      <c r="GC137" s="13"/>
      <c r="GD137" s="107"/>
      <c r="GE137" s="107"/>
      <c r="GF137" s="105"/>
      <c r="GH137" s="38"/>
      <c r="GI137" s="13"/>
      <c r="GJ137" s="107"/>
      <c r="GK137" s="107"/>
      <c r="GL137" s="105"/>
      <c r="GN137" s="13"/>
      <c r="GO137" s="107"/>
      <c r="GP137" s="107"/>
      <c r="GQ137" s="105"/>
      <c r="GS137" s="13"/>
      <c r="GT137" s="107"/>
      <c r="GU137" s="107"/>
      <c r="GV137" s="105"/>
      <c r="GX137" s="13"/>
      <c r="GY137" s="107"/>
      <c r="GZ137" s="107"/>
      <c r="HA137" s="105"/>
      <c r="HC137" s="13"/>
      <c r="HD137" s="107"/>
      <c r="HE137" s="107"/>
      <c r="HF137" s="105"/>
      <c r="HH137" s="13"/>
      <c r="HI137" s="107"/>
      <c r="HJ137" s="107"/>
      <c r="HK137" s="105"/>
      <c r="HM137" s="38"/>
      <c r="HN137" s="13"/>
      <c r="HO137" s="107"/>
      <c r="HP137" s="107"/>
      <c r="HQ137" s="105"/>
      <c r="HS137" s="13"/>
      <c r="HT137" s="107"/>
      <c r="HU137" s="107"/>
      <c r="HV137" s="105"/>
      <c r="HX137" s="13"/>
      <c r="HY137" s="107"/>
      <c r="HZ137" s="107"/>
      <c r="IA137" s="105"/>
      <c r="IC137" s="13"/>
      <c r="ID137" s="107"/>
      <c r="IE137" s="107"/>
      <c r="IF137" s="105"/>
      <c r="IH137" s="13"/>
      <c r="II137" s="107"/>
      <c r="IJ137" s="107"/>
      <c r="IK137" s="105"/>
      <c r="IM137" s="13"/>
      <c r="IN137" s="107"/>
      <c r="IO137" s="107"/>
      <c r="IP137" s="105"/>
      <c r="IR137" s="38"/>
      <c r="IS137" s="13"/>
      <c r="IT137" s="107"/>
      <c r="IU137" s="107"/>
      <c r="IV137" s="105"/>
      <c r="IX137" s="13"/>
      <c r="IY137" s="107"/>
      <c r="IZ137" s="107"/>
      <c r="JA137" s="105"/>
      <c r="JC137" s="13"/>
      <c r="JD137" s="107"/>
      <c r="JE137" s="107"/>
      <c r="JF137" s="105"/>
      <c r="JH137" s="13"/>
      <c r="JI137" s="107"/>
      <c r="JJ137" s="107"/>
      <c r="JK137" s="105"/>
      <c r="JM137" s="13"/>
      <c r="JN137" s="107"/>
      <c r="JO137" s="107"/>
      <c r="JP137" s="105"/>
      <c r="JR137" s="13"/>
      <c r="JS137" s="107"/>
      <c r="JT137" s="107"/>
      <c r="JU137" s="105"/>
      <c r="JW137" s="38"/>
      <c r="JX137" s="13"/>
      <c r="JY137" s="107"/>
      <c r="JZ137" s="107"/>
      <c r="KA137" s="105"/>
      <c r="KC137" s="13"/>
      <c r="KD137" s="107"/>
      <c r="KE137" s="107"/>
      <c r="KF137" s="105"/>
      <c r="KH137" s="13"/>
      <c r="KI137" s="107"/>
      <c r="KJ137" s="107"/>
      <c r="KK137" s="105"/>
      <c r="KM137" s="13"/>
      <c r="KN137" s="107"/>
      <c r="KO137" s="107"/>
      <c r="KP137" s="105"/>
      <c r="KR137" s="13"/>
      <c r="KS137" s="107"/>
      <c r="KT137" s="107"/>
      <c r="KU137" s="105"/>
      <c r="KW137" s="13"/>
      <c r="KX137" s="107"/>
      <c r="KY137" s="107"/>
      <c r="KZ137" s="105"/>
      <c r="LB137" s="38"/>
      <c r="LC137" s="13"/>
      <c r="LD137" s="107"/>
      <c r="LE137" s="107"/>
      <c r="LF137" s="105"/>
      <c r="LH137" s="13"/>
      <c r="LI137" s="107"/>
      <c r="LJ137" s="107"/>
      <c r="LK137" s="105"/>
      <c r="LM137" s="13"/>
      <c r="LN137" s="107"/>
      <c r="LO137" s="107"/>
      <c r="LP137" s="105"/>
      <c r="LR137" s="13"/>
      <c r="LS137" s="107"/>
      <c r="LT137" s="107"/>
      <c r="LU137" s="105"/>
      <c r="LW137" s="13"/>
      <c r="LX137" s="107"/>
      <c r="LY137" s="107"/>
      <c r="LZ137" s="105"/>
      <c r="MB137" s="13"/>
      <c r="MC137" s="107"/>
      <c r="MD137" s="107"/>
      <c r="ME137" s="105"/>
      <c r="MG137" s="38"/>
      <c r="MH137" s="13"/>
      <c r="MI137" s="107"/>
      <c r="MJ137" s="107"/>
      <c r="MK137" s="105"/>
      <c r="MM137" s="13"/>
      <c r="MN137" s="107"/>
      <c r="MO137" s="107"/>
      <c r="MP137" s="105"/>
      <c r="MR137" s="13"/>
      <c r="MS137" s="107"/>
      <c r="MT137" s="107"/>
      <c r="MU137" s="105"/>
      <c r="MW137" s="13"/>
      <c r="MX137" s="107"/>
      <c r="MY137" s="107"/>
      <c r="MZ137" s="105"/>
      <c r="NB137" s="13"/>
      <c r="NC137" s="107"/>
      <c r="ND137" s="107"/>
      <c r="NE137" s="105"/>
      <c r="NG137" s="13"/>
      <c r="NH137" s="107"/>
      <c r="NI137" s="107"/>
      <c r="NJ137" s="105"/>
      <c r="NL137" s="38"/>
      <c r="NM137" s="13"/>
      <c r="NN137" s="107"/>
      <c r="NO137" s="107"/>
      <c r="NP137" s="105"/>
      <c r="NR137" s="13"/>
      <c r="NS137" s="107"/>
      <c r="NT137" s="107"/>
      <c r="NU137" s="105"/>
      <c r="NW137" s="13"/>
      <c r="NX137" s="107"/>
      <c r="NY137" s="107"/>
      <c r="NZ137" s="105"/>
      <c r="OB137" s="13"/>
      <c r="OC137" s="107"/>
      <c r="OD137" s="107"/>
      <c r="OE137" s="105"/>
      <c r="OG137" s="13"/>
      <c r="OH137" s="107"/>
      <c r="OI137" s="107"/>
      <c r="OJ137" s="105"/>
      <c r="OL137" s="13"/>
      <c r="OM137" s="107"/>
      <c r="ON137" s="107"/>
      <c r="OO137" s="105"/>
    </row>
    <row r="138" ht="15.75" customHeight="1">
      <c r="A138" s="42"/>
      <c r="B138" s="42"/>
      <c r="C138" s="42"/>
      <c r="D138" s="38">
        <f t="shared" si="351"/>
        <v>45972</v>
      </c>
      <c r="E138" s="105" t="str">
        <f t="shared" ref="E138:I138" si="355">AO12</f>
        <v/>
      </c>
      <c r="F138" s="105" t="str">
        <f t="shared" si="355"/>
        <v/>
      </c>
      <c r="G138" s="105" t="str">
        <f t="shared" si="355"/>
        <v/>
      </c>
      <c r="H138" s="106" t="str">
        <f t="shared" si="355"/>
        <v/>
      </c>
      <c r="I138" s="106" t="str">
        <f t="shared" si="355"/>
        <v/>
      </c>
      <c r="J138" s="107" t="str">
        <f t="array" ref="J138">IFERROR(IF(XLOOKUP(CONCAT(E138,F138),'MASTER PLAN'!$AB:$AB,'MASTER PLAN'!$M:$M,0,0)=0,"",XLOOKUP(CONCAT(E138,F138),'MASTER PLAN'!$AB:$AB,'MASTER PLAN'!$M:$M,0,0)),"")</f>
        <v/>
      </c>
      <c r="K138" s="107">
        <f t="shared" si="237"/>
        <v>0</v>
      </c>
      <c r="L138" s="107">
        <f t="shared" si="238"/>
        <v>0</v>
      </c>
      <c r="M138" s="105" t="s">
        <v>248</v>
      </c>
      <c r="O138" s="13"/>
      <c r="P138" s="107"/>
      <c r="Q138" s="107"/>
      <c r="R138" s="105"/>
      <c r="T138" s="13"/>
      <c r="U138" s="107"/>
      <c r="V138" s="107"/>
      <c r="W138" s="105"/>
      <c r="Y138" s="13"/>
      <c r="Z138" s="107"/>
      <c r="AA138" s="107"/>
      <c r="AB138" s="105"/>
      <c r="AD138" s="13"/>
      <c r="AE138" s="107"/>
      <c r="AF138" s="107"/>
      <c r="AG138" s="105"/>
      <c r="AI138" s="38"/>
      <c r="AJ138" s="13"/>
      <c r="AK138" s="107"/>
      <c r="AL138" s="107"/>
      <c r="AM138" s="105"/>
      <c r="AO138" s="13"/>
      <c r="AP138" s="107"/>
      <c r="AQ138" s="107"/>
      <c r="AR138" s="105"/>
      <c r="AT138" s="13"/>
      <c r="AU138" s="107"/>
      <c r="AV138" s="107"/>
      <c r="AW138" s="105"/>
      <c r="AY138" s="13"/>
      <c r="AZ138" s="107"/>
      <c r="BA138" s="107"/>
      <c r="BB138" s="105"/>
      <c r="BD138" s="13"/>
      <c r="BE138" s="107"/>
      <c r="BF138" s="107"/>
      <c r="BG138" s="105"/>
      <c r="BI138" s="13"/>
      <c r="BJ138" s="107"/>
      <c r="BK138" s="107"/>
      <c r="BL138" s="105"/>
      <c r="BN138" s="38"/>
      <c r="BO138" s="13"/>
      <c r="BP138" s="107"/>
      <c r="BQ138" s="107"/>
      <c r="BR138" s="105"/>
      <c r="BT138" s="13"/>
      <c r="BU138" s="107"/>
      <c r="BV138" s="107"/>
      <c r="BW138" s="105"/>
      <c r="BY138" s="13"/>
      <c r="BZ138" s="107"/>
      <c r="CA138" s="107"/>
      <c r="CB138" s="105"/>
      <c r="CD138" s="13"/>
      <c r="CE138" s="107"/>
      <c r="CF138" s="107"/>
      <c r="CG138" s="105"/>
      <c r="CI138" s="13"/>
      <c r="CJ138" s="107"/>
      <c r="CK138" s="107"/>
      <c r="CL138" s="105"/>
      <c r="CN138" s="13"/>
      <c r="CO138" s="107"/>
      <c r="CP138" s="107"/>
      <c r="CQ138" s="105"/>
      <c r="CS138" s="38"/>
      <c r="CT138" s="13"/>
      <c r="CU138" s="107"/>
      <c r="CV138" s="107"/>
      <c r="CW138" s="105"/>
      <c r="CY138" s="13"/>
      <c r="CZ138" s="107"/>
      <c r="DA138" s="107"/>
      <c r="DB138" s="105"/>
      <c r="DD138" s="13"/>
      <c r="DE138" s="107"/>
      <c r="DF138" s="107"/>
      <c r="DG138" s="105"/>
      <c r="DI138" s="13"/>
      <c r="DJ138" s="107"/>
      <c r="DK138" s="107"/>
      <c r="DL138" s="105"/>
      <c r="DN138" s="13"/>
      <c r="DO138" s="107"/>
      <c r="DP138" s="107"/>
      <c r="DQ138" s="105"/>
      <c r="DS138" s="13"/>
      <c r="DT138" s="107"/>
      <c r="DU138" s="107"/>
      <c r="DV138" s="105"/>
      <c r="DX138" s="38"/>
      <c r="DY138" s="13"/>
      <c r="DZ138" s="107"/>
      <c r="EA138" s="107"/>
      <c r="EB138" s="105"/>
      <c r="ED138" s="13"/>
      <c r="EE138" s="107"/>
      <c r="EF138" s="107"/>
      <c r="EG138" s="105"/>
      <c r="EI138" s="13"/>
      <c r="EJ138" s="107"/>
      <c r="EK138" s="107"/>
      <c r="EL138" s="105"/>
      <c r="EN138" s="13"/>
      <c r="EO138" s="107"/>
      <c r="EP138" s="107"/>
      <c r="EQ138" s="105"/>
      <c r="ES138" s="13"/>
      <c r="ET138" s="107"/>
      <c r="EU138" s="107"/>
      <c r="EV138" s="105"/>
      <c r="EX138" s="13"/>
      <c r="EY138" s="107"/>
      <c r="EZ138" s="107"/>
      <c r="FA138" s="105"/>
      <c r="FC138" s="38"/>
      <c r="FD138" s="13"/>
      <c r="FE138" s="107"/>
      <c r="FF138" s="107"/>
      <c r="FG138" s="105"/>
      <c r="FI138" s="13"/>
      <c r="FJ138" s="107"/>
      <c r="FK138" s="107"/>
      <c r="FL138" s="105"/>
      <c r="FN138" s="13"/>
      <c r="FO138" s="107"/>
      <c r="FP138" s="107"/>
      <c r="FQ138" s="105"/>
      <c r="FS138" s="13"/>
      <c r="FT138" s="107"/>
      <c r="FU138" s="107"/>
      <c r="FV138" s="105"/>
      <c r="FX138" s="13"/>
      <c r="FY138" s="107"/>
      <c r="FZ138" s="107"/>
      <c r="GA138" s="105"/>
      <c r="GC138" s="13"/>
      <c r="GD138" s="107"/>
      <c r="GE138" s="107"/>
      <c r="GF138" s="105"/>
      <c r="GH138" s="38"/>
      <c r="GI138" s="13"/>
      <c r="GJ138" s="107"/>
      <c r="GK138" s="107"/>
      <c r="GL138" s="105"/>
      <c r="GN138" s="13"/>
      <c r="GO138" s="107"/>
      <c r="GP138" s="107"/>
      <c r="GQ138" s="105"/>
      <c r="GS138" s="13"/>
      <c r="GT138" s="107"/>
      <c r="GU138" s="107"/>
      <c r="GV138" s="105"/>
      <c r="GX138" s="13"/>
      <c r="GY138" s="107"/>
      <c r="GZ138" s="107"/>
      <c r="HA138" s="105"/>
      <c r="HC138" s="13"/>
      <c r="HD138" s="107"/>
      <c r="HE138" s="107"/>
      <c r="HF138" s="105"/>
      <c r="HH138" s="13"/>
      <c r="HI138" s="107"/>
      <c r="HJ138" s="107"/>
      <c r="HK138" s="105"/>
      <c r="HM138" s="38"/>
      <c r="HN138" s="13"/>
      <c r="HO138" s="107"/>
      <c r="HP138" s="107"/>
      <c r="HQ138" s="105"/>
      <c r="HS138" s="13"/>
      <c r="HT138" s="107"/>
      <c r="HU138" s="107"/>
      <c r="HV138" s="105"/>
      <c r="HX138" s="13"/>
      <c r="HY138" s="107"/>
      <c r="HZ138" s="107"/>
      <c r="IA138" s="105"/>
      <c r="IC138" s="13"/>
      <c r="ID138" s="107"/>
      <c r="IE138" s="107"/>
      <c r="IF138" s="105"/>
      <c r="IH138" s="13"/>
      <c r="II138" s="107"/>
      <c r="IJ138" s="107"/>
      <c r="IK138" s="105"/>
      <c r="IM138" s="13"/>
      <c r="IN138" s="107"/>
      <c r="IO138" s="107"/>
      <c r="IP138" s="105"/>
      <c r="IR138" s="38"/>
      <c r="IS138" s="13"/>
      <c r="IT138" s="107"/>
      <c r="IU138" s="107"/>
      <c r="IV138" s="105"/>
      <c r="IX138" s="13"/>
      <c r="IY138" s="107"/>
      <c r="IZ138" s="107"/>
      <c r="JA138" s="105"/>
      <c r="JC138" s="13"/>
      <c r="JD138" s="107"/>
      <c r="JE138" s="107"/>
      <c r="JF138" s="105"/>
      <c r="JH138" s="13"/>
      <c r="JI138" s="107"/>
      <c r="JJ138" s="107"/>
      <c r="JK138" s="105"/>
      <c r="JM138" s="13"/>
      <c r="JN138" s="107"/>
      <c r="JO138" s="107"/>
      <c r="JP138" s="105"/>
      <c r="JR138" s="13"/>
      <c r="JS138" s="107"/>
      <c r="JT138" s="107"/>
      <c r="JU138" s="105"/>
      <c r="JW138" s="38"/>
      <c r="JX138" s="13"/>
      <c r="JY138" s="107"/>
      <c r="JZ138" s="107"/>
      <c r="KA138" s="105"/>
      <c r="KC138" s="13"/>
      <c r="KD138" s="107"/>
      <c r="KE138" s="107"/>
      <c r="KF138" s="105"/>
      <c r="KH138" s="13"/>
      <c r="KI138" s="107"/>
      <c r="KJ138" s="107"/>
      <c r="KK138" s="105"/>
      <c r="KM138" s="13"/>
      <c r="KN138" s="107"/>
      <c r="KO138" s="107"/>
      <c r="KP138" s="105"/>
      <c r="KR138" s="13"/>
      <c r="KS138" s="107"/>
      <c r="KT138" s="107"/>
      <c r="KU138" s="105"/>
      <c r="KW138" s="13"/>
      <c r="KX138" s="107"/>
      <c r="KY138" s="107"/>
      <c r="KZ138" s="105"/>
      <c r="LB138" s="38"/>
      <c r="LC138" s="13"/>
      <c r="LD138" s="107"/>
      <c r="LE138" s="107"/>
      <c r="LF138" s="105"/>
      <c r="LH138" s="13"/>
      <c r="LI138" s="107"/>
      <c r="LJ138" s="107"/>
      <c r="LK138" s="105"/>
      <c r="LM138" s="13"/>
      <c r="LN138" s="107"/>
      <c r="LO138" s="107"/>
      <c r="LP138" s="105"/>
      <c r="LR138" s="13"/>
      <c r="LS138" s="107"/>
      <c r="LT138" s="107"/>
      <c r="LU138" s="105"/>
      <c r="LW138" s="13"/>
      <c r="LX138" s="107"/>
      <c r="LY138" s="107"/>
      <c r="LZ138" s="105"/>
      <c r="MB138" s="13"/>
      <c r="MC138" s="107"/>
      <c r="MD138" s="107"/>
      <c r="ME138" s="105"/>
      <c r="MG138" s="38"/>
      <c r="MH138" s="13"/>
      <c r="MI138" s="107"/>
      <c r="MJ138" s="107"/>
      <c r="MK138" s="105"/>
      <c r="MM138" s="13"/>
      <c r="MN138" s="107"/>
      <c r="MO138" s="107"/>
      <c r="MP138" s="105"/>
      <c r="MR138" s="13"/>
      <c r="MS138" s="107"/>
      <c r="MT138" s="107"/>
      <c r="MU138" s="105"/>
      <c r="MW138" s="13"/>
      <c r="MX138" s="107"/>
      <c r="MY138" s="107"/>
      <c r="MZ138" s="105"/>
      <c r="NB138" s="13"/>
      <c r="NC138" s="107"/>
      <c r="ND138" s="107"/>
      <c r="NE138" s="105"/>
      <c r="NG138" s="13"/>
      <c r="NH138" s="107"/>
      <c r="NI138" s="107"/>
      <c r="NJ138" s="105"/>
      <c r="NL138" s="38"/>
      <c r="NM138" s="13"/>
      <c r="NN138" s="107"/>
      <c r="NO138" s="107"/>
      <c r="NP138" s="105"/>
      <c r="NR138" s="13"/>
      <c r="NS138" s="107"/>
      <c r="NT138" s="107"/>
      <c r="NU138" s="105"/>
      <c r="NW138" s="13"/>
      <c r="NX138" s="107"/>
      <c r="NY138" s="107"/>
      <c r="NZ138" s="105"/>
      <c r="OB138" s="13"/>
      <c r="OC138" s="107"/>
      <c r="OD138" s="107"/>
      <c r="OE138" s="105"/>
      <c r="OG138" s="13"/>
      <c r="OH138" s="107"/>
      <c r="OI138" s="107"/>
      <c r="OJ138" s="105"/>
      <c r="OL138" s="13"/>
      <c r="OM138" s="107"/>
      <c r="ON138" s="107"/>
      <c r="OO138" s="105"/>
    </row>
    <row r="139" ht="15.75" customHeight="1">
      <c r="A139" s="42"/>
      <c r="B139" s="42"/>
      <c r="C139" s="42"/>
      <c r="D139" s="38">
        <f t="shared" si="351"/>
        <v>45972</v>
      </c>
      <c r="E139" s="105" t="str">
        <f t="shared" ref="E139:I139" si="356">AO13</f>
        <v/>
      </c>
      <c r="F139" s="105" t="str">
        <f t="shared" si="356"/>
        <v/>
      </c>
      <c r="G139" s="105" t="str">
        <f t="shared" si="356"/>
        <v/>
      </c>
      <c r="H139" s="106" t="str">
        <f t="shared" si="356"/>
        <v/>
      </c>
      <c r="I139" s="106" t="str">
        <f t="shared" si="356"/>
        <v/>
      </c>
      <c r="J139" s="107" t="str">
        <f t="array" ref="J139">IFERROR(IF(XLOOKUP(CONCAT(E139,F139),'MASTER PLAN'!$AB:$AB,'MASTER PLAN'!$M:$M,0,0)=0,"",XLOOKUP(CONCAT(E139,F139),'MASTER PLAN'!$AB:$AB,'MASTER PLAN'!$M:$M,0,0)),"")</f>
        <v/>
      </c>
      <c r="K139" s="107">
        <f t="shared" si="237"/>
        <v>0</v>
      </c>
      <c r="L139" s="107">
        <f t="shared" si="238"/>
        <v>0</v>
      </c>
      <c r="M139" s="105" t="s">
        <v>248</v>
      </c>
      <c r="O139" s="13"/>
      <c r="P139" s="107"/>
      <c r="Q139" s="107"/>
      <c r="R139" s="105"/>
      <c r="T139" s="13"/>
      <c r="U139" s="107"/>
      <c r="V139" s="107"/>
      <c r="W139" s="105"/>
      <c r="Y139" s="13"/>
      <c r="Z139" s="107"/>
      <c r="AA139" s="107"/>
      <c r="AB139" s="105"/>
      <c r="AD139" s="13"/>
      <c r="AE139" s="107"/>
      <c r="AF139" s="107"/>
      <c r="AG139" s="105"/>
      <c r="AI139" s="38"/>
      <c r="AJ139" s="13"/>
      <c r="AK139" s="107"/>
      <c r="AL139" s="107"/>
      <c r="AM139" s="105"/>
      <c r="AO139" s="13"/>
      <c r="AP139" s="107"/>
      <c r="AQ139" s="107"/>
      <c r="AR139" s="105"/>
      <c r="AT139" s="13"/>
      <c r="AU139" s="107"/>
      <c r="AV139" s="107"/>
      <c r="AW139" s="105"/>
      <c r="AY139" s="13"/>
      <c r="AZ139" s="107"/>
      <c r="BA139" s="107"/>
      <c r="BB139" s="105"/>
      <c r="BD139" s="13"/>
      <c r="BE139" s="107"/>
      <c r="BF139" s="107"/>
      <c r="BG139" s="105"/>
      <c r="BI139" s="13"/>
      <c r="BJ139" s="107"/>
      <c r="BK139" s="107"/>
      <c r="BL139" s="105"/>
      <c r="BN139" s="38"/>
      <c r="BO139" s="13"/>
      <c r="BP139" s="107"/>
      <c r="BQ139" s="107"/>
      <c r="BR139" s="105"/>
      <c r="BT139" s="13"/>
      <c r="BU139" s="107"/>
      <c r="BV139" s="107"/>
      <c r="BW139" s="105"/>
      <c r="BY139" s="13"/>
      <c r="BZ139" s="107"/>
      <c r="CA139" s="107"/>
      <c r="CB139" s="105"/>
      <c r="CD139" s="13"/>
      <c r="CE139" s="107"/>
      <c r="CF139" s="107"/>
      <c r="CG139" s="105"/>
      <c r="CI139" s="13"/>
      <c r="CJ139" s="107"/>
      <c r="CK139" s="107"/>
      <c r="CL139" s="105"/>
      <c r="CN139" s="13"/>
      <c r="CO139" s="107"/>
      <c r="CP139" s="107"/>
      <c r="CQ139" s="105"/>
      <c r="CS139" s="38"/>
      <c r="CT139" s="13"/>
      <c r="CU139" s="107"/>
      <c r="CV139" s="107"/>
      <c r="CW139" s="105"/>
      <c r="CY139" s="13"/>
      <c r="CZ139" s="107"/>
      <c r="DA139" s="107"/>
      <c r="DB139" s="105"/>
      <c r="DD139" s="13"/>
      <c r="DE139" s="107"/>
      <c r="DF139" s="107"/>
      <c r="DG139" s="105"/>
      <c r="DI139" s="13"/>
      <c r="DJ139" s="107"/>
      <c r="DK139" s="107"/>
      <c r="DL139" s="105"/>
      <c r="DN139" s="13"/>
      <c r="DO139" s="107"/>
      <c r="DP139" s="107"/>
      <c r="DQ139" s="105"/>
      <c r="DS139" s="13"/>
      <c r="DT139" s="107"/>
      <c r="DU139" s="107"/>
      <c r="DV139" s="105"/>
      <c r="DX139" s="38"/>
      <c r="DY139" s="13"/>
      <c r="DZ139" s="107"/>
      <c r="EA139" s="107"/>
      <c r="EB139" s="105"/>
      <c r="ED139" s="13"/>
      <c r="EE139" s="107"/>
      <c r="EF139" s="107"/>
      <c r="EG139" s="105"/>
      <c r="EI139" s="13"/>
      <c r="EJ139" s="107"/>
      <c r="EK139" s="107"/>
      <c r="EL139" s="105"/>
      <c r="EN139" s="13"/>
      <c r="EO139" s="107"/>
      <c r="EP139" s="107"/>
      <c r="EQ139" s="105"/>
      <c r="ES139" s="13"/>
      <c r="ET139" s="107"/>
      <c r="EU139" s="107"/>
      <c r="EV139" s="105"/>
      <c r="EX139" s="13"/>
      <c r="EY139" s="107"/>
      <c r="EZ139" s="107"/>
      <c r="FA139" s="105"/>
      <c r="FC139" s="38"/>
      <c r="FD139" s="13"/>
      <c r="FE139" s="107"/>
      <c r="FF139" s="107"/>
      <c r="FG139" s="105"/>
      <c r="FI139" s="13"/>
      <c r="FJ139" s="107"/>
      <c r="FK139" s="107"/>
      <c r="FL139" s="105"/>
      <c r="FN139" s="13"/>
      <c r="FO139" s="107"/>
      <c r="FP139" s="107"/>
      <c r="FQ139" s="105"/>
      <c r="FS139" s="13"/>
      <c r="FT139" s="107"/>
      <c r="FU139" s="107"/>
      <c r="FV139" s="105"/>
      <c r="FX139" s="13"/>
      <c r="FY139" s="107"/>
      <c r="FZ139" s="107"/>
      <c r="GA139" s="105"/>
      <c r="GC139" s="13"/>
      <c r="GD139" s="107"/>
      <c r="GE139" s="107"/>
      <c r="GF139" s="105"/>
      <c r="GH139" s="38"/>
      <c r="GI139" s="13"/>
      <c r="GJ139" s="107"/>
      <c r="GK139" s="107"/>
      <c r="GL139" s="105"/>
      <c r="GN139" s="13"/>
      <c r="GO139" s="107"/>
      <c r="GP139" s="107"/>
      <c r="GQ139" s="105"/>
      <c r="GS139" s="13"/>
      <c r="GT139" s="107"/>
      <c r="GU139" s="107"/>
      <c r="GV139" s="105"/>
      <c r="GX139" s="13"/>
      <c r="GY139" s="107"/>
      <c r="GZ139" s="107"/>
      <c r="HA139" s="105"/>
      <c r="HC139" s="13"/>
      <c r="HD139" s="107"/>
      <c r="HE139" s="107"/>
      <c r="HF139" s="105"/>
      <c r="HH139" s="13"/>
      <c r="HI139" s="107"/>
      <c r="HJ139" s="107"/>
      <c r="HK139" s="105"/>
      <c r="HM139" s="38"/>
      <c r="HN139" s="13"/>
      <c r="HO139" s="107"/>
      <c r="HP139" s="107"/>
      <c r="HQ139" s="105"/>
      <c r="HS139" s="13"/>
      <c r="HT139" s="107"/>
      <c r="HU139" s="107"/>
      <c r="HV139" s="105"/>
      <c r="HX139" s="13"/>
      <c r="HY139" s="107"/>
      <c r="HZ139" s="107"/>
      <c r="IA139" s="105"/>
      <c r="IC139" s="13"/>
      <c r="ID139" s="107"/>
      <c r="IE139" s="107"/>
      <c r="IF139" s="105"/>
      <c r="IH139" s="13"/>
      <c r="II139" s="107"/>
      <c r="IJ139" s="107"/>
      <c r="IK139" s="105"/>
      <c r="IM139" s="13"/>
      <c r="IN139" s="107"/>
      <c r="IO139" s="107"/>
      <c r="IP139" s="105"/>
      <c r="IR139" s="38"/>
      <c r="IS139" s="13"/>
      <c r="IT139" s="107"/>
      <c r="IU139" s="107"/>
      <c r="IV139" s="105"/>
      <c r="IX139" s="13"/>
      <c r="IY139" s="107"/>
      <c r="IZ139" s="107"/>
      <c r="JA139" s="105"/>
      <c r="JC139" s="13"/>
      <c r="JD139" s="107"/>
      <c r="JE139" s="107"/>
      <c r="JF139" s="105"/>
      <c r="JH139" s="13"/>
      <c r="JI139" s="107"/>
      <c r="JJ139" s="107"/>
      <c r="JK139" s="105"/>
      <c r="JM139" s="13"/>
      <c r="JN139" s="107"/>
      <c r="JO139" s="107"/>
      <c r="JP139" s="105"/>
      <c r="JR139" s="13"/>
      <c r="JS139" s="107"/>
      <c r="JT139" s="107"/>
      <c r="JU139" s="105"/>
      <c r="JW139" s="38"/>
      <c r="JX139" s="13"/>
      <c r="JY139" s="107"/>
      <c r="JZ139" s="107"/>
      <c r="KA139" s="105"/>
      <c r="KC139" s="13"/>
      <c r="KD139" s="107"/>
      <c r="KE139" s="107"/>
      <c r="KF139" s="105"/>
      <c r="KH139" s="13"/>
      <c r="KI139" s="107"/>
      <c r="KJ139" s="107"/>
      <c r="KK139" s="105"/>
      <c r="KM139" s="13"/>
      <c r="KN139" s="107"/>
      <c r="KO139" s="107"/>
      <c r="KP139" s="105"/>
      <c r="KR139" s="13"/>
      <c r="KS139" s="107"/>
      <c r="KT139" s="107"/>
      <c r="KU139" s="105"/>
      <c r="KW139" s="13"/>
      <c r="KX139" s="107"/>
      <c r="KY139" s="107"/>
      <c r="KZ139" s="105"/>
      <c r="LB139" s="38"/>
      <c r="LC139" s="13"/>
      <c r="LD139" s="107"/>
      <c r="LE139" s="107"/>
      <c r="LF139" s="105"/>
      <c r="LH139" s="13"/>
      <c r="LI139" s="107"/>
      <c r="LJ139" s="107"/>
      <c r="LK139" s="105"/>
      <c r="LM139" s="13"/>
      <c r="LN139" s="107"/>
      <c r="LO139" s="107"/>
      <c r="LP139" s="105"/>
      <c r="LR139" s="13"/>
      <c r="LS139" s="107"/>
      <c r="LT139" s="107"/>
      <c r="LU139" s="105"/>
      <c r="LW139" s="13"/>
      <c r="LX139" s="107"/>
      <c r="LY139" s="107"/>
      <c r="LZ139" s="105"/>
      <c r="MB139" s="13"/>
      <c r="MC139" s="107"/>
      <c r="MD139" s="107"/>
      <c r="ME139" s="105"/>
      <c r="MG139" s="38"/>
      <c r="MH139" s="13"/>
      <c r="MI139" s="107"/>
      <c r="MJ139" s="107"/>
      <c r="MK139" s="105"/>
      <c r="MM139" s="13"/>
      <c r="MN139" s="107"/>
      <c r="MO139" s="107"/>
      <c r="MP139" s="105"/>
      <c r="MR139" s="13"/>
      <c r="MS139" s="107"/>
      <c r="MT139" s="107"/>
      <c r="MU139" s="105"/>
      <c r="MW139" s="13"/>
      <c r="MX139" s="107"/>
      <c r="MY139" s="107"/>
      <c r="MZ139" s="105"/>
      <c r="NB139" s="13"/>
      <c r="NC139" s="107"/>
      <c r="ND139" s="107"/>
      <c r="NE139" s="105"/>
      <c r="NG139" s="13"/>
      <c r="NH139" s="107"/>
      <c r="NI139" s="107"/>
      <c r="NJ139" s="105"/>
      <c r="NL139" s="38"/>
      <c r="NM139" s="13"/>
      <c r="NN139" s="107"/>
      <c r="NO139" s="107"/>
      <c r="NP139" s="105"/>
      <c r="NR139" s="13"/>
      <c r="NS139" s="107"/>
      <c r="NT139" s="107"/>
      <c r="NU139" s="105"/>
      <c r="NW139" s="13"/>
      <c r="NX139" s="107"/>
      <c r="NY139" s="107"/>
      <c r="NZ139" s="105"/>
      <c r="OB139" s="13"/>
      <c r="OC139" s="107"/>
      <c r="OD139" s="107"/>
      <c r="OE139" s="105"/>
      <c r="OG139" s="13"/>
      <c r="OH139" s="107"/>
      <c r="OI139" s="107"/>
      <c r="OJ139" s="105"/>
      <c r="OL139" s="13"/>
      <c r="OM139" s="107"/>
      <c r="ON139" s="107"/>
      <c r="OO139" s="105"/>
    </row>
    <row r="140" ht="15.75" customHeight="1">
      <c r="A140" s="42"/>
      <c r="B140" s="42"/>
      <c r="C140" s="42"/>
      <c r="D140" s="38">
        <f t="shared" si="351"/>
        <v>45972</v>
      </c>
      <c r="E140" s="105" t="str">
        <f t="shared" ref="E140:I140" si="357">AO14</f>
        <v/>
      </c>
      <c r="F140" s="105" t="str">
        <f t="shared" si="357"/>
        <v/>
      </c>
      <c r="G140" s="105" t="str">
        <f t="shared" si="357"/>
        <v/>
      </c>
      <c r="H140" s="106" t="str">
        <f t="shared" si="357"/>
        <v/>
      </c>
      <c r="I140" s="106" t="str">
        <f t="shared" si="357"/>
        <v/>
      </c>
      <c r="J140" s="107" t="str">
        <f t="array" ref="J140">IFERROR(IF(XLOOKUP(CONCAT(E140,F140),'MASTER PLAN'!$AB:$AB,'MASTER PLAN'!$M:$M,0,0)=0,"",XLOOKUP(CONCAT(E140,F140),'MASTER PLAN'!$AB:$AB,'MASTER PLAN'!$M:$M,0,0)),"")</f>
        <v/>
      </c>
      <c r="K140" s="107">
        <f t="shared" si="237"/>
        <v>0</v>
      </c>
      <c r="L140" s="107">
        <f t="shared" si="238"/>
        <v>0</v>
      </c>
      <c r="M140" s="105" t="s">
        <v>248</v>
      </c>
      <c r="O140" s="13"/>
      <c r="P140" s="107"/>
      <c r="Q140" s="107"/>
      <c r="R140" s="105"/>
      <c r="T140" s="13"/>
      <c r="U140" s="107"/>
      <c r="V140" s="107"/>
      <c r="W140" s="105"/>
      <c r="Y140" s="13"/>
      <c r="Z140" s="107"/>
      <c r="AA140" s="107"/>
      <c r="AB140" s="105"/>
      <c r="AD140" s="13"/>
      <c r="AE140" s="107"/>
      <c r="AF140" s="107"/>
      <c r="AG140" s="105"/>
      <c r="AI140" s="38"/>
      <c r="AJ140" s="13"/>
      <c r="AK140" s="107"/>
      <c r="AL140" s="107"/>
      <c r="AM140" s="105"/>
      <c r="AO140" s="13"/>
      <c r="AP140" s="107"/>
      <c r="AQ140" s="107"/>
      <c r="AR140" s="105"/>
      <c r="AT140" s="13"/>
      <c r="AU140" s="107"/>
      <c r="AV140" s="107"/>
      <c r="AW140" s="105"/>
      <c r="AY140" s="13"/>
      <c r="AZ140" s="107"/>
      <c r="BA140" s="107"/>
      <c r="BB140" s="105"/>
      <c r="BD140" s="13"/>
      <c r="BE140" s="107"/>
      <c r="BF140" s="107"/>
      <c r="BG140" s="105"/>
      <c r="BI140" s="13"/>
      <c r="BJ140" s="107"/>
      <c r="BK140" s="107"/>
      <c r="BL140" s="105"/>
      <c r="BN140" s="38"/>
      <c r="BO140" s="13"/>
      <c r="BP140" s="107"/>
      <c r="BQ140" s="107"/>
      <c r="BR140" s="105"/>
      <c r="BT140" s="13"/>
      <c r="BU140" s="107"/>
      <c r="BV140" s="107"/>
      <c r="BW140" s="105"/>
      <c r="BY140" s="13"/>
      <c r="BZ140" s="107"/>
      <c r="CA140" s="107"/>
      <c r="CB140" s="105"/>
      <c r="CD140" s="13"/>
      <c r="CE140" s="107"/>
      <c r="CF140" s="107"/>
      <c r="CG140" s="105"/>
      <c r="CI140" s="13"/>
      <c r="CJ140" s="107"/>
      <c r="CK140" s="107"/>
      <c r="CL140" s="105"/>
      <c r="CN140" s="13"/>
      <c r="CO140" s="107"/>
      <c r="CP140" s="107"/>
      <c r="CQ140" s="105"/>
      <c r="CS140" s="38"/>
      <c r="CT140" s="13"/>
      <c r="CU140" s="107"/>
      <c r="CV140" s="107"/>
      <c r="CW140" s="105"/>
      <c r="CY140" s="13"/>
      <c r="CZ140" s="107"/>
      <c r="DA140" s="107"/>
      <c r="DB140" s="105"/>
      <c r="DD140" s="13"/>
      <c r="DE140" s="107"/>
      <c r="DF140" s="107"/>
      <c r="DG140" s="105"/>
      <c r="DI140" s="13"/>
      <c r="DJ140" s="107"/>
      <c r="DK140" s="107"/>
      <c r="DL140" s="105"/>
      <c r="DN140" s="13"/>
      <c r="DO140" s="107"/>
      <c r="DP140" s="107"/>
      <c r="DQ140" s="105"/>
      <c r="DS140" s="13"/>
      <c r="DT140" s="107"/>
      <c r="DU140" s="107"/>
      <c r="DV140" s="105"/>
      <c r="DX140" s="38"/>
      <c r="DY140" s="13"/>
      <c r="DZ140" s="107"/>
      <c r="EA140" s="107"/>
      <c r="EB140" s="105"/>
      <c r="ED140" s="13"/>
      <c r="EE140" s="107"/>
      <c r="EF140" s="107"/>
      <c r="EG140" s="105"/>
      <c r="EI140" s="13"/>
      <c r="EJ140" s="107"/>
      <c r="EK140" s="107"/>
      <c r="EL140" s="105"/>
      <c r="EN140" s="13"/>
      <c r="EO140" s="107"/>
      <c r="EP140" s="107"/>
      <c r="EQ140" s="105"/>
      <c r="ES140" s="13"/>
      <c r="ET140" s="107"/>
      <c r="EU140" s="107"/>
      <c r="EV140" s="105"/>
      <c r="EX140" s="13"/>
      <c r="EY140" s="107"/>
      <c r="EZ140" s="107"/>
      <c r="FA140" s="105"/>
      <c r="FC140" s="38"/>
      <c r="FD140" s="13"/>
      <c r="FE140" s="107"/>
      <c r="FF140" s="107"/>
      <c r="FG140" s="105"/>
      <c r="FI140" s="13"/>
      <c r="FJ140" s="107"/>
      <c r="FK140" s="107"/>
      <c r="FL140" s="105"/>
      <c r="FN140" s="13"/>
      <c r="FO140" s="107"/>
      <c r="FP140" s="107"/>
      <c r="FQ140" s="105"/>
      <c r="FS140" s="13"/>
      <c r="FT140" s="107"/>
      <c r="FU140" s="107"/>
      <c r="FV140" s="105"/>
      <c r="FX140" s="13"/>
      <c r="FY140" s="107"/>
      <c r="FZ140" s="107"/>
      <c r="GA140" s="105"/>
      <c r="GC140" s="13"/>
      <c r="GD140" s="107"/>
      <c r="GE140" s="107"/>
      <c r="GF140" s="105"/>
      <c r="GH140" s="38"/>
      <c r="GI140" s="13"/>
      <c r="GJ140" s="107"/>
      <c r="GK140" s="107"/>
      <c r="GL140" s="105"/>
      <c r="GN140" s="13"/>
      <c r="GO140" s="107"/>
      <c r="GP140" s="107"/>
      <c r="GQ140" s="105"/>
      <c r="GS140" s="13"/>
      <c r="GT140" s="107"/>
      <c r="GU140" s="107"/>
      <c r="GV140" s="105"/>
      <c r="GX140" s="13"/>
      <c r="GY140" s="107"/>
      <c r="GZ140" s="107"/>
      <c r="HA140" s="105"/>
      <c r="HC140" s="13"/>
      <c r="HD140" s="107"/>
      <c r="HE140" s="107"/>
      <c r="HF140" s="105"/>
      <c r="HH140" s="13"/>
      <c r="HI140" s="107"/>
      <c r="HJ140" s="107"/>
      <c r="HK140" s="105"/>
      <c r="HM140" s="38"/>
      <c r="HN140" s="13"/>
      <c r="HO140" s="107"/>
      <c r="HP140" s="107"/>
      <c r="HQ140" s="105"/>
      <c r="HS140" s="13"/>
      <c r="HT140" s="107"/>
      <c r="HU140" s="107"/>
      <c r="HV140" s="105"/>
      <c r="HX140" s="13"/>
      <c r="HY140" s="107"/>
      <c r="HZ140" s="107"/>
      <c r="IA140" s="105"/>
      <c r="IC140" s="13"/>
      <c r="ID140" s="107"/>
      <c r="IE140" s="107"/>
      <c r="IF140" s="105"/>
      <c r="IH140" s="13"/>
      <c r="II140" s="107"/>
      <c r="IJ140" s="107"/>
      <c r="IK140" s="105"/>
      <c r="IM140" s="13"/>
      <c r="IN140" s="107"/>
      <c r="IO140" s="107"/>
      <c r="IP140" s="105"/>
      <c r="IR140" s="38"/>
      <c r="IS140" s="13"/>
      <c r="IT140" s="107"/>
      <c r="IU140" s="107"/>
      <c r="IV140" s="105"/>
      <c r="IX140" s="13"/>
      <c r="IY140" s="107"/>
      <c r="IZ140" s="107"/>
      <c r="JA140" s="105"/>
      <c r="JC140" s="13"/>
      <c r="JD140" s="107"/>
      <c r="JE140" s="107"/>
      <c r="JF140" s="105"/>
      <c r="JH140" s="13"/>
      <c r="JI140" s="107"/>
      <c r="JJ140" s="107"/>
      <c r="JK140" s="105"/>
      <c r="JM140" s="13"/>
      <c r="JN140" s="107"/>
      <c r="JO140" s="107"/>
      <c r="JP140" s="105"/>
      <c r="JR140" s="13"/>
      <c r="JS140" s="107"/>
      <c r="JT140" s="107"/>
      <c r="JU140" s="105"/>
      <c r="JW140" s="38"/>
      <c r="JX140" s="13"/>
      <c r="JY140" s="107"/>
      <c r="JZ140" s="107"/>
      <c r="KA140" s="105"/>
      <c r="KC140" s="13"/>
      <c r="KD140" s="107"/>
      <c r="KE140" s="107"/>
      <c r="KF140" s="105"/>
      <c r="KH140" s="13"/>
      <c r="KI140" s="107"/>
      <c r="KJ140" s="107"/>
      <c r="KK140" s="105"/>
      <c r="KM140" s="13"/>
      <c r="KN140" s="107"/>
      <c r="KO140" s="107"/>
      <c r="KP140" s="105"/>
      <c r="KR140" s="13"/>
      <c r="KS140" s="107"/>
      <c r="KT140" s="107"/>
      <c r="KU140" s="105"/>
      <c r="KW140" s="13"/>
      <c r="KX140" s="107"/>
      <c r="KY140" s="107"/>
      <c r="KZ140" s="105"/>
      <c r="LB140" s="38"/>
      <c r="LC140" s="13"/>
      <c r="LD140" s="107"/>
      <c r="LE140" s="107"/>
      <c r="LF140" s="105"/>
      <c r="LH140" s="13"/>
      <c r="LI140" s="107"/>
      <c r="LJ140" s="107"/>
      <c r="LK140" s="105"/>
      <c r="LM140" s="13"/>
      <c r="LN140" s="107"/>
      <c r="LO140" s="107"/>
      <c r="LP140" s="105"/>
      <c r="LR140" s="13"/>
      <c r="LS140" s="107"/>
      <c r="LT140" s="107"/>
      <c r="LU140" s="105"/>
      <c r="LW140" s="13"/>
      <c r="LX140" s="107"/>
      <c r="LY140" s="107"/>
      <c r="LZ140" s="105"/>
      <c r="MB140" s="13"/>
      <c r="MC140" s="107"/>
      <c r="MD140" s="107"/>
      <c r="ME140" s="105"/>
      <c r="MG140" s="38"/>
      <c r="MH140" s="13"/>
      <c r="MI140" s="107"/>
      <c r="MJ140" s="107"/>
      <c r="MK140" s="105"/>
      <c r="MM140" s="13"/>
      <c r="MN140" s="107"/>
      <c r="MO140" s="107"/>
      <c r="MP140" s="105"/>
      <c r="MR140" s="13"/>
      <c r="MS140" s="107"/>
      <c r="MT140" s="107"/>
      <c r="MU140" s="105"/>
      <c r="MW140" s="13"/>
      <c r="MX140" s="107"/>
      <c r="MY140" s="107"/>
      <c r="MZ140" s="105"/>
      <c r="NB140" s="13"/>
      <c r="NC140" s="107"/>
      <c r="ND140" s="107"/>
      <c r="NE140" s="105"/>
      <c r="NG140" s="13"/>
      <c r="NH140" s="107"/>
      <c r="NI140" s="107"/>
      <c r="NJ140" s="105"/>
      <c r="NL140" s="38"/>
      <c r="NM140" s="13"/>
      <c r="NN140" s="107"/>
      <c r="NO140" s="107"/>
      <c r="NP140" s="105"/>
      <c r="NR140" s="13"/>
      <c r="NS140" s="107"/>
      <c r="NT140" s="107"/>
      <c r="NU140" s="105"/>
      <c r="NW140" s="13"/>
      <c r="NX140" s="107"/>
      <c r="NY140" s="107"/>
      <c r="NZ140" s="105"/>
      <c r="OB140" s="13"/>
      <c r="OC140" s="107"/>
      <c r="OD140" s="107"/>
      <c r="OE140" s="105"/>
      <c r="OG140" s="13"/>
      <c r="OH140" s="107"/>
      <c r="OI140" s="107"/>
      <c r="OJ140" s="105"/>
      <c r="OL140" s="13"/>
      <c r="OM140" s="107"/>
      <c r="ON140" s="107"/>
      <c r="OO140" s="105"/>
    </row>
    <row r="141" ht="15.75" customHeight="1">
      <c r="A141" s="42"/>
      <c r="B141" s="42"/>
      <c r="C141" s="42"/>
      <c r="D141" s="38">
        <f t="shared" si="351"/>
        <v>45972</v>
      </c>
      <c r="E141" s="105" t="str">
        <f t="shared" ref="E141:I141" si="358">AO15</f>
        <v/>
      </c>
      <c r="F141" s="105" t="str">
        <f t="shared" si="358"/>
        <v/>
      </c>
      <c r="G141" s="105" t="str">
        <f t="shared" si="358"/>
        <v/>
      </c>
      <c r="H141" s="106" t="str">
        <f t="shared" si="358"/>
        <v/>
      </c>
      <c r="I141" s="106" t="str">
        <f t="shared" si="358"/>
        <v/>
      </c>
      <c r="J141" s="107" t="str">
        <f t="array" ref="J141">IFERROR(IF(XLOOKUP(CONCAT(E141,F141),'MASTER PLAN'!$AB:$AB,'MASTER PLAN'!$M:$M,0,0)=0,"",XLOOKUP(CONCAT(E141,F141),'MASTER PLAN'!$AB:$AB,'MASTER PLAN'!$M:$M,0,0)),"")</f>
        <v/>
      </c>
      <c r="K141" s="107">
        <f t="shared" si="237"/>
        <v>0</v>
      </c>
      <c r="L141" s="107">
        <f t="shared" si="238"/>
        <v>0</v>
      </c>
      <c r="M141" s="105" t="s">
        <v>248</v>
      </c>
      <c r="O141" s="13"/>
      <c r="P141" s="107"/>
      <c r="Q141" s="107"/>
      <c r="R141" s="105"/>
      <c r="T141" s="13"/>
      <c r="U141" s="107"/>
      <c r="V141" s="107"/>
      <c r="W141" s="105"/>
      <c r="Y141" s="13"/>
      <c r="Z141" s="107"/>
      <c r="AA141" s="107"/>
      <c r="AB141" s="105"/>
      <c r="AD141" s="13"/>
      <c r="AE141" s="107"/>
      <c r="AF141" s="107"/>
      <c r="AG141" s="105"/>
      <c r="AI141" s="38"/>
      <c r="AJ141" s="13"/>
      <c r="AK141" s="107"/>
      <c r="AL141" s="107"/>
      <c r="AM141" s="105"/>
      <c r="AO141" s="13"/>
      <c r="AP141" s="107"/>
      <c r="AQ141" s="107"/>
      <c r="AR141" s="105"/>
      <c r="AT141" s="13"/>
      <c r="AU141" s="107"/>
      <c r="AV141" s="107"/>
      <c r="AW141" s="105"/>
      <c r="AY141" s="13"/>
      <c r="AZ141" s="107"/>
      <c r="BA141" s="107"/>
      <c r="BB141" s="105"/>
      <c r="BD141" s="13"/>
      <c r="BE141" s="107"/>
      <c r="BF141" s="107"/>
      <c r="BG141" s="105"/>
      <c r="BI141" s="13"/>
      <c r="BJ141" s="107"/>
      <c r="BK141" s="107"/>
      <c r="BL141" s="105"/>
      <c r="BN141" s="38"/>
      <c r="BO141" s="13"/>
      <c r="BP141" s="107"/>
      <c r="BQ141" s="107"/>
      <c r="BR141" s="105"/>
      <c r="BT141" s="13"/>
      <c r="BU141" s="107"/>
      <c r="BV141" s="107"/>
      <c r="BW141" s="105"/>
      <c r="BY141" s="13"/>
      <c r="BZ141" s="107"/>
      <c r="CA141" s="107"/>
      <c r="CB141" s="105"/>
      <c r="CD141" s="13"/>
      <c r="CE141" s="107"/>
      <c r="CF141" s="107"/>
      <c r="CG141" s="105"/>
      <c r="CI141" s="13"/>
      <c r="CJ141" s="107"/>
      <c r="CK141" s="107"/>
      <c r="CL141" s="105"/>
      <c r="CN141" s="13"/>
      <c r="CO141" s="107"/>
      <c r="CP141" s="107"/>
      <c r="CQ141" s="105"/>
      <c r="CS141" s="38"/>
      <c r="CT141" s="13"/>
      <c r="CU141" s="107"/>
      <c r="CV141" s="107"/>
      <c r="CW141" s="105"/>
      <c r="CY141" s="13"/>
      <c r="CZ141" s="107"/>
      <c r="DA141" s="107"/>
      <c r="DB141" s="105"/>
      <c r="DD141" s="13"/>
      <c r="DE141" s="107"/>
      <c r="DF141" s="107"/>
      <c r="DG141" s="105"/>
      <c r="DI141" s="13"/>
      <c r="DJ141" s="107"/>
      <c r="DK141" s="107"/>
      <c r="DL141" s="105"/>
      <c r="DN141" s="13"/>
      <c r="DO141" s="107"/>
      <c r="DP141" s="107"/>
      <c r="DQ141" s="105"/>
      <c r="DS141" s="13"/>
      <c r="DT141" s="107"/>
      <c r="DU141" s="107"/>
      <c r="DV141" s="105"/>
      <c r="DX141" s="38"/>
      <c r="DY141" s="13"/>
      <c r="DZ141" s="107"/>
      <c r="EA141" s="107"/>
      <c r="EB141" s="105"/>
      <c r="ED141" s="13"/>
      <c r="EE141" s="107"/>
      <c r="EF141" s="107"/>
      <c r="EG141" s="105"/>
      <c r="EI141" s="13"/>
      <c r="EJ141" s="107"/>
      <c r="EK141" s="107"/>
      <c r="EL141" s="105"/>
      <c r="EN141" s="13"/>
      <c r="EO141" s="107"/>
      <c r="EP141" s="107"/>
      <c r="EQ141" s="105"/>
      <c r="ES141" s="13"/>
      <c r="ET141" s="107"/>
      <c r="EU141" s="107"/>
      <c r="EV141" s="105"/>
      <c r="EX141" s="13"/>
      <c r="EY141" s="107"/>
      <c r="EZ141" s="107"/>
      <c r="FA141" s="105"/>
      <c r="FC141" s="38"/>
      <c r="FD141" s="13"/>
      <c r="FE141" s="107"/>
      <c r="FF141" s="107"/>
      <c r="FG141" s="105"/>
      <c r="FI141" s="13"/>
      <c r="FJ141" s="107"/>
      <c r="FK141" s="107"/>
      <c r="FL141" s="105"/>
      <c r="FN141" s="13"/>
      <c r="FO141" s="107"/>
      <c r="FP141" s="107"/>
      <c r="FQ141" s="105"/>
      <c r="FS141" s="13"/>
      <c r="FT141" s="107"/>
      <c r="FU141" s="107"/>
      <c r="FV141" s="105"/>
      <c r="FX141" s="13"/>
      <c r="FY141" s="107"/>
      <c r="FZ141" s="107"/>
      <c r="GA141" s="105"/>
      <c r="GC141" s="13"/>
      <c r="GD141" s="107"/>
      <c r="GE141" s="107"/>
      <c r="GF141" s="105"/>
      <c r="GH141" s="38"/>
      <c r="GI141" s="13"/>
      <c r="GJ141" s="107"/>
      <c r="GK141" s="107"/>
      <c r="GL141" s="105"/>
      <c r="GN141" s="13"/>
      <c r="GO141" s="107"/>
      <c r="GP141" s="107"/>
      <c r="GQ141" s="105"/>
      <c r="GS141" s="13"/>
      <c r="GT141" s="107"/>
      <c r="GU141" s="107"/>
      <c r="GV141" s="105"/>
      <c r="GX141" s="13"/>
      <c r="GY141" s="107"/>
      <c r="GZ141" s="107"/>
      <c r="HA141" s="105"/>
      <c r="HC141" s="13"/>
      <c r="HD141" s="107"/>
      <c r="HE141" s="107"/>
      <c r="HF141" s="105"/>
      <c r="HH141" s="13"/>
      <c r="HI141" s="107"/>
      <c r="HJ141" s="107"/>
      <c r="HK141" s="105"/>
      <c r="HM141" s="38"/>
      <c r="HN141" s="13"/>
      <c r="HO141" s="107"/>
      <c r="HP141" s="107"/>
      <c r="HQ141" s="105"/>
      <c r="HS141" s="13"/>
      <c r="HT141" s="107"/>
      <c r="HU141" s="107"/>
      <c r="HV141" s="105"/>
      <c r="HX141" s="13"/>
      <c r="HY141" s="107"/>
      <c r="HZ141" s="107"/>
      <c r="IA141" s="105"/>
      <c r="IC141" s="13"/>
      <c r="ID141" s="107"/>
      <c r="IE141" s="107"/>
      <c r="IF141" s="105"/>
      <c r="IH141" s="13"/>
      <c r="II141" s="107"/>
      <c r="IJ141" s="107"/>
      <c r="IK141" s="105"/>
      <c r="IM141" s="13"/>
      <c r="IN141" s="107"/>
      <c r="IO141" s="107"/>
      <c r="IP141" s="105"/>
      <c r="IR141" s="38"/>
      <c r="IS141" s="13"/>
      <c r="IT141" s="107"/>
      <c r="IU141" s="107"/>
      <c r="IV141" s="105"/>
      <c r="IX141" s="13"/>
      <c r="IY141" s="107"/>
      <c r="IZ141" s="107"/>
      <c r="JA141" s="105"/>
      <c r="JC141" s="13"/>
      <c r="JD141" s="107"/>
      <c r="JE141" s="107"/>
      <c r="JF141" s="105"/>
      <c r="JH141" s="13"/>
      <c r="JI141" s="107"/>
      <c r="JJ141" s="107"/>
      <c r="JK141" s="105"/>
      <c r="JM141" s="13"/>
      <c r="JN141" s="107"/>
      <c r="JO141" s="107"/>
      <c r="JP141" s="105"/>
      <c r="JR141" s="13"/>
      <c r="JS141" s="107"/>
      <c r="JT141" s="107"/>
      <c r="JU141" s="105"/>
      <c r="JW141" s="38"/>
      <c r="JX141" s="13"/>
      <c r="JY141" s="107"/>
      <c r="JZ141" s="107"/>
      <c r="KA141" s="105"/>
      <c r="KC141" s="13"/>
      <c r="KD141" s="107"/>
      <c r="KE141" s="107"/>
      <c r="KF141" s="105"/>
      <c r="KH141" s="13"/>
      <c r="KI141" s="107"/>
      <c r="KJ141" s="107"/>
      <c r="KK141" s="105"/>
      <c r="KM141" s="13"/>
      <c r="KN141" s="107"/>
      <c r="KO141" s="107"/>
      <c r="KP141" s="105"/>
      <c r="KR141" s="13"/>
      <c r="KS141" s="107"/>
      <c r="KT141" s="107"/>
      <c r="KU141" s="105"/>
      <c r="KW141" s="13"/>
      <c r="KX141" s="107"/>
      <c r="KY141" s="107"/>
      <c r="KZ141" s="105"/>
      <c r="LB141" s="38"/>
      <c r="LC141" s="13"/>
      <c r="LD141" s="107"/>
      <c r="LE141" s="107"/>
      <c r="LF141" s="105"/>
      <c r="LH141" s="13"/>
      <c r="LI141" s="107"/>
      <c r="LJ141" s="107"/>
      <c r="LK141" s="105"/>
      <c r="LM141" s="13"/>
      <c r="LN141" s="107"/>
      <c r="LO141" s="107"/>
      <c r="LP141" s="105"/>
      <c r="LR141" s="13"/>
      <c r="LS141" s="107"/>
      <c r="LT141" s="107"/>
      <c r="LU141" s="105"/>
      <c r="LW141" s="13"/>
      <c r="LX141" s="107"/>
      <c r="LY141" s="107"/>
      <c r="LZ141" s="105"/>
      <c r="MB141" s="13"/>
      <c r="MC141" s="107"/>
      <c r="MD141" s="107"/>
      <c r="ME141" s="105"/>
      <c r="MG141" s="38"/>
      <c r="MH141" s="13"/>
      <c r="MI141" s="107"/>
      <c r="MJ141" s="107"/>
      <c r="MK141" s="105"/>
      <c r="MM141" s="13"/>
      <c r="MN141" s="107"/>
      <c r="MO141" s="107"/>
      <c r="MP141" s="105"/>
      <c r="MR141" s="13"/>
      <c r="MS141" s="107"/>
      <c r="MT141" s="107"/>
      <c r="MU141" s="105"/>
      <c r="MW141" s="13"/>
      <c r="MX141" s="107"/>
      <c r="MY141" s="107"/>
      <c r="MZ141" s="105"/>
      <c r="NB141" s="13"/>
      <c r="NC141" s="107"/>
      <c r="ND141" s="107"/>
      <c r="NE141" s="105"/>
      <c r="NG141" s="13"/>
      <c r="NH141" s="107"/>
      <c r="NI141" s="107"/>
      <c r="NJ141" s="105"/>
      <c r="NL141" s="38"/>
      <c r="NM141" s="13"/>
      <c r="NN141" s="107"/>
      <c r="NO141" s="107"/>
      <c r="NP141" s="105"/>
      <c r="NR141" s="13"/>
      <c r="NS141" s="107"/>
      <c r="NT141" s="107"/>
      <c r="NU141" s="105"/>
      <c r="NW141" s="13"/>
      <c r="NX141" s="107"/>
      <c r="NY141" s="107"/>
      <c r="NZ141" s="105"/>
      <c r="OB141" s="13"/>
      <c r="OC141" s="107"/>
      <c r="OD141" s="107"/>
      <c r="OE141" s="105"/>
      <c r="OG141" s="13"/>
      <c r="OH141" s="107"/>
      <c r="OI141" s="107"/>
      <c r="OJ141" s="105"/>
      <c r="OL141" s="13"/>
      <c r="OM141" s="107"/>
      <c r="ON141" s="107"/>
      <c r="OO141" s="105"/>
    </row>
    <row r="142" ht="15.75" customHeight="1">
      <c r="A142" s="42"/>
      <c r="B142" s="42"/>
      <c r="C142" s="42"/>
      <c r="D142" s="38">
        <f t="shared" si="351"/>
        <v>45972</v>
      </c>
      <c r="E142" s="105" t="str">
        <f t="shared" ref="E142:I142" si="359">AO16</f>
        <v/>
      </c>
      <c r="F142" s="105" t="str">
        <f t="shared" si="359"/>
        <v/>
      </c>
      <c r="G142" s="105" t="str">
        <f t="shared" si="359"/>
        <v/>
      </c>
      <c r="H142" s="106" t="str">
        <f t="shared" si="359"/>
        <v/>
      </c>
      <c r="I142" s="106" t="str">
        <f t="shared" si="359"/>
        <v/>
      </c>
      <c r="J142" s="107" t="str">
        <f t="array" ref="J142">IFERROR(IF(XLOOKUP(CONCAT(E142,F142),'MASTER PLAN'!$AB:$AB,'MASTER PLAN'!$M:$M,0,0)=0,"",XLOOKUP(CONCAT(E142,F142),'MASTER PLAN'!$AB:$AB,'MASTER PLAN'!$M:$M,0,0)),"")</f>
        <v/>
      </c>
      <c r="K142" s="107">
        <f t="shared" si="237"/>
        <v>0</v>
      </c>
      <c r="L142" s="107">
        <f t="shared" si="238"/>
        <v>0</v>
      </c>
      <c r="M142" s="105" t="s">
        <v>248</v>
      </c>
      <c r="O142" s="13"/>
      <c r="P142" s="107"/>
      <c r="Q142" s="107"/>
      <c r="R142" s="105"/>
      <c r="T142" s="13"/>
      <c r="U142" s="107"/>
      <c r="V142" s="107"/>
      <c r="W142" s="105"/>
      <c r="Y142" s="13"/>
      <c r="Z142" s="107"/>
      <c r="AA142" s="107"/>
      <c r="AB142" s="105"/>
      <c r="AD142" s="13"/>
      <c r="AE142" s="107"/>
      <c r="AF142" s="107"/>
      <c r="AG142" s="105"/>
      <c r="AI142" s="38"/>
      <c r="AJ142" s="13"/>
      <c r="AK142" s="107"/>
      <c r="AL142" s="107"/>
      <c r="AM142" s="105"/>
      <c r="AO142" s="13"/>
      <c r="AP142" s="107"/>
      <c r="AQ142" s="107"/>
      <c r="AR142" s="105"/>
      <c r="AT142" s="13"/>
      <c r="AU142" s="107"/>
      <c r="AV142" s="107"/>
      <c r="AW142" s="105"/>
      <c r="AY142" s="13"/>
      <c r="AZ142" s="107"/>
      <c r="BA142" s="107"/>
      <c r="BB142" s="105"/>
      <c r="BD142" s="13"/>
      <c r="BE142" s="107"/>
      <c r="BF142" s="107"/>
      <c r="BG142" s="105"/>
      <c r="BI142" s="13"/>
      <c r="BJ142" s="107"/>
      <c r="BK142" s="107"/>
      <c r="BL142" s="105"/>
      <c r="BN142" s="38"/>
      <c r="BO142" s="13"/>
      <c r="BP142" s="107"/>
      <c r="BQ142" s="107"/>
      <c r="BR142" s="105"/>
      <c r="BT142" s="13"/>
      <c r="BU142" s="107"/>
      <c r="BV142" s="107"/>
      <c r="BW142" s="105"/>
      <c r="BY142" s="13"/>
      <c r="BZ142" s="107"/>
      <c r="CA142" s="107"/>
      <c r="CB142" s="105"/>
      <c r="CD142" s="13"/>
      <c r="CE142" s="107"/>
      <c r="CF142" s="107"/>
      <c r="CG142" s="105"/>
      <c r="CI142" s="13"/>
      <c r="CJ142" s="107"/>
      <c r="CK142" s="107"/>
      <c r="CL142" s="105"/>
      <c r="CN142" s="13"/>
      <c r="CO142" s="107"/>
      <c r="CP142" s="107"/>
      <c r="CQ142" s="105"/>
      <c r="CS142" s="38"/>
      <c r="CT142" s="13"/>
      <c r="CU142" s="107"/>
      <c r="CV142" s="107"/>
      <c r="CW142" s="105"/>
      <c r="CY142" s="13"/>
      <c r="CZ142" s="107"/>
      <c r="DA142" s="107"/>
      <c r="DB142" s="105"/>
      <c r="DD142" s="13"/>
      <c r="DE142" s="107"/>
      <c r="DF142" s="107"/>
      <c r="DG142" s="105"/>
      <c r="DI142" s="13"/>
      <c r="DJ142" s="107"/>
      <c r="DK142" s="107"/>
      <c r="DL142" s="105"/>
      <c r="DN142" s="13"/>
      <c r="DO142" s="107"/>
      <c r="DP142" s="107"/>
      <c r="DQ142" s="105"/>
      <c r="DS142" s="13"/>
      <c r="DT142" s="107"/>
      <c r="DU142" s="107"/>
      <c r="DV142" s="105"/>
      <c r="DX142" s="38"/>
      <c r="DY142" s="13"/>
      <c r="DZ142" s="107"/>
      <c r="EA142" s="107"/>
      <c r="EB142" s="105"/>
      <c r="ED142" s="13"/>
      <c r="EE142" s="107"/>
      <c r="EF142" s="107"/>
      <c r="EG142" s="105"/>
      <c r="EI142" s="13"/>
      <c r="EJ142" s="107"/>
      <c r="EK142" s="107"/>
      <c r="EL142" s="105"/>
      <c r="EN142" s="13"/>
      <c r="EO142" s="107"/>
      <c r="EP142" s="107"/>
      <c r="EQ142" s="105"/>
      <c r="ES142" s="13"/>
      <c r="ET142" s="107"/>
      <c r="EU142" s="107"/>
      <c r="EV142" s="105"/>
      <c r="EX142" s="13"/>
      <c r="EY142" s="107"/>
      <c r="EZ142" s="107"/>
      <c r="FA142" s="105"/>
      <c r="FC142" s="38"/>
      <c r="FD142" s="13"/>
      <c r="FE142" s="107"/>
      <c r="FF142" s="107"/>
      <c r="FG142" s="105"/>
      <c r="FI142" s="13"/>
      <c r="FJ142" s="107"/>
      <c r="FK142" s="107"/>
      <c r="FL142" s="105"/>
      <c r="FN142" s="13"/>
      <c r="FO142" s="107"/>
      <c r="FP142" s="107"/>
      <c r="FQ142" s="105"/>
      <c r="FS142" s="13"/>
      <c r="FT142" s="107"/>
      <c r="FU142" s="107"/>
      <c r="FV142" s="105"/>
      <c r="FX142" s="13"/>
      <c r="FY142" s="107"/>
      <c r="FZ142" s="107"/>
      <c r="GA142" s="105"/>
      <c r="GC142" s="13"/>
      <c r="GD142" s="107"/>
      <c r="GE142" s="107"/>
      <c r="GF142" s="105"/>
      <c r="GH142" s="38"/>
      <c r="GI142" s="13"/>
      <c r="GJ142" s="107"/>
      <c r="GK142" s="107"/>
      <c r="GL142" s="105"/>
      <c r="GN142" s="13"/>
      <c r="GO142" s="107"/>
      <c r="GP142" s="107"/>
      <c r="GQ142" s="105"/>
      <c r="GS142" s="13"/>
      <c r="GT142" s="107"/>
      <c r="GU142" s="107"/>
      <c r="GV142" s="105"/>
      <c r="GX142" s="13"/>
      <c r="GY142" s="107"/>
      <c r="GZ142" s="107"/>
      <c r="HA142" s="105"/>
      <c r="HC142" s="13"/>
      <c r="HD142" s="107"/>
      <c r="HE142" s="107"/>
      <c r="HF142" s="105"/>
      <c r="HH142" s="13"/>
      <c r="HI142" s="107"/>
      <c r="HJ142" s="107"/>
      <c r="HK142" s="105"/>
      <c r="HM142" s="38"/>
      <c r="HN142" s="13"/>
      <c r="HO142" s="107"/>
      <c r="HP142" s="107"/>
      <c r="HQ142" s="105"/>
      <c r="HS142" s="13"/>
      <c r="HT142" s="107"/>
      <c r="HU142" s="107"/>
      <c r="HV142" s="105"/>
      <c r="HX142" s="13"/>
      <c r="HY142" s="107"/>
      <c r="HZ142" s="107"/>
      <c r="IA142" s="105"/>
      <c r="IC142" s="13"/>
      <c r="ID142" s="107"/>
      <c r="IE142" s="107"/>
      <c r="IF142" s="105"/>
      <c r="IH142" s="13"/>
      <c r="II142" s="107"/>
      <c r="IJ142" s="107"/>
      <c r="IK142" s="105"/>
      <c r="IM142" s="13"/>
      <c r="IN142" s="107"/>
      <c r="IO142" s="107"/>
      <c r="IP142" s="105"/>
      <c r="IR142" s="38"/>
      <c r="IS142" s="13"/>
      <c r="IT142" s="107"/>
      <c r="IU142" s="107"/>
      <c r="IV142" s="105"/>
      <c r="IX142" s="13"/>
      <c r="IY142" s="107"/>
      <c r="IZ142" s="107"/>
      <c r="JA142" s="105"/>
      <c r="JC142" s="13"/>
      <c r="JD142" s="107"/>
      <c r="JE142" s="107"/>
      <c r="JF142" s="105"/>
      <c r="JH142" s="13"/>
      <c r="JI142" s="107"/>
      <c r="JJ142" s="107"/>
      <c r="JK142" s="105"/>
      <c r="JM142" s="13"/>
      <c r="JN142" s="107"/>
      <c r="JO142" s="107"/>
      <c r="JP142" s="105"/>
      <c r="JR142" s="13"/>
      <c r="JS142" s="107"/>
      <c r="JT142" s="107"/>
      <c r="JU142" s="105"/>
      <c r="JW142" s="38"/>
      <c r="JX142" s="13"/>
      <c r="JY142" s="107"/>
      <c r="JZ142" s="107"/>
      <c r="KA142" s="105"/>
      <c r="KC142" s="13"/>
      <c r="KD142" s="107"/>
      <c r="KE142" s="107"/>
      <c r="KF142" s="105"/>
      <c r="KH142" s="13"/>
      <c r="KI142" s="107"/>
      <c r="KJ142" s="107"/>
      <c r="KK142" s="105"/>
      <c r="KM142" s="13"/>
      <c r="KN142" s="107"/>
      <c r="KO142" s="107"/>
      <c r="KP142" s="105"/>
      <c r="KR142" s="13"/>
      <c r="KS142" s="107"/>
      <c r="KT142" s="107"/>
      <c r="KU142" s="105"/>
      <c r="KW142" s="13"/>
      <c r="KX142" s="107"/>
      <c r="KY142" s="107"/>
      <c r="KZ142" s="105"/>
      <c r="LB142" s="38"/>
      <c r="LC142" s="13"/>
      <c r="LD142" s="107"/>
      <c r="LE142" s="107"/>
      <c r="LF142" s="105"/>
      <c r="LH142" s="13"/>
      <c r="LI142" s="107"/>
      <c r="LJ142" s="107"/>
      <c r="LK142" s="105"/>
      <c r="LM142" s="13"/>
      <c r="LN142" s="107"/>
      <c r="LO142" s="107"/>
      <c r="LP142" s="105"/>
      <c r="LR142" s="13"/>
      <c r="LS142" s="107"/>
      <c r="LT142" s="107"/>
      <c r="LU142" s="105"/>
      <c r="LW142" s="13"/>
      <c r="LX142" s="107"/>
      <c r="LY142" s="107"/>
      <c r="LZ142" s="105"/>
      <c r="MB142" s="13"/>
      <c r="MC142" s="107"/>
      <c r="MD142" s="107"/>
      <c r="ME142" s="105"/>
      <c r="MG142" s="38"/>
      <c r="MH142" s="13"/>
      <c r="MI142" s="107"/>
      <c r="MJ142" s="107"/>
      <c r="MK142" s="105"/>
      <c r="MM142" s="13"/>
      <c r="MN142" s="107"/>
      <c r="MO142" s="107"/>
      <c r="MP142" s="105"/>
      <c r="MR142" s="13"/>
      <c r="MS142" s="107"/>
      <c r="MT142" s="107"/>
      <c r="MU142" s="105"/>
      <c r="MW142" s="13"/>
      <c r="MX142" s="107"/>
      <c r="MY142" s="107"/>
      <c r="MZ142" s="105"/>
      <c r="NB142" s="13"/>
      <c r="NC142" s="107"/>
      <c r="ND142" s="107"/>
      <c r="NE142" s="105"/>
      <c r="NG142" s="13"/>
      <c r="NH142" s="107"/>
      <c r="NI142" s="107"/>
      <c r="NJ142" s="105"/>
      <c r="NL142" s="38"/>
      <c r="NM142" s="13"/>
      <c r="NN142" s="107"/>
      <c r="NO142" s="107"/>
      <c r="NP142" s="105"/>
      <c r="NR142" s="13"/>
      <c r="NS142" s="107"/>
      <c r="NT142" s="107"/>
      <c r="NU142" s="105"/>
      <c r="NW142" s="13"/>
      <c r="NX142" s="107"/>
      <c r="NY142" s="107"/>
      <c r="NZ142" s="105"/>
      <c r="OB142" s="13"/>
      <c r="OC142" s="107"/>
      <c r="OD142" s="107"/>
      <c r="OE142" s="105"/>
      <c r="OG142" s="13"/>
      <c r="OH142" s="107"/>
      <c r="OI142" s="107"/>
      <c r="OJ142" s="105"/>
      <c r="OL142" s="13"/>
      <c r="OM142" s="107"/>
      <c r="ON142" s="107"/>
      <c r="OO142" s="105"/>
    </row>
    <row r="143" ht="15.75" customHeight="1">
      <c r="A143" s="42"/>
      <c r="B143" s="42"/>
      <c r="C143" s="42"/>
      <c r="D143" s="38">
        <f t="shared" si="351"/>
        <v>45972</v>
      </c>
      <c r="E143" s="105" t="str">
        <f t="shared" ref="E143:I143" si="360">AO20</f>
        <v/>
      </c>
      <c r="F143" s="105" t="str">
        <f t="shared" si="360"/>
        <v/>
      </c>
      <c r="G143" s="105" t="str">
        <f t="shared" si="360"/>
        <v/>
      </c>
      <c r="H143" s="106" t="str">
        <f t="shared" si="360"/>
        <v/>
      </c>
      <c r="I143" s="106" t="str">
        <f t="shared" si="360"/>
        <v/>
      </c>
      <c r="J143" s="107" t="str">
        <f t="array" ref="J143">IFERROR(IF(XLOOKUP(CONCAT(E143,F143),'MASTER PLAN'!$AB:$AB,'MASTER PLAN'!$M:$M,0,0)=0,"",XLOOKUP(CONCAT(E143,F143),'MASTER PLAN'!$AB:$AB,'MASTER PLAN'!$M:$M,0,0)),"")</f>
        <v/>
      </c>
      <c r="K143" s="107">
        <f t="shared" si="237"/>
        <v>0</v>
      </c>
      <c r="L143" s="107">
        <f t="shared" si="238"/>
        <v>0</v>
      </c>
      <c r="M143" s="105" t="s">
        <v>249</v>
      </c>
      <c r="O143" s="13"/>
      <c r="P143" s="107"/>
      <c r="Q143" s="107"/>
      <c r="R143" s="105"/>
      <c r="T143" s="13"/>
      <c r="U143" s="107"/>
      <c r="V143" s="107"/>
      <c r="W143" s="105"/>
      <c r="Y143" s="13"/>
      <c r="Z143" s="107"/>
      <c r="AA143" s="107"/>
      <c r="AB143" s="105"/>
      <c r="AD143" s="13"/>
      <c r="AE143" s="107"/>
      <c r="AF143" s="107"/>
      <c r="AG143" s="105"/>
      <c r="AI143" s="38"/>
      <c r="AJ143" s="13"/>
      <c r="AK143" s="107"/>
      <c r="AL143" s="107"/>
      <c r="AM143" s="105"/>
      <c r="AO143" s="13"/>
      <c r="AP143" s="107"/>
      <c r="AQ143" s="107"/>
      <c r="AR143" s="105"/>
      <c r="AT143" s="13"/>
      <c r="AU143" s="107"/>
      <c r="AV143" s="107"/>
      <c r="AW143" s="105"/>
      <c r="AY143" s="13"/>
      <c r="AZ143" s="107"/>
      <c r="BA143" s="107"/>
      <c r="BB143" s="105"/>
      <c r="BD143" s="13"/>
      <c r="BE143" s="107"/>
      <c r="BF143" s="107"/>
      <c r="BG143" s="105"/>
      <c r="BI143" s="13"/>
      <c r="BJ143" s="107"/>
      <c r="BK143" s="107"/>
      <c r="BL143" s="105"/>
      <c r="BN143" s="38"/>
      <c r="BO143" s="13"/>
      <c r="BP143" s="107"/>
      <c r="BQ143" s="107"/>
      <c r="BR143" s="105"/>
      <c r="BT143" s="13"/>
      <c r="BU143" s="107"/>
      <c r="BV143" s="107"/>
      <c r="BW143" s="105"/>
      <c r="BY143" s="13"/>
      <c r="BZ143" s="107"/>
      <c r="CA143" s="107"/>
      <c r="CB143" s="105"/>
      <c r="CD143" s="13"/>
      <c r="CE143" s="107"/>
      <c r="CF143" s="107"/>
      <c r="CG143" s="105"/>
      <c r="CI143" s="13"/>
      <c r="CJ143" s="107"/>
      <c r="CK143" s="107"/>
      <c r="CL143" s="105"/>
      <c r="CN143" s="13"/>
      <c r="CO143" s="107"/>
      <c r="CP143" s="107"/>
      <c r="CQ143" s="105"/>
      <c r="CS143" s="38"/>
      <c r="CT143" s="13"/>
      <c r="CU143" s="107"/>
      <c r="CV143" s="107"/>
      <c r="CW143" s="105"/>
      <c r="CY143" s="13"/>
      <c r="CZ143" s="107"/>
      <c r="DA143" s="107"/>
      <c r="DB143" s="105"/>
      <c r="DD143" s="13"/>
      <c r="DE143" s="107"/>
      <c r="DF143" s="107"/>
      <c r="DG143" s="105"/>
      <c r="DI143" s="13"/>
      <c r="DJ143" s="107"/>
      <c r="DK143" s="107"/>
      <c r="DL143" s="105"/>
      <c r="DN143" s="13"/>
      <c r="DO143" s="107"/>
      <c r="DP143" s="107"/>
      <c r="DQ143" s="105"/>
      <c r="DS143" s="13"/>
      <c r="DT143" s="107"/>
      <c r="DU143" s="107"/>
      <c r="DV143" s="105"/>
      <c r="DX143" s="38"/>
      <c r="DY143" s="13"/>
      <c r="DZ143" s="107"/>
      <c r="EA143" s="107"/>
      <c r="EB143" s="105"/>
      <c r="ED143" s="13"/>
      <c r="EE143" s="107"/>
      <c r="EF143" s="107"/>
      <c r="EG143" s="105"/>
      <c r="EI143" s="13"/>
      <c r="EJ143" s="107"/>
      <c r="EK143" s="107"/>
      <c r="EL143" s="105"/>
      <c r="EN143" s="13"/>
      <c r="EO143" s="107"/>
      <c r="EP143" s="107"/>
      <c r="EQ143" s="105"/>
      <c r="ES143" s="13"/>
      <c r="ET143" s="107"/>
      <c r="EU143" s="107"/>
      <c r="EV143" s="105"/>
      <c r="EX143" s="13"/>
      <c r="EY143" s="107"/>
      <c r="EZ143" s="107"/>
      <c r="FA143" s="105"/>
      <c r="FC143" s="38"/>
      <c r="FD143" s="13"/>
      <c r="FE143" s="107"/>
      <c r="FF143" s="107"/>
      <c r="FG143" s="105"/>
      <c r="FI143" s="13"/>
      <c r="FJ143" s="107"/>
      <c r="FK143" s="107"/>
      <c r="FL143" s="105"/>
      <c r="FN143" s="13"/>
      <c r="FO143" s="107"/>
      <c r="FP143" s="107"/>
      <c r="FQ143" s="105"/>
      <c r="FS143" s="13"/>
      <c r="FT143" s="107"/>
      <c r="FU143" s="107"/>
      <c r="FV143" s="105"/>
      <c r="FX143" s="13"/>
      <c r="FY143" s="107"/>
      <c r="FZ143" s="107"/>
      <c r="GA143" s="105"/>
      <c r="GC143" s="13"/>
      <c r="GD143" s="107"/>
      <c r="GE143" s="107"/>
      <c r="GF143" s="105"/>
      <c r="GH143" s="38"/>
      <c r="GI143" s="13"/>
      <c r="GJ143" s="107"/>
      <c r="GK143" s="107"/>
      <c r="GL143" s="105"/>
      <c r="GN143" s="13"/>
      <c r="GO143" s="107"/>
      <c r="GP143" s="107"/>
      <c r="GQ143" s="105"/>
      <c r="GS143" s="13"/>
      <c r="GT143" s="107"/>
      <c r="GU143" s="107"/>
      <c r="GV143" s="105"/>
      <c r="GX143" s="13"/>
      <c r="GY143" s="107"/>
      <c r="GZ143" s="107"/>
      <c r="HA143" s="105"/>
      <c r="HC143" s="13"/>
      <c r="HD143" s="107"/>
      <c r="HE143" s="107"/>
      <c r="HF143" s="105"/>
      <c r="HH143" s="13"/>
      <c r="HI143" s="107"/>
      <c r="HJ143" s="107"/>
      <c r="HK143" s="105"/>
      <c r="HM143" s="38"/>
      <c r="HN143" s="13"/>
      <c r="HO143" s="107"/>
      <c r="HP143" s="107"/>
      <c r="HQ143" s="105"/>
      <c r="HS143" s="13"/>
      <c r="HT143" s="107"/>
      <c r="HU143" s="107"/>
      <c r="HV143" s="105"/>
      <c r="HX143" s="13"/>
      <c r="HY143" s="107"/>
      <c r="HZ143" s="107"/>
      <c r="IA143" s="105"/>
      <c r="IC143" s="13"/>
      <c r="ID143" s="107"/>
      <c r="IE143" s="107"/>
      <c r="IF143" s="105"/>
      <c r="IH143" s="13"/>
      <c r="II143" s="107"/>
      <c r="IJ143" s="107"/>
      <c r="IK143" s="105"/>
      <c r="IM143" s="13"/>
      <c r="IN143" s="107"/>
      <c r="IO143" s="107"/>
      <c r="IP143" s="105"/>
      <c r="IR143" s="38"/>
      <c r="IS143" s="13"/>
      <c r="IT143" s="107"/>
      <c r="IU143" s="107"/>
      <c r="IV143" s="105"/>
      <c r="IX143" s="13"/>
      <c r="IY143" s="107"/>
      <c r="IZ143" s="107"/>
      <c r="JA143" s="105"/>
      <c r="JC143" s="13"/>
      <c r="JD143" s="107"/>
      <c r="JE143" s="107"/>
      <c r="JF143" s="105"/>
      <c r="JH143" s="13"/>
      <c r="JI143" s="107"/>
      <c r="JJ143" s="107"/>
      <c r="JK143" s="105"/>
      <c r="JM143" s="13"/>
      <c r="JN143" s="107"/>
      <c r="JO143" s="107"/>
      <c r="JP143" s="105"/>
      <c r="JR143" s="13"/>
      <c r="JS143" s="107"/>
      <c r="JT143" s="107"/>
      <c r="JU143" s="105"/>
      <c r="JW143" s="38"/>
      <c r="JX143" s="13"/>
      <c r="JY143" s="107"/>
      <c r="JZ143" s="107"/>
      <c r="KA143" s="105"/>
      <c r="KC143" s="13"/>
      <c r="KD143" s="107"/>
      <c r="KE143" s="107"/>
      <c r="KF143" s="105"/>
      <c r="KH143" s="13"/>
      <c r="KI143" s="107"/>
      <c r="KJ143" s="107"/>
      <c r="KK143" s="105"/>
      <c r="KM143" s="13"/>
      <c r="KN143" s="107"/>
      <c r="KO143" s="107"/>
      <c r="KP143" s="105"/>
      <c r="KR143" s="13"/>
      <c r="KS143" s="107"/>
      <c r="KT143" s="107"/>
      <c r="KU143" s="105"/>
      <c r="KW143" s="13"/>
      <c r="KX143" s="107"/>
      <c r="KY143" s="107"/>
      <c r="KZ143" s="105"/>
      <c r="LB143" s="38"/>
      <c r="LC143" s="13"/>
      <c r="LD143" s="107"/>
      <c r="LE143" s="107"/>
      <c r="LF143" s="105"/>
      <c r="LH143" s="13"/>
      <c r="LI143" s="107"/>
      <c r="LJ143" s="107"/>
      <c r="LK143" s="105"/>
      <c r="LM143" s="13"/>
      <c r="LN143" s="107"/>
      <c r="LO143" s="107"/>
      <c r="LP143" s="105"/>
      <c r="LR143" s="13"/>
      <c r="LS143" s="107"/>
      <c r="LT143" s="107"/>
      <c r="LU143" s="105"/>
      <c r="LW143" s="13"/>
      <c r="LX143" s="107"/>
      <c r="LY143" s="107"/>
      <c r="LZ143" s="105"/>
      <c r="MB143" s="13"/>
      <c r="MC143" s="107"/>
      <c r="MD143" s="107"/>
      <c r="ME143" s="105"/>
      <c r="MG143" s="38"/>
      <c r="MH143" s="13"/>
      <c r="MI143" s="107"/>
      <c r="MJ143" s="107"/>
      <c r="MK143" s="105"/>
      <c r="MM143" s="13"/>
      <c r="MN143" s="107"/>
      <c r="MO143" s="107"/>
      <c r="MP143" s="105"/>
      <c r="MR143" s="13"/>
      <c r="MS143" s="107"/>
      <c r="MT143" s="107"/>
      <c r="MU143" s="105"/>
      <c r="MW143" s="13"/>
      <c r="MX143" s="107"/>
      <c r="MY143" s="107"/>
      <c r="MZ143" s="105"/>
      <c r="NB143" s="13"/>
      <c r="NC143" s="107"/>
      <c r="ND143" s="107"/>
      <c r="NE143" s="105"/>
      <c r="NG143" s="13"/>
      <c r="NH143" s="107"/>
      <c r="NI143" s="107"/>
      <c r="NJ143" s="105"/>
      <c r="NL143" s="38"/>
      <c r="NM143" s="13"/>
      <c r="NN143" s="107"/>
      <c r="NO143" s="107"/>
      <c r="NP143" s="105"/>
      <c r="NR143" s="13"/>
      <c r="NS143" s="107"/>
      <c r="NT143" s="107"/>
      <c r="NU143" s="105"/>
      <c r="NW143" s="13"/>
      <c r="NX143" s="107"/>
      <c r="NY143" s="107"/>
      <c r="NZ143" s="105"/>
      <c r="OB143" s="13"/>
      <c r="OC143" s="107"/>
      <c r="OD143" s="107"/>
      <c r="OE143" s="105"/>
      <c r="OG143" s="13"/>
      <c r="OH143" s="107"/>
      <c r="OI143" s="107"/>
      <c r="OJ143" s="105"/>
      <c r="OL143" s="13"/>
      <c r="OM143" s="107"/>
      <c r="ON143" s="107"/>
      <c r="OO143" s="105"/>
    </row>
    <row r="144" ht="15.75" customHeight="1">
      <c r="A144" s="42"/>
      <c r="B144" s="42"/>
      <c r="C144" s="42"/>
      <c r="D144" s="38">
        <f t="shared" si="351"/>
        <v>45972</v>
      </c>
      <c r="E144" s="105" t="str">
        <f t="shared" ref="E144:I144" si="361">AO21</f>
        <v/>
      </c>
      <c r="F144" s="105" t="str">
        <f t="shared" si="361"/>
        <v/>
      </c>
      <c r="G144" s="105" t="str">
        <f t="shared" si="361"/>
        <v/>
      </c>
      <c r="H144" s="106" t="str">
        <f t="shared" si="361"/>
        <v/>
      </c>
      <c r="I144" s="106" t="str">
        <f t="shared" si="361"/>
        <v/>
      </c>
      <c r="J144" s="107" t="str">
        <f t="array" ref="J144">IFERROR(IF(XLOOKUP(CONCAT(E144,F144),'MASTER PLAN'!$AB:$AB,'MASTER PLAN'!$M:$M,0,0)=0,"",XLOOKUP(CONCAT(E144,F144),'MASTER PLAN'!$AB:$AB,'MASTER PLAN'!$M:$M,0,0)),"")</f>
        <v/>
      </c>
      <c r="K144" s="107">
        <f t="shared" si="237"/>
        <v>0</v>
      </c>
      <c r="L144" s="107">
        <f t="shared" si="238"/>
        <v>0</v>
      </c>
      <c r="M144" s="105" t="s">
        <v>249</v>
      </c>
      <c r="O144" s="13"/>
      <c r="P144" s="107"/>
      <c r="Q144" s="107"/>
      <c r="R144" s="105"/>
      <c r="T144" s="13"/>
      <c r="U144" s="107"/>
      <c r="V144" s="107"/>
      <c r="W144" s="105"/>
      <c r="Y144" s="13"/>
      <c r="Z144" s="107"/>
      <c r="AA144" s="107"/>
      <c r="AB144" s="105"/>
      <c r="AD144" s="13"/>
      <c r="AE144" s="107"/>
      <c r="AF144" s="107"/>
      <c r="AG144" s="105"/>
      <c r="AI144" s="38"/>
      <c r="AJ144" s="13"/>
      <c r="AK144" s="107"/>
      <c r="AL144" s="107"/>
      <c r="AM144" s="105"/>
      <c r="AO144" s="13"/>
      <c r="AP144" s="107"/>
      <c r="AQ144" s="107"/>
      <c r="AR144" s="105"/>
      <c r="AT144" s="13"/>
      <c r="AU144" s="107"/>
      <c r="AV144" s="107"/>
      <c r="AW144" s="105"/>
      <c r="AY144" s="13"/>
      <c r="AZ144" s="107"/>
      <c r="BA144" s="107"/>
      <c r="BB144" s="105"/>
      <c r="BD144" s="13"/>
      <c r="BE144" s="107"/>
      <c r="BF144" s="107"/>
      <c r="BG144" s="105"/>
      <c r="BI144" s="13"/>
      <c r="BJ144" s="107"/>
      <c r="BK144" s="107"/>
      <c r="BL144" s="105"/>
      <c r="BN144" s="38"/>
      <c r="BO144" s="13"/>
      <c r="BP144" s="107"/>
      <c r="BQ144" s="107"/>
      <c r="BR144" s="105"/>
      <c r="BT144" s="13"/>
      <c r="BU144" s="107"/>
      <c r="BV144" s="107"/>
      <c r="BW144" s="105"/>
      <c r="BY144" s="13"/>
      <c r="BZ144" s="107"/>
      <c r="CA144" s="107"/>
      <c r="CB144" s="105"/>
      <c r="CD144" s="13"/>
      <c r="CE144" s="107"/>
      <c r="CF144" s="107"/>
      <c r="CG144" s="105"/>
      <c r="CI144" s="13"/>
      <c r="CJ144" s="107"/>
      <c r="CK144" s="107"/>
      <c r="CL144" s="105"/>
      <c r="CN144" s="13"/>
      <c r="CO144" s="107"/>
      <c r="CP144" s="107"/>
      <c r="CQ144" s="105"/>
      <c r="CS144" s="38"/>
      <c r="CT144" s="13"/>
      <c r="CU144" s="107"/>
      <c r="CV144" s="107"/>
      <c r="CW144" s="105"/>
      <c r="CY144" s="13"/>
      <c r="CZ144" s="107"/>
      <c r="DA144" s="107"/>
      <c r="DB144" s="105"/>
      <c r="DD144" s="13"/>
      <c r="DE144" s="107"/>
      <c r="DF144" s="107"/>
      <c r="DG144" s="105"/>
      <c r="DI144" s="13"/>
      <c r="DJ144" s="107"/>
      <c r="DK144" s="107"/>
      <c r="DL144" s="105"/>
      <c r="DN144" s="13"/>
      <c r="DO144" s="107"/>
      <c r="DP144" s="107"/>
      <c r="DQ144" s="105"/>
      <c r="DS144" s="13"/>
      <c r="DT144" s="107"/>
      <c r="DU144" s="107"/>
      <c r="DV144" s="105"/>
      <c r="DX144" s="38"/>
      <c r="DY144" s="13"/>
      <c r="DZ144" s="107"/>
      <c r="EA144" s="107"/>
      <c r="EB144" s="105"/>
      <c r="ED144" s="13"/>
      <c r="EE144" s="107"/>
      <c r="EF144" s="107"/>
      <c r="EG144" s="105"/>
      <c r="EI144" s="13"/>
      <c r="EJ144" s="107"/>
      <c r="EK144" s="107"/>
      <c r="EL144" s="105"/>
      <c r="EN144" s="13"/>
      <c r="EO144" s="107"/>
      <c r="EP144" s="107"/>
      <c r="EQ144" s="105"/>
      <c r="ES144" s="13"/>
      <c r="ET144" s="107"/>
      <c r="EU144" s="107"/>
      <c r="EV144" s="105"/>
      <c r="EX144" s="13"/>
      <c r="EY144" s="107"/>
      <c r="EZ144" s="107"/>
      <c r="FA144" s="105"/>
      <c r="FC144" s="38"/>
      <c r="FD144" s="13"/>
      <c r="FE144" s="107"/>
      <c r="FF144" s="107"/>
      <c r="FG144" s="105"/>
      <c r="FI144" s="13"/>
      <c r="FJ144" s="107"/>
      <c r="FK144" s="107"/>
      <c r="FL144" s="105"/>
      <c r="FN144" s="13"/>
      <c r="FO144" s="107"/>
      <c r="FP144" s="107"/>
      <c r="FQ144" s="105"/>
      <c r="FS144" s="13"/>
      <c r="FT144" s="107"/>
      <c r="FU144" s="107"/>
      <c r="FV144" s="105"/>
      <c r="FX144" s="13"/>
      <c r="FY144" s="107"/>
      <c r="FZ144" s="107"/>
      <c r="GA144" s="105"/>
      <c r="GC144" s="13"/>
      <c r="GD144" s="107"/>
      <c r="GE144" s="107"/>
      <c r="GF144" s="105"/>
      <c r="GH144" s="38"/>
      <c r="GI144" s="13"/>
      <c r="GJ144" s="107"/>
      <c r="GK144" s="107"/>
      <c r="GL144" s="105"/>
      <c r="GN144" s="13"/>
      <c r="GO144" s="107"/>
      <c r="GP144" s="107"/>
      <c r="GQ144" s="105"/>
      <c r="GS144" s="13"/>
      <c r="GT144" s="107"/>
      <c r="GU144" s="107"/>
      <c r="GV144" s="105"/>
      <c r="GX144" s="13"/>
      <c r="GY144" s="107"/>
      <c r="GZ144" s="107"/>
      <c r="HA144" s="105"/>
      <c r="HC144" s="13"/>
      <c r="HD144" s="107"/>
      <c r="HE144" s="107"/>
      <c r="HF144" s="105"/>
      <c r="HH144" s="13"/>
      <c r="HI144" s="107"/>
      <c r="HJ144" s="107"/>
      <c r="HK144" s="105"/>
      <c r="HM144" s="38"/>
      <c r="HN144" s="13"/>
      <c r="HO144" s="107"/>
      <c r="HP144" s="107"/>
      <c r="HQ144" s="105"/>
      <c r="HS144" s="13"/>
      <c r="HT144" s="107"/>
      <c r="HU144" s="107"/>
      <c r="HV144" s="105"/>
      <c r="HX144" s="13"/>
      <c r="HY144" s="107"/>
      <c r="HZ144" s="107"/>
      <c r="IA144" s="105"/>
      <c r="IC144" s="13"/>
      <c r="ID144" s="107"/>
      <c r="IE144" s="107"/>
      <c r="IF144" s="105"/>
      <c r="IH144" s="13"/>
      <c r="II144" s="107"/>
      <c r="IJ144" s="107"/>
      <c r="IK144" s="105"/>
      <c r="IM144" s="13"/>
      <c r="IN144" s="107"/>
      <c r="IO144" s="107"/>
      <c r="IP144" s="105"/>
      <c r="IR144" s="38"/>
      <c r="IS144" s="13"/>
      <c r="IT144" s="107"/>
      <c r="IU144" s="107"/>
      <c r="IV144" s="105"/>
      <c r="IX144" s="13"/>
      <c r="IY144" s="107"/>
      <c r="IZ144" s="107"/>
      <c r="JA144" s="105"/>
      <c r="JC144" s="13"/>
      <c r="JD144" s="107"/>
      <c r="JE144" s="107"/>
      <c r="JF144" s="105"/>
      <c r="JH144" s="13"/>
      <c r="JI144" s="107"/>
      <c r="JJ144" s="107"/>
      <c r="JK144" s="105"/>
      <c r="JM144" s="13"/>
      <c r="JN144" s="107"/>
      <c r="JO144" s="107"/>
      <c r="JP144" s="105"/>
      <c r="JR144" s="13"/>
      <c r="JS144" s="107"/>
      <c r="JT144" s="107"/>
      <c r="JU144" s="105"/>
      <c r="JW144" s="38"/>
      <c r="JX144" s="13"/>
      <c r="JY144" s="107"/>
      <c r="JZ144" s="107"/>
      <c r="KA144" s="105"/>
      <c r="KC144" s="13"/>
      <c r="KD144" s="107"/>
      <c r="KE144" s="107"/>
      <c r="KF144" s="105"/>
      <c r="KH144" s="13"/>
      <c r="KI144" s="107"/>
      <c r="KJ144" s="107"/>
      <c r="KK144" s="105"/>
      <c r="KM144" s="13"/>
      <c r="KN144" s="107"/>
      <c r="KO144" s="107"/>
      <c r="KP144" s="105"/>
      <c r="KR144" s="13"/>
      <c r="KS144" s="107"/>
      <c r="KT144" s="107"/>
      <c r="KU144" s="105"/>
      <c r="KW144" s="13"/>
      <c r="KX144" s="107"/>
      <c r="KY144" s="107"/>
      <c r="KZ144" s="105"/>
      <c r="LB144" s="38"/>
      <c r="LC144" s="13"/>
      <c r="LD144" s="107"/>
      <c r="LE144" s="107"/>
      <c r="LF144" s="105"/>
      <c r="LH144" s="13"/>
      <c r="LI144" s="107"/>
      <c r="LJ144" s="107"/>
      <c r="LK144" s="105"/>
      <c r="LM144" s="13"/>
      <c r="LN144" s="107"/>
      <c r="LO144" s="107"/>
      <c r="LP144" s="105"/>
      <c r="LR144" s="13"/>
      <c r="LS144" s="107"/>
      <c r="LT144" s="107"/>
      <c r="LU144" s="105"/>
      <c r="LW144" s="13"/>
      <c r="LX144" s="107"/>
      <c r="LY144" s="107"/>
      <c r="LZ144" s="105"/>
      <c r="MB144" s="13"/>
      <c r="MC144" s="107"/>
      <c r="MD144" s="107"/>
      <c r="ME144" s="105"/>
      <c r="MG144" s="38"/>
      <c r="MH144" s="13"/>
      <c r="MI144" s="107"/>
      <c r="MJ144" s="107"/>
      <c r="MK144" s="105"/>
      <c r="MM144" s="13"/>
      <c r="MN144" s="107"/>
      <c r="MO144" s="107"/>
      <c r="MP144" s="105"/>
      <c r="MR144" s="13"/>
      <c r="MS144" s="107"/>
      <c r="MT144" s="107"/>
      <c r="MU144" s="105"/>
      <c r="MW144" s="13"/>
      <c r="MX144" s="107"/>
      <c r="MY144" s="107"/>
      <c r="MZ144" s="105"/>
      <c r="NB144" s="13"/>
      <c r="NC144" s="107"/>
      <c r="ND144" s="107"/>
      <c r="NE144" s="105"/>
      <c r="NG144" s="13"/>
      <c r="NH144" s="107"/>
      <c r="NI144" s="107"/>
      <c r="NJ144" s="105"/>
      <c r="NL144" s="38"/>
      <c r="NM144" s="13"/>
      <c r="NN144" s="107"/>
      <c r="NO144" s="107"/>
      <c r="NP144" s="105"/>
      <c r="NR144" s="13"/>
      <c r="NS144" s="107"/>
      <c r="NT144" s="107"/>
      <c r="NU144" s="105"/>
      <c r="NW144" s="13"/>
      <c r="NX144" s="107"/>
      <c r="NY144" s="107"/>
      <c r="NZ144" s="105"/>
      <c r="OB144" s="13"/>
      <c r="OC144" s="107"/>
      <c r="OD144" s="107"/>
      <c r="OE144" s="105"/>
      <c r="OG144" s="13"/>
      <c r="OH144" s="107"/>
      <c r="OI144" s="107"/>
      <c r="OJ144" s="105"/>
      <c r="OL144" s="13"/>
      <c r="OM144" s="107"/>
      <c r="ON144" s="107"/>
      <c r="OO144" s="105"/>
    </row>
    <row r="145" ht="15.75" customHeight="1">
      <c r="A145" s="42"/>
      <c r="B145" s="42"/>
      <c r="C145" s="42"/>
      <c r="D145" s="38">
        <f t="shared" si="351"/>
        <v>45972</v>
      </c>
      <c r="E145" s="105" t="str">
        <f t="shared" ref="E145:I145" si="362">AO22</f>
        <v/>
      </c>
      <c r="F145" s="105" t="str">
        <f t="shared" si="362"/>
        <v/>
      </c>
      <c r="G145" s="105" t="str">
        <f t="shared" si="362"/>
        <v/>
      </c>
      <c r="H145" s="106" t="str">
        <f t="shared" si="362"/>
        <v/>
      </c>
      <c r="I145" s="106" t="str">
        <f t="shared" si="362"/>
        <v/>
      </c>
      <c r="J145" s="107" t="str">
        <f t="array" ref="J145">IFERROR(IF(XLOOKUP(CONCAT(E145,F145),'MASTER PLAN'!$AB:$AB,'MASTER PLAN'!$M:$M,0,0)=0,"",XLOOKUP(CONCAT(E145,F145),'MASTER PLAN'!$AB:$AB,'MASTER PLAN'!$M:$M,0,0)),"")</f>
        <v/>
      </c>
      <c r="K145" s="107">
        <f t="shared" si="237"/>
        <v>0</v>
      </c>
      <c r="L145" s="107">
        <f t="shared" si="238"/>
        <v>0</v>
      </c>
      <c r="M145" s="105" t="s">
        <v>249</v>
      </c>
      <c r="O145" s="13"/>
      <c r="P145" s="107"/>
      <c r="Q145" s="107"/>
      <c r="R145" s="105"/>
      <c r="T145" s="13"/>
      <c r="U145" s="107"/>
      <c r="V145" s="107"/>
      <c r="W145" s="105"/>
      <c r="Y145" s="13"/>
      <c r="Z145" s="107"/>
      <c r="AA145" s="107"/>
      <c r="AB145" s="105"/>
      <c r="AD145" s="13"/>
      <c r="AE145" s="107"/>
      <c r="AF145" s="107"/>
      <c r="AG145" s="105"/>
      <c r="AI145" s="38"/>
      <c r="AJ145" s="13"/>
      <c r="AK145" s="107"/>
      <c r="AL145" s="107"/>
      <c r="AM145" s="105"/>
      <c r="AO145" s="13"/>
      <c r="AP145" s="107"/>
      <c r="AQ145" s="107"/>
      <c r="AR145" s="105"/>
      <c r="AT145" s="13"/>
      <c r="AU145" s="107"/>
      <c r="AV145" s="107"/>
      <c r="AW145" s="105"/>
      <c r="AY145" s="13"/>
      <c r="AZ145" s="107"/>
      <c r="BA145" s="107"/>
      <c r="BB145" s="105"/>
      <c r="BD145" s="13"/>
      <c r="BE145" s="107"/>
      <c r="BF145" s="107"/>
      <c r="BG145" s="105"/>
      <c r="BI145" s="13"/>
      <c r="BJ145" s="107"/>
      <c r="BK145" s="107"/>
      <c r="BL145" s="105"/>
      <c r="BN145" s="38"/>
      <c r="BO145" s="13"/>
      <c r="BP145" s="107"/>
      <c r="BQ145" s="107"/>
      <c r="BR145" s="105"/>
      <c r="BT145" s="13"/>
      <c r="BU145" s="107"/>
      <c r="BV145" s="107"/>
      <c r="BW145" s="105"/>
      <c r="BY145" s="13"/>
      <c r="BZ145" s="107"/>
      <c r="CA145" s="107"/>
      <c r="CB145" s="105"/>
      <c r="CD145" s="13"/>
      <c r="CE145" s="107"/>
      <c r="CF145" s="107"/>
      <c r="CG145" s="105"/>
      <c r="CI145" s="13"/>
      <c r="CJ145" s="107"/>
      <c r="CK145" s="107"/>
      <c r="CL145" s="105"/>
      <c r="CN145" s="13"/>
      <c r="CO145" s="107"/>
      <c r="CP145" s="107"/>
      <c r="CQ145" s="105"/>
      <c r="CS145" s="38"/>
      <c r="CT145" s="13"/>
      <c r="CU145" s="107"/>
      <c r="CV145" s="107"/>
      <c r="CW145" s="105"/>
      <c r="CY145" s="13"/>
      <c r="CZ145" s="107"/>
      <c r="DA145" s="107"/>
      <c r="DB145" s="105"/>
      <c r="DD145" s="13"/>
      <c r="DE145" s="107"/>
      <c r="DF145" s="107"/>
      <c r="DG145" s="105"/>
      <c r="DI145" s="13"/>
      <c r="DJ145" s="107"/>
      <c r="DK145" s="107"/>
      <c r="DL145" s="105"/>
      <c r="DN145" s="13"/>
      <c r="DO145" s="107"/>
      <c r="DP145" s="107"/>
      <c r="DQ145" s="105"/>
      <c r="DS145" s="13"/>
      <c r="DT145" s="107"/>
      <c r="DU145" s="107"/>
      <c r="DV145" s="105"/>
      <c r="DX145" s="38"/>
      <c r="DY145" s="13"/>
      <c r="DZ145" s="107"/>
      <c r="EA145" s="107"/>
      <c r="EB145" s="105"/>
      <c r="ED145" s="13"/>
      <c r="EE145" s="107"/>
      <c r="EF145" s="107"/>
      <c r="EG145" s="105"/>
      <c r="EI145" s="13"/>
      <c r="EJ145" s="107"/>
      <c r="EK145" s="107"/>
      <c r="EL145" s="105"/>
      <c r="EN145" s="13"/>
      <c r="EO145" s="107"/>
      <c r="EP145" s="107"/>
      <c r="EQ145" s="105"/>
      <c r="ES145" s="13"/>
      <c r="ET145" s="107"/>
      <c r="EU145" s="107"/>
      <c r="EV145" s="105"/>
      <c r="EX145" s="13"/>
      <c r="EY145" s="107"/>
      <c r="EZ145" s="107"/>
      <c r="FA145" s="105"/>
      <c r="FC145" s="38"/>
      <c r="FD145" s="13"/>
      <c r="FE145" s="107"/>
      <c r="FF145" s="107"/>
      <c r="FG145" s="105"/>
      <c r="FI145" s="13"/>
      <c r="FJ145" s="107"/>
      <c r="FK145" s="107"/>
      <c r="FL145" s="105"/>
      <c r="FN145" s="13"/>
      <c r="FO145" s="107"/>
      <c r="FP145" s="107"/>
      <c r="FQ145" s="105"/>
      <c r="FS145" s="13"/>
      <c r="FT145" s="107"/>
      <c r="FU145" s="107"/>
      <c r="FV145" s="105"/>
      <c r="FX145" s="13"/>
      <c r="FY145" s="107"/>
      <c r="FZ145" s="107"/>
      <c r="GA145" s="105"/>
      <c r="GC145" s="13"/>
      <c r="GD145" s="107"/>
      <c r="GE145" s="107"/>
      <c r="GF145" s="105"/>
      <c r="GH145" s="38"/>
      <c r="GI145" s="13"/>
      <c r="GJ145" s="107"/>
      <c r="GK145" s="107"/>
      <c r="GL145" s="105"/>
      <c r="GN145" s="13"/>
      <c r="GO145" s="107"/>
      <c r="GP145" s="107"/>
      <c r="GQ145" s="105"/>
      <c r="GS145" s="13"/>
      <c r="GT145" s="107"/>
      <c r="GU145" s="107"/>
      <c r="GV145" s="105"/>
      <c r="GX145" s="13"/>
      <c r="GY145" s="107"/>
      <c r="GZ145" s="107"/>
      <c r="HA145" s="105"/>
      <c r="HC145" s="13"/>
      <c r="HD145" s="107"/>
      <c r="HE145" s="107"/>
      <c r="HF145" s="105"/>
      <c r="HH145" s="13"/>
      <c r="HI145" s="107"/>
      <c r="HJ145" s="107"/>
      <c r="HK145" s="105"/>
      <c r="HM145" s="38"/>
      <c r="HN145" s="13"/>
      <c r="HO145" s="107"/>
      <c r="HP145" s="107"/>
      <c r="HQ145" s="105"/>
      <c r="HS145" s="13"/>
      <c r="HT145" s="107"/>
      <c r="HU145" s="107"/>
      <c r="HV145" s="105"/>
      <c r="HX145" s="13"/>
      <c r="HY145" s="107"/>
      <c r="HZ145" s="107"/>
      <c r="IA145" s="105"/>
      <c r="IC145" s="13"/>
      <c r="ID145" s="107"/>
      <c r="IE145" s="107"/>
      <c r="IF145" s="105"/>
      <c r="IH145" s="13"/>
      <c r="II145" s="107"/>
      <c r="IJ145" s="107"/>
      <c r="IK145" s="105"/>
      <c r="IM145" s="13"/>
      <c r="IN145" s="107"/>
      <c r="IO145" s="107"/>
      <c r="IP145" s="105"/>
      <c r="IR145" s="38"/>
      <c r="IS145" s="13"/>
      <c r="IT145" s="107"/>
      <c r="IU145" s="107"/>
      <c r="IV145" s="105"/>
      <c r="IX145" s="13"/>
      <c r="IY145" s="107"/>
      <c r="IZ145" s="107"/>
      <c r="JA145" s="105"/>
      <c r="JC145" s="13"/>
      <c r="JD145" s="107"/>
      <c r="JE145" s="107"/>
      <c r="JF145" s="105"/>
      <c r="JH145" s="13"/>
      <c r="JI145" s="107"/>
      <c r="JJ145" s="107"/>
      <c r="JK145" s="105"/>
      <c r="JM145" s="13"/>
      <c r="JN145" s="107"/>
      <c r="JO145" s="107"/>
      <c r="JP145" s="105"/>
      <c r="JR145" s="13"/>
      <c r="JS145" s="107"/>
      <c r="JT145" s="107"/>
      <c r="JU145" s="105"/>
      <c r="JW145" s="38"/>
      <c r="JX145" s="13"/>
      <c r="JY145" s="107"/>
      <c r="JZ145" s="107"/>
      <c r="KA145" s="105"/>
      <c r="KC145" s="13"/>
      <c r="KD145" s="107"/>
      <c r="KE145" s="107"/>
      <c r="KF145" s="105"/>
      <c r="KH145" s="13"/>
      <c r="KI145" s="107"/>
      <c r="KJ145" s="107"/>
      <c r="KK145" s="105"/>
      <c r="KM145" s="13"/>
      <c r="KN145" s="107"/>
      <c r="KO145" s="107"/>
      <c r="KP145" s="105"/>
      <c r="KR145" s="13"/>
      <c r="KS145" s="107"/>
      <c r="KT145" s="107"/>
      <c r="KU145" s="105"/>
      <c r="KW145" s="13"/>
      <c r="KX145" s="107"/>
      <c r="KY145" s="107"/>
      <c r="KZ145" s="105"/>
      <c r="LB145" s="38"/>
      <c r="LC145" s="13"/>
      <c r="LD145" s="107"/>
      <c r="LE145" s="107"/>
      <c r="LF145" s="105"/>
      <c r="LH145" s="13"/>
      <c r="LI145" s="107"/>
      <c r="LJ145" s="107"/>
      <c r="LK145" s="105"/>
      <c r="LM145" s="13"/>
      <c r="LN145" s="107"/>
      <c r="LO145" s="107"/>
      <c r="LP145" s="105"/>
      <c r="LR145" s="13"/>
      <c r="LS145" s="107"/>
      <c r="LT145" s="107"/>
      <c r="LU145" s="105"/>
      <c r="LW145" s="13"/>
      <c r="LX145" s="107"/>
      <c r="LY145" s="107"/>
      <c r="LZ145" s="105"/>
      <c r="MB145" s="13"/>
      <c r="MC145" s="107"/>
      <c r="MD145" s="107"/>
      <c r="ME145" s="105"/>
      <c r="MG145" s="38"/>
      <c r="MH145" s="13"/>
      <c r="MI145" s="107"/>
      <c r="MJ145" s="107"/>
      <c r="MK145" s="105"/>
      <c r="MM145" s="13"/>
      <c r="MN145" s="107"/>
      <c r="MO145" s="107"/>
      <c r="MP145" s="105"/>
      <c r="MR145" s="13"/>
      <c r="MS145" s="107"/>
      <c r="MT145" s="107"/>
      <c r="MU145" s="105"/>
      <c r="MW145" s="13"/>
      <c r="MX145" s="107"/>
      <c r="MY145" s="107"/>
      <c r="MZ145" s="105"/>
      <c r="NB145" s="13"/>
      <c r="NC145" s="107"/>
      <c r="ND145" s="107"/>
      <c r="NE145" s="105"/>
      <c r="NG145" s="13"/>
      <c r="NH145" s="107"/>
      <c r="NI145" s="107"/>
      <c r="NJ145" s="105"/>
      <c r="NL145" s="38"/>
      <c r="NM145" s="13"/>
      <c r="NN145" s="107"/>
      <c r="NO145" s="107"/>
      <c r="NP145" s="105"/>
      <c r="NR145" s="13"/>
      <c r="NS145" s="107"/>
      <c r="NT145" s="107"/>
      <c r="NU145" s="105"/>
      <c r="NW145" s="13"/>
      <c r="NX145" s="107"/>
      <c r="NY145" s="107"/>
      <c r="NZ145" s="105"/>
      <c r="OB145" s="13"/>
      <c r="OC145" s="107"/>
      <c r="OD145" s="107"/>
      <c r="OE145" s="105"/>
      <c r="OG145" s="13"/>
      <c r="OH145" s="107"/>
      <c r="OI145" s="107"/>
      <c r="OJ145" s="105"/>
      <c r="OL145" s="13"/>
      <c r="OM145" s="107"/>
      <c r="ON145" s="107"/>
      <c r="OO145" s="105"/>
    </row>
    <row r="146" ht="15.75" customHeight="1">
      <c r="A146" s="42"/>
      <c r="B146" s="42"/>
      <c r="C146" s="42"/>
      <c r="D146" s="38">
        <f t="shared" si="351"/>
        <v>45972</v>
      </c>
      <c r="E146" s="105" t="str">
        <f t="shared" ref="E146:I146" si="363">AO23</f>
        <v/>
      </c>
      <c r="F146" s="105" t="str">
        <f t="shared" si="363"/>
        <v/>
      </c>
      <c r="G146" s="105" t="str">
        <f t="shared" si="363"/>
        <v/>
      </c>
      <c r="H146" s="106" t="str">
        <f t="shared" si="363"/>
        <v/>
      </c>
      <c r="I146" s="106" t="str">
        <f t="shared" si="363"/>
        <v/>
      </c>
      <c r="J146" s="107" t="str">
        <f t="array" ref="J146">IFERROR(IF(XLOOKUP(CONCAT(E146,F146),'MASTER PLAN'!$AB:$AB,'MASTER PLAN'!$M:$M,0,0)=0,"",XLOOKUP(CONCAT(E146,F146),'MASTER PLAN'!$AB:$AB,'MASTER PLAN'!$M:$M,0,0)),"")</f>
        <v/>
      </c>
      <c r="K146" s="107">
        <f t="shared" si="237"/>
        <v>0</v>
      </c>
      <c r="L146" s="107">
        <f t="shared" si="238"/>
        <v>0</v>
      </c>
      <c r="M146" s="105" t="s">
        <v>249</v>
      </c>
      <c r="O146" s="13"/>
      <c r="P146" s="107"/>
      <c r="Q146" s="107"/>
      <c r="R146" s="105"/>
      <c r="T146" s="13"/>
      <c r="U146" s="107"/>
      <c r="V146" s="107"/>
      <c r="W146" s="105"/>
      <c r="Y146" s="13"/>
      <c r="Z146" s="107"/>
      <c r="AA146" s="107"/>
      <c r="AB146" s="105"/>
      <c r="AD146" s="13"/>
      <c r="AE146" s="107"/>
      <c r="AF146" s="107"/>
      <c r="AG146" s="105"/>
      <c r="AI146" s="38"/>
      <c r="AJ146" s="13"/>
      <c r="AK146" s="107"/>
      <c r="AL146" s="107"/>
      <c r="AM146" s="105"/>
      <c r="AO146" s="13"/>
      <c r="AP146" s="107"/>
      <c r="AQ146" s="107"/>
      <c r="AR146" s="105"/>
      <c r="AT146" s="13"/>
      <c r="AU146" s="107"/>
      <c r="AV146" s="107"/>
      <c r="AW146" s="105"/>
      <c r="AY146" s="13"/>
      <c r="AZ146" s="107"/>
      <c r="BA146" s="107"/>
      <c r="BB146" s="105"/>
      <c r="BD146" s="13"/>
      <c r="BE146" s="107"/>
      <c r="BF146" s="107"/>
      <c r="BG146" s="105"/>
      <c r="BI146" s="13"/>
      <c r="BJ146" s="107"/>
      <c r="BK146" s="107"/>
      <c r="BL146" s="105"/>
      <c r="BN146" s="38"/>
      <c r="BO146" s="13"/>
      <c r="BP146" s="107"/>
      <c r="BQ146" s="107"/>
      <c r="BR146" s="105"/>
      <c r="BT146" s="13"/>
      <c r="BU146" s="107"/>
      <c r="BV146" s="107"/>
      <c r="BW146" s="105"/>
      <c r="BY146" s="13"/>
      <c r="BZ146" s="107"/>
      <c r="CA146" s="107"/>
      <c r="CB146" s="105"/>
      <c r="CD146" s="13"/>
      <c r="CE146" s="107"/>
      <c r="CF146" s="107"/>
      <c r="CG146" s="105"/>
      <c r="CI146" s="13"/>
      <c r="CJ146" s="107"/>
      <c r="CK146" s="107"/>
      <c r="CL146" s="105"/>
      <c r="CN146" s="13"/>
      <c r="CO146" s="107"/>
      <c r="CP146" s="107"/>
      <c r="CQ146" s="105"/>
      <c r="CS146" s="38"/>
      <c r="CT146" s="13"/>
      <c r="CU146" s="107"/>
      <c r="CV146" s="107"/>
      <c r="CW146" s="105"/>
      <c r="CY146" s="13"/>
      <c r="CZ146" s="107"/>
      <c r="DA146" s="107"/>
      <c r="DB146" s="105"/>
      <c r="DD146" s="13"/>
      <c r="DE146" s="107"/>
      <c r="DF146" s="107"/>
      <c r="DG146" s="105"/>
      <c r="DI146" s="13"/>
      <c r="DJ146" s="107"/>
      <c r="DK146" s="107"/>
      <c r="DL146" s="105"/>
      <c r="DN146" s="13"/>
      <c r="DO146" s="107"/>
      <c r="DP146" s="107"/>
      <c r="DQ146" s="105"/>
      <c r="DS146" s="13"/>
      <c r="DT146" s="107"/>
      <c r="DU146" s="107"/>
      <c r="DV146" s="105"/>
      <c r="DX146" s="38"/>
      <c r="DY146" s="13"/>
      <c r="DZ146" s="107"/>
      <c r="EA146" s="107"/>
      <c r="EB146" s="105"/>
      <c r="ED146" s="13"/>
      <c r="EE146" s="107"/>
      <c r="EF146" s="107"/>
      <c r="EG146" s="105"/>
      <c r="EI146" s="13"/>
      <c r="EJ146" s="107"/>
      <c r="EK146" s="107"/>
      <c r="EL146" s="105"/>
      <c r="EN146" s="13"/>
      <c r="EO146" s="107"/>
      <c r="EP146" s="107"/>
      <c r="EQ146" s="105"/>
      <c r="ES146" s="13"/>
      <c r="ET146" s="107"/>
      <c r="EU146" s="107"/>
      <c r="EV146" s="105"/>
      <c r="EX146" s="13"/>
      <c r="EY146" s="107"/>
      <c r="EZ146" s="107"/>
      <c r="FA146" s="105"/>
      <c r="FC146" s="38"/>
      <c r="FD146" s="13"/>
      <c r="FE146" s="107"/>
      <c r="FF146" s="107"/>
      <c r="FG146" s="105"/>
      <c r="FI146" s="13"/>
      <c r="FJ146" s="107"/>
      <c r="FK146" s="107"/>
      <c r="FL146" s="105"/>
      <c r="FN146" s="13"/>
      <c r="FO146" s="107"/>
      <c r="FP146" s="107"/>
      <c r="FQ146" s="105"/>
      <c r="FS146" s="13"/>
      <c r="FT146" s="107"/>
      <c r="FU146" s="107"/>
      <c r="FV146" s="105"/>
      <c r="FX146" s="13"/>
      <c r="FY146" s="107"/>
      <c r="FZ146" s="107"/>
      <c r="GA146" s="105"/>
      <c r="GC146" s="13"/>
      <c r="GD146" s="107"/>
      <c r="GE146" s="107"/>
      <c r="GF146" s="105"/>
      <c r="GH146" s="38"/>
      <c r="GI146" s="13"/>
      <c r="GJ146" s="107"/>
      <c r="GK146" s="107"/>
      <c r="GL146" s="105"/>
      <c r="GN146" s="13"/>
      <c r="GO146" s="107"/>
      <c r="GP146" s="107"/>
      <c r="GQ146" s="105"/>
      <c r="GS146" s="13"/>
      <c r="GT146" s="107"/>
      <c r="GU146" s="107"/>
      <c r="GV146" s="105"/>
      <c r="GX146" s="13"/>
      <c r="GY146" s="107"/>
      <c r="GZ146" s="107"/>
      <c r="HA146" s="105"/>
      <c r="HC146" s="13"/>
      <c r="HD146" s="107"/>
      <c r="HE146" s="107"/>
      <c r="HF146" s="105"/>
      <c r="HH146" s="13"/>
      <c r="HI146" s="107"/>
      <c r="HJ146" s="107"/>
      <c r="HK146" s="105"/>
      <c r="HM146" s="38"/>
      <c r="HN146" s="13"/>
      <c r="HO146" s="107"/>
      <c r="HP146" s="107"/>
      <c r="HQ146" s="105"/>
      <c r="HS146" s="13"/>
      <c r="HT146" s="107"/>
      <c r="HU146" s="107"/>
      <c r="HV146" s="105"/>
      <c r="HX146" s="13"/>
      <c r="HY146" s="107"/>
      <c r="HZ146" s="107"/>
      <c r="IA146" s="105"/>
      <c r="IC146" s="13"/>
      <c r="ID146" s="107"/>
      <c r="IE146" s="107"/>
      <c r="IF146" s="105"/>
      <c r="IH146" s="13"/>
      <c r="II146" s="107"/>
      <c r="IJ146" s="107"/>
      <c r="IK146" s="105"/>
      <c r="IM146" s="13"/>
      <c r="IN146" s="107"/>
      <c r="IO146" s="107"/>
      <c r="IP146" s="105"/>
      <c r="IR146" s="38"/>
      <c r="IS146" s="13"/>
      <c r="IT146" s="107"/>
      <c r="IU146" s="107"/>
      <c r="IV146" s="105"/>
      <c r="IX146" s="13"/>
      <c r="IY146" s="107"/>
      <c r="IZ146" s="107"/>
      <c r="JA146" s="105"/>
      <c r="JC146" s="13"/>
      <c r="JD146" s="107"/>
      <c r="JE146" s="107"/>
      <c r="JF146" s="105"/>
      <c r="JH146" s="13"/>
      <c r="JI146" s="107"/>
      <c r="JJ146" s="107"/>
      <c r="JK146" s="105"/>
      <c r="JM146" s="13"/>
      <c r="JN146" s="107"/>
      <c r="JO146" s="107"/>
      <c r="JP146" s="105"/>
      <c r="JR146" s="13"/>
      <c r="JS146" s="107"/>
      <c r="JT146" s="107"/>
      <c r="JU146" s="105"/>
      <c r="JW146" s="38"/>
      <c r="JX146" s="13"/>
      <c r="JY146" s="107"/>
      <c r="JZ146" s="107"/>
      <c r="KA146" s="105"/>
      <c r="KC146" s="13"/>
      <c r="KD146" s="107"/>
      <c r="KE146" s="107"/>
      <c r="KF146" s="105"/>
      <c r="KH146" s="13"/>
      <c r="KI146" s="107"/>
      <c r="KJ146" s="107"/>
      <c r="KK146" s="105"/>
      <c r="KM146" s="13"/>
      <c r="KN146" s="107"/>
      <c r="KO146" s="107"/>
      <c r="KP146" s="105"/>
      <c r="KR146" s="13"/>
      <c r="KS146" s="107"/>
      <c r="KT146" s="107"/>
      <c r="KU146" s="105"/>
      <c r="KW146" s="13"/>
      <c r="KX146" s="107"/>
      <c r="KY146" s="107"/>
      <c r="KZ146" s="105"/>
      <c r="LB146" s="38"/>
      <c r="LC146" s="13"/>
      <c r="LD146" s="107"/>
      <c r="LE146" s="107"/>
      <c r="LF146" s="105"/>
      <c r="LH146" s="13"/>
      <c r="LI146" s="107"/>
      <c r="LJ146" s="107"/>
      <c r="LK146" s="105"/>
      <c r="LM146" s="13"/>
      <c r="LN146" s="107"/>
      <c r="LO146" s="107"/>
      <c r="LP146" s="105"/>
      <c r="LR146" s="13"/>
      <c r="LS146" s="107"/>
      <c r="LT146" s="107"/>
      <c r="LU146" s="105"/>
      <c r="LW146" s="13"/>
      <c r="LX146" s="107"/>
      <c r="LY146" s="107"/>
      <c r="LZ146" s="105"/>
      <c r="MB146" s="13"/>
      <c r="MC146" s="107"/>
      <c r="MD146" s="107"/>
      <c r="ME146" s="105"/>
      <c r="MG146" s="38"/>
      <c r="MH146" s="13"/>
      <c r="MI146" s="107"/>
      <c r="MJ146" s="107"/>
      <c r="MK146" s="105"/>
      <c r="MM146" s="13"/>
      <c r="MN146" s="107"/>
      <c r="MO146" s="107"/>
      <c r="MP146" s="105"/>
      <c r="MR146" s="13"/>
      <c r="MS146" s="107"/>
      <c r="MT146" s="107"/>
      <c r="MU146" s="105"/>
      <c r="MW146" s="13"/>
      <c r="MX146" s="107"/>
      <c r="MY146" s="107"/>
      <c r="MZ146" s="105"/>
      <c r="NB146" s="13"/>
      <c r="NC146" s="107"/>
      <c r="ND146" s="107"/>
      <c r="NE146" s="105"/>
      <c r="NG146" s="13"/>
      <c r="NH146" s="107"/>
      <c r="NI146" s="107"/>
      <c r="NJ146" s="105"/>
      <c r="NL146" s="38"/>
      <c r="NM146" s="13"/>
      <c r="NN146" s="107"/>
      <c r="NO146" s="107"/>
      <c r="NP146" s="105"/>
      <c r="NR146" s="13"/>
      <c r="NS146" s="107"/>
      <c r="NT146" s="107"/>
      <c r="NU146" s="105"/>
      <c r="NW146" s="13"/>
      <c r="NX146" s="107"/>
      <c r="NY146" s="107"/>
      <c r="NZ146" s="105"/>
      <c r="OB146" s="13"/>
      <c r="OC146" s="107"/>
      <c r="OD146" s="107"/>
      <c r="OE146" s="105"/>
      <c r="OG146" s="13"/>
      <c r="OH146" s="107"/>
      <c r="OI146" s="107"/>
      <c r="OJ146" s="105"/>
      <c r="OL146" s="13"/>
      <c r="OM146" s="107"/>
      <c r="ON146" s="107"/>
      <c r="OO146" s="105"/>
    </row>
    <row r="147" ht="15.75" customHeight="1">
      <c r="A147" s="42"/>
      <c r="B147" s="42"/>
      <c r="C147" s="42"/>
      <c r="D147" s="38">
        <f t="shared" si="351"/>
        <v>45972</v>
      </c>
      <c r="E147" s="105" t="str">
        <f t="shared" ref="E147:I147" si="364">AO24</f>
        <v/>
      </c>
      <c r="F147" s="105" t="str">
        <f t="shared" si="364"/>
        <v/>
      </c>
      <c r="G147" s="105" t="str">
        <f t="shared" si="364"/>
        <v/>
      </c>
      <c r="H147" s="106" t="str">
        <f t="shared" si="364"/>
        <v/>
      </c>
      <c r="I147" s="106" t="str">
        <f t="shared" si="364"/>
        <v/>
      </c>
      <c r="J147" s="107" t="str">
        <f t="array" ref="J147">IFERROR(IF(XLOOKUP(CONCAT(E147,F147),'MASTER PLAN'!$AB:$AB,'MASTER PLAN'!$M:$M,0,0)=0,"",XLOOKUP(CONCAT(E147,F147),'MASTER PLAN'!$AB:$AB,'MASTER PLAN'!$M:$M,0,0)),"")</f>
        <v/>
      </c>
      <c r="K147" s="107">
        <f t="shared" si="237"/>
        <v>0</v>
      </c>
      <c r="L147" s="107">
        <f t="shared" si="238"/>
        <v>0</v>
      </c>
      <c r="M147" s="105" t="s">
        <v>249</v>
      </c>
      <c r="O147" s="13"/>
      <c r="P147" s="107"/>
      <c r="Q147" s="107"/>
      <c r="R147" s="105"/>
      <c r="T147" s="13"/>
      <c r="U147" s="107"/>
      <c r="V147" s="107"/>
      <c r="W147" s="105"/>
      <c r="Y147" s="13"/>
      <c r="Z147" s="107"/>
      <c r="AA147" s="107"/>
      <c r="AB147" s="105"/>
      <c r="AD147" s="13"/>
      <c r="AE147" s="107"/>
      <c r="AF147" s="107"/>
      <c r="AG147" s="105"/>
      <c r="AI147" s="38"/>
      <c r="AJ147" s="13"/>
      <c r="AK147" s="107"/>
      <c r="AL147" s="107"/>
      <c r="AM147" s="105"/>
      <c r="AO147" s="13"/>
      <c r="AP147" s="107"/>
      <c r="AQ147" s="107"/>
      <c r="AR147" s="105"/>
      <c r="AT147" s="13"/>
      <c r="AU147" s="107"/>
      <c r="AV147" s="107"/>
      <c r="AW147" s="105"/>
      <c r="AY147" s="13"/>
      <c r="AZ147" s="107"/>
      <c r="BA147" s="107"/>
      <c r="BB147" s="105"/>
      <c r="BD147" s="13"/>
      <c r="BE147" s="107"/>
      <c r="BF147" s="107"/>
      <c r="BG147" s="105"/>
      <c r="BI147" s="13"/>
      <c r="BJ147" s="107"/>
      <c r="BK147" s="107"/>
      <c r="BL147" s="105"/>
      <c r="BN147" s="38"/>
      <c r="BO147" s="13"/>
      <c r="BP147" s="107"/>
      <c r="BQ147" s="107"/>
      <c r="BR147" s="105"/>
      <c r="BT147" s="13"/>
      <c r="BU147" s="107"/>
      <c r="BV147" s="107"/>
      <c r="BW147" s="105"/>
      <c r="BY147" s="13"/>
      <c r="BZ147" s="107"/>
      <c r="CA147" s="107"/>
      <c r="CB147" s="105"/>
      <c r="CD147" s="13"/>
      <c r="CE147" s="107"/>
      <c r="CF147" s="107"/>
      <c r="CG147" s="105"/>
      <c r="CI147" s="13"/>
      <c r="CJ147" s="107"/>
      <c r="CK147" s="107"/>
      <c r="CL147" s="105"/>
      <c r="CN147" s="13"/>
      <c r="CO147" s="107"/>
      <c r="CP147" s="107"/>
      <c r="CQ147" s="105"/>
      <c r="CS147" s="38"/>
      <c r="CT147" s="13"/>
      <c r="CU147" s="107"/>
      <c r="CV147" s="107"/>
      <c r="CW147" s="105"/>
      <c r="CY147" s="13"/>
      <c r="CZ147" s="107"/>
      <c r="DA147" s="107"/>
      <c r="DB147" s="105"/>
      <c r="DD147" s="13"/>
      <c r="DE147" s="107"/>
      <c r="DF147" s="107"/>
      <c r="DG147" s="105"/>
      <c r="DI147" s="13"/>
      <c r="DJ147" s="107"/>
      <c r="DK147" s="107"/>
      <c r="DL147" s="105"/>
      <c r="DN147" s="13"/>
      <c r="DO147" s="107"/>
      <c r="DP147" s="107"/>
      <c r="DQ147" s="105"/>
      <c r="DS147" s="13"/>
      <c r="DT147" s="107"/>
      <c r="DU147" s="107"/>
      <c r="DV147" s="105"/>
      <c r="DX147" s="38"/>
      <c r="DY147" s="13"/>
      <c r="DZ147" s="107"/>
      <c r="EA147" s="107"/>
      <c r="EB147" s="105"/>
      <c r="ED147" s="13"/>
      <c r="EE147" s="107"/>
      <c r="EF147" s="107"/>
      <c r="EG147" s="105"/>
      <c r="EI147" s="13"/>
      <c r="EJ147" s="107"/>
      <c r="EK147" s="107"/>
      <c r="EL147" s="105"/>
      <c r="EN147" s="13"/>
      <c r="EO147" s="107"/>
      <c r="EP147" s="107"/>
      <c r="EQ147" s="105"/>
      <c r="ES147" s="13"/>
      <c r="ET147" s="107"/>
      <c r="EU147" s="107"/>
      <c r="EV147" s="105"/>
      <c r="EX147" s="13"/>
      <c r="EY147" s="107"/>
      <c r="EZ147" s="107"/>
      <c r="FA147" s="105"/>
      <c r="FC147" s="38"/>
      <c r="FD147" s="13"/>
      <c r="FE147" s="107"/>
      <c r="FF147" s="107"/>
      <c r="FG147" s="105"/>
      <c r="FI147" s="13"/>
      <c r="FJ147" s="107"/>
      <c r="FK147" s="107"/>
      <c r="FL147" s="105"/>
      <c r="FN147" s="13"/>
      <c r="FO147" s="107"/>
      <c r="FP147" s="107"/>
      <c r="FQ147" s="105"/>
      <c r="FS147" s="13"/>
      <c r="FT147" s="107"/>
      <c r="FU147" s="107"/>
      <c r="FV147" s="105"/>
      <c r="FX147" s="13"/>
      <c r="FY147" s="107"/>
      <c r="FZ147" s="107"/>
      <c r="GA147" s="105"/>
      <c r="GC147" s="13"/>
      <c r="GD147" s="107"/>
      <c r="GE147" s="107"/>
      <c r="GF147" s="105"/>
      <c r="GH147" s="38"/>
      <c r="GI147" s="13"/>
      <c r="GJ147" s="107"/>
      <c r="GK147" s="107"/>
      <c r="GL147" s="105"/>
      <c r="GN147" s="13"/>
      <c r="GO147" s="107"/>
      <c r="GP147" s="107"/>
      <c r="GQ147" s="105"/>
      <c r="GS147" s="13"/>
      <c r="GT147" s="107"/>
      <c r="GU147" s="107"/>
      <c r="GV147" s="105"/>
      <c r="GX147" s="13"/>
      <c r="GY147" s="107"/>
      <c r="GZ147" s="107"/>
      <c r="HA147" s="105"/>
      <c r="HC147" s="13"/>
      <c r="HD147" s="107"/>
      <c r="HE147" s="107"/>
      <c r="HF147" s="105"/>
      <c r="HH147" s="13"/>
      <c r="HI147" s="107"/>
      <c r="HJ147" s="107"/>
      <c r="HK147" s="105"/>
      <c r="HM147" s="38"/>
      <c r="HN147" s="13"/>
      <c r="HO147" s="107"/>
      <c r="HP147" s="107"/>
      <c r="HQ147" s="105"/>
      <c r="HS147" s="13"/>
      <c r="HT147" s="107"/>
      <c r="HU147" s="107"/>
      <c r="HV147" s="105"/>
      <c r="HX147" s="13"/>
      <c r="HY147" s="107"/>
      <c r="HZ147" s="107"/>
      <c r="IA147" s="105"/>
      <c r="IC147" s="13"/>
      <c r="ID147" s="107"/>
      <c r="IE147" s="107"/>
      <c r="IF147" s="105"/>
      <c r="IH147" s="13"/>
      <c r="II147" s="107"/>
      <c r="IJ147" s="107"/>
      <c r="IK147" s="105"/>
      <c r="IM147" s="13"/>
      <c r="IN147" s="107"/>
      <c r="IO147" s="107"/>
      <c r="IP147" s="105"/>
      <c r="IR147" s="38"/>
      <c r="IS147" s="13"/>
      <c r="IT147" s="107"/>
      <c r="IU147" s="107"/>
      <c r="IV147" s="105"/>
      <c r="IX147" s="13"/>
      <c r="IY147" s="107"/>
      <c r="IZ147" s="107"/>
      <c r="JA147" s="105"/>
      <c r="JC147" s="13"/>
      <c r="JD147" s="107"/>
      <c r="JE147" s="107"/>
      <c r="JF147" s="105"/>
      <c r="JH147" s="13"/>
      <c r="JI147" s="107"/>
      <c r="JJ147" s="107"/>
      <c r="JK147" s="105"/>
      <c r="JM147" s="13"/>
      <c r="JN147" s="107"/>
      <c r="JO147" s="107"/>
      <c r="JP147" s="105"/>
      <c r="JR147" s="13"/>
      <c r="JS147" s="107"/>
      <c r="JT147" s="107"/>
      <c r="JU147" s="105"/>
      <c r="JW147" s="38"/>
      <c r="JX147" s="13"/>
      <c r="JY147" s="107"/>
      <c r="JZ147" s="107"/>
      <c r="KA147" s="105"/>
      <c r="KC147" s="13"/>
      <c r="KD147" s="107"/>
      <c r="KE147" s="107"/>
      <c r="KF147" s="105"/>
      <c r="KH147" s="13"/>
      <c r="KI147" s="107"/>
      <c r="KJ147" s="107"/>
      <c r="KK147" s="105"/>
      <c r="KM147" s="13"/>
      <c r="KN147" s="107"/>
      <c r="KO147" s="107"/>
      <c r="KP147" s="105"/>
      <c r="KR147" s="13"/>
      <c r="KS147" s="107"/>
      <c r="KT147" s="107"/>
      <c r="KU147" s="105"/>
      <c r="KW147" s="13"/>
      <c r="KX147" s="107"/>
      <c r="KY147" s="107"/>
      <c r="KZ147" s="105"/>
      <c r="LB147" s="38"/>
      <c r="LC147" s="13"/>
      <c r="LD147" s="107"/>
      <c r="LE147" s="107"/>
      <c r="LF147" s="105"/>
      <c r="LH147" s="13"/>
      <c r="LI147" s="107"/>
      <c r="LJ147" s="107"/>
      <c r="LK147" s="105"/>
      <c r="LM147" s="13"/>
      <c r="LN147" s="107"/>
      <c r="LO147" s="107"/>
      <c r="LP147" s="105"/>
      <c r="LR147" s="13"/>
      <c r="LS147" s="107"/>
      <c r="LT147" s="107"/>
      <c r="LU147" s="105"/>
      <c r="LW147" s="13"/>
      <c r="LX147" s="107"/>
      <c r="LY147" s="107"/>
      <c r="LZ147" s="105"/>
      <c r="MB147" s="13"/>
      <c r="MC147" s="107"/>
      <c r="MD147" s="107"/>
      <c r="ME147" s="105"/>
      <c r="MG147" s="38"/>
      <c r="MH147" s="13"/>
      <c r="MI147" s="107"/>
      <c r="MJ147" s="107"/>
      <c r="MK147" s="105"/>
      <c r="MM147" s="13"/>
      <c r="MN147" s="107"/>
      <c r="MO147" s="107"/>
      <c r="MP147" s="105"/>
      <c r="MR147" s="13"/>
      <c r="MS147" s="107"/>
      <c r="MT147" s="107"/>
      <c r="MU147" s="105"/>
      <c r="MW147" s="13"/>
      <c r="MX147" s="107"/>
      <c r="MY147" s="107"/>
      <c r="MZ147" s="105"/>
      <c r="NB147" s="13"/>
      <c r="NC147" s="107"/>
      <c r="ND147" s="107"/>
      <c r="NE147" s="105"/>
      <c r="NG147" s="13"/>
      <c r="NH147" s="107"/>
      <c r="NI147" s="107"/>
      <c r="NJ147" s="105"/>
      <c r="NL147" s="38"/>
      <c r="NM147" s="13"/>
      <c r="NN147" s="107"/>
      <c r="NO147" s="107"/>
      <c r="NP147" s="105"/>
      <c r="NR147" s="13"/>
      <c r="NS147" s="107"/>
      <c r="NT147" s="107"/>
      <c r="NU147" s="105"/>
      <c r="NW147" s="13"/>
      <c r="NX147" s="107"/>
      <c r="NY147" s="107"/>
      <c r="NZ147" s="105"/>
      <c r="OB147" s="13"/>
      <c r="OC147" s="107"/>
      <c r="OD147" s="107"/>
      <c r="OE147" s="105"/>
      <c r="OG147" s="13"/>
      <c r="OH147" s="107"/>
      <c r="OI147" s="107"/>
      <c r="OJ147" s="105"/>
      <c r="OL147" s="13"/>
      <c r="OM147" s="107"/>
      <c r="ON147" s="107"/>
      <c r="OO147" s="105"/>
    </row>
    <row r="148" ht="15.75" customHeight="1">
      <c r="A148" s="42"/>
      <c r="B148" s="42"/>
      <c r="C148" s="42"/>
      <c r="D148" s="38">
        <f>AT2</f>
        <v>45973</v>
      </c>
      <c r="E148" s="31" t="str">
        <f t="shared" ref="E148:I148" si="365">AT4</f>
        <v/>
      </c>
      <c r="F148" s="31" t="str">
        <f t="shared" si="365"/>
        <v/>
      </c>
      <c r="G148" s="31" t="str">
        <f t="shared" si="365"/>
        <v/>
      </c>
      <c r="H148" s="13" t="str">
        <f t="shared" si="365"/>
        <v/>
      </c>
      <c r="I148" s="13" t="str">
        <f t="shared" si="365"/>
        <v/>
      </c>
      <c r="J148" s="107" t="str">
        <f t="array" ref="J148">IFERROR(IF(XLOOKUP(CONCAT(E148,F148),'MASTER PLAN'!$AB:$AB,'MASTER PLAN'!$M:$M,0,0)=0,"",XLOOKUP(CONCAT(E148,F148),'MASTER PLAN'!$AB:$AB,'MASTER PLAN'!$M:$M,0,0)),"")</f>
        <v/>
      </c>
      <c r="K148" s="107">
        <f t="shared" si="237"/>
        <v>0</v>
      </c>
      <c r="L148" s="107">
        <f t="shared" si="238"/>
        <v>0</v>
      </c>
      <c r="M148" s="105" t="s">
        <v>246</v>
      </c>
      <c r="O148" s="13"/>
      <c r="P148" s="107"/>
      <c r="Q148" s="107"/>
      <c r="R148" s="105"/>
      <c r="T148" s="13"/>
      <c r="U148" s="107"/>
      <c r="V148" s="107"/>
      <c r="W148" s="105"/>
      <c r="Y148" s="13"/>
      <c r="Z148" s="107"/>
      <c r="AA148" s="107"/>
      <c r="AB148" s="105"/>
      <c r="AD148" s="13"/>
      <c r="AE148" s="107"/>
      <c r="AF148" s="107"/>
      <c r="AG148" s="105"/>
      <c r="AI148" s="38"/>
      <c r="AJ148" s="13"/>
      <c r="AK148" s="107"/>
      <c r="AL148" s="107"/>
      <c r="AM148" s="105"/>
      <c r="AO148" s="13"/>
      <c r="AP148" s="107"/>
      <c r="AQ148" s="107"/>
      <c r="AR148" s="105"/>
      <c r="AT148" s="13"/>
      <c r="AU148" s="107"/>
      <c r="AV148" s="107"/>
      <c r="AW148" s="105"/>
      <c r="AY148" s="13"/>
      <c r="AZ148" s="107"/>
      <c r="BA148" s="107"/>
      <c r="BB148" s="105"/>
      <c r="BD148" s="13"/>
      <c r="BE148" s="107"/>
      <c r="BF148" s="107"/>
      <c r="BG148" s="105"/>
      <c r="BI148" s="13"/>
      <c r="BJ148" s="107"/>
      <c r="BK148" s="107"/>
      <c r="BL148" s="105"/>
      <c r="BN148" s="38"/>
      <c r="BO148" s="13"/>
      <c r="BP148" s="107"/>
      <c r="BQ148" s="107"/>
      <c r="BR148" s="105"/>
      <c r="BT148" s="13"/>
      <c r="BU148" s="107"/>
      <c r="BV148" s="107"/>
      <c r="BW148" s="105"/>
      <c r="BY148" s="13"/>
      <c r="BZ148" s="107"/>
      <c r="CA148" s="107"/>
      <c r="CB148" s="105"/>
      <c r="CD148" s="13"/>
      <c r="CE148" s="107"/>
      <c r="CF148" s="107"/>
      <c r="CG148" s="105"/>
      <c r="CI148" s="13"/>
      <c r="CJ148" s="107"/>
      <c r="CK148" s="107"/>
      <c r="CL148" s="105"/>
      <c r="CN148" s="13"/>
      <c r="CO148" s="107"/>
      <c r="CP148" s="107"/>
      <c r="CQ148" s="105"/>
      <c r="CS148" s="38"/>
      <c r="CT148" s="13"/>
      <c r="CU148" s="107"/>
      <c r="CV148" s="107"/>
      <c r="CW148" s="105"/>
      <c r="CY148" s="13"/>
      <c r="CZ148" s="107"/>
      <c r="DA148" s="107"/>
      <c r="DB148" s="105"/>
      <c r="DD148" s="13"/>
      <c r="DE148" s="107"/>
      <c r="DF148" s="107"/>
      <c r="DG148" s="105"/>
      <c r="DI148" s="13"/>
      <c r="DJ148" s="107"/>
      <c r="DK148" s="107"/>
      <c r="DL148" s="105"/>
      <c r="DN148" s="13"/>
      <c r="DO148" s="107"/>
      <c r="DP148" s="107"/>
      <c r="DQ148" s="105"/>
      <c r="DS148" s="13"/>
      <c r="DT148" s="107"/>
      <c r="DU148" s="107"/>
      <c r="DV148" s="105"/>
      <c r="DX148" s="38"/>
      <c r="DY148" s="13"/>
      <c r="DZ148" s="107"/>
      <c r="EA148" s="107"/>
      <c r="EB148" s="105"/>
      <c r="ED148" s="13"/>
      <c r="EE148" s="107"/>
      <c r="EF148" s="107"/>
      <c r="EG148" s="105"/>
      <c r="EI148" s="13"/>
      <c r="EJ148" s="107"/>
      <c r="EK148" s="107"/>
      <c r="EL148" s="105"/>
      <c r="EN148" s="13"/>
      <c r="EO148" s="107"/>
      <c r="EP148" s="107"/>
      <c r="EQ148" s="105"/>
      <c r="ES148" s="13"/>
      <c r="ET148" s="107"/>
      <c r="EU148" s="107"/>
      <c r="EV148" s="105"/>
      <c r="EX148" s="13"/>
      <c r="EY148" s="107"/>
      <c r="EZ148" s="107"/>
      <c r="FA148" s="105"/>
      <c r="FC148" s="38"/>
      <c r="FD148" s="13"/>
      <c r="FE148" s="107"/>
      <c r="FF148" s="107"/>
      <c r="FG148" s="105"/>
      <c r="FI148" s="13"/>
      <c r="FJ148" s="107"/>
      <c r="FK148" s="107"/>
      <c r="FL148" s="105"/>
      <c r="FN148" s="13"/>
      <c r="FO148" s="107"/>
      <c r="FP148" s="107"/>
      <c r="FQ148" s="105"/>
      <c r="FS148" s="13"/>
      <c r="FT148" s="107"/>
      <c r="FU148" s="107"/>
      <c r="FV148" s="105"/>
      <c r="FX148" s="13"/>
      <c r="FY148" s="107"/>
      <c r="FZ148" s="107"/>
      <c r="GA148" s="105"/>
      <c r="GC148" s="13"/>
      <c r="GD148" s="107"/>
      <c r="GE148" s="107"/>
      <c r="GF148" s="105"/>
      <c r="GH148" s="38"/>
      <c r="GI148" s="13"/>
      <c r="GJ148" s="107"/>
      <c r="GK148" s="107"/>
      <c r="GL148" s="105"/>
      <c r="GN148" s="13"/>
      <c r="GO148" s="107"/>
      <c r="GP148" s="107"/>
      <c r="GQ148" s="105"/>
      <c r="GS148" s="13"/>
      <c r="GT148" s="107"/>
      <c r="GU148" s="107"/>
      <c r="GV148" s="105"/>
      <c r="GX148" s="13"/>
      <c r="GY148" s="107"/>
      <c r="GZ148" s="107"/>
      <c r="HA148" s="105"/>
      <c r="HC148" s="13"/>
      <c r="HD148" s="107"/>
      <c r="HE148" s="107"/>
      <c r="HF148" s="105"/>
      <c r="HH148" s="13"/>
      <c r="HI148" s="107"/>
      <c r="HJ148" s="107"/>
      <c r="HK148" s="105"/>
      <c r="HM148" s="38"/>
      <c r="HN148" s="13"/>
      <c r="HO148" s="107"/>
      <c r="HP148" s="107"/>
      <c r="HQ148" s="105"/>
      <c r="HS148" s="13"/>
      <c r="HT148" s="107"/>
      <c r="HU148" s="107"/>
      <c r="HV148" s="105"/>
      <c r="HX148" s="13"/>
      <c r="HY148" s="107"/>
      <c r="HZ148" s="107"/>
      <c r="IA148" s="105"/>
      <c r="IC148" s="13"/>
      <c r="ID148" s="107"/>
      <c r="IE148" s="107"/>
      <c r="IF148" s="105"/>
      <c r="IH148" s="13"/>
      <c r="II148" s="107"/>
      <c r="IJ148" s="107"/>
      <c r="IK148" s="105"/>
      <c r="IM148" s="13"/>
      <c r="IN148" s="107"/>
      <c r="IO148" s="107"/>
      <c r="IP148" s="105"/>
      <c r="IR148" s="38"/>
      <c r="IS148" s="13"/>
      <c r="IT148" s="107"/>
      <c r="IU148" s="107"/>
      <c r="IV148" s="105"/>
      <c r="IX148" s="13"/>
      <c r="IY148" s="107"/>
      <c r="IZ148" s="107"/>
      <c r="JA148" s="105"/>
      <c r="JC148" s="13"/>
      <c r="JD148" s="107"/>
      <c r="JE148" s="107"/>
      <c r="JF148" s="105"/>
      <c r="JH148" s="13"/>
      <c r="JI148" s="107"/>
      <c r="JJ148" s="107"/>
      <c r="JK148" s="105"/>
      <c r="JM148" s="13"/>
      <c r="JN148" s="107"/>
      <c r="JO148" s="107"/>
      <c r="JP148" s="105"/>
      <c r="JR148" s="13"/>
      <c r="JS148" s="107"/>
      <c r="JT148" s="107"/>
      <c r="JU148" s="105"/>
      <c r="JW148" s="38"/>
      <c r="JX148" s="13"/>
      <c r="JY148" s="107"/>
      <c r="JZ148" s="107"/>
      <c r="KA148" s="105"/>
      <c r="KC148" s="13"/>
      <c r="KD148" s="107"/>
      <c r="KE148" s="107"/>
      <c r="KF148" s="105"/>
      <c r="KH148" s="13"/>
      <c r="KI148" s="107"/>
      <c r="KJ148" s="107"/>
      <c r="KK148" s="105"/>
      <c r="KM148" s="13"/>
      <c r="KN148" s="107"/>
      <c r="KO148" s="107"/>
      <c r="KP148" s="105"/>
      <c r="KR148" s="13"/>
      <c r="KS148" s="107"/>
      <c r="KT148" s="107"/>
      <c r="KU148" s="105"/>
      <c r="KW148" s="13"/>
      <c r="KX148" s="107"/>
      <c r="KY148" s="107"/>
      <c r="KZ148" s="105"/>
      <c r="LB148" s="38"/>
      <c r="LC148" s="13"/>
      <c r="LD148" s="107"/>
      <c r="LE148" s="107"/>
      <c r="LF148" s="105"/>
      <c r="LH148" s="13"/>
      <c r="LI148" s="107"/>
      <c r="LJ148" s="107"/>
      <c r="LK148" s="105"/>
      <c r="LM148" s="13"/>
      <c r="LN148" s="107"/>
      <c r="LO148" s="107"/>
      <c r="LP148" s="105"/>
      <c r="LR148" s="13"/>
      <c r="LS148" s="107"/>
      <c r="LT148" s="107"/>
      <c r="LU148" s="105"/>
      <c r="LW148" s="13"/>
      <c r="LX148" s="107"/>
      <c r="LY148" s="107"/>
      <c r="LZ148" s="105"/>
      <c r="MB148" s="13"/>
      <c r="MC148" s="107"/>
      <c r="MD148" s="107"/>
      <c r="ME148" s="105"/>
      <c r="MG148" s="38"/>
      <c r="MH148" s="13"/>
      <c r="MI148" s="107"/>
      <c r="MJ148" s="107"/>
      <c r="MK148" s="105"/>
      <c r="MM148" s="13"/>
      <c r="MN148" s="107"/>
      <c r="MO148" s="107"/>
      <c r="MP148" s="105"/>
      <c r="MR148" s="13"/>
      <c r="MS148" s="107"/>
      <c r="MT148" s="107"/>
      <c r="MU148" s="105"/>
      <c r="MW148" s="13"/>
      <c r="MX148" s="107"/>
      <c r="MY148" s="107"/>
      <c r="MZ148" s="105"/>
      <c r="NB148" s="13"/>
      <c r="NC148" s="107"/>
      <c r="ND148" s="107"/>
      <c r="NE148" s="105"/>
      <c r="NG148" s="13"/>
      <c r="NH148" s="107"/>
      <c r="NI148" s="107"/>
      <c r="NJ148" s="105"/>
      <c r="NL148" s="38"/>
      <c r="NM148" s="13"/>
      <c r="NN148" s="107"/>
      <c r="NO148" s="107"/>
      <c r="NP148" s="105"/>
      <c r="NR148" s="13"/>
      <c r="NS148" s="107"/>
      <c r="NT148" s="107"/>
      <c r="NU148" s="105"/>
      <c r="NW148" s="13"/>
      <c r="NX148" s="107"/>
      <c r="NY148" s="107"/>
      <c r="NZ148" s="105"/>
      <c r="OB148" s="13"/>
      <c r="OC148" s="107"/>
      <c r="OD148" s="107"/>
      <c r="OE148" s="105"/>
      <c r="OG148" s="13"/>
      <c r="OH148" s="107"/>
      <c r="OI148" s="107"/>
      <c r="OJ148" s="105"/>
      <c r="OL148" s="13"/>
      <c r="OM148" s="107"/>
      <c r="ON148" s="107"/>
      <c r="OO148" s="105"/>
    </row>
    <row r="149" ht="15.75" customHeight="1">
      <c r="A149" s="42"/>
      <c r="B149" s="42"/>
      <c r="C149" s="42"/>
      <c r="D149" s="38">
        <f t="shared" ref="D149:D162" si="367">D148</f>
        <v>45973</v>
      </c>
      <c r="E149" s="31" t="str">
        <f t="shared" ref="E149:I149" si="366">AT5</f>
        <v/>
      </c>
      <c r="F149" s="31" t="str">
        <f t="shared" si="366"/>
        <v/>
      </c>
      <c r="G149" s="31" t="str">
        <f t="shared" si="366"/>
        <v/>
      </c>
      <c r="H149" s="13" t="str">
        <f t="shared" si="366"/>
        <v/>
      </c>
      <c r="I149" s="13" t="str">
        <f t="shared" si="366"/>
        <v/>
      </c>
      <c r="J149" s="107" t="str">
        <f t="array" ref="J149">IFERROR(IF(XLOOKUP(CONCAT(E149,F149),'MASTER PLAN'!$AB:$AB,'MASTER PLAN'!$M:$M,0,0)=0,"",XLOOKUP(CONCAT(E149,F149),'MASTER PLAN'!$AB:$AB,'MASTER PLAN'!$M:$M,0,0)),"")</f>
        <v/>
      </c>
      <c r="K149" s="107">
        <f t="shared" si="237"/>
        <v>0</v>
      </c>
      <c r="L149" s="107">
        <f t="shared" si="238"/>
        <v>0</v>
      </c>
      <c r="M149" s="105" t="s">
        <v>246</v>
      </c>
      <c r="O149" s="13"/>
      <c r="P149" s="107"/>
      <c r="Q149" s="107"/>
      <c r="R149" s="105"/>
      <c r="T149" s="13"/>
      <c r="U149" s="107"/>
      <c r="V149" s="107"/>
      <c r="W149" s="105"/>
      <c r="Y149" s="13"/>
      <c r="Z149" s="107"/>
      <c r="AA149" s="107"/>
      <c r="AB149" s="105"/>
      <c r="AD149" s="13"/>
      <c r="AE149" s="107"/>
      <c r="AF149" s="107"/>
      <c r="AG149" s="105"/>
      <c r="AI149" s="38"/>
      <c r="AJ149" s="13"/>
      <c r="AK149" s="107"/>
      <c r="AL149" s="107"/>
      <c r="AM149" s="105"/>
      <c r="AO149" s="13"/>
      <c r="AP149" s="107"/>
      <c r="AQ149" s="107"/>
      <c r="AR149" s="105"/>
      <c r="AT149" s="13"/>
      <c r="AU149" s="107"/>
      <c r="AV149" s="107"/>
      <c r="AW149" s="105"/>
      <c r="AY149" s="13"/>
      <c r="AZ149" s="107"/>
      <c r="BA149" s="107"/>
      <c r="BB149" s="105"/>
      <c r="BD149" s="13"/>
      <c r="BE149" s="107"/>
      <c r="BF149" s="107"/>
      <c r="BG149" s="105"/>
      <c r="BI149" s="13"/>
      <c r="BJ149" s="107"/>
      <c r="BK149" s="107"/>
      <c r="BL149" s="105"/>
      <c r="BN149" s="38"/>
      <c r="BO149" s="13"/>
      <c r="BP149" s="107"/>
      <c r="BQ149" s="107"/>
      <c r="BR149" s="105"/>
      <c r="BT149" s="13"/>
      <c r="BU149" s="107"/>
      <c r="BV149" s="107"/>
      <c r="BW149" s="105"/>
      <c r="BY149" s="13"/>
      <c r="BZ149" s="107"/>
      <c r="CA149" s="107"/>
      <c r="CB149" s="105"/>
      <c r="CD149" s="13"/>
      <c r="CE149" s="107"/>
      <c r="CF149" s="107"/>
      <c r="CG149" s="105"/>
      <c r="CI149" s="13"/>
      <c r="CJ149" s="107"/>
      <c r="CK149" s="107"/>
      <c r="CL149" s="105"/>
      <c r="CN149" s="13"/>
      <c r="CO149" s="107"/>
      <c r="CP149" s="107"/>
      <c r="CQ149" s="105"/>
      <c r="CS149" s="38"/>
      <c r="CT149" s="13"/>
      <c r="CU149" s="107"/>
      <c r="CV149" s="107"/>
      <c r="CW149" s="105"/>
      <c r="CY149" s="13"/>
      <c r="CZ149" s="107"/>
      <c r="DA149" s="107"/>
      <c r="DB149" s="105"/>
      <c r="DD149" s="13"/>
      <c r="DE149" s="107"/>
      <c r="DF149" s="107"/>
      <c r="DG149" s="105"/>
      <c r="DI149" s="13"/>
      <c r="DJ149" s="107"/>
      <c r="DK149" s="107"/>
      <c r="DL149" s="105"/>
      <c r="DN149" s="13"/>
      <c r="DO149" s="107"/>
      <c r="DP149" s="107"/>
      <c r="DQ149" s="105"/>
      <c r="DS149" s="13"/>
      <c r="DT149" s="107"/>
      <c r="DU149" s="107"/>
      <c r="DV149" s="105"/>
      <c r="DX149" s="38"/>
      <c r="DY149" s="13"/>
      <c r="DZ149" s="107"/>
      <c r="EA149" s="107"/>
      <c r="EB149" s="105"/>
      <c r="ED149" s="13"/>
      <c r="EE149" s="107"/>
      <c r="EF149" s="107"/>
      <c r="EG149" s="105"/>
      <c r="EI149" s="13"/>
      <c r="EJ149" s="107"/>
      <c r="EK149" s="107"/>
      <c r="EL149" s="105"/>
      <c r="EN149" s="13"/>
      <c r="EO149" s="107"/>
      <c r="EP149" s="107"/>
      <c r="EQ149" s="105"/>
      <c r="ES149" s="13"/>
      <c r="ET149" s="107"/>
      <c r="EU149" s="107"/>
      <c r="EV149" s="105"/>
      <c r="EX149" s="13"/>
      <c r="EY149" s="107"/>
      <c r="EZ149" s="107"/>
      <c r="FA149" s="105"/>
      <c r="FC149" s="38"/>
      <c r="FD149" s="13"/>
      <c r="FE149" s="107"/>
      <c r="FF149" s="107"/>
      <c r="FG149" s="105"/>
      <c r="FI149" s="13"/>
      <c r="FJ149" s="107"/>
      <c r="FK149" s="107"/>
      <c r="FL149" s="105"/>
      <c r="FN149" s="13"/>
      <c r="FO149" s="107"/>
      <c r="FP149" s="107"/>
      <c r="FQ149" s="105"/>
      <c r="FS149" s="13"/>
      <c r="FT149" s="107"/>
      <c r="FU149" s="107"/>
      <c r="FV149" s="105"/>
      <c r="FX149" s="13"/>
      <c r="FY149" s="107"/>
      <c r="FZ149" s="107"/>
      <c r="GA149" s="105"/>
      <c r="GC149" s="13"/>
      <c r="GD149" s="107"/>
      <c r="GE149" s="107"/>
      <c r="GF149" s="105"/>
      <c r="GH149" s="38"/>
      <c r="GI149" s="13"/>
      <c r="GJ149" s="107"/>
      <c r="GK149" s="107"/>
      <c r="GL149" s="105"/>
      <c r="GN149" s="13"/>
      <c r="GO149" s="107"/>
      <c r="GP149" s="107"/>
      <c r="GQ149" s="105"/>
      <c r="GS149" s="13"/>
      <c r="GT149" s="107"/>
      <c r="GU149" s="107"/>
      <c r="GV149" s="105"/>
      <c r="GX149" s="13"/>
      <c r="GY149" s="107"/>
      <c r="GZ149" s="107"/>
      <c r="HA149" s="105"/>
      <c r="HC149" s="13"/>
      <c r="HD149" s="107"/>
      <c r="HE149" s="107"/>
      <c r="HF149" s="105"/>
      <c r="HH149" s="13"/>
      <c r="HI149" s="107"/>
      <c r="HJ149" s="107"/>
      <c r="HK149" s="105"/>
      <c r="HM149" s="38"/>
      <c r="HN149" s="13"/>
      <c r="HO149" s="107"/>
      <c r="HP149" s="107"/>
      <c r="HQ149" s="105"/>
      <c r="HS149" s="13"/>
      <c r="HT149" s="107"/>
      <c r="HU149" s="107"/>
      <c r="HV149" s="105"/>
      <c r="HX149" s="13"/>
      <c r="HY149" s="107"/>
      <c r="HZ149" s="107"/>
      <c r="IA149" s="105"/>
      <c r="IC149" s="13"/>
      <c r="ID149" s="107"/>
      <c r="IE149" s="107"/>
      <c r="IF149" s="105"/>
      <c r="IH149" s="13"/>
      <c r="II149" s="107"/>
      <c r="IJ149" s="107"/>
      <c r="IK149" s="105"/>
      <c r="IM149" s="13"/>
      <c r="IN149" s="107"/>
      <c r="IO149" s="107"/>
      <c r="IP149" s="105"/>
      <c r="IR149" s="38"/>
      <c r="IS149" s="13"/>
      <c r="IT149" s="107"/>
      <c r="IU149" s="107"/>
      <c r="IV149" s="105"/>
      <c r="IX149" s="13"/>
      <c r="IY149" s="107"/>
      <c r="IZ149" s="107"/>
      <c r="JA149" s="105"/>
      <c r="JC149" s="13"/>
      <c r="JD149" s="107"/>
      <c r="JE149" s="107"/>
      <c r="JF149" s="105"/>
      <c r="JH149" s="13"/>
      <c r="JI149" s="107"/>
      <c r="JJ149" s="107"/>
      <c r="JK149" s="105"/>
      <c r="JM149" s="13"/>
      <c r="JN149" s="107"/>
      <c r="JO149" s="107"/>
      <c r="JP149" s="105"/>
      <c r="JR149" s="13"/>
      <c r="JS149" s="107"/>
      <c r="JT149" s="107"/>
      <c r="JU149" s="105"/>
      <c r="JW149" s="38"/>
      <c r="JX149" s="13"/>
      <c r="JY149" s="107"/>
      <c r="JZ149" s="107"/>
      <c r="KA149" s="105"/>
      <c r="KC149" s="13"/>
      <c r="KD149" s="107"/>
      <c r="KE149" s="107"/>
      <c r="KF149" s="105"/>
      <c r="KH149" s="13"/>
      <c r="KI149" s="107"/>
      <c r="KJ149" s="107"/>
      <c r="KK149" s="105"/>
      <c r="KM149" s="13"/>
      <c r="KN149" s="107"/>
      <c r="KO149" s="107"/>
      <c r="KP149" s="105"/>
      <c r="KR149" s="13"/>
      <c r="KS149" s="107"/>
      <c r="KT149" s="107"/>
      <c r="KU149" s="105"/>
      <c r="KW149" s="13"/>
      <c r="KX149" s="107"/>
      <c r="KY149" s="107"/>
      <c r="KZ149" s="105"/>
      <c r="LB149" s="38"/>
      <c r="LC149" s="13"/>
      <c r="LD149" s="107"/>
      <c r="LE149" s="107"/>
      <c r="LF149" s="105"/>
      <c r="LH149" s="13"/>
      <c r="LI149" s="107"/>
      <c r="LJ149" s="107"/>
      <c r="LK149" s="105"/>
      <c r="LM149" s="13"/>
      <c r="LN149" s="107"/>
      <c r="LO149" s="107"/>
      <c r="LP149" s="105"/>
      <c r="LR149" s="13"/>
      <c r="LS149" s="107"/>
      <c r="LT149" s="107"/>
      <c r="LU149" s="105"/>
      <c r="LW149" s="13"/>
      <c r="LX149" s="107"/>
      <c r="LY149" s="107"/>
      <c r="LZ149" s="105"/>
      <c r="MB149" s="13"/>
      <c r="MC149" s="107"/>
      <c r="MD149" s="107"/>
      <c r="ME149" s="105"/>
      <c r="MG149" s="38"/>
      <c r="MH149" s="13"/>
      <c r="MI149" s="107"/>
      <c r="MJ149" s="107"/>
      <c r="MK149" s="105"/>
      <c r="MM149" s="13"/>
      <c r="MN149" s="107"/>
      <c r="MO149" s="107"/>
      <c r="MP149" s="105"/>
      <c r="MR149" s="13"/>
      <c r="MS149" s="107"/>
      <c r="MT149" s="107"/>
      <c r="MU149" s="105"/>
      <c r="MW149" s="13"/>
      <c r="MX149" s="107"/>
      <c r="MY149" s="107"/>
      <c r="MZ149" s="105"/>
      <c r="NB149" s="13"/>
      <c r="NC149" s="107"/>
      <c r="ND149" s="107"/>
      <c r="NE149" s="105"/>
      <c r="NG149" s="13"/>
      <c r="NH149" s="107"/>
      <c r="NI149" s="107"/>
      <c r="NJ149" s="105"/>
      <c r="NL149" s="38"/>
      <c r="NM149" s="13"/>
      <c r="NN149" s="107"/>
      <c r="NO149" s="107"/>
      <c r="NP149" s="105"/>
      <c r="NR149" s="13"/>
      <c r="NS149" s="107"/>
      <c r="NT149" s="107"/>
      <c r="NU149" s="105"/>
      <c r="NW149" s="13"/>
      <c r="NX149" s="107"/>
      <c r="NY149" s="107"/>
      <c r="NZ149" s="105"/>
      <c r="OB149" s="13"/>
      <c r="OC149" s="107"/>
      <c r="OD149" s="107"/>
      <c r="OE149" s="105"/>
      <c r="OG149" s="13"/>
      <c r="OH149" s="107"/>
      <c r="OI149" s="107"/>
      <c r="OJ149" s="105"/>
      <c r="OL149" s="13"/>
      <c r="OM149" s="107"/>
      <c r="ON149" s="107"/>
      <c r="OO149" s="105"/>
    </row>
    <row r="150" ht="15.75" customHeight="1">
      <c r="A150" s="42"/>
      <c r="B150" s="42"/>
      <c r="C150" s="42"/>
      <c r="D150" s="38">
        <f t="shared" si="367"/>
        <v>45973</v>
      </c>
      <c r="E150" s="31" t="str">
        <f t="shared" ref="E150:I150" si="368">AT6</f>
        <v/>
      </c>
      <c r="F150" s="31" t="str">
        <f t="shared" si="368"/>
        <v/>
      </c>
      <c r="G150" s="31" t="str">
        <f t="shared" si="368"/>
        <v/>
      </c>
      <c r="H150" s="13" t="str">
        <f t="shared" si="368"/>
        <v/>
      </c>
      <c r="I150" s="13" t="str">
        <f t="shared" si="368"/>
        <v/>
      </c>
      <c r="J150" s="107" t="str">
        <f t="array" ref="J150">IFERROR(IF(XLOOKUP(CONCAT(E150,F150),'MASTER PLAN'!$AB:$AB,'MASTER PLAN'!$M:$M,0,0)=0,"",XLOOKUP(CONCAT(E150,F150),'MASTER PLAN'!$AB:$AB,'MASTER PLAN'!$M:$M,0,0)),"")</f>
        <v/>
      </c>
      <c r="K150" s="107">
        <f t="shared" si="237"/>
        <v>0</v>
      </c>
      <c r="L150" s="107">
        <f t="shared" si="238"/>
        <v>0</v>
      </c>
      <c r="M150" s="105" t="s">
        <v>246</v>
      </c>
      <c r="O150" s="13"/>
      <c r="P150" s="107"/>
      <c r="Q150" s="107"/>
      <c r="R150" s="105"/>
      <c r="T150" s="13"/>
      <c r="U150" s="107"/>
      <c r="V150" s="107"/>
      <c r="W150" s="105"/>
      <c r="Y150" s="13"/>
      <c r="Z150" s="107"/>
      <c r="AA150" s="107"/>
      <c r="AB150" s="105"/>
      <c r="AD150" s="13"/>
      <c r="AE150" s="107"/>
      <c r="AF150" s="107"/>
      <c r="AG150" s="105"/>
      <c r="AI150" s="38"/>
      <c r="AJ150" s="13"/>
      <c r="AK150" s="107"/>
      <c r="AL150" s="107"/>
      <c r="AM150" s="105"/>
      <c r="AO150" s="13"/>
      <c r="AP150" s="107"/>
      <c r="AQ150" s="107"/>
      <c r="AR150" s="105"/>
      <c r="AT150" s="13"/>
      <c r="AU150" s="107"/>
      <c r="AV150" s="107"/>
      <c r="AW150" s="105"/>
      <c r="AY150" s="13"/>
      <c r="AZ150" s="107"/>
      <c r="BA150" s="107"/>
      <c r="BB150" s="105"/>
      <c r="BD150" s="13"/>
      <c r="BE150" s="107"/>
      <c r="BF150" s="107"/>
      <c r="BG150" s="105"/>
      <c r="BI150" s="13"/>
      <c r="BJ150" s="107"/>
      <c r="BK150" s="107"/>
      <c r="BL150" s="105"/>
      <c r="BN150" s="38"/>
      <c r="BO150" s="13"/>
      <c r="BP150" s="107"/>
      <c r="BQ150" s="107"/>
      <c r="BR150" s="105"/>
      <c r="BT150" s="13"/>
      <c r="BU150" s="107"/>
      <c r="BV150" s="107"/>
      <c r="BW150" s="105"/>
      <c r="BY150" s="13"/>
      <c r="BZ150" s="107"/>
      <c r="CA150" s="107"/>
      <c r="CB150" s="105"/>
      <c r="CD150" s="13"/>
      <c r="CE150" s="107"/>
      <c r="CF150" s="107"/>
      <c r="CG150" s="105"/>
      <c r="CI150" s="13"/>
      <c r="CJ150" s="107"/>
      <c r="CK150" s="107"/>
      <c r="CL150" s="105"/>
      <c r="CN150" s="13"/>
      <c r="CO150" s="107"/>
      <c r="CP150" s="107"/>
      <c r="CQ150" s="105"/>
      <c r="CS150" s="38"/>
      <c r="CT150" s="13"/>
      <c r="CU150" s="107"/>
      <c r="CV150" s="107"/>
      <c r="CW150" s="105"/>
      <c r="CY150" s="13"/>
      <c r="CZ150" s="107"/>
      <c r="DA150" s="107"/>
      <c r="DB150" s="105"/>
      <c r="DD150" s="13"/>
      <c r="DE150" s="107"/>
      <c r="DF150" s="107"/>
      <c r="DG150" s="105"/>
      <c r="DI150" s="13"/>
      <c r="DJ150" s="107"/>
      <c r="DK150" s="107"/>
      <c r="DL150" s="105"/>
      <c r="DN150" s="13"/>
      <c r="DO150" s="107"/>
      <c r="DP150" s="107"/>
      <c r="DQ150" s="105"/>
      <c r="DS150" s="13"/>
      <c r="DT150" s="107"/>
      <c r="DU150" s="107"/>
      <c r="DV150" s="105"/>
      <c r="DX150" s="38"/>
      <c r="DY150" s="13"/>
      <c r="DZ150" s="107"/>
      <c r="EA150" s="107"/>
      <c r="EB150" s="105"/>
      <c r="ED150" s="13"/>
      <c r="EE150" s="107"/>
      <c r="EF150" s="107"/>
      <c r="EG150" s="105"/>
      <c r="EI150" s="13"/>
      <c r="EJ150" s="107"/>
      <c r="EK150" s="107"/>
      <c r="EL150" s="105"/>
      <c r="EN150" s="13"/>
      <c r="EO150" s="107"/>
      <c r="EP150" s="107"/>
      <c r="EQ150" s="105"/>
      <c r="ES150" s="13"/>
      <c r="ET150" s="107"/>
      <c r="EU150" s="107"/>
      <c r="EV150" s="105"/>
      <c r="EX150" s="13"/>
      <c r="EY150" s="107"/>
      <c r="EZ150" s="107"/>
      <c r="FA150" s="105"/>
      <c r="FC150" s="38"/>
      <c r="FD150" s="13"/>
      <c r="FE150" s="107"/>
      <c r="FF150" s="107"/>
      <c r="FG150" s="105"/>
      <c r="FI150" s="13"/>
      <c r="FJ150" s="107"/>
      <c r="FK150" s="107"/>
      <c r="FL150" s="105"/>
      <c r="FN150" s="13"/>
      <c r="FO150" s="107"/>
      <c r="FP150" s="107"/>
      <c r="FQ150" s="105"/>
      <c r="FS150" s="13"/>
      <c r="FT150" s="107"/>
      <c r="FU150" s="107"/>
      <c r="FV150" s="105"/>
      <c r="FX150" s="13"/>
      <c r="FY150" s="107"/>
      <c r="FZ150" s="107"/>
      <c r="GA150" s="105"/>
      <c r="GC150" s="13"/>
      <c r="GD150" s="107"/>
      <c r="GE150" s="107"/>
      <c r="GF150" s="105"/>
      <c r="GH150" s="38"/>
      <c r="GI150" s="13"/>
      <c r="GJ150" s="107"/>
      <c r="GK150" s="107"/>
      <c r="GL150" s="105"/>
      <c r="GN150" s="13"/>
      <c r="GO150" s="107"/>
      <c r="GP150" s="107"/>
      <c r="GQ150" s="105"/>
      <c r="GS150" s="13"/>
      <c r="GT150" s="107"/>
      <c r="GU150" s="107"/>
      <c r="GV150" s="105"/>
      <c r="GX150" s="13"/>
      <c r="GY150" s="107"/>
      <c r="GZ150" s="107"/>
      <c r="HA150" s="105"/>
      <c r="HC150" s="13"/>
      <c r="HD150" s="107"/>
      <c r="HE150" s="107"/>
      <c r="HF150" s="105"/>
      <c r="HH150" s="13"/>
      <c r="HI150" s="107"/>
      <c r="HJ150" s="107"/>
      <c r="HK150" s="105"/>
      <c r="HM150" s="38"/>
      <c r="HN150" s="13"/>
      <c r="HO150" s="107"/>
      <c r="HP150" s="107"/>
      <c r="HQ150" s="105"/>
      <c r="HS150" s="13"/>
      <c r="HT150" s="107"/>
      <c r="HU150" s="107"/>
      <c r="HV150" s="105"/>
      <c r="HX150" s="13"/>
      <c r="HY150" s="107"/>
      <c r="HZ150" s="107"/>
      <c r="IA150" s="105"/>
      <c r="IC150" s="13"/>
      <c r="ID150" s="107"/>
      <c r="IE150" s="107"/>
      <c r="IF150" s="105"/>
      <c r="IH150" s="13"/>
      <c r="II150" s="107"/>
      <c r="IJ150" s="107"/>
      <c r="IK150" s="105"/>
      <c r="IM150" s="13"/>
      <c r="IN150" s="107"/>
      <c r="IO150" s="107"/>
      <c r="IP150" s="105"/>
      <c r="IR150" s="38"/>
      <c r="IS150" s="13"/>
      <c r="IT150" s="107"/>
      <c r="IU150" s="107"/>
      <c r="IV150" s="105"/>
      <c r="IX150" s="13"/>
      <c r="IY150" s="107"/>
      <c r="IZ150" s="107"/>
      <c r="JA150" s="105"/>
      <c r="JC150" s="13"/>
      <c r="JD150" s="107"/>
      <c r="JE150" s="107"/>
      <c r="JF150" s="105"/>
      <c r="JH150" s="13"/>
      <c r="JI150" s="107"/>
      <c r="JJ150" s="107"/>
      <c r="JK150" s="105"/>
      <c r="JM150" s="13"/>
      <c r="JN150" s="107"/>
      <c r="JO150" s="107"/>
      <c r="JP150" s="105"/>
      <c r="JR150" s="13"/>
      <c r="JS150" s="107"/>
      <c r="JT150" s="107"/>
      <c r="JU150" s="105"/>
      <c r="JW150" s="38"/>
      <c r="JX150" s="13"/>
      <c r="JY150" s="107"/>
      <c r="JZ150" s="107"/>
      <c r="KA150" s="105"/>
      <c r="KC150" s="13"/>
      <c r="KD150" s="107"/>
      <c r="KE150" s="107"/>
      <c r="KF150" s="105"/>
      <c r="KH150" s="13"/>
      <c r="KI150" s="107"/>
      <c r="KJ150" s="107"/>
      <c r="KK150" s="105"/>
      <c r="KM150" s="13"/>
      <c r="KN150" s="107"/>
      <c r="KO150" s="107"/>
      <c r="KP150" s="105"/>
      <c r="KR150" s="13"/>
      <c r="KS150" s="107"/>
      <c r="KT150" s="107"/>
      <c r="KU150" s="105"/>
      <c r="KW150" s="13"/>
      <c r="KX150" s="107"/>
      <c r="KY150" s="107"/>
      <c r="KZ150" s="105"/>
      <c r="LB150" s="38"/>
      <c r="LC150" s="13"/>
      <c r="LD150" s="107"/>
      <c r="LE150" s="107"/>
      <c r="LF150" s="105"/>
      <c r="LH150" s="13"/>
      <c r="LI150" s="107"/>
      <c r="LJ150" s="107"/>
      <c r="LK150" s="105"/>
      <c r="LM150" s="13"/>
      <c r="LN150" s="107"/>
      <c r="LO150" s="107"/>
      <c r="LP150" s="105"/>
      <c r="LR150" s="13"/>
      <c r="LS150" s="107"/>
      <c r="LT150" s="107"/>
      <c r="LU150" s="105"/>
      <c r="LW150" s="13"/>
      <c r="LX150" s="107"/>
      <c r="LY150" s="107"/>
      <c r="LZ150" s="105"/>
      <c r="MB150" s="13"/>
      <c r="MC150" s="107"/>
      <c r="MD150" s="107"/>
      <c r="ME150" s="105"/>
      <c r="MG150" s="38"/>
      <c r="MH150" s="13"/>
      <c r="MI150" s="107"/>
      <c r="MJ150" s="107"/>
      <c r="MK150" s="105"/>
      <c r="MM150" s="13"/>
      <c r="MN150" s="107"/>
      <c r="MO150" s="107"/>
      <c r="MP150" s="105"/>
      <c r="MR150" s="13"/>
      <c r="MS150" s="107"/>
      <c r="MT150" s="107"/>
      <c r="MU150" s="105"/>
      <c r="MW150" s="13"/>
      <c r="MX150" s="107"/>
      <c r="MY150" s="107"/>
      <c r="MZ150" s="105"/>
      <c r="NB150" s="13"/>
      <c r="NC150" s="107"/>
      <c r="ND150" s="107"/>
      <c r="NE150" s="105"/>
      <c r="NG150" s="13"/>
      <c r="NH150" s="107"/>
      <c r="NI150" s="107"/>
      <c r="NJ150" s="105"/>
      <c r="NL150" s="38"/>
      <c r="NM150" s="13"/>
      <c r="NN150" s="107"/>
      <c r="NO150" s="107"/>
      <c r="NP150" s="105"/>
      <c r="NR150" s="13"/>
      <c r="NS150" s="107"/>
      <c r="NT150" s="107"/>
      <c r="NU150" s="105"/>
      <c r="NW150" s="13"/>
      <c r="NX150" s="107"/>
      <c r="NY150" s="107"/>
      <c r="NZ150" s="105"/>
      <c r="OB150" s="13"/>
      <c r="OC150" s="107"/>
      <c r="OD150" s="107"/>
      <c r="OE150" s="105"/>
      <c r="OG150" s="13"/>
      <c r="OH150" s="107"/>
      <c r="OI150" s="107"/>
      <c r="OJ150" s="105"/>
      <c r="OL150" s="13"/>
      <c r="OM150" s="107"/>
      <c r="ON150" s="107"/>
      <c r="OO150" s="105"/>
    </row>
    <row r="151" ht="15.75" customHeight="1">
      <c r="A151" s="42"/>
      <c r="B151" s="42"/>
      <c r="C151" s="42"/>
      <c r="D151" s="38">
        <f t="shared" si="367"/>
        <v>45973</v>
      </c>
      <c r="E151" s="31" t="str">
        <f t="shared" ref="E151:I151" si="369">AT7</f>
        <v/>
      </c>
      <c r="F151" s="31" t="str">
        <f t="shared" si="369"/>
        <v/>
      </c>
      <c r="G151" s="31" t="str">
        <f t="shared" si="369"/>
        <v/>
      </c>
      <c r="H151" s="13" t="str">
        <f t="shared" si="369"/>
        <v/>
      </c>
      <c r="I151" s="13" t="str">
        <f t="shared" si="369"/>
        <v/>
      </c>
      <c r="J151" s="107" t="str">
        <f t="array" ref="J151">IFERROR(IF(XLOOKUP(CONCAT(E151,F151),'MASTER PLAN'!$AB:$AB,'MASTER PLAN'!$M:$M,0,0)=0,"",XLOOKUP(CONCAT(E151,F151),'MASTER PLAN'!$AB:$AB,'MASTER PLAN'!$M:$M,0,0)),"")</f>
        <v/>
      </c>
      <c r="K151" s="107">
        <f t="shared" si="237"/>
        <v>0</v>
      </c>
      <c r="L151" s="107">
        <f t="shared" si="238"/>
        <v>0</v>
      </c>
      <c r="M151" s="105" t="s">
        <v>246</v>
      </c>
      <c r="O151" s="13"/>
      <c r="P151" s="107"/>
      <c r="Q151" s="107"/>
      <c r="R151" s="105"/>
      <c r="T151" s="13"/>
      <c r="U151" s="107"/>
      <c r="V151" s="107"/>
      <c r="W151" s="105"/>
      <c r="Y151" s="13"/>
      <c r="Z151" s="107"/>
      <c r="AA151" s="107"/>
      <c r="AB151" s="105"/>
      <c r="AD151" s="13"/>
      <c r="AE151" s="107"/>
      <c r="AF151" s="107"/>
      <c r="AG151" s="105"/>
      <c r="AI151" s="38"/>
      <c r="AJ151" s="13"/>
      <c r="AK151" s="107"/>
      <c r="AL151" s="107"/>
      <c r="AM151" s="105"/>
      <c r="AO151" s="13"/>
      <c r="AP151" s="107"/>
      <c r="AQ151" s="107"/>
      <c r="AR151" s="105"/>
      <c r="AT151" s="13"/>
      <c r="AU151" s="107"/>
      <c r="AV151" s="107"/>
      <c r="AW151" s="105"/>
      <c r="AY151" s="13"/>
      <c r="AZ151" s="107"/>
      <c r="BA151" s="107"/>
      <c r="BB151" s="105"/>
      <c r="BD151" s="13"/>
      <c r="BE151" s="107"/>
      <c r="BF151" s="107"/>
      <c r="BG151" s="105"/>
      <c r="BI151" s="13"/>
      <c r="BJ151" s="107"/>
      <c r="BK151" s="107"/>
      <c r="BL151" s="105"/>
      <c r="BN151" s="38"/>
      <c r="BO151" s="13"/>
      <c r="BP151" s="107"/>
      <c r="BQ151" s="107"/>
      <c r="BR151" s="105"/>
      <c r="BT151" s="13"/>
      <c r="BU151" s="107"/>
      <c r="BV151" s="107"/>
      <c r="BW151" s="105"/>
      <c r="BY151" s="13"/>
      <c r="BZ151" s="107"/>
      <c r="CA151" s="107"/>
      <c r="CB151" s="105"/>
      <c r="CD151" s="13"/>
      <c r="CE151" s="107"/>
      <c r="CF151" s="107"/>
      <c r="CG151" s="105"/>
      <c r="CI151" s="13"/>
      <c r="CJ151" s="107"/>
      <c r="CK151" s="107"/>
      <c r="CL151" s="105"/>
      <c r="CN151" s="13"/>
      <c r="CO151" s="107"/>
      <c r="CP151" s="107"/>
      <c r="CQ151" s="105"/>
      <c r="CS151" s="38"/>
      <c r="CT151" s="13"/>
      <c r="CU151" s="107"/>
      <c r="CV151" s="107"/>
      <c r="CW151" s="105"/>
      <c r="CY151" s="13"/>
      <c r="CZ151" s="107"/>
      <c r="DA151" s="107"/>
      <c r="DB151" s="105"/>
      <c r="DD151" s="13"/>
      <c r="DE151" s="107"/>
      <c r="DF151" s="107"/>
      <c r="DG151" s="105"/>
      <c r="DI151" s="13"/>
      <c r="DJ151" s="107"/>
      <c r="DK151" s="107"/>
      <c r="DL151" s="105"/>
      <c r="DN151" s="13"/>
      <c r="DO151" s="107"/>
      <c r="DP151" s="107"/>
      <c r="DQ151" s="105"/>
      <c r="DS151" s="13"/>
      <c r="DT151" s="107"/>
      <c r="DU151" s="107"/>
      <c r="DV151" s="105"/>
      <c r="DX151" s="38"/>
      <c r="DY151" s="13"/>
      <c r="DZ151" s="107"/>
      <c r="EA151" s="107"/>
      <c r="EB151" s="105"/>
      <c r="ED151" s="13"/>
      <c r="EE151" s="107"/>
      <c r="EF151" s="107"/>
      <c r="EG151" s="105"/>
      <c r="EI151" s="13"/>
      <c r="EJ151" s="107"/>
      <c r="EK151" s="107"/>
      <c r="EL151" s="105"/>
      <c r="EN151" s="13"/>
      <c r="EO151" s="107"/>
      <c r="EP151" s="107"/>
      <c r="EQ151" s="105"/>
      <c r="ES151" s="13"/>
      <c r="ET151" s="107"/>
      <c r="EU151" s="107"/>
      <c r="EV151" s="105"/>
      <c r="EX151" s="13"/>
      <c r="EY151" s="107"/>
      <c r="EZ151" s="107"/>
      <c r="FA151" s="105"/>
      <c r="FC151" s="38"/>
      <c r="FD151" s="13"/>
      <c r="FE151" s="107"/>
      <c r="FF151" s="107"/>
      <c r="FG151" s="105"/>
      <c r="FI151" s="13"/>
      <c r="FJ151" s="107"/>
      <c r="FK151" s="107"/>
      <c r="FL151" s="105"/>
      <c r="FN151" s="13"/>
      <c r="FO151" s="107"/>
      <c r="FP151" s="107"/>
      <c r="FQ151" s="105"/>
      <c r="FS151" s="13"/>
      <c r="FT151" s="107"/>
      <c r="FU151" s="107"/>
      <c r="FV151" s="105"/>
      <c r="FX151" s="13"/>
      <c r="FY151" s="107"/>
      <c r="FZ151" s="107"/>
      <c r="GA151" s="105"/>
      <c r="GC151" s="13"/>
      <c r="GD151" s="107"/>
      <c r="GE151" s="107"/>
      <c r="GF151" s="105"/>
      <c r="GH151" s="38"/>
      <c r="GI151" s="13"/>
      <c r="GJ151" s="107"/>
      <c r="GK151" s="107"/>
      <c r="GL151" s="105"/>
      <c r="GN151" s="13"/>
      <c r="GO151" s="107"/>
      <c r="GP151" s="107"/>
      <c r="GQ151" s="105"/>
      <c r="GS151" s="13"/>
      <c r="GT151" s="107"/>
      <c r="GU151" s="107"/>
      <c r="GV151" s="105"/>
      <c r="GX151" s="13"/>
      <c r="GY151" s="107"/>
      <c r="GZ151" s="107"/>
      <c r="HA151" s="105"/>
      <c r="HC151" s="13"/>
      <c r="HD151" s="107"/>
      <c r="HE151" s="107"/>
      <c r="HF151" s="105"/>
      <c r="HH151" s="13"/>
      <c r="HI151" s="107"/>
      <c r="HJ151" s="107"/>
      <c r="HK151" s="105"/>
      <c r="HM151" s="38"/>
      <c r="HN151" s="13"/>
      <c r="HO151" s="107"/>
      <c r="HP151" s="107"/>
      <c r="HQ151" s="105"/>
      <c r="HS151" s="13"/>
      <c r="HT151" s="107"/>
      <c r="HU151" s="107"/>
      <c r="HV151" s="105"/>
      <c r="HX151" s="13"/>
      <c r="HY151" s="107"/>
      <c r="HZ151" s="107"/>
      <c r="IA151" s="105"/>
      <c r="IC151" s="13"/>
      <c r="ID151" s="107"/>
      <c r="IE151" s="107"/>
      <c r="IF151" s="105"/>
      <c r="IH151" s="13"/>
      <c r="II151" s="107"/>
      <c r="IJ151" s="107"/>
      <c r="IK151" s="105"/>
      <c r="IM151" s="13"/>
      <c r="IN151" s="107"/>
      <c r="IO151" s="107"/>
      <c r="IP151" s="105"/>
      <c r="IR151" s="38"/>
      <c r="IS151" s="13"/>
      <c r="IT151" s="107"/>
      <c r="IU151" s="107"/>
      <c r="IV151" s="105"/>
      <c r="IX151" s="13"/>
      <c r="IY151" s="107"/>
      <c r="IZ151" s="107"/>
      <c r="JA151" s="105"/>
      <c r="JC151" s="13"/>
      <c r="JD151" s="107"/>
      <c r="JE151" s="107"/>
      <c r="JF151" s="105"/>
      <c r="JH151" s="13"/>
      <c r="JI151" s="107"/>
      <c r="JJ151" s="107"/>
      <c r="JK151" s="105"/>
      <c r="JM151" s="13"/>
      <c r="JN151" s="107"/>
      <c r="JO151" s="107"/>
      <c r="JP151" s="105"/>
      <c r="JR151" s="13"/>
      <c r="JS151" s="107"/>
      <c r="JT151" s="107"/>
      <c r="JU151" s="105"/>
      <c r="JW151" s="38"/>
      <c r="JX151" s="13"/>
      <c r="JY151" s="107"/>
      <c r="JZ151" s="107"/>
      <c r="KA151" s="105"/>
      <c r="KC151" s="13"/>
      <c r="KD151" s="107"/>
      <c r="KE151" s="107"/>
      <c r="KF151" s="105"/>
      <c r="KH151" s="13"/>
      <c r="KI151" s="107"/>
      <c r="KJ151" s="107"/>
      <c r="KK151" s="105"/>
      <c r="KM151" s="13"/>
      <c r="KN151" s="107"/>
      <c r="KO151" s="107"/>
      <c r="KP151" s="105"/>
      <c r="KR151" s="13"/>
      <c r="KS151" s="107"/>
      <c r="KT151" s="107"/>
      <c r="KU151" s="105"/>
      <c r="KW151" s="13"/>
      <c r="KX151" s="107"/>
      <c r="KY151" s="107"/>
      <c r="KZ151" s="105"/>
      <c r="LB151" s="38"/>
      <c r="LC151" s="13"/>
      <c r="LD151" s="107"/>
      <c r="LE151" s="107"/>
      <c r="LF151" s="105"/>
      <c r="LH151" s="13"/>
      <c r="LI151" s="107"/>
      <c r="LJ151" s="107"/>
      <c r="LK151" s="105"/>
      <c r="LM151" s="13"/>
      <c r="LN151" s="107"/>
      <c r="LO151" s="107"/>
      <c r="LP151" s="105"/>
      <c r="LR151" s="13"/>
      <c r="LS151" s="107"/>
      <c r="LT151" s="107"/>
      <c r="LU151" s="105"/>
      <c r="LW151" s="13"/>
      <c r="LX151" s="107"/>
      <c r="LY151" s="107"/>
      <c r="LZ151" s="105"/>
      <c r="MB151" s="13"/>
      <c r="MC151" s="107"/>
      <c r="MD151" s="107"/>
      <c r="ME151" s="105"/>
      <c r="MG151" s="38"/>
      <c r="MH151" s="13"/>
      <c r="MI151" s="107"/>
      <c r="MJ151" s="107"/>
      <c r="MK151" s="105"/>
      <c r="MM151" s="13"/>
      <c r="MN151" s="107"/>
      <c r="MO151" s="107"/>
      <c r="MP151" s="105"/>
      <c r="MR151" s="13"/>
      <c r="MS151" s="107"/>
      <c r="MT151" s="107"/>
      <c r="MU151" s="105"/>
      <c r="MW151" s="13"/>
      <c r="MX151" s="107"/>
      <c r="MY151" s="107"/>
      <c r="MZ151" s="105"/>
      <c r="NB151" s="13"/>
      <c r="NC151" s="107"/>
      <c r="ND151" s="107"/>
      <c r="NE151" s="105"/>
      <c r="NG151" s="13"/>
      <c r="NH151" s="107"/>
      <c r="NI151" s="107"/>
      <c r="NJ151" s="105"/>
      <c r="NL151" s="38"/>
      <c r="NM151" s="13"/>
      <c r="NN151" s="107"/>
      <c r="NO151" s="107"/>
      <c r="NP151" s="105"/>
      <c r="NR151" s="13"/>
      <c r="NS151" s="107"/>
      <c r="NT151" s="107"/>
      <c r="NU151" s="105"/>
      <c r="NW151" s="13"/>
      <c r="NX151" s="107"/>
      <c r="NY151" s="107"/>
      <c r="NZ151" s="105"/>
      <c r="OB151" s="13"/>
      <c r="OC151" s="107"/>
      <c r="OD151" s="107"/>
      <c r="OE151" s="105"/>
      <c r="OG151" s="13"/>
      <c r="OH151" s="107"/>
      <c r="OI151" s="107"/>
      <c r="OJ151" s="105"/>
      <c r="OL151" s="13"/>
      <c r="OM151" s="107"/>
      <c r="ON151" s="107"/>
      <c r="OO151" s="105"/>
    </row>
    <row r="152" ht="15.75" customHeight="1">
      <c r="A152" s="42"/>
      <c r="B152" s="42"/>
      <c r="C152" s="42"/>
      <c r="D152" s="38">
        <f t="shared" si="367"/>
        <v>45973</v>
      </c>
      <c r="E152" s="31" t="str">
        <f t="shared" ref="E152:I152" si="370">AT8</f>
        <v/>
      </c>
      <c r="F152" s="31" t="str">
        <f t="shared" si="370"/>
        <v/>
      </c>
      <c r="G152" s="31" t="str">
        <f t="shared" si="370"/>
        <v/>
      </c>
      <c r="H152" s="13" t="str">
        <f t="shared" si="370"/>
        <v/>
      </c>
      <c r="I152" s="13" t="str">
        <f t="shared" si="370"/>
        <v/>
      </c>
      <c r="J152" s="107" t="str">
        <f t="array" ref="J152">IFERROR(IF(XLOOKUP(CONCAT(E152,F152),'MASTER PLAN'!$AB:$AB,'MASTER PLAN'!$M:$M,0,0)=0,"",XLOOKUP(CONCAT(E152,F152),'MASTER PLAN'!$AB:$AB,'MASTER PLAN'!$M:$M,0,0)),"")</f>
        <v/>
      </c>
      <c r="K152" s="107">
        <f t="shared" si="237"/>
        <v>0</v>
      </c>
      <c r="L152" s="107">
        <f t="shared" si="238"/>
        <v>0</v>
      </c>
      <c r="M152" s="105" t="s">
        <v>246</v>
      </c>
      <c r="O152" s="13"/>
      <c r="P152" s="107"/>
      <c r="Q152" s="107"/>
      <c r="R152" s="105"/>
      <c r="T152" s="13"/>
      <c r="U152" s="107"/>
      <c r="V152" s="107"/>
      <c r="W152" s="105"/>
      <c r="Y152" s="13"/>
      <c r="Z152" s="107"/>
      <c r="AA152" s="107"/>
      <c r="AB152" s="105"/>
      <c r="AD152" s="13"/>
      <c r="AE152" s="107"/>
      <c r="AF152" s="107"/>
      <c r="AG152" s="105"/>
      <c r="AI152" s="38"/>
      <c r="AJ152" s="13"/>
      <c r="AK152" s="107"/>
      <c r="AL152" s="107"/>
      <c r="AM152" s="105"/>
      <c r="AO152" s="13"/>
      <c r="AP152" s="107"/>
      <c r="AQ152" s="107"/>
      <c r="AR152" s="105"/>
      <c r="AT152" s="13"/>
      <c r="AU152" s="107"/>
      <c r="AV152" s="107"/>
      <c r="AW152" s="105"/>
      <c r="AY152" s="13"/>
      <c r="AZ152" s="107"/>
      <c r="BA152" s="107"/>
      <c r="BB152" s="105"/>
      <c r="BD152" s="13"/>
      <c r="BE152" s="107"/>
      <c r="BF152" s="107"/>
      <c r="BG152" s="105"/>
      <c r="BI152" s="13"/>
      <c r="BJ152" s="107"/>
      <c r="BK152" s="107"/>
      <c r="BL152" s="105"/>
      <c r="BN152" s="38"/>
      <c r="BO152" s="13"/>
      <c r="BP152" s="107"/>
      <c r="BQ152" s="107"/>
      <c r="BR152" s="105"/>
      <c r="BT152" s="13"/>
      <c r="BU152" s="107"/>
      <c r="BV152" s="107"/>
      <c r="BW152" s="105"/>
      <c r="BY152" s="13"/>
      <c r="BZ152" s="107"/>
      <c r="CA152" s="107"/>
      <c r="CB152" s="105"/>
      <c r="CD152" s="13"/>
      <c r="CE152" s="107"/>
      <c r="CF152" s="107"/>
      <c r="CG152" s="105"/>
      <c r="CI152" s="13"/>
      <c r="CJ152" s="107"/>
      <c r="CK152" s="107"/>
      <c r="CL152" s="105"/>
      <c r="CN152" s="13"/>
      <c r="CO152" s="107"/>
      <c r="CP152" s="107"/>
      <c r="CQ152" s="105"/>
      <c r="CS152" s="38"/>
      <c r="CT152" s="13"/>
      <c r="CU152" s="107"/>
      <c r="CV152" s="107"/>
      <c r="CW152" s="105"/>
      <c r="CY152" s="13"/>
      <c r="CZ152" s="107"/>
      <c r="DA152" s="107"/>
      <c r="DB152" s="105"/>
      <c r="DD152" s="13"/>
      <c r="DE152" s="107"/>
      <c r="DF152" s="107"/>
      <c r="DG152" s="105"/>
      <c r="DI152" s="13"/>
      <c r="DJ152" s="107"/>
      <c r="DK152" s="107"/>
      <c r="DL152" s="105"/>
      <c r="DN152" s="13"/>
      <c r="DO152" s="107"/>
      <c r="DP152" s="107"/>
      <c r="DQ152" s="105"/>
      <c r="DS152" s="13"/>
      <c r="DT152" s="107"/>
      <c r="DU152" s="107"/>
      <c r="DV152" s="105"/>
      <c r="DX152" s="38"/>
      <c r="DY152" s="13"/>
      <c r="DZ152" s="107"/>
      <c r="EA152" s="107"/>
      <c r="EB152" s="105"/>
      <c r="ED152" s="13"/>
      <c r="EE152" s="107"/>
      <c r="EF152" s="107"/>
      <c r="EG152" s="105"/>
      <c r="EI152" s="13"/>
      <c r="EJ152" s="107"/>
      <c r="EK152" s="107"/>
      <c r="EL152" s="105"/>
      <c r="EN152" s="13"/>
      <c r="EO152" s="107"/>
      <c r="EP152" s="107"/>
      <c r="EQ152" s="105"/>
      <c r="ES152" s="13"/>
      <c r="ET152" s="107"/>
      <c r="EU152" s="107"/>
      <c r="EV152" s="105"/>
      <c r="EX152" s="13"/>
      <c r="EY152" s="107"/>
      <c r="EZ152" s="107"/>
      <c r="FA152" s="105"/>
      <c r="FC152" s="38"/>
      <c r="FD152" s="13"/>
      <c r="FE152" s="107"/>
      <c r="FF152" s="107"/>
      <c r="FG152" s="105"/>
      <c r="FI152" s="13"/>
      <c r="FJ152" s="107"/>
      <c r="FK152" s="107"/>
      <c r="FL152" s="105"/>
      <c r="FN152" s="13"/>
      <c r="FO152" s="107"/>
      <c r="FP152" s="107"/>
      <c r="FQ152" s="105"/>
      <c r="FS152" s="13"/>
      <c r="FT152" s="107"/>
      <c r="FU152" s="107"/>
      <c r="FV152" s="105"/>
      <c r="FX152" s="13"/>
      <c r="FY152" s="107"/>
      <c r="FZ152" s="107"/>
      <c r="GA152" s="105"/>
      <c r="GC152" s="13"/>
      <c r="GD152" s="107"/>
      <c r="GE152" s="107"/>
      <c r="GF152" s="105"/>
      <c r="GH152" s="38"/>
      <c r="GI152" s="13"/>
      <c r="GJ152" s="107"/>
      <c r="GK152" s="107"/>
      <c r="GL152" s="105"/>
      <c r="GN152" s="13"/>
      <c r="GO152" s="107"/>
      <c r="GP152" s="107"/>
      <c r="GQ152" s="105"/>
      <c r="GS152" s="13"/>
      <c r="GT152" s="107"/>
      <c r="GU152" s="107"/>
      <c r="GV152" s="105"/>
      <c r="GX152" s="13"/>
      <c r="GY152" s="107"/>
      <c r="GZ152" s="107"/>
      <c r="HA152" s="105"/>
      <c r="HC152" s="13"/>
      <c r="HD152" s="107"/>
      <c r="HE152" s="107"/>
      <c r="HF152" s="105"/>
      <c r="HH152" s="13"/>
      <c r="HI152" s="107"/>
      <c r="HJ152" s="107"/>
      <c r="HK152" s="105"/>
      <c r="HM152" s="38"/>
      <c r="HN152" s="13"/>
      <c r="HO152" s="107"/>
      <c r="HP152" s="107"/>
      <c r="HQ152" s="105"/>
      <c r="HS152" s="13"/>
      <c r="HT152" s="107"/>
      <c r="HU152" s="107"/>
      <c r="HV152" s="105"/>
      <c r="HX152" s="13"/>
      <c r="HY152" s="107"/>
      <c r="HZ152" s="107"/>
      <c r="IA152" s="105"/>
      <c r="IC152" s="13"/>
      <c r="ID152" s="107"/>
      <c r="IE152" s="107"/>
      <c r="IF152" s="105"/>
      <c r="IH152" s="13"/>
      <c r="II152" s="107"/>
      <c r="IJ152" s="107"/>
      <c r="IK152" s="105"/>
      <c r="IM152" s="13"/>
      <c r="IN152" s="107"/>
      <c r="IO152" s="107"/>
      <c r="IP152" s="105"/>
      <c r="IR152" s="38"/>
      <c r="IS152" s="13"/>
      <c r="IT152" s="107"/>
      <c r="IU152" s="107"/>
      <c r="IV152" s="105"/>
      <c r="IX152" s="13"/>
      <c r="IY152" s="107"/>
      <c r="IZ152" s="107"/>
      <c r="JA152" s="105"/>
      <c r="JC152" s="13"/>
      <c r="JD152" s="107"/>
      <c r="JE152" s="107"/>
      <c r="JF152" s="105"/>
      <c r="JH152" s="13"/>
      <c r="JI152" s="107"/>
      <c r="JJ152" s="107"/>
      <c r="JK152" s="105"/>
      <c r="JM152" s="13"/>
      <c r="JN152" s="107"/>
      <c r="JO152" s="107"/>
      <c r="JP152" s="105"/>
      <c r="JR152" s="13"/>
      <c r="JS152" s="107"/>
      <c r="JT152" s="107"/>
      <c r="JU152" s="105"/>
      <c r="JW152" s="38"/>
      <c r="JX152" s="13"/>
      <c r="JY152" s="107"/>
      <c r="JZ152" s="107"/>
      <c r="KA152" s="105"/>
      <c r="KC152" s="13"/>
      <c r="KD152" s="107"/>
      <c r="KE152" s="107"/>
      <c r="KF152" s="105"/>
      <c r="KH152" s="13"/>
      <c r="KI152" s="107"/>
      <c r="KJ152" s="107"/>
      <c r="KK152" s="105"/>
      <c r="KM152" s="13"/>
      <c r="KN152" s="107"/>
      <c r="KO152" s="107"/>
      <c r="KP152" s="105"/>
      <c r="KR152" s="13"/>
      <c r="KS152" s="107"/>
      <c r="KT152" s="107"/>
      <c r="KU152" s="105"/>
      <c r="KW152" s="13"/>
      <c r="KX152" s="107"/>
      <c r="KY152" s="107"/>
      <c r="KZ152" s="105"/>
      <c r="LB152" s="38"/>
      <c r="LC152" s="13"/>
      <c r="LD152" s="107"/>
      <c r="LE152" s="107"/>
      <c r="LF152" s="105"/>
      <c r="LH152" s="13"/>
      <c r="LI152" s="107"/>
      <c r="LJ152" s="107"/>
      <c r="LK152" s="105"/>
      <c r="LM152" s="13"/>
      <c r="LN152" s="107"/>
      <c r="LO152" s="107"/>
      <c r="LP152" s="105"/>
      <c r="LR152" s="13"/>
      <c r="LS152" s="107"/>
      <c r="LT152" s="107"/>
      <c r="LU152" s="105"/>
      <c r="LW152" s="13"/>
      <c r="LX152" s="107"/>
      <c r="LY152" s="107"/>
      <c r="LZ152" s="105"/>
      <c r="MB152" s="13"/>
      <c r="MC152" s="107"/>
      <c r="MD152" s="107"/>
      <c r="ME152" s="105"/>
      <c r="MG152" s="38"/>
      <c r="MH152" s="13"/>
      <c r="MI152" s="107"/>
      <c r="MJ152" s="107"/>
      <c r="MK152" s="105"/>
      <c r="MM152" s="13"/>
      <c r="MN152" s="107"/>
      <c r="MO152" s="107"/>
      <c r="MP152" s="105"/>
      <c r="MR152" s="13"/>
      <c r="MS152" s="107"/>
      <c r="MT152" s="107"/>
      <c r="MU152" s="105"/>
      <c r="MW152" s="13"/>
      <c r="MX152" s="107"/>
      <c r="MY152" s="107"/>
      <c r="MZ152" s="105"/>
      <c r="NB152" s="13"/>
      <c r="NC152" s="107"/>
      <c r="ND152" s="107"/>
      <c r="NE152" s="105"/>
      <c r="NG152" s="13"/>
      <c r="NH152" s="107"/>
      <c r="NI152" s="107"/>
      <c r="NJ152" s="105"/>
      <c r="NL152" s="38"/>
      <c r="NM152" s="13"/>
      <c r="NN152" s="107"/>
      <c r="NO152" s="107"/>
      <c r="NP152" s="105"/>
      <c r="NR152" s="13"/>
      <c r="NS152" s="107"/>
      <c r="NT152" s="107"/>
      <c r="NU152" s="105"/>
      <c r="NW152" s="13"/>
      <c r="NX152" s="107"/>
      <c r="NY152" s="107"/>
      <c r="NZ152" s="105"/>
      <c r="OB152" s="13"/>
      <c r="OC152" s="107"/>
      <c r="OD152" s="107"/>
      <c r="OE152" s="105"/>
      <c r="OG152" s="13"/>
      <c r="OH152" s="107"/>
      <c r="OI152" s="107"/>
      <c r="OJ152" s="105"/>
      <c r="OL152" s="13"/>
      <c r="OM152" s="107"/>
      <c r="ON152" s="107"/>
      <c r="OO152" s="105"/>
    </row>
    <row r="153" ht="15.75" customHeight="1">
      <c r="A153" s="42"/>
      <c r="B153" s="42"/>
      <c r="C153" s="42"/>
      <c r="D153" s="38">
        <f t="shared" si="367"/>
        <v>45973</v>
      </c>
      <c r="E153" s="31" t="str">
        <f t="shared" ref="E153:I153" si="371">AT12</f>
        <v/>
      </c>
      <c r="F153" s="31" t="str">
        <f t="shared" si="371"/>
        <v/>
      </c>
      <c r="G153" s="31" t="str">
        <f t="shared" si="371"/>
        <v/>
      </c>
      <c r="H153" s="13" t="str">
        <f t="shared" si="371"/>
        <v/>
      </c>
      <c r="I153" s="13" t="str">
        <f t="shared" si="371"/>
        <v/>
      </c>
      <c r="J153" s="107" t="str">
        <f t="array" ref="J153">IFERROR(IF(XLOOKUP(CONCAT(E153,F153),'MASTER PLAN'!$AB:$AB,'MASTER PLAN'!$M:$M,0,0)=0,"",XLOOKUP(CONCAT(E153,F153),'MASTER PLAN'!$AB:$AB,'MASTER PLAN'!$M:$M,0,0)),"")</f>
        <v/>
      </c>
      <c r="K153" s="107">
        <f t="shared" si="237"/>
        <v>0</v>
      </c>
      <c r="L153" s="107">
        <f t="shared" si="238"/>
        <v>0</v>
      </c>
      <c r="M153" s="105" t="s">
        <v>248</v>
      </c>
      <c r="O153" s="13"/>
      <c r="P153" s="107"/>
      <c r="Q153" s="107"/>
      <c r="R153" s="105"/>
      <c r="T153" s="13"/>
      <c r="U153" s="107"/>
      <c r="V153" s="107"/>
      <c r="W153" s="105"/>
      <c r="Y153" s="13"/>
      <c r="Z153" s="107"/>
      <c r="AA153" s="107"/>
      <c r="AB153" s="105"/>
      <c r="AD153" s="13"/>
      <c r="AE153" s="107"/>
      <c r="AF153" s="107"/>
      <c r="AG153" s="105"/>
      <c r="AI153" s="38"/>
      <c r="AJ153" s="13"/>
      <c r="AK153" s="107"/>
      <c r="AL153" s="107"/>
      <c r="AM153" s="105"/>
      <c r="AO153" s="13"/>
      <c r="AP153" s="107"/>
      <c r="AQ153" s="107"/>
      <c r="AR153" s="105"/>
      <c r="AT153" s="13"/>
      <c r="AU153" s="107"/>
      <c r="AV153" s="107"/>
      <c r="AW153" s="105"/>
      <c r="AY153" s="13"/>
      <c r="AZ153" s="107"/>
      <c r="BA153" s="107"/>
      <c r="BB153" s="105"/>
      <c r="BD153" s="13"/>
      <c r="BE153" s="107"/>
      <c r="BF153" s="107"/>
      <c r="BG153" s="105"/>
      <c r="BI153" s="13"/>
      <c r="BJ153" s="107"/>
      <c r="BK153" s="107"/>
      <c r="BL153" s="105"/>
      <c r="BN153" s="38"/>
      <c r="BO153" s="13"/>
      <c r="BP153" s="107"/>
      <c r="BQ153" s="107"/>
      <c r="BR153" s="105"/>
      <c r="BT153" s="13"/>
      <c r="BU153" s="107"/>
      <c r="BV153" s="107"/>
      <c r="BW153" s="105"/>
      <c r="BY153" s="13"/>
      <c r="BZ153" s="107"/>
      <c r="CA153" s="107"/>
      <c r="CB153" s="105"/>
      <c r="CD153" s="13"/>
      <c r="CE153" s="107"/>
      <c r="CF153" s="107"/>
      <c r="CG153" s="105"/>
      <c r="CI153" s="13"/>
      <c r="CJ153" s="107"/>
      <c r="CK153" s="107"/>
      <c r="CL153" s="105"/>
      <c r="CN153" s="13"/>
      <c r="CO153" s="107"/>
      <c r="CP153" s="107"/>
      <c r="CQ153" s="105"/>
      <c r="CS153" s="38"/>
      <c r="CT153" s="13"/>
      <c r="CU153" s="107"/>
      <c r="CV153" s="107"/>
      <c r="CW153" s="105"/>
      <c r="CY153" s="13"/>
      <c r="CZ153" s="107"/>
      <c r="DA153" s="107"/>
      <c r="DB153" s="105"/>
      <c r="DD153" s="13"/>
      <c r="DE153" s="107"/>
      <c r="DF153" s="107"/>
      <c r="DG153" s="105"/>
      <c r="DI153" s="13"/>
      <c r="DJ153" s="107"/>
      <c r="DK153" s="107"/>
      <c r="DL153" s="105"/>
      <c r="DN153" s="13"/>
      <c r="DO153" s="107"/>
      <c r="DP153" s="107"/>
      <c r="DQ153" s="105"/>
      <c r="DS153" s="13"/>
      <c r="DT153" s="107"/>
      <c r="DU153" s="107"/>
      <c r="DV153" s="105"/>
      <c r="DX153" s="38"/>
      <c r="DY153" s="13"/>
      <c r="DZ153" s="107"/>
      <c r="EA153" s="107"/>
      <c r="EB153" s="105"/>
      <c r="ED153" s="13"/>
      <c r="EE153" s="107"/>
      <c r="EF153" s="107"/>
      <c r="EG153" s="105"/>
      <c r="EI153" s="13"/>
      <c r="EJ153" s="107"/>
      <c r="EK153" s="107"/>
      <c r="EL153" s="105"/>
      <c r="EN153" s="13"/>
      <c r="EO153" s="107"/>
      <c r="EP153" s="107"/>
      <c r="EQ153" s="105"/>
      <c r="ES153" s="13"/>
      <c r="ET153" s="107"/>
      <c r="EU153" s="107"/>
      <c r="EV153" s="105"/>
      <c r="EX153" s="13"/>
      <c r="EY153" s="107"/>
      <c r="EZ153" s="107"/>
      <c r="FA153" s="105"/>
      <c r="FC153" s="38"/>
      <c r="FD153" s="13"/>
      <c r="FE153" s="107"/>
      <c r="FF153" s="107"/>
      <c r="FG153" s="105"/>
      <c r="FI153" s="13"/>
      <c r="FJ153" s="107"/>
      <c r="FK153" s="107"/>
      <c r="FL153" s="105"/>
      <c r="FN153" s="13"/>
      <c r="FO153" s="107"/>
      <c r="FP153" s="107"/>
      <c r="FQ153" s="105"/>
      <c r="FS153" s="13"/>
      <c r="FT153" s="107"/>
      <c r="FU153" s="107"/>
      <c r="FV153" s="105"/>
      <c r="FX153" s="13"/>
      <c r="FY153" s="107"/>
      <c r="FZ153" s="107"/>
      <c r="GA153" s="105"/>
      <c r="GC153" s="13"/>
      <c r="GD153" s="107"/>
      <c r="GE153" s="107"/>
      <c r="GF153" s="105"/>
      <c r="GH153" s="38"/>
      <c r="GI153" s="13"/>
      <c r="GJ153" s="107"/>
      <c r="GK153" s="107"/>
      <c r="GL153" s="105"/>
      <c r="GN153" s="13"/>
      <c r="GO153" s="107"/>
      <c r="GP153" s="107"/>
      <c r="GQ153" s="105"/>
      <c r="GS153" s="13"/>
      <c r="GT153" s="107"/>
      <c r="GU153" s="107"/>
      <c r="GV153" s="105"/>
      <c r="GX153" s="13"/>
      <c r="GY153" s="107"/>
      <c r="GZ153" s="107"/>
      <c r="HA153" s="105"/>
      <c r="HC153" s="13"/>
      <c r="HD153" s="107"/>
      <c r="HE153" s="107"/>
      <c r="HF153" s="105"/>
      <c r="HH153" s="13"/>
      <c r="HI153" s="107"/>
      <c r="HJ153" s="107"/>
      <c r="HK153" s="105"/>
      <c r="HM153" s="38"/>
      <c r="HN153" s="13"/>
      <c r="HO153" s="107"/>
      <c r="HP153" s="107"/>
      <c r="HQ153" s="105"/>
      <c r="HS153" s="13"/>
      <c r="HT153" s="107"/>
      <c r="HU153" s="107"/>
      <c r="HV153" s="105"/>
      <c r="HX153" s="13"/>
      <c r="HY153" s="107"/>
      <c r="HZ153" s="107"/>
      <c r="IA153" s="105"/>
      <c r="IC153" s="13"/>
      <c r="ID153" s="107"/>
      <c r="IE153" s="107"/>
      <c r="IF153" s="105"/>
      <c r="IH153" s="13"/>
      <c r="II153" s="107"/>
      <c r="IJ153" s="107"/>
      <c r="IK153" s="105"/>
      <c r="IM153" s="13"/>
      <c r="IN153" s="107"/>
      <c r="IO153" s="107"/>
      <c r="IP153" s="105"/>
      <c r="IR153" s="38"/>
      <c r="IS153" s="13"/>
      <c r="IT153" s="107"/>
      <c r="IU153" s="107"/>
      <c r="IV153" s="105"/>
      <c r="IX153" s="13"/>
      <c r="IY153" s="107"/>
      <c r="IZ153" s="107"/>
      <c r="JA153" s="105"/>
      <c r="JC153" s="13"/>
      <c r="JD153" s="107"/>
      <c r="JE153" s="107"/>
      <c r="JF153" s="105"/>
      <c r="JH153" s="13"/>
      <c r="JI153" s="107"/>
      <c r="JJ153" s="107"/>
      <c r="JK153" s="105"/>
      <c r="JM153" s="13"/>
      <c r="JN153" s="107"/>
      <c r="JO153" s="107"/>
      <c r="JP153" s="105"/>
      <c r="JR153" s="13"/>
      <c r="JS153" s="107"/>
      <c r="JT153" s="107"/>
      <c r="JU153" s="105"/>
      <c r="JW153" s="38"/>
      <c r="JX153" s="13"/>
      <c r="JY153" s="107"/>
      <c r="JZ153" s="107"/>
      <c r="KA153" s="105"/>
      <c r="KC153" s="13"/>
      <c r="KD153" s="107"/>
      <c r="KE153" s="107"/>
      <c r="KF153" s="105"/>
      <c r="KH153" s="13"/>
      <c r="KI153" s="107"/>
      <c r="KJ153" s="107"/>
      <c r="KK153" s="105"/>
      <c r="KM153" s="13"/>
      <c r="KN153" s="107"/>
      <c r="KO153" s="107"/>
      <c r="KP153" s="105"/>
      <c r="KR153" s="13"/>
      <c r="KS153" s="107"/>
      <c r="KT153" s="107"/>
      <c r="KU153" s="105"/>
      <c r="KW153" s="13"/>
      <c r="KX153" s="107"/>
      <c r="KY153" s="107"/>
      <c r="KZ153" s="105"/>
      <c r="LB153" s="38"/>
      <c r="LC153" s="13"/>
      <c r="LD153" s="107"/>
      <c r="LE153" s="107"/>
      <c r="LF153" s="105"/>
      <c r="LH153" s="13"/>
      <c r="LI153" s="107"/>
      <c r="LJ153" s="107"/>
      <c r="LK153" s="105"/>
      <c r="LM153" s="13"/>
      <c r="LN153" s="107"/>
      <c r="LO153" s="107"/>
      <c r="LP153" s="105"/>
      <c r="LR153" s="13"/>
      <c r="LS153" s="107"/>
      <c r="LT153" s="107"/>
      <c r="LU153" s="105"/>
      <c r="LW153" s="13"/>
      <c r="LX153" s="107"/>
      <c r="LY153" s="107"/>
      <c r="LZ153" s="105"/>
      <c r="MB153" s="13"/>
      <c r="MC153" s="107"/>
      <c r="MD153" s="107"/>
      <c r="ME153" s="105"/>
      <c r="MG153" s="38"/>
      <c r="MH153" s="13"/>
      <c r="MI153" s="107"/>
      <c r="MJ153" s="107"/>
      <c r="MK153" s="105"/>
      <c r="MM153" s="13"/>
      <c r="MN153" s="107"/>
      <c r="MO153" s="107"/>
      <c r="MP153" s="105"/>
      <c r="MR153" s="13"/>
      <c r="MS153" s="107"/>
      <c r="MT153" s="107"/>
      <c r="MU153" s="105"/>
      <c r="MW153" s="13"/>
      <c r="MX153" s="107"/>
      <c r="MY153" s="107"/>
      <c r="MZ153" s="105"/>
      <c r="NB153" s="13"/>
      <c r="NC153" s="107"/>
      <c r="ND153" s="107"/>
      <c r="NE153" s="105"/>
      <c r="NG153" s="13"/>
      <c r="NH153" s="107"/>
      <c r="NI153" s="107"/>
      <c r="NJ153" s="105"/>
      <c r="NL153" s="38"/>
      <c r="NM153" s="13"/>
      <c r="NN153" s="107"/>
      <c r="NO153" s="107"/>
      <c r="NP153" s="105"/>
      <c r="NR153" s="13"/>
      <c r="NS153" s="107"/>
      <c r="NT153" s="107"/>
      <c r="NU153" s="105"/>
      <c r="NW153" s="13"/>
      <c r="NX153" s="107"/>
      <c r="NY153" s="107"/>
      <c r="NZ153" s="105"/>
      <c r="OB153" s="13"/>
      <c r="OC153" s="107"/>
      <c r="OD153" s="107"/>
      <c r="OE153" s="105"/>
      <c r="OG153" s="13"/>
      <c r="OH153" s="107"/>
      <c r="OI153" s="107"/>
      <c r="OJ153" s="105"/>
      <c r="OL153" s="13"/>
      <c r="OM153" s="107"/>
      <c r="ON153" s="107"/>
      <c r="OO153" s="105"/>
    </row>
    <row r="154" ht="15.75" customHeight="1">
      <c r="A154" s="42"/>
      <c r="B154" s="42"/>
      <c r="C154" s="42"/>
      <c r="D154" s="38">
        <f t="shared" si="367"/>
        <v>45973</v>
      </c>
      <c r="E154" s="31" t="str">
        <f t="shared" ref="E154:I154" si="372">AT13</f>
        <v/>
      </c>
      <c r="F154" s="31" t="str">
        <f t="shared" si="372"/>
        <v/>
      </c>
      <c r="G154" s="31" t="str">
        <f t="shared" si="372"/>
        <v/>
      </c>
      <c r="H154" s="13" t="str">
        <f t="shared" si="372"/>
        <v/>
      </c>
      <c r="I154" s="13" t="str">
        <f t="shared" si="372"/>
        <v/>
      </c>
      <c r="J154" s="107" t="str">
        <f t="array" ref="J154">IFERROR(IF(XLOOKUP(CONCAT(E154,F154),'MASTER PLAN'!$AB:$AB,'MASTER PLAN'!$M:$M,0,0)=0,"",XLOOKUP(CONCAT(E154,F154),'MASTER PLAN'!$AB:$AB,'MASTER PLAN'!$M:$M,0,0)),"")</f>
        <v/>
      </c>
      <c r="K154" s="107">
        <f t="shared" si="237"/>
        <v>0</v>
      </c>
      <c r="L154" s="107">
        <f t="shared" si="238"/>
        <v>0</v>
      </c>
      <c r="M154" s="105" t="s">
        <v>248</v>
      </c>
      <c r="O154" s="13"/>
      <c r="P154" s="107"/>
      <c r="Q154" s="107"/>
      <c r="R154" s="105"/>
      <c r="T154" s="13"/>
      <c r="U154" s="107"/>
      <c r="V154" s="107"/>
      <c r="W154" s="105"/>
      <c r="Y154" s="13"/>
      <c r="Z154" s="107"/>
      <c r="AA154" s="107"/>
      <c r="AB154" s="105"/>
      <c r="AD154" s="13"/>
      <c r="AE154" s="107"/>
      <c r="AF154" s="107"/>
      <c r="AG154" s="105"/>
      <c r="AI154" s="38"/>
      <c r="AJ154" s="13"/>
      <c r="AK154" s="107"/>
      <c r="AL154" s="107"/>
      <c r="AM154" s="105"/>
      <c r="AO154" s="13"/>
      <c r="AP154" s="107"/>
      <c r="AQ154" s="107"/>
      <c r="AR154" s="105"/>
      <c r="AT154" s="13"/>
      <c r="AU154" s="107"/>
      <c r="AV154" s="107"/>
      <c r="AW154" s="105"/>
      <c r="AY154" s="13"/>
      <c r="AZ154" s="107"/>
      <c r="BA154" s="107"/>
      <c r="BB154" s="105"/>
      <c r="BD154" s="13"/>
      <c r="BE154" s="107"/>
      <c r="BF154" s="107"/>
      <c r="BG154" s="105"/>
      <c r="BI154" s="13"/>
      <c r="BJ154" s="107"/>
      <c r="BK154" s="107"/>
      <c r="BL154" s="105"/>
      <c r="BN154" s="38"/>
      <c r="BO154" s="13"/>
      <c r="BP154" s="107"/>
      <c r="BQ154" s="107"/>
      <c r="BR154" s="105"/>
      <c r="BT154" s="13"/>
      <c r="BU154" s="107"/>
      <c r="BV154" s="107"/>
      <c r="BW154" s="105"/>
      <c r="BY154" s="13"/>
      <c r="BZ154" s="107"/>
      <c r="CA154" s="107"/>
      <c r="CB154" s="105"/>
      <c r="CD154" s="13"/>
      <c r="CE154" s="107"/>
      <c r="CF154" s="107"/>
      <c r="CG154" s="105"/>
      <c r="CI154" s="13"/>
      <c r="CJ154" s="107"/>
      <c r="CK154" s="107"/>
      <c r="CL154" s="105"/>
      <c r="CN154" s="13"/>
      <c r="CO154" s="107"/>
      <c r="CP154" s="107"/>
      <c r="CQ154" s="105"/>
      <c r="CS154" s="38"/>
      <c r="CT154" s="13"/>
      <c r="CU154" s="107"/>
      <c r="CV154" s="107"/>
      <c r="CW154" s="105"/>
      <c r="CY154" s="13"/>
      <c r="CZ154" s="107"/>
      <c r="DA154" s="107"/>
      <c r="DB154" s="105"/>
      <c r="DD154" s="13"/>
      <c r="DE154" s="107"/>
      <c r="DF154" s="107"/>
      <c r="DG154" s="105"/>
      <c r="DI154" s="13"/>
      <c r="DJ154" s="107"/>
      <c r="DK154" s="107"/>
      <c r="DL154" s="105"/>
      <c r="DN154" s="13"/>
      <c r="DO154" s="107"/>
      <c r="DP154" s="107"/>
      <c r="DQ154" s="105"/>
      <c r="DS154" s="13"/>
      <c r="DT154" s="107"/>
      <c r="DU154" s="107"/>
      <c r="DV154" s="105"/>
      <c r="DX154" s="38"/>
      <c r="DY154" s="13"/>
      <c r="DZ154" s="107"/>
      <c r="EA154" s="107"/>
      <c r="EB154" s="105"/>
      <c r="ED154" s="13"/>
      <c r="EE154" s="107"/>
      <c r="EF154" s="107"/>
      <c r="EG154" s="105"/>
      <c r="EI154" s="13"/>
      <c r="EJ154" s="107"/>
      <c r="EK154" s="107"/>
      <c r="EL154" s="105"/>
      <c r="EN154" s="13"/>
      <c r="EO154" s="107"/>
      <c r="EP154" s="107"/>
      <c r="EQ154" s="105"/>
      <c r="ES154" s="13"/>
      <c r="ET154" s="107"/>
      <c r="EU154" s="107"/>
      <c r="EV154" s="105"/>
      <c r="EX154" s="13"/>
      <c r="EY154" s="107"/>
      <c r="EZ154" s="107"/>
      <c r="FA154" s="105"/>
      <c r="FC154" s="38"/>
      <c r="FD154" s="13"/>
      <c r="FE154" s="107"/>
      <c r="FF154" s="107"/>
      <c r="FG154" s="105"/>
      <c r="FI154" s="13"/>
      <c r="FJ154" s="107"/>
      <c r="FK154" s="107"/>
      <c r="FL154" s="105"/>
      <c r="FN154" s="13"/>
      <c r="FO154" s="107"/>
      <c r="FP154" s="107"/>
      <c r="FQ154" s="105"/>
      <c r="FS154" s="13"/>
      <c r="FT154" s="107"/>
      <c r="FU154" s="107"/>
      <c r="FV154" s="105"/>
      <c r="FX154" s="13"/>
      <c r="FY154" s="107"/>
      <c r="FZ154" s="107"/>
      <c r="GA154" s="105"/>
      <c r="GC154" s="13"/>
      <c r="GD154" s="107"/>
      <c r="GE154" s="107"/>
      <c r="GF154" s="105"/>
      <c r="GH154" s="38"/>
      <c r="GI154" s="13"/>
      <c r="GJ154" s="107"/>
      <c r="GK154" s="107"/>
      <c r="GL154" s="105"/>
      <c r="GN154" s="13"/>
      <c r="GO154" s="107"/>
      <c r="GP154" s="107"/>
      <c r="GQ154" s="105"/>
      <c r="GS154" s="13"/>
      <c r="GT154" s="107"/>
      <c r="GU154" s="107"/>
      <c r="GV154" s="105"/>
      <c r="GX154" s="13"/>
      <c r="GY154" s="107"/>
      <c r="GZ154" s="107"/>
      <c r="HA154" s="105"/>
      <c r="HC154" s="13"/>
      <c r="HD154" s="107"/>
      <c r="HE154" s="107"/>
      <c r="HF154" s="105"/>
      <c r="HH154" s="13"/>
      <c r="HI154" s="107"/>
      <c r="HJ154" s="107"/>
      <c r="HK154" s="105"/>
      <c r="HM154" s="38"/>
      <c r="HN154" s="13"/>
      <c r="HO154" s="107"/>
      <c r="HP154" s="107"/>
      <c r="HQ154" s="105"/>
      <c r="HS154" s="13"/>
      <c r="HT154" s="107"/>
      <c r="HU154" s="107"/>
      <c r="HV154" s="105"/>
      <c r="HX154" s="13"/>
      <c r="HY154" s="107"/>
      <c r="HZ154" s="107"/>
      <c r="IA154" s="105"/>
      <c r="IC154" s="13"/>
      <c r="ID154" s="107"/>
      <c r="IE154" s="107"/>
      <c r="IF154" s="105"/>
      <c r="IH154" s="13"/>
      <c r="II154" s="107"/>
      <c r="IJ154" s="107"/>
      <c r="IK154" s="105"/>
      <c r="IM154" s="13"/>
      <c r="IN154" s="107"/>
      <c r="IO154" s="107"/>
      <c r="IP154" s="105"/>
      <c r="IR154" s="38"/>
      <c r="IS154" s="13"/>
      <c r="IT154" s="107"/>
      <c r="IU154" s="107"/>
      <c r="IV154" s="105"/>
      <c r="IX154" s="13"/>
      <c r="IY154" s="107"/>
      <c r="IZ154" s="107"/>
      <c r="JA154" s="105"/>
      <c r="JC154" s="13"/>
      <c r="JD154" s="107"/>
      <c r="JE154" s="107"/>
      <c r="JF154" s="105"/>
      <c r="JH154" s="13"/>
      <c r="JI154" s="107"/>
      <c r="JJ154" s="107"/>
      <c r="JK154" s="105"/>
      <c r="JM154" s="13"/>
      <c r="JN154" s="107"/>
      <c r="JO154" s="107"/>
      <c r="JP154" s="105"/>
      <c r="JR154" s="13"/>
      <c r="JS154" s="107"/>
      <c r="JT154" s="107"/>
      <c r="JU154" s="105"/>
      <c r="JW154" s="38"/>
      <c r="JX154" s="13"/>
      <c r="JY154" s="107"/>
      <c r="JZ154" s="107"/>
      <c r="KA154" s="105"/>
      <c r="KC154" s="13"/>
      <c r="KD154" s="107"/>
      <c r="KE154" s="107"/>
      <c r="KF154" s="105"/>
      <c r="KH154" s="13"/>
      <c r="KI154" s="107"/>
      <c r="KJ154" s="107"/>
      <c r="KK154" s="105"/>
      <c r="KM154" s="13"/>
      <c r="KN154" s="107"/>
      <c r="KO154" s="107"/>
      <c r="KP154" s="105"/>
      <c r="KR154" s="13"/>
      <c r="KS154" s="107"/>
      <c r="KT154" s="107"/>
      <c r="KU154" s="105"/>
      <c r="KW154" s="13"/>
      <c r="KX154" s="107"/>
      <c r="KY154" s="107"/>
      <c r="KZ154" s="105"/>
      <c r="LB154" s="38"/>
      <c r="LC154" s="13"/>
      <c r="LD154" s="107"/>
      <c r="LE154" s="107"/>
      <c r="LF154" s="105"/>
      <c r="LH154" s="13"/>
      <c r="LI154" s="107"/>
      <c r="LJ154" s="107"/>
      <c r="LK154" s="105"/>
      <c r="LM154" s="13"/>
      <c r="LN154" s="107"/>
      <c r="LO154" s="107"/>
      <c r="LP154" s="105"/>
      <c r="LR154" s="13"/>
      <c r="LS154" s="107"/>
      <c r="LT154" s="107"/>
      <c r="LU154" s="105"/>
      <c r="LW154" s="13"/>
      <c r="LX154" s="107"/>
      <c r="LY154" s="107"/>
      <c r="LZ154" s="105"/>
      <c r="MB154" s="13"/>
      <c r="MC154" s="107"/>
      <c r="MD154" s="107"/>
      <c r="ME154" s="105"/>
      <c r="MG154" s="38"/>
      <c r="MH154" s="13"/>
      <c r="MI154" s="107"/>
      <c r="MJ154" s="107"/>
      <c r="MK154" s="105"/>
      <c r="MM154" s="13"/>
      <c r="MN154" s="107"/>
      <c r="MO154" s="107"/>
      <c r="MP154" s="105"/>
      <c r="MR154" s="13"/>
      <c r="MS154" s="107"/>
      <c r="MT154" s="107"/>
      <c r="MU154" s="105"/>
      <c r="MW154" s="13"/>
      <c r="MX154" s="107"/>
      <c r="MY154" s="107"/>
      <c r="MZ154" s="105"/>
      <c r="NB154" s="13"/>
      <c r="NC154" s="107"/>
      <c r="ND154" s="107"/>
      <c r="NE154" s="105"/>
      <c r="NG154" s="13"/>
      <c r="NH154" s="107"/>
      <c r="NI154" s="107"/>
      <c r="NJ154" s="105"/>
      <c r="NL154" s="38"/>
      <c r="NM154" s="13"/>
      <c r="NN154" s="107"/>
      <c r="NO154" s="107"/>
      <c r="NP154" s="105"/>
      <c r="NR154" s="13"/>
      <c r="NS154" s="107"/>
      <c r="NT154" s="107"/>
      <c r="NU154" s="105"/>
      <c r="NW154" s="13"/>
      <c r="NX154" s="107"/>
      <c r="NY154" s="107"/>
      <c r="NZ154" s="105"/>
      <c r="OB154" s="13"/>
      <c r="OC154" s="107"/>
      <c r="OD154" s="107"/>
      <c r="OE154" s="105"/>
      <c r="OG154" s="13"/>
      <c r="OH154" s="107"/>
      <c r="OI154" s="107"/>
      <c r="OJ154" s="105"/>
      <c r="OL154" s="13"/>
      <c r="OM154" s="107"/>
      <c r="ON154" s="107"/>
      <c r="OO154" s="105"/>
    </row>
    <row r="155" ht="15.75" customHeight="1">
      <c r="A155" s="42"/>
      <c r="B155" s="42"/>
      <c r="C155" s="42"/>
      <c r="D155" s="38">
        <f t="shared" si="367"/>
        <v>45973</v>
      </c>
      <c r="E155" s="31" t="str">
        <f t="shared" ref="E155:I155" si="373">AT14</f>
        <v/>
      </c>
      <c r="F155" s="31" t="str">
        <f t="shared" si="373"/>
        <v/>
      </c>
      <c r="G155" s="31" t="str">
        <f t="shared" si="373"/>
        <v/>
      </c>
      <c r="H155" s="13" t="str">
        <f t="shared" si="373"/>
        <v/>
      </c>
      <c r="I155" s="13" t="str">
        <f t="shared" si="373"/>
        <v/>
      </c>
      <c r="J155" s="107" t="str">
        <f t="array" ref="J155">IFERROR(IF(XLOOKUP(CONCAT(E155,F155),'MASTER PLAN'!$AB:$AB,'MASTER PLAN'!$M:$M,0,0)=0,"",XLOOKUP(CONCAT(E155,F155),'MASTER PLAN'!$AB:$AB,'MASTER PLAN'!$M:$M,0,0)),"")</f>
        <v/>
      </c>
      <c r="K155" s="107">
        <f t="shared" si="237"/>
        <v>0</v>
      </c>
      <c r="L155" s="107">
        <f t="shared" si="238"/>
        <v>0</v>
      </c>
      <c r="M155" s="105" t="s">
        <v>248</v>
      </c>
      <c r="O155" s="13"/>
      <c r="P155" s="107"/>
      <c r="Q155" s="107"/>
      <c r="R155" s="105"/>
      <c r="T155" s="13"/>
      <c r="U155" s="107"/>
      <c r="V155" s="107"/>
      <c r="W155" s="105"/>
      <c r="Y155" s="13"/>
      <c r="Z155" s="107"/>
      <c r="AA155" s="107"/>
      <c r="AB155" s="105"/>
      <c r="AD155" s="13"/>
      <c r="AE155" s="107"/>
      <c r="AF155" s="107"/>
      <c r="AG155" s="105"/>
      <c r="AI155" s="38"/>
      <c r="AJ155" s="13"/>
      <c r="AK155" s="107"/>
      <c r="AL155" s="107"/>
      <c r="AM155" s="105"/>
      <c r="AO155" s="13"/>
      <c r="AP155" s="107"/>
      <c r="AQ155" s="107"/>
      <c r="AR155" s="105"/>
      <c r="AT155" s="13"/>
      <c r="AU155" s="107"/>
      <c r="AV155" s="107"/>
      <c r="AW155" s="105"/>
      <c r="AY155" s="13"/>
      <c r="AZ155" s="107"/>
      <c r="BA155" s="107"/>
      <c r="BB155" s="105"/>
      <c r="BD155" s="13"/>
      <c r="BE155" s="107"/>
      <c r="BF155" s="107"/>
      <c r="BG155" s="105"/>
      <c r="BI155" s="13"/>
      <c r="BJ155" s="107"/>
      <c r="BK155" s="107"/>
      <c r="BL155" s="105"/>
      <c r="BN155" s="38"/>
      <c r="BO155" s="13"/>
      <c r="BP155" s="107"/>
      <c r="BQ155" s="107"/>
      <c r="BR155" s="105"/>
      <c r="BT155" s="13"/>
      <c r="BU155" s="107"/>
      <c r="BV155" s="107"/>
      <c r="BW155" s="105"/>
      <c r="BY155" s="13"/>
      <c r="BZ155" s="107"/>
      <c r="CA155" s="107"/>
      <c r="CB155" s="105"/>
      <c r="CD155" s="13"/>
      <c r="CE155" s="107"/>
      <c r="CF155" s="107"/>
      <c r="CG155" s="105"/>
      <c r="CI155" s="13"/>
      <c r="CJ155" s="107"/>
      <c r="CK155" s="107"/>
      <c r="CL155" s="105"/>
      <c r="CN155" s="13"/>
      <c r="CO155" s="107"/>
      <c r="CP155" s="107"/>
      <c r="CQ155" s="105"/>
      <c r="CS155" s="38"/>
      <c r="CT155" s="13"/>
      <c r="CU155" s="107"/>
      <c r="CV155" s="107"/>
      <c r="CW155" s="105"/>
      <c r="CY155" s="13"/>
      <c r="CZ155" s="107"/>
      <c r="DA155" s="107"/>
      <c r="DB155" s="105"/>
      <c r="DD155" s="13"/>
      <c r="DE155" s="107"/>
      <c r="DF155" s="107"/>
      <c r="DG155" s="105"/>
      <c r="DI155" s="13"/>
      <c r="DJ155" s="107"/>
      <c r="DK155" s="107"/>
      <c r="DL155" s="105"/>
      <c r="DN155" s="13"/>
      <c r="DO155" s="107"/>
      <c r="DP155" s="107"/>
      <c r="DQ155" s="105"/>
      <c r="DS155" s="13"/>
      <c r="DT155" s="107"/>
      <c r="DU155" s="107"/>
      <c r="DV155" s="105"/>
      <c r="DX155" s="38"/>
      <c r="DY155" s="13"/>
      <c r="DZ155" s="107"/>
      <c r="EA155" s="107"/>
      <c r="EB155" s="105"/>
      <c r="ED155" s="13"/>
      <c r="EE155" s="107"/>
      <c r="EF155" s="107"/>
      <c r="EG155" s="105"/>
      <c r="EI155" s="13"/>
      <c r="EJ155" s="107"/>
      <c r="EK155" s="107"/>
      <c r="EL155" s="105"/>
      <c r="EN155" s="13"/>
      <c r="EO155" s="107"/>
      <c r="EP155" s="107"/>
      <c r="EQ155" s="105"/>
      <c r="ES155" s="13"/>
      <c r="ET155" s="107"/>
      <c r="EU155" s="107"/>
      <c r="EV155" s="105"/>
      <c r="EX155" s="13"/>
      <c r="EY155" s="107"/>
      <c r="EZ155" s="107"/>
      <c r="FA155" s="105"/>
      <c r="FC155" s="38"/>
      <c r="FD155" s="13"/>
      <c r="FE155" s="107"/>
      <c r="FF155" s="107"/>
      <c r="FG155" s="105"/>
      <c r="FI155" s="13"/>
      <c r="FJ155" s="107"/>
      <c r="FK155" s="107"/>
      <c r="FL155" s="105"/>
      <c r="FN155" s="13"/>
      <c r="FO155" s="107"/>
      <c r="FP155" s="107"/>
      <c r="FQ155" s="105"/>
      <c r="FS155" s="13"/>
      <c r="FT155" s="107"/>
      <c r="FU155" s="107"/>
      <c r="FV155" s="105"/>
      <c r="FX155" s="13"/>
      <c r="FY155" s="107"/>
      <c r="FZ155" s="107"/>
      <c r="GA155" s="105"/>
      <c r="GC155" s="13"/>
      <c r="GD155" s="107"/>
      <c r="GE155" s="107"/>
      <c r="GF155" s="105"/>
      <c r="GH155" s="38"/>
      <c r="GI155" s="13"/>
      <c r="GJ155" s="107"/>
      <c r="GK155" s="107"/>
      <c r="GL155" s="105"/>
      <c r="GN155" s="13"/>
      <c r="GO155" s="107"/>
      <c r="GP155" s="107"/>
      <c r="GQ155" s="105"/>
      <c r="GS155" s="13"/>
      <c r="GT155" s="107"/>
      <c r="GU155" s="107"/>
      <c r="GV155" s="105"/>
      <c r="GX155" s="13"/>
      <c r="GY155" s="107"/>
      <c r="GZ155" s="107"/>
      <c r="HA155" s="105"/>
      <c r="HC155" s="13"/>
      <c r="HD155" s="107"/>
      <c r="HE155" s="107"/>
      <c r="HF155" s="105"/>
      <c r="HH155" s="13"/>
      <c r="HI155" s="107"/>
      <c r="HJ155" s="107"/>
      <c r="HK155" s="105"/>
      <c r="HM155" s="38"/>
      <c r="HN155" s="13"/>
      <c r="HO155" s="107"/>
      <c r="HP155" s="107"/>
      <c r="HQ155" s="105"/>
      <c r="HS155" s="13"/>
      <c r="HT155" s="107"/>
      <c r="HU155" s="107"/>
      <c r="HV155" s="105"/>
      <c r="HX155" s="13"/>
      <c r="HY155" s="107"/>
      <c r="HZ155" s="107"/>
      <c r="IA155" s="105"/>
      <c r="IC155" s="13"/>
      <c r="ID155" s="107"/>
      <c r="IE155" s="107"/>
      <c r="IF155" s="105"/>
      <c r="IH155" s="13"/>
      <c r="II155" s="107"/>
      <c r="IJ155" s="107"/>
      <c r="IK155" s="105"/>
      <c r="IM155" s="13"/>
      <c r="IN155" s="107"/>
      <c r="IO155" s="107"/>
      <c r="IP155" s="105"/>
      <c r="IR155" s="38"/>
      <c r="IS155" s="13"/>
      <c r="IT155" s="107"/>
      <c r="IU155" s="107"/>
      <c r="IV155" s="105"/>
      <c r="IX155" s="13"/>
      <c r="IY155" s="107"/>
      <c r="IZ155" s="107"/>
      <c r="JA155" s="105"/>
      <c r="JC155" s="13"/>
      <c r="JD155" s="107"/>
      <c r="JE155" s="107"/>
      <c r="JF155" s="105"/>
      <c r="JH155" s="13"/>
      <c r="JI155" s="107"/>
      <c r="JJ155" s="107"/>
      <c r="JK155" s="105"/>
      <c r="JM155" s="13"/>
      <c r="JN155" s="107"/>
      <c r="JO155" s="107"/>
      <c r="JP155" s="105"/>
      <c r="JR155" s="13"/>
      <c r="JS155" s="107"/>
      <c r="JT155" s="107"/>
      <c r="JU155" s="105"/>
      <c r="JW155" s="38"/>
      <c r="JX155" s="13"/>
      <c r="JY155" s="107"/>
      <c r="JZ155" s="107"/>
      <c r="KA155" s="105"/>
      <c r="KC155" s="13"/>
      <c r="KD155" s="107"/>
      <c r="KE155" s="107"/>
      <c r="KF155" s="105"/>
      <c r="KH155" s="13"/>
      <c r="KI155" s="107"/>
      <c r="KJ155" s="107"/>
      <c r="KK155" s="105"/>
      <c r="KM155" s="13"/>
      <c r="KN155" s="107"/>
      <c r="KO155" s="107"/>
      <c r="KP155" s="105"/>
      <c r="KR155" s="13"/>
      <c r="KS155" s="107"/>
      <c r="KT155" s="107"/>
      <c r="KU155" s="105"/>
      <c r="KW155" s="13"/>
      <c r="KX155" s="107"/>
      <c r="KY155" s="107"/>
      <c r="KZ155" s="105"/>
      <c r="LB155" s="38"/>
      <c r="LC155" s="13"/>
      <c r="LD155" s="107"/>
      <c r="LE155" s="107"/>
      <c r="LF155" s="105"/>
      <c r="LH155" s="13"/>
      <c r="LI155" s="107"/>
      <c r="LJ155" s="107"/>
      <c r="LK155" s="105"/>
      <c r="LM155" s="13"/>
      <c r="LN155" s="107"/>
      <c r="LO155" s="107"/>
      <c r="LP155" s="105"/>
      <c r="LR155" s="13"/>
      <c r="LS155" s="107"/>
      <c r="LT155" s="107"/>
      <c r="LU155" s="105"/>
      <c r="LW155" s="13"/>
      <c r="LX155" s="107"/>
      <c r="LY155" s="107"/>
      <c r="LZ155" s="105"/>
      <c r="MB155" s="13"/>
      <c r="MC155" s="107"/>
      <c r="MD155" s="107"/>
      <c r="ME155" s="105"/>
      <c r="MG155" s="38"/>
      <c r="MH155" s="13"/>
      <c r="MI155" s="107"/>
      <c r="MJ155" s="107"/>
      <c r="MK155" s="105"/>
      <c r="MM155" s="13"/>
      <c r="MN155" s="107"/>
      <c r="MO155" s="107"/>
      <c r="MP155" s="105"/>
      <c r="MR155" s="13"/>
      <c r="MS155" s="107"/>
      <c r="MT155" s="107"/>
      <c r="MU155" s="105"/>
      <c r="MW155" s="13"/>
      <c r="MX155" s="107"/>
      <c r="MY155" s="107"/>
      <c r="MZ155" s="105"/>
      <c r="NB155" s="13"/>
      <c r="NC155" s="107"/>
      <c r="ND155" s="107"/>
      <c r="NE155" s="105"/>
      <c r="NG155" s="13"/>
      <c r="NH155" s="107"/>
      <c r="NI155" s="107"/>
      <c r="NJ155" s="105"/>
      <c r="NL155" s="38"/>
      <c r="NM155" s="13"/>
      <c r="NN155" s="107"/>
      <c r="NO155" s="107"/>
      <c r="NP155" s="105"/>
      <c r="NR155" s="13"/>
      <c r="NS155" s="107"/>
      <c r="NT155" s="107"/>
      <c r="NU155" s="105"/>
      <c r="NW155" s="13"/>
      <c r="NX155" s="107"/>
      <c r="NY155" s="107"/>
      <c r="NZ155" s="105"/>
      <c r="OB155" s="13"/>
      <c r="OC155" s="107"/>
      <c r="OD155" s="107"/>
      <c r="OE155" s="105"/>
      <c r="OG155" s="13"/>
      <c r="OH155" s="107"/>
      <c r="OI155" s="107"/>
      <c r="OJ155" s="105"/>
      <c r="OL155" s="13"/>
      <c r="OM155" s="107"/>
      <c r="ON155" s="107"/>
      <c r="OO155" s="105"/>
    </row>
    <row r="156" ht="15.75" customHeight="1">
      <c r="A156" s="42"/>
      <c r="B156" s="42"/>
      <c r="C156" s="42"/>
      <c r="D156" s="38">
        <f t="shared" si="367"/>
        <v>45973</v>
      </c>
      <c r="E156" s="31" t="str">
        <f t="shared" ref="E156:I156" si="374">AT15</f>
        <v/>
      </c>
      <c r="F156" s="31" t="str">
        <f t="shared" si="374"/>
        <v/>
      </c>
      <c r="G156" s="31" t="str">
        <f t="shared" si="374"/>
        <v/>
      </c>
      <c r="H156" s="13" t="str">
        <f t="shared" si="374"/>
        <v/>
      </c>
      <c r="I156" s="13" t="str">
        <f t="shared" si="374"/>
        <v/>
      </c>
      <c r="J156" s="107" t="str">
        <f t="array" ref="J156">IFERROR(IF(XLOOKUP(CONCAT(E156,F156),'MASTER PLAN'!$AB:$AB,'MASTER PLAN'!$M:$M,0,0)=0,"",XLOOKUP(CONCAT(E156,F156),'MASTER PLAN'!$AB:$AB,'MASTER PLAN'!$M:$M,0,0)),"")</f>
        <v/>
      </c>
      <c r="K156" s="107">
        <f t="shared" si="237"/>
        <v>0</v>
      </c>
      <c r="L156" s="107">
        <f t="shared" si="238"/>
        <v>0</v>
      </c>
      <c r="M156" s="105" t="s">
        <v>248</v>
      </c>
      <c r="O156" s="13"/>
      <c r="P156" s="107"/>
      <c r="Q156" s="107"/>
      <c r="R156" s="105"/>
      <c r="T156" s="13"/>
      <c r="U156" s="107"/>
      <c r="V156" s="107"/>
      <c r="W156" s="105"/>
      <c r="Y156" s="13"/>
      <c r="Z156" s="107"/>
      <c r="AA156" s="107"/>
      <c r="AB156" s="105"/>
      <c r="AD156" s="13"/>
      <c r="AE156" s="107"/>
      <c r="AF156" s="107"/>
      <c r="AG156" s="105"/>
      <c r="AI156" s="38"/>
      <c r="AJ156" s="13"/>
      <c r="AK156" s="107"/>
      <c r="AL156" s="107"/>
      <c r="AM156" s="105"/>
      <c r="AO156" s="13"/>
      <c r="AP156" s="107"/>
      <c r="AQ156" s="107"/>
      <c r="AR156" s="105"/>
      <c r="AT156" s="13"/>
      <c r="AU156" s="107"/>
      <c r="AV156" s="107"/>
      <c r="AW156" s="105"/>
      <c r="AY156" s="13"/>
      <c r="AZ156" s="107"/>
      <c r="BA156" s="107"/>
      <c r="BB156" s="105"/>
      <c r="BD156" s="13"/>
      <c r="BE156" s="107"/>
      <c r="BF156" s="107"/>
      <c r="BG156" s="105"/>
      <c r="BI156" s="13"/>
      <c r="BJ156" s="107"/>
      <c r="BK156" s="107"/>
      <c r="BL156" s="105"/>
      <c r="BN156" s="38"/>
      <c r="BO156" s="13"/>
      <c r="BP156" s="107"/>
      <c r="BQ156" s="107"/>
      <c r="BR156" s="105"/>
      <c r="BT156" s="13"/>
      <c r="BU156" s="107"/>
      <c r="BV156" s="107"/>
      <c r="BW156" s="105"/>
      <c r="BY156" s="13"/>
      <c r="BZ156" s="107"/>
      <c r="CA156" s="107"/>
      <c r="CB156" s="105"/>
      <c r="CD156" s="13"/>
      <c r="CE156" s="107"/>
      <c r="CF156" s="107"/>
      <c r="CG156" s="105"/>
      <c r="CI156" s="13"/>
      <c r="CJ156" s="107"/>
      <c r="CK156" s="107"/>
      <c r="CL156" s="105"/>
      <c r="CN156" s="13"/>
      <c r="CO156" s="107"/>
      <c r="CP156" s="107"/>
      <c r="CQ156" s="105"/>
      <c r="CS156" s="38"/>
      <c r="CT156" s="13"/>
      <c r="CU156" s="107"/>
      <c r="CV156" s="107"/>
      <c r="CW156" s="105"/>
      <c r="CY156" s="13"/>
      <c r="CZ156" s="107"/>
      <c r="DA156" s="107"/>
      <c r="DB156" s="105"/>
      <c r="DD156" s="13"/>
      <c r="DE156" s="107"/>
      <c r="DF156" s="107"/>
      <c r="DG156" s="105"/>
      <c r="DI156" s="13"/>
      <c r="DJ156" s="107"/>
      <c r="DK156" s="107"/>
      <c r="DL156" s="105"/>
      <c r="DN156" s="13"/>
      <c r="DO156" s="107"/>
      <c r="DP156" s="107"/>
      <c r="DQ156" s="105"/>
      <c r="DS156" s="13"/>
      <c r="DT156" s="107"/>
      <c r="DU156" s="107"/>
      <c r="DV156" s="105"/>
      <c r="DX156" s="38"/>
      <c r="DY156" s="13"/>
      <c r="DZ156" s="107"/>
      <c r="EA156" s="107"/>
      <c r="EB156" s="105"/>
      <c r="ED156" s="13"/>
      <c r="EE156" s="107"/>
      <c r="EF156" s="107"/>
      <c r="EG156" s="105"/>
      <c r="EI156" s="13"/>
      <c r="EJ156" s="107"/>
      <c r="EK156" s="107"/>
      <c r="EL156" s="105"/>
      <c r="EN156" s="13"/>
      <c r="EO156" s="107"/>
      <c r="EP156" s="107"/>
      <c r="EQ156" s="105"/>
      <c r="ES156" s="13"/>
      <c r="ET156" s="107"/>
      <c r="EU156" s="107"/>
      <c r="EV156" s="105"/>
      <c r="EX156" s="13"/>
      <c r="EY156" s="107"/>
      <c r="EZ156" s="107"/>
      <c r="FA156" s="105"/>
      <c r="FC156" s="38"/>
      <c r="FD156" s="13"/>
      <c r="FE156" s="107"/>
      <c r="FF156" s="107"/>
      <c r="FG156" s="105"/>
      <c r="FI156" s="13"/>
      <c r="FJ156" s="107"/>
      <c r="FK156" s="107"/>
      <c r="FL156" s="105"/>
      <c r="FN156" s="13"/>
      <c r="FO156" s="107"/>
      <c r="FP156" s="107"/>
      <c r="FQ156" s="105"/>
      <c r="FS156" s="13"/>
      <c r="FT156" s="107"/>
      <c r="FU156" s="107"/>
      <c r="FV156" s="105"/>
      <c r="FX156" s="13"/>
      <c r="FY156" s="107"/>
      <c r="FZ156" s="107"/>
      <c r="GA156" s="105"/>
      <c r="GC156" s="13"/>
      <c r="GD156" s="107"/>
      <c r="GE156" s="107"/>
      <c r="GF156" s="105"/>
      <c r="GH156" s="38"/>
      <c r="GI156" s="13"/>
      <c r="GJ156" s="107"/>
      <c r="GK156" s="107"/>
      <c r="GL156" s="105"/>
      <c r="GN156" s="13"/>
      <c r="GO156" s="107"/>
      <c r="GP156" s="107"/>
      <c r="GQ156" s="105"/>
      <c r="GS156" s="13"/>
      <c r="GT156" s="107"/>
      <c r="GU156" s="107"/>
      <c r="GV156" s="105"/>
      <c r="GX156" s="13"/>
      <c r="GY156" s="107"/>
      <c r="GZ156" s="107"/>
      <c r="HA156" s="105"/>
      <c r="HC156" s="13"/>
      <c r="HD156" s="107"/>
      <c r="HE156" s="107"/>
      <c r="HF156" s="105"/>
      <c r="HH156" s="13"/>
      <c r="HI156" s="107"/>
      <c r="HJ156" s="107"/>
      <c r="HK156" s="105"/>
      <c r="HM156" s="38"/>
      <c r="HN156" s="13"/>
      <c r="HO156" s="107"/>
      <c r="HP156" s="107"/>
      <c r="HQ156" s="105"/>
      <c r="HS156" s="13"/>
      <c r="HT156" s="107"/>
      <c r="HU156" s="107"/>
      <c r="HV156" s="105"/>
      <c r="HX156" s="13"/>
      <c r="HY156" s="107"/>
      <c r="HZ156" s="107"/>
      <c r="IA156" s="105"/>
      <c r="IC156" s="13"/>
      <c r="ID156" s="107"/>
      <c r="IE156" s="107"/>
      <c r="IF156" s="105"/>
      <c r="IH156" s="13"/>
      <c r="II156" s="107"/>
      <c r="IJ156" s="107"/>
      <c r="IK156" s="105"/>
      <c r="IM156" s="13"/>
      <c r="IN156" s="107"/>
      <c r="IO156" s="107"/>
      <c r="IP156" s="105"/>
      <c r="IR156" s="38"/>
      <c r="IS156" s="13"/>
      <c r="IT156" s="107"/>
      <c r="IU156" s="107"/>
      <c r="IV156" s="105"/>
      <c r="IX156" s="13"/>
      <c r="IY156" s="107"/>
      <c r="IZ156" s="107"/>
      <c r="JA156" s="105"/>
      <c r="JC156" s="13"/>
      <c r="JD156" s="107"/>
      <c r="JE156" s="107"/>
      <c r="JF156" s="105"/>
      <c r="JH156" s="13"/>
      <c r="JI156" s="107"/>
      <c r="JJ156" s="107"/>
      <c r="JK156" s="105"/>
      <c r="JM156" s="13"/>
      <c r="JN156" s="107"/>
      <c r="JO156" s="107"/>
      <c r="JP156" s="105"/>
      <c r="JR156" s="13"/>
      <c r="JS156" s="107"/>
      <c r="JT156" s="107"/>
      <c r="JU156" s="105"/>
      <c r="JW156" s="38"/>
      <c r="JX156" s="13"/>
      <c r="JY156" s="107"/>
      <c r="JZ156" s="107"/>
      <c r="KA156" s="105"/>
      <c r="KC156" s="13"/>
      <c r="KD156" s="107"/>
      <c r="KE156" s="107"/>
      <c r="KF156" s="105"/>
      <c r="KH156" s="13"/>
      <c r="KI156" s="107"/>
      <c r="KJ156" s="107"/>
      <c r="KK156" s="105"/>
      <c r="KM156" s="13"/>
      <c r="KN156" s="107"/>
      <c r="KO156" s="107"/>
      <c r="KP156" s="105"/>
      <c r="KR156" s="13"/>
      <c r="KS156" s="107"/>
      <c r="KT156" s="107"/>
      <c r="KU156" s="105"/>
      <c r="KW156" s="13"/>
      <c r="KX156" s="107"/>
      <c r="KY156" s="107"/>
      <c r="KZ156" s="105"/>
      <c r="LB156" s="38"/>
      <c r="LC156" s="13"/>
      <c r="LD156" s="107"/>
      <c r="LE156" s="107"/>
      <c r="LF156" s="105"/>
      <c r="LH156" s="13"/>
      <c r="LI156" s="107"/>
      <c r="LJ156" s="107"/>
      <c r="LK156" s="105"/>
      <c r="LM156" s="13"/>
      <c r="LN156" s="107"/>
      <c r="LO156" s="107"/>
      <c r="LP156" s="105"/>
      <c r="LR156" s="13"/>
      <c r="LS156" s="107"/>
      <c r="LT156" s="107"/>
      <c r="LU156" s="105"/>
      <c r="LW156" s="13"/>
      <c r="LX156" s="107"/>
      <c r="LY156" s="107"/>
      <c r="LZ156" s="105"/>
      <c r="MB156" s="13"/>
      <c r="MC156" s="107"/>
      <c r="MD156" s="107"/>
      <c r="ME156" s="105"/>
      <c r="MG156" s="38"/>
      <c r="MH156" s="13"/>
      <c r="MI156" s="107"/>
      <c r="MJ156" s="107"/>
      <c r="MK156" s="105"/>
      <c r="MM156" s="13"/>
      <c r="MN156" s="107"/>
      <c r="MO156" s="107"/>
      <c r="MP156" s="105"/>
      <c r="MR156" s="13"/>
      <c r="MS156" s="107"/>
      <c r="MT156" s="107"/>
      <c r="MU156" s="105"/>
      <c r="MW156" s="13"/>
      <c r="MX156" s="107"/>
      <c r="MY156" s="107"/>
      <c r="MZ156" s="105"/>
      <c r="NB156" s="13"/>
      <c r="NC156" s="107"/>
      <c r="ND156" s="107"/>
      <c r="NE156" s="105"/>
      <c r="NG156" s="13"/>
      <c r="NH156" s="107"/>
      <c r="NI156" s="107"/>
      <c r="NJ156" s="105"/>
      <c r="NL156" s="38"/>
      <c r="NM156" s="13"/>
      <c r="NN156" s="107"/>
      <c r="NO156" s="107"/>
      <c r="NP156" s="105"/>
      <c r="NR156" s="13"/>
      <c r="NS156" s="107"/>
      <c r="NT156" s="107"/>
      <c r="NU156" s="105"/>
      <c r="NW156" s="13"/>
      <c r="NX156" s="107"/>
      <c r="NY156" s="107"/>
      <c r="NZ156" s="105"/>
      <c r="OB156" s="13"/>
      <c r="OC156" s="107"/>
      <c r="OD156" s="107"/>
      <c r="OE156" s="105"/>
      <c r="OG156" s="13"/>
      <c r="OH156" s="107"/>
      <c r="OI156" s="107"/>
      <c r="OJ156" s="105"/>
      <c r="OL156" s="13"/>
      <c r="OM156" s="107"/>
      <c r="ON156" s="107"/>
      <c r="OO156" s="105"/>
    </row>
    <row r="157" ht="15.75" customHeight="1">
      <c r="A157" s="42"/>
      <c r="B157" s="42"/>
      <c r="C157" s="42"/>
      <c r="D157" s="38">
        <f t="shared" si="367"/>
        <v>45973</v>
      </c>
      <c r="E157" s="31" t="str">
        <f t="shared" ref="E157:I157" si="375">AT16</f>
        <v/>
      </c>
      <c r="F157" s="31" t="str">
        <f t="shared" si="375"/>
        <v/>
      </c>
      <c r="G157" s="31" t="str">
        <f t="shared" si="375"/>
        <v/>
      </c>
      <c r="H157" s="13" t="str">
        <f t="shared" si="375"/>
        <v/>
      </c>
      <c r="I157" s="13" t="str">
        <f t="shared" si="375"/>
        <v/>
      </c>
      <c r="J157" s="107" t="str">
        <f t="array" ref="J157">IFERROR(IF(XLOOKUP(CONCAT(E157,F157),'MASTER PLAN'!$AB:$AB,'MASTER PLAN'!$M:$M,0,0)=0,"",XLOOKUP(CONCAT(E157,F157),'MASTER PLAN'!$AB:$AB,'MASTER PLAN'!$M:$M,0,0)),"")</f>
        <v/>
      </c>
      <c r="K157" s="107">
        <f t="shared" si="237"/>
        <v>0</v>
      </c>
      <c r="L157" s="107">
        <f t="shared" si="238"/>
        <v>0</v>
      </c>
      <c r="M157" s="105" t="s">
        <v>248</v>
      </c>
      <c r="O157" s="13"/>
      <c r="P157" s="107"/>
      <c r="Q157" s="107"/>
      <c r="R157" s="105"/>
      <c r="T157" s="13"/>
      <c r="U157" s="107"/>
      <c r="V157" s="107"/>
      <c r="W157" s="105"/>
      <c r="Y157" s="13"/>
      <c r="Z157" s="107"/>
      <c r="AA157" s="107"/>
      <c r="AB157" s="105"/>
      <c r="AD157" s="13"/>
      <c r="AE157" s="107"/>
      <c r="AF157" s="107"/>
      <c r="AG157" s="105"/>
      <c r="AI157" s="38"/>
      <c r="AJ157" s="13"/>
      <c r="AK157" s="107"/>
      <c r="AL157" s="107"/>
      <c r="AM157" s="105"/>
      <c r="AO157" s="13"/>
      <c r="AP157" s="107"/>
      <c r="AQ157" s="107"/>
      <c r="AR157" s="105"/>
      <c r="AT157" s="13"/>
      <c r="AU157" s="107"/>
      <c r="AV157" s="107"/>
      <c r="AW157" s="105"/>
      <c r="AY157" s="13"/>
      <c r="AZ157" s="107"/>
      <c r="BA157" s="107"/>
      <c r="BB157" s="105"/>
      <c r="BD157" s="13"/>
      <c r="BE157" s="107"/>
      <c r="BF157" s="107"/>
      <c r="BG157" s="105"/>
      <c r="BI157" s="13"/>
      <c r="BJ157" s="107"/>
      <c r="BK157" s="107"/>
      <c r="BL157" s="105"/>
      <c r="BN157" s="38"/>
      <c r="BO157" s="13"/>
      <c r="BP157" s="107"/>
      <c r="BQ157" s="107"/>
      <c r="BR157" s="105"/>
      <c r="BT157" s="13"/>
      <c r="BU157" s="107"/>
      <c r="BV157" s="107"/>
      <c r="BW157" s="105"/>
      <c r="BY157" s="13"/>
      <c r="BZ157" s="107"/>
      <c r="CA157" s="107"/>
      <c r="CB157" s="105"/>
      <c r="CD157" s="13"/>
      <c r="CE157" s="107"/>
      <c r="CF157" s="107"/>
      <c r="CG157" s="105"/>
      <c r="CI157" s="13"/>
      <c r="CJ157" s="107"/>
      <c r="CK157" s="107"/>
      <c r="CL157" s="105"/>
      <c r="CN157" s="13"/>
      <c r="CO157" s="107"/>
      <c r="CP157" s="107"/>
      <c r="CQ157" s="105"/>
      <c r="CS157" s="38"/>
      <c r="CT157" s="13"/>
      <c r="CU157" s="107"/>
      <c r="CV157" s="107"/>
      <c r="CW157" s="105"/>
      <c r="CY157" s="13"/>
      <c r="CZ157" s="107"/>
      <c r="DA157" s="107"/>
      <c r="DB157" s="105"/>
      <c r="DD157" s="13"/>
      <c r="DE157" s="107"/>
      <c r="DF157" s="107"/>
      <c r="DG157" s="105"/>
      <c r="DI157" s="13"/>
      <c r="DJ157" s="107"/>
      <c r="DK157" s="107"/>
      <c r="DL157" s="105"/>
      <c r="DN157" s="13"/>
      <c r="DO157" s="107"/>
      <c r="DP157" s="107"/>
      <c r="DQ157" s="105"/>
      <c r="DS157" s="13"/>
      <c r="DT157" s="107"/>
      <c r="DU157" s="107"/>
      <c r="DV157" s="105"/>
      <c r="DX157" s="38"/>
      <c r="DY157" s="13"/>
      <c r="DZ157" s="107"/>
      <c r="EA157" s="107"/>
      <c r="EB157" s="105"/>
      <c r="ED157" s="13"/>
      <c r="EE157" s="107"/>
      <c r="EF157" s="107"/>
      <c r="EG157" s="105"/>
      <c r="EI157" s="13"/>
      <c r="EJ157" s="107"/>
      <c r="EK157" s="107"/>
      <c r="EL157" s="105"/>
      <c r="EN157" s="13"/>
      <c r="EO157" s="107"/>
      <c r="EP157" s="107"/>
      <c r="EQ157" s="105"/>
      <c r="ES157" s="13"/>
      <c r="ET157" s="107"/>
      <c r="EU157" s="107"/>
      <c r="EV157" s="105"/>
      <c r="EX157" s="13"/>
      <c r="EY157" s="107"/>
      <c r="EZ157" s="107"/>
      <c r="FA157" s="105"/>
      <c r="FC157" s="38"/>
      <c r="FD157" s="13"/>
      <c r="FE157" s="107"/>
      <c r="FF157" s="107"/>
      <c r="FG157" s="105"/>
      <c r="FI157" s="13"/>
      <c r="FJ157" s="107"/>
      <c r="FK157" s="107"/>
      <c r="FL157" s="105"/>
      <c r="FN157" s="13"/>
      <c r="FO157" s="107"/>
      <c r="FP157" s="107"/>
      <c r="FQ157" s="105"/>
      <c r="FS157" s="13"/>
      <c r="FT157" s="107"/>
      <c r="FU157" s="107"/>
      <c r="FV157" s="105"/>
      <c r="FX157" s="13"/>
      <c r="FY157" s="107"/>
      <c r="FZ157" s="107"/>
      <c r="GA157" s="105"/>
      <c r="GC157" s="13"/>
      <c r="GD157" s="107"/>
      <c r="GE157" s="107"/>
      <c r="GF157" s="105"/>
      <c r="GH157" s="38"/>
      <c r="GI157" s="13"/>
      <c r="GJ157" s="107"/>
      <c r="GK157" s="107"/>
      <c r="GL157" s="105"/>
      <c r="GN157" s="13"/>
      <c r="GO157" s="107"/>
      <c r="GP157" s="107"/>
      <c r="GQ157" s="105"/>
      <c r="GS157" s="13"/>
      <c r="GT157" s="107"/>
      <c r="GU157" s="107"/>
      <c r="GV157" s="105"/>
      <c r="GX157" s="13"/>
      <c r="GY157" s="107"/>
      <c r="GZ157" s="107"/>
      <c r="HA157" s="105"/>
      <c r="HC157" s="13"/>
      <c r="HD157" s="107"/>
      <c r="HE157" s="107"/>
      <c r="HF157" s="105"/>
      <c r="HH157" s="13"/>
      <c r="HI157" s="107"/>
      <c r="HJ157" s="107"/>
      <c r="HK157" s="105"/>
      <c r="HM157" s="38"/>
      <c r="HN157" s="13"/>
      <c r="HO157" s="107"/>
      <c r="HP157" s="107"/>
      <c r="HQ157" s="105"/>
      <c r="HS157" s="13"/>
      <c r="HT157" s="107"/>
      <c r="HU157" s="107"/>
      <c r="HV157" s="105"/>
      <c r="HX157" s="13"/>
      <c r="HY157" s="107"/>
      <c r="HZ157" s="107"/>
      <c r="IA157" s="105"/>
      <c r="IC157" s="13"/>
      <c r="ID157" s="107"/>
      <c r="IE157" s="107"/>
      <c r="IF157" s="105"/>
      <c r="IH157" s="13"/>
      <c r="II157" s="107"/>
      <c r="IJ157" s="107"/>
      <c r="IK157" s="105"/>
      <c r="IM157" s="13"/>
      <c r="IN157" s="107"/>
      <c r="IO157" s="107"/>
      <c r="IP157" s="105"/>
      <c r="IR157" s="38"/>
      <c r="IS157" s="13"/>
      <c r="IT157" s="107"/>
      <c r="IU157" s="107"/>
      <c r="IV157" s="105"/>
      <c r="IX157" s="13"/>
      <c r="IY157" s="107"/>
      <c r="IZ157" s="107"/>
      <c r="JA157" s="105"/>
      <c r="JC157" s="13"/>
      <c r="JD157" s="107"/>
      <c r="JE157" s="107"/>
      <c r="JF157" s="105"/>
      <c r="JH157" s="13"/>
      <c r="JI157" s="107"/>
      <c r="JJ157" s="107"/>
      <c r="JK157" s="105"/>
      <c r="JM157" s="13"/>
      <c r="JN157" s="107"/>
      <c r="JO157" s="107"/>
      <c r="JP157" s="105"/>
      <c r="JR157" s="13"/>
      <c r="JS157" s="107"/>
      <c r="JT157" s="107"/>
      <c r="JU157" s="105"/>
      <c r="JW157" s="38"/>
      <c r="JX157" s="13"/>
      <c r="JY157" s="107"/>
      <c r="JZ157" s="107"/>
      <c r="KA157" s="105"/>
      <c r="KC157" s="13"/>
      <c r="KD157" s="107"/>
      <c r="KE157" s="107"/>
      <c r="KF157" s="105"/>
      <c r="KH157" s="13"/>
      <c r="KI157" s="107"/>
      <c r="KJ157" s="107"/>
      <c r="KK157" s="105"/>
      <c r="KM157" s="13"/>
      <c r="KN157" s="107"/>
      <c r="KO157" s="107"/>
      <c r="KP157" s="105"/>
      <c r="KR157" s="13"/>
      <c r="KS157" s="107"/>
      <c r="KT157" s="107"/>
      <c r="KU157" s="105"/>
      <c r="KW157" s="13"/>
      <c r="KX157" s="107"/>
      <c r="KY157" s="107"/>
      <c r="KZ157" s="105"/>
      <c r="LB157" s="38"/>
      <c r="LC157" s="13"/>
      <c r="LD157" s="107"/>
      <c r="LE157" s="107"/>
      <c r="LF157" s="105"/>
      <c r="LH157" s="13"/>
      <c r="LI157" s="107"/>
      <c r="LJ157" s="107"/>
      <c r="LK157" s="105"/>
      <c r="LM157" s="13"/>
      <c r="LN157" s="107"/>
      <c r="LO157" s="107"/>
      <c r="LP157" s="105"/>
      <c r="LR157" s="13"/>
      <c r="LS157" s="107"/>
      <c r="LT157" s="107"/>
      <c r="LU157" s="105"/>
      <c r="LW157" s="13"/>
      <c r="LX157" s="107"/>
      <c r="LY157" s="107"/>
      <c r="LZ157" s="105"/>
      <c r="MB157" s="13"/>
      <c r="MC157" s="107"/>
      <c r="MD157" s="107"/>
      <c r="ME157" s="105"/>
      <c r="MG157" s="38"/>
      <c r="MH157" s="13"/>
      <c r="MI157" s="107"/>
      <c r="MJ157" s="107"/>
      <c r="MK157" s="105"/>
      <c r="MM157" s="13"/>
      <c r="MN157" s="107"/>
      <c r="MO157" s="107"/>
      <c r="MP157" s="105"/>
      <c r="MR157" s="13"/>
      <c r="MS157" s="107"/>
      <c r="MT157" s="107"/>
      <c r="MU157" s="105"/>
      <c r="MW157" s="13"/>
      <c r="MX157" s="107"/>
      <c r="MY157" s="107"/>
      <c r="MZ157" s="105"/>
      <c r="NB157" s="13"/>
      <c r="NC157" s="107"/>
      <c r="ND157" s="107"/>
      <c r="NE157" s="105"/>
      <c r="NG157" s="13"/>
      <c r="NH157" s="107"/>
      <c r="NI157" s="107"/>
      <c r="NJ157" s="105"/>
      <c r="NL157" s="38"/>
      <c r="NM157" s="13"/>
      <c r="NN157" s="107"/>
      <c r="NO157" s="107"/>
      <c r="NP157" s="105"/>
      <c r="NR157" s="13"/>
      <c r="NS157" s="107"/>
      <c r="NT157" s="107"/>
      <c r="NU157" s="105"/>
      <c r="NW157" s="13"/>
      <c r="NX157" s="107"/>
      <c r="NY157" s="107"/>
      <c r="NZ157" s="105"/>
      <c r="OB157" s="13"/>
      <c r="OC157" s="107"/>
      <c r="OD157" s="107"/>
      <c r="OE157" s="105"/>
      <c r="OG157" s="13"/>
      <c r="OH157" s="107"/>
      <c r="OI157" s="107"/>
      <c r="OJ157" s="105"/>
      <c r="OL157" s="13"/>
      <c r="OM157" s="107"/>
      <c r="ON157" s="107"/>
      <c r="OO157" s="105"/>
    </row>
    <row r="158" ht="15.75" customHeight="1">
      <c r="A158" s="42"/>
      <c r="B158" s="42"/>
      <c r="C158" s="42"/>
      <c r="D158" s="38">
        <f t="shared" si="367"/>
        <v>45973</v>
      </c>
      <c r="E158" s="31" t="str">
        <f t="shared" ref="E158:I158" si="376">AT20</f>
        <v/>
      </c>
      <c r="F158" s="31" t="str">
        <f t="shared" si="376"/>
        <v/>
      </c>
      <c r="G158" s="31" t="str">
        <f t="shared" si="376"/>
        <v/>
      </c>
      <c r="H158" s="13" t="str">
        <f t="shared" si="376"/>
        <v/>
      </c>
      <c r="I158" s="13" t="str">
        <f t="shared" si="376"/>
        <v/>
      </c>
      <c r="J158" s="107" t="str">
        <f t="array" ref="J158">IFERROR(IF(XLOOKUP(CONCAT(E158,F158),'MASTER PLAN'!$AB:$AB,'MASTER PLAN'!$M:$M,0,0)=0,"",XLOOKUP(CONCAT(E158,F158),'MASTER PLAN'!$AB:$AB,'MASTER PLAN'!$M:$M,0,0)),"")</f>
        <v/>
      </c>
      <c r="K158" s="107">
        <f t="shared" si="237"/>
        <v>0</v>
      </c>
      <c r="L158" s="107">
        <f t="shared" si="238"/>
        <v>0</v>
      </c>
      <c r="M158" s="105" t="s">
        <v>249</v>
      </c>
      <c r="O158" s="13"/>
      <c r="P158" s="107"/>
      <c r="Q158" s="107"/>
      <c r="R158" s="105"/>
      <c r="T158" s="13"/>
      <c r="U158" s="107"/>
      <c r="V158" s="107"/>
      <c r="W158" s="105"/>
      <c r="Y158" s="13"/>
      <c r="Z158" s="107"/>
      <c r="AA158" s="107"/>
      <c r="AB158" s="105"/>
      <c r="AD158" s="13"/>
      <c r="AE158" s="107"/>
      <c r="AF158" s="107"/>
      <c r="AG158" s="105"/>
      <c r="AI158" s="38"/>
      <c r="AJ158" s="13"/>
      <c r="AK158" s="107"/>
      <c r="AL158" s="107"/>
      <c r="AM158" s="105"/>
      <c r="AO158" s="13"/>
      <c r="AP158" s="107"/>
      <c r="AQ158" s="107"/>
      <c r="AR158" s="105"/>
      <c r="AT158" s="13"/>
      <c r="AU158" s="107"/>
      <c r="AV158" s="107"/>
      <c r="AW158" s="105"/>
      <c r="AY158" s="13"/>
      <c r="AZ158" s="107"/>
      <c r="BA158" s="107"/>
      <c r="BB158" s="105"/>
      <c r="BD158" s="13"/>
      <c r="BE158" s="107"/>
      <c r="BF158" s="107"/>
      <c r="BG158" s="105"/>
      <c r="BI158" s="13"/>
      <c r="BJ158" s="107"/>
      <c r="BK158" s="107"/>
      <c r="BL158" s="105"/>
      <c r="BN158" s="38"/>
      <c r="BO158" s="13"/>
      <c r="BP158" s="107"/>
      <c r="BQ158" s="107"/>
      <c r="BR158" s="105"/>
      <c r="BT158" s="13"/>
      <c r="BU158" s="107"/>
      <c r="BV158" s="107"/>
      <c r="BW158" s="105"/>
      <c r="BY158" s="13"/>
      <c r="BZ158" s="107"/>
      <c r="CA158" s="107"/>
      <c r="CB158" s="105"/>
      <c r="CD158" s="13"/>
      <c r="CE158" s="107"/>
      <c r="CF158" s="107"/>
      <c r="CG158" s="105"/>
      <c r="CI158" s="13"/>
      <c r="CJ158" s="107"/>
      <c r="CK158" s="107"/>
      <c r="CL158" s="105"/>
      <c r="CN158" s="13"/>
      <c r="CO158" s="107"/>
      <c r="CP158" s="107"/>
      <c r="CQ158" s="105"/>
      <c r="CS158" s="38"/>
      <c r="CT158" s="13"/>
      <c r="CU158" s="107"/>
      <c r="CV158" s="107"/>
      <c r="CW158" s="105"/>
      <c r="CY158" s="13"/>
      <c r="CZ158" s="107"/>
      <c r="DA158" s="107"/>
      <c r="DB158" s="105"/>
      <c r="DD158" s="13"/>
      <c r="DE158" s="107"/>
      <c r="DF158" s="107"/>
      <c r="DG158" s="105"/>
      <c r="DI158" s="13"/>
      <c r="DJ158" s="107"/>
      <c r="DK158" s="107"/>
      <c r="DL158" s="105"/>
      <c r="DN158" s="13"/>
      <c r="DO158" s="107"/>
      <c r="DP158" s="107"/>
      <c r="DQ158" s="105"/>
      <c r="DS158" s="13"/>
      <c r="DT158" s="107"/>
      <c r="DU158" s="107"/>
      <c r="DV158" s="105"/>
      <c r="DX158" s="38"/>
      <c r="DY158" s="13"/>
      <c r="DZ158" s="107"/>
      <c r="EA158" s="107"/>
      <c r="EB158" s="105"/>
      <c r="ED158" s="13"/>
      <c r="EE158" s="107"/>
      <c r="EF158" s="107"/>
      <c r="EG158" s="105"/>
      <c r="EI158" s="13"/>
      <c r="EJ158" s="107"/>
      <c r="EK158" s="107"/>
      <c r="EL158" s="105"/>
      <c r="EN158" s="13"/>
      <c r="EO158" s="107"/>
      <c r="EP158" s="107"/>
      <c r="EQ158" s="105"/>
      <c r="ES158" s="13"/>
      <c r="ET158" s="107"/>
      <c r="EU158" s="107"/>
      <c r="EV158" s="105"/>
      <c r="EX158" s="13"/>
      <c r="EY158" s="107"/>
      <c r="EZ158" s="107"/>
      <c r="FA158" s="105"/>
      <c r="FC158" s="38"/>
      <c r="FD158" s="13"/>
      <c r="FE158" s="107"/>
      <c r="FF158" s="107"/>
      <c r="FG158" s="105"/>
      <c r="FI158" s="13"/>
      <c r="FJ158" s="107"/>
      <c r="FK158" s="107"/>
      <c r="FL158" s="105"/>
      <c r="FN158" s="13"/>
      <c r="FO158" s="107"/>
      <c r="FP158" s="107"/>
      <c r="FQ158" s="105"/>
      <c r="FS158" s="13"/>
      <c r="FT158" s="107"/>
      <c r="FU158" s="107"/>
      <c r="FV158" s="105"/>
      <c r="FX158" s="13"/>
      <c r="FY158" s="107"/>
      <c r="FZ158" s="107"/>
      <c r="GA158" s="105"/>
      <c r="GC158" s="13"/>
      <c r="GD158" s="107"/>
      <c r="GE158" s="107"/>
      <c r="GF158" s="105"/>
      <c r="GH158" s="38"/>
      <c r="GI158" s="13"/>
      <c r="GJ158" s="107"/>
      <c r="GK158" s="107"/>
      <c r="GL158" s="105"/>
      <c r="GN158" s="13"/>
      <c r="GO158" s="107"/>
      <c r="GP158" s="107"/>
      <c r="GQ158" s="105"/>
      <c r="GS158" s="13"/>
      <c r="GT158" s="107"/>
      <c r="GU158" s="107"/>
      <c r="GV158" s="105"/>
      <c r="GX158" s="13"/>
      <c r="GY158" s="107"/>
      <c r="GZ158" s="107"/>
      <c r="HA158" s="105"/>
      <c r="HC158" s="13"/>
      <c r="HD158" s="107"/>
      <c r="HE158" s="107"/>
      <c r="HF158" s="105"/>
      <c r="HH158" s="13"/>
      <c r="HI158" s="107"/>
      <c r="HJ158" s="107"/>
      <c r="HK158" s="105"/>
      <c r="HM158" s="38"/>
      <c r="HN158" s="13"/>
      <c r="HO158" s="107"/>
      <c r="HP158" s="107"/>
      <c r="HQ158" s="105"/>
      <c r="HS158" s="13"/>
      <c r="HT158" s="107"/>
      <c r="HU158" s="107"/>
      <c r="HV158" s="105"/>
      <c r="HX158" s="13"/>
      <c r="HY158" s="107"/>
      <c r="HZ158" s="107"/>
      <c r="IA158" s="105"/>
      <c r="IC158" s="13"/>
      <c r="ID158" s="107"/>
      <c r="IE158" s="107"/>
      <c r="IF158" s="105"/>
      <c r="IH158" s="13"/>
      <c r="II158" s="107"/>
      <c r="IJ158" s="107"/>
      <c r="IK158" s="105"/>
      <c r="IM158" s="13"/>
      <c r="IN158" s="107"/>
      <c r="IO158" s="107"/>
      <c r="IP158" s="105"/>
      <c r="IR158" s="38"/>
      <c r="IS158" s="13"/>
      <c r="IT158" s="107"/>
      <c r="IU158" s="107"/>
      <c r="IV158" s="105"/>
      <c r="IX158" s="13"/>
      <c r="IY158" s="107"/>
      <c r="IZ158" s="107"/>
      <c r="JA158" s="105"/>
      <c r="JC158" s="13"/>
      <c r="JD158" s="107"/>
      <c r="JE158" s="107"/>
      <c r="JF158" s="105"/>
      <c r="JH158" s="13"/>
      <c r="JI158" s="107"/>
      <c r="JJ158" s="107"/>
      <c r="JK158" s="105"/>
      <c r="JM158" s="13"/>
      <c r="JN158" s="107"/>
      <c r="JO158" s="107"/>
      <c r="JP158" s="105"/>
      <c r="JR158" s="13"/>
      <c r="JS158" s="107"/>
      <c r="JT158" s="107"/>
      <c r="JU158" s="105"/>
      <c r="JW158" s="38"/>
      <c r="JX158" s="13"/>
      <c r="JY158" s="107"/>
      <c r="JZ158" s="107"/>
      <c r="KA158" s="105"/>
      <c r="KC158" s="13"/>
      <c r="KD158" s="107"/>
      <c r="KE158" s="107"/>
      <c r="KF158" s="105"/>
      <c r="KH158" s="13"/>
      <c r="KI158" s="107"/>
      <c r="KJ158" s="107"/>
      <c r="KK158" s="105"/>
      <c r="KM158" s="13"/>
      <c r="KN158" s="107"/>
      <c r="KO158" s="107"/>
      <c r="KP158" s="105"/>
      <c r="KR158" s="13"/>
      <c r="KS158" s="107"/>
      <c r="KT158" s="107"/>
      <c r="KU158" s="105"/>
      <c r="KW158" s="13"/>
      <c r="KX158" s="107"/>
      <c r="KY158" s="107"/>
      <c r="KZ158" s="105"/>
      <c r="LB158" s="38"/>
      <c r="LC158" s="13"/>
      <c r="LD158" s="107"/>
      <c r="LE158" s="107"/>
      <c r="LF158" s="105"/>
      <c r="LH158" s="13"/>
      <c r="LI158" s="107"/>
      <c r="LJ158" s="107"/>
      <c r="LK158" s="105"/>
      <c r="LM158" s="13"/>
      <c r="LN158" s="107"/>
      <c r="LO158" s="107"/>
      <c r="LP158" s="105"/>
      <c r="LR158" s="13"/>
      <c r="LS158" s="107"/>
      <c r="LT158" s="107"/>
      <c r="LU158" s="105"/>
      <c r="LW158" s="13"/>
      <c r="LX158" s="107"/>
      <c r="LY158" s="107"/>
      <c r="LZ158" s="105"/>
      <c r="MB158" s="13"/>
      <c r="MC158" s="107"/>
      <c r="MD158" s="107"/>
      <c r="ME158" s="105"/>
      <c r="MG158" s="38"/>
      <c r="MH158" s="13"/>
      <c r="MI158" s="107"/>
      <c r="MJ158" s="107"/>
      <c r="MK158" s="105"/>
      <c r="MM158" s="13"/>
      <c r="MN158" s="107"/>
      <c r="MO158" s="107"/>
      <c r="MP158" s="105"/>
      <c r="MR158" s="13"/>
      <c r="MS158" s="107"/>
      <c r="MT158" s="107"/>
      <c r="MU158" s="105"/>
      <c r="MW158" s="13"/>
      <c r="MX158" s="107"/>
      <c r="MY158" s="107"/>
      <c r="MZ158" s="105"/>
      <c r="NB158" s="13"/>
      <c r="NC158" s="107"/>
      <c r="ND158" s="107"/>
      <c r="NE158" s="105"/>
      <c r="NG158" s="13"/>
      <c r="NH158" s="107"/>
      <c r="NI158" s="107"/>
      <c r="NJ158" s="105"/>
      <c r="NL158" s="38"/>
      <c r="NM158" s="13"/>
      <c r="NN158" s="107"/>
      <c r="NO158" s="107"/>
      <c r="NP158" s="105"/>
      <c r="NR158" s="13"/>
      <c r="NS158" s="107"/>
      <c r="NT158" s="107"/>
      <c r="NU158" s="105"/>
      <c r="NW158" s="13"/>
      <c r="NX158" s="107"/>
      <c r="NY158" s="107"/>
      <c r="NZ158" s="105"/>
      <c r="OB158" s="13"/>
      <c r="OC158" s="107"/>
      <c r="OD158" s="107"/>
      <c r="OE158" s="105"/>
      <c r="OG158" s="13"/>
      <c r="OH158" s="107"/>
      <c r="OI158" s="107"/>
      <c r="OJ158" s="105"/>
      <c r="OL158" s="13"/>
      <c r="OM158" s="107"/>
      <c r="ON158" s="107"/>
      <c r="OO158" s="105"/>
    </row>
    <row r="159" ht="15.75" customHeight="1">
      <c r="A159" s="42"/>
      <c r="B159" s="42"/>
      <c r="C159" s="42"/>
      <c r="D159" s="38">
        <f t="shared" si="367"/>
        <v>45973</v>
      </c>
      <c r="E159" s="31" t="str">
        <f t="shared" ref="E159:I159" si="377">AT21</f>
        <v/>
      </c>
      <c r="F159" s="31" t="str">
        <f t="shared" si="377"/>
        <v/>
      </c>
      <c r="G159" s="31" t="str">
        <f t="shared" si="377"/>
        <v/>
      </c>
      <c r="H159" s="13" t="str">
        <f t="shared" si="377"/>
        <v/>
      </c>
      <c r="I159" s="13" t="str">
        <f t="shared" si="377"/>
        <v/>
      </c>
      <c r="J159" s="107" t="str">
        <f t="array" ref="J159">IFERROR(IF(XLOOKUP(CONCAT(E159,F159),'MASTER PLAN'!$AB:$AB,'MASTER PLAN'!$M:$M,0,0)=0,"",XLOOKUP(CONCAT(E159,F159),'MASTER PLAN'!$AB:$AB,'MASTER PLAN'!$M:$M,0,0)),"")</f>
        <v/>
      </c>
      <c r="K159" s="107">
        <f t="shared" si="237"/>
        <v>0</v>
      </c>
      <c r="L159" s="107">
        <f t="shared" si="238"/>
        <v>0</v>
      </c>
      <c r="M159" s="105" t="s">
        <v>249</v>
      </c>
      <c r="O159" s="13"/>
      <c r="P159" s="107"/>
      <c r="Q159" s="107"/>
      <c r="R159" s="105"/>
      <c r="T159" s="13"/>
      <c r="U159" s="107"/>
      <c r="V159" s="107"/>
      <c r="W159" s="105"/>
      <c r="Y159" s="13"/>
      <c r="Z159" s="107"/>
      <c r="AA159" s="107"/>
      <c r="AB159" s="105"/>
      <c r="AD159" s="13"/>
      <c r="AE159" s="107"/>
      <c r="AF159" s="107"/>
      <c r="AG159" s="105"/>
      <c r="AI159" s="38"/>
      <c r="AJ159" s="13"/>
      <c r="AK159" s="107"/>
      <c r="AL159" s="107"/>
      <c r="AM159" s="105"/>
      <c r="AO159" s="13"/>
      <c r="AP159" s="107"/>
      <c r="AQ159" s="107"/>
      <c r="AR159" s="105"/>
      <c r="AT159" s="13"/>
      <c r="AU159" s="107"/>
      <c r="AV159" s="107"/>
      <c r="AW159" s="105"/>
      <c r="AY159" s="13"/>
      <c r="AZ159" s="107"/>
      <c r="BA159" s="107"/>
      <c r="BB159" s="105"/>
      <c r="BD159" s="13"/>
      <c r="BE159" s="107"/>
      <c r="BF159" s="107"/>
      <c r="BG159" s="105"/>
      <c r="BI159" s="13"/>
      <c r="BJ159" s="107"/>
      <c r="BK159" s="107"/>
      <c r="BL159" s="105"/>
      <c r="BN159" s="38"/>
      <c r="BO159" s="13"/>
      <c r="BP159" s="107"/>
      <c r="BQ159" s="107"/>
      <c r="BR159" s="105"/>
      <c r="BT159" s="13"/>
      <c r="BU159" s="107"/>
      <c r="BV159" s="107"/>
      <c r="BW159" s="105"/>
      <c r="BY159" s="13"/>
      <c r="BZ159" s="107"/>
      <c r="CA159" s="107"/>
      <c r="CB159" s="105"/>
      <c r="CD159" s="13"/>
      <c r="CE159" s="107"/>
      <c r="CF159" s="107"/>
      <c r="CG159" s="105"/>
      <c r="CI159" s="13"/>
      <c r="CJ159" s="107"/>
      <c r="CK159" s="107"/>
      <c r="CL159" s="105"/>
      <c r="CN159" s="13"/>
      <c r="CO159" s="107"/>
      <c r="CP159" s="107"/>
      <c r="CQ159" s="105"/>
      <c r="CS159" s="38"/>
      <c r="CT159" s="13"/>
      <c r="CU159" s="107"/>
      <c r="CV159" s="107"/>
      <c r="CW159" s="105"/>
      <c r="CY159" s="13"/>
      <c r="CZ159" s="107"/>
      <c r="DA159" s="107"/>
      <c r="DB159" s="105"/>
      <c r="DD159" s="13"/>
      <c r="DE159" s="107"/>
      <c r="DF159" s="107"/>
      <c r="DG159" s="105"/>
      <c r="DI159" s="13"/>
      <c r="DJ159" s="107"/>
      <c r="DK159" s="107"/>
      <c r="DL159" s="105"/>
      <c r="DN159" s="13"/>
      <c r="DO159" s="107"/>
      <c r="DP159" s="107"/>
      <c r="DQ159" s="105"/>
      <c r="DS159" s="13"/>
      <c r="DT159" s="107"/>
      <c r="DU159" s="107"/>
      <c r="DV159" s="105"/>
      <c r="DX159" s="38"/>
      <c r="DY159" s="13"/>
      <c r="DZ159" s="107"/>
      <c r="EA159" s="107"/>
      <c r="EB159" s="105"/>
      <c r="ED159" s="13"/>
      <c r="EE159" s="107"/>
      <c r="EF159" s="107"/>
      <c r="EG159" s="105"/>
      <c r="EI159" s="13"/>
      <c r="EJ159" s="107"/>
      <c r="EK159" s="107"/>
      <c r="EL159" s="105"/>
      <c r="EN159" s="13"/>
      <c r="EO159" s="107"/>
      <c r="EP159" s="107"/>
      <c r="EQ159" s="105"/>
      <c r="ES159" s="13"/>
      <c r="ET159" s="107"/>
      <c r="EU159" s="107"/>
      <c r="EV159" s="105"/>
      <c r="EX159" s="13"/>
      <c r="EY159" s="107"/>
      <c r="EZ159" s="107"/>
      <c r="FA159" s="105"/>
      <c r="FC159" s="38"/>
      <c r="FD159" s="13"/>
      <c r="FE159" s="107"/>
      <c r="FF159" s="107"/>
      <c r="FG159" s="105"/>
      <c r="FI159" s="13"/>
      <c r="FJ159" s="107"/>
      <c r="FK159" s="107"/>
      <c r="FL159" s="105"/>
      <c r="FN159" s="13"/>
      <c r="FO159" s="107"/>
      <c r="FP159" s="107"/>
      <c r="FQ159" s="105"/>
      <c r="FS159" s="13"/>
      <c r="FT159" s="107"/>
      <c r="FU159" s="107"/>
      <c r="FV159" s="105"/>
      <c r="FX159" s="13"/>
      <c r="FY159" s="107"/>
      <c r="FZ159" s="107"/>
      <c r="GA159" s="105"/>
      <c r="GC159" s="13"/>
      <c r="GD159" s="107"/>
      <c r="GE159" s="107"/>
      <c r="GF159" s="105"/>
      <c r="GH159" s="38"/>
      <c r="GI159" s="13"/>
      <c r="GJ159" s="107"/>
      <c r="GK159" s="107"/>
      <c r="GL159" s="105"/>
      <c r="GN159" s="13"/>
      <c r="GO159" s="107"/>
      <c r="GP159" s="107"/>
      <c r="GQ159" s="105"/>
      <c r="GS159" s="13"/>
      <c r="GT159" s="107"/>
      <c r="GU159" s="107"/>
      <c r="GV159" s="105"/>
      <c r="GX159" s="13"/>
      <c r="GY159" s="107"/>
      <c r="GZ159" s="107"/>
      <c r="HA159" s="105"/>
      <c r="HC159" s="13"/>
      <c r="HD159" s="107"/>
      <c r="HE159" s="107"/>
      <c r="HF159" s="105"/>
      <c r="HH159" s="13"/>
      <c r="HI159" s="107"/>
      <c r="HJ159" s="107"/>
      <c r="HK159" s="105"/>
      <c r="HM159" s="38"/>
      <c r="HN159" s="13"/>
      <c r="HO159" s="107"/>
      <c r="HP159" s="107"/>
      <c r="HQ159" s="105"/>
      <c r="HS159" s="13"/>
      <c r="HT159" s="107"/>
      <c r="HU159" s="107"/>
      <c r="HV159" s="105"/>
      <c r="HX159" s="13"/>
      <c r="HY159" s="107"/>
      <c r="HZ159" s="107"/>
      <c r="IA159" s="105"/>
      <c r="IC159" s="13"/>
      <c r="ID159" s="107"/>
      <c r="IE159" s="107"/>
      <c r="IF159" s="105"/>
      <c r="IH159" s="13"/>
      <c r="II159" s="107"/>
      <c r="IJ159" s="107"/>
      <c r="IK159" s="105"/>
      <c r="IM159" s="13"/>
      <c r="IN159" s="107"/>
      <c r="IO159" s="107"/>
      <c r="IP159" s="105"/>
      <c r="IR159" s="38"/>
      <c r="IS159" s="13"/>
      <c r="IT159" s="107"/>
      <c r="IU159" s="107"/>
      <c r="IV159" s="105"/>
      <c r="IX159" s="13"/>
      <c r="IY159" s="107"/>
      <c r="IZ159" s="107"/>
      <c r="JA159" s="105"/>
      <c r="JC159" s="13"/>
      <c r="JD159" s="107"/>
      <c r="JE159" s="107"/>
      <c r="JF159" s="105"/>
      <c r="JH159" s="13"/>
      <c r="JI159" s="107"/>
      <c r="JJ159" s="107"/>
      <c r="JK159" s="105"/>
      <c r="JM159" s="13"/>
      <c r="JN159" s="107"/>
      <c r="JO159" s="107"/>
      <c r="JP159" s="105"/>
      <c r="JR159" s="13"/>
      <c r="JS159" s="107"/>
      <c r="JT159" s="107"/>
      <c r="JU159" s="105"/>
      <c r="JW159" s="38"/>
      <c r="JX159" s="13"/>
      <c r="JY159" s="107"/>
      <c r="JZ159" s="107"/>
      <c r="KA159" s="105"/>
      <c r="KC159" s="13"/>
      <c r="KD159" s="107"/>
      <c r="KE159" s="107"/>
      <c r="KF159" s="105"/>
      <c r="KH159" s="13"/>
      <c r="KI159" s="107"/>
      <c r="KJ159" s="107"/>
      <c r="KK159" s="105"/>
      <c r="KM159" s="13"/>
      <c r="KN159" s="107"/>
      <c r="KO159" s="107"/>
      <c r="KP159" s="105"/>
      <c r="KR159" s="13"/>
      <c r="KS159" s="107"/>
      <c r="KT159" s="107"/>
      <c r="KU159" s="105"/>
      <c r="KW159" s="13"/>
      <c r="KX159" s="107"/>
      <c r="KY159" s="107"/>
      <c r="KZ159" s="105"/>
      <c r="LB159" s="38"/>
      <c r="LC159" s="13"/>
      <c r="LD159" s="107"/>
      <c r="LE159" s="107"/>
      <c r="LF159" s="105"/>
      <c r="LH159" s="13"/>
      <c r="LI159" s="107"/>
      <c r="LJ159" s="107"/>
      <c r="LK159" s="105"/>
      <c r="LM159" s="13"/>
      <c r="LN159" s="107"/>
      <c r="LO159" s="107"/>
      <c r="LP159" s="105"/>
      <c r="LR159" s="13"/>
      <c r="LS159" s="107"/>
      <c r="LT159" s="107"/>
      <c r="LU159" s="105"/>
      <c r="LW159" s="13"/>
      <c r="LX159" s="107"/>
      <c r="LY159" s="107"/>
      <c r="LZ159" s="105"/>
      <c r="MB159" s="13"/>
      <c r="MC159" s="107"/>
      <c r="MD159" s="107"/>
      <c r="ME159" s="105"/>
      <c r="MG159" s="38"/>
      <c r="MH159" s="13"/>
      <c r="MI159" s="107"/>
      <c r="MJ159" s="107"/>
      <c r="MK159" s="105"/>
      <c r="MM159" s="13"/>
      <c r="MN159" s="107"/>
      <c r="MO159" s="107"/>
      <c r="MP159" s="105"/>
      <c r="MR159" s="13"/>
      <c r="MS159" s="107"/>
      <c r="MT159" s="107"/>
      <c r="MU159" s="105"/>
      <c r="MW159" s="13"/>
      <c r="MX159" s="107"/>
      <c r="MY159" s="107"/>
      <c r="MZ159" s="105"/>
      <c r="NB159" s="13"/>
      <c r="NC159" s="107"/>
      <c r="ND159" s="107"/>
      <c r="NE159" s="105"/>
      <c r="NG159" s="13"/>
      <c r="NH159" s="107"/>
      <c r="NI159" s="107"/>
      <c r="NJ159" s="105"/>
      <c r="NL159" s="38"/>
      <c r="NM159" s="13"/>
      <c r="NN159" s="107"/>
      <c r="NO159" s="107"/>
      <c r="NP159" s="105"/>
      <c r="NR159" s="13"/>
      <c r="NS159" s="107"/>
      <c r="NT159" s="107"/>
      <c r="NU159" s="105"/>
      <c r="NW159" s="13"/>
      <c r="NX159" s="107"/>
      <c r="NY159" s="107"/>
      <c r="NZ159" s="105"/>
      <c r="OB159" s="13"/>
      <c r="OC159" s="107"/>
      <c r="OD159" s="107"/>
      <c r="OE159" s="105"/>
      <c r="OG159" s="13"/>
      <c r="OH159" s="107"/>
      <c r="OI159" s="107"/>
      <c r="OJ159" s="105"/>
      <c r="OL159" s="13"/>
      <c r="OM159" s="107"/>
      <c r="ON159" s="107"/>
      <c r="OO159" s="105"/>
    </row>
    <row r="160" ht="15.75" customHeight="1">
      <c r="A160" s="42"/>
      <c r="B160" s="42"/>
      <c r="C160" s="42"/>
      <c r="D160" s="38">
        <f t="shared" si="367"/>
        <v>45973</v>
      </c>
      <c r="E160" s="31" t="str">
        <f t="shared" ref="E160:I160" si="378">AT22</f>
        <v/>
      </c>
      <c r="F160" s="31" t="str">
        <f t="shared" si="378"/>
        <v/>
      </c>
      <c r="G160" s="31" t="str">
        <f t="shared" si="378"/>
        <v/>
      </c>
      <c r="H160" s="13" t="str">
        <f t="shared" si="378"/>
        <v/>
      </c>
      <c r="I160" s="13" t="str">
        <f t="shared" si="378"/>
        <v/>
      </c>
      <c r="J160" s="107" t="str">
        <f t="array" ref="J160">IFERROR(IF(XLOOKUP(CONCAT(E160,F160),'MASTER PLAN'!$AB:$AB,'MASTER PLAN'!$M:$M,0,0)=0,"",XLOOKUP(CONCAT(E160,F160),'MASTER PLAN'!$AB:$AB,'MASTER PLAN'!$M:$M,0,0)),"")</f>
        <v/>
      </c>
      <c r="K160" s="107">
        <f t="shared" si="237"/>
        <v>0</v>
      </c>
      <c r="L160" s="107">
        <f t="shared" si="238"/>
        <v>0</v>
      </c>
      <c r="M160" s="105" t="s">
        <v>249</v>
      </c>
      <c r="O160" s="13"/>
      <c r="P160" s="107"/>
      <c r="Q160" s="107"/>
      <c r="R160" s="105"/>
      <c r="T160" s="13"/>
      <c r="U160" s="107"/>
      <c r="V160" s="107"/>
      <c r="W160" s="105"/>
      <c r="Y160" s="13"/>
      <c r="Z160" s="107"/>
      <c r="AA160" s="107"/>
      <c r="AB160" s="105"/>
      <c r="AD160" s="13"/>
      <c r="AE160" s="107"/>
      <c r="AF160" s="107"/>
      <c r="AG160" s="105"/>
      <c r="AI160" s="38"/>
      <c r="AJ160" s="13"/>
      <c r="AK160" s="107"/>
      <c r="AL160" s="107"/>
      <c r="AM160" s="105"/>
      <c r="AO160" s="13"/>
      <c r="AP160" s="107"/>
      <c r="AQ160" s="107"/>
      <c r="AR160" s="105"/>
      <c r="AT160" s="13"/>
      <c r="AU160" s="107"/>
      <c r="AV160" s="107"/>
      <c r="AW160" s="105"/>
      <c r="AY160" s="13"/>
      <c r="AZ160" s="107"/>
      <c r="BA160" s="107"/>
      <c r="BB160" s="105"/>
      <c r="BD160" s="13"/>
      <c r="BE160" s="107"/>
      <c r="BF160" s="107"/>
      <c r="BG160" s="105"/>
      <c r="BI160" s="13"/>
      <c r="BJ160" s="107"/>
      <c r="BK160" s="107"/>
      <c r="BL160" s="105"/>
      <c r="BN160" s="38"/>
      <c r="BO160" s="13"/>
      <c r="BP160" s="107"/>
      <c r="BQ160" s="107"/>
      <c r="BR160" s="105"/>
      <c r="BT160" s="13"/>
      <c r="BU160" s="107"/>
      <c r="BV160" s="107"/>
      <c r="BW160" s="105"/>
      <c r="BY160" s="13"/>
      <c r="BZ160" s="107"/>
      <c r="CA160" s="107"/>
      <c r="CB160" s="105"/>
      <c r="CD160" s="13"/>
      <c r="CE160" s="107"/>
      <c r="CF160" s="107"/>
      <c r="CG160" s="105"/>
      <c r="CI160" s="13"/>
      <c r="CJ160" s="107"/>
      <c r="CK160" s="107"/>
      <c r="CL160" s="105"/>
      <c r="CN160" s="13"/>
      <c r="CO160" s="107"/>
      <c r="CP160" s="107"/>
      <c r="CQ160" s="105"/>
      <c r="CS160" s="38"/>
      <c r="CT160" s="13"/>
      <c r="CU160" s="107"/>
      <c r="CV160" s="107"/>
      <c r="CW160" s="105"/>
      <c r="CY160" s="13"/>
      <c r="CZ160" s="107"/>
      <c r="DA160" s="107"/>
      <c r="DB160" s="105"/>
      <c r="DD160" s="13"/>
      <c r="DE160" s="107"/>
      <c r="DF160" s="107"/>
      <c r="DG160" s="105"/>
      <c r="DI160" s="13"/>
      <c r="DJ160" s="107"/>
      <c r="DK160" s="107"/>
      <c r="DL160" s="105"/>
      <c r="DN160" s="13"/>
      <c r="DO160" s="107"/>
      <c r="DP160" s="107"/>
      <c r="DQ160" s="105"/>
      <c r="DS160" s="13"/>
      <c r="DT160" s="107"/>
      <c r="DU160" s="107"/>
      <c r="DV160" s="105"/>
      <c r="DX160" s="38"/>
      <c r="DY160" s="13"/>
      <c r="DZ160" s="107"/>
      <c r="EA160" s="107"/>
      <c r="EB160" s="105"/>
      <c r="ED160" s="13"/>
      <c r="EE160" s="107"/>
      <c r="EF160" s="107"/>
      <c r="EG160" s="105"/>
      <c r="EI160" s="13"/>
      <c r="EJ160" s="107"/>
      <c r="EK160" s="107"/>
      <c r="EL160" s="105"/>
      <c r="EN160" s="13"/>
      <c r="EO160" s="107"/>
      <c r="EP160" s="107"/>
      <c r="EQ160" s="105"/>
      <c r="ES160" s="13"/>
      <c r="ET160" s="107"/>
      <c r="EU160" s="107"/>
      <c r="EV160" s="105"/>
      <c r="EX160" s="13"/>
      <c r="EY160" s="107"/>
      <c r="EZ160" s="107"/>
      <c r="FA160" s="105"/>
      <c r="FC160" s="38"/>
      <c r="FD160" s="13"/>
      <c r="FE160" s="107"/>
      <c r="FF160" s="107"/>
      <c r="FG160" s="105"/>
      <c r="FI160" s="13"/>
      <c r="FJ160" s="107"/>
      <c r="FK160" s="107"/>
      <c r="FL160" s="105"/>
      <c r="FN160" s="13"/>
      <c r="FO160" s="107"/>
      <c r="FP160" s="107"/>
      <c r="FQ160" s="105"/>
      <c r="FS160" s="13"/>
      <c r="FT160" s="107"/>
      <c r="FU160" s="107"/>
      <c r="FV160" s="105"/>
      <c r="FX160" s="13"/>
      <c r="FY160" s="107"/>
      <c r="FZ160" s="107"/>
      <c r="GA160" s="105"/>
      <c r="GC160" s="13"/>
      <c r="GD160" s="107"/>
      <c r="GE160" s="107"/>
      <c r="GF160" s="105"/>
      <c r="GH160" s="38"/>
      <c r="GI160" s="13"/>
      <c r="GJ160" s="107"/>
      <c r="GK160" s="107"/>
      <c r="GL160" s="105"/>
      <c r="GN160" s="13"/>
      <c r="GO160" s="107"/>
      <c r="GP160" s="107"/>
      <c r="GQ160" s="105"/>
      <c r="GS160" s="13"/>
      <c r="GT160" s="107"/>
      <c r="GU160" s="107"/>
      <c r="GV160" s="105"/>
      <c r="GX160" s="13"/>
      <c r="GY160" s="107"/>
      <c r="GZ160" s="107"/>
      <c r="HA160" s="105"/>
      <c r="HC160" s="13"/>
      <c r="HD160" s="107"/>
      <c r="HE160" s="107"/>
      <c r="HF160" s="105"/>
      <c r="HH160" s="13"/>
      <c r="HI160" s="107"/>
      <c r="HJ160" s="107"/>
      <c r="HK160" s="105"/>
      <c r="HM160" s="38"/>
      <c r="HN160" s="13"/>
      <c r="HO160" s="107"/>
      <c r="HP160" s="107"/>
      <c r="HQ160" s="105"/>
      <c r="HS160" s="13"/>
      <c r="HT160" s="107"/>
      <c r="HU160" s="107"/>
      <c r="HV160" s="105"/>
      <c r="HX160" s="13"/>
      <c r="HY160" s="107"/>
      <c r="HZ160" s="107"/>
      <c r="IA160" s="105"/>
      <c r="IC160" s="13"/>
      <c r="ID160" s="107"/>
      <c r="IE160" s="107"/>
      <c r="IF160" s="105"/>
      <c r="IH160" s="13"/>
      <c r="II160" s="107"/>
      <c r="IJ160" s="107"/>
      <c r="IK160" s="105"/>
      <c r="IM160" s="13"/>
      <c r="IN160" s="107"/>
      <c r="IO160" s="107"/>
      <c r="IP160" s="105"/>
      <c r="IR160" s="38"/>
      <c r="IS160" s="13"/>
      <c r="IT160" s="107"/>
      <c r="IU160" s="107"/>
      <c r="IV160" s="105"/>
      <c r="IX160" s="13"/>
      <c r="IY160" s="107"/>
      <c r="IZ160" s="107"/>
      <c r="JA160" s="105"/>
      <c r="JC160" s="13"/>
      <c r="JD160" s="107"/>
      <c r="JE160" s="107"/>
      <c r="JF160" s="105"/>
      <c r="JH160" s="13"/>
      <c r="JI160" s="107"/>
      <c r="JJ160" s="107"/>
      <c r="JK160" s="105"/>
      <c r="JM160" s="13"/>
      <c r="JN160" s="107"/>
      <c r="JO160" s="107"/>
      <c r="JP160" s="105"/>
      <c r="JR160" s="13"/>
      <c r="JS160" s="107"/>
      <c r="JT160" s="107"/>
      <c r="JU160" s="105"/>
      <c r="JW160" s="38"/>
      <c r="JX160" s="13"/>
      <c r="JY160" s="107"/>
      <c r="JZ160" s="107"/>
      <c r="KA160" s="105"/>
      <c r="KC160" s="13"/>
      <c r="KD160" s="107"/>
      <c r="KE160" s="107"/>
      <c r="KF160" s="105"/>
      <c r="KH160" s="13"/>
      <c r="KI160" s="107"/>
      <c r="KJ160" s="107"/>
      <c r="KK160" s="105"/>
      <c r="KM160" s="13"/>
      <c r="KN160" s="107"/>
      <c r="KO160" s="107"/>
      <c r="KP160" s="105"/>
      <c r="KR160" s="13"/>
      <c r="KS160" s="107"/>
      <c r="KT160" s="107"/>
      <c r="KU160" s="105"/>
      <c r="KW160" s="13"/>
      <c r="KX160" s="107"/>
      <c r="KY160" s="107"/>
      <c r="KZ160" s="105"/>
      <c r="LB160" s="38"/>
      <c r="LC160" s="13"/>
      <c r="LD160" s="107"/>
      <c r="LE160" s="107"/>
      <c r="LF160" s="105"/>
      <c r="LH160" s="13"/>
      <c r="LI160" s="107"/>
      <c r="LJ160" s="107"/>
      <c r="LK160" s="105"/>
      <c r="LM160" s="13"/>
      <c r="LN160" s="107"/>
      <c r="LO160" s="107"/>
      <c r="LP160" s="105"/>
      <c r="LR160" s="13"/>
      <c r="LS160" s="107"/>
      <c r="LT160" s="107"/>
      <c r="LU160" s="105"/>
      <c r="LW160" s="13"/>
      <c r="LX160" s="107"/>
      <c r="LY160" s="107"/>
      <c r="LZ160" s="105"/>
      <c r="MB160" s="13"/>
      <c r="MC160" s="107"/>
      <c r="MD160" s="107"/>
      <c r="ME160" s="105"/>
      <c r="MG160" s="38"/>
      <c r="MH160" s="13"/>
      <c r="MI160" s="107"/>
      <c r="MJ160" s="107"/>
      <c r="MK160" s="105"/>
      <c r="MM160" s="13"/>
      <c r="MN160" s="107"/>
      <c r="MO160" s="107"/>
      <c r="MP160" s="105"/>
      <c r="MR160" s="13"/>
      <c r="MS160" s="107"/>
      <c r="MT160" s="107"/>
      <c r="MU160" s="105"/>
      <c r="MW160" s="13"/>
      <c r="MX160" s="107"/>
      <c r="MY160" s="107"/>
      <c r="MZ160" s="105"/>
      <c r="NB160" s="13"/>
      <c r="NC160" s="107"/>
      <c r="ND160" s="107"/>
      <c r="NE160" s="105"/>
      <c r="NG160" s="13"/>
      <c r="NH160" s="107"/>
      <c r="NI160" s="107"/>
      <c r="NJ160" s="105"/>
      <c r="NL160" s="38"/>
      <c r="NM160" s="13"/>
      <c r="NN160" s="107"/>
      <c r="NO160" s="107"/>
      <c r="NP160" s="105"/>
      <c r="NR160" s="13"/>
      <c r="NS160" s="107"/>
      <c r="NT160" s="107"/>
      <c r="NU160" s="105"/>
      <c r="NW160" s="13"/>
      <c r="NX160" s="107"/>
      <c r="NY160" s="107"/>
      <c r="NZ160" s="105"/>
      <c r="OB160" s="13"/>
      <c r="OC160" s="107"/>
      <c r="OD160" s="107"/>
      <c r="OE160" s="105"/>
      <c r="OG160" s="13"/>
      <c r="OH160" s="107"/>
      <c r="OI160" s="107"/>
      <c r="OJ160" s="105"/>
      <c r="OL160" s="13"/>
      <c r="OM160" s="107"/>
      <c r="ON160" s="107"/>
      <c r="OO160" s="105"/>
    </row>
    <row r="161" ht="15.75" customHeight="1">
      <c r="A161" s="42"/>
      <c r="B161" s="42"/>
      <c r="C161" s="42"/>
      <c r="D161" s="38">
        <f t="shared" si="367"/>
        <v>45973</v>
      </c>
      <c r="E161" s="31" t="str">
        <f t="shared" ref="E161:I161" si="379">AT23</f>
        <v/>
      </c>
      <c r="F161" s="31" t="str">
        <f t="shared" si="379"/>
        <v/>
      </c>
      <c r="G161" s="31" t="str">
        <f t="shared" si="379"/>
        <v/>
      </c>
      <c r="H161" s="13" t="str">
        <f t="shared" si="379"/>
        <v/>
      </c>
      <c r="I161" s="13" t="str">
        <f t="shared" si="379"/>
        <v/>
      </c>
      <c r="J161" s="107" t="str">
        <f t="array" ref="J161">IFERROR(IF(XLOOKUP(CONCAT(E161,F161),'MASTER PLAN'!$AB:$AB,'MASTER PLAN'!$M:$M,0,0)=0,"",XLOOKUP(CONCAT(E161,F161),'MASTER PLAN'!$AB:$AB,'MASTER PLAN'!$M:$M,0,0)),"")</f>
        <v/>
      </c>
      <c r="K161" s="107">
        <f t="shared" si="237"/>
        <v>0</v>
      </c>
      <c r="L161" s="107">
        <f t="shared" si="238"/>
        <v>0</v>
      </c>
      <c r="M161" s="105" t="s">
        <v>249</v>
      </c>
      <c r="O161" s="13"/>
      <c r="P161" s="107"/>
      <c r="Q161" s="107"/>
      <c r="R161" s="105"/>
      <c r="T161" s="13"/>
      <c r="U161" s="107"/>
      <c r="V161" s="107"/>
      <c r="W161" s="105"/>
      <c r="Y161" s="13"/>
      <c r="Z161" s="107"/>
      <c r="AA161" s="107"/>
      <c r="AB161" s="105"/>
      <c r="AD161" s="13"/>
      <c r="AE161" s="107"/>
      <c r="AF161" s="107"/>
      <c r="AG161" s="105"/>
      <c r="AI161" s="38"/>
      <c r="AJ161" s="13"/>
      <c r="AK161" s="107"/>
      <c r="AL161" s="107"/>
      <c r="AM161" s="105"/>
      <c r="AO161" s="13"/>
      <c r="AP161" s="107"/>
      <c r="AQ161" s="107"/>
      <c r="AR161" s="105"/>
      <c r="AT161" s="13"/>
      <c r="AU161" s="107"/>
      <c r="AV161" s="107"/>
      <c r="AW161" s="105"/>
      <c r="AY161" s="13"/>
      <c r="AZ161" s="107"/>
      <c r="BA161" s="107"/>
      <c r="BB161" s="105"/>
      <c r="BD161" s="13"/>
      <c r="BE161" s="107"/>
      <c r="BF161" s="107"/>
      <c r="BG161" s="105"/>
      <c r="BI161" s="13"/>
      <c r="BJ161" s="107"/>
      <c r="BK161" s="107"/>
      <c r="BL161" s="105"/>
      <c r="BN161" s="38"/>
      <c r="BO161" s="13"/>
      <c r="BP161" s="107"/>
      <c r="BQ161" s="107"/>
      <c r="BR161" s="105"/>
      <c r="BT161" s="13"/>
      <c r="BU161" s="107"/>
      <c r="BV161" s="107"/>
      <c r="BW161" s="105"/>
      <c r="BY161" s="13"/>
      <c r="BZ161" s="107"/>
      <c r="CA161" s="107"/>
      <c r="CB161" s="105"/>
      <c r="CD161" s="13"/>
      <c r="CE161" s="107"/>
      <c r="CF161" s="107"/>
      <c r="CG161" s="105"/>
      <c r="CI161" s="13"/>
      <c r="CJ161" s="107"/>
      <c r="CK161" s="107"/>
      <c r="CL161" s="105"/>
      <c r="CN161" s="13"/>
      <c r="CO161" s="107"/>
      <c r="CP161" s="107"/>
      <c r="CQ161" s="105"/>
      <c r="CS161" s="38"/>
      <c r="CT161" s="13"/>
      <c r="CU161" s="107"/>
      <c r="CV161" s="107"/>
      <c r="CW161" s="105"/>
      <c r="CY161" s="13"/>
      <c r="CZ161" s="107"/>
      <c r="DA161" s="107"/>
      <c r="DB161" s="105"/>
      <c r="DD161" s="13"/>
      <c r="DE161" s="107"/>
      <c r="DF161" s="107"/>
      <c r="DG161" s="105"/>
      <c r="DI161" s="13"/>
      <c r="DJ161" s="107"/>
      <c r="DK161" s="107"/>
      <c r="DL161" s="105"/>
      <c r="DN161" s="13"/>
      <c r="DO161" s="107"/>
      <c r="DP161" s="107"/>
      <c r="DQ161" s="105"/>
      <c r="DS161" s="13"/>
      <c r="DT161" s="107"/>
      <c r="DU161" s="107"/>
      <c r="DV161" s="105"/>
      <c r="DX161" s="38"/>
      <c r="DY161" s="13"/>
      <c r="DZ161" s="107"/>
      <c r="EA161" s="107"/>
      <c r="EB161" s="105"/>
      <c r="ED161" s="13"/>
      <c r="EE161" s="107"/>
      <c r="EF161" s="107"/>
      <c r="EG161" s="105"/>
      <c r="EI161" s="13"/>
      <c r="EJ161" s="107"/>
      <c r="EK161" s="107"/>
      <c r="EL161" s="105"/>
      <c r="EN161" s="13"/>
      <c r="EO161" s="107"/>
      <c r="EP161" s="107"/>
      <c r="EQ161" s="105"/>
      <c r="ES161" s="13"/>
      <c r="ET161" s="107"/>
      <c r="EU161" s="107"/>
      <c r="EV161" s="105"/>
      <c r="EX161" s="13"/>
      <c r="EY161" s="107"/>
      <c r="EZ161" s="107"/>
      <c r="FA161" s="105"/>
      <c r="FC161" s="38"/>
      <c r="FD161" s="13"/>
      <c r="FE161" s="107"/>
      <c r="FF161" s="107"/>
      <c r="FG161" s="105"/>
      <c r="FI161" s="13"/>
      <c r="FJ161" s="107"/>
      <c r="FK161" s="107"/>
      <c r="FL161" s="105"/>
      <c r="FN161" s="13"/>
      <c r="FO161" s="107"/>
      <c r="FP161" s="107"/>
      <c r="FQ161" s="105"/>
      <c r="FS161" s="13"/>
      <c r="FT161" s="107"/>
      <c r="FU161" s="107"/>
      <c r="FV161" s="105"/>
      <c r="FX161" s="13"/>
      <c r="FY161" s="107"/>
      <c r="FZ161" s="107"/>
      <c r="GA161" s="105"/>
      <c r="GC161" s="13"/>
      <c r="GD161" s="107"/>
      <c r="GE161" s="107"/>
      <c r="GF161" s="105"/>
      <c r="GH161" s="38"/>
      <c r="GI161" s="13"/>
      <c r="GJ161" s="107"/>
      <c r="GK161" s="107"/>
      <c r="GL161" s="105"/>
      <c r="GN161" s="13"/>
      <c r="GO161" s="107"/>
      <c r="GP161" s="107"/>
      <c r="GQ161" s="105"/>
      <c r="GS161" s="13"/>
      <c r="GT161" s="107"/>
      <c r="GU161" s="107"/>
      <c r="GV161" s="105"/>
      <c r="GX161" s="13"/>
      <c r="GY161" s="107"/>
      <c r="GZ161" s="107"/>
      <c r="HA161" s="105"/>
      <c r="HC161" s="13"/>
      <c r="HD161" s="107"/>
      <c r="HE161" s="107"/>
      <c r="HF161" s="105"/>
      <c r="HH161" s="13"/>
      <c r="HI161" s="107"/>
      <c r="HJ161" s="107"/>
      <c r="HK161" s="105"/>
      <c r="HM161" s="38"/>
      <c r="HN161" s="13"/>
      <c r="HO161" s="107"/>
      <c r="HP161" s="107"/>
      <c r="HQ161" s="105"/>
      <c r="HS161" s="13"/>
      <c r="HT161" s="107"/>
      <c r="HU161" s="107"/>
      <c r="HV161" s="105"/>
      <c r="HX161" s="13"/>
      <c r="HY161" s="107"/>
      <c r="HZ161" s="107"/>
      <c r="IA161" s="105"/>
      <c r="IC161" s="13"/>
      <c r="ID161" s="107"/>
      <c r="IE161" s="107"/>
      <c r="IF161" s="105"/>
      <c r="IH161" s="13"/>
      <c r="II161" s="107"/>
      <c r="IJ161" s="107"/>
      <c r="IK161" s="105"/>
      <c r="IM161" s="13"/>
      <c r="IN161" s="107"/>
      <c r="IO161" s="107"/>
      <c r="IP161" s="105"/>
      <c r="IR161" s="38"/>
      <c r="IS161" s="13"/>
      <c r="IT161" s="107"/>
      <c r="IU161" s="107"/>
      <c r="IV161" s="105"/>
      <c r="IX161" s="13"/>
      <c r="IY161" s="107"/>
      <c r="IZ161" s="107"/>
      <c r="JA161" s="105"/>
      <c r="JC161" s="13"/>
      <c r="JD161" s="107"/>
      <c r="JE161" s="107"/>
      <c r="JF161" s="105"/>
      <c r="JH161" s="13"/>
      <c r="JI161" s="107"/>
      <c r="JJ161" s="107"/>
      <c r="JK161" s="105"/>
      <c r="JM161" s="13"/>
      <c r="JN161" s="107"/>
      <c r="JO161" s="107"/>
      <c r="JP161" s="105"/>
      <c r="JR161" s="13"/>
      <c r="JS161" s="107"/>
      <c r="JT161" s="107"/>
      <c r="JU161" s="105"/>
      <c r="JW161" s="38"/>
      <c r="JX161" s="13"/>
      <c r="JY161" s="107"/>
      <c r="JZ161" s="107"/>
      <c r="KA161" s="105"/>
      <c r="KC161" s="13"/>
      <c r="KD161" s="107"/>
      <c r="KE161" s="107"/>
      <c r="KF161" s="105"/>
      <c r="KH161" s="13"/>
      <c r="KI161" s="107"/>
      <c r="KJ161" s="107"/>
      <c r="KK161" s="105"/>
      <c r="KM161" s="13"/>
      <c r="KN161" s="107"/>
      <c r="KO161" s="107"/>
      <c r="KP161" s="105"/>
      <c r="KR161" s="13"/>
      <c r="KS161" s="107"/>
      <c r="KT161" s="107"/>
      <c r="KU161" s="105"/>
      <c r="KW161" s="13"/>
      <c r="KX161" s="107"/>
      <c r="KY161" s="107"/>
      <c r="KZ161" s="105"/>
      <c r="LB161" s="38"/>
      <c r="LC161" s="13"/>
      <c r="LD161" s="107"/>
      <c r="LE161" s="107"/>
      <c r="LF161" s="105"/>
      <c r="LH161" s="13"/>
      <c r="LI161" s="107"/>
      <c r="LJ161" s="107"/>
      <c r="LK161" s="105"/>
      <c r="LM161" s="13"/>
      <c r="LN161" s="107"/>
      <c r="LO161" s="107"/>
      <c r="LP161" s="105"/>
      <c r="LR161" s="13"/>
      <c r="LS161" s="107"/>
      <c r="LT161" s="107"/>
      <c r="LU161" s="105"/>
      <c r="LW161" s="13"/>
      <c r="LX161" s="107"/>
      <c r="LY161" s="107"/>
      <c r="LZ161" s="105"/>
      <c r="MB161" s="13"/>
      <c r="MC161" s="107"/>
      <c r="MD161" s="107"/>
      <c r="ME161" s="105"/>
      <c r="MG161" s="38"/>
      <c r="MH161" s="13"/>
      <c r="MI161" s="107"/>
      <c r="MJ161" s="107"/>
      <c r="MK161" s="105"/>
      <c r="MM161" s="13"/>
      <c r="MN161" s="107"/>
      <c r="MO161" s="107"/>
      <c r="MP161" s="105"/>
      <c r="MR161" s="13"/>
      <c r="MS161" s="107"/>
      <c r="MT161" s="107"/>
      <c r="MU161" s="105"/>
      <c r="MW161" s="13"/>
      <c r="MX161" s="107"/>
      <c r="MY161" s="107"/>
      <c r="MZ161" s="105"/>
      <c r="NB161" s="13"/>
      <c r="NC161" s="107"/>
      <c r="ND161" s="107"/>
      <c r="NE161" s="105"/>
      <c r="NG161" s="13"/>
      <c r="NH161" s="107"/>
      <c r="NI161" s="107"/>
      <c r="NJ161" s="105"/>
      <c r="NL161" s="38"/>
      <c r="NM161" s="13"/>
      <c r="NN161" s="107"/>
      <c r="NO161" s="107"/>
      <c r="NP161" s="105"/>
      <c r="NR161" s="13"/>
      <c r="NS161" s="107"/>
      <c r="NT161" s="107"/>
      <c r="NU161" s="105"/>
      <c r="NW161" s="13"/>
      <c r="NX161" s="107"/>
      <c r="NY161" s="107"/>
      <c r="NZ161" s="105"/>
      <c r="OB161" s="13"/>
      <c r="OC161" s="107"/>
      <c r="OD161" s="107"/>
      <c r="OE161" s="105"/>
      <c r="OG161" s="13"/>
      <c r="OH161" s="107"/>
      <c r="OI161" s="107"/>
      <c r="OJ161" s="105"/>
      <c r="OL161" s="13"/>
      <c r="OM161" s="107"/>
      <c r="ON161" s="107"/>
      <c r="OO161" s="105"/>
    </row>
    <row r="162" ht="15.75" customHeight="1">
      <c r="A162" s="42"/>
      <c r="B162" s="42"/>
      <c r="C162" s="42"/>
      <c r="D162" s="38">
        <f t="shared" si="367"/>
        <v>45973</v>
      </c>
      <c r="E162" s="31" t="str">
        <f t="shared" ref="E162:I162" si="380">AT24</f>
        <v/>
      </c>
      <c r="F162" s="31" t="str">
        <f t="shared" si="380"/>
        <v/>
      </c>
      <c r="G162" s="31" t="str">
        <f t="shared" si="380"/>
        <v/>
      </c>
      <c r="H162" s="13" t="str">
        <f t="shared" si="380"/>
        <v/>
      </c>
      <c r="I162" s="13" t="str">
        <f t="shared" si="380"/>
        <v/>
      </c>
      <c r="J162" s="107" t="str">
        <f t="array" ref="J162">IFERROR(IF(XLOOKUP(CONCAT(E162,F162),'MASTER PLAN'!$AB:$AB,'MASTER PLAN'!$M:$M,0,0)=0,"",XLOOKUP(CONCAT(E162,F162),'MASTER PLAN'!$AB:$AB,'MASTER PLAN'!$M:$M,0,0)),"")</f>
        <v/>
      </c>
      <c r="K162" s="107">
        <f t="shared" si="237"/>
        <v>0</v>
      </c>
      <c r="L162" s="107">
        <f t="shared" si="238"/>
        <v>0</v>
      </c>
      <c r="M162" s="105" t="s">
        <v>249</v>
      </c>
      <c r="O162" s="13"/>
      <c r="P162" s="107"/>
      <c r="Q162" s="107"/>
      <c r="R162" s="105"/>
      <c r="T162" s="13"/>
      <c r="U162" s="107"/>
      <c r="V162" s="107"/>
      <c r="W162" s="105"/>
      <c r="Y162" s="13"/>
      <c r="Z162" s="107"/>
      <c r="AA162" s="107"/>
      <c r="AB162" s="105"/>
      <c r="AD162" s="13"/>
      <c r="AE162" s="107"/>
      <c r="AF162" s="107"/>
      <c r="AG162" s="105"/>
      <c r="AI162" s="38"/>
      <c r="AJ162" s="13"/>
      <c r="AK162" s="107"/>
      <c r="AL162" s="107"/>
      <c r="AM162" s="105"/>
      <c r="AO162" s="13"/>
      <c r="AP162" s="107"/>
      <c r="AQ162" s="107"/>
      <c r="AR162" s="105"/>
      <c r="AT162" s="13"/>
      <c r="AU162" s="107"/>
      <c r="AV162" s="107"/>
      <c r="AW162" s="105"/>
      <c r="AY162" s="13"/>
      <c r="AZ162" s="107"/>
      <c r="BA162" s="107"/>
      <c r="BB162" s="105"/>
      <c r="BD162" s="13"/>
      <c r="BE162" s="107"/>
      <c r="BF162" s="107"/>
      <c r="BG162" s="105"/>
      <c r="BI162" s="13"/>
      <c r="BJ162" s="107"/>
      <c r="BK162" s="107"/>
      <c r="BL162" s="105"/>
      <c r="BN162" s="38"/>
      <c r="BO162" s="13"/>
      <c r="BP162" s="107"/>
      <c r="BQ162" s="107"/>
      <c r="BR162" s="105"/>
      <c r="BT162" s="13"/>
      <c r="BU162" s="107"/>
      <c r="BV162" s="107"/>
      <c r="BW162" s="105"/>
      <c r="BY162" s="13"/>
      <c r="BZ162" s="107"/>
      <c r="CA162" s="107"/>
      <c r="CB162" s="105"/>
      <c r="CD162" s="13"/>
      <c r="CE162" s="107"/>
      <c r="CF162" s="107"/>
      <c r="CG162" s="105"/>
      <c r="CI162" s="13"/>
      <c r="CJ162" s="107"/>
      <c r="CK162" s="107"/>
      <c r="CL162" s="105"/>
      <c r="CN162" s="13"/>
      <c r="CO162" s="107"/>
      <c r="CP162" s="107"/>
      <c r="CQ162" s="105"/>
      <c r="CS162" s="38"/>
      <c r="CT162" s="13"/>
      <c r="CU162" s="107"/>
      <c r="CV162" s="107"/>
      <c r="CW162" s="105"/>
      <c r="CY162" s="13"/>
      <c r="CZ162" s="107"/>
      <c r="DA162" s="107"/>
      <c r="DB162" s="105"/>
      <c r="DD162" s="13"/>
      <c r="DE162" s="107"/>
      <c r="DF162" s="107"/>
      <c r="DG162" s="105"/>
      <c r="DI162" s="13"/>
      <c r="DJ162" s="107"/>
      <c r="DK162" s="107"/>
      <c r="DL162" s="105"/>
      <c r="DN162" s="13"/>
      <c r="DO162" s="107"/>
      <c r="DP162" s="107"/>
      <c r="DQ162" s="105"/>
      <c r="DS162" s="13"/>
      <c r="DT162" s="107"/>
      <c r="DU162" s="107"/>
      <c r="DV162" s="105"/>
      <c r="DX162" s="38"/>
      <c r="DY162" s="13"/>
      <c r="DZ162" s="107"/>
      <c r="EA162" s="107"/>
      <c r="EB162" s="105"/>
      <c r="ED162" s="13"/>
      <c r="EE162" s="107"/>
      <c r="EF162" s="107"/>
      <c r="EG162" s="105"/>
      <c r="EI162" s="13"/>
      <c r="EJ162" s="107"/>
      <c r="EK162" s="107"/>
      <c r="EL162" s="105"/>
      <c r="EN162" s="13"/>
      <c r="EO162" s="107"/>
      <c r="EP162" s="107"/>
      <c r="EQ162" s="105"/>
      <c r="ES162" s="13"/>
      <c r="ET162" s="107"/>
      <c r="EU162" s="107"/>
      <c r="EV162" s="105"/>
      <c r="EX162" s="13"/>
      <c r="EY162" s="107"/>
      <c r="EZ162" s="107"/>
      <c r="FA162" s="105"/>
      <c r="FC162" s="38"/>
      <c r="FD162" s="13"/>
      <c r="FE162" s="107"/>
      <c r="FF162" s="107"/>
      <c r="FG162" s="105"/>
      <c r="FI162" s="13"/>
      <c r="FJ162" s="107"/>
      <c r="FK162" s="107"/>
      <c r="FL162" s="105"/>
      <c r="FN162" s="13"/>
      <c r="FO162" s="107"/>
      <c r="FP162" s="107"/>
      <c r="FQ162" s="105"/>
      <c r="FS162" s="13"/>
      <c r="FT162" s="107"/>
      <c r="FU162" s="107"/>
      <c r="FV162" s="105"/>
      <c r="FX162" s="13"/>
      <c r="FY162" s="107"/>
      <c r="FZ162" s="107"/>
      <c r="GA162" s="105"/>
      <c r="GC162" s="13"/>
      <c r="GD162" s="107"/>
      <c r="GE162" s="107"/>
      <c r="GF162" s="105"/>
      <c r="GH162" s="38"/>
      <c r="GI162" s="13"/>
      <c r="GJ162" s="107"/>
      <c r="GK162" s="107"/>
      <c r="GL162" s="105"/>
      <c r="GN162" s="13"/>
      <c r="GO162" s="107"/>
      <c r="GP162" s="107"/>
      <c r="GQ162" s="105"/>
      <c r="GS162" s="13"/>
      <c r="GT162" s="107"/>
      <c r="GU162" s="107"/>
      <c r="GV162" s="105"/>
      <c r="GX162" s="13"/>
      <c r="GY162" s="107"/>
      <c r="GZ162" s="107"/>
      <c r="HA162" s="105"/>
      <c r="HC162" s="13"/>
      <c r="HD162" s="107"/>
      <c r="HE162" s="107"/>
      <c r="HF162" s="105"/>
      <c r="HH162" s="13"/>
      <c r="HI162" s="107"/>
      <c r="HJ162" s="107"/>
      <c r="HK162" s="105"/>
      <c r="HM162" s="38"/>
      <c r="HN162" s="13"/>
      <c r="HO162" s="107"/>
      <c r="HP162" s="107"/>
      <c r="HQ162" s="105"/>
      <c r="HS162" s="13"/>
      <c r="HT162" s="107"/>
      <c r="HU162" s="107"/>
      <c r="HV162" s="105"/>
      <c r="HX162" s="13"/>
      <c r="HY162" s="107"/>
      <c r="HZ162" s="107"/>
      <c r="IA162" s="105"/>
      <c r="IC162" s="13"/>
      <c r="ID162" s="107"/>
      <c r="IE162" s="107"/>
      <c r="IF162" s="105"/>
      <c r="IH162" s="13"/>
      <c r="II162" s="107"/>
      <c r="IJ162" s="107"/>
      <c r="IK162" s="105"/>
      <c r="IM162" s="13"/>
      <c r="IN162" s="107"/>
      <c r="IO162" s="107"/>
      <c r="IP162" s="105"/>
      <c r="IR162" s="38"/>
      <c r="IS162" s="13"/>
      <c r="IT162" s="107"/>
      <c r="IU162" s="107"/>
      <c r="IV162" s="105"/>
      <c r="IX162" s="13"/>
      <c r="IY162" s="107"/>
      <c r="IZ162" s="107"/>
      <c r="JA162" s="105"/>
      <c r="JC162" s="13"/>
      <c r="JD162" s="107"/>
      <c r="JE162" s="107"/>
      <c r="JF162" s="105"/>
      <c r="JH162" s="13"/>
      <c r="JI162" s="107"/>
      <c r="JJ162" s="107"/>
      <c r="JK162" s="105"/>
      <c r="JM162" s="13"/>
      <c r="JN162" s="107"/>
      <c r="JO162" s="107"/>
      <c r="JP162" s="105"/>
      <c r="JR162" s="13"/>
      <c r="JS162" s="107"/>
      <c r="JT162" s="107"/>
      <c r="JU162" s="105"/>
      <c r="JW162" s="38"/>
      <c r="JX162" s="13"/>
      <c r="JY162" s="107"/>
      <c r="JZ162" s="107"/>
      <c r="KA162" s="105"/>
      <c r="KC162" s="13"/>
      <c r="KD162" s="107"/>
      <c r="KE162" s="107"/>
      <c r="KF162" s="105"/>
      <c r="KH162" s="13"/>
      <c r="KI162" s="107"/>
      <c r="KJ162" s="107"/>
      <c r="KK162" s="105"/>
      <c r="KM162" s="13"/>
      <c r="KN162" s="107"/>
      <c r="KO162" s="107"/>
      <c r="KP162" s="105"/>
      <c r="KR162" s="13"/>
      <c r="KS162" s="107"/>
      <c r="KT162" s="107"/>
      <c r="KU162" s="105"/>
      <c r="KW162" s="13"/>
      <c r="KX162" s="107"/>
      <c r="KY162" s="107"/>
      <c r="KZ162" s="105"/>
      <c r="LB162" s="38"/>
      <c r="LC162" s="13"/>
      <c r="LD162" s="107"/>
      <c r="LE162" s="107"/>
      <c r="LF162" s="105"/>
      <c r="LH162" s="13"/>
      <c r="LI162" s="107"/>
      <c r="LJ162" s="107"/>
      <c r="LK162" s="105"/>
      <c r="LM162" s="13"/>
      <c r="LN162" s="107"/>
      <c r="LO162" s="107"/>
      <c r="LP162" s="105"/>
      <c r="LR162" s="13"/>
      <c r="LS162" s="107"/>
      <c r="LT162" s="107"/>
      <c r="LU162" s="105"/>
      <c r="LW162" s="13"/>
      <c r="LX162" s="107"/>
      <c r="LY162" s="107"/>
      <c r="LZ162" s="105"/>
      <c r="MB162" s="13"/>
      <c r="MC162" s="107"/>
      <c r="MD162" s="107"/>
      <c r="ME162" s="105"/>
      <c r="MG162" s="38"/>
      <c r="MH162" s="13"/>
      <c r="MI162" s="107"/>
      <c r="MJ162" s="107"/>
      <c r="MK162" s="105"/>
      <c r="MM162" s="13"/>
      <c r="MN162" s="107"/>
      <c r="MO162" s="107"/>
      <c r="MP162" s="105"/>
      <c r="MR162" s="13"/>
      <c r="MS162" s="107"/>
      <c r="MT162" s="107"/>
      <c r="MU162" s="105"/>
      <c r="MW162" s="13"/>
      <c r="MX162" s="107"/>
      <c r="MY162" s="107"/>
      <c r="MZ162" s="105"/>
      <c r="NB162" s="13"/>
      <c r="NC162" s="107"/>
      <c r="ND162" s="107"/>
      <c r="NE162" s="105"/>
      <c r="NG162" s="13"/>
      <c r="NH162" s="107"/>
      <c r="NI162" s="107"/>
      <c r="NJ162" s="105"/>
      <c r="NL162" s="38"/>
      <c r="NM162" s="13"/>
      <c r="NN162" s="107"/>
      <c r="NO162" s="107"/>
      <c r="NP162" s="105"/>
      <c r="NR162" s="13"/>
      <c r="NS162" s="107"/>
      <c r="NT162" s="107"/>
      <c r="NU162" s="105"/>
      <c r="NW162" s="13"/>
      <c r="NX162" s="107"/>
      <c r="NY162" s="107"/>
      <c r="NZ162" s="105"/>
      <c r="OB162" s="13"/>
      <c r="OC162" s="107"/>
      <c r="OD162" s="107"/>
      <c r="OE162" s="105"/>
      <c r="OG162" s="13"/>
      <c r="OH162" s="107"/>
      <c r="OI162" s="107"/>
      <c r="OJ162" s="105"/>
      <c r="OL162" s="13"/>
      <c r="OM162" s="107"/>
      <c r="ON162" s="107"/>
      <c r="OO162" s="105"/>
    </row>
    <row r="163" ht="15.75" customHeight="1">
      <c r="A163" s="42"/>
      <c r="B163" s="42"/>
      <c r="C163" s="42"/>
      <c r="D163" s="38">
        <f>AY2</f>
        <v>45974</v>
      </c>
      <c r="E163" s="31" t="str">
        <f t="shared" ref="E163:I163" si="381">AY4</f>
        <v/>
      </c>
      <c r="F163" s="31" t="str">
        <f t="shared" si="381"/>
        <v/>
      </c>
      <c r="G163" s="31" t="str">
        <f t="shared" si="381"/>
        <v/>
      </c>
      <c r="H163" s="13" t="str">
        <f t="shared" si="381"/>
        <v/>
      </c>
      <c r="I163" s="13" t="str">
        <f t="shared" si="381"/>
        <v/>
      </c>
      <c r="J163" s="107" t="str">
        <f t="array" ref="J163">IFERROR(IF(XLOOKUP(CONCAT(E163,F163),'MASTER PLAN'!$AB:$AB,'MASTER PLAN'!$M:$M,0,0)=0,"",XLOOKUP(CONCAT(E163,F163),'MASTER PLAN'!$AB:$AB,'MASTER PLAN'!$M:$M,0,0)),"")</f>
        <v/>
      </c>
      <c r="K163" s="107">
        <f t="shared" si="237"/>
        <v>0</v>
      </c>
      <c r="L163" s="107">
        <f t="shared" si="238"/>
        <v>0</v>
      </c>
      <c r="M163" s="105" t="s">
        <v>246</v>
      </c>
      <c r="O163" s="13"/>
      <c r="P163" s="107"/>
      <c r="Q163" s="107"/>
      <c r="R163" s="105"/>
      <c r="T163" s="13"/>
      <c r="U163" s="107"/>
      <c r="V163" s="107"/>
      <c r="W163" s="105"/>
      <c r="Y163" s="13"/>
      <c r="Z163" s="107"/>
      <c r="AA163" s="107"/>
      <c r="AB163" s="105"/>
      <c r="AD163" s="13"/>
      <c r="AE163" s="107"/>
      <c r="AF163" s="107"/>
      <c r="AG163" s="105"/>
      <c r="AI163" s="38"/>
      <c r="AJ163" s="13"/>
      <c r="AK163" s="107"/>
      <c r="AL163" s="107"/>
      <c r="AM163" s="105"/>
      <c r="AO163" s="13"/>
      <c r="AP163" s="107"/>
      <c r="AQ163" s="107"/>
      <c r="AR163" s="105"/>
      <c r="AT163" s="13"/>
      <c r="AU163" s="107"/>
      <c r="AV163" s="107"/>
      <c r="AW163" s="105"/>
      <c r="AY163" s="13"/>
      <c r="AZ163" s="107"/>
      <c r="BA163" s="107"/>
      <c r="BB163" s="105"/>
      <c r="BD163" s="13"/>
      <c r="BE163" s="107"/>
      <c r="BF163" s="107"/>
      <c r="BG163" s="105"/>
      <c r="BI163" s="13"/>
      <c r="BJ163" s="107"/>
      <c r="BK163" s="107"/>
      <c r="BL163" s="105"/>
      <c r="BN163" s="38"/>
      <c r="BO163" s="13"/>
      <c r="BP163" s="107"/>
      <c r="BQ163" s="107"/>
      <c r="BR163" s="105"/>
      <c r="BT163" s="13"/>
      <c r="BU163" s="107"/>
      <c r="BV163" s="107"/>
      <c r="BW163" s="105"/>
      <c r="BY163" s="13"/>
      <c r="BZ163" s="107"/>
      <c r="CA163" s="107"/>
      <c r="CB163" s="105"/>
      <c r="CD163" s="13"/>
      <c r="CE163" s="107"/>
      <c r="CF163" s="107"/>
      <c r="CG163" s="105"/>
      <c r="CI163" s="13"/>
      <c r="CJ163" s="107"/>
      <c r="CK163" s="107"/>
      <c r="CL163" s="105"/>
      <c r="CN163" s="13"/>
      <c r="CO163" s="107"/>
      <c r="CP163" s="107"/>
      <c r="CQ163" s="105"/>
      <c r="CS163" s="38"/>
      <c r="CT163" s="13"/>
      <c r="CU163" s="107"/>
      <c r="CV163" s="107"/>
      <c r="CW163" s="105"/>
      <c r="CY163" s="13"/>
      <c r="CZ163" s="107"/>
      <c r="DA163" s="107"/>
      <c r="DB163" s="105"/>
      <c r="DD163" s="13"/>
      <c r="DE163" s="107"/>
      <c r="DF163" s="107"/>
      <c r="DG163" s="105"/>
      <c r="DI163" s="13"/>
      <c r="DJ163" s="107"/>
      <c r="DK163" s="107"/>
      <c r="DL163" s="105"/>
      <c r="DN163" s="13"/>
      <c r="DO163" s="107"/>
      <c r="DP163" s="107"/>
      <c r="DQ163" s="105"/>
      <c r="DS163" s="13"/>
      <c r="DT163" s="107"/>
      <c r="DU163" s="107"/>
      <c r="DV163" s="105"/>
      <c r="DX163" s="38"/>
      <c r="DY163" s="13"/>
      <c r="DZ163" s="107"/>
      <c r="EA163" s="107"/>
      <c r="EB163" s="105"/>
      <c r="ED163" s="13"/>
      <c r="EE163" s="107"/>
      <c r="EF163" s="107"/>
      <c r="EG163" s="105"/>
      <c r="EI163" s="13"/>
      <c r="EJ163" s="107"/>
      <c r="EK163" s="107"/>
      <c r="EL163" s="105"/>
      <c r="EN163" s="13"/>
      <c r="EO163" s="107"/>
      <c r="EP163" s="107"/>
      <c r="EQ163" s="105"/>
      <c r="ES163" s="13"/>
      <c r="ET163" s="107"/>
      <c r="EU163" s="107"/>
      <c r="EV163" s="105"/>
      <c r="EX163" s="13"/>
      <c r="EY163" s="107"/>
      <c r="EZ163" s="107"/>
      <c r="FA163" s="105"/>
      <c r="FC163" s="38"/>
      <c r="FD163" s="13"/>
      <c r="FE163" s="107"/>
      <c r="FF163" s="107"/>
      <c r="FG163" s="105"/>
      <c r="FI163" s="13"/>
      <c r="FJ163" s="107"/>
      <c r="FK163" s="107"/>
      <c r="FL163" s="105"/>
      <c r="FN163" s="13"/>
      <c r="FO163" s="107"/>
      <c r="FP163" s="107"/>
      <c r="FQ163" s="105"/>
      <c r="FS163" s="13"/>
      <c r="FT163" s="107"/>
      <c r="FU163" s="107"/>
      <c r="FV163" s="105"/>
      <c r="FX163" s="13"/>
      <c r="FY163" s="107"/>
      <c r="FZ163" s="107"/>
      <c r="GA163" s="105"/>
      <c r="GC163" s="13"/>
      <c r="GD163" s="107"/>
      <c r="GE163" s="107"/>
      <c r="GF163" s="105"/>
      <c r="GH163" s="38"/>
      <c r="GI163" s="13"/>
      <c r="GJ163" s="107"/>
      <c r="GK163" s="107"/>
      <c r="GL163" s="105"/>
      <c r="GN163" s="13"/>
      <c r="GO163" s="107"/>
      <c r="GP163" s="107"/>
      <c r="GQ163" s="105"/>
      <c r="GS163" s="13"/>
      <c r="GT163" s="107"/>
      <c r="GU163" s="107"/>
      <c r="GV163" s="105"/>
      <c r="GX163" s="13"/>
      <c r="GY163" s="107"/>
      <c r="GZ163" s="107"/>
      <c r="HA163" s="105"/>
      <c r="HC163" s="13"/>
      <c r="HD163" s="107"/>
      <c r="HE163" s="107"/>
      <c r="HF163" s="105"/>
      <c r="HH163" s="13"/>
      <c r="HI163" s="107"/>
      <c r="HJ163" s="107"/>
      <c r="HK163" s="105"/>
      <c r="HM163" s="38"/>
      <c r="HN163" s="13"/>
      <c r="HO163" s="107"/>
      <c r="HP163" s="107"/>
      <c r="HQ163" s="105"/>
      <c r="HS163" s="13"/>
      <c r="HT163" s="107"/>
      <c r="HU163" s="107"/>
      <c r="HV163" s="105"/>
      <c r="HX163" s="13"/>
      <c r="HY163" s="107"/>
      <c r="HZ163" s="107"/>
      <c r="IA163" s="105"/>
      <c r="IC163" s="13"/>
      <c r="ID163" s="107"/>
      <c r="IE163" s="107"/>
      <c r="IF163" s="105"/>
      <c r="IH163" s="13"/>
      <c r="II163" s="107"/>
      <c r="IJ163" s="107"/>
      <c r="IK163" s="105"/>
      <c r="IM163" s="13"/>
      <c r="IN163" s="107"/>
      <c r="IO163" s="107"/>
      <c r="IP163" s="105"/>
      <c r="IR163" s="38"/>
      <c r="IS163" s="13"/>
      <c r="IT163" s="107"/>
      <c r="IU163" s="107"/>
      <c r="IV163" s="105"/>
      <c r="IX163" s="13"/>
      <c r="IY163" s="107"/>
      <c r="IZ163" s="107"/>
      <c r="JA163" s="105"/>
      <c r="JC163" s="13"/>
      <c r="JD163" s="107"/>
      <c r="JE163" s="107"/>
      <c r="JF163" s="105"/>
      <c r="JH163" s="13"/>
      <c r="JI163" s="107"/>
      <c r="JJ163" s="107"/>
      <c r="JK163" s="105"/>
      <c r="JM163" s="13"/>
      <c r="JN163" s="107"/>
      <c r="JO163" s="107"/>
      <c r="JP163" s="105"/>
      <c r="JR163" s="13"/>
      <c r="JS163" s="107"/>
      <c r="JT163" s="107"/>
      <c r="JU163" s="105"/>
      <c r="JW163" s="38"/>
      <c r="JX163" s="13"/>
      <c r="JY163" s="107"/>
      <c r="JZ163" s="107"/>
      <c r="KA163" s="105"/>
      <c r="KC163" s="13"/>
      <c r="KD163" s="107"/>
      <c r="KE163" s="107"/>
      <c r="KF163" s="105"/>
      <c r="KH163" s="13"/>
      <c r="KI163" s="107"/>
      <c r="KJ163" s="107"/>
      <c r="KK163" s="105"/>
      <c r="KM163" s="13"/>
      <c r="KN163" s="107"/>
      <c r="KO163" s="107"/>
      <c r="KP163" s="105"/>
      <c r="KR163" s="13"/>
      <c r="KS163" s="107"/>
      <c r="KT163" s="107"/>
      <c r="KU163" s="105"/>
      <c r="KW163" s="13"/>
      <c r="KX163" s="107"/>
      <c r="KY163" s="107"/>
      <c r="KZ163" s="105"/>
      <c r="LB163" s="38"/>
      <c r="LC163" s="13"/>
      <c r="LD163" s="107"/>
      <c r="LE163" s="107"/>
      <c r="LF163" s="105"/>
      <c r="LH163" s="13"/>
      <c r="LI163" s="107"/>
      <c r="LJ163" s="107"/>
      <c r="LK163" s="105"/>
      <c r="LM163" s="13"/>
      <c r="LN163" s="107"/>
      <c r="LO163" s="107"/>
      <c r="LP163" s="105"/>
      <c r="LR163" s="13"/>
      <c r="LS163" s="107"/>
      <c r="LT163" s="107"/>
      <c r="LU163" s="105"/>
      <c r="LW163" s="13"/>
      <c r="LX163" s="107"/>
      <c r="LY163" s="107"/>
      <c r="LZ163" s="105"/>
      <c r="MB163" s="13"/>
      <c r="MC163" s="107"/>
      <c r="MD163" s="107"/>
      <c r="ME163" s="105"/>
      <c r="MG163" s="38"/>
      <c r="MH163" s="13"/>
      <c r="MI163" s="107"/>
      <c r="MJ163" s="107"/>
      <c r="MK163" s="105"/>
      <c r="MM163" s="13"/>
      <c r="MN163" s="107"/>
      <c r="MO163" s="107"/>
      <c r="MP163" s="105"/>
      <c r="MR163" s="13"/>
      <c r="MS163" s="107"/>
      <c r="MT163" s="107"/>
      <c r="MU163" s="105"/>
      <c r="MW163" s="13"/>
      <c r="MX163" s="107"/>
      <c r="MY163" s="107"/>
      <c r="MZ163" s="105"/>
      <c r="NB163" s="13"/>
      <c r="NC163" s="107"/>
      <c r="ND163" s="107"/>
      <c r="NE163" s="105"/>
      <c r="NG163" s="13"/>
      <c r="NH163" s="107"/>
      <c r="NI163" s="107"/>
      <c r="NJ163" s="105"/>
      <c r="NL163" s="38"/>
      <c r="NM163" s="13"/>
      <c r="NN163" s="107"/>
      <c r="NO163" s="107"/>
      <c r="NP163" s="105"/>
      <c r="NR163" s="13"/>
      <c r="NS163" s="107"/>
      <c r="NT163" s="107"/>
      <c r="NU163" s="105"/>
      <c r="NW163" s="13"/>
      <c r="NX163" s="107"/>
      <c r="NY163" s="107"/>
      <c r="NZ163" s="105"/>
      <c r="OB163" s="13"/>
      <c r="OC163" s="107"/>
      <c r="OD163" s="107"/>
      <c r="OE163" s="105"/>
      <c r="OG163" s="13"/>
      <c r="OH163" s="107"/>
      <c r="OI163" s="107"/>
      <c r="OJ163" s="105"/>
      <c r="OL163" s="13"/>
      <c r="OM163" s="107"/>
      <c r="ON163" s="107"/>
      <c r="OO163" s="105"/>
    </row>
    <row r="164" ht="15.75" customHeight="1">
      <c r="A164" s="42"/>
      <c r="B164" s="42"/>
      <c r="C164" s="42"/>
      <c r="D164" s="38">
        <f t="shared" ref="D164:D177" si="383">D163</f>
        <v>45974</v>
      </c>
      <c r="E164" s="31" t="str">
        <f t="shared" ref="E164:I164" si="382">AY5</f>
        <v/>
      </c>
      <c r="F164" s="31" t="str">
        <f t="shared" si="382"/>
        <v/>
      </c>
      <c r="G164" s="31" t="str">
        <f t="shared" si="382"/>
        <v/>
      </c>
      <c r="H164" s="13" t="str">
        <f t="shared" si="382"/>
        <v/>
      </c>
      <c r="I164" s="13" t="str">
        <f t="shared" si="382"/>
        <v/>
      </c>
      <c r="J164" s="107" t="str">
        <f t="array" ref="J164">IFERROR(IF(XLOOKUP(CONCAT(E164,F164),'MASTER PLAN'!$AB:$AB,'MASTER PLAN'!$M:$M,0,0)=0,"",XLOOKUP(CONCAT(E164,F164),'MASTER PLAN'!$AB:$AB,'MASTER PLAN'!$M:$M,0,0)),"")</f>
        <v/>
      </c>
      <c r="K164" s="107">
        <f t="shared" si="237"/>
        <v>0</v>
      </c>
      <c r="L164" s="107">
        <f t="shared" si="238"/>
        <v>0</v>
      </c>
      <c r="M164" s="105" t="s">
        <v>246</v>
      </c>
      <c r="O164" s="13"/>
      <c r="P164" s="107"/>
      <c r="Q164" s="107"/>
      <c r="R164" s="105"/>
      <c r="T164" s="13"/>
      <c r="U164" s="107"/>
      <c r="V164" s="107"/>
      <c r="W164" s="105"/>
      <c r="Y164" s="13"/>
      <c r="Z164" s="107"/>
      <c r="AA164" s="107"/>
      <c r="AB164" s="105"/>
      <c r="AD164" s="13"/>
      <c r="AE164" s="107"/>
      <c r="AF164" s="107"/>
      <c r="AG164" s="105"/>
      <c r="AI164" s="38"/>
      <c r="AJ164" s="13"/>
      <c r="AK164" s="107"/>
      <c r="AL164" s="107"/>
      <c r="AM164" s="105"/>
      <c r="AO164" s="13"/>
      <c r="AP164" s="107"/>
      <c r="AQ164" s="107"/>
      <c r="AR164" s="105"/>
      <c r="AT164" s="13"/>
      <c r="AU164" s="107"/>
      <c r="AV164" s="107"/>
      <c r="AW164" s="105"/>
      <c r="AY164" s="13"/>
      <c r="AZ164" s="107"/>
      <c r="BA164" s="107"/>
      <c r="BB164" s="105"/>
      <c r="BD164" s="13"/>
      <c r="BE164" s="107"/>
      <c r="BF164" s="107"/>
      <c r="BG164" s="105"/>
      <c r="BI164" s="13"/>
      <c r="BJ164" s="107"/>
      <c r="BK164" s="107"/>
      <c r="BL164" s="105"/>
      <c r="BN164" s="38"/>
      <c r="BO164" s="13"/>
      <c r="BP164" s="107"/>
      <c r="BQ164" s="107"/>
      <c r="BR164" s="105"/>
      <c r="BT164" s="13"/>
      <c r="BU164" s="107"/>
      <c r="BV164" s="107"/>
      <c r="BW164" s="105"/>
      <c r="BY164" s="13"/>
      <c r="BZ164" s="107"/>
      <c r="CA164" s="107"/>
      <c r="CB164" s="105"/>
      <c r="CD164" s="13"/>
      <c r="CE164" s="107"/>
      <c r="CF164" s="107"/>
      <c r="CG164" s="105"/>
      <c r="CI164" s="13"/>
      <c r="CJ164" s="107"/>
      <c r="CK164" s="107"/>
      <c r="CL164" s="105"/>
      <c r="CN164" s="13"/>
      <c r="CO164" s="107"/>
      <c r="CP164" s="107"/>
      <c r="CQ164" s="105"/>
      <c r="CS164" s="38"/>
      <c r="CT164" s="13"/>
      <c r="CU164" s="107"/>
      <c r="CV164" s="107"/>
      <c r="CW164" s="105"/>
      <c r="CY164" s="13"/>
      <c r="CZ164" s="107"/>
      <c r="DA164" s="107"/>
      <c r="DB164" s="105"/>
      <c r="DD164" s="13"/>
      <c r="DE164" s="107"/>
      <c r="DF164" s="107"/>
      <c r="DG164" s="105"/>
      <c r="DI164" s="13"/>
      <c r="DJ164" s="107"/>
      <c r="DK164" s="107"/>
      <c r="DL164" s="105"/>
      <c r="DN164" s="13"/>
      <c r="DO164" s="107"/>
      <c r="DP164" s="107"/>
      <c r="DQ164" s="105"/>
      <c r="DS164" s="13"/>
      <c r="DT164" s="107"/>
      <c r="DU164" s="107"/>
      <c r="DV164" s="105"/>
      <c r="DX164" s="38"/>
      <c r="DY164" s="13"/>
      <c r="DZ164" s="107"/>
      <c r="EA164" s="107"/>
      <c r="EB164" s="105"/>
      <c r="ED164" s="13"/>
      <c r="EE164" s="107"/>
      <c r="EF164" s="107"/>
      <c r="EG164" s="105"/>
      <c r="EI164" s="13"/>
      <c r="EJ164" s="107"/>
      <c r="EK164" s="107"/>
      <c r="EL164" s="105"/>
      <c r="EN164" s="13"/>
      <c r="EO164" s="107"/>
      <c r="EP164" s="107"/>
      <c r="EQ164" s="105"/>
      <c r="ES164" s="13"/>
      <c r="ET164" s="107"/>
      <c r="EU164" s="107"/>
      <c r="EV164" s="105"/>
      <c r="EX164" s="13"/>
      <c r="EY164" s="107"/>
      <c r="EZ164" s="107"/>
      <c r="FA164" s="105"/>
      <c r="FC164" s="38"/>
      <c r="FD164" s="13"/>
      <c r="FE164" s="107"/>
      <c r="FF164" s="107"/>
      <c r="FG164" s="105"/>
      <c r="FI164" s="13"/>
      <c r="FJ164" s="107"/>
      <c r="FK164" s="107"/>
      <c r="FL164" s="105"/>
      <c r="FN164" s="13"/>
      <c r="FO164" s="107"/>
      <c r="FP164" s="107"/>
      <c r="FQ164" s="105"/>
      <c r="FS164" s="13"/>
      <c r="FT164" s="107"/>
      <c r="FU164" s="107"/>
      <c r="FV164" s="105"/>
      <c r="FX164" s="13"/>
      <c r="FY164" s="107"/>
      <c r="FZ164" s="107"/>
      <c r="GA164" s="105"/>
      <c r="GC164" s="13"/>
      <c r="GD164" s="107"/>
      <c r="GE164" s="107"/>
      <c r="GF164" s="105"/>
      <c r="GH164" s="38"/>
      <c r="GI164" s="13"/>
      <c r="GJ164" s="107"/>
      <c r="GK164" s="107"/>
      <c r="GL164" s="105"/>
      <c r="GN164" s="13"/>
      <c r="GO164" s="107"/>
      <c r="GP164" s="107"/>
      <c r="GQ164" s="105"/>
      <c r="GS164" s="13"/>
      <c r="GT164" s="107"/>
      <c r="GU164" s="107"/>
      <c r="GV164" s="105"/>
      <c r="GX164" s="13"/>
      <c r="GY164" s="107"/>
      <c r="GZ164" s="107"/>
      <c r="HA164" s="105"/>
      <c r="HC164" s="13"/>
      <c r="HD164" s="107"/>
      <c r="HE164" s="107"/>
      <c r="HF164" s="105"/>
      <c r="HH164" s="13"/>
      <c r="HI164" s="107"/>
      <c r="HJ164" s="107"/>
      <c r="HK164" s="105"/>
      <c r="HM164" s="38"/>
      <c r="HN164" s="13"/>
      <c r="HO164" s="107"/>
      <c r="HP164" s="107"/>
      <c r="HQ164" s="105"/>
      <c r="HS164" s="13"/>
      <c r="HT164" s="107"/>
      <c r="HU164" s="107"/>
      <c r="HV164" s="105"/>
      <c r="HX164" s="13"/>
      <c r="HY164" s="107"/>
      <c r="HZ164" s="107"/>
      <c r="IA164" s="105"/>
      <c r="IC164" s="13"/>
      <c r="ID164" s="107"/>
      <c r="IE164" s="107"/>
      <c r="IF164" s="105"/>
      <c r="IH164" s="13"/>
      <c r="II164" s="107"/>
      <c r="IJ164" s="107"/>
      <c r="IK164" s="105"/>
      <c r="IM164" s="13"/>
      <c r="IN164" s="107"/>
      <c r="IO164" s="107"/>
      <c r="IP164" s="105"/>
      <c r="IR164" s="38"/>
      <c r="IS164" s="13"/>
      <c r="IT164" s="107"/>
      <c r="IU164" s="107"/>
      <c r="IV164" s="105"/>
      <c r="IX164" s="13"/>
      <c r="IY164" s="107"/>
      <c r="IZ164" s="107"/>
      <c r="JA164" s="105"/>
      <c r="JC164" s="13"/>
      <c r="JD164" s="107"/>
      <c r="JE164" s="107"/>
      <c r="JF164" s="105"/>
      <c r="JH164" s="13"/>
      <c r="JI164" s="107"/>
      <c r="JJ164" s="107"/>
      <c r="JK164" s="105"/>
      <c r="JM164" s="13"/>
      <c r="JN164" s="107"/>
      <c r="JO164" s="107"/>
      <c r="JP164" s="105"/>
      <c r="JR164" s="13"/>
      <c r="JS164" s="107"/>
      <c r="JT164" s="107"/>
      <c r="JU164" s="105"/>
      <c r="JW164" s="38"/>
      <c r="JX164" s="13"/>
      <c r="JY164" s="107"/>
      <c r="JZ164" s="107"/>
      <c r="KA164" s="105"/>
      <c r="KC164" s="13"/>
      <c r="KD164" s="107"/>
      <c r="KE164" s="107"/>
      <c r="KF164" s="105"/>
      <c r="KH164" s="13"/>
      <c r="KI164" s="107"/>
      <c r="KJ164" s="107"/>
      <c r="KK164" s="105"/>
      <c r="KM164" s="13"/>
      <c r="KN164" s="107"/>
      <c r="KO164" s="107"/>
      <c r="KP164" s="105"/>
      <c r="KR164" s="13"/>
      <c r="KS164" s="107"/>
      <c r="KT164" s="107"/>
      <c r="KU164" s="105"/>
      <c r="KW164" s="13"/>
      <c r="KX164" s="107"/>
      <c r="KY164" s="107"/>
      <c r="KZ164" s="105"/>
      <c r="LB164" s="38"/>
      <c r="LC164" s="13"/>
      <c r="LD164" s="107"/>
      <c r="LE164" s="107"/>
      <c r="LF164" s="105"/>
      <c r="LH164" s="13"/>
      <c r="LI164" s="107"/>
      <c r="LJ164" s="107"/>
      <c r="LK164" s="105"/>
      <c r="LM164" s="13"/>
      <c r="LN164" s="107"/>
      <c r="LO164" s="107"/>
      <c r="LP164" s="105"/>
      <c r="LR164" s="13"/>
      <c r="LS164" s="107"/>
      <c r="LT164" s="107"/>
      <c r="LU164" s="105"/>
      <c r="LW164" s="13"/>
      <c r="LX164" s="107"/>
      <c r="LY164" s="107"/>
      <c r="LZ164" s="105"/>
      <c r="MB164" s="13"/>
      <c r="MC164" s="107"/>
      <c r="MD164" s="107"/>
      <c r="ME164" s="105"/>
      <c r="MG164" s="38"/>
      <c r="MH164" s="13"/>
      <c r="MI164" s="107"/>
      <c r="MJ164" s="107"/>
      <c r="MK164" s="105"/>
      <c r="MM164" s="13"/>
      <c r="MN164" s="107"/>
      <c r="MO164" s="107"/>
      <c r="MP164" s="105"/>
      <c r="MR164" s="13"/>
      <c r="MS164" s="107"/>
      <c r="MT164" s="107"/>
      <c r="MU164" s="105"/>
      <c r="MW164" s="13"/>
      <c r="MX164" s="107"/>
      <c r="MY164" s="107"/>
      <c r="MZ164" s="105"/>
      <c r="NB164" s="13"/>
      <c r="NC164" s="107"/>
      <c r="ND164" s="107"/>
      <c r="NE164" s="105"/>
      <c r="NG164" s="13"/>
      <c r="NH164" s="107"/>
      <c r="NI164" s="107"/>
      <c r="NJ164" s="105"/>
      <c r="NL164" s="38"/>
      <c r="NM164" s="13"/>
      <c r="NN164" s="107"/>
      <c r="NO164" s="107"/>
      <c r="NP164" s="105"/>
      <c r="NR164" s="13"/>
      <c r="NS164" s="107"/>
      <c r="NT164" s="107"/>
      <c r="NU164" s="105"/>
      <c r="NW164" s="13"/>
      <c r="NX164" s="107"/>
      <c r="NY164" s="107"/>
      <c r="NZ164" s="105"/>
      <c r="OB164" s="13"/>
      <c r="OC164" s="107"/>
      <c r="OD164" s="107"/>
      <c r="OE164" s="105"/>
      <c r="OG164" s="13"/>
      <c r="OH164" s="107"/>
      <c r="OI164" s="107"/>
      <c r="OJ164" s="105"/>
      <c r="OL164" s="13"/>
      <c r="OM164" s="107"/>
      <c r="ON164" s="107"/>
      <c r="OO164" s="105"/>
    </row>
    <row r="165" ht="15.75" customHeight="1">
      <c r="A165" s="42"/>
      <c r="B165" s="42"/>
      <c r="C165" s="42"/>
      <c r="D165" s="38">
        <f t="shared" si="383"/>
        <v>45974</v>
      </c>
      <c r="E165" s="31" t="str">
        <f t="shared" ref="E165:I165" si="384">AY6</f>
        <v/>
      </c>
      <c r="F165" s="31" t="str">
        <f t="shared" si="384"/>
        <v/>
      </c>
      <c r="G165" s="31" t="str">
        <f t="shared" si="384"/>
        <v/>
      </c>
      <c r="H165" s="13" t="str">
        <f t="shared" si="384"/>
        <v/>
      </c>
      <c r="I165" s="13" t="str">
        <f t="shared" si="384"/>
        <v/>
      </c>
      <c r="J165" s="107" t="str">
        <f t="array" ref="J165">IFERROR(IF(XLOOKUP(CONCAT(E165,F165),'MASTER PLAN'!$AB:$AB,'MASTER PLAN'!$M:$M,0,0)=0,"",XLOOKUP(CONCAT(E165,F165),'MASTER PLAN'!$AB:$AB,'MASTER PLAN'!$M:$M,0,0)),"")</f>
        <v/>
      </c>
      <c r="K165" s="107">
        <f t="shared" si="237"/>
        <v>0</v>
      </c>
      <c r="L165" s="107">
        <f t="shared" si="238"/>
        <v>0</v>
      </c>
      <c r="M165" s="105" t="s">
        <v>246</v>
      </c>
      <c r="O165" s="13"/>
      <c r="P165" s="107"/>
      <c r="Q165" s="107"/>
      <c r="R165" s="105"/>
      <c r="T165" s="13"/>
      <c r="U165" s="107"/>
      <c r="V165" s="107"/>
      <c r="W165" s="105"/>
      <c r="Y165" s="13"/>
      <c r="Z165" s="107"/>
      <c r="AA165" s="107"/>
      <c r="AB165" s="105"/>
      <c r="AD165" s="13"/>
      <c r="AE165" s="107"/>
      <c r="AF165" s="107"/>
      <c r="AG165" s="105"/>
      <c r="AI165" s="38"/>
      <c r="AJ165" s="13"/>
      <c r="AK165" s="107"/>
      <c r="AL165" s="107"/>
      <c r="AM165" s="105"/>
      <c r="AO165" s="13"/>
      <c r="AP165" s="107"/>
      <c r="AQ165" s="107"/>
      <c r="AR165" s="105"/>
      <c r="AT165" s="13"/>
      <c r="AU165" s="107"/>
      <c r="AV165" s="107"/>
      <c r="AW165" s="105"/>
      <c r="AY165" s="13"/>
      <c r="AZ165" s="107"/>
      <c r="BA165" s="107"/>
      <c r="BB165" s="105"/>
      <c r="BD165" s="13"/>
      <c r="BE165" s="107"/>
      <c r="BF165" s="107"/>
      <c r="BG165" s="105"/>
      <c r="BI165" s="13"/>
      <c r="BJ165" s="107"/>
      <c r="BK165" s="107"/>
      <c r="BL165" s="105"/>
      <c r="BN165" s="38"/>
      <c r="BO165" s="13"/>
      <c r="BP165" s="107"/>
      <c r="BQ165" s="107"/>
      <c r="BR165" s="105"/>
      <c r="BT165" s="13"/>
      <c r="BU165" s="107"/>
      <c r="BV165" s="107"/>
      <c r="BW165" s="105"/>
      <c r="BY165" s="13"/>
      <c r="BZ165" s="107"/>
      <c r="CA165" s="107"/>
      <c r="CB165" s="105"/>
      <c r="CD165" s="13"/>
      <c r="CE165" s="107"/>
      <c r="CF165" s="107"/>
      <c r="CG165" s="105"/>
      <c r="CI165" s="13"/>
      <c r="CJ165" s="107"/>
      <c r="CK165" s="107"/>
      <c r="CL165" s="105"/>
      <c r="CN165" s="13"/>
      <c r="CO165" s="107"/>
      <c r="CP165" s="107"/>
      <c r="CQ165" s="105"/>
      <c r="CS165" s="38"/>
      <c r="CT165" s="13"/>
      <c r="CU165" s="107"/>
      <c r="CV165" s="107"/>
      <c r="CW165" s="105"/>
      <c r="CY165" s="13"/>
      <c r="CZ165" s="107"/>
      <c r="DA165" s="107"/>
      <c r="DB165" s="105"/>
      <c r="DD165" s="13"/>
      <c r="DE165" s="107"/>
      <c r="DF165" s="107"/>
      <c r="DG165" s="105"/>
      <c r="DI165" s="13"/>
      <c r="DJ165" s="107"/>
      <c r="DK165" s="107"/>
      <c r="DL165" s="105"/>
      <c r="DN165" s="13"/>
      <c r="DO165" s="107"/>
      <c r="DP165" s="107"/>
      <c r="DQ165" s="105"/>
      <c r="DS165" s="13"/>
      <c r="DT165" s="107"/>
      <c r="DU165" s="107"/>
      <c r="DV165" s="105"/>
      <c r="DX165" s="38"/>
      <c r="DY165" s="13"/>
      <c r="DZ165" s="107"/>
      <c r="EA165" s="107"/>
      <c r="EB165" s="105"/>
      <c r="ED165" s="13"/>
      <c r="EE165" s="107"/>
      <c r="EF165" s="107"/>
      <c r="EG165" s="105"/>
      <c r="EI165" s="13"/>
      <c r="EJ165" s="107"/>
      <c r="EK165" s="107"/>
      <c r="EL165" s="105"/>
      <c r="EN165" s="13"/>
      <c r="EO165" s="107"/>
      <c r="EP165" s="107"/>
      <c r="EQ165" s="105"/>
      <c r="ES165" s="13"/>
      <c r="ET165" s="107"/>
      <c r="EU165" s="107"/>
      <c r="EV165" s="105"/>
      <c r="EX165" s="13"/>
      <c r="EY165" s="107"/>
      <c r="EZ165" s="107"/>
      <c r="FA165" s="105"/>
      <c r="FC165" s="38"/>
      <c r="FD165" s="13"/>
      <c r="FE165" s="107"/>
      <c r="FF165" s="107"/>
      <c r="FG165" s="105"/>
      <c r="FI165" s="13"/>
      <c r="FJ165" s="107"/>
      <c r="FK165" s="107"/>
      <c r="FL165" s="105"/>
      <c r="FN165" s="13"/>
      <c r="FO165" s="107"/>
      <c r="FP165" s="107"/>
      <c r="FQ165" s="105"/>
      <c r="FS165" s="13"/>
      <c r="FT165" s="107"/>
      <c r="FU165" s="107"/>
      <c r="FV165" s="105"/>
      <c r="FX165" s="13"/>
      <c r="FY165" s="107"/>
      <c r="FZ165" s="107"/>
      <c r="GA165" s="105"/>
      <c r="GC165" s="13"/>
      <c r="GD165" s="107"/>
      <c r="GE165" s="107"/>
      <c r="GF165" s="105"/>
      <c r="GH165" s="38"/>
      <c r="GI165" s="13"/>
      <c r="GJ165" s="107"/>
      <c r="GK165" s="107"/>
      <c r="GL165" s="105"/>
      <c r="GN165" s="13"/>
      <c r="GO165" s="107"/>
      <c r="GP165" s="107"/>
      <c r="GQ165" s="105"/>
      <c r="GS165" s="13"/>
      <c r="GT165" s="107"/>
      <c r="GU165" s="107"/>
      <c r="GV165" s="105"/>
      <c r="GX165" s="13"/>
      <c r="GY165" s="107"/>
      <c r="GZ165" s="107"/>
      <c r="HA165" s="105"/>
      <c r="HC165" s="13"/>
      <c r="HD165" s="107"/>
      <c r="HE165" s="107"/>
      <c r="HF165" s="105"/>
      <c r="HH165" s="13"/>
      <c r="HI165" s="107"/>
      <c r="HJ165" s="107"/>
      <c r="HK165" s="105"/>
      <c r="HM165" s="38"/>
      <c r="HN165" s="13"/>
      <c r="HO165" s="107"/>
      <c r="HP165" s="107"/>
      <c r="HQ165" s="105"/>
      <c r="HS165" s="13"/>
      <c r="HT165" s="107"/>
      <c r="HU165" s="107"/>
      <c r="HV165" s="105"/>
      <c r="HX165" s="13"/>
      <c r="HY165" s="107"/>
      <c r="HZ165" s="107"/>
      <c r="IA165" s="105"/>
      <c r="IC165" s="13"/>
      <c r="ID165" s="107"/>
      <c r="IE165" s="107"/>
      <c r="IF165" s="105"/>
      <c r="IH165" s="13"/>
      <c r="II165" s="107"/>
      <c r="IJ165" s="107"/>
      <c r="IK165" s="105"/>
      <c r="IM165" s="13"/>
      <c r="IN165" s="107"/>
      <c r="IO165" s="107"/>
      <c r="IP165" s="105"/>
      <c r="IR165" s="38"/>
      <c r="IS165" s="13"/>
      <c r="IT165" s="107"/>
      <c r="IU165" s="107"/>
      <c r="IV165" s="105"/>
      <c r="IX165" s="13"/>
      <c r="IY165" s="107"/>
      <c r="IZ165" s="107"/>
      <c r="JA165" s="105"/>
      <c r="JC165" s="13"/>
      <c r="JD165" s="107"/>
      <c r="JE165" s="107"/>
      <c r="JF165" s="105"/>
      <c r="JH165" s="13"/>
      <c r="JI165" s="107"/>
      <c r="JJ165" s="107"/>
      <c r="JK165" s="105"/>
      <c r="JM165" s="13"/>
      <c r="JN165" s="107"/>
      <c r="JO165" s="107"/>
      <c r="JP165" s="105"/>
      <c r="JR165" s="13"/>
      <c r="JS165" s="107"/>
      <c r="JT165" s="107"/>
      <c r="JU165" s="105"/>
      <c r="JW165" s="38"/>
      <c r="JX165" s="13"/>
      <c r="JY165" s="107"/>
      <c r="JZ165" s="107"/>
      <c r="KA165" s="105"/>
      <c r="KC165" s="13"/>
      <c r="KD165" s="107"/>
      <c r="KE165" s="107"/>
      <c r="KF165" s="105"/>
      <c r="KH165" s="13"/>
      <c r="KI165" s="107"/>
      <c r="KJ165" s="107"/>
      <c r="KK165" s="105"/>
      <c r="KM165" s="13"/>
      <c r="KN165" s="107"/>
      <c r="KO165" s="107"/>
      <c r="KP165" s="105"/>
      <c r="KR165" s="13"/>
      <c r="KS165" s="107"/>
      <c r="KT165" s="107"/>
      <c r="KU165" s="105"/>
      <c r="KW165" s="13"/>
      <c r="KX165" s="107"/>
      <c r="KY165" s="107"/>
      <c r="KZ165" s="105"/>
      <c r="LB165" s="38"/>
      <c r="LC165" s="13"/>
      <c r="LD165" s="107"/>
      <c r="LE165" s="107"/>
      <c r="LF165" s="105"/>
      <c r="LH165" s="13"/>
      <c r="LI165" s="107"/>
      <c r="LJ165" s="107"/>
      <c r="LK165" s="105"/>
      <c r="LM165" s="13"/>
      <c r="LN165" s="107"/>
      <c r="LO165" s="107"/>
      <c r="LP165" s="105"/>
      <c r="LR165" s="13"/>
      <c r="LS165" s="107"/>
      <c r="LT165" s="107"/>
      <c r="LU165" s="105"/>
      <c r="LW165" s="13"/>
      <c r="LX165" s="107"/>
      <c r="LY165" s="107"/>
      <c r="LZ165" s="105"/>
      <c r="MB165" s="13"/>
      <c r="MC165" s="107"/>
      <c r="MD165" s="107"/>
      <c r="ME165" s="105"/>
      <c r="MG165" s="38"/>
      <c r="MH165" s="13"/>
      <c r="MI165" s="107"/>
      <c r="MJ165" s="107"/>
      <c r="MK165" s="105"/>
      <c r="MM165" s="13"/>
      <c r="MN165" s="107"/>
      <c r="MO165" s="107"/>
      <c r="MP165" s="105"/>
      <c r="MR165" s="13"/>
      <c r="MS165" s="107"/>
      <c r="MT165" s="107"/>
      <c r="MU165" s="105"/>
      <c r="MW165" s="13"/>
      <c r="MX165" s="107"/>
      <c r="MY165" s="107"/>
      <c r="MZ165" s="105"/>
      <c r="NB165" s="13"/>
      <c r="NC165" s="107"/>
      <c r="ND165" s="107"/>
      <c r="NE165" s="105"/>
      <c r="NG165" s="13"/>
      <c r="NH165" s="107"/>
      <c r="NI165" s="107"/>
      <c r="NJ165" s="105"/>
      <c r="NL165" s="38"/>
      <c r="NM165" s="13"/>
      <c r="NN165" s="107"/>
      <c r="NO165" s="107"/>
      <c r="NP165" s="105"/>
      <c r="NR165" s="13"/>
      <c r="NS165" s="107"/>
      <c r="NT165" s="107"/>
      <c r="NU165" s="105"/>
      <c r="NW165" s="13"/>
      <c r="NX165" s="107"/>
      <c r="NY165" s="107"/>
      <c r="NZ165" s="105"/>
      <c r="OB165" s="13"/>
      <c r="OC165" s="107"/>
      <c r="OD165" s="107"/>
      <c r="OE165" s="105"/>
      <c r="OG165" s="13"/>
      <c r="OH165" s="107"/>
      <c r="OI165" s="107"/>
      <c r="OJ165" s="105"/>
      <c r="OL165" s="13"/>
      <c r="OM165" s="107"/>
      <c r="ON165" s="107"/>
      <c r="OO165" s="105"/>
    </row>
    <row r="166" ht="15.75" customHeight="1">
      <c r="A166" s="42"/>
      <c r="B166" s="42"/>
      <c r="C166" s="42"/>
      <c r="D166" s="38">
        <f t="shared" si="383"/>
        <v>45974</v>
      </c>
      <c r="E166" s="31" t="str">
        <f t="shared" ref="E166:I166" si="385">AY7</f>
        <v/>
      </c>
      <c r="F166" s="31" t="str">
        <f t="shared" si="385"/>
        <v/>
      </c>
      <c r="G166" s="31" t="str">
        <f t="shared" si="385"/>
        <v/>
      </c>
      <c r="H166" s="13" t="str">
        <f t="shared" si="385"/>
        <v/>
      </c>
      <c r="I166" s="13" t="str">
        <f t="shared" si="385"/>
        <v/>
      </c>
      <c r="J166" s="107" t="str">
        <f t="array" ref="J166">IFERROR(IF(XLOOKUP(CONCAT(E166,F166),'MASTER PLAN'!$AB:$AB,'MASTER PLAN'!$M:$M,0,0)=0,"",XLOOKUP(CONCAT(E166,F166),'MASTER PLAN'!$AB:$AB,'MASTER PLAN'!$M:$M,0,0)),"")</f>
        <v/>
      </c>
      <c r="K166" s="107">
        <f t="shared" si="237"/>
        <v>0</v>
      </c>
      <c r="L166" s="107">
        <f t="shared" si="238"/>
        <v>0</v>
      </c>
      <c r="M166" s="105" t="s">
        <v>246</v>
      </c>
      <c r="O166" s="13"/>
      <c r="P166" s="107"/>
      <c r="Q166" s="107"/>
      <c r="R166" s="105"/>
      <c r="T166" s="13"/>
      <c r="U166" s="107"/>
      <c r="V166" s="107"/>
      <c r="W166" s="105"/>
      <c r="Y166" s="13"/>
      <c r="Z166" s="107"/>
      <c r="AA166" s="107"/>
      <c r="AB166" s="105"/>
      <c r="AD166" s="13"/>
      <c r="AE166" s="107"/>
      <c r="AF166" s="107"/>
      <c r="AG166" s="105"/>
      <c r="AI166" s="38"/>
      <c r="AJ166" s="13"/>
      <c r="AK166" s="107"/>
      <c r="AL166" s="107"/>
      <c r="AM166" s="105"/>
      <c r="AO166" s="13"/>
      <c r="AP166" s="107"/>
      <c r="AQ166" s="107"/>
      <c r="AR166" s="105"/>
      <c r="AT166" s="13"/>
      <c r="AU166" s="107"/>
      <c r="AV166" s="107"/>
      <c r="AW166" s="105"/>
      <c r="AY166" s="13"/>
      <c r="AZ166" s="107"/>
      <c r="BA166" s="107"/>
      <c r="BB166" s="105"/>
      <c r="BD166" s="13"/>
      <c r="BE166" s="107"/>
      <c r="BF166" s="107"/>
      <c r="BG166" s="105"/>
      <c r="BI166" s="13"/>
      <c r="BJ166" s="107"/>
      <c r="BK166" s="107"/>
      <c r="BL166" s="105"/>
      <c r="BN166" s="38"/>
      <c r="BO166" s="13"/>
      <c r="BP166" s="107"/>
      <c r="BQ166" s="107"/>
      <c r="BR166" s="105"/>
      <c r="BT166" s="13"/>
      <c r="BU166" s="107"/>
      <c r="BV166" s="107"/>
      <c r="BW166" s="105"/>
      <c r="BY166" s="13"/>
      <c r="BZ166" s="107"/>
      <c r="CA166" s="107"/>
      <c r="CB166" s="105"/>
      <c r="CD166" s="13"/>
      <c r="CE166" s="107"/>
      <c r="CF166" s="107"/>
      <c r="CG166" s="105"/>
      <c r="CI166" s="13"/>
      <c r="CJ166" s="107"/>
      <c r="CK166" s="107"/>
      <c r="CL166" s="105"/>
      <c r="CN166" s="13"/>
      <c r="CO166" s="107"/>
      <c r="CP166" s="107"/>
      <c r="CQ166" s="105"/>
      <c r="CS166" s="38"/>
      <c r="CT166" s="13"/>
      <c r="CU166" s="107"/>
      <c r="CV166" s="107"/>
      <c r="CW166" s="105"/>
      <c r="CY166" s="13"/>
      <c r="CZ166" s="107"/>
      <c r="DA166" s="107"/>
      <c r="DB166" s="105"/>
      <c r="DD166" s="13"/>
      <c r="DE166" s="107"/>
      <c r="DF166" s="107"/>
      <c r="DG166" s="105"/>
      <c r="DI166" s="13"/>
      <c r="DJ166" s="107"/>
      <c r="DK166" s="107"/>
      <c r="DL166" s="105"/>
      <c r="DN166" s="13"/>
      <c r="DO166" s="107"/>
      <c r="DP166" s="107"/>
      <c r="DQ166" s="105"/>
      <c r="DS166" s="13"/>
      <c r="DT166" s="107"/>
      <c r="DU166" s="107"/>
      <c r="DV166" s="105"/>
      <c r="DX166" s="38"/>
      <c r="DY166" s="13"/>
      <c r="DZ166" s="107"/>
      <c r="EA166" s="107"/>
      <c r="EB166" s="105"/>
      <c r="ED166" s="13"/>
      <c r="EE166" s="107"/>
      <c r="EF166" s="107"/>
      <c r="EG166" s="105"/>
      <c r="EI166" s="13"/>
      <c r="EJ166" s="107"/>
      <c r="EK166" s="107"/>
      <c r="EL166" s="105"/>
      <c r="EN166" s="13"/>
      <c r="EO166" s="107"/>
      <c r="EP166" s="107"/>
      <c r="EQ166" s="105"/>
      <c r="ES166" s="13"/>
      <c r="ET166" s="107"/>
      <c r="EU166" s="107"/>
      <c r="EV166" s="105"/>
      <c r="EX166" s="13"/>
      <c r="EY166" s="107"/>
      <c r="EZ166" s="107"/>
      <c r="FA166" s="105"/>
      <c r="FC166" s="38"/>
      <c r="FD166" s="13"/>
      <c r="FE166" s="107"/>
      <c r="FF166" s="107"/>
      <c r="FG166" s="105"/>
      <c r="FI166" s="13"/>
      <c r="FJ166" s="107"/>
      <c r="FK166" s="107"/>
      <c r="FL166" s="105"/>
      <c r="FN166" s="13"/>
      <c r="FO166" s="107"/>
      <c r="FP166" s="107"/>
      <c r="FQ166" s="105"/>
      <c r="FS166" s="13"/>
      <c r="FT166" s="107"/>
      <c r="FU166" s="107"/>
      <c r="FV166" s="105"/>
      <c r="FX166" s="13"/>
      <c r="FY166" s="107"/>
      <c r="FZ166" s="107"/>
      <c r="GA166" s="105"/>
      <c r="GC166" s="13"/>
      <c r="GD166" s="107"/>
      <c r="GE166" s="107"/>
      <c r="GF166" s="105"/>
      <c r="GH166" s="38"/>
      <c r="GI166" s="13"/>
      <c r="GJ166" s="107"/>
      <c r="GK166" s="107"/>
      <c r="GL166" s="105"/>
      <c r="GN166" s="13"/>
      <c r="GO166" s="107"/>
      <c r="GP166" s="107"/>
      <c r="GQ166" s="105"/>
      <c r="GS166" s="13"/>
      <c r="GT166" s="107"/>
      <c r="GU166" s="107"/>
      <c r="GV166" s="105"/>
      <c r="GX166" s="13"/>
      <c r="GY166" s="107"/>
      <c r="GZ166" s="107"/>
      <c r="HA166" s="105"/>
      <c r="HC166" s="13"/>
      <c r="HD166" s="107"/>
      <c r="HE166" s="107"/>
      <c r="HF166" s="105"/>
      <c r="HH166" s="13"/>
      <c r="HI166" s="107"/>
      <c r="HJ166" s="107"/>
      <c r="HK166" s="105"/>
      <c r="HM166" s="38"/>
      <c r="HN166" s="13"/>
      <c r="HO166" s="107"/>
      <c r="HP166" s="107"/>
      <c r="HQ166" s="105"/>
      <c r="HS166" s="13"/>
      <c r="HT166" s="107"/>
      <c r="HU166" s="107"/>
      <c r="HV166" s="105"/>
      <c r="HX166" s="13"/>
      <c r="HY166" s="107"/>
      <c r="HZ166" s="107"/>
      <c r="IA166" s="105"/>
      <c r="IC166" s="13"/>
      <c r="ID166" s="107"/>
      <c r="IE166" s="107"/>
      <c r="IF166" s="105"/>
      <c r="IH166" s="13"/>
      <c r="II166" s="107"/>
      <c r="IJ166" s="107"/>
      <c r="IK166" s="105"/>
      <c r="IM166" s="13"/>
      <c r="IN166" s="107"/>
      <c r="IO166" s="107"/>
      <c r="IP166" s="105"/>
      <c r="IR166" s="38"/>
      <c r="IS166" s="13"/>
      <c r="IT166" s="107"/>
      <c r="IU166" s="107"/>
      <c r="IV166" s="105"/>
      <c r="IX166" s="13"/>
      <c r="IY166" s="107"/>
      <c r="IZ166" s="107"/>
      <c r="JA166" s="105"/>
      <c r="JC166" s="13"/>
      <c r="JD166" s="107"/>
      <c r="JE166" s="107"/>
      <c r="JF166" s="105"/>
      <c r="JH166" s="13"/>
      <c r="JI166" s="107"/>
      <c r="JJ166" s="107"/>
      <c r="JK166" s="105"/>
      <c r="JM166" s="13"/>
      <c r="JN166" s="107"/>
      <c r="JO166" s="107"/>
      <c r="JP166" s="105"/>
      <c r="JR166" s="13"/>
      <c r="JS166" s="107"/>
      <c r="JT166" s="107"/>
      <c r="JU166" s="105"/>
      <c r="JW166" s="38"/>
      <c r="JX166" s="13"/>
      <c r="JY166" s="107"/>
      <c r="JZ166" s="107"/>
      <c r="KA166" s="105"/>
      <c r="KC166" s="13"/>
      <c r="KD166" s="107"/>
      <c r="KE166" s="107"/>
      <c r="KF166" s="105"/>
      <c r="KH166" s="13"/>
      <c r="KI166" s="107"/>
      <c r="KJ166" s="107"/>
      <c r="KK166" s="105"/>
      <c r="KM166" s="13"/>
      <c r="KN166" s="107"/>
      <c r="KO166" s="107"/>
      <c r="KP166" s="105"/>
      <c r="KR166" s="13"/>
      <c r="KS166" s="107"/>
      <c r="KT166" s="107"/>
      <c r="KU166" s="105"/>
      <c r="KW166" s="13"/>
      <c r="KX166" s="107"/>
      <c r="KY166" s="107"/>
      <c r="KZ166" s="105"/>
      <c r="LB166" s="38"/>
      <c r="LC166" s="13"/>
      <c r="LD166" s="107"/>
      <c r="LE166" s="107"/>
      <c r="LF166" s="105"/>
      <c r="LH166" s="13"/>
      <c r="LI166" s="107"/>
      <c r="LJ166" s="107"/>
      <c r="LK166" s="105"/>
      <c r="LM166" s="13"/>
      <c r="LN166" s="107"/>
      <c r="LO166" s="107"/>
      <c r="LP166" s="105"/>
      <c r="LR166" s="13"/>
      <c r="LS166" s="107"/>
      <c r="LT166" s="107"/>
      <c r="LU166" s="105"/>
      <c r="LW166" s="13"/>
      <c r="LX166" s="107"/>
      <c r="LY166" s="107"/>
      <c r="LZ166" s="105"/>
      <c r="MB166" s="13"/>
      <c r="MC166" s="107"/>
      <c r="MD166" s="107"/>
      <c r="ME166" s="105"/>
      <c r="MG166" s="38"/>
      <c r="MH166" s="13"/>
      <c r="MI166" s="107"/>
      <c r="MJ166" s="107"/>
      <c r="MK166" s="105"/>
      <c r="MM166" s="13"/>
      <c r="MN166" s="107"/>
      <c r="MO166" s="107"/>
      <c r="MP166" s="105"/>
      <c r="MR166" s="13"/>
      <c r="MS166" s="107"/>
      <c r="MT166" s="107"/>
      <c r="MU166" s="105"/>
      <c r="MW166" s="13"/>
      <c r="MX166" s="107"/>
      <c r="MY166" s="107"/>
      <c r="MZ166" s="105"/>
      <c r="NB166" s="13"/>
      <c r="NC166" s="107"/>
      <c r="ND166" s="107"/>
      <c r="NE166" s="105"/>
      <c r="NG166" s="13"/>
      <c r="NH166" s="107"/>
      <c r="NI166" s="107"/>
      <c r="NJ166" s="105"/>
      <c r="NL166" s="38"/>
      <c r="NM166" s="13"/>
      <c r="NN166" s="107"/>
      <c r="NO166" s="107"/>
      <c r="NP166" s="105"/>
      <c r="NR166" s="13"/>
      <c r="NS166" s="107"/>
      <c r="NT166" s="107"/>
      <c r="NU166" s="105"/>
      <c r="NW166" s="13"/>
      <c r="NX166" s="107"/>
      <c r="NY166" s="107"/>
      <c r="NZ166" s="105"/>
      <c r="OB166" s="13"/>
      <c r="OC166" s="107"/>
      <c r="OD166" s="107"/>
      <c r="OE166" s="105"/>
      <c r="OG166" s="13"/>
      <c r="OH166" s="107"/>
      <c r="OI166" s="107"/>
      <c r="OJ166" s="105"/>
      <c r="OL166" s="13"/>
      <c r="OM166" s="107"/>
      <c r="ON166" s="107"/>
      <c r="OO166" s="105"/>
    </row>
    <row r="167" ht="15.75" customHeight="1">
      <c r="A167" s="42"/>
      <c r="B167" s="42"/>
      <c r="C167" s="42"/>
      <c r="D167" s="38">
        <f t="shared" si="383"/>
        <v>45974</v>
      </c>
      <c r="E167" s="31" t="str">
        <f t="shared" ref="E167:I167" si="386">AY8</f>
        <v/>
      </c>
      <c r="F167" s="31" t="str">
        <f t="shared" si="386"/>
        <v/>
      </c>
      <c r="G167" s="31" t="str">
        <f t="shared" si="386"/>
        <v/>
      </c>
      <c r="H167" s="13" t="str">
        <f t="shared" si="386"/>
        <v/>
      </c>
      <c r="I167" s="13" t="str">
        <f t="shared" si="386"/>
        <v/>
      </c>
      <c r="J167" s="107" t="str">
        <f t="array" ref="J167">IFERROR(IF(XLOOKUP(CONCAT(E167,F167),'MASTER PLAN'!$AB:$AB,'MASTER PLAN'!$M:$M,0,0)=0,"",XLOOKUP(CONCAT(E167,F167),'MASTER PLAN'!$AB:$AB,'MASTER PLAN'!$M:$M,0,0)),"")</f>
        <v/>
      </c>
      <c r="K167" s="107">
        <f t="shared" si="237"/>
        <v>0</v>
      </c>
      <c r="L167" s="107">
        <f t="shared" si="238"/>
        <v>0</v>
      </c>
      <c r="M167" s="105" t="s">
        <v>246</v>
      </c>
      <c r="O167" s="13"/>
      <c r="P167" s="107"/>
      <c r="Q167" s="107"/>
      <c r="R167" s="105"/>
      <c r="T167" s="13"/>
      <c r="U167" s="107"/>
      <c r="V167" s="107"/>
      <c r="W167" s="105"/>
      <c r="Y167" s="13"/>
      <c r="Z167" s="107"/>
      <c r="AA167" s="107"/>
      <c r="AB167" s="105"/>
      <c r="AD167" s="13"/>
      <c r="AE167" s="107"/>
      <c r="AF167" s="107"/>
      <c r="AG167" s="105"/>
      <c r="AI167" s="38"/>
      <c r="AJ167" s="13"/>
      <c r="AK167" s="107"/>
      <c r="AL167" s="107"/>
      <c r="AM167" s="105"/>
      <c r="AO167" s="13"/>
      <c r="AP167" s="107"/>
      <c r="AQ167" s="107"/>
      <c r="AR167" s="105"/>
      <c r="AT167" s="13"/>
      <c r="AU167" s="107"/>
      <c r="AV167" s="107"/>
      <c r="AW167" s="105"/>
      <c r="AY167" s="13"/>
      <c r="AZ167" s="107"/>
      <c r="BA167" s="107"/>
      <c r="BB167" s="105"/>
      <c r="BD167" s="13"/>
      <c r="BE167" s="107"/>
      <c r="BF167" s="107"/>
      <c r="BG167" s="105"/>
      <c r="BI167" s="13"/>
      <c r="BJ167" s="107"/>
      <c r="BK167" s="107"/>
      <c r="BL167" s="105"/>
      <c r="BN167" s="38"/>
      <c r="BO167" s="13"/>
      <c r="BP167" s="107"/>
      <c r="BQ167" s="107"/>
      <c r="BR167" s="105"/>
      <c r="BT167" s="13"/>
      <c r="BU167" s="107"/>
      <c r="BV167" s="107"/>
      <c r="BW167" s="105"/>
      <c r="BY167" s="13"/>
      <c r="BZ167" s="107"/>
      <c r="CA167" s="107"/>
      <c r="CB167" s="105"/>
      <c r="CD167" s="13"/>
      <c r="CE167" s="107"/>
      <c r="CF167" s="107"/>
      <c r="CG167" s="105"/>
      <c r="CI167" s="13"/>
      <c r="CJ167" s="107"/>
      <c r="CK167" s="107"/>
      <c r="CL167" s="105"/>
      <c r="CN167" s="13"/>
      <c r="CO167" s="107"/>
      <c r="CP167" s="107"/>
      <c r="CQ167" s="105"/>
      <c r="CS167" s="38"/>
      <c r="CT167" s="13"/>
      <c r="CU167" s="107"/>
      <c r="CV167" s="107"/>
      <c r="CW167" s="105"/>
      <c r="CY167" s="13"/>
      <c r="CZ167" s="107"/>
      <c r="DA167" s="107"/>
      <c r="DB167" s="105"/>
      <c r="DD167" s="13"/>
      <c r="DE167" s="107"/>
      <c r="DF167" s="107"/>
      <c r="DG167" s="105"/>
      <c r="DI167" s="13"/>
      <c r="DJ167" s="107"/>
      <c r="DK167" s="107"/>
      <c r="DL167" s="105"/>
      <c r="DN167" s="13"/>
      <c r="DO167" s="107"/>
      <c r="DP167" s="107"/>
      <c r="DQ167" s="105"/>
      <c r="DS167" s="13"/>
      <c r="DT167" s="107"/>
      <c r="DU167" s="107"/>
      <c r="DV167" s="105"/>
      <c r="DX167" s="38"/>
      <c r="DY167" s="13"/>
      <c r="DZ167" s="107"/>
      <c r="EA167" s="107"/>
      <c r="EB167" s="105"/>
      <c r="ED167" s="13"/>
      <c r="EE167" s="107"/>
      <c r="EF167" s="107"/>
      <c r="EG167" s="105"/>
      <c r="EI167" s="13"/>
      <c r="EJ167" s="107"/>
      <c r="EK167" s="107"/>
      <c r="EL167" s="105"/>
      <c r="EN167" s="13"/>
      <c r="EO167" s="107"/>
      <c r="EP167" s="107"/>
      <c r="EQ167" s="105"/>
      <c r="ES167" s="13"/>
      <c r="ET167" s="107"/>
      <c r="EU167" s="107"/>
      <c r="EV167" s="105"/>
      <c r="EX167" s="13"/>
      <c r="EY167" s="107"/>
      <c r="EZ167" s="107"/>
      <c r="FA167" s="105"/>
      <c r="FC167" s="38"/>
      <c r="FD167" s="13"/>
      <c r="FE167" s="107"/>
      <c r="FF167" s="107"/>
      <c r="FG167" s="105"/>
      <c r="FI167" s="13"/>
      <c r="FJ167" s="107"/>
      <c r="FK167" s="107"/>
      <c r="FL167" s="105"/>
      <c r="FN167" s="13"/>
      <c r="FO167" s="107"/>
      <c r="FP167" s="107"/>
      <c r="FQ167" s="105"/>
      <c r="FS167" s="13"/>
      <c r="FT167" s="107"/>
      <c r="FU167" s="107"/>
      <c r="FV167" s="105"/>
      <c r="FX167" s="13"/>
      <c r="FY167" s="107"/>
      <c r="FZ167" s="107"/>
      <c r="GA167" s="105"/>
      <c r="GC167" s="13"/>
      <c r="GD167" s="107"/>
      <c r="GE167" s="107"/>
      <c r="GF167" s="105"/>
      <c r="GH167" s="38"/>
      <c r="GI167" s="13"/>
      <c r="GJ167" s="107"/>
      <c r="GK167" s="107"/>
      <c r="GL167" s="105"/>
      <c r="GN167" s="13"/>
      <c r="GO167" s="107"/>
      <c r="GP167" s="107"/>
      <c r="GQ167" s="105"/>
      <c r="GS167" s="13"/>
      <c r="GT167" s="107"/>
      <c r="GU167" s="107"/>
      <c r="GV167" s="105"/>
      <c r="GX167" s="13"/>
      <c r="GY167" s="107"/>
      <c r="GZ167" s="107"/>
      <c r="HA167" s="105"/>
      <c r="HC167" s="13"/>
      <c r="HD167" s="107"/>
      <c r="HE167" s="107"/>
      <c r="HF167" s="105"/>
      <c r="HH167" s="13"/>
      <c r="HI167" s="107"/>
      <c r="HJ167" s="107"/>
      <c r="HK167" s="105"/>
      <c r="HM167" s="38"/>
      <c r="HN167" s="13"/>
      <c r="HO167" s="107"/>
      <c r="HP167" s="107"/>
      <c r="HQ167" s="105"/>
      <c r="HS167" s="13"/>
      <c r="HT167" s="107"/>
      <c r="HU167" s="107"/>
      <c r="HV167" s="105"/>
      <c r="HX167" s="13"/>
      <c r="HY167" s="107"/>
      <c r="HZ167" s="107"/>
      <c r="IA167" s="105"/>
      <c r="IC167" s="13"/>
      <c r="ID167" s="107"/>
      <c r="IE167" s="107"/>
      <c r="IF167" s="105"/>
      <c r="IH167" s="13"/>
      <c r="II167" s="107"/>
      <c r="IJ167" s="107"/>
      <c r="IK167" s="105"/>
      <c r="IM167" s="13"/>
      <c r="IN167" s="107"/>
      <c r="IO167" s="107"/>
      <c r="IP167" s="105"/>
      <c r="IR167" s="38"/>
      <c r="IS167" s="13"/>
      <c r="IT167" s="107"/>
      <c r="IU167" s="107"/>
      <c r="IV167" s="105"/>
      <c r="IX167" s="13"/>
      <c r="IY167" s="107"/>
      <c r="IZ167" s="107"/>
      <c r="JA167" s="105"/>
      <c r="JC167" s="13"/>
      <c r="JD167" s="107"/>
      <c r="JE167" s="107"/>
      <c r="JF167" s="105"/>
      <c r="JH167" s="13"/>
      <c r="JI167" s="107"/>
      <c r="JJ167" s="107"/>
      <c r="JK167" s="105"/>
      <c r="JM167" s="13"/>
      <c r="JN167" s="107"/>
      <c r="JO167" s="107"/>
      <c r="JP167" s="105"/>
      <c r="JR167" s="13"/>
      <c r="JS167" s="107"/>
      <c r="JT167" s="107"/>
      <c r="JU167" s="105"/>
      <c r="JW167" s="38"/>
      <c r="JX167" s="13"/>
      <c r="JY167" s="107"/>
      <c r="JZ167" s="107"/>
      <c r="KA167" s="105"/>
      <c r="KC167" s="13"/>
      <c r="KD167" s="107"/>
      <c r="KE167" s="107"/>
      <c r="KF167" s="105"/>
      <c r="KH167" s="13"/>
      <c r="KI167" s="107"/>
      <c r="KJ167" s="107"/>
      <c r="KK167" s="105"/>
      <c r="KM167" s="13"/>
      <c r="KN167" s="107"/>
      <c r="KO167" s="107"/>
      <c r="KP167" s="105"/>
      <c r="KR167" s="13"/>
      <c r="KS167" s="107"/>
      <c r="KT167" s="107"/>
      <c r="KU167" s="105"/>
      <c r="KW167" s="13"/>
      <c r="KX167" s="107"/>
      <c r="KY167" s="107"/>
      <c r="KZ167" s="105"/>
      <c r="LB167" s="38"/>
      <c r="LC167" s="13"/>
      <c r="LD167" s="107"/>
      <c r="LE167" s="107"/>
      <c r="LF167" s="105"/>
      <c r="LH167" s="13"/>
      <c r="LI167" s="107"/>
      <c r="LJ167" s="107"/>
      <c r="LK167" s="105"/>
      <c r="LM167" s="13"/>
      <c r="LN167" s="107"/>
      <c r="LO167" s="107"/>
      <c r="LP167" s="105"/>
      <c r="LR167" s="13"/>
      <c r="LS167" s="107"/>
      <c r="LT167" s="107"/>
      <c r="LU167" s="105"/>
      <c r="LW167" s="13"/>
      <c r="LX167" s="107"/>
      <c r="LY167" s="107"/>
      <c r="LZ167" s="105"/>
      <c r="MB167" s="13"/>
      <c r="MC167" s="107"/>
      <c r="MD167" s="107"/>
      <c r="ME167" s="105"/>
      <c r="MG167" s="38"/>
      <c r="MH167" s="13"/>
      <c r="MI167" s="107"/>
      <c r="MJ167" s="107"/>
      <c r="MK167" s="105"/>
      <c r="MM167" s="13"/>
      <c r="MN167" s="107"/>
      <c r="MO167" s="107"/>
      <c r="MP167" s="105"/>
      <c r="MR167" s="13"/>
      <c r="MS167" s="107"/>
      <c r="MT167" s="107"/>
      <c r="MU167" s="105"/>
      <c r="MW167" s="13"/>
      <c r="MX167" s="107"/>
      <c r="MY167" s="107"/>
      <c r="MZ167" s="105"/>
      <c r="NB167" s="13"/>
      <c r="NC167" s="107"/>
      <c r="ND167" s="107"/>
      <c r="NE167" s="105"/>
      <c r="NG167" s="13"/>
      <c r="NH167" s="107"/>
      <c r="NI167" s="107"/>
      <c r="NJ167" s="105"/>
      <c r="NL167" s="38"/>
      <c r="NM167" s="13"/>
      <c r="NN167" s="107"/>
      <c r="NO167" s="107"/>
      <c r="NP167" s="105"/>
      <c r="NR167" s="13"/>
      <c r="NS167" s="107"/>
      <c r="NT167" s="107"/>
      <c r="NU167" s="105"/>
      <c r="NW167" s="13"/>
      <c r="NX167" s="107"/>
      <c r="NY167" s="107"/>
      <c r="NZ167" s="105"/>
      <c r="OB167" s="13"/>
      <c r="OC167" s="107"/>
      <c r="OD167" s="107"/>
      <c r="OE167" s="105"/>
      <c r="OG167" s="13"/>
      <c r="OH167" s="107"/>
      <c r="OI167" s="107"/>
      <c r="OJ167" s="105"/>
      <c r="OL167" s="13"/>
      <c r="OM167" s="107"/>
      <c r="ON167" s="107"/>
      <c r="OO167" s="105"/>
    </row>
    <row r="168" ht="15.75" customHeight="1">
      <c r="A168" s="42"/>
      <c r="B168" s="42"/>
      <c r="C168" s="42"/>
      <c r="D168" s="38">
        <f t="shared" si="383"/>
        <v>45974</v>
      </c>
      <c r="E168" s="31" t="str">
        <f t="shared" ref="E168:I168" si="387">AY12</f>
        <v/>
      </c>
      <c r="F168" s="31" t="str">
        <f t="shared" si="387"/>
        <v/>
      </c>
      <c r="G168" s="31" t="str">
        <f t="shared" si="387"/>
        <v/>
      </c>
      <c r="H168" s="13" t="str">
        <f t="shared" si="387"/>
        <v/>
      </c>
      <c r="I168" s="13" t="str">
        <f t="shared" si="387"/>
        <v/>
      </c>
      <c r="J168" s="107" t="str">
        <f t="array" ref="J168">IFERROR(IF(XLOOKUP(CONCAT(E168,F168),'MASTER PLAN'!$AB:$AB,'MASTER PLAN'!$M:$M,0,0)=0,"",XLOOKUP(CONCAT(E168,F168),'MASTER PLAN'!$AB:$AB,'MASTER PLAN'!$M:$M,0,0)),"")</f>
        <v/>
      </c>
      <c r="K168" s="107">
        <f t="shared" si="237"/>
        <v>0</v>
      </c>
      <c r="L168" s="107">
        <f t="shared" si="238"/>
        <v>0</v>
      </c>
      <c r="M168" s="105" t="s">
        <v>248</v>
      </c>
      <c r="O168" s="13"/>
      <c r="P168" s="107"/>
      <c r="Q168" s="107"/>
      <c r="R168" s="105"/>
      <c r="T168" s="13"/>
      <c r="U168" s="107"/>
      <c r="V168" s="107"/>
      <c r="W168" s="105"/>
      <c r="Y168" s="13"/>
      <c r="Z168" s="107"/>
      <c r="AA168" s="107"/>
      <c r="AB168" s="105"/>
      <c r="AD168" s="13"/>
      <c r="AE168" s="107"/>
      <c r="AF168" s="107"/>
      <c r="AG168" s="105"/>
      <c r="AI168" s="38"/>
      <c r="AJ168" s="13"/>
      <c r="AK168" s="107"/>
      <c r="AL168" s="107"/>
      <c r="AM168" s="105"/>
      <c r="AO168" s="13"/>
      <c r="AP168" s="107"/>
      <c r="AQ168" s="107"/>
      <c r="AR168" s="105"/>
      <c r="AT168" s="13"/>
      <c r="AU168" s="107"/>
      <c r="AV168" s="107"/>
      <c r="AW168" s="105"/>
      <c r="AY168" s="13"/>
      <c r="AZ168" s="107"/>
      <c r="BA168" s="107"/>
      <c r="BB168" s="105"/>
      <c r="BD168" s="13"/>
      <c r="BE168" s="107"/>
      <c r="BF168" s="107"/>
      <c r="BG168" s="105"/>
      <c r="BI168" s="13"/>
      <c r="BJ168" s="107"/>
      <c r="BK168" s="107"/>
      <c r="BL168" s="105"/>
      <c r="BN168" s="38"/>
      <c r="BO168" s="13"/>
      <c r="BP168" s="107"/>
      <c r="BQ168" s="107"/>
      <c r="BR168" s="105"/>
      <c r="BT168" s="13"/>
      <c r="BU168" s="107"/>
      <c r="BV168" s="107"/>
      <c r="BW168" s="105"/>
      <c r="BY168" s="13"/>
      <c r="BZ168" s="107"/>
      <c r="CA168" s="107"/>
      <c r="CB168" s="105"/>
      <c r="CD168" s="13"/>
      <c r="CE168" s="107"/>
      <c r="CF168" s="107"/>
      <c r="CG168" s="105"/>
      <c r="CI168" s="13"/>
      <c r="CJ168" s="107"/>
      <c r="CK168" s="107"/>
      <c r="CL168" s="105"/>
      <c r="CN168" s="13"/>
      <c r="CO168" s="107"/>
      <c r="CP168" s="107"/>
      <c r="CQ168" s="105"/>
      <c r="CS168" s="38"/>
      <c r="CT168" s="13"/>
      <c r="CU168" s="107"/>
      <c r="CV168" s="107"/>
      <c r="CW168" s="105"/>
      <c r="CY168" s="13"/>
      <c r="CZ168" s="107"/>
      <c r="DA168" s="107"/>
      <c r="DB168" s="105"/>
      <c r="DD168" s="13"/>
      <c r="DE168" s="107"/>
      <c r="DF168" s="107"/>
      <c r="DG168" s="105"/>
      <c r="DI168" s="13"/>
      <c r="DJ168" s="107"/>
      <c r="DK168" s="107"/>
      <c r="DL168" s="105"/>
      <c r="DN168" s="13"/>
      <c r="DO168" s="107"/>
      <c r="DP168" s="107"/>
      <c r="DQ168" s="105"/>
      <c r="DS168" s="13"/>
      <c r="DT168" s="107"/>
      <c r="DU168" s="107"/>
      <c r="DV168" s="105"/>
      <c r="DX168" s="38"/>
      <c r="DY168" s="13"/>
      <c r="DZ168" s="107"/>
      <c r="EA168" s="107"/>
      <c r="EB168" s="105"/>
      <c r="ED168" s="13"/>
      <c r="EE168" s="107"/>
      <c r="EF168" s="107"/>
      <c r="EG168" s="105"/>
      <c r="EI168" s="13"/>
      <c r="EJ168" s="107"/>
      <c r="EK168" s="107"/>
      <c r="EL168" s="105"/>
      <c r="EN168" s="13"/>
      <c r="EO168" s="107"/>
      <c r="EP168" s="107"/>
      <c r="EQ168" s="105"/>
      <c r="ES168" s="13"/>
      <c r="ET168" s="107"/>
      <c r="EU168" s="107"/>
      <c r="EV168" s="105"/>
      <c r="EX168" s="13"/>
      <c r="EY168" s="107"/>
      <c r="EZ168" s="107"/>
      <c r="FA168" s="105"/>
      <c r="FC168" s="38"/>
      <c r="FD168" s="13"/>
      <c r="FE168" s="107"/>
      <c r="FF168" s="107"/>
      <c r="FG168" s="105"/>
      <c r="FI168" s="13"/>
      <c r="FJ168" s="107"/>
      <c r="FK168" s="107"/>
      <c r="FL168" s="105"/>
      <c r="FN168" s="13"/>
      <c r="FO168" s="107"/>
      <c r="FP168" s="107"/>
      <c r="FQ168" s="105"/>
      <c r="FS168" s="13"/>
      <c r="FT168" s="107"/>
      <c r="FU168" s="107"/>
      <c r="FV168" s="105"/>
      <c r="FX168" s="13"/>
      <c r="FY168" s="107"/>
      <c r="FZ168" s="107"/>
      <c r="GA168" s="105"/>
      <c r="GC168" s="13"/>
      <c r="GD168" s="107"/>
      <c r="GE168" s="107"/>
      <c r="GF168" s="105"/>
      <c r="GH168" s="38"/>
      <c r="GI168" s="13"/>
      <c r="GJ168" s="107"/>
      <c r="GK168" s="107"/>
      <c r="GL168" s="105"/>
      <c r="GN168" s="13"/>
      <c r="GO168" s="107"/>
      <c r="GP168" s="107"/>
      <c r="GQ168" s="105"/>
      <c r="GS168" s="13"/>
      <c r="GT168" s="107"/>
      <c r="GU168" s="107"/>
      <c r="GV168" s="105"/>
      <c r="GX168" s="13"/>
      <c r="GY168" s="107"/>
      <c r="GZ168" s="107"/>
      <c r="HA168" s="105"/>
      <c r="HC168" s="13"/>
      <c r="HD168" s="107"/>
      <c r="HE168" s="107"/>
      <c r="HF168" s="105"/>
      <c r="HH168" s="13"/>
      <c r="HI168" s="107"/>
      <c r="HJ168" s="107"/>
      <c r="HK168" s="105"/>
      <c r="HM168" s="38"/>
      <c r="HN168" s="13"/>
      <c r="HO168" s="107"/>
      <c r="HP168" s="107"/>
      <c r="HQ168" s="105"/>
      <c r="HS168" s="13"/>
      <c r="HT168" s="107"/>
      <c r="HU168" s="107"/>
      <c r="HV168" s="105"/>
      <c r="HX168" s="13"/>
      <c r="HY168" s="107"/>
      <c r="HZ168" s="107"/>
      <c r="IA168" s="105"/>
      <c r="IC168" s="13"/>
      <c r="ID168" s="107"/>
      <c r="IE168" s="107"/>
      <c r="IF168" s="105"/>
      <c r="IH168" s="13"/>
      <c r="II168" s="107"/>
      <c r="IJ168" s="107"/>
      <c r="IK168" s="105"/>
      <c r="IM168" s="13"/>
      <c r="IN168" s="107"/>
      <c r="IO168" s="107"/>
      <c r="IP168" s="105"/>
      <c r="IR168" s="38"/>
      <c r="IS168" s="13"/>
      <c r="IT168" s="107"/>
      <c r="IU168" s="107"/>
      <c r="IV168" s="105"/>
      <c r="IX168" s="13"/>
      <c r="IY168" s="107"/>
      <c r="IZ168" s="107"/>
      <c r="JA168" s="105"/>
      <c r="JC168" s="13"/>
      <c r="JD168" s="107"/>
      <c r="JE168" s="107"/>
      <c r="JF168" s="105"/>
      <c r="JH168" s="13"/>
      <c r="JI168" s="107"/>
      <c r="JJ168" s="107"/>
      <c r="JK168" s="105"/>
      <c r="JM168" s="13"/>
      <c r="JN168" s="107"/>
      <c r="JO168" s="107"/>
      <c r="JP168" s="105"/>
      <c r="JR168" s="13"/>
      <c r="JS168" s="107"/>
      <c r="JT168" s="107"/>
      <c r="JU168" s="105"/>
      <c r="JW168" s="38"/>
      <c r="JX168" s="13"/>
      <c r="JY168" s="107"/>
      <c r="JZ168" s="107"/>
      <c r="KA168" s="105"/>
      <c r="KC168" s="13"/>
      <c r="KD168" s="107"/>
      <c r="KE168" s="107"/>
      <c r="KF168" s="105"/>
      <c r="KH168" s="13"/>
      <c r="KI168" s="107"/>
      <c r="KJ168" s="107"/>
      <c r="KK168" s="105"/>
      <c r="KM168" s="13"/>
      <c r="KN168" s="107"/>
      <c r="KO168" s="107"/>
      <c r="KP168" s="105"/>
      <c r="KR168" s="13"/>
      <c r="KS168" s="107"/>
      <c r="KT168" s="107"/>
      <c r="KU168" s="105"/>
      <c r="KW168" s="13"/>
      <c r="KX168" s="107"/>
      <c r="KY168" s="107"/>
      <c r="KZ168" s="105"/>
      <c r="LB168" s="38"/>
      <c r="LC168" s="13"/>
      <c r="LD168" s="107"/>
      <c r="LE168" s="107"/>
      <c r="LF168" s="105"/>
      <c r="LH168" s="13"/>
      <c r="LI168" s="107"/>
      <c r="LJ168" s="107"/>
      <c r="LK168" s="105"/>
      <c r="LM168" s="13"/>
      <c r="LN168" s="107"/>
      <c r="LO168" s="107"/>
      <c r="LP168" s="105"/>
      <c r="LR168" s="13"/>
      <c r="LS168" s="107"/>
      <c r="LT168" s="107"/>
      <c r="LU168" s="105"/>
      <c r="LW168" s="13"/>
      <c r="LX168" s="107"/>
      <c r="LY168" s="107"/>
      <c r="LZ168" s="105"/>
      <c r="MB168" s="13"/>
      <c r="MC168" s="107"/>
      <c r="MD168" s="107"/>
      <c r="ME168" s="105"/>
      <c r="MG168" s="38"/>
      <c r="MH168" s="13"/>
      <c r="MI168" s="107"/>
      <c r="MJ168" s="107"/>
      <c r="MK168" s="105"/>
      <c r="MM168" s="13"/>
      <c r="MN168" s="107"/>
      <c r="MO168" s="107"/>
      <c r="MP168" s="105"/>
      <c r="MR168" s="13"/>
      <c r="MS168" s="107"/>
      <c r="MT168" s="107"/>
      <c r="MU168" s="105"/>
      <c r="MW168" s="13"/>
      <c r="MX168" s="107"/>
      <c r="MY168" s="107"/>
      <c r="MZ168" s="105"/>
      <c r="NB168" s="13"/>
      <c r="NC168" s="107"/>
      <c r="ND168" s="107"/>
      <c r="NE168" s="105"/>
      <c r="NG168" s="13"/>
      <c r="NH168" s="107"/>
      <c r="NI168" s="107"/>
      <c r="NJ168" s="105"/>
      <c r="NL168" s="38"/>
      <c r="NM168" s="13"/>
      <c r="NN168" s="107"/>
      <c r="NO168" s="107"/>
      <c r="NP168" s="105"/>
      <c r="NR168" s="13"/>
      <c r="NS168" s="107"/>
      <c r="NT168" s="107"/>
      <c r="NU168" s="105"/>
      <c r="NW168" s="13"/>
      <c r="NX168" s="107"/>
      <c r="NY168" s="107"/>
      <c r="NZ168" s="105"/>
      <c r="OB168" s="13"/>
      <c r="OC168" s="107"/>
      <c r="OD168" s="107"/>
      <c r="OE168" s="105"/>
      <c r="OG168" s="13"/>
      <c r="OH168" s="107"/>
      <c r="OI168" s="107"/>
      <c r="OJ168" s="105"/>
      <c r="OL168" s="13"/>
      <c r="OM168" s="107"/>
      <c r="ON168" s="107"/>
      <c r="OO168" s="105"/>
    </row>
    <row r="169" ht="15.75" customHeight="1">
      <c r="A169" s="42"/>
      <c r="B169" s="42"/>
      <c r="C169" s="42"/>
      <c r="D169" s="38">
        <f t="shared" si="383"/>
        <v>45974</v>
      </c>
      <c r="E169" s="31" t="str">
        <f t="shared" ref="E169:I169" si="388">AY13</f>
        <v/>
      </c>
      <c r="F169" s="31" t="str">
        <f t="shared" si="388"/>
        <v/>
      </c>
      <c r="G169" s="31" t="str">
        <f t="shared" si="388"/>
        <v/>
      </c>
      <c r="H169" s="13" t="str">
        <f t="shared" si="388"/>
        <v/>
      </c>
      <c r="I169" s="13" t="str">
        <f t="shared" si="388"/>
        <v/>
      </c>
      <c r="J169" s="107" t="str">
        <f t="array" ref="J169">IFERROR(IF(XLOOKUP(CONCAT(E169,F169),'MASTER PLAN'!$AB:$AB,'MASTER PLAN'!$M:$M,0,0)=0,"",XLOOKUP(CONCAT(E169,F169),'MASTER PLAN'!$AB:$AB,'MASTER PLAN'!$M:$M,0,0)),"")</f>
        <v/>
      </c>
      <c r="K169" s="107">
        <f t="shared" si="237"/>
        <v>0</v>
      </c>
      <c r="L169" s="107">
        <f t="shared" si="238"/>
        <v>0</v>
      </c>
      <c r="M169" s="105" t="s">
        <v>248</v>
      </c>
      <c r="O169" s="13"/>
      <c r="P169" s="107"/>
      <c r="Q169" s="107"/>
      <c r="R169" s="105"/>
      <c r="T169" s="13"/>
      <c r="U169" s="107"/>
      <c r="V169" s="107"/>
      <c r="W169" s="105"/>
      <c r="Y169" s="13"/>
      <c r="Z169" s="107"/>
      <c r="AA169" s="107"/>
      <c r="AB169" s="105"/>
      <c r="AD169" s="13"/>
      <c r="AE169" s="107"/>
      <c r="AF169" s="107"/>
      <c r="AG169" s="105"/>
      <c r="AI169" s="38"/>
      <c r="AJ169" s="13"/>
      <c r="AK169" s="107"/>
      <c r="AL169" s="107"/>
      <c r="AM169" s="105"/>
      <c r="AO169" s="13"/>
      <c r="AP169" s="107"/>
      <c r="AQ169" s="107"/>
      <c r="AR169" s="105"/>
      <c r="AT169" s="13"/>
      <c r="AU169" s="107"/>
      <c r="AV169" s="107"/>
      <c r="AW169" s="105"/>
      <c r="AY169" s="13"/>
      <c r="AZ169" s="107"/>
      <c r="BA169" s="107"/>
      <c r="BB169" s="105"/>
      <c r="BD169" s="13"/>
      <c r="BE169" s="107"/>
      <c r="BF169" s="107"/>
      <c r="BG169" s="105"/>
      <c r="BI169" s="13"/>
      <c r="BJ169" s="107"/>
      <c r="BK169" s="107"/>
      <c r="BL169" s="105"/>
      <c r="BN169" s="38"/>
      <c r="BO169" s="13"/>
      <c r="BP169" s="107"/>
      <c r="BQ169" s="107"/>
      <c r="BR169" s="105"/>
      <c r="BT169" s="13"/>
      <c r="BU169" s="107"/>
      <c r="BV169" s="107"/>
      <c r="BW169" s="105"/>
      <c r="BY169" s="13"/>
      <c r="BZ169" s="107"/>
      <c r="CA169" s="107"/>
      <c r="CB169" s="105"/>
      <c r="CD169" s="13"/>
      <c r="CE169" s="107"/>
      <c r="CF169" s="107"/>
      <c r="CG169" s="105"/>
      <c r="CI169" s="13"/>
      <c r="CJ169" s="107"/>
      <c r="CK169" s="107"/>
      <c r="CL169" s="105"/>
      <c r="CN169" s="13"/>
      <c r="CO169" s="107"/>
      <c r="CP169" s="107"/>
      <c r="CQ169" s="105"/>
      <c r="CS169" s="38"/>
      <c r="CT169" s="13"/>
      <c r="CU169" s="107"/>
      <c r="CV169" s="107"/>
      <c r="CW169" s="105"/>
      <c r="CY169" s="13"/>
      <c r="CZ169" s="107"/>
      <c r="DA169" s="107"/>
      <c r="DB169" s="105"/>
      <c r="DD169" s="13"/>
      <c r="DE169" s="107"/>
      <c r="DF169" s="107"/>
      <c r="DG169" s="105"/>
      <c r="DI169" s="13"/>
      <c r="DJ169" s="107"/>
      <c r="DK169" s="107"/>
      <c r="DL169" s="105"/>
      <c r="DN169" s="13"/>
      <c r="DO169" s="107"/>
      <c r="DP169" s="107"/>
      <c r="DQ169" s="105"/>
      <c r="DS169" s="13"/>
      <c r="DT169" s="107"/>
      <c r="DU169" s="107"/>
      <c r="DV169" s="105"/>
      <c r="DX169" s="38"/>
      <c r="DY169" s="13"/>
      <c r="DZ169" s="107"/>
      <c r="EA169" s="107"/>
      <c r="EB169" s="105"/>
      <c r="ED169" s="13"/>
      <c r="EE169" s="107"/>
      <c r="EF169" s="107"/>
      <c r="EG169" s="105"/>
      <c r="EI169" s="13"/>
      <c r="EJ169" s="107"/>
      <c r="EK169" s="107"/>
      <c r="EL169" s="105"/>
      <c r="EN169" s="13"/>
      <c r="EO169" s="107"/>
      <c r="EP169" s="107"/>
      <c r="EQ169" s="105"/>
      <c r="ES169" s="13"/>
      <c r="ET169" s="107"/>
      <c r="EU169" s="107"/>
      <c r="EV169" s="105"/>
      <c r="EX169" s="13"/>
      <c r="EY169" s="107"/>
      <c r="EZ169" s="107"/>
      <c r="FA169" s="105"/>
      <c r="FC169" s="38"/>
      <c r="FD169" s="13"/>
      <c r="FE169" s="107"/>
      <c r="FF169" s="107"/>
      <c r="FG169" s="105"/>
      <c r="FI169" s="13"/>
      <c r="FJ169" s="107"/>
      <c r="FK169" s="107"/>
      <c r="FL169" s="105"/>
      <c r="FN169" s="13"/>
      <c r="FO169" s="107"/>
      <c r="FP169" s="107"/>
      <c r="FQ169" s="105"/>
      <c r="FS169" s="13"/>
      <c r="FT169" s="107"/>
      <c r="FU169" s="107"/>
      <c r="FV169" s="105"/>
      <c r="FX169" s="13"/>
      <c r="FY169" s="107"/>
      <c r="FZ169" s="107"/>
      <c r="GA169" s="105"/>
      <c r="GC169" s="13"/>
      <c r="GD169" s="107"/>
      <c r="GE169" s="107"/>
      <c r="GF169" s="105"/>
      <c r="GH169" s="38"/>
      <c r="GI169" s="13"/>
      <c r="GJ169" s="107"/>
      <c r="GK169" s="107"/>
      <c r="GL169" s="105"/>
      <c r="GN169" s="13"/>
      <c r="GO169" s="107"/>
      <c r="GP169" s="107"/>
      <c r="GQ169" s="105"/>
      <c r="GS169" s="13"/>
      <c r="GT169" s="107"/>
      <c r="GU169" s="107"/>
      <c r="GV169" s="105"/>
      <c r="GX169" s="13"/>
      <c r="GY169" s="107"/>
      <c r="GZ169" s="107"/>
      <c r="HA169" s="105"/>
      <c r="HC169" s="13"/>
      <c r="HD169" s="107"/>
      <c r="HE169" s="107"/>
      <c r="HF169" s="105"/>
      <c r="HH169" s="13"/>
      <c r="HI169" s="107"/>
      <c r="HJ169" s="107"/>
      <c r="HK169" s="105"/>
      <c r="HM169" s="38"/>
      <c r="HN169" s="13"/>
      <c r="HO169" s="107"/>
      <c r="HP169" s="107"/>
      <c r="HQ169" s="105"/>
      <c r="HS169" s="13"/>
      <c r="HT169" s="107"/>
      <c r="HU169" s="107"/>
      <c r="HV169" s="105"/>
      <c r="HX169" s="13"/>
      <c r="HY169" s="107"/>
      <c r="HZ169" s="107"/>
      <c r="IA169" s="105"/>
      <c r="IC169" s="13"/>
      <c r="ID169" s="107"/>
      <c r="IE169" s="107"/>
      <c r="IF169" s="105"/>
      <c r="IH169" s="13"/>
      <c r="II169" s="107"/>
      <c r="IJ169" s="107"/>
      <c r="IK169" s="105"/>
      <c r="IM169" s="13"/>
      <c r="IN169" s="107"/>
      <c r="IO169" s="107"/>
      <c r="IP169" s="105"/>
      <c r="IR169" s="38"/>
      <c r="IS169" s="13"/>
      <c r="IT169" s="107"/>
      <c r="IU169" s="107"/>
      <c r="IV169" s="105"/>
      <c r="IX169" s="13"/>
      <c r="IY169" s="107"/>
      <c r="IZ169" s="107"/>
      <c r="JA169" s="105"/>
      <c r="JC169" s="13"/>
      <c r="JD169" s="107"/>
      <c r="JE169" s="107"/>
      <c r="JF169" s="105"/>
      <c r="JH169" s="13"/>
      <c r="JI169" s="107"/>
      <c r="JJ169" s="107"/>
      <c r="JK169" s="105"/>
      <c r="JM169" s="13"/>
      <c r="JN169" s="107"/>
      <c r="JO169" s="107"/>
      <c r="JP169" s="105"/>
      <c r="JR169" s="13"/>
      <c r="JS169" s="107"/>
      <c r="JT169" s="107"/>
      <c r="JU169" s="105"/>
      <c r="JW169" s="38"/>
      <c r="JX169" s="13"/>
      <c r="JY169" s="107"/>
      <c r="JZ169" s="107"/>
      <c r="KA169" s="105"/>
      <c r="KC169" s="13"/>
      <c r="KD169" s="107"/>
      <c r="KE169" s="107"/>
      <c r="KF169" s="105"/>
      <c r="KH169" s="13"/>
      <c r="KI169" s="107"/>
      <c r="KJ169" s="107"/>
      <c r="KK169" s="105"/>
      <c r="KM169" s="13"/>
      <c r="KN169" s="107"/>
      <c r="KO169" s="107"/>
      <c r="KP169" s="105"/>
      <c r="KR169" s="13"/>
      <c r="KS169" s="107"/>
      <c r="KT169" s="107"/>
      <c r="KU169" s="105"/>
      <c r="KW169" s="13"/>
      <c r="KX169" s="107"/>
      <c r="KY169" s="107"/>
      <c r="KZ169" s="105"/>
      <c r="LB169" s="38"/>
      <c r="LC169" s="13"/>
      <c r="LD169" s="107"/>
      <c r="LE169" s="107"/>
      <c r="LF169" s="105"/>
      <c r="LH169" s="13"/>
      <c r="LI169" s="107"/>
      <c r="LJ169" s="107"/>
      <c r="LK169" s="105"/>
      <c r="LM169" s="13"/>
      <c r="LN169" s="107"/>
      <c r="LO169" s="107"/>
      <c r="LP169" s="105"/>
      <c r="LR169" s="13"/>
      <c r="LS169" s="107"/>
      <c r="LT169" s="107"/>
      <c r="LU169" s="105"/>
      <c r="LW169" s="13"/>
      <c r="LX169" s="107"/>
      <c r="LY169" s="107"/>
      <c r="LZ169" s="105"/>
      <c r="MB169" s="13"/>
      <c r="MC169" s="107"/>
      <c r="MD169" s="107"/>
      <c r="ME169" s="105"/>
      <c r="MG169" s="38"/>
      <c r="MH169" s="13"/>
      <c r="MI169" s="107"/>
      <c r="MJ169" s="107"/>
      <c r="MK169" s="105"/>
      <c r="MM169" s="13"/>
      <c r="MN169" s="107"/>
      <c r="MO169" s="107"/>
      <c r="MP169" s="105"/>
      <c r="MR169" s="13"/>
      <c r="MS169" s="107"/>
      <c r="MT169" s="107"/>
      <c r="MU169" s="105"/>
      <c r="MW169" s="13"/>
      <c r="MX169" s="107"/>
      <c r="MY169" s="107"/>
      <c r="MZ169" s="105"/>
      <c r="NB169" s="13"/>
      <c r="NC169" s="107"/>
      <c r="ND169" s="107"/>
      <c r="NE169" s="105"/>
      <c r="NG169" s="13"/>
      <c r="NH169" s="107"/>
      <c r="NI169" s="107"/>
      <c r="NJ169" s="105"/>
      <c r="NL169" s="38"/>
      <c r="NM169" s="13"/>
      <c r="NN169" s="107"/>
      <c r="NO169" s="107"/>
      <c r="NP169" s="105"/>
      <c r="NR169" s="13"/>
      <c r="NS169" s="107"/>
      <c r="NT169" s="107"/>
      <c r="NU169" s="105"/>
      <c r="NW169" s="13"/>
      <c r="NX169" s="107"/>
      <c r="NY169" s="107"/>
      <c r="NZ169" s="105"/>
      <c r="OB169" s="13"/>
      <c r="OC169" s="107"/>
      <c r="OD169" s="107"/>
      <c r="OE169" s="105"/>
      <c r="OG169" s="13"/>
      <c r="OH169" s="107"/>
      <c r="OI169" s="107"/>
      <c r="OJ169" s="105"/>
      <c r="OL169" s="13"/>
      <c r="OM169" s="107"/>
      <c r="ON169" s="107"/>
      <c r="OO169" s="105"/>
    </row>
    <row r="170" ht="15.75" customHeight="1">
      <c r="A170" s="42"/>
      <c r="B170" s="42"/>
      <c r="C170" s="42"/>
      <c r="D170" s="38">
        <f t="shared" si="383"/>
        <v>45974</v>
      </c>
      <c r="E170" s="31" t="str">
        <f t="shared" ref="E170:I170" si="389">AY14</f>
        <v/>
      </c>
      <c r="F170" s="31" t="str">
        <f t="shared" si="389"/>
        <v/>
      </c>
      <c r="G170" s="31" t="str">
        <f t="shared" si="389"/>
        <v/>
      </c>
      <c r="H170" s="13" t="str">
        <f t="shared" si="389"/>
        <v/>
      </c>
      <c r="I170" s="13" t="str">
        <f t="shared" si="389"/>
        <v/>
      </c>
      <c r="J170" s="107" t="str">
        <f t="array" ref="J170">IFERROR(IF(XLOOKUP(CONCAT(E170,F170),'MASTER PLAN'!$AB:$AB,'MASTER PLAN'!$M:$M,0,0)=0,"",XLOOKUP(CONCAT(E170,F170),'MASTER PLAN'!$AB:$AB,'MASTER PLAN'!$M:$M,0,0)),"")</f>
        <v/>
      </c>
      <c r="K170" s="107">
        <f t="shared" si="237"/>
        <v>0</v>
      </c>
      <c r="L170" s="107">
        <f t="shared" si="238"/>
        <v>0</v>
      </c>
      <c r="M170" s="105" t="s">
        <v>248</v>
      </c>
      <c r="O170" s="13"/>
      <c r="P170" s="107"/>
      <c r="Q170" s="107"/>
      <c r="R170" s="105"/>
      <c r="T170" s="13"/>
      <c r="U170" s="107"/>
      <c r="V170" s="107"/>
      <c r="W170" s="105"/>
      <c r="Y170" s="13"/>
      <c r="Z170" s="107"/>
      <c r="AA170" s="107"/>
      <c r="AB170" s="105"/>
      <c r="AD170" s="13"/>
      <c r="AE170" s="107"/>
      <c r="AF170" s="107"/>
      <c r="AG170" s="105"/>
      <c r="AI170" s="38"/>
      <c r="AJ170" s="13"/>
      <c r="AK170" s="107"/>
      <c r="AL170" s="107"/>
      <c r="AM170" s="105"/>
      <c r="AO170" s="13"/>
      <c r="AP170" s="107"/>
      <c r="AQ170" s="107"/>
      <c r="AR170" s="105"/>
      <c r="AT170" s="13"/>
      <c r="AU170" s="107"/>
      <c r="AV170" s="107"/>
      <c r="AW170" s="105"/>
      <c r="AY170" s="13"/>
      <c r="AZ170" s="107"/>
      <c r="BA170" s="107"/>
      <c r="BB170" s="105"/>
      <c r="BD170" s="13"/>
      <c r="BE170" s="107"/>
      <c r="BF170" s="107"/>
      <c r="BG170" s="105"/>
      <c r="BI170" s="13"/>
      <c r="BJ170" s="107"/>
      <c r="BK170" s="107"/>
      <c r="BL170" s="105"/>
      <c r="BN170" s="38"/>
      <c r="BO170" s="13"/>
      <c r="BP170" s="107"/>
      <c r="BQ170" s="107"/>
      <c r="BR170" s="105"/>
      <c r="BT170" s="13"/>
      <c r="BU170" s="107"/>
      <c r="BV170" s="107"/>
      <c r="BW170" s="105"/>
      <c r="BY170" s="13"/>
      <c r="BZ170" s="107"/>
      <c r="CA170" s="107"/>
      <c r="CB170" s="105"/>
      <c r="CD170" s="13"/>
      <c r="CE170" s="107"/>
      <c r="CF170" s="107"/>
      <c r="CG170" s="105"/>
      <c r="CI170" s="13"/>
      <c r="CJ170" s="107"/>
      <c r="CK170" s="107"/>
      <c r="CL170" s="105"/>
      <c r="CN170" s="13"/>
      <c r="CO170" s="107"/>
      <c r="CP170" s="107"/>
      <c r="CQ170" s="105"/>
      <c r="CS170" s="38"/>
      <c r="CT170" s="13"/>
      <c r="CU170" s="107"/>
      <c r="CV170" s="107"/>
      <c r="CW170" s="105"/>
      <c r="CY170" s="13"/>
      <c r="CZ170" s="107"/>
      <c r="DA170" s="107"/>
      <c r="DB170" s="105"/>
      <c r="DD170" s="13"/>
      <c r="DE170" s="107"/>
      <c r="DF170" s="107"/>
      <c r="DG170" s="105"/>
      <c r="DI170" s="13"/>
      <c r="DJ170" s="107"/>
      <c r="DK170" s="107"/>
      <c r="DL170" s="105"/>
      <c r="DN170" s="13"/>
      <c r="DO170" s="107"/>
      <c r="DP170" s="107"/>
      <c r="DQ170" s="105"/>
      <c r="DS170" s="13"/>
      <c r="DT170" s="107"/>
      <c r="DU170" s="107"/>
      <c r="DV170" s="105"/>
      <c r="DX170" s="38"/>
      <c r="DY170" s="13"/>
      <c r="DZ170" s="107"/>
      <c r="EA170" s="107"/>
      <c r="EB170" s="105"/>
      <c r="ED170" s="13"/>
      <c r="EE170" s="107"/>
      <c r="EF170" s="107"/>
      <c r="EG170" s="105"/>
      <c r="EI170" s="13"/>
      <c r="EJ170" s="107"/>
      <c r="EK170" s="107"/>
      <c r="EL170" s="105"/>
      <c r="EN170" s="13"/>
      <c r="EO170" s="107"/>
      <c r="EP170" s="107"/>
      <c r="EQ170" s="105"/>
      <c r="ES170" s="13"/>
      <c r="ET170" s="107"/>
      <c r="EU170" s="107"/>
      <c r="EV170" s="105"/>
      <c r="EX170" s="13"/>
      <c r="EY170" s="107"/>
      <c r="EZ170" s="107"/>
      <c r="FA170" s="105"/>
      <c r="FC170" s="38"/>
      <c r="FD170" s="13"/>
      <c r="FE170" s="107"/>
      <c r="FF170" s="107"/>
      <c r="FG170" s="105"/>
      <c r="FI170" s="13"/>
      <c r="FJ170" s="107"/>
      <c r="FK170" s="107"/>
      <c r="FL170" s="105"/>
      <c r="FN170" s="13"/>
      <c r="FO170" s="107"/>
      <c r="FP170" s="107"/>
      <c r="FQ170" s="105"/>
      <c r="FS170" s="13"/>
      <c r="FT170" s="107"/>
      <c r="FU170" s="107"/>
      <c r="FV170" s="105"/>
      <c r="FX170" s="13"/>
      <c r="FY170" s="107"/>
      <c r="FZ170" s="107"/>
      <c r="GA170" s="105"/>
      <c r="GC170" s="13"/>
      <c r="GD170" s="107"/>
      <c r="GE170" s="107"/>
      <c r="GF170" s="105"/>
      <c r="GH170" s="38"/>
      <c r="GI170" s="13"/>
      <c r="GJ170" s="107"/>
      <c r="GK170" s="107"/>
      <c r="GL170" s="105"/>
      <c r="GN170" s="13"/>
      <c r="GO170" s="107"/>
      <c r="GP170" s="107"/>
      <c r="GQ170" s="105"/>
      <c r="GS170" s="13"/>
      <c r="GT170" s="107"/>
      <c r="GU170" s="107"/>
      <c r="GV170" s="105"/>
      <c r="GX170" s="13"/>
      <c r="GY170" s="107"/>
      <c r="GZ170" s="107"/>
      <c r="HA170" s="105"/>
      <c r="HC170" s="13"/>
      <c r="HD170" s="107"/>
      <c r="HE170" s="107"/>
      <c r="HF170" s="105"/>
      <c r="HH170" s="13"/>
      <c r="HI170" s="107"/>
      <c r="HJ170" s="107"/>
      <c r="HK170" s="105"/>
      <c r="HM170" s="38"/>
      <c r="HN170" s="13"/>
      <c r="HO170" s="107"/>
      <c r="HP170" s="107"/>
      <c r="HQ170" s="105"/>
      <c r="HS170" s="13"/>
      <c r="HT170" s="107"/>
      <c r="HU170" s="107"/>
      <c r="HV170" s="105"/>
      <c r="HX170" s="13"/>
      <c r="HY170" s="107"/>
      <c r="HZ170" s="107"/>
      <c r="IA170" s="105"/>
      <c r="IC170" s="13"/>
      <c r="ID170" s="107"/>
      <c r="IE170" s="107"/>
      <c r="IF170" s="105"/>
      <c r="IH170" s="13"/>
      <c r="II170" s="107"/>
      <c r="IJ170" s="107"/>
      <c r="IK170" s="105"/>
      <c r="IM170" s="13"/>
      <c r="IN170" s="107"/>
      <c r="IO170" s="107"/>
      <c r="IP170" s="105"/>
      <c r="IR170" s="38"/>
      <c r="IS170" s="13"/>
      <c r="IT170" s="107"/>
      <c r="IU170" s="107"/>
      <c r="IV170" s="105"/>
      <c r="IX170" s="13"/>
      <c r="IY170" s="107"/>
      <c r="IZ170" s="107"/>
      <c r="JA170" s="105"/>
      <c r="JC170" s="13"/>
      <c r="JD170" s="107"/>
      <c r="JE170" s="107"/>
      <c r="JF170" s="105"/>
      <c r="JH170" s="13"/>
      <c r="JI170" s="107"/>
      <c r="JJ170" s="107"/>
      <c r="JK170" s="105"/>
      <c r="JM170" s="13"/>
      <c r="JN170" s="107"/>
      <c r="JO170" s="107"/>
      <c r="JP170" s="105"/>
      <c r="JR170" s="13"/>
      <c r="JS170" s="107"/>
      <c r="JT170" s="107"/>
      <c r="JU170" s="105"/>
      <c r="JW170" s="38"/>
      <c r="JX170" s="13"/>
      <c r="JY170" s="107"/>
      <c r="JZ170" s="107"/>
      <c r="KA170" s="105"/>
      <c r="KC170" s="13"/>
      <c r="KD170" s="107"/>
      <c r="KE170" s="107"/>
      <c r="KF170" s="105"/>
      <c r="KH170" s="13"/>
      <c r="KI170" s="107"/>
      <c r="KJ170" s="107"/>
      <c r="KK170" s="105"/>
      <c r="KM170" s="13"/>
      <c r="KN170" s="107"/>
      <c r="KO170" s="107"/>
      <c r="KP170" s="105"/>
      <c r="KR170" s="13"/>
      <c r="KS170" s="107"/>
      <c r="KT170" s="107"/>
      <c r="KU170" s="105"/>
      <c r="KW170" s="13"/>
      <c r="KX170" s="107"/>
      <c r="KY170" s="107"/>
      <c r="KZ170" s="105"/>
      <c r="LB170" s="38"/>
      <c r="LC170" s="13"/>
      <c r="LD170" s="107"/>
      <c r="LE170" s="107"/>
      <c r="LF170" s="105"/>
      <c r="LH170" s="13"/>
      <c r="LI170" s="107"/>
      <c r="LJ170" s="107"/>
      <c r="LK170" s="105"/>
      <c r="LM170" s="13"/>
      <c r="LN170" s="107"/>
      <c r="LO170" s="107"/>
      <c r="LP170" s="105"/>
      <c r="LR170" s="13"/>
      <c r="LS170" s="107"/>
      <c r="LT170" s="107"/>
      <c r="LU170" s="105"/>
      <c r="LW170" s="13"/>
      <c r="LX170" s="107"/>
      <c r="LY170" s="107"/>
      <c r="LZ170" s="105"/>
      <c r="MB170" s="13"/>
      <c r="MC170" s="107"/>
      <c r="MD170" s="107"/>
      <c r="ME170" s="105"/>
      <c r="MG170" s="38"/>
      <c r="MH170" s="13"/>
      <c r="MI170" s="107"/>
      <c r="MJ170" s="107"/>
      <c r="MK170" s="105"/>
      <c r="MM170" s="13"/>
      <c r="MN170" s="107"/>
      <c r="MO170" s="107"/>
      <c r="MP170" s="105"/>
      <c r="MR170" s="13"/>
      <c r="MS170" s="107"/>
      <c r="MT170" s="107"/>
      <c r="MU170" s="105"/>
      <c r="MW170" s="13"/>
      <c r="MX170" s="107"/>
      <c r="MY170" s="107"/>
      <c r="MZ170" s="105"/>
      <c r="NB170" s="13"/>
      <c r="NC170" s="107"/>
      <c r="ND170" s="107"/>
      <c r="NE170" s="105"/>
      <c r="NG170" s="13"/>
      <c r="NH170" s="107"/>
      <c r="NI170" s="107"/>
      <c r="NJ170" s="105"/>
      <c r="NL170" s="38"/>
      <c r="NM170" s="13"/>
      <c r="NN170" s="107"/>
      <c r="NO170" s="107"/>
      <c r="NP170" s="105"/>
      <c r="NR170" s="13"/>
      <c r="NS170" s="107"/>
      <c r="NT170" s="107"/>
      <c r="NU170" s="105"/>
      <c r="NW170" s="13"/>
      <c r="NX170" s="107"/>
      <c r="NY170" s="107"/>
      <c r="NZ170" s="105"/>
      <c r="OB170" s="13"/>
      <c r="OC170" s="107"/>
      <c r="OD170" s="107"/>
      <c r="OE170" s="105"/>
      <c r="OG170" s="13"/>
      <c r="OH170" s="107"/>
      <c r="OI170" s="107"/>
      <c r="OJ170" s="105"/>
      <c r="OL170" s="13"/>
      <c r="OM170" s="107"/>
      <c r="ON170" s="107"/>
      <c r="OO170" s="105"/>
    </row>
    <row r="171" ht="15.75" customHeight="1">
      <c r="A171" s="42"/>
      <c r="B171" s="42"/>
      <c r="C171" s="42"/>
      <c r="D171" s="38">
        <f t="shared" si="383"/>
        <v>45974</v>
      </c>
      <c r="E171" s="31" t="str">
        <f t="shared" ref="E171:I171" si="390">AY15</f>
        <v/>
      </c>
      <c r="F171" s="31" t="str">
        <f t="shared" si="390"/>
        <v/>
      </c>
      <c r="G171" s="31" t="str">
        <f t="shared" si="390"/>
        <v/>
      </c>
      <c r="H171" s="13" t="str">
        <f t="shared" si="390"/>
        <v/>
      </c>
      <c r="I171" s="13" t="str">
        <f t="shared" si="390"/>
        <v/>
      </c>
      <c r="J171" s="107" t="str">
        <f t="array" ref="J171">IFERROR(IF(XLOOKUP(CONCAT(E171,F171),'MASTER PLAN'!$AB:$AB,'MASTER PLAN'!$M:$M,0,0)=0,"",XLOOKUP(CONCAT(E171,F171),'MASTER PLAN'!$AB:$AB,'MASTER PLAN'!$M:$M,0,0)),"")</f>
        <v/>
      </c>
      <c r="K171" s="107">
        <f t="shared" si="237"/>
        <v>0</v>
      </c>
      <c r="L171" s="107">
        <f t="shared" si="238"/>
        <v>0</v>
      </c>
      <c r="M171" s="105" t="s">
        <v>248</v>
      </c>
      <c r="O171" s="13"/>
      <c r="P171" s="107"/>
      <c r="Q171" s="107"/>
      <c r="R171" s="105"/>
      <c r="T171" s="13"/>
      <c r="U171" s="107"/>
      <c r="V171" s="107"/>
      <c r="W171" s="105"/>
      <c r="Y171" s="13"/>
      <c r="Z171" s="107"/>
      <c r="AA171" s="107"/>
      <c r="AB171" s="105"/>
      <c r="AD171" s="13"/>
      <c r="AE171" s="107"/>
      <c r="AF171" s="107"/>
      <c r="AG171" s="105"/>
      <c r="AI171" s="38"/>
      <c r="AJ171" s="13"/>
      <c r="AK171" s="107"/>
      <c r="AL171" s="107"/>
      <c r="AM171" s="105"/>
      <c r="AO171" s="13"/>
      <c r="AP171" s="107"/>
      <c r="AQ171" s="107"/>
      <c r="AR171" s="105"/>
      <c r="AT171" s="13"/>
      <c r="AU171" s="107"/>
      <c r="AV171" s="107"/>
      <c r="AW171" s="105"/>
      <c r="AY171" s="13"/>
      <c r="AZ171" s="107"/>
      <c r="BA171" s="107"/>
      <c r="BB171" s="105"/>
      <c r="BD171" s="13"/>
      <c r="BE171" s="107"/>
      <c r="BF171" s="107"/>
      <c r="BG171" s="105"/>
      <c r="BI171" s="13"/>
      <c r="BJ171" s="107"/>
      <c r="BK171" s="107"/>
      <c r="BL171" s="105"/>
      <c r="BN171" s="38"/>
      <c r="BO171" s="13"/>
      <c r="BP171" s="107"/>
      <c r="BQ171" s="107"/>
      <c r="BR171" s="105"/>
      <c r="BT171" s="13"/>
      <c r="BU171" s="107"/>
      <c r="BV171" s="107"/>
      <c r="BW171" s="105"/>
      <c r="BY171" s="13"/>
      <c r="BZ171" s="107"/>
      <c r="CA171" s="107"/>
      <c r="CB171" s="105"/>
      <c r="CD171" s="13"/>
      <c r="CE171" s="107"/>
      <c r="CF171" s="107"/>
      <c r="CG171" s="105"/>
      <c r="CI171" s="13"/>
      <c r="CJ171" s="107"/>
      <c r="CK171" s="107"/>
      <c r="CL171" s="105"/>
      <c r="CN171" s="13"/>
      <c r="CO171" s="107"/>
      <c r="CP171" s="107"/>
      <c r="CQ171" s="105"/>
      <c r="CS171" s="38"/>
      <c r="CT171" s="13"/>
      <c r="CU171" s="107"/>
      <c r="CV171" s="107"/>
      <c r="CW171" s="105"/>
      <c r="CY171" s="13"/>
      <c r="CZ171" s="107"/>
      <c r="DA171" s="107"/>
      <c r="DB171" s="105"/>
      <c r="DD171" s="13"/>
      <c r="DE171" s="107"/>
      <c r="DF171" s="107"/>
      <c r="DG171" s="105"/>
      <c r="DI171" s="13"/>
      <c r="DJ171" s="107"/>
      <c r="DK171" s="107"/>
      <c r="DL171" s="105"/>
      <c r="DN171" s="13"/>
      <c r="DO171" s="107"/>
      <c r="DP171" s="107"/>
      <c r="DQ171" s="105"/>
      <c r="DS171" s="13"/>
      <c r="DT171" s="107"/>
      <c r="DU171" s="107"/>
      <c r="DV171" s="105"/>
      <c r="DX171" s="38"/>
      <c r="DY171" s="13"/>
      <c r="DZ171" s="107"/>
      <c r="EA171" s="107"/>
      <c r="EB171" s="105"/>
      <c r="ED171" s="13"/>
      <c r="EE171" s="107"/>
      <c r="EF171" s="107"/>
      <c r="EG171" s="105"/>
      <c r="EI171" s="13"/>
      <c r="EJ171" s="107"/>
      <c r="EK171" s="107"/>
      <c r="EL171" s="105"/>
      <c r="EN171" s="13"/>
      <c r="EO171" s="107"/>
      <c r="EP171" s="107"/>
      <c r="EQ171" s="105"/>
      <c r="ES171" s="13"/>
      <c r="ET171" s="107"/>
      <c r="EU171" s="107"/>
      <c r="EV171" s="105"/>
      <c r="EX171" s="13"/>
      <c r="EY171" s="107"/>
      <c r="EZ171" s="107"/>
      <c r="FA171" s="105"/>
      <c r="FC171" s="38"/>
      <c r="FD171" s="13"/>
      <c r="FE171" s="107"/>
      <c r="FF171" s="107"/>
      <c r="FG171" s="105"/>
      <c r="FI171" s="13"/>
      <c r="FJ171" s="107"/>
      <c r="FK171" s="107"/>
      <c r="FL171" s="105"/>
      <c r="FN171" s="13"/>
      <c r="FO171" s="107"/>
      <c r="FP171" s="107"/>
      <c r="FQ171" s="105"/>
      <c r="FS171" s="13"/>
      <c r="FT171" s="107"/>
      <c r="FU171" s="107"/>
      <c r="FV171" s="105"/>
      <c r="FX171" s="13"/>
      <c r="FY171" s="107"/>
      <c r="FZ171" s="107"/>
      <c r="GA171" s="105"/>
      <c r="GC171" s="13"/>
      <c r="GD171" s="107"/>
      <c r="GE171" s="107"/>
      <c r="GF171" s="105"/>
      <c r="GH171" s="38"/>
      <c r="GI171" s="13"/>
      <c r="GJ171" s="107"/>
      <c r="GK171" s="107"/>
      <c r="GL171" s="105"/>
      <c r="GN171" s="13"/>
      <c r="GO171" s="107"/>
      <c r="GP171" s="107"/>
      <c r="GQ171" s="105"/>
      <c r="GS171" s="13"/>
      <c r="GT171" s="107"/>
      <c r="GU171" s="107"/>
      <c r="GV171" s="105"/>
      <c r="GX171" s="13"/>
      <c r="GY171" s="107"/>
      <c r="GZ171" s="107"/>
      <c r="HA171" s="105"/>
      <c r="HC171" s="13"/>
      <c r="HD171" s="107"/>
      <c r="HE171" s="107"/>
      <c r="HF171" s="105"/>
      <c r="HH171" s="13"/>
      <c r="HI171" s="107"/>
      <c r="HJ171" s="107"/>
      <c r="HK171" s="105"/>
      <c r="HM171" s="38"/>
      <c r="HN171" s="13"/>
      <c r="HO171" s="107"/>
      <c r="HP171" s="107"/>
      <c r="HQ171" s="105"/>
      <c r="HS171" s="13"/>
      <c r="HT171" s="107"/>
      <c r="HU171" s="107"/>
      <c r="HV171" s="105"/>
      <c r="HX171" s="13"/>
      <c r="HY171" s="107"/>
      <c r="HZ171" s="107"/>
      <c r="IA171" s="105"/>
      <c r="IC171" s="13"/>
      <c r="ID171" s="107"/>
      <c r="IE171" s="107"/>
      <c r="IF171" s="105"/>
      <c r="IH171" s="13"/>
      <c r="II171" s="107"/>
      <c r="IJ171" s="107"/>
      <c r="IK171" s="105"/>
      <c r="IM171" s="13"/>
      <c r="IN171" s="107"/>
      <c r="IO171" s="107"/>
      <c r="IP171" s="105"/>
      <c r="IR171" s="38"/>
      <c r="IS171" s="13"/>
      <c r="IT171" s="107"/>
      <c r="IU171" s="107"/>
      <c r="IV171" s="105"/>
      <c r="IX171" s="13"/>
      <c r="IY171" s="107"/>
      <c r="IZ171" s="107"/>
      <c r="JA171" s="105"/>
      <c r="JC171" s="13"/>
      <c r="JD171" s="107"/>
      <c r="JE171" s="107"/>
      <c r="JF171" s="105"/>
      <c r="JH171" s="13"/>
      <c r="JI171" s="107"/>
      <c r="JJ171" s="107"/>
      <c r="JK171" s="105"/>
      <c r="JM171" s="13"/>
      <c r="JN171" s="107"/>
      <c r="JO171" s="107"/>
      <c r="JP171" s="105"/>
      <c r="JR171" s="13"/>
      <c r="JS171" s="107"/>
      <c r="JT171" s="107"/>
      <c r="JU171" s="105"/>
      <c r="JW171" s="38"/>
      <c r="JX171" s="13"/>
      <c r="JY171" s="107"/>
      <c r="JZ171" s="107"/>
      <c r="KA171" s="105"/>
      <c r="KC171" s="13"/>
      <c r="KD171" s="107"/>
      <c r="KE171" s="107"/>
      <c r="KF171" s="105"/>
      <c r="KH171" s="13"/>
      <c r="KI171" s="107"/>
      <c r="KJ171" s="107"/>
      <c r="KK171" s="105"/>
      <c r="KM171" s="13"/>
      <c r="KN171" s="107"/>
      <c r="KO171" s="107"/>
      <c r="KP171" s="105"/>
      <c r="KR171" s="13"/>
      <c r="KS171" s="107"/>
      <c r="KT171" s="107"/>
      <c r="KU171" s="105"/>
      <c r="KW171" s="13"/>
      <c r="KX171" s="107"/>
      <c r="KY171" s="107"/>
      <c r="KZ171" s="105"/>
      <c r="LB171" s="38"/>
      <c r="LC171" s="13"/>
      <c r="LD171" s="107"/>
      <c r="LE171" s="107"/>
      <c r="LF171" s="105"/>
      <c r="LH171" s="13"/>
      <c r="LI171" s="107"/>
      <c r="LJ171" s="107"/>
      <c r="LK171" s="105"/>
      <c r="LM171" s="13"/>
      <c r="LN171" s="107"/>
      <c r="LO171" s="107"/>
      <c r="LP171" s="105"/>
      <c r="LR171" s="13"/>
      <c r="LS171" s="107"/>
      <c r="LT171" s="107"/>
      <c r="LU171" s="105"/>
      <c r="LW171" s="13"/>
      <c r="LX171" s="107"/>
      <c r="LY171" s="107"/>
      <c r="LZ171" s="105"/>
      <c r="MB171" s="13"/>
      <c r="MC171" s="107"/>
      <c r="MD171" s="107"/>
      <c r="ME171" s="105"/>
      <c r="MG171" s="38"/>
      <c r="MH171" s="13"/>
      <c r="MI171" s="107"/>
      <c r="MJ171" s="107"/>
      <c r="MK171" s="105"/>
      <c r="MM171" s="13"/>
      <c r="MN171" s="107"/>
      <c r="MO171" s="107"/>
      <c r="MP171" s="105"/>
      <c r="MR171" s="13"/>
      <c r="MS171" s="107"/>
      <c r="MT171" s="107"/>
      <c r="MU171" s="105"/>
      <c r="MW171" s="13"/>
      <c r="MX171" s="107"/>
      <c r="MY171" s="107"/>
      <c r="MZ171" s="105"/>
      <c r="NB171" s="13"/>
      <c r="NC171" s="107"/>
      <c r="ND171" s="107"/>
      <c r="NE171" s="105"/>
      <c r="NG171" s="13"/>
      <c r="NH171" s="107"/>
      <c r="NI171" s="107"/>
      <c r="NJ171" s="105"/>
      <c r="NL171" s="38"/>
      <c r="NM171" s="13"/>
      <c r="NN171" s="107"/>
      <c r="NO171" s="107"/>
      <c r="NP171" s="105"/>
      <c r="NR171" s="13"/>
      <c r="NS171" s="107"/>
      <c r="NT171" s="107"/>
      <c r="NU171" s="105"/>
      <c r="NW171" s="13"/>
      <c r="NX171" s="107"/>
      <c r="NY171" s="107"/>
      <c r="NZ171" s="105"/>
      <c r="OB171" s="13"/>
      <c r="OC171" s="107"/>
      <c r="OD171" s="107"/>
      <c r="OE171" s="105"/>
      <c r="OG171" s="13"/>
      <c r="OH171" s="107"/>
      <c r="OI171" s="107"/>
      <c r="OJ171" s="105"/>
      <c r="OL171" s="13"/>
      <c r="OM171" s="107"/>
      <c r="ON171" s="107"/>
      <c r="OO171" s="105"/>
    </row>
    <row r="172" ht="15.75" customHeight="1">
      <c r="A172" s="42"/>
      <c r="B172" s="42"/>
      <c r="C172" s="42"/>
      <c r="D172" s="38">
        <f t="shared" si="383"/>
        <v>45974</v>
      </c>
      <c r="E172" s="31" t="str">
        <f t="shared" ref="E172:I172" si="391">AY16</f>
        <v/>
      </c>
      <c r="F172" s="31" t="str">
        <f t="shared" si="391"/>
        <v/>
      </c>
      <c r="G172" s="31" t="str">
        <f t="shared" si="391"/>
        <v/>
      </c>
      <c r="H172" s="13" t="str">
        <f t="shared" si="391"/>
        <v/>
      </c>
      <c r="I172" s="13" t="str">
        <f t="shared" si="391"/>
        <v/>
      </c>
      <c r="J172" s="107" t="str">
        <f t="array" ref="J172">IFERROR(IF(XLOOKUP(CONCAT(E172,F172),'MASTER PLAN'!$AB:$AB,'MASTER PLAN'!$M:$M,0,0)=0,"",XLOOKUP(CONCAT(E172,F172),'MASTER PLAN'!$AB:$AB,'MASTER PLAN'!$M:$M,0,0)),"")</f>
        <v/>
      </c>
      <c r="K172" s="107">
        <f t="shared" si="237"/>
        <v>0</v>
      </c>
      <c r="L172" s="107">
        <f t="shared" si="238"/>
        <v>0</v>
      </c>
      <c r="M172" s="105" t="s">
        <v>248</v>
      </c>
      <c r="O172" s="13"/>
      <c r="P172" s="107"/>
      <c r="Q172" s="107"/>
      <c r="R172" s="105"/>
      <c r="T172" s="13"/>
      <c r="U172" s="107"/>
      <c r="V172" s="107"/>
      <c r="W172" s="105"/>
      <c r="Y172" s="13"/>
      <c r="Z172" s="107"/>
      <c r="AA172" s="107"/>
      <c r="AB172" s="105"/>
      <c r="AD172" s="13"/>
      <c r="AE172" s="107"/>
      <c r="AF172" s="107"/>
      <c r="AG172" s="105"/>
      <c r="AI172" s="38"/>
      <c r="AJ172" s="13"/>
      <c r="AK172" s="107"/>
      <c r="AL172" s="107"/>
      <c r="AM172" s="105"/>
      <c r="AO172" s="13"/>
      <c r="AP172" s="107"/>
      <c r="AQ172" s="107"/>
      <c r="AR172" s="105"/>
      <c r="AT172" s="13"/>
      <c r="AU172" s="107"/>
      <c r="AV172" s="107"/>
      <c r="AW172" s="105"/>
      <c r="AY172" s="13"/>
      <c r="AZ172" s="107"/>
      <c r="BA172" s="107"/>
      <c r="BB172" s="105"/>
      <c r="BD172" s="13"/>
      <c r="BE172" s="107"/>
      <c r="BF172" s="107"/>
      <c r="BG172" s="105"/>
      <c r="BI172" s="13"/>
      <c r="BJ172" s="107"/>
      <c r="BK172" s="107"/>
      <c r="BL172" s="105"/>
      <c r="BN172" s="38"/>
      <c r="BO172" s="13"/>
      <c r="BP172" s="107"/>
      <c r="BQ172" s="107"/>
      <c r="BR172" s="105"/>
      <c r="BT172" s="13"/>
      <c r="BU172" s="107"/>
      <c r="BV172" s="107"/>
      <c r="BW172" s="105"/>
      <c r="BY172" s="13"/>
      <c r="BZ172" s="107"/>
      <c r="CA172" s="107"/>
      <c r="CB172" s="105"/>
      <c r="CD172" s="13"/>
      <c r="CE172" s="107"/>
      <c r="CF172" s="107"/>
      <c r="CG172" s="105"/>
      <c r="CI172" s="13"/>
      <c r="CJ172" s="107"/>
      <c r="CK172" s="107"/>
      <c r="CL172" s="105"/>
      <c r="CN172" s="13"/>
      <c r="CO172" s="107"/>
      <c r="CP172" s="107"/>
      <c r="CQ172" s="105"/>
      <c r="CS172" s="38"/>
      <c r="CT172" s="13"/>
      <c r="CU172" s="107"/>
      <c r="CV172" s="107"/>
      <c r="CW172" s="105"/>
      <c r="CY172" s="13"/>
      <c r="CZ172" s="107"/>
      <c r="DA172" s="107"/>
      <c r="DB172" s="105"/>
      <c r="DD172" s="13"/>
      <c r="DE172" s="107"/>
      <c r="DF172" s="107"/>
      <c r="DG172" s="105"/>
      <c r="DI172" s="13"/>
      <c r="DJ172" s="107"/>
      <c r="DK172" s="107"/>
      <c r="DL172" s="105"/>
      <c r="DN172" s="13"/>
      <c r="DO172" s="107"/>
      <c r="DP172" s="107"/>
      <c r="DQ172" s="105"/>
      <c r="DS172" s="13"/>
      <c r="DT172" s="107"/>
      <c r="DU172" s="107"/>
      <c r="DV172" s="105"/>
      <c r="DX172" s="38"/>
      <c r="DY172" s="13"/>
      <c r="DZ172" s="107"/>
      <c r="EA172" s="107"/>
      <c r="EB172" s="105"/>
      <c r="ED172" s="13"/>
      <c r="EE172" s="107"/>
      <c r="EF172" s="107"/>
      <c r="EG172" s="105"/>
      <c r="EI172" s="13"/>
      <c r="EJ172" s="107"/>
      <c r="EK172" s="107"/>
      <c r="EL172" s="105"/>
      <c r="EN172" s="13"/>
      <c r="EO172" s="107"/>
      <c r="EP172" s="107"/>
      <c r="EQ172" s="105"/>
      <c r="ES172" s="13"/>
      <c r="ET172" s="107"/>
      <c r="EU172" s="107"/>
      <c r="EV172" s="105"/>
      <c r="EX172" s="13"/>
      <c r="EY172" s="107"/>
      <c r="EZ172" s="107"/>
      <c r="FA172" s="105"/>
      <c r="FC172" s="38"/>
      <c r="FD172" s="13"/>
      <c r="FE172" s="107"/>
      <c r="FF172" s="107"/>
      <c r="FG172" s="105"/>
      <c r="FI172" s="13"/>
      <c r="FJ172" s="107"/>
      <c r="FK172" s="107"/>
      <c r="FL172" s="105"/>
      <c r="FN172" s="13"/>
      <c r="FO172" s="107"/>
      <c r="FP172" s="107"/>
      <c r="FQ172" s="105"/>
      <c r="FS172" s="13"/>
      <c r="FT172" s="107"/>
      <c r="FU172" s="107"/>
      <c r="FV172" s="105"/>
      <c r="FX172" s="13"/>
      <c r="FY172" s="107"/>
      <c r="FZ172" s="107"/>
      <c r="GA172" s="105"/>
      <c r="GC172" s="13"/>
      <c r="GD172" s="107"/>
      <c r="GE172" s="107"/>
      <c r="GF172" s="105"/>
      <c r="GH172" s="38"/>
      <c r="GI172" s="13"/>
      <c r="GJ172" s="107"/>
      <c r="GK172" s="107"/>
      <c r="GL172" s="105"/>
      <c r="GN172" s="13"/>
      <c r="GO172" s="107"/>
      <c r="GP172" s="107"/>
      <c r="GQ172" s="105"/>
      <c r="GS172" s="13"/>
      <c r="GT172" s="107"/>
      <c r="GU172" s="107"/>
      <c r="GV172" s="105"/>
      <c r="GX172" s="13"/>
      <c r="GY172" s="107"/>
      <c r="GZ172" s="107"/>
      <c r="HA172" s="105"/>
      <c r="HC172" s="13"/>
      <c r="HD172" s="107"/>
      <c r="HE172" s="107"/>
      <c r="HF172" s="105"/>
      <c r="HH172" s="13"/>
      <c r="HI172" s="107"/>
      <c r="HJ172" s="107"/>
      <c r="HK172" s="105"/>
      <c r="HM172" s="38"/>
      <c r="HN172" s="13"/>
      <c r="HO172" s="107"/>
      <c r="HP172" s="107"/>
      <c r="HQ172" s="105"/>
      <c r="HS172" s="13"/>
      <c r="HT172" s="107"/>
      <c r="HU172" s="107"/>
      <c r="HV172" s="105"/>
      <c r="HX172" s="13"/>
      <c r="HY172" s="107"/>
      <c r="HZ172" s="107"/>
      <c r="IA172" s="105"/>
      <c r="IC172" s="13"/>
      <c r="ID172" s="107"/>
      <c r="IE172" s="107"/>
      <c r="IF172" s="105"/>
      <c r="IH172" s="13"/>
      <c r="II172" s="107"/>
      <c r="IJ172" s="107"/>
      <c r="IK172" s="105"/>
      <c r="IM172" s="13"/>
      <c r="IN172" s="107"/>
      <c r="IO172" s="107"/>
      <c r="IP172" s="105"/>
      <c r="IR172" s="38"/>
      <c r="IS172" s="13"/>
      <c r="IT172" s="107"/>
      <c r="IU172" s="107"/>
      <c r="IV172" s="105"/>
      <c r="IX172" s="13"/>
      <c r="IY172" s="107"/>
      <c r="IZ172" s="107"/>
      <c r="JA172" s="105"/>
      <c r="JC172" s="13"/>
      <c r="JD172" s="107"/>
      <c r="JE172" s="107"/>
      <c r="JF172" s="105"/>
      <c r="JH172" s="13"/>
      <c r="JI172" s="107"/>
      <c r="JJ172" s="107"/>
      <c r="JK172" s="105"/>
      <c r="JM172" s="13"/>
      <c r="JN172" s="107"/>
      <c r="JO172" s="107"/>
      <c r="JP172" s="105"/>
      <c r="JR172" s="13"/>
      <c r="JS172" s="107"/>
      <c r="JT172" s="107"/>
      <c r="JU172" s="105"/>
      <c r="JW172" s="38"/>
      <c r="JX172" s="13"/>
      <c r="JY172" s="107"/>
      <c r="JZ172" s="107"/>
      <c r="KA172" s="105"/>
      <c r="KC172" s="13"/>
      <c r="KD172" s="107"/>
      <c r="KE172" s="107"/>
      <c r="KF172" s="105"/>
      <c r="KH172" s="13"/>
      <c r="KI172" s="107"/>
      <c r="KJ172" s="107"/>
      <c r="KK172" s="105"/>
      <c r="KM172" s="13"/>
      <c r="KN172" s="107"/>
      <c r="KO172" s="107"/>
      <c r="KP172" s="105"/>
      <c r="KR172" s="13"/>
      <c r="KS172" s="107"/>
      <c r="KT172" s="107"/>
      <c r="KU172" s="105"/>
      <c r="KW172" s="13"/>
      <c r="KX172" s="107"/>
      <c r="KY172" s="107"/>
      <c r="KZ172" s="105"/>
      <c r="LB172" s="38"/>
      <c r="LC172" s="13"/>
      <c r="LD172" s="107"/>
      <c r="LE172" s="107"/>
      <c r="LF172" s="105"/>
      <c r="LH172" s="13"/>
      <c r="LI172" s="107"/>
      <c r="LJ172" s="107"/>
      <c r="LK172" s="105"/>
      <c r="LM172" s="13"/>
      <c r="LN172" s="107"/>
      <c r="LO172" s="107"/>
      <c r="LP172" s="105"/>
      <c r="LR172" s="13"/>
      <c r="LS172" s="107"/>
      <c r="LT172" s="107"/>
      <c r="LU172" s="105"/>
      <c r="LW172" s="13"/>
      <c r="LX172" s="107"/>
      <c r="LY172" s="107"/>
      <c r="LZ172" s="105"/>
      <c r="MB172" s="13"/>
      <c r="MC172" s="107"/>
      <c r="MD172" s="107"/>
      <c r="ME172" s="105"/>
      <c r="MG172" s="38"/>
      <c r="MH172" s="13"/>
      <c r="MI172" s="107"/>
      <c r="MJ172" s="107"/>
      <c r="MK172" s="105"/>
      <c r="MM172" s="13"/>
      <c r="MN172" s="107"/>
      <c r="MO172" s="107"/>
      <c r="MP172" s="105"/>
      <c r="MR172" s="13"/>
      <c r="MS172" s="107"/>
      <c r="MT172" s="107"/>
      <c r="MU172" s="105"/>
      <c r="MW172" s="13"/>
      <c r="MX172" s="107"/>
      <c r="MY172" s="107"/>
      <c r="MZ172" s="105"/>
      <c r="NB172" s="13"/>
      <c r="NC172" s="107"/>
      <c r="ND172" s="107"/>
      <c r="NE172" s="105"/>
      <c r="NG172" s="13"/>
      <c r="NH172" s="107"/>
      <c r="NI172" s="107"/>
      <c r="NJ172" s="105"/>
      <c r="NL172" s="38"/>
      <c r="NM172" s="13"/>
      <c r="NN172" s="107"/>
      <c r="NO172" s="107"/>
      <c r="NP172" s="105"/>
      <c r="NR172" s="13"/>
      <c r="NS172" s="107"/>
      <c r="NT172" s="107"/>
      <c r="NU172" s="105"/>
      <c r="NW172" s="13"/>
      <c r="NX172" s="107"/>
      <c r="NY172" s="107"/>
      <c r="NZ172" s="105"/>
      <c r="OB172" s="13"/>
      <c r="OC172" s="107"/>
      <c r="OD172" s="107"/>
      <c r="OE172" s="105"/>
      <c r="OG172" s="13"/>
      <c r="OH172" s="107"/>
      <c r="OI172" s="107"/>
      <c r="OJ172" s="105"/>
      <c r="OL172" s="13"/>
      <c r="OM172" s="107"/>
      <c r="ON172" s="107"/>
      <c r="OO172" s="105"/>
    </row>
    <row r="173" ht="15.75" customHeight="1">
      <c r="A173" s="42"/>
      <c r="B173" s="42"/>
      <c r="C173" s="42"/>
      <c r="D173" s="38">
        <f t="shared" si="383"/>
        <v>45974</v>
      </c>
      <c r="E173" s="31" t="str">
        <f t="shared" ref="E173:I173" si="392">AY20</f>
        <v/>
      </c>
      <c r="F173" s="31" t="str">
        <f t="shared" si="392"/>
        <v/>
      </c>
      <c r="G173" s="31" t="str">
        <f t="shared" si="392"/>
        <v/>
      </c>
      <c r="H173" s="13" t="str">
        <f t="shared" si="392"/>
        <v/>
      </c>
      <c r="I173" s="13" t="str">
        <f t="shared" si="392"/>
        <v/>
      </c>
      <c r="J173" s="107" t="str">
        <f t="array" ref="J173">IFERROR(IF(XLOOKUP(CONCAT(E173,F173),'MASTER PLAN'!$AB:$AB,'MASTER PLAN'!$M:$M,0,0)=0,"",XLOOKUP(CONCAT(E173,F173),'MASTER PLAN'!$AB:$AB,'MASTER PLAN'!$M:$M,0,0)),"")</f>
        <v/>
      </c>
      <c r="K173" s="107">
        <f t="shared" si="237"/>
        <v>0</v>
      </c>
      <c r="L173" s="107">
        <f t="shared" si="238"/>
        <v>0</v>
      </c>
      <c r="M173" s="105" t="s">
        <v>249</v>
      </c>
      <c r="O173" s="13"/>
      <c r="P173" s="107"/>
      <c r="Q173" s="107"/>
      <c r="R173" s="105"/>
      <c r="T173" s="13"/>
      <c r="U173" s="107"/>
      <c r="V173" s="107"/>
      <c r="W173" s="105"/>
      <c r="Y173" s="13"/>
      <c r="Z173" s="107"/>
      <c r="AA173" s="107"/>
      <c r="AB173" s="105"/>
      <c r="AD173" s="13"/>
      <c r="AE173" s="107"/>
      <c r="AF173" s="107"/>
      <c r="AG173" s="105"/>
      <c r="AI173" s="38"/>
      <c r="AJ173" s="13"/>
      <c r="AK173" s="107"/>
      <c r="AL173" s="107"/>
      <c r="AM173" s="105"/>
      <c r="AO173" s="13"/>
      <c r="AP173" s="107"/>
      <c r="AQ173" s="107"/>
      <c r="AR173" s="105"/>
      <c r="AT173" s="13"/>
      <c r="AU173" s="107"/>
      <c r="AV173" s="107"/>
      <c r="AW173" s="105"/>
      <c r="AY173" s="13"/>
      <c r="AZ173" s="107"/>
      <c r="BA173" s="107"/>
      <c r="BB173" s="105"/>
      <c r="BD173" s="13"/>
      <c r="BE173" s="107"/>
      <c r="BF173" s="107"/>
      <c r="BG173" s="105"/>
      <c r="BI173" s="13"/>
      <c r="BJ173" s="107"/>
      <c r="BK173" s="107"/>
      <c r="BL173" s="105"/>
      <c r="BN173" s="38"/>
      <c r="BO173" s="13"/>
      <c r="BP173" s="107"/>
      <c r="BQ173" s="107"/>
      <c r="BR173" s="105"/>
      <c r="BT173" s="13"/>
      <c r="BU173" s="107"/>
      <c r="BV173" s="107"/>
      <c r="BW173" s="105"/>
      <c r="BY173" s="13"/>
      <c r="BZ173" s="107"/>
      <c r="CA173" s="107"/>
      <c r="CB173" s="105"/>
      <c r="CD173" s="13"/>
      <c r="CE173" s="107"/>
      <c r="CF173" s="107"/>
      <c r="CG173" s="105"/>
      <c r="CI173" s="13"/>
      <c r="CJ173" s="107"/>
      <c r="CK173" s="107"/>
      <c r="CL173" s="105"/>
      <c r="CN173" s="13"/>
      <c r="CO173" s="107"/>
      <c r="CP173" s="107"/>
      <c r="CQ173" s="105"/>
      <c r="CS173" s="38"/>
      <c r="CT173" s="13"/>
      <c r="CU173" s="107"/>
      <c r="CV173" s="107"/>
      <c r="CW173" s="105"/>
      <c r="CY173" s="13"/>
      <c r="CZ173" s="107"/>
      <c r="DA173" s="107"/>
      <c r="DB173" s="105"/>
      <c r="DD173" s="13"/>
      <c r="DE173" s="107"/>
      <c r="DF173" s="107"/>
      <c r="DG173" s="105"/>
      <c r="DI173" s="13"/>
      <c r="DJ173" s="107"/>
      <c r="DK173" s="107"/>
      <c r="DL173" s="105"/>
      <c r="DN173" s="13"/>
      <c r="DO173" s="107"/>
      <c r="DP173" s="107"/>
      <c r="DQ173" s="105"/>
      <c r="DS173" s="13"/>
      <c r="DT173" s="107"/>
      <c r="DU173" s="107"/>
      <c r="DV173" s="105"/>
      <c r="DX173" s="38"/>
      <c r="DY173" s="13"/>
      <c r="DZ173" s="107"/>
      <c r="EA173" s="107"/>
      <c r="EB173" s="105"/>
      <c r="ED173" s="13"/>
      <c r="EE173" s="107"/>
      <c r="EF173" s="107"/>
      <c r="EG173" s="105"/>
      <c r="EI173" s="13"/>
      <c r="EJ173" s="107"/>
      <c r="EK173" s="107"/>
      <c r="EL173" s="105"/>
      <c r="EN173" s="13"/>
      <c r="EO173" s="107"/>
      <c r="EP173" s="107"/>
      <c r="EQ173" s="105"/>
      <c r="ES173" s="13"/>
      <c r="ET173" s="107"/>
      <c r="EU173" s="107"/>
      <c r="EV173" s="105"/>
      <c r="EX173" s="13"/>
      <c r="EY173" s="107"/>
      <c r="EZ173" s="107"/>
      <c r="FA173" s="105"/>
      <c r="FC173" s="38"/>
      <c r="FD173" s="13"/>
      <c r="FE173" s="107"/>
      <c r="FF173" s="107"/>
      <c r="FG173" s="105"/>
      <c r="FI173" s="13"/>
      <c r="FJ173" s="107"/>
      <c r="FK173" s="107"/>
      <c r="FL173" s="105"/>
      <c r="FN173" s="13"/>
      <c r="FO173" s="107"/>
      <c r="FP173" s="107"/>
      <c r="FQ173" s="105"/>
      <c r="FS173" s="13"/>
      <c r="FT173" s="107"/>
      <c r="FU173" s="107"/>
      <c r="FV173" s="105"/>
      <c r="FX173" s="13"/>
      <c r="FY173" s="107"/>
      <c r="FZ173" s="107"/>
      <c r="GA173" s="105"/>
      <c r="GC173" s="13"/>
      <c r="GD173" s="107"/>
      <c r="GE173" s="107"/>
      <c r="GF173" s="105"/>
      <c r="GH173" s="38"/>
      <c r="GI173" s="13"/>
      <c r="GJ173" s="107"/>
      <c r="GK173" s="107"/>
      <c r="GL173" s="105"/>
      <c r="GN173" s="13"/>
      <c r="GO173" s="107"/>
      <c r="GP173" s="107"/>
      <c r="GQ173" s="105"/>
      <c r="GS173" s="13"/>
      <c r="GT173" s="107"/>
      <c r="GU173" s="107"/>
      <c r="GV173" s="105"/>
      <c r="GX173" s="13"/>
      <c r="GY173" s="107"/>
      <c r="GZ173" s="107"/>
      <c r="HA173" s="105"/>
      <c r="HC173" s="13"/>
      <c r="HD173" s="107"/>
      <c r="HE173" s="107"/>
      <c r="HF173" s="105"/>
      <c r="HH173" s="13"/>
      <c r="HI173" s="107"/>
      <c r="HJ173" s="107"/>
      <c r="HK173" s="105"/>
      <c r="HM173" s="38"/>
      <c r="HN173" s="13"/>
      <c r="HO173" s="107"/>
      <c r="HP173" s="107"/>
      <c r="HQ173" s="105"/>
      <c r="HS173" s="13"/>
      <c r="HT173" s="107"/>
      <c r="HU173" s="107"/>
      <c r="HV173" s="105"/>
      <c r="HX173" s="13"/>
      <c r="HY173" s="107"/>
      <c r="HZ173" s="107"/>
      <c r="IA173" s="105"/>
      <c r="IC173" s="13"/>
      <c r="ID173" s="107"/>
      <c r="IE173" s="107"/>
      <c r="IF173" s="105"/>
      <c r="IH173" s="13"/>
      <c r="II173" s="107"/>
      <c r="IJ173" s="107"/>
      <c r="IK173" s="105"/>
      <c r="IM173" s="13"/>
      <c r="IN173" s="107"/>
      <c r="IO173" s="107"/>
      <c r="IP173" s="105"/>
      <c r="IR173" s="38"/>
      <c r="IS173" s="13"/>
      <c r="IT173" s="107"/>
      <c r="IU173" s="107"/>
      <c r="IV173" s="105"/>
      <c r="IX173" s="13"/>
      <c r="IY173" s="107"/>
      <c r="IZ173" s="107"/>
      <c r="JA173" s="105"/>
      <c r="JC173" s="13"/>
      <c r="JD173" s="107"/>
      <c r="JE173" s="107"/>
      <c r="JF173" s="105"/>
      <c r="JH173" s="13"/>
      <c r="JI173" s="107"/>
      <c r="JJ173" s="107"/>
      <c r="JK173" s="105"/>
      <c r="JM173" s="13"/>
      <c r="JN173" s="107"/>
      <c r="JO173" s="107"/>
      <c r="JP173" s="105"/>
      <c r="JR173" s="13"/>
      <c r="JS173" s="107"/>
      <c r="JT173" s="107"/>
      <c r="JU173" s="105"/>
      <c r="JW173" s="38"/>
      <c r="JX173" s="13"/>
      <c r="JY173" s="107"/>
      <c r="JZ173" s="107"/>
      <c r="KA173" s="105"/>
      <c r="KC173" s="13"/>
      <c r="KD173" s="107"/>
      <c r="KE173" s="107"/>
      <c r="KF173" s="105"/>
      <c r="KH173" s="13"/>
      <c r="KI173" s="107"/>
      <c r="KJ173" s="107"/>
      <c r="KK173" s="105"/>
      <c r="KM173" s="13"/>
      <c r="KN173" s="107"/>
      <c r="KO173" s="107"/>
      <c r="KP173" s="105"/>
      <c r="KR173" s="13"/>
      <c r="KS173" s="107"/>
      <c r="KT173" s="107"/>
      <c r="KU173" s="105"/>
      <c r="KW173" s="13"/>
      <c r="KX173" s="107"/>
      <c r="KY173" s="107"/>
      <c r="KZ173" s="105"/>
      <c r="LB173" s="38"/>
      <c r="LC173" s="13"/>
      <c r="LD173" s="107"/>
      <c r="LE173" s="107"/>
      <c r="LF173" s="105"/>
      <c r="LH173" s="13"/>
      <c r="LI173" s="107"/>
      <c r="LJ173" s="107"/>
      <c r="LK173" s="105"/>
      <c r="LM173" s="13"/>
      <c r="LN173" s="107"/>
      <c r="LO173" s="107"/>
      <c r="LP173" s="105"/>
      <c r="LR173" s="13"/>
      <c r="LS173" s="107"/>
      <c r="LT173" s="107"/>
      <c r="LU173" s="105"/>
      <c r="LW173" s="13"/>
      <c r="LX173" s="107"/>
      <c r="LY173" s="107"/>
      <c r="LZ173" s="105"/>
      <c r="MB173" s="13"/>
      <c r="MC173" s="107"/>
      <c r="MD173" s="107"/>
      <c r="ME173" s="105"/>
      <c r="MG173" s="38"/>
      <c r="MH173" s="13"/>
      <c r="MI173" s="107"/>
      <c r="MJ173" s="107"/>
      <c r="MK173" s="105"/>
      <c r="MM173" s="13"/>
      <c r="MN173" s="107"/>
      <c r="MO173" s="107"/>
      <c r="MP173" s="105"/>
      <c r="MR173" s="13"/>
      <c r="MS173" s="107"/>
      <c r="MT173" s="107"/>
      <c r="MU173" s="105"/>
      <c r="MW173" s="13"/>
      <c r="MX173" s="107"/>
      <c r="MY173" s="107"/>
      <c r="MZ173" s="105"/>
      <c r="NB173" s="13"/>
      <c r="NC173" s="107"/>
      <c r="ND173" s="107"/>
      <c r="NE173" s="105"/>
      <c r="NG173" s="13"/>
      <c r="NH173" s="107"/>
      <c r="NI173" s="107"/>
      <c r="NJ173" s="105"/>
      <c r="NL173" s="38"/>
      <c r="NM173" s="13"/>
      <c r="NN173" s="107"/>
      <c r="NO173" s="107"/>
      <c r="NP173" s="105"/>
      <c r="NR173" s="13"/>
      <c r="NS173" s="107"/>
      <c r="NT173" s="107"/>
      <c r="NU173" s="105"/>
      <c r="NW173" s="13"/>
      <c r="NX173" s="107"/>
      <c r="NY173" s="107"/>
      <c r="NZ173" s="105"/>
      <c r="OB173" s="13"/>
      <c r="OC173" s="107"/>
      <c r="OD173" s="107"/>
      <c r="OE173" s="105"/>
      <c r="OG173" s="13"/>
      <c r="OH173" s="107"/>
      <c r="OI173" s="107"/>
      <c r="OJ173" s="105"/>
      <c r="OL173" s="13"/>
      <c r="OM173" s="107"/>
      <c r="ON173" s="107"/>
      <c r="OO173" s="105"/>
    </row>
    <row r="174" ht="15.75" customHeight="1">
      <c r="A174" s="42"/>
      <c r="B174" s="42"/>
      <c r="C174" s="42"/>
      <c r="D174" s="38">
        <f t="shared" si="383"/>
        <v>45974</v>
      </c>
      <c r="E174" s="31" t="str">
        <f t="shared" ref="E174:I174" si="393">AY21</f>
        <v/>
      </c>
      <c r="F174" s="31" t="str">
        <f t="shared" si="393"/>
        <v/>
      </c>
      <c r="G174" s="31" t="str">
        <f t="shared" si="393"/>
        <v/>
      </c>
      <c r="H174" s="13" t="str">
        <f t="shared" si="393"/>
        <v/>
      </c>
      <c r="I174" s="13" t="str">
        <f t="shared" si="393"/>
        <v/>
      </c>
      <c r="J174" s="107" t="str">
        <f t="array" ref="J174">IFERROR(IF(XLOOKUP(CONCAT(E174,F174),'MASTER PLAN'!$AB:$AB,'MASTER PLAN'!$M:$M,0,0)=0,"",XLOOKUP(CONCAT(E174,F174),'MASTER PLAN'!$AB:$AB,'MASTER PLAN'!$M:$M,0,0)),"")</f>
        <v/>
      </c>
      <c r="K174" s="107">
        <f t="shared" si="237"/>
        <v>0</v>
      </c>
      <c r="L174" s="107">
        <f t="shared" si="238"/>
        <v>0</v>
      </c>
      <c r="M174" s="105" t="s">
        <v>249</v>
      </c>
      <c r="O174" s="13"/>
      <c r="P174" s="107"/>
      <c r="Q174" s="107"/>
      <c r="R174" s="105"/>
      <c r="T174" s="13"/>
      <c r="U174" s="107"/>
      <c r="V174" s="107"/>
      <c r="W174" s="105"/>
      <c r="Y174" s="13"/>
      <c r="Z174" s="107"/>
      <c r="AA174" s="107"/>
      <c r="AB174" s="105"/>
      <c r="AD174" s="13"/>
      <c r="AE174" s="107"/>
      <c r="AF174" s="107"/>
      <c r="AG174" s="105"/>
      <c r="AI174" s="38"/>
      <c r="AJ174" s="13"/>
      <c r="AK174" s="107"/>
      <c r="AL174" s="107"/>
      <c r="AM174" s="105"/>
      <c r="AO174" s="13"/>
      <c r="AP174" s="107"/>
      <c r="AQ174" s="107"/>
      <c r="AR174" s="105"/>
      <c r="AT174" s="13"/>
      <c r="AU174" s="107"/>
      <c r="AV174" s="107"/>
      <c r="AW174" s="105"/>
      <c r="AY174" s="13"/>
      <c r="AZ174" s="107"/>
      <c r="BA174" s="107"/>
      <c r="BB174" s="105"/>
      <c r="BD174" s="13"/>
      <c r="BE174" s="107"/>
      <c r="BF174" s="107"/>
      <c r="BG174" s="105"/>
      <c r="BI174" s="13"/>
      <c r="BJ174" s="107"/>
      <c r="BK174" s="107"/>
      <c r="BL174" s="105"/>
      <c r="BN174" s="38"/>
      <c r="BO174" s="13"/>
      <c r="BP174" s="107"/>
      <c r="BQ174" s="107"/>
      <c r="BR174" s="105"/>
      <c r="BT174" s="13"/>
      <c r="BU174" s="107"/>
      <c r="BV174" s="107"/>
      <c r="BW174" s="105"/>
      <c r="BY174" s="13"/>
      <c r="BZ174" s="107"/>
      <c r="CA174" s="107"/>
      <c r="CB174" s="105"/>
      <c r="CD174" s="13"/>
      <c r="CE174" s="107"/>
      <c r="CF174" s="107"/>
      <c r="CG174" s="105"/>
      <c r="CI174" s="13"/>
      <c r="CJ174" s="107"/>
      <c r="CK174" s="107"/>
      <c r="CL174" s="105"/>
      <c r="CN174" s="13"/>
      <c r="CO174" s="107"/>
      <c r="CP174" s="107"/>
      <c r="CQ174" s="105"/>
      <c r="CS174" s="38"/>
      <c r="CT174" s="13"/>
      <c r="CU174" s="107"/>
      <c r="CV174" s="107"/>
      <c r="CW174" s="105"/>
      <c r="CY174" s="13"/>
      <c r="CZ174" s="107"/>
      <c r="DA174" s="107"/>
      <c r="DB174" s="105"/>
      <c r="DD174" s="13"/>
      <c r="DE174" s="107"/>
      <c r="DF174" s="107"/>
      <c r="DG174" s="105"/>
      <c r="DI174" s="13"/>
      <c r="DJ174" s="107"/>
      <c r="DK174" s="107"/>
      <c r="DL174" s="105"/>
      <c r="DN174" s="13"/>
      <c r="DO174" s="107"/>
      <c r="DP174" s="107"/>
      <c r="DQ174" s="105"/>
      <c r="DS174" s="13"/>
      <c r="DT174" s="107"/>
      <c r="DU174" s="107"/>
      <c r="DV174" s="105"/>
      <c r="DX174" s="38"/>
      <c r="DY174" s="13"/>
      <c r="DZ174" s="107"/>
      <c r="EA174" s="107"/>
      <c r="EB174" s="105"/>
      <c r="ED174" s="13"/>
      <c r="EE174" s="107"/>
      <c r="EF174" s="107"/>
      <c r="EG174" s="105"/>
      <c r="EI174" s="13"/>
      <c r="EJ174" s="107"/>
      <c r="EK174" s="107"/>
      <c r="EL174" s="105"/>
      <c r="EN174" s="13"/>
      <c r="EO174" s="107"/>
      <c r="EP174" s="107"/>
      <c r="EQ174" s="105"/>
      <c r="ES174" s="13"/>
      <c r="ET174" s="107"/>
      <c r="EU174" s="107"/>
      <c r="EV174" s="105"/>
      <c r="EX174" s="13"/>
      <c r="EY174" s="107"/>
      <c r="EZ174" s="107"/>
      <c r="FA174" s="105"/>
      <c r="FC174" s="38"/>
      <c r="FD174" s="13"/>
      <c r="FE174" s="107"/>
      <c r="FF174" s="107"/>
      <c r="FG174" s="105"/>
      <c r="FI174" s="13"/>
      <c r="FJ174" s="107"/>
      <c r="FK174" s="107"/>
      <c r="FL174" s="105"/>
      <c r="FN174" s="13"/>
      <c r="FO174" s="107"/>
      <c r="FP174" s="107"/>
      <c r="FQ174" s="105"/>
      <c r="FS174" s="13"/>
      <c r="FT174" s="107"/>
      <c r="FU174" s="107"/>
      <c r="FV174" s="105"/>
      <c r="FX174" s="13"/>
      <c r="FY174" s="107"/>
      <c r="FZ174" s="107"/>
      <c r="GA174" s="105"/>
      <c r="GC174" s="13"/>
      <c r="GD174" s="107"/>
      <c r="GE174" s="107"/>
      <c r="GF174" s="105"/>
      <c r="GH174" s="38"/>
      <c r="GI174" s="13"/>
      <c r="GJ174" s="107"/>
      <c r="GK174" s="107"/>
      <c r="GL174" s="105"/>
      <c r="GN174" s="13"/>
      <c r="GO174" s="107"/>
      <c r="GP174" s="107"/>
      <c r="GQ174" s="105"/>
      <c r="GS174" s="13"/>
      <c r="GT174" s="107"/>
      <c r="GU174" s="107"/>
      <c r="GV174" s="105"/>
      <c r="GX174" s="13"/>
      <c r="GY174" s="107"/>
      <c r="GZ174" s="107"/>
      <c r="HA174" s="105"/>
      <c r="HC174" s="13"/>
      <c r="HD174" s="107"/>
      <c r="HE174" s="107"/>
      <c r="HF174" s="105"/>
      <c r="HH174" s="13"/>
      <c r="HI174" s="107"/>
      <c r="HJ174" s="107"/>
      <c r="HK174" s="105"/>
      <c r="HM174" s="38"/>
      <c r="HN174" s="13"/>
      <c r="HO174" s="107"/>
      <c r="HP174" s="107"/>
      <c r="HQ174" s="105"/>
      <c r="HS174" s="13"/>
      <c r="HT174" s="107"/>
      <c r="HU174" s="107"/>
      <c r="HV174" s="105"/>
      <c r="HX174" s="13"/>
      <c r="HY174" s="107"/>
      <c r="HZ174" s="107"/>
      <c r="IA174" s="105"/>
      <c r="IC174" s="13"/>
      <c r="ID174" s="107"/>
      <c r="IE174" s="107"/>
      <c r="IF174" s="105"/>
      <c r="IH174" s="13"/>
      <c r="II174" s="107"/>
      <c r="IJ174" s="107"/>
      <c r="IK174" s="105"/>
      <c r="IM174" s="13"/>
      <c r="IN174" s="107"/>
      <c r="IO174" s="107"/>
      <c r="IP174" s="105"/>
      <c r="IR174" s="38"/>
      <c r="IS174" s="13"/>
      <c r="IT174" s="107"/>
      <c r="IU174" s="107"/>
      <c r="IV174" s="105"/>
      <c r="IX174" s="13"/>
      <c r="IY174" s="107"/>
      <c r="IZ174" s="107"/>
      <c r="JA174" s="105"/>
      <c r="JC174" s="13"/>
      <c r="JD174" s="107"/>
      <c r="JE174" s="107"/>
      <c r="JF174" s="105"/>
      <c r="JH174" s="13"/>
      <c r="JI174" s="107"/>
      <c r="JJ174" s="107"/>
      <c r="JK174" s="105"/>
      <c r="JM174" s="13"/>
      <c r="JN174" s="107"/>
      <c r="JO174" s="107"/>
      <c r="JP174" s="105"/>
      <c r="JR174" s="13"/>
      <c r="JS174" s="107"/>
      <c r="JT174" s="107"/>
      <c r="JU174" s="105"/>
      <c r="JW174" s="38"/>
      <c r="JX174" s="13"/>
      <c r="JY174" s="107"/>
      <c r="JZ174" s="107"/>
      <c r="KA174" s="105"/>
      <c r="KC174" s="13"/>
      <c r="KD174" s="107"/>
      <c r="KE174" s="107"/>
      <c r="KF174" s="105"/>
      <c r="KH174" s="13"/>
      <c r="KI174" s="107"/>
      <c r="KJ174" s="107"/>
      <c r="KK174" s="105"/>
      <c r="KM174" s="13"/>
      <c r="KN174" s="107"/>
      <c r="KO174" s="107"/>
      <c r="KP174" s="105"/>
      <c r="KR174" s="13"/>
      <c r="KS174" s="107"/>
      <c r="KT174" s="107"/>
      <c r="KU174" s="105"/>
      <c r="KW174" s="13"/>
      <c r="KX174" s="107"/>
      <c r="KY174" s="107"/>
      <c r="KZ174" s="105"/>
      <c r="LB174" s="38"/>
      <c r="LC174" s="13"/>
      <c r="LD174" s="107"/>
      <c r="LE174" s="107"/>
      <c r="LF174" s="105"/>
      <c r="LH174" s="13"/>
      <c r="LI174" s="107"/>
      <c r="LJ174" s="107"/>
      <c r="LK174" s="105"/>
      <c r="LM174" s="13"/>
      <c r="LN174" s="107"/>
      <c r="LO174" s="107"/>
      <c r="LP174" s="105"/>
      <c r="LR174" s="13"/>
      <c r="LS174" s="107"/>
      <c r="LT174" s="107"/>
      <c r="LU174" s="105"/>
      <c r="LW174" s="13"/>
      <c r="LX174" s="107"/>
      <c r="LY174" s="107"/>
      <c r="LZ174" s="105"/>
      <c r="MB174" s="13"/>
      <c r="MC174" s="107"/>
      <c r="MD174" s="107"/>
      <c r="ME174" s="105"/>
      <c r="MG174" s="38"/>
      <c r="MH174" s="13"/>
      <c r="MI174" s="107"/>
      <c r="MJ174" s="107"/>
      <c r="MK174" s="105"/>
      <c r="MM174" s="13"/>
      <c r="MN174" s="107"/>
      <c r="MO174" s="107"/>
      <c r="MP174" s="105"/>
      <c r="MR174" s="13"/>
      <c r="MS174" s="107"/>
      <c r="MT174" s="107"/>
      <c r="MU174" s="105"/>
      <c r="MW174" s="13"/>
      <c r="MX174" s="107"/>
      <c r="MY174" s="107"/>
      <c r="MZ174" s="105"/>
      <c r="NB174" s="13"/>
      <c r="NC174" s="107"/>
      <c r="ND174" s="107"/>
      <c r="NE174" s="105"/>
      <c r="NG174" s="13"/>
      <c r="NH174" s="107"/>
      <c r="NI174" s="107"/>
      <c r="NJ174" s="105"/>
      <c r="NL174" s="38"/>
      <c r="NM174" s="13"/>
      <c r="NN174" s="107"/>
      <c r="NO174" s="107"/>
      <c r="NP174" s="105"/>
      <c r="NR174" s="13"/>
      <c r="NS174" s="107"/>
      <c r="NT174" s="107"/>
      <c r="NU174" s="105"/>
      <c r="NW174" s="13"/>
      <c r="NX174" s="107"/>
      <c r="NY174" s="107"/>
      <c r="NZ174" s="105"/>
      <c r="OB174" s="13"/>
      <c r="OC174" s="107"/>
      <c r="OD174" s="107"/>
      <c r="OE174" s="105"/>
      <c r="OG174" s="13"/>
      <c r="OH174" s="107"/>
      <c r="OI174" s="107"/>
      <c r="OJ174" s="105"/>
      <c r="OL174" s="13"/>
      <c r="OM174" s="107"/>
      <c r="ON174" s="107"/>
      <c r="OO174" s="105"/>
    </row>
    <row r="175" ht="15.75" customHeight="1">
      <c r="A175" s="42"/>
      <c r="B175" s="42"/>
      <c r="C175" s="42"/>
      <c r="D175" s="38">
        <f t="shared" si="383"/>
        <v>45974</v>
      </c>
      <c r="E175" s="31" t="str">
        <f t="shared" ref="E175:I175" si="394">AY22</f>
        <v/>
      </c>
      <c r="F175" s="31" t="str">
        <f t="shared" si="394"/>
        <v/>
      </c>
      <c r="G175" s="31" t="str">
        <f t="shared" si="394"/>
        <v/>
      </c>
      <c r="H175" s="13" t="str">
        <f t="shared" si="394"/>
        <v/>
      </c>
      <c r="I175" s="13" t="str">
        <f t="shared" si="394"/>
        <v/>
      </c>
      <c r="J175" s="107" t="str">
        <f t="array" ref="J175">IFERROR(IF(XLOOKUP(CONCAT(E175,F175),'MASTER PLAN'!$AB:$AB,'MASTER PLAN'!$M:$M,0,0)=0,"",XLOOKUP(CONCAT(E175,F175),'MASTER PLAN'!$AB:$AB,'MASTER PLAN'!$M:$M,0,0)),"")</f>
        <v/>
      </c>
      <c r="K175" s="107">
        <f t="shared" si="237"/>
        <v>0</v>
      </c>
      <c r="L175" s="107">
        <f t="shared" si="238"/>
        <v>0</v>
      </c>
      <c r="M175" s="105" t="s">
        <v>249</v>
      </c>
      <c r="O175" s="13"/>
      <c r="P175" s="107"/>
      <c r="Q175" s="107"/>
      <c r="R175" s="105"/>
      <c r="T175" s="13"/>
      <c r="U175" s="107"/>
      <c r="V175" s="107"/>
      <c r="W175" s="105"/>
      <c r="Y175" s="13"/>
      <c r="Z175" s="107"/>
      <c r="AA175" s="107"/>
      <c r="AB175" s="105"/>
      <c r="AD175" s="13"/>
      <c r="AE175" s="107"/>
      <c r="AF175" s="107"/>
      <c r="AG175" s="105"/>
      <c r="AI175" s="38"/>
      <c r="AJ175" s="13"/>
      <c r="AK175" s="107"/>
      <c r="AL175" s="107"/>
      <c r="AM175" s="105"/>
      <c r="AO175" s="13"/>
      <c r="AP175" s="107"/>
      <c r="AQ175" s="107"/>
      <c r="AR175" s="105"/>
      <c r="AT175" s="13"/>
      <c r="AU175" s="107"/>
      <c r="AV175" s="107"/>
      <c r="AW175" s="105"/>
      <c r="AY175" s="13"/>
      <c r="AZ175" s="107"/>
      <c r="BA175" s="107"/>
      <c r="BB175" s="105"/>
      <c r="BD175" s="13"/>
      <c r="BE175" s="107"/>
      <c r="BF175" s="107"/>
      <c r="BG175" s="105"/>
      <c r="BI175" s="13"/>
      <c r="BJ175" s="107"/>
      <c r="BK175" s="107"/>
      <c r="BL175" s="105"/>
      <c r="BN175" s="38"/>
      <c r="BO175" s="13"/>
      <c r="BP175" s="107"/>
      <c r="BQ175" s="107"/>
      <c r="BR175" s="105"/>
      <c r="BT175" s="13"/>
      <c r="BU175" s="107"/>
      <c r="BV175" s="107"/>
      <c r="BW175" s="105"/>
      <c r="BY175" s="13"/>
      <c r="BZ175" s="107"/>
      <c r="CA175" s="107"/>
      <c r="CB175" s="105"/>
      <c r="CD175" s="13"/>
      <c r="CE175" s="107"/>
      <c r="CF175" s="107"/>
      <c r="CG175" s="105"/>
      <c r="CI175" s="13"/>
      <c r="CJ175" s="107"/>
      <c r="CK175" s="107"/>
      <c r="CL175" s="105"/>
      <c r="CN175" s="13"/>
      <c r="CO175" s="107"/>
      <c r="CP175" s="107"/>
      <c r="CQ175" s="105"/>
      <c r="CS175" s="38"/>
      <c r="CT175" s="13"/>
      <c r="CU175" s="107"/>
      <c r="CV175" s="107"/>
      <c r="CW175" s="105"/>
      <c r="CY175" s="13"/>
      <c r="CZ175" s="107"/>
      <c r="DA175" s="107"/>
      <c r="DB175" s="105"/>
      <c r="DD175" s="13"/>
      <c r="DE175" s="107"/>
      <c r="DF175" s="107"/>
      <c r="DG175" s="105"/>
      <c r="DI175" s="13"/>
      <c r="DJ175" s="107"/>
      <c r="DK175" s="107"/>
      <c r="DL175" s="105"/>
      <c r="DN175" s="13"/>
      <c r="DO175" s="107"/>
      <c r="DP175" s="107"/>
      <c r="DQ175" s="105"/>
      <c r="DS175" s="13"/>
      <c r="DT175" s="107"/>
      <c r="DU175" s="107"/>
      <c r="DV175" s="105"/>
      <c r="DX175" s="38"/>
      <c r="DY175" s="13"/>
      <c r="DZ175" s="107"/>
      <c r="EA175" s="107"/>
      <c r="EB175" s="105"/>
      <c r="ED175" s="13"/>
      <c r="EE175" s="107"/>
      <c r="EF175" s="107"/>
      <c r="EG175" s="105"/>
      <c r="EI175" s="13"/>
      <c r="EJ175" s="107"/>
      <c r="EK175" s="107"/>
      <c r="EL175" s="105"/>
      <c r="EN175" s="13"/>
      <c r="EO175" s="107"/>
      <c r="EP175" s="107"/>
      <c r="EQ175" s="105"/>
      <c r="ES175" s="13"/>
      <c r="ET175" s="107"/>
      <c r="EU175" s="107"/>
      <c r="EV175" s="105"/>
      <c r="EX175" s="13"/>
      <c r="EY175" s="107"/>
      <c r="EZ175" s="107"/>
      <c r="FA175" s="105"/>
      <c r="FC175" s="38"/>
      <c r="FD175" s="13"/>
      <c r="FE175" s="107"/>
      <c r="FF175" s="107"/>
      <c r="FG175" s="105"/>
      <c r="FI175" s="13"/>
      <c r="FJ175" s="107"/>
      <c r="FK175" s="107"/>
      <c r="FL175" s="105"/>
      <c r="FN175" s="13"/>
      <c r="FO175" s="107"/>
      <c r="FP175" s="107"/>
      <c r="FQ175" s="105"/>
      <c r="FS175" s="13"/>
      <c r="FT175" s="107"/>
      <c r="FU175" s="107"/>
      <c r="FV175" s="105"/>
      <c r="FX175" s="13"/>
      <c r="FY175" s="107"/>
      <c r="FZ175" s="107"/>
      <c r="GA175" s="105"/>
      <c r="GC175" s="13"/>
      <c r="GD175" s="107"/>
      <c r="GE175" s="107"/>
      <c r="GF175" s="105"/>
      <c r="GH175" s="38"/>
      <c r="GI175" s="13"/>
      <c r="GJ175" s="107"/>
      <c r="GK175" s="107"/>
      <c r="GL175" s="105"/>
      <c r="GN175" s="13"/>
      <c r="GO175" s="107"/>
      <c r="GP175" s="107"/>
      <c r="GQ175" s="105"/>
      <c r="GS175" s="13"/>
      <c r="GT175" s="107"/>
      <c r="GU175" s="107"/>
      <c r="GV175" s="105"/>
      <c r="GX175" s="13"/>
      <c r="GY175" s="107"/>
      <c r="GZ175" s="107"/>
      <c r="HA175" s="105"/>
      <c r="HC175" s="13"/>
      <c r="HD175" s="107"/>
      <c r="HE175" s="107"/>
      <c r="HF175" s="105"/>
      <c r="HH175" s="13"/>
      <c r="HI175" s="107"/>
      <c r="HJ175" s="107"/>
      <c r="HK175" s="105"/>
      <c r="HM175" s="38"/>
      <c r="HN175" s="13"/>
      <c r="HO175" s="107"/>
      <c r="HP175" s="107"/>
      <c r="HQ175" s="105"/>
      <c r="HS175" s="13"/>
      <c r="HT175" s="107"/>
      <c r="HU175" s="107"/>
      <c r="HV175" s="105"/>
      <c r="HX175" s="13"/>
      <c r="HY175" s="107"/>
      <c r="HZ175" s="107"/>
      <c r="IA175" s="105"/>
      <c r="IC175" s="13"/>
      <c r="ID175" s="107"/>
      <c r="IE175" s="107"/>
      <c r="IF175" s="105"/>
      <c r="IH175" s="13"/>
      <c r="II175" s="107"/>
      <c r="IJ175" s="107"/>
      <c r="IK175" s="105"/>
      <c r="IM175" s="13"/>
      <c r="IN175" s="107"/>
      <c r="IO175" s="107"/>
      <c r="IP175" s="105"/>
      <c r="IR175" s="38"/>
      <c r="IS175" s="13"/>
      <c r="IT175" s="107"/>
      <c r="IU175" s="107"/>
      <c r="IV175" s="105"/>
      <c r="IX175" s="13"/>
      <c r="IY175" s="107"/>
      <c r="IZ175" s="107"/>
      <c r="JA175" s="105"/>
      <c r="JC175" s="13"/>
      <c r="JD175" s="107"/>
      <c r="JE175" s="107"/>
      <c r="JF175" s="105"/>
      <c r="JH175" s="13"/>
      <c r="JI175" s="107"/>
      <c r="JJ175" s="107"/>
      <c r="JK175" s="105"/>
      <c r="JM175" s="13"/>
      <c r="JN175" s="107"/>
      <c r="JO175" s="107"/>
      <c r="JP175" s="105"/>
      <c r="JR175" s="13"/>
      <c r="JS175" s="107"/>
      <c r="JT175" s="107"/>
      <c r="JU175" s="105"/>
      <c r="JW175" s="38"/>
      <c r="JX175" s="13"/>
      <c r="JY175" s="107"/>
      <c r="JZ175" s="107"/>
      <c r="KA175" s="105"/>
      <c r="KC175" s="13"/>
      <c r="KD175" s="107"/>
      <c r="KE175" s="107"/>
      <c r="KF175" s="105"/>
      <c r="KH175" s="13"/>
      <c r="KI175" s="107"/>
      <c r="KJ175" s="107"/>
      <c r="KK175" s="105"/>
      <c r="KM175" s="13"/>
      <c r="KN175" s="107"/>
      <c r="KO175" s="107"/>
      <c r="KP175" s="105"/>
      <c r="KR175" s="13"/>
      <c r="KS175" s="107"/>
      <c r="KT175" s="107"/>
      <c r="KU175" s="105"/>
      <c r="KW175" s="13"/>
      <c r="KX175" s="107"/>
      <c r="KY175" s="107"/>
      <c r="KZ175" s="105"/>
      <c r="LB175" s="38"/>
      <c r="LC175" s="13"/>
      <c r="LD175" s="107"/>
      <c r="LE175" s="107"/>
      <c r="LF175" s="105"/>
      <c r="LH175" s="13"/>
      <c r="LI175" s="107"/>
      <c r="LJ175" s="107"/>
      <c r="LK175" s="105"/>
      <c r="LM175" s="13"/>
      <c r="LN175" s="107"/>
      <c r="LO175" s="107"/>
      <c r="LP175" s="105"/>
      <c r="LR175" s="13"/>
      <c r="LS175" s="107"/>
      <c r="LT175" s="107"/>
      <c r="LU175" s="105"/>
      <c r="LW175" s="13"/>
      <c r="LX175" s="107"/>
      <c r="LY175" s="107"/>
      <c r="LZ175" s="105"/>
      <c r="MB175" s="13"/>
      <c r="MC175" s="107"/>
      <c r="MD175" s="107"/>
      <c r="ME175" s="105"/>
      <c r="MG175" s="38"/>
      <c r="MH175" s="13"/>
      <c r="MI175" s="107"/>
      <c r="MJ175" s="107"/>
      <c r="MK175" s="105"/>
      <c r="MM175" s="13"/>
      <c r="MN175" s="107"/>
      <c r="MO175" s="107"/>
      <c r="MP175" s="105"/>
      <c r="MR175" s="13"/>
      <c r="MS175" s="107"/>
      <c r="MT175" s="107"/>
      <c r="MU175" s="105"/>
      <c r="MW175" s="13"/>
      <c r="MX175" s="107"/>
      <c r="MY175" s="107"/>
      <c r="MZ175" s="105"/>
      <c r="NB175" s="13"/>
      <c r="NC175" s="107"/>
      <c r="ND175" s="107"/>
      <c r="NE175" s="105"/>
      <c r="NG175" s="13"/>
      <c r="NH175" s="107"/>
      <c r="NI175" s="107"/>
      <c r="NJ175" s="105"/>
      <c r="NL175" s="38"/>
      <c r="NM175" s="13"/>
      <c r="NN175" s="107"/>
      <c r="NO175" s="107"/>
      <c r="NP175" s="105"/>
      <c r="NR175" s="13"/>
      <c r="NS175" s="107"/>
      <c r="NT175" s="107"/>
      <c r="NU175" s="105"/>
      <c r="NW175" s="13"/>
      <c r="NX175" s="107"/>
      <c r="NY175" s="107"/>
      <c r="NZ175" s="105"/>
      <c r="OB175" s="13"/>
      <c r="OC175" s="107"/>
      <c r="OD175" s="107"/>
      <c r="OE175" s="105"/>
      <c r="OG175" s="13"/>
      <c r="OH175" s="107"/>
      <c r="OI175" s="107"/>
      <c r="OJ175" s="105"/>
      <c r="OL175" s="13"/>
      <c r="OM175" s="107"/>
      <c r="ON175" s="107"/>
      <c r="OO175" s="105"/>
    </row>
    <row r="176" ht="15.75" customHeight="1">
      <c r="A176" s="42"/>
      <c r="B176" s="42"/>
      <c r="C176" s="42"/>
      <c r="D176" s="38">
        <f t="shared" si="383"/>
        <v>45974</v>
      </c>
      <c r="E176" s="31" t="str">
        <f t="shared" ref="E176:I176" si="395">AY23</f>
        <v/>
      </c>
      <c r="F176" s="31" t="str">
        <f t="shared" si="395"/>
        <v/>
      </c>
      <c r="G176" s="31" t="str">
        <f t="shared" si="395"/>
        <v/>
      </c>
      <c r="H176" s="13" t="str">
        <f t="shared" si="395"/>
        <v/>
      </c>
      <c r="I176" s="13" t="str">
        <f t="shared" si="395"/>
        <v/>
      </c>
      <c r="J176" s="107" t="str">
        <f t="array" ref="J176">IFERROR(IF(XLOOKUP(CONCAT(E176,F176),'MASTER PLAN'!$AB:$AB,'MASTER PLAN'!$M:$M,0,0)=0,"",XLOOKUP(CONCAT(E176,F176),'MASTER PLAN'!$AB:$AB,'MASTER PLAN'!$M:$M,0,0)),"")</f>
        <v/>
      </c>
      <c r="K176" s="107">
        <f t="shared" si="237"/>
        <v>0</v>
      </c>
      <c r="L176" s="107">
        <f t="shared" si="238"/>
        <v>0</v>
      </c>
      <c r="M176" s="105" t="s">
        <v>249</v>
      </c>
      <c r="AI176" s="42"/>
      <c r="BN176" s="42"/>
      <c r="CS176" s="42"/>
      <c r="DX176" s="42"/>
      <c r="FC176" s="42"/>
      <c r="GH176" s="42"/>
      <c r="HM176" s="42"/>
      <c r="IR176" s="42"/>
      <c r="JW176" s="42"/>
      <c r="LB176" s="42"/>
      <c r="MG176" s="42"/>
      <c r="NL176" s="42"/>
    </row>
    <row r="177" ht="15.75" customHeight="1">
      <c r="A177" s="42"/>
      <c r="B177" s="42"/>
      <c r="C177" s="42"/>
      <c r="D177" s="38">
        <f t="shared" si="383"/>
        <v>45974</v>
      </c>
      <c r="E177" s="31" t="str">
        <f t="shared" ref="E177:I177" si="396">AY24</f>
        <v/>
      </c>
      <c r="F177" s="31" t="str">
        <f t="shared" si="396"/>
        <v/>
      </c>
      <c r="G177" s="31" t="str">
        <f t="shared" si="396"/>
        <v/>
      </c>
      <c r="H177" s="13" t="str">
        <f t="shared" si="396"/>
        <v/>
      </c>
      <c r="I177" s="13" t="str">
        <f t="shared" si="396"/>
        <v/>
      </c>
      <c r="J177" s="107" t="str">
        <f t="array" ref="J177">IFERROR(IF(XLOOKUP(CONCAT(E177,F177),'MASTER PLAN'!$AB:$AB,'MASTER PLAN'!$M:$M,0,0)=0,"",XLOOKUP(CONCAT(E177,F177),'MASTER PLAN'!$AB:$AB,'MASTER PLAN'!$M:$M,0,0)),"")</f>
        <v/>
      </c>
      <c r="K177" s="107">
        <f t="shared" si="237"/>
        <v>0</v>
      </c>
      <c r="L177" s="107">
        <f t="shared" si="238"/>
        <v>0</v>
      </c>
      <c r="M177" s="105" t="s">
        <v>249</v>
      </c>
      <c r="AI177" s="42"/>
      <c r="BN177" s="42"/>
      <c r="CS177" s="42"/>
      <c r="DX177" s="42"/>
      <c r="FC177" s="42"/>
      <c r="GH177" s="42"/>
      <c r="HM177" s="42"/>
      <c r="IR177" s="42"/>
      <c r="JW177" s="42"/>
      <c r="LB177" s="42"/>
      <c r="MG177" s="42"/>
      <c r="NL177" s="42"/>
    </row>
    <row r="178" ht="15.75" customHeight="1">
      <c r="A178" s="42"/>
      <c r="B178" s="42"/>
      <c r="C178" s="42"/>
      <c r="D178" s="38">
        <f>BD2</f>
        <v>45975</v>
      </c>
      <c r="E178" s="31" t="str">
        <f t="shared" ref="E178:I178" si="397">BD4</f>
        <v/>
      </c>
      <c r="F178" s="31" t="str">
        <f t="shared" si="397"/>
        <v/>
      </c>
      <c r="G178" s="31" t="str">
        <f t="shared" si="397"/>
        <v/>
      </c>
      <c r="H178" s="13" t="str">
        <f t="shared" si="397"/>
        <v/>
      </c>
      <c r="I178" s="13" t="str">
        <f t="shared" si="397"/>
        <v/>
      </c>
      <c r="J178" s="107" t="str">
        <f t="array" ref="J178">IFERROR(IF(XLOOKUP(CONCAT(E178,F178),'MASTER PLAN'!$AB:$AB,'MASTER PLAN'!$M:$M,0,0)=0,"",XLOOKUP(CONCAT(E178,F178),'MASTER PLAN'!$AB:$AB,'MASTER PLAN'!$M:$M,0,0)),"")</f>
        <v/>
      </c>
      <c r="K178" s="107">
        <f t="shared" si="237"/>
        <v>0</v>
      </c>
      <c r="L178" s="107">
        <f t="shared" si="238"/>
        <v>0</v>
      </c>
      <c r="M178" s="105" t="s">
        <v>246</v>
      </c>
      <c r="AI178" s="42"/>
      <c r="BN178" s="42"/>
      <c r="CS178" s="42"/>
      <c r="DX178" s="42"/>
      <c r="FC178" s="42"/>
      <c r="GH178" s="42"/>
      <c r="HM178" s="42"/>
      <c r="IR178" s="42"/>
      <c r="JW178" s="42"/>
      <c r="LB178" s="42"/>
      <c r="MG178" s="42"/>
      <c r="NL178" s="42"/>
    </row>
    <row r="179" ht="15.75" customHeight="1">
      <c r="A179" s="42"/>
      <c r="B179" s="42"/>
      <c r="C179" s="42"/>
      <c r="D179" s="38">
        <f t="shared" ref="D179:D192" si="399">D178</f>
        <v>45975</v>
      </c>
      <c r="E179" s="31" t="str">
        <f t="shared" ref="E179:I179" si="398">BD5</f>
        <v/>
      </c>
      <c r="F179" s="31" t="str">
        <f t="shared" si="398"/>
        <v/>
      </c>
      <c r="G179" s="31" t="str">
        <f t="shared" si="398"/>
        <v/>
      </c>
      <c r="H179" s="13" t="str">
        <f t="shared" si="398"/>
        <v/>
      </c>
      <c r="I179" s="13" t="str">
        <f t="shared" si="398"/>
        <v/>
      </c>
      <c r="J179" s="107" t="str">
        <f t="array" ref="J179">IFERROR(IF(XLOOKUP(CONCAT(E179,F179),'MASTER PLAN'!$AB:$AB,'MASTER PLAN'!$M:$M,0,0)=0,"",XLOOKUP(CONCAT(E179,F179),'MASTER PLAN'!$AB:$AB,'MASTER PLAN'!$M:$M,0,0)),"")</f>
        <v/>
      </c>
      <c r="K179" s="107">
        <f t="shared" si="237"/>
        <v>0</v>
      </c>
      <c r="L179" s="107">
        <f t="shared" si="238"/>
        <v>0</v>
      </c>
      <c r="M179" s="105" t="s">
        <v>246</v>
      </c>
      <c r="AI179" s="42"/>
      <c r="BN179" s="42"/>
      <c r="CS179" s="42"/>
      <c r="DX179" s="42"/>
      <c r="FC179" s="42"/>
      <c r="GH179" s="42"/>
      <c r="HM179" s="42"/>
      <c r="IR179" s="42"/>
      <c r="JW179" s="42"/>
      <c r="LB179" s="42"/>
      <c r="MG179" s="42"/>
      <c r="NL179" s="42"/>
    </row>
    <row r="180" ht="15.75" customHeight="1">
      <c r="A180" s="42"/>
      <c r="B180" s="42"/>
      <c r="C180" s="42"/>
      <c r="D180" s="38">
        <f t="shared" si="399"/>
        <v>45975</v>
      </c>
      <c r="E180" s="31" t="str">
        <f t="shared" ref="E180:I180" si="400">BD6</f>
        <v/>
      </c>
      <c r="F180" s="31" t="str">
        <f t="shared" si="400"/>
        <v/>
      </c>
      <c r="G180" s="31" t="str">
        <f t="shared" si="400"/>
        <v/>
      </c>
      <c r="H180" s="13" t="str">
        <f t="shared" si="400"/>
        <v/>
      </c>
      <c r="I180" s="13" t="str">
        <f t="shared" si="400"/>
        <v/>
      </c>
      <c r="J180" s="107" t="str">
        <f t="array" ref="J180">IFERROR(IF(XLOOKUP(CONCAT(E180,F180),'MASTER PLAN'!$AB:$AB,'MASTER PLAN'!$M:$M,0,0)=0,"",XLOOKUP(CONCAT(E180,F180),'MASTER PLAN'!$AB:$AB,'MASTER PLAN'!$M:$M,0,0)),"")</f>
        <v/>
      </c>
      <c r="K180" s="107">
        <f t="shared" si="237"/>
        <v>0</v>
      </c>
      <c r="L180" s="107">
        <f t="shared" si="238"/>
        <v>0</v>
      </c>
      <c r="M180" s="105" t="s">
        <v>246</v>
      </c>
      <c r="AI180" s="42"/>
      <c r="BN180" s="42"/>
      <c r="CS180" s="42"/>
      <c r="DX180" s="42"/>
      <c r="FC180" s="42"/>
      <c r="GH180" s="42"/>
      <c r="HM180" s="42"/>
      <c r="IR180" s="42"/>
      <c r="JW180" s="42"/>
      <c r="LB180" s="42"/>
      <c r="MG180" s="42"/>
      <c r="NL180" s="42"/>
    </row>
    <row r="181" ht="15.75" customHeight="1">
      <c r="A181" s="42"/>
      <c r="B181" s="42"/>
      <c r="C181" s="42"/>
      <c r="D181" s="38">
        <f t="shared" si="399"/>
        <v>45975</v>
      </c>
      <c r="E181" s="31" t="str">
        <f t="shared" ref="E181:I181" si="401">BD7</f>
        <v/>
      </c>
      <c r="F181" s="31" t="str">
        <f t="shared" si="401"/>
        <v/>
      </c>
      <c r="G181" s="31" t="str">
        <f t="shared" si="401"/>
        <v/>
      </c>
      <c r="H181" s="13" t="str">
        <f t="shared" si="401"/>
        <v/>
      </c>
      <c r="I181" s="13" t="str">
        <f t="shared" si="401"/>
        <v/>
      </c>
      <c r="J181" s="107" t="str">
        <f t="array" ref="J181">IFERROR(IF(XLOOKUP(CONCAT(E181,F181),'MASTER PLAN'!$AB:$AB,'MASTER PLAN'!$M:$M,0,0)=0,"",XLOOKUP(CONCAT(E181,F181),'MASTER PLAN'!$AB:$AB,'MASTER PLAN'!$M:$M,0,0)),"")</f>
        <v/>
      </c>
      <c r="K181" s="107">
        <f t="shared" si="237"/>
        <v>0</v>
      </c>
      <c r="L181" s="107">
        <f t="shared" si="238"/>
        <v>0</v>
      </c>
      <c r="M181" s="105" t="s">
        <v>246</v>
      </c>
      <c r="AI181" s="42"/>
      <c r="BN181" s="42"/>
      <c r="CS181" s="42"/>
      <c r="DX181" s="42"/>
      <c r="FC181" s="42"/>
      <c r="GH181" s="42"/>
      <c r="HM181" s="42"/>
      <c r="IR181" s="42"/>
      <c r="JW181" s="42"/>
      <c r="LB181" s="42"/>
      <c r="MG181" s="42"/>
      <c r="NL181" s="42"/>
    </row>
    <row r="182" ht="15.75" customHeight="1">
      <c r="A182" s="42"/>
      <c r="B182" s="42"/>
      <c r="C182" s="42"/>
      <c r="D182" s="38">
        <f t="shared" si="399"/>
        <v>45975</v>
      </c>
      <c r="E182" s="31" t="str">
        <f t="shared" ref="E182:I182" si="402">BD8</f>
        <v/>
      </c>
      <c r="F182" s="31" t="str">
        <f t="shared" si="402"/>
        <v/>
      </c>
      <c r="G182" s="31" t="str">
        <f t="shared" si="402"/>
        <v/>
      </c>
      <c r="H182" s="13" t="str">
        <f t="shared" si="402"/>
        <v/>
      </c>
      <c r="I182" s="13" t="str">
        <f t="shared" si="402"/>
        <v/>
      </c>
      <c r="J182" s="107" t="str">
        <f t="array" ref="J182">IFERROR(IF(XLOOKUP(CONCAT(E182,F182),'MASTER PLAN'!$AB:$AB,'MASTER PLAN'!$M:$M,0,0)=0,"",XLOOKUP(CONCAT(E182,F182),'MASTER PLAN'!$AB:$AB,'MASTER PLAN'!$M:$M,0,0)),"")</f>
        <v/>
      </c>
      <c r="K182" s="107">
        <f t="shared" si="237"/>
        <v>0</v>
      </c>
      <c r="L182" s="107">
        <f t="shared" si="238"/>
        <v>0</v>
      </c>
      <c r="M182" s="105" t="s">
        <v>246</v>
      </c>
      <c r="AI182" s="42"/>
      <c r="BN182" s="42"/>
      <c r="CS182" s="42"/>
      <c r="DX182" s="42"/>
      <c r="FC182" s="42"/>
      <c r="GH182" s="42"/>
      <c r="HM182" s="42"/>
      <c r="IR182" s="42"/>
      <c r="JW182" s="42"/>
      <c r="LB182" s="42"/>
      <c r="MG182" s="42"/>
      <c r="NL182" s="42"/>
    </row>
    <row r="183" ht="15.75" customHeight="1">
      <c r="A183" s="42"/>
      <c r="B183" s="42"/>
      <c r="C183" s="42"/>
      <c r="D183" s="38">
        <f t="shared" si="399"/>
        <v>45975</v>
      </c>
      <c r="E183" s="31" t="str">
        <f t="shared" ref="E183:I183" si="403">BD12</f>
        <v/>
      </c>
      <c r="F183" s="31" t="str">
        <f t="shared" si="403"/>
        <v/>
      </c>
      <c r="G183" s="31" t="str">
        <f t="shared" si="403"/>
        <v/>
      </c>
      <c r="H183" s="13" t="str">
        <f t="shared" si="403"/>
        <v/>
      </c>
      <c r="I183" s="13" t="str">
        <f t="shared" si="403"/>
        <v/>
      </c>
      <c r="J183" s="107" t="str">
        <f t="array" ref="J183">IFERROR(IF(XLOOKUP(CONCAT(E183,F183),'MASTER PLAN'!$AB:$AB,'MASTER PLAN'!$M:$M,0,0)=0,"",XLOOKUP(CONCAT(E183,F183),'MASTER PLAN'!$AB:$AB,'MASTER PLAN'!$M:$M,0,0)),"")</f>
        <v/>
      </c>
      <c r="K183" s="107">
        <f t="shared" si="237"/>
        <v>0</v>
      </c>
      <c r="L183" s="107">
        <f t="shared" si="238"/>
        <v>0</v>
      </c>
      <c r="M183" s="105" t="s">
        <v>248</v>
      </c>
      <c r="AI183" s="42"/>
      <c r="BN183" s="42"/>
      <c r="CS183" s="42"/>
      <c r="DX183" s="42"/>
      <c r="FC183" s="42"/>
      <c r="GH183" s="42"/>
      <c r="HM183" s="42"/>
      <c r="IR183" s="42"/>
      <c r="JW183" s="42"/>
      <c r="LB183" s="42"/>
      <c r="MG183" s="42"/>
      <c r="NL183" s="42"/>
    </row>
    <row r="184" ht="15.75" customHeight="1">
      <c r="A184" s="42"/>
      <c r="B184" s="42"/>
      <c r="C184" s="42"/>
      <c r="D184" s="38">
        <f t="shared" si="399"/>
        <v>45975</v>
      </c>
      <c r="E184" s="31" t="str">
        <f t="shared" ref="E184:I184" si="404">BD13</f>
        <v/>
      </c>
      <c r="F184" s="31" t="str">
        <f t="shared" si="404"/>
        <v/>
      </c>
      <c r="G184" s="31" t="str">
        <f t="shared" si="404"/>
        <v/>
      </c>
      <c r="H184" s="13" t="str">
        <f t="shared" si="404"/>
        <v/>
      </c>
      <c r="I184" s="13" t="str">
        <f t="shared" si="404"/>
        <v/>
      </c>
      <c r="J184" s="107" t="str">
        <f t="array" ref="J184">IFERROR(IF(XLOOKUP(CONCAT(E184,F184),'MASTER PLAN'!$AB:$AB,'MASTER PLAN'!$M:$M,0,0)=0,"",XLOOKUP(CONCAT(E184,F184),'MASTER PLAN'!$AB:$AB,'MASTER PLAN'!$M:$M,0,0)),"")</f>
        <v/>
      </c>
      <c r="K184" s="107">
        <f t="shared" si="237"/>
        <v>0</v>
      </c>
      <c r="L184" s="107">
        <f t="shared" si="238"/>
        <v>0</v>
      </c>
      <c r="M184" s="105" t="s">
        <v>248</v>
      </c>
      <c r="AI184" s="42"/>
      <c r="BN184" s="42"/>
      <c r="CS184" s="42"/>
      <c r="DX184" s="42"/>
      <c r="FC184" s="42"/>
      <c r="GH184" s="42"/>
      <c r="HM184" s="42"/>
      <c r="IR184" s="42"/>
      <c r="JW184" s="42"/>
      <c r="LB184" s="42"/>
      <c r="MG184" s="42"/>
      <c r="NL184" s="42"/>
    </row>
    <row r="185" ht="15.75" customHeight="1">
      <c r="A185" s="42"/>
      <c r="B185" s="42"/>
      <c r="C185" s="42"/>
      <c r="D185" s="38">
        <f t="shared" si="399"/>
        <v>45975</v>
      </c>
      <c r="E185" s="31" t="str">
        <f t="shared" ref="E185:I185" si="405">BD14</f>
        <v/>
      </c>
      <c r="F185" s="31" t="str">
        <f t="shared" si="405"/>
        <v/>
      </c>
      <c r="G185" s="31" t="str">
        <f t="shared" si="405"/>
        <v/>
      </c>
      <c r="H185" s="13" t="str">
        <f t="shared" si="405"/>
        <v/>
      </c>
      <c r="I185" s="13" t="str">
        <f t="shared" si="405"/>
        <v/>
      </c>
      <c r="J185" s="107" t="str">
        <f t="array" ref="J185">IFERROR(IF(XLOOKUP(CONCAT(E185,F185),'MASTER PLAN'!$AB:$AB,'MASTER PLAN'!$M:$M,0,0)=0,"",XLOOKUP(CONCAT(E185,F185),'MASTER PLAN'!$AB:$AB,'MASTER PLAN'!$M:$M,0,0)),"")</f>
        <v/>
      </c>
      <c r="K185" s="107">
        <f t="shared" si="237"/>
        <v>0</v>
      </c>
      <c r="L185" s="107">
        <f t="shared" si="238"/>
        <v>0</v>
      </c>
      <c r="M185" s="105" t="s">
        <v>248</v>
      </c>
      <c r="AI185" s="42"/>
      <c r="BN185" s="42"/>
      <c r="CS185" s="42"/>
      <c r="DX185" s="42"/>
      <c r="FC185" s="42"/>
      <c r="GH185" s="42"/>
      <c r="HM185" s="42"/>
      <c r="IR185" s="42"/>
      <c r="JW185" s="42"/>
      <c r="LB185" s="42"/>
      <c r="MG185" s="42"/>
      <c r="NL185" s="42"/>
    </row>
    <row r="186" ht="15.75" customHeight="1">
      <c r="A186" s="42"/>
      <c r="B186" s="42"/>
      <c r="C186" s="42"/>
      <c r="D186" s="38">
        <f t="shared" si="399"/>
        <v>45975</v>
      </c>
      <c r="E186" s="31" t="str">
        <f t="shared" ref="E186:I186" si="406">BD15</f>
        <v/>
      </c>
      <c r="F186" s="31" t="str">
        <f t="shared" si="406"/>
        <v/>
      </c>
      <c r="G186" s="31" t="str">
        <f t="shared" si="406"/>
        <v/>
      </c>
      <c r="H186" s="13" t="str">
        <f t="shared" si="406"/>
        <v/>
      </c>
      <c r="I186" s="13" t="str">
        <f t="shared" si="406"/>
        <v/>
      </c>
      <c r="J186" s="107" t="str">
        <f t="array" ref="J186">IFERROR(IF(XLOOKUP(CONCAT(E186,F186),'MASTER PLAN'!$AB:$AB,'MASTER PLAN'!$M:$M,0,0)=0,"",XLOOKUP(CONCAT(E186,F186),'MASTER PLAN'!$AB:$AB,'MASTER PLAN'!$M:$M,0,0)),"")</f>
        <v/>
      </c>
      <c r="K186" s="107">
        <f t="shared" si="237"/>
        <v>0</v>
      </c>
      <c r="L186" s="107">
        <f t="shared" si="238"/>
        <v>0</v>
      </c>
      <c r="M186" s="105" t="s">
        <v>248</v>
      </c>
      <c r="AI186" s="42"/>
      <c r="BN186" s="42"/>
      <c r="CS186" s="42"/>
      <c r="DX186" s="42"/>
      <c r="FC186" s="42"/>
      <c r="GH186" s="42"/>
      <c r="HM186" s="42"/>
      <c r="IR186" s="42"/>
      <c r="JW186" s="42"/>
      <c r="LB186" s="42"/>
      <c r="MG186" s="42"/>
      <c r="NL186" s="42"/>
    </row>
    <row r="187" ht="15.75" customHeight="1">
      <c r="A187" s="42"/>
      <c r="B187" s="42"/>
      <c r="C187" s="42"/>
      <c r="D187" s="38">
        <f t="shared" si="399"/>
        <v>45975</v>
      </c>
      <c r="E187" s="31" t="str">
        <f t="shared" ref="E187:I187" si="407">BD16</f>
        <v/>
      </c>
      <c r="F187" s="31" t="str">
        <f t="shared" si="407"/>
        <v/>
      </c>
      <c r="G187" s="31" t="str">
        <f t="shared" si="407"/>
        <v/>
      </c>
      <c r="H187" s="13" t="str">
        <f t="shared" si="407"/>
        <v/>
      </c>
      <c r="I187" s="13" t="str">
        <f t="shared" si="407"/>
        <v/>
      </c>
      <c r="J187" s="107" t="str">
        <f t="array" ref="J187">IFERROR(IF(XLOOKUP(CONCAT(E187,F187),'MASTER PLAN'!$AB:$AB,'MASTER PLAN'!$M:$M,0,0)=0,"",XLOOKUP(CONCAT(E187,F187),'MASTER PLAN'!$AB:$AB,'MASTER PLAN'!$M:$M,0,0)),"")</f>
        <v/>
      </c>
      <c r="K187" s="107">
        <f t="shared" si="237"/>
        <v>0</v>
      </c>
      <c r="L187" s="107">
        <f t="shared" si="238"/>
        <v>0</v>
      </c>
      <c r="M187" s="105" t="s">
        <v>248</v>
      </c>
      <c r="AI187" s="42"/>
      <c r="BN187" s="42"/>
      <c r="CS187" s="42"/>
      <c r="DX187" s="42"/>
      <c r="FC187" s="42"/>
      <c r="GH187" s="42"/>
      <c r="HM187" s="42"/>
      <c r="IR187" s="42"/>
      <c r="JW187" s="42"/>
      <c r="LB187" s="42"/>
      <c r="MG187" s="42"/>
      <c r="NL187" s="42"/>
    </row>
    <row r="188" ht="15.75" customHeight="1">
      <c r="A188" s="42"/>
      <c r="B188" s="42"/>
      <c r="C188" s="42"/>
      <c r="D188" s="38">
        <f t="shared" si="399"/>
        <v>45975</v>
      </c>
      <c r="E188" s="31" t="str">
        <f t="shared" ref="E188:I188" si="408">BD20</f>
        <v/>
      </c>
      <c r="F188" s="31" t="str">
        <f t="shared" si="408"/>
        <v/>
      </c>
      <c r="G188" s="31" t="str">
        <f t="shared" si="408"/>
        <v/>
      </c>
      <c r="H188" s="13" t="str">
        <f t="shared" si="408"/>
        <v/>
      </c>
      <c r="I188" s="13" t="str">
        <f t="shared" si="408"/>
        <v/>
      </c>
      <c r="J188" s="107" t="str">
        <f t="array" ref="J188">IFERROR(IF(XLOOKUP(CONCAT(E188,F188),'MASTER PLAN'!$AB:$AB,'MASTER PLAN'!$M:$M,0,0)=0,"",XLOOKUP(CONCAT(E188,F188),'MASTER PLAN'!$AB:$AB,'MASTER PLAN'!$M:$M,0,0)),"")</f>
        <v/>
      </c>
      <c r="K188" s="107">
        <f t="shared" si="237"/>
        <v>0</v>
      </c>
      <c r="L188" s="107">
        <f t="shared" si="238"/>
        <v>0</v>
      </c>
      <c r="M188" s="105" t="s">
        <v>249</v>
      </c>
      <c r="AI188" s="42"/>
      <c r="BN188" s="42"/>
      <c r="CS188" s="42"/>
      <c r="DX188" s="42"/>
      <c r="FC188" s="42"/>
      <c r="GH188" s="42"/>
      <c r="HM188" s="42"/>
      <c r="IR188" s="42"/>
      <c r="JW188" s="42"/>
      <c r="LB188" s="42"/>
      <c r="MG188" s="42"/>
      <c r="NL188" s="42"/>
    </row>
    <row r="189" ht="15.75" customHeight="1">
      <c r="A189" s="42"/>
      <c r="B189" s="42"/>
      <c r="C189" s="42"/>
      <c r="D189" s="38">
        <f t="shared" si="399"/>
        <v>45975</v>
      </c>
      <c r="E189" s="31" t="str">
        <f t="shared" ref="E189:I189" si="409">BD21</f>
        <v/>
      </c>
      <c r="F189" s="31" t="str">
        <f t="shared" si="409"/>
        <v/>
      </c>
      <c r="G189" s="31" t="str">
        <f t="shared" si="409"/>
        <v/>
      </c>
      <c r="H189" s="13" t="str">
        <f t="shared" si="409"/>
        <v/>
      </c>
      <c r="I189" s="13" t="str">
        <f t="shared" si="409"/>
        <v/>
      </c>
      <c r="J189" s="107" t="str">
        <f t="array" ref="J189">IFERROR(IF(XLOOKUP(CONCAT(E189,F189),'MASTER PLAN'!$AB:$AB,'MASTER PLAN'!$M:$M,0,0)=0,"",XLOOKUP(CONCAT(E189,F189),'MASTER PLAN'!$AB:$AB,'MASTER PLAN'!$M:$M,0,0)),"")</f>
        <v/>
      </c>
      <c r="K189" s="107">
        <f t="shared" si="237"/>
        <v>0</v>
      </c>
      <c r="L189" s="107">
        <f t="shared" si="238"/>
        <v>0</v>
      </c>
      <c r="M189" s="105" t="s">
        <v>249</v>
      </c>
      <c r="AI189" s="42"/>
      <c r="BN189" s="42"/>
      <c r="CS189" s="42"/>
      <c r="DX189" s="42"/>
      <c r="FC189" s="42"/>
      <c r="GH189" s="42"/>
      <c r="HM189" s="42"/>
      <c r="IR189" s="42"/>
      <c r="JW189" s="42"/>
      <c r="LB189" s="42"/>
      <c r="MG189" s="42"/>
      <c r="NL189" s="42"/>
    </row>
    <row r="190" ht="15.75" customHeight="1">
      <c r="A190" s="42"/>
      <c r="B190" s="42"/>
      <c r="C190" s="42"/>
      <c r="D190" s="38">
        <f t="shared" si="399"/>
        <v>45975</v>
      </c>
      <c r="E190" s="31" t="str">
        <f t="shared" ref="E190:I190" si="410">BD22</f>
        <v/>
      </c>
      <c r="F190" s="31" t="str">
        <f t="shared" si="410"/>
        <v/>
      </c>
      <c r="G190" s="31" t="str">
        <f t="shared" si="410"/>
        <v/>
      </c>
      <c r="H190" s="13" t="str">
        <f t="shared" si="410"/>
        <v/>
      </c>
      <c r="I190" s="13" t="str">
        <f t="shared" si="410"/>
        <v/>
      </c>
      <c r="J190" s="107" t="str">
        <f t="array" ref="J190">IFERROR(IF(XLOOKUP(CONCAT(E190,F190),'MASTER PLAN'!$AB:$AB,'MASTER PLAN'!$M:$M,0,0)=0,"",XLOOKUP(CONCAT(E190,F190),'MASTER PLAN'!$AB:$AB,'MASTER PLAN'!$M:$M,0,0)),"")</f>
        <v/>
      </c>
      <c r="K190" s="107">
        <f t="shared" si="237"/>
        <v>0</v>
      </c>
      <c r="L190" s="107">
        <f t="shared" si="238"/>
        <v>0</v>
      </c>
      <c r="M190" s="105" t="s">
        <v>249</v>
      </c>
      <c r="AI190" s="42"/>
      <c r="BN190" s="42"/>
      <c r="CS190" s="42"/>
      <c r="DX190" s="42"/>
      <c r="FC190" s="42"/>
      <c r="GH190" s="42"/>
      <c r="HM190" s="42"/>
      <c r="IR190" s="42"/>
      <c r="JW190" s="42"/>
      <c r="LB190" s="42"/>
      <c r="MG190" s="42"/>
      <c r="NL190" s="42"/>
    </row>
    <row r="191" ht="15.75" customHeight="1">
      <c r="A191" s="42"/>
      <c r="B191" s="42"/>
      <c r="C191" s="42"/>
      <c r="D191" s="38">
        <f t="shared" si="399"/>
        <v>45975</v>
      </c>
      <c r="E191" s="31" t="str">
        <f t="shared" ref="E191:I191" si="411">BD23</f>
        <v/>
      </c>
      <c r="F191" s="31" t="str">
        <f t="shared" si="411"/>
        <v/>
      </c>
      <c r="G191" s="31" t="str">
        <f t="shared" si="411"/>
        <v/>
      </c>
      <c r="H191" s="13" t="str">
        <f t="shared" si="411"/>
        <v/>
      </c>
      <c r="I191" s="13" t="str">
        <f t="shared" si="411"/>
        <v/>
      </c>
      <c r="J191" s="107" t="str">
        <f t="array" ref="J191">IFERROR(IF(XLOOKUP(CONCAT(E191,F191),'MASTER PLAN'!$AB:$AB,'MASTER PLAN'!$M:$M,0,0)=0,"",XLOOKUP(CONCAT(E191,F191),'MASTER PLAN'!$AB:$AB,'MASTER PLAN'!$M:$M,0,0)),"")</f>
        <v/>
      </c>
      <c r="K191" s="107">
        <f t="shared" si="237"/>
        <v>0</v>
      </c>
      <c r="L191" s="107">
        <f t="shared" si="238"/>
        <v>0</v>
      </c>
      <c r="M191" s="105" t="s">
        <v>249</v>
      </c>
      <c r="AI191" s="42"/>
      <c r="BN191" s="42"/>
      <c r="CS191" s="42"/>
      <c r="DX191" s="42"/>
      <c r="FC191" s="42"/>
      <c r="GH191" s="42"/>
      <c r="HM191" s="42"/>
      <c r="IR191" s="42"/>
      <c r="JW191" s="42"/>
      <c r="LB191" s="42"/>
      <c r="MG191" s="42"/>
      <c r="NL191" s="42"/>
    </row>
    <row r="192" ht="15.75" customHeight="1">
      <c r="A192" s="42"/>
      <c r="B192" s="42"/>
      <c r="C192" s="42"/>
      <c r="D192" s="38">
        <f t="shared" si="399"/>
        <v>45975</v>
      </c>
      <c r="E192" s="31" t="str">
        <f t="shared" ref="E192:I192" si="412">BD24</f>
        <v/>
      </c>
      <c r="F192" s="31" t="str">
        <f t="shared" si="412"/>
        <v/>
      </c>
      <c r="G192" s="31" t="str">
        <f t="shared" si="412"/>
        <v/>
      </c>
      <c r="H192" s="13" t="str">
        <f t="shared" si="412"/>
        <v/>
      </c>
      <c r="I192" s="13" t="str">
        <f t="shared" si="412"/>
        <v/>
      </c>
      <c r="J192" s="107" t="str">
        <f t="array" ref="J192">IFERROR(IF(XLOOKUP(CONCAT(E192,F192),'MASTER PLAN'!$AB:$AB,'MASTER PLAN'!$M:$M,0,0)=0,"",XLOOKUP(CONCAT(E192,F192),'MASTER PLAN'!$AB:$AB,'MASTER PLAN'!$M:$M,0,0)),"")</f>
        <v/>
      </c>
      <c r="K192" s="107">
        <f t="shared" si="237"/>
        <v>0</v>
      </c>
      <c r="L192" s="107">
        <f t="shared" si="238"/>
        <v>0</v>
      </c>
      <c r="M192" s="105" t="s">
        <v>249</v>
      </c>
      <c r="AI192" s="42"/>
      <c r="BN192" s="42"/>
      <c r="CS192" s="42"/>
      <c r="DX192" s="42"/>
      <c r="FC192" s="42"/>
      <c r="GH192" s="42"/>
      <c r="HM192" s="42"/>
      <c r="IR192" s="42"/>
      <c r="JW192" s="42"/>
      <c r="LB192" s="42"/>
      <c r="MG192" s="42"/>
      <c r="NL192" s="42"/>
    </row>
    <row r="193" ht="15.75" customHeight="1">
      <c r="A193" s="42"/>
      <c r="B193" s="42"/>
      <c r="C193" s="42"/>
      <c r="D193" s="38">
        <f>BI2</f>
        <v>45976</v>
      </c>
      <c r="E193" s="31" t="str">
        <f t="shared" ref="E193:I193" si="413">BI4</f>
        <v/>
      </c>
      <c r="F193" s="31" t="str">
        <f t="shared" si="413"/>
        <v/>
      </c>
      <c r="G193" s="31" t="str">
        <f t="shared" si="413"/>
        <v/>
      </c>
      <c r="H193" s="13" t="str">
        <f t="shared" si="413"/>
        <v/>
      </c>
      <c r="I193" s="13" t="str">
        <f t="shared" si="413"/>
        <v/>
      </c>
      <c r="J193" s="107" t="str">
        <f t="array" ref="J193">IFERROR(IF(XLOOKUP(CONCAT(E193,F193),'MASTER PLAN'!$AB:$AB,'MASTER PLAN'!$M:$M,0,0)=0,"",XLOOKUP(CONCAT(E193,F193),'MASTER PLAN'!$AB:$AB,'MASTER PLAN'!$M:$M,0,0)),"")</f>
        <v/>
      </c>
      <c r="K193" s="107">
        <f t="shared" si="237"/>
        <v>0</v>
      </c>
      <c r="L193" s="107">
        <f t="shared" si="238"/>
        <v>0</v>
      </c>
      <c r="M193" s="105" t="s">
        <v>246</v>
      </c>
      <c r="AI193" s="42"/>
      <c r="BN193" s="42"/>
      <c r="CS193" s="42"/>
      <c r="DX193" s="42"/>
      <c r="FC193" s="42"/>
      <c r="GH193" s="42"/>
      <c r="HM193" s="42"/>
      <c r="IR193" s="42"/>
      <c r="JW193" s="42"/>
      <c r="LB193" s="42"/>
      <c r="MG193" s="42"/>
      <c r="NL193" s="42"/>
    </row>
    <row r="194" ht="15.75" customHeight="1">
      <c r="A194" s="42"/>
      <c r="B194" s="42"/>
      <c r="C194" s="42"/>
      <c r="D194" s="38">
        <f t="shared" ref="D194:D207" si="415">D193</f>
        <v>45976</v>
      </c>
      <c r="E194" s="31" t="str">
        <f t="shared" ref="E194:I194" si="414">BI5</f>
        <v/>
      </c>
      <c r="F194" s="31" t="str">
        <f t="shared" si="414"/>
        <v/>
      </c>
      <c r="G194" s="31" t="str">
        <f t="shared" si="414"/>
        <v/>
      </c>
      <c r="H194" s="13" t="str">
        <f t="shared" si="414"/>
        <v/>
      </c>
      <c r="I194" s="13" t="str">
        <f t="shared" si="414"/>
        <v/>
      </c>
      <c r="J194" s="107" t="str">
        <f t="array" ref="J194">IFERROR(IF(XLOOKUP(CONCAT(E194,F194),'MASTER PLAN'!$AB:$AB,'MASTER PLAN'!$M:$M,0,0)=0,"",XLOOKUP(CONCAT(E194,F194),'MASTER PLAN'!$AB:$AB,'MASTER PLAN'!$M:$M,0,0)),"")</f>
        <v/>
      </c>
      <c r="K194" s="107">
        <f t="shared" si="237"/>
        <v>0</v>
      </c>
      <c r="L194" s="107">
        <f t="shared" si="238"/>
        <v>0</v>
      </c>
      <c r="M194" s="105" t="s">
        <v>246</v>
      </c>
      <c r="AI194" s="42"/>
      <c r="BN194" s="42"/>
      <c r="CS194" s="42"/>
      <c r="DX194" s="42"/>
      <c r="FC194" s="42"/>
      <c r="GH194" s="42"/>
      <c r="HM194" s="42"/>
      <c r="IR194" s="42"/>
      <c r="JW194" s="42"/>
      <c r="LB194" s="42"/>
      <c r="MG194" s="42"/>
      <c r="NL194" s="42"/>
    </row>
    <row r="195" ht="15.75" customHeight="1">
      <c r="A195" s="42"/>
      <c r="B195" s="42"/>
      <c r="C195" s="42"/>
      <c r="D195" s="38">
        <f t="shared" si="415"/>
        <v>45976</v>
      </c>
      <c r="E195" s="31" t="str">
        <f t="shared" ref="E195:I195" si="416">BI6</f>
        <v/>
      </c>
      <c r="F195" s="31" t="str">
        <f t="shared" si="416"/>
        <v/>
      </c>
      <c r="G195" s="31" t="str">
        <f t="shared" si="416"/>
        <v/>
      </c>
      <c r="H195" s="13" t="str">
        <f t="shared" si="416"/>
        <v/>
      </c>
      <c r="I195" s="13" t="str">
        <f t="shared" si="416"/>
        <v/>
      </c>
      <c r="J195" s="107" t="str">
        <f t="array" ref="J195">IFERROR(IF(XLOOKUP(CONCAT(E195,F195),'MASTER PLAN'!$AB:$AB,'MASTER PLAN'!$M:$M,0,0)=0,"",XLOOKUP(CONCAT(E195,F195),'MASTER PLAN'!$AB:$AB,'MASTER PLAN'!$M:$M,0,0)),"")</f>
        <v/>
      </c>
      <c r="K195" s="107">
        <f t="shared" si="237"/>
        <v>0</v>
      </c>
      <c r="L195" s="107">
        <f t="shared" si="238"/>
        <v>0</v>
      </c>
      <c r="M195" s="105" t="s">
        <v>246</v>
      </c>
      <c r="AI195" s="42"/>
      <c r="BN195" s="42"/>
      <c r="CS195" s="42"/>
      <c r="DX195" s="42"/>
      <c r="FC195" s="42"/>
      <c r="GH195" s="42"/>
      <c r="HM195" s="42"/>
      <c r="IR195" s="42"/>
      <c r="JW195" s="42"/>
      <c r="LB195" s="42"/>
      <c r="MG195" s="42"/>
      <c r="NL195" s="42"/>
    </row>
    <row r="196" ht="15.75" customHeight="1">
      <c r="A196" s="42"/>
      <c r="B196" s="42"/>
      <c r="C196" s="42"/>
      <c r="D196" s="38">
        <f t="shared" si="415"/>
        <v>45976</v>
      </c>
      <c r="E196" s="31" t="str">
        <f t="shared" ref="E196:I196" si="417">BI7</f>
        <v/>
      </c>
      <c r="F196" s="31" t="str">
        <f t="shared" si="417"/>
        <v/>
      </c>
      <c r="G196" s="31" t="str">
        <f t="shared" si="417"/>
        <v/>
      </c>
      <c r="H196" s="13" t="str">
        <f t="shared" si="417"/>
        <v/>
      </c>
      <c r="I196" s="13" t="str">
        <f t="shared" si="417"/>
        <v/>
      </c>
      <c r="J196" s="107" t="str">
        <f t="array" ref="J196">IFERROR(IF(XLOOKUP(CONCAT(E196,F196),'MASTER PLAN'!$AB:$AB,'MASTER PLAN'!$M:$M,0,0)=0,"",XLOOKUP(CONCAT(E196,F196),'MASTER PLAN'!$AB:$AB,'MASTER PLAN'!$M:$M,0,0)),"")</f>
        <v/>
      </c>
      <c r="K196" s="107">
        <f t="shared" si="237"/>
        <v>0</v>
      </c>
      <c r="L196" s="107">
        <f t="shared" si="238"/>
        <v>0</v>
      </c>
      <c r="M196" s="105" t="s">
        <v>246</v>
      </c>
      <c r="AI196" s="42"/>
      <c r="BN196" s="42"/>
      <c r="CS196" s="42"/>
      <c r="DX196" s="42"/>
      <c r="FC196" s="42"/>
      <c r="GH196" s="42"/>
      <c r="HM196" s="42"/>
      <c r="IR196" s="42"/>
      <c r="JW196" s="42"/>
      <c r="LB196" s="42"/>
      <c r="MG196" s="42"/>
      <c r="NL196" s="42"/>
    </row>
    <row r="197" ht="15.75" customHeight="1">
      <c r="A197" s="42"/>
      <c r="B197" s="42"/>
      <c r="C197" s="42"/>
      <c r="D197" s="38">
        <f t="shared" si="415"/>
        <v>45976</v>
      </c>
      <c r="E197" s="31" t="str">
        <f t="shared" ref="E197:I197" si="418">BI8</f>
        <v/>
      </c>
      <c r="F197" s="31" t="str">
        <f t="shared" si="418"/>
        <v/>
      </c>
      <c r="G197" s="31" t="str">
        <f t="shared" si="418"/>
        <v/>
      </c>
      <c r="H197" s="13" t="str">
        <f t="shared" si="418"/>
        <v/>
      </c>
      <c r="I197" s="13" t="str">
        <f t="shared" si="418"/>
        <v/>
      </c>
      <c r="J197" s="107" t="str">
        <f t="array" ref="J197">IFERROR(IF(XLOOKUP(CONCAT(E197,F197),'MASTER PLAN'!$AB:$AB,'MASTER PLAN'!$M:$M,0,0)=0,"",XLOOKUP(CONCAT(E197,F197),'MASTER PLAN'!$AB:$AB,'MASTER PLAN'!$M:$M,0,0)),"")</f>
        <v/>
      </c>
      <c r="K197" s="107">
        <f t="shared" si="237"/>
        <v>0</v>
      </c>
      <c r="L197" s="107">
        <f t="shared" si="238"/>
        <v>0</v>
      </c>
      <c r="M197" s="105" t="s">
        <v>246</v>
      </c>
      <c r="AI197" s="42"/>
      <c r="BN197" s="42"/>
      <c r="CS197" s="42"/>
      <c r="DX197" s="42"/>
      <c r="FC197" s="42"/>
      <c r="GH197" s="42"/>
      <c r="HM197" s="42"/>
      <c r="IR197" s="42"/>
      <c r="JW197" s="42"/>
      <c r="LB197" s="42"/>
      <c r="MG197" s="42"/>
      <c r="NL197" s="42"/>
    </row>
    <row r="198" ht="15.75" customHeight="1">
      <c r="A198" s="42"/>
      <c r="B198" s="42"/>
      <c r="C198" s="42"/>
      <c r="D198" s="38">
        <f t="shared" si="415"/>
        <v>45976</v>
      </c>
      <c r="E198" s="31" t="str">
        <f t="shared" ref="E198:I198" si="419">BI12</f>
        <v/>
      </c>
      <c r="F198" s="31" t="str">
        <f t="shared" si="419"/>
        <v/>
      </c>
      <c r="G198" s="31" t="str">
        <f t="shared" si="419"/>
        <v/>
      </c>
      <c r="H198" s="13" t="str">
        <f t="shared" si="419"/>
        <v/>
      </c>
      <c r="I198" s="13" t="str">
        <f t="shared" si="419"/>
        <v/>
      </c>
      <c r="J198" s="107" t="str">
        <f t="array" ref="J198">IFERROR(IF(XLOOKUP(CONCAT(E198,F198),'MASTER PLAN'!$AB:$AB,'MASTER PLAN'!$M:$M,0,0)=0,"",XLOOKUP(CONCAT(E198,F198),'MASTER PLAN'!$AB:$AB,'MASTER PLAN'!$M:$M,0,0)),"")</f>
        <v/>
      </c>
      <c r="K198" s="107">
        <f t="shared" si="237"/>
        <v>0</v>
      </c>
      <c r="L198" s="107">
        <f t="shared" si="238"/>
        <v>0</v>
      </c>
      <c r="M198" s="105" t="s">
        <v>248</v>
      </c>
      <c r="AI198" s="42"/>
      <c r="BN198" s="42"/>
      <c r="CS198" s="42"/>
      <c r="DX198" s="42"/>
      <c r="FC198" s="42"/>
      <c r="GH198" s="42"/>
      <c r="HM198" s="42"/>
      <c r="IR198" s="42"/>
      <c r="JW198" s="42"/>
      <c r="LB198" s="42"/>
      <c r="MG198" s="42"/>
      <c r="NL198" s="42"/>
    </row>
    <row r="199" ht="15.75" customHeight="1">
      <c r="A199" s="42"/>
      <c r="B199" s="42"/>
      <c r="C199" s="42"/>
      <c r="D199" s="38">
        <f t="shared" si="415"/>
        <v>45976</v>
      </c>
      <c r="E199" s="31" t="str">
        <f t="shared" ref="E199:I199" si="420">BI13</f>
        <v/>
      </c>
      <c r="F199" s="31" t="str">
        <f t="shared" si="420"/>
        <v/>
      </c>
      <c r="G199" s="31" t="str">
        <f t="shared" si="420"/>
        <v/>
      </c>
      <c r="H199" s="13" t="str">
        <f t="shared" si="420"/>
        <v/>
      </c>
      <c r="I199" s="13" t="str">
        <f t="shared" si="420"/>
        <v/>
      </c>
      <c r="J199" s="107" t="str">
        <f t="array" ref="J199">IFERROR(IF(XLOOKUP(CONCAT(E199,F199),'MASTER PLAN'!$AB:$AB,'MASTER PLAN'!$M:$M,0,0)=0,"",XLOOKUP(CONCAT(E199,F199),'MASTER PLAN'!$AB:$AB,'MASTER PLAN'!$M:$M,0,0)),"")</f>
        <v/>
      </c>
      <c r="K199" s="107">
        <f t="shared" si="237"/>
        <v>0</v>
      </c>
      <c r="L199" s="107">
        <f t="shared" si="238"/>
        <v>0</v>
      </c>
      <c r="M199" s="105" t="s">
        <v>248</v>
      </c>
      <c r="AI199" s="42"/>
      <c r="BN199" s="42"/>
      <c r="CS199" s="42"/>
      <c r="DX199" s="42"/>
      <c r="FC199" s="42"/>
      <c r="GH199" s="42"/>
      <c r="HM199" s="42"/>
      <c r="IR199" s="42"/>
      <c r="JW199" s="42"/>
      <c r="LB199" s="42"/>
      <c r="MG199" s="42"/>
      <c r="NL199" s="42"/>
    </row>
    <row r="200" ht="15.75" customHeight="1">
      <c r="A200" s="42"/>
      <c r="B200" s="42"/>
      <c r="C200" s="42"/>
      <c r="D200" s="38">
        <f t="shared" si="415"/>
        <v>45976</v>
      </c>
      <c r="E200" s="31" t="str">
        <f t="shared" ref="E200:I200" si="421">BI14</f>
        <v/>
      </c>
      <c r="F200" s="31" t="str">
        <f t="shared" si="421"/>
        <v/>
      </c>
      <c r="G200" s="31" t="str">
        <f t="shared" si="421"/>
        <v/>
      </c>
      <c r="H200" s="13" t="str">
        <f t="shared" si="421"/>
        <v/>
      </c>
      <c r="I200" s="13" t="str">
        <f t="shared" si="421"/>
        <v/>
      </c>
      <c r="J200" s="107" t="str">
        <f t="array" ref="J200">IFERROR(IF(XLOOKUP(CONCAT(E200,F200),'MASTER PLAN'!$AB:$AB,'MASTER PLAN'!$M:$M,0,0)=0,"",XLOOKUP(CONCAT(E200,F200),'MASTER PLAN'!$AB:$AB,'MASTER PLAN'!$M:$M,0,0)),"")</f>
        <v/>
      </c>
      <c r="K200" s="107">
        <f t="shared" si="237"/>
        <v>0</v>
      </c>
      <c r="L200" s="107">
        <f t="shared" si="238"/>
        <v>0</v>
      </c>
      <c r="M200" s="105" t="s">
        <v>248</v>
      </c>
      <c r="AI200" s="42"/>
      <c r="BN200" s="42"/>
      <c r="CS200" s="42"/>
      <c r="DX200" s="42"/>
      <c r="FC200" s="42"/>
      <c r="GH200" s="42"/>
      <c r="HM200" s="42"/>
      <c r="IR200" s="42"/>
      <c r="JW200" s="42"/>
      <c r="LB200" s="42"/>
      <c r="MG200" s="42"/>
      <c r="NL200" s="42"/>
    </row>
    <row r="201" ht="15.75" customHeight="1">
      <c r="A201" s="42"/>
      <c r="B201" s="42"/>
      <c r="C201" s="42"/>
      <c r="D201" s="38">
        <f t="shared" si="415"/>
        <v>45976</v>
      </c>
      <c r="E201" s="31" t="str">
        <f t="shared" ref="E201:I201" si="422">BI15</f>
        <v/>
      </c>
      <c r="F201" s="31" t="str">
        <f t="shared" si="422"/>
        <v/>
      </c>
      <c r="G201" s="31" t="str">
        <f t="shared" si="422"/>
        <v/>
      </c>
      <c r="H201" s="13" t="str">
        <f t="shared" si="422"/>
        <v/>
      </c>
      <c r="I201" s="13" t="str">
        <f t="shared" si="422"/>
        <v/>
      </c>
      <c r="J201" s="107" t="str">
        <f t="array" ref="J201">IFERROR(IF(XLOOKUP(CONCAT(E201,F201),'MASTER PLAN'!$AB:$AB,'MASTER PLAN'!$M:$M,0,0)=0,"",XLOOKUP(CONCAT(E201,F201),'MASTER PLAN'!$AB:$AB,'MASTER PLAN'!$M:$M,0,0)),"")</f>
        <v/>
      </c>
      <c r="K201" s="107">
        <f t="shared" si="237"/>
        <v>0</v>
      </c>
      <c r="L201" s="107">
        <f t="shared" si="238"/>
        <v>0</v>
      </c>
      <c r="M201" s="105" t="s">
        <v>248</v>
      </c>
      <c r="AI201" s="42"/>
      <c r="BN201" s="42"/>
      <c r="CS201" s="42"/>
      <c r="DX201" s="42"/>
      <c r="FC201" s="42"/>
      <c r="GH201" s="42"/>
      <c r="HM201" s="42"/>
      <c r="IR201" s="42"/>
      <c r="JW201" s="42"/>
      <c r="LB201" s="42"/>
      <c r="MG201" s="42"/>
      <c r="NL201" s="42"/>
    </row>
    <row r="202" ht="15.75" customHeight="1">
      <c r="A202" s="42"/>
      <c r="B202" s="42"/>
      <c r="C202" s="42"/>
      <c r="D202" s="38">
        <f t="shared" si="415"/>
        <v>45976</v>
      </c>
      <c r="E202" s="31" t="str">
        <f t="shared" ref="E202:I202" si="423">BI16</f>
        <v/>
      </c>
      <c r="F202" s="31" t="str">
        <f t="shared" si="423"/>
        <v/>
      </c>
      <c r="G202" s="31" t="str">
        <f t="shared" si="423"/>
        <v/>
      </c>
      <c r="H202" s="13" t="str">
        <f t="shared" si="423"/>
        <v/>
      </c>
      <c r="I202" s="13" t="str">
        <f t="shared" si="423"/>
        <v/>
      </c>
      <c r="J202" s="107" t="str">
        <f t="array" ref="J202">IFERROR(IF(XLOOKUP(CONCAT(E202,F202),'MASTER PLAN'!$AB:$AB,'MASTER PLAN'!$M:$M,0,0)=0,"",XLOOKUP(CONCAT(E202,F202),'MASTER PLAN'!$AB:$AB,'MASTER PLAN'!$M:$M,0,0)),"")</f>
        <v/>
      </c>
      <c r="K202" s="107">
        <f t="shared" si="237"/>
        <v>0</v>
      </c>
      <c r="L202" s="107">
        <f t="shared" si="238"/>
        <v>0</v>
      </c>
      <c r="M202" s="105" t="s">
        <v>248</v>
      </c>
      <c r="AI202" s="42"/>
      <c r="BN202" s="42"/>
      <c r="CS202" s="42"/>
      <c r="DX202" s="42"/>
      <c r="FC202" s="42"/>
      <c r="GH202" s="42"/>
      <c r="HM202" s="42"/>
      <c r="IR202" s="42"/>
      <c r="JW202" s="42"/>
      <c r="LB202" s="42"/>
      <c r="MG202" s="42"/>
      <c r="NL202" s="42"/>
    </row>
    <row r="203" ht="15.75" customHeight="1">
      <c r="A203" s="42"/>
      <c r="B203" s="42"/>
      <c r="C203" s="42"/>
      <c r="D203" s="38">
        <f t="shared" si="415"/>
        <v>45976</v>
      </c>
      <c r="E203" s="31" t="str">
        <f t="shared" ref="E203:I203" si="424">BI20</f>
        <v/>
      </c>
      <c r="F203" s="31" t="str">
        <f t="shared" si="424"/>
        <v/>
      </c>
      <c r="G203" s="31" t="str">
        <f t="shared" si="424"/>
        <v/>
      </c>
      <c r="H203" s="13" t="str">
        <f t="shared" si="424"/>
        <v/>
      </c>
      <c r="I203" s="13" t="str">
        <f t="shared" si="424"/>
        <v/>
      </c>
      <c r="J203" s="107" t="str">
        <f t="array" ref="J203">IFERROR(IF(XLOOKUP(CONCAT(E203,F203),'MASTER PLAN'!$AB:$AB,'MASTER PLAN'!$M:$M,0,0)=0,"",XLOOKUP(CONCAT(E203,F203),'MASTER PLAN'!$AB:$AB,'MASTER PLAN'!$M:$M,0,0)),"")</f>
        <v/>
      </c>
      <c r="K203" s="107">
        <f t="shared" si="237"/>
        <v>0</v>
      </c>
      <c r="L203" s="107">
        <f t="shared" si="238"/>
        <v>0</v>
      </c>
      <c r="M203" s="105" t="s">
        <v>249</v>
      </c>
      <c r="AI203" s="42"/>
      <c r="BN203" s="42"/>
      <c r="CS203" s="42"/>
      <c r="DX203" s="42"/>
      <c r="FC203" s="42"/>
      <c r="GH203" s="42"/>
      <c r="HM203" s="42"/>
      <c r="IR203" s="42"/>
      <c r="JW203" s="42"/>
      <c r="LB203" s="42"/>
      <c r="MG203" s="42"/>
      <c r="NL203" s="42"/>
    </row>
    <row r="204" ht="15.75" customHeight="1">
      <c r="A204" s="42"/>
      <c r="B204" s="42"/>
      <c r="C204" s="42"/>
      <c r="D204" s="38">
        <f t="shared" si="415"/>
        <v>45976</v>
      </c>
      <c r="E204" s="31" t="str">
        <f t="shared" ref="E204:I204" si="425">BI21</f>
        <v/>
      </c>
      <c r="F204" s="31" t="str">
        <f t="shared" si="425"/>
        <v/>
      </c>
      <c r="G204" s="31" t="str">
        <f t="shared" si="425"/>
        <v/>
      </c>
      <c r="H204" s="13" t="str">
        <f t="shared" si="425"/>
        <v/>
      </c>
      <c r="I204" s="13" t="str">
        <f t="shared" si="425"/>
        <v/>
      </c>
      <c r="J204" s="107" t="str">
        <f t="array" ref="J204">IFERROR(IF(XLOOKUP(CONCAT(E204,F204),'MASTER PLAN'!$AB:$AB,'MASTER PLAN'!$M:$M,0,0)=0,"",XLOOKUP(CONCAT(E204,F204),'MASTER PLAN'!$AB:$AB,'MASTER PLAN'!$M:$M,0,0)),"")</f>
        <v/>
      </c>
      <c r="K204" s="107">
        <f t="shared" si="237"/>
        <v>0</v>
      </c>
      <c r="L204" s="107">
        <f t="shared" si="238"/>
        <v>0</v>
      </c>
      <c r="M204" s="105" t="s">
        <v>249</v>
      </c>
      <c r="AI204" s="42"/>
      <c r="BN204" s="42"/>
      <c r="CS204" s="42"/>
      <c r="DX204" s="42"/>
      <c r="FC204" s="42"/>
      <c r="GH204" s="42"/>
      <c r="HM204" s="42"/>
      <c r="IR204" s="42"/>
      <c r="JW204" s="42"/>
      <c r="LB204" s="42"/>
      <c r="MG204" s="42"/>
      <c r="NL204" s="42"/>
    </row>
    <row r="205" ht="15.75" customHeight="1">
      <c r="A205" s="42"/>
      <c r="B205" s="42"/>
      <c r="C205" s="42"/>
      <c r="D205" s="38">
        <f t="shared" si="415"/>
        <v>45976</v>
      </c>
      <c r="E205" s="31" t="str">
        <f t="shared" ref="E205:I205" si="426">BI22</f>
        <v/>
      </c>
      <c r="F205" s="31" t="str">
        <f t="shared" si="426"/>
        <v/>
      </c>
      <c r="G205" s="31" t="str">
        <f t="shared" si="426"/>
        <v/>
      </c>
      <c r="H205" s="13" t="str">
        <f t="shared" si="426"/>
        <v/>
      </c>
      <c r="I205" s="13" t="str">
        <f t="shared" si="426"/>
        <v/>
      </c>
      <c r="J205" s="107" t="str">
        <f t="array" ref="J205">IFERROR(IF(XLOOKUP(CONCAT(E205,F205),'MASTER PLAN'!$AB:$AB,'MASTER PLAN'!$M:$M,0,0)=0,"",XLOOKUP(CONCAT(E205,F205),'MASTER PLAN'!$AB:$AB,'MASTER PLAN'!$M:$M,0,0)),"")</f>
        <v/>
      </c>
      <c r="K205" s="107">
        <f t="shared" si="237"/>
        <v>0</v>
      </c>
      <c r="L205" s="107">
        <f t="shared" si="238"/>
        <v>0</v>
      </c>
      <c r="M205" s="105" t="s">
        <v>249</v>
      </c>
      <c r="AI205" s="42"/>
      <c r="BN205" s="42"/>
      <c r="CS205" s="42"/>
      <c r="DX205" s="42"/>
      <c r="FC205" s="42"/>
      <c r="GH205" s="42"/>
      <c r="HM205" s="42"/>
      <c r="IR205" s="42"/>
      <c r="JW205" s="42"/>
      <c r="LB205" s="42"/>
      <c r="MG205" s="42"/>
      <c r="NL205" s="42"/>
    </row>
    <row r="206" ht="15.75" customHeight="1">
      <c r="A206" s="42"/>
      <c r="B206" s="42"/>
      <c r="C206" s="42"/>
      <c r="D206" s="38">
        <f t="shared" si="415"/>
        <v>45976</v>
      </c>
      <c r="E206" s="31" t="str">
        <f t="shared" ref="E206:I206" si="427">BI23</f>
        <v/>
      </c>
      <c r="F206" s="31" t="str">
        <f t="shared" si="427"/>
        <v/>
      </c>
      <c r="G206" s="31" t="str">
        <f t="shared" si="427"/>
        <v/>
      </c>
      <c r="H206" s="13" t="str">
        <f t="shared" si="427"/>
        <v/>
      </c>
      <c r="I206" s="13" t="str">
        <f t="shared" si="427"/>
        <v/>
      </c>
      <c r="J206" s="107" t="str">
        <f t="array" ref="J206">IFERROR(IF(XLOOKUP(CONCAT(E206,F206),'MASTER PLAN'!$AB:$AB,'MASTER PLAN'!$M:$M,0,0)=0,"",XLOOKUP(CONCAT(E206,F206),'MASTER PLAN'!$AB:$AB,'MASTER PLAN'!$M:$M,0,0)),"")</f>
        <v/>
      </c>
      <c r="K206" s="107">
        <f t="shared" si="237"/>
        <v>0</v>
      </c>
      <c r="L206" s="107">
        <f t="shared" si="238"/>
        <v>0</v>
      </c>
      <c r="M206" s="105" t="s">
        <v>249</v>
      </c>
      <c r="AI206" s="42"/>
      <c r="BN206" s="42"/>
      <c r="CS206" s="42"/>
      <c r="DX206" s="42"/>
      <c r="FC206" s="42"/>
      <c r="GH206" s="42"/>
      <c r="HM206" s="42"/>
      <c r="IR206" s="42"/>
      <c r="JW206" s="42"/>
      <c r="LB206" s="42"/>
      <c r="MG206" s="42"/>
      <c r="NL206" s="42"/>
    </row>
    <row r="207" ht="15.75" customHeight="1">
      <c r="A207" s="42"/>
      <c r="B207" s="42"/>
      <c r="C207" s="42"/>
      <c r="D207" s="38">
        <f t="shared" si="415"/>
        <v>45976</v>
      </c>
      <c r="E207" s="31" t="str">
        <f t="shared" ref="E207:I207" si="428">BI24</f>
        <v/>
      </c>
      <c r="F207" s="31" t="str">
        <f t="shared" si="428"/>
        <v/>
      </c>
      <c r="G207" s="31" t="str">
        <f t="shared" si="428"/>
        <v/>
      </c>
      <c r="H207" s="13" t="str">
        <f t="shared" si="428"/>
        <v/>
      </c>
      <c r="I207" s="13" t="str">
        <f t="shared" si="428"/>
        <v/>
      </c>
      <c r="J207" s="107" t="str">
        <f t="array" ref="J207">IFERROR(IF(XLOOKUP(CONCAT(E207,F207),'MASTER PLAN'!$AB:$AB,'MASTER PLAN'!$M:$M,0,0)=0,"",XLOOKUP(CONCAT(E207,F207),'MASTER PLAN'!$AB:$AB,'MASTER PLAN'!$M:$M,0,0)),"")</f>
        <v/>
      </c>
      <c r="K207" s="107">
        <f t="shared" si="237"/>
        <v>0</v>
      </c>
      <c r="L207" s="107">
        <f t="shared" si="238"/>
        <v>0</v>
      </c>
      <c r="M207" s="105" t="s">
        <v>249</v>
      </c>
      <c r="AI207" s="42"/>
      <c r="BN207" s="42"/>
      <c r="CS207" s="42"/>
      <c r="DX207" s="42"/>
      <c r="FC207" s="42"/>
      <c r="GH207" s="42"/>
      <c r="HM207" s="42"/>
      <c r="IR207" s="42"/>
      <c r="JW207" s="42"/>
      <c r="LB207" s="42"/>
      <c r="MG207" s="42"/>
      <c r="NL207" s="42"/>
    </row>
    <row r="208" ht="15.75" customHeight="1">
      <c r="A208" s="42"/>
      <c r="B208" s="42"/>
      <c r="C208" s="42"/>
      <c r="D208" s="38">
        <f>BO2</f>
        <v>45978</v>
      </c>
      <c r="E208" s="31">
        <f t="shared" ref="E208:I208" si="429">BO4</f>
        <v>1402049346</v>
      </c>
      <c r="F208" s="31">
        <f t="shared" si="429"/>
        <v>10</v>
      </c>
      <c r="G208" s="31" t="str">
        <f t="shared" si="429"/>
        <v>BOLSA HELZBERG 10X2-5X8 IN FA</v>
      </c>
      <c r="H208" s="13">
        <f t="shared" si="429"/>
        <v>1300</v>
      </c>
      <c r="I208" s="13">
        <f t="shared" si="429"/>
        <v>1300</v>
      </c>
      <c r="J208" s="107">
        <f t="array" ref="J208">IFERROR(IF(XLOOKUP(CONCAT(E208,F208),'MASTER PLAN'!$AB:$AB,'MASTER PLAN'!$M:$M,0,0)=0,"",XLOOKUP(CONCAT(E208,F208),'MASTER PLAN'!$AB:$AB,'MASTER PLAN'!$M:$M,0,0)),"")</f>
        <v>0.8</v>
      </c>
      <c r="K208" s="107">
        <f t="shared" si="237"/>
        <v>1040</v>
      </c>
      <c r="L208" s="107">
        <f t="shared" si="238"/>
        <v>1040</v>
      </c>
      <c r="M208" s="105" t="s">
        <v>246</v>
      </c>
      <c r="AI208" s="42"/>
      <c r="BN208" s="42"/>
      <c r="CS208" s="42"/>
      <c r="DX208" s="42"/>
      <c r="FC208" s="42"/>
      <c r="GH208" s="42"/>
      <c r="HM208" s="42"/>
      <c r="IR208" s="42"/>
      <c r="JW208" s="42"/>
      <c r="LB208" s="42"/>
      <c r="MG208" s="42"/>
      <c r="NL208" s="42"/>
    </row>
    <row r="209" ht="15.75" customHeight="1">
      <c r="A209" s="42"/>
      <c r="B209" s="42"/>
      <c r="C209" s="42"/>
      <c r="D209" s="38">
        <f t="shared" ref="D209:D222" si="431">D208</f>
        <v>45978</v>
      </c>
      <c r="E209" s="31">
        <f t="shared" ref="E209:I209" si="430">BO5</f>
        <v>1402049277</v>
      </c>
      <c r="F209" s="31">
        <f t="shared" si="430"/>
        <v>30</v>
      </c>
      <c r="G209" s="31" t="str">
        <f t="shared" si="430"/>
        <v>BOLSA ELEGANCE 4-5X2-5X5-75 IN FL</v>
      </c>
      <c r="H209" s="13">
        <f t="shared" si="430"/>
        <v>1200</v>
      </c>
      <c r="I209" s="13">
        <f t="shared" si="430"/>
        <v>1200</v>
      </c>
      <c r="J209" s="107">
        <f t="array" ref="J209">IFERROR(IF(XLOOKUP(CONCAT(E209,F209),'MASTER PLAN'!$AB:$AB,'MASTER PLAN'!$M:$M,0,0)=0,"",XLOOKUP(CONCAT(E209,F209),'MASTER PLAN'!$AB:$AB,'MASTER PLAN'!$M:$M,0,0)),"")</f>
        <v>0.816</v>
      </c>
      <c r="K209" s="107">
        <f t="shared" si="237"/>
        <v>979.2</v>
      </c>
      <c r="L209" s="107">
        <f t="shared" si="238"/>
        <v>979.2</v>
      </c>
      <c r="M209" s="105" t="s">
        <v>246</v>
      </c>
      <c r="AI209" s="42"/>
      <c r="BN209" s="42"/>
      <c r="CS209" s="42"/>
      <c r="DX209" s="42"/>
      <c r="FC209" s="42"/>
      <c r="GH209" s="42"/>
      <c r="HM209" s="42"/>
      <c r="IR209" s="42"/>
      <c r="JW209" s="42"/>
      <c r="LB209" s="42"/>
      <c r="MG209" s="42"/>
      <c r="NL209" s="42"/>
    </row>
    <row r="210" ht="15.75" customHeight="1">
      <c r="A210" s="42"/>
      <c r="B210" s="42"/>
      <c r="C210" s="42"/>
      <c r="D210" s="38">
        <f t="shared" si="431"/>
        <v>45978</v>
      </c>
      <c r="E210" s="31">
        <f t="shared" ref="E210:I210" si="432">BO6</f>
        <v>1402049277</v>
      </c>
      <c r="F210" s="31">
        <f t="shared" si="432"/>
        <v>10</v>
      </c>
      <c r="G210" s="31" t="str">
        <f t="shared" si="432"/>
        <v>BOLSA ELEGANCE 8X4X10 IN FL</v>
      </c>
      <c r="H210" s="13">
        <f t="shared" si="432"/>
        <v>240</v>
      </c>
      <c r="I210" s="13">
        <f t="shared" si="432"/>
        <v>240</v>
      </c>
      <c r="J210" s="107">
        <f t="array" ref="J210">IFERROR(IF(XLOOKUP(CONCAT(E210,F210),'MASTER PLAN'!$AB:$AB,'MASTER PLAN'!$M:$M,0,0)=0,"",XLOOKUP(CONCAT(E210,F210),'MASTER PLAN'!$AB:$AB,'MASTER PLAN'!$M:$M,0,0)),"")</f>
        <v>1.096</v>
      </c>
      <c r="K210" s="107">
        <f t="shared" si="237"/>
        <v>263.04</v>
      </c>
      <c r="L210" s="107">
        <f t="shared" si="238"/>
        <v>263.04</v>
      </c>
      <c r="M210" s="105" t="s">
        <v>246</v>
      </c>
      <c r="AI210" s="42"/>
      <c r="BN210" s="42"/>
      <c r="CS210" s="42"/>
      <c r="DX210" s="42"/>
      <c r="FC210" s="42"/>
      <c r="GH210" s="42"/>
      <c r="HM210" s="42"/>
      <c r="IR210" s="42"/>
      <c r="JW210" s="42"/>
      <c r="LB210" s="42"/>
      <c r="MG210" s="42"/>
      <c r="NL210" s="42"/>
    </row>
    <row r="211" ht="15.75" customHeight="1">
      <c r="A211" s="42"/>
      <c r="B211" s="42"/>
      <c r="C211" s="42"/>
      <c r="D211" s="38">
        <f t="shared" si="431"/>
        <v>45978</v>
      </c>
      <c r="E211" s="31" t="str">
        <f t="shared" ref="E211:I211" si="433">BO7</f>
        <v/>
      </c>
      <c r="F211" s="31" t="str">
        <f t="shared" si="433"/>
        <v/>
      </c>
      <c r="G211" s="31" t="str">
        <f t="shared" si="433"/>
        <v/>
      </c>
      <c r="H211" s="13" t="str">
        <f t="shared" si="433"/>
        <v/>
      </c>
      <c r="I211" s="13" t="str">
        <f t="shared" si="433"/>
        <v/>
      </c>
      <c r="J211" s="107" t="str">
        <f t="array" ref="J211">IFERROR(IF(XLOOKUP(CONCAT(E211,F211),'MASTER PLAN'!$AB:$AB,'MASTER PLAN'!$M:$M,0,0)=0,"",XLOOKUP(CONCAT(E211,F211),'MASTER PLAN'!$AB:$AB,'MASTER PLAN'!$M:$M,0,0)),"")</f>
        <v/>
      </c>
      <c r="K211" s="107">
        <f t="shared" si="237"/>
        <v>0</v>
      </c>
      <c r="L211" s="107">
        <f t="shared" si="238"/>
        <v>0</v>
      </c>
      <c r="M211" s="105" t="s">
        <v>246</v>
      </c>
      <c r="AI211" s="42"/>
      <c r="BN211" s="42"/>
      <c r="CS211" s="42"/>
      <c r="DX211" s="42"/>
      <c r="FC211" s="42"/>
      <c r="GH211" s="42"/>
      <c r="HM211" s="42"/>
      <c r="IR211" s="42"/>
      <c r="JW211" s="42"/>
      <c r="LB211" s="42"/>
      <c r="MG211" s="42"/>
      <c r="NL211" s="42"/>
    </row>
    <row r="212" ht="15.75" customHeight="1">
      <c r="A212" s="42"/>
      <c r="B212" s="42"/>
      <c r="C212" s="42"/>
      <c r="D212" s="38">
        <f t="shared" si="431"/>
        <v>45978</v>
      </c>
      <c r="E212" s="31" t="str">
        <f t="shared" ref="E212:I212" si="434">BO8</f>
        <v/>
      </c>
      <c r="F212" s="31" t="str">
        <f t="shared" si="434"/>
        <v/>
      </c>
      <c r="G212" s="31" t="str">
        <f t="shared" si="434"/>
        <v/>
      </c>
      <c r="H212" s="13" t="str">
        <f t="shared" si="434"/>
        <v/>
      </c>
      <c r="I212" s="13" t="str">
        <f t="shared" si="434"/>
        <v/>
      </c>
      <c r="J212" s="107" t="str">
        <f t="array" ref="J212">IFERROR(IF(XLOOKUP(CONCAT(E212,F212),'MASTER PLAN'!$AB:$AB,'MASTER PLAN'!$M:$M,0,0)=0,"",XLOOKUP(CONCAT(E212,F212),'MASTER PLAN'!$AB:$AB,'MASTER PLAN'!$M:$M,0,0)),"")</f>
        <v/>
      </c>
      <c r="K212" s="107">
        <f t="shared" si="237"/>
        <v>0</v>
      </c>
      <c r="L212" s="107">
        <f t="shared" si="238"/>
        <v>0</v>
      </c>
      <c r="M212" s="105" t="s">
        <v>246</v>
      </c>
      <c r="AI212" s="42"/>
      <c r="BN212" s="42"/>
      <c r="CS212" s="42"/>
      <c r="DX212" s="42"/>
      <c r="FC212" s="42"/>
      <c r="GH212" s="42"/>
      <c r="HM212" s="42"/>
      <c r="IR212" s="42"/>
      <c r="JW212" s="42"/>
      <c r="LB212" s="42"/>
      <c r="MG212" s="42"/>
      <c r="NL212" s="42"/>
    </row>
    <row r="213" ht="15.75" customHeight="1">
      <c r="A213" s="42"/>
      <c r="B213" s="42"/>
      <c r="C213" s="42"/>
      <c r="D213" s="38">
        <f t="shared" si="431"/>
        <v>45978</v>
      </c>
      <c r="E213" s="31">
        <f t="shared" ref="E213:I213" si="435">BO12</f>
        <v>1402049237</v>
      </c>
      <c r="F213" s="31">
        <f t="shared" si="435"/>
        <v>10</v>
      </c>
      <c r="G213" s="31" t="str">
        <f t="shared" si="435"/>
        <v>BOLSA ANNABELLES 8"X4"X10"</v>
      </c>
      <c r="H213" s="13">
        <f t="shared" si="435"/>
        <v>3500</v>
      </c>
      <c r="I213" s="13">
        <f t="shared" si="435"/>
        <v>3500</v>
      </c>
      <c r="J213" s="107">
        <f t="array" ref="J213">IFERROR(IF(XLOOKUP(CONCAT(E213,F213),'MASTER PLAN'!$AB:$AB,'MASTER PLAN'!$M:$M,0,0)=0,"",XLOOKUP(CONCAT(E213,F213),'MASTER PLAN'!$AB:$AB,'MASTER PLAN'!$M:$M,0,0)),"")</f>
        <v>1.4</v>
      </c>
      <c r="K213" s="107">
        <f t="shared" si="237"/>
        <v>4900</v>
      </c>
      <c r="L213" s="107">
        <f t="shared" si="238"/>
        <v>4900</v>
      </c>
      <c r="M213" s="105" t="s">
        <v>248</v>
      </c>
      <c r="AI213" s="42"/>
      <c r="BN213" s="42"/>
      <c r="CS213" s="42"/>
      <c r="DX213" s="42"/>
      <c r="FC213" s="42"/>
      <c r="GH213" s="42"/>
      <c r="HM213" s="42"/>
      <c r="IR213" s="42"/>
      <c r="JW213" s="42"/>
      <c r="LB213" s="42"/>
      <c r="MG213" s="42"/>
      <c r="NL213" s="42"/>
    </row>
    <row r="214" ht="15.75" customHeight="1">
      <c r="A214" s="42"/>
      <c r="B214" s="42"/>
      <c r="C214" s="42"/>
      <c r="D214" s="38">
        <f t="shared" si="431"/>
        <v>45978</v>
      </c>
      <c r="E214" s="31" t="str">
        <f t="shared" ref="E214:I214" si="436">BO13</f>
        <v/>
      </c>
      <c r="F214" s="31" t="str">
        <f t="shared" si="436"/>
        <v/>
      </c>
      <c r="G214" s="31" t="str">
        <f t="shared" si="436"/>
        <v/>
      </c>
      <c r="H214" s="13" t="str">
        <f t="shared" si="436"/>
        <v/>
      </c>
      <c r="I214" s="13" t="str">
        <f t="shared" si="436"/>
        <v/>
      </c>
      <c r="J214" s="107" t="str">
        <f t="array" ref="J214">IFERROR(IF(XLOOKUP(CONCAT(E214,F214),'MASTER PLAN'!$AB:$AB,'MASTER PLAN'!$M:$M,0,0)=0,"",XLOOKUP(CONCAT(E214,F214),'MASTER PLAN'!$AB:$AB,'MASTER PLAN'!$M:$M,0,0)),"")</f>
        <v/>
      </c>
      <c r="K214" s="107">
        <f t="shared" si="237"/>
        <v>0</v>
      </c>
      <c r="L214" s="107">
        <f t="shared" si="238"/>
        <v>0</v>
      </c>
      <c r="M214" s="105" t="s">
        <v>248</v>
      </c>
      <c r="AI214" s="42"/>
      <c r="BN214" s="42"/>
      <c r="CS214" s="42"/>
      <c r="DX214" s="42"/>
      <c r="FC214" s="42"/>
      <c r="GH214" s="42"/>
      <c r="HM214" s="42"/>
      <c r="IR214" s="42"/>
      <c r="JW214" s="42"/>
      <c r="LB214" s="42"/>
      <c r="MG214" s="42"/>
      <c r="NL214" s="42"/>
    </row>
    <row r="215" ht="15.75" customHeight="1">
      <c r="A215" s="42"/>
      <c r="B215" s="42"/>
      <c r="C215" s="42"/>
      <c r="D215" s="38">
        <f t="shared" si="431"/>
        <v>45978</v>
      </c>
      <c r="E215" s="31" t="str">
        <f t="shared" ref="E215:I215" si="437">BO14</f>
        <v/>
      </c>
      <c r="F215" s="31" t="str">
        <f t="shared" si="437"/>
        <v/>
      </c>
      <c r="G215" s="31" t="str">
        <f t="shared" si="437"/>
        <v/>
      </c>
      <c r="H215" s="13" t="str">
        <f t="shared" si="437"/>
        <v/>
      </c>
      <c r="I215" s="13" t="str">
        <f t="shared" si="437"/>
        <v/>
      </c>
      <c r="J215" s="107" t="str">
        <f t="array" ref="J215">IFERROR(IF(XLOOKUP(CONCAT(E215,F215),'MASTER PLAN'!$AB:$AB,'MASTER PLAN'!$M:$M,0,0)=0,"",XLOOKUP(CONCAT(E215,F215),'MASTER PLAN'!$AB:$AB,'MASTER PLAN'!$M:$M,0,0)),"")</f>
        <v/>
      </c>
      <c r="K215" s="107">
        <f t="shared" si="237"/>
        <v>0</v>
      </c>
      <c r="L215" s="107">
        <f t="shared" si="238"/>
        <v>0</v>
      </c>
      <c r="M215" s="105" t="s">
        <v>248</v>
      </c>
      <c r="AI215" s="42"/>
      <c r="BN215" s="42"/>
      <c r="CS215" s="42"/>
      <c r="DX215" s="42"/>
      <c r="FC215" s="42"/>
      <c r="GH215" s="42"/>
      <c r="HM215" s="42"/>
      <c r="IR215" s="42"/>
      <c r="JW215" s="42"/>
      <c r="LB215" s="42"/>
      <c r="MG215" s="42"/>
      <c r="NL215" s="42"/>
    </row>
    <row r="216" ht="15.75" customHeight="1">
      <c r="A216" s="42"/>
      <c r="B216" s="42"/>
      <c r="C216" s="42"/>
      <c r="D216" s="38">
        <f t="shared" si="431"/>
        <v>45978</v>
      </c>
      <c r="E216" s="31" t="str">
        <f t="shared" ref="E216:I216" si="438">BO15</f>
        <v/>
      </c>
      <c r="F216" s="31" t="str">
        <f t="shared" si="438"/>
        <v/>
      </c>
      <c r="G216" s="31" t="str">
        <f t="shared" si="438"/>
        <v/>
      </c>
      <c r="H216" s="13" t="str">
        <f t="shared" si="438"/>
        <v/>
      </c>
      <c r="I216" s="13" t="str">
        <f t="shared" si="438"/>
        <v/>
      </c>
      <c r="J216" s="107" t="str">
        <f t="array" ref="J216">IFERROR(IF(XLOOKUP(CONCAT(E216,F216),'MASTER PLAN'!$AB:$AB,'MASTER PLAN'!$M:$M,0,0)=0,"",XLOOKUP(CONCAT(E216,F216),'MASTER PLAN'!$AB:$AB,'MASTER PLAN'!$M:$M,0,0)),"")</f>
        <v/>
      </c>
      <c r="K216" s="107">
        <f t="shared" si="237"/>
        <v>0</v>
      </c>
      <c r="L216" s="107">
        <f t="shared" si="238"/>
        <v>0</v>
      </c>
      <c r="M216" s="105" t="s">
        <v>248</v>
      </c>
      <c r="AI216" s="42"/>
      <c r="BN216" s="42"/>
      <c r="CS216" s="42"/>
      <c r="DX216" s="42"/>
      <c r="FC216" s="42"/>
      <c r="GH216" s="42"/>
      <c r="HM216" s="42"/>
      <c r="IR216" s="42"/>
      <c r="JW216" s="42"/>
      <c r="LB216" s="42"/>
      <c r="MG216" s="42"/>
      <c r="NL216" s="42"/>
    </row>
    <row r="217" ht="15.75" customHeight="1">
      <c r="A217" s="42"/>
      <c r="B217" s="42"/>
      <c r="C217" s="42"/>
      <c r="D217" s="38">
        <f t="shared" si="431"/>
        <v>45978</v>
      </c>
      <c r="E217" s="31" t="str">
        <f t="shared" ref="E217:I217" si="439">BO16</f>
        <v/>
      </c>
      <c r="F217" s="31" t="str">
        <f t="shared" si="439"/>
        <v/>
      </c>
      <c r="G217" s="31" t="str">
        <f t="shared" si="439"/>
        <v/>
      </c>
      <c r="H217" s="13" t="str">
        <f t="shared" si="439"/>
        <v/>
      </c>
      <c r="I217" s="13" t="str">
        <f t="shared" si="439"/>
        <v/>
      </c>
      <c r="J217" s="107" t="str">
        <f t="array" ref="J217">IFERROR(IF(XLOOKUP(CONCAT(E217,F217),'MASTER PLAN'!$AB:$AB,'MASTER PLAN'!$M:$M,0,0)=0,"",XLOOKUP(CONCAT(E217,F217),'MASTER PLAN'!$AB:$AB,'MASTER PLAN'!$M:$M,0,0)),"")</f>
        <v/>
      </c>
      <c r="K217" s="107">
        <f t="shared" si="237"/>
        <v>0</v>
      </c>
      <c r="L217" s="107">
        <f t="shared" si="238"/>
        <v>0</v>
      </c>
      <c r="M217" s="105" t="s">
        <v>248</v>
      </c>
      <c r="AI217" s="42"/>
      <c r="BN217" s="42"/>
      <c r="CS217" s="42"/>
      <c r="DX217" s="42"/>
      <c r="FC217" s="42"/>
      <c r="GH217" s="42"/>
      <c r="HM217" s="42"/>
      <c r="IR217" s="42"/>
      <c r="JW217" s="42"/>
      <c r="LB217" s="42"/>
      <c r="MG217" s="42"/>
      <c r="NL217" s="42"/>
    </row>
    <row r="218" ht="15.75" customHeight="1">
      <c r="A218" s="42"/>
      <c r="B218" s="42"/>
      <c r="C218" s="42"/>
      <c r="D218" s="38">
        <f t="shared" si="431"/>
        <v>45978</v>
      </c>
      <c r="E218" s="31" t="str">
        <f t="shared" ref="E218:I218" si="440">BO20</f>
        <v/>
      </c>
      <c r="F218" s="31" t="str">
        <f t="shared" si="440"/>
        <v/>
      </c>
      <c r="G218" s="31" t="str">
        <f t="shared" si="440"/>
        <v/>
      </c>
      <c r="H218" s="13" t="str">
        <f t="shared" si="440"/>
        <v/>
      </c>
      <c r="I218" s="13" t="str">
        <f t="shared" si="440"/>
        <v/>
      </c>
      <c r="J218" s="107" t="str">
        <f t="array" ref="J218">IFERROR(IF(XLOOKUP(CONCAT(E218,F218),'MASTER PLAN'!$AB:$AB,'MASTER PLAN'!$M:$M,0,0)=0,"",XLOOKUP(CONCAT(E218,F218),'MASTER PLAN'!$AB:$AB,'MASTER PLAN'!$M:$M,0,0)),"")</f>
        <v/>
      </c>
      <c r="K218" s="107">
        <f t="shared" si="237"/>
        <v>0</v>
      </c>
      <c r="L218" s="107">
        <f t="shared" si="238"/>
        <v>0</v>
      </c>
      <c r="M218" s="105" t="s">
        <v>249</v>
      </c>
      <c r="AI218" s="42"/>
      <c r="BN218" s="42"/>
      <c r="CS218" s="42"/>
      <c r="DX218" s="42"/>
      <c r="FC218" s="42"/>
      <c r="GH218" s="42"/>
      <c r="HM218" s="42"/>
      <c r="IR218" s="42"/>
      <c r="JW218" s="42"/>
      <c r="LB218" s="42"/>
      <c r="MG218" s="42"/>
      <c r="NL218" s="42"/>
    </row>
    <row r="219" ht="15.75" customHeight="1">
      <c r="A219" s="42"/>
      <c r="B219" s="42"/>
      <c r="C219" s="42"/>
      <c r="D219" s="38">
        <f t="shared" si="431"/>
        <v>45978</v>
      </c>
      <c r="E219" s="31" t="str">
        <f t="shared" ref="E219:I219" si="441">BO21</f>
        <v/>
      </c>
      <c r="F219" s="31" t="str">
        <f t="shared" si="441"/>
        <v/>
      </c>
      <c r="G219" s="31" t="str">
        <f t="shared" si="441"/>
        <v/>
      </c>
      <c r="H219" s="13" t="str">
        <f t="shared" si="441"/>
        <v/>
      </c>
      <c r="I219" s="13" t="str">
        <f t="shared" si="441"/>
        <v/>
      </c>
      <c r="J219" s="107" t="str">
        <f t="array" ref="J219">IFERROR(IF(XLOOKUP(CONCAT(E219,F219),'MASTER PLAN'!$AB:$AB,'MASTER PLAN'!$M:$M,0,0)=0,"",XLOOKUP(CONCAT(E219,F219),'MASTER PLAN'!$AB:$AB,'MASTER PLAN'!$M:$M,0,0)),"")</f>
        <v/>
      </c>
      <c r="K219" s="107">
        <f t="shared" si="237"/>
        <v>0</v>
      </c>
      <c r="L219" s="107">
        <f t="shared" si="238"/>
        <v>0</v>
      </c>
      <c r="M219" s="105" t="s">
        <v>249</v>
      </c>
      <c r="AI219" s="42"/>
      <c r="BN219" s="42"/>
      <c r="CS219" s="42"/>
      <c r="DX219" s="42"/>
      <c r="FC219" s="42"/>
      <c r="GH219" s="42"/>
      <c r="HM219" s="42"/>
      <c r="IR219" s="42"/>
      <c r="JW219" s="42"/>
      <c r="LB219" s="42"/>
      <c r="MG219" s="42"/>
      <c r="NL219" s="42"/>
    </row>
    <row r="220" ht="15.75" customHeight="1">
      <c r="A220" s="42"/>
      <c r="B220" s="42"/>
      <c r="C220" s="42"/>
      <c r="D220" s="38">
        <f t="shared" si="431"/>
        <v>45978</v>
      </c>
      <c r="E220" s="31" t="str">
        <f t="shared" ref="E220:I220" si="442">BO22</f>
        <v/>
      </c>
      <c r="F220" s="31" t="str">
        <f t="shared" si="442"/>
        <v/>
      </c>
      <c r="G220" s="31" t="str">
        <f t="shared" si="442"/>
        <v/>
      </c>
      <c r="H220" s="13" t="str">
        <f t="shared" si="442"/>
        <v/>
      </c>
      <c r="I220" s="13" t="str">
        <f t="shared" si="442"/>
        <v/>
      </c>
      <c r="J220" s="107" t="str">
        <f t="array" ref="J220">IFERROR(IF(XLOOKUP(CONCAT(E220,F220),'MASTER PLAN'!$AB:$AB,'MASTER PLAN'!$M:$M,0,0)=0,"",XLOOKUP(CONCAT(E220,F220),'MASTER PLAN'!$AB:$AB,'MASTER PLAN'!$M:$M,0,0)),"")</f>
        <v/>
      </c>
      <c r="K220" s="107">
        <f t="shared" si="237"/>
        <v>0</v>
      </c>
      <c r="L220" s="107">
        <f t="shared" si="238"/>
        <v>0</v>
      </c>
      <c r="M220" s="105" t="s">
        <v>249</v>
      </c>
      <c r="AI220" s="42"/>
      <c r="BN220" s="42"/>
      <c r="CS220" s="42"/>
      <c r="DX220" s="42"/>
      <c r="FC220" s="42"/>
      <c r="GH220" s="42"/>
      <c r="HM220" s="42"/>
      <c r="IR220" s="42"/>
      <c r="JW220" s="42"/>
      <c r="LB220" s="42"/>
      <c r="MG220" s="42"/>
      <c r="NL220" s="42"/>
    </row>
    <row r="221" ht="15.75" customHeight="1">
      <c r="A221" s="42"/>
      <c r="B221" s="42"/>
      <c r="C221" s="42"/>
      <c r="D221" s="38">
        <f t="shared" si="431"/>
        <v>45978</v>
      </c>
      <c r="E221" s="31" t="str">
        <f t="shared" ref="E221:I221" si="443">BO23</f>
        <v/>
      </c>
      <c r="F221" s="31" t="str">
        <f t="shared" si="443"/>
        <v/>
      </c>
      <c r="G221" s="31" t="str">
        <f t="shared" si="443"/>
        <v/>
      </c>
      <c r="H221" s="13" t="str">
        <f t="shared" si="443"/>
        <v/>
      </c>
      <c r="I221" s="13" t="str">
        <f t="shared" si="443"/>
        <v/>
      </c>
      <c r="J221" s="107" t="str">
        <f t="array" ref="J221">IFERROR(IF(XLOOKUP(CONCAT(E221,F221),'MASTER PLAN'!$AB:$AB,'MASTER PLAN'!$M:$M,0,0)=0,"",XLOOKUP(CONCAT(E221,F221),'MASTER PLAN'!$AB:$AB,'MASTER PLAN'!$M:$M,0,0)),"")</f>
        <v/>
      </c>
      <c r="K221" s="107">
        <f t="shared" si="237"/>
        <v>0</v>
      </c>
      <c r="L221" s="107">
        <f t="shared" si="238"/>
        <v>0</v>
      </c>
      <c r="M221" s="105" t="s">
        <v>249</v>
      </c>
      <c r="AI221" s="42"/>
      <c r="BN221" s="42"/>
      <c r="CS221" s="42"/>
      <c r="DX221" s="42"/>
      <c r="FC221" s="42"/>
      <c r="GH221" s="42"/>
      <c r="HM221" s="42"/>
      <c r="IR221" s="42"/>
      <c r="JW221" s="42"/>
      <c r="LB221" s="42"/>
      <c r="MG221" s="42"/>
      <c r="NL221" s="42"/>
    </row>
    <row r="222" ht="15.75" customHeight="1">
      <c r="A222" s="42"/>
      <c r="B222" s="42"/>
      <c r="C222" s="42"/>
      <c r="D222" s="38">
        <f t="shared" si="431"/>
        <v>45978</v>
      </c>
      <c r="E222" s="31" t="str">
        <f t="shared" ref="E222:I222" si="444">BO24</f>
        <v/>
      </c>
      <c r="F222" s="31" t="str">
        <f t="shared" si="444"/>
        <v/>
      </c>
      <c r="G222" s="31" t="str">
        <f t="shared" si="444"/>
        <v/>
      </c>
      <c r="H222" s="13" t="str">
        <f t="shared" si="444"/>
        <v/>
      </c>
      <c r="I222" s="13" t="str">
        <f t="shared" si="444"/>
        <v/>
      </c>
      <c r="J222" s="107" t="str">
        <f t="array" ref="J222">IFERROR(IF(XLOOKUP(CONCAT(E222,F222),'MASTER PLAN'!$AB:$AB,'MASTER PLAN'!$M:$M,0,0)=0,"",XLOOKUP(CONCAT(E222,F222),'MASTER PLAN'!$AB:$AB,'MASTER PLAN'!$M:$M,0,0)),"")</f>
        <v/>
      </c>
      <c r="K222" s="107">
        <f t="shared" si="237"/>
        <v>0</v>
      </c>
      <c r="L222" s="107">
        <f t="shared" si="238"/>
        <v>0</v>
      </c>
      <c r="M222" s="105" t="s">
        <v>249</v>
      </c>
      <c r="AI222" s="42"/>
      <c r="BN222" s="42"/>
      <c r="CS222" s="42"/>
      <c r="DX222" s="42"/>
      <c r="FC222" s="42"/>
      <c r="GH222" s="42"/>
      <c r="HM222" s="42"/>
      <c r="IR222" s="42"/>
      <c r="JW222" s="42"/>
      <c r="LB222" s="42"/>
      <c r="MG222" s="42"/>
      <c r="NL222" s="42"/>
    </row>
    <row r="223" ht="15.75" customHeight="1">
      <c r="A223" s="42"/>
      <c r="B223" s="42"/>
      <c r="C223" s="42"/>
      <c r="D223" s="38">
        <f>BT2</f>
        <v>45979</v>
      </c>
      <c r="E223" s="31">
        <f t="shared" ref="E223:I223" si="445">BT4</f>
        <v>1402049277</v>
      </c>
      <c r="F223" s="31">
        <f t="shared" si="445"/>
        <v>30</v>
      </c>
      <c r="G223" s="31" t="str">
        <f t="shared" si="445"/>
        <v>BOLSA ELEGANCE 4-5X2-5X5-75 IN FL</v>
      </c>
      <c r="H223" s="13">
        <f t="shared" si="445"/>
        <v>3000</v>
      </c>
      <c r="I223" s="13">
        <f t="shared" si="445"/>
        <v>3800</v>
      </c>
      <c r="J223" s="107">
        <f t="array" ref="J223">IFERROR(IF(XLOOKUP(CONCAT(E223,F223),'MASTER PLAN'!$AB:$AB,'MASTER PLAN'!$M:$M,0,0)=0,"",XLOOKUP(CONCAT(E223,F223),'MASTER PLAN'!$AB:$AB,'MASTER PLAN'!$M:$M,0,0)),"")</f>
        <v>0.816</v>
      </c>
      <c r="K223" s="107">
        <f t="shared" si="237"/>
        <v>2448</v>
      </c>
      <c r="L223" s="107">
        <f t="shared" si="238"/>
        <v>3100.8</v>
      </c>
      <c r="M223" s="105" t="s">
        <v>246</v>
      </c>
      <c r="AI223" s="42"/>
      <c r="BN223" s="42"/>
      <c r="CS223" s="42"/>
      <c r="DX223" s="42"/>
      <c r="FC223" s="42"/>
      <c r="GH223" s="42"/>
      <c r="HM223" s="42"/>
      <c r="IR223" s="42"/>
      <c r="JW223" s="42"/>
      <c r="LB223" s="42"/>
      <c r="MG223" s="42"/>
      <c r="NL223" s="42"/>
    </row>
    <row r="224" ht="15.75" customHeight="1">
      <c r="A224" s="42"/>
      <c r="B224" s="42"/>
      <c r="C224" s="42"/>
      <c r="D224" s="38">
        <f t="shared" ref="D224:D237" si="447">D223</f>
        <v>45979</v>
      </c>
      <c r="E224" s="31">
        <f t="shared" ref="E224:I224" si="446">BT5</f>
        <v>1402049277</v>
      </c>
      <c r="F224" s="31">
        <f t="shared" si="446"/>
        <v>10</v>
      </c>
      <c r="G224" s="31" t="str">
        <f t="shared" si="446"/>
        <v>BOLSA ELEGANCE 8X4X10 IN FL</v>
      </c>
      <c r="H224" s="13">
        <f t="shared" si="446"/>
        <v>200</v>
      </c>
      <c r="I224" s="13">
        <f t="shared" si="446"/>
        <v>200</v>
      </c>
      <c r="J224" s="107">
        <f t="array" ref="J224">IFERROR(IF(XLOOKUP(CONCAT(E224,F224),'MASTER PLAN'!$AB:$AB,'MASTER PLAN'!$M:$M,0,0)=0,"",XLOOKUP(CONCAT(E224,F224),'MASTER PLAN'!$AB:$AB,'MASTER PLAN'!$M:$M,0,0)),"")</f>
        <v>1.096</v>
      </c>
      <c r="K224" s="107">
        <f t="shared" si="237"/>
        <v>219.2</v>
      </c>
      <c r="L224" s="107">
        <f t="shared" si="238"/>
        <v>219.2</v>
      </c>
      <c r="M224" s="105" t="s">
        <v>246</v>
      </c>
      <c r="AI224" s="42"/>
      <c r="BN224" s="42"/>
      <c r="CS224" s="42"/>
      <c r="DX224" s="42"/>
      <c r="FC224" s="42"/>
      <c r="GH224" s="42"/>
      <c r="HM224" s="42"/>
      <c r="IR224" s="42"/>
      <c r="JW224" s="42"/>
      <c r="LB224" s="42"/>
      <c r="MG224" s="42"/>
      <c r="NL224" s="42"/>
    </row>
    <row r="225" ht="15.75" customHeight="1">
      <c r="A225" s="42"/>
      <c r="B225" s="42"/>
      <c r="C225" s="42"/>
      <c r="D225" s="38">
        <f t="shared" si="447"/>
        <v>45979</v>
      </c>
      <c r="E225" s="31" t="str">
        <f t="shared" ref="E225:I225" si="448">BT6</f>
        <v/>
      </c>
      <c r="F225" s="31" t="str">
        <f t="shared" si="448"/>
        <v/>
      </c>
      <c r="G225" s="31" t="str">
        <f t="shared" si="448"/>
        <v/>
      </c>
      <c r="H225" s="13" t="str">
        <f t="shared" si="448"/>
        <v/>
      </c>
      <c r="I225" s="13" t="str">
        <f t="shared" si="448"/>
        <v/>
      </c>
      <c r="J225" s="107" t="str">
        <f t="array" ref="J225">IFERROR(IF(XLOOKUP(CONCAT(E225,F225),'MASTER PLAN'!$AB:$AB,'MASTER PLAN'!$M:$M,0,0)=0,"",XLOOKUP(CONCAT(E225,F225),'MASTER PLAN'!$AB:$AB,'MASTER PLAN'!$M:$M,0,0)),"")</f>
        <v/>
      </c>
      <c r="K225" s="107">
        <f t="shared" si="237"/>
        <v>0</v>
      </c>
      <c r="L225" s="107">
        <f t="shared" si="238"/>
        <v>0</v>
      </c>
      <c r="M225" s="105" t="s">
        <v>246</v>
      </c>
      <c r="AI225" s="42"/>
      <c r="BN225" s="42"/>
      <c r="CS225" s="42"/>
      <c r="DX225" s="42"/>
      <c r="FC225" s="42"/>
      <c r="GH225" s="42"/>
      <c r="HM225" s="42"/>
      <c r="IR225" s="42"/>
      <c r="JW225" s="42"/>
      <c r="LB225" s="42"/>
      <c r="MG225" s="42"/>
      <c r="NL225" s="42"/>
    </row>
    <row r="226" ht="15.75" customHeight="1">
      <c r="A226" s="42"/>
      <c r="B226" s="42"/>
      <c r="C226" s="42"/>
      <c r="D226" s="38">
        <f t="shared" si="447"/>
        <v>45979</v>
      </c>
      <c r="E226" s="31" t="str">
        <f t="shared" ref="E226:I226" si="449">BT7</f>
        <v/>
      </c>
      <c r="F226" s="31" t="str">
        <f t="shared" si="449"/>
        <v/>
      </c>
      <c r="G226" s="31" t="str">
        <f t="shared" si="449"/>
        <v/>
      </c>
      <c r="H226" s="13" t="str">
        <f t="shared" si="449"/>
        <v/>
      </c>
      <c r="I226" s="13" t="str">
        <f t="shared" si="449"/>
        <v/>
      </c>
      <c r="J226" s="107" t="str">
        <f t="array" ref="J226">IFERROR(IF(XLOOKUP(CONCAT(E226,F226),'MASTER PLAN'!$AB:$AB,'MASTER PLAN'!$M:$M,0,0)=0,"",XLOOKUP(CONCAT(E226,F226),'MASTER PLAN'!$AB:$AB,'MASTER PLAN'!$M:$M,0,0)),"")</f>
        <v/>
      </c>
      <c r="K226" s="107">
        <f t="shared" si="237"/>
        <v>0</v>
      </c>
      <c r="L226" s="107">
        <f t="shared" si="238"/>
        <v>0</v>
      </c>
      <c r="M226" s="105" t="s">
        <v>246</v>
      </c>
      <c r="AI226" s="42"/>
      <c r="BN226" s="42"/>
      <c r="CS226" s="42"/>
      <c r="DX226" s="42"/>
      <c r="FC226" s="42"/>
      <c r="GH226" s="42"/>
      <c r="HM226" s="42"/>
      <c r="IR226" s="42"/>
      <c r="JW226" s="42"/>
      <c r="LB226" s="42"/>
      <c r="MG226" s="42"/>
      <c r="NL226" s="42"/>
    </row>
    <row r="227" ht="15.75" customHeight="1">
      <c r="A227" s="42"/>
      <c r="B227" s="42"/>
      <c r="C227" s="42"/>
      <c r="D227" s="38">
        <f t="shared" si="447"/>
        <v>45979</v>
      </c>
      <c r="E227" s="31" t="str">
        <f t="shared" ref="E227:I227" si="450">BT8</f>
        <v/>
      </c>
      <c r="F227" s="31" t="str">
        <f t="shared" si="450"/>
        <v/>
      </c>
      <c r="G227" s="31" t="str">
        <f t="shared" si="450"/>
        <v/>
      </c>
      <c r="H227" s="13" t="str">
        <f t="shared" si="450"/>
        <v/>
      </c>
      <c r="I227" s="13" t="str">
        <f t="shared" si="450"/>
        <v/>
      </c>
      <c r="J227" s="107" t="str">
        <f t="array" ref="J227">IFERROR(IF(XLOOKUP(CONCAT(E227,F227),'MASTER PLAN'!$AB:$AB,'MASTER PLAN'!$M:$M,0,0)=0,"",XLOOKUP(CONCAT(E227,F227),'MASTER PLAN'!$AB:$AB,'MASTER PLAN'!$M:$M,0,0)),"")</f>
        <v/>
      </c>
      <c r="K227" s="107">
        <f t="shared" si="237"/>
        <v>0</v>
      </c>
      <c r="L227" s="107">
        <f t="shared" si="238"/>
        <v>0</v>
      </c>
      <c r="M227" s="105" t="s">
        <v>246</v>
      </c>
      <c r="AI227" s="42"/>
      <c r="BN227" s="42"/>
      <c r="CS227" s="42"/>
      <c r="DX227" s="42"/>
      <c r="FC227" s="42"/>
      <c r="GH227" s="42"/>
      <c r="HM227" s="42"/>
      <c r="IR227" s="42"/>
      <c r="JW227" s="42"/>
      <c r="LB227" s="42"/>
      <c r="MG227" s="42"/>
      <c r="NL227" s="42"/>
    </row>
    <row r="228" ht="15.75" customHeight="1">
      <c r="A228" s="42"/>
      <c r="B228" s="42"/>
      <c r="C228" s="42"/>
      <c r="D228" s="38">
        <f t="shared" si="447"/>
        <v>45979</v>
      </c>
      <c r="E228" s="31">
        <f t="shared" ref="E228:I228" si="451">BT12</f>
        <v>1402049277</v>
      </c>
      <c r="F228" s="31">
        <f t="shared" si="451"/>
        <v>20</v>
      </c>
      <c r="G228" s="31" t="str">
        <f t="shared" si="451"/>
        <v>BOLSA ELEGANCE 6-5X3-5X6-5 IN FL</v>
      </c>
      <c r="H228" s="13">
        <f t="shared" si="451"/>
        <v>3000</v>
      </c>
      <c r="I228" s="13">
        <f t="shared" si="451"/>
        <v>3300</v>
      </c>
      <c r="J228" s="107">
        <f t="array" ref="J228">IFERROR(IF(XLOOKUP(CONCAT(E228,F228),'MASTER PLAN'!$AB:$AB,'MASTER PLAN'!$M:$M,0,0)=0,"",XLOOKUP(CONCAT(E228,F228),'MASTER PLAN'!$AB:$AB,'MASTER PLAN'!$M:$M,0,0)),"")</f>
        <v>0.888</v>
      </c>
      <c r="K228" s="107">
        <f t="shared" si="237"/>
        <v>2664</v>
      </c>
      <c r="L228" s="107">
        <f t="shared" si="238"/>
        <v>2930.4</v>
      </c>
      <c r="M228" s="105" t="s">
        <v>248</v>
      </c>
      <c r="AI228" s="42"/>
      <c r="BN228" s="42"/>
      <c r="CS228" s="42"/>
      <c r="DX228" s="42"/>
      <c r="FC228" s="42"/>
      <c r="GH228" s="42"/>
      <c r="HM228" s="42"/>
      <c r="IR228" s="42"/>
      <c r="JW228" s="42"/>
      <c r="LB228" s="42"/>
      <c r="MG228" s="42"/>
      <c r="NL228" s="42"/>
    </row>
    <row r="229" ht="15.75" customHeight="1">
      <c r="A229" s="42"/>
      <c r="B229" s="42"/>
      <c r="C229" s="42"/>
      <c r="D229" s="38">
        <f t="shared" si="447"/>
        <v>45979</v>
      </c>
      <c r="E229" s="31" t="str">
        <f t="shared" ref="E229:I229" si="452">BT13</f>
        <v/>
      </c>
      <c r="F229" s="31" t="str">
        <f t="shared" si="452"/>
        <v/>
      </c>
      <c r="G229" s="31" t="str">
        <f t="shared" si="452"/>
        <v/>
      </c>
      <c r="H229" s="13" t="str">
        <f t="shared" si="452"/>
        <v/>
      </c>
      <c r="I229" s="13" t="str">
        <f t="shared" si="452"/>
        <v/>
      </c>
      <c r="J229" s="107" t="str">
        <f t="array" ref="J229">IFERROR(IF(XLOOKUP(CONCAT(E229,F229),'MASTER PLAN'!$AB:$AB,'MASTER PLAN'!$M:$M,0,0)=0,"",XLOOKUP(CONCAT(E229,F229),'MASTER PLAN'!$AB:$AB,'MASTER PLAN'!$M:$M,0,0)),"")</f>
        <v/>
      </c>
      <c r="K229" s="107">
        <f t="shared" si="237"/>
        <v>0</v>
      </c>
      <c r="L229" s="107">
        <f t="shared" si="238"/>
        <v>0</v>
      </c>
      <c r="M229" s="105" t="s">
        <v>248</v>
      </c>
      <c r="AI229" s="42"/>
      <c r="BN229" s="42"/>
      <c r="CS229" s="42"/>
      <c r="DX229" s="42"/>
      <c r="FC229" s="42"/>
      <c r="GH229" s="42"/>
      <c r="HM229" s="42"/>
      <c r="IR229" s="42"/>
      <c r="JW229" s="42"/>
      <c r="LB229" s="42"/>
      <c r="MG229" s="42"/>
      <c r="NL229" s="42"/>
    </row>
    <row r="230" ht="15.75" customHeight="1">
      <c r="A230" s="42"/>
      <c r="B230" s="42"/>
      <c r="C230" s="42"/>
      <c r="D230" s="38">
        <f t="shared" si="447"/>
        <v>45979</v>
      </c>
      <c r="E230" s="31" t="str">
        <f t="shared" ref="E230:I230" si="453">BT14</f>
        <v/>
      </c>
      <c r="F230" s="31" t="str">
        <f t="shared" si="453"/>
        <v/>
      </c>
      <c r="G230" s="31" t="str">
        <f t="shared" si="453"/>
        <v/>
      </c>
      <c r="H230" s="13" t="str">
        <f t="shared" si="453"/>
        <v/>
      </c>
      <c r="I230" s="13" t="str">
        <f t="shared" si="453"/>
        <v/>
      </c>
      <c r="J230" s="107" t="str">
        <f t="array" ref="J230">IFERROR(IF(XLOOKUP(CONCAT(E230,F230),'MASTER PLAN'!$AB:$AB,'MASTER PLAN'!$M:$M,0,0)=0,"",XLOOKUP(CONCAT(E230,F230),'MASTER PLAN'!$AB:$AB,'MASTER PLAN'!$M:$M,0,0)),"")</f>
        <v/>
      </c>
      <c r="K230" s="107">
        <f t="shared" si="237"/>
        <v>0</v>
      </c>
      <c r="L230" s="107">
        <f t="shared" si="238"/>
        <v>0</v>
      </c>
      <c r="M230" s="105" t="s">
        <v>248</v>
      </c>
      <c r="AI230" s="42"/>
      <c r="BN230" s="42"/>
      <c r="CS230" s="42"/>
      <c r="DX230" s="42"/>
      <c r="FC230" s="42"/>
      <c r="GH230" s="42"/>
      <c r="HM230" s="42"/>
      <c r="IR230" s="42"/>
      <c r="JW230" s="42"/>
      <c r="LB230" s="42"/>
      <c r="MG230" s="42"/>
      <c r="NL230" s="42"/>
    </row>
    <row r="231" ht="15.75" customHeight="1">
      <c r="A231" s="42"/>
      <c r="B231" s="42"/>
      <c r="C231" s="42"/>
      <c r="D231" s="38">
        <f t="shared" si="447"/>
        <v>45979</v>
      </c>
      <c r="E231" s="31" t="str">
        <f t="shared" ref="E231:I231" si="454">BT15</f>
        <v/>
      </c>
      <c r="F231" s="31" t="str">
        <f t="shared" si="454"/>
        <v/>
      </c>
      <c r="G231" s="31" t="str">
        <f t="shared" si="454"/>
        <v/>
      </c>
      <c r="H231" s="13" t="str">
        <f t="shared" si="454"/>
        <v/>
      </c>
      <c r="I231" s="13" t="str">
        <f t="shared" si="454"/>
        <v/>
      </c>
      <c r="J231" s="107" t="str">
        <f t="array" ref="J231">IFERROR(IF(XLOOKUP(CONCAT(E231,F231),'MASTER PLAN'!$AB:$AB,'MASTER PLAN'!$M:$M,0,0)=0,"",XLOOKUP(CONCAT(E231,F231),'MASTER PLAN'!$AB:$AB,'MASTER PLAN'!$M:$M,0,0)),"")</f>
        <v/>
      </c>
      <c r="K231" s="107">
        <f t="shared" si="237"/>
        <v>0</v>
      </c>
      <c r="L231" s="107">
        <f t="shared" si="238"/>
        <v>0</v>
      </c>
      <c r="M231" s="105" t="s">
        <v>248</v>
      </c>
      <c r="AI231" s="42"/>
      <c r="BN231" s="42"/>
      <c r="CS231" s="42"/>
      <c r="DX231" s="42"/>
      <c r="FC231" s="42"/>
      <c r="GH231" s="42"/>
      <c r="HM231" s="42"/>
      <c r="IR231" s="42"/>
      <c r="JW231" s="42"/>
      <c r="LB231" s="42"/>
      <c r="MG231" s="42"/>
      <c r="NL231" s="42"/>
    </row>
    <row r="232" ht="15.75" customHeight="1">
      <c r="A232" s="42"/>
      <c r="B232" s="42"/>
      <c r="C232" s="42"/>
      <c r="D232" s="38">
        <f t="shared" si="447"/>
        <v>45979</v>
      </c>
      <c r="E232" s="31" t="str">
        <f t="shared" ref="E232:I232" si="455">BT16</f>
        <v/>
      </c>
      <c r="F232" s="31" t="str">
        <f t="shared" si="455"/>
        <v/>
      </c>
      <c r="G232" s="31" t="str">
        <f t="shared" si="455"/>
        <v/>
      </c>
      <c r="H232" s="13" t="str">
        <f t="shared" si="455"/>
        <v/>
      </c>
      <c r="I232" s="13" t="str">
        <f t="shared" si="455"/>
        <v/>
      </c>
      <c r="J232" s="107" t="str">
        <f t="array" ref="J232">IFERROR(IF(XLOOKUP(CONCAT(E232,F232),'MASTER PLAN'!$AB:$AB,'MASTER PLAN'!$M:$M,0,0)=0,"",XLOOKUP(CONCAT(E232,F232),'MASTER PLAN'!$AB:$AB,'MASTER PLAN'!$M:$M,0,0)),"")</f>
        <v/>
      </c>
      <c r="K232" s="107">
        <f t="shared" si="237"/>
        <v>0</v>
      </c>
      <c r="L232" s="107">
        <f t="shared" si="238"/>
        <v>0</v>
      </c>
      <c r="M232" s="105" t="s">
        <v>248</v>
      </c>
      <c r="AI232" s="42"/>
      <c r="BN232" s="42"/>
      <c r="CS232" s="42"/>
      <c r="DX232" s="42"/>
      <c r="FC232" s="42"/>
      <c r="GH232" s="42"/>
      <c r="HM232" s="42"/>
      <c r="IR232" s="42"/>
      <c r="JW232" s="42"/>
      <c r="LB232" s="42"/>
      <c r="MG232" s="42"/>
      <c r="NL232" s="42"/>
    </row>
    <row r="233" ht="15.75" customHeight="1">
      <c r="A233" s="42"/>
      <c r="B233" s="42"/>
      <c r="C233" s="42"/>
      <c r="D233" s="38">
        <f t="shared" si="447"/>
        <v>45979</v>
      </c>
      <c r="E233" s="31" t="str">
        <f t="shared" ref="E233:I233" si="456">BT20</f>
        <v/>
      </c>
      <c r="F233" s="31" t="str">
        <f t="shared" si="456"/>
        <v/>
      </c>
      <c r="G233" s="31" t="str">
        <f t="shared" si="456"/>
        <v/>
      </c>
      <c r="H233" s="13" t="str">
        <f t="shared" si="456"/>
        <v/>
      </c>
      <c r="I233" s="13" t="str">
        <f t="shared" si="456"/>
        <v/>
      </c>
      <c r="J233" s="107" t="str">
        <f t="array" ref="J233">IFERROR(IF(XLOOKUP(CONCAT(E233,F233),'MASTER PLAN'!$AB:$AB,'MASTER PLAN'!$M:$M,0,0)=0,"",XLOOKUP(CONCAT(E233,F233),'MASTER PLAN'!$AB:$AB,'MASTER PLAN'!$M:$M,0,0)),"")</f>
        <v/>
      </c>
      <c r="K233" s="107">
        <f t="shared" si="237"/>
        <v>0</v>
      </c>
      <c r="L233" s="107">
        <f t="shared" si="238"/>
        <v>0</v>
      </c>
      <c r="M233" s="105" t="s">
        <v>249</v>
      </c>
      <c r="AI233" s="42"/>
      <c r="BN233" s="42"/>
      <c r="CS233" s="42"/>
      <c r="DX233" s="42"/>
      <c r="FC233" s="42"/>
      <c r="GH233" s="42"/>
      <c r="HM233" s="42"/>
      <c r="IR233" s="42"/>
      <c r="JW233" s="42"/>
      <c r="LB233" s="42"/>
      <c r="MG233" s="42"/>
      <c r="NL233" s="42"/>
    </row>
    <row r="234" ht="15.75" customHeight="1">
      <c r="A234" s="42"/>
      <c r="B234" s="42"/>
      <c r="C234" s="42"/>
      <c r="D234" s="38">
        <f t="shared" si="447"/>
        <v>45979</v>
      </c>
      <c r="E234" s="31" t="str">
        <f t="shared" ref="E234:I234" si="457">BT21</f>
        <v/>
      </c>
      <c r="F234" s="31" t="str">
        <f t="shared" si="457"/>
        <v/>
      </c>
      <c r="G234" s="31" t="str">
        <f t="shared" si="457"/>
        <v/>
      </c>
      <c r="H234" s="13" t="str">
        <f t="shared" si="457"/>
        <v/>
      </c>
      <c r="I234" s="13" t="str">
        <f t="shared" si="457"/>
        <v/>
      </c>
      <c r="J234" s="107" t="str">
        <f t="array" ref="J234">IFERROR(IF(XLOOKUP(CONCAT(E234,F234),'MASTER PLAN'!$AB:$AB,'MASTER PLAN'!$M:$M,0,0)=0,"",XLOOKUP(CONCAT(E234,F234),'MASTER PLAN'!$AB:$AB,'MASTER PLAN'!$M:$M,0,0)),"")</f>
        <v/>
      </c>
      <c r="K234" s="107">
        <f t="shared" si="237"/>
        <v>0</v>
      </c>
      <c r="L234" s="107">
        <f t="shared" si="238"/>
        <v>0</v>
      </c>
      <c r="M234" s="105" t="s">
        <v>249</v>
      </c>
      <c r="AI234" s="42"/>
      <c r="BN234" s="42"/>
      <c r="CS234" s="42"/>
      <c r="DX234" s="42"/>
      <c r="FC234" s="42"/>
      <c r="GH234" s="42"/>
      <c r="HM234" s="42"/>
      <c r="IR234" s="42"/>
      <c r="JW234" s="42"/>
      <c r="LB234" s="42"/>
      <c r="MG234" s="42"/>
      <c r="NL234" s="42"/>
    </row>
    <row r="235" ht="15.75" customHeight="1">
      <c r="A235" s="42"/>
      <c r="B235" s="42"/>
      <c r="C235" s="42"/>
      <c r="D235" s="38">
        <f t="shared" si="447"/>
        <v>45979</v>
      </c>
      <c r="E235" s="31" t="str">
        <f t="shared" ref="E235:I235" si="458">BT22</f>
        <v/>
      </c>
      <c r="F235" s="31" t="str">
        <f t="shared" si="458"/>
        <v/>
      </c>
      <c r="G235" s="31" t="str">
        <f t="shared" si="458"/>
        <v/>
      </c>
      <c r="H235" s="13" t="str">
        <f t="shared" si="458"/>
        <v/>
      </c>
      <c r="I235" s="13" t="str">
        <f t="shared" si="458"/>
        <v/>
      </c>
      <c r="J235" s="107" t="str">
        <f t="array" ref="J235">IFERROR(IF(XLOOKUP(CONCAT(E235,F235),'MASTER PLAN'!$AB:$AB,'MASTER PLAN'!$M:$M,0,0)=0,"",XLOOKUP(CONCAT(E235,F235),'MASTER PLAN'!$AB:$AB,'MASTER PLAN'!$M:$M,0,0)),"")</f>
        <v/>
      </c>
      <c r="K235" s="107">
        <f t="shared" si="237"/>
        <v>0</v>
      </c>
      <c r="L235" s="107">
        <f t="shared" si="238"/>
        <v>0</v>
      </c>
      <c r="M235" s="105" t="s">
        <v>249</v>
      </c>
      <c r="AI235" s="42"/>
      <c r="BN235" s="42"/>
      <c r="CS235" s="42"/>
      <c r="DX235" s="42"/>
      <c r="FC235" s="42"/>
      <c r="GH235" s="42"/>
      <c r="HM235" s="42"/>
      <c r="IR235" s="42"/>
      <c r="JW235" s="42"/>
      <c r="LB235" s="42"/>
      <c r="MG235" s="42"/>
      <c r="NL235" s="42"/>
    </row>
    <row r="236" ht="15.75" customHeight="1">
      <c r="A236" s="42"/>
      <c r="B236" s="42"/>
      <c r="C236" s="42"/>
      <c r="D236" s="38">
        <f t="shared" si="447"/>
        <v>45979</v>
      </c>
      <c r="E236" s="31" t="str">
        <f t="shared" ref="E236:I236" si="459">BT23</f>
        <v/>
      </c>
      <c r="F236" s="31" t="str">
        <f t="shared" si="459"/>
        <v/>
      </c>
      <c r="G236" s="31" t="str">
        <f t="shared" si="459"/>
        <v/>
      </c>
      <c r="H236" s="13" t="str">
        <f t="shared" si="459"/>
        <v/>
      </c>
      <c r="I236" s="13" t="str">
        <f t="shared" si="459"/>
        <v/>
      </c>
      <c r="J236" s="107" t="str">
        <f t="array" ref="J236">IFERROR(IF(XLOOKUP(CONCAT(E236,F236),'MASTER PLAN'!$AB:$AB,'MASTER PLAN'!$M:$M,0,0)=0,"",XLOOKUP(CONCAT(E236,F236),'MASTER PLAN'!$AB:$AB,'MASTER PLAN'!$M:$M,0,0)),"")</f>
        <v/>
      </c>
      <c r="K236" s="107">
        <f t="shared" si="237"/>
        <v>0</v>
      </c>
      <c r="L236" s="107">
        <f t="shared" si="238"/>
        <v>0</v>
      </c>
      <c r="M236" s="105" t="s">
        <v>249</v>
      </c>
      <c r="AI236" s="42"/>
      <c r="BN236" s="42"/>
      <c r="CS236" s="42"/>
      <c r="DX236" s="42"/>
      <c r="FC236" s="42"/>
      <c r="GH236" s="42"/>
      <c r="HM236" s="42"/>
      <c r="IR236" s="42"/>
      <c r="JW236" s="42"/>
      <c r="LB236" s="42"/>
      <c r="MG236" s="42"/>
      <c r="NL236" s="42"/>
    </row>
    <row r="237" ht="15.75" customHeight="1">
      <c r="A237" s="42"/>
      <c r="B237" s="42"/>
      <c r="C237" s="42"/>
      <c r="D237" s="38">
        <f t="shared" si="447"/>
        <v>45979</v>
      </c>
      <c r="E237" s="31" t="str">
        <f t="shared" ref="E237:I237" si="460">BT24</f>
        <v/>
      </c>
      <c r="F237" s="31" t="str">
        <f t="shared" si="460"/>
        <v/>
      </c>
      <c r="G237" s="31" t="str">
        <f t="shared" si="460"/>
        <v/>
      </c>
      <c r="H237" s="13" t="str">
        <f t="shared" si="460"/>
        <v/>
      </c>
      <c r="I237" s="13" t="str">
        <f t="shared" si="460"/>
        <v/>
      </c>
      <c r="J237" s="107" t="str">
        <f t="array" ref="J237">IFERROR(IF(XLOOKUP(CONCAT(E237,F237),'MASTER PLAN'!$AB:$AB,'MASTER PLAN'!$M:$M,0,0)=0,"",XLOOKUP(CONCAT(E237,F237),'MASTER PLAN'!$AB:$AB,'MASTER PLAN'!$M:$M,0,0)),"")</f>
        <v/>
      </c>
      <c r="K237" s="107">
        <f t="shared" si="237"/>
        <v>0</v>
      </c>
      <c r="L237" s="107">
        <f t="shared" si="238"/>
        <v>0</v>
      </c>
      <c r="M237" s="105" t="s">
        <v>249</v>
      </c>
      <c r="AI237" s="42"/>
      <c r="BN237" s="42"/>
      <c r="CS237" s="42"/>
      <c r="DX237" s="42"/>
      <c r="FC237" s="42"/>
      <c r="GH237" s="42"/>
      <c r="HM237" s="42"/>
      <c r="IR237" s="42"/>
      <c r="JW237" s="42"/>
      <c r="LB237" s="42"/>
      <c r="MG237" s="42"/>
      <c r="NL237" s="42"/>
    </row>
    <row r="238" ht="15.75" customHeight="1">
      <c r="A238" s="42"/>
      <c r="B238" s="42"/>
      <c r="C238" s="42"/>
      <c r="D238" s="38">
        <f>BY2</f>
        <v>45980</v>
      </c>
      <c r="E238" s="31">
        <f t="shared" ref="E238:I238" si="461">BY4</f>
        <v>1402049237</v>
      </c>
      <c r="F238" s="31">
        <f t="shared" si="461"/>
        <v>20</v>
      </c>
      <c r="G238" s="31" t="str">
        <f t="shared" si="461"/>
        <v>BOLSA ANNABELLES 13"X5"X10"</v>
      </c>
      <c r="H238" s="13">
        <f t="shared" si="461"/>
        <v>1500</v>
      </c>
      <c r="I238" s="13" t="str">
        <f t="shared" si="461"/>
        <v/>
      </c>
      <c r="J238" s="107">
        <f t="array" ref="J238">IFERROR(IF(XLOOKUP(CONCAT(E238,F238),'MASTER PLAN'!$AB:$AB,'MASTER PLAN'!$M:$M,0,0)=0,"",XLOOKUP(CONCAT(E238,F238),'MASTER PLAN'!$AB:$AB,'MASTER PLAN'!$M:$M,0,0)),"")</f>
        <v>2.728</v>
      </c>
      <c r="K238" s="107">
        <f t="shared" si="237"/>
        <v>4092</v>
      </c>
      <c r="L238" s="107">
        <f t="shared" si="238"/>
        <v>0</v>
      </c>
      <c r="M238" s="105" t="s">
        <v>246</v>
      </c>
      <c r="AI238" s="42"/>
      <c r="BN238" s="42"/>
      <c r="CS238" s="42"/>
      <c r="DX238" s="42"/>
      <c r="FC238" s="42"/>
      <c r="GH238" s="42"/>
      <c r="HM238" s="42"/>
      <c r="IR238" s="42"/>
      <c r="JW238" s="42"/>
      <c r="LB238" s="42"/>
      <c r="MG238" s="42"/>
      <c r="NL238" s="42"/>
    </row>
    <row r="239" ht="15.75" customHeight="1">
      <c r="A239" s="42"/>
      <c r="B239" s="42"/>
      <c r="C239" s="42"/>
      <c r="D239" s="38">
        <f t="shared" ref="D239:D252" si="463">D238</f>
        <v>45980</v>
      </c>
      <c r="E239" s="31">
        <f t="shared" ref="E239:I239" si="462">BY5</f>
        <v>1402049194</v>
      </c>
      <c r="F239" s="31">
        <f t="shared" si="462"/>
        <v>10</v>
      </c>
      <c r="G239" s="31" t="str">
        <f t="shared" si="462"/>
        <v>BOLSA ALMAGEN CORP 8"X4"X10"</v>
      </c>
      <c r="H239" s="13">
        <f t="shared" si="462"/>
        <v>2000</v>
      </c>
      <c r="I239" s="13" t="str">
        <f t="shared" si="462"/>
        <v/>
      </c>
      <c r="J239" s="107">
        <f t="array" ref="J239">IFERROR(IF(XLOOKUP(CONCAT(E239,F239),'MASTER PLAN'!$AB:$AB,'MASTER PLAN'!$M:$M,0,0)=0,"",XLOOKUP(CONCAT(E239,F239),'MASTER PLAN'!$AB:$AB,'MASTER PLAN'!$M:$M,0,0)),"")</f>
        <v>2.928</v>
      </c>
      <c r="K239" s="107">
        <f t="shared" si="237"/>
        <v>5856</v>
      </c>
      <c r="L239" s="107">
        <f t="shared" si="238"/>
        <v>0</v>
      </c>
      <c r="M239" s="105" t="s">
        <v>246</v>
      </c>
      <c r="AI239" s="42"/>
      <c r="BN239" s="42"/>
      <c r="CS239" s="42"/>
      <c r="DX239" s="42"/>
      <c r="FC239" s="42"/>
      <c r="GH239" s="42"/>
      <c r="HM239" s="42"/>
      <c r="IR239" s="42"/>
      <c r="JW239" s="42"/>
      <c r="LB239" s="42"/>
      <c r="MG239" s="42"/>
      <c r="NL239" s="42"/>
    </row>
    <row r="240" ht="15.75" customHeight="1">
      <c r="A240" s="42"/>
      <c r="B240" s="42"/>
      <c r="C240" s="42"/>
      <c r="D240" s="38">
        <f t="shared" si="463"/>
        <v>45980</v>
      </c>
      <c r="E240" s="31" t="str">
        <f t="shared" ref="E240:I240" si="464">BY6</f>
        <v/>
      </c>
      <c r="F240" s="31" t="str">
        <f t="shared" si="464"/>
        <v/>
      </c>
      <c r="G240" s="31" t="str">
        <f t="shared" si="464"/>
        <v/>
      </c>
      <c r="H240" s="13" t="str">
        <f t="shared" si="464"/>
        <v/>
      </c>
      <c r="I240" s="13" t="str">
        <f t="shared" si="464"/>
        <v/>
      </c>
      <c r="J240" s="107" t="str">
        <f t="array" ref="J240">IFERROR(IF(XLOOKUP(CONCAT(E240,F240),'MASTER PLAN'!$AB:$AB,'MASTER PLAN'!$M:$M,0,0)=0,"",XLOOKUP(CONCAT(E240,F240),'MASTER PLAN'!$AB:$AB,'MASTER PLAN'!$M:$M,0,0)),"")</f>
        <v/>
      </c>
      <c r="K240" s="107">
        <f t="shared" si="237"/>
        <v>0</v>
      </c>
      <c r="L240" s="107">
        <f t="shared" si="238"/>
        <v>0</v>
      </c>
      <c r="M240" s="105" t="s">
        <v>246</v>
      </c>
      <c r="AI240" s="42"/>
      <c r="BN240" s="42"/>
      <c r="CS240" s="42"/>
      <c r="DX240" s="42"/>
      <c r="FC240" s="42"/>
      <c r="GH240" s="42"/>
      <c r="HM240" s="42"/>
      <c r="IR240" s="42"/>
      <c r="JW240" s="42"/>
      <c r="LB240" s="42"/>
      <c r="MG240" s="42"/>
      <c r="NL240" s="42"/>
    </row>
    <row r="241" ht="15.75" customHeight="1">
      <c r="A241" s="42"/>
      <c r="B241" s="42"/>
      <c r="C241" s="42"/>
      <c r="D241" s="38">
        <f t="shared" si="463"/>
        <v>45980</v>
      </c>
      <c r="E241" s="31" t="str">
        <f t="shared" ref="E241:I241" si="465">BY7</f>
        <v/>
      </c>
      <c r="F241" s="31" t="str">
        <f t="shared" si="465"/>
        <v/>
      </c>
      <c r="G241" s="31" t="str">
        <f t="shared" si="465"/>
        <v/>
      </c>
      <c r="H241" s="13" t="str">
        <f t="shared" si="465"/>
        <v/>
      </c>
      <c r="I241" s="13" t="str">
        <f t="shared" si="465"/>
        <v/>
      </c>
      <c r="J241" s="107" t="str">
        <f t="array" ref="J241">IFERROR(IF(XLOOKUP(CONCAT(E241,F241),'MASTER PLAN'!$AB:$AB,'MASTER PLAN'!$M:$M,0,0)=0,"",XLOOKUP(CONCAT(E241,F241),'MASTER PLAN'!$AB:$AB,'MASTER PLAN'!$M:$M,0,0)),"")</f>
        <v/>
      </c>
      <c r="K241" s="107">
        <f t="shared" si="237"/>
        <v>0</v>
      </c>
      <c r="L241" s="107">
        <f t="shared" si="238"/>
        <v>0</v>
      </c>
      <c r="M241" s="105" t="s">
        <v>246</v>
      </c>
      <c r="AI241" s="42"/>
      <c r="BN241" s="42"/>
      <c r="CS241" s="42"/>
      <c r="DX241" s="42"/>
      <c r="FC241" s="42"/>
      <c r="GH241" s="42"/>
      <c r="HM241" s="42"/>
      <c r="IR241" s="42"/>
      <c r="JW241" s="42"/>
      <c r="LB241" s="42"/>
      <c r="MG241" s="42"/>
      <c r="NL241" s="42"/>
    </row>
    <row r="242" ht="15.75" customHeight="1">
      <c r="A242" s="42"/>
      <c r="B242" s="42"/>
      <c r="C242" s="42"/>
      <c r="D242" s="38">
        <f t="shared" si="463"/>
        <v>45980</v>
      </c>
      <c r="E242" s="31" t="str">
        <f t="shared" ref="E242:I242" si="466">BY8</f>
        <v/>
      </c>
      <c r="F242" s="31" t="str">
        <f t="shared" si="466"/>
        <v/>
      </c>
      <c r="G242" s="31" t="str">
        <f t="shared" si="466"/>
        <v/>
      </c>
      <c r="H242" s="13" t="str">
        <f t="shared" si="466"/>
        <v/>
      </c>
      <c r="I242" s="13" t="str">
        <f t="shared" si="466"/>
        <v/>
      </c>
      <c r="J242" s="107" t="str">
        <f t="array" ref="J242">IFERROR(IF(XLOOKUP(CONCAT(E242,F242),'MASTER PLAN'!$AB:$AB,'MASTER PLAN'!$M:$M,0,0)=0,"",XLOOKUP(CONCAT(E242,F242),'MASTER PLAN'!$AB:$AB,'MASTER PLAN'!$M:$M,0,0)),"")</f>
        <v/>
      </c>
      <c r="K242" s="107">
        <f t="shared" si="237"/>
        <v>0</v>
      </c>
      <c r="L242" s="107">
        <f t="shared" si="238"/>
        <v>0</v>
      </c>
      <c r="M242" s="105" t="s">
        <v>246</v>
      </c>
      <c r="AI242" s="42"/>
      <c r="BN242" s="42"/>
      <c r="CS242" s="42"/>
      <c r="DX242" s="42"/>
      <c r="FC242" s="42"/>
      <c r="GH242" s="42"/>
      <c r="HM242" s="42"/>
      <c r="IR242" s="42"/>
      <c r="JW242" s="42"/>
      <c r="LB242" s="42"/>
      <c r="MG242" s="42"/>
      <c r="NL242" s="42"/>
    </row>
    <row r="243" ht="15.75" customHeight="1">
      <c r="A243" s="42"/>
      <c r="B243" s="42"/>
      <c r="C243" s="42"/>
      <c r="D243" s="38">
        <f t="shared" si="463"/>
        <v>45980</v>
      </c>
      <c r="E243" s="31">
        <f t="shared" ref="E243:I243" si="467">BY12</f>
        <v>1402049277</v>
      </c>
      <c r="F243" s="31">
        <f t="shared" si="467"/>
        <v>20</v>
      </c>
      <c r="G243" s="31" t="str">
        <f t="shared" si="467"/>
        <v>BOLSA ELEGANCE 6-5X3-5X6-5 IN FL</v>
      </c>
      <c r="H243" s="13">
        <f t="shared" si="467"/>
        <v>1700</v>
      </c>
      <c r="I243" s="13" t="str">
        <f t="shared" si="467"/>
        <v/>
      </c>
      <c r="J243" s="107">
        <f t="array" ref="J243">IFERROR(IF(XLOOKUP(CONCAT(E243,F243),'MASTER PLAN'!$AB:$AB,'MASTER PLAN'!$M:$M,0,0)=0,"",XLOOKUP(CONCAT(E243,F243),'MASTER PLAN'!$AB:$AB,'MASTER PLAN'!$M:$M,0,0)),"")</f>
        <v>0.888</v>
      </c>
      <c r="K243" s="107">
        <f t="shared" si="237"/>
        <v>1509.6</v>
      </c>
      <c r="L243" s="107">
        <f t="shared" si="238"/>
        <v>0</v>
      </c>
      <c r="M243" s="105" t="s">
        <v>248</v>
      </c>
      <c r="AI243" s="42"/>
      <c r="BN243" s="42"/>
      <c r="CS243" s="42"/>
      <c r="DX243" s="42"/>
      <c r="FC243" s="42"/>
      <c r="GH243" s="42"/>
      <c r="HM243" s="42"/>
      <c r="IR243" s="42"/>
      <c r="JW243" s="42"/>
      <c r="LB243" s="42"/>
      <c r="MG243" s="42"/>
      <c r="NL243" s="42"/>
    </row>
    <row r="244" ht="15.75" customHeight="1">
      <c r="A244" s="42"/>
      <c r="B244" s="42"/>
      <c r="C244" s="42"/>
      <c r="D244" s="38">
        <f t="shared" si="463"/>
        <v>45980</v>
      </c>
      <c r="E244" s="31">
        <f t="shared" ref="E244:I244" si="468">BY13</f>
        <v>1402049321</v>
      </c>
      <c r="F244" s="31">
        <f t="shared" si="468"/>
        <v>10</v>
      </c>
      <c r="G244" s="31" t="str">
        <f t="shared" si="468"/>
        <v>BOLSA BRILLANTI 6-5"X3-5"X6-5"</v>
      </c>
      <c r="H244" s="13">
        <f t="shared" si="468"/>
        <v>2000</v>
      </c>
      <c r="I244" s="13" t="str">
        <f t="shared" si="468"/>
        <v/>
      </c>
      <c r="J244" s="107">
        <f t="array" ref="J244">IFERROR(IF(XLOOKUP(CONCAT(E244,F244),'MASTER PLAN'!$AB:$AB,'MASTER PLAN'!$M:$M,0,0)=0,"",XLOOKUP(CONCAT(E244,F244),'MASTER PLAN'!$AB:$AB,'MASTER PLAN'!$M:$M,0,0)),"")</f>
        <v>0.77</v>
      </c>
      <c r="K244" s="107">
        <f t="shared" si="237"/>
        <v>1540</v>
      </c>
      <c r="L244" s="107">
        <f t="shared" si="238"/>
        <v>0</v>
      </c>
      <c r="M244" s="105" t="s">
        <v>248</v>
      </c>
      <c r="AI244" s="42"/>
      <c r="BN244" s="42"/>
      <c r="CS244" s="42"/>
      <c r="DX244" s="42"/>
      <c r="FC244" s="42"/>
      <c r="GH244" s="42"/>
      <c r="HM244" s="42"/>
      <c r="IR244" s="42"/>
      <c r="JW244" s="42"/>
      <c r="LB244" s="42"/>
      <c r="MG244" s="42"/>
      <c r="NL244" s="42"/>
    </row>
    <row r="245" ht="15.75" customHeight="1">
      <c r="A245" s="42"/>
      <c r="B245" s="42"/>
      <c r="C245" s="42"/>
      <c r="D245" s="38">
        <f t="shared" si="463"/>
        <v>45980</v>
      </c>
      <c r="E245" s="31" t="str">
        <f t="shared" ref="E245:I245" si="469">BY14</f>
        <v/>
      </c>
      <c r="F245" s="31" t="str">
        <f t="shared" si="469"/>
        <v/>
      </c>
      <c r="G245" s="31" t="str">
        <f t="shared" si="469"/>
        <v/>
      </c>
      <c r="H245" s="13" t="str">
        <f t="shared" si="469"/>
        <v/>
      </c>
      <c r="I245" s="13" t="str">
        <f t="shared" si="469"/>
        <v/>
      </c>
      <c r="J245" s="107" t="str">
        <f t="array" ref="J245">IFERROR(IF(XLOOKUP(CONCAT(E245,F245),'MASTER PLAN'!$AB:$AB,'MASTER PLAN'!$M:$M,0,0)=0,"",XLOOKUP(CONCAT(E245,F245),'MASTER PLAN'!$AB:$AB,'MASTER PLAN'!$M:$M,0,0)),"")</f>
        <v/>
      </c>
      <c r="K245" s="107">
        <f t="shared" si="237"/>
        <v>0</v>
      </c>
      <c r="L245" s="107">
        <f t="shared" si="238"/>
        <v>0</v>
      </c>
      <c r="M245" s="105" t="s">
        <v>248</v>
      </c>
      <c r="AI245" s="42"/>
      <c r="BN245" s="42"/>
      <c r="CS245" s="42"/>
      <c r="DX245" s="42"/>
      <c r="FC245" s="42"/>
      <c r="GH245" s="42"/>
      <c r="HM245" s="42"/>
      <c r="IR245" s="42"/>
      <c r="JW245" s="42"/>
      <c r="LB245" s="42"/>
      <c r="MG245" s="42"/>
      <c r="NL245" s="42"/>
    </row>
    <row r="246" ht="15.75" customHeight="1">
      <c r="A246" s="42"/>
      <c r="B246" s="42"/>
      <c r="C246" s="42"/>
      <c r="D246" s="38">
        <f t="shared" si="463"/>
        <v>45980</v>
      </c>
      <c r="E246" s="31" t="str">
        <f t="shared" ref="E246:I246" si="470">BY15</f>
        <v/>
      </c>
      <c r="F246" s="31" t="str">
        <f t="shared" si="470"/>
        <v/>
      </c>
      <c r="G246" s="31" t="str">
        <f t="shared" si="470"/>
        <v/>
      </c>
      <c r="H246" s="13" t="str">
        <f t="shared" si="470"/>
        <v/>
      </c>
      <c r="I246" s="13" t="str">
        <f t="shared" si="470"/>
        <v/>
      </c>
      <c r="J246" s="107" t="str">
        <f t="array" ref="J246">IFERROR(IF(XLOOKUP(CONCAT(E246,F246),'MASTER PLAN'!$AB:$AB,'MASTER PLAN'!$M:$M,0,0)=0,"",XLOOKUP(CONCAT(E246,F246),'MASTER PLAN'!$AB:$AB,'MASTER PLAN'!$M:$M,0,0)),"")</f>
        <v/>
      </c>
      <c r="K246" s="107">
        <f t="shared" si="237"/>
        <v>0</v>
      </c>
      <c r="L246" s="107">
        <f t="shared" si="238"/>
        <v>0</v>
      </c>
      <c r="M246" s="105" t="s">
        <v>248</v>
      </c>
      <c r="AI246" s="42"/>
      <c r="BN246" s="42"/>
      <c r="CS246" s="42"/>
      <c r="DX246" s="42"/>
      <c r="FC246" s="42"/>
      <c r="GH246" s="42"/>
      <c r="HM246" s="42"/>
      <c r="IR246" s="42"/>
      <c r="JW246" s="42"/>
      <c r="LB246" s="42"/>
      <c r="MG246" s="42"/>
      <c r="NL246" s="42"/>
    </row>
    <row r="247" ht="15.75" customHeight="1">
      <c r="A247" s="42"/>
      <c r="B247" s="42"/>
      <c r="C247" s="42"/>
      <c r="D247" s="38">
        <f t="shared" si="463"/>
        <v>45980</v>
      </c>
      <c r="E247" s="31" t="str">
        <f t="shared" ref="E247:I247" si="471">BY16</f>
        <v/>
      </c>
      <c r="F247" s="31" t="str">
        <f t="shared" si="471"/>
        <v/>
      </c>
      <c r="G247" s="31" t="str">
        <f t="shared" si="471"/>
        <v/>
      </c>
      <c r="H247" s="13" t="str">
        <f t="shared" si="471"/>
        <v/>
      </c>
      <c r="I247" s="13" t="str">
        <f t="shared" si="471"/>
        <v/>
      </c>
      <c r="J247" s="107" t="str">
        <f t="array" ref="J247">IFERROR(IF(XLOOKUP(CONCAT(E247,F247),'MASTER PLAN'!$AB:$AB,'MASTER PLAN'!$M:$M,0,0)=0,"",XLOOKUP(CONCAT(E247,F247),'MASTER PLAN'!$AB:$AB,'MASTER PLAN'!$M:$M,0,0)),"")</f>
        <v/>
      </c>
      <c r="K247" s="107">
        <f t="shared" si="237"/>
        <v>0</v>
      </c>
      <c r="L247" s="107">
        <f t="shared" si="238"/>
        <v>0</v>
      </c>
      <c r="M247" s="105" t="s">
        <v>248</v>
      </c>
      <c r="AI247" s="42"/>
      <c r="BN247" s="42"/>
      <c r="CS247" s="42"/>
      <c r="DX247" s="42"/>
      <c r="FC247" s="42"/>
      <c r="GH247" s="42"/>
      <c r="HM247" s="42"/>
      <c r="IR247" s="42"/>
      <c r="JW247" s="42"/>
      <c r="LB247" s="42"/>
      <c r="MG247" s="42"/>
      <c r="NL247" s="42"/>
    </row>
    <row r="248" ht="15.75" customHeight="1">
      <c r="A248" s="42"/>
      <c r="B248" s="42"/>
      <c r="C248" s="42"/>
      <c r="D248" s="38">
        <f t="shared" si="463"/>
        <v>45980</v>
      </c>
      <c r="E248" s="31" t="str">
        <f t="shared" ref="E248:I248" si="472">BY20</f>
        <v/>
      </c>
      <c r="F248" s="31" t="str">
        <f t="shared" si="472"/>
        <v/>
      </c>
      <c r="G248" s="31" t="str">
        <f t="shared" si="472"/>
        <v/>
      </c>
      <c r="H248" s="13" t="str">
        <f t="shared" si="472"/>
        <v/>
      </c>
      <c r="I248" s="13" t="str">
        <f t="shared" si="472"/>
        <v/>
      </c>
      <c r="J248" s="107" t="str">
        <f t="array" ref="J248">IFERROR(IF(XLOOKUP(CONCAT(E248,F248),'MASTER PLAN'!$AB:$AB,'MASTER PLAN'!$M:$M,0,0)=0,"",XLOOKUP(CONCAT(E248,F248),'MASTER PLAN'!$AB:$AB,'MASTER PLAN'!$M:$M,0,0)),"")</f>
        <v/>
      </c>
      <c r="K248" s="107">
        <f t="shared" si="237"/>
        <v>0</v>
      </c>
      <c r="L248" s="107">
        <f t="shared" si="238"/>
        <v>0</v>
      </c>
      <c r="M248" s="105" t="s">
        <v>249</v>
      </c>
      <c r="AI248" s="42"/>
      <c r="BN248" s="42"/>
      <c r="CS248" s="42"/>
      <c r="DX248" s="42"/>
      <c r="FC248" s="42"/>
      <c r="GH248" s="42"/>
      <c r="HM248" s="42"/>
      <c r="IR248" s="42"/>
      <c r="JW248" s="42"/>
      <c r="LB248" s="42"/>
      <c r="MG248" s="42"/>
      <c r="NL248" s="42"/>
    </row>
    <row r="249" ht="15.75" customHeight="1">
      <c r="A249" s="42"/>
      <c r="B249" s="42"/>
      <c r="C249" s="42"/>
      <c r="D249" s="38">
        <f t="shared" si="463"/>
        <v>45980</v>
      </c>
      <c r="E249" s="31" t="str">
        <f t="shared" ref="E249:I249" si="473">BY21</f>
        <v/>
      </c>
      <c r="F249" s="31" t="str">
        <f t="shared" si="473"/>
        <v/>
      </c>
      <c r="G249" s="31" t="str">
        <f t="shared" si="473"/>
        <v/>
      </c>
      <c r="H249" s="13" t="str">
        <f t="shared" si="473"/>
        <v/>
      </c>
      <c r="I249" s="13" t="str">
        <f t="shared" si="473"/>
        <v/>
      </c>
      <c r="J249" s="107" t="str">
        <f t="array" ref="J249">IFERROR(IF(XLOOKUP(CONCAT(E249,F249),'MASTER PLAN'!$AB:$AB,'MASTER PLAN'!$M:$M,0,0)=0,"",XLOOKUP(CONCAT(E249,F249),'MASTER PLAN'!$AB:$AB,'MASTER PLAN'!$M:$M,0,0)),"")</f>
        <v/>
      </c>
      <c r="K249" s="107">
        <f t="shared" si="237"/>
        <v>0</v>
      </c>
      <c r="L249" s="107">
        <f t="shared" si="238"/>
        <v>0</v>
      </c>
      <c r="M249" s="105" t="s">
        <v>249</v>
      </c>
      <c r="AI249" s="42"/>
      <c r="BN249" s="42"/>
      <c r="CS249" s="42"/>
      <c r="DX249" s="42"/>
      <c r="FC249" s="42"/>
      <c r="GH249" s="42"/>
      <c r="HM249" s="42"/>
      <c r="IR249" s="42"/>
      <c r="JW249" s="42"/>
      <c r="LB249" s="42"/>
      <c r="MG249" s="42"/>
      <c r="NL249" s="42"/>
    </row>
    <row r="250" ht="15.75" customHeight="1">
      <c r="A250" s="42"/>
      <c r="B250" s="42"/>
      <c r="C250" s="42"/>
      <c r="D250" s="38">
        <f t="shared" si="463"/>
        <v>45980</v>
      </c>
      <c r="E250" s="31" t="str">
        <f t="shared" ref="E250:I250" si="474">BY22</f>
        <v/>
      </c>
      <c r="F250" s="31" t="str">
        <f t="shared" si="474"/>
        <v/>
      </c>
      <c r="G250" s="31" t="str">
        <f t="shared" si="474"/>
        <v/>
      </c>
      <c r="H250" s="13" t="str">
        <f t="shared" si="474"/>
        <v/>
      </c>
      <c r="I250" s="13" t="str">
        <f t="shared" si="474"/>
        <v/>
      </c>
      <c r="J250" s="107" t="str">
        <f t="array" ref="J250">IFERROR(IF(XLOOKUP(CONCAT(E250,F250),'MASTER PLAN'!$AB:$AB,'MASTER PLAN'!$M:$M,0,0)=0,"",XLOOKUP(CONCAT(E250,F250),'MASTER PLAN'!$AB:$AB,'MASTER PLAN'!$M:$M,0,0)),"")</f>
        <v/>
      </c>
      <c r="K250" s="107">
        <f t="shared" si="237"/>
        <v>0</v>
      </c>
      <c r="L250" s="107">
        <f t="shared" si="238"/>
        <v>0</v>
      </c>
      <c r="M250" s="105" t="s">
        <v>249</v>
      </c>
      <c r="AI250" s="42"/>
      <c r="BN250" s="42"/>
      <c r="CS250" s="42"/>
      <c r="DX250" s="42"/>
      <c r="FC250" s="42"/>
      <c r="GH250" s="42"/>
      <c r="HM250" s="42"/>
      <c r="IR250" s="42"/>
      <c r="JW250" s="42"/>
      <c r="LB250" s="42"/>
      <c r="MG250" s="42"/>
      <c r="NL250" s="42"/>
    </row>
    <row r="251" ht="15.75" customHeight="1">
      <c r="A251" s="42"/>
      <c r="B251" s="42"/>
      <c r="C251" s="42"/>
      <c r="D251" s="38">
        <f t="shared" si="463"/>
        <v>45980</v>
      </c>
      <c r="E251" s="31" t="str">
        <f t="shared" ref="E251:I251" si="475">BY23</f>
        <v/>
      </c>
      <c r="F251" s="31" t="str">
        <f t="shared" si="475"/>
        <v/>
      </c>
      <c r="G251" s="31" t="str">
        <f t="shared" si="475"/>
        <v/>
      </c>
      <c r="H251" s="13" t="str">
        <f t="shared" si="475"/>
        <v/>
      </c>
      <c r="I251" s="13" t="str">
        <f t="shared" si="475"/>
        <v/>
      </c>
      <c r="J251" s="107" t="str">
        <f t="array" ref="J251">IFERROR(IF(XLOOKUP(CONCAT(E251,F251),'MASTER PLAN'!$AB:$AB,'MASTER PLAN'!$M:$M,0,0)=0,"",XLOOKUP(CONCAT(E251,F251),'MASTER PLAN'!$AB:$AB,'MASTER PLAN'!$M:$M,0,0)),"")</f>
        <v/>
      </c>
      <c r="K251" s="107">
        <f t="shared" si="237"/>
        <v>0</v>
      </c>
      <c r="L251" s="107">
        <f t="shared" si="238"/>
        <v>0</v>
      </c>
      <c r="M251" s="105" t="s">
        <v>249</v>
      </c>
      <c r="AI251" s="42"/>
      <c r="BN251" s="42"/>
      <c r="CS251" s="42"/>
      <c r="DX251" s="42"/>
      <c r="FC251" s="42"/>
      <c r="GH251" s="42"/>
      <c r="HM251" s="42"/>
      <c r="IR251" s="42"/>
      <c r="JW251" s="42"/>
      <c r="LB251" s="42"/>
      <c r="MG251" s="42"/>
      <c r="NL251" s="42"/>
    </row>
    <row r="252" ht="15.75" customHeight="1">
      <c r="A252" s="42"/>
      <c r="B252" s="42"/>
      <c r="C252" s="42"/>
      <c r="D252" s="38">
        <f t="shared" si="463"/>
        <v>45980</v>
      </c>
      <c r="E252" s="31" t="str">
        <f t="shared" ref="E252:I252" si="476">BY24</f>
        <v/>
      </c>
      <c r="F252" s="31" t="str">
        <f t="shared" si="476"/>
        <v/>
      </c>
      <c r="G252" s="31" t="str">
        <f t="shared" si="476"/>
        <v/>
      </c>
      <c r="H252" s="13" t="str">
        <f t="shared" si="476"/>
        <v/>
      </c>
      <c r="I252" s="13" t="str">
        <f t="shared" si="476"/>
        <v/>
      </c>
      <c r="J252" s="107" t="str">
        <f t="array" ref="J252">IFERROR(IF(XLOOKUP(CONCAT(E252,F252),'MASTER PLAN'!$AB:$AB,'MASTER PLAN'!$M:$M,0,0)=0,"",XLOOKUP(CONCAT(E252,F252),'MASTER PLAN'!$AB:$AB,'MASTER PLAN'!$M:$M,0,0)),"")</f>
        <v/>
      </c>
      <c r="K252" s="107">
        <f t="shared" si="237"/>
        <v>0</v>
      </c>
      <c r="L252" s="107">
        <f t="shared" si="238"/>
        <v>0</v>
      </c>
      <c r="M252" s="105" t="s">
        <v>249</v>
      </c>
      <c r="AI252" s="42"/>
      <c r="BN252" s="42"/>
      <c r="CS252" s="42"/>
      <c r="DX252" s="42"/>
      <c r="FC252" s="42"/>
      <c r="GH252" s="42"/>
      <c r="HM252" s="42"/>
      <c r="IR252" s="42"/>
      <c r="JW252" s="42"/>
      <c r="LB252" s="42"/>
      <c r="MG252" s="42"/>
      <c r="NL252" s="42"/>
    </row>
    <row r="253" ht="15.75" customHeight="1">
      <c r="A253" s="42"/>
      <c r="B253" s="42"/>
      <c r="C253" s="42"/>
      <c r="D253" s="38">
        <f>CD2</f>
        <v>45981</v>
      </c>
      <c r="E253" s="31">
        <f t="shared" ref="E253:I253" si="477">CD4</f>
        <v>1402049281</v>
      </c>
      <c r="F253" s="31">
        <f t="shared" si="477"/>
        <v>10</v>
      </c>
      <c r="G253" s="31" t="str">
        <f t="shared" si="477"/>
        <v>BOLSA ALBERTS JEWELERS 6-5"X3-5"X6-5"</v>
      </c>
      <c r="H253" s="13">
        <f t="shared" si="477"/>
        <v>3500</v>
      </c>
      <c r="I253" s="13" t="str">
        <f t="shared" si="477"/>
        <v/>
      </c>
      <c r="J253" s="107">
        <f t="array" ref="J253">IFERROR(IF(XLOOKUP(CONCAT(E253,F253),'MASTER PLAN'!$AB:$AB,'MASTER PLAN'!$M:$M,0,0)=0,"",XLOOKUP(CONCAT(E253,F253),'MASTER PLAN'!$AB:$AB,'MASTER PLAN'!$M:$M,0,0)),"")</f>
        <v>0.912</v>
      </c>
      <c r="K253" s="107">
        <f t="shared" si="237"/>
        <v>3192</v>
      </c>
      <c r="L253" s="107">
        <f t="shared" si="238"/>
        <v>0</v>
      </c>
      <c r="M253" s="105" t="s">
        <v>246</v>
      </c>
      <c r="AI253" s="42"/>
      <c r="BN253" s="42"/>
      <c r="CS253" s="42"/>
      <c r="DX253" s="42"/>
      <c r="FC253" s="42"/>
      <c r="GH253" s="42"/>
      <c r="HM253" s="42"/>
      <c r="IR253" s="42"/>
      <c r="JW253" s="42"/>
      <c r="LB253" s="42"/>
      <c r="MG253" s="42"/>
      <c r="NL253" s="42"/>
    </row>
    <row r="254" ht="15.75" customHeight="1">
      <c r="A254" s="42"/>
      <c r="B254" s="42"/>
      <c r="C254" s="42"/>
      <c r="D254" s="38">
        <f t="shared" ref="D254:D267" si="479">D253</f>
        <v>45981</v>
      </c>
      <c r="E254" s="31" t="str">
        <f t="shared" ref="E254:I254" si="478">CD5</f>
        <v/>
      </c>
      <c r="F254" s="31" t="str">
        <f t="shared" si="478"/>
        <v/>
      </c>
      <c r="G254" s="31" t="str">
        <f t="shared" si="478"/>
        <v/>
      </c>
      <c r="H254" s="13" t="str">
        <f t="shared" si="478"/>
        <v/>
      </c>
      <c r="I254" s="13" t="str">
        <f t="shared" si="478"/>
        <v/>
      </c>
      <c r="J254" s="107" t="str">
        <f t="array" ref="J254">IFERROR(IF(XLOOKUP(CONCAT(E254,F254),'MASTER PLAN'!$AB:$AB,'MASTER PLAN'!$M:$M,0,0)=0,"",XLOOKUP(CONCAT(E254,F254),'MASTER PLAN'!$AB:$AB,'MASTER PLAN'!$M:$M,0,0)),"")</f>
        <v/>
      </c>
      <c r="K254" s="107">
        <f t="shared" si="237"/>
        <v>0</v>
      </c>
      <c r="L254" s="107">
        <f t="shared" si="238"/>
        <v>0</v>
      </c>
      <c r="M254" s="105" t="s">
        <v>246</v>
      </c>
      <c r="AI254" s="42"/>
      <c r="BN254" s="42"/>
      <c r="CS254" s="42"/>
      <c r="DX254" s="42"/>
      <c r="FC254" s="42"/>
      <c r="GH254" s="42"/>
      <c r="HM254" s="42"/>
      <c r="IR254" s="42"/>
      <c r="JW254" s="42"/>
      <c r="LB254" s="42"/>
      <c r="MG254" s="42"/>
      <c r="NL254" s="42"/>
    </row>
    <row r="255" ht="15.75" customHeight="1">
      <c r="A255" s="42"/>
      <c r="B255" s="42"/>
      <c r="C255" s="42"/>
      <c r="D255" s="38">
        <f t="shared" si="479"/>
        <v>45981</v>
      </c>
      <c r="E255" s="31" t="str">
        <f t="shared" ref="E255:I255" si="480">CD6</f>
        <v/>
      </c>
      <c r="F255" s="31" t="str">
        <f t="shared" si="480"/>
        <v/>
      </c>
      <c r="G255" s="31" t="str">
        <f t="shared" si="480"/>
        <v/>
      </c>
      <c r="H255" s="13" t="str">
        <f t="shared" si="480"/>
        <v/>
      </c>
      <c r="I255" s="13" t="str">
        <f t="shared" si="480"/>
        <v/>
      </c>
      <c r="J255" s="107" t="str">
        <f t="array" ref="J255">IFERROR(IF(XLOOKUP(CONCAT(E255,F255),'MASTER PLAN'!$AB:$AB,'MASTER PLAN'!$M:$M,0,0)=0,"",XLOOKUP(CONCAT(E255,F255),'MASTER PLAN'!$AB:$AB,'MASTER PLAN'!$M:$M,0,0)),"")</f>
        <v/>
      </c>
      <c r="K255" s="107">
        <f t="shared" si="237"/>
        <v>0</v>
      </c>
      <c r="L255" s="107">
        <f t="shared" si="238"/>
        <v>0</v>
      </c>
      <c r="M255" s="105" t="s">
        <v>246</v>
      </c>
      <c r="AI255" s="42"/>
      <c r="BN255" s="42"/>
      <c r="CS255" s="42"/>
      <c r="DX255" s="42"/>
      <c r="FC255" s="42"/>
      <c r="GH255" s="42"/>
      <c r="HM255" s="42"/>
      <c r="IR255" s="42"/>
      <c r="JW255" s="42"/>
      <c r="LB255" s="42"/>
      <c r="MG255" s="42"/>
      <c r="NL255" s="42"/>
    </row>
    <row r="256" ht="15.75" customHeight="1">
      <c r="A256" s="42"/>
      <c r="B256" s="42"/>
      <c r="C256" s="42"/>
      <c r="D256" s="38">
        <f t="shared" si="479"/>
        <v>45981</v>
      </c>
      <c r="E256" s="31" t="str">
        <f t="shared" ref="E256:I256" si="481">CD7</f>
        <v/>
      </c>
      <c r="F256" s="31" t="str">
        <f t="shared" si="481"/>
        <v/>
      </c>
      <c r="G256" s="31" t="str">
        <f t="shared" si="481"/>
        <v/>
      </c>
      <c r="H256" s="13" t="str">
        <f t="shared" si="481"/>
        <v/>
      </c>
      <c r="I256" s="13" t="str">
        <f t="shared" si="481"/>
        <v/>
      </c>
      <c r="J256" s="107" t="str">
        <f t="array" ref="J256">IFERROR(IF(XLOOKUP(CONCAT(E256,F256),'MASTER PLAN'!$AB:$AB,'MASTER PLAN'!$M:$M,0,0)=0,"",XLOOKUP(CONCAT(E256,F256),'MASTER PLAN'!$AB:$AB,'MASTER PLAN'!$M:$M,0,0)),"")</f>
        <v/>
      </c>
      <c r="K256" s="107">
        <f t="shared" si="237"/>
        <v>0</v>
      </c>
      <c r="L256" s="107">
        <f t="shared" si="238"/>
        <v>0</v>
      </c>
      <c r="M256" s="105" t="s">
        <v>246</v>
      </c>
      <c r="AI256" s="42"/>
      <c r="BN256" s="42"/>
      <c r="CS256" s="42"/>
      <c r="DX256" s="42"/>
      <c r="FC256" s="42"/>
      <c r="GH256" s="42"/>
      <c r="HM256" s="42"/>
      <c r="IR256" s="42"/>
      <c r="JW256" s="42"/>
      <c r="LB256" s="42"/>
      <c r="MG256" s="42"/>
      <c r="NL256" s="42"/>
    </row>
    <row r="257" ht="15.75" customHeight="1">
      <c r="A257" s="42"/>
      <c r="B257" s="42"/>
      <c r="C257" s="42"/>
      <c r="D257" s="38">
        <f t="shared" si="479"/>
        <v>45981</v>
      </c>
      <c r="E257" s="31" t="str">
        <f t="shared" ref="E257:I257" si="482">CD8</f>
        <v/>
      </c>
      <c r="F257" s="31" t="str">
        <f t="shared" si="482"/>
        <v/>
      </c>
      <c r="G257" s="31" t="str">
        <f t="shared" si="482"/>
        <v/>
      </c>
      <c r="H257" s="13" t="str">
        <f t="shared" si="482"/>
        <v/>
      </c>
      <c r="I257" s="13" t="str">
        <f t="shared" si="482"/>
        <v/>
      </c>
      <c r="J257" s="107" t="str">
        <f t="array" ref="J257">IFERROR(IF(XLOOKUP(CONCAT(E257,F257),'MASTER PLAN'!$AB:$AB,'MASTER PLAN'!$M:$M,0,0)=0,"",XLOOKUP(CONCAT(E257,F257),'MASTER PLAN'!$AB:$AB,'MASTER PLAN'!$M:$M,0,0)),"")</f>
        <v/>
      </c>
      <c r="K257" s="107">
        <f t="shared" si="237"/>
        <v>0</v>
      </c>
      <c r="L257" s="107">
        <f t="shared" si="238"/>
        <v>0</v>
      </c>
      <c r="M257" s="105" t="s">
        <v>246</v>
      </c>
      <c r="AI257" s="42"/>
      <c r="BN257" s="42"/>
      <c r="CS257" s="42"/>
      <c r="DX257" s="42"/>
      <c r="FC257" s="42"/>
      <c r="GH257" s="42"/>
      <c r="HM257" s="42"/>
      <c r="IR257" s="42"/>
      <c r="JW257" s="42"/>
      <c r="LB257" s="42"/>
      <c r="MG257" s="42"/>
      <c r="NL257" s="42"/>
    </row>
    <row r="258" ht="15.75" customHeight="1">
      <c r="A258" s="42"/>
      <c r="B258" s="42"/>
      <c r="C258" s="42"/>
      <c r="D258" s="38">
        <f t="shared" si="479"/>
        <v>45981</v>
      </c>
      <c r="E258" s="31">
        <f t="shared" ref="E258:I258" si="483">CD12</f>
        <v>1402049321</v>
      </c>
      <c r="F258" s="31">
        <f t="shared" si="483"/>
        <v>10</v>
      </c>
      <c r="G258" s="31" t="str">
        <f t="shared" si="483"/>
        <v>BOLSA BRILLANTI 6-5"X3-5"X6-5"</v>
      </c>
      <c r="H258" s="13">
        <f t="shared" si="483"/>
        <v>500</v>
      </c>
      <c r="I258" s="13" t="str">
        <f t="shared" si="483"/>
        <v/>
      </c>
      <c r="J258" s="107">
        <f t="array" ref="J258">IFERROR(IF(XLOOKUP(CONCAT(E258,F258),'MASTER PLAN'!$AB:$AB,'MASTER PLAN'!$M:$M,0,0)=0,"",XLOOKUP(CONCAT(E258,F258),'MASTER PLAN'!$AB:$AB,'MASTER PLAN'!$M:$M,0,0)),"")</f>
        <v>0.77</v>
      </c>
      <c r="K258" s="107">
        <f t="shared" si="237"/>
        <v>385</v>
      </c>
      <c r="L258" s="107">
        <f t="shared" si="238"/>
        <v>0</v>
      </c>
      <c r="M258" s="105" t="s">
        <v>248</v>
      </c>
      <c r="AI258" s="42"/>
      <c r="BN258" s="42"/>
      <c r="CS258" s="42"/>
      <c r="DX258" s="42"/>
      <c r="FC258" s="42"/>
      <c r="GH258" s="42"/>
      <c r="HM258" s="42"/>
      <c r="IR258" s="42"/>
      <c r="JW258" s="42"/>
      <c r="LB258" s="42"/>
      <c r="MG258" s="42"/>
      <c r="NL258" s="42"/>
    </row>
    <row r="259" ht="15.75" customHeight="1">
      <c r="A259" s="42"/>
      <c r="B259" s="42"/>
      <c r="C259" s="42"/>
      <c r="D259" s="38">
        <f t="shared" si="479"/>
        <v>45981</v>
      </c>
      <c r="E259" s="31">
        <f t="shared" ref="E259:I259" si="484">CD13</f>
        <v>1402049281</v>
      </c>
      <c r="F259" s="31">
        <f t="shared" si="484"/>
        <v>20</v>
      </c>
      <c r="G259" s="31" t="str">
        <f t="shared" si="484"/>
        <v>BOLSA ALBERTS JEWELERS 10"X6"X10" FL</v>
      </c>
      <c r="H259" s="13">
        <f t="shared" si="484"/>
        <v>1200</v>
      </c>
      <c r="I259" s="13" t="str">
        <f t="shared" si="484"/>
        <v/>
      </c>
      <c r="J259" s="107">
        <f t="array" ref="J259">IFERROR(IF(XLOOKUP(CONCAT(E259,F259),'MASTER PLAN'!$AB:$AB,'MASTER PLAN'!$M:$M,0,0)=0,"",XLOOKUP(CONCAT(E259,F259),'MASTER PLAN'!$AB:$AB,'MASTER PLAN'!$M:$M,0,0)),"")</f>
        <v>1.608</v>
      </c>
      <c r="K259" s="107">
        <f t="shared" si="237"/>
        <v>1929.6</v>
      </c>
      <c r="L259" s="107">
        <f t="shared" si="238"/>
        <v>0</v>
      </c>
      <c r="M259" s="105" t="s">
        <v>248</v>
      </c>
      <c r="AI259" s="42"/>
      <c r="BN259" s="42"/>
      <c r="CS259" s="42"/>
      <c r="DX259" s="42"/>
      <c r="FC259" s="42"/>
      <c r="GH259" s="42"/>
      <c r="HM259" s="42"/>
      <c r="IR259" s="42"/>
      <c r="JW259" s="42"/>
      <c r="LB259" s="42"/>
      <c r="MG259" s="42"/>
      <c r="NL259" s="42"/>
    </row>
    <row r="260" ht="15.75" customHeight="1">
      <c r="A260" s="42"/>
      <c r="B260" s="42"/>
      <c r="C260" s="42"/>
      <c r="D260" s="38">
        <f t="shared" si="479"/>
        <v>45981</v>
      </c>
      <c r="E260" s="31">
        <f t="shared" ref="E260:I260" si="485">CD14</f>
        <v>1402049277</v>
      </c>
      <c r="F260" s="31">
        <f t="shared" si="485"/>
        <v>10</v>
      </c>
      <c r="G260" s="31" t="str">
        <f t="shared" si="485"/>
        <v>BOLSA ELEGANCE 8X4X10 IN FL</v>
      </c>
      <c r="H260" s="13">
        <f t="shared" si="485"/>
        <v>1300</v>
      </c>
      <c r="I260" s="13" t="str">
        <f t="shared" si="485"/>
        <v/>
      </c>
      <c r="J260" s="107">
        <f t="array" ref="J260">IFERROR(IF(XLOOKUP(CONCAT(E260,F260),'MASTER PLAN'!$AB:$AB,'MASTER PLAN'!$M:$M,0,0)=0,"",XLOOKUP(CONCAT(E260,F260),'MASTER PLAN'!$AB:$AB,'MASTER PLAN'!$M:$M,0,0)),"")</f>
        <v>1.096</v>
      </c>
      <c r="K260" s="107">
        <f t="shared" si="237"/>
        <v>1424.8</v>
      </c>
      <c r="L260" s="107">
        <f t="shared" si="238"/>
        <v>0</v>
      </c>
      <c r="M260" s="105" t="s">
        <v>248</v>
      </c>
      <c r="AI260" s="42"/>
      <c r="BN260" s="42"/>
      <c r="CS260" s="42"/>
      <c r="DX260" s="42"/>
      <c r="FC260" s="42"/>
      <c r="GH260" s="42"/>
      <c r="HM260" s="42"/>
      <c r="IR260" s="42"/>
      <c r="JW260" s="42"/>
      <c r="LB260" s="42"/>
      <c r="MG260" s="42"/>
      <c r="NL260" s="42"/>
    </row>
    <row r="261" ht="15.75" customHeight="1">
      <c r="A261" s="42"/>
      <c r="B261" s="42"/>
      <c r="C261" s="42"/>
      <c r="D261" s="38">
        <f t="shared" si="479"/>
        <v>45981</v>
      </c>
      <c r="E261" s="31" t="str">
        <f t="shared" ref="E261:I261" si="486">CD15</f>
        <v/>
      </c>
      <c r="F261" s="31" t="str">
        <f t="shared" si="486"/>
        <v/>
      </c>
      <c r="G261" s="31" t="str">
        <f t="shared" si="486"/>
        <v/>
      </c>
      <c r="H261" s="13" t="str">
        <f t="shared" si="486"/>
        <v/>
      </c>
      <c r="I261" s="13" t="str">
        <f t="shared" si="486"/>
        <v/>
      </c>
      <c r="J261" s="107" t="str">
        <f t="array" ref="J261">IFERROR(IF(XLOOKUP(CONCAT(E261,F261),'MASTER PLAN'!$AB:$AB,'MASTER PLAN'!$M:$M,0,0)=0,"",XLOOKUP(CONCAT(E261,F261),'MASTER PLAN'!$AB:$AB,'MASTER PLAN'!$M:$M,0,0)),"")</f>
        <v/>
      </c>
      <c r="K261" s="107">
        <f t="shared" si="237"/>
        <v>0</v>
      </c>
      <c r="L261" s="107">
        <f t="shared" si="238"/>
        <v>0</v>
      </c>
      <c r="M261" s="105" t="s">
        <v>248</v>
      </c>
      <c r="AI261" s="42"/>
      <c r="BN261" s="42"/>
      <c r="CS261" s="42"/>
      <c r="DX261" s="42"/>
      <c r="FC261" s="42"/>
      <c r="GH261" s="42"/>
      <c r="HM261" s="42"/>
      <c r="IR261" s="42"/>
      <c r="JW261" s="42"/>
      <c r="LB261" s="42"/>
      <c r="MG261" s="42"/>
      <c r="NL261" s="42"/>
    </row>
    <row r="262" ht="15.75" customHeight="1">
      <c r="A262" s="42"/>
      <c r="B262" s="42"/>
      <c r="C262" s="42"/>
      <c r="D262" s="38">
        <f t="shared" si="479"/>
        <v>45981</v>
      </c>
      <c r="E262" s="31" t="str">
        <f t="shared" ref="E262:I262" si="487">CD16</f>
        <v/>
      </c>
      <c r="F262" s="31" t="str">
        <f t="shared" si="487"/>
        <v/>
      </c>
      <c r="G262" s="31" t="str">
        <f t="shared" si="487"/>
        <v/>
      </c>
      <c r="H262" s="13" t="str">
        <f t="shared" si="487"/>
        <v/>
      </c>
      <c r="I262" s="13" t="str">
        <f t="shared" si="487"/>
        <v/>
      </c>
      <c r="J262" s="107" t="str">
        <f t="array" ref="J262">IFERROR(IF(XLOOKUP(CONCAT(E262,F262),'MASTER PLAN'!$AB:$AB,'MASTER PLAN'!$M:$M,0,0)=0,"",XLOOKUP(CONCAT(E262,F262),'MASTER PLAN'!$AB:$AB,'MASTER PLAN'!$M:$M,0,0)),"")</f>
        <v/>
      </c>
      <c r="K262" s="107">
        <f t="shared" si="237"/>
        <v>0</v>
      </c>
      <c r="L262" s="107">
        <f t="shared" si="238"/>
        <v>0</v>
      </c>
      <c r="M262" s="105" t="s">
        <v>248</v>
      </c>
      <c r="AI262" s="42"/>
      <c r="BN262" s="42"/>
      <c r="CS262" s="42"/>
      <c r="DX262" s="42"/>
      <c r="FC262" s="42"/>
      <c r="GH262" s="42"/>
      <c r="HM262" s="42"/>
      <c r="IR262" s="42"/>
      <c r="JW262" s="42"/>
      <c r="LB262" s="42"/>
      <c r="MG262" s="42"/>
      <c r="NL262" s="42"/>
    </row>
    <row r="263" ht="15.75" customHeight="1">
      <c r="A263" s="42"/>
      <c r="B263" s="42"/>
      <c r="C263" s="42"/>
      <c r="D263" s="38">
        <f t="shared" si="479"/>
        <v>45981</v>
      </c>
      <c r="E263" s="31" t="str">
        <f t="shared" ref="E263:I263" si="488">CD20</f>
        <v/>
      </c>
      <c r="F263" s="31" t="str">
        <f t="shared" si="488"/>
        <v/>
      </c>
      <c r="G263" s="31" t="str">
        <f t="shared" si="488"/>
        <v/>
      </c>
      <c r="H263" s="13" t="str">
        <f t="shared" si="488"/>
        <v/>
      </c>
      <c r="I263" s="13" t="str">
        <f t="shared" si="488"/>
        <v/>
      </c>
      <c r="J263" s="107" t="str">
        <f t="array" ref="J263">IFERROR(IF(XLOOKUP(CONCAT(E263,F263),'MASTER PLAN'!$AB:$AB,'MASTER PLAN'!$M:$M,0,0)=0,"",XLOOKUP(CONCAT(E263,F263),'MASTER PLAN'!$AB:$AB,'MASTER PLAN'!$M:$M,0,0)),"")</f>
        <v/>
      </c>
      <c r="K263" s="107">
        <f t="shared" si="237"/>
        <v>0</v>
      </c>
      <c r="L263" s="107">
        <f t="shared" si="238"/>
        <v>0</v>
      </c>
      <c r="M263" s="105" t="s">
        <v>249</v>
      </c>
      <c r="AI263" s="42"/>
      <c r="BN263" s="42"/>
      <c r="CS263" s="42"/>
      <c r="DX263" s="42"/>
      <c r="FC263" s="42"/>
      <c r="GH263" s="42"/>
      <c r="HM263" s="42"/>
      <c r="IR263" s="42"/>
      <c r="JW263" s="42"/>
      <c r="LB263" s="42"/>
      <c r="MG263" s="42"/>
      <c r="NL263" s="42"/>
    </row>
    <row r="264" ht="15.75" customHeight="1">
      <c r="A264" s="42"/>
      <c r="B264" s="42"/>
      <c r="C264" s="42"/>
      <c r="D264" s="38">
        <f t="shared" si="479"/>
        <v>45981</v>
      </c>
      <c r="E264" s="31" t="str">
        <f t="shared" ref="E264:I264" si="489">CD21</f>
        <v/>
      </c>
      <c r="F264" s="31" t="str">
        <f t="shared" si="489"/>
        <v/>
      </c>
      <c r="G264" s="31" t="str">
        <f t="shared" si="489"/>
        <v/>
      </c>
      <c r="H264" s="13" t="str">
        <f t="shared" si="489"/>
        <v/>
      </c>
      <c r="I264" s="13" t="str">
        <f t="shared" si="489"/>
        <v/>
      </c>
      <c r="J264" s="107" t="str">
        <f t="array" ref="J264">IFERROR(IF(XLOOKUP(CONCAT(E264,F264),'MASTER PLAN'!$AB:$AB,'MASTER PLAN'!$M:$M,0,0)=0,"",XLOOKUP(CONCAT(E264,F264),'MASTER PLAN'!$AB:$AB,'MASTER PLAN'!$M:$M,0,0)),"")</f>
        <v/>
      </c>
      <c r="K264" s="107">
        <f t="shared" si="237"/>
        <v>0</v>
      </c>
      <c r="L264" s="107">
        <f t="shared" si="238"/>
        <v>0</v>
      </c>
      <c r="M264" s="105" t="s">
        <v>249</v>
      </c>
      <c r="AI264" s="42"/>
      <c r="BN264" s="42"/>
      <c r="CS264" s="42"/>
      <c r="DX264" s="42"/>
      <c r="FC264" s="42"/>
      <c r="GH264" s="42"/>
      <c r="HM264" s="42"/>
      <c r="IR264" s="42"/>
      <c r="JW264" s="42"/>
      <c r="LB264" s="42"/>
      <c r="MG264" s="42"/>
      <c r="NL264" s="42"/>
    </row>
    <row r="265" ht="15.75" customHeight="1">
      <c r="A265" s="42"/>
      <c r="B265" s="42"/>
      <c r="C265" s="42"/>
      <c r="D265" s="38">
        <f t="shared" si="479"/>
        <v>45981</v>
      </c>
      <c r="E265" s="31" t="str">
        <f t="shared" ref="E265:I265" si="490">CD22</f>
        <v/>
      </c>
      <c r="F265" s="31" t="str">
        <f t="shared" si="490"/>
        <v/>
      </c>
      <c r="G265" s="31" t="str">
        <f t="shared" si="490"/>
        <v/>
      </c>
      <c r="H265" s="13" t="str">
        <f t="shared" si="490"/>
        <v/>
      </c>
      <c r="I265" s="13" t="str">
        <f t="shared" si="490"/>
        <v/>
      </c>
      <c r="J265" s="107" t="str">
        <f t="array" ref="J265">IFERROR(IF(XLOOKUP(CONCAT(E265,F265),'MASTER PLAN'!$AB:$AB,'MASTER PLAN'!$M:$M,0,0)=0,"",XLOOKUP(CONCAT(E265,F265),'MASTER PLAN'!$AB:$AB,'MASTER PLAN'!$M:$M,0,0)),"")</f>
        <v/>
      </c>
      <c r="K265" s="107">
        <f t="shared" si="237"/>
        <v>0</v>
      </c>
      <c r="L265" s="107">
        <f t="shared" si="238"/>
        <v>0</v>
      </c>
      <c r="M265" s="105" t="s">
        <v>249</v>
      </c>
      <c r="AI265" s="42"/>
      <c r="BN265" s="42"/>
      <c r="CS265" s="42"/>
      <c r="DX265" s="42"/>
      <c r="FC265" s="42"/>
      <c r="GH265" s="42"/>
      <c r="HM265" s="42"/>
      <c r="IR265" s="42"/>
      <c r="JW265" s="42"/>
      <c r="LB265" s="42"/>
      <c r="MG265" s="42"/>
      <c r="NL265" s="42"/>
    </row>
    <row r="266" ht="15.75" customHeight="1">
      <c r="A266" s="42"/>
      <c r="B266" s="42"/>
      <c r="C266" s="42"/>
      <c r="D266" s="38">
        <f t="shared" si="479"/>
        <v>45981</v>
      </c>
      <c r="E266" s="31" t="str">
        <f t="shared" ref="E266:I266" si="491">CD23</f>
        <v/>
      </c>
      <c r="F266" s="31" t="str">
        <f t="shared" si="491"/>
        <v/>
      </c>
      <c r="G266" s="31" t="str">
        <f t="shared" si="491"/>
        <v/>
      </c>
      <c r="H266" s="13" t="str">
        <f t="shared" si="491"/>
        <v/>
      </c>
      <c r="I266" s="13" t="str">
        <f t="shared" si="491"/>
        <v/>
      </c>
      <c r="J266" s="107" t="str">
        <f t="array" ref="J266">IFERROR(IF(XLOOKUP(CONCAT(E266,F266),'MASTER PLAN'!$AB:$AB,'MASTER PLAN'!$M:$M,0,0)=0,"",XLOOKUP(CONCAT(E266,F266),'MASTER PLAN'!$AB:$AB,'MASTER PLAN'!$M:$M,0,0)),"")</f>
        <v/>
      </c>
      <c r="K266" s="107">
        <f t="shared" si="237"/>
        <v>0</v>
      </c>
      <c r="L266" s="107">
        <f t="shared" si="238"/>
        <v>0</v>
      </c>
      <c r="M266" s="105" t="s">
        <v>249</v>
      </c>
      <c r="AI266" s="42"/>
      <c r="BN266" s="42"/>
      <c r="CS266" s="42"/>
      <c r="DX266" s="42"/>
      <c r="FC266" s="42"/>
      <c r="GH266" s="42"/>
      <c r="HM266" s="42"/>
      <c r="IR266" s="42"/>
      <c r="JW266" s="42"/>
      <c r="LB266" s="42"/>
      <c r="MG266" s="42"/>
      <c r="NL266" s="42"/>
    </row>
    <row r="267" ht="15.75" customHeight="1">
      <c r="A267" s="42"/>
      <c r="B267" s="42"/>
      <c r="C267" s="42"/>
      <c r="D267" s="38">
        <f t="shared" si="479"/>
        <v>45981</v>
      </c>
      <c r="E267" s="31" t="str">
        <f t="shared" ref="E267:I267" si="492">CD24</f>
        <v/>
      </c>
      <c r="F267" s="31" t="str">
        <f t="shared" si="492"/>
        <v/>
      </c>
      <c r="G267" s="31" t="str">
        <f t="shared" si="492"/>
        <v/>
      </c>
      <c r="H267" s="13" t="str">
        <f t="shared" si="492"/>
        <v/>
      </c>
      <c r="I267" s="13" t="str">
        <f t="shared" si="492"/>
        <v/>
      </c>
      <c r="J267" s="107" t="str">
        <f t="array" ref="J267">IFERROR(IF(XLOOKUP(CONCAT(E267,F267),'MASTER PLAN'!$AB:$AB,'MASTER PLAN'!$M:$M,0,0)=0,"",XLOOKUP(CONCAT(E267,F267),'MASTER PLAN'!$AB:$AB,'MASTER PLAN'!$M:$M,0,0)),"")</f>
        <v/>
      </c>
      <c r="K267" s="107">
        <f t="shared" si="237"/>
        <v>0</v>
      </c>
      <c r="L267" s="107">
        <f t="shared" si="238"/>
        <v>0</v>
      </c>
      <c r="M267" s="105" t="s">
        <v>249</v>
      </c>
      <c r="AI267" s="42"/>
      <c r="BN267" s="42"/>
      <c r="CS267" s="42"/>
      <c r="DX267" s="42"/>
      <c r="FC267" s="42"/>
      <c r="GH267" s="42"/>
      <c r="HM267" s="42"/>
      <c r="IR267" s="42"/>
      <c r="JW267" s="42"/>
      <c r="LB267" s="42"/>
      <c r="MG267" s="42"/>
      <c r="NL267" s="42"/>
    </row>
    <row r="268" ht="15.75" customHeight="1">
      <c r="A268" s="42"/>
      <c r="B268" s="42"/>
      <c r="C268" s="42"/>
      <c r="D268" s="38">
        <f>CI2</f>
        <v>45982</v>
      </c>
      <c r="E268" s="31">
        <f t="shared" ref="E268:I268" si="493">CI4</f>
        <v>1402049342</v>
      </c>
      <c r="F268" s="31">
        <f t="shared" si="493"/>
        <v>10</v>
      </c>
      <c r="G268" s="31" t="str">
        <f t="shared" si="493"/>
        <v>BOLSA SHARFMANS JLRS 6-5"X3-5"X6-5"</v>
      </c>
      <c r="H268" s="13">
        <f t="shared" si="493"/>
        <v>1500</v>
      </c>
      <c r="I268" s="13" t="str">
        <f t="shared" si="493"/>
        <v/>
      </c>
      <c r="J268" s="107">
        <f t="array" ref="J268">IFERROR(IF(XLOOKUP(CONCAT(E268,F268),'MASTER PLAN'!$AB:$AB,'MASTER PLAN'!$M:$M,0,0)=0,"",XLOOKUP(CONCAT(E268,F268),'MASTER PLAN'!$AB:$AB,'MASTER PLAN'!$M:$M,0,0)),"")</f>
        <v>0.92</v>
      </c>
      <c r="K268" s="107">
        <f t="shared" si="237"/>
        <v>1380</v>
      </c>
      <c r="L268" s="107">
        <f t="shared" si="238"/>
        <v>0</v>
      </c>
      <c r="M268" s="105" t="s">
        <v>246</v>
      </c>
      <c r="AI268" s="42"/>
      <c r="BN268" s="42"/>
      <c r="CS268" s="42"/>
      <c r="DX268" s="42"/>
      <c r="FC268" s="42"/>
      <c r="GH268" s="42"/>
      <c r="HM268" s="42"/>
      <c r="IR268" s="42"/>
      <c r="JW268" s="42"/>
      <c r="LB268" s="42"/>
      <c r="MG268" s="42"/>
      <c r="NL268" s="42"/>
    </row>
    <row r="269" ht="15.75" customHeight="1">
      <c r="A269" s="42"/>
      <c r="B269" s="42"/>
      <c r="C269" s="42"/>
      <c r="D269" s="38">
        <f t="shared" ref="D269:D282" si="495">D268</f>
        <v>45982</v>
      </c>
      <c r="E269" s="31">
        <f t="shared" ref="E269:I269" si="494">CI5</f>
        <v>1402049342</v>
      </c>
      <c r="F269" s="31">
        <f t="shared" si="494"/>
        <v>20</v>
      </c>
      <c r="G269" s="31" t="str">
        <f t="shared" si="494"/>
        <v>BOLSA SHARFMANS JLRS 10"X4"X8"</v>
      </c>
      <c r="H269" s="13">
        <f t="shared" si="494"/>
        <v>1500</v>
      </c>
      <c r="I269" s="13" t="str">
        <f t="shared" si="494"/>
        <v/>
      </c>
      <c r="J269" s="107">
        <f t="array" ref="J269">IFERROR(IF(XLOOKUP(CONCAT(E269,F269),'MASTER PLAN'!$AB:$AB,'MASTER PLAN'!$M:$M,0,0)=0,"",XLOOKUP(CONCAT(E269,F269),'MASTER PLAN'!$AB:$AB,'MASTER PLAN'!$M:$M,0,0)),"")</f>
        <v>1.16</v>
      </c>
      <c r="K269" s="107">
        <f t="shared" si="237"/>
        <v>1740</v>
      </c>
      <c r="L269" s="107">
        <f t="shared" si="238"/>
        <v>0</v>
      </c>
      <c r="M269" s="105" t="s">
        <v>246</v>
      </c>
      <c r="AI269" s="42"/>
      <c r="BN269" s="42"/>
      <c r="CS269" s="42"/>
      <c r="DX269" s="42"/>
      <c r="FC269" s="42"/>
      <c r="GH269" s="42"/>
      <c r="HM269" s="42"/>
      <c r="IR269" s="42"/>
      <c r="JW269" s="42"/>
      <c r="LB269" s="42"/>
      <c r="MG269" s="42"/>
      <c r="NL269" s="42"/>
    </row>
    <row r="270" ht="15.75" customHeight="1">
      <c r="A270" s="42"/>
      <c r="B270" s="42"/>
      <c r="C270" s="42"/>
      <c r="D270" s="38">
        <f t="shared" si="495"/>
        <v>45982</v>
      </c>
      <c r="E270" s="31" t="str">
        <f t="shared" ref="E270:I270" si="496">CI6</f>
        <v/>
      </c>
      <c r="F270" s="31" t="str">
        <f t="shared" si="496"/>
        <v/>
      </c>
      <c r="G270" s="31" t="str">
        <f t="shared" si="496"/>
        <v/>
      </c>
      <c r="H270" s="13" t="str">
        <f t="shared" si="496"/>
        <v/>
      </c>
      <c r="I270" s="13" t="str">
        <f t="shared" si="496"/>
        <v/>
      </c>
      <c r="J270" s="107" t="str">
        <f t="array" ref="J270">IFERROR(IF(XLOOKUP(CONCAT(E270,F270),'MASTER PLAN'!$AB:$AB,'MASTER PLAN'!$M:$M,0,0)=0,"",XLOOKUP(CONCAT(E270,F270),'MASTER PLAN'!$AB:$AB,'MASTER PLAN'!$M:$M,0,0)),"")</f>
        <v/>
      </c>
      <c r="K270" s="107">
        <f t="shared" si="237"/>
        <v>0</v>
      </c>
      <c r="L270" s="107">
        <f t="shared" si="238"/>
        <v>0</v>
      </c>
      <c r="M270" s="105" t="s">
        <v>246</v>
      </c>
      <c r="AI270" s="42"/>
      <c r="BN270" s="42"/>
      <c r="CS270" s="42"/>
      <c r="DX270" s="42"/>
      <c r="FC270" s="42"/>
      <c r="GH270" s="42"/>
      <c r="HM270" s="42"/>
      <c r="IR270" s="42"/>
      <c r="JW270" s="42"/>
      <c r="LB270" s="42"/>
      <c r="MG270" s="42"/>
      <c r="NL270" s="42"/>
    </row>
    <row r="271" ht="15.75" customHeight="1">
      <c r="A271" s="42"/>
      <c r="B271" s="42"/>
      <c r="C271" s="42"/>
      <c r="D271" s="38">
        <f t="shared" si="495"/>
        <v>45982</v>
      </c>
      <c r="E271" s="31" t="str">
        <f t="shared" ref="E271:I271" si="497">CI7</f>
        <v/>
      </c>
      <c r="F271" s="31" t="str">
        <f t="shared" si="497"/>
        <v/>
      </c>
      <c r="G271" s="31" t="str">
        <f t="shared" si="497"/>
        <v/>
      </c>
      <c r="H271" s="13" t="str">
        <f t="shared" si="497"/>
        <v/>
      </c>
      <c r="I271" s="13" t="str">
        <f t="shared" si="497"/>
        <v/>
      </c>
      <c r="J271" s="107" t="str">
        <f t="array" ref="J271">IFERROR(IF(XLOOKUP(CONCAT(E271,F271),'MASTER PLAN'!$AB:$AB,'MASTER PLAN'!$M:$M,0,0)=0,"",XLOOKUP(CONCAT(E271,F271),'MASTER PLAN'!$AB:$AB,'MASTER PLAN'!$M:$M,0,0)),"")</f>
        <v/>
      </c>
      <c r="K271" s="107">
        <f t="shared" si="237"/>
        <v>0</v>
      </c>
      <c r="L271" s="107">
        <f t="shared" si="238"/>
        <v>0</v>
      </c>
      <c r="M271" s="105" t="s">
        <v>246</v>
      </c>
      <c r="AI271" s="42"/>
      <c r="BN271" s="42"/>
      <c r="CS271" s="42"/>
      <c r="DX271" s="42"/>
      <c r="FC271" s="42"/>
      <c r="GH271" s="42"/>
      <c r="HM271" s="42"/>
      <c r="IR271" s="42"/>
      <c r="JW271" s="42"/>
      <c r="LB271" s="42"/>
      <c r="MG271" s="42"/>
      <c r="NL271" s="42"/>
    </row>
    <row r="272" ht="15.75" customHeight="1">
      <c r="A272" s="42"/>
      <c r="B272" s="42"/>
      <c r="C272" s="42"/>
      <c r="D272" s="38">
        <f t="shared" si="495"/>
        <v>45982</v>
      </c>
      <c r="E272" s="31" t="str">
        <f t="shared" ref="E272:I272" si="498">CI8</f>
        <v/>
      </c>
      <c r="F272" s="31" t="str">
        <f t="shared" si="498"/>
        <v/>
      </c>
      <c r="G272" s="31" t="str">
        <f t="shared" si="498"/>
        <v/>
      </c>
      <c r="H272" s="13" t="str">
        <f t="shared" si="498"/>
        <v/>
      </c>
      <c r="I272" s="13" t="str">
        <f t="shared" si="498"/>
        <v/>
      </c>
      <c r="J272" s="107" t="str">
        <f t="array" ref="J272">IFERROR(IF(XLOOKUP(CONCAT(E272,F272),'MASTER PLAN'!$AB:$AB,'MASTER PLAN'!$M:$M,0,0)=0,"",XLOOKUP(CONCAT(E272,F272),'MASTER PLAN'!$AB:$AB,'MASTER PLAN'!$M:$M,0,0)),"")</f>
        <v/>
      </c>
      <c r="K272" s="107">
        <f t="shared" si="237"/>
        <v>0</v>
      </c>
      <c r="L272" s="107">
        <f t="shared" si="238"/>
        <v>0</v>
      </c>
      <c r="M272" s="105" t="s">
        <v>246</v>
      </c>
      <c r="AI272" s="42"/>
      <c r="BN272" s="42"/>
      <c r="CS272" s="42"/>
      <c r="DX272" s="42"/>
      <c r="FC272" s="42"/>
      <c r="GH272" s="42"/>
      <c r="HM272" s="42"/>
      <c r="IR272" s="42"/>
      <c r="JW272" s="42"/>
      <c r="LB272" s="42"/>
      <c r="MG272" s="42"/>
      <c r="NL272" s="42"/>
    </row>
    <row r="273" ht="15.75" customHeight="1">
      <c r="A273" s="42"/>
      <c r="B273" s="42"/>
      <c r="C273" s="42"/>
      <c r="D273" s="38">
        <f t="shared" si="495"/>
        <v>45982</v>
      </c>
      <c r="E273" s="31">
        <f t="shared" ref="E273:I273" si="499">CI12</f>
        <v>1402049277</v>
      </c>
      <c r="F273" s="31">
        <f t="shared" si="499"/>
        <v>10</v>
      </c>
      <c r="G273" s="31" t="str">
        <f t="shared" si="499"/>
        <v>BOLSA ELEGANCE 8X4X10 IN FL</v>
      </c>
      <c r="H273" s="13">
        <f t="shared" si="499"/>
        <v>3260</v>
      </c>
      <c r="I273" s="13" t="str">
        <f t="shared" si="499"/>
        <v/>
      </c>
      <c r="J273" s="107">
        <f t="array" ref="J273">IFERROR(IF(XLOOKUP(CONCAT(E273,F273),'MASTER PLAN'!$AB:$AB,'MASTER PLAN'!$M:$M,0,0)=0,"",XLOOKUP(CONCAT(E273,F273),'MASTER PLAN'!$AB:$AB,'MASTER PLAN'!$M:$M,0,0)),"")</f>
        <v>1.096</v>
      </c>
      <c r="K273" s="107">
        <f t="shared" si="237"/>
        <v>3572.96</v>
      </c>
      <c r="L273" s="107">
        <f t="shared" si="238"/>
        <v>0</v>
      </c>
      <c r="M273" s="105" t="s">
        <v>248</v>
      </c>
      <c r="AI273" s="42"/>
      <c r="BN273" s="42"/>
      <c r="CS273" s="42"/>
      <c r="DX273" s="42"/>
      <c r="FC273" s="42"/>
      <c r="GH273" s="42"/>
      <c r="HM273" s="42"/>
      <c r="IR273" s="42"/>
      <c r="JW273" s="42"/>
      <c r="LB273" s="42"/>
      <c r="MG273" s="42"/>
      <c r="NL273" s="42"/>
    </row>
    <row r="274" ht="15.75" customHeight="1">
      <c r="A274" s="42"/>
      <c r="B274" s="42"/>
      <c r="C274" s="42"/>
      <c r="D274" s="38">
        <f t="shared" si="495"/>
        <v>45982</v>
      </c>
      <c r="E274" s="31">
        <f t="shared" ref="E274:I274" si="500">CI13</f>
        <v>1402048833</v>
      </c>
      <c r="F274" s="31">
        <f t="shared" si="500"/>
        <v>10</v>
      </c>
      <c r="G274" s="31" t="str">
        <f t="shared" si="500"/>
        <v>BOLSA FRED MEYER 4-5"X3"X5-5"</v>
      </c>
      <c r="H274" s="13">
        <f t="shared" si="500"/>
        <v>1500</v>
      </c>
      <c r="I274" s="13" t="str">
        <f t="shared" si="500"/>
        <v/>
      </c>
      <c r="J274" s="107">
        <f t="array" ref="J274">IFERROR(IF(XLOOKUP(CONCAT(E274,F274),'MASTER PLAN'!$AB:$AB,'MASTER PLAN'!$M:$M,0,0)=0,"",XLOOKUP(CONCAT(E274,F274),'MASTER PLAN'!$AB:$AB,'MASTER PLAN'!$M:$M,0,0)),"")</f>
        <v>0.5077408638</v>
      </c>
      <c r="K274" s="107">
        <f t="shared" si="237"/>
        <v>761.6112957</v>
      </c>
      <c r="L274" s="107">
        <f t="shared" si="238"/>
        <v>0</v>
      </c>
      <c r="M274" s="105" t="s">
        <v>248</v>
      </c>
      <c r="AI274" s="42"/>
      <c r="BN274" s="42"/>
      <c r="CS274" s="42"/>
      <c r="DX274" s="42"/>
      <c r="FC274" s="42"/>
      <c r="GH274" s="42"/>
      <c r="HM274" s="42"/>
      <c r="IR274" s="42"/>
      <c r="JW274" s="42"/>
      <c r="LB274" s="42"/>
      <c r="MG274" s="42"/>
      <c r="NL274" s="42"/>
    </row>
    <row r="275" ht="15.75" customHeight="1">
      <c r="A275" s="42"/>
      <c r="B275" s="42"/>
      <c r="C275" s="42"/>
      <c r="D275" s="38">
        <f t="shared" si="495"/>
        <v>45982</v>
      </c>
      <c r="E275" s="31" t="str">
        <f t="shared" ref="E275:I275" si="501">CI14</f>
        <v/>
      </c>
      <c r="F275" s="31" t="str">
        <f t="shared" si="501"/>
        <v/>
      </c>
      <c r="G275" s="31" t="str">
        <f t="shared" si="501"/>
        <v/>
      </c>
      <c r="H275" s="13" t="str">
        <f t="shared" si="501"/>
        <v/>
      </c>
      <c r="I275" s="13" t="str">
        <f t="shared" si="501"/>
        <v/>
      </c>
      <c r="J275" s="107" t="str">
        <f t="array" ref="J275">IFERROR(IF(XLOOKUP(CONCAT(E275,F275),'MASTER PLAN'!$AB:$AB,'MASTER PLAN'!$M:$M,0,0)=0,"",XLOOKUP(CONCAT(E275,F275),'MASTER PLAN'!$AB:$AB,'MASTER PLAN'!$M:$M,0,0)),"")</f>
        <v/>
      </c>
      <c r="K275" s="107">
        <f t="shared" si="237"/>
        <v>0</v>
      </c>
      <c r="L275" s="107">
        <f t="shared" si="238"/>
        <v>0</v>
      </c>
      <c r="M275" s="105" t="s">
        <v>248</v>
      </c>
      <c r="AI275" s="42"/>
      <c r="BN275" s="42"/>
      <c r="CS275" s="42"/>
      <c r="DX275" s="42"/>
      <c r="FC275" s="42"/>
      <c r="GH275" s="42"/>
      <c r="HM275" s="42"/>
      <c r="IR275" s="42"/>
      <c r="JW275" s="42"/>
      <c r="LB275" s="42"/>
      <c r="MG275" s="42"/>
      <c r="NL275" s="42"/>
    </row>
    <row r="276" ht="15.75" customHeight="1">
      <c r="A276" s="42"/>
      <c r="B276" s="42"/>
      <c r="C276" s="42"/>
      <c r="D276" s="38">
        <f t="shared" si="495"/>
        <v>45982</v>
      </c>
      <c r="E276" s="31" t="str">
        <f t="shared" ref="E276:I276" si="502">CI15</f>
        <v/>
      </c>
      <c r="F276" s="31" t="str">
        <f t="shared" si="502"/>
        <v/>
      </c>
      <c r="G276" s="31" t="str">
        <f t="shared" si="502"/>
        <v/>
      </c>
      <c r="H276" s="13" t="str">
        <f t="shared" si="502"/>
        <v/>
      </c>
      <c r="I276" s="13" t="str">
        <f t="shared" si="502"/>
        <v/>
      </c>
      <c r="J276" s="107" t="str">
        <f t="array" ref="J276">IFERROR(IF(XLOOKUP(CONCAT(E276,F276),'MASTER PLAN'!$AB:$AB,'MASTER PLAN'!$M:$M,0,0)=0,"",XLOOKUP(CONCAT(E276,F276),'MASTER PLAN'!$AB:$AB,'MASTER PLAN'!$M:$M,0,0)),"")</f>
        <v/>
      </c>
      <c r="K276" s="107">
        <f t="shared" si="237"/>
        <v>0</v>
      </c>
      <c r="L276" s="107">
        <f t="shared" si="238"/>
        <v>0</v>
      </c>
      <c r="M276" s="105" t="s">
        <v>248</v>
      </c>
      <c r="AI276" s="42"/>
      <c r="BN276" s="42"/>
      <c r="CS276" s="42"/>
      <c r="DX276" s="42"/>
      <c r="FC276" s="42"/>
      <c r="GH276" s="42"/>
      <c r="HM276" s="42"/>
      <c r="IR276" s="42"/>
      <c r="JW276" s="42"/>
      <c r="LB276" s="42"/>
      <c r="MG276" s="42"/>
      <c r="NL276" s="42"/>
    </row>
    <row r="277" ht="15.75" customHeight="1">
      <c r="A277" s="42"/>
      <c r="B277" s="42"/>
      <c r="C277" s="42"/>
      <c r="D277" s="38">
        <f t="shared" si="495"/>
        <v>45982</v>
      </c>
      <c r="E277" s="31" t="str">
        <f t="shared" ref="E277:I277" si="503">CI16</f>
        <v/>
      </c>
      <c r="F277" s="31" t="str">
        <f t="shared" si="503"/>
        <v/>
      </c>
      <c r="G277" s="31" t="str">
        <f t="shared" si="503"/>
        <v/>
      </c>
      <c r="H277" s="13" t="str">
        <f t="shared" si="503"/>
        <v/>
      </c>
      <c r="I277" s="13" t="str">
        <f t="shared" si="503"/>
        <v/>
      </c>
      <c r="J277" s="107" t="str">
        <f t="array" ref="J277">IFERROR(IF(XLOOKUP(CONCAT(E277,F277),'MASTER PLAN'!$AB:$AB,'MASTER PLAN'!$M:$M,0,0)=0,"",XLOOKUP(CONCAT(E277,F277),'MASTER PLAN'!$AB:$AB,'MASTER PLAN'!$M:$M,0,0)),"")</f>
        <v/>
      </c>
      <c r="K277" s="107">
        <f t="shared" si="237"/>
        <v>0</v>
      </c>
      <c r="L277" s="107">
        <f t="shared" si="238"/>
        <v>0</v>
      </c>
      <c r="M277" s="105" t="s">
        <v>248</v>
      </c>
      <c r="AI277" s="42"/>
      <c r="BN277" s="42"/>
      <c r="CS277" s="42"/>
      <c r="DX277" s="42"/>
      <c r="FC277" s="42"/>
      <c r="GH277" s="42"/>
      <c r="HM277" s="42"/>
      <c r="IR277" s="42"/>
      <c r="JW277" s="42"/>
      <c r="LB277" s="42"/>
      <c r="MG277" s="42"/>
      <c r="NL277" s="42"/>
    </row>
    <row r="278" ht="15.75" customHeight="1">
      <c r="A278" s="42"/>
      <c r="B278" s="42"/>
      <c r="C278" s="42"/>
      <c r="D278" s="38">
        <f t="shared" si="495"/>
        <v>45982</v>
      </c>
      <c r="E278" s="31" t="str">
        <f t="shared" ref="E278:I278" si="504">CI20</f>
        <v/>
      </c>
      <c r="F278" s="31" t="str">
        <f t="shared" si="504"/>
        <v/>
      </c>
      <c r="G278" s="31" t="str">
        <f t="shared" si="504"/>
        <v/>
      </c>
      <c r="H278" s="13" t="str">
        <f t="shared" si="504"/>
        <v/>
      </c>
      <c r="I278" s="13" t="str">
        <f t="shared" si="504"/>
        <v/>
      </c>
      <c r="J278" s="107" t="str">
        <f t="array" ref="J278">IFERROR(IF(XLOOKUP(CONCAT(E278,F278),'MASTER PLAN'!$AB:$AB,'MASTER PLAN'!$M:$M,0,0)=0,"",XLOOKUP(CONCAT(E278,F278),'MASTER PLAN'!$AB:$AB,'MASTER PLAN'!$M:$M,0,0)),"")</f>
        <v/>
      </c>
      <c r="K278" s="107">
        <f t="shared" si="237"/>
        <v>0</v>
      </c>
      <c r="L278" s="107">
        <f t="shared" si="238"/>
        <v>0</v>
      </c>
      <c r="M278" s="105" t="s">
        <v>249</v>
      </c>
      <c r="AI278" s="42"/>
      <c r="BN278" s="42"/>
      <c r="CS278" s="42"/>
      <c r="DX278" s="42"/>
      <c r="FC278" s="42"/>
      <c r="GH278" s="42"/>
      <c r="HM278" s="42"/>
      <c r="IR278" s="42"/>
      <c r="JW278" s="42"/>
      <c r="LB278" s="42"/>
      <c r="MG278" s="42"/>
      <c r="NL278" s="42"/>
    </row>
    <row r="279" ht="15.75" customHeight="1">
      <c r="A279" s="42"/>
      <c r="B279" s="42"/>
      <c r="C279" s="42"/>
      <c r="D279" s="38">
        <f t="shared" si="495"/>
        <v>45982</v>
      </c>
      <c r="E279" s="31" t="str">
        <f t="shared" ref="E279:I279" si="505">CI21</f>
        <v/>
      </c>
      <c r="F279" s="31" t="str">
        <f t="shared" si="505"/>
        <v/>
      </c>
      <c r="G279" s="31" t="str">
        <f t="shared" si="505"/>
        <v/>
      </c>
      <c r="H279" s="13" t="str">
        <f t="shared" si="505"/>
        <v/>
      </c>
      <c r="I279" s="13" t="str">
        <f t="shared" si="505"/>
        <v/>
      </c>
      <c r="J279" s="107" t="str">
        <f t="array" ref="J279">IFERROR(IF(XLOOKUP(CONCAT(E279,F279),'MASTER PLAN'!$AB:$AB,'MASTER PLAN'!$M:$M,0,0)=0,"",XLOOKUP(CONCAT(E279,F279),'MASTER PLAN'!$AB:$AB,'MASTER PLAN'!$M:$M,0,0)),"")</f>
        <v/>
      </c>
      <c r="K279" s="107">
        <f t="shared" si="237"/>
        <v>0</v>
      </c>
      <c r="L279" s="107">
        <f t="shared" si="238"/>
        <v>0</v>
      </c>
      <c r="M279" s="105" t="s">
        <v>249</v>
      </c>
      <c r="AI279" s="42"/>
      <c r="BN279" s="42"/>
      <c r="CS279" s="42"/>
      <c r="DX279" s="42"/>
      <c r="FC279" s="42"/>
      <c r="GH279" s="42"/>
      <c r="HM279" s="42"/>
      <c r="IR279" s="42"/>
      <c r="JW279" s="42"/>
      <c r="LB279" s="42"/>
      <c r="MG279" s="42"/>
      <c r="NL279" s="42"/>
    </row>
    <row r="280" ht="15.75" customHeight="1">
      <c r="A280" s="42"/>
      <c r="B280" s="42"/>
      <c r="C280" s="42"/>
      <c r="D280" s="38">
        <f t="shared" si="495"/>
        <v>45982</v>
      </c>
      <c r="E280" s="31" t="str">
        <f t="shared" ref="E280:I280" si="506">CI22</f>
        <v/>
      </c>
      <c r="F280" s="31" t="str">
        <f t="shared" si="506"/>
        <v/>
      </c>
      <c r="G280" s="31" t="str">
        <f t="shared" si="506"/>
        <v/>
      </c>
      <c r="H280" s="13" t="str">
        <f t="shared" si="506"/>
        <v/>
      </c>
      <c r="I280" s="13" t="str">
        <f t="shared" si="506"/>
        <v/>
      </c>
      <c r="J280" s="107" t="str">
        <f t="array" ref="J280">IFERROR(IF(XLOOKUP(CONCAT(E280,F280),'MASTER PLAN'!$AB:$AB,'MASTER PLAN'!$M:$M,0,0)=0,"",XLOOKUP(CONCAT(E280,F280),'MASTER PLAN'!$AB:$AB,'MASTER PLAN'!$M:$M,0,0)),"")</f>
        <v/>
      </c>
      <c r="K280" s="107">
        <f t="shared" si="237"/>
        <v>0</v>
      </c>
      <c r="L280" s="107">
        <f t="shared" si="238"/>
        <v>0</v>
      </c>
      <c r="M280" s="105" t="s">
        <v>249</v>
      </c>
      <c r="AI280" s="42"/>
      <c r="BN280" s="42"/>
      <c r="CS280" s="42"/>
      <c r="DX280" s="42"/>
      <c r="FC280" s="42"/>
      <c r="GH280" s="42"/>
      <c r="HM280" s="42"/>
      <c r="IR280" s="42"/>
      <c r="JW280" s="42"/>
      <c r="LB280" s="42"/>
      <c r="MG280" s="42"/>
      <c r="NL280" s="42"/>
    </row>
    <row r="281" ht="15.75" customHeight="1">
      <c r="A281" s="42"/>
      <c r="B281" s="42"/>
      <c r="C281" s="42"/>
      <c r="D281" s="38">
        <f t="shared" si="495"/>
        <v>45982</v>
      </c>
      <c r="E281" s="31" t="str">
        <f t="shared" ref="E281:I281" si="507">CI23</f>
        <v/>
      </c>
      <c r="F281" s="31" t="str">
        <f t="shared" si="507"/>
        <v/>
      </c>
      <c r="G281" s="31" t="str">
        <f t="shared" si="507"/>
        <v/>
      </c>
      <c r="H281" s="13" t="str">
        <f t="shared" si="507"/>
        <v/>
      </c>
      <c r="I281" s="13" t="str">
        <f t="shared" si="507"/>
        <v/>
      </c>
      <c r="J281" s="107" t="str">
        <f t="array" ref="J281">IFERROR(IF(XLOOKUP(CONCAT(E281,F281),'MASTER PLAN'!$AB:$AB,'MASTER PLAN'!$M:$M,0,0)=0,"",XLOOKUP(CONCAT(E281,F281),'MASTER PLAN'!$AB:$AB,'MASTER PLAN'!$M:$M,0,0)),"")</f>
        <v/>
      </c>
      <c r="K281" s="107">
        <f t="shared" si="237"/>
        <v>0</v>
      </c>
      <c r="L281" s="107">
        <f t="shared" si="238"/>
        <v>0</v>
      </c>
      <c r="M281" s="105" t="s">
        <v>249</v>
      </c>
      <c r="AI281" s="42"/>
      <c r="BN281" s="42"/>
      <c r="CS281" s="42"/>
      <c r="DX281" s="42"/>
      <c r="FC281" s="42"/>
      <c r="GH281" s="42"/>
      <c r="HM281" s="42"/>
      <c r="IR281" s="42"/>
      <c r="JW281" s="42"/>
      <c r="LB281" s="42"/>
      <c r="MG281" s="42"/>
      <c r="NL281" s="42"/>
    </row>
    <row r="282" ht="15.75" customHeight="1">
      <c r="A282" s="42"/>
      <c r="B282" s="42"/>
      <c r="C282" s="42"/>
      <c r="D282" s="38">
        <f t="shared" si="495"/>
        <v>45982</v>
      </c>
      <c r="E282" s="31" t="str">
        <f t="shared" ref="E282:I282" si="508">CI24</f>
        <v/>
      </c>
      <c r="F282" s="31" t="str">
        <f t="shared" si="508"/>
        <v/>
      </c>
      <c r="G282" s="31" t="str">
        <f t="shared" si="508"/>
        <v/>
      </c>
      <c r="H282" s="13" t="str">
        <f t="shared" si="508"/>
        <v/>
      </c>
      <c r="I282" s="13" t="str">
        <f t="shared" si="508"/>
        <v/>
      </c>
      <c r="J282" s="107" t="str">
        <f t="array" ref="J282">IFERROR(IF(XLOOKUP(CONCAT(E282,F282),'MASTER PLAN'!$AB:$AB,'MASTER PLAN'!$M:$M,0,0)=0,"",XLOOKUP(CONCAT(E282,F282),'MASTER PLAN'!$AB:$AB,'MASTER PLAN'!$M:$M,0,0)),"")</f>
        <v/>
      </c>
      <c r="K282" s="107">
        <f t="shared" si="237"/>
        <v>0</v>
      </c>
      <c r="L282" s="107">
        <f t="shared" si="238"/>
        <v>0</v>
      </c>
      <c r="M282" s="105" t="s">
        <v>249</v>
      </c>
      <c r="AI282" s="42"/>
      <c r="BN282" s="42"/>
      <c r="CS282" s="42"/>
      <c r="DX282" s="42"/>
      <c r="FC282" s="42"/>
      <c r="GH282" s="42"/>
      <c r="HM282" s="42"/>
      <c r="IR282" s="42"/>
      <c r="JW282" s="42"/>
      <c r="LB282" s="42"/>
      <c r="MG282" s="42"/>
      <c r="NL282" s="42"/>
    </row>
    <row r="283" ht="15.75" customHeight="1">
      <c r="A283" s="42"/>
      <c r="B283" s="42"/>
      <c r="C283" s="42"/>
      <c r="D283" s="38">
        <f>CN2</f>
        <v>45983</v>
      </c>
      <c r="E283" s="31" t="str">
        <f t="shared" ref="E283:I283" si="509">CN4</f>
        <v/>
      </c>
      <c r="F283" s="31" t="str">
        <f t="shared" si="509"/>
        <v/>
      </c>
      <c r="G283" s="31" t="str">
        <f t="shared" si="509"/>
        <v/>
      </c>
      <c r="H283" s="13" t="str">
        <f t="shared" si="509"/>
        <v/>
      </c>
      <c r="I283" s="13" t="str">
        <f t="shared" si="509"/>
        <v/>
      </c>
      <c r="J283" s="107" t="str">
        <f t="array" ref="J283">IFERROR(IF(XLOOKUP(CONCAT(E283,F283),'MASTER PLAN'!$AB:$AB,'MASTER PLAN'!$M:$M,0,0)=0,"",XLOOKUP(CONCAT(E283,F283),'MASTER PLAN'!$AB:$AB,'MASTER PLAN'!$M:$M,0,0)),"")</f>
        <v/>
      </c>
      <c r="K283" s="107">
        <f t="shared" si="237"/>
        <v>0</v>
      </c>
      <c r="L283" s="107">
        <f t="shared" si="238"/>
        <v>0</v>
      </c>
      <c r="M283" s="105" t="s">
        <v>246</v>
      </c>
      <c r="AI283" s="42"/>
      <c r="BN283" s="42"/>
      <c r="CS283" s="42"/>
      <c r="DX283" s="42"/>
      <c r="FC283" s="42"/>
      <c r="GH283" s="42"/>
      <c r="HM283" s="42"/>
      <c r="IR283" s="42"/>
      <c r="JW283" s="42"/>
      <c r="LB283" s="42"/>
      <c r="MG283" s="42"/>
      <c r="NL283" s="42"/>
    </row>
    <row r="284" ht="15.75" customHeight="1">
      <c r="A284" s="42"/>
      <c r="B284" s="42"/>
      <c r="C284" s="42"/>
      <c r="D284" s="38">
        <f t="shared" ref="D284:D297" si="511">D283</f>
        <v>45983</v>
      </c>
      <c r="E284" s="31" t="str">
        <f t="shared" ref="E284:I284" si="510">CN5</f>
        <v/>
      </c>
      <c r="F284" s="31" t="str">
        <f t="shared" si="510"/>
        <v/>
      </c>
      <c r="G284" s="31" t="str">
        <f t="shared" si="510"/>
        <v/>
      </c>
      <c r="H284" s="13" t="str">
        <f t="shared" si="510"/>
        <v/>
      </c>
      <c r="I284" s="13" t="str">
        <f t="shared" si="510"/>
        <v/>
      </c>
      <c r="J284" s="107" t="str">
        <f t="array" ref="J284">IFERROR(IF(XLOOKUP(CONCAT(E284,F284),'MASTER PLAN'!$AB:$AB,'MASTER PLAN'!$M:$M,0,0)=0,"",XLOOKUP(CONCAT(E284,F284),'MASTER PLAN'!$AB:$AB,'MASTER PLAN'!$M:$M,0,0)),"")</f>
        <v/>
      </c>
      <c r="K284" s="107">
        <f t="shared" si="237"/>
        <v>0</v>
      </c>
      <c r="L284" s="107">
        <f t="shared" si="238"/>
        <v>0</v>
      </c>
      <c r="M284" s="105" t="s">
        <v>246</v>
      </c>
      <c r="AI284" s="42"/>
      <c r="BN284" s="42"/>
      <c r="CS284" s="42"/>
      <c r="DX284" s="42"/>
      <c r="FC284" s="42"/>
      <c r="GH284" s="42"/>
      <c r="HM284" s="42"/>
      <c r="IR284" s="42"/>
      <c r="JW284" s="42"/>
      <c r="LB284" s="42"/>
      <c r="MG284" s="42"/>
      <c r="NL284" s="42"/>
    </row>
    <row r="285" ht="15.75" customHeight="1">
      <c r="A285" s="42"/>
      <c r="B285" s="42"/>
      <c r="C285" s="42"/>
      <c r="D285" s="38">
        <f t="shared" si="511"/>
        <v>45983</v>
      </c>
      <c r="E285" s="31" t="str">
        <f t="shared" ref="E285:I285" si="512">CN6</f>
        <v/>
      </c>
      <c r="F285" s="31" t="str">
        <f t="shared" si="512"/>
        <v/>
      </c>
      <c r="G285" s="31" t="str">
        <f t="shared" si="512"/>
        <v/>
      </c>
      <c r="H285" s="13" t="str">
        <f t="shared" si="512"/>
        <v/>
      </c>
      <c r="I285" s="13" t="str">
        <f t="shared" si="512"/>
        <v/>
      </c>
      <c r="J285" s="107" t="str">
        <f t="array" ref="J285">IFERROR(IF(XLOOKUP(CONCAT(E285,F285),'MASTER PLAN'!$AB:$AB,'MASTER PLAN'!$M:$M,0,0)=0,"",XLOOKUP(CONCAT(E285,F285),'MASTER PLAN'!$AB:$AB,'MASTER PLAN'!$M:$M,0,0)),"")</f>
        <v/>
      </c>
      <c r="K285" s="107">
        <f t="shared" si="237"/>
        <v>0</v>
      </c>
      <c r="L285" s="107">
        <f t="shared" si="238"/>
        <v>0</v>
      </c>
      <c r="M285" s="105" t="s">
        <v>246</v>
      </c>
      <c r="AI285" s="42"/>
      <c r="BN285" s="42"/>
      <c r="CS285" s="42"/>
      <c r="DX285" s="42"/>
      <c r="FC285" s="42"/>
      <c r="GH285" s="42"/>
      <c r="HM285" s="42"/>
      <c r="IR285" s="42"/>
      <c r="JW285" s="42"/>
      <c r="LB285" s="42"/>
      <c r="MG285" s="42"/>
      <c r="NL285" s="42"/>
    </row>
    <row r="286" ht="15.75" customHeight="1">
      <c r="A286" s="42"/>
      <c r="B286" s="42"/>
      <c r="C286" s="42"/>
      <c r="D286" s="38">
        <f t="shared" si="511"/>
        <v>45983</v>
      </c>
      <c r="E286" s="31" t="str">
        <f t="shared" ref="E286:I286" si="513">CN7</f>
        <v/>
      </c>
      <c r="F286" s="31" t="str">
        <f t="shared" si="513"/>
        <v/>
      </c>
      <c r="G286" s="31" t="str">
        <f t="shared" si="513"/>
        <v/>
      </c>
      <c r="H286" s="13" t="str">
        <f t="shared" si="513"/>
        <v/>
      </c>
      <c r="I286" s="13" t="str">
        <f t="shared" si="513"/>
        <v/>
      </c>
      <c r="J286" s="107" t="str">
        <f t="array" ref="J286">IFERROR(IF(XLOOKUP(CONCAT(E286,F286),'MASTER PLAN'!$AB:$AB,'MASTER PLAN'!$M:$M,0,0)=0,"",XLOOKUP(CONCAT(E286,F286),'MASTER PLAN'!$AB:$AB,'MASTER PLAN'!$M:$M,0,0)),"")</f>
        <v/>
      </c>
      <c r="K286" s="107">
        <f t="shared" si="237"/>
        <v>0</v>
      </c>
      <c r="L286" s="107">
        <f t="shared" si="238"/>
        <v>0</v>
      </c>
      <c r="M286" s="105" t="s">
        <v>246</v>
      </c>
      <c r="AI286" s="42"/>
      <c r="BN286" s="42"/>
      <c r="CS286" s="42"/>
      <c r="DX286" s="42"/>
      <c r="FC286" s="42"/>
      <c r="GH286" s="42"/>
      <c r="HM286" s="42"/>
      <c r="IR286" s="42"/>
      <c r="JW286" s="42"/>
      <c r="LB286" s="42"/>
      <c r="MG286" s="42"/>
      <c r="NL286" s="42"/>
    </row>
    <row r="287" ht="15.75" customHeight="1">
      <c r="A287" s="42"/>
      <c r="B287" s="42"/>
      <c r="C287" s="42"/>
      <c r="D287" s="38">
        <f t="shared" si="511"/>
        <v>45983</v>
      </c>
      <c r="E287" s="31" t="str">
        <f t="shared" ref="E287:I287" si="514">CN8</f>
        <v/>
      </c>
      <c r="F287" s="31" t="str">
        <f t="shared" si="514"/>
        <v/>
      </c>
      <c r="G287" s="31" t="str">
        <f t="shared" si="514"/>
        <v/>
      </c>
      <c r="H287" s="13" t="str">
        <f t="shared" si="514"/>
        <v/>
      </c>
      <c r="I287" s="13" t="str">
        <f t="shared" si="514"/>
        <v/>
      </c>
      <c r="J287" s="107" t="str">
        <f t="array" ref="J287">IFERROR(IF(XLOOKUP(CONCAT(E287,F287),'MASTER PLAN'!$AB:$AB,'MASTER PLAN'!$M:$M,0,0)=0,"",XLOOKUP(CONCAT(E287,F287),'MASTER PLAN'!$AB:$AB,'MASTER PLAN'!$M:$M,0,0)),"")</f>
        <v/>
      </c>
      <c r="K287" s="107">
        <f t="shared" si="237"/>
        <v>0</v>
      </c>
      <c r="L287" s="107">
        <f t="shared" si="238"/>
        <v>0</v>
      </c>
      <c r="M287" s="105" t="s">
        <v>246</v>
      </c>
      <c r="AI287" s="42"/>
      <c r="BN287" s="42"/>
      <c r="CS287" s="42"/>
      <c r="DX287" s="42"/>
      <c r="FC287" s="42"/>
      <c r="GH287" s="42"/>
      <c r="HM287" s="42"/>
      <c r="IR287" s="42"/>
      <c r="JW287" s="42"/>
      <c r="LB287" s="42"/>
      <c r="MG287" s="42"/>
      <c r="NL287" s="42"/>
    </row>
    <row r="288" ht="15.75" customHeight="1">
      <c r="A288" s="42"/>
      <c r="B288" s="42"/>
      <c r="C288" s="42"/>
      <c r="D288" s="38">
        <f t="shared" si="511"/>
        <v>45983</v>
      </c>
      <c r="E288" s="31">
        <f t="shared" ref="E288:I288" si="515">CN12</f>
        <v>1402048833</v>
      </c>
      <c r="F288" s="31">
        <f t="shared" si="515"/>
        <v>10</v>
      </c>
      <c r="G288" s="31" t="str">
        <f t="shared" si="515"/>
        <v>BOLSA FRED MEYER 4-5"X3"X5-5"</v>
      </c>
      <c r="H288" s="13">
        <f t="shared" si="515"/>
        <v>3200</v>
      </c>
      <c r="I288" s="13" t="str">
        <f t="shared" si="515"/>
        <v/>
      </c>
      <c r="J288" s="107">
        <f t="array" ref="J288">IFERROR(IF(XLOOKUP(CONCAT(E288,F288),'MASTER PLAN'!$AB:$AB,'MASTER PLAN'!$M:$M,0,0)=0,"",XLOOKUP(CONCAT(E288,F288),'MASTER PLAN'!$AB:$AB,'MASTER PLAN'!$M:$M,0,0)),"")</f>
        <v>0.5077408638</v>
      </c>
      <c r="K288" s="107">
        <f t="shared" si="237"/>
        <v>1624.770764</v>
      </c>
      <c r="L288" s="107">
        <f t="shared" si="238"/>
        <v>0</v>
      </c>
      <c r="M288" s="105" t="s">
        <v>248</v>
      </c>
      <c r="AI288" s="42"/>
      <c r="BN288" s="42"/>
      <c r="CS288" s="42"/>
      <c r="DX288" s="42"/>
      <c r="FC288" s="42"/>
      <c r="GH288" s="42"/>
      <c r="HM288" s="42"/>
      <c r="IR288" s="42"/>
      <c r="JW288" s="42"/>
      <c r="LB288" s="42"/>
      <c r="MG288" s="42"/>
      <c r="NL288" s="42"/>
    </row>
    <row r="289" ht="15.75" customHeight="1">
      <c r="A289" s="42"/>
      <c r="B289" s="42"/>
      <c r="C289" s="42"/>
      <c r="D289" s="38">
        <f t="shared" si="511"/>
        <v>45983</v>
      </c>
      <c r="E289" s="31" t="str">
        <f t="shared" ref="E289:I289" si="516">CN13</f>
        <v/>
      </c>
      <c r="F289" s="31" t="str">
        <f t="shared" si="516"/>
        <v/>
      </c>
      <c r="G289" s="31" t="str">
        <f t="shared" si="516"/>
        <v/>
      </c>
      <c r="H289" s="13" t="str">
        <f t="shared" si="516"/>
        <v/>
      </c>
      <c r="I289" s="13" t="str">
        <f t="shared" si="516"/>
        <v/>
      </c>
      <c r="J289" s="107" t="str">
        <f t="array" ref="J289">IFERROR(IF(XLOOKUP(CONCAT(E289,F289),'MASTER PLAN'!$AB:$AB,'MASTER PLAN'!$M:$M,0,0)=0,"",XLOOKUP(CONCAT(E289,F289),'MASTER PLAN'!$AB:$AB,'MASTER PLAN'!$M:$M,0,0)),"")</f>
        <v/>
      </c>
      <c r="K289" s="107">
        <f t="shared" si="237"/>
        <v>0</v>
      </c>
      <c r="L289" s="107">
        <f t="shared" si="238"/>
        <v>0</v>
      </c>
      <c r="M289" s="105" t="s">
        <v>248</v>
      </c>
      <c r="AI289" s="42"/>
      <c r="BN289" s="42"/>
      <c r="CS289" s="42"/>
      <c r="DX289" s="42"/>
      <c r="FC289" s="42"/>
      <c r="GH289" s="42"/>
      <c r="HM289" s="42"/>
      <c r="IR289" s="42"/>
      <c r="JW289" s="42"/>
      <c r="LB289" s="42"/>
      <c r="MG289" s="42"/>
      <c r="NL289" s="42"/>
    </row>
    <row r="290" ht="15.75" customHeight="1">
      <c r="A290" s="42"/>
      <c r="B290" s="42"/>
      <c r="C290" s="42"/>
      <c r="D290" s="38">
        <f t="shared" si="511"/>
        <v>45983</v>
      </c>
      <c r="E290" s="31" t="str">
        <f t="shared" ref="E290:I290" si="517">CN14</f>
        <v/>
      </c>
      <c r="F290" s="31" t="str">
        <f t="shared" si="517"/>
        <v/>
      </c>
      <c r="G290" s="31" t="str">
        <f t="shared" si="517"/>
        <v/>
      </c>
      <c r="H290" s="13" t="str">
        <f t="shared" si="517"/>
        <v/>
      </c>
      <c r="I290" s="13" t="str">
        <f t="shared" si="517"/>
        <v/>
      </c>
      <c r="J290" s="107" t="str">
        <f t="array" ref="J290">IFERROR(IF(XLOOKUP(CONCAT(E290,F290),'MASTER PLAN'!$AB:$AB,'MASTER PLAN'!$M:$M,0,0)=0,"",XLOOKUP(CONCAT(E290,F290),'MASTER PLAN'!$AB:$AB,'MASTER PLAN'!$M:$M,0,0)),"")</f>
        <v/>
      </c>
      <c r="K290" s="107">
        <f t="shared" si="237"/>
        <v>0</v>
      </c>
      <c r="L290" s="107">
        <f t="shared" si="238"/>
        <v>0</v>
      </c>
      <c r="M290" s="105" t="s">
        <v>248</v>
      </c>
      <c r="AI290" s="42"/>
      <c r="BN290" s="42"/>
      <c r="CS290" s="42"/>
      <c r="DX290" s="42"/>
      <c r="FC290" s="42"/>
      <c r="GH290" s="42"/>
      <c r="HM290" s="42"/>
      <c r="IR290" s="42"/>
      <c r="JW290" s="42"/>
      <c r="LB290" s="42"/>
      <c r="MG290" s="42"/>
      <c r="NL290" s="42"/>
    </row>
    <row r="291" ht="15.75" customHeight="1">
      <c r="A291" s="42"/>
      <c r="B291" s="42"/>
      <c r="C291" s="42"/>
      <c r="D291" s="38">
        <f t="shared" si="511"/>
        <v>45983</v>
      </c>
      <c r="E291" s="31" t="str">
        <f t="shared" ref="E291:I291" si="518">CN15</f>
        <v/>
      </c>
      <c r="F291" s="31" t="str">
        <f t="shared" si="518"/>
        <v/>
      </c>
      <c r="G291" s="31" t="str">
        <f t="shared" si="518"/>
        <v/>
      </c>
      <c r="H291" s="13" t="str">
        <f t="shared" si="518"/>
        <v/>
      </c>
      <c r="I291" s="13" t="str">
        <f t="shared" si="518"/>
        <v/>
      </c>
      <c r="J291" s="107" t="str">
        <f t="array" ref="J291">IFERROR(IF(XLOOKUP(CONCAT(E291,F291),'MASTER PLAN'!$AB:$AB,'MASTER PLAN'!$M:$M,0,0)=0,"",XLOOKUP(CONCAT(E291,F291),'MASTER PLAN'!$AB:$AB,'MASTER PLAN'!$M:$M,0,0)),"")</f>
        <v/>
      </c>
      <c r="K291" s="107">
        <f t="shared" si="237"/>
        <v>0</v>
      </c>
      <c r="L291" s="107">
        <f t="shared" si="238"/>
        <v>0</v>
      </c>
      <c r="M291" s="105" t="s">
        <v>248</v>
      </c>
      <c r="AI291" s="42"/>
      <c r="BN291" s="42"/>
      <c r="CS291" s="42"/>
      <c r="DX291" s="42"/>
      <c r="FC291" s="42"/>
      <c r="GH291" s="42"/>
      <c r="HM291" s="42"/>
      <c r="IR291" s="42"/>
      <c r="JW291" s="42"/>
      <c r="LB291" s="42"/>
      <c r="MG291" s="42"/>
      <c r="NL291" s="42"/>
    </row>
    <row r="292" ht="15.75" customHeight="1">
      <c r="A292" s="42"/>
      <c r="B292" s="42"/>
      <c r="C292" s="42"/>
      <c r="D292" s="38">
        <f t="shared" si="511"/>
        <v>45983</v>
      </c>
      <c r="E292" s="31" t="str">
        <f t="shared" ref="E292:I292" si="519">CN16</f>
        <v/>
      </c>
      <c r="F292" s="31" t="str">
        <f t="shared" si="519"/>
        <v/>
      </c>
      <c r="G292" s="31" t="str">
        <f t="shared" si="519"/>
        <v/>
      </c>
      <c r="H292" s="13" t="str">
        <f t="shared" si="519"/>
        <v/>
      </c>
      <c r="I292" s="13" t="str">
        <f t="shared" si="519"/>
        <v/>
      </c>
      <c r="J292" s="107" t="str">
        <f t="array" ref="J292">IFERROR(IF(XLOOKUP(CONCAT(E292,F292),'MASTER PLAN'!$AB:$AB,'MASTER PLAN'!$M:$M,0,0)=0,"",XLOOKUP(CONCAT(E292,F292),'MASTER PLAN'!$AB:$AB,'MASTER PLAN'!$M:$M,0,0)),"")</f>
        <v/>
      </c>
      <c r="K292" s="107">
        <f t="shared" si="237"/>
        <v>0</v>
      </c>
      <c r="L292" s="107">
        <f t="shared" si="238"/>
        <v>0</v>
      </c>
      <c r="M292" s="105" t="s">
        <v>248</v>
      </c>
      <c r="AI292" s="42"/>
      <c r="BN292" s="42"/>
      <c r="CS292" s="42"/>
      <c r="DX292" s="42"/>
      <c r="FC292" s="42"/>
      <c r="GH292" s="42"/>
      <c r="HM292" s="42"/>
      <c r="IR292" s="42"/>
      <c r="JW292" s="42"/>
      <c r="LB292" s="42"/>
      <c r="MG292" s="42"/>
      <c r="NL292" s="42"/>
    </row>
    <row r="293" ht="15.75" customHeight="1">
      <c r="A293" s="42"/>
      <c r="B293" s="42"/>
      <c r="C293" s="42"/>
      <c r="D293" s="38">
        <f t="shared" si="511"/>
        <v>45983</v>
      </c>
      <c r="E293" s="31" t="str">
        <f t="shared" ref="E293:I293" si="520">CN20</f>
        <v/>
      </c>
      <c r="F293" s="31" t="str">
        <f t="shared" si="520"/>
        <v/>
      </c>
      <c r="G293" s="31" t="str">
        <f t="shared" si="520"/>
        <v/>
      </c>
      <c r="H293" s="13" t="str">
        <f t="shared" si="520"/>
        <v/>
      </c>
      <c r="I293" s="13" t="str">
        <f t="shared" si="520"/>
        <v/>
      </c>
      <c r="J293" s="107" t="str">
        <f t="array" ref="J293">IFERROR(IF(XLOOKUP(CONCAT(E293,F293),'MASTER PLAN'!$AB:$AB,'MASTER PLAN'!$M:$M,0,0)=0,"",XLOOKUP(CONCAT(E293,F293),'MASTER PLAN'!$AB:$AB,'MASTER PLAN'!$M:$M,0,0)),"")</f>
        <v/>
      </c>
      <c r="K293" s="107">
        <f t="shared" si="237"/>
        <v>0</v>
      </c>
      <c r="L293" s="107">
        <f t="shared" si="238"/>
        <v>0</v>
      </c>
      <c r="M293" s="105" t="s">
        <v>249</v>
      </c>
      <c r="AI293" s="42"/>
      <c r="BN293" s="42"/>
      <c r="CS293" s="42"/>
      <c r="DX293" s="42"/>
      <c r="FC293" s="42"/>
      <c r="GH293" s="42"/>
      <c r="HM293" s="42"/>
      <c r="IR293" s="42"/>
      <c r="JW293" s="42"/>
      <c r="LB293" s="42"/>
      <c r="MG293" s="42"/>
      <c r="NL293" s="42"/>
    </row>
    <row r="294" ht="15.75" customHeight="1">
      <c r="A294" s="42"/>
      <c r="B294" s="42"/>
      <c r="C294" s="42"/>
      <c r="D294" s="38">
        <f t="shared" si="511"/>
        <v>45983</v>
      </c>
      <c r="E294" s="31" t="str">
        <f t="shared" ref="E294:I294" si="521">CN21</f>
        <v/>
      </c>
      <c r="F294" s="31" t="str">
        <f t="shared" si="521"/>
        <v/>
      </c>
      <c r="G294" s="31" t="str">
        <f t="shared" si="521"/>
        <v/>
      </c>
      <c r="H294" s="13" t="str">
        <f t="shared" si="521"/>
        <v/>
      </c>
      <c r="I294" s="13" t="str">
        <f t="shared" si="521"/>
        <v/>
      </c>
      <c r="J294" s="107" t="str">
        <f t="array" ref="J294">IFERROR(IF(XLOOKUP(CONCAT(E294,F294),'MASTER PLAN'!$AB:$AB,'MASTER PLAN'!$M:$M,0,0)=0,"",XLOOKUP(CONCAT(E294,F294),'MASTER PLAN'!$AB:$AB,'MASTER PLAN'!$M:$M,0,0)),"")</f>
        <v/>
      </c>
      <c r="K294" s="107">
        <f t="shared" si="237"/>
        <v>0</v>
      </c>
      <c r="L294" s="107">
        <f t="shared" si="238"/>
        <v>0</v>
      </c>
      <c r="M294" s="105" t="s">
        <v>249</v>
      </c>
      <c r="AI294" s="42"/>
      <c r="BN294" s="42"/>
      <c r="CS294" s="42"/>
      <c r="DX294" s="42"/>
      <c r="FC294" s="42"/>
      <c r="GH294" s="42"/>
      <c r="HM294" s="42"/>
      <c r="IR294" s="42"/>
      <c r="JW294" s="42"/>
      <c r="LB294" s="42"/>
      <c r="MG294" s="42"/>
      <c r="NL294" s="42"/>
    </row>
    <row r="295" ht="15.75" customHeight="1">
      <c r="A295" s="42"/>
      <c r="B295" s="42"/>
      <c r="C295" s="42"/>
      <c r="D295" s="38">
        <f t="shared" si="511"/>
        <v>45983</v>
      </c>
      <c r="E295" s="31" t="str">
        <f t="shared" ref="E295:I295" si="522">CN22</f>
        <v/>
      </c>
      <c r="F295" s="31" t="str">
        <f t="shared" si="522"/>
        <v/>
      </c>
      <c r="G295" s="31" t="str">
        <f t="shared" si="522"/>
        <v/>
      </c>
      <c r="H295" s="13" t="str">
        <f t="shared" si="522"/>
        <v/>
      </c>
      <c r="I295" s="13" t="str">
        <f t="shared" si="522"/>
        <v/>
      </c>
      <c r="J295" s="107" t="str">
        <f t="array" ref="J295">IFERROR(IF(XLOOKUP(CONCAT(E295,F295),'MASTER PLAN'!$AB:$AB,'MASTER PLAN'!$M:$M,0,0)=0,"",XLOOKUP(CONCAT(E295,F295),'MASTER PLAN'!$AB:$AB,'MASTER PLAN'!$M:$M,0,0)),"")</f>
        <v/>
      </c>
      <c r="K295" s="107">
        <f t="shared" si="237"/>
        <v>0</v>
      </c>
      <c r="L295" s="107">
        <f t="shared" si="238"/>
        <v>0</v>
      </c>
      <c r="M295" s="105" t="s">
        <v>249</v>
      </c>
      <c r="AI295" s="42"/>
      <c r="BN295" s="42"/>
      <c r="CS295" s="42"/>
      <c r="DX295" s="42"/>
      <c r="FC295" s="42"/>
      <c r="GH295" s="42"/>
      <c r="HM295" s="42"/>
      <c r="IR295" s="42"/>
      <c r="JW295" s="42"/>
      <c r="LB295" s="42"/>
      <c r="MG295" s="42"/>
      <c r="NL295" s="42"/>
    </row>
    <row r="296" ht="15.75" customHeight="1">
      <c r="A296" s="42"/>
      <c r="B296" s="42"/>
      <c r="C296" s="42"/>
      <c r="D296" s="38">
        <f t="shared" si="511"/>
        <v>45983</v>
      </c>
      <c r="E296" s="31" t="str">
        <f t="shared" ref="E296:I296" si="523">CN23</f>
        <v/>
      </c>
      <c r="F296" s="31" t="str">
        <f t="shared" si="523"/>
        <v/>
      </c>
      <c r="G296" s="31" t="str">
        <f t="shared" si="523"/>
        <v/>
      </c>
      <c r="H296" s="13" t="str">
        <f t="shared" si="523"/>
        <v/>
      </c>
      <c r="I296" s="13" t="str">
        <f t="shared" si="523"/>
        <v/>
      </c>
      <c r="J296" s="107" t="str">
        <f t="array" ref="J296">IFERROR(IF(XLOOKUP(CONCAT(E296,F296),'MASTER PLAN'!$AB:$AB,'MASTER PLAN'!$M:$M,0,0)=0,"",XLOOKUP(CONCAT(E296,F296),'MASTER PLAN'!$AB:$AB,'MASTER PLAN'!$M:$M,0,0)),"")</f>
        <v/>
      </c>
      <c r="K296" s="107">
        <f t="shared" si="237"/>
        <v>0</v>
      </c>
      <c r="L296" s="107">
        <f t="shared" si="238"/>
        <v>0</v>
      </c>
      <c r="M296" s="105" t="s">
        <v>249</v>
      </c>
      <c r="AI296" s="42"/>
      <c r="BN296" s="42"/>
      <c r="CS296" s="42"/>
      <c r="DX296" s="42"/>
      <c r="FC296" s="42"/>
      <c r="GH296" s="42"/>
      <c r="HM296" s="42"/>
      <c r="IR296" s="42"/>
      <c r="JW296" s="42"/>
      <c r="LB296" s="42"/>
      <c r="MG296" s="42"/>
      <c r="NL296" s="42"/>
    </row>
    <row r="297" ht="15.75" customHeight="1">
      <c r="A297" s="42"/>
      <c r="B297" s="42"/>
      <c r="C297" s="42"/>
      <c r="D297" s="38">
        <f t="shared" si="511"/>
        <v>45983</v>
      </c>
      <c r="E297" s="31" t="str">
        <f t="shared" ref="E297:I297" si="524">CN24</f>
        <v/>
      </c>
      <c r="F297" s="31" t="str">
        <f t="shared" si="524"/>
        <v/>
      </c>
      <c r="G297" s="31" t="str">
        <f t="shared" si="524"/>
        <v/>
      </c>
      <c r="H297" s="13" t="str">
        <f t="shared" si="524"/>
        <v/>
      </c>
      <c r="I297" s="13" t="str">
        <f t="shared" si="524"/>
        <v/>
      </c>
      <c r="J297" s="107" t="str">
        <f t="array" ref="J297">IFERROR(IF(XLOOKUP(CONCAT(E297,F297),'MASTER PLAN'!$AB:$AB,'MASTER PLAN'!$M:$M,0,0)=0,"",XLOOKUP(CONCAT(E297,F297),'MASTER PLAN'!$AB:$AB,'MASTER PLAN'!$M:$M,0,0)),"")</f>
        <v/>
      </c>
      <c r="K297" s="107">
        <f t="shared" si="237"/>
        <v>0</v>
      </c>
      <c r="L297" s="107">
        <f t="shared" si="238"/>
        <v>0</v>
      </c>
      <c r="M297" s="105" t="s">
        <v>249</v>
      </c>
      <c r="AI297" s="42"/>
      <c r="BN297" s="42"/>
      <c r="CS297" s="42"/>
      <c r="DX297" s="42"/>
      <c r="FC297" s="42"/>
      <c r="GH297" s="42"/>
      <c r="HM297" s="42"/>
      <c r="IR297" s="42"/>
      <c r="JW297" s="42"/>
      <c r="LB297" s="42"/>
      <c r="MG297" s="42"/>
      <c r="NL297" s="42"/>
    </row>
    <row r="298" ht="15.75" customHeight="1">
      <c r="A298" s="42"/>
      <c r="B298" s="42"/>
      <c r="C298" s="42"/>
      <c r="D298" s="38">
        <f>CT2</f>
        <v>45985</v>
      </c>
      <c r="E298" s="31">
        <f t="shared" ref="E298:I298" si="525">CT4</f>
        <v>1402049349</v>
      </c>
      <c r="F298" s="31">
        <f t="shared" si="525"/>
        <v>10</v>
      </c>
      <c r="G298" s="31" t="str">
        <f t="shared" si="525"/>
        <v>BOLSA WSHM WOS 10"X6"X10" FA</v>
      </c>
      <c r="H298" s="13">
        <f t="shared" si="525"/>
        <v>3000</v>
      </c>
      <c r="I298" s="13" t="str">
        <f t="shared" si="525"/>
        <v/>
      </c>
      <c r="J298" s="107">
        <f t="array" ref="J298">IFERROR(IF(XLOOKUP(CONCAT(E298,F298),'MASTER PLAN'!$AB:$AB,'MASTER PLAN'!$M:$M,0,0)=0,"",XLOOKUP(CONCAT(E298,F298),'MASTER PLAN'!$AB:$AB,'MASTER PLAN'!$M:$M,0,0)),"")</f>
        <v>2.448</v>
      </c>
      <c r="K298" s="107">
        <f t="shared" si="237"/>
        <v>7344</v>
      </c>
      <c r="L298" s="107">
        <f t="shared" si="238"/>
        <v>0</v>
      </c>
      <c r="M298" s="105" t="s">
        <v>246</v>
      </c>
      <c r="AI298" s="42"/>
      <c r="BN298" s="42"/>
      <c r="CS298" s="42"/>
      <c r="DX298" s="42"/>
      <c r="FC298" s="42"/>
      <c r="GH298" s="42"/>
      <c r="HM298" s="42"/>
      <c r="IR298" s="42"/>
      <c r="JW298" s="42"/>
      <c r="LB298" s="42"/>
      <c r="MG298" s="42"/>
      <c r="NL298" s="42"/>
    </row>
    <row r="299" ht="15.75" customHeight="1">
      <c r="A299" s="42"/>
      <c r="B299" s="42"/>
      <c r="C299" s="42"/>
      <c r="D299" s="38">
        <f t="shared" ref="D299:D312" si="527">D298</f>
        <v>45985</v>
      </c>
      <c r="E299" s="31" t="str">
        <f t="shared" ref="E299:I299" si="526">CT5</f>
        <v/>
      </c>
      <c r="F299" s="31" t="str">
        <f t="shared" si="526"/>
        <v/>
      </c>
      <c r="G299" s="31" t="str">
        <f t="shared" si="526"/>
        <v/>
      </c>
      <c r="H299" s="13" t="str">
        <f t="shared" si="526"/>
        <v/>
      </c>
      <c r="I299" s="13" t="str">
        <f t="shared" si="526"/>
        <v/>
      </c>
      <c r="J299" s="107" t="str">
        <f t="array" ref="J299">IFERROR(IF(XLOOKUP(CONCAT(E299,F299),'MASTER PLAN'!$AB:$AB,'MASTER PLAN'!$M:$M,0,0)=0,"",XLOOKUP(CONCAT(E299,F299),'MASTER PLAN'!$AB:$AB,'MASTER PLAN'!$M:$M,0,0)),"")</f>
        <v/>
      </c>
      <c r="K299" s="107">
        <f t="shared" si="237"/>
        <v>0</v>
      </c>
      <c r="L299" s="107">
        <f t="shared" si="238"/>
        <v>0</v>
      </c>
      <c r="M299" s="105" t="s">
        <v>246</v>
      </c>
      <c r="AI299" s="42"/>
      <c r="BN299" s="42"/>
      <c r="CS299" s="42"/>
      <c r="DX299" s="42"/>
      <c r="FC299" s="42"/>
      <c r="GH299" s="42"/>
      <c r="HM299" s="42"/>
      <c r="IR299" s="42"/>
      <c r="JW299" s="42"/>
      <c r="LB299" s="42"/>
      <c r="MG299" s="42"/>
      <c r="NL299" s="42"/>
    </row>
    <row r="300" ht="15.75" customHeight="1">
      <c r="A300" s="42"/>
      <c r="B300" s="42"/>
      <c r="C300" s="42"/>
      <c r="D300" s="38">
        <f t="shared" si="527"/>
        <v>45985</v>
      </c>
      <c r="E300" s="31" t="str">
        <f t="shared" ref="E300:I300" si="528">CT6</f>
        <v/>
      </c>
      <c r="F300" s="31" t="str">
        <f t="shared" si="528"/>
        <v/>
      </c>
      <c r="G300" s="31" t="str">
        <f t="shared" si="528"/>
        <v/>
      </c>
      <c r="H300" s="13" t="str">
        <f t="shared" si="528"/>
        <v/>
      </c>
      <c r="I300" s="13" t="str">
        <f t="shared" si="528"/>
        <v/>
      </c>
      <c r="J300" s="107" t="str">
        <f t="array" ref="J300">IFERROR(IF(XLOOKUP(CONCAT(E300,F300),'MASTER PLAN'!$AB:$AB,'MASTER PLAN'!$M:$M,0,0)=0,"",XLOOKUP(CONCAT(E300,F300),'MASTER PLAN'!$AB:$AB,'MASTER PLAN'!$M:$M,0,0)),"")</f>
        <v/>
      </c>
      <c r="K300" s="107">
        <f t="shared" si="237"/>
        <v>0</v>
      </c>
      <c r="L300" s="107">
        <f t="shared" si="238"/>
        <v>0</v>
      </c>
      <c r="M300" s="105" t="s">
        <v>246</v>
      </c>
      <c r="AI300" s="42"/>
      <c r="BN300" s="42"/>
      <c r="CS300" s="42"/>
      <c r="DX300" s="42"/>
      <c r="FC300" s="42"/>
      <c r="GH300" s="42"/>
      <c r="HM300" s="42"/>
      <c r="IR300" s="42"/>
      <c r="JW300" s="42"/>
      <c r="LB300" s="42"/>
      <c r="MG300" s="42"/>
      <c r="NL300" s="42"/>
    </row>
    <row r="301" ht="15.75" customHeight="1">
      <c r="A301" s="42"/>
      <c r="B301" s="42"/>
      <c r="C301" s="42"/>
      <c r="D301" s="38">
        <f t="shared" si="527"/>
        <v>45985</v>
      </c>
      <c r="E301" s="31" t="str">
        <f t="shared" ref="E301:I301" si="529">CT7</f>
        <v/>
      </c>
      <c r="F301" s="31" t="str">
        <f t="shared" si="529"/>
        <v/>
      </c>
      <c r="G301" s="31" t="str">
        <f t="shared" si="529"/>
        <v/>
      </c>
      <c r="H301" s="13" t="str">
        <f t="shared" si="529"/>
        <v/>
      </c>
      <c r="I301" s="13" t="str">
        <f t="shared" si="529"/>
        <v/>
      </c>
      <c r="J301" s="107" t="str">
        <f t="array" ref="J301">IFERROR(IF(XLOOKUP(CONCAT(E301,F301),'MASTER PLAN'!$AB:$AB,'MASTER PLAN'!$M:$M,0,0)=0,"",XLOOKUP(CONCAT(E301,F301),'MASTER PLAN'!$AB:$AB,'MASTER PLAN'!$M:$M,0,0)),"")</f>
        <v/>
      </c>
      <c r="K301" s="107">
        <f t="shared" si="237"/>
        <v>0</v>
      </c>
      <c r="L301" s="107">
        <f t="shared" si="238"/>
        <v>0</v>
      </c>
      <c r="M301" s="105" t="s">
        <v>246</v>
      </c>
      <c r="AI301" s="42"/>
      <c r="BN301" s="42"/>
      <c r="CS301" s="42"/>
      <c r="DX301" s="42"/>
      <c r="FC301" s="42"/>
      <c r="GH301" s="42"/>
      <c r="HM301" s="42"/>
      <c r="IR301" s="42"/>
      <c r="JW301" s="42"/>
      <c r="LB301" s="42"/>
      <c r="MG301" s="42"/>
      <c r="NL301" s="42"/>
    </row>
    <row r="302" ht="15.75" customHeight="1">
      <c r="A302" s="42"/>
      <c r="B302" s="42"/>
      <c r="C302" s="42"/>
      <c r="D302" s="38">
        <f t="shared" si="527"/>
        <v>45985</v>
      </c>
      <c r="E302" s="31" t="str">
        <f t="shared" ref="E302:I302" si="530">CT8</f>
        <v/>
      </c>
      <c r="F302" s="31" t="str">
        <f t="shared" si="530"/>
        <v/>
      </c>
      <c r="G302" s="31" t="str">
        <f t="shared" si="530"/>
        <v/>
      </c>
      <c r="H302" s="13" t="str">
        <f t="shared" si="530"/>
        <v/>
      </c>
      <c r="I302" s="13" t="str">
        <f t="shared" si="530"/>
        <v/>
      </c>
      <c r="J302" s="107" t="str">
        <f t="array" ref="J302">IFERROR(IF(XLOOKUP(CONCAT(E302,F302),'MASTER PLAN'!$AB:$AB,'MASTER PLAN'!$M:$M,0,0)=0,"",XLOOKUP(CONCAT(E302,F302),'MASTER PLAN'!$AB:$AB,'MASTER PLAN'!$M:$M,0,0)),"")</f>
        <v/>
      </c>
      <c r="K302" s="107">
        <f t="shared" si="237"/>
        <v>0</v>
      </c>
      <c r="L302" s="107">
        <f t="shared" si="238"/>
        <v>0</v>
      </c>
      <c r="M302" s="105" t="s">
        <v>246</v>
      </c>
      <c r="AI302" s="42"/>
      <c r="BN302" s="42"/>
      <c r="CS302" s="42"/>
      <c r="DX302" s="42"/>
      <c r="FC302" s="42"/>
      <c r="GH302" s="42"/>
      <c r="HM302" s="42"/>
      <c r="IR302" s="42"/>
      <c r="JW302" s="42"/>
      <c r="LB302" s="42"/>
      <c r="MG302" s="42"/>
      <c r="NL302" s="42"/>
    </row>
    <row r="303" ht="15.75" customHeight="1">
      <c r="A303" s="42"/>
      <c r="B303" s="42"/>
      <c r="C303" s="42"/>
      <c r="D303" s="38">
        <f t="shared" si="527"/>
        <v>45985</v>
      </c>
      <c r="E303" s="31">
        <f t="shared" ref="E303:I303" si="531">CT12</f>
        <v>1402049350</v>
      </c>
      <c r="F303" s="31">
        <f t="shared" si="531"/>
        <v>10</v>
      </c>
      <c r="G303" s="31" t="str">
        <f t="shared" si="531"/>
        <v>BOLSA WSMJ MAYORS WOS 6-5"X3-5"X6-5" FA</v>
      </c>
      <c r="H303" s="13">
        <f t="shared" si="531"/>
        <v>2800</v>
      </c>
      <c r="I303" s="13" t="str">
        <f t="shared" si="531"/>
        <v/>
      </c>
      <c r="J303" s="107">
        <f t="array" ref="J303">IFERROR(IF(XLOOKUP(CONCAT(E303,F303),'MASTER PLAN'!$AB:$AB,'MASTER PLAN'!$M:$M,0,0)=0,"",XLOOKUP(CONCAT(E303,F303),'MASTER PLAN'!$AB:$AB,'MASTER PLAN'!$M:$M,0,0)),"")</f>
        <v>1.672</v>
      </c>
      <c r="K303" s="107">
        <f t="shared" si="237"/>
        <v>4681.6</v>
      </c>
      <c r="L303" s="107">
        <f t="shared" si="238"/>
        <v>0</v>
      </c>
      <c r="M303" s="105" t="s">
        <v>248</v>
      </c>
      <c r="AI303" s="42"/>
      <c r="BN303" s="42"/>
      <c r="CS303" s="42"/>
      <c r="DX303" s="42"/>
      <c r="FC303" s="42"/>
      <c r="GH303" s="42"/>
      <c r="HM303" s="42"/>
      <c r="IR303" s="42"/>
      <c r="JW303" s="42"/>
      <c r="LB303" s="42"/>
      <c r="MG303" s="42"/>
      <c r="NL303" s="42"/>
    </row>
    <row r="304" ht="15.75" customHeight="1">
      <c r="A304" s="42"/>
      <c r="B304" s="42"/>
      <c r="C304" s="42"/>
      <c r="D304" s="38">
        <f t="shared" si="527"/>
        <v>45985</v>
      </c>
      <c r="E304" s="31">
        <f t="shared" ref="E304:I304" si="532">CT13</f>
        <v>1402049350</v>
      </c>
      <c r="F304" s="31">
        <f t="shared" si="532"/>
        <v>20</v>
      </c>
      <c r="G304" s="31" t="str">
        <f t="shared" si="532"/>
        <v>BOLSA WSMJ MAYORS WOS 10"X6"X10" FA</v>
      </c>
      <c r="H304" s="13">
        <f t="shared" si="532"/>
        <v>500</v>
      </c>
      <c r="I304" s="13" t="str">
        <f t="shared" si="532"/>
        <v/>
      </c>
      <c r="J304" s="107">
        <f t="array" ref="J304">IFERROR(IF(XLOOKUP(CONCAT(E304,F304),'MASTER PLAN'!$AB:$AB,'MASTER PLAN'!$M:$M,0,0)=0,"",XLOOKUP(CONCAT(E304,F304),'MASTER PLAN'!$AB:$AB,'MASTER PLAN'!$M:$M,0,0)),"")</f>
        <v>2.48</v>
      </c>
      <c r="K304" s="107">
        <f t="shared" si="237"/>
        <v>1240</v>
      </c>
      <c r="L304" s="107">
        <f t="shared" si="238"/>
        <v>0</v>
      </c>
      <c r="M304" s="105" t="s">
        <v>248</v>
      </c>
      <c r="AI304" s="42"/>
      <c r="BN304" s="42"/>
      <c r="CS304" s="42"/>
      <c r="DX304" s="42"/>
      <c r="FC304" s="42"/>
      <c r="GH304" s="42"/>
      <c r="HM304" s="42"/>
      <c r="IR304" s="42"/>
      <c r="JW304" s="42"/>
      <c r="LB304" s="42"/>
      <c r="MG304" s="42"/>
      <c r="NL304" s="42"/>
    </row>
    <row r="305" ht="15.75" customHeight="1">
      <c r="A305" s="42"/>
      <c r="B305" s="42"/>
      <c r="C305" s="42"/>
      <c r="D305" s="38">
        <f t="shared" si="527"/>
        <v>45985</v>
      </c>
      <c r="E305" s="31" t="str">
        <f t="shared" ref="E305:I305" si="533">CT14</f>
        <v/>
      </c>
      <c r="F305" s="31" t="str">
        <f t="shared" si="533"/>
        <v/>
      </c>
      <c r="G305" s="31" t="str">
        <f t="shared" si="533"/>
        <v/>
      </c>
      <c r="H305" s="13" t="str">
        <f t="shared" si="533"/>
        <v/>
      </c>
      <c r="I305" s="13" t="str">
        <f t="shared" si="533"/>
        <v/>
      </c>
      <c r="J305" s="107" t="str">
        <f t="array" ref="J305">IFERROR(IF(XLOOKUP(CONCAT(E305,F305),'MASTER PLAN'!$AB:$AB,'MASTER PLAN'!$M:$M,0,0)=0,"",XLOOKUP(CONCAT(E305,F305),'MASTER PLAN'!$AB:$AB,'MASTER PLAN'!$M:$M,0,0)),"")</f>
        <v/>
      </c>
      <c r="K305" s="107">
        <f t="shared" si="237"/>
        <v>0</v>
      </c>
      <c r="L305" s="107">
        <f t="shared" si="238"/>
        <v>0</v>
      </c>
      <c r="M305" s="105" t="s">
        <v>248</v>
      </c>
      <c r="AI305" s="42"/>
      <c r="BN305" s="42"/>
      <c r="CS305" s="42"/>
      <c r="DX305" s="42"/>
      <c r="FC305" s="42"/>
      <c r="GH305" s="42"/>
      <c r="HM305" s="42"/>
      <c r="IR305" s="42"/>
      <c r="JW305" s="42"/>
      <c r="LB305" s="42"/>
      <c r="MG305" s="42"/>
      <c r="NL305" s="42"/>
    </row>
    <row r="306" ht="15.75" customHeight="1">
      <c r="A306" s="42"/>
      <c r="B306" s="42"/>
      <c r="C306" s="42"/>
      <c r="D306" s="38">
        <f t="shared" si="527"/>
        <v>45985</v>
      </c>
      <c r="E306" s="31" t="str">
        <f t="shared" ref="E306:I306" si="534">CT15</f>
        <v/>
      </c>
      <c r="F306" s="31" t="str">
        <f t="shared" si="534"/>
        <v/>
      </c>
      <c r="G306" s="31" t="str">
        <f t="shared" si="534"/>
        <v/>
      </c>
      <c r="H306" s="13" t="str">
        <f t="shared" si="534"/>
        <v/>
      </c>
      <c r="I306" s="13" t="str">
        <f t="shared" si="534"/>
        <v/>
      </c>
      <c r="J306" s="107" t="str">
        <f t="array" ref="J306">IFERROR(IF(XLOOKUP(CONCAT(E306,F306),'MASTER PLAN'!$AB:$AB,'MASTER PLAN'!$M:$M,0,0)=0,"",XLOOKUP(CONCAT(E306,F306),'MASTER PLAN'!$AB:$AB,'MASTER PLAN'!$M:$M,0,0)),"")</f>
        <v/>
      </c>
      <c r="K306" s="107">
        <f t="shared" si="237"/>
        <v>0</v>
      </c>
      <c r="L306" s="107">
        <f t="shared" si="238"/>
        <v>0</v>
      </c>
      <c r="M306" s="105" t="s">
        <v>248</v>
      </c>
      <c r="AI306" s="42"/>
      <c r="BN306" s="42"/>
      <c r="CS306" s="42"/>
      <c r="DX306" s="42"/>
      <c r="FC306" s="42"/>
      <c r="GH306" s="42"/>
      <c r="HM306" s="42"/>
      <c r="IR306" s="42"/>
      <c r="JW306" s="42"/>
      <c r="LB306" s="42"/>
      <c r="MG306" s="42"/>
      <c r="NL306" s="42"/>
    </row>
    <row r="307" ht="15.75" customHeight="1">
      <c r="A307" s="42"/>
      <c r="B307" s="42"/>
      <c r="C307" s="42"/>
      <c r="D307" s="38">
        <f t="shared" si="527"/>
        <v>45985</v>
      </c>
      <c r="E307" s="31" t="str">
        <f t="shared" ref="E307:I307" si="535">CT16</f>
        <v/>
      </c>
      <c r="F307" s="31" t="str">
        <f t="shared" si="535"/>
        <v/>
      </c>
      <c r="G307" s="31" t="str">
        <f t="shared" si="535"/>
        <v/>
      </c>
      <c r="H307" s="13" t="str">
        <f t="shared" si="535"/>
        <v/>
      </c>
      <c r="I307" s="13" t="str">
        <f t="shared" si="535"/>
        <v/>
      </c>
      <c r="J307" s="107" t="str">
        <f t="array" ref="J307">IFERROR(IF(XLOOKUP(CONCAT(E307,F307),'MASTER PLAN'!$AB:$AB,'MASTER PLAN'!$M:$M,0,0)=0,"",XLOOKUP(CONCAT(E307,F307),'MASTER PLAN'!$AB:$AB,'MASTER PLAN'!$M:$M,0,0)),"")</f>
        <v/>
      </c>
      <c r="K307" s="107">
        <f t="shared" si="237"/>
        <v>0</v>
      </c>
      <c r="L307" s="107">
        <f t="shared" si="238"/>
        <v>0</v>
      </c>
      <c r="M307" s="105" t="s">
        <v>248</v>
      </c>
      <c r="AI307" s="42"/>
      <c r="BN307" s="42"/>
      <c r="CS307" s="42"/>
      <c r="DX307" s="42"/>
      <c r="FC307" s="42"/>
      <c r="GH307" s="42"/>
      <c r="HM307" s="42"/>
      <c r="IR307" s="42"/>
      <c r="JW307" s="42"/>
      <c r="LB307" s="42"/>
      <c r="MG307" s="42"/>
      <c r="NL307" s="42"/>
    </row>
    <row r="308" ht="15.75" customHeight="1">
      <c r="A308" s="42"/>
      <c r="B308" s="42"/>
      <c r="C308" s="42"/>
      <c r="D308" s="38">
        <f t="shared" si="527"/>
        <v>45985</v>
      </c>
      <c r="E308" s="31" t="str">
        <f t="shared" ref="E308:I308" si="536">CT20</f>
        <v/>
      </c>
      <c r="F308" s="31" t="str">
        <f t="shared" si="536"/>
        <v/>
      </c>
      <c r="G308" s="31" t="str">
        <f t="shared" si="536"/>
        <v/>
      </c>
      <c r="H308" s="13" t="str">
        <f t="shared" si="536"/>
        <v/>
      </c>
      <c r="I308" s="13" t="str">
        <f t="shared" si="536"/>
        <v/>
      </c>
      <c r="J308" s="107" t="str">
        <f t="array" ref="J308">IFERROR(IF(XLOOKUP(CONCAT(E308,F308),'MASTER PLAN'!$AB:$AB,'MASTER PLAN'!$M:$M,0,0)=0,"",XLOOKUP(CONCAT(E308,F308),'MASTER PLAN'!$AB:$AB,'MASTER PLAN'!$M:$M,0,0)),"")</f>
        <v/>
      </c>
      <c r="K308" s="107">
        <f t="shared" si="237"/>
        <v>0</v>
      </c>
      <c r="L308" s="107">
        <f t="shared" si="238"/>
        <v>0</v>
      </c>
      <c r="M308" s="105" t="s">
        <v>249</v>
      </c>
      <c r="AI308" s="42"/>
      <c r="BN308" s="42"/>
      <c r="CS308" s="42"/>
      <c r="DX308" s="42"/>
      <c r="FC308" s="42"/>
      <c r="GH308" s="42"/>
      <c r="HM308" s="42"/>
      <c r="IR308" s="42"/>
      <c r="JW308" s="42"/>
      <c r="LB308" s="42"/>
      <c r="MG308" s="42"/>
      <c r="NL308" s="42"/>
    </row>
    <row r="309" ht="15.75" customHeight="1">
      <c r="A309" s="42"/>
      <c r="B309" s="42"/>
      <c r="C309" s="42"/>
      <c r="D309" s="38">
        <f t="shared" si="527"/>
        <v>45985</v>
      </c>
      <c r="E309" s="31" t="str">
        <f t="shared" ref="E309:I309" si="537">CT21</f>
        <v/>
      </c>
      <c r="F309" s="31" t="str">
        <f t="shared" si="537"/>
        <v/>
      </c>
      <c r="G309" s="31" t="str">
        <f t="shared" si="537"/>
        <v/>
      </c>
      <c r="H309" s="13" t="str">
        <f t="shared" si="537"/>
        <v/>
      </c>
      <c r="I309" s="13" t="str">
        <f t="shared" si="537"/>
        <v/>
      </c>
      <c r="J309" s="107" t="str">
        <f t="array" ref="J309">IFERROR(IF(XLOOKUP(CONCAT(E309,F309),'MASTER PLAN'!$AB:$AB,'MASTER PLAN'!$M:$M,0,0)=0,"",XLOOKUP(CONCAT(E309,F309),'MASTER PLAN'!$AB:$AB,'MASTER PLAN'!$M:$M,0,0)),"")</f>
        <v/>
      </c>
      <c r="K309" s="107">
        <f t="shared" si="237"/>
        <v>0</v>
      </c>
      <c r="L309" s="107">
        <f t="shared" si="238"/>
        <v>0</v>
      </c>
      <c r="M309" s="105" t="s">
        <v>249</v>
      </c>
      <c r="AI309" s="42"/>
      <c r="BN309" s="42"/>
      <c r="CS309" s="42"/>
      <c r="DX309" s="42"/>
      <c r="FC309" s="42"/>
      <c r="GH309" s="42"/>
      <c r="HM309" s="42"/>
      <c r="IR309" s="42"/>
      <c r="JW309" s="42"/>
      <c r="LB309" s="42"/>
      <c r="MG309" s="42"/>
      <c r="NL309" s="42"/>
    </row>
    <row r="310" ht="15.75" customHeight="1">
      <c r="A310" s="42"/>
      <c r="B310" s="42"/>
      <c r="C310" s="42"/>
      <c r="D310" s="38">
        <f t="shared" si="527"/>
        <v>45985</v>
      </c>
      <c r="E310" s="31" t="str">
        <f t="shared" ref="E310:I310" si="538">CT22</f>
        <v/>
      </c>
      <c r="F310" s="31" t="str">
        <f t="shared" si="538"/>
        <v/>
      </c>
      <c r="G310" s="31" t="str">
        <f t="shared" si="538"/>
        <v/>
      </c>
      <c r="H310" s="13" t="str">
        <f t="shared" si="538"/>
        <v/>
      </c>
      <c r="I310" s="13" t="str">
        <f t="shared" si="538"/>
        <v/>
      </c>
      <c r="J310" s="107" t="str">
        <f t="array" ref="J310">IFERROR(IF(XLOOKUP(CONCAT(E310,F310),'MASTER PLAN'!$AB:$AB,'MASTER PLAN'!$M:$M,0,0)=0,"",XLOOKUP(CONCAT(E310,F310),'MASTER PLAN'!$AB:$AB,'MASTER PLAN'!$M:$M,0,0)),"")</f>
        <v/>
      </c>
      <c r="K310" s="107">
        <f t="shared" si="237"/>
        <v>0</v>
      </c>
      <c r="L310" s="107">
        <f t="shared" si="238"/>
        <v>0</v>
      </c>
      <c r="M310" s="105" t="s">
        <v>249</v>
      </c>
      <c r="AI310" s="42"/>
      <c r="BN310" s="42"/>
      <c r="CS310" s="42"/>
      <c r="DX310" s="42"/>
      <c r="FC310" s="42"/>
      <c r="GH310" s="42"/>
      <c r="HM310" s="42"/>
      <c r="IR310" s="42"/>
      <c r="JW310" s="42"/>
      <c r="LB310" s="42"/>
      <c r="MG310" s="42"/>
      <c r="NL310" s="42"/>
    </row>
    <row r="311" ht="15.75" customHeight="1">
      <c r="A311" s="42"/>
      <c r="B311" s="42"/>
      <c r="C311" s="42"/>
      <c r="D311" s="38">
        <f t="shared" si="527"/>
        <v>45985</v>
      </c>
      <c r="E311" s="31" t="str">
        <f t="shared" ref="E311:I311" si="539">CT23</f>
        <v/>
      </c>
      <c r="F311" s="31" t="str">
        <f t="shared" si="539"/>
        <v/>
      </c>
      <c r="G311" s="31" t="str">
        <f t="shared" si="539"/>
        <v/>
      </c>
      <c r="H311" s="13" t="str">
        <f t="shared" si="539"/>
        <v/>
      </c>
      <c r="I311" s="13" t="str">
        <f t="shared" si="539"/>
        <v/>
      </c>
      <c r="J311" s="107" t="str">
        <f t="array" ref="J311">IFERROR(IF(XLOOKUP(CONCAT(E311,F311),'MASTER PLAN'!$AB:$AB,'MASTER PLAN'!$M:$M,0,0)=0,"",XLOOKUP(CONCAT(E311,F311),'MASTER PLAN'!$AB:$AB,'MASTER PLAN'!$M:$M,0,0)),"")</f>
        <v/>
      </c>
      <c r="K311" s="107">
        <f t="shared" si="237"/>
        <v>0</v>
      </c>
      <c r="L311" s="107">
        <f t="shared" si="238"/>
        <v>0</v>
      </c>
      <c r="M311" s="105" t="s">
        <v>249</v>
      </c>
      <c r="AI311" s="42"/>
      <c r="BN311" s="42"/>
      <c r="CS311" s="42"/>
      <c r="DX311" s="42"/>
      <c r="FC311" s="42"/>
      <c r="GH311" s="42"/>
      <c r="HM311" s="42"/>
      <c r="IR311" s="42"/>
      <c r="JW311" s="42"/>
      <c r="LB311" s="42"/>
      <c r="MG311" s="42"/>
      <c r="NL311" s="42"/>
    </row>
    <row r="312" ht="15.75" customHeight="1">
      <c r="A312" s="42"/>
      <c r="B312" s="42"/>
      <c r="C312" s="42"/>
      <c r="D312" s="38">
        <f t="shared" si="527"/>
        <v>45985</v>
      </c>
      <c r="E312" s="31" t="str">
        <f t="shared" ref="E312:I312" si="540">CT24</f>
        <v/>
      </c>
      <c r="F312" s="31" t="str">
        <f t="shared" si="540"/>
        <v/>
      </c>
      <c r="G312" s="31" t="str">
        <f t="shared" si="540"/>
        <v/>
      </c>
      <c r="H312" s="13" t="str">
        <f t="shared" si="540"/>
        <v/>
      </c>
      <c r="I312" s="13" t="str">
        <f t="shared" si="540"/>
        <v/>
      </c>
      <c r="J312" s="107" t="str">
        <f t="array" ref="J312">IFERROR(IF(XLOOKUP(CONCAT(E312,F312),'MASTER PLAN'!$AB:$AB,'MASTER PLAN'!$M:$M,0,0)=0,"",XLOOKUP(CONCAT(E312,F312),'MASTER PLAN'!$AB:$AB,'MASTER PLAN'!$M:$M,0,0)),"")</f>
        <v/>
      </c>
      <c r="K312" s="107">
        <f t="shared" si="237"/>
        <v>0</v>
      </c>
      <c r="L312" s="107">
        <f t="shared" si="238"/>
        <v>0</v>
      </c>
      <c r="M312" s="105" t="s">
        <v>249</v>
      </c>
      <c r="AI312" s="42"/>
      <c r="BN312" s="42"/>
      <c r="CS312" s="42"/>
      <c r="DX312" s="42"/>
      <c r="FC312" s="42"/>
      <c r="GH312" s="42"/>
      <c r="HM312" s="42"/>
      <c r="IR312" s="42"/>
      <c r="JW312" s="42"/>
      <c r="LB312" s="42"/>
      <c r="MG312" s="42"/>
      <c r="NL312" s="42"/>
    </row>
    <row r="313" ht="15.75" customHeight="1">
      <c r="A313" s="42"/>
      <c r="B313" s="42"/>
      <c r="C313" s="42"/>
      <c r="D313" s="38">
        <f>CY2</f>
        <v>45986</v>
      </c>
      <c r="E313" s="31">
        <f t="shared" ref="E313:I313" si="541">CY4</f>
        <v>1402049349</v>
      </c>
      <c r="F313" s="31">
        <f t="shared" si="541"/>
        <v>10</v>
      </c>
      <c r="G313" s="31" t="str">
        <f t="shared" si="541"/>
        <v>BOLSA WSHM WOS 10"X6"X10" FA</v>
      </c>
      <c r="H313" s="13">
        <f t="shared" si="541"/>
        <v>2250</v>
      </c>
      <c r="I313" s="13" t="str">
        <f t="shared" si="541"/>
        <v/>
      </c>
      <c r="J313" s="107">
        <f t="array" ref="J313">IFERROR(IF(XLOOKUP(CONCAT(E313,F313),'MASTER PLAN'!$AB:$AB,'MASTER PLAN'!$M:$M,0,0)=0,"",XLOOKUP(CONCAT(E313,F313),'MASTER PLAN'!$AB:$AB,'MASTER PLAN'!$M:$M,0,0)),"")</f>
        <v>2.448</v>
      </c>
      <c r="K313" s="107">
        <f t="shared" si="237"/>
        <v>5508</v>
      </c>
      <c r="L313" s="107">
        <f t="shared" si="238"/>
        <v>0</v>
      </c>
      <c r="M313" s="105" t="s">
        <v>246</v>
      </c>
      <c r="AI313" s="42"/>
      <c r="BN313" s="42"/>
      <c r="CS313" s="42"/>
      <c r="DX313" s="42"/>
      <c r="FC313" s="42"/>
      <c r="GH313" s="42"/>
      <c r="HM313" s="42"/>
      <c r="IR313" s="42"/>
      <c r="JW313" s="42"/>
      <c r="LB313" s="42"/>
      <c r="MG313" s="42"/>
      <c r="NL313" s="42"/>
    </row>
    <row r="314" ht="15.75" customHeight="1">
      <c r="A314" s="42"/>
      <c r="B314" s="42"/>
      <c r="C314" s="42"/>
      <c r="D314" s="38">
        <f t="shared" ref="D314:D327" si="543">D313</f>
        <v>45986</v>
      </c>
      <c r="E314" s="31">
        <f t="shared" ref="E314:I314" si="542">CY5</f>
        <v>1402049349</v>
      </c>
      <c r="F314" s="31">
        <f t="shared" si="542"/>
        <v>20</v>
      </c>
      <c r="G314" s="31" t="str">
        <f t="shared" si="542"/>
        <v>BOLSA WSHN WOS 17"X7"X14" FA</v>
      </c>
      <c r="H314" s="13">
        <f t="shared" si="542"/>
        <v>600</v>
      </c>
      <c r="I314" s="13" t="str">
        <f t="shared" si="542"/>
        <v/>
      </c>
      <c r="J314" s="107">
        <f t="array" ref="J314">IFERROR(IF(XLOOKUP(CONCAT(E314,F314),'MASTER PLAN'!$AB:$AB,'MASTER PLAN'!$M:$M,0,0)=0,"",XLOOKUP(CONCAT(E314,F314),'MASTER PLAN'!$AB:$AB,'MASTER PLAN'!$M:$M,0,0)),"")</f>
        <v>4.52</v>
      </c>
      <c r="K314" s="107">
        <f t="shared" si="237"/>
        <v>2712</v>
      </c>
      <c r="L314" s="107">
        <f t="shared" si="238"/>
        <v>0</v>
      </c>
      <c r="M314" s="105" t="s">
        <v>246</v>
      </c>
      <c r="AI314" s="42"/>
      <c r="BN314" s="42"/>
      <c r="CS314" s="42"/>
      <c r="DX314" s="42"/>
      <c r="FC314" s="42"/>
      <c r="GH314" s="42"/>
      <c r="HM314" s="42"/>
      <c r="IR314" s="42"/>
      <c r="JW314" s="42"/>
      <c r="LB314" s="42"/>
      <c r="MG314" s="42"/>
      <c r="NL314" s="42"/>
    </row>
    <row r="315" ht="15.75" customHeight="1">
      <c r="A315" s="42"/>
      <c r="B315" s="42"/>
      <c r="C315" s="42"/>
      <c r="D315" s="38">
        <f t="shared" si="543"/>
        <v>45986</v>
      </c>
      <c r="E315" s="31" t="str">
        <f t="shared" ref="E315:I315" si="544">CY6</f>
        <v/>
      </c>
      <c r="F315" s="31" t="str">
        <f t="shared" si="544"/>
        <v/>
      </c>
      <c r="G315" s="31" t="str">
        <f t="shared" si="544"/>
        <v/>
      </c>
      <c r="H315" s="13" t="str">
        <f t="shared" si="544"/>
        <v/>
      </c>
      <c r="I315" s="13" t="str">
        <f t="shared" si="544"/>
        <v/>
      </c>
      <c r="J315" s="107" t="str">
        <f t="array" ref="J315">IFERROR(IF(XLOOKUP(CONCAT(E315,F315),'MASTER PLAN'!$AB:$AB,'MASTER PLAN'!$M:$M,0,0)=0,"",XLOOKUP(CONCAT(E315,F315),'MASTER PLAN'!$AB:$AB,'MASTER PLAN'!$M:$M,0,0)),"")</f>
        <v/>
      </c>
      <c r="K315" s="107">
        <f t="shared" si="237"/>
        <v>0</v>
      </c>
      <c r="L315" s="107">
        <f t="shared" si="238"/>
        <v>0</v>
      </c>
      <c r="M315" s="105" t="s">
        <v>246</v>
      </c>
      <c r="AI315" s="42"/>
      <c r="BN315" s="42"/>
      <c r="CS315" s="42"/>
      <c r="DX315" s="42"/>
      <c r="FC315" s="42"/>
      <c r="GH315" s="42"/>
      <c r="HM315" s="42"/>
      <c r="IR315" s="42"/>
      <c r="JW315" s="42"/>
      <c r="LB315" s="42"/>
      <c r="MG315" s="42"/>
      <c r="NL315" s="42"/>
    </row>
    <row r="316" ht="15.75" customHeight="1">
      <c r="A316" s="42"/>
      <c r="B316" s="42"/>
      <c r="C316" s="42"/>
      <c r="D316" s="38">
        <f t="shared" si="543"/>
        <v>45986</v>
      </c>
      <c r="E316" s="31" t="str">
        <f t="shared" ref="E316:I316" si="545">CY7</f>
        <v/>
      </c>
      <c r="F316" s="31" t="str">
        <f t="shared" si="545"/>
        <v/>
      </c>
      <c r="G316" s="31" t="str">
        <f t="shared" si="545"/>
        <v/>
      </c>
      <c r="H316" s="13" t="str">
        <f t="shared" si="545"/>
        <v/>
      </c>
      <c r="I316" s="13" t="str">
        <f t="shared" si="545"/>
        <v/>
      </c>
      <c r="J316" s="107" t="str">
        <f t="array" ref="J316">IFERROR(IF(XLOOKUP(CONCAT(E316,F316),'MASTER PLAN'!$AB:$AB,'MASTER PLAN'!$M:$M,0,0)=0,"",XLOOKUP(CONCAT(E316,F316),'MASTER PLAN'!$AB:$AB,'MASTER PLAN'!$M:$M,0,0)),"")</f>
        <v/>
      </c>
      <c r="K316" s="107">
        <f t="shared" si="237"/>
        <v>0</v>
      </c>
      <c r="L316" s="107">
        <f t="shared" si="238"/>
        <v>0</v>
      </c>
      <c r="M316" s="105" t="s">
        <v>246</v>
      </c>
      <c r="AI316" s="42"/>
      <c r="BN316" s="42"/>
      <c r="CS316" s="42"/>
      <c r="DX316" s="42"/>
      <c r="FC316" s="42"/>
      <c r="GH316" s="42"/>
      <c r="HM316" s="42"/>
      <c r="IR316" s="42"/>
      <c r="JW316" s="42"/>
      <c r="LB316" s="42"/>
      <c r="MG316" s="42"/>
      <c r="NL316" s="42"/>
    </row>
    <row r="317" ht="15.75" customHeight="1">
      <c r="A317" s="42"/>
      <c r="B317" s="42"/>
      <c r="C317" s="42"/>
      <c r="D317" s="38">
        <f t="shared" si="543"/>
        <v>45986</v>
      </c>
      <c r="E317" s="31" t="str">
        <f t="shared" ref="E317:I317" si="546">CY8</f>
        <v/>
      </c>
      <c r="F317" s="31" t="str">
        <f t="shared" si="546"/>
        <v/>
      </c>
      <c r="G317" s="31" t="str">
        <f t="shared" si="546"/>
        <v/>
      </c>
      <c r="H317" s="13" t="str">
        <f t="shared" si="546"/>
        <v/>
      </c>
      <c r="I317" s="13" t="str">
        <f t="shared" si="546"/>
        <v/>
      </c>
      <c r="J317" s="107" t="str">
        <f t="array" ref="J317">IFERROR(IF(XLOOKUP(CONCAT(E317,F317),'MASTER PLAN'!$AB:$AB,'MASTER PLAN'!$M:$M,0,0)=0,"",XLOOKUP(CONCAT(E317,F317),'MASTER PLAN'!$AB:$AB,'MASTER PLAN'!$M:$M,0,0)),"")</f>
        <v/>
      </c>
      <c r="K317" s="107">
        <f t="shared" si="237"/>
        <v>0</v>
      </c>
      <c r="L317" s="107">
        <f t="shared" si="238"/>
        <v>0</v>
      </c>
      <c r="M317" s="105" t="s">
        <v>246</v>
      </c>
      <c r="AI317" s="42"/>
      <c r="BN317" s="42"/>
      <c r="CS317" s="42"/>
      <c r="DX317" s="42"/>
      <c r="FC317" s="42"/>
      <c r="GH317" s="42"/>
      <c r="HM317" s="42"/>
      <c r="IR317" s="42"/>
      <c r="JW317" s="42"/>
      <c r="LB317" s="42"/>
      <c r="MG317" s="42"/>
      <c r="NL317" s="42"/>
    </row>
    <row r="318" ht="15.75" customHeight="1">
      <c r="A318" s="42"/>
      <c r="B318" s="42"/>
      <c r="C318" s="42"/>
      <c r="D318" s="38">
        <f t="shared" si="543"/>
        <v>45986</v>
      </c>
      <c r="E318" s="31">
        <f t="shared" ref="E318:I318" si="547">CY12</f>
        <v>1402049350</v>
      </c>
      <c r="F318" s="31">
        <f t="shared" si="547"/>
        <v>20</v>
      </c>
      <c r="G318" s="31" t="str">
        <f t="shared" si="547"/>
        <v>BOLSA WSMJ MAYORS WOS 10"X6"X10" FA</v>
      </c>
      <c r="H318" s="13">
        <f t="shared" si="547"/>
        <v>3000</v>
      </c>
      <c r="I318" s="13" t="str">
        <f t="shared" si="547"/>
        <v/>
      </c>
      <c r="J318" s="107">
        <f t="array" ref="J318">IFERROR(IF(XLOOKUP(CONCAT(E318,F318),'MASTER PLAN'!$AB:$AB,'MASTER PLAN'!$M:$M,0,0)=0,"",XLOOKUP(CONCAT(E318,F318),'MASTER PLAN'!$AB:$AB,'MASTER PLAN'!$M:$M,0,0)),"")</f>
        <v>2.48</v>
      </c>
      <c r="K318" s="107">
        <f t="shared" si="237"/>
        <v>7440</v>
      </c>
      <c r="L318" s="107">
        <f t="shared" si="238"/>
        <v>0</v>
      </c>
      <c r="M318" s="105" t="s">
        <v>248</v>
      </c>
      <c r="AI318" s="42"/>
      <c r="BN318" s="42"/>
      <c r="CS318" s="42"/>
      <c r="DX318" s="42"/>
      <c r="FC318" s="42"/>
      <c r="GH318" s="42"/>
      <c r="HM318" s="42"/>
      <c r="IR318" s="42"/>
      <c r="JW318" s="42"/>
      <c r="LB318" s="42"/>
      <c r="MG318" s="42"/>
      <c r="NL318" s="42"/>
    </row>
    <row r="319" ht="15.75" customHeight="1">
      <c r="A319" s="42"/>
      <c r="B319" s="42"/>
      <c r="C319" s="42"/>
      <c r="D319" s="38">
        <f t="shared" si="543"/>
        <v>45986</v>
      </c>
      <c r="E319" s="31" t="str">
        <f t="shared" ref="E319:I319" si="548">CY13</f>
        <v/>
      </c>
      <c r="F319" s="31" t="str">
        <f t="shared" si="548"/>
        <v/>
      </c>
      <c r="G319" s="31" t="str">
        <f t="shared" si="548"/>
        <v/>
      </c>
      <c r="H319" s="13" t="str">
        <f t="shared" si="548"/>
        <v/>
      </c>
      <c r="I319" s="13" t="str">
        <f t="shared" si="548"/>
        <v/>
      </c>
      <c r="J319" s="107" t="str">
        <f t="array" ref="J319">IFERROR(IF(XLOOKUP(CONCAT(E319,F319),'MASTER PLAN'!$AB:$AB,'MASTER PLAN'!$M:$M,0,0)=0,"",XLOOKUP(CONCAT(E319,F319),'MASTER PLAN'!$AB:$AB,'MASTER PLAN'!$M:$M,0,0)),"")</f>
        <v/>
      </c>
      <c r="K319" s="107">
        <f t="shared" si="237"/>
        <v>0</v>
      </c>
      <c r="L319" s="107">
        <f t="shared" si="238"/>
        <v>0</v>
      </c>
      <c r="M319" s="105" t="s">
        <v>248</v>
      </c>
      <c r="AI319" s="42"/>
      <c r="BN319" s="42"/>
      <c r="CS319" s="42"/>
      <c r="DX319" s="42"/>
      <c r="FC319" s="42"/>
      <c r="GH319" s="42"/>
      <c r="HM319" s="42"/>
      <c r="IR319" s="42"/>
      <c r="JW319" s="42"/>
      <c r="LB319" s="42"/>
      <c r="MG319" s="42"/>
      <c r="NL319" s="42"/>
    </row>
    <row r="320" ht="15.75" customHeight="1">
      <c r="A320" s="42"/>
      <c r="B320" s="42"/>
      <c r="C320" s="42"/>
      <c r="D320" s="38">
        <f t="shared" si="543"/>
        <v>45986</v>
      </c>
      <c r="E320" s="31" t="str">
        <f t="shared" ref="E320:I320" si="549">CY14</f>
        <v/>
      </c>
      <c r="F320" s="31" t="str">
        <f t="shared" si="549"/>
        <v/>
      </c>
      <c r="G320" s="31" t="str">
        <f t="shared" si="549"/>
        <v/>
      </c>
      <c r="H320" s="13" t="str">
        <f t="shared" si="549"/>
        <v/>
      </c>
      <c r="I320" s="13" t="str">
        <f t="shared" si="549"/>
        <v/>
      </c>
      <c r="J320" s="107" t="str">
        <f t="array" ref="J320">IFERROR(IF(XLOOKUP(CONCAT(E320,F320),'MASTER PLAN'!$AB:$AB,'MASTER PLAN'!$M:$M,0,0)=0,"",XLOOKUP(CONCAT(E320,F320),'MASTER PLAN'!$AB:$AB,'MASTER PLAN'!$M:$M,0,0)),"")</f>
        <v/>
      </c>
      <c r="K320" s="107">
        <f t="shared" si="237"/>
        <v>0</v>
      </c>
      <c r="L320" s="107">
        <f t="shared" si="238"/>
        <v>0</v>
      </c>
      <c r="M320" s="105" t="s">
        <v>248</v>
      </c>
      <c r="AI320" s="42"/>
      <c r="BN320" s="42"/>
      <c r="CS320" s="42"/>
      <c r="DX320" s="42"/>
      <c r="FC320" s="42"/>
      <c r="GH320" s="42"/>
      <c r="HM320" s="42"/>
      <c r="IR320" s="42"/>
      <c r="JW320" s="42"/>
      <c r="LB320" s="42"/>
      <c r="MG320" s="42"/>
      <c r="NL320" s="42"/>
    </row>
    <row r="321" ht="15.75" customHeight="1">
      <c r="A321" s="42"/>
      <c r="B321" s="42"/>
      <c r="C321" s="42"/>
      <c r="D321" s="38">
        <f t="shared" si="543"/>
        <v>45986</v>
      </c>
      <c r="E321" s="31" t="str">
        <f t="shared" ref="E321:I321" si="550">CY15</f>
        <v/>
      </c>
      <c r="F321" s="31" t="str">
        <f t="shared" si="550"/>
        <v/>
      </c>
      <c r="G321" s="31" t="str">
        <f t="shared" si="550"/>
        <v/>
      </c>
      <c r="H321" s="13" t="str">
        <f t="shared" si="550"/>
        <v/>
      </c>
      <c r="I321" s="13" t="str">
        <f t="shared" si="550"/>
        <v/>
      </c>
      <c r="J321" s="107" t="str">
        <f t="array" ref="J321">IFERROR(IF(XLOOKUP(CONCAT(E321,F321),'MASTER PLAN'!$AB:$AB,'MASTER PLAN'!$M:$M,0,0)=0,"",XLOOKUP(CONCAT(E321,F321),'MASTER PLAN'!$AB:$AB,'MASTER PLAN'!$M:$M,0,0)),"")</f>
        <v/>
      </c>
      <c r="K321" s="107">
        <f t="shared" si="237"/>
        <v>0</v>
      </c>
      <c r="L321" s="107">
        <f t="shared" si="238"/>
        <v>0</v>
      </c>
      <c r="M321" s="105" t="s">
        <v>248</v>
      </c>
      <c r="AI321" s="42"/>
      <c r="BN321" s="42"/>
      <c r="CS321" s="42"/>
      <c r="DX321" s="42"/>
      <c r="FC321" s="42"/>
      <c r="GH321" s="42"/>
      <c r="HM321" s="42"/>
      <c r="IR321" s="42"/>
      <c r="JW321" s="42"/>
      <c r="LB321" s="42"/>
      <c r="MG321" s="42"/>
      <c r="NL321" s="42"/>
    </row>
    <row r="322" ht="15.75" customHeight="1">
      <c r="A322" s="42"/>
      <c r="B322" s="42"/>
      <c r="C322" s="42"/>
      <c r="D322" s="38">
        <f t="shared" si="543"/>
        <v>45986</v>
      </c>
      <c r="E322" s="31" t="str">
        <f t="shared" ref="E322:I322" si="551">CY16</f>
        <v/>
      </c>
      <c r="F322" s="31" t="str">
        <f t="shared" si="551"/>
        <v/>
      </c>
      <c r="G322" s="31" t="str">
        <f t="shared" si="551"/>
        <v/>
      </c>
      <c r="H322" s="13" t="str">
        <f t="shared" si="551"/>
        <v/>
      </c>
      <c r="I322" s="13" t="str">
        <f t="shared" si="551"/>
        <v/>
      </c>
      <c r="J322" s="107" t="str">
        <f t="array" ref="J322">IFERROR(IF(XLOOKUP(CONCAT(E322,F322),'MASTER PLAN'!$AB:$AB,'MASTER PLAN'!$M:$M,0,0)=0,"",XLOOKUP(CONCAT(E322,F322),'MASTER PLAN'!$AB:$AB,'MASTER PLAN'!$M:$M,0,0)),"")</f>
        <v/>
      </c>
      <c r="K322" s="107">
        <f t="shared" si="237"/>
        <v>0</v>
      </c>
      <c r="L322" s="107">
        <f t="shared" si="238"/>
        <v>0</v>
      </c>
      <c r="M322" s="105" t="s">
        <v>248</v>
      </c>
      <c r="AI322" s="42"/>
      <c r="BN322" s="42"/>
      <c r="CS322" s="42"/>
      <c r="DX322" s="42"/>
      <c r="FC322" s="42"/>
      <c r="GH322" s="42"/>
      <c r="HM322" s="42"/>
      <c r="IR322" s="42"/>
      <c r="JW322" s="42"/>
      <c r="LB322" s="42"/>
      <c r="MG322" s="42"/>
      <c r="NL322" s="42"/>
    </row>
    <row r="323" ht="15.75" customHeight="1">
      <c r="A323" s="42"/>
      <c r="B323" s="42"/>
      <c r="C323" s="42"/>
      <c r="D323" s="38">
        <f t="shared" si="543"/>
        <v>45986</v>
      </c>
      <c r="E323" s="31" t="str">
        <f t="shared" ref="E323:I323" si="552">CY20</f>
        <v/>
      </c>
      <c r="F323" s="31" t="str">
        <f t="shared" si="552"/>
        <v/>
      </c>
      <c r="G323" s="31" t="str">
        <f t="shared" si="552"/>
        <v/>
      </c>
      <c r="H323" s="13" t="str">
        <f t="shared" si="552"/>
        <v/>
      </c>
      <c r="I323" s="13" t="str">
        <f t="shared" si="552"/>
        <v/>
      </c>
      <c r="J323" s="107" t="str">
        <f t="array" ref="J323">IFERROR(IF(XLOOKUP(CONCAT(E323,F323),'MASTER PLAN'!$AB:$AB,'MASTER PLAN'!$M:$M,0,0)=0,"",XLOOKUP(CONCAT(E323,F323),'MASTER PLAN'!$AB:$AB,'MASTER PLAN'!$M:$M,0,0)),"")</f>
        <v/>
      </c>
      <c r="K323" s="107">
        <f t="shared" si="237"/>
        <v>0</v>
      </c>
      <c r="L323" s="107">
        <f t="shared" si="238"/>
        <v>0</v>
      </c>
      <c r="M323" s="105" t="s">
        <v>249</v>
      </c>
      <c r="AI323" s="42"/>
      <c r="BN323" s="42"/>
      <c r="CS323" s="42"/>
      <c r="DX323" s="42"/>
      <c r="FC323" s="42"/>
      <c r="GH323" s="42"/>
      <c r="HM323" s="42"/>
      <c r="IR323" s="42"/>
      <c r="JW323" s="42"/>
      <c r="LB323" s="42"/>
      <c r="MG323" s="42"/>
      <c r="NL323" s="42"/>
    </row>
    <row r="324" ht="15.75" customHeight="1">
      <c r="A324" s="42"/>
      <c r="B324" s="42"/>
      <c r="C324" s="42"/>
      <c r="D324" s="38">
        <f t="shared" si="543"/>
        <v>45986</v>
      </c>
      <c r="E324" s="31" t="str">
        <f t="shared" ref="E324:I324" si="553">CY21</f>
        <v/>
      </c>
      <c r="F324" s="31" t="str">
        <f t="shared" si="553"/>
        <v/>
      </c>
      <c r="G324" s="31" t="str">
        <f t="shared" si="553"/>
        <v/>
      </c>
      <c r="H324" s="13" t="str">
        <f t="shared" si="553"/>
        <v/>
      </c>
      <c r="I324" s="13" t="str">
        <f t="shared" si="553"/>
        <v/>
      </c>
      <c r="J324" s="107" t="str">
        <f t="array" ref="J324">IFERROR(IF(XLOOKUP(CONCAT(E324,F324),'MASTER PLAN'!$AB:$AB,'MASTER PLAN'!$M:$M,0,0)=0,"",XLOOKUP(CONCAT(E324,F324),'MASTER PLAN'!$AB:$AB,'MASTER PLAN'!$M:$M,0,0)),"")</f>
        <v/>
      </c>
      <c r="K324" s="107">
        <f t="shared" si="237"/>
        <v>0</v>
      </c>
      <c r="L324" s="107">
        <f t="shared" si="238"/>
        <v>0</v>
      </c>
      <c r="M324" s="105" t="s">
        <v>249</v>
      </c>
      <c r="AI324" s="42"/>
      <c r="BN324" s="42"/>
      <c r="CS324" s="42"/>
      <c r="DX324" s="42"/>
      <c r="FC324" s="42"/>
      <c r="GH324" s="42"/>
      <c r="HM324" s="42"/>
      <c r="IR324" s="42"/>
      <c r="JW324" s="42"/>
      <c r="LB324" s="42"/>
      <c r="MG324" s="42"/>
      <c r="NL324" s="42"/>
    </row>
    <row r="325" ht="15.75" customHeight="1">
      <c r="A325" s="42"/>
      <c r="B325" s="42"/>
      <c r="C325" s="42"/>
      <c r="D325" s="38">
        <f t="shared" si="543"/>
        <v>45986</v>
      </c>
      <c r="E325" s="31" t="str">
        <f t="shared" ref="E325:I325" si="554">CY22</f>
        <v/>
      </c>
      <c r="F325" s="31" t="str">
        <f t="shared" si="554"/>
        <v/>
      </c>
      <c r="G325" s="31" t="str">
        <f t="shared" si="554"/>
        <v/>
      </c>
      <c r="H325" s="13" t="str">
        <f t="shared" si="554"/>
        <v/>
      </c>
      <c r="I325" s="13" t="str">
        <f t="shared" si="554"/>
        <v/>
      </c>
      <c r="J325" s="107" t="str">
        <f t="array" ref="J325">IFERROR(IF(XLOOKUP(CONCAT(E325,F325),'MASTER PLAN'!$AB:$AB,'MASTER PLAN'!$M:$M,0,0)=0,"",XLOOKUP(CONCAT(E325,F325),'MASTER PLAN'!$AB:$AB,'MASTER PLAN'!$M:$M,0,0)),"")</f>
        <v/>
      </c>
      <c r="K325" s="107">
        <f t="shared" si="237"/>
        <v>0</v>
      </c>
      <c r="L325" s="107">
        <f t="shared" si="238"/>
        <v>0</v>
      </c>
      <c r="M325" s="105" t="s">
        <v>249</v>
      </c>
      <c r="AI325" s="42"/>
      <c r="BN325" s="42"/>
      <c r="CS325" s="42"/>
      <c r="DX325" s="42"/>
      <c r="FC325" s="42"/>
      <c r="GH325" s="42"/>
      <c r="HM325" s="42"/>
      <c r="IR325" s="42"/>
      <c r="JW325" s="42"/>
      <c r="LB325" s="42"/>
      <c r="MG325" s="42"/>
      <c r="NL325" s="42"/>
    </row>
    <row r="326" ht="15.75" customHeight="1">
      <c r="A326" s="42"/>
      <c r="B326" s="42"/>
      <c r="C326" s="42"/>
      <c r="D326" s="38">
        <f t="shared" si="543"/>
        <v>45986</v>
      </c>
      <c r="E326" s="31" t="str">
        <f t="shared" ref="E326:I326" si="555">CY23</f>
        <v/>
      </c>
      <c r="F326" s="31" t="str">
        <f t="shared" si="555"/>
        <v/>
      </c>
      <c r="G326" s="31" t="str">
        <f t="shared" si="555"/>
        <v/>
      </c>
      <c r="H326" s="13" t="str">
        <f t="shared" si="555"/>
        <v/>
      </c>
      <c r="I326" s="13" t="str">
        <f t="shared" si="555"/>
        <v/>
      </c>
      <c r="J326" s="107" t="str">
        <f t="array" ref="J326">IFERROR(IF(XLOOKUP(CONCAT(E326,F326),'MASTER PLAN'!$AB:$AB,'MASTER PLAN'!$M:$M,0,0)=0,"",XLOOKUP(CONCAT(E326,F326),'MASTER PLAN'!$AB:$AB,'MASTER PLAN'!$M:$M,0,0)),"")</f>
        <v/>
      </c>
      <c r="K326" s="107">
        <f t="shared" si="237"/>
        <v>0</v>
      </c>
      <c r="L326" s="107">
        <f t="shared" si="238"/>
        <v>0</v>
      </c>
      <c r="M326" s="105" t="s">
        <v>249</v>
      </c>
      <c r="AI326" s="42"/>
      <c r="BN326" s="42"/>
      <c r="CS326" s="42"/>
      <c r="DX326" s="42"/>
      <c r="FC326" s="42"/>
      <c r="GH326" s="42"/>
      <c r="HM326" s="42"/>
      <c r="IR326" s="42"/>
      <c r="JW326" s="42"/>
      <c r="LB326" s="42"/>
      <c r="MG326" s="42"/>
      <c r="NL326" s="42"/>
    </row>
    <row r="327" ht="15.75" customHeight="1">
      <c r="A327" s="42"/>
      <c r="B327" s="42"/>
      <c r="C327" s="42"/>
      <c r="D327" s="38">
        <f t="shared" si="543"/>
        <v>45986</v>
      </c>
      <c r="E327" s="31" t="str">
        <f t="shared" ref="E327:I327" si="556">CY24</f>
        <v/>
      </c>
      <c r="F327" s="31" t="str">
        <f t="shared" si="556"/>
        <v/>
      </c>
      <c r="G327" s="31" t="str">
        <f t="shared" si="556"/>
        <v/>
      </c>
      <c r="H327" s="13" t="str">
        <f t="shared" si="556"/>
        <v/>
      </c>
      <c r="I327" s="13" t="str">
        <f t="shared" si="556"/>
        <v/>
      </c>
      <c r="J327" s="107" t="str">
        <f t="array" ref="J327">IFERROR(IF(XLOOKUP(CONCAT(E327,F327),'MASTER PLAN'!$AB:$AB,'MASTER PLAN'!$M:$M,0,0)=0,"",XLOOKUP(CONCAT(E327,F327),'MASTER PLAN'!$AB:$AB,'MASTER PLAN'!$M:$M,0,0)),"")</f>
        <v/>
      </c>
      <c r="K327" s="107">
        <f t="shared" si="237"/>
        <v>0</v>
      </c>
      <c r="L327" s="107">
        <f t="shared" si="238"/>
        <v>0</v>
      </c>
      <c r="M327" s="105" t="s">
        <v>249</v>
      </c>
      <c r="AI327" s="42"/>
      <c r="BN327" s="42"/>
      <c r="CS327" s="42"/>
      <c r="DX327" s="42"/>
      <c r="FC327" s="42"/>
      <c r="GH327" s="42"/>
      <c r="HM327" s="42"/>
      <c r="IR327" s="42"/>
      <c r="JW327" s="42"/>
      <c r="LB327" s="42"/>
      <c r="MG327" s="42"/>
      <c r="NL327" s="42"/>
    </row>
    <row r="328" ht="15.75" customHeight="1">
      <c r="A328" s="42"/>
      <c r="B328" s="42"/>
      <c r="C328" s="42"/>
      <c r="D328" s="38">
        <f>DD2</f>
        <v>45987</v>
      </c>
      <c r="E328" s="31">
        <f t="shared" ref="E328:I328" si="557">DD4</f>
        <v>1402049349</v>
      </c>
      <c r="F328" s="31">
        <f t="shared" si="557"/>
        <v>20</v>
      </c>
      <c r="G328" s="31" t="str">
        <f t="shared" si="557"/>
        <v>BOLSA WSHN WOS 17"X7"X14" FA</v>
      </c>
      <c r="H328" s="13">
        <f t="shared" si="557"/>
        <v>800</v>
      </c>
      <c r="I328" s="13" t="str">
        <f t="shared" si="557"/>
        <v/>
      </c>
      <c r="J328" s="107">
        <f t="array" ref="J328">IFERROR(IF(XLOOKUP(CONCAT(E328,F328),'MASTER PLAN'!$AB:$AB,'MASTER PLAN'!$M:$M,0,0)=0,"",XLOOKUP(CONCAT(E328,F328),'MASTER PLAN'!$AB:$AB,'MASTER PLAN'!$M:$M,0,0)),"")</f>
        <v>4.52</v>
      </c>
      <c r="K328" s="107">
        <f t="shared" si="237"/>
        <v>3616</v>
      </c>
      <c r="L328" s="107">
        <f t="shared" si="238"/>
        <v>0</v>
      </c>
      <c r="M328" s="105" t="s">
        <v>246</v>
      </c>
      <c r="AI328" s="42"/>
      <c r="BN328" s="42"/>
      <c r="CS328" s="42"/>
      <c r="DX328" s="42"/>
      <c r="FC328" s="42"/>
      <c r="GH328" s="42"/>
      <c r="HM328" s="42"/>
      <c r="IR328" s="42"/>
      <c r="JW328" s="42"/>
      <c r="LB328" s="42"/>
      <c r="MG328" s="42"/>
      <c r="NL328" s="42"/>
    </row>
    <row r="329" ht="15.75" customHeight="1">
      <c r="A329" s="42"/>
      <c r="B329" s="42"/>
      <c r="C329" s="42"/>
      <c r="D329" s="38">
        <f t="shared" ref="D329:D342" si="559">D328</f>
        <v>45987</v>
      </c>
      <c r="E329" s="31">
        <f t="shared" ref="E329:I329" si="558">DD5</f>
        <v>1402049350</v>
      </c>
      <c r="F329" s="31">
        <f t="shared" si="558"/>
        <v>30</v>
      </c>
      <c r="G329" s="31" t="str">
        <f t="shared" si="558"/>
        <v>BOLSA WSMJ MAYORS WOS 17"X7"X14" FA</v>
      </c>
      <c r="H329" s="13">
        <f t="shared" si="558"/>
        <v>1400</v>
      </c>
      <c r="I329" s="13" t="str">
        <f t="shared" si="558"/>
        <v/>
      </c>
      <c r="J329" s="107">
        <f t="array" ref="J329">IFERROR(IF(XLOOKUP(CONCAT(E329,F329),'MASTER PLAN'!$AB:$AB,'MASTER PLAN'!$M:$M,0,0)=0,"",XLOOKUP(CONCAT(E329,F329),'MASTER PLAN'!$AB:$AB,'MASTER PLAN'!$M:$M,0,0)),"")</f>
        <v>4.584</v>
      </c>
      <c r="K329" s="107">
        <f t="shared" si="237"/>
        <v>6417.6</v>
      </c>
      <c r="L329" s="107">
        <f t="shared" si="238"/>
        <v>0</v>
      </c>
      <c r="M329" s="105" t="s">
        <v>246</v>
      </c>
      <c r="AI329" s="42"/>
      <c r="BN329" s="42"/>
      <c r="CS329" s="42"/>
      <c r="DX329" s="42"/>
      <c r="FC329" s="42"/>
      <c r="GH329" s="42"/>
      <c r="HM329" s="42"/>
      <c r="IR329" s="42"/>
      <c r="JW329" s="42"/>
      <c r="LB329" s="42"/>
      <c r="MG329" s="42"/>
      <c r="NL329" s="42"/>
    </row>
    <row r="330" ht="15.75" customHeight="1">
      <c r="A330" s="42"/>
      <c r="B330" s="42"/>
      <c r="C330" s="42"/>
      <c r="D330" s="38">
        <f t="shared" si="559"/>
        <v>45987</v>
      </c>
      <c r="E330" s="31" t="str">
        <f t="shared" ref="E330:I330" si="560">DD6</f>
        <v/>
      </c>
      <c r="F330" s="31" t="str">
        <f t="shared" si="560"/>
        <v/>
      </c>
      <c r="G330" s="31" t="str">
        <f t="shared" si="560"/>
        <v/>
      </c>
      <c r="H330" s="13" t="str">
        <f t="shared" si="560"/>
        <v/>
      </c>
      <c r="I330" s="13" t="str">
        <f t="shared" si="560"/>
        <v/>
      </c>
      <c r="J330" s="107" t="str">
        <f t="array" ref="J330">IFERROR(IF(XLOOKUP(CONCAT(E330,F330),'MASTER PLAN'!$AB:$AB,'MASTER PLAN'!$M:$M,0,0)=0,"",XLOOKUP(CONCAT(E330,F330),'MASTER PLAN'!$AB:$AB,'MASTER PLAN'!$M:$M,0,0)),"")</f>
        <v/>
      </c>
      <c r="K330" s="107">
        <f t="shared" si="237"/>
        <v>0</v>
      </c>
      <c r="L330" s="107">
        <f t="shared" si="238"/>
        <v>0</v>
      </c>
      <c r="M330" s="105" t="s">
        <v>246</v>
      </c>
      <c r="AI330" s="42"/>
      <c r="BN330" s="42"/>
      <c r="CS330" s="42"/>
      <c r="DX330" s="42"/>
      <c r="FC330" s="42"/>
      <c r="GH330" s="42"/>
      <c r="HM330" s="42"/>
      <c r="IR330" s="42"/>
      <c r="JW330" s="42"/>
      <c r="LB330" s="42"/>
      <c r="MG330" s="42"/>
      <c r="NL330" s="42"/>
    </row>
    <row r="331" ht="15.75" customHeight="1">
      <c r="A331" s="42"/>
      <c r="B331" s="42"/>
      <c r="C331" s="42"/>
      <c r="D331" s="38">
        <f t="shared" si="559"/>
        <v>45987</v>
      </c>
      <c r="E331" s="31" t="str">
        <f t="shared" ref="E331:I331" si="561">DD7</f>
        <v/>
      </c>
      <c r="F331" s="31" t="str">
        <f t="shared" si="561"/>
        <v/>
      </c>
      <c r="G331" s="31" t="str">
        <f t="shared" si="561"/>
        <v/>
      </c>
      <c r="H331" s="13" t="str">
        <f t="shared" si="561"/>
        <v/>
      </c>
      <c r="I331" s="13" t="str">
        <f t="shared" si="561"/>
        <v/>
      </c>
      <c r="J331" s="107" t="str">
        <f t="array" ref="J331">IFERROR(IF(XLOOKUP(CONCAT(E331,F331),'MASTER PLAN'!$AB:$AB,'MASTER PLAN'!$M:$M,0,0)=0,"",XLOOKUP(CONCAT(E331,F331),'MASTER PLAN'!$AB:$AB,'MASTER PLAN'!$M:$M,0,0)),"")</f>
        <v/>
      </c>
      <c r="K331" s="107">
        <f t="shared" si="237"/>
        <v>0</v>
      </c>
      <c r="L331" s="107">
        <f t="shared" si="238"/>
        <v>0</v>
      </c>
      <c r="M331" s="105" t="s">
        <v>246</v>
      </c>
      <c r="AI331" s="42"/>
      <c r="BN331" s="42"/>
      <c r="CS331" s="42"/>
      <c r="DX331" s="42"/>
      <c r="FC331" s="42"/>
      <c r="GH331" s="42"/>
      <c r="HM331" s="42"/>
      <c r="IR331" s="42"/>
      <c r="JW331" s="42"/>
      <c r="LB331" s="42"/>
      <c r="MG331" s="42"/>
      <c r="NL331" s="42"/>
    </row>
    <row r="332" ht="15.75" customHeight="1">
      <c r="A332" s="42"/>
      <c r="B332" s="42"/>
      <c r="C332" s="42"/>
      <c r="D332" s="38">
        <f t="shared" si="559"/>
        <v>45987</v>
      </c>
      <c r="E332" s="31" t="str">
        <f t="shared" ref="E332:I332" si="562">DD8</f>
        <v/>
      </c>
      <c r="F332" s="31" t="str">
        <f t="shared" si="562"/>
        <v/>
      </c>
      <c r="G332" s="31" t="str">
        <f t="shared" si="562"/>
        <v/>
      </c>
      <c r="H332" s="13" t="str">
        <f t="shared" si="562"/>
        <v/>
      </c>
      <c r="I332" s="13" t="str">
        <f t="shared" si="562"/>
        <v/>
      </c>
      <c r="J332" s="107" t="str">
        <f t="array" ref="J332">IFERROR(IF(XLOOKUP(CONCAT(E332,F332),'MASTER PLAN'!$AB:$AB,'MASTER PLAN'!$M:$M,0,0)=0,"",XLOOKUP(CONCAT(E332,F332),'MASTER PLAN'!$AB:$AB,'MASTER PLAN'!$M:$M,0,0)),"")</f>
        <v/>
      </c>
      <c r="K332" s="107">
        <f t="shared" si="237"/>
        <v>0</v>
      </c>
      <c r="L332" s="107">
        <f t="shared" si="238"/>
        <v>0</v>
      </c>
      <c r="M332" s="105" t="s">
        <v>246</v>
      </c>
      <c r="AI332" s="42"/>
      <c r="BN332" s="42"/>
      <c r="CS332" s="42"/>
      <c r="DX332" s="42"/>
      <c r="FC332" s="42"/>
      <c r="GH332" s="42"/>
      <c r="HM332" s="42"/>
      <c r="IR332" s="42"/>
      <c r="JW332" s="42"/>
      <c r="LB332" s="42"/>
      <c r="MG332" s="42"/>
      <c r="NL332" s="42"/>
    </row>
    <row r="333" ht="15.75" customHeight="1">
      <c r="A333" s="42"/>
      <c r="B333" s="42"/>
      <c r="C333" s="42"/>
      <c r="D333" s="38">
        <f t="shared" si="559"/>
        <v>45987</v>
      </c>
      <c r="E333" s="31">
        <f t="shared" ref="E333:I333" si="563">DD12</f>
        <v>1402049350</v>
      </c>
      <c r="F333" s="31">
        <f t="shared" si="563"/>
        <v>20</v>
      </c>
      <c r="G333" s="31" t="str">
        <f t="shared" si="563"/>
        <v>BOLSA WSMJ MAYORS WOS 10"X6"X10" FA</v>
      </c>
      <c r="H333" s="13">
        <f t="shared" si="563"/>
        <v>700</v>
      </c>
      <c r="I333" s="13" t="str">
        <f t="shared" si="563"/>
        <v/>
      </c>
      <c r="J333" s="107">
        <f t="array" ref="J333">IFERROR(IF(XLOOKUP(CONCAT(E333,F333),'MASTER PLAN'!$AB:$AB,'MASTER PLAN'!$M:$M,0,0)=0,"",XLOOKUP(CONCAT(E333,F333),'MASTER PLAN'!$AB:$AB,'MASTER PLAN'!$M:$M,0,0)),"")</f>
        <v>2.48</v>
      </c>
      <c r="K333" s="107">
        <f t="shared" si="237"/>
        <v>1736</v>
      </c>
      <c r="L333" s="107">
        <f t="shared" si="238"/>
        <v>0</v>
      </c>
      <c r="M333" s="105" t="s">
        <v>248</v>
      </c>
      <c r="AI333" s="42"/>
      <c r="BN333" s="42"/>
      <c r="CS333" s="42"/>
      <c r="DX333" s="42"/>
      <c r="FC333" s="42"/>
      <c r="GH333" s="42"/>
      <c r="HM333" s="42"/>
      <c r="IR333" s="42"/>
      <c r="JW333" s="42"/>
      <c r="LB333" s="42"/>
      <c r="MG333" s="42"/>
      <c r="NL333" s="42"/>
    </row>
    <row r="334" ht="15.75" customHeight="1">
      <c r="A334" s="42"/>
      <c r="B334" s="42"/>
      <c r="C334" s="42"/>
      <c r="D334" s="38">
        <f t="shared" si="559"/>
        <v>45987</v>
      </c>
      <c r="E334" s="31">
        <f t="shared" ref="E334:I334" si="564">DD13</f>
        <v>1402049277</v>
      </c>
      <c r="F334" s="31">
        <f t="shared" si="564"/>
        <v>40</v>
      </c>
      <c r="G334" s="31" t="str">
        <f t="shared" si="564"/>
        <v>BOLSA ELEGANCE 12-5X4X14 IN FL</v>
      </c>
      <c r="H334" s="13">
        <f t="shared" si="564"/>
        <v>2100</v>
      </c>
      <c r="I334" s="13" t="str">
        <f t="shared" si="564"/>
        <v/>
      </c>
      <c r="J334" s="107">
        <f t="array" ref="J334">IFERROR(IF(XLOOKUP(CONCAT(E334,F334),'MASTER PLAN'!$AB:$AB,'MASTER PLAN'!$M:$M,0,0)=0,"",XLOOKUP(CONCAT(E334,F334),'MASTER PLAN'!$AB:$AB,'MASTER PLAN'!$M:$M,0,0)),"")</f>
        <v>1.832</v>
      </c>
      <c r="K334" s="107">
        <f t="shared" si="237"/>
        <v>3847.2</v>
      </c>
      <c r="L334" s="107">
        <f t="shared" si="238"/>
        <v>0</v>
      </c>
      <c r="M334" s="105" t="s">
        <v>248</v>
      </c>
      <c r="AI334" s="42"/>
      <c r="BN334" s="42"/>
      <c r="CS334" s="42"/>
      <c r="DX334" s="42"/>
      <c r="FC334" s="42"/>
      <c r="GH334" s="42"/>
      <c r="HM334" s="42"/>
      <c r="IR334" s="42"/>
      <c r="JW334" s="42"/>
      <c r="LB334" s="42"/>
      <c r="MG334" s="42"/>
      <c r="NL334" s="42"/>
    </row>
    <row r="335" ht="15.75" customHeight="1">
      <c r="A335" s="42"/>
      <c r="B335" s="42"/>
      <c r="C335" s="42"/>
      <c r="D335" s="38">
        <f t="shared" si="559"/>
        <v>45987</v>
      </c>
      <c r="E335" s="31" t="str">
        <f t="shared" ref="E335:I335" si="565">DD14</f>
        <v/>
      </c>
      <c r="F335" s="31" t="str">
        <f t="shared" si="565"/>
        <v/>
      </c>
      <c r="G335" s="31" t="str">
        <f t="shared" si="565"/>
        <v/>
      </c>
      <c r="H335" s="13" t="str">
        <f t="shared" si="565"/>
        <v/>
      </c>
      <c r="I335" s="13" t="str">
        <f t="shared" si="565"/>
        <v/>
      </c>
      <c r="J335" s="107" t="str">
        <f t="array" ref="J335">IFERROR(IF(XLOOKUP(CONCAT(E335,F335),'MASTER PLAN'!$AB:$AB,'MASTER PLAN'!$M:$M,0,0)=0,"",XLOOKUP(CONCAT(E335,F335),'MASTER PLAN'!$AB:$AB,'MASTER PLAN'!$M:$M,0,0)),"")</f>
        <v/>
      </c>
      <c r="K335" s="107">
        <f t="shared" si="237"/>
        <v>0</v>
      </c>
      <c r="L335" s="107">
        <f t="shared" si="238"/>
        <v>0</v>
      </c>
      <c r="M335" s="105" t="s">
        <v>248</v>
      </c>
      <c r="AI335" s="42"/>
      <c r="BN335" s="42"/>
      <c r="CS335" s="42"/>
      <c r="DX335" s="42"/>
      <c r="FC335" s="42"/>
      <c r="GH335" s="42"/>
      <c r="HM335" s="42"/>
      <c r="IR335" s="42"/>
      <c r="JW335" s="42"/>
      <c r="LB335" s="42"/>
      <c r="MG335" s="42"/>
      <c r="NL335" s="42"/>
    </row>
    <row r="336" ht="15.75" customHeight="1">
      <c r="A336" s="42"/>
      <c r="B336" s="42"/>
      <c r="C336" s="42"/>
      <c r="D336" s="38">
        <f t="shared" si="559"/>
        <v>45987</v>
      </c>
      <c r="E336" s="31" t="str">
        <f t="shared" ref="E336:I336" si="566">DD15</f>
        <v/>
      </c>
      <c r="F336" s="31" t="str">
        <f t="shared" si="566"/>
        <v/>
      </c>
      <c r="G336" s="31" t="str">
        <f t="shared" si="566"/>
        <v/>
      </c>
      <c r="H336" s="13" t="str">
        <f t="shared" si="566"/>
        <v/>
      </c>
      <c r="I336" s="13" t="str">
        <f t="shared" si="566"/>
        <v/>
      </c>
      <c r="J336" s="107" t="str">
        <f t="array" ref="J336">IFERROR(IF(XLOOKUP(CONCAT(E336,F336),'MASTER PLAN'!$AB:$AB,'MASTER PLAN'!$M:$M,0,0)=0,"",XLOOKUP(CONCAT(E336,F336),'MASTER PLAN'!$AB:$AB,'MASTER PLAN'!$M:$M,0,0)),"")</f>
        <v/>
      </c>
      <c r="K336" s="107">
        <f t="shared" si="237"/>
        <v>0</v>
      </c>
      <c r="L336" s="107">
        <f t="shared" si="238"/>
        <v>0</v>
      </c>
      <c r="M336" s="105" t="s">
        <v>248</v>
      </c>
      <c r="AI336" s="42"/>
      <c r="BN336" s="42"/>
      <c r="CS336" s="42"/>
      <c r="DX336" s="42"/>
      <c r="FC336" s="42"/>
      <c r="GH336" s="42"/>
      <c r="HM336" s="42"/>
      <c r="IR336" s="42"/>
      <c r="JW336" s="42"/>
      <c r="LB336" s="42"/>
      <c r="MG336" s="42"/>
      <c r="NL336" s="42"/>
    </row>
    <row r="337" ht="15.75" customHeight="1">
      <c r="A337" s="42"/>
      <c r="B337" s="42"/>
      <c r="C337" s="42"/>
      <c r="D337" s="38">
        <f t="shared" si="559"/>
        <v>45987</v>
      </c>
      <c r="E337" s="31" t="str">
        <f t="shared" ref="E337:I337" si="567">DD16</f>
        <v/>
      </c>
      <c r="F337" s="31" t="str">
        <f t="shared" si="567"/>
        <v/>
      </c>
      <c r="G337" s="31" t="str">
        <f t="shared" si="567"/>
        <v/>
      </c>
      <c r="H337" s="13" t="str">
        <f t="shared" si="567"/>
        <v/>
      </c>
      <c r="I337" s="13" t="str">
        <f t="shared" si="567"/>
        <v/>
      </c>
      <c r="J337" s="107" t="str">
        <f t="array" ref="J337">IFERROR(IF(XLOOKUP(CONCAT(E337,F337),'MASTER PLAN'!$AB:$AB,'MASTER PLAN'!$M:$M,0,0)=0,"",XLOOKUP(CONCAT(E337,F337),'MASTER PLAN'!$AB:$AB,'MASTER PLAN'!$M:$M,0,0)),"")</f>
        <v/>
      </c>
      <c r="K337" s="107">
        <f t="shared" si="237"/>
        <v>0</v>
      </c>
      <c r="L337" s="107">
        <f t="shared" si="238"/>
        <v>0</v>
      </c>
      <c r="M337" s="105" t="s">
        <v>248</v>
      </c>
      <c r="AI337" s="42"/>
      <c r="BN337" s="42"/>
      <c r="CS337" s="42"/>
      <c r="DX337" s="42"/>
      <c r="FC337" s="42"/>
      <c r="GH337" s="42"/>
      <c r="HM337" s="42"/>
      <c r="IR337" s="42"/>
      <c r="JW337" s="42"/>
      <c r="LB337" s="42"/>
      <c r="MG337" s="42"/>
      <c r="NL337" s="42"/>
    </row>
    <row r="338" ht="15.75" customHeight="1">
      <c r="A338" s="42"/>
      <c r="B338" s="42"/>
      <c r="C338" s="42"/>
      <c r="D338" s="38">
        <f t="shared" si="559"/>
        <v>45987</v>
      </c>
      <c r="E338" s="31" t="str">
        <f t="shared" ref="E338:I338" si="568">DD20</f>
        <v/>
      </c>
      <c r="F338" s="31" t="str">
        <f t="shared" si="568"/>
        <v/>
      </c>
      <c r="G338" s="31" t="str">
        <f t="shared" si="568"/>
        <v/>
      </c>
      <c r="H338" s="13" t="str">
        <f t="shared" si="568"/>
        <v/>
      </c>
      <c r="I338" s="13" t="str">
        <f t="shared" si="568"/>
        <v/>
      </c>
      <c r="J338" s="107" t="str">
        <f t="array" ref="J338">IFERROR(IF(XLOOKUP(CONCAT(E338,F338),'MASTER PLAN'!$AB:$AB,'MASTER PLAN'!$M:$M,0,0)=0,"",XLOOKUP(CONCAT(E338,F338),'MASTER PLAN'!$AB:$AB,'MASTER PLAN'!$M:$M,0,0)),"")</f>
        <v/>
      </c>
      <c r="K338" s="107">
        <f t="shared" si="237"/>
        <v>0</v>
      </c>
      <c r="L338" s="107">
        <f t="shared" si="238"/>
        <v>0</v>
      </c>
      <c r="M338" s="105" t="s">
        <v>249</v>
      </c>
      <c r="AI338" s="42"/>
      <c r="BN338" s="42"/>
      <c r="CS338" s="42"/>
      <c r="DX338" s="42"/>
      <c r="FC338" s="42"/>
      <c r="GH338" s="42"/>
      <c r="HM338" s="42"/>
      <c r="IR338" s="42"/>
      <c r="JW338" s="42"/>
      <c r="LB338" s="42"/>
      <c r="MG338" s="42"/>
      <c r="NL338" s="42"/>
    </row>
    <row r="339" ht="15.75" customHeight="1">
      <c r="A339" s="42"/>
      <c r="B339" s="42"/>
      <c r="C339" s="42"/>
      <c r="D339" s="38">
        <f t="shared" si="559"/>
        <v>45987</v>
      </c>
      <c r="E339" s="31" t="str">
        <f t="shared" ref="E339:I339" si="569">DD21</f>
        <v/>
      </c>
      <c r="F339" s="31" t="str">
        <f t="shared" si="569"/>
        <v/>
      </c>
      <c r="G339" s="31" t="str">
        <f t="shared" si="569"/>
        <v/>
      </c>
      <c r="H339" s="13" t="str">
        <f t="shared" si="569"/>
        <v/>
      </c>
      <c r="I339" s="13" t="str">
        <f t="shared" si="569"/>
        <v/>
      </c>
      <c r="J339" s="107" t="str">
        <f t="array" ref="J339">IFERROR(IF(XLOOKUP(CONCAT(E339,F339),'MASTER PLAN'!$AB:$AB,'MASTER PLAN'!$M:$M,0,0)=0,"",XLOOKUP(CONCAT(E339,F339),'MASTER PLAN'!$AB:$AB,'MASTER PLAN'!$M:$M,0,0)),"")</f>
        <v/>
      </c>
      <c r="K339" s="107">
        <f t="shared" si="237"/>
        <v>0</v>
      </c>
      <c r="L339" s="107">
        <f t="shared" si="238"/>
        <v>0</v>
      </c>
      <c r="M339" s="105" t="s">
        <v>249</v>
      </c>
      <c r="AI339" s="42"/>
      <c r="BN339" s="42"/>
      <c r="CS339" s="42"/>
      <c r="DX339" s="42"/>
      <c r="FC339" s="42"/>
      <c r="GH339" s="42"/>
      <c r="HM339" s="42"/>
      <c r="IR339" s="42"/>
      <c r="JW339" s="42"/>
      <c r="LB339" s="42"/>
      <c r="MG339" s="42"/>
      <c r="NL339" s="42"/>
    </row>
    <row r="340" ht="15.75" customHeight="1">
      <c r="A340" s="42"/>
      <c r="B340" s="42"/>
      <c r="C340" s="42"/>
      <c r="D340" s="38">
        <f t="shared" si="559"/>
        <v>45987</v>
      </c>
      <c r="E340" s="31" t="str">
        <f t="shared" ref="E340:I340" si="570">DD22</f>
        <v/>
      </c>
      <c r="F340" s="31" t="str">
        <f t="shared" si="570"/>
        <v/>
      </c>
      <c r="G340" s="31" t="str">
        <f t="shared" si="570"/>
        <v/>
      </c>
      <c r="H340" s="13" t="str">
        <f t="shared" si="570"/>
        <v/>
      </c>
      <c r="I340" s="13" t="str">
        <f t="shared" si="570"/>
        <v/>
      </c>
      <c r="J340" s="107" t="str">
        <f t="array" ref="J340">IFERROR(IF(XLOOKUP(CONCAT(E340,F340),'MASTER PLAN'!$AB:$AB,'MASTER PLAN'!$M:$M,0,0)=0,"",XLOOKUP(CONCAT(E340,F340),'MASTER PLAN'!$AB:$AB,'MASTER PLAN'!$M:$M,0,0)),"")</f>
        <v/>
      </c>
      <c r="K340" s="107">
        <f t="shared" si="237"/>
        <v>0</v>
      </c>
      <c r="L340" s="107">
        <f t="shared" si="238"/>
        <v>0</v>
      </c>
      <c r="M340" s="105" t="s">
        <v>249</v>
      </c>
      <c r="AI340" s="42"/>
      <c r="BN340" s="42"/>
      <c r="CS340" s="42"/>
      <c r="DX340" s="42"/>
      <c r="FC340" s="42"/>
      <c r="GH340" s="42"/>
      <c r="HM340" s="42"/>
      <c r="IR340" s="42"/>
      <c r="JW340" s="42"/>
      <c r="LB340" s="42"/>
      <c r="MG340" s="42"/>
      <c r="NL340" s="42"/>
    </row>
    <row r="341" ht="15.75" customHeight="1">
      <c r="A341" s="42"/>
      <c r="B341" s="42"/>
      <c r="C341" s="42"/>
      <c r="D341" s="38">
        <f t="shared" si="559"/>
        <v>45987</v>
      </c>
      <c r="E341" s="31" t="str">
        <f t="shared" ref="E341:I341" si="571">DD23</f>
        <v/>
      </c>
      <c r="F341" s="31" t="str">
        <f t="shared" si="571"/>
        <v/>
      </c>
      <c r="G341" s="31" t="str">
        <f t="shared" si="571"/>
        <v/>
      </c>
      <c r="H341" s="13" t="str">
        <f t="shared" si="571"/>
        <v/>
      </c>
      <c r="I341" s="13" t="str">
        <f t="shared" si="571"/>
        <v/>
      </c>
      <c r="J341" s="107" t="str">
        <f t="array" ref="J341">IFERROR(IF(XLOOKUP(CONCAT(E341,F341),'MASTER PLAN'!$AB:$AB,'MASTER PLAN'!$M:$M,0,0)=0,"",XLOOKUP(CONCAT(E341,F341),'MASTER PLAN'!$AB:$AB,'MASTER PLAN'!$M:$M,0,0)),"")</f>
        <v/>
      </c>
      <c r="K341" s="107">
        <f t="shared" si="237"/>
        <v>0</v>
      </c>
      <c r="L341" s="107">
        <f t="shared" si="238"/>
        <v>0</v>
      </c>
      <c r="M341" s="105" t="s">
        <v>249</v>
      </c>
      <c r="AI341" s="42"/>
      <c r="BN341" s="42"/>
      <c r="CS341" s="42"/>
      <c r="DX341" s="42"/>
      <c r="FC341" s="42"/>
      <c r="GH341" s="42"/>
      <c r="HM341" s="42"/>
      <c r="IR341" s="42"/>
      <c r="JW341" s="42"/>
      <c r="LB341" s="42"/>
      <c r="MG341" s="42"/>
      <c r="NL341" s="42"/>
    </row>
    <row r="342" ht="15.75" customHeight="1">
      <c r="A342" s="42"/>
      <c r="B342" s="42"/>
      <c r="C342" s="42"/>
      <c r="D342" s="38">
        <f t="shared" si="559"/>
        <v>45987</v>
      </c>
      <c r="E342" s="31" t="str">
        <f t="shared" ref="E342:I342" si="572">DD24</f>
        <v/>
      </c>
      <c r="F342" s="31" t="str">
        <f t="shared" si="572"/>
        <v/>
      </c>
      <c r="G342" s="31" t="str">
        <f t="shared" si="572"/>
        <v/>
      </c>
      <c r="H342" s="13" t="str">
        <f t="shared" si="572"/>
        <v/>
      </c>
      <c r="I342" s="13" t="str">
        <f t="shared" si="572"/>
        <v/>
      </c>
      <c r="J342" s="107" t="str">
        <f t="array" ref="J342">IFERROR(IF(XLOOKUP(CONCAT(E342,F342),'MASTER PLAN'!$AB:$AB,'MASTER PLAN'!$M:$M,0,0)=0,"",XLOOKUP(CONCAT(E342,F342),'MASTER PLAN'!$AB:$AB,'MASTER PLAN'!$M:$M,0,0)),"")</f>
        <v/>
      </c>
      <c r="K342" s="107">
        <f t="shared" si="237"/>
        <v>0</v>
      </c>
      <c r="L342" s="107">
        <f t="shared" si="238"/>
        <v>0</v>
      </c>
      <c r="M342" s="105" t="s">
        <v>249</v>
      </c>
      <c r="AI342" s="42"/>
      <c r="BN342" s="42"/>
      <c r="CS342" s="42"/>
      <c r="DX342" s="42"/>
      <c r="FC342" s="42"/>
      <c r="GH342" s="42"/>
      <c r="HM342" s="42"/>
      <c r="IR342" s="42"/>
      <c r="JW342" s="42"/>
      <c r="LB342" s="42"/>
      <c r="MG342" s="42"/>
      <c r="NL342" s="42"/>
    </row>
    <row r="343" ht="15.75" customHeight="1">
      <c r="A343" s="42"/>
      <c r="B343" s="42"/>
      <c r="C343" s="42"/>
      <c r="D343" s="38">
        <f>DI2</f>
        <v>45988</v>
      </c>
      <c r="E343" s="31">
        <f t="shared" ref="E343:I343" si="573">DI4</f>
        <v>1402049346</v>
      </c>
      <c r="F343" s="31">
        <f t="shared" si="573"/>
        <v>10</v>
      </c>
      <c r="G343" s="31" t="str">
        <f t="shared" si="573"/>
        <v>BOLSA HELZBERG 10X2-5X8 IN FA</v>
      </c>
      <c r="H343" s="13">
        <f t="shared" si="573"/>
        <v>3000</v>
      </c>
      <c r="I343" s="13" t="str">
        <f t="shared" si="573"/>
        <v/>
      </c>
      <c r="J343" s="107">
        <f t="array" ref="J343">IFERROR(IF(XLOOKUP(CONCAT(E343,F343),'MASTER PLAN'!$AB:$AB,'MASTER PLAN'!$M:$M,0,0)=0,"",XLOOKUP(CONCAT(E343,F343),'MASTER PLAN'!$AB:$AB,'MASTER PLAN'!$M:$M,0,0)),"")</f>
        <v>0.8</v>
      </c>
      <c r="K343" s="107">
        <f t="shared" si="237"/>
        <v>2400</v>
      </c>
      <c r="L343" s="107">
        <f t="shared" si="238"/>
        <v>0</v>
      </c>
      <c r="M343" s="105" t="s">
        <v>246</v>
      </c>
      <c r="AI343" s="42"/>
      <c r="BN343" s="42"/>
      <c r="CS343" s="42"/>
      <c r="DX343" s="42"/>
      <c r="FC343" s="42"/>
      <c r="GH343" s="42"/>
      <c r="HM343" s="42"/>
      <c r="IR343" s="42"/>
      <c r="JW343" s="42"/>
      <c r="LB343" s="42"/>
      <c r="MG343" s="42"/>
      <c r="NL343" s="42"/>
    </row>
    <row r="344" ht="15.75" customHeight="1">
      <c r="A344" s="42"/>
      <c r="B344" s="42"/>
      <c r="C344" s="42"/>
      <c r="D344" s="38">
        <f t="shared" ref="D344:D357" si="575">D343</f>
        <v>45988</v>
      </c>
      <c r="E344" s="31" t="str">
        <f t="shared" ref="E344:I344" si="574">DI5</f>
        <v/>
      </c>
      <c r="F344" s="31" t="str">
        <f t="shared" si="574"/>
        <v/>
      </c>
      <c r="G344" s="31" t="str">
        <f t="shared" si="574"/>
        <v/>
      </c>
      <c r="H344" s="13" t="str">
        <f t="shared" si="574"/>
        <v/>
      </c>
      <c r="I344" s="13" t="str">
        <f t="shared" si="574"/>
        <v/>
      </c>
      <c r="J344" s="107" t="str">
        <f t="array" ref="J344">IFERROR(IF(XLOOKUP(CONCAT(E344,F344),'MASTER PLAN'!$AB:$AB,'MASTER PLAN'!$M:$M,0,0)=0,"",XLOOKUP(CONCAT(E344,F344),'MASTER PLAN'!$AB:$AB,'MASTER PLAN'!$M:$M,0,0)),"")</f>
        <v/>
      </c>
      <c r="K344" s="107">
        <f t="shared" si="237"/>
        <v>0</v>
      </c>
      <c r="L344" s="107">
        <f t="shared" si="238"/>
        <v>0</v>
      </c>
      <c r="M344" s="105" t="s">
        <v>246</v>
      </c>
      <c r="AI344" s="42"/>
      <c r="BN344" s="42"/>
      <c r="CS344" s="42"/>
      <c r="DX344" s="42"/>
      <c r="FC344" s="42"/>
      <c r="GH344" s="42"/>
      <c r="HM344" s="42"/>
      <c r="IR344" s="42"/>
      <c r="JW344" s="42"/>
      <c r="LB344" s="42"/>
      <c r="MG344" s="42"/>
      <c r="NL344" s="42"/>
    </row>
    <row r="345" ht="15.75" customHeight="1">
      <c r="A345" s="42"/>
      <c r="B345" s="42"/>
      <c r="C345" s="42"/>
      <c r="D345" s="38">
        <f t="shared" si="575"/>
        <v>45988</v>
      </c>
      <c r="E345" s="31" t="str">
        <f t="shared" ref="E345:I345" si="576">DI6</f>
        <v/>
      </c>
      <c r="F345" s="31" t="str">
        <f t="shared" si="576"/>
        <v/>
      </c>
      <c r="G345" s="31" t="str">
        <f t="shared" si="576"/>
        <v/>
      </c>
      <c r="H345" s="13" t="str">
        <f t="shared" si="576"/>
        <v/>
      </c>
      <c r="I345" s="13" t="str">
        <f t="shared" si="576"/>
        <v/>
      </c>
      <c r="J345" s="107" t="str">
        <f t="array" ref="J345">IFERROR(IF(XLOOKUP(CONCAT(E345,F345),'MASTER PLAN'!$AB:$AB,'MASTER PLAN'!$M:$M,0,0)=0,"",XLOOKUP(CONCAT(E345,F345),'MASTER PLAN'!$AB:$AB,'MASTER PLAN'!$M:$M,0,0)),"")</f>
        <v/>
      </c>
      <c r="K345" s="107">
        <f t="shared" si="237"/>
        <v>0</v>
      </c>
      <c r="L345" s="107">
        <f t="shared" si="238"/>
        <v>0</v>
      </c>
      <c r="M345" s="105" t="s">
        <v>246</v>
      </c>
      <c r="AI345" s="42"/>
      <c r="BN345" s="42"/>
      <c r="CS345" s="42"/>
      <c r="DX345" s="42"/>
      <c r="FC345" s="42"/>
      <c r="GH345" s="42"/>
      <c r="HM345" s="42"/>
      <c r="IR345" s="42"/>
      <c r="JW345" s="42"/>
      <c r="LB345" s="42"/>
      <c r="MG345" s="42"/>
      <c r="NL345" s="42"/>
    </row>
    <row r="346" ht="15.75" customHeight="1">
      <c r="A346" s="42"/>
      <c r="B346" s="42"/>
      <c r="C346" s="42"/>
      <c r="D346" s="38">
        <f t="shared" si="575"/>
        <v>45988</v>
      </c>
      <c r="E346" s="31" t="str">
        <f t="shared" ref="E346:I346" si="577">DI7</f>
        <v/>
      </c>
      <c r="F346" s="31" t="str">
        <f t="shared" si="577"/>
        <v/>
      </c>
      <c r="G346" s="31" t="str">
        <f t="shared" si="577"/>
        <v/>
      </c>
      <c r="H346" s="13" t="str">
        <f t="shared" si="577"/>
        <v/>
      </c>
      <c r="I346" s="13" t="str">
        <f t="shared" si="577"/>
        <v/>
      </c>
      <c r="J346" s="107" t="str">
        <f t="array" ref="J346">IFERROR(IF(XLOOKUP(CONCAT(E346,F346),'MASTER PLAN'!$AB:$AB,'MASTER PLAN'!$M:$M,0,0)=0,"",XLOOKUP(CONCAT(E346,F346),'MASTER PLAN'!$AB:$AB,'MASTER PLAN'!$M:$M,0,0)),"")</f>
        <v/>
      </c>
      <c r="K346" s="107">
        <f t="shared" si="237"/>
        <v>0</v>
      </c>
      <c r="L346" s="107">
        <f t="shared" si="238"/>
        <v>0</v>
      </c>
      <c r="M346" s="105" t="s">
        <v>246</v>
      </c>
      <c r="AI346" s="42"/>
      <c r="BN346" s="42"/>
      <c r="CS346" s="42"/>
      <c r="DX346" s="42"/>
      <c r="FC346" s="42"/>
      <c r="GH346" s="42"/>
      <c r="HM346" s="42"/>
      <c r="IR346" s="42"/>
      <c r="JW346" s="42"/>
      <c r="LB346" s="42"/>
      <c r="MG346" s="42"/>
      <c r="NL346" s="42"/>
    </row>
    <row r="347" ht="15.75" customHeight="1">
      <c r="A347" s="42"/>
      <c r="B347" s="42"/>
      <c r="C347" s="42"/>
      <c r="D347" s="38">
        <f t="shared" si="575"/>
        <v>45988</v>
      </c>
      <c r="E347" s="31" t="str">
        <f t="shared" ref="E347:I347" si="578">DI8</f>
        <v/>
      </c>
      <c r="F347" s="31" t="str">
        <f t="shared" si="578"/>
        <v/>
      </c>
      <c r="G347" s="31" t="str">
        <f t="shared" si="578"/>
        <v/>
      </c>
      <c r="H347" s="13" t="str">
        <f t="shared" si="578"/>
        <v/>
      </c>
      <c r="I347" s="13" t="str">
        <f t="shared" si="578"/>
        <v/>
      </c>
      <c r="J347" s="107" t="str">
        <f t="array" ref="J347">IFERROR(IF(XLOOKUP(CONCAT(E347,F347),'MASTER PLAN'!$AB:$AB,'MASTER PLAN'!$M:$M,0,0)=0,"",XLOOKUP(CONCAT(E347,F347),'MASTER PLAN'!$AB:$AB,'MASTER PLAN'!$M:$M,0,0)),"")</f>
        <v/>
      </c>
      <c r="K347" s="107">
        <f t="shared" si="237"/>
        <v>0</v>
      </c>
      <c r="L347" s="107">
        <f t="shared" si="238"/>
        <v>0</v>
      </c>
      <c r="M347" s="105" t="s">
        <v>246</v>
      </c>
      <c r="AI347" s="42"/>
      <c r="BN347" s="42"/>
      <c r="CS347" s="42"/>
      <c r="DX347" s="42"/>
      <c r="FC347" s="42"/>
      <c r="GH347" s="42"/>
      <c r="HM347" s="42"/>
      <c r="IR347" s="42"/>
      <c r="JW347" s="42"/>
      <c r="LB347" s="42"/>
      <c r="MG347" s="42"/>
      <c r="NL347" s="42"/>
    </row>
    <row r="348" ht="15.75" customHeight="1">
      <c r="A348" s="42"/>
      <c r="B348" s="42"/>
      <c r="C348" s="42"/>
      <c r="D348" s="38">
        <f t="shared" si="575"/>
        <v>45988</v>
      </c>
      <c r="E348" s="31">
        <f t="shared" ref="E348:I348" si="579">DI12</f>
        <v>1402049277</v>
      </c>
      <c r="F348" s="31">
        <f t="shared" si="579"/>
        <v>40</v>
      </c>
      <c r="G348" s="31" t="str">
        <f t="shared" si="579"/>
        <v>BOLSA ELEGANCE 12-5X4X14 IN FL</v>
      </c>
      <c r="H348" s="13">
        <f t="shared" si="579"/>
        <v>900</v>
      </c>
      <c r="I348" s="13" t="str">
        <f t="shared" si="579"/>
        <v/>
      </c>
      <c r="J348" s="107">
        <f t="array" ref="J348">IFERROR(IF(XLOOKUP(CONCAT(E348,F348),'MASTER PLAN'!$AB:$AB,'MASTER PLAN'!$M:$M,0,0)=0,"",XLOOKUP(CONCAT(E348,F348),'MASTER PLAN'!$AB:$AB,'MASTER PLAN'!$M:$M,0,0)),"")</f>
        <v>1.832</v>
      </c>
      <c r="K348" s="107">
        <f t="shared" si="237"/>
        <v>1648.8</v>
      </c>
      <c r="L348" s="107">
        <f t="shared" si="238"/>
        <v>0</v>
      </c>
      <c r="M348" s="105" t="s">
        <v>248</v>
      </c>
      <c r="AI348" s="42"/>
      <c r="BN348" s="42"/>
      <c r="CS348" s="42"/>
      <c r="DX348" s="42"/>
      <c r="FC348" s="42"/>
      <c r="GH348" s="42"/>
      <c r="HM348" s="42"/>
      <c r="IR348" s="42"/>
      <c r="JW348" s="42"/>
      <c r="LB348" s="42"/>
      <c r="MG348" s="42"/>
      <c r="NL348" s="42"/>
    </row>
    <row r="349" ht="15.75" customHeight="1">
      <c r="A349" s="42"/>
      <c r="B349" s="42"/>
      <c r="C349" s="42"/>
      <c r="D349" s="38">
        <f t="shared" si="575"/>
        <v>45988</v>
      </c>
      <c r="E349" s="31">
        <f t="shared" ref="E349:I349" si="580">DI13</f>
        <v>1402049286</v>
      </c>
      <c r="F349" s="31">
        <f t="shared" si="580"/>
        <v>10</v>
      </c>
      <c r="G349" s="31" t="str">
        <f t="shared" si="580"/>
        <v>BOLSA HUNTINGTON 6-5"X3-5"X6-5"</v>
      </c>
      <c r="H349" s="13">
        <f t="shared" si="580"/>
        <v>2500</v>
      </c>
      <c r="I349" s="13" t="str">
        <f t="shared" si="580"/>
        <v/>
      </c>
      <c r="J349" s="107">
        <f t="array" ref="J349">IFERROR(IF(XLOOKUP(CONCAT(E349,F349),'MASTER PLAN'!$AB:$AB,'MASTER PLAN'!$M:$M,0,0)=0,"",XLOOKUP(CONCAT(E349,F349),'MASTER PLAN'!$AB:$AB,'MASTER PLAN'!$M:$M,0,0)),"")</f>
        <v>1.768</v>
      </c>
      <c r="K349" s="107">
        <f t="shared" si="237"/>
        <v>4420</v>
      </c>
      <c r="L349" s="107">
        <f t="shared" si="238"/>
        <v>0</v>
      </c>
      <c r="M349" s="105" t="s">
        <v>248</v>
      </c>
      <c r="AI349" s="42"/>
      <c r="BN349" s="42"/>
      <c r="CS349" s="42"/>
      <c r="DX349" s="42"/>
      <c r="FC349" s="42"/>
      <c r="GH349" s="42"/>
      <c r="HM349" s="42"/>
      <c r="IR349" s="42"/>
      <c r="JW349" s="42"/>
      <c r="LB349" s="42"/>
      <c r="MG349" s="42"/>
      <c r="NL349" s="42"/>
    </row>
    <row r="350" ht="15.75" customHeight="1">
      <c r="A350" s="42"/>
      <c r="B350" s="42"/>
      <c r="C350" s="42"/>
      <c r="D350" s="38">
        <f t="shared" si="575"/>
        <v>45988</v>
      </c>
      <c r="E350" s="31" t="str">
        <f t="shared" ref="E350:I350" si="581">DI14</f>
        <v/>
      </c>
      <c r="F350" s="31" t="str">
        <f t="shared" si="581"/>
        <v/>
      </c>
      <c r="G350" s="31" t="str">
        <f t="shared" si="581"/>
        <v/>
      </c>
      <c r="H350" s="13" t="str">
        <f t="shared" si="581"/>
        <v/>
      </c>
      <c r="I350" s="13" t="str">
        <f t="shared" si="581"/>
        <v/>
      </c>
      <c r="J350" s="107" t="str">
        <f t="array" ref="J350">IFERROR(IF(XLOOKUP(CONCAT(E350,F350),'MASTER PLAN'!$AB:$AB,'MASTER PLAN'!$M:$M,0,0)=0,"",XLOOKUP(CONCAT(E350,F350),'MASTER PLAN'!$AB:$AB,'MASTER PLAN'!$M:$M,0,0)),"")</f>
        <v/>
      </c>
      <c r="K350" s="107">
        <f t="shared" si="237"/>
        <v>0</v>
      </c>
      <c r="L350" s="107">
        <f t="shared" si="238"/>
        <v>0</v>
      </c>
      <c r="M350" s="105" t="s">
        <v>248</v>
      </c>
      <c r="AI350" s="42"/>
      <c r="BN350" s="42"/>
      <c r="CS350" s="42"/>
      <c r="DX350" s="42"/>
      <c r="FC350" s="42"/>
      <c r="GH350" s="42"/>
      <c r="HM350" s="42"/>
      <c r="IR350" s="42"/>
      <c r="JW350" s="42"/>
      <c r="LB350" s="42"/>
      <c r="MG350" s="42"/>
      <c r="NL350" s="42"/>
    </row>
    <row r="351" ht="15.75" customHeight="1">
      <c r="A351" s="42"/>
      <c r="B351" s="42"/>
      <c r="C351" s="42"/>
      <c r="D351" s="38">
        <f t="shared" si="575"/>
        <v>45988</v>
      </c>
      <c r="E351" s="31" t="str">
        <f t="shared" ref="E351:I351" si="582">DI15</f>
        <v/>
      </c>
      <c r="F351" s="31" t="str">
        <f t="shared" si="582"/>
        <v/>
      </c>
      <c r="G351" s="31" t="str">
        <f t="shared" si="582"/>
        <v/>
      </c>
      <c r="H351" s="13" t="str">
        <f t="shared" si="582"/>
        <v/>
      </c>
      <c r="I351" s="13" t="str">
        <f t="shared" si="582"/>
        <v/>
      </c>
      <c r="J351" s="107" t="str">
        <f t="array" ref="J351">IFERROR(IF(XLOOKUP(CONCAT(E351,F351),'MASTER PLAN'!$AB:$AB,'MASTER PLAN'!$M:$M,0,0)=0,"",XLOOKUP(CONCAT(E351,F351),'MASTER PLAN'!$AB:$AB,'MASTER PLAN'!$M:$M,0,0)),"")</f>
        <v/>
      </c>
      <c r="K351" s="107">
        <f t="shared" si="237"/>
        <v>0</v>
      </c>
      <c r="L351" s="107">
        <f t="shared" si="238"/>
        <v>0</v>
      </c>
      <c r="M351" s="105" t="s">
        <v>248</v>
      </c>
      <c r="AI351" s="42"/>
      <c r="BN351" s="42"/>
      <c r="CS351" s="42"/>
      <c r="DX351" s="42"/>
      <c r="FC351" s="42"/>
      <c r="GH351" s="42"/>
      <c r="HM351" s="42"/>
      <c r="IR351" s="42"/>
      <c r="JW351" s="42"/>
      <c r="LB351" s="42"/>
      <c r="MG351" s="42"/>
      <c r="NL351" s="42"/>
    </row>
    <row r="352" ht="15.75" customHeight="1">
      <c r="A352" s="42"/>
      <c r="B352" s="42"/>
      <c r="C352" s="42"/>
      <c r="D352" s="38">
        <f t="shared" si="575"/>
        <v>45988</v>
      </c>
      <c r="E352" s="31" t="str">
        <f t="shared" ref="E352:I352" si="583">DI16</f>
        <v/>
      </c>
      <c r="F352" s="31" t="str">
        <f t="shared" si="583"/>
        <v/>
      </c>
      <c r="G352" s="31" t="str">
        <f t="shared" si="583"/>
        <v/>
      </c>
      <c r="H352" s="13" t="str">
        <f t="shared" si="583"/>
        <v/>
      </c>
      <c r="I352" s="13" t="str">
        <f t="shared" si="583"/>
        <v/>
      </c>
      <c r="J352" s="107" t="str">
        <f t="array" ref="J352">IFERROR(IF(XLOOKUP(CONCAT(E352,F352),'MASTER PLAN'!$AB:$AB,'MASTER PLAN'!$M:$M,0,0)=0,"",XLOOKUP(CONCAT(E352,F352),'MASTER PLAN'!$AB:$AB,'MASTER PLAN'!$M:$M,0,0)),"")</f>
        <v/>
      </c>
      <c r="K352" s="107">
        <f t="shared" si="237"/>
        <v>0</v>
      </c>
      <c r="L352" s="107">
        <f t="shared" si="238"/>
        <v>0</v>
      </c>
      <c r="M352" s="105" t="s">
        <v>248</v>
      </c>
      <c r="AI352" s="42"/>
      <c r="BN352" s="42"/>
      <c r="CS352" s="42"/>
      <c r="DX352" s="42"/>
      <c r="FC352" s="42"/>
      <c r="GH352" s="42"/>
      <c r="HM352" s="42"/>
      <c r="IR352" s="42"/>
      <c r="JW352" s="42"/>
      <c r="LB352" s="42"/>
      <c r="MG352" s="42"/>
      <c r="NL352" s="42"/>
    </row>
    <row r="353" ht="15.75" customHeight="1">
      <c r="A353" s="42"/>
      <c r="B353" s="42"/>
      <c r="C353" s="42"/>
      <c r="D353" s="38">
        <f t="shared" si="575"/>
        <v>45988</v>
      </c>
      <c r="E353" s="31" t="str">
        <f t="shared" ref="E353:I353" si="584">DI20</f>
        <v/>
      </c>
      <c r="F353" s="31" t="str">
        <f t="shared" si="584"/>
        <v/>
      </c>
      <c r="G353" s="31" t="str">
        <f t="shared" si="584"/>
        <v/>
      </c>
      <c r="H353" s="13" t="str">
        <f t="shared" si="584"/>
        <v/>
      </c>
      <c r="I353" s="13" t="str">
        <f t="shared" si="584"/>
        <v/>
      </c>
      <c r="J353" s="107" t="str">
        <f t="array" ref="J353">IFERROR(IF(XLOOKUP(CONCAT(E353,F353),'MASTER PLAN'!$AB:$AB,'MASTER PLAN'!$M:$M,0,0)=0,"",XLOOKUP(CONCAT(E353,F353),'MASTER PLAN'!$AB:$AB,'MASTER PLAN'!$M:$M,0,0)),"")</f>
        <v/>
      </c>
      <c r="K353" s="107">
        <f t="shared" si="237"/>
        <v>0</v>
      </c>
      <c r="L353" s="107">
        <f t="shared" si="238"/>
        <v>0</v>
      </c>
      <c r="M353" s="105" t="s">
        <v>249</v>
      </c>
      <c r="AI353" s="42"/>
      <c r="BN353" s="42"/>
      <c r="CS353" s="42"/>
      <c r="DX353" s="42"/>
      <c r="FC353" s="42"/>
      <c r="GH353" s="42"/>
      <c r="HM353" s="42"/>
      <c r="IR353" s="42"/>
      <c r="JW353" s="42"/>
      <c r="LB353" s="42"/>
      <c r="MG353" s="42"/>
      <c r="NL353" s="42"/>
    </row>
    <row r="354" ht="15.75" customHeight="1">
      <c r="A354" s="42"/>
      <c r="B354" s="42"/>
      <c r="C354" s="42"/>
      <c r="D354" s="38">
        <f t="shared" si="575"/>
        <v>45988</v>
      </c>
      <c r="E354" s="31" t="str">
        <f t="shared" ref="E354:I354" si="585">DI21</f>
        <v/>
      </c>
      <c r="F354" s="31" t="str">
        <f t="shared" si="585"/>
        <v/>
      </c>
      <c r="G354" s="31" t="str">
        <f t="shared" si="585"/>
        <v/>
      </c>
      <c r="H354" s="13" t="str">
        <f t="shared" si="585"/>
        <v/>
      </c>
      <c r="I354" s="13" t="str">
        <f t="shared" si="585"/>
        <v/>
      </c>
      <c r="J354" s="107" t="str">
        <f t="array" ref="J354">IFERROR(IF(XLOOKUP(CONCAT(E354,F354),'MASTER PLAN'!$AB:$AB,'MASTER PLAN'!$M:$M,0,0)=0,"",XLOOKUP(CONCAT(E354,F354),'MASTER PLAN'!$AB:$AB,'MASTER PLAN'!$M:$M,0,0)),"")</f>
        <v/>
      </c>
      <c r="K354" s="107">
        <f t="shared" si="237"/>
        <v>0</v>
      </c>
      <c r="L354" s="107">
        <f t="shared" si="238"/>
        <v>0</v>
      </c>
      <c r="M354" s="105" t="s">
        <v>249</v>
      </c>
      <c r="AI354" s="42"/>
      <c r="BN354" s="42"/>
      <c r="CS354" s="42"/>
      <c r="DX354" s="42"/>
      <c r="FC354" s="42"/>
      <c r="GH354" s="42"/>
      <c r="HM354" s="42"/>
      <c r="IR354" s="42"/>
      <c r="JW354" s="42"/>
      <c r="LB354" s="42"/>
      <c r="MG354" s="42"/>
      <c r="NL354" s="42"/>
    </row>
    <row r="355" ht="15.75" customHeight="1">
      <c r="A355" s="42"/>
      <c r="B355" s="42"/>
      <c r="C355" s="42"/>
      <c r="D355" s="38">
        <f t="shared" si="575"/>
        <v>45988</v>
      </c>
      <c r="E355" s="31" t="str">
        <f t="shared" ref="E355:I355" si="586">DI22</f>
        <v/>
      </c>
      <c r="F355" s="31" t="str">
        <f t="shared" si="586"/>
        <v/>
      </c>
      <c r="G355" s="31" t="str">
        <f t="shared" si="586"/>
        <v/>
      </c>
      <c r="H355" s="13" t="str">
        <f t="shared" si="586"/>
        <v/>
      </c>
      <c r="I355" s="13" t="str">
        <f t="shared" si="586"/>
        <v/>
      </c>
      <c r="J355" s="107" t="str">
        <f t="array" ref="J355">IFERROR(IF(XLOOKUP(CONCAT(E355,F355),'MASTER PLAN'!$AB:$AB,'MASTER PLAN'!$M:$M,0,0)=0,"",XLOOKUP(CONCAT(E355,F355),'MASTER PLAN'!$AB:$AB,'MASTER PLAN'!$M:$M,0,0)),"")</f>
        <v/>
      </c>
      <c r="K355" s="107">
        <f t="shared" si="237"/>
        <v>0</v>
      </c>
      <c r="L355" s="107">
        <f t="shared" si="238"/>
        <v>0</v>
      </c>
      <c r="M355" s="105" t="s">
        <v>249</v>
      </c>
      <c r="AI355" s="42"/>
      <c r="BN355" s="42"/>
      <c r="CS355" s="42"/>
      <c r="DX355" s="42"/>
      <c r="FC355" s="42"/>
      <c r="GH355" s="42"/>
      <c r="HM355" s="42"/>
      <c r="IR355" s="42"/>
      <c r="JW355" s="42"/>
      <c r="LB355" s="42"/>
      <c r="MG355" s="42"/>
      <c r="NL355" s="42"/>
    </row>
    <row r="356" ht="15.75" customHeight="1">
      <c r="A356" s="42"/>
      <c r="B356" s="42"/>
      <c r="C356" s="42"/>
      <c r="D356" s="38">
        <f t="shared" si="575"/>
        <v>45988</v>
      </c>
      <c r="E356" s="31" t="str">
        <f t="shared" ref="E356:I356" si="587">DI23</f>
        <v/>
      </c>
      <c r="F356" s="31" t="str">
        <f t="shared" si="587"/>
        <v/>
      </c>
      <c r="G356" s="31" t="str">
        <f t="shared" si="587"/>
        <v/>
      </c>
      <c r="H356" s="13" t="str">
        <f t="shared" si="587"/>
        <v/>
      </c>
      <c r="I356" s="13" t="str">
        <f t="shared" si="587"/>
        <v/>
      </c>
      <c r="J356" s="107" t="str">
        <f t="array" ref="J356">IFERROR(IF(XLOOKUP(CONCAT(E356,F356),'MASTER PLAN'!$AB:$AB,'MASTER PLAN'!$M:$M,0,0)=0,"",XLOOKUP(CONCAT(E356,F356),'MASTER PLAN'!$AB:$AB,'MASTER PLAN'!$M:$M,0,0)),"")</f>
        <v/>
      </c>
      <c r="K356" s="107">
        <f t="shared" si="237"/>
        <v>0</v>
      </c>
      <c r="L356" s="107">
        <f t="shared" si="238"/>
        <v>0</v>
      </c>
      <c r="M356" s="105" t="s">
        <v>249</v>
      </c>
      <c r="AI356" s="42"/>
      <c r="BN356" s="42"/>
      <c r="CS356" s="42"/>
      <c r="DX356" s="42"/>
      <c r="FC356" s="42"/>
      <c r="GH356" s="42"/>
      <c r="HM356" s="42"/>
      <c r="IR356" s="42"/>
      <c r="JW356" s="42"/>
      <c r="LB356" s="42"/>
      <c r="MG356" s="42"/>
      <c r="NL356" s="42"/>
    </row>
    <row r="357" ht="15.75" customHeight="1">
      <c r="A357" s="42"/>
      <c r="B357" s="42"/>
      <c r="C357" s="42"/>
      <c r="D357" s="38">
        <f t="shared" si="575"/>
        <v>45988</v>
      </c>
      <c r="E357" s="31" t="str">
        <f t="shared" ref="E357:I357" si="588">DI24</f>
        <v/>
      </c>
      <c r="F357" s="31" t="str">
        <f t="shared" si="588"/>
        <v/>
      </c>
      <c r="G357" s="31" t="str">
        <f t="shared" si="588"/>
        <v/>
      </c>
      <c r="H357" s="13" t="str">
        <f t="shared" si="588"/>
        <v/>
      </c>
      <c r="I357" s="13" t="str">
        <f t="shared" si="588"/>
        <v/>
      </c>
      <c r="J357" s="107" t="str">
        <f t="array" ref="J357">IFERROR(IF(XLOOKUP(CONCAT(E357,F357),'MASTER PLAN'!$AB:$AB,'MASTER PLAN'!$M:$M,0,0)=0,"",XLOOKUP(CONCAT(E357,F357),'MASTER PLAN'!$AB:$AB,'MASTER PLAN'!$M:$M,0,0)),"")</f>
        <v/>
      </c>
      <c r="K357" s="107">
        <f t="shared" si="237"/>
        <v>0</v>
      </c>
      <c r="L357" s="107">
        <f t="shared" si="238"/>
        <v>0</v>
      </c>
      <c r="M357" s="105" t="s">
        <v>249</v>
      </c>
      <c r="AI357" s="42"/>
      <c r="BN357" s="42"/>
      <c r="CS357" s="42"/>
      <c r="DX357" s="42"/>
      <c r="FC357" s="42"/>
      <c r="GH357" s="42"/>
      <c r="HM357" s="42"/>
      <c r="IR357" s="42"/>
      <c r="JW357" s="42"/>
      <c r="LB357" s="42"/>
      <c r="MG357" s="42"/>
      <c r="NL357" s="42"/>
    </row>
    <row r="358" ht="15.75" customHeight="1">
      <c r="A358" s="42"/>
      <c r="B358" s="42"/>
      <c r="C358" s="42"/>
      <c r="D358" s="38">
        <f>DN2</f>
        <v>45989</v>
      </c>
      <c r="E358" s="31">
        <f t="shared" ref="E358:I358" si="589">DN4</f>
        <v>1402049362</v>
      </c>
      <c r="F358" s="31">
        <f t="shared" si="589"/>
        <v>10</v>
      </c>
      <c r="G358" s="31" t="str">
        <f t="shared" si="589"/>
        <v>BOLSA SCHWANKE KASTEN CO 10"X6"X8"</v>
      </c>
      <c r="H358" s="13">
        <f t="shared" si="589"/>
        <v>2000</v>
      </c>
      <c r="I358" s="13" t="str">
        <f t="shared" si="589"/>
        <v/>
      </c>
      <c r="J358" s="107">
        <f t="array" ref="J358">IFERROR(IF(XLOOKUP(CONCAT(E358,F358),'MASTER PLAN'!$AB:$AB,'MASTER PLAN'!$M:$M,0,0)=0,"",XLOOKUP(CONCAT(E358,F358),'MASTER PLAN'!$AB:$AB,'MASTER PLAN'!$M:$M,0,0)),"")</f>
        <v>1.408</v>
      </c>
      <c r="K358" s="107">
        <f t="shared" si="237"/>
        <v>2816</v>
      </c>
      <c r="L358" s="107">
        <f t="shared" si="238"/>
        <v>0</v>
      </c>
      <c r="M358" s="105" t="s">
        <v>246</v>
      </c>
      <c r="AI358" s="42"/>
      <c r="BN358" s="42"/>
      <c r="CS358" s="42"/>
      <c r="DX358" s="42"/>
      <c r="FC358" s="42"/>
      <c r="GH358" s="42"/>
      <c r="HM358" s="42"/>
      <c r="IR358" s="42"/>
      <c r="JW358" s="42"/>
      <c r="LB358" s="42"/>
      <c r="MG358" s="42"/>
      <c r="NL358" s="42"/>
    </row>
    <row r="359" ht="15.75" customHeight="1">
      <c r="A359" s="42"/>
      <c r="B359" s="42"/>
      <c r="C359" s="42"/>
      <c r="D359" s="38">
        <f t="shared" ref="D359:D372" si="591">D358</f>
        <v>45989</v>
      </c>
      <c r="E359" s="31">
        <f t="shared" ref="E359:I359" si="590">DN5</f>
        <v>1402049363</v>
      </c>
      <c r="F359" s="31">
        <f t="shared" si="590"/>
        <v>10</v>
      </c>
      <c r="G359" s="31" t="str">
        <f t="shared" si="590"/>
        <v>BOLSA BELUM 11X7X14-5 CM FL</v>
      </c>
      <c r="H359" s="13">
        <f t="shared" si="590"/>
        <v>550</v>
      </c>
      <c r="I359" s="13" t="str">
        <f t="shared" si="590"/>
        <v/>
      </c>
      <c r="J359" s="107">
        <f t="array" ref="J359">IFERROR(IF(XLOOKUP(CONCAT(E359,F359),'MASTER PLAN'!$AB:$AB,'MASTER PLAN'!$M:$M,0,0)=0,"",XLOOKUP(CONCAT(E359,F359),'MASTER PLAN'!$AB:$AB,'MASTER PLAN'!$M:$M,0,0)),"")</f>
        <v>0.53</v>
      </c>
      <c r="K359" s="107">
        <f t="shared" si="237"/>
        <v>291.5</v>
      </c>
      <c r="L359" s="107">
        <f t="shared" si="238"/>
        <v>0</v>
      </c>
      <c r="M359" s="105" t="s">
        <v>246</v>
      </c>
      <c r="AI359" s="42"/>
      <c r="BN359" s="42"/>
      <c r="CS359" s="42"/>
      <c r="DX359" s="42"/>
      <c r="FC359" s="42"/>
      <c r="GH359" s="42"/>
      <c r="HM359" s="42"/>
      <c r="IR359" s="42"/>
      <c r="JW359" s="42"/>
      <c r="LB359" s="42"/>
      <c r="MG359" s="42"/>
      <c r="NL359" s="42"/>
    </row>
    <row r="360" ht="15.75" customHeight="1">
      <c r="A360" s="42"/>
      <c r="B360" s="42"/>
      <c r="C360" s="42"/>
      <c r="D360" s="38">
        <f t="shared" si="591"/>
        <v>45989</v>
      </c>
      <c r="E360" s="31" t="str">
        <f t="shared" ref="E360:I360" si="592">DN6</f>
        <v/>
      </c>
      <c r="F360" s="31" t="str">
        <f t="shared" si="592"/>
        <v/>
      </c>
      <c r="G360" s="31" t="str">
        <f t="shared" si="592"/>
        <v/>
      </c>
      <c r="H360" s="13" t="str">
        <f t="shared" si="592"/>
        <v/>
      </c>
      <c r="I360" s="13" t="str">
        <f t="shared" si="592"/>
        <v/>
      </c>
      <c r="J360" s="107" t="str">
        <f t="array" ref="J360">IFERROR(IF(XLOOKUP(CONCAT(E360,F360),'MASTER PLAN'!$AB:$AB,'MASTER PLAN'!$M:$M,0,0)=0,"",XLOOKUP(CONCAT(E360,F360),'MASTER PLAN'!$AB:$AB,'MASTER PLAN'!$M:$M,0,0)),"")</f>
        <v/>
      </c>
      <c r="K360" s="107">
        <f t="shared" si="237"/>
        <v>0</v>
      </c>
      <c r="L360" s="107">
        <f t="shared" si="238"/>
        <v>0</v>
      </c>
      <c r="M360" s="105" t="s">
        <v>246</v>
      </c>
      <c r="AI360" s="42"/>
      <c r="BN360" s="42"/>
      <c r="CS360" s="42"/>
      <c r="DX360" s="42"/>
      <c r="FC360" s="42"/>
      <c r="GH360" s="42"/>
      <c r="HM360" s="42"/>
      <c r="IR360" s="42"/>
      <c r="JW360" s="42"/>
      <c r="LB360" s="42"/>
      <c r="MG360" s="42"/>
      <c r="NL360" s="42"/>
    </row>
    <row r="361" ht="15.75" customHeight="1">
      <c r="A361" s="42"/>
      <c r="B361" s="42"/>
      <c r="C361" s="42"/>
      <c r="D361" s="38">
        <f t="shared" si="591"/>
        <v>45989</v>
      </c>
      <c r="E361" s="31" t="str">
        <f t="shared" ref="E361:I361" si="593">DN7</f>
        <v/>
      </c>
      <c r="F361" s="31" t="str">
        <f t="shared" si="593"/>
        <v/>
      </c>
      <c r="G361" s="31" t="str">
        <f t="shared" si="593"/>
        <v/>
      </c>
      <c r="H361" s="13" t="str">
        <f t="shared" si="593"/>
        <v/>
      </c>
      <c r="I361" s="13" t="str">
        <f t="shared" si="593"/>
        <v/>
      </c>
      <c r="J361" s="107" t="str">
        <f t="array" ref="J361">IFERROR(IF(XLOOKUP(CONCAT(E361,F361),'MASTER PLAN'!$AB:$AB,'MASTER PLAN'!$M:$M,0,0)=0,"",XLOOKUP(CONCAT(E361,F361),'MASTER PLAN'!$AB:$AB,'MASTER PLAN'!$M:$M,0,0)),"")</f>
        <v/>
      </c>
      <c r="K361" s="107">
        <f t="shared" si="237"/>
        <v>0</v>
      </c>
      <c r="L361" s="107">
        <f t="shared" si="238"/>
        <v>0</v>
      </c>
      <c r="M361" s="105" t="s">
        <v>246</v>
      </c>
      <c r="AI361" s="42"/>
      <c r="BN361" s="42"/>
      <c r="CS361" s="42"/>
      <c r="DX361" s="42"/>
      <c r="FC361" s="42"/>
      <c r="GH361" s="42"/>
      <c r="HM361" s="42"/>
      <c r="IR361" s="42"/>
      <c r="JW361" s="42"/>
      <c r="LB361" s="42"/>
      <c r="MG361" s="42"/>
      <c r="NL361" s="42"/>
    </row>
    <row r="362" ht="15.75" customHeight="1">
      <c r="A362" s="42"/>
      <c r="B362" s="42"/>
      <c r="C362" s="42"/>
      <c r="D362" s="38">
        <f t="shared" si="591"/>
        <v>45989</v>
      </c>
      <c r="E362" s="31" t="str">
        <f t="shared" ref="E362:I362" si="594">DN8</f>
        <v/>
      </c>
      <c r="F362" s="31" t="str">
        <f t="shared" si="594"/>
        <v/>
      </c>
      <c r="G362" s="31" t="str">
        <f t="shared" si="594"/>
        <v/>
      </c>
      <c r="H362" s="13" t="str">
        <f t="shared" si="594"/>
        <v/>
      </c>
      <c r="I362" s="13" t="str">
        <f t="shared" si="594"/>
        <v/>
      </c>
      <c r="J362" s="107" t="str">
        <f t="array" ref="J362">IFERROR(IF(XLOOKUP(CONCAT(E362,F362),'MASTER PLAN'!$AB:$AB,'MASTER PLAN'!$M:$M,0,0)=0,"",XLOOKUP(CONCAT(E362,F362),'MASTER PLAN'!$AB:$AB,'MASTER PLAN'!$M:$M,0,0)),"")</f>
        <v/>
      </c>
      <c r="K362" s="107">
        <f t="shared" si="237"/>
        <v>0</v>
      </c>
      <c r="L362" s="107">
        <f t="shared" si="238"/>
        <v>0</v>
      </c>
      <c r="M362" s="105" t="s">
        <v>246</v>
      </c>
      <c r="AI362" s="42"/>
      <c r="BN362" s="42"/>
      <c r="CS362" s="42"/>
      <c r="DX362" s="42"/>
      <c r="FC362" s="42"/>
      <c r="GH362" s="42"/>
      <c r="HM362" s="42"/>
      <c r="IR362" s="42"/>
      <c r="JW362" s="42"/>
      <c r="LB362" s="42"/>
      <c r="MG362" s="42"/>
      <c r="NL362" s="42"/>
    </row>
    <row r="363" ht="15.75" customHeight="1">
      <c r="A363" s="42"/>
      <c r="B363" s="42"/>
      <c r="C363" s="42"/>
      <c r="D363" s="38">
        <f t="shared" si="591"/>
        <v>45989</v>
      </c>
      <c r="E363" s="31">
        <f t="shared" ref="E363:I363" si="595">DN12</f>
        <v>1402049286</v>
      </c>
      <c r="F363" s="31">
        <f t="shared" si="595"/>
        <v>10</v>
      </c>
      <c r="G363" s="31" t="str">
        <f t="shared" si="595"/>
        <v>BOLSA HUNTINGTON 6-5"X3-5"X6-5"</v>
      </c>
      <c r="H363" s="13">
        <f t="shared" si="595"/>
        <v>2000</v>
      </c>
      <c r="I363" s="13" t="str">
        <f t="shared" si="595"/>
        <v/>
      </c>
      <c r="J363" s="107">
        <f t="array" ref="J363">IFERROR(IF(XLOOKUP(CONCAT(E363,F363),'MASTER PLAN'!$AB:$AB,'MASTER PLAN'!$M:$M,0,0)=0,"",XLOOKUP(CONCAT(E363,F363),'MASTER PLAN'!$AB:$AB,'MASTER PLAN'!$M:$M,0,0)),"")</f>
        <v>1.768</v>
      </c>
      <c r="K363" s="107">
        <f t="shared" si="237"/>
        <v>3536</v>
      </c>
      <c r="L363" s="107">
        <f t="shared" si="238"/>
        <v>0</v>
      </c>
      <c r="M363" s="105" t="s">
        <v>248</v>
      </c>
      <c r="AI363" s="42"/>
      <c r="BN363" s="42"/>
      <c r="CS363" s="42"/>
      <c r="DX363" s="42"/>
      <c r="FC363" s="42"/>
      <c r="GH363" s="42"/>
      <c r="HM363" s="42"/>
      <c r="IR363" s="42"/>
      <c r="JW363" s="42"/>
      <c r="LB363" s="42"/>
      <c r="MG363" s="42"/>
      <c r="NL363" s="42"/>
    </row>
    <row r="364" ht="15.75" customHeight="1">
      <c r="A364" s="42"/>
      <c r="B364" s="42"/>
      <c r="C364" s="42"/>
      <c r="D364" s="38">
        <f t="shared" si="591"/>
        <v>45989</v>
      </c>
      <c r="E364" s="31">
        <f t="shared" ref="E364:I364" si="596">DN13</f>
        <v>1402049286</v>
      </c>
      <c r="F364" s="31">
        <f t="shared" si="596"/>
        <v>20</v>
      </c>
      <c r="G364" s="31" t="str">
        <f t="shared" si="596"/>
        <v>BOLSA HUNTINGTON 8"X4"X10"</v>
      </c>
      <c r="H364" s="13">
        <f t="shared" si="596"/>
        <v>1800</v>
      </c>
      <c r="I364" s="13" t="str">
        <f t="shared" si="596"/>
        <v/>
      </c>
      <c r="J364" s="107">
        <f t="array" ref="J364">IFERROR(IF(XLOOKUP(CONCAT(E364,F364),'MASTER PLAN'!$AB:$AB,'MASTER PLAN'!$M:$M,0,0)=0,"",XLOOKUP(CONCAT(E364,F364),'MASTER PLAN'!$AB:$AB,'MASTER PLAN'!$M:$M,0,0)),"")</f>
        <v>3.336</v>
      </c>
      <c r="K364" s="107">
        <f t="shared" si="237"/>
        <v>6004.8</v>
      </c>
      <c r="L364" s="107">
        <f t="shared" si="238"/>
        <v>0</v>
      </c>
      <c r="M364" s="105" t="s">
        <v>248</v>
      </c>
      <c r="AI364" s="42"/>
      <c r="BN364" s="42"/>
      <c r="CS364" s="42"/>
      <c r="DX364" s="42"/>
      <c r="FC364" s="42"/>
      <c r="GH364" s="42"/>
      <c r="HM364" s="42"/>
      <c r="IR364" s="42"/>
      <c r="JW364" s="42"/>
      <c r="LB364" s="42"/>
      <c r="MG364" s="42"/>
      <c r="NL364" s="42"/>
    </row>
    <row r="365" ht="15.75" customHeight="1">
      <c r="A365" s="42"/>
      <c r="B365" s="42"/>
      <c r="C365" s="42"/>
      <c r="D365" s="38">
        <f t="shared" si="591"/>
        <v>45989</v>
      </c>
      <c r="E365" s="31" t="str">
        <f t="shared" ref="E365:I365" si="597">DN14</f>
        <v/>
      </c>
      <c r="F365" s="31" t="str">
        <f t="shared" si="597"/>
        <v/>
      </c>
      <c r="G365" s="31" t="str">
        <f t="shared" si="597"/>
        <v/>
      </c>
      <c r="H365" s="13" t="str">
        <f t="shared" si="597"/>
        <v/>
      </c>
      <c r="I365" s="13" t="str">
        <f t="shared" si="597"/>
        <v/>
      </c>
      <c r="J365" s="107" t="str">
        <f t="array" ref="J365">IFERROR(IF(XLOOKUP(CONCAT(E365,F365),'MASTER PLAN'!$AB:$AB,'MASTER PLAN'!$M:$M,0,0)=0,"",XLOOKUP(CONCAT(E365,F365),'MASTER PLAN'!$AB:$AB,'MASTER PLAN'!$M:$M,0,0)),"")</f>
        <v/>
      </c>
      <c r="K365" s="107">
        <f t="shared" si="237"/>
        <v>0</v>
      </c>
      <c r="L365" s="107">
        <f t="shared" si="238"/>
        <v>0</v>
      </c>
      <c r="M365" s="105" t="s">
        <v>248</v>
      </c>
      <c r="AI365" s="42"/>
      <c r="BN365" s="42"/>
      <c r="CS365" s="42"/>
      <c r="DX365" s="42"/>
      <c r="FC365" s="42"/>
      <c r="GH365" s="42"/>
      <c r="HM365" s="42"/>
      <c r="IR365" s="42"/>
      <c r="JW365" s="42"/>
      <c r="LB365" s="42"/>
      <c r="MG365" s="42"/>
      <c r="NL365" s="42"/>
    </row>
    <row r="366" ht="15.75" customHeight="1">
      <c r="A366" s="42"/>
      <c r="B366" s="42"/>
      <c r="C366" s="42"/>
      <c r="D366" s="38">
        <f t="shared" si="591"/>
        <v>45989</v>
      </c>
      <c r="E366" s="31" t="str">
        <f t="shared" ref="E366:I366" si="598">DN15</f>
        <v/>
      </c>
      <c r="F366" s="31" t="str">
        <f t="shared" si="598"/>
        <v/>
      </c>
      <c r="G366" s="31" t="str">
        <f t="shared" si="598"/>
        <v/>
      </c>
      <c r="H366" s="13" t="str">
        <f t="shared" si="598"/>
        <v/>
      </c>
      <c r="I366" s="13" t="str">
        <f t="shared" si="598"/>
        <v/>
      </c>
      <c r="J366" s="107" t="str">
        <f t="array" ref="J366">IFERROR(IF(XLOOKUP(CONCAT(E366,F366),'MASTER PLAN'!$AB:$AB,'MASTER PLAN'!$M:$M,0,0)=0,"",XLOOKUP(CONCAT(E366,F366),'MASTER PLAN'!$AB:$AB,'MASTER PLAN'!$M:$M,0,0)),"")</f>
        <v/>
      </c>
      <c r="K366" s="107">
        <f t="shared" si="237"/>
        <v>0</v>
      </c>
      <c r="L366" s="107">
        <f t="shared" si="238"/>
        <v>0</v>
      </c>
      <c r="M366" s="105" t="s">
        <v>248</v>
      </c>
      <c r="AI366" s="42"/>
      <c r="BN366" s="42"/>
      <c r="CS366" s="42"/>
      <c r="DX366" s="42"/>
      <c r="FC366" s="42"/>
      <c r="GH366" s="42"/>
      <c r="HM366" s="42"/>
      <c r="IR366" s="42"/>
      <c r="JW366" s="42"/>
      <c r="LB366" s="42"/>
      <c r="MG366" s="42"/>
      <c r="NL366" s="42"/>
    </row>
    <row r="367" ht="15.75" customHeight="1">
      <c r="A367" s="42"/>
      <c r="B367" s="42"/>
      <c r="C367" s="42"/>
      <c r="D367" s="38">
        <f t="shared" si="591"/>
        <v>45989</v>
      </c>
      <c r="E367" s="31" t="str">
        <f t="shared" ref="E367:I367" si="599">DN16</f>
        <v/>
      </c>
      <c r="F367" s="31" t="str">
        <f t="shared" si="599"/>
        <v/>
      </c>
      <c r="G367" s="31" t="str">
        <f t="shared" si="599"/>
        <v/>
      </c>
      <c r="H367" s="13" t="str">
        <f t="shared" si="599"/>
        <v/>
      </c>
      <c r="I367" s="13" t="str">
        <f t="shared" si="599"/>
        <v/>
      </c>
      <c r="J367" s="107" t="str">
        <f t="array" ref="J367">IFERROR(IF(XLOOKUP(CONCAT(E367,F367),'MASTER PLAN'!$AB:$AB,'MASTER PLAN'!$M:$M,0,0)=0,"",XLOOKUP(CONCAT(E367,F367),'MASTER PLAN'!$AB:$AB,'MASTER PLAN'!$M:$M,0,0)),"")</f>
        <v/>
      </c>
      <c r="K367" s="107">
        <f t="shared" si="237"/>
        <v>0</v>
      </c>
      <c r="L367" s="107">
        <f t="shared" si="238"/>
        <v>0</v>
      </c>
      <c r="M367" s="105" t="s">
        <v>248</v>
      </c>
      <c r="AI367" s="42"/>
      <c r="BN367" s="42"/>
      <c r="CS367" s="42"/>
      <c r="DX367" s="42"/>
      <c r="FC367" s="42"/>
      <c r="GH367" s="42"/>
      <c r="HM367" s="42"/>
      <c r="IR367" s="42"/>
      <c r="JW367" s="42"/>
      <c r="LB367" s="42"/>
      <c r="MG367" s="42"/>
      <c r="NL367" s="42"/>
    </row>
    <row r="368" ht="15.75" customHeight="1">
      <c r="A368" s="42"/>
      <c r="B368" s="42"/>
      <c r="C368" s="42"/>
      <c r="D368" s="38">
        <f t="shared" si="591"/>
        <v>45989</v>
      </c>
      <c r="E368" s="31" t="str">
        <f t="shared" ref="E368:I368" si="600">DN20</f>
        <v/>
      </c>
      <c r="F368" s="31" t="str">
        <f t="shared" si="600"/>
        <v/>
      </c>
      <c r="G368" s="31" t="str">
        <f t="shared" si="600"/>
        <v/>
      </c>
      <c r="H368" s="13" t="str">
        <f t="shared" si="600"/>
        <v/>
      </c>
      <c r="I368" s="13" t="str">
        <f t="shared" si="600"/>
        <v/>
      </c>
      <c r="J368" s="107" t="str">
        <f t="array" ref="J368">IFERROR(IF(XLOOKUP(CONCAT(E368,F368),'MASTER PLAN'!$AB:$AB,'MASTER PLAN'!$M:$M,0,0)=0,"",XLOOKUP(CONCAT(E368,F368),'MASTER PLAN'!$AB:$AB,'MASTER PLAN'!$M:$M,0,0)),"")</f>
        <v/>
      </c>
      <c r="K368" s="107">
        <f t="shared" si="237"/>
        <v>0</v>
      </c>
      <c r="L368" s="107">
        <f t="shared" si="238"/>
        <v>0</v>
      </c>
      <c r="M368" s="105" t="s">
        <v>249</v>
      </c>
      <c r="AI368" s="42"/>
      <c r="BN368" s="42"/>
      <c r="CS368" s="42"/>
      <c r="DX368" s="42"/>
      <c r="FC368" s="42"/>
      <c r="GH368" s="42"/>
      <c r="HM368" s="42"/>
      <c r="IR368" s="42"/>
      <c r="JW368" s="42"/>
      <c r="LB368" s="42"/>
      <c r="MG368" s="42"/>
      <c r="NL368" s="42"/>
    </row>
    <row r="369" ht="15.75" customHeight="1">
      <c r="A369" s="42"/>
      <c r="B369" s="42"/>
      <c r="C369" s="42"/>
      <c r="D369" s="38">
        <f t="shared" si="591"/>
        <v>45989</v>
      </c>
      <c r="E369" s="31" t="str">
        <f t="shared" ref="E369:I369" si="601">DN21</f>
        <v/>
      </c>
      <c r="F369" s="31" t="str">
        <f t="shared" si="601"/>
        <v/>
      </c>
      <c r="G369" s="31" t="str">
        <f t="shared" si="601"/>
        <v/>
      </c>
      <c r="H369" s="13" t="str">
        <f t="shared" si="601"/>
        <v/>
      </c>
      <c r="I369" s="13" t="str">
        <f t="shared" si="601"/>
        <v/>
      </c>
      <c r="J369" s="107" t="str">
        <f t="array" ref="J369">IFERROR(IF(XLOOKUP(CONCAT(E369,F369),'MASTER PLAN'!$AB:$AB,'MASTER PLAN'!$M:$M,0,0)=0,"",XLOOKUP(CONCAT(E369,F369),'MASTER PLAN'!$AB:$AB,'MASTER PLAN'!$M:$M,0,0)),"")</f>
        <v/>
      </c>
      <c r="K369" s="107">
        <f t="shared" si="237"/>
        <v>0</v>
      </c>
      <c r="L369" s="107">
        <f t="shared" si="238"/>
        <v>0</v>
      </c>
      <c r="M369" s="105" t="s">
        <v>249</v>
      </c>
      <c r="AI369" s="42"/>
      <c r="BN369" s="42"/>
      <c r="CS369" s="42"/>
      <c r="DX369" s="42"/>
      <c r="FC369" s="42"/>
      <c r="GH369" s="42"/>
      <c r="HM369" s="42"/>
      <c r="IR369" s="42"/>
      <c r="JW369" s="42"/>
      <c r="LB369" s="42"/>
      <c r="MG369" s="42"/>
      <c r="NL369" s="42"/>
    </row>
    <row r="370" ht="15.75" customHeight="1">
      <c r="A370" s="42"/>
      <c r="B370" s="42"/>
      <c r="C370" s="42"/>
      <c r="D370" s="38">
        <f t="shared" si="591"/>
        <v>45989</v>
      </c>
      <c r="E370" s="31" t="str">
        <f t="shared" ref="E370:I370" si="602">DN22</f>
        <v/>
      </c>
      <c r="F370" s="31" t="str">
        <f t="shared" si="602"/>
        <v/>
      </c>
      <c r="G370" s="31" t="str">
        <f t="shared" si="602"/>
        <v/>
      </c>
      <c r="H370" s="13" t="str">
        <f t="shared" si="602"/>
        <v/>
      </c>
      <c r="I370" s="13" t="str">
        <f t="shared" si="602"/>
        <v/>
      </c>
      <c r="J370" s="107" t="str">
        <f t="array" ref="J370">IFERROR(IF(XLOOKUP(CONCAT(E370,F370),'MASTER PLAN'!$AB:$AB,'MASTER PLAN'!$M:$M,0,0)=0,"",XLOOKUP(CONCAT(E370,F370),'MASTER PLAN'!$AB:$AB,'MASTER PLAN'!$M:$M,0,0)),"")</f>
        <v/>
      </c>
      <c r="K370" s="107">
        <f t="shared" si="237"/>
        <v>0</v>
      </c>
      <c r="L370" s="107">
        <f t="shared" si="238"/>
        <v>0</v>
      </c>
      <c r="M370" s="105" t="s">
        <v>249</v>
      </c>
      <c r="AI370" s="42"/>
      <c r="BN370" s="42"/>
      <c r="CS370" s="42"/>
      <c r="DX370" s="42"/>
      <c r="FC370" s="42"/>
      <c r="GH370" s="42"/>
      <c r="HM370" s="42"/>
      <c r="IR370" s="42"/>
      <c r="JW370" s="42"/>
      <c r="LB370" s="42"/>
      <c r="MG370" s="42"/>
      <c r="NL370" s="42"/>
    </row>
    <row r="371" ht="15.75" customHeight="1">
      <c r="A371" s="42"/>
      <c r="B371" s="42"/>
      <c r="C371" s="42"/>
      <c r="D371" s="38">
        <f t="shared" si="591"/>
        <v>45989</v>
      </c>
      <c r="E371" s="31" t="str">
        <f t="shared" ref="E371:I371" si="603">DN23</f>
        <v/>
      </c>
      <c r="F371" s="31" t="str">
        <f t="shared" si="603"/>
        <v/>
      </c>
      <c r="G371" s="31" t="str">
        <f t="shared" si="603"/>
        <v/>
      </c>
      <c r="H371" s="13" t="str">
        <f t="shared" si="603"/>
        <v/>
      </c>
      <c r="I371" s="13" t="str">
        <f t="shared" si="603"/>
        <v/>
      </c>
      <c r="J371" s="107" t="str">
        <f t="array" ref="J371">IFERROR(IF(XLOOKUP(CONCAT(E371,F371),'MASTER PLAN'!$AB:$AB,'MASTER PLAN'!$M:$M,0,0)=0,"",XLOOKUP(CONCAT(E371,F371),'MASTER PLAN'!$AB:$AB,'MASTER PLAN'!$M:$M,0,0)),"")</f>
        <v/>
      </c>
      <c r="K371" s="107">
        <f t="shared" si="237"/>
        <v>0</v>
      </c>
      <c r="L371" s="107">
        <f t="shared" si="238"/>
        <v>0</v>
      </c>
      <c r="M371" s="105" t="s">
        <v>249</v>
      </c>
      <c r="AI371" s="42"/>
      <c r="BN371" s="42"/>
      <c r="CS371" s="42"/>
      <c r="DX371" s="42"/>
      <c r="FC371" s="42"/>
      <c r="GH371" s="42"/>
      <c r="HM371" s="42"/>
      <c r="IR371" s="42"/>
      <c r="JW371" s="42"/>
      <c r="LB371" s="42"/>
      <c r="MG371" s="42"/>
      <c r="NL371" s="42"/>
    </row>
    <row r="372" ht="15.75" customHeight="1">
      <c r="A372" s="42"/>
      <c r="B372" s="42"/>
      <c r="C372" s="42"/>
      <c r="D372" s="38">
        <f t="shared" si="591"/>
        <v>45989</v>
      </c>
      <c r="E372" s="31" t="str">
        <f t="shared" ref="E372:I372" si="604">DN24</f>
        <v/>
      </c>
      <c r="F372" s="31" t="str">
        <f t="shared" si="604"/>
        <v/>
      </c>
      <c r="G372" s="31" t="str">
        <f t="shared" si="604"/>
        <v/>
      </c>
      <c r="H372" s="13" t="str">
        <f t="shared" si="604"/>
        <v/>
      </c>
      <c r="I372" s="13" t="str">
        <f t="shared" si="604"/>
        <v/>
      </c>
      <c r="J372" s="107" t="str">
        <f t="array" ref="J372">IFERROR(IF(XLOOKUP(CONCAT(E372,F372),'MASTER PLAN'!$AB:$AB,'MASTER PLAN'!$M:$M,0,0)=0,"",XLOOKUP(CONCAT(E372,F372),'MASTER PLAN'!$AB:$AB,'MASTER PLAN'!$M:$M,0,0)),"")</f>
        <v/>
      </c>
      <c r="K372" s="107">
        <f t="shared" si="237"/>
        <v>0</v>
      </c>
      <c r="L372" s="107">
        <f t="shared" si="238"/>
        <v>0</v>
      </c>
      <c r="M372" s="105" t="s">
        <v>249</v>
      </c>
      <c r="AI372" s="42"/>
      <c r="BN372" s="42"/>
      <c r="CS372" s="42"/>
      <c r="DX372" s="42"/>
      <c r="FC372" s="42"/>
      <c r="GH372" s="42"/>
      <c r="HM372" s="42"/>
      <c r="IR372" s="42"/>
      <c r="JW372" s="42"/>
      <c r="LB372" s="42"/>
      <c r="MG372" s="42"/>
      <c r="NL372" s="42"/>
    </row>
    <row r="373" ht="15.75" customHeight="1">
      <c r="A373" s="42"/>
      <c r="B373" s="42"/>
      <c r="C373" s="42"/>
      <c r="D373" s="38">
        <f>DS2</f>
        <v>45990</v>
      </c>
      <c r="E373" s="31" t="str">
        <f t="shared" ref="E373:I373" si="605">DS4</f>
        <v/>
      </c>
      <c r="F373" s="31" t="str">
        <f t="shared" si="605"/>
        <v/>
      </c>
      <c r="G373" s="31" t="str">
        <f t="shared" si="605"/>
        <v/>
      </c>
      <c r="H373" s="13" t="str">
        <f t="shared" si="605"/>
        <v/>
      </c>
      <c r="I373" s="13" t="str">
        <f t="shared" si="605"/>
        <v/>
      </c>
      <c r="J373" s="107" t="str">
        <f t="array" ref="J373">IFERROR(IF(XLOOKUP(CONCAT(E373,F373),'MASTER PLAN'!$AB:$AB,'MASTER PLAN'!$M:$M,0,0)=0,"",XLOOKUP(CONCAT(E373,F373),'MASTER PLAN'!$AB:$AB,'MASTER PLAN'!$M:$M,0,0)),"")</f>
        <v/>
      </c>
      <c r="K373" s="107">
        <f t="shared" si="237"/>
        <v>0</v>
      </c>
      <c r="L373" s="107">
        <f t="shared" si="238"/>
        <v>0</v>
      </c>
      <c r="M373" s="105" t="s">
        <v>246</v>
      </c>
      <c r="AI373" s="42"/>
      <c r="BN373" s="42"/>
      <c r="CS373" s="42"/>
      <c r="DX373" s="42"/>
      <c r="FC373" s="42"/>
      <c r="GH373" s="42"/>
      <c r="HM373" s="42"/>
      <c r="IR373" s="42"/>
      <c r="JW373" s="42"/>
      <c r="LB373" s="42"/>
      <c r="MG373" s="42"/>
      <c r="NL373" s="42"/>
    </row>
    <row r="374" ht="15.75" customHeight="1">
      <c r="A374" s="42"/>
      <c r="B374" s="42"/>
      <c r="C374" s="42"/>
      <c r="D374" s="38">
        <f t="shared" ref="D374:D387" si="607">D373</f>
        <v>45990</v>
      </c>
      <c r="E374" s="31" t="str">
        <f t="shared" ref="E374:I374" si="606">DS5</f>
        <v/>
      </c>
      <c r="F374" s="31" t="str">
        <f t="shared" si="606"/>
        <v/>
      </c>
      <c r="G374" s="31" t="str">
        <f t="shared" si="606"/>
        <v/>
      </c>
      <c r="H374" s="13" t="str">
        <f t="shared" si="606"/>
        <v/>
      </c>
      <c r="I374" s="13" t="str">
        <f t="shared" si="606"/>
        <v/>
      </c>
      <c r="J374" s="107" t="str">
        <f t="array" ref="J374">IFERROR(IF(XLOOKUP(CONCAT(E374,F374),'MASTER PLAN'!$AB:$AB,'MASTER PLAN'!$M:$M,0,0)=0,"",XLOOKUP(CONCAT(E374,F374),'MASTER PLAN'!$AB:$AB,'MASTER PLAN'!$M:$M,0,0)),"")</f>
        <v/>
      </c>
      <c r="K374" s="107">
        <f t="shared" si="237"/>
        <v>0</v>
      </c>
      <c r="L374" s="107">
        <f t="shared" si="238"/>
        <v>0</v>
      </c>
      <c r="M374" s="105" t="s">
        <v>246</v>
      </c>
      <c r="AI374" s="42"/>
      <c r="BN374" s="42"/>
      <c r="CS374" s="42"/>
      <c r="DX374" s="42"/>
      <c r="FC374" s="42"/>
      <c r="GH374" s="42"/>
      <c r="HM374" s="42"/>
      <c r="IR374" s="42"/>
      <c r="JW374" s="42"/>
      <c r="LB374" s="42"/>
      <c r="MG374" s="42"/>
      <c r="NL374" s="42"/>
    </row>
    <row r="375" ht="15.75" customHeight="1">
      <c r="A375" s="42"/>
      <c r="B375" s="42"/>
      <c r="C375" s="42"/>
      <c r="D375" s="38">
        <f t="shared" si="607"/>
        <v>45990</v>
      </c>
      <c r="E375" s="31" t="str">
        <f t="shared" ref="E375:I375" si="608">DS6</f>
        <v/>
      </c>
      <c r="F375" s="31" t="str">
        <f t="shared" si="608"/>
        <v/>
      </c>
      <c r="G375" s="31" t="str">
        <f t="shared" si="608"/>
        <v/>
      </c>
      <c r="H375" s="13" t="str">
        <f t="shared" si="608"/>
        <v/>
      </c>
      <c r="I375" s="13" t="str">
        <f t="shared" si="608"/>
        <v/>
      </c>
      <c r="J375" s="107" t="str">
        <f t="array" ref="J375">IFERROR(IF(XLOOKUP(CONCAT(E375,F375),'MASTER PLAN'!$AB:$AB,'MASTER PLAN'!$M:$M,0,0)=0,"",XLOOKUP(CONCAT(E375,F375),'MASTER PLAN'!$AB:$AB,'MASTER PLAN'!$M:$M,0,0)),"")</f>
        <v/>
      </c>
      <c r="K375" s="107">
        <f t="shared" si="237"/>
        <v>0</v>
      </c>
      <c r="L375" s="107">
        <f t="shared" si="238"/>
        <v>0</v>
      </c>
      <c r="M375" s="105" t="s">
        <v>246</v>
      </c>
      <c r="AI375" s="42"/>
      <c r="BN375" s="42"/>
      <c r="CS375" s="42"/>
      <c r="DX375" s="42"/>
      <c r="FC375" s="42"/>
      <c r="GH375" s="42"/>
      <c r="HM375" s="42"/>
      <c r="IR375" s="42"/>
      <c r="JW375" s="42"/>
      <c r="LB375" s="42"/>
      <c r="MG375" s="42"/>
      <c r="NL375" s="42"/>
    </row>
    <row r="376" ht="15.75" customHeight="1">
      <c r="A376" s="42"/>
      <c r="B376" s="42"/>
      <c r="C376" s="42"/>
      <c r="D376" s="38">
        <f t="shared" si="607"/>
        <v>45990</v>
      </c>
      <c r="E376" s="31" t="str">
        <f t="shared" ref="E376:I376" si="609">DS7</f>
        <v/>
      </c>
      <c r="F376" s="31" t="str">
        <f t="shared" si="609"/>
        <v/>
      </c>
      <c r="G376" s="31" t="str">
        <f t="shared" si="609"/>
        <v/>
      </c>
      <c r="H376" s="13" t="str">
        <f t="shared" si="609"/>
        <v/>
      </c>
      <c r="I376" s="13" t="str">
        <f t="shared" si="609"/>
        <v/>
      </c>
      <c r="J376" s="107" t="str">
        <f t="array" ref="J376">IFERROR(IF(XLOOKUP(CONCAT(E376,F376),'MASTER PLAN'!$AB:$AB,'MASTER PLAN'!$M:$M,0,0)=0,"",XLOOKUP(CONCAT(E376,F376),'MASTER PLAN'!$AB:$AB,'MASTER PLAN'!$M:$M,0,0)),"")</f>
        <v/>
      </c>
      <c r="K376" s="107">
        <f t="shared" si="237"/>
        <v>0</v>
      </c>
      <c r="L376" s="107">
        <f t="shared" si="238"/>
        <v>0</v>
      </c>
      <c r="M376" s="105" t="s">
        <v>246</v>
      </c>
      <c r="AI376" s="42"/>
      <c r="BN376" s="42"/>
      <c r="CS376" s="42"/>
      <c r="DX376" s="42"/>
      <c r="FC376" s="42"/>
      <c r="GH376" s="42"/>
      <c r="HM376" s="42"/>
      <c r="IR376" s="42"/>
      <c r="JW376" s="42"/>
      <c r="LB376" s="42"/>
      <c r="MG376" s="42"/>
      <c r="NL376" s="42"/>
    </row>
    <row r="377" ht="15.75" customHeight="1">
      <c r="A377" s="42"/>
      <c r="B377" s="42"/>
      <c r="C377" s="42"/>
      <c r="D377" s="38">
        <f t="shared" si="607"/>
        <v>45990</v>
      </c>
      <c r="E377" s="31" t="str">
        <f t="shared" ref="E377:I377" si="610">DS8</f>
        <v/>
      </c>
      <c r="F377" s="31" t="str">
        <f t="shared" si="610"/>
        <v/>
      </c>
      <c r="G377" s="31" t="str">
        <f t="shared" si="610"/>
        <v/>
      </c>
      <c r="H377" s="13" t="str">
        <f t="shared" si="610"/>
        <v/>
      </c>
      <c r="I377" s="13" t="str">
        <f t="shared" si="610"/>
        <v/>
      </c>
      <c r="J377" s="107" t="str">
        <f t="array" ref="J377">IFERROR(IF(XLOOKUP(CONCAT(E377,F377),'MASTER PLAN'!$AB:$AB,'MASTER PLAN'!$M:$M,0,0)=0,"",XLOOKUP(CONCAT(E377,F377),'MASTER PLAN'!$AB:$AB,'MASTER PLAN'!$M:$M,0,0)),"")</f>
        <v/>
      </c>
      <c r="K377" s="107">
        <f t="shared" si="237"/>
        <v>0</v>
      </c>
      <c r="L377" s="107">
        <f t="shared" si="238"/>
        <v>0</v>
      </c>
      <c r="M377" s="105" t="s">
        <v>246</v>
      </c>
      <c r="AI377" s="42"/>
      <c r="BN377" s="42"/>
      <c r="CS377" s="42"/>
      <c r="DX377" s="42"/>
      <c r="FC377" s="42"/>
      <c r="GH377" s="42"/>
      <c r="HM377" s="42"/>
      <c r="IR377" s="42"/>
      <c r="JW377" s="42"/>
      <c r="LB377" s="42"/>
      <c r="MG377" s="42"/>
      <c r="NL377" s="42"/>
    </row>
    <row r="378" ht="15.75" customHeight="1">
      <c r="A378" s="42"/>
      <c r="B378" s="42"/>
      <c r="C378" s="42"/>
      <c r="D378" s="38">
        <f t="shared" si="607"/>
        <v>45990</v>
      </c>
      <c r="E378" s="31" t="str">
        <f t="shared" ref="E378:I378" si="611">DS12</f>
        <v/>
      </c>
      <c r="F378" s="31" t="str">
        <f t="shared" si="611"/>
        <v/>
      </c>
      <c r="G378" s="31" t="str">
        <f t="shared" si="611"/>
        <v/>
      </c>
      <c r="H378" s="13" t="str">
        <f t="shared" si="611"/>
        <v/>
      </c>
      <c r="I378" s="13" t="str">
        <f t="shared" si="611"/>
        <v/>
      </c>
      <c r="J378" s="107" t="str">
        <f t="array" ref="J378">IFERROR(IF(XLOOKUP(CONCAT(E378,F378),'MASTER PLAN'!$AB:$AB,'MASTER PLAN'!$M:$M,0,0)=0,"",XLOOKUP(CONCAT(E378,F378),'MASTER PLAN'!$AB:$AB,'MASTER PLAN'!$M:$M,0,0)),"")</f>
        <v/>
      </c>
      <c r="K378" s="107">
        <f t="shared" si="237"/>
        <v>0</v>
      </c>
      <c r="L378" s="107">
        <f t="shared" si="238"/>
        <v>0</v>
      </c>
      <c r="M378" s="105" t="s">
        <v>248</v>
      </c>
      <c r="AI378" s="42"/>
      <c r="BN378" s="42"/>
      <c r="CS378" s="42"/>
      <c r="DX378" s="42"/>
      <c r="FC378" s="42"/>
      <c r="GH378" s="42"/>
      <c r="HM378" s="42"/>
      <c r="IR378" s="42"/>
      <c r="JW378" s="42"/>
      <c r="LB378" s="42"/>
      <c r="MG378" s="42"/>
      <c r="NL378" s="42"/>
    </row>
    <row r="379" ht="15.75" customHeight="1">
      <c r="A379" s="42"/>
      <c r="B379" s="42"/>
      <c r="C379" s="42"/>
      <c r="D379" s="38">
        <f t="shared" si="607"/>
        <v>45990</v>
      </c>
      <c r="E379" s="31" t="str">
        <f t="shared" ref="E379:I379" si="612">DS13</f>
        <v/>
      </c>
      <c r="F379" s="31" t="str">
        <f t="shared" si="612"/>
        <v/>
      </c>
      <c r="G379" s="31" t="str">
        <f t="shared" si="612"/>
        <v/>
      </c>
      <c r="H379" s="13" t="str">
        <f t="shared" si="612"/>
        <v/>
      </c>
      <c r="I379" s="13" t="str">
        <f t="shared" si="612"/>
        <v/>
      </c>
      <c r="J379" s="107" t="str">
        <f t="array" ref="J379">IFERROR(IF(XLOOKUP(CONCAT(E379,F379),'MASTER PLAN'!$AB:$AB,'MASTER PLAN'!$M:$M,0,0)=0,"",XLOOKUP(CONCAT(E379,F379),'MASTER PLAN'!$AB:$AB,'MASTER PLAN'!$M:$M,0,0)),"")</f>
        <v/>
      </c>
      <c r="K379" s="107">
        <f t="shared" si="237"/>
        <v>0</v>
      </c>
      <c r="L379" s="107">
        <f t="shared" si="238"/>
        <v>0</v>
      </c>
      <c r="M379" s="105" t="s">
        <v>248</v>
      </c>
      <c r="AI379" s="42"/>
      <c r="BN379" s="42"/>
      <c r="CS379" s="42"/>
      <c r="DX379" s="42"/>
      <c r="FC379" s="42"/>
      <c r="GH379" s="42"/>
      <c r="HM379" s="42"/>
      <c r="IR379" s="42"/>
      <c r="JW379" s="42"/>
      <c r="LB379" s="42"/>
      <c r="MG379" s="42"/>
      <c r="NL379" s="42"/>
    </row>
    <row r="380" ht="15.75" customHeight="1">
      <c r="A380" s="42"/>
      <c r="B380" s="42"/>
      <c r="C380" s="42"/>
      <c r="D380" s="38">
        <f t="shared" si="607"/>
        <v>45990</v>
      </c>
      <c r="E380" s="31" t="str">
        <f t="shared" ref="E380:I380" si="613">DS14</f>
        <v/>
      </c>
      <c r="F380" s="31" t="str">
        <f t="shared" si="613"/>
        <v/>
      </c>
      <c r="G380" s="31" t="str">
        <f t="shared" si="613"/>
        <v/>
      </c>
      <c r="H380" s="13" t="str">
        <f t="shared" si="613"/>
        <v/>
      </c>
      <c r="I380" s="13" t="str">
        <f t="shared" si="613"/>
        <v/>
      </c>
      <c r="J380" s="107" t="str">
        <f t="array" ref="J380">IFERROR(IF(XLOOKUP(CONCAT(E380,F380),'MASTER PLAN'!$AB:$AB,'MASTER PLAN'!$M:$M,0,0)=0,"",XLOOKUP(CONCAT(E380,F380),'MASTER PLAN'!$AB:$AB,'MASTER PLAN'!$M:$M,0,0)),"")</f>
        <v/>
      </c>
      <c r="K380" s="107">
        <f t="shared" si="237"/>
        <v>0</v>
      </c>
      <c r="L380" s="107">
        <f t="shared" si="238"/>
        <v>0</v>
      </c>
      <c r="M380" s="105" t="s">
        <v>248</v>
      </c>
      <c r="AI380" s="42"/>
      <c r="BN380" s="42"/>
      <c r="CS380" s="42"/>
      <c r="DX380" s="42"/>
      <c r="FC380" s="42"/>
      <c r="GH380" s="42"/>
      <c r="HM380" s="42"/>
      <c r="IR380" s="42"/>
      <c r="JW380" s="42"/>
      <c r="LB380" s="42"/>
      <c r="MG380" s="42"/>
      <c r="NL380" s="42"/>
    </row>
    <row r="381" ht="15.75" customHeight="1">
      <c r="A381" s="42"/>
      <c r="B381" s="42"/>
      <c r="C381" s="42"/>
      <c r="D381" s="38">
        <f t="shared" si="607"/>
        <v>45990</v>
      </c>
      <c r="E381" s="31" t="str">
        <f t="shared" ref="E381:I381" si="614">DS15</f>
        <v/>
      </c>
      <c r="F381" s="31" t="str">
        <f t="shared" si="614"/>
        <v/>
      </c>
      <c r="G381" s="31" t="str">
        <f t="shared" si="614"/>
        <v/>
      </c>
      <c r="H381" s="13" t="str">
        <f t="shared" si="614"/>
        <v/>
      </c>
      <c r="I381" s="13" t="str">
        <f t="shared" si="614"/>
        <v/>
      </c>
      <c r="J381" s="107" t="str">
        <f t="array" ref="J381">IFERROR(IF(XLOOKUP(CONCAT(E381,F381),'MASTER PLAN'!$AB:$AB,'MASTER PLAN'!$M:$M,0,0)=0,"",XLOOKUP(CONCAT(E381,F381),'MASTER PLAN'!$AB:$AB,'MASTER PLAN'!$M:$M,0,0)),"")</f>
        <v/>
      </c>
      <c r="K381" s="107">
        <f t="shared" si="237"/>
        <v>0</v>
      </c>
      <c r="L381" s="107">
        <f t="shared" si="238"/>
        <v>0</v>
      </c>
      <c r="M381" s="105" t="s">
        <v>248</v>
      </c>
      <c r="AI381" s="42"/>
      <c r="BN381" s="42"/>
      <c r="CS381" s="42"/>
      <c r="DX381" s="42"/>
      <c r="FC381" s="42"/>
      <c r="GH381" s="42"/>
      <c r="HM381" s="42"/>
      <c r="IR381" s="42"/>
      <c r="JW381" s="42"/>
      <c r="LB381" s="42"/>
      <c r="MG381" s="42"/>
      <c r="NL381" s="42"/>
    </row>
    <row r="382" ht="15.75" customHeight="1">
      <c r="A382" s="42"/>
      <c r="B382" s="42"/>
      <c r="C382" s="42"/>
      <c r="D382" s="38">
        <f t="shared" si="607"/>
        <v>45990</v>
      </c>
      <c r="E382" s="31" t="str">
        <f t="shared" ref="E382:I382" si="615">DS16</f>
        <v/>
      </c>
      <c r="F382" s="31" t="str">
        <f t="shared" si="615"/>
        <v/>
      </c>
      <c r="G382" s="31" t="str">
        <f t="shared" si="615"/>
        <v/>
      </c>
      <c r="H382" s="13" t="str">
        <f t="shared" si="615"/>
        <v/>
      </c>
      <c r="I382" s="13" t="str">
        <f t="shared" si="615"/>
        <v/>
      </c>
      <c r="J382" s="107" t="str">
        <f t="array" ref="J382">IFERROR(IF(XLOOKUP(CONCAT(E382,F382),'MASTER PLAN'!$AB:$AB,'MASTER PLAN'!$M:$M,0,0)=0,"",XLOOKUP(CONCAT(E382,F382),'MASTER PLAN'!$AB:$AB,'MASTER PLAN'!$M:$M,0,0)),"")</f>
        <v/>
      </c>
      <c r="K382" s="107">
        <f t="shared" si="237"/>
        <v>0</v>
      </c>
      <c r="L382" s="107">
        <f t="shared" si="238"/>
        <v>0</v>
      </c>
      <c r="M382" s="105" t="s">
        <v>248</v>
      </c>
      <c r="AI382" s="42"/>
      <c r="BN382" s="42"/>
      <c r="CS382" s="42"/>
      <c r="DX382" s="42"/>
      <c r="FC382" s="42"/>
      <c r="GH382" s="42"/>
      <c r="HM382" s="42"/>
      <c r="IR382" s="42"/>
      <c r="JW382" s="42"/>
      <c r="LB382" s="42"/>
      <c r="MG382" s="42"/>
      <c r="NL382" s="42"/>
    </row>
    <row r="383" ht="15.75" customHeight="1">
      <c r="A383" s="42"/>
      <c r="B383" s="42"/>
      <c r="C383" s="42"/>
      <c r="D383" s="38">
        <f t="shared" si="607"/>
        <v>45990</v>
      </c>
      <c r="E383" s="31" t="str">
        <f t="shared" ref="E383:I383" si="616">DS20</f>
        <v/>
      </c>
      <c r="F383" s="31" t="str">
        <f t="shared" si="616"/>
        <v/>
      </c>
      <c r="G383" s="31" t="str">
        <f t="shared" si="616"/>
        <v/>
      </c>
      <c r="H383" s="13" t="str">
        <f t="shared" si="616"/>
        <v/>
      </c>
      <c r="I383" s="13" t="str">
        <f t="shared" si="616"/>
        <v/>
      </c>
      <c r="J383" s="107" t="str">
        <f t="array" ref="J383">IFERROR(IF(XLOOKUP(CONCAT(E383,F383),'MASTER PLAN'!$AB:$AB,'MASTER PLAN'!$M:$M,0,0)=0,"",XLOOKUP(CONCAT(E383,F383),'MASTER PLAN'!$AB:$AB,'MASTER PLAN'!$M:$M,0,0)),"")</f>
        <v/>
      </c>
      <c r="K383" s="107">
        <f t="shared" si="237"/>
        <v>0</v>
      </c>
      <c r="L383" s="107">
        <f t="shared" si="238"/>
        <v>0</v>
      </c>
      <c r="M383" s="105" t="s">
        <v>249</v>
      </c>
      <c r="AI383" s="42"/>
      <c r="BN383" s="42"/>
      <c r="CS383" s="42"/>
      <c r="DX383" s="42"/>
      <c r="FC383" s="42"/>
      <c r="GH383" s="42"/>
      <c r="HM383" s="42"/>
      <c r="IR383" s="42"/>
      <c r="JW383" s="42"/>
      <c r="LB383" s="42"/>
      <c r="MG383" s="42"/>
      <c r="NL383" s="42"/>
    </row>
    <row r="384" ht="15.75" customHeight="1">
      <c r="A384" s="42"/>
      <c r="B384" s="42"/>
      <c r="C384" s="42"/>
      <c r="D384" s="38">
        <f t="shared" si="607"/>
        <v>45990</v>
      </c>
      <c r="E384" s="31" t="str">
        <f t="shared" ref="E384:I384" si="617">DS21</f>
        <v/>
      </c>
      <c r="F384" s="31" t="str">
        <f t="shared" si="617"/>
        <v/>
      </c>
      <c r="G384" s="31" t="str">
        <f t="shared" si="617"/>
        <v/>
      </c>
      <c r="H384" s="13" t="str">
        <f t="shared" si="617"/>
        <v/>
      </c>
      <c r="I384" s="13" t="str">
        <f t="shared" si="617"/>
        <v/>
      </c>
      <c r="J384" s="107" t="str">
        <f t="array" ref="J384">IFERROR(IF(XLOOKUP(CONCAT(E384,F384),'MASTER PLAN'!$AB:$AB,'MASTER PLAN'!$M:$M,0,0)=0,"",XLOOKUP(CONCAT(E384,F384),'MASTER PLAN'!$AB:$AB,'MASTER PLAN'!$M:$M,0,0)),"")</f>
        <v/>
      </c>
      <c r="K384" s="107">
        <f t="shared" si="237"/>
        <v>0</v>
      </c>
      <c r="L384" s="107">
        <f t="shared" si="238"/>
        <v>0</v>
      </c>
      <c r="M384" s="105" t="s">
        <v>249</v>
      </c>
      <c r="AI384" s="42"/>
      <c r="BN384" s="42"/>
      <c r="CS384" s="42"/>
      <c r="DX384" s="42"/>
      <c r="FC384" s="42"/>
      <c r="GH384" s="42"/>
      <c r="HM384" s="42"/>
      <c r="IR384" s="42"/>
      <c r="JW384" s="42"/>
      <c r="LB384" s="42"/>
      <c r="MG384" s="42"/>
      <c r="NL384" s="42"/>
    </row>
    <row r="385" ht="15.75" customHeight="1">
      <c r="A385" s="42"/>
      <c r="B385" s="42"/>
      <c r="C385" s="42"/>
      <c r="D385" s="38">
        <f t="shared" si="607"/>
        <v>45990</v>
      </c>
      <c r="E385" s="31" t="str">
        <f t="shared" ref="E385:I385" si="618">DS22</f>
        <v/>
      </c>
      <c r="F385" s="31" t="str">
        <f t="shared" si="618"/>
        <v/>
      </c>
      <c r="G385" s="31" t="str">
        <f t="shared" si="618"/>
        <v/>
      </c>
      <c r="H385" s="13" t="str">
        <f t="shared" si="618"/>
        <v/>
      </c>
      <c r="I385" s="13" t="str">
        <f t="shared" si="618"/>
        <v/>
      </c>
      <c r="J385" s="107" t="str">
        <f t="array" ref="J385">IFERROR(IF(XLOOKUP(CONCAT(E385,F385),'MASTER PLAN'!$AB:$AB,'MASTER PLAN'!$M:$M,0,0)=0,"",XLOOKUP(CONCAT(E385,F385),'MASTER PLAN'!$AB:$AB,'MASTER PLAN'!$M:$M,0,0)),"")</f>
        <v/>
      </c>
      <c r="K385" s="107">
        <f t="shared" si="237"/>
        <v>0</v>
      </c>
      <c r="L385" s="107">
        <f t="shared" si="238"/>
        <v>0</v>
      </c>
      <c r="M385" s="105" t="s">
        <v>249</v>
      </c>
      <c r="AI385" s="42"/>
      <c r="BN385" s="42"/>
      <c r="CS385" s="42"/>
      <c r="DX385" s="42"/>
      <c r="FC385" s="42"/>
      <c r="GH385" s="42"/>
      <c r="HM385" s="42"/>
      <c r="IR385" s="42"/>
      <c r="JW385" s="42"/>
      <c r="LB385" s="42"/>
      <c r="MG385" s="42"/>
      <c r="NL385" s="42"/>
    </row>
    <row r="386" ht="15.75" customHeight="1">
      <c r="A386" s="42"/>
      <c r="B386" s="42"/>
      <c r="C386" s="42"/>
      <c r="D386" s="38">
        <f t="shared" si="607"/>
        <v>45990</v>
      </c>
      <c r="E386" s="31" t="str">
        <f t="shared" ref="E386:I386" si="619">DS23</f>
        <v/>
      </c>
      <c r="F386" s="31" t="str">
        <f t="shared" si="619"/>
        <v/>
      </c>
      <c r="G386" s="31" t="str">
        <f t="shared" si="619"/>
        <v/>
      </c>
      <c r="H386" s="13" t="str">
        <f t="shared" si="619"/>
        <v/>
      </c>
      <c r="I386" s="13" t="str">
        <f t="shared" si="619"/>
        <v/>
      </c>
      <c r="J386" s="107" t="str">
        <f t="array" ref="J386">IFERROR(IF(XLOOKUP(CONCAT(E386,F386),'MASTER PLAN'!$AB:$AB,'MASTER PLAN'!$M:$M,0,0)=0,"",XLOOKUP(CONCAT(E386,F386),'MASTER PLAN'!$AB:$AB,'MASTER PLAN'!$M:$M,0,0)),"")</f>
        <v/>
      </c>
      <c r="K386" s="107">
        <f t="shared" si="237"/>
        <v>0</v>
      </c>
      <c r="L386" s="107">
        <f t="shared" si="238"/>
        <v>0</v>
      </c>
      <c r="M386" s="105" t="s">
        <v>249</v>
      </c>
      <c r="AI386" s="42"/>
      <c r="BN386" s="42"/>
      <c r="CS386" s="42"/>
      <c r="DX386" s="42"/>
      <c r="FC386" s="42"/>
      <c r="GH386" s="42"/>
      <c r="HM386" s="42"/>
      <c r="IR386" s="42"/>
      <c r="JW386" s="42"/>
      <c r="LB386" s="42"/>
      <c r="MG386" s="42"/>
      <c r="NL386" s="42"/>
    </row>
    <row r="387" ht="15.75" customHeight="1">
      <c r="A387" s="42"/>
      <c r="B387" s="42"/>
      <c r="C387" s="42"/>
      <c r="D387" s="38">
        <f t="shared" si="607"/>
        <v>45990</v>
      </c>
      <c r="E387" s="31" t="str">
        <f t="shared" ref="E387:I387" si="620">DS24</f>
        <v/>
      </c>
      <c r="F387" s="31" t="str">
        <f t="shared" si="620"/>
        <v/>
      </c>
      <c r="G387" s="31" t="str">
        <f t="shared" si="620"/>
        <v/>
      </c>
      <c r="H387" s="13" t="str">
        <f t="shared" si="620"/>
        <v/>
      </c>
      <c r="I387" s="13" t="str">
        <f t="shared" si="620"/>
        <v/>
      </c>
      <c r="J387" s="107" t="str">
        <f t="array" ref="J387">IFERROR(IF(XLOOKUP(CONCAT(E387,F387),'MASTER PLAN'!$AB:$AB,'MASTER PLAN'!$M:$M,0,0)=0,"",XLOOKUP(CONCAT(E387,F387),'MASTER PLAN'!$AB:$AB,'MASTER PLAN'!$M:$M,0,0)),"")</f>
        <v/>
      </c>
      <c r="K387" s="107">
        <f t="shared" si="237"/>
        <v>0</v>
      </c>
      <c r="L387" s="107">
        <f t="shared" si="238"/>
        <v>0</v>
      </c>
      <c r="M387" s="105" t="s">
        <v>249</v>
      </c>
      <c r="AI387" s="42"/>
      <c r="BN387" s="42"/>
      <c r="CS387" s="42"/>
      <c r="DX387" s="42"/>
      <c r="FC387" s="42"/>
      <c r="GH387" s="42"/>
      <c r="HM387" s="42"/>
      <c r="IR387" s="42"/>
      <c r="JW387" s="42"/>
      <c r="LB387" s="42"/>
      <c r="MG387" s="42"/>
      <c r="NL387" s="42"/>
    </row>
    <row r="388" ht="15.75" customHeight="1">
      <c r="A388" s="42"/>
      <c r="B388" s="42"/>
      <c r="C388" s="42"/>
      <c r="D388" s="38">
        <f>DY2</f>
        <v>45992</v>
      </c>
      <c r="E388" s="31">
        <f t="shared" ref="E388:I388" si="621">DY4</f>
        <v>1402049346</v>
      </c>
      <c r="F388" s="31">
        <f t="shared" si="621"/>
        <v>10</v>
      </c>
      <c r="G388" s="31" t="str">
        <f t="shared" si="621"/>
        <v>BOLSA HELZBERG 10X2-5X8 IN FA</v>
      </c>
      <c r="H388" s="13">
        <f t="shared" si="621"/>
        <v>3000</v>
      </c>
      <c r="I388" s="13" t="str">
        <f t="shared" si="621"/>
        <v/>
      </c>
      <c r="J388" s="107">
        <f t="array" ref="J388">IFERROR(IF(XLOOKUP(CONCAT(E388,F388),'MASTER PLAN'!$AB:$AB,'MASTER PLAN'!$M:$M,0,0)=0,"",XLOOKUP(CONCAT(E388,F388),'MASTER PLAN'!$AB:$AB,'MASTER PLAN'!$M:$M,0,0)),"")</f>
        <v>0.8</v>
      </c>
      <c r="K388" s="107">
        <f t="shared" si="237"/>
        <v>2400</v>
      </c>
      <c r="L388" s="107">
        <f t="shared" si="238"/>
        <v>0</v>
      </c>
      <c r="M388" s="105" t="s">
        <v>246</v>
      </c>
      <c r="AI388" s="42"/>
      <c r="BN388" s="42"/>
      <c r="CS388" s="42"/>
      <c r="DX388" s="42"/>
      <c r="FC388" s="42"/>
      <c r="GH388" s="42"/>
      <c r="HM388" s="42"/>
      <c r="IR388" s="42"/>
      <c r="JW388" s="42"/>
      <c r="LB388" s="42"/>
      <c r="MG388" s="42"/>
      <c r="NL388" s="42"/>
    </row>
    <row r="389" ht="15.75" customHeight="1">
      <c r="A389" s="42"/>
      <c r="B389" s="42"/>
      <c r="C389" s="42"/>
      <c r="D389" s="38">
        <f t="shared" ref="D389:D402" si="623">D388</f>
        <v>45992</v>
      </c>
      <c r="E389" s="31" t="str">
        <f t="shared" ref="E389:I389" si="622">DY5</f>
        <v/>
      </c>
      <c r="F389" s="31" t="str">
        <f t="shared" si="622"/>
        <v/>
      </c>
      <c r="G389" s="31" t="str">
        <f t="shared" si="622"/>
        <v/>
      </c>
      <c r="H389" s="13" t="str">
        <f t="shared" si="622"/>
        <v/>
      </c>
      <c r="I389" s="13" t="str">
        <f t="shared" si="622"/>
        <v/>
      </c>
      <c r="J389" s="107" t="str">
        <f t="array" ref="J389">IFERROR(IF(XLOOKUP(CONCAT(E389,F389),'MASTER PLAN'!$AB:$AB,'MASTER PLAN'!$M:$M,0,0)=0,"",XLOOKUP(CONCAT(E389,F389),'MASTER PLAN'!$AB:$AB,'MASTER PLAN'!$M:$M,0,0)),"")</f>
        <v/>
      </c>
      <c r="K389" s="107">
        <f t="shared" si="237"/>
        <v>0</v>
      </c>
      <c r="L389" s="107">
        <f t="shared" si="238"/>
        <v>0</v>
      </c>
      <c r="M389" s="105" t="s">
        <v>246</v>
      </c>
      <c r="AI389" s="42"/>
      <c r="BN389" s="42"/>
      <c r="CS389" s="42"/>
      <c r="DX389" s="42"/>
      <c r="FC389" s="42"/>
      <c r="GH389" s="42"/>
      <c r="HM389" s="42"/>
      <c r="IR389" s="42"/>
      <c r="JW389" s="42"/>
      <c r="LB389" s="42"/>
      <c r="MG389" s="42"/>
      <c r="NL389" s="42"/>
    </row>
    <row r="390" ht="15.75" customHeight="1">
      <c r="A390" s="42"/>
      <c r="B390" s="42"/>
      <c r="C390" s="42"/>
      <c r="D390" s="38">
        <f t="shared" si="623"/>
        <v>45992</v>
      </c>
      <c r="E390" s="31" t="str">
        <f t="shared" ref="E390:I390" si="624">DY6</f>
        <v/>
      </c>
      <c r="F390" s="31" t="str">
        <f t="shared" si="624"/>
        <v/>
      </c>
      <c r="G390" s="31" t="str">
        <f t="shared" si="624"/>
        <v/>
      </c>
      <c r="H390" s="13" t="str">
        <f t="shared" si="624"/>
        <v/>
      </c>
      <c r="I390" s="13" t="str">
        <f t="shared" si="624"/>
        <v/>
      </c>
      <c r="J390" s="107" t="str">
        <f t="array" ref="J390">IFERROR(IF(XLOOKUP(CONCAT(E390,F390),'MASTER PLAN'!$AB:$AB,'MASTER PLAN'!$M:$M,0,0)=0,"",XLOOKUP(CONCAT(E390,F390),'MASTER PLAN'!$AB:$AB,'MASTER PLAN'!$M:$M,0,0)),"")</f>
        <v/>
      </c>
      <c r="K390" s="107">
        <f t="shared" si="237"/>
        <v>0</v>
      </c>
      <c r="L390" s="107">
        <f t="shared" si="238"/>
        <v>0</v>
      </c>
      <c r="M390" s="105" t="s">
        <v>246</v>
      </c>
      <c r="AI390" s="42"/>
      <c r="BN390" s="42"/>
      <c r="CS390" s="42"/>
      <c r="DX390" s="42"/>
      <c r="FC390" s="42"/>
      <c r="GH390" s="42"/>
      <c r="HM390" s="42"/>
      <c r="IR390" s="42"/>
      <c r="JW390" s="42"/>
      <c r="LB390" s="42"/>
      <c r="MG390" s="42"/>
      <c r="NL390" s="42"/>
    </row>
    <row r="391" ht="15.75" customHeight="1">
      <c r="A391" s="42"/>
      <c r="B391" s="42"/>
      <c r="C391" s="42"/>
      <c r="D391" s="38">
        <f t="shared" si="623"/>
        <v>45992</v>
      </c>
      <c r="E391" s="31" t="str">
        <f t="shared" ref="E391:I391" si="625">DY7</f>
        <v/>
      </c>
      <c r="F391" s="31" t="str">
        <f t="shared" si="625"/>
        <v/>
      </c>
      <c r="G391" s="31" t="str">
        <f t="shared" si="625"/>
        <v/>
      </c>
      <c r="H391" s="13" t="str">
        <f t="shared" si="625"/>
        <v/>
      </c>
      <c r="I391" s="13" t="str">
        <f t="shared" si="625"/>
        <v/>
      </c>
      <c r="J391" s="107" t="str">
        <f t="array" ref="J391">IFERROR(IF(XLOOKUP(CONCAT(E391,F391),'MASTER PLAN'!$AB:$AB,'MASTER PLAN'!$M:$M,0,0)=0,"",XLOOKUP(CONCAT(E391,F391),'MASTER PLAN'!$AB:$AB,'MASTER PLAN'!$M:$M,0,0)),"")</f>
        <v/>
      </c>
      <c r="K391" s="107">
        <f t="shared" si="237"/>
        <v>0</v>
      </c>
      <c r="L391" s="107">
        <f t="shared" si="238"/>
        <v>0</v>
      </c>
      <c r="M391" s="105" t="s">
        <v>246</v>
      </c>
      <c r="AI391" s="42"/>
      <c r="BN391" s="42"/>
      <c r="CS391" s="42"/>
      <c r="DX391" s="42"/>
      <c r="FC391" s="42"/>
      <c r="GH391" s="42"/>
      <c r="HM391" s="42"/>
      <c r="IR391" s="42"/>
      <c r="JW391" s="42"/>
      <c r="LB391" s="42"/>
      <c r="MG391" s="42"/>
      <c r="NL391" s="42"/>
    </row>
    <row r="392" ht="15.75" customHeight="1">
      <c r="A392" s="42"/>
      <c r="B392" s="42"/>
      <c r="C392" s="42"/>
      <c r="D392" s="38">
        <f t="shared" si="623"/>
        <v>45992</v>
      </c>
      <c r="E392" s="31" t="str">
        <f t="shared" ref="E392:I392" si="626">DY8</f>
        <v/>
      </c>
      <c r="F392" s="31" t="str">
        <f t="shared" si="626"/>
        <v/>
      </c>
      <c r="G392" s="31" t="str">
        <f t="shared" si="626"/>
        <v/>
      </c>
      <c r="H392" s="13" t="str">
        <f t="shared" si="626"/>
        <v/>
      </c>
      <c r="I392" s="13" t="str">
        <f t="shared" si="626"/>
        <v/>
      </c>
      <c r="J392" s="107" t="str">
        <f t="array" ref="J392">IFERROR(IF(XLOOKUP(CONCAT(E392,F392),'MASTER PLAN'!$AB:$AB,'MASTER PLAN'!$M:$M,0,0)=0,"",XLOOKUP(CONCAT(E392,F392),'MASTER PLAN'!$AB:$AB,'MASTER PLAN'!$M:$M,0,0)),"")</f>
        <v/>
      </c>
      <c r="K392" s="107">
        <f t="shared" si="237"/>
        <v>0</v>
      </c>
      <c r="L392" s="107">
        <f t="shared" si="238"/>
        <v>0</v>
      </c>
      <c r="M392" s="105" t="s">
        <v>246</v>
      </c>
      <c r="AI392" s="42"/>
      <c r="BN392" s="42"/>
      <c r="CS392" s="42"/>
      <c r="DX392" s="42"/>
      <c r="FC392" s="42"/>
      <c r="GH392" s="42"/>
      <c r="HM392" s="42"/>
      <c r="IR392" s="42"/>
      <c r="JW392" s="42"/>
      <c r="LB392" s="42"/>
      <c r="MG392" s="42"/>
      <c r="NL392" s="42"/>
    </row>
    <row r="393" ht="15.75" customHeight="1">
      <c r="A393" s="42"/>
      <c r="B393" s="42"/>
      <c r="C393" s="42"/>
      <c r="D393" s="38">
        <f t="shared" si="623"/>
        <v>45992</v>
      </c>
      <c r="E393" s="31">
        <f t="shared" ref="E393:I393" si="627">DY12</f>
        <v>1402049207</v>
      </c>
      <c r="F393" s="31">
        <f t="shared" si="627"/>
        <v>10</v>
      </c>
      <c r="G393" s="31" t="str">
        <f t="shared" si="627"/>
        <v>BOLSA FINKS JEWELERS 6-5"X3-5"X6-5"</v>
      </c>
      <c r="H393" s="13">
        <f t="shared" si="627"/>
        <v>2200</v>
      </c>
      <c r="I393" s="13" t="str">
        <f t="shared" si="627"/>
        <v/>
      </c>
      <c r="J393" s="107">
        <f t="array" ref="J393">IFERROR(IF(XLOOKUP(CONCAT(E393,F393),'MASTER PLAN'!$AB:$AB,'MASTER PLAN'!$M:$M,0,0)=0,"",XLOOKUP(CONCAT(E393,F393),'MASTER PLAN'!$AB:$AB,'MASTER PLAN'!$M:$M,0,0)),"")</f>
        <v>0.56</v>
      </c>
      <c r="K393" s="107">
        <f t="shared" si="237"/>
        <v>1232</v>
      </c>
      <c r="L393" s="107">
        <f t="shared" si="238"/>
        <v>0</v>
      </c>
      <c r="M393" s="105" t="s">
        <v>248</v>
      </c>
      <c r="AI393" s="42"/>
      <c r="BN393" s="42"/>
      <c r="CS393" s="42"/>
      <c r="DX393" s="42"/>
      <c r="FC393" s="42"/>
      <c r="GH393" s="42"/>
      <c r="HM393" s="42"/>
      <c r="IR393" s="42"/>
      <c r="JW393" s="42"/>
      <c r="LB393" s="42"/>
      <c r="MG393" s="42"/>
      <c r="NL393" s="42"/>
    </row>
    <row r="394" ht="15.75" customHeight="1">
      <c r="A394" s="42"/>
      <c r="B394" s="42"/>
      <c r="C394" s="42"/>
      <c r="D394" s="38">
        <f t="shared" si="623"/>
        <v>45992</v>
      </c>
      <c r="E394" s="31">
        <f t="shared" ref="E394:I394" si="628">DY13</f>
        <v>1402049207</v>
      </c>
      <c r="F394" s="31">
        <f t="shared" si="628"/>
        <v>20</v>
      </c>
      <c r="G394" s="31" t="str">
        <f t="shared" si="628"/>
        <v>BOLSA FINKS JEWELERS  7"X5"X9"</v>
      </c>
      <c r="H394" s="13">
        <f t="shared" si="628"/>
        <v>600</v>
      </c>
      <c r="I394" s="13" t="str">
        <f t="shared" si="628"/>
        <v/>
      </c>
      <c r="J394" s="107">
        <f t="array" ref="J394">IFERROR(IF(XLOOKUP(CONCAT(E394,F394),'MASTER PLAN'!$AB:$AB,'MASTER PLAN'!$M:$M,0,0)=0,"",XLOOKUP(CONCAT(E394,F394),'MASTER PLAN'!$AB:$AB,'MASTER PLAN'!$M:$M,0,0)),"")</f>
        <v>0.728</v>
      </c>
      <c r="K394" s="107">
        <f t="shared" si="237"/>
        <v>436.8</v>
      </c>
      <c r="L394" s="107">
        <f t="shared" si="238"/>
        <v>0</v>
      </c>
      <c r="M394" s="105" t="s">
        <v>248</v>
      </c>
      <c r="AI394" s="42"/>
      <c r="BN394" s="42"/>
      <c r="CS394" s="42"/>
      <c r="DX394" s="42"/>
      <c r="FC394" s="42"/>
      <c r="GH394" s="42"/>
      <c r="HM394" s="42"/>
      <c r="IR394" s="42"/>
      <c r="JW394" s="42"/>
      <c r="LB394" s="42"/>
      <c r="MG394" s="42"/>
      <c r="NL394" s="42"/>
    </row>
    <row r="395" ht="15.75" customHeight="1">
      <c r="A395" s="42"/>
      <c r="B395" s="42"/>
      <c r="C395" s="42"/>
      <c r="D395" s="38">
        <f t="shared" si="623"/>
        <v>45992</v>
      </c>
      <c r="E395" s="31" t="str">
        <f t="shared" ref="E395:I395" si="629">DY14</f>
        <v/>
      </c>
      <c r="F395" s="31" t="str">
        <f t="shared" si="629"/>
        <v/>
      </c>
      <c r="G395" s="31" t="str">
        <f t="shared" si="629"/>
        <v/>
      </c>
      <c r="H395" s="13" t="str">
        <f t="shared" si="629"/>
        <v/>
      </c>
      <c r="I395" s="13" t="str">
        <f t="shared" si="629"/>
        <v/>
      </c>
      <c r="J395" s="107" t="str">
        <f t="array" ref="J395">IFERROR(IF(XLOOKUP(CONCAT(E395,F395),'MASTER PLAN'!$AB:$AB,'MASTER PLAN'!$M:$M,0,0)=0,"",XLOOKUP(CONCAT(E395,F395),'MASTER PLAN'!$AB:$AB,'MASTER PLAN'!$M:$M,0,0)),"")</f>
        <v/>
      </c>
      <c r="K395" s="107">
        <f t="shared" si="237"/>
        <v>0</v>
      </c>
      <c r="L395" s="107">
        <f t="shared" si="238"/>
        <v>0</v>
      </c>
      <c r="M395" s="105" t="s">
        <v>248</v>
      </c>
      <c r="AI395" s="42"/>
      <c r="BN395" s="42"/>
      <c r="CS395" s="42"/>
      <c r="DX395" s="42"/>
      <c r="FC395" s="42"/>
      <c r="GH395" s="42"/>
      <c r="HM395" s="42"/>
      <c r="IR395" s="42"/>
      <c r="JW395" s="42"/>
      <c r="LB395" s="42"/>
      <c r="MG395" s="42"/>
      <c r="NL395" s="42"/>
    </row>
    <row r="396" ht="15.75" customHeight="1">
      <c r="A396" s="42"/>
      <c r="B396" s="42"/>
      <c r="C396" s="42"/>
      <c r="D396" s="38">
        <f t="shared" si="623"/>
        <v>45992</v>
      </c>
      <c r="E396" s="31" t="str">
        <f t="shared" ref="E396:I396" si="630">DY15</f>
        <v/>
      </c>
      <c r="F396" s="31" t="str">
        <f t="shared" si="630"/>
        <v/>
      </c>
      <c r="G396" s="31" t="str">
        <f t="shared" si="630"/>
        <v/>
      </c>
      <c r="H396" s="13" t="str">
        <f t="shared" si="630"/>
        <v/>
      </c>
      <c r="I396" s="13" t="str">
        <f t="shared" si="630"/>
        <v/>
      </c>
      <c r="J396" s="107" t="str">
        <f t="array" ref="J396">IFERROR(IF(XLOOKUP(CONCAT(E396,F396),'MASTER PLAN'!$AB:$AB,'MASTER PLAN'!$M:$M,0,0)=0,"",XLOOKUP(CONCAT(E396,F396),'MASTER PLAN'!$AB:$AB,'MASTER PLAN'!$M:$M,0,0)),"")</f>
        <v/>
      </c>
      <c r="K396" s="107">
        <f t="shared" si="237"/>
        <v>0</v>
      </c>
      <c r="L396" s="107">
        <f t="shared" si="238"/>
        <v>0</v>
      </c>
      <c r="M396" s="105" t="s">
        <v>248</v>
      </c>
      <c r="AI396" s="42"/>
      <c r="BN396" s="42"/>
      <c r="CS396" s="42"/>
      <c r="DX396" s="42"/>
      <c r="FC396" s="42"/>
      <c r="GH396" s="42"/>
      <c r="HM396" s="42"/>
      <c r="IR396" s="42"/>
      <c r="JW396" s="42"/>
      <c r="LB396" s="42"/>
      <c r="MG396" s="42"/>
      <c r="NL396" s="42"/>
    </row>
    <row r="397" ht="15.75" customHeight="1">
      <c r="A397" s="42"/>
      <c r="B397" s="42"/>
      <c r="C397" s="42"/>
      <c r="D397" s="38">
        <f t="shared" si="623"/>
        <v>45992</v>
      </c>
      <c r="E397" s="31" t="str">
        <f t="shared" ref="E397:I397" si="631">DY16</f>
        <v/>
      </c>
      <c r="F397" s="31" t="str">
        <f t="shared" si="631"/>
        <v/>
      </c>
      <c r="G397" s="31" t="str">
        <f t="shared" si="631"/>
        <v/>
      </c>
      <c r="H397" s="13" t="str">
        <f t="shared" si="631"/>
        <v/>
      </c>
      <c r="I397" s="13" t="str">
        <f t="shared" si="631"/>
        <v/>
      </c>
      <c r="J397" s="107" t="str">
        <f t="array" ref="J397">IFERROR(IF(XLOOKUP(CONCAT(E397,F397),'MASTER PLAN'!$AB:$AB,'MASTER PLAN'!$M:$M,0,0)=0,"",XLOOKUP(CONCAT(E397,F397),'MASTER PLAN'!$AB:$AB,'MASTER PLAN'!$M:$M,0,0)),"")</f>
        <v/>
      </c>
      <c r="K397" s="107">
        <f t="shared" si="237"/>
        <v>0</v>
      </c>
      <c r="L397" s="107">
        <f t="shared" si="238"/>
        <v>0</v>
      </c>
      <c r="M397" s="105" t="s">
        <v>248</v>
      </c>
      <c r="AI397" s="42"/>
      <c r="BN397" s="42"/>
      <c r="CS397" s="42"/>
      <c r="DX397" s="42"/>
      <c r="FC397" s="42"/>
      <c r="GH397" s="42"/>
      <c r="HM397" s="42"/>
      <c r="IR397" s="42"/>
      <c r="JW397" s="42"/>
      <c r="LB397" s="42"/>
      <c r="MG397" s="42"/>
      <c r="NL397" s="42"/>
    </row>
    <row r="398" ht="15.75" customHeight="1">
      <c r="A398" s="42"/>
      <c r="B398" s="42"/>
      <c r="C398" s="42"/>
      <c r="D398" s="38">
        <f t="shared" si="623"/>
        <v>45992</v>
      </c>
      <c r="E398" s="31" t="str">
        <f t="shared" ref="E398:I398" si="632">DY20</f>
        <v/>
      </c>
      <c r="F398" s="31" t="str">
        <f t="shared" si="632"/>
        <v/>
      </c>
      <c r="G398" s="31" t="str">
        <f t="shared" si="632"/>
        <v/>
      </c>
      <c r="H398" s="13" t="str">
        <f t="shared" si="632"/>
        <v/>
      </c>
      <c r="I398" s="13" t="str">
        <f t="shared" si="632"/>
        <v/>
      </c>
      <c r="J398" s="107" t="str">
        <f t="array" ref="J398">IFERROR(IF(XLOOKUP(CONCAT(E398,F398),'MASTER PLAN'!$AB:$AB,'MASTER PLAN'!$M:$M,0,0)=0,"",XLOOKUP(CONCAT(E398,F398),'MASTER PLAN'!$AB:$AB,'MASTER PLAN'!$M:$M,0,0)),"")</f>
        <v/>
      </c>
      <c r="K398" s="107">
        <f t="shared" si="237"/>
        <v>0</v>
      </c>
      <c r="L398" s="107">
        <f t="shared" si="238"/>
        <v>0</v>
      </c>
      <c r="M398" s="105" t="s">
        <v>249</v>
      </c>
      <c r="AI398" s="42"/>
      <c r="BN398" s="42"/>
      <c r="CS398" s="42"/>
      <c r="DX398" s="42"/>
      <c r="FC398" s="42"/>
      <c r="GH398" s="42"/>
      <c r="HM398" s="42"/>
      <c r="IR398" s="42"/>
      <c r="JW398" s="42"/>
      <c r="LB398" s="42"/>
      <c r="MG398" s="42"/>
      <c r="NL398" s="42"/>
    </row>
    <row r="399" ht="15.75" customHeight="1">
      <c r="A399" s="42"/>
      <c r="B399" s="42"/>
      <c r="C399" s="42"/>
      <c r="D399" s="38">
        <f t="shared" si="623"/>
        <v>45992</v>
      </c>
      <c r="E399" s="31" t="str">
        <f t="shared" ref="E399:I399" si="633">DY21</f>
        <v/>
      </c>
      <c r="F399" s="31" t="str">
        <f t="shared" si="633"/>
        <v/>
      </c>
      <c r="G399" s="31" t="str">
        <f t="shared" si="633"/>
        <v/>
      </c>
      <c r="H399" s="13" t="str">
        <f t="shared" si="633"/>
        <v/>
      </c>
      <c r="I399" s="13" t="str">
        <f t="shared" si="633"/>
        <v/>
      </c>
      <c r="J399" s="107" t="str">
        <f t="array" ref="J399">IFERROR(IF(XLOOKUP(CONCAT(E399,F399),'MASTER PLAN'!$AB:$AB,'MASTER PLAN'!$M:$M,0,0)=0,"",XLOOKUP(CONCAT(E399,F399),'MASTER PLAN'!$AB:$AB,'MASTER PLAN'!$M:$M,0,0)),"")</f>
        <v/>
      </c>
      <c r="K399" s="107">
        <f t="shared" si="237"/>
        <v>0</v>
      </c>
      <c r="L399" s="107">
        <f t="shared" si="238"/>
        <v>0</v>
      </c>
      <c r="M399" s="105" t="s">
        <v>249</v>
      </c>
      <c r="AI399" s="42"/>
      <c r="BN399" s="42"/>
      <c r="CS399" s="42"/>
      <c r="DX399" s="42"/>
      <c r="FC399" s="42"/>
      <c r="GH399" s="42"/>
      <c r="HM399" s="42"/>
      <c r="IR399" s="42"/>
      <c r="JW399" s="42"/>
      <c r="LB399" s="42"/>
      <c r="MG399" s="42"/>
      <c r="NL399" s="42"/>
    </row>
    <row r="400" ht="15.75" customHeight="1">
      <c r="A400" s="42"/>
      <c r="B400" s="42"/>
      <c r="C400" s="42"/>
      <c r="D400" s="38">
        <f t="shared" si="623"/>
        <v>45992</v>
      </c>
      <c r="E400" s="31" t="str">
        <f t="shared" ref="E400:I400" si="634">DY22</f>
        <v/>
      </c>
      <c r="F400" s="31" t="str">
        <f t="shared" si="634"/>
        <v/>
      </c>
      <c r="G400" s="31" t="str">
        <f t="shared" si="634"/>
        <v/>
      </c>
      <c r="H400" s="13" t="str">
        <f t="shared" si="634"/>
        <v/>
      </c>
      <c r="I400" s="13" t="str">
        <f t="shared" si="634"/>
        <v/>
      </c>
      <c r="J400" s="107" t="str">
        <f t="array" ref="J400">IFERROR(IF(XLOOKUP(CONCAT(E400,F400),'MASTER PLAN'!$AB:$AB,'MASTER PLAN'!$M:$M,0,0)=0,"",XLOOKUP(CONCAT(E400,F400),'MASTER PLAN'!$AB:$AB,'MASTER PLAN'!$M:$M,0,0)),"")</f>
        <v/>
      </c>
      <c r="K400" s="107">
        <f t="shared" si="237"/>
        <v>0</v>
      </c>
      <c r="L400" s="107">
        <f t="shared" si="238"/>
        <v>0</v>
      </c>
      <c r="M400" s="105" t="s">
        <v>249</v>
      </c>
      <c r="AI400" s="42"/>
      <c r="BN400" s="42"/>
      <c r="CS400" s="42"/>
      <c r="DX400" s="42"/>
      <c r="FC400" s="42"/>
      <c r="GH400" s="42"/>
      <c r="HM400" s="42"/>
      <c r="IR400" s="42"/>
      <c r="JW400" s="42"/>
      <c r="LB400" s="42"/>
      <c r="MG400" s="42"/>
      <c r="NL400" s="42"/>
    </row>
    <row r="401" ht="15.75" customHeight="1">
      <c r="A401" s="42"/>
      <c r="B401" s="42"/>
      <c r="C401" s="42"/>
      <c r="D401" s="38">
        <f t="shared" si="623"/>
        <v>45992</v>
      </c>
      <c r="E401" s="31" t="str">
        <f t="shared" ref="E401:I401" si="635">DY23</f>
        <v/>
      </c>
      <c r="F401" s="31" t="str">
        <f t="shared" si="635"/>
        <v/>
      </c>
      <c r="G401" s="31" t="str">
        <f t="shared" si="635"/>
        <v/>
      </c>
      <c r="H401" s="13" t="str">
        <f t="shared" si="635"/>
        <v/>
      </c>
      <c r="I401" s="13" t="str">
        <f t="shared" si="635"/>
        <v/>
      </c>
      <c r="J401" s="107" t="str">
        <f t="array" ref="J401">IFERROR(IF(XLOOKUP(CONCAT(E401,F401),'MASTER PLAN'!$AB:$AB,'MASTER PLAN'!$M:$M,0,0)=0,"",XLOOKUP(CONCAT(E401,F401),'MASTER PLAN'!$AB:$AB,'MASTER PLAN'!$M:$M,0,0)),"")</f>
        <v/>
      </c>
      <c r="K401" s="107">
        <f t="shared" si="237"/>
        <v>0</v>
      </c>
      <c r="L401" s="107">
        <f t="shared" si="238"/>
        <v>0</v>
      </c>
      <c r="M401" s="105" t="s">
        <v>249</v>
      </c>
      <c r="AI401" s="42"/>
      <c r="BN401" s="42"/>
      <c r="CS401" s="42"/>
      <c r="DX401" s="42"/>
      <c r="FC401" s="42"/>
      <c r="GH401" s="42"/>
      <c r="HM401" s="42"/>
      <c r="IR401" s="42"/>
      <c r="JW401" s="42"/>
      <c r="LB401" s="42"/>
      <c r="MG401" s="42"/>
      <c r="NL401" s="42"/>
    </row>
    <row r="402" ht="15.75" customHeight="1">
      <c r="A402" s="42"/>
      <c r="B402" s="42"/>
      <c r="C402" s="42"/>
      <c r="D402" s="38">
        <f t="shared" si="623"/>
        <v>45992</v>
      </c>
      <c r="E402" s="31" t="str">
        <f t="shared" ref="E402:I402" si="636">DY24</f>
        <v/>
      </c>
      <c r="F402" s="31" t="str">
        <f t="shared" si="636"/>
        <v/>
      </c>
      <c r="G402" s="31" t="str">
        <f t="shared" si="636"/>
        <v/>
      </c>
      <c r="H402" s="13" t="str">
        <f t="shared" si="636"/>
        <v/>
      </c>
      <c r="I402" s="13" t="str">
        <f t="shared" si="636"/>
        <v/>
      </c>
      <c r="J402" s="107" t="str">
        <f t="array" ref="J402">IFERROR(IF(XLOOKUP(CONCAT(E402,F402),'MASTER PLAN'!$AB:$AB,'MASTER PLAN'!$M:$M,0,0)=0,"",XLOOKUP(CONCAT(E402,F402),'MASTER PLAN'!$AB:$AB,'MASTER PLAN'!$M:$M,0,0)),"")</f>
        <v/>
      </c>
      <c r="K402" s="107">
        <f t="shared" si="237"/>
        <v>0</v>
      </c>
      <c r="L402" s="107">
        <f t="shared" si="238"/>
        <v>0</v>
      </c>
      <c r="M402" s="105" t="s">
        <v>249</v>
      </c>
      <c r="AI402" s="42"/>
      <c r="BN402" s="42"/>
      <c r="CS402" s="42"/>
      <c r="DX402" s="42"/>
      <c r="FC402" s="42"/>
      <c r="GH402" s="42"/>
      <c r="HM402" s="42"/>
      <c r="IR402" s="42"/>
      <c r="JW402" s="42"/>
      <c r="LB402" s="42"/>
      <c r="MG402" s="42"/>
      <c r="NL402" s="42"/>
    </row>
    <row r="403" ht="15.75" customHeight="1">
      <c r="A403" s="42"/>
      <c r="B403" s="42"/>
      <c r="C403" s="42"/>
      <c r="D403" s="38">
        <f>ED2</f>
        <v>45993</v>
      </c>
      <c r="E403" s="31">
        <f t="shared" ref="E403:I403" si="637">ED4</f>
        <v>1402049346</v>
      </c>
      <c r="F403" s="31">
        <f t="shared" si="637"/>
        <v>10</v>
      </c>
      <c r="G403" s="31" t="str">
        <f t="shared" si="637"/>
        <v>BOLSA HELZBERG 10X2-5X8 IN FA</v>
      </c>
      <c r="H403" s="13">
        <f t="shared" si="637"/>
        <v>800</v>
      </c>
      <c r="I403" s="13" t="str">
        <f t="shared" si="637"/>
        <v/>
      </c>
      <c r="J403" s="107">
        <f t="array" ref="J403">IFERROR(IF(XLOOKUP(CONCAT(E403,F403),'MASTER PLAN'!$AB:$AB,'MASTER PLAN'!$M:$M,0,0)=0,"",XLOOKUP(CONCAT(E403,F403),'MASTER PLAN'!$AB:$AB,'MASTER PLAN'!$M:$M,0,0)),"")</f>
        <v>0.8</v>
      </c>
      <c r="K403" s="107">
        <f t="shared" si="237"/>
        <v>640</v>
      </c>
      <c r="L403" s="107">
        <f t="shared" si="238"/>
        <v>0</v>
      </c>
      <c r="M403" s="105" t="s">
        <v>246</v>
      </c>
      <c r="AI403" s="42"/>
      <c r="BN403" s="42"/>
      <c r="CS403" s="42"/>
      <c r="DX403" s="42"/>
      <c r="FC403" s="42"/>
      <c r="GH403" s="42"/>
      <c r="HM403" s="42"/>
      <c r="IR403" s="42"/>
      <c r="JW403" s="42"/>
      <c r="LB403" s="42"/>
      <c r="MG403" s="42"/>
      <c r="NL403" s="42"/>
    </row>
    <row r="404" ht="15.75" customHeight="1">
      <c r="A404" s="42"/>
      <c r="B404" s="42"/>
      <c r="C404" s="42"/>
      <c r="D404" s="38">
        <f t="shared" ref="D404:D417" si="639">D403</f>
        <v>45993</v>
      </c>
      <c r="E404" s="31">
        <f t="shared" ref="E404:I404" si="638">ED5</f>
        <v>1402049263</v>
      </c>
      <c r="F404" s="31">
        <f t="shared" si="638"/>
        <v>10</v>
      </c>
      <c r="G404" s="31" t="str">
        <f t="shared" si="638"/>
        <v>FOLDER GOLD CASTER LAWRENCE</v>
      </c>
      <c r="H404" s="13">
        <f t="shared" si="638"/>
        <v>800</v>
      </c>
      <c r="I404" s="13" t="str">
        <f t="shared" si="638"/>
        <v/>
      </c>
      <c r="J404" s="107">
        <f t="array" ref="J404">IFERROR(IF(XLOOKUP(CONCAT(E404,F404),'MASTER PLAN'!$AB:$AB,'MASTER PLAN'!$M:$M,0,0)=0,"",XLOOKUP(CONCAT(E404,F404),'MASTER PLAN'!$AB:$AB,'MASTER PLAN'!$M:$M,0,0)),"")</f>
        <v>0.805</v>
      </c>
      <c r="K404" s="107">
        <f t="shared" si="237"/>
        <v>644</v>
      </c>
      <c r="L404" s="107">
        <f t="shared" si="238"/>
        <v>0</v>
      </c>
      <c r="M404" s="105" t="s">
        <v>246</v>
      </c>
      <c r="AI404" s="42"/>
      <c r="BN404" s="42"/>
      <c r="CS404" s="42"/>
      <c r="DX404" s="42"/>
      <c r="FC404" s="42"/>
      <c r="GH404" s="42"/>
      <c r="HM404" s="42"/>
      <c r="IR404" s="42"/>
      <c r="JW404" s="42"/>
      <c r="LB404" s="42"/>
      <c r="MG404" s="42"/>
      <c r="NL404" s="42"/>
    </row>
    <row r="405" ht="15.75" customHeight="1">
      <c r="A405" s="42"/>
      <c r="B405" s="42"/>
      <c r="C405" s="42"/>
      <c r="D405" s="38">
        <f t="shared" si="639"/>
        <v>45993</v>
      </c>
      <c r="E405" s="31">
        <f t="shared" ref="E405:I405" si="640">ED6</f>
        <v>1402049364</v>
      </c>
      <c r="F405" s="31">
        <f t="shared" si="640"/>
        <v>10</v>
      </c>
      <c r="G405" s="31" t="str">
        <f t="shared" si="640"/>
        <v>BOLSA BELUM 11X7X14-5 CM FL</v>
      </c>
      <c r="H405" s="13">
        <f t="shared" si="640"/>
        <v>550</v>
      </c>
      <c r="I405" s="13" t="str">
        <f t="shared" si="640"/>
        <v/>
      </c>
      <c r="J405" s="107">
        <f t="array" ref="J405">IFERROR(IF(XLOOKUP(CONCAT(E405,F405),'MASTER PLAN'!$AB:$AB,'MASTER PLAN'!$M:$M,0,0)=0,"",XLOOKUP(CONCAT(E405,F405),'MASTER PLAN'!$AB:$AB,'MASTER PLAN'!$M:$M,0,0)),"")</f>
        <v>0.53</v>
      </c>
      <c r="K405" s="107">
        <f t="shared" si="237"/>
        <v>291.5</v>
      </c>
      <c r="L405" s="107">
        <f t="shared" si="238"/>
        <v>0</v>
      </c>
      <c r="M405" s="105" t="s">
        <v>246</v>
      </c>
      <c r="AI405" s="42"/>
      <c r="BN405" s="42"/>
      <c r="CS405" s="42"/>
      <c r="DX405" s="42"/>
      <c r="FC405" s="42"/>
      <c r="GH405" s="42"/>
      <c r="HM405" s="42"/>
      <c r="IR405" s="42"/>
      <c r="JW405" s="42"/>
      <c r="LB405" s="42"/>
      <c r="MG405" s="42"/>
      <c r="NL405" s="42"/>
    </row>
    <row r="406" ht="15.75" customHeight="1">
      <c r="A406" s="42"/>
      <c r="B406" s="42"/>
      <c r="C406" s="42"/>
      <c r="D406" s="38">
        <f t="shared" si="639"/>
        <v>45993</v>
      </c>
      <c r="E406" s="31" t="str">
        <f t="shared" ref="E406:I406" si="641">ED7</f>
        <v/>
      </c>
      <c r="F406" s="31" t="str">
        <f t="shared" si="641"/>
        <v/>
      </c>
      <c r="G406" s="31" t="str">
        <f t="shared" si="641"/>
        <v/>
      </c>
      <c r="H406" s="13" t="str">
        <f t="shared" si="641"/>
        <v/>
      </c>
      <c r="I406" s="13" t="str">
        <f t="shared" si="641"/>
        <v/>
      </c>
      <c r="J406" s="107" t="str">
        <f t="array" ref="J406">IFERROR(IF(XLOOKUP(CONCAT(E406,F406),'MASTER PLAN'!$AB:$AB,'MASTER PLAN'!$M:$M,0,0)=0,"",XLOOKUP(CONCAT(E406,F406),'MASTER PLAN'!$AB:$AB,'MASTER PLAN'!$M:$M,0,0)),"")</f>
        <v/>
      </c>
      <c r="K406" s="107">
        <f t="shared" si="237"/>
        <v>0</v>
      </c>
      <c r="L406" s="107">
        <f t="shared" si="238"/>
        <v>0</v>
      </c>
      <c r="M406" s="105" t="s">
        <v>246</v>
      </c>
      <c r="AI406" s="42"/>
      <c r="BN406" s="42"/>
      <c r="CS406" s="42"/>
      <c r="DX406" s="42"/>
      <c r="FC406" s="42"/>
      <c r="GH406" s="42"/>
      <c r="HM406" s="42"/>
      <c r="IR406" s="42"/>
      <c r="JW406" s="42"/>
      <c r="LB406" s="42"/>
      <c r="MG406" s="42"/>
      <c r="NL406" s="42"/>
    </row>
    <row r="407" ht="15.75" customHeight="1">
      <c r="A407" s="42"/>
      <c r="B407" s="42"/>
      <c r="C407" s="42"/>
      <c r="D407" s="38">
        <f t="shared" si="639"/>
        <v>45993</v>
      </c>
      <c r="E407" s="31" t="str">
        <f t="shared" ref="E407:I407" si="642">ED8</f>
        <v/>
      </c>
      <c r="F407" s="31" t="str">
        <f t="shared" si="642"/>
        <v/>
      </c>
      <c r="G407" s="31" t="str">
        <f t="shared" si="642"/>
        <v/>
      </c>
      <c r="H407" s="13" t="str">
        <f t="shared" si="642"/>
        <v/>
      </c>
      <c r="I407" s="13" t="str">
        <f t="shared" si="642"/>
        <v/>
      </c>
      <c r="J407" s="107" t="str">
        <f t="array" ref="J407">IFERROR(IF(XLOOKUP(CONCAT(E407,F407),'MASTER PLAN'!$AB:$AB,'MASTER PLAN'!$M:$M,0,0)=0,"",XLOOKUP(CONCAT(E407,F407),'MASTER PLAN'!$AB:$AB,'MASTER PLAN'!$M:$M,0,0)),"")</f>
        <v/>
      </c>
      <c r="K407" s="107">
        <f t="shared" si="237"/>
        <v>0</v>
      </c>
      <c r="L407" s="107">
        <f t="shared" si="238"/>
        <v>0</v>
      </c>
      <c r="M407" s="105" t="s">
        <v>246</v>
      </c>
      <c r="AI407" s="42"/>
      <c r="BN407" s="42"/>
      <c r="CS407" s="42"/>
      <c r="DX407" s="42"/>
      <c r="FC407" s="42"/>
      <c r="GH407" s="42"/>
      <c r="HM407" s="42"/>
      <c r="IR407" s="42"/>
      <c r="JW407" s="42"/>
      <c r="LB407" s="42"/>
      <c r="MG407" s="42"/>
      <c r="NL407" s="42"/>
    </row>
    <row r="408" ht="15.75" customHeight="1">
      <c r="A408" s="42"/>
      <c r="B408" s="42"/>
      <c r="C408" s="42"/>
      <c r="D408" s="38">
        <f t="shared" si="639"/>
        <v>45993</v>
      </c>
      <c r="E408" s="31">
        <f t="shared" ref="E408:I408" si="643">ED12</f>
        <v>1402049207</v>
      </c>
      <c r="F408" s="31">
        <f t="shared" si="643"/>
        <v>20</v>
      </c>
      <c r="G408" s="31" t="str">
        <f t="shared" si="643"/>
        <v>BOLSA FINKS JEWELERS  7"X5"X9"</v>
      </c>
      <c r="H408" s="13">
        <f t="shared" si="643"/>
        <v>3000</v>
      </c>
      <c r="I408" s="13" t="str">
        <f t="shared" si="643"/>
        <v/>
      </c>
      <c r="J408" s="107">
        <f t="array" ref="J408">IFERROR(IF(XLOOKUP(CONCAT(E408,F408),'MASTER PLAN'!$AB:$AB,'MASTER PLAN'!$M:$M,0,0)=0,"",XLOOKUP(CONCAT(E408,F408),'MASTER PLAN'!$AB:$AB,'MASTER PLAN'!$M:$M,0,0)),"")</f>
        <v>0.728</v>
      </c>
      <c r="K408" s="107">
        <f t="shared" si="237"/>
        <v>2184</v>
      </c>
      <c r="L408" s="107">
        <f t="shared" si="238"/>
        <v>0</v>
      </c>
      <c r="M408" s="105" t="s">
        <v>248</v>
      </c>
      <c r="AI408" s="42"/>
      <c r="BN408" s="42"/>
      <c r="CS408" s="42"/>
      <c r="DX408" s="42"/>
      <c r="FC408" s="42"/>
      <c r="GH408" s="42"/>
      <c r="HM408" s="42"/>
      <c r="IR408" s="42"/>
      <c r="JW408" s="42"/>
      <c r="LB408" s="42"/>
      <c r="MG408" s="42"/>
      <c r="NL408" s="42"/>
    </row>
    <row r="409" ht="15.75" customHeight="1">
      <c r="A409" s="42"/>
      <c r="B409" s="42"/>
      <c r="C409" s="42"/>
      <c r="D409" s="38">
        <f t="shared" si="639"/>
        <v>45993</v>
      </c>
      <c r="E409" s="31" t="str">
        <f t="shared" ref="E409:I409" si="644">ED13</f>
        <v/>
      </c>
      <c r="F409" s="31" t="str">
        <f t="shared" si="644"/>
        <v/>
      </c>
      <c r="G409" s="31" t="str">
        <f t="shared" si="644"/>
        <v/>
      </c>
      <c r="H409" s="13" t="str">
        <f t="shared" si="644"/>
        <v/>
      </c>
      <c r="I409" s="13" t="str">
        <f t="shared" si="644"/>
        <v/>
      </c>
      <c r="J409" s="107" t="str">
        <f t="array" ref="J409">IFERROR(IF(XLOOKUP(CONCAT(E409,F409),'MASTER PLAN'!$AB:$AB,'MASTER PLAN'!$M:$M,0,0)=0,"",XLOOKUP(CONCAT(E409,F409),'MASTER PLAN'!$AB:$AB,'MASTER PLAN'!$M:$M,0,0)),"")</f>
        <v/>
      </c>
      <c r="K409" s="107">
        <f t="shared" si="237"/>
        <v>0</v>
      </c>
      <c r="L409" s="107">
        <f t="shared" si="238"/>
        <v>0</v>
      </c>
      <c r="M409" s="105" t="s">
        <v>248</v>
      </c>
      <c r="AI409" s="42"/>
      <c r="BN409" s="42"/>
      <c r="CS409" s="42"/>
      <c r="DX409" s="42"/>
      <c r="FC409" s="42"/>
      <c r="GH409" s="42"/>
      <c r="HM409" s="42"/>
      <c r="IR409" s="42"/>
      <c r="JW409" s="42"/>
      <c r="LB409" s="42"/>
      <c r="MG409" s="42"/>
      <c r="NL409" s="42"/>
    </row>
    <row r="410" ht="15.75" customHeight="1">
      <c r="A410" s="42"/>
      <c r="B410" s="42"/>
      <c r="C410" s="42"/>
      <c r="D410" s="38">
        <f t="shared" si="639"/>
        <v>45993</v>
      </c>
      <c r="E410" s="31" t="str">
        <f t="shared" ref="E410:I410" si="645">ED14</f>
        <v/>
      </c>
      <c r="F410" s="31" t="str">
        <f t="shared" si="645"/>
        <v/>
      </c>
      <c r="G410" s="31" t="str">
        <f t="shared" si="645"/>
        <v/>
      </c>
      <c r="H410" s="13" t="str">
        <f t="shared" si="645"/>
        <v/>
      </c>
      <c r="I410" s="13" t="str">
        <f t="shared" si="645"/>
        <v/>
      </c>
      <c r="J410" s="107" t="str">
        <f t="array" ref="J410">IFERROR(IF(XLOOKUP(CONCAT(E410,F410),'MASTER PLAN'!$AB:$AB,'MASTER PLAN'!$M:$M,0,0)=0,"",XLOOKUP(CONCAT(E410,F410),'MASTER PLAN'!$AB:$AB,'MASTER PLAN'!$M:$M,0,0)),"")</f>
        <v/>
      </c>
      <c r="K410" s="107">
        <f t="shared" si="237"/>
        <v>0</v>
      </c>
      <c r="L410" s="107">
        <f t="shared" si="238"/>
        <v>0</v>
      </c>
      <c r="M410" s="105" t="s">
        <v>248</v>
      </c>
      <c r="AI410" s="42"/>
      <c r="BN410" s="42"/>
      <c r="CS410" s="42"/>
      <c r="DX410" s="42"/>
      <c r="FC410" s="42"/>
      <c r="GH410" s="42"/>
      <c r="HM410" s="42"/>
      <c r="IR410" s="42"/>
      <c r="JW410" s="42"/>
      <c r="LB410" s="42"/>
      <c r="MG410" s="42"/>
      <c r="NL410" s="42"/>
    </row>
    <row r="411" ht="15.75" customHeight="1">
      <c r="A411" s="42"/>
      <c r="B411" s="42"/>
      <c r="C411" s="42"/>
      <c r="D411" s="38">
        <f t="shared" si="639"/>
        <v>45993</v>
      </c>
      <c r="E411" s="31" t="str">
        <f t="shared" ref="E411:I411" si="646">ED15</f>
        <v/>
      </c>
      <c r="F411" s="31" t="str">
        <f t="shared" si="646"/>
        <v/>
      </c>
      <c r="G411" s="31" t="str">
        <f t="shared" si="646"/>
        <v/>
      </c>
      <c r="H411" s="13" t="str">
        <f t="shared" si="646"/>
        <v/>
      </c>
      <c r="I411" s="13" t="str">
        <f t="shared" si="646"/>
        <v/>
      </c>
      <c r="J411" s="107" t="str">
        <f t="array" ref="J411">IFERROR(IF(XLOOKUP(CONCAT(E411,F411),'MASTER PLAN'!$AB:$AB,'MASTER PLAN'!$M:$M,0,0)=0,"",XLOOKUP(CONCAT(E411,F411),'MASTER PLAN'!$AB:$AB,'MASTER PLAN'!$M:$M,0,0)),"")</f>
        <v/>
      </c>
      <c r="K411" s="107">
        <f t="shared" si="237"/>
        <v>0</v>
      </c>
      <c r="L411" s="107">
        <f t="shared" si="238"/>
        <v>0</v>
      </c>
      <c r="M411" s="105" t="s">
        <v>248</v>
      </c>
      <c r="AI411" s="42"/>
      <c r="BN411" s="42"/>
      <c r="CS411" s="42"/>
      <c r="DX411" s="42"/>
      <c r="FC411" s="42"/>
      <c r="GH411" s="42"/>
      <c r="HM411" s="42"/>
      <c r="IR411" s="42"/>
      <c r="JW411" s="42"/>
      <c r="LB411" s="42"/>
      <c r="MG411" s="42"/>
      <c r="NL411" s="42"/>
    </row>
    <row r="412" ht="15.75" customHeight="1">
      <c r="A412" s="42"/>
      <c r="B412" s="42"/>
      <c r="C412" s="42"/>
      <c r="D412" s="38">
        <f t="shared" si="639"/>
        <v>45993</v>
      </c>
      <c r="E412" s="31" t="str">
        <f t="shared" ref="E412:I412" si="647">ED16</f>
        <v/>
      </c>
      <c r="F412" s="31" t="str">
        <f t="shared" si="647"/>
        <v/>
      </c>
      <c r="G412" s="31" t="str">
        <f t="shared" si="647"/>
        <v/>
      </c>
      <c r="H412" s="13" t="str">
        <f t="shared" si="647"/>
        <v/>
      </c>
      <c r="I412" s="13" t="str">
        <f t="shared" si="647"/>
        <v/>
      </c>
      <c r="J412" s="107" t="str">
        <f t="array" ref="J412">IFERROR(IF(XLOOKUP(CONCAT(E412,F412),'MASTER PLAN'!$AB:$AB,'MASTER PLAN'!$M:$M,0,0)=0,"",XLOOKUP(CONCAT(E412,F412),'MASTER PLAN'!$AB:$AB,'MASTER PLAN'!$M:$M,0,0)),"")</f>
        <v/>
      </c>
      <c r="K412" s="107">
        <f t="shared" si="237"/>
        <v>0</v>
      </c>
      <c r="L412" s="107">
        <f t="shared" si="238"/>
        <v>0</v>
      </c>
      <c r="M412" s="105" t="s">
        <v>248</v>
      </c>
      <c r="AI412" s="42"/>
      <c r="BN412" s="42"/>
      <c r="CS412" s="42"/>
      <c r="DX412" s="42"/>
      <c r="FC412" s="42"/>
      <c r="GH412" s="42"/>
      <c r="HM412" s="42"/>
      <c r="IR412" s="42"/>
      <c r="JW412" s="42"/>
      <c r="LB412" s="42"/>
      <c r="MG412" s="42"/>
      <c r="NL412" s="42"/>
    </row>
    <row r="413" ht="15.75" customHeight="1">
      <c r="A413" s="42"/>
      <c r="B413" s="42"/>
      <c r="C413" s="42"/>
      <c r="D413" s="38">
        <f t="shared" si="639"/>
        <v>45993</v>
      </c>
      <c r="E413" s="31" t="str">
        <f t="shared" ref="E413:I413" si="648">ED20</f>
        <v/>
      </c>
      <c r="F413" s="31" t="str">
        <f t="shared" si="648"/>
        <v/>
      </c>
      <c r="G413" s="31" t="str">
        <f t="shared" si="648"/>
        <v/>
      </c>
      <c r="H413" s="13" t="str">
        <f t="shared" si="648"/>
        <v/>
      </c>
      <c r="I413" s="13" t="str">
        <f t="shared" si="648"/>
        <v/>
      </c>
      <c r="J413" s="107" t="str">
        <f t="array" ref="J413">IFERROR(IF(XLOOKUP(CONCAT(E413,F413),'MASTER PLAN'!$AB:$AB,'MASTER PLAN'!$M:$M,0,0)=0,"",XLOOKUP(CONCAT(E413,F413),'MASTER PLAN'!$AB:$AB,'MASTER PLAN'!$M:$M,0,0)),"")</f>
        <v/>
      </c>
      <c r="K413" s="107">
        <f t="shared" si="237"/>
        <v>0</v>
      </c>
      <c r="L413" s="107">
        <f t="shared" si="238"/>
        <v>0</v>
      </c>
      <c r="M413" s="105" t="s">
        <v>249</v>
      </c>
      <c r="AI413" s="42"/>
      <c r="BN413" s="42"/>
      <c r="CS413" s="42"/>
      <c r="DX413" s="42"/>
      <c r="FC413" s="42"/>
      <c r="GH413" s="42"/>
      <c r="HM413" s="42"/>
      <c r="IR413" s="42"/>
      <c r="JW413" s="42"/>
      <c r="LB413" s="42"/>
      <c r="MG413" s="42"/>
      <c r="NL413" s="42"/>
    </row>
    <row r="414" ht="15.75" customHeight="1">
      <c r="A414" s="42"/>
      <c r="B414" s="42"/>
      <c r="C414" s="42"/>
      <c r="D414" s="38">
        <f t="shared" si="639"/>
        <v>45993</v>
      </c>
      <c r="E414" s="31" t="str">
        <f t="shared" ref="E414:I414" si="649">ED21</f>
        <v/>
      </c>
      <c r="F414" s="31" t="str">
        <f t="shared" si="649"/>
        <v/>
      </c>
      <c r="G414" s="31" t="str">
        <f t="shared" si="649"/>
        <v/>
      </c>
      <c r="H414" s="13" t="str">
        <f t="shared" si="649"/>
        <v/>
      </c>
      <c r="I414" s="13" t="str">
        <f t="shared" si="649"/>
        <v/>
      </c>
      <c r="J414" s="107" t="str">
        <f t="array" ref="J414">IFERROR(IF(XLOOKUP(CONCAT(E414,F414),'MASTER PLAN'!$AB:$AB,'MASTER PLAN'!$M:$M,0,0)=0,"",XLOOKUP(CONCAT(E414,F414),'MASTER PLAN'!$AB:$AB,'MASTER PLAN'!$M:$M,0,0)),"")</f>
        <v/>
      </c>
      <c r="K414" s="107">
        <f t="shared" si="237"/>
        <v>0</v>
      </c>
      <c r="L414" s="107">
        <f t="shared" si="238"/>
        <v>0</v>
      </c>
      <c r="M414" s="105" t="s">
        <v>249</v>
      </c>
      <c r="AI414" s="42"/>
      <c r="BN414" s="42"/>
      <c r="CS414" s="42"/>
      <c r="DX414" s="42"/>
      <c r="FC414" s="42"/>
      <c r="GH414" s="42"/>
      <c r="HM414" s="42"/>
      <c r="IR414" s="42"/>
      <c r="JW414" s="42"/>
      <c r="LB414" s="42"/>
      <c r="MG414" s="42"/>
      <c r="NL414" s="42"/>
    </row>
    <row r="415" ht="15.75" customHeight="1">
      <c r="A415" s="42"/>
      <c r="B415" s="42"/>
      <c r="C415" s="42"/>
      <c r="D415" s="38">
        <f t="shared" si="639"/>
        <v>45993</v>
      </c>
      <c r="E415" s="31" t="str">
        <f t="shared" ref="E415:I415" si="650">ED22</f>
        <v/>
      </c>
      <c r="F415" s="31" t="str">
        <f t="shared" si="650"/>
        <v/>
      </c>
      <c r="G415" s="31" t="str">
        <f t="shared" si="650"/>
        <v/>
      </c>
      <c r="H415" s="13" t="str">
        <f t="shared" si="650"/>
        <v/>
      </c>
      <c r="I415" s="13" t="str">
        <f t="shared" si="650"/>
        <v/>
      </c>
      <c r="J415" s="107" t="str">
        <f t="array" ref="J415">IFERROR(IF(XLOOKUP(CONCAT(E415,F415),'MASTER PLAN'!$AB:$AB,'MASTER PLAN'!$M:$M,0,0)=0,"",XLOOKUP(CONCAT(E415,F415),'MASTER PLAN'!$AB:$AB,'MASTER PLAN'!$M:$M,0,0)),"")</f>
        <v/>
      </c>
      <c r="K415" s="107">
        <f t="shared" si="237"/>
        <v>0</v>
      </c>
      <c r="L415" s="107">
        <f t="shared" si="238"/>
        <v>0</v>
      </c>
      <c r="M415" s="105" t="s">
        <v>249</v>
      </c>
      <c r="AI415" s="42"/>
      <c r="BN415" s="42"/>
      <c r="CS415" s="42"/>
      <c r="DX415" s="42"/>
      <c r="FC415" s="42"/>
      <c r="GH415" s="42"/>
      <c r="HM415" s="42"/>
      <c r="IR415" s="42"/>
      <c r="JW415" s="42"/>
      <c r="LB415" s="42"/>
      <c r="MG415" s="42"/>
      <c r="NL415" s="42"/>
    </row>
    <row r="416" ht="15.75" customHeight="1">
      <c r="A416" s="42"/>
      <c r="B416" s="42"/>
      <c r="C416" s="42"/>
      <c r="D416" s="38">
        <f t="shared" si="639"/>
        <v>45993</v>
      </c>
      <c r="E416" s="31" t="str">
        <f t="shared" ref="E416:I416" si="651">ED23</f>
        <v/>
      </c>
      <c r="F416" s="31" t="str">
        <f t="shared" si="651"/>
        <v/>
      </c>
      <c r="G416" s="31" t="str">
        <f t="shared" si="651"/>
        <v/>
      </c>
      <c r="H416" s="13" t="str">
        <f t="shared" si="651"/>
        <v/>
      </c>
      <c r="I416" s="13" t="str">
        <f t="shared" si="651"/>
        <v/>
      </c>
      <c r="J416" s="107" t="str">
        <f t="array" ref="J416">IFERROR(IF(XLOOKUP(CONCAT(E416,F416),'MASTER PLAN'!$AB:$AB,'MASTER PLAN'!$M:$M,0,0)=0,"",XLOOKUP(CONCAT(E416,F416),'MASTER PLAN'!$AB:$AB,'MASTER PLAN'!$M:$M,0,0)),"")</f>
        <v/>
      </c>
      <c r="K416" s="107">
        <f t="shared" si="237"/>
        <v>0</v>
      </c>
      <c r="L416" s="107">
        <f t="shared" si="238"/>
        <v>0</v>
      </c>
      <c r="M416" s="105" t="s">
        <v>249</v>
      </c>
      <c r="AI416" s="42"/>
      <c r="BN416" s="42"/>
      <c r="CS416" s="42"/>
      <c r="DX416" s="42"/>
      <c r="FC416" s="42"/>
      <c r="GH416" s="42"/>
      <c r="HM416" s="42"/>
      <c r="IR416" s="42"/>
      <c r="JW416" s="42"/>
      <c r="LB416" s="42"/>
      <c r="MG416" s="42"/>
      <c r="NL416" s="42"/>
    </row>
    <row r="417" ht="15.75" customHeight="1">
      <c r="A417" s="42"/>
      <c r="B417" s="42"/>
      <c r="C417" s="42"/>
      <c r="D417" s="38">
        <f t="shared" si="639"/>
        <v>45993</v>
      </c>
      <c r="E417" s="31" t="str">
        <f t="shared" ref="E417:I417" si="652">ED24</f>
        <v/>
      </c>
      <c r="F417" s="31" t="str">
        <f t="shared" si="652"/>
        <v/>
      </c>
      <c r="G417" s="31" t="str">
        <f t="shared" si="652"/>
        <v/>
      </c>
      <c r="H417" s="13" t="str">
        <f t="shared" si="652"/>
        <v/>
      </c>
      <c r="I417" s="13" t="str">
        <f t="shared" si="652"/>
        <v/>
      </c>
      <c r="J417" s="107" t="str">
        <f t="array" ref="J417">IFERROR(IF(XLOOKUP(CONCAT(E417,F417),'MASTER PLAN'!$AB:$AB,'MASTER PLAN'!$M:$M,0,0)=0,"",XLOOKUP(CONCAT(E417,F417),'MASTER PLAN'!$AB:$AB,'MASTER PLAN'!$M:$M,0,0)),"")</f>
        <v/>
      </c>
      <c r="K417" s="107">
        <f t="shared" si="237"/>
        <v>0</v>
      </c>
      <c r="L417" s="107">
        <f t="shared" si="238"/>
        <v>0</v>
      </c>
      <c r="M417" s="105" t="s">
        <v>249</v>
      </c>
      <c r="AI417" s="42"/>
      <c r="BN417" s="42"/>
      <c r="CS417" s="42"/>
      <c r="DX417" s="42"/>
      <c r="FC417" s="42"/>
      <c r="GH417" s="42"/>
      <c r="HM417" s="42"/>
      <c r="IR417" s="42"/>
      <c r="JW417" s="42"/>
      <c r="LB417" s="42"/>
      <c r="MG417" s="42"/>
      <c r="NL417" s="42"/>
    </row>
    <row r="418" ht="15.75" customHeight="1">
      <c r="A418" s="42"/>
      <c r="B418" s="42"/>
      <c r="C418" s="42"/>
      <c r="D418" s="38">
        <f>EI2</f>
        <v>45994</v>
      </c>
      <c r="E418" s="31">
        <f t="shared" ref="E418:I418" si="653">EI4</f>
        <v>1402049263</v>
      </c>
      <c r="F418" s="31">
        <f t="shared" si="653"/>
        <v>10</v>
      </c>
      <c r="G418" s="31" t="str">
        <f t="shared" si="653"/>
        <v>FOLDER GOLD CASTER LAWRENCE</v>
      </c>
      <c r="H418" s="13">
        <f t="shared" si="653"/>
        <v>800</v>
      </c>
      <c r="I418" s="13" t="str">
        <f t="shared" si="653"/>
        <v/>
      </c>
      <c r="J418" s="107">
        <f t="array" ref="J418">IFERROR(IF(XLOOKUP(CONCAT(E418,F418),'MASTER PLAN'!$AB:$AB,'MASTER PLAN'!$M:$M,0,0)=0,"",XLOOKUP(CONCAT(E418,F418),'MASTER PLAN'!$AB:$AB,'MASTER PLAN'!$M:$M,0,0)),"")</f>
        <v>0.805</v>
      </c>
      <c r="K418" s="107">
        <f t="shared" si="237"/>
        <v>644</v>
      </c>
      <c r="L418" s="107">
        <f t="shared" si="238"/>
        <v>0</v>
      </c>
      <c r="M418" s="105" t="s">
        <v>246</v>
      </c>
      <c r="AI418" s="42"/>
      <c r="BN418" s="42"/>
      <c r="CS418" s="42"/>
      <c r="DX418" s="42"/>
      <c r="FC418" s="42"/>
      <c r="GH418" s="42"/>
      <c r="HM418" s="42"/>
      <c r="IR418" s="42"/>
      <c r="JW418" s="42"/>
      <c r="LB418" s="42"/>
      <c r="MG418" s="42"/>
      <c r="NL418" s="42"/>
    </row>
    <row r="419" ht="15.75" customHeight="1">
      <c r="A419" s="42"/>
      <c r="B419" s="42"/>
      <c r="C419" s="42"/>
      <c r="D419" s="38">
        <f t="shared" ref="D419:D432" si="655">D418</f>
        <v>45994</v>
      </c>
      <c r="E419" s="31">
        <f t="shared" ref="E419:I419" si="654">EI5</f>
        <v>1402048833</v>
      </c>
      <c r="F419" s="31">
        <f t="shared" si="654"/>
        <v>20</v>
      </c>
      <c r="G419" s="31" t="str">
        <f t="shared" si="654"/>
        <v>BOLSA FRED MEYER 10"X4"X8"</v>
      </c>
      <c r="H419" s="13">
        <f t="shared" si="654"/>
        <v>750</v>
      </c>
      <c r="I419" s="13" t="str">
        <f t="shared" si="654"/>
        <v/>
      </c>
      <c r="J419" s="107">
        <f t="array" ref="J419">IFERROR(IF(XLOOKUP(CONCAT(E419,F419),'MASTER PLAN'!$AB:$AB,'MASTER PLAN'!$M:$M,0,0)=0,"",XLOOKUP(CONCAT(E419,F419),'MASTER PLAN'!$AB:$AB,'MASTER PLAN'!$M:$M,0,0)),"")</f>
        <v>0.63</v>
      </c>
      <c r="K419" s="107">
        <f t="shared" si="237"/>
        <v>472.5</v>
      </c>
      <c r="L419" s="107">
        <f t="shared" si="238"/>
        <v>0</v>
      </c>
      <c r="M419" s="105" t="s">
        <v>246</v>
      </c>
      <c r="AI419" s="42"/>
      <c r="BN419" s="42"/>
      <c r="CS419" s="42"/>
      <c r="DX419" s="42"/>
      <c r="FC419" s="42"/>
      <c r="GH419" s="42"/>
      <c r="HM419" s="42"/>
      <c r="IR419" s="42"/>
      <c r="JW419" s="42"/>
      <c r="LB419" s="42"/>
      <c r="MG419" s="42"/>
      <c r="NL419" s="42"/>
    </row>
    <row r="420" ht="15.75" customHeight="1">
      <c r="A420" s="42"/>
      <c r="B420" s="42"/>
      <c r="C420" s="42"/>
      <c r="D420" s="38">
        <f t="shared" si="655"/>
        <v>45994</v>
      </c>
      <c r="E420" s="31">
        <f t="shared" ref="E420:I420" si="656">EI6</f>
        <v>1402049349</v>
      </c>
      <c r="F420" s="31">
        <f t="shared" si="656"/>
        <v>10</v>
      </c>
      <c r="G420" s="31" t="str">
        <f t="shared" si="656"/>
        <v>BOLSA WSHM WOS 10"X6"X10" FA</v>
      </c>
      <c r="H420" s="13">
        <f t="shared" si="656"/>
        <v>1000</v>
      </c>
      <c r="I420" s="13" t="str">
        <f t="shared" si="656"/>
        <v/>
      </c>
      <c r="J420" s="107">
        <f t="array" ref="J420">IFERROR(IF(XLOOKUP(CONCAT(E420,F420),'MASTER PLAN'!$AB:$AB,'MASTER PLAN'!$M:$M,0,0)=0,"",XLOOKUP(CONCAT(E420,F420),'MASTER PLAN'!$AB:$AB,'MASTER PLAN'!$M:$M,0,0)),"")</f>
        <v>2.448</v>
      </c>
      <c r="K420" s="107">
        <f t="shared" si="237"/>
        <v>2448</v>
      </c>
      <c r="L420" s="107">
        <f t="shared" si="238"/>
        <v>0</v>
      </c>
      <c r="M420" s="105" t="s">
        <v>246</v>
      </c>
      <c r="AI420" s="42"/>
      <c r="BN420" s="42"/>
      <c r="CS420" s="42"/>
      <c r="DX420" s="42"/>
      <c r="FC420" s="42"/>
      <c r="GH420" s="42"/>
      <c r="HM420" s="42"/>
      <c r="IR420" s="42"/>
      <c r="JW420" s="42"/>
      <c r="LB420" s="42"/>
      <c r="MG420" s="42"/>
      <c r="NL420" s="42"/>
    </row>
    <row r="421" ht="15.75" customHeight="1">
      <c r="A421" s="42"/>
      <c r="B421" s="42"/>
      <c r="C421" s="42"/>
      <c r="D421" s="38">
        <f t="shared" si="655"/>
        <v>45994</v>
      </c>
      <c r="E421" s="31" t="str">
        <f t="shared" ref="E421:I421" si="657">EI7</f>
        <v/>
      </c>
      <c r="F421" s="31" t="str">
        <f t="shared" si="657"/>
        <v/>
      </c>
      <c r="G421" s="31" t="str">
        <f t="shared" si="657"/>
        <v/>
      </c>
      <c r="H421" s="13" t="str">
        <f t="shared" si="657"/>
        <v/>
      </c>
      <c r="I421" s="13" t="str">
        <f t="shared" si="657"/>
        <v/>
      </c>
      <c r="J421" s="107" t="str">
        <f t="array" ref="J421">IFERROR(IF(XLOOKUP(CONCAT(E421,F421),'MASTER PLAN'!$AB:$AB,'MASTER PLAN'!$M:$M,0,0)=0,"",XLOOKUP(CONCAT(E421,F421),'MASTER PLAN'!$AB:$AB,'MASTER PLAN'!$M:$M,0,0)),"")</f>
        <v/>
      </c>
      <c r="K421" s="107">
        <f t="shared" si="237"/>
        <v>0</v>
      </c>
      <c r="L421" s="107">
        <f t="shared" si="238"/>
        <v>0</v>
      </c>
      <c r="M421" s="105" t="s">
        <v>246</v>
      </c>
      <c r="AI421" s="42"/>
      <c r="BN421" s="42"/>
      <c r="CS421" s="42"/>
      <c r="DX421" s="42"/>
      <c r="FC421" s="42"/>
      <c r="GH421" s="42"/>
      <c r="HM421" s="42"/>
      <c r="IR421" s="42"/>
      <c r="JW421" s="42"/>
      <c r="LB421" s="42"/>
      <c r="MG421" s="42"/>
      <c r="NL421" s="42"/>
    </row>
    <row r="422" ht="15.75" customHeight="1">
      <c r="A422" s="42"/>
      <c r="B422" s="42"/>
      <c r="C422" s="42"/>
      <c r="D422" s="38">
        <f t="shared" si="655"/>
        <v>45994</v>
      </c>
      <c r="E422" s="31" t="str">
        <f t="shared" ref="E422:I422" si="658">EI8</f>
        <v/>
      </c>
      <c r="F422" s="31" t="str">
        <f t="shared" si="658"/>
        <v/>
      </c>
      <c r="G422" s="31" t="str">
        <f t="shared" si="658"/>
        <v/>
      </c>
      <c r="H422" s="13" t="str">
        <f t="shared" si="658"/>
        <v/>
      </c>
      <c r="I422" s="13" t="str">
        <f t="shared" si="658"/>
        <v/>
      </c>
      <c r="J422" s="107" t="str">
        <f t="array" ref="J422">IFERROR(IF(XLOOKUP(CONCAT(E422,F422),'MASTER PLAN'!$AB:$AB,'MASTER PLAN'!$M:$M,0,0)=0,"",XLOOKUP(CONCAT(E422,F422),'MASTER PLAN'!$AB:$AB,'MASTER PLAN'!$M:$M,0,0)),"")</f>
        <v/>
      </c>
      <c r="K422" s="107">
        <f t="shared" si="237"/>
        <v>0</v>
      </c>
      <c r="L422" s="107">
        <f t="shared" si="238"/>
        <v>0</v>
      </c>
      <c r="M422" s="105" t="s">
        <v>246</v>
      </c>
      <c r="AI422" s="42"/>
      <c r="BN422" s="42"/>
      <c r="CS422" s="42"/>
      <c r="DX422" s="42"/>
      <c r="FC422" s="42"/>
      <c r="GH422" s="42"/>
      <c r="HM422" s="42"/>
      <c r="IR422" s="42"/>
      <c r="JW422" s="42"/>
      <c r="LB422" s="42"/>
      <c r="MG422" s="42"/>
      <c r="NL422" s="42"/>
    </row>
    <row r="423" ht="15.75" customHeight="1">
      <c r="A423" s="42"/>
      <c r="B423" s="42"/>
      <c r="C423" s="42"/>
      <c r="D423" s="38">
        <f t="shared" si="655"/>
        <v>45994</v>
      </c>
      <c r="E423" s="31">
        <f t="shared" ref="E423:I423" si="659">EI12</f>
        <v>1402049207</v>
      </c>
      <c r="F423" s="31">
        <f t="shared" si="659"/>
        <v>20</v>
      </c>
      <c r="G423" s="31" t="str">
        <f t="shared" si="659"/>
        <v>BOLSA FINKS JEWELERS  7"X5"X9"</v>
      </c>
      <c r="H423" s="13">
        <f t="shared" si="659"/>
        <v>900</v>
      </c>
      <c r="I423" s="13" t="str">
        <f t="shared" si="659"/>
        <v/>
      </c>
      <c r="J423" s="107">
        <f t="array" ref="J423">IFERROR(IF(XLOOKUP(CONCAT(E423,F423),'MASTER PLAN'!$AB:$AB,'MASTER PLAN'!$M:$M,0,0)=0,"",XLOOKUP(CONCAT(E423,F423),'MASTER PLAN'!$AB:$AB,'MASTER PLAN'!$M:$M,0,0)),"")</f>
        <v>0.728</v>
      </c>
      <c r="K423" s="107">
        <f t="shared" si="237"/>
        <v>655.2</v>
      </c>
      <c r="L423" s="107">
        <f t="shared" si="238"/>
        <v>0</v>
      </c>
      <c r="M423" s="105" t="s">
        <v>248</v>
      </c>
      <c r="AI423" s="42"/>
      <c r="BN423" s="42"/>
      <c r="CS423" s="42"/>
      <c r="DX423" s="42"/>
      <c r="FC423" s="42"/>
      <c r="GH423" s="42"/>
      <c r="HM423" s="42"/>
      <c r="IR423" s="42"/>
      <c r="JW423" s="42"/>
      <c r="LB423" s="42"/>
      <c r="MG423" s="42"/>
      <c r="NL423" s="42"/>
    </row>
    <row r="424" ht="15.75" customHeight="1">
      <c r="A424" s="42"/>
      <c r="B424" s="42"/>
      <c r="C424" s="42"/>
      <c r="D424" s="38">
        <f t="shared" si="655"/>
        <v>45994</v>
      </c>
      <c r="E424" s="31">
        <f t="shared" ref="E424:I424" si="660">EI13</f>
        <v>1402049350</v>
      </c>
      <c r="F424" s="31">
        <f t="shared" si="660"/>
        <v>10</v>
      </c>
      <c r="G424" s="31" t="str">
        <f t="shared" si="660"/>
        <v>BOLSA WSMJ MAYORS WOS 6-5"X3-5"X6-5" FA</v>
      </c>
      <c r="H424" s="13">
        <f t="shared" si="660"/>
        <v>1200</v>
      </c>
      <c r="I424" s="13" t="str">
        <f t="shared" si="660"/>
        <v/>
      </c>
      <c r="J424" s="107">
        <f t="array" ref="J424">IFERROR(IF(XLOOKUP(CONCAT(E424,F424),'MASTER PLAN'!$AB:$AB,'MASTER PLAN'!$M:$M,0,0)=0,"",XLOOKUP(CONCAT(E424,F424),'MASTER PLAN'!$AB:$AB,'MASTER PLAN'!$M:$M,0,0)),"")</f>
        <v>1.672</v>
      </c>
      <c r="K424" s="107">
        <f t="shared" si="237"/>
        <v>2006.4</v>
      </c>
      <c r="L424" s="107">
        <f t="shared" si="238"/>
        <v>0</v>
      </c>
      <c r="M424" s="105" t="s">
        <v>248</v>
      </c>
      <c r="AI424" s="42"/>
      <c r="BN424" s="42"/>
      <c r="CS424" s="42"/>
      <c r="DX424" s="42"/>
      <c r="FC424" s="42"/>
      <c r="GH424" s="42"/>
      <c r="HM424" s="42"/>
      <c r="IR424" s="42"/>
      <c r="JW424" s="42"/>
      <c r="LB424" s="42"/>
      <c r="MG424" s="42"/>
      <c r="NL424" s="42"/>
    </row>
    <row r="425" ht="15.75" customHeight="1">
      <c r="A425" s="42"/>
      <c r="B425" s="42"/>
      <c r="C425" s="42"/>
      <c r="D425" s="38">
        <f t="shared" si="655"/>
        <v>45994</v>
      </c>
      <c r="E425" s="31" t="str">
        <f t="shared" ref="E425:I425" si="661">EI14</f>
        <v/>
      </c>
      <c r="F425" s="31" t="str">
        <f t="shared" si="661"/>
        <v/>
      </c>
      <c r="G425" s="31" t="str">
        <f t="shared" si="661"/>
        <v/>
      </c>
      <c r="H425" s="13" t="str">
        <f t="shared" si="661"/>
        <v/>
      </c>
      <c r="I425" s="13" t="str">
        <f t="shared" si="661"/>
        <v/>
      </c>
      <c r="J425" s="107" t="str">
        <f t="array" ref="J425">IFERROR(IF(XLOOKUP(CONCAT(E425,F425),'MASTER PLAN'!$AB:$AB,'MASTER PLAN'!$M:$M,0,0)=0,"",XLOOKUP(CONCAT(E425,F425),'MASTER PLAN'!$AB:$AB,'MASTER PLAN'!$M:$M,0,0)),"")</f>
        <v/>
      </c>
      <c r="K425" s="107">
        <f t="shared" si="237"/>
        <v>0</v>
      </c>
      <c r="L425" s="107">
        <f t="shared" si="238"/>
        <v>0</v>
      </c>
      <c r="M425" s="105" t="s">
        <v>248</v>
      </c>
      <c r="AI425" s="42"/>
      <c r="BN425" s="42"/>
      <c r="CS425" s="42"/>
      <c r="DX425" s="42"/>
      <c r="FC425" s="42"/>
      <c r="GH425" s="42"/>
      <c r="HM425" s="42"/>
      <c r="IR425" s="42"/>
      <c r="JW425" s="42"/>
      <c r="LB425" s="42"/>
      <c r="MG425" s="42"/>
      <c r="NL425" s="42"/>
    </row>
    <row r="426" ht="15.75" customHeight="1">
      <c r="A426" s="42"/>
      <c r="B426" s="42"/>
      <c r="C426" s="42"/>
      <c r="D426" s="38">
        <f t="shared" si="655"/>
        <v>45994</v>
      </c>
      <c r="E426" s="31" t="str">
        <f t="shared" ref="E426:I426" si="662">EI15</f>
        <v/>
      </c>
      <c r="F426" s="31" t="str">
        <f t="shared" si="662"/>
        <v/>
      </c>
      <c r="G426" s="31" t="str">
        <f t="shared" si="662"/>
        <v/>
      </c>
      <c r="H426" s="13" t="str">
        <f t="shared" si="662"/>
        <v/>
      </c>
      <c r="I426" s="13" t="str">
        <f t="shared" si="662"/>
        <v/>
      </c>
      <c r="J426" s="107" t="str">
        <f t="array" ref="J426">IFERROR(IF(XLOOKUP(CONCAT(E426,F426),'MASTER PLAN'!$AB:$AB,'MASTER PLAN'!$M:$M,0,0)=0,"",XLOOKUP(CONCAT(E426,F426),'MASTER PLAN'!$AB:$AB,'MASTER PLAN'!$M:$M,0,0)),"")</f>
        <v/>
      </c>
      <c r="K426" s="107">
        <f t="shared" si="237"/>
        <v>0</v>
      </c>
      <c r="L426" s="107">
        <f t="shared" si="238"/>
        <v>0</v>
      </c>
      <c r="M426" s="105" t="s">
        <v>248</v>
      </c>
      <c r="AI426" s="42"/>
      <c r="BN426" s="42"/>
      <c r="CS426" s="42"/>
      <c r="DX426" s="42"/>
      <c r="FC426" s="42"/>
      <c r="GH426" s="42"/>
      <c r="HM426" s="42"/>
      <c r="IR426" s="42"/>
      <c r="JW426" s="42"/>
      <c r="LB426" s="42"/>
      <c r="MG426" s="42"/>
      <c r="NL426" s="42"/>
    </row>
    <row r="427" ht="15.75" customHeight="1">
      <c r="A427" s="42"/>
      <c r="B427" s="42"/>
      <c r="C427" s="42"/>
      <c r="D427" s="38">
        <f t="shared" si="655"/>
        <v>45994</v>
      </c>
      <c r="E427" s="31" t="str">
        <f t="shared" ref="E427:I427" si="663">EI16</f>
        <v/>
      </c>
      <c r="F427" s="31" t="str">
        <f t="shared" si="663"/>
        <v/>
      </c>
      <c r="G427" s="31" t="str">
        <f t="shared" si="663"/>
        <v/>
      </c>
      <c r="H427" s="13" t="str">
        <f t="shared" si="663"/>
        <v/>
      </c>
      <c r="I427" s="13" t="str">
        <f t="shared" si="663"/>
        <v/>
      </c>
      <c r="J427" s="107" t="str">
        <f t="array" ref="J427">IFERROR(IF(XLOOKUP(CONCAT(E427,F427),'MASTER PLAN'!$AB:$AB,'MASTER PLAN'!$M:$M,0,0)=0,"",XLOOKUP(CONCAT(E427,F427),'MASTER PLAN'!$AB:$AB,'MASTER PLAN'!$M:$M,0,0)),"")</f>
        <v/>
      </c>
      <c r="K427" s="107">
        <f t="shared" si="237"/>
        <v>0</v>
      </c>
      <c r="L427" s="107">
        <f t="shared" si="238"/>
        <v>0</v>
      </c>
      <c r="M427" s="105" t="s">
        <v>248</v>
      </c>
      <c r="AI427" s="42"/>
      <c r="BN427" s="42"/>
      <c r="CS427" s="42"/>
      <c r="DX427" s="42"/>
      <c r="FC427" s="42"/>
      <c r="GH427" s="42"/>
      <c r="HM427" s="42"/>
      <c r="IR427" s="42"/>
      <c r="JW427" s="42"/>
      <c r="LB427" s="42"/>
      <c r="MG427" s="42"/>
      <c r="NL427" s="42"/>
    </row>
    <row r="428" ht="15.75" customHeight="1">
      <c r="A428" s="42"/>
      <c r="B428" s="42"/>
      <c r="C428" s="42"/>
      <c r="D428" s="38">
        <f t="shared" si="655"/>
        <v>45994</v>
      </c>
      <c r="E428" s="31" t="str">
        <f t="shared" ref="E428:I428" si="664">EI20</f>
        <v/>
      </c>
      <c r="F428" s="31" t="str">
        <f t="shared" si="664"/>
        <v/>
      </c>
      <c r="G428" s="31" t="str">
        <f t="shared" si="664"/>
        <v/>
      </c>
      <c r="H428" s="13" t="str">
        <f t="shared" si="664"/>
        <v/>
      </c>
      <c r="I428" s="13" t="str">
        <f t="shared" si="664"/>
        <v/>
      </c>
      <c r="J428" s="107" t="str">
        <f t="array" ref="J428">IFERROR(IF(XLOOKUP(CONCAT(E428,F428),'MASTER PLAN'!$AB:$AB,'MASTER PLAN'!$M:$M,0,0)=0,"",XLOOKUP(CONCAT(E428,F428),'MASTER PLAN'!$AB:$AB,'MASTER PLAN'!$M:$M,0,0)),"")</f>
        <v/>
      </c>
      <c r="K428" s="107">
        <f t="shared" si="237"/>
        <v>0</v>
      </c>
      <c r="L428" s="107">
        <f t="shared" si="238"/>
        <v>0</v>
      </c>
      <c r="M428" s="105" t="s">
        <v>249</v>
      </c>
      <c r="AI428" s="42"/>
      <c r="BN428" s="42"/>
      <c r="CS428" s="42"/>
      <c r="DX428" s="42"/>
      <c r="FC428" s="42"/>
      <c r="GH428" s="42"/>
      <c r="HM428" s="42"/>
      <c r="IR428" s="42"/>
      <c r="JW428" s="42"/>
      <c r="LB428" s="42"/>
      <c r="MG428" s="42"/>
      <c r="NL428" s="42"/>
    </row>
    <row r="429" ht="15.75" customHeight="1">
      <c r="A429" s="42"/>
      <c r="B429" s="42"/>
      <c r="C429" s="42"/>
      <c r="D429" s="38">
        <f t="shared" si="655"/>
        <v>45994</v>
      </c>
      <c r="E429" s="31" t="str">
        <f t="shared" ref="E429:I429" si="665">EI21</f>
        <v/>
      </c>
      <c r="F429" s="31" t="str">
        <f t="shared" si="665"/>
        <v/>
      </c>
      <c r="G429" s="31" t="str">
        <f t="shared" si="665"/>
        <v/>
      </c>
      <c r="H429" s="13" t="str">
        <f t="shared" si="665"/>
        <v/>
      </c>
      <c r="I429" s="13" t="str">
        <f t="shared" si="665"/>
        <v/>
      </c>
      <c r="J429" s="107" t="str">
        <f t="array" ref="J429">IFERROR(IF(XLOOKUP(CONCAT(E429,F429),'MASTER PLAN'!$AB:$AB,'MASTER PLAN'!$M:$M,0,0)=0,"",XLOOKUP(CONCAT(E429,F429),'MASTER PLAN'!$AB:$AB,'MASTER PLAN'!$M:$M,0,0)),"")</f>
        <v/>
      </c>
      <c r="K429" s="107">
        <f t="shared" si="237"/>
        <v>0</v>
      </c>
      <c r="L429" s="107">
        <f t="shared" si="238"/>
        <v>0</v>
      </c>
      <c r="M429" s="105" t="s">
        <v>249</v>
      </c>
      <c r="AI429" s="42"/>
      <c r="BN429" s="42"/>
      <c r="CS429" s="42"/>
      <c r="DX429" s="42"/>
      <c r="FC429" s="42"/>
      <c r="GH429" s="42"/>
      <c r="HM429" s="42"/>
      <c r="IR429" s="42"/>
      <c r="JW429" s="42"/>
      <c r="LB429" s="42"/>
      <c r="MG429" s="42"/>
      <c r="NL429" s="42"/>
    </row>
    <row r="430" ht="15.75" customHeight="1">
      <c r="A430" s="42"/>
      <c r="B430" s="42"/>
      <c r="C430" s="42"/>
      <c r="D430" s="38">
        <f t="shared" si="655"/>
        <v>45994</v>
      </c>
      <c r="E430" s="31" t="str">
        <f t="shared" ref="E430:I430" si="666">EI22</f>
        <v/>
      </c>
      <c r="F430" s="31" t="str">
        <f t="shared" si="666"/>
        <v/>
      </c>
      <c r="G430" s="31" t="str">
        <f t="shared" si="666"/>
        <v/>
      </c>
      <c r="H430" s="13" t="str">
        <f t="shared" si="666"/>
        <v/>
      </c>
      <c r="I430" s="13" t="str">
        <f t="shared" si="666"/>
        <v/>
      </c>
      <c r="J430" s="107" t="str">
        <f t="array" ref="J430">IFERROR(IF(XLOOKUP(CONCAT(E430,F430),'MASTER PLAN'!$AB:$AB,'MASTER PLAN'!$M:$M,0,0)=0,"",XLOOKUP(CONCAT(E430,F430),'MASTER PLAN'!$AB:$AB,'MASTER PLAN'!$M:$M,0,0)),"")</f>
        <v/>
      </c>
      <c r="K430" s="107">
        <f t="shared" si="237"/>
        <v>0</v>
      </c>
      <c r="L430" s="107">
        <f t="shared" si="238"/>
        <v>0</v>
      </c>
      <c r="M430" s="105" t="s">
        <v>249</v>
      </c>
      <c r="AI430" s="42"/>
      <c r="BN430" s="42"/>
      <c r="CS430" s="42"/>
      <c r="DX430" s="42"/>
      <c r="FC430" s="42"/>
      <c r="GH430" s="42"/>
      <c r="HM430" s="42"/>
      <c r="IR430" s="42"/>
      <c r="JW430" s="42"/>
      <c r="LB430" s="42"/>
      <c r="MG430" s="42"/>
      <c r="NL430" s="42"/>
    </row>
    <row r="431" ht="15.75" customHeight="1">
      <c r="A431" s="42"/>
      <c r="B431" s="42"/>
      <c r="C431" s="42"/>
      <c r="D431" s="38">
        <f t="shared" si="655"/>
        <v>45994</v>
      </c>
      <c r="E431" s="31" t="str">
        <f t="shared" ref="E431:I431" si="667">EI23</f>
        <v/>
      </c>
      <c r="F431" s="31" t="str">
        <f t="shared" si="667"/>
        <v/>
      </c>
      <c r="G431" s="31" t="str">
        <f t="shared" si="667"/>
        <v/>
      </c>
      <c r="H431" s="13" t="str">
        <f t="shared" si="667"/>
        <v/>
      </c>
      <c r="I431" s="13" t="str">
        <f t="shared" si="667"/>
        <v/>
      </c>
      <c r="J431" s="107" t="str">
        <f t="array" ref="J431">IFERROR(IF(XLOOKUP(CONCAT(E431,F431),'MASTER PLAN'!$AB:$AB,'MASTER PLAN'!$M:$M,0,0)=0,"",XLOOKUP(CONCAT(E431,F431),'MASTER PLAN'!$AB:$AB,'MASTER PLAN'!$M:$M,0,0)),"")</f>
        <v/>
      </c>
      <c r="K431" s="107">
        <f t="shared" si="237"/>
        <v>0</v>
      </c>
      <c r="L431" s="107">
        <f t="shared" si="238"/>
        <v>0</v>
      </c>
      <c r="M431" s="105" t="s">
        <v>249</v>
      </c>
      <c r="AI431" s="42"/>
      <c r="BN431" s="42"/>
      <c r="CS431" s="42"/>
      <c r="DX431" s="42"/>
      <c r="FC431" s="42"/>
      <c r="GH431" s="42"/>
      <c r="HM431" s="42"/>
      <c r="IR431" s="42"/>
      <c r="JW431" s="42"/>
      <c r="LB431" s="42"/>
      <c r="MG431" s="42"/>
      <c r="NL431" s="42"/>
    </row>
    <row r="432" ht="15.75" customHeight="1">
      <c r="A432" s="42"/>
      <c r="B432" s="42"/>
      <c r="C432" s="42"/>
      <c r="D432" s="38">
        <f t="shared" si="655"/>
        <v>45994</v>
      </c>
      <c r="E432" s="31" t="str">
        <f t="shared" ref="E432:I432" si="668">EI24</f>
        <v/>
      </c>
      <c r="F432" s="31" t="str">
        <f t="shared" si="668"/>
        <v/>
      </c>
      <c r="G432" s="31" t="str">
        <f t="shared" si="668"/>
        <v/>
      </c>
      <c r="H432" s="13" t="str">
        <f t="shared" si="668"/>
        <v/>
      </c>
      <c r="I432" s="13" t="str">
        <f t="shared" si="668"/>
        <v/>
      </c>
      <c r="J432" s="107" t="str">
        <f t="array" ref="J432">IFERROR(IF(XLOOKUP(CONCAT(E432,F432),'MASTER PLAN'!$AB:$AB,'MASTER PLAN'!$M:$M,0,0)=0,"",XLOOKUP(CONCAT(E432,F432),'MASTER PLAN'!$AB:$AB,'MASTER PLAN'!$M:$M,0,0)),"")</f>
        <v/>
      </c>
      <c r="K432" s="107">
        <f t="shared" si="237"/>
        <v>0</v>
      </c>
      <c r="L432" s="107">
        <f t="shared" si="238"/>
        <v>0</v>
      </c>
      <c r="M432" s="105" t="s">
        <v>249</v>
      </c>
      <c r="AI432" s="42"/>
      <c r="BN432" s="42"/>
      <c r="CS432" s="42"/>
      <c r="DX432" s="42"/>
      <c r="FC432" s="42"/>
      <c r="GH432" s="42"/>
      <c r="HM432" s="42"/>
      <c r="IR432" s="42"/>
      <c r="JW432" s="42"/>
      <c r="LB432" s="42"/>
      <c r="MG432" s="42"/>
      <c r="NL432" s="42"/>
    </row>
    <row r="433" ht="15.75" customHeight="1">
      <c r="A433" s="42"/>
      <c r="B433" s="42"/>
      <c r="C433" s="42"/>
      <c r="D433" s="38">
        <f>EN2</f>
        <v>45995</v>
      </c>
      <c r="E433" s="31">
        <f t="shared" ref="E433:I433" si="669">EN4</f>
        <v>1402049349</v>
      </c>
      <c r="F433" s="31">
        <f t="shared" si="669"/>
        <v>10</v>
      </c>
      <c r="G433" s="31" t="str">
        <f t="shared" si="669"/>
        <v>BOLSA WSHM WOS 10"X6"X10" FA</v>
      </c>
      <c r="H433" s="13">
        <f t="shared" si="669"/>
        <v>3000</v>
      </c>
      <c r="I433" s="13" t="str">
        <f t="shared" si="669"/>
        <v/>
      </c>
      <c r="J433" s="107">
        <f t="array" ref="J433">IFERROR(IF(XLOOKUP(CONCAT(E433,F433),'MASTER PLAN'!$AB:$AB,'MASTER PLAN'!$M:$M,0,0)=0,"",XLOOKUP(CONCAT(E433,F433),'MASTER PLAN'!$AB:$AB,'MASTER PLAN'!$M:$M,0,0)),"")</f>
        <v>2.448</v>
      </c>
      <c r="K433" s="107">
        <f t="shared" si="237"/>
        <v>7344</v>
      </c>
      <c r="L433" s="107">
        <f t="shared" si="238"/>
        <v>0</v>
      </c>
      <c r="M433" s="105" t="s">
        <v>246</v>
      </c>
      <c r="AI433" s="42"/>
      <c r="BN433" s="42"/>
      <c r="CS433" s="42"/>
      <c r="DX433" s="42"/>
      <c r="FC433" s="42"/>
      <c r="GH433" s="42"/>
      <c r="HM433" s="42"/>
      <c r="IR433" s="42"/>
      <c r="JW433" s="42"/>
      <c r="LB433" s="42"/>
      <c r="MG433" s="42"/>
      <c r="NL433" s="42"/>
    </row>
    <row r="434" ht="15.75" customHeight="1">
      <c r="A434" s="42"/>
      <c r="B434" s="42"/>
      <c r="C434" s="42"/>
      <c r="D434" s="38">
        <f t="shared" ref="D434:D447" si="671">D433</f>
        <v>45995</v>
      </c>
      <c r="E434" s="31" t="str">
        <f t="shared" ref="E434:I434" si="670">EN5</f>
        <v/>
      </c>
      <c r="F434" s="31" t="str">
        <f t="shared" si="670"/>
        <v/>
      </c>
      <c r="G434" s="31" t="str">
        <f t="shared" si="670"/>
        <v/>
      </c>
      <c r="H434" s="13" t="str">
        <f t="shared" si="670"/>
        <v/>
      </c>
      <c r="I434" s="13" t="str">
        <f t="shared" si="670"/>
        <v/>
      </c>
      <c r="J434" s="107" t="str">
        <f t="array" ref="J434">IFERROR(IF(XLOOKUP(CONCAT(E434,F434),'MASTER PLAN'!$AB:$AB,'MASTER PLAN'!$M:$M,0,0)=0,"",XLOOKUP(CONCAT(E434,F434),'MASTER PLAN'!$AB:$AB,'MASTER PLAN'!$M:$M,0,0)),"")</f>
        <v/>
      </c>
      <c r="K434" s="107">
        <f t="shared" si="237"/>
        <v>0</v>
      </c>
      <c r="L434" s="107">
        <f t="shared" si="238"/>
        <v>0</v>
      </c>
      <c r="M434" s="105" t="s">
        <v>246</v>
      </c>
      <c r="AI434" s="42"/>
      <c r="BN434" s="42"/>
      <c r="CS434" s="42"/>
      <c r="DX434" s="42"/>
      <c r="FC434" s="42"/>
      <c r="GH434" s="42"/>
      <c r="HM434" s="42"/>
      <c r="IR434" s="42"/>
      <c r="JW434" s="42"/>
      <c r="LB434" s="42"/>
      <c r="MG434" s="42"/>
      <c r="NL434" s="42"/>
    </row>
    <row r="435" ht="15.75" customHeight="1">
      <c r="A435" s="42"/>
      <c r="B435" s="42"/>
      <c r="C435" s="42"/>
      <c r="D435" s="38">
        <f t="shared" si="671"/>
        <v>45995</v>
      </c>
      <c r="E435" s="31" t="str">
        <f t="shared" ref="E435:I435" si="672">EN6</f>
        <v/>
      </c>
      <c r="F435" s="31" t="str">
        <f t="shared" si="672"/>
        <v/>
      </c>
      <c r="G435" s="31" t="str">
        <f t="shared" si="672"/>
        <v/>
      </c>
      <c r="H435" s="13" t="str">
        <f t="shared" si="672"/>
        <v/>
      </c>
      <c r="I435" s="13" t="str">
        <f t="shared" si="672"/>
        <v/>
      </c>
      <c r="J435" s="107" t="str">
        <f t="array" ref="J435">IFERROR(IF(XLOOKUP(CONCAT(E435,F435),'MASTER PLAN'!$AB:$AB,'MASTER PLAN'!$M:$M,0,0)=0,"",XLOOKUP(CONCAT(E435,F435),'MASTER PLAN'!$AB:$AB,'MASTER PLAN'!$M:$M,0,0)),"")</f>
        <v/>
      </c>
      <c r="K435" s="107">
        <f t="shared" si="237"/>
        <v>0</v>
      </c>
      <c r="L435" s="107">
        <f t="shared" si="238"/>
        <v>0</v>
      </c>
      <c r="M435" s="105" t="s">
        <v>246</v>
      </c>
      <c r="AI435" s="42"/>
      <c r="BN435" s="42"/>
      <c r="CS435" s="42"/>
      <c r="DX435" s="42"/>
      <c r="FC435" s="42"/>
      <c r="GH435" s="42"/>
      <c r="HM435" s="42"/>
      <c r="IR435" s="42"/>
      <c r="JW435" s="42"/>
      <c r="LB435" s="42"/>
      <c r="MG435" s="42"/>
      <c r="NL435" s="42"/>
    </row>
    <row r="436" ht="15.75" customHeight="1">
      <c r="A436" s="42"/>
      <c r="B436" s="42"/>
      <c r="C436" s="42"/>
      <c r="D436" s="38">
        <f t="shared" si="671"/>
        <v>45995</v>
      </c>
      <c r="E436" s="31" t="str">
        <f t="shared" ref="E436:I436" si="673">EN7</f>
        <v/>
      </c>
      <c r="F436" s="31" t="str">
        <f t="shared" si="673"/>
        <v/>
      </c>
      <c r="G436" s="31" t="str">
        <f t="shared" si="673"/>
        <v/>
      </c>
      <c r="H436" s="13" t="str">
        <f t="shared" si="673"/>
        <v/>
      </c>
      <c r="I436" s="13" t="str">
        <f t="shared" si="673"/>
        <v/>
      </c>
      <c r="J436" s="107" t="str">
        <f t="array" ref="J436">IFERROR(IF(XLOOKUP(CONCAT(E436,F436),'MASTER PLAN'!$AB:$AB,'MASTER PLAN'!$M:$M,0,0)=0,"",XLOOKUP(CONCAT(E436,F436),'MASTER PLAN'!$AB:$AB,'MASTER PLAN'!$M:$M,0,0)),"")</f>
        <v/>
      </c>
      <c r="K436" s="107">
        <f t="shared" si="237"/>
        <v>0</v>
      </c>
      <c r="L436" s="107">
        <f t="shared" si="238"/>
        <v>0</v>
      </c>
      <c r="M436" s="105" t="s">
        <v>246</v>
      </c>
      <c r="AI436" s="42"/>
      <c r="BN436" s="42"/>
      <c r="CS436" s="42"/>
      <c r="DX436" s="42"/>
      <c r="FC436" s="42"/>
      <c r="GH436" s="42"/>
      <c r="HM436" s="42"/>
      <c r="IR436" s="42"/>
      <c r="JW436" s="42"/>
      <c r="LB436" s="42"/>
      <c r="MG436" s="42"/>
      <c r="NL436" s="42"/>
    </row>
    <row r="437" ht="15.75" customHeight="1">
      <c r="A437" s="42"/>
      <c r="B437" s="42"/>
      <c r="C437" s="42"/>
      <c r="D437" s="38">
        <f t="shared" si="671"/>
        <v>45995</v>
      </c>
      <c r="E437" s="31" t="str">
        <f t="shared" ref="E437:I437" si="674">EN8</f>
        <v/>
      </c>
      <c r="F437" s="31" t="str">
        <f t="shared" si="674"/>
        <v/>
      </c>
      <c r="G437" s="31" t="str">
        <f t="shared" si="674"/>
        <v/>
      </c>
      <c r="H437" s="13" t="str">
        <f t="shared" si="674"/>
        <v/>
      </c>
      <c r="I437" s="13" t="str">
        <f t="shared" si="674"/>
        <v/>
      </c>
      <c r="J437" s="107" t="str">
        <f t="array" ref="J437">IFERROR(IF(XLOOKUP(CONCAT(E437,F437),'MASTER PLAN'!$AB:$AB,'MASTER PLAN'!$M:$M,0,0)=0,"",XLOOKUP(CONCAT(E437,F437),'MASTER PLAN'!$AB:$AB,'MASTER PLAN'!$M:$M,0,0)),"")</f>
        <v/>
      </c>
      <c r="K437" s="107">
        <f t="shared" si="237"/>
        <v>0</v>
      </c>
      <c r="L437" s="107">
        <f t="shared" si="238"/>
        <v>0</v>
      </c>
      <c r="M437" s="105" t="s">
        <v>246</v>
      </c>
      <c r="AI437" s="42"/>
      <c r="BN437" s="42"/>
      <c r="CS437" s="42"/>
      <c r="DX437" s="42"/>
      <c r="FC437" s="42"/>
      <c r="GH437" s="42"/>
      <c r="HM437" s="42"/>
      <c r="IR437" s="42"/>
      <c r="JW437" s="42"/>
      <c r="LB437" s="42"/>
      <c r="MG437" s="42"/>
      <c r="NL437" s="42"/>
    </row>
    <row r="438" ht="15.75" customHeight="1">
      <c r="A438" s="42"/>
      <c r="B438" s="42"/>
      <c r="C438" s="42"/>
      <c r="D438" s="38">
        <f t="shared" si="671"/>
        <v>45995</v>
      </c>
      <c r="E438" s="31">
        <f t="shared" ref="E438:I438" si="675">EN12</f>
        <v>1402049350</v>
      </c>
      <c r="F438" s="31">
        <f t="shared" si="675"/>
        <v>20</v>
      </c>
      <c r="G438" s="31" t="str">
        <f t="shared" si="675"/>
        <v>BOLSA WSMJ MAYORS WOS 10"X6"X10" FA</v>
      </c>
      <c r="H438" s="13">
        <f t="shared" si="675"/>
        <v>3000</v>
      </c>
      <c r="I438" s="13" t="str">
        <f t="shared" si="675"/>
        <v/>
      </c>
      <c r="J438" s="107">
        <f t="array" ref="J438">IFERROR(IF(XLOOKUP(CONCAT(E438,F438),'MASTER PLAN'!$AB:$AB,'MASTER PLAN'!$M:$M,0,0)=0,"",XLOOKUP(CONCAT(E438,F438),'MASTER PLAN'!$AB:$AB,'MASTER PLAN'!$M:$M,0,0)),"")</f>
        <v>2.48</v>
      </c>
      <c r="K438" s="107">
        <f t="shared" si="237"/>
        <v>7440</v>
      </c>
      <c r="L438" s="107">
        <f t="shared" si="238"/>
        <v>0</v>
      </c>
      <c r="M438" s="105" t="s">
        <v>248</v>
      </c>
      <c r="AI438" s="42"/>
      <c r="BN438" s="42"/>
      <c r="CS438" s="42"/>
      <c r="DX438" s="42"/>
      <c r="FC438" s="42"/>
      <c r="GH438" s="42"/>
      <c r="HM438" s="42"/>
      <c r="IR438" s="42"/>
      <c r="JW438" s="42"/>
      <c r="LB438" s="42"/>
      <c r="MG438" s="42"/>
      <c r="NL438" s="42"/>
    </row>
    <row r="439" ht="15.75" customHeight="1">
      <c r="A439" s="42"/>
      <c r="B439" s="42"/>
      <c r="C439" s="42"/>
      <c r="D439" s="38">
        <f t="shared" si="671"/>
        <v>45995</v>
      </c>
      <c r="E439" s="31" t="str">
        <f t="shared" ref="E439:I439" si="676">EN13</f>
        <v/>
      </c>
      <c r="F439" s="31" t="str">
        <f t="shared" si="676"/>
        <v/>
      </c>
      <c r="G439" s="31" t="str">
        <f t="shared" si="676"/>
        <v/>
      </c>
      <c r="H439" s="13" t="str">
        <f t="shared" si="676"/>
        <v/>
      </c>
      <c r="I439" s="13" t="str">
        <f t="shared" si="676"/>
        <v/>
      </c>
      <c r="J439" s="107" t="str">
        <f t="array" ref="J439">IFERROR(IF(XLOOKUP(CONCAT(E439,F439),'MASTER PLAN'!$AB:$AB,'MASTER PLAN'!$M:$M,0,0)=0,"",XLOOKUP(CONCAT(E439,F439),'MASTER PLAN'!$AB:$AB,'MASTER PLAN'!$M:$M,0,0)),"")</f>
        <v/>
      </c>
      <c r="K439" s="107">
        <f t="shared" si="237"/>
        <v>0</v>
      </c>
      <c r="L439" s="107">
        <f t="shared" si="238"/>
        <v>0</v>
      </c>
      <c r="M439" s="105" t="s">
        <v>248</v>
      </c>
      <c r="AI439" s="42"/>
      <c r="BN439" s="42"/>
      <c r="CS439" s="42"/>
      <c r="DX439" s="42"/>
      <c r="FC439" s="42"/>
      <c r="GH439" s="42"/>
      <c r="HM439" s="42"/>
      <c r="IR439" s="42"/>
      <c r="JW439" s="42"/>
      <c r="LB439" s="42"/>
      <c r="MG439" s="42"/>
      <c r="NL439" s="42"/>
    </row>
    <row r="440" ht="15.75" customHeight="1">
      <c r="A440" s="42"/>
      <c r="B440" s="42"/>
      <c r="C440" s="42"/>
      <c r="D440" s="38">
        <f t="shared" si="671"/>
        <v>45995</v>
      </c>
      <c r="E440" s="31" t="str">
        <f t="shared" ref="E440:I440" si="677">EN14</f>
        <v/>
      </c>
      <c r="F440" s="31" t="str">
        <f t="shared" si="677"/>
        <v/>
      </c>
      <c r="G440" s="31" t="str">
        <f t="shared" si="677"/>
        <v/>
      </c>
      <c r="H440" s="13" t="str">
        <f t="shared" si="677"/>
        <v/>
      </c>
      <c r="I440" s="13" t="str">
        <f t="shared" si="677"/>
        <v/>
      </c>
      <c r="J440" s="107" t="str">
        <f t="array" ref="J440">IFERROR(IF(XLOOKUP(CONCAT(E440,F440),'MASTER PLAN'!$AB:$AB,'MASTER PLAN'!$M:$M,0,0)=0,"",XLOOKUP(CONCAT(E440,F440),'MASTER PLAN'!$AB:$AB,'MASTER PLAN'!$M:$M,0,0)),"")</f>
        <v/>
      </c>
      <c r="K440" s="107">
        <f t="shared" si="237"/>
        <v>0</v>
      </c>
      <c r="L440" s="107">
        <f t="shared" si="238"/>
        <v>0</v>
      </c>
      <c r="M440" s="105" t="s">
        <v>248</v>
      </c>
      <c r="AI440" s="42"/>
      <c r="BN440" s="42"/>
      <c r="CS440" s="42"/>
      <c r="DX440" s="42"/>
      <c r="FC440" s="42"/>
      <c r="GH440" s="42"/>
      <c r="HM440" s="42"/>
      <c r="IR440" s="42"/>
      <c r="JW440" s="42"/>
      <c r="LB440" s="42"/>
      <c r="MG440" s="42"/>
      <c r="NL440" s="42"/>
    </row>
    <row r="441" ht="15.75" customHeight="1">
      <c r="A441" s="42"/>
      <c r="B441" s="42"/>
      <c r="C441" s="42"/>
      <c r="D441" s="38">
        <f t="shared" si="671"/>
        <v>45995</v>
      </c>
      <c r="E441" s="31" t="str">
        <f t="shared" ref="E441:I441" si="678">EN15</f>
        <v/>
      </c>
      <c r="F441" s="31" t="str">
        <f t="shared" si="678"/>
        <v/>
      </c>
      <c r="G441" s="31" t="str">
        <f t="shared" si="678"/>
        <v/>
      </c>
      <c r="H441" s="13" t="str">
        <f t="shared" si="678"/>
        <v/>
      </c>
      <c r="I441" s="13" t="str">
        <f t="shared" si="678"/>
        <v/>
      </c>
      <c r="J441" s="107" t="str">
        <f t="array" ref="J441">IFERROR(IF(XLOOKUP(CONCAT(E441,F441),'MASTER PLAN'!$AB:$AB,'MASTER PLAN'!$M:$M,0,0)=0,"",XLOOKUP(CONCAT(E441,F441),'MASTER PLAN'!$AB:$AB,'MASTER PLAN'!$M:$M,0,0)),"")</f>
        <v/>
      </c>
      <c r="K441" s="107">
        <f t="shared" si="237"/>
        <v>0</v>
      </c>
      <c r="L441" s="107">
        <f t="shared" si="238"/>
        <v>0</v>
      </c>
      <c r="M441" s="105" t="s">
        <v>248</v>
      </c>
      <c r="AI441" s="42"/>
      <c r="BN441" s="42"/>
      <c r="CS441" s="42"/>
      <c r="DX441" s="42"/>
      <c r="FC441" s="42"/>
      <c r="GH441" s="42"/>
      <c r="HM441" s="42"/>
      <c r="IR441" s="42"/>
      <c r="JW441" s="42"/>
      <c r="LB441" s="42"/>
      <c r="MG441" s="42"/>
      <c r="NL441" s="42"/>
    </row>
    <row r="442" ht="15.75" customHeight="1">
      <c r="A442" s="42"/>
      <c r="B442" s="42"/>
      <c r="C442" s="42"/>
      <c r="D442" s="38">
        <f t="shared" si="671"/>
        <v>45995</v>
      </c>
      <c r="E442" s="31" t="str">
        <f t="shared" ref="E442:I442" si="679">EN16</f>
        <v/>
      </c>
      <c r="F442" s="31" t="str">
        <f t="shared" si="679"/>
        <v/>
      </c>
      <c r="G442" s="31" t="str">
        <f t="shared" si="679"/>
        <v/>
      </c>
      <c r="H442" s="13" t="str">
        <f t="shared" si="679"/>
        <v/>
      </c>
      <c r="I442" s="13" t="str">
        <f t="shared" si="679"/>
        <v/>
      </c>
      <c r="J442" s="107" t="str">
        <f t="array" ref="J442">IFERROR(IF(XLOOKUP(CONCAT(E442,F442),'MASTER PLAN'!$AB:$AB,'MASTER PLAN'!$M:$M,0,0)=0,"",XLOOKUP(CONCAT(E442,F442),'MASTER PLAN'!$AB:$AB,'MASTER PLAN'!$M:$M,0,0)),"")</f>
        <v/>
      </c>
      <c r="K442" s="107">
        <f t="shared" si="237"/>
        <v>0</v>
      </c>
      <c r="L442" s="107">
        <f t="shared" si="238"/>
        <v>0</v>
      </c>
      <c r="M442" s="105" t="s">
        <v>248</v>
      </c>
      <c r="AI442" s="42"/>
      <c r="BN442" s="42"/>
      <c r="CS442" s="42"/>
      <c r="DX442" s="42"/>
      <c r="FC442" s="42"/>
      <c r="GH442" s="42"/>
      <c r="HM442" s="42"/>
      <c r="IR442" s="42"/>
      <c r="JW442" s="42"/>
      <c r="LB442" s="42"/>
      <c r="MG442" s="42"/>
      <c r="NL442" s="42"/>
    </row>
    <row r="443" ht="15.75" customHeight="1">
      <c r="A443" s="42"/>
      <c r="B443" s="42"/>
      <c r="C443" s="42"/>
      <c r="D443" s="38">
        <f t="shared" si="671"/>
        <v>45995</v>
      </c>
      <c r="E443" s="31" t="str">
        <f t="shared" ref="E443:I443" si="680">EN20</f>
        <v/>
      </c>
      <c r="F443" s="31" t="str">
        <f t="shared" si="680"/>
        <v/>
      </c>
      <c r="G443" s="31" t="str">
        <f t="shared" si="680"/>
        <v/>
      </c>
      <c r="H443" s="13" t="str">
        <f t="shared" si="680"/>
        <v/>
      </c>
      <c r="I443" s="13" t="str">
        <f t="shared" si="680"/>
        <v/>
      </c>
      <c r="J443" s="107" t="str">
        <f t="array" ref="J443">IFERROR(IF(XLOOKUP(CONCAT(E443,F443),'MASTER PLAN'!$AB:$AB,'MASTER PLAN'!$M:$M,0,0)=0,"",XLOOKUP(CONCAT(E443,F443),'MASTER PLAN'!$AB:$AB,'MASTER PLAN'!$M:$M,0,0)),"")</f>
        <v/>
      </c>
      <c r="K443" s="107">
        <f t="shared" si="237"/>
        <v>0</v>
      </c>
      <c r="L443" s="107">
        <f t="shared" si="238"/>
        <v>0</v>
      </c>
      <c r="M443" s="105" t="s">
        <v>249</v>
      </c>
      <c r="AI443" s="42"/>
      <c r="BN443" s="42"/>
      <c r="CS443" s="42"/>
      <c r="DX443" s="42"/>
      <c r="FC443" s="42"/>
      <c r="GH443" s="42"/>
      <c r="HM443" s="42"/>
      <c r="IR443" s="42"/>
      <c r="JW443" s="42"/>
      <c r="LB443" s="42"/>
      <c r="MG443" s="42"/>
      <c r="NL443" s="42"/>
    </row>
    <row r="444" ht="15.75" customHeight="1">
      <c r="A444" s="42"/>
      <c r="B444" s="42"/>
      <c r="C444" s="42"/>
      <c r="D444" s="38">
        <f t="shared" si="671"/>
        <v>45995</v>
      </c>
      <c r="E444" s="31" t="str">
        <f t="shared" ref="E444:I444" si="681">EN21</f>
        <v/>
      </c>
      <c r="F444" s="31" t="str">
        <f t="shared" si="681"/>
        <v/>
      </c>
      <c r="G444" s="31" t="str">
        <f t="shared" si="681"/>
        <v/>
      </c>
      <c r="H444" s="13" t="str">
        <f t="shared" si="681"/>
        <v/>
      </c>
      <c r="I444" s="13" t="str">
        <f t="shared" si="681"/>
        <v/>
      </c>
      <c r="J444" s="107" t="str">
        <f t="array" ref="J444">IFERROR(IF(XLOOKUP(CONCAT(E444,F444),'MASTER PLAN'!$AB:$AB,'MASTER PLAN'!$M:$M,0,0)=0,"",XLOOKUP(CONCAT(E444,F444),'MASTER PLAN'!$AB:$AB,'MASTER PLAN'!$M:$M,0,0)),"")</f>
        <v/>
      </c>
      <c r="K444" s="107">
        <f t="shared" si="237"/>
        <v>0</v>
      </c>
      <c r="L444" s="107">
        <f t="shared" si="238"/>
        <v>0</v>
      </c>
      <c r="M444" s="105" t="s">
        <v>249</v>
      </c>
      <c r="AI444" s="42"/>
      <c r="BN444" s="42"/>
      <c r="CS444" s="42"/>
      <c r="DX444" s="42"/>
      <c r="FC444" s="42"/>
      <c r="GH444" s="42"/>
      <c r="HM444" s="42"/>
      <c r="IR444" s="42"/>
      <c r="JW444" s="42"/>
      <c r="LB444" s="42"/>
      <c r="MG444" s="42"/>
      <c r="NL444" s="42"/>
    </row>
    <row r="445" ht="15.75" customHeight="1">
      <c r="A445" s="42"/>
      <c r="B445" s="42"/>
      <c r="C445" s="42"/>
      <c r="D445" s="38">
        <f t="shared" si="671"/>
        <v>45995</v>
      </c>
      <c r="E445" s="31" t="str">
        <f t="shared" ref="E445:I445" si="682">EN22</f>
        <v/>
      </c>
      <c r="F445" s="31" t="str">
        <f t="shared" si="682"/>
        <v/>
      </c>
      <c r="G445" s="31" t="str">
        <f t="shared" si="682"/>
        <v/>
      </c>
      <c r="H445" s="13" t="str">
        <f t="shared" si="682"/>
        <v/>
      </c>
      <c r="I445" s="13" t="str">
        <f t="shared" si="682"/>
        <v/>
      </c>
      <c r="J445" s="107" t="str">
        <f t="array" ref="J445">IFERROR(IF(XLOOKUP(CONCAT(E445,F445),'MASTER PLAN'!$AB:$AB,'MASTER PLAN'!$M:$M,0,0)=0,"",XLOOKUP(CONCAT(E445,F445),'MASTER PLAN'!$AB:$AB,'MASTER PLAN'!$M:$M,0,0)),"")</f>
        <v/>
      </c>
      <c r="K445" s="107">
        <f t="shared" si="237"/>
        <v>0</v>
      </c>
      <c r="L445" s="107">
        <f t="shared" si="238"/>
        <v>0</v>
      </c>
      <c r="M445" s="105" t="s">
        <v>249</v>
      </c>
      <c r="AI445" s="42"/>
      <c r="BN445" s="42"/>
      <c r="CS445" s="42"/>
      <c r="DX445" s="42"/>
      <c r="FC445" s="42"/>
      <c r="GH445" s="42"/>
      <c r="HM445" s="42"/>
      <c r="IR445" s="42"/>
      <c r="JW445" s="42"/>
      <c r="LB445" s="42"/>
      <c r="MG445" s="42"/>
      <c r="NL445" s="42"/>
    </row>
    <row r="446" ht="15.75" customHeight="1">
      <c r="A446" s="42"/>
      <c r="B446" s="42"/>
      <c r="C446" s="42"/>
      <c r="D446" s="38">
        <f t="shared" si="671"/>
        <v>45995</v>
      </c>
      <c r="E446" s="31" t="str">
        <f t="shared" ref="E446:I446" si="683">EN23</f>
        <v/>
      </c>
      <c r="F446" s="31" t="str">
        <f t="shared" si="683"/>
        <v/>
      </c>
      <c r="G446" s="31" t="str">
        <f t="shared" si="683"/>
        <v/>
      </c>
      <c r="H446" s="13" t="str">
        <f t="shared" si="683"/>
        <v/>
      </c>
      <c r="I446" s="13" t="str">
        <f t="shared" si="683"/>
        <v/>
      </c>
      <c r="J446" s="107" t="str">
        <f t="array" ref="J446">IFERROR(IF(XLOOKUP(CONCAT(E446,F446),'MASTER PLAN'!$AB:$AB,'MASTER PLAN'!$M:$M,0,0)=0,"",XLOOKUP(CONCAT(E446,F446),'MASTER PLAN'!$AB:$AB,'MASTER PLAN'!$M:$M,0,0)),"")</f>
        <v/>
      </c>
      <c r="K446" s="107">
        <f t="shared" si="237"/>
        <v>0</v>
      </c>
      <c r="L446" s="107">
        <f t="shared" si="238"/>
        <v>0</v>
      </c>
      <c r="M446" s="105" t="s">
        <v>249</v>
      </c>
      <c r="AI446" s="42"/>
      <c r="BN446" s="42"/>
      <c r="CS446" s="42"/>
      <c r="DX446" s="42"/>
      <c r="FC446" s="42"/>
      <c r="GH446" s="42"/>
      <c r="HM446" s="42"/>
      <c r="IR446" s="42"/>
      <c r="JW446" s="42"/>
      <c r="LB446" s="42"/>
      <c r="MG446" s="42"/>
      <c r="NL446" s="42"/>
    </row>
    <row r="447" ht="15.75" customHeight="1">
      <c r="A447" s="42"/>
      <c r="B447" s="42"/>
      <c r="C447" s="42"/>
      <c r="D447" s="38">
        <f t="shared" si="671"/>
        <v>45995</v>
      </c>
      <c r="E447" s="31" t="str">
        <f t="shared" ref="E447:I447" si="684">EN24</f>
        <v/>
      </c>
      <c r="F447" s="31" t="str">
        <f t="shared" si="684"/>
        <v/>
      </c>
      <c r="G447" s="31" t="str">
        <f t="shared" si="684"/>
        <v/>
      </c>
      <c r="H447" s="13" t="str">
        <f t="shared" si="684"/>
        <v/>
      </c>
      <c r="I447" s="13" t="str">
        <f t="shared" si="684"/>
        <v/>
      </c>
      <c r="J447" s="107" t="str">
        <f t="array" ref="J447">IFERROR(IF(XLOOKUP(CONCAT(E447,F447),'MASTER PLAN'!$AB:$AB,'MASTER PLAN'!$M:$M,0,0)=0,"",XLOOKUP(CONCAT(E447,F447),'MASTER PLAN'!$AB:$AB,'MASTER PLAN'!$M:$M,0,0)),"")</f>
        <v/>
      </c>
      <c r="K447" s="107">
        <f t="shared" si="237"/>
        <v>0</v>
      </c>
      <c r="L447" s="107">
        <f t="shared" si="238"/>
        <v>0</v>
      </c>
      <c r="M447" s="105" t="s">
        <v>249</v>
      </c>
      <c r="AI447" s="42"/>
      <c r="BN447" s="42"/>
      <c r="CS447" s="42"/>
      <c r="DX447" s="42"/>
      <c r="FC447" s="42"/>
      <c r="GH447" s="42"/>
      <c r="HM447" s="42"/>
      <c r="IR447" s="42"/>
      <c r="JW447" s="42"/>
      <c r="LB447" s="42"/>
      <c r="MG447" s="42"/>
      <c r="NL447" s="42"/>
    </row>
    <row r="448" ht="15.75" customHeight="1">
      <c r="A448" s="42"/>
      <c r="B448" s="42"/>
      <c r="C448" s="42"/>
      <c r="D448" s="38">
        <f>ES2</f>
        <v>45996</v>
      </c>
      <c r="E448" s="31">
        <f t="shared" ref="E448:I448" si="685">ES4</f>
        <v>1402049349</v>
      </c>
      <c r="F448" s="31">
        <f t="shared" si="685"/>
        <v>10</v>
      </c>
      <c r="G448" s="31" t="str">
        <f t="shared" si="685"/>
        <v>BOLSA WSHM WOS 10"X6"X10" FA</v>
      </c>
      <c r="H448" s="13">
        <f t="shared" si="685"/>
        <v>3000</v>
      </c>
      <c r="I448" s="13" t="str">
        <f t="shared" si="685"/>
        <v/>
      </c>
      <c r="J448" s="107">
        <f t="array" ref="J448">IFERROR(IF(XLOOKUP(CONCAT(E448,F448),'MASTER PLAN'!$AB:$AB,'MASTER PLAN'!$M:$M,0,0)=0,"",XLOOKUP(CONCAT(E448,F448),'MASTER PLAN'!$AB:$AB,'MASTER PLAN'!$M:$M,0,0)),"")</f>
        <v>2.448</v>
      </c>
      <c r="K448" s="107">
        <f t="shared" si="237"/>
        <v>7344</v>
      </c>
      <c r="L448" s="107">
        <f t="shared" si="238"/>
        <v>0</v>
      </c>
      <c r="M448" s="105" t="s">
        <v>246</v>
      </c>
      <c r="AI448" s="42"/>
      <c r="BN448" s="42"/>
      <c r="CS448" s="42"/>
      <c r="DX448" s="42"/>
      <c r="FC448" s="42"/>
      <c r="GH448" s="42"/>
      <c r="HM448" s="42"/>
      <c r="IR448" s="42"/>
      <c r="JW448" s="42"/>
      <c r="LB448" s="42"/>
      <c r="MG448" s="42"/>
      <c r="NL448" s="42"/>
    </row>
    <row r="449" ht="15.75" customHeight="1">
      <c r="A449" s="42"/>
      <c r="B449" s="42"/>
      <c r="C449" s="42"/>
      <c r="D449" s="38">
        <f t="shared" ref="D449:D462" si="687">D448</f>
        <v>45996</v>
      </c>
      <c r="E449" s="31" t="str">
        <f t="shared" ref="E449:I449" si="686">ES5</f>
        <v/>
      </c>
      <c r="F449" s="31" t="str">
        <f t="shared" si="686"/>
        <v/>
      </c>
      <c r="G449" s="31" t="str">
        <f t="shared" si="686"/>
        <v/>
      </c>
      <c r="H449" s="13" t="str">
        <f t="shared" si="686"/>
        <v/>
      </c>
      <c r="I449" s="13" t="str">
        <f t="shared" si="686"/>
        <v/>
      </c>
      <c r="J449" s="107" t="str">
        <f t="array" ref="J449">IFERROR(IF(XLOOKUP(CONCAT(E449,F449),'MASTER PLAN'!$AB:$AB,'MASTER PLAN'!$M:$M,0,0)=0,"",XLOOKUP(CONCAT(E449,F449),'MASTER PLAN'!$AB:$AB,'MASTER PLAN'!$M:$M,0,0)),"")</f>
        <v/>
      </c>
      <c r="K449" s="107">
        <f t="shared" si="237"/>
        <v>0</v>
      </c>
      <c r="L449" s="107">
        <f t="shared" si="238"/>
        <v>0</v>
      </c>
      <c r="M449" s="105" t="s">
        <v>246</v>
      </c>
      <c r="AI449" s="42"/>
      <c r="BN449" s="42"/>
      <c r="CS449" s="42"/>
      <c r="DX449" s="42"/>
      <c r="FC449" s="42"/>
      <c r="GH449" s="42"/>
      <c r="HM449" s="42"/>
      <c r="IR449" s="42"/>
      <c r="JW449" s="42"/>
      <c r="LB449" s="42"/>
      <c r="MG449" s="42"/>
      <c r="NL449" s="42"/>
    </row>
    <row r="450" ht="15.75" customHeight="1">
      <c r="A450" s="42"/>
      <c r="B450" s="42"/>
      <c r="C450" s="42"/>
      <c r="D450" s="38">
        <f t="shared" si="687"/>
        <v>45996</v>
      </c>
      <c r="E450" s="31" t="str">
        <f t="shared" ref="E450:I450" si="688">ES6</f>
        <v/>
      </c>
      <c r="F450" s="31" t="str">
        <f t="shared" si="688"/>
        <v/>
      </c>
      <c r="G450" s="31" t="str">
        <f t="shared" si="688"/>
        <v/>
      </c>
      <c r="H450" s="13" t="str">
        <f t="shared" si="688"/>
        <v/>
      </c>
      <c r="I450" s="13" t="str">
        <f t="shared" si="688"/>
        <v/>
      </c>
      <c r="J450" s="107" t="str">
        <f t="array" ref="J450">IFERROR(IF(XLOOKUP(CONCAT(E450,F450),'MASTER PLAN'!$AB:$AB,'MASTER PLAN'!$M:$M,0,0)=0,"",XLOOKUP(CONCAT(E450,F450),'MASTER PLAN'!$AB:$AB,'MASTER PLAN'!$M:$M,0,0)),"")</f>
        <v/>
      </c>
      <c r="K450" s="107">
        <f t="shared" si="237"/>
        <v>0</v>
      </c>
      <c r="L450" s="107">
        <f t="shared" si="238"/>
        <v>0</v>
      </c>
      <c r="M450" s="105" t="s">
        <v>246</v>
      </c>
      <c r="AI450" s="42"/>
      <c r="BN450" s="42"/>
      <c r="CS450" s="42"/>
      <c r="DX450" s="42"/>
      <c r="FC450" s="42"/>
      <c r="GH450" s="42"/>
      <c r="HM450" s="42"/>
      <c r="IR450" s="42"/>
      <c r="JW450" s="42"/>
      <c r="LB450" s="42"/>
      <c r="MG450" s="42"/>
      <c r="NL450" s="42"/>
    </row>
    <row r="451" ht="15.75" customHeight="1">
      <c r="A451" s="42"/>
      <c r="B451" s="42"/>
      <c r="C451" s="42"/>
      <c r="D451" s="38">
        <f t="shared" si="687"/>
        <v>45996</v>
      </c>
      <c r="E451" s="31" t="str">
        <f t="shared" ref="E451:I451" si="689">ES7</f>
        <v/>
      </c>
      <c r="F451" s="31" t="str">
        <f t="shared" si="689"/>
        <v/>
      </c>
      <c r="G451" s="31" t="str">
        <f t="shared" si="689"/>
        <v/>
      </c>
      <c r="H451" s="13" t="str">
        <f t="shared" si="689"/>
        <v/>
      </c>
      <c r="I451" s="13" t="str">
        <f t="shared" si="689"/>
        <v/>
      </c>
      <c r="J451" s="107" t="str">
        <f t="array" ref="J451">IFERROR(IF(XLOOKUP(CONCAT(E451,F451),'MASTER PLAN'!$AB:$AB,'MASTER PLAN'!$M:$M,0,0)=0,"",XLOOKUP(CONCAT(E451,F451),'MASTER PLAN'!$AB:$AB,'MASTER PLAN'!$M:$M,0,0)),"")</f>
        <v/>
      </c>
      <c r="K451" s="107">
        <f t="shared" si="237"/>
        <v>0</v>
      </c>
      <c r="L451" s="107">
        <f t="shared" si="238"/>
        <v>0</v>
      </c>
      <c r="M451" s="105" t="s">
        <v>246</v>
      </c>
      <c r="AI451" s="42"/>
      <c r="BN451" s="42"/>
      <c r="CS451" s="42"/>
      <c r="DX451" s="42"/>
      <c r="FC451" s="42"/>
      <c r="GH451" s="42"/>
      <c r="HM451" s="42"/>
      <c r="IR451" s="42"/>
      <c r="JW451" s="42"/>
      <c r="LB451" s="42"/>
      <c r="MG451" s="42"/>
      <c r="NL451" s="42"/>
    </row>
    <row r="452" ht="15.75" customHeight="1">
      <c r="A452" s="42"/>
      <c r="B452" s="42"/>
      <c r="C452" s="42"/>
      <c r="D452" s="38">
        <f t="shared" si="687"/>
        <v>45996</v>
      </c>
      <c r="E452" s="31" t="str">
        <f t="shared" ref="E452:I452" si="690">ES8</f>
        <v/>
      </c>
      <c r="F452" s="31" t="str">
        <f t="shared" si="690"/>
        <v/>
      </c>
      <c r="G452" s="31" t="str">
        <f t="shared" si="690"/>
        <v/>
      </c>
      <c r="H452" s="13" t="str">
        <f t="shared" si="690"/>
        <v/>
      </c>
      <c r="I452" s="13" t="str">
        <f t="shared" si="690"/>
        <v/>
      </c>
      <c r="J452" s="107" t="str">
        <f t="array" ref="J452">IFERROR(IF(XLOOKUP(CONCAT(E452,F452),'MASTER PLAN'!$AB:$AB,'MASTER PLAN'!$M:$M,0,0)=0,"",XLOOKUP(CONCAT(E452,F452),'MASTER PLAN'!$AB:$AB,'MASTER PLAN'!$M:$M,0,0)),"")</f>
        <v/>
      </c>
      <c r="K452" s="107">
        <f t="shared" si="237"/>
        <v>0</v>
      </c>
      <c r="L452" s="107">
        <f t="shared" si="238"/>
        <v>0</v>
      </c>
      <c r="M452" s="105" t="s">
        <v>246</v>
      </c>
      <c r="AI452" s="42"/>
      <c r="BN452" s="42"/>
      <c r="CS452" s="42"/>
      <c r="DX452" s="42"/>
      <c r="FC452" s="42"/>
      <c r="GH452" s="42"/>
      <c r="HM452" s="42"/>
      <c r="IR452" s="42"/>
      <c r="JW452" s="42"/>
      <c r="LB452" s="42"/>
      <c r="MG452" s="42"/>
      <c r="NL452" s="42"/>
    </row>
    <row r="453" ht="15.75" customHeight="1">
      <c r="A453" s="42"/>
      <c r="B453" s="42"/>
      <c r="C453" s="42"/>
      <c r="D453" s="38">
        <f t="shared" si="687"/>
        <v>45996</v>
      </c>
      <c r="E453" s="31">
        <f t="shared" ref="E453:I453" si="691">ES12</f>
        <v>1402049350</v>
      </c>
      <c r="F453" s="31">
        <f t="shared" si="691"/>
        <v>20</v>
      </c>
      <c r="G453" s="31" t="str">
        <f t="shared" si="691"/>
        <v>BOLSA WSMJ MAYORS WOS 10"X6"X10" FA</v>
      </c>
      <c r="H453" s="13">
        <f t="shared" si="691"/>
        <v>3000</v>
      </c>
      <c r="I453" s="13" t="str">
        <f t="shared" si="691"/>
        <v/>
      </c>
      <c r="J453" s="107">
        <f t="array" ref="J453">IFERROR(IF(XLOOKUP(CONCAT(E453,F453),'MASTER PLAN'!$AB:$AB,'MASTER PLAN'!$M:$M,0,0)=0,"",XLOOKUP(CONCAT(E453,F453),'MASTER PLAN'!$AB:$AB,'MASTER PLAN'!$M:$M,0,0)),"")</f>
        <v>2.48</v>
      </c>
      <c r="K453" s="107">
        <f t="shared" si="237"/>
        <v>7440</v>
      </c>
      <c r="L453" s="107">
        <f t="shared" si="238"/>
        <v>0</v>
      </c>
      <c r="M453" s="105" t="s">
        <v>248</v>
      </c>
      <c r="AI453" s="42"/>
      <c r="BN453" s="42"/>
      <c r="CS453" s="42"/>
      <c r="DX453" s="42"/>
      <c r="FC453" s="42"/>
      <c r="GH453" s="42"/>
      <c r="HM453" s="42"/>
      <c r="IR453" s="42"/>
      <c r="JW453" s="42"/>
      <c r="LB453" s="42"/>
      <c r="MG453" s="42"/>
      <c r="NL453" s="42"/>
    </row>
    <row r="454" ht="15.75" customHeight="1">
      <c r="A454" s="42"/>
      <c r="B454" s="42"/>
      <c r="C454" s="42"/>
      <c r="D454" s="38">
        <f t="shared" si="687"/>
        <v>45996</v>
      </c>
      <c r="E454" s="31" t="str">
        <f t="shared" ref="E454:I454" si="692">ES13</f>
        <v/>
      </c>
      <c r="F454" s="31" t="str">
        <f t="shared" si="692"/>
        <v/>
      </c>
      <c r="G454" s="31" t="str">
        <f t="shared" si="692"/>
        <v/>
      </c>
      <c r="H454" s="13" t="str">
        <f t="shared" si="692"/>
        <v/>
      </c>
      <c r="I454" s="13" t="str">
        <f t="shared" si="692"/>
        <v/>
      </c>
      <c r="J454" s="107" t="str">
        <f t="array" ref="J454">IFERROR(IF(XLOOKUP(CONCAT(E454,F454),'MASTER PLAN'!$AB:$AB,'MASTER PLAN'!$M:$M,0,0)=0,"",XLOOKUP(CONCAT(E454,F454),'MASTER PLAN'!$AB:$AB,'MASTER PLAN'!$M:$M,0,0)),"")</f>
        <v/>
      </c>
      <c r="K454" s="107">
        <f t="shared" si="237"/>
        <v>0</v>
      </c>
      <c r="L454" s="107">
        <f t="shared" si="238"/>
        <v>0</v>
      </c>
      <c r="M454" s="105" t="s">
        <v>248</v>
      </c>
      <c r="AI454" s="42"/>
      <c r="BN454" s="42"/>
      <c r="CS454" s="42"/>
      <c r="DX454" s="42"/>
      <c r="FC454" s="42"/>
      <c r="GH454" s="42"/>
      <c r="HM454" s="42"/>
      <c r="IR454" s="42"/>
      <c r="JW454" s="42"/>
      <c r="LB454" s="42"/>
      <c r="MG454" s="42"/>
      <c r="NL454" s="42"/>
    </row>
    <row r="455" ht="15.75" customHeight="1">
      <c r="A455" s="42"/>
      <c r="B455" s="42"/>
      <c r="C455" s="42"/>
      <c r="D455" s="38">
        <f t="shared" si="687"/>
        <v>45996</v>
      </c>
      <c r="E455" s="31" t="str">
        <f t="shared" ref="E455:I455" si="693">ES14</f>
        <v/>
      </c>
      <c r="F455" s="31" t="str">
        <f t="shared" si="693"/>
        <v/>
      </c>
      <c r="G455" s="31" t="str">
        <f t="shared" si="693"/>
        <v/>
      </c>
      <c r="H455" s="13" t="str">
        <f t="shared" si="693"/>
        <v/>
      </c>
      <c r="I455" s="13" t="str">
        <f t="shared" si="693"/>
        <v/>
      </c>
      <c r="J455" s="107" t="str">
        <f t="array" ref="J455">IFERROR(IF(XLOOKUP(CONCAT(E455,F455),'MASTER PLAN'!$AB:$AB,'MASTER PLAN'!$M:$M,0,0)=0,"",XLOOKUP(CONCAT(E455,F455),'MASTER PLAN'!$AB:$AB,'MASTER PLAN'!$M:$M,0,0)),"")</f>
        <v/>
      </c>
      <c r="K455" s="107">
        <f t="shared" si="237"/>
        <v>0</v>
      </c>
      <c r="L455" s="107">
        <f t="shared" si="238"/>
        <v>0</v>
      </c>
      <c r="M455" s="105" t="s">
        <v>248</v>
      </c>
      <c r="AI455" s="42"/>
      <c r="BN455" s="42"/>
      <c r="CS455" s="42"/>
      <c r="DX455" s="42"/>
      <c r="FC455" s="42"/>
      <c r="GH455" s="42"/>
      <c r="HM455" s="42"/>
      <c r="IR455" s="42"/>
      <c r="JW455" s="42"/>
      <c r="LB455" s="42"/>
      <c r="MG455" s="42"/>
      <c r="NL455" s="42"/>
    </row>
    <row r="456" ht="15.75" customHeight="1">
      <c r="A456" s="42"/>
      <c r="B456" s="42"/>
      <c r="C456" s="42"/>
      <c r="D456" s="38">
        <f t="shared" si="687"/>
        <v>45996</v>
      </c>
      <c r="E456" s="31" t="str">
        <f t="shared" ref="E456:I456" si="694">ES15</f>
        <v/>
      </c>
      <c r="F456" s="31" t="str">
        <f t="shared" si="694"/>
        <v/>
      </c>
      <c r="G456" s="31" t="str">
        <f t="shared" si="694"/>
        <v/>
      </c>
      <c r="H456" s="13" t="str">
        <f t="shared" si="694"/>
        <v/>
      </c>
      <c r="I456" s="13" t="str">
        <f t="shared" si="694"/>
        <v/>
      </c>
      <c r="J456" s="107" t="str">
        <f t="array" ref="J456">IFERROR(IF(XLOOKUP(CONCAT(E456,F456),'MASTER PLAN'!$AB:$AB,'MASTER PLAN'!$M:$M,0,0)=0,"",XLOOKUP(CONCAT(E456,F456),'MASTER PLAN'!$AB:$AB,'MASTER PLAN'!$M:$M,0,0)),"")</f>
        <v/>
      </c>
      <c r="K456" s="107">
        <f t="shared" si="237"/>
        <v>0</v>
      </c>
      <c r="L456" s="107">
        <f t="shared" si="238"/>
        <v>0</v>
      </c>
      <c r="M456" s="105" t="s">
        <v>248</v>
      </c>
      <c r="AI456" s="42"/>
      <c r="BN456" s="42"/>
      <c r="CS456" s="42"/>
      <c r="DX456" s="42"/>
      <c r="FC456" s="42"/>
      <c r="GH456" s="42"/>
      <c r="HM456" s="42"/>
      <c r="IR456" s="42"/>
      <c r="JW456" s="42"/>
      <c r="LB456" s="42"/>
      <c r="MG456" s="42"/>
      <c r="NL456" s="42"/>
    </row>
    <row r="457" ht="15.75" customHeight="1">
      <c r="A457" s="42"/>
      <c r="B457" s="42"/>
      <c r="C457" s="42"/>
      <c r="D457" s="38">
        <f t="shared" si="687"/>
        <v>45996</v>
      </c>
      <c r="E457" s="31" t="str">
        <f t="shared" ref="E457:I457" si="695">ES16</f>
        <v/>
      </c>
      <c r="F457" s="31" t="str">
        <f t="shared" si="695"/>
        <v/>
      </c>
      <c r="G457" s="31" t="str">
        <f t="shared" si="695"/>
        <v/>
      </c>
      <c r="H457" s="13" t="str">
        <f t="shared" si="695"/>
        <v/>
      </c>
      <c r="I457" s="13" t="str">
        <f t="shared" si="695"/>
        <v/>
      </c>
      <c r="J457" s="107" t="str">
        <f t="array" ref="J457">IFERROR(IF(XLOOKUP(CONCAT(E457,F457),'MASTER PLAN'!$AB:$AB,'MASTER PLAN'!$M:$M,0,0)=0,"",XLOOKUP(CONCAT(E457,F457),'MASTER PLAN'!$AB:$AB,'MASTER PLAN'!$M:$M,0,0)),"")</f>
        <v/>
      </c>
      <c r="K457" s="107">
        <f t="shared" si="237"/>
        <v>0</v>
      </c>
      <c r="L457" s="107">
        <f t="shared" si="238"/>
        <v>0</v>
      </c>
      <c r="M457" s="105" t="s">
        <v>248</v>
      </c>
      <c r="AI457" s="42"/>
      <c r="BN457" s="42"/>
      <c r="CS457" s="42"/>
      <c r="DX457" s="42"/>
      <c r="FC457" s="42"/>
      <c r="GH457" s="42"/>
      <c r="HM457" s="42"/>
      <c r="IR457" s="42"/>
      <c r="JW457" s="42"/>
      <c r="LB457" s="42"/>
      <c r="MG457" s="42"/>
      <c r="NL457" s="42"/>
    </row>
    <row r="458" ht="15.75" customHeight="1">
      <c r="A458" s="42"/>
      <c r="B458" s="42"/>
      <c r="C458" s="42"/>
      <c r="D458" s="38">
        <f t="shared" si="687"/>
        <v>45996</v>
      </c>
      <c r="E458" s="31" t="str">
        <f t="shared" ref="E458:I458" si="696">ES20</f>
        <v/>
      </c>
      <c r="F458" s="31" t="str">
        <f t="shared" si="696"/>
        <v/>
      </c>
      <c r="G458" s="31" t="str">
        <f t="shared" si="696"/>
        <v/>
      </c>
      <c r="H458" s="13" t="str">
        <f t="shared" si="696"/>
        <v/>
      </c>
      <c r="I458" s="13" t="str">
        <f t="shared" si="696"/>
        <v/>
      </c>
      <c r="J458" s="107" t="str">
        <f t="array" ref="J458">IFERROR(IF(XLOOKUP(CONCAT(E458,F458),'MASTER PLAN'!$AB:$AB,'MASTER PLAN'!$M:$M,0,0)=0,"",XLOOKUP(CONCAT(E458,F458),'MASTER PLAN'!$AB:$AB,'MASTER PLAN'!$M:$M,0,0)),"")</f>
        <v/>
      </c>
      <c r="K458" s="107">
        <f t="shared" si="237"/>
        <v>0</v>
      </c>
      <c r="L458" s="107">
        <f t="shared" si="238"/>
        <v>0</v>
      </c>
      <c r="M458" s="105" t="s">
        <v>249</v>
      </c>
      <c r="AI458" s="42"/>
      <c r="BN458" s="42"/>
      <c r="CS458" s="42"/>
      <c r="DX458" s="42"/>
      <c r="FC458" s="42"/>
      <c r="GH458" s="42"/>
      <c r="HM458" s="42"/>
      <c r="IR458" s="42"/>
      <c r="JW458" s="42"/>
      <c r="LB458" s="42"/>
      <c r="MG458" s="42"/>
      <c r="NL458" s="42"/>
    </row>
    <row r="459" ht="15.75" customHeight="1">
      <c r="A459" s="42"/>
      <c r="B459" s="42"/>
      <c r="C459" s="42"/>
      <c r="D459" s="38">
        <f t="shared" si="687"/>
        <v>45996</v>
      </c>
      <c r="E459" s="31" t="str">
        <f t="shared" ref="E459:I459" si="697">ES21</f>
        <v/>
      </c>
      <c r="F459" s="31" t="str">
        <f t="shared" si="697"/>
        <v/>
      </c>
      <c r="G459" s="31" t="str">
        <f t="shared" si="697"/>
        <v/>
      </c>
      <c r="H459" s="13" t="str">
        <f t="shared" si="697"/>
        <v/>
      </c>
      <c r="I459" s="13" t="str">
        <f t="shared" si="697"/>
        <v/>
      </c>
      <c r="J459" s="107" t="str">
        <f t="array" ref="J459">IFERROR(IF(XLOOKUP(CONCAT(E459,F459),'MASTER PLAN'!$AB:$AB,'MASTER PLAN'!$M:$M,0,0)=0,"",XLOOKUP(CONCAT(E459,F459),'MASTER PLAN'!$AB:$AB,'MASTER PLAN'!$M:$M,0,0)),"")</f>
        <v/>
      </c>
      <c r="K459" s="107">
        <f t="shared" si="237"/>
        <v>0</v>
      </c>
      <c r="L459" s="107">
        <f t="shared" si="238"/>
        <v>0</v>
      </c>
      <c r="M459" s="105" t="s">
        <v>249</v>
      </c>
      <c r="AI459" s="42"/>
      <c r="BN459" s="42"/>
      <c r="CS459" s="42"/>
      <c r="DX459" s="42"/>
      <c r="FC459" s="42"/>
      <c r="GH459" s="42"/>
      <c r="HM459" s="42"/>
      <c r="IR459" s="42"/>
      <c r="JW459" s="42"/>
      <c r="LB459" s="42"/>
      <c r="MG459" s="42"/>
      <c r="NL459" s="42"/>
    </row>
    <row r="460" ht="15.75" customHeight="1">
      <c r="A460" s="42"/>
      <c r="B460" s="42"/>
      <c r="C460" s="42"/>
      <c r="D460" s="38">
        <f t="shared" si="687"/>
        <v>45996</v>
      </c>
      <c r="E460" s="31" t="str">
        <f t="shared" ref="E460:I460" si="698">ES22</f>
        <v/>
      </c>
      <c r="F460" s="31" t="str">
        <f t="shared" si="698"/>
        <v/>
      </c>
      <c r="G460" s="31" t="str">
        <f t="shared" si="698"/>
        <v/>
      </c>
      <c r="H460" s="13" t="str">
        <f t="shared" si="698"/>
        <v/>
      </c>
      <c r="I460" s="13" t="str">
        <f t="shared" si="698"/>
        <v/>
      </c>
      <c r="J460" s="107" t="str">
        <f t="array" ref="J460">IFERROR(IF(XLOOKUP(CONCAT(E460,F460),'MASTER PLAN'!$AB:$AB,'MASTER PLAN'!$M:$M,0,0)=0,"",XLOOKUP(CONCAT(E460,F460),'MASTER PLAN'!$AB:$AB,'MASTER PLAN'!$M:$M,0,0)),"")</f>
        <v/>
      </c>
      <c r="K460" s="107">
        <f t="shared" si="237"/>
        <v>0</v>
      </c>
      <c r="L460" s="107">
        <f t="shared" si="238"/>
        <v>0</v>
      </c>
      <c r="M460" s="105" t="s">
        <v>249</v>
      </c>
      <c r="AI460" s="42"/>
      <c r="BN460" s="42"/>
      <c r="CS460" s="42"/>
      <c r="DX460" s="42"/>
      <c r="FC460" s="42"/>
      <c r="GH460" s="42"/>
      <c r="HM460" s="42"/>
      <c r="IR460" s="42"/>
      <c r="JW460" s="42"/>
      <c r="LB460" s="42"/>
      <c r="MG460" s="42"/>
      <c r="NL460" s="42"/>
    </row>
    <row r="461" ht="15.75" customHeight="1">
      <c r="A461" s="42"/>
      <c r="B461" s="42"/>
      <c r="C461" s="42"/>
      <c r="D461" s="38">
        <f t="shared" si="687"/>
        <v>45996</v>
      </c>
      <c r="E461" s="31" t="str">
        <f t="shared" ref="E461:I461" si="699">ES23</f>
        <v/>
      </c>
      <c r="F461" s="31" t="str">
        <f t="shared" si="699"/>
        <v/>
      </c>
      <c r="G461" s="31" t="str">
        <f t="shared" si="699"/>
        <v/>
      </c>
      <c r="H461" s="13" t="str">
        <f t="shared" si="699"/>
        <v/>
      </c>
      <c r="I461" s="13" t="str">
        <f t="shared" si="699"/>
        <v/>
      </c>
      <c r="J461" s="107" t="str">
        <f t="array" ref="J461">IFERROR(IF(XLOOKUP(CONCAT(E461,F461),'MASTER PLAN'!$AB:$AB,'MASTER PLAN'!$M:$M,0,0)=0,"",XLOOKUP(CONCAT(E461,F461),'MASTER PLAN'!$AB:$AB,'MASTER PLAN'!$M:$M,0,0)),"")</f>
        <v/>
      </c>
      <c r="K461" s="107">
        <f t="shared" si="237"/>
        <v>0</v>
      </c>
      <c r="L461" s="107">
        <f t="shared" si="238"/>
        <v>0</v>
      </c>
      <c r="M461" s="105" t="s">
        <v>249</v>
      </c>
      <c r="AI461" s="42"/>
      <c r="BN461" s="42"/>
      <c r="CS461" s="42"/>
      <c r="DX461" s="42"/>
      <c r="FC461" s="42"/>
      <c r="GH461" s="42"/>
      <c r="HM461" s="42"/>
      <c r="IR461" s="42"/>
      <c r="JW461" s="42"/>
      <c r="LB461" s="42"/>
      <c r="MG461" s="42"/>
      <c r="NL461" s="42"/>
    </row>
    <row r="462" ht="15.75" customHeight="1">
      <c r="A462" s="42"/>
      <c r="B462" s="42"/>
      <c r="C462" s="42"/>
      <c r="D462" s="38">
        <f t="shared" si="687"/>
        <v>45996</v>
      </c>
      <c r="E462" s="31" t="str">
        <f t="shared" ref="E462:I462" si="700">ES24</f>
        <v/>
      </c>
      <c r="F462" s="31" t="str">
        <f t="shared" si="700"/>
        <v/>
      </c>
      <c r="G462" s="31" t="str">
        <f t="shared" si="700"/>
        <v/>
      </c>
      <c r="H462" s="13" t="str">
        <f t="shared" si="700"/>
        <v/>
      </c>
      <c r="I462" s="13" t="str">
        <f t="shared" si="700"/>
        <v/>
      </c>
      <c r="J462" s="107" t="str">
        <f t="array" ref="J462">IFERROR(IF(XLOOKUP(CONCAT(E462,F462),'MASTER PLAN'!$AB:$AB,'MASTER PLAN'!$M:$M,0,0)=0,"",XLOOKUP(CONCAT(E462,F462),'MASTER PLAN'!$AB:$AB,'MASTER PLAN'!$M:$M,0,0)),"")</f>
        <v/>
      </c>
      <c r="K462" s="107">
        <f t="shared" si="237"/>
        <v>0</v>
      </c>
      <c r="L462" s="107">
        <f t="shared" si="238"/>
        <v>0</v>
      </c>
      <c r="M462" s="105" t="s">
        <v>249</v>
      </c>
      <c r="AI462" s="42"/>
      <c r="BN462" s="42"/>
      <c r="CS462" s="42"/>
      <c r="DX462" s="42"/>
      <c r="FC462" s="42"/>
      <c r="GH462" s="42"/>
      <c r="HM462" s="42"/>
      <c r="IR462" s="42"/>
      <c r="JW462" s="42"/>
      <c r="LB462" s="42"/>
      <c r="MG462" s="42"/>
      <c r="NL462" s="42"/>
    </row>
    <row r="463" ht="15.75" customHeight="1">
      <c r="A463" s="42"/>
      <c r="B463" s="42"/>
      <c r="C463" s="42"/>
      <c r="D463" s="38">
        <f>EX2</f>
        <v>45997</v>
      </c>
      <c r="E463" s="31" t="str">
        <f t="shared" ref="E463:I463" si="701">EX4</f>
        <v/>
      </c>
      <c r="F463" s="31" t="str">
        <f t="shared" si="701"/>
        <v/>
      </c>
      <c r="G463" s="31" t="str">
        <f t="shared" si="701"/>
        <v/>
      </c>
      <c r="H463" s="13" t="str">
        <f t="shared" si="701"/>
        <v/>
      </c>
      <c r="I463" s="13" t="str">
        <f t="shared" si="701"/>
        <v/>
      </c>
      <c r="J463" s="107" t="str">
        <f t="array" ref="J463">IFERROR(IF(XLOOKUP(CONCAT(E463,F463),'MASTER PLAN'!$AB:$AB,'MASTER PLAN'!$M:$M,0,0)=0,"",XLOOKUP(CONCAT(E463,F463),'MASTER PLAN'!$AB:$AB,'MASTER PLAN'!$M:$M,0,0)),"")</f>
        <v/>
      </c>
      <c r="K463" s="107">
        <f t="shared" si="237"/>
        <v>0</v>
      </c>
      <c r="L463" s="107">
        <f t="shared" si="238"/>
        <v>0</v>
      </c>
      <c r="M463" s="105" t="s">
        <v>246</v>
      </c>
      <c r="AI463" s="42"/>
      <c r="BN463" s="42"/>
      <c r="CS463" s="42"/>
      <c r="DX463" s="42"/>
      <c r="FC463" s="42"/>
      <c r="GH463" s="42"/>
      <c r="HM463" s="42"/>
      <c r="IR463" s="42"/>
      <c r="JW463" s="42"/>
      <c r="LB463" s="42"/>
      <c r="MG463" s="42"/>
      <c r="NL463" s="42"/>
    </row>
    <row r="464" ht="15.75" customHeight="1">
      <c r="A464" s="42"/>
      <c r="B464" s="42"/>
      <c r="C464" s="42"/>
      <c r="D464" s="38">
        <f t="shared" ref="D464:D477" si="703">D463</f>
        <v>45997</v>
      </c>
      <c r="E464" s="31" t="str">
        <f t="shared" ref="E464:I464" si="702">EX5</f>
        <v/>
      </c>
      <c r="F464" s="31" t="str">
        <f t="shared" si="702"/>
        <v/>
      </c>
      <c r="G464" s="31" t="str">
        <f t="shared" si="702"/>
        <v/>
      </c>
      <c r="H464" s="13" t="str">
        <f t="shared" si="702"/>
        <v/>
      </c>
      <c r="I464" s="13" t="str">
        <f t="shared" si="702"/>
        <v/>
      </c>
      <c r="J464" s="107" t="str">
        <f t="array" ref="J464">IFERROR(IF(XLOOKUP(CONCAT(E464,F464),'MASTER PLAN'!$AB:$AB,'MASTER PLAN'!$M:$M,0,0)=0,"",XLOOKUP(CONCAT(E464,F464),'MASTER PLAN'!$AB:$AB,'MASTER PLAN'!$M:$M,0,0)),"")</f>
        <v/>
      </c>
      <c r="K464" s="107">
        <f t="shared" si="237"/>
        <v>0</v>
      </c>
      <c r="L464" s="107">
        <f t="shared" si="238"/>
        <v>0</v>
      </c>
      <c r="M464" s="105" t="s">
        <v>246</v>
      </c>
      <c r="AI464" s="42"/>
      <c r="BN464" s="42"/>
      <c r="CS464" s="42"/>
      <c r="DX464" s="42"/>
      <c r="FC464" s="42"/>
      <c r="GH464" s="42"/>
      <c r="HM464" s="42"/>
      <c r="IR464" s="42"/>
      <c r="JW464" s="42"/>
      <c r="LB464" s="42"/>
      <c r="MG464" s="42"/>
      <c r="NL464" s="42"/>
    </row>
    <row r="465" ht="15.75" customHeight="1">
      <c r="A465" s="42"/>
      <c r="B465" s="42"/>
      <c r="C465" s="42"/>
      <c r="D465" s="38">
        <f t="shared" si="703"/>
        <v>45997</v>
      </c>
      <c r="E465" s="31" t="str">
        <f t="shared" ref="E465:I465" si="704">EX6</f>
        <v/>
      </c>
      <c r="F465" s="31" t="str">
        <f t="shared" si="704"/>
        <v/>
      </c>
      <c r="G465" s="31" t="str">
        <f t="shared" si="704"/>
        <v/>
      </c>
      <c r="H465" s="13" t="str">
        <f t="shared" si="704"/>
        <v/>
      </c>
      <c r="I465" s="13" t="str">
        <f t="shared" si="704"/>
        <v/>
      </c>
      <c r="J465" s="107" t="str">
        <f t="array" ref="J465">IFERROR(IF(XLOOKUP(CONCAT(E465,F465),'MASTER PLAN'!$AB:$AB,'MASTER PLAN'!$M:$M,0,0)=0,"",XLOOKUP(CONCAT(E465,F465),'MASTER PLAN'!$AB:$AB,'MASTER PLAN'!$M:$M,0,0)),"")</f>
        <v/>
      </c>
      <c r="K465" s="107">
        <f t="shared" si="237"/>
        <v>0</v>
      </c>
      <c r="L465" s="107">
        <f t="shared" si="238"/>
        <v>0</v>
      </c>
      <c r="M465" s="105" t="s">
        <v>246</v>
      </c>
      <c r="AI465" s="42"/>
      <c r="BN465" s="42"/>
      <c r="CS465" s="42"/>
      <c r="DX465" s="42"/>
      <c r="FC465" s="42"/>
      <c r="GH465" s="42"/>
      <c r="HM465" s="42"/>
      <c r="IR465" s="42"/>
      <c r="JW465" s="42"/>
      <c r="LB465" s="42"/>
      <c r="MG465" s="42"/>
      <c r="NL465" s="42"/>
    </row>
    <row r="466" ht="15.75" customHeight="1">
      <c r="A466" s="42"/>
      <c r="B466" s="42"/>
      <c r="C466" s="42"/>
      <c r="D466" s="38">
        <f t="shared" si="703"/>
        <v>45997</v>
      </c>
      <c r="E466" s="31" t="str">
        <f t="shared" ref="E466:I466" si="705">EX7</f>
        <v/>
      </c>
      <c r="F466" s="31" t="str">
        <f t="shared" si="705"/>
        <v/>
      </c>
      <c r="G466" s="31" t="str">
        <f t="shared" si="705"/>
        <v/>
      </c>
      <c r="H466" s="13" t="str">
        <f t="shared" si="705"/>
        <v/>
      </c>
      <c r="I466" s="13" t="str">
        <f t="shared" si="705"/>
        <v/>
      </c>
      <c r="J466" s="107" t="str">
        <f t="array" ref="J466">IFERROR(IF(XLOOKUP(CONCAT(E466,F466),'MASTER PLAN'!$AB:$AB,'MASTER PLAN'!$M:$M,0,0)=0,"",XLOOKUP(CONCAT(E466,F466),'MASTER PLAN'!$AB:$AB,'MASTER PLAN'!$M:$M,0,0)),"")</f>
        <v/>
      </c>
      <c r="K466" s="107">
        <f t="shared" si="237"/>
        <v>0</v>
      </c>
      <c r="L466" s="107">
        <f t="shared" si="238"/>
        <v>0</v>
      </c>
      <c r="M466" s="105" t="s">
        <v>246</v>
      </c>
      <c r="AI466" s="42"/>
      <c r="BN466" s="42"/>
      <c r="CS466" s="42"/>
      <c r="DX466" s="42"/>
      <c r="FC466" s="42"/>
      <c r="GH466" s="42"/>
      <c r="HM466" s="42"/>
      <c r="IR466" s="42"/>
      <c r="JW466" s="42"/>
      <c r="LB466" s="42"/>
      <c r="MG466" s="42"/>
      <c r="NL466" s="42"/>
    </row>
    <row r="467" ht="15.75" customHeight="1">
      <c r="A467" s="42"/>
      <c r="B467" s="42"/>
      <c r="C467" s="42"/>
      <c r="D467" s="38">
        <f t="shared" si="703"/>
        <v>45997</v>
      </c>
      <c r="E467" s="31" t="str">
        <f t="shared" ref="E467:I467" si="706">EX8</f>
        <v/>
      </c>
      <c r="F467" s="31" t="str">
        <f t="shared" si="706"/>
        <v/>
      </c>
      <c r="G467" s="31" t="str">
        <f t="shared" si="706"/>
        <v/>
      </c>
      <c r="H467" s="13" t="str">
        <f t="shared" si="706"/>
        <v/>
      </c>
      <c r="I467" s="13" t="str">
        <f t="shared" si="706"/>
        <v/>
      </c>
      <c r="J467" s="107" t="str">
        <f t="array" ref="J467">IFERROR(IF(XLOOKUP(CONCAT(E467,F467),'MASTER PLAN'!$AB:$AB,'MASTER PLAN'!$M:$M,0,0)=0,"",XLOOKUP(CONCAT(E467,F467),'MASTER PLAN'!$AB:$AB,'MASTER PLAN'!$M:$M,0,0)),"")</f>
        <v/>
      </c>
      <c r="K467" s="107">
        <f t="shared" si="237"/>
        <v>0</v>
      </c>
      <c r="L467" s="107">
        <f t="shared" si="238"/>
        <v>0</v>
      </c>
      <c r="M467" s="105" t="s">
        <v>246</v>
      </c>
      <c r="AI467" s="42"/>
      <c r="BN467" s="42"/>
      <c r="CS467" s="42"/>
      <c r="DX467" s="42"/>
      <c r="FC467" s="42"/>
      <c r="GH467" s="42"/>
      <c r="HM467" s="42"/>
      <c r="IR467" s="42"/>
      <c r="JW467" s="42"/>
      <c r="LB467" s="42"/>
      <c r="MG467" s="42"/>
      <c r="NL467" s="42"/>
    </row>
    <row r="468" ht="15.75" customHeight="1">
      <c r="A468" s="42"/>
      <c r="B468" s="42"/>
      <c r="C468" s="42"/>
      <c r="D468" s="38">
        <f t="shared" si="703"/>
        <v>45997</v>
      </c>
      <c r="E468" s="31" t="str">
        <f t="shared" ref="E468:I468" si="707">EX12</f>
        <v/>
      </c>
      <c r="F468" s="31" t="str">
        <f t="shared" si="707"/>
        <v/>
      </c>
      <c r="G468" s="31" t="str">
        <f t="shared" si="707"/>
        <v/>
      </c>
      <c r="H468" s="13" t="str">
        <f t="shared" si="707"/>
        <v/>
      </c>
      <c r="I468" s="13" t="str">
        <f t="shared" si="707"/>
        <v/>
      </c>
      <c r="J468" s="107" t="str">
        <f t="array" ref="J468">IFERROR(IF(XLOOKUP(CONCAT(E468,F468),'MASTER PLAN'!$AB:$AB,'MASTER PLAN'!$M:$M,0,0)=0,"",XLOOKUP(CONCAT(E468,F468),'MASTER PLAN'!$AB:$AB,'MASTER PLAN'!$M:$M,0,0)),"")</f>
        <v/>
      </c>
      <c r="K468" s="107">
        <f t="shared" si="237"/>
        <v>0</v>
      </c>
      <c r="L468" s="107">
        <f t="shared" si="238"/>
        <v>0</v>
      </c>
      <c r="M468" s="105" t="s">
        <v>248</v>
      </c>
      <c r="AI468" s="42"/>
      <c r="BN468" s="42"/>
      <c r="CS468" s="42"/>
      <c r="DX468" s="42"/>
      <c r="FC468" s="42"/>
      <c r="GH468" s="42"/>
      <c r="HM468" s="42"/>
      <c r="IR468" s="42"/>
      <c r="JW468" s="42"/>
      <c r="LB468" s="42"/>
      <c r="MG468" s="42"/>
      <c r="NL468" s="42"/>
    </row>
    <row r="469" ht="15.75" customHeight="1">
      <c r="A469" s="42"/>
      <c r="B469" s="42"/>
      <c r="C469" s="42"/>
      <c r="D469" s="38">
        <f t="shared" si="703"/>
        <v>45997</v>
      </c>
      <c r="E469" s="31" t="str">
        <f t="shared" ref="E469:I469" si="708">EX13</f>
        <v/>
      </c>
      <c r="F469" s="31" t="str">
        <f t="shared" si="708"/>
        <v/>
      </c>
      <c r="G469" s="31" t="str">
        <f t="shared" si="708"/>
        <v/>
      </c>
      <c r="H469" s="13" t="str">
        <f t="shared" si="708"/>
        <v/>
      </c>
      <c r="I469" s="13" t="str">
        <f t="shared" si="708"/>
        <v/>
      </c>
      <c r="J469" s="107" t="str">
        <f t="array" ref="J469">IFERROR(IF(XLOOKUP(CONCAT(E469,F469),'MASTER PLAN'!$AB:$AB,'MASTER PLAN'!$M:$M,0,0)=0,"",XLOOKUP(CONCAT(E469,F469),'MASTER PLAN'!$AB:$AB,'MASTER PLAN'!$M:$M,0,0)),"")</f>
        <v/>
      </c>
      <c r="K469" s="107">
        <f t="shared" si="237"/>
        <v>0</v>
      </c>
      <c r="L469" s="107">
        <f t="shared" si="238"/>
        <v>0</v>
      </c>
      <c r="M469" s="105" t="s">
        <v>248</v>
      </c>
      <c r="AI469" s="42"/>
      <c r="BN469" s="42"/>
      <c r="CS469" s="42"/>
      <c r="DX469" s="42"/>
      <c r="FC469" s="42"/>
      <c r="GH469" s="42"/>
      <c r="HM469" s="42"/>
      <c r="IR469" s="42"/>
      <c r="JW469" s="42"/>
      <c r="LB469" s="42"/>
      <c r="MG469" s="42"/>
      <c r="NL469" s="42"/>
    </row>
    <row r="470" ht="15.75" customHeight="1">
      <c r="A470" s="42"/>
      <c r="B470" s="42"/>
      <c r="C470" s="42"/>
      <c r="D470" s="38">
        <f t="shared" si="703"/>
        <v>45997</v>
      </c>
      <c r="E470" s="31" t="str">
        <f t="shared" ref="E470:I470" si="709">EX14</f>
        <v/>
      </c>
      <c r="F470" s="31" t="str">
        <f t="shared" si="709"/>
        <v/>
      </c>
      <c r="G470" s="31" t="str">
        <f t="shared" si="709"/>
        <v/>
      </c>
      <c r="H470" s="13" t="str">
        <f t="shared" si="709"/>
        <v/>
      </c>
      <c r="I470" s="13" t="str">
        <f t="shared" si="709"/>
        <v/>
      </c>
      <c r="J470" s="107" t="str">
        <f t="array" ref="J470">IFERROR(IF(XLOOKUP(CONCAT(E470,F470),'MASTER PLAN'!$AB:$AB,'MASTER PLAN'!$M:$M,0,0)=0,"",XLOOKUP(CONCAT(E470,F470),'MASTER PLAN'!$AB:$AB,'MASTER PLAN'!$M:$M,0,0)),"")</f>
        <v/>
      </c>
      <c r="K470" s="107">
        <f t="shared" si="237"/>
        <v>0</v>
      </c>
      <c r="L470" s="107">
        <f t="shared" si="238"/>
        <v>0</v>
      </c>
      <c r="M470" s="105" t="s">
        <v>248</v>
      </c>
      <c r="AI470" s="42"/>
      <c r="BN470" s="42"/>
      <c r="CS470" s="42"/>
      <c r="DX470" s="42"/>
      <c r="FC470" s="42"/>
      <c r="GH470" s="42"/>
      <c r="HM470" s="42"/>
      <c r="IR470" s="42"/>
      <c r="JW470" s="42"/>
      <c r="LB470" s="42"/>
      <c r="MG470" s="42"/>
      <c r="NL470" s="42"/>
    </row>
    <row r="471" ht="15.75" customHeight="1">
      <c r="A471" s="42"/>
      <c r="B471" s="42"/>
      <c r="C471" s="42"/>
      <c r="D471" s="38">
        <f t="shared" si="703"/>
        <v>45997</v>
      </c>
      <c r="E471" s="31" t="str">
        <f t="shared" ref="E471:I471" si="710">EX15</f>
        <v/>
      </c>
      <c r="F471" s="31" t="str">
        <f t="shared" si="710"/>
        <v/>
      </c>
      <c r="G471" s="31" t="str">
        <f t="shared" si="710"/>
        <v/>
      </c>
      <c r="H471" s="13" t="str">
        <f t="shared" si="710"/>
        <v/>
      </c>
      <c r="I471" s="13" t="str">
        <f t="shared" si="710"/>
        <v/>
      </c>
      <c r="J471" s="107" t="str">
        <f t="array" ref="J471">IFERROR(IF(XLOOKUP(CONCAT(E471,F471),'MASTER PLAN'!$AB:$AB,'MASTER PLAN'!$M:$M,0,0)=0,"",XLOOKUP(CONCAT(E471,F471),'MASTER PLAN'!$AB:$AB,'MASTER PLAN'!$M:$M,0,0)),"")</f>
        <v/>
      </c>
      <c r="K471" s="107">
        <f t="shared" si="237"/>
        <v>0</v>
      </c>
      <c r="L471" s="107">
        <f t="shared" si="238"/>
        <v>0</v>
      </c>
      <c r="M471" s="105" t="s">
        <v>248</v>
      </c>
      <c r="AI471" s="42"/>
      <c r="BN471" s="42"/>
      <c r="CS471" s="42"/>
      <c r="DX471" s="42"/>
      <c r="FC471" s="42"/>
      <c r="GH471" s="42"/>
      <c r="HM471" s="42"/>
      <c r="IR471" s="42"/>
      <c r="JW471" s="42"/>
      <c r="LB471" s="42"/>
      <c r="MG471" s="42"/>
      <c r="NL471" s="42"/>
    </row>
    <row r="472" ht="15.75" customHeight="1">
      <c r="A472" s="42"/>
      <c r="B472" s="42"/>
      <c r="C472" s="42"/>
      <c r="D472" s="38">
        <f t="shared" si="703"/>
        <v>45997</v>
      </c>
      <c r="E472" s="31" t="str">
        <f t="shared" ref="E472:I472" si="711">EX16</f>
        <v/>
      </c>
      <c r="F472" s="31" t="str">
        <f t="shared" si="711"/>
        <v/>
      </c>
      <c r="G472" s="31" t="str">
        <f t="shared" si="711"/>
        <v/>
      </c>
      <c r="H472" s="13" t="str">
        <f t="shared" si="711"/>
        <v/>
      </c>
      <c r="I472" s="13" t="str">
        <f t="shared" si="711"/>
        <v/>
      </c>
      <c r="J472" s="107" t="str">
        <f t="array" ref="J472">IFERROR(IF(XLOOKUP(CONCAT(E472,F472),'MASTER PLAN'!$AB:$AB,'MASTER PLAN'!$M:$M,0,0)=0,"",XLOOKUP(CONCAT(E472,F472),'MASTER PLAN'!$AB:$AB,'MASTER PLAN'!$M:$M,0,0)),"")</f>
        <v/>
      </c>
      <c r="K472" s="107">
        <f t="shared" si="237"/>
        <v>0</v>
      </c>
      <c r="L472" s="107">
        <f t="shared" si="238"/>
        <v>0</v>
      </c>
      <c r="M472" s="105" t="s">
        <v>248</v>
      </c>
      <c r="AI472" s="42"/>
      <c r="BN472" s="42"/>
      <c r="CS472" s="42"/>
      <c r="DX472" s="42"/>
      <c r="FC472" s="42"/>
      <c r="GH472" s="42"/>
      <c r="HM472" s="42"/>
      <c r="IR472" s="42"/>
      <c r="JW472" s="42"/>
      <c r="LB472" s="42"/>
      <c r="MG472" s="42"/>
      <c r="NL472" s="42"/>
    </row>
    <row r="473" ht="15.75" customHeight="1">
      <c r="A473" s="42"/>
      <c r="B473" s="42"/>
      <c r="C473" s="42"/>
      <c r="D473" s="38">
        <f t="shared" si="703"/>
        <v>45997</v>
      </c>
      <c r="E473" s="31" t="str">
        <f t="shared" ref="E473:I473" si="712">EX20</f>
        <v/>
      </c>
      <c r="F473" s="31" t="str">
        <f t="shared" si="712"/>
        <v/>
      </c>
      <c r="G473" s="31" t="str">
        <f t="shared" si="712"/>
        <v/>
      </c>
      <c r="H473" s="13" t="str">
        <f t="shared" si="712"/>
        <v/>
      </c>
      <c r="I473" s="13" t="str">
        <f t="shared" si="712"/>
        <v/>
      </c>
      <c r="J473" s="107" t="str">
        <f t="array" ref="J473">IFERROR(IF(XLOOKUP(CONCAT(E473,F473),'MASTER PLAN'!$AB:$AB,'MASTER PLAN'!$M:$M,0,0)=0,"",XLOOKUP(CONCAT(E473,F473),'MASTER PLAN'!$AB:$AB,'MASTER PLAN'!$M:$M,0,0)),"")</f>
        <v/>
      </c>
      <c r="K473" s="107">
        <f t="shared" si="237"/>
        <v>0</v>
      </c>
      <c r="L473" s="107">
        <f t="shared" si="238"/>
        <v>0</v>
      </c>
      <c r="M473" s="105" t="s">
        <v>249</v>
      </c>
      <c r="AI473" s="42"/>
      <c r="BN473" s="42"/>
      <c r="CS473" s="42"/>
      <c r="DX473" s="42"/>
      <c r="FC473" s="42"/>
      <c r="GH473" s="42"/>
      <c r="HM473" s="42"/>
      <c r="IR473" s="42"/>
      <c r="JW473" s="42"/>
      <c r="LB473" s="42"/>
      <c r="MG473" s="42"/>
      <c r="NL473" s="42"/>
    </row>
    <row r="474" ht="15.75" customHeight="1">
      <c r="A474" s="42"/>
      <c r="B474" s="42"/>
      <c r="C474" s="42"/>
      <c r="D474" s="38">
        <f t="shared" si="703"/>
        <v>45997</v>
      </c>
      <c r="E474" s="31" t="str">
        <f t="shared" ref="E474:I474" si="713">EX21</f>
        <v/>
      </c>
      <c r="F474" s="31" t="str">
        <f t="shared" si="713"/>
        <v/>
      </c>
      <c r="G474" s="31" t="str">
        <f t="shared" si="713"/>
        <v/>
      </c>
      <c r="H474" s="13" t="str">
        <f t="shared" si="713"/>
        <v/>
      </c>
      <c r="I474" s="13" t="str">
        <f t="shared" si="713"/>
        <v/>
      </c>
      <c r="J474" s="107" t="str">
        <f t="array" ref="J474">IFERROR(IF(XLOOKUP(CONCAT(E474,F474),'MASTER PLAN'!$AB:$AB,'MASTER PLAN'!$M:$M,0,0)=0,"",XLOOKUP(CONCAT(E474,F474),'MASTER PLAN'!$AB:$AB,'MASTER PLAN'!$M:$M,0,0)),"")</f>
        <v/>
      </c>
      <c r="K474" s="107">
        <f t="shared" si="237"/>
        <v>0</v>
      </c>
      <c r="L474" s="107">
        <f t="shared" si="238"/>
        <v>0</v>
      </c>
      <c r="M474" s="105" t="s">
        <v>249</v>
      </c>
      <c r="AI474" s="42"/>
      <c r="BN474" s="42"/>
      <c r="CS474" s="42"/>
      <c r="DX474" s="42"/>
      <c r="FC474" s="42"/>
      <c r="GH474" s="42"/>
      <c r="HM474" s="42"/>
      <c r="IR474" s="42"/>
      <c r="JW474" s="42"/>
      <c r="LB474" s="42"/>
      <c r="MG474" s="42"/>
      <c r="NL474" s="42"/>
    </row>
    <row r="475" ht="15.75" customHeight="1">
      <c r="A475" s="42"/>
      <c r="B475" s="42"/>
      <c r="C475" s="42"/>
      <c r="D475" s="38">
        <f t="shared" si="703"/>
        <v>45997</v>
      </c>
      <c r="E475" s="31" t="str">
        <f t="shared" ref="E475:I475" si="714">EX22</f>
        <v/>
      </c>
      <c r="F475" s="31" t="str">
        <f t="shared" si="714"/>
        <v/>
      </c>
      <c r="G475" s="31" t="str">
        <f t="shared" si="714"/>
        <v/>
      </c>
      <c r="H475" s="13" t="str">
        <f t="shared" si="714"/>
        <v/>
      </c>
      <c r="I475" s="13" t="str">
        <f t="shared" si="714"/>
        <v/>
      </c>
      <c r="J475" s="107" t="str">
        <f t="array" ref="J475">IFERROR(IF(XLOOKUP(CONCAT(E475,F475),'MASTER PLAN'!$AB:$AB,'MASTER PLAN'!$M:$M,0,0)=0,"",XLOOKUP(CONCAT(E475,F475),'MASTER PLAN'!$AB:$AB,'MASTER PLAN'!$M:$M,0,0)),"")</f>
        <v/>
      </c>
      <c r="K475" s="107">
        <f t="shared" si="237"/>
        <v>0</v>
      </c>
      <c r="L475" s="107">
        <f t="shared" si="238"/>
        <v>0</v>
      </c>
      <c r="M475" s="105" t="s">
        <v>249</v>
      </c>
      <c r="AI475" s="42"/>
      <c r="BN475" s="42"/>
      <c r="CS475" s="42"/>
      <c r="DX475" s="42"/>
      <c r="FC475" s="42"/>
      <c r="GH475" s="42"/>
      <c r="HM475" s="42"/>
      <c r="IR475" s="42"/>
      <c r="JW475" s="42"/>
      <c r="LB475" s="42"/>
      <c r="MG475" s="42"/>
      <c r="NL475" s="42"/>
    </row>
    <row r="476" ht="15.75" customHeight="1">
      <c r="A476" s="42"/>
      <c r="B476" s="42"/>
      <c r="C476" s="42"/>
      <c r="D476" s="38">
        <f t="shared" si="703"/>
        <v>45997</v>
      </c>
      <c r="E476" s="31" t="str">
        <f t="shared" ref="E476:I476" si="715">EX23</f>
        <v/>
      </c>
      <c r="F476" s="31" t="str">
        <f t="shared" si="715"/>
        <v/>
      </c>
      <c r="G476" s="31" t="str">
        <f t="shared" si="715"/>
        <v/>
      </c>
      <c r="H476" s="13" t="str">
        <f t="shared" si="715"/>
        <v/>
      </c>
      <c r="I476" s="13" t="str">
        <f t="shared" si="715"/>
        <v/>
      </c>
      <c r="J476" s="107" t="str">
        <f t="array" ref="J476">IFERROR(IF(XLOOKUP(CONCAT(E476,F476),'MASTER PLAN'!$AB:$AB,'MASTER PLAN'!$M:$M,0,0)=0,"",XLOOKUP(CONCAT(E476,F476),'MASTER PLAN'!$AB:$AB,'MASTER PLAN'!$M:$M,0,0)),"")</f>
        <v/>
      </c>
      <c r="K476" s="107">
        <f t="shared" si="237"/>
        <v>0</v>
      </c>
      <c r="L476" s="107">
        <f t="shared" si="238"/>
        <v>0</v>
      </c>
      <c r="M476" s="105" t="s">
        <v>249</v>
      </c>
      <c r="AI476" s="42"/>
      <c r="BN476" s="42"/>
      <c r="CS476" s="42"/>
      <c r="DX476" s="42"/>
      <c r="FC476" s="42"/>
      <c r="GH476" s="42"/>
      <c r="HM476" s="42"/>
      <c r="IR476" s="42"/>
      <c r="JW476" s="42"/>
      <c r="LB476" s="42"/>
      <c r="MG476" s="42"/>
      <c r="NL476" s="42"/>
    </row>
    <row r="477" ht="15.75" customHeight="1">
      <c r="A477" s="42"/>
      <c r="B477" s="42"/>
      <c r="C477" s="42"/>
      <c r="D477" s="38">
        <f t="shared" si="703"/>
        <v>45997</v>
      </c>
      <c r="E477" s="31" t="str">
        <f t="shared" ref="E477:I477" si="716">EX24</f>
        <v/>
      </c>
      <c r="F477" s="31" t="str">
        <f t="shared" si="716"/>
        <v/>
      </c>
      <c r="G477" s="31" t="str">
        <f t="shared" si="716"/>
        <v/>
      </c>
      <c r="H477" s="13" t="str">
        <f t="shared" si="716"/>
        <v/>
      </c>
      <c r="I477" s="13" t="str">
        <f t="shared" si="716"/>
        <v/>
      </c>
      <c r="J477" s="107" t="str">
        <f t="array" ref="J477">IFERROR(IF(XLOOKUP(CONCAT(E477,F477),'MASTER PLAN'!$AB:$AB,'MASTER PLAN'!$M:$M,0,0)=0,"",XLOOKUP(CONCAT(E477,F477),'MASTER PLAN'!$AB:$AB,'MASTER PLAN'!$M:$M,0,0)),"")</f>
        <v/>
      </c>
      <c r="K477" s="107">
        <f t="shared" si="237"/>
        <v>0</v>
      </c>
      <c r="L477" s="107">
        <f t="shared" si="238"/>
        <v>0</v>
      </c>
      <c r="M477" s="105" t="s">
        <v>249</v>
      </c>
      <c r="AI477" s="42"/>
      <c r="BN477" s="42"/>
      <c r="CS477" s="42"/>
      <c r="DX477" s="42"/>
      <c r="FC477" s="42"/>
      <c r="GH477" s="42"/>
      <c r="HM477" s="42"/>
      <c r="IR477" s="42"/>
      <c r="JW477" s="42"/>
      <c r="LB477" s="42"/>
      <c r="MG477" s="42"/>
      <c r="NL477" s="42"/>
    </row>
    <row r="478" ht="15.75" customHeight="1">
      <c r="A478" s="42"/>
      <c r="B478" s="42"/>
      <c r="C478" s="42"/>
      <c r="D478" s="38">
        <f>FD2</f>
        <v>45999</v>
      </c>
      <c r="E478" s="31">
        <f t="shared" ref="E478:I478" si="717">FD4</f>
        <v>1402049349</v>
      </c>
      <c r="F478" s="31">
        <f t="shared" si="717"/>
        <v>10</v>
      </c>
      <c r="G478" s="31" t="str">
        <f t="shared" si="717"/>
        <v>BOLSA WSHM WOS 10"X6"X10" FA</v>
      </c>
      <c r="H478" s="13">
        <f t="shared" si="717"/>
        <v>2750</v>
      </c>
      <c r="I478" s="13" t="str">
        <f t="shared" si="717"/>
        <v/>
      </c>
      <c r="J478" s="107">
        <f t="array" ref="J478">IFERROR(IF(XLOOKUP(CONCAT(E478,F478),'MASTER PLAN'!$AB:$AB,'MASTER PLAN'!$M:$M,0,0)=0,"",XLOOKUP(CONCAT(E478,F478),'MASTER PLAN'!$AB:$AB,'MASTER PLAN'!$M:$M,0,0)),"")</f>
        <v>2.448</v>
      </c>
      <c r="K478" s="107">
        <f t="shared" si="237"/>
        <v>6732</v>
      </c>
      <c r="L478" s="107">
        <f t="shared" si="238"/>
        <v>0</v>
      </c>
      <c r="M478" s="105" t="s">
        <v>246</v>
      </c>
      <c r="AI478" s="42"/>
      <c r="BN478" s="42"/>
      <c r="CS478" s="42"/>
      <c r="DX478" s="42"/>
      <c r="FC478" s="42"/>
      <c r="GH478" s="42"/>
      <c r="HM478" s="42"/>
      <c r="IR478" s="42"/>
      <c r="JW478" s="42"/>
      <c r="LB478" s="42"/>
      <c r="MG478" s="42"/>
      <c r="NL478" s="42"/>
    </row>
    <row r="479" ht="15.75" customHeight="1">
      <c r="A479" s="42"/>
      <c r="B479" s="42"/>
      <c r="C479" s="42"/>
      <c r="D479" s="38">
        <f t="shared" ref="D479:D492" si="719">D478</f>
        <v>45999</v>
      </c>
      <c r="E479" s="31">
        <f t="shared" ref="E479:I479" si="718">FD5</f>
        <v>1402049349</v>
      </c>
      <c r="F479" s="31">
        <f t="shared" si="718"/>
        <v>20</v>
      </c>
      <c r="G479" s="31" t="str">
        <f t="shared" si="718"/>
        <v>BOLSA WSHN WOS 17"X7"X14" FA</v>
      </c>
      <c r="H479" s="13">
        <f t="shared" si="718"/>
        <v>150</v>
      </c>
      <c r="I479" s="13" t="str">
        <f t="shared" si="718"/>
        <v/>
      </c>
      <c r="J479" s="107">
        <f t="array" ref="J479">IFERROR(IF(XLOOKUP(CONCAT(E479,F479),'MASTER PLAN'!$AB:$AB,'MASTER PLAN'!$M:$M,0,0)=0,"",XLOOKUP(CONCAT(E479,F479),'MASTER PLAN'!$AB:$AB,'MASTER PLAN'!$M:$M,0,0)),"")</f>
        <v>4.52</v>
      </c>
      <c r="K479" s="107">
        <f t="shared" si="237"/>
        <v>678</v>
      </c>
      <c r="L479" s="107">
        <f t="shared" si="238"/>
        <v>0</v>
      </c>
      <c r="M479" s="105" t="s">
        <v>246</v>
      </c>
      <c r="AI479" s="42"/>
      <c r="BN479" s="42"/>
      <c r="CS479" s="42"/>
      <c r="DX479" s="42"/>
      <c r="FC479" s="42"/>
      <c r="GH479" s="42"/>
      <c r="HM479" s="42"/>
      <c r="IR479" s="42"/>
      <c r="JW479" s="42"/>
      <c r="LB479" s="42"/>
      <c r="MG479" s="42"/>
      <c r="NL479" s="42"/>
    </row>
    <row r="480" ht="15.75" customHeight="1">
      <c r="A480" s="42"/>
      <c r="B480" s="42"/>
      <c r="C480" s="42"/>
      <c r="D480" s="38">
        <f t="shared" si="719"/>
        <v>45999</v>
      </c>
      <c r="E480" s="31" t="str">
        <f t="shared" ref="E480:I480" si="720">FD6</f>
        <v/>
      </c>
      <c r="F480" s="31" t="str">
        <f t="shared" si="720"/>
        <v/>
      </c>
      <c r="G480" s="31" t="str">
        <f t="shared" si="720"/>
        <v/>
      </c>
      <c r="H480" s="13" t="str">
        <f t="shared" si="720"/>
        <v/>
      </c>
      <c r="I480" s="13" t="str">
        <f t="shared" si="720"/>
        <v/>
      </c>
      <c r="J480" s="107" t="str">
        <f t="array" ref="J480">IFERROR(IF(XLOOKUP(CONCAT(E480,F480),'MASTER PLAN'!$AB:$AB,'MASTER PLAN'!$M:$M,0,0)=0,"",XLOOKUP(CONCAT(E480,F480),'MASTER PLAN'!$AB:$AB,'MASTER PLAN'!$M:$M,0,0)),"")</f>
        <v/>
      </c>
      <c r="K480" s="107">
        <f t="shared" si="237"/>
        <v>0</v>
      </c>
      <c r="L480" s="107">
        <f t="shared" si="238"/>
        <v>0</v>
      </c>
      <c r="M480" s="105" t="s">
        <v>246</v>
      </c>
      <c r="AI480" s="42"/>
      <c r="BN480" s="42"/>
      <c r="CS480" s="42"/>
      <c r="DX480" s="42"/>
      <c r="FC480" s="42"/>
      <c r="GH480" s="42"/>
      <c r="HM480" s="42"/>
      <c r="IR480" s="42"/>
      <c r="JW480" s="42"/>
      <c r="LB480" s="42"/>
      <c r="MG480" s="42"/>
      <c r="NL480" s="42"/>
    </row>
    <row r="481" ht="15.75" customHeight="1">
      <c r="A481" s="42"/>
      <c r="B481" s="42"/>
      <c r="C481" s="42"/>
      <c r="D481" s="38">
        <f t="shared" si="719"/>
        <v>45999</v>
      </c>
      <c r="E481" s="31" t="str">
        <f t="shared" ref="E481:I481" si="721">FD7</f>
        <v/>
      </c>
      <c r="F481" s="31" t="str">
        <f t="shared" si="721"/>
        <v/>
      </c>
      <c r="G481" s="31" t="str">
        <f t="shared" si="721"/>
        <v/>
      </c>
      <c r="H481" s="13" t="str">
        <f t="shared" si="721"/>
        <v/>
      </c>
      <c r="I481" s="13" t="str">
        <f t="shared" si="721"/>
        <v/>
      </c>
      <c r="J481" s="107" t="str">
        <f t="array" ref="J481">IFERROR(IF(XLOOKUP(CONCAT(E481,F481),'MASTER PLAN'!$AB:$AB,'MASTER PLAN'!$M:$M,0,0)=0,"",XLOOKUP(CONCAT(E481,F481),'MASTER PLAN'!$AB:$AB,'MASTER PLAN'!$M:$M,0,0)),"")</f>
        <v/>
      </c>
      <c r="K481" s="107">
        <f t="shared" si="237"/>
        <v>0</v>
      </c>
      <c r="L481" s="107">
        <f t="shared" si="238"/>
        <v>0</v>
      </c>
      <c r="M481" s="105" t="s">
        <v>246</v>
      </c>
      <c r="AI481" s="42"/>
      <c r="BN481" s="42"/>
      <c r="CS481" s="42"/>
      <c r="DX481" s="42"/>
      <c r="FC481" s="42"/>
      <c r="GH481" s="42"/>
      <c r="HM481" s="42"/>
      <c r="IR481" s="42"/>
      <c r="JW481" s="42"/>
      <c r="LB481" s="42"/>
      <c r="MG481" s="42"/>
      <c r="NL481" s="42"/>
    </row>
    <row r="482" ht="15.75" customHeight="1">
      <c r="A482" s="42"/>
      <c r="B482" s="42"/>
      <c r="C482" s="42"/>
      <c r="D482" s="38">
        <f t="shared" si="719"/>
        <v>45999</v>
      </c>
      <c r="E482" s="31" t="str">
        <f t="shared" ref="E482:I482" si="722">FD8</f>
        <v/>
      </c>
      <c r="F482" s="31" t="str">
        <f t="shared" si="722"/>
        <v/>
      </c>
      <c r="G482" s="31" t="str">
        <f t="shared" si="722"/>
        <v/>
      </c>
      <c r="H482" s="13" t="str">
        <f t="shared" si="722"/>
        <v/>
      </c>
      <c r="I482" s="13" t="str">
        <f t="shared" si="722"/>
        <v/>
      </c>
      <c r="J482" s="107" t="str">
        <f t="array" ref="J482">IFERROR(IF(XLOOKUP(CONCAT(E482,F482),'MASTER PLAN'!$AB:$AB,'MASTER PLAN'!$M:$M,0,0)=0,"",XLOOKUP(CONCAT(E482,F482),'MASTER PLAN'!$AB:$AB,'MASTER PLAN'!$M:$M,0,0)),"")</f>
        <v/>
      </c>
      <c r="K482" s="107">
        <f t="shared" si="237"/>
        <v>0</v>
      </c>
      <c r="L482" s="107">
        <f t="shared" si="238"/>
        <v>0</v>
      </c>
      <c r="M482" s="105" t="s">
        <v>246</v>
      </c>
      <c r="AI482" s="42"/>
      <c r="BN482" s="42"/>
      <c r="CS482" s="42"/>
      <c r="DX482" s="42"/>
      <c r="FC482" s="42"/>
      <c r="GH482" s="42"/>
      <c r="HM482" s="42"/>
      <c r="IR482" s="42"/>
      <c r="JW482" s="42"/>
      <c r="LB482" s="42"/>
      <c r="MG482" s="42"/>
      <c r="NL482" s="42"/>
    </row>
    <row r="483" ht="15.75" customHeight="1">
      <c r="A483" s="42"/>
      <c r="B483" s="42"/>
      <c r="C483" s="42"/>
      <c r="D483" s="38">
        <f t="shared" si="719"/>
        <v>45999</v>
      </c>
      <c r="E483" s="31">
        <f t="shared" ref="E483:I483" si="723">FD12</f>
        <v>1402049350</v>
      </c>
      <c r="F483" s="31">
        <f t="shared" si="723"/>
        <v>20</v>
      </c>
      <c r="G483" s="31" t="str">
        <f t="shared" si="723"/>
        <v>BOLSA WSMJ MAYORS WOS 10"X6"X10" FA</v>
      </c>
      <c r="H483" s="13">
        <f t="shared" si="723"/>
        <v>1800</v>
      </c>
      <c r="I483" s="13" t="str">
        <f t="shared" si="723"/>
        <v/>
      </c>
      <c r="J483" s="107">
        <f t="array" ref="J483">IFERROR(IF(XLOOKUP(CONCAT(E483,F483),'MASTER PLAN'!$AB:$AB,'MASTER PLAN'!$M:$M,0,0)=0,"",XLOOKUP(CONCAT(E483,F483),'MASTER PLAN'!$AB:$AB,'MASTER PLAN'!$M:$M,0,0)),"")</f>
        <v>2.48</v>
      </c>
      <c r="K483" s="107">
        <f t="shared" si="237"/>
        <v>4464</v>
      </c>
      <c r="L483" s="107">
        <f t="shared" si="238"/>
        <v>0</v>
      </c>
      <c r="M483" s="105" t="s">
        <v>248</v>
      </c>
      <c r="AI483" s="42"/>
      <c r="BN483" s="42"/>
      <c r="CS483" s="42"/>
      <c r="DX483" s="42"/>
      <c r="FC483" s="42"/>
      <c r="GH483" s="42"/>
      <c r="HM483" s="42"/>
      <c r="IR483" s="42"/>
      <c r="JW483" s="42"/>
      <c r="LB483" s="42"/>
      <c r="MG483" s="42"/>
      <c r="NL483" s="42"/>
    </row>
    <row r="484" ht="15.75" customHeight="1">
      <c r="A484" s="42"/>
      <c r="B484" s="42"/>
      <c r="C484" s="42"/>
      <c r="D484" s="38">
        <f t="shared" si="719"/>
        <v>45999</v>
      </c>
      <c r="E484" s="31">
        <f t="shared" ref="E484:I484" si="724">FD13</f>
        <v>1402048632</v>
      </c>
      <c r="F484" s="31">
        <f t="shared" si="724"/>
        <v>10</v>
      </c>
      <c r="G484" s="31" t="str">
        <f t="shared" si="724"/>
        <v>BOLSA ROGERS ENTERPRISES 10"X4"X7-75"</v>
      </c>
      <c r="H484" s="13">
        <f t="shared" si="724"/>
        <v>1500</v>
      </c>
      <c r="I484" s="13" t="str">
        <f t="shared" si="724"/>
        <v/>
      </c>
      <c r="J484" s="107">
        <f t="array" ref="J484">IFERROR(IF(XLOOKUP(CONCAT(E484,F484),'MASTER PLAN'!$AB:$AB,'MASTER PLAN'!$M:$M,0,0)=0,"",XLOOKUP(CONCAT(E484,F484),'MASTER PLAN'!$AB:$AB,'MASTER PLAN'!$M:$M,0,0)),"")</f>
        <v>1.064</v>
      </c>
      <c r="K484" s="107">
        <f t="shared" si="237"/>
        <v>1596</v>
      </c>
      <c r="L484" s="107">
        <f t="shared" si="238"/>
        <v>0</v>
      </c>
      <c r="M484" s="105" t="s">
        <v>248</v>
      </c>
      <c r="AI484" s="42"/>
      <c r="BN484" s="42"/>
      <c r="CS484" s="42"/>
      <c r="DX484" s="42"/>
      <c r="FC484" s="42"/>
      <c r="GH484" s="42"/>
      <c r="HM484" s="42"/>
      <c r="IR484" s="42"/>
      <c r="JW484" s="42"/>
      <c r="LB484" s="42"/>
      <c r="MG484" s="42"/>
      <c r="NL484" s="42"/>
    </row>
    <row r="485" ht="15.75" customHeight="1">
      <c r="A485" s="42"/>
      <c r="B485" s="42"/>
      <c r="C485" s="42"/>
      <c r="D485" s="38">
        <f t="shared" si="719"/>
        <v>45999</v>
      </c>
      <c r="E485" s="31" t="str">
        <f t="shared" ref="E485:I485" si="725">FD14</f>
        <v/>
      </c>
      <c r="F485" s="31" t="str">
        <f t="shared" si="725"/>
        <v/>
      </c>
      <c r="G485" s="31" t="str">
        <f t="shared" si="725"/>
        <v/>
      </c>
      <c r="H485" s="13" t="str">
        <f t="shared" si="725"/>
        <v/>
      </c>
      <c r="I485" s="13" t="str">
        <f t="shared" si="725"/>
        <v/>
      </c>
      <c r="J485" s="107" t="str">
        <f t="array" ref="J485">IFERROR(IF(XLOOKUP(CONCAT(E485,F485),'MASTER PLAN'!$AB:$AB,'MASTER PLAN'!$M:$M,0,0)=0,"",XLOOKUP(CONCAT(E485,F485),'MASTER PLAN'!$AB:$AB,'MASTER PLAN'!$M:$M,0,0)),"")</f>
        <v/>
      </c>
      <c r="K485" s="107">
        <f t="shared" si="237"/>
        <v>0</v>
      </c>
      <c r="L485" s="107">
        <f t="shared" si="238"/>
        <v>0</v>
      </c>
      <c r="M485" s="105" t="s">
        <v>248</v>
      </c>
      <c r="AI485" s="42"/>
      <c r="BN485" s="42"/>
      <c r="CS485" s="42"/>
      <c r="DX485" s="42"/>
      <c r="FC485" s="42"/>
      <c r="GH485" s="42"/>
      <c r="HM485" s="42"/>
      <c r="IR485" s="42"/>
      <c r="JW485" s="42"/>
      <c r="LB485" s="42"/>
      <c r="MG485" s="42"/>
      <c r="NL485" s="42"/>
    </row>
    <row r="486" ht="15.75" customHeight="1">
      <c r="A486" s="42"/>
      <c r="B486" s="42"/>
      <c r="C486" s="42"/>
      <c r="D486" s="38">
        <f t="shared" si="719"/>
        <v>45999</v>
      </c>
      <c r="E486" s="31" t="str">
        <f t="shared" ref="E486:I486" si="726">FD15</f>
        <v/>
      </c>
      <c r="F486" s="31" t="str">
        <f t="shared" si="726"/>
        <v/>
      </c>
      <c r="G486" s="31" t="str">
        <f t="shared" si="726"/>
        <v/>
      </c>
      <c r="H486" s="13" t="str">
        <f t="shared" si="726"/>
        <v/>
      </c>
      <c r="I486" s="13" t="str">
        <f t="shared" si="726"/>
        <v/>
      </c>
      <c r="J486" s="107" t="str">
        <f t="array" ref="J486">IFERROR(IF(XLOOKUP(CONCAT(E486,F486),'MASTER PLAN'!$AB:$AB,'MASTER PLAN'!$M:$M,0,0)=0,"",XLOOKUP(CONCAT(E486,F486),'MASTER PLAN'!$AB:$AB,'MASTER PLAN'!$M:$M,0,0)),"")</f>
        <v/>
      </c>
      <c r="K486" s="107">
        <f t="shared" si="237"/>
        <v>0</v>
      </c>
      <c r="L486" s="107">
        <f t="shared" si="238"/>
        <v>0</v>
      </c>
      <c r="M486" s="105" t="s">
        <v>248</v>
      </c>
      <c r="AI486" s="42"/>
      <c r="BN486" s="42"/>
      <c r="CS486" s="42"/>
      <c r="DX486" s="42"/>
      <c r="FC486" s="42"/>
      <c r="GH486" s="42"/>
      <c r="HM486" s="42"/>
      <c r="IR486" s="42"/>
      <c r="JW486" s="42"/>
      <c r="LB486" s="42"/>
      <c r="MG486" s="42"/>
      <c r="NL486" s="42"/>
    </row>
    <row r="487" ht="15.75" customHeight="1">
      <c r="A487" s="42"/>
      <c r="B487" s="42"/>
      <c r="C487" s="42"/>
      <c r="D487" s="38">
        <f t="shared" si="719"/>
        <v>45999</v>
      </c>
      <c r="E487" s="31" t="str">
        <f t="shared" ref="E487:I487" si="727">FD16</f>
        <v/>
      </c>
      <c r="F487" s="31" t="str">
        <f t="shared" si="727"/>
        <v/>
      </c>
      <c r="G487" s="31" t="str">
        <f t="shared" si="727"/>
        <v/>
      </c>
      <c r="H487" s="13" t="str">
        <f t="shared" si="727"/>
        <v/>
      </c>
      <c r="I487" s="13" t="str">
        <f t="shared" si="727"/>
        <v/>
      </c>
      <c r="J487" s="107" t="str">
        <f t="array" ref="J487">IFERROR(IF(XLOOKUP(CONCAT(E487,F487),'MASTER PLAN'!$AB:$AB,'MASTER PLAN'!$M:$M,0,0)=0,"",XLOOKUP(CONCAT(E487,F487),'MASTER PLAN'!$AB:$AB,'MASTER PLAN'!$M:$M,0,0)),"")</f>
        <v/>
      </c>
      <c r="K487" s="107">
        <f t="shared" si="237"/>
        <v>0</v>
      </c>
      <c r="L487" s="107">
        <f t="shared" si="238"/>
        <v>0</v>
      </c>
      <c r="M487" s="105" t="s">
        <v>248</v>
      </c>
      <c r="AI487" s="42"/>
      <c r="BN487" s="42"/>
      <c r="CS487" s="42"/>
      <c r="DX487" s="42"/>
      <c r="FC487" s="42"/>
      <c r="GH487" s="42"/>
      <c r="HM487" s="42"/>
      <c r="IR487" s="42"/>
      <c r="JW487" s="42"/>
      <c r="LB487" s="42"/>
      <c r="MG487" s="42"/>
      <c r="NL487" s="42"/>
    </row>
    <row r="488" ht="15.75" customHeight="1">
      <c r="A488" s="42"/>
      <c r="B488" s="42"/>
      <c r="C488" s="42"/>
      <c r="D488" s="38">
        <f t="shared" si="719"/>
        <v>45999</v>
      </c>
      <c r="E488" s="31" t="str">
        <f t="shared" ref="E488:I488" si="728">FD20</f>
        <v/>
      </c>
      <c r="F488" s="31" t="str">
        <f t="shared" si="728"/>
        <v/>
      </c>
      <c r="G488" s="31" t="str">
        <f t="shared" si="728"/>
        <v/>
      </c>
      <c r="H488" s="13" t="str">
        <f t="shared" si="728"/>
        <v/>
      </c>
      <c r="I488" s="13" t="str">
        <f t="shared" si="728"/>
        <v/>
      </c>
      <c r="J488" s="107" t="str">
        <f t="array" ref="J488">IFERROR(IF(XLOOKUP(CONCAT(E488,F488),'MASTER PLAN'!$AB:$AB,'MASTER PLAN'!$M:$M,0,0)=0,"",XLOOKUP(CONCAT(E488,F488),'MASTER PLAN'!$AB:$AB,'MASTER PLAN'!$M:$M,0,0)),"")</f>
        <v/>
      </c>
      <c r="K488" s="107">
        <f t="shared" si="237"/>
        <v>0</v>
      </c>
      <c r="L488" s="107">
        <f t="shared" si="238"/>
        <v>0</v>
      </c>
      <c r="M488" s="105" t="s">
        <v>249</v>
      </c>
      <c r="AI488" s="42"/>
      <c r="BN488" s="42"/>
      <c r="CS488" s="42"/>
      <c r="DX488" s="42"/>
      <c r="FC488" s="42"/>
      <c r="GH488" s="42"/>
      <c r="HM488" s="42"/>
      <c r="IR488" s="42"/>
      <c r="JW488" s="42"/>
      <c r="LB488" s="42"/>
      <c r="MG488" s="42"/>
      <c r="NL488" s="42"/>
    </row>
    <row r="489" ht="15.75" customHeight="1">
      <c r="A489" s="42"/>
      <c r="B489" s="42"/>
      <c r="C489" s="42"/>
      <c r="D489" s="38">
        <f t="shared" si="719"/>
        <v>45999</v>
      </c>
      <c r="E489" s="31" t="str">
        <f t="shared" ref="E489:I489" si="729">FD21</f>
        <v/>
      </c>
      <c r="F489" s="31" t="str">
        <f t="shared" si="729"/>
        <v/>
      </c>
      <c r="G489" s="31" t="str">
        <f t="shared" si="729"/>
        <v/>
      </c>
      <c r="H489" s="13" t="str">
        <f t="shared" si="729"/>
        <v/>
      </c>
      <c r="I489" s="13" t="str">
        <f t="shared" si="729"/>
        <v/>
      </c>
      <c r="J489" s="107" t="str">
        <f t="array" ref="J489">IFERROR(IF(XLOOKUP(CONCAT(E489,F489),'MASTER PLAN'!$AB:$AB,'MASTER PLAN'!$M:$M,0,0)=0,"",XLOOKUP(CONCAT(E489,F489),'MASTER PLAN'!$AB:$AB,'MASTER PLAN'!$M:$M,0,0)),"")</f>
        <v/>
      </c>
      <c r="K489" s="107">
        <f t="shared" si="237"/>
        <v>0</v>
      </c>
      <c r="L489" s="107">
        <f t="shared" si="238"/>
        <v>0</v>
      </c>
      <c r="M489" s="105" t="s">
        <v>249</v>
      </c>
      <c r="AI489" s="42"/>
      <c r="BN489" s="42"/>
      <c r="CS489" s="42"/>
      <c r="DX489" s="42"/>
      <c r="FC489" s="42"/>
      <c r="GH489" s="42"/>
      <c r="HM489" s="42"/>
      <c r="IR489" s="42"/>
      <c r="JW489" s="42"/>
      <c r="LB489" s="42"/>
      <c r="MG489" s="42"/>
      <c r="NL489" s="42"/>
    </row>
    <row r="490" ht="15.75" customHeight="1">
      <c r="A490" s="42"/>
      <c r="B490" s="42"/>
      <c r="C490" s="42"/>
      <c r="D490" s="38">
        <f t="shared" si="719"/>
        <v>45999</v>
      </c>
      <c r="E490" s="31" t="str">
        <f t="shared" ref="E490:I490" si="730">FD22</f>
        <v/>
      </c>
      <c r="F490" s="31" t="str">
        <f t="shared" si="730"/>
        <v/>
      </c>
      <c r="G490" s="31" t="str">
        <f t="shared" si="730"/>
        <v/>
      </c>
      <c r="H490" s="13" t="str">
        <f t="shared" si="730"/>
        <v/>
      </c>
      <c r="I490" s="13" t="str">
        <f t="shared" si="730"/>
        <v/>
      </c>
      <c r="J490" s="107" t="str">
        <f t="array" ref="J490">IFERROR(IF(XLOOKUP(CONCAT(E490,F490),'MASTER PLAN'!$AB:$AB,'MASTER PLAN'!$M:$M,0,0)=0,"",XLOOKUP(CONCAT(E490,F490),'MASTER PLAN'!$AB:$AB,'MASTER PLAN'!$M:$M,0,0)),"")</f>
        <v/>
      </c>
      <c r="K490" s="107">
        <f t="shared" si="237"/>
        <v>0</v>
      </c>
      <c r="L490" s="107">
        <f t="shared" si="238"/>
        <v>0</v>
      </c>
      <c r="M490" s="105" t="s">
        <v>249</v>
      </c>
      <c r="AI490" s="42"/>
      <c r="BN490" s="42"/>
      <c r="CS490" s="42"/>
      <c r="DX490" s="42"/>
      <c r="FC490" s="42"/>
      <c r="GH490" s="42"/>
      <c r="HM490" s="42"/>
      <c r="IR490" s="42"/>
      <c r="JW490" s="42"/>
      <c r="LB490" s="42"/>
      <c r="MG490" s="42"/>
      <c r="NL490" s="42"/>
    </row>
    <row r="491" ht="15.75" customHeight="1">
      <c r="A491" s="42"/>
      <c r="B491" s="42"/>
      <c r="C491" s="42"/>
      <c r="D491" s="38">
        <f t="shared" si="719"/>
        <v>45999</v>
      </c>
      <c r="E491" s="31" t="str">
        <f t="shared" ref="E491:I491" si="731">FD23</f>
        <v/>
      </c>
      <c r="F491" s="31" t="str">
        <f t="shared" si="731"/>
        <v/>
      </c>
      <c r="G491" s="31" t="str">
        <f t="shared" si="731"/>
        <v/>
      </c>
      <c r="H491" s="13" t="str">
        <f t="shared" si="731"/>
        <v/>
      </c>
      <c r="I491" s="13" t="str">
        <f t="shared" si="731"/>
        <v/>
      </c>
      <c r="J491" s="107" t="str">
        <f t="array" ref="J491">IFERROR(IF(XLOOKUP(CONCAT(E491,F491),'MASTER PLAN'!$AB:$AB,'MASTER PLAN'!$M:$M,0,0)=0,"",XLOOKUP(CONCAT(E491,F491),'MASTER PLAN'!$AB:$AB,'MASTER PLAN'!$M:$M,0,0)),"")</f>
        <v/>
      </c>
      <c r="K491" s="107">
        <f t="shared" si="237"/>
        <v>0</v>
      </c>
      <c r="L491" s="107">
        <f t="shared" si="238"/>
        <v>0</v>
      </c>
      <c r="M491" s="105" t="s">
        <v>249</v>
      </c>
      <c r="AI491" s="42"/>
      <c r="BN491" s="42"/>
      <c r="CS491" s="42"/>
      <c r="DX491" s="42"/>
      <c r="FC491" s="42"/>
      <c r="GH491" s="42"/>
      <c r="HM491" s="42"/>
      <c r="IR491" s="42"/>
      <c r="JW491" s="42"/>
      <c r="LB491" s="42"/>
      <c r="MG491" s="42"/>
      <c r="NL491" s="42"/>
    </row>
    <row r="492" ht="15.75" customHeight="1">
      <c r="A492" s="42"/>
      <c r="B492" s="42"/>
      <c r="C492" s="42"/>
      <c r="D492" s="38">
        <f t="shared" si="719"/>
        <v>45999</v>
      </c>
      <c r="E492" s="31" t="str">
        <f t="shared" ref="E492:I492" si="732">FD24</f>
        <v/>
      </c>
      <c r="F492" s="31" t="str">
        <f t="shared" si="732"/>
        <v/>
      </c>
      <c r="G492" s="31" t="str">
        <f t="shared" si="732"/>
        <v/>
      </c>
      <c r="H492" s="13" t="str">
        <f t="shared" si="732"/>
        <v/>
      </c>
      <c r="I492" s="13" t="str">
        <f t="shared" si="732"/>
        <v/>
      </c>
      <c r="J492" s="107" t="str">
        <f t="array" ref="J492">IFERROR(IF(XLOOKUP(CONCAT(E492,F492),'MASTER PLAN'!$AB:$AB,'MASTER PLAN'!$M:$M,0,0)=0,"",XLOOKUP(CONCAT(E492,F492),'MASTER PLAN'!$AB:$AB,'MASTER PLAN'!$M:$M,0,0)),"")</f>
        <v/>
      </c>
      <c r="K492" s="107">
        <f t="shared" si="237"/>
        <v>0</v>
      </c>
      <c r="L492" s="107">
        <f t="shared" si="238"/>
        <v>0</v>
      </c>
      <c r="M492" s="105" t="s">
        <v>249</v>
      </c>
      <c r="AI492" s="42"/>
      <c r="BN492" s="42"/>
      <c r="CS492" s="42"/>
      <c r="DX492" s="42"/>
      <c r="FC492" s="42"/>
      <c r="GH492" s="42"/>
      <c r="HM492" s="42"/>
      <c r="IR492" s="42"/>
      <c r="JW492" s="42"/>
      <c r="LB492" s="42"/>
      <c r="MG492" s="42"/>
      <c r="NL492" s="42"/>
    </row>
    <row r="493" ht="15.75" customHeight="1">
      <c r="A493" s="42"/>
      <c r="B493" s="42"/>
      <c r="C493" s="42"/>
      <c r="D493" s="38">
        <f>FI2</f>
        <v>46000</v>
      </c>
      <c r="E493" s="31">
        <f t="shared" ref="E493:I493" si="733">FI4</f>
        <v>1402049349</v>
      </c>
      <c r="F493" s="31">
        <f t="shared" si="733"/>
        <v>20</v>
      </c>
      <c r="G493" s="31" t="str">
        <f t="shared" si="733"/>
        <v>BOLSA WSHN WOS 17"X7"X14" FA</v>
      </c>
      <c r="H493" s="13">
        <f t="shared" si="733"/>
        <v>2450</v>
      </c>
      <c r="I493" s="13" t="str">
        <f t="shared" si="733"/>
        <v/>
      </c>
      <c r="J493" s="107">
        <f t="array" ref="J493">IFERROR(IF(XLOOKUP(CONCAT(E493,F493),'MASTER PLAN'!$AB:$AB,'MASTER PLAN'!$M:$M,0,0)=0,"",XLOOKUP(CONCAT(E493,F493),'MASTER PLAN'!$AB:$AB,'MASTER PLAN'!$M:$M,0,0)),"")</f>
        <v>4.52</v>
      </c>
      <c r="K493" s="107">
        <f t="shared" si="237"/>
        <v>11074</v>
      </c>
      <c r="L493" s="107">
        <f t="shared" si="238"/>
        <v>0</v>
      </c>
      <c r="M493" s="105" t="s">
        <v>246</v>
      </c>
      <c r="AI493" s="42"/>
      <c r="BN493" s="42"/>
      <c r="CS493" s="42"/>
      <c r="DX493" s="42"/>
      <c r="FC493" s="42"/>
      <c r="GH493" s="42"/>
      <c r="HM493" s="42"/>
      <c r="IR493" s="42"/>
      <c r="JW493" s="42"/>
      <c r="LB493" s="42"/>
      <c r="MG493" s="42"/>
      <c r="NL493" s="42"/>
    </row>
    <row r="494" ht="15.75" customHeight="1">
      <c r="A494" s="42"/>
      <c r="B494" s="42"/>
      <c r="C494" s="42"/>
      <c r="D494" s="38">
        <f t="shared" ref="D494:D507" si="735">D493</f>
        <v>46000</v>
      </c>
      <c r="E494" s="31">
        <f t="shared" ref="E494:I494" si="734">FI5</f>
        <v>1402049350</v>
      </c>
      <c r="F494" s="31">
        <f t="shared" si="734"/>
        <v>30</v>
      </c>
      <c r="G494" s="31" t="str">
        <f t="shared" si="734"/>
        <v>BOLSA WSMJ MAYORS WOS 17"X7"X14" FA</v>
      </c>
      <c r="H494" s="13">
        <f t="shared" si="734"/>
        <v>100</v>
      </c>
      <c r="I494" s="13" t="str">
        <f t="shared" si="734"/>
        <v/>
      </c>
      <c r="J494" s="107">
        <f t="array" ref="J494">IFERROR(IF(XLOOKUP(CONCAT(E494,F494),'MASTER PLAN'!$AB:$AB,'MASTER PLAN'!$M:$M,0,0)=0,"",XLOOKUP(CONCAT(E494,F494),'MASTER PLAN'!$AB:$AB,'MASTER PLAN'!$M:$M,0,0)),"")</f>
        <v>4.584</v>
      </c>
      <c r="K494" s="107">
        <f t="shared" si="237"/>
        <v>458.4</v>
      </c>
      <c r="L494" s="107">
        <f t="shared" si="238"/>
        <v>0</v>
      </c>
      <c r="M494" s="105" t="s">
        <v>246</v>
      </c>
      <c r="AI494" s="42"/>
      <c r="BN494" s="42"/>
      <c r="CS494" s="42"/>
      <c r="DX494" s="42"/>
      <c r="FC494" s="42"/>
      <c r="GH494" s="42"/>
      <c r="HM494" s="42"/>
      <c r="IR494" s="42"/>
      <c r="JW494" s="42"/>
      <c r="LB494" s="42"/>
      <c r="MG494" s="42"/>
      <c r="NL494" s="42"/>
    </row>
    <row r="495" ht="15.75" customHeight="1">
      <c r="A495" s="42"/>
      <c r="B495" s="42"/>
      <c r="C495" s="42"/>
      <c r="D495" s="38">
        <f t="shared" si="735"/>
        <v>46000</v>
      </c>
      <c r="E495" s="31" t="str">
        <f t="shared" ref="E495:I495" si="736">FI6</f>
        <v/>
      </c>
      <c r="F495" s="31" t="str">
        <f t="shared" si="736"/>
        <v/>
      </c>
      <c r="G495" s="31" t="str">
        <f t="shared" si="736"/>
        <v/>
      </c>
      <c r="H495" s="13" t="str">
        <f t="shared" si="736"/>
        <v/>
      </c>
      <c r="I495" s="13" t="str">
        <f t="shared" si="736"/>
        <v/>
      </c>
      <c r="J495" s="107" t="str">
        <f t="array" ref="J495">IFERROR(IF(XLOOKUP(CONCAT(E495,F495),'MASTER PLAN'!$AB:$AB,'MASTER PLAN'!$M:$M,0,0)=0,"",XLOOKUP(CONCAT(E495,F495),'MASTER PLAN'!$AB:$AB,'MASTER PLAN'!$M:$M,0,0)),"")</f>
        <v/>
      </c>
      <c r="K495" s="107">
        <f t="shared" si="237"/>
        <v>0</v>
      </c>
      <c r="L495" s="107">
        <f t="shared" si="238"/>
        <v>0</v>
      </c>
      <c r="M495" s="105" t="s">
        <v>246</v>
      </c>
      <c r="AI495" s="42"/>
      <c r="BN495" s="42"/>
      <c r="CS495" s="42"/>
      <c r="DX495" s="42"/>
      <c r="FC495" s="42"/>
      <c r="GH495" s="42"/>
      <c r="HM495" s="42"/>
      <c r="IR495" s="42"/>
      <c r="JW495" s="42"/>
      <c r="LB495" s="42"/>
      <c r="MG495" s="42"/>
      <c r="NL495" s="42"/>
    </row>
    <row r="496" ht="15.75" customHeight="1">
      <c r="A496" s="42"/>
      <c r="B496" s="42"/>
      <c r="C496" s="42"/>
      <c r="D496" s="38">
        <f t="shared" si="735"/>
        <v>46000</v>
      </c>
      <c r="E496" s="31" t="str">
        <f t="shared" ref="E496:I496" si="737">FI7</f>
        <v/>
      </c>
      <c r="F496" s="31" t="str">
        <f t="shared" si="737"/>
        <v/>
      </c>
      <c r="G496" s="31" t="str">
        <f t="shared" si="737"/>
        <v/>
      </c>
      <c r="H496" s="13" t="str">
        <f t="shared" si="737"/>
        <v/>
      </c>
      <c r="I496" s="13" t="str">
        <f t="shared" si="737"/>
        <v/>
      </c>
      <c r="J496" s="107" t="str">
        <f t="array" ref="J496">IFERROR(IF(XLOOKUP(CONCAT(E496,F496),'MASTER PLAN'!$AB:$AB,'MASTER PLAN'!$M:$M,0,0)=0,"",XLOOKUP(CONCAT(E496,F496),'MASTER PLAN'!$AB:$AB,'MASTER PLAN'!$M:$M,0,0)),"")</f>
        <v/>
      </c>
      <c r="K496" s="107">
        <f t="shared" si="237"/>
        <v>0</v>
      </c>
      <c r="L496" s="107">
        <f t="shared" si="238"/>
        <v>0</v>
      </c>
      <c r="M496" s="105" t="s">
        <v>246</v>
      </c>
      <c r="AI496" s="42"/>
      <c r="BN496" s="42"/>
      <c r="CS496" s="42"/>
      <c r="DX496" s="42"/>
      <c r="FC496" s="42"/>
      <c r="GH496" s="42"/>
      <c r="HM496" s="42"/>
      <c r="IR496" s="42"/>
      <c r="JW496" s="42"/>
      <c r="LB496" s="42"/>
      <c r="MG496" s="42"/>
      <c r="NL496" s="42"/>
    </row>
    <row r="497" ht="15.75" customHeight="1">
      <c r="A497" s="42"/>
      <c r="B497" s="42"/>
      <c r="C497" s="42"/>
      <c r="D497" s="38">
        <f t="shared" si="735"/>
        <v>46000</v>
      </c>
      <c r="E497" s="31" t="str">
        <f t="shared" ref="E497:I497" si="738">FI8</f>
        <v/>
      </c>
      <c r="F497" s="31" t="str">
        <f t="shared" si="738"/>
        <v/>
      </c>
      <c r="G497" s="31" t="str">
        <f t="shared" si="738"/>
        <v/>
      </c>
      <c r="H497" s="13" t="str">
        <f t="shared" si="738"/>
        <v/>
      </c>
      <c r="I497" s="13" t="str">
        <f t="shared" si="738"/>
        <v/>
      </c>
      <c r="J497" s="107" t="str">
        <f t="array" ref="J497">IFERROR(IF(XLOOKUP(CONCAT(E497,F497),'MASTER PLAN'!$AB:$AB,'MASTER PLAN'!$M:$M,0,0)=0,"",XLOOKUP(CONCAT(E497,F497),'MASTER PLAN'!$AB:$AB,'MASTER PLAN'!$M:$M,0,0)),"")</f>
        <v/>
      </c>
      <c r="K497" s="107">
        <f t="shared" si="237"/>
        <v>0</v>
      </c>
      <c r="L497" s="107">
        <f t="shared" si="238"/>
        <v>0</v>
      </c>
      <c r="M497" s="105" t="s">
        <v>246</v>
      </c>
      <c r="AI497" s="42"/>
      <c r="BN497" s="42"/>
      <c r="CS497" s="42"/>
      <c r="DX497" s="42"/>
      <c r="FC497" s="42"/>
      <c r="GH497" s="42"/>
      <c r="HM497" s="42"/>
      <c r="IR497" s="42"/>
      <c r="JW497" s="42"/>
      <c r="LB497" s="42"/>
      <c r="MG497" s="42"/>
      <c r="NL497" s="42"/>
    </row>
    <row r="498" ht="15.75" customHeight="1">
      <c r="A498" s="42"/>
      <c r="B498" s="42"/>
      <c r="C498" s="42"/>
      <c r="D498" s="38">
        <f t="shared" si="735"/>
        <v>46000</v>
      </c>
      <c r="E498" s="31">
        <f t="shared" ref="E498:I498" si="739">FI12</f>
        <v>1402048632</v>
      </c>
      <c r="F498" s="31">
        <f t="shared" si="739"/>
        <v>10</v>
      </c>
      <c r="G498" s="31" t="str">
        <f t="shared" si="739"/>
        <v>BOLSA ROGERS ENTERPRISES 10"X4"X7-75"</v>
      </c>
      <c r="H498" s="13">
        <f t="shared" si="739"/>
        <v>3000</v>
      </c>
      <c r="I498" s="13" t="str">
        <f t="shared" si="739"/>
        <v/>
      </c>
      <c r="J498" s="107">
        <f t="array" ref="J498">IFERROR(IF(XLOOKUP(CONCAT(E498,F498),'MASTER PLAN'!$AB:$AB,'MASTER PLAN'!$M:$M,0,0)=0,"",XLOOKUP(CONCAT(E498,F498),'MASTER PLAN'!$AB:$AB,'MASTER PLAN'!$M:$M,0,0)),"")</f>
        <v>1.064</v>
      </c>
      <c r="K498" s="107">
        <f t="shared" si="237"/>
        <v>3192</v>
      </c>
      <c r="L498" s="107">
        <f t="shared" si="238"/>
        <v>0</v>
      </c>
      <c r="M498" s="105" t="s">
        <v>248</v>
      </c>
      <c r="AI498" s="42"/>
      <c r="BN498" s="42"/>
      <c r="CS498" s="42"/>
      <c r="DX498" s="42"/>
      <c r="FC498" s="42"/>
      <c r="GH498" s="42"/>
      <c r="HM498" s="42"/>
      <c r="IR498" s="42"/>
      <c r="JW498" s="42"/>
      <c r="LB498" s="42"/>
      <c r="MG498" s="42"/>
      <c r="NL498" s="42"/>
    </row>
    <row r="499" ht="15.75" customHeight="1">
      <c r="A499" s="42"/>
      <c r="B499" s="42"/>
      <c r="C499" s="42"/>
      <c r="D499" s="38">
        <f t="shared" si="735"/>
        <v>46000</v>
      </c>
      <c r="E499" s="31" t="str">
        <f t="shared" ref="E499:I499" si="740">FI13</f>
        <v/>
      </c>
      <c r="F499" s="31" t="str">
        <f t="shared" si="740"/>
        <v/>
      </c>
      <c r="G499" s="31" t="str">
        <f t="shared" si="740"/>
        <v/>
      </c>
      <c r="H499" s="13" t="str">
        <f t="shared" si="740"/>
        <v/>
      </c>
      <c r="I499" s="13" t="str">
        <f t="shared" si="740"/>
        <v/>
      </c>
      <c r="J499" s="107" t="str">
        <f t="array" ref="J499">IFERROR(IF(XLOOKUP(CONCAT(E499,F499),'MASTER PLAN'!$AB:$AB,'MASTER PLAN'!$M:$M,0,0)=0,"",XLOOKUP(CONCAT(E499,F499),'MASTER PLAN'!$AB:$AB,'MASTER PLAN'!$M:$M,0,0)),"")</f>
        <v/>
      </c>
      <c r="K499" s="107">
        <f t="shared" si="237"/>
        <v>0</v>
      </c>
      <c r="L499" s="107">
        <f t="shared" si="238"/>
        <v>0</v>
      </c>
      <c r="M499" s="105" t="s">
        <v>248</v>
      </c>
      <c r="AI499" s="42"/>
      <c r="BN499" s="42"/>
      <c r="CS499" s="42"/>
      <c r="DX499" s="42"/>
      <c r="FC499" s="42"/>
      <c r="GH499" s="42"/>
      <c r="HM499" s="42"/>
      <c r="IR499" s="42"/>
      <c r="JW499" s="42"/>
      <c r="LB499" s="42"/>
      <c r="MG499" s="42"/>
      <c r="NL499" s="42"/>
    </row>
    <row r="500" ht="15.75" customHeight="1">
      <c r="A500" s="42"/>
      <c r="B500" s="42"/>
      <c r="C500" s="42"/>
      <c r="D500" s="38">
        <f t="shared" si="735"/>
        <v>46000</v>
      </c>
      <c r="E500" s="31" t="str">
        <f t="shared" ref="E500:I500" si="741">FI14</f>
        <v/>
      </c>
      <c r="F500" s="31" t="str">
        <f t="shared" si="741"/>
        <v/>
      </c>
      <c r="G500" s="31" t="str">
        <f t="shared" si="741"/>
        <v/>
      </c>
      <c r="H500" s="13" t="str">
        <f t="shared" si="741"/>
        <v/>
      </c>
      <c r="I500" s="13" t="str">
        <f t="shared" si="741"/>
        <v/>
      </c>
      <c r="J500" s="107" t="str">
        <f t="array" ref="J500">IFERROR(IF(XLOOKUP(CONCAT(E500,F500),'MASTER PLAN'!$AB:$AB,'MASTER PLAN'!$M:$M,0,0)=0,"",XLOOKUP(CONCAT(E500,F500),'MASTER PLAN'!$AB:$AB,'MASTER PLAN'!$M:$M,0,0)),"")</f>
        <v/>
      </c>
      <c r="K500" s="107">
        <f t="shared" si="237"/>
        <v>0</v>
      </c>
      <c r="L500" s="107">
        <f t="shared" si="238"/>
        <v>0</v>
      </c>
      <c r="M500" s="105" t="s">
        <v>248</v>
      </c>
      <c r="AI500" s="42"/>
      <c r="BN500" s="42"/>
      <c r="CS500" s="42"/>
      <c r="DX500" s="42"/>
      <c r="FC500" s="42"/>
      <c r="GH500" s="42"/>
      <c r="HM500" s="42"/>
      <c r="IR500" s="42"/>
      <c r="JW500" s="42"/>
      <c r="LB500" s="42"/>
      <c r="MG500" s="42"/>
      <c r="NL500" s="42"/>
    </row>
    <row r="501" ht="15.75" customHeight="1">
      <c r="A501" s="42"/>
      <c r="B501" s="42"/>
      <c r="C501" s="42"/>
      <c r="D501" s="38">
        <f t="shared" si="735"/>
        <v>46000</v>
      </c>
      <c r="E501" s="31" t="str">
        <f t="shared" ref="E501:I501" si="742">FI15</f>
        <v/>
      </c>
      <c r="F501" s="31" t="str">
        <f t="shared" si="742"/>
        <v/>
      </c>
      <c r="G501" s="31" t="str">
        <f t="shared" si="742"/>
        <v/>
      </c>
      <c r="H501" s="13" t="str">
        <f t="shared" si="742"/>
        <v/>
      </c>
      <c r="I501" s="13" t="str">
        <f t="shared" si="742"/>
        <v/>
      </c>
      <c r="J501" s="107" t="str">
        <f t="array" ref="J501">IFERROR(IF(XLOOKUP(CONCAT(E501,F501),'MASTER PLAN'!$AB:$AB,'MASTER PLAN'!$M:$M,0,0)=0,"",XLOOKUP(CONCAT(E501,F501),'MASTER PLAN'!$AB:$AB,'MASTER PLAN'!$M:$M,0,0)),"")</f>
        <v/>
      </c>
      <c r="K501" s="107">
        <f t="shared" si="237"/>
        <v>0</v>
      </c>
      <c r="L501" s="107">
        <f t="shared" si="238"/>
        <v>0</v>
      </c>
      <c r="M501" s="105" t="s">
        <v>248</v>
      </c>
      <c r="AI501" s="42"/>
      <c r="BN501" s="42"/>
      <c r="CS501" s="42"/>
      <c r="DX501" s="42"/>
      <c r="FC501" s="42"/>
      <c r="GH501" s="42"/>
      <c r="HM501" s="42"/>
      <c r="IR501" s="42"/>
      <c r="JW501" s="42"/>
      <c r="LB501" s="42"/>
      <c r="MG501" s="42"/>
      <c r="NL501" s="42"/>
    </row>
    <row r="502" ht="15.75" customHeight="1">
      <c r="A502" s="42"/>
      <c r="B502" s="42"/>
      <c r="C502" s="42"/>
      <c r="D502" s="38">
        <f t="shared" si="735"/>
        <v>46000</v>
      </c>
      <c r="E502" s="31" t="str">
        <f t="shared" ref="E502:I502" si="743">FI16</f>
        <v/>
      </c>
      <c r="F502" s="31" t="str">
        <f t="shared" si="743"/>
        <v/>
      </c>
      <c r="G502" s="31" t="str">
        <f t="shared" si="743"/>
        <v/>
      </c>
      <c r="H502" s="13" t="str">
        <f t="shared" si="743"/>
        <v/>
      </c>
      <c r="I502" s="13" t="str">
        <f t="shared" si="743"/>
        <v/>
      </c>
      <c r="J502" s="107" t="str">
        <f t="array" ref="J502">IFERROR(IF(XLOOKUP(CONCAT(E502,F502),'MASTER PLAN'!$AB:$AB,'MASTER PLAN'!$M:$M,0,0)=0,"",XLOOKUP(CONCAT(E502,F502),'MASTER PLAN'!$AB:$AB,'MASTER PLAN'!$M:$M,0,0)),"")</f>
        <v/>
      </c>
      <c r="K502" s="107">
        <f t="shared" si="237"/>
        <v>0</v>
      </c>
      <c r="L502" s="107">
        <f t="shared" si="238"/>
        <v>0</v>
      </c>
      <c r="M502" s="105" t="s">
        <v>248</v>
      </c>
      <c r="AI502" s="42"/>
      <c r="BN502" s="42"/>
      <c r="CS502" s="42"/>
      <c r="DX502" s="42"/>
      <c r="FC502" s="42"/>
      <c r="GH502" s="42"/>
      <c r="HM502" s="42"/>
      <c r="IR502" s="42"/>
      <c r="JW502" s="42"/>
      <c r="LB502" s="42"/>
      <c r="MG502" s="42"/>
      <c r="NL502" s="42"/>
    </row>
    <row r="503" ht="15.75" customHeight="1">
      <c r="A503" s="42"/>
      <c r="B503" s="42"/>
      <c r="C503" s="42"/>
      <c r="D503" s="38">
        <f t="shared" si="735"/>
        <v>46000</v>
      </c>
      <c r="E503" s="31" t="str">
        <f t="shared" ref="E503:I503" si="744">FI20</f>
        <v/>
      </c>
      <c r="F503" s="31" t="str">
        <f t="shared" si="744"/>
        <v/>
      </c>
      <c r="G503" s="31" t="str">
        <f t="shared" si="744"/>
        <v/>
      </c>
      <c r="H503" s="13" t="str">
        <f t="shared" si="744"/>
        <v/>
      </c>
      <c r="I503" s="13" t="str">
        <f t="shared" si="744"/>
        <v/>
      </c>
      <c r="J503" s="107" t="str">
        <f t="array" ref="J503">IFERROR(IF(XLOOKUP(CONCAT(E503,F503),'MASTER PLAN'!$AB:$AB,'MASTER PLAN'!$M:$M,0,0)=0,"",XLOOKUP(CONCAT(E503,F503),'MASTER PLAN'!$AB:$AB,'MASTER PLAN'!$M:$M,0,0)),"")</f>
        <v/>
      </c>
      <c r="K503" s="107">
        <f t="shared" si="237"/>
        <v>0</v>
      </c>
      <c r="L503" s="107">
        <f t="shared" si="238"/>
        <v>0</v>
      </c>
      <c r="M503" s="105" t="s">
        <v>249</v>
      </c>
      <c r="AI503" s="42"/>
      <c r="BN503" s="42"/>
      <c r="CS503" s="42"/>
      <c r="DX503" s="42"/>
      <c r="FC503" s="42"/>
      <c r="GH503" s="42"/>
      <c r="HM503" s="42"/>
      <c r="IR503" s="42"/>
      <c r="JW503" s="42"/>
      <c r="LB503" s="42"/>
      <c r="MG503" s="42"/>
      <c r="NL503" s="42"/>
    </row>
    <row r="504" ht="15.75" customHeight="1">
      <c r="A504" s="42"/>
      <c r="B504" s="42"/>
      <c r="C504" s="42"/>
      <c r="D504" s="38">
        <f t="shared" si="735"/>
        <v>46000</v>
      </c>
      <c r="E504" s="31" t="str">
        <f t="shared" ref="E504:I504" si="745">FI21</f>
        <v/>
      </c>
      <c r="F504" s="31" t="str">
        <f t="shared" si="745"/>
        <v/>
      </c>
      <c r="G504" s="31" t="str">
        <f t="shared" si="745"/>
        <v/>
      </c>
      <c r="H504" s="13" t="str">
        <f t="shared" si="745"/>
        <v/>
      </c>
      <c r="I504" s="13" t="str">
        <f t="shared" si="745"/>
        <v/>
      </c>
      <c r="J504" s="107" t="str">
        <f t="array" ref="J504">IFERROR(IF(XLOOKUP(CONCAT(E504,F504),'MASTER PLAN'!$AB:$AB,'MASTER PLAN'!$M:$M,0,0)=0,"",XLOOKUP(CONCAT(E504,F504),'MASTER PLAN'!$AB:$AB,'MASTER PLAN'!$M:$M,0,0)),"")</f>
        <v/>
      </c>
      <c r="K504" s="107">
        <f t="shared" si="237"/>
        <v>0</v>
      </c>
      <c r="L504" s="107">
        <f t="shared" si="238"/>
        <v>0</v>
      </c>
      <c r="M504" s="105" t="s">
        <v>249</v>
      </c>
      <c r="AI504" s="42"/>
      <c r="BN504" s="42"/>
      <c r="CS504" s="42"/>
      <c r="DX504" s="42"/>
      <c r="FC504" s="42"/>
      <c r="GH504" s="42"/>
      <c r="HM504" s="42"/>
      <c r="IR504" s="42"/>
      <c r="JW504" s="42"/>
      <c r="LB504" s="42"/>
      <c r="MG504" s="42"/>
      <c r="NL504" s="42"/>
    </row>
    <row r="505" ht="15.75" customHeight="1">
      <c r="A505" s="42"/>
      <c r="B505" s="42"/>
      <c r="C505" s="42"/>
      <c r="D505" s="38">
        <f t="shared" si="735"/>
        <v>46000</v>
      </c>
      <c r="E505" s="31" t="str">
        <f t="shared" ref="E505:I505" si="746">FI22</f>
        <v/>
      </c>
      <c r="F505" s="31" t="str">
        <f t="shared" si="746"/>
        <v/>
      </c>
      <c r="G505" s="31" t="str">
        <f t="shared" si="746"/>
        <v/>
      </c>
      <c r="H505" s="13" t="str">
        <f t="shared" si="746"/>
        <v/>
      </c>
      <c r="I505" s="13" t="str">
        <f t="shared" si="746"/>
        <v/>
      </c>
      <c r="J505" s="107" t="str">
        <f t="array" ref="J505">IFERROR(IF(XLOOKUP(CONCAT(E505,F505),'MASTER PLAN'!$AB:$AB,'MASTER PLAN'!$M:$M,0,0)=0,"",XLOOKUP(CONCAT(E505,F505),'MASTER PLAN'!$AB:$AB,'MASTER PLAN'!$M:$M,0,0)),"")</f>
        <v/>
      </c>
      <c r="K505" s="107">
        <f t="shared" si="237"/>
        <v>0</v>
      </c>
      <c r="L505" s="107">
        <f t="shared" si="238"/>
        <v>0</v>
      </c>
      <c r="M505" s="105" t="s">
        <v>249</v>
      </c>
      <c r="AI505" s="42"/>
      <c r="BN505" s="42"/>
      <c r="CS505" s="42"/>
      <c r="DX505" s="42"/>
      <c r="FC505" s="42"/>
      <c r="GH505" s="42"/>
      <c r="HM505" s="42"/>
      <c r="IR505" s="42"/>
      <c r="JW505" s="42"/>
      <c r="LB505" s="42"/>
      <c r="MG505" s="42"/>
      <c r="NL505" s="42"/>
    </row>
    <row r="506" ht="15.75" customHeight="1">
      <c r="A506" s="42"/>
      <c r="B506" s="42"/>
      <c r="C506" s="42"/>
      <c r="D506" s="38">
        <f t="shared" si="735"/>
        <v>46000</v>
      </c>
      <c r="E506" s="31" t="str">
        <f t="shared" ref="E506:I506" si="747">FI23</f>
        <v/>
      </c>
      <c r="F506" s="31" t="str">
        <f t="shared" si="747"/>
        <v/>
      </c>
      <c r="G506" s="31" t="str">
        <f t="shared" si="747"/>
        <v/>
      </c>
      <c r="H506" s="13" t="str">
        <f t="shared" si="747"/>
        <v/>
      </c>
      <c r="I506" s="13" t="str">
        <f t="shared" si="747"/>
        <v/>
      </c>
      <c r="J506" s="107" t="str">
        <f t="array" ref="J506">IFERROR(IF(XLOOKUP(CONCAT(E506,F506),'MASTER PLAN'!$AB:$AB,'MASTER PLAN'!$M:$M,0,0)=0,"",XLOOKUP(CONCAT(E506,F506),'MASTER PLAN'!$AB:$AB,'MASTER PLAN'!$M:$M,0,0)),"")</f>
        <v/>
      </c>
      <c r="K506" s="107">
        <f t="shared" si="237"/>
        <v>0</v>
      </c>
      <c r="L506" s="107">
        <f t="shared" si="238"/>
        <v>0</v>
      </c>
      <c r="M506" s="105" t="s">
        <v>249</v>
      </c>
      <c r="AI506" s="42"/>
      <c r="BN506" s="42"/>
      <c r="CS506" s="42"/>
      <c r="DX506" s="42"/>
      <c r="FC506" s="42"/>
      <c r="GH506" s="42"/>
      <c r="HM506" s="42"/>
      <c r="IR506" s="42"/>
      <c r="JW506" s="42"/>
      <c r="LB506" s="42"/>
      <c r="MG506" s="42"/>
      <c r="NL506" s="42"/>
    </row>
    <row r="507" ht="15.75" customHeight="1">
      <c r="A507" s="42"/>
      <c r="B507" s="42"/>
      <c r="C507" s="42"/>
      <c r="D507" s="38">
        <f t="shared" si="735"/>
        <v>46000</v>
      </c>
      <c r="E507" s="31" t="str">
        <f t="shared" ref="E507:I507" si="748">FI24</f>
        <v/>
      </c>
      <c r="F507" s="31" t="str">
        <f t="shared" si="748"/>
        <v/>
      </c>
      <c r="G507" s="31" t="str">
        <f t="shared" si="748"/>
        <v/>
      </c>
      <c r="H507" s="13" t="str">
        <f t="shared" si="748"/>
        <v/>
      </c>
      <c r="I507" s="13" t="str">
        <f t="shared" si="748"/>
        <v/>
      </c>
      <c r="J507" s="107" t="str">
        <f t="array" ref="J507">IFERROR(IF(XLOOKUP(CONCAT(E507,F507),'MASTER PLAN'!$AB:$AB,'MASTER PLAN'!$M:$M,0,0)=0,"",XLOOKUP(CONCAT(E507,F507),'MASTER PLAN'!$AB:$AB,'MASTER PLAN'!$M:$M,0,0)),"")</f>
        <v/>
      </c>
      <c r="K507" s="107">
        <f t="shared" si="237"/>
        <v>0</v>
      </c>
      <c r="L507" s="107">
        <f t="shared" si="238"/>
        <v>0</v>
      </c>
      <c r="M507" s="105" t="s">
        <v>249</v>
      </c>
      <c r="AI507" s="42"/>
      <c r="BN507" s="42"/>
      <c r="CS507" s="42"/>
      <c r="DX507" s="42"/>
      <c r="FC507" s="42"/>
      <c r="GH507" s="42"/>
      <c r="HM507" s="42"/>
      <c r="IR507" s="42"/>
      <c r="JW507" s="42"/>
      <c r="LB507" s="42"/>
      <c r="MG507" s="42"/>
      <c r="NL507" s="42"/>
    </row>
    <row r="508" ht="15.75" customHeight="1">
      <c r="A508" s="42"/>
      <c r="B508" s="42"/>
      <c r="C508" s="42"/>
      <c r="D508" s="38">
        <f>FN2</f>
        <v>46001</v>
      </c>
      <c r="E508" s="31">
        <f t="shared" ref="E508:I508" si="749">FN4</f>
        <v>1402049350</v>
      </c>
      <c r="F508" s="31">
        <f t="shared" si="749"/>
        <v>30</v>
      </c>
      <c r="G508" s="31" t="str">
        <f t="shared" si="749"/>
        <v>BOLSA WSMJ MAYORS WOS 17"X7"X14" FA</v>
      </c>
      <c r="H508" s="13">
        <f t="shared" si="749"/>
        <v>2500</v>
      </c>
      <c r="I508" s="13" t="str">
        <f t="shared" si="749"/>
        <v/>
      </c>
      <c r="J508" s="107">
        <f t="array" ref="J508">IFERROR(IF(XLOOKUP(CONCAT(E508,F508),'MASTER PLAN'!$AB:$AB,'MASTER PLAN'!$M:$M,0,0)=0,"",XLOOKUP(CONCAT(E508,F508),'MASTER PLAN'!$AB:$AB,'MASTER PLAN'!$M:$M,0,0)),"")</f>
        <v>4.584</v>
      </c>
      <c r="K508" s="107">
        <f t="shared" si="237"/>
        <v>11460</v>
      </c>
      <c r="L508" s="107">
        <f t="shared" si="238"/>
        <v>0</v>
      </c>
      <c r="M508" s="105" t="s">
        <v>246</v>
      </c>
      <c r="AI508" s="42"/>
      <c r="BN508" s="42"/>
      <c r="CS508" s="42"/>
      <c r="DX508" s="42"/>
      <c r="FC508" s="42"/>
      <c r="GH508" s="42"/>
      <c r="HM508" s="42"/>
      <c r="IR508" s="42"/>
      <c r="JW508" s="42"/>
      <c r="LB508" s="42"/>
      <c r="MG508" s="42"/>
      <c r="NL508" s="42"/>
    </row>
    <row r="509" ht="15.75" customHeight="1">
      <c r="A509" s="42"/>
      <c r="B509" s="42"/>
      <c r="C509" s="42"/>
      <c r="D509" s="38">
        <f t="shared" ref="D509:D522" si="751">D508</f>
        <v>46001</v>
      </c>
      <c r="E509" s="31">
        <f t="shared" ref="E509:I509" si="750">FN5</f>
        <v>1402048632</v>
      </c>
      <c r="F509" s="31">
        <f t="shared" si="750"/>
        <v>10</v>
      </c>
      <c r="G509" s="31" t="str">
        <f t="shared" si="750"/>
        <v>BOLSA ROGERS ENTERPRISES 10"X4"X7-75"</v>
      </c>
      <c r="H509" s="13">
        <f t="shared" si="750"/>
        <v>300</v>
      </c>
      <c r="I509" s="13" t="str">
        <f t="shared" si="750"/>
        <v/>
      </c>
      <c r="J509" s="107">
        <f t="array" ref="J509">IFERROR(IF(XLOOKUP(CONCAT(E509,F509),'MASTER PLAN'!$AB:$AB,'MASTER PLAN'!$M:$M,0,0)=0,"",XLOOKUP(CONCAT(E509,F509),'MASTER PLAN'!$AB:$AB,'MASTER PLAN'!$M:$M,0,0)),"")</f>
        <v>1.064</v>
      </c>
      <c r="K509" s="107">
        <f t="shared" si="237"/>
        <v>319.2</v>
      </c>
      <c r="L509" s="107">
        <f t="shared" si="238"/>
        <v>0</v>
      </c>
      <c r="M509" s="105" t="s">
        <v>246</v>
      </c>
      <c r="AI509" s="42"/>
      <c r="BN509" s="42"/>
      <c r="CS509" s="42"/>
      <c r="DX509" s="42"/>
      <c r="FC509" s="42"/>
      <c r="GH509" s="42"/>
      <c r="HM509" s="42"/>
      <c r="IR509" s="42"/>
      <c r="JW509" s="42"/>
      <c r="LB509" s="42"/>
      <c r="MG509" s="42"/>
      <c r="NL509" s="42"/>
    </row>
    <row r="510" ht="15.75" customHeight="1">
      <c r="A510" s="42"/>
      <c r="B510" s="42"/>
      <c r="C510" s="42"/>
      <c r="D510" s="38">
        <f t="shared" si="751"/>
        <v>46001</v>
      </c>
      <c r="E510" s="31" t="str">
        <f t="shared" ref="E510:I510" si="752">FN6</f>
        <v/>
      </c>
      <c r="F510" s="31" t="str">
        <f t="shared" si="752"/>
        <v/>
      </c>
      <c r="G510" s="31" t="str">
        <f t="shared" si="752"/>
        <v/>
      </c>
      <c r="H510" s="13" t="str">
        <f t="shared" si="752"/>
        <v/>
      </c>
      <c r="I510" s="13" t="str">
        <f t="shared" si="752"/>
        <v/>
      </c>
      <c r="J510" s="107" t="str">
        <f t="array" ref="J510">IFERROR(IF(XLOOKUP(CONCAT(E510,F510),'MASTER PLAN'!$AB:$AB,'MASTER PLAN'!$M:$M,0,0)=0,"",XLOOKUP(CONCAT(E510,F510),'MASTER PLAN'!$AB:$AB,'MASTER PLAN'!$M:$M,0,0)),"")</f>
        <v/>
      </c>
      <c r="K510" s="107">
        <f t="shared" si="237"/>
        <v>0</v>
      </c>
      <c r="L510" s="107">
        <f t="shared" si="238"/>
        <v>0</v>
      </c>
      <c r="M510" s="105" t="s">
        <v>246</v>
      </c>
      <c r="AI510" s="42"/>
      <c r="BN510" s="42"/>
      <c r="CS510" s="42"/>
      <c r="DX510" s="42"/>
      <c r="FC510" s="42"/>
      <c r="GH510" s="42"/>
      <c r="HM510" s="42"/>
      <c r="IR510" s="42"/>
      <c r="JW510" s="42"/>
      <c r="LB510" s="42"/>
      <c r="MG510" s="42"/>
      <c r="NL510" s="42"/>
    </row>
    <row r="511" ht="15.75" customHeight="1">
      <c r="A511" s="42"/>
      <c r="B511" s="42"/>
      <c r="C511" s="42"/>
      <c r="D511" s="38">
        <f t="shared" si="751"/>
        <v>46001</v>
      </c>
      <c r="E511" s="31" t="str">
        <f t="shared" ref="E511:I511" si="753">FN7</f>
        <v/>
      </c>
      <c r="F511" s="31" t="str">
        <f t="shared" si="753"/>
        <v/>
      </c>
      <c r="G511" s="31" t="str">
        <f t="shared" si="753"/>
        <v/>
      </c>
      <c r="H511" s="13" t="str">
        <f t="shared" si="753"/>
        <v/>
      </c>
      <c r="I511" s="13" t="str">
        <f t="shared" si="753"/>
        <v/>
      </c>
      <c r="J511" s="107" t="str">
        <f t="array" ref="J511">IFERROR(IF(XLOOKUP(CONCAT(E511,F511),'MASTER PLAN'!$AB:$AB,'MASTER PLAN'!$M:$M,0,0)=0,"",XLOOKUP(CONCAT(E511,F511),'MASTER PLAN'!$AB:$AB,'MASTER PLAN'!$M:$M,0,0)),"")</f>
        <v/>
      </c>
      <c r="K511" s="107">
        <f t="shared" si="237"/>
        <v>0</v>
      </c>
      <c r="L511" s="107">
        <f t="shared" si="238"/>
        <v>0</v>
      </c>
      <c r="M511" s="105" t="s">
        <v>246</v>
      </c>
      <c r="AI511" s="42"/>
      <c r="BN511" s="42"/>
      <c r="CS511" s="42"/>
      <c r="DX511" s="42"/>
      <c r="FC511" s="42"/>
      <c r="GH511" s="42"/>
      <c r="HM511" s="42"/>
      <c r="IR511" s="42"/>
      <c r="JW511" s="42"/>
      <c r="LB511" s="42"/>
      <c r="MG511" s="42"/>
      <c r="NL511" s="42"/>
    </row>
    <row r="512" ht="15.75" customHeight="1">
      <c r="A512" s="42"/>
      <c r="B512" s="42"/>
      <c r="C512" s="42"/>
      <c r="D512" s="38">
        <f t="shared" si="751"/>
        <v>46001</v>
      </c>
      <c r="E512" s="31" t="str">
        <f t="shared" ref="E512:I512" si="754">FN8</f>
        <v/>
      </c>
      <c r="F512" s="31" t="str">
        <f t="shared" si="754"/>
        <v/>
      </c>
      <c r="G512" s="31" t="str">
        <f t="shared" si="754"/>
        <v/>
      </c>
      <c r="H512" s="13" t="str">
        <f t="shared" si="754"/>
        <v/>
      </c>
      <c r="I512" s="13" t="str">
        <f t="shared" si="754"/>
        <v/>
      </c>
      <c r="J512" s="107" t="str">
        <f t="array" ref="J512">IFERROR(IF(XLOOKUP(CONCAT(E512,F512),'MASTER PLAN'!$AB:$AB,'MASTER PLAN'!$M:$M,0,0)=0,"",XLOOKUP(CONCAT(E512,F512),'MASTER PLAN'!$AB:$AB,'MASTER PLAN'!$M:$M,0,0)),"")</f>
        <v/>
      </c>
      <c r="K512" s="107">
        <f t="shared" si="237"/>
        <v>0</v>
      </c>
      <c r="L512" s="107">
        <f t="shared" si="238"/>
        <v>0</v>
      </c>
      <c r="M512" s="105" t="s">
        <v>246</v>
      </c>
      <c r="AI512" s="42"/>
      <c r="BN512" s="42"/>
      <c r="CS512" s="42"/>
      <c r="DX512" s="42"/>
      <c r="FC512" s="42"/>
      <c r="GH512" s="42"/>
      <c r="HM512" s="42"/>
      <c r="IR512" s="42"/>
      <c r="JW512" s="42"/>
      <c r="LB512" s="42"/>
      <c r="MG512" s="42"/>
      <c r="NL512" s="42"/>
    </row>
    <row r="513" ht="15.75" customHeight="1">
      <c r="A513" s="42"/>
      <c r="B513" s="42"/>
      <c r="C513" s="42"/>
      <c r="D513" s="38">
        <f t="shared" si="751"/>
        <v>46001</v>
      </c>
      <c r="E513" s="31">
        <f t="shared" ref="E513:I513" si="755">FN12</f>
        <v>1402048632</v>
      </c>
      <c r="F513" s="31">
        <f t="shared" si="755"/>
        <v>10</v>
      </c>
      <c r="G513" s="31" t="str">
        <f t="shared" si="755"/>
        <v>BOLSA ROGERS ENTERPRISES 10"X4"X7-75"</v>
      </c>
      <c r="H513" s="13">
        <f t="shared" si="755"/>
        <v>3000</v>
      </c>
      <c r="I513" s="13" t="str">
        <f t="shared" si="755"/>
        <v/>
      </c>
      <c r="J513" s="107">
        <f t="array" ref="J513">IFERROR(IF(XLOOKUP(CONCAT(E513,F513),'MASTER PLAN'!$AB:$AB,'MASTER PLAN'!$M:$M,0,0)=0,"",XLOOKUP(CONCAT(E513,F513),'MASTER PLAN'!$AB:$AB,'MASTER PLAN'!$M:$M,0,0)),"")</f>
        <v>1.064</v>
      </c>
      <c r="K513" s="107">
        <f t="shared" si="237"/>
        <v>3192</v>
      </c>
      <c r="L513" s="107">
        <f t="shared" si="238"/>
        <v>0</v>
      </c>
      <c r="M513" s="105" t="s">
        <v>248</v>
      </c>
      <c r="AI513" s="42"/>
      <c r="BN513" s="42"/>
      <c r="CS513" s="42"/>
      <c r="DX513" s="42"/>
      <c r="FC513" s="42"/>
      <c r="GH513" s="42"/>
      <c r="HM513" s="42"/>
      <c r="IR513" s="42"/>
      <c r="JW513" s="42"/>
      <c r="LB513" s="42"/>
      <c r="MG513" s="42"/>
      <c r="NL513" s="42"/>
    </row>
    <row r="514" ht="15.75" customHeight="1">
      <c r="A514" s="42"/>
      <c r="B514" s="42"/>
      <c r="C514" s="42"/>
      <c r="D514" s="38">
        <f t="shared" si="751"/>
        <v>46001</v>
      </c>
      <c r="E514" s="31" t="str">
        <f t="shared" ref="E514:I514" si="756">FN13</f>
        <v/>
      </c>
      <c r="F514" s="31" t="str">
        <f t="shared" si="756"/>
        <v/>
      </c>
      <c r="G514" s="31" t="str">
        <f t="shared" si="756"/>
        <v/>
      </c>
      <c r="H514" s="13" t="str">
        <f t="shared" si="756"/>
        <v/>
      </c>
      <c r="I514" s="13" t="str">
        <f t="shared" si="756"/>
        <v/>
      </c>
      <c r="J514" s="107" t="str">
        <f t="array" ref="J514">IFERROR(IF(XLOOKUP(CONCAT(E514,F514),'MASTER PLAN'!$AB:$AB,'MASTER PLAN'!$M:$M,0,0)=0,"",XLOOKUP(CONCAT(E514,F514),'MASTER PLAN'!$AB:$AB,'MASTER PLAN'!$M:$M,0,0)),"")</f>
        <v/>
      </c>
      <c r="K514" s="107">
        <f t="shared" si="237"/>
        <v>0</v>
      </c>
      <c r="L514" s="107">
        <f t="shared" si="238"/>
        <v>0</v>
      </c>
      <c r="M514" s="105" t="s">
        <v>248</v>
      </c>
      <c r="AI514" s="42"/>
      <c r="BN514" s="42"/>
      <c r="CS514" s="42"/>
      <c r="DX514" s="42"/>
      <c r="FC514" s="42"/>
      <c r="GH514" s="42"/>
      <c r="HM514" s="42"/>
      <c r="IR514" s="42"/>
      <c r="JW514" s="42"/>
      <c r="LB514" s="42"/>
      <c r="MG514" s="42"/>
      <c r="NL514" s="42"/>
    </row>
    <row r="515" ht="15.75" customHeight="1">
      <c r="A515" s="42"/>
      <c r="B515" s="42"/>
      <c r="C515" s="42"/>
      <c r="D515" s="38">
        <f t="shared" si="751"/>
        <v>46001</v>
      </c>
      <c r="E515" s="31" t="str">
        <f t="shared" ref="E515:I515" si="757">FN14</f>
        <v/>
      </c>
      <c r="F515" s="31" t="str">
        <f t="shared" si="757"/>
        <v/>
      </c>
      <c r="G515" s="31" t="str">
        <f t="shared" si="757"/>
        <v/>
      </c>
      <c r="H515" s="13" t="str">
        <f t="shared" si="757"/>
        <v/>
      </c>
      <c r="I515" s="13" t="str">
        <f t="shared" si="757"/>
        <v/>
      </c>
      <c r="J515" s="107" t="str">
        <f t="array" ref="J515">IFERROR(IF(XLOOKUP(CONCAT(E515,F515),'MASTER PLAN'!$AB:$AB,'MASTER PLAN'!$M:$M,0,0)=0,"",XLOOKUP(CONCAT(E515,F515),'MASTER PLAN'!$AB:$AB,'MASTER PLAN'!$M:$M,0,0)),"")</f>
        <v/>
      </c>
      <c r="K515" s="107">
        <f t="shared" si="237"/>
        <v>0</v>
      </c>
      <c r="L515" s="107">
        <f t="shared" si="238"/>
        <v>0</v>
      </c>
      <c r="M515" s="105" t="s">
        <v>248</v>
      </c>
      <c r="AI515" s="42"/>
      <c r="BN515" s="42"/>
      <c r="CS515" s="42"/>
      <c r="DX515" s="42"/>
      <c r="FC515" s="42"/>
      <c r="GH515" s="42"/>
      <c r="HM515" s="42"/>
      <c r="IR515" s="42"/>
      <c r="JW515" s="42"/>
      <c r="LB515" s="42"/>
      <c r="MG515" s="42"/>
      <c r="NL515" s="42"/>
    </row>
    <row r="516" ht="15.75" customHeight="1">
      <c r="A516" s="42"/>
      <c r="B516" s="42"/>
      <c r="C516" s="42"/>
      <c r="D516" s="38">
        <f t="shared" si="751"/>
        <v>46001</v>
      </c>
      <c r="E516" s="31" t="str">
        <f t="shared" ref="E516:I516" si="758">FN15</f>
        <v/>
      </c>
      <c r="F516" s="31" t="str">
        <f t="shared" si="758"/>
        <v/>
      </c>
      <c r="G516" s="31" t="str">
        <f t="shared" si="758"/>
        <v/>
      </c>
      <c r="H516" s="13" t="str">
        <f t="shared" si="758"/>
        <v/>
      </c>
      <c r="I516" s="13" t="str">
        <f t="shared" si="758"/>
        <v/>
      </c>
      <c r="J516" s="107" t="str">
        <f t="array" ref="J516">IFERROR(IF(XLOOKUP(CONCAT(E516,F516),'MASTER PLAN'!$AB:$AB,'MASTER PLAN'!$M:$M,0,0)=0,"",XLOOKUP(CONCAT(E516,F516),'MASTER PLAN'!$AB:$AB,'MASTER PLAN'!$M:$M,0,0)),"")</f>
        <v/>
      </c>
      <c r="K516" s="107">
        <f t="shared" si="237"/>
        <v>0</v>
      </c>
      <c r="L516" s="107">
        <f t="shared" si="238"/>
        <v>0</v>
      </c>
      <c r="M516" s="105" t="s">
        <v>248</v>
      </c>
      <c r="AI516" s="42"/>
      <c r="BN516" s="42"/>
      <c r="CS516" s="42"/>
      <c r="DX516" s="42"/>
      <c r="FC516" s="42"/>
      <c r="GH516" s="42"/>
      <c r="HM516" s="42"/>
      <c r="IR516" s="42"/>
      <c r="JW516" s="42"/>
      <c r="LB516" s="42"/>
      <c r="MG516" s="42"/>
      <c r="NL516" s="42"/>
    </row>
    <row r="517" ht="15.75" customHeight="1">
      <c r="A517" s="42"/>
      <c r="B517" s="42"/>
      <c r="C517" s="42"/>
      <c r="D517" s="38">
        <f t="shared" si="751"/>
        <v>46001</v>
      </c>
      <c r="E517" s="31" t="str">
        <f t="shared" ref="E517:I517" si="759">FN16</f>
        <v/>
      </c>
      <c r="F517" s="31" t="str">
        <f t="shared" si="759"/>
        <v/>
      </c>
      <c r="G517" s="31" t="str">
        <f t="shared" si="759"/>
        <v/>
      </c>
      <c r="H517" s="13" t="str">
        <f t="shared" si="759"/>
        <v/>
      </c>
      <c r="I517" s="13" t="str">
        <f t="shared" si="759"/>
        <v/>
      </c>
      <c r="J517" s="107" t="str">
        <f t="array" ref="J517">IFERROR(IF(XLOOKUP(CONCAT(E517,F517),'MASTER PLAN'!$AB:$AB,'MASTER PLAN'!$M:$M,0,0)=0,"",XLOOKUP(CONCAT(E517,F517),'MASTER PLAN'!$AB:$AB,'MASTER PLAN'!$M:$M,0,0)),"")</f>
        <v/>
      </c>
      <c r="K517" s="107">
        <f t="shared" si="237"/>
        <v>0</v>
      </c>
      <c r="L517" s="107">
        <f t="shared" si="238"/>
        <v>0</v>
      </c>
      <c r="M517" s="105" t="s">
        <v>248</v>
      </c>
      <c r="AI517" s="42"/>
      <c r="BN517" s="42"/>
      <c r="CS517" s="42"/>
      <c r="DX517" s="42"/>
      <c r="FC517" s="42"/>
      <c r="GH517" s="42"/>
      <c r="HM517" s="42"/>
      <c r="IR517" s="42"/>
      <c r="JW517" s="42"/>
      <c r="LB517" s="42"/>
      <c r="MG517" s="42"/>
      <c r="NL517" s="42"/>
    </row>
    <row r="518" ht="15.75" customHeight="1">
      <c r="A518" s="42"/>
      <c r="B518" s="42"/>
      <c r="C518" s="42"/>
      <c r="D518" s="38">
        <f t="shared" si="751"/>
        <v>46001</v>
      </c>
      <c r="E518" s="31" t="str">
        <f t="shared" ref="E518:I518" si="760">FN20</f>
        <v/>
      </c>
      <c r="F518" s="31" t="str">
        <f t="shared" si="760"/>
        <v/>
      </c>
      <c r="G518" s="31" t="str">
        <f t="shared" si="760"/>
        <v/>
      </c>
      <c r="H518" s="13" t="str">
        <f t="shared" si="760"/>
        <v/>
      </c>
      <c r="I518" s="13" t="str">
        <f t="shared" si="760"/>
        <v/>
      </c>
      <c r="J518" s="107" t="str">
        <f t="array" ref="J518">IFERROR(IF(XLOOKUP(CONCAT(E518,F518),'MASTER PLAN'!$AB:$AB,'MASTER PLAN'!$M:$M,0,0)=0,"",XLOOKUP(CONCAT(E518,F518),'MASTER PLAN'!$AB:$AB,'MASTER PLAN'!$M:$M,0,0)),"")</f>
        <v/>
      </c>
      <c r="K518" s="107">
        <f t="shared" si="237"/>
        <v>0</v>
      </c>
      <c r="L518" s="107">
        <f t="shared" si="238"/>
        <v>0</v>
      </c>
      <c r="M518" s="105" t="s">
        <v>249</v>
      </c>
      <c r="AI518" s="42"/>
      <c r="BN518" s="42"/>
      <c r="CS518" s="42"/>
      <c r="DX518" s="42"/>
      <c r="FC518" s="42"/>
      <c r="GH518" s="42"/>
      <c r="HM518" s="42"/>
      <c r="IR518" s="42"/>
      <c r="JW518" s="42"/>
      <c r="LB518" s="42"/>
      <c r="MG518" s="42"/>
      <c r="NL518" s="42"/>
    </row>
    <row r="519" ht="15.75" customHeight="1">
      <c r="A519" s="42"/>
      <c r="B519" s="42"/>
      <c r="C519" s="42"/>
      <c r="D519" s="38">
        <f t="shared" si="751"/>
        <v>46001</v>
      </c>
      <c r="E519" s="31" t="str">
        <f t="shared" ref="E519:I519" si="761">FN21</f>
        <v/>
      </c>
      <c r="F519" s="31" t="str">
        <f t="shared" si="761"/>
        <v/>
      </c>
      <c r="G519" s="31" t="str">
        <f t="shared" si="761"/>
        <v/>
      </c>
      <c r="H519" s="13" t="str">
        <f t="shared" si="761"/>
        <v/>
      </c>
      <c r="I519" s="13" t="str">
        <f t="shared" si="761"/>
        <v/>
      </c>
      <c r="J519" s="107" t="str">
        <f t="array" ref="J519">IFERROR(IF(XLOOKUP(CONCAT(E519,F519),'MASTER PLAN'!$AB:$AB,'MASTER PLAN'!$M:$M,0,0)=0,"",XLOOKUP(CONCAT(E519,F519),'MASTER PLAN'!$AB:$AB,'MASTER PLAN'!$M:$M,0,0)),"")</f>
        <v/>
      </c>
      <c r="K519" s="107">
        <f t="shared" si="237"/>
        <v>0</v>
      </c>
      <c r="L519" s="107">
        <f t="shared" si="238"/>
        <v>0</v>
      </c>
      <c r="M519" s="105" t="s">
        <v>249</v>
      </c>
      <c r="AI519" s="42"/>
      <c r="BN519" s="42"/>
      <c r="CS519" s="42"/>
      <c r="DX519" s="42"/>
      <c r="FC519" s="42"/>
      <c r="GH519" s="42"/>
      <c r="HM519" s="42"/>
      <c r="IR519" s="42"/>
      <c r="JW519" s="42"/>
      <c r="LB519" s="42"/>
      <c r="MG519" s="42"/>
      <c r="NL519" s="42"/>
    </row>
    <row r="520" ht="15.75" customHeight="1">
      <c r="A520" s="42"/>
      <c r="B520" s="42"/>
      <c r="C520" s="42"/>
      <c r="D520" s="38">
        <f t="shared" si="751"/>
        <v>46001</v>
      </c>
      <c r="E520" s="31" t="str">
        <f t="shared" ref="E520:I520" si="762">FN22</f>
        <v/>
      </c>
      <c r="F520" s="31" t="str">
        <f t="shared" si="762"/>
        <v/>
      </c>
      <c r="G520" s="31" t="str">
        <f t="shared" si="762"/>
        <v/>
      </c>
      <c r="H520" s="13" t="str">
        <f t="shared" si="762"/>
        <v/>
      </c>
      <c r="I520" s="13" t="str">
        <f t="shared" si="762"/>
        <v/>
      </c>
      <c r="J520" s="107" t="str">
        <f t="array" ref="J520">IFERROR(IF(XLOOKUP(CONCAT(E520,F520),'MASTER PLAN'!$AB:$AB,'MASTER PLAN'!$M:$M,0,0)=0,"",XLOOKUP(CONCAT(E520,F520),'MASTER PLAN'!$AB:$AB,'MASTER PLAN'!$M:$M,0,0)),"")</f>
        <v/>
      </c>
      <c r="K520" s="107">
        <f t="shared" si="237"/>
        <v>0</v>
      </c>
      <c r="L520" s="107">
        <f t="shared" si="238"/>
        <v>0</v>
      </c>
      <c r="M520" s="105" t="s">
        <v>249</v>
      </c>
      <c r="AI520" s="42"/>
      <c r="BN520" s="42"/>
      <c r="CS520" s="42"/>
      <c r="DX520" s="42"/>
      <c r="FC520" s="42"/>
      <c r="GH520" s="42"/>
      <c r="HM520" s="42"/>
      <c r="IR520" s="42"/>
      <c r="JW520" s="42"/>
      <c r="LB520" s="42"/>
      <c r="MG520" s="42"/>
      <c r="NL520" s="42"/>
    </row>
    <row r="521" ht="15.75" customHeight="1">
      <c r="A521" s="42"/>
      <c r="B521" s="42"/>
      <c r="C521" s="42"/>
      <c r="D521" s="38">
        <f t="shared" si="751"/>
        <v>46001</v>
      </c>
      <c r="E521" s="31" t="str">
        <f t="shared" ref="E521:I521" si="763">FN23</f>
        <v/>
      </c>
      <c r="F521" s="31" t="str">
        <f t="shared" si="763"/>
        <v/>
      </c>
      <c r="G521" s="31" t="str">
        <f t="shared" si="763"/>
        <v/>
      </c>
      <c r="H521" s="13" t="str">
        <f t="shared" si="763"/>
        <v/>
      </c>
      <c r="I521" s="13" t="str">
        <f t="shared" si="763"/>
        <v/>
      </c>
      <c r="J521" s="107" t="str">
        <f t="array" ref="J521">IFERROR(IF(XLOOKUP(CONCAT(E521,F521),'MASTER PLAN'!$AB:$AB,'MASTER PLAN'!$M:$M,0,0)=0,"",XLOOKUP(CONCAT(E521,F521),'MASTER PLAN'!$AB:$AB,'MASTER PLAN'!$M:$M,0,0)),"")</f>
        <v/>
      </c>
      <c r="K521" s="107">
        <f t="shared" si="237"/>
        <v>0</v>
      </c>
      <c r="L521" s="107">
        <f t="shared" si="238"/>
        <v>0</v>
      </c>
      <c r="M521" s="105" t="s">
        <v>249</v>
      </c>
      <c r="AI521" s="42"/>
      <c r="BN521" s="42"/>
      <c r="CS521" s="42"/>
      <c r="DX521" s="42"/>
      <c r="FC521" s="42"/>
      <c r="GH521" s="42"/>
      <c r="HM521" s="42"/>
      <c r="IR521" s="42"/>
      <c r="JW521" s="42"/>
      <c r="LB521" s="42"/>
      <c r="MG521" s="42"/>
      <c r="NL521" s="42"/>
    </row>
    <row r="522" ht="15.75" customHeight="1">
      <c r="A522" s="42"/>
      <c r="B522" s="42"/>
      <c r="C522" s="42"/>
      <c r="D522" s="38">
        <f t="shared" si="751"/>
        <v>46001</v>
      </c>
      <c r="E522" s="31" t="str">
        <f t="shared" ref="E522:I522" si="764">FN24</f>
        <v/>
      </c>
      <c r="F522" s="31" t="str">
        <f t="shared" si="764"/>
        <v/>
      </c>
      <c r="G522" s="31" t="str">
        <f t="shared" si="764"/>
        <v/>
      </c>
      <c r="H522" s="13" t="str">
        <f t="shared" si="764"/>
        <v/>
      </c>
      <c r="I522" s="13" t="str">
        <f t="shared" si="764"/>
        <v/>
      </c>
      <c r="J522" s="107" t="str">
        <f t="array" ref="J522">IFERROR(IF(XLOOKUP(CONCAT(E522,F522),'MASTER PLAN'!$AB:$AB,'MASTER PLAN'!$M:$M,0,0)=0,"",XLOOKUP(CONCAT(E522,F522),'MASTER PLAN'!$AB:$AB,'MASTER PLAN'!$M:$M,0,0)),"")</f>
        <v/>
      </c>
      <c r="K522" s="107">
        <f t="shared" si="237"/>
        <v>0</v>
      </c>
      <c r="L522" s="107">
        <f t="shared" si="238"/>
        <v>0</v>
      </c>
      <c r="M522" s="105" t="s">
        <v>249</v>
      </c>
      <c r="AI522" s="42"/>
      <c r="BN522" s="42"/>
      <c r="CS522" s="42"/>
      <c r="DX522" s="42"/>
      <c r="FC522" s="42"/>
      <c r="GH522" s="42"/>
      <c r="HM522" s="42"/>
      <c r="IR522" s="42"/>
      <c r="JW522" s="42"/>
      <c r="LB522" s="42"/>
      <c r="MG522" s="42"/>
      <c r="NL522" s="42"/>
    </row>
    <row r="523" ht="15.75" customHeight="1">
      <c r="A523" s="42"/>
      <c r="B523" s="42"/>
      <c r="C523" s="42"/>
      <c r="D523" s="38">
        <f>FS2</f>
        <v>46002</v>
      </c>
      <c r="E523" s="31">
        <f t="shared" ref="E523:I523" si="765">FS4</f>
        <v>1402048632</v>
      </c>
      <c r="F523" s="31">
        <f t="shared" si="765"/>
        <v>10</v>
      </c>
      <c r="G523" s="31" t="str">
        <f t="shared" si="765"/>
        <v>BOLSA ROGERS ENTERPRISES 10"X4"X7-75"</v>
      </c>
      <c r="H523" s="13">
        <f t="shared" si="765"/>
        <v>3000</v>
      </c>
      <c r="I523" s="13" t="str">
        <f t="shared" si="765"/>
        <v/>
      </c>
      <c r="J523" s="107">
        <f t="array" ref="J523">IFERROR(IF(XLOOKUP(CONCAT(E523,F523),'MASTER PLAN'!$AB:$AB,'MASTER PLAN'!$M:$M,0,0)=0,"",XLOOKUP(CONCAT(E523,F523),'MASTER PLAN'!$AB:$AB,'MASTER PLAN'!$M:$M,0,0)),"")</f>
        <v>1.064</v>
      </c>
      <c r="K523" s="107">
        <f t="shared" si="237"/>
        <v>3192</v>
      </c>
      <c r="L523" s="107">
        <f t="shared" si="238"/>
        <v>0</v>
      </c>
      <c r="M523" s="105" t="s">
        <v>246</v>
      </c>
      <c r="AI523" s="42"/>
      <c r="BN523" s="42"/>
      <c r="CS523" s="42"/>
      <c r="DX523" s="42"/>
      <c r="FC523" s="42"/>
      <c r="GH523" s="42"/>
      <c r="HM523" s="42"/>
      <c r="IR523" s="42"/>
      <c r="JW523" s="42"/>
      <c r="LB523" s="42"/>
      <c r="MG523" s="42"/>
      <c r="NL523" s="42"/>
    </row>
    <row r="524" ht="15.75" customHeight="1">
      <c r="A524" s="42"/>
      <c r="B524" s="42"/>
      <c r="C524" s="42"/>
      <c r="D524" s="38">
        <f t="shared" ref="D524:D537" si="767">D523</f>
        <v>46002</v>
      </c>
      <c r="E524" s="31" t="str">
        <f t="shared" ref="E524:I524" si="766">FS5</f>
        <v/>
      </c>
      <c r="F524" s="31" t="str">
        <f t="shared" si="766"/>
        <v/>
      </c>
      <c r="G524" s="31" t="str">
        <f t="shared" si="766"/>
        <v/>
      </c>
      <c r="H524" s="13" t="str">
        <f t="shared" si="766"/>
        <v/>
      </c>
      <c r="I524" s="13" t="str">
        <f t="shared" si="766"/>
        <v/>
      </c>
      <c r="J524" s="107" t="str">
        <f t="array" ref="J524">IFERROR(IF(XLOOKUP(CONCAT(E524,F524),'MASTER PLAN'!$AB:$AB,'MASTER PLAN'!$M:$M,0,0)=0,"",XLOOKUP(CONCAT(E524,F524),'MASTER PLAN'!$AB:$AB,'MASTER PLAN'!$M:$M,0,0)),"")</f>
        <v/>
      </c>
      <c r="K524" s="107">
        <f t="shared" si="237"/>
        <v>0</v>
      </c>
      <c r="L524" s="107">
        <f t="shared" si="238"/>
        <v>0</v>
      </c>
      <c r="M524" s="105" t="s">
        <v>246</v>
      </c>
      <c r="AI524" s="42"/>
      <c r="BN524" s="42"/>
      <c r="CS524" s="42"/>
      <c r="DX524" s="42"/>
      <c r="FC524" s="42"/>
      <c r="GH524" s="42"/>
      <c r="HM524" s="42"/>
      <c r="IR524" s="42"/>
      <c r="JW524" s="42"/>
      <c r="LB524" s="42"/>
      <c r="MG524" s="42"/>
      <c r="NL524" s="42"/>
    </row>
    <row r="525" ht="15.75" customHeight="1">
      <c r="A525" s="42"/>
      <c r="B525" s="42"/>
      <c r="C525" s="42"/>
      <c r="D525" s="38">
        <f t="shared" si="767"/>
        <v>46002</v>
      </c>
      <c r="E525" s="31" t="str">
        <f t="shared" ref="E525:I525" si="768">FS6</f>
        <v/>
      </c>
      <c r="F525" s="31" t="str">
        <f t="shared" si="768"/>
        <v/>
      </c>
      <c r="G525" s="31" t="str">
        <f t="shared" si="768"/>
        <v/>
      </c>
      <c r="H525" s="13" t="str">
        <f t="shared" si="768"/>
        <v/>
      </c>
      <c r="I525" s="13" t="str">
        <f t="shared" si="768"/>
        <v/>
      </c>
      <c r="J525" s="107" t="str">
        <f t="array" ref="J525">IFERROR(IF(XLOOKUP(CONCAT(E525,F525),'MASTER PLAN'!$AB:$AB,'MASTER PLAN'!$M:$M,0,0)=0,"",XLOOKUP(CONCAT(E525,F525),'MASTER PLAN'!$AB:$AB,'MASTER PLAN'!$M:$M,0,0)),"")</f>
        <v/>
      </c>
      <c r="K525" s="107">
        <f t="shared" si="237"/>
        <v>0</v>
      </c>
      <c r="L525" s="107">
        <f t="shared" si="238"/>
        <v>0</v>
      </c>
      <c r="M525" s="105" t="s">
        <v>246</v>
      </c>
      <c r="AI525" s="42"/>
      <c r="BN525" s="42"/>
      <c r="CS525" s="42"/>
      <c r="DX525" s="42"/>
      <c r="FC525" s="42"/>
      <c r="GH525" s="42"/>
      <c r="HM525" s="42"/>
      <c r="IR525" s="42"/>
      <c r="JW525" s="42"/>
      <c r="LB525" s="42"/>
      <c r="MG525" s="42"/>
      <c r="NL525" s="42"/>
    </row>
    <row r="526" ht="15.75" customHeight="1">
      <c r="A526" s="42"/>
      <c r="B526" s="42"/>
      <c r="C526" s="42"/>
      <c r="D526" s="38">
        <f t="shared" si="767"/>
        <v>46002</v>
      </c>
      <c r="E526" s="31" t="str">
        <f t="shared" ref="E526:I526" si="769">FS7</f>
        <v/>
      </c>
      <c r="F526" s="31" t="str">
        <f t="shared" si="769"/>
        <v/>
      </c>
      <c r="G526" s="31" t="str">
        <f t="shared" si="769"/>
        <v/>
      </c>
      <c r="H526" s="13" t="str">
        <f t="shared" si="769"/>
        <v/>
      </c>
      <c r="I526" s="13" t="str">
        <f t="shared" si="769"/>
        <v/>
      </c>
      <c r="J526" s="107" t="str">
        <f t="array" ref="J526">IFERROR(IF(XLOOKUP(CONCAT(E526,F526),'MASTER PLAN'!$AB:$AB,'MASTER PLAN'!$M:$M,0,0)=0,"",XLOOKUP(CONCAT(E526,F526),'MASTER PLAN'!$AB:$AB,'MASTER PLAN'!$M:$M,0,0)),"")</f>
        <v/>
      </c>
      <c r="K526" s="107">
        <f t="shared" si="237"/>
        <v>0</v>
      </c>
      <c r="L526" s="107">
        <f t="shared" si="238"/>
        <v>0</v>
      </c>
      <c r="M526" s="105" t="s">
        <v>246</v>
      </c>
      <c r="AI526" s="42"/>
      <c r="BN526" s="42"/>
      <c r="CS526" s="42"/>
      <c r="DX526" s="42"/>
      <c r="FC526" s="42"/>
      <c r="GH526" s="42"/>
      <c r="HM526" s="42"/>
      <c r="IR526" s="42"/>
      <c r="JW526" s="42"/>
      <c r="LB526" s="42"/>
      <c r="MG526" s="42"/>
      <c r="NL526" s="42"/>
    </row>
    <row r="527" ht="15.75" customHeight="1">
      <c r="A527" s="42"/>
      <c r="B527" s="42"/>
      <c r="C527" s="42"/>
      <c r="D527" s="38">
        <f t="shared" si="767"/>
        <v>46002</v>
      </c>
      <c r="E527" s="31" t="str">
        <f t="shared" ref="E527:I527" si="770">FS8</f>
        <v/>
      </c>
      <c r="F527" s="31" t="str">
        <f t="shared" si="770"/>
        <v/>
      </c>
      <c r="G527" s="31" t="str">
        <f t="shared" si="770"/>
        <v/>
      </c>
      <c r="H527" s="13" t="str">
        <f t="shared" si="770"/>
        <v/>
      </c>
      <c r="I527" s="13" t="str">
        <f t="shared" si="770"/>
        <v/>
      </c>
      <c r="J527" s="107" t="str">
        <f t="array" ref="J527">IFERROR(IF(XLOOKUP(CONCAT(E527,F527),'MASTER PLAN'!$AB:$AB,'MASTER PLAN'!$M:$M,0,0)=0,"",XLOOKUP(CONCAT(E527,F527),'MASTER PLAN'!$AB:$AB,'MASTER PLAN'!$M:$M,0,0)),"")</f>
        <v/>
      </c>
      <c r="K527" s="107">
        <f t="shared" si="237"/>
        <v>0</v>
      </c>
      <c r="L527" s="107">
        <f t="shared" si="238"/>
        <v>0</v>
      </c>
      <c r="M527" s="105" t="s">
        <v>246</v>
      </c>
      <c r="AI527" s="42"/>
      <c r="BN527" s="42"/>
      <c r="CS527" s="42"/>
      <c r="DX527" s="42"/>
      <c r="FC527" s="42"/>
      <c r="GH527" s="42"/>
      <c r="HM527" s="42"/>
      <c r="IR527" s="42"/>
      <c r="JW527" s="42"/>
      <c r="LB527" s="42"/>
      <c r="MG527" s="42"/>
      <c r="NL527" s="42"/>
    </row>
    <row r="528" ht="15.75" customHeight="1">
      <c r="A528" s="42"/>
      <c r="B528" s="42"/>
      <c r="C528" s="42"/>
      <c r="D528" s="38">
        <f t="shared" si="767"/>
        <v>46002</v>
      </c>
      <c r="E528" s="31">
        <f t="shared" ref="E528:I528" si="771">FS12</f>
        <v>1402048632</v>
      </c>
      <c r="F528" s="31">
        <f t="shared" si="771"/>
        <v>10</v>
      </c>
      <c r="G528" s="31" t="str">
        <f t="shared" si="771"/>
        <v>BOLSA ROGERS ENTERPRISES 10"X4"X7-75"</v>
      </c>
      <c r="H528" s="13">
        <f t="shared" si="771"/>
        <v>3000</v>
      </c>
      <c r="I528" s="13" t="str">
        <f t="shared" si="771"/>
        <v/>
      </c>
      <c r="J528" s="107">
        <f t="array" ref="J528">IFERROR(IF(XLOOKUP(CONCAT(E528,F528),'MASTER PLAN'!$AB:$AB,'MASTER PLAN'!$M:$M,0,0)=0,"",XLOOKUP(CONCAT(E528,F528),'MASTER PLAN'!$AB:$AB,'MASTER PLAN'!$M:$M,0,0)),"")</f>
        <v>1.064</v>
      </c>
      <c r="K528" s="107">
        <f t="shared" si="237"/>
        <v>3192</v>
      </c>
      <c r="L528" s="107">
        <f t="shared" si="238"/>
        <v>0</v>
      </c>
      <c r="M528" s="105" t="s">
        <v>248</v>
      </c>
      <c r="AI528" s="42"/>
      <c r="BN528" s="42"/>
      <c r="CS528" s="42"/>
      <c r="DX528" s="42"/>
      <c r="FC528" s="42"/>
      <c r="GH528" s="42"/>
      <c r="HM528" s="42"/>
      <c r="IR528" s="42"/>
      <c r="JW528" s="42"/>
      <c r="LB528" s="42"/>
      <c r="MG528" s="42"/>
      <c r="NL528" s="42"/>
    </row>
    <row r="529" ht="15.75" customHeight="1">
      <c r="A529" s="42"/>
      <c r="B529" s="42"/>
      <c r="C529" s="42"/>
      <c r="D529" s="38">
        <f t="shared" si="767"/>
        <v>46002</v>
      </c>
      <c r="E529" s="31" t="str">
        <f t="shared" ref="E529:I529" si="772">FS13</f>
        <v/>
      </c>
      <c r="F529" s="31" t="str">
        <f t="shared" si="772"/>
        <v/>
      </c>
      <c r="G529" s="31" t="str">
        <f t="shared" si="772"/>
        <v/>
      </c>
      <c r="H529" s="13" t="str">
        <f t="shared" si="772"/>
        <v/>
      </c>
      <c r="I529" s="13" t="str">
        <f t="shared" si="772"/>
        <v/>
      </c>
      <c r="J529" s="107" t="str">
        <f t="array" ref="J529">IFERROR(IF(XLOOKUP(CONCAT(E529,F529),'MASTER PLAN'!$AB:$AB,'MASTER PLAN'!$M:$M,0,0)=0,"",XLOOKUP(CONCAT(E529,F529),'MASTER PLAN'!$AB:$AB,'MASTER PLAN'!$M:$M,0,0)),"")</f>
        <v/>
      </c>
      <c r="K529" s="107">
        <f t="shared" si="237"/>
        <v>0</v>
      </c>
      <c r="L529" s="107">
        <f t="shared" si="238"/>
        <v>0</v>
      </c>
      <c r="M529" s="105" t="s">
        <v>248</v>
      </c>
      <c r="AI529" s="42"/>
      <c r="BN529" s="42"/>
      <c r="CS529" s="42"/>
      <c r="DX529" s="42"/>
      <c r="FC529" s="42"/>
      <c r="GH529" s="42"/>
      <c r="HM529" s="42"/>
      <c r="IR529" s="42"/>
      <c r="JW529" s="42"/>
      <c r="LB529" s="42"/>
      <c r="MG529" s="42"/>
      <c r="NL529" s="42"/>
    </row>
    <row r="530" ht="15.75" customHeight="1">
      <c r="A530" s="42"/>
      <c r="B530" s="42"/>
      <c r="C530" s="42"/>
      <c r="D530" s="38">
        <f t="shared" si="767"/>
        <v>46002</v>
      </c>
      <c r="E530" s="31" t="str">
        <f t="shared" ref="E530:I530" si="773">FS14</f>
        <v/>
      </c>
      <c r="F530" s="31" t="str">
        <f t="shared" si="773"/>
        <v/>
      </c>
      <c r="G530" s="31" t="str">
        <f t="shared" si="773"/>
        <v/>
      </c>
      <c r="H530" s="13" t="str">
        <f t="shared" si="773"/>
        <v/>
      </c>
      <c r="I530" s="13" t="str">
        <f t="shared" si="773"/>
        <v/>
      </c>
      <c r="J530" s="107" t="str">
        <f t="array" ref="J530">IFERROR(IF(XLOOKUP(CONCAT(E530,F530),'MASTER PLAN'!$AB:$AB,'MASTER PLAN'!$M:$M,0,0)=0,"",XLOOKUP(CONCAT(E530,F530),'MASTER PLAN'!$AB:$AB,'MASTER PLAN'!$M:$M,0,0)),"")</f>
        <v/>
      </c>
      <c r="K530" s="107">
        <f t="shared" si="237"/>
        <v>0</v>
      </c>
      <c r="L530" s="107">
        <f t="shared" si="238"/>
        <v>0</v>
      </c>
      <c r="M530" s="105" t="s">
        <v>248</v>
      </c>
      <c r="AI530" s="42"/>
      <c r="BN530" s="42"/>
      <c r="CS530" s="42"/>
      <c r="DX530" s="42"/>
      <c r="FC530" s="42"/>
      <c r="GH530" s="42"/>
      <c r="HM530" s="42"/>
      <c r="IR530" s="42"/>
      <c r="JW530" s="42"/>
      <c r="LB530" s="42"/>
      <c r="MG530" s="42"/>
      <c r="NL530" s="42"/>
    </row>
    <row r="531" ht="15.75" customHeight="1">
      <c r="A531" s="42"/>
      <c r="B531" s="42"/>
      <c r="C531" s="42"/>
      <c r="D531" s="38">
        <f t="shared" si="767"/>
        <v>46002</v>
      </c>
      <c r="E531" s="31" t="str">
        <f t="shared" ref="E531:I531" si="774">FS15</f>
        <v/>
      </c>
      <c r="F531" s="31" t="str">
        <f t="shared" si="774"/>
        <v/>
      </c>
      <c r="G531" s="31" t="str">
        <f t="shared" si="774"/>
        <v/>
      </c>
      <c r="H531" s="13" t="str">
        <f t="shared" si="774"/>
        <v/>
      </c>
      <c r="I531" s="13" t="str">
        <f t="shared" si="774"/>
        <v/>
      </c>
      <c r="J531" s="107" t="str">
        <f t="array" ref="J531">IFERROR(IF(XLOOKUP(CONCAT(E531,F531),'MASTER PLAN'!$AB:$AB,'MASTER PLAN'!$M:$M,0,0)=0,"",XLOOKUP(CONCAT(E531,F531),'MASTER PLAN'!$AB:$AB,'MASTER PLAN'!$M:$M,0,0)),"")</f>
        <v/>
      </c>
      <c r="K531" s="107">
        <f t="shared" si="237"/>
        <v>0</v>
      </c>
      <c r="L531" s="107">
        <f t="shared" si="238"/>
        <v>0</v>
      </c>
      <c r="M531" s="105" t="s">
        <v>248</v>
      </c>
      <c r="AI531" s="42"/>
      <c r="BN531" s="42"/>
      <c r="CS531" s="42"/>
      <c r="DX531" s="42"/>
      <c r="FC531" s="42"/>
      <c r="GH531" s="42"/>
      <c r="HM531" s="42"/>
      <c r="IR531" s="42"/>
      <c r="JW531" s="42"/>
      <c r="LB531" s="42"/>
      <c r="MG531" s="42"/>
      <c r="NL531" s="42"/>
    </row>
    <row r="532" ht="15.75" customHeight="1">
      <c r="A532" s="42"/>
      <c r="B532" s="42"/>
      <c r="C532" s="42"/>
      <c r="D532" s="38">
        <f t="shared" si="767"/>
        <v>46002</v>
      </c>
      <c r="E532" s="31" t="str">
        <f t="shared" ref="E532:I532" si="775">FS16</f>
        <v/>
      </c>
      <c r="F532" s="31" t="str">
        <f t="shared" si="775"/>
        <v/>
      </c>
      <c r="G532" s="31" t="str">
        <f t="shared" si="775"/>
        <v/>
      </c>
      <c r="H532" s="13" t="str">
        <f t="shared" si="775"/>
        <v/>
      </c>
      <c r="I532" s="13" t="str">
        <f t="shared" si="775"/>
        <v/>
      </c>
      <c r="J532" s="107" t="str">
        <f t="array" ref="J532">IFERROR(IF(XLOOKUP(CONCAT(E532,F532),'MASTER PLAN'!$AB:$AB,'MASTER PLAN'!$M:$M,0,0)=0,"",XLOOKUP(CONCAT(E532,F532),'MASTER PLAN'!$AB:$AB,'MASTER PLAN'!$M:$M,0,0)),"")</f>
        <v/>
      </c>
      <c r="K532" s="107">
        <f t="shared" si="237"/>
        <v>0</v>
      </c>
      <c r="L532" s="107">
        <f t="shared" si="238"/>
        <v>0</v>
      </c>
      <c r="M532" s="105" t="s">
        <v>248</v>
      </c>
      <c r="AI532" s="42"/>
      <c r="BN532" s="42"/>
      <c r="CS532" s="42"/>
      <c r="DX532" s="42"/>
      <c r="FC532" s="42"/>
      <c r="GH532" s="42"/>
      <c r="HM532" s="42"/>
      <c r="IR532" s="42"/>
      <c r="JW532" s="42"/>
      <c r="LB532" s="42"/>
      <c r="MG532" s="42"/>
      <c r="NL532" s="42"/>
    </row>
    <row r="533" ht="15.75" customHeight="1">
      <c r="A533" s="42"/>
      <c r="B533" s="42"/>
      <c r="C533" s="42"/>
      <c r="D533" s="38">
        <f t="shared" si="767"/>
        <v>46002</v>
      </c>
      <c r="E533" s="31" t="str">
        <f t="shared" ref="E533:I533" si="776">FS20</f>
        <v/>
      </c>
      <c r="F533" s="31" t="str">
        <f t="shared" si="776"/>
        <v/>
      </c>
      <c r="G533" s="31" t="str">
        <f t="shared" si="776"/>
        <v/>
      </c>
      <c r="H533" s="13" t="str">
        <f t="shared" si="776"/>
        <v/>
      </c>
      <c r="I533" s="13" t="str">
        <f t="shared" si="776"/>
        <v/>
      </c>
      <c r="J533" s="107" t="str">
        <f t="array" ref="J533">IFERROR(IF(XLOOKUP(CONCAT(E533,F533),'MASTER PLAN'!$AB:$AB,'MASTER PLAN'!$M:$M,0,0)=0,"",XLOOKUP(CONCAT(E533,F533),'MASTER PLAN'!$AB:$AB,'MASTER PLAN'!$M:$M,0,0)),"")</f>
        <v/>
      </c>
      <c r="K533" s="107">
        <f t="shared" si="237"/>
        <v>0</v>
      </c>
      <c r="L533" s="107">
        <f t="shared" si="238"/>
        <v>0</v>
      </c>
      <c r="M533" s="105" t="s">
        <v>249</v>
      </c>
      <c r="AI533" s="42"/>
      <c r="BN533" s="42"/>
      <c r="CS533" s="42"/>
      <c r="DX533" s="42"/>
      <c r="FC533" s="42"/>
      <c r="GH533" s="42"/>
      <c r="HM533" s="42"/>
      <c r="IR533" s="42"/>
      <c r="JW533" s="42"/>
      <c r="LB533" s="42"/>
      <c r="MG533" s="42"/>
      <c r="NL533" s="42"/>
    </row>
    <row r="534" ht="15.75" customHeight="1">
      <c r="A534" s="42"/>
      <c r="B534" s="42"/>
      <c r="C534" s="42"/>
      <c r="D534" s="38">
        <f t="shared" si="767"/>
        <v>46002</v>
      </c>
      <c r="E534" s="31" t="str">
        <f t="shared" ref="E534:I534" si="777">FS21</f>
        <v/>
      </c>
      <c r="F534" s="31" t="str">
        <f t="shared" si="777"/>
        <v/>
      </c>
      <c r="G534" s="31" t="str">
        <f t="shared" si="777"/>
        <v/>
      </c>
      <c r="H534" s="13" t="str">
        <f t="shared" si="777"/>
        <v/>
      </c>
      <c r="I534" s="13" t="str">
        <f t="shared" si="777"/>
        <v/>
      </c>
      <c r="J534" s="107" t="str">
        <f t="array" ref="J534">IFERROR(IF(XLOOKUP(CONCAT(E534,F534),'MASTER PLAN'!$AB:$AB,'MASTER PLAN'!$M:$M,0,0)=0,"",XLOOKUP(CONCAT(E534,F534),'MASTER PLAN'!$AB:$AB,'MASTER PLAN'!$M:$M,0,0)),"")</f>
        <v/>
      </c>
      <c r="K534" s="107">
        <f t="shared" si="237"/>
        <v>0</v>
      </c>
      <c r="L534" s="107">
        <f t="shared" si="238"/>
        <v>0</v>
      </c>
      <c r="M534" s="105" t="s">
        <v>249</v>
      </c>
      <c r="AI534" s="42"/>
      <c r="BN534" s="42"/>
      <c r="CS534" s="42"/>
      <c r="DX534" s="42"/>
      <c r="FC534" s="42"/>
      <c r="GH534" s="42"/>
      <c r="HM534" s="42"/>
      <c r="IR534" s="42"/>
      <c r="JW534" s="42"/>
      <c r="LB534" s="42"/>
      <c r="MG534" s="42"/>
      <c r="NL534" s="42"/>
    </row>
    <row r="535" ht="15.75" customHeight="1">
      <c r="A535" s="42"/>
      <c r="B535" s="42"/>
      <c r="C535" s="42"/>
      <c r="D535" s="38">
        <f t="shared" si="767"/>
        <v>46002</v>
      </c>
      <c r="E535" s="31" t="str">
        <f t="shared" ref="E535:I535" si="778">FS22</f>
        <v/>
      </c>
      <c r="F535" s="31" t="str">
        <f t="shared" si="778"/>
        <v/>
      </c>
      <c r="G535" s="31" t="str">
        <f t="shared" si="778"/>
        <v/>
      </c>
      <c r="H535" s="13" t="str">
        <f t="shared" si="778"/>
        <v/>
      </c>
      <c r="I535" s="13" t="str">
        <f t="shared" si="778"/>
        <v/>
      </c>
      <c r="J535" s="107" t="str">
        <f t="array" ref="J535">IFERROR(IF(XLOOKUP(CONCAT(E535,F535),'MASTER PLAN'!$AB:$AB,'MASTER PLAN'!$M:$M,0,0)=0,"",XLOOKUP(CONCAT(E535,F535),'MASTER PLAN'!$AB:$AB,'MASTER PLAN'!$M:$M,0,0)),"")</f>
        <v/>
      </c>
      <c r="K535" s="107">
        <f t="shared" si="237"/>
        <v>0</v>
      </c>
      <c r="L535" s="107">
        <f t="shared" si="238"/>
        <v>0</v>
      </c>
      <c r="M535" s="105" t="s">
        <v>249</v>
      </c>
      <c r="AI535" s="42"/>
      <c r="BN535" s="42"/>
      <c r="CS535" s="42"/>
      <c r="DX535" s="42"/>
      <c r="FC535" s="42"/>
      <c r="GH535" s="42"/>
      <c r="HM535" s="42"/>
      <c r="IR535" s="42"/>
      <c r="JW535" s="42"/>
      <c r="LB535" s="42"/>
      <c r="MG535" s="42"/>
      <c r="NL535" s="42"/>
    </row>
    <row r="536" ht="15.75" customHeight="1">
      <c r="A536" s="42"/>
      <c r="B536" s="42"/>
      <c r="C536" s="42"/>
      <c r="D536" s="38">
        <f t="shared" si="767"/>
        <v>46002</v>
      </c>
      <c r="E536" s="31" t="str">
        <f t="shared" ref="E536:I536" si="779">FS23</f>
        <v/>
      </c>
      <c r="F536" s="31" t="str">
        <f t="shared" si="779"/>
        <v/>
      </c>
      <c r="G536" s="31" t="str">
        <f t="shared" si="779"/>
        <v/>
      </c>
      <c r="H536" s="13" t="str">
        <f t="shared" si="779"/>
        <v/>
      </c>
      <c r="I536" s="13" t="str">
        <f t="shared" si="779"/>
        <v/>
      </c>
      <c r="J536" s="107" t="str">
        <f t="array" ref="J536">IFERROR(IF(XLOOKUP(CONCAT(E536,F536),'MASTER PLAN'!$AB:$AB,'MASTER PLAN'!$M:$M,0,0)=0,"",XLOOKUP(CONCAT(E536,F536),'MASTER PLAN'!$AB:$AB,'MASTER PLAN'!$M:$M,0,0)),"")</f>
        <v/>
      </c>
      <c r="K536" s="107">
        <f t="shared" si="237"/>
        <v>0</v>
      </c>
      <c r="L536" s="107">
        <f t="shared" si="238"/>
        <v>0</v>
      </c>
      <c r="M536" s="105" t="s">
        <v>249</v>
      </c>
      <c r="AI536" s="42"/>
      <c r="BN536" s="42"/>
      <c r="CS536" s="42"/>
      <c r="DX536" s="42"/>
      <c r="FC536" s="42"/>
      <c r="GH536" s="42"/>
      <c r="HM536" s="42"/>
      <c r="IR536" s="42"/>
      <c r="JW536" s="42"/>
      <c r="LB536" s="42"/>
      <c r="MG536" s="42"/>
      <c r="NL536" s="42"/>
    </row>
    <row r="537" ht="15.75" customHeight="1">
      <c r="A537" s="42"/>
      <c r="B537" s="42"/>
      <c r="C537" s="42"/>
      <c r="D537" s="38">
        <f t="shared" si="767"/>
        <v>46002</v>
      </c>
      <c r="E537" s="31" t="str">
        <f t="shared" ref="E537:I537" si="780">FS24</f>
        <v/>
      </c>
      <c r="F537" s="31" t="str">
        <f t="shared" si="780"/>
        <v/>
      </c>
      <c r="G537" s="31" t="str">
        <f t="shared" si="780"/>
        <v/>
      </c>
      <c r="H537" s="13" t="str">
        <f t="shared" si="780"/>
        <v/>
      </c>
      <c r="I537" s="13" t="str">
        <f t="shared" si="780"/>
        <v/>
      </c>
      <c r="J537" s="107" t="str">
        <f t="array" ref="J537">IFERROR(IF(XLOOKUP(CONCAT(E537,F537),'MASTER PLAN'!$AB:$AB,'MASTER PLAN'!$M:$M,0,0)=0,"",XLOOKUP(CONCAT(E537,F537),'MASTER PLAN'!$AB:$AB,'MASTER PLAN'!$M:$M,0,0)),"")</f>
        <v/>
      </c>
      <c r="K537" s="107">
        <f t="shared" si="237"/>
        <v>0</v>
      </c>
      <c r="L537" s="107">
        <f t="shared" si="238"/>
        <v>0</v>
      </c>
      <c r="M537" s="105" t="s">
        <v>249</v>
      </c>
      <c r="AI537" s="42"/>
      <c r="BN537" s="42"/>
      <c r="CS537" s="42"/>
      <c r="DX537" s="42"/>
      <c r="FC537" s="42"/>
      <c r="GH537" s="42"/>
      <c r="HM537" s="42"/>
      <c r="IR537" s="42"/>
      <c r="JW537" s="42"/>
      <c r="LB537" s="42"/>
      <c r="MG537" s="42"/>
      <c r="NL537" s="42"/>
    </row>
    <row r="538" ht="15.75" customHeight="1">
      <c r="A538" s="42"/>
      <c r="B538" s="42"/>
      <c r="C538" s="42"/>
      <c r="D538" s="38">
        <f>FX2</f>
        <v>46003</v>
      </c>
      <c r="E538" s="31">
        <f t="shared" ref="E538:I538" si="781">FX4</f>
        <v>1402048632</v>
      </c>
      <c r="F538" s="31">
        <f t="shared" si="781"/>
        <v>10</v>
      </c>
      <c r="G538" s="31" t="str">
        <f t="shared" si="781"/>
        <v>BOLSA ROGERS ENTERPRISES 10"X4"X7-75"</v>
      </c>
      <c r="H538" s="13">
        <f t="shared" si="781"/>
        <v>3000</v>
      </c>
      <c r="I538" s="13" t="str">
        <f t="shared" si="781"/>
        <v/>
      </c>
      <c r="J538" s="107">
        <f t="array" ref="J538">IFERROR(IF(XLOOKUP(CONCAT(E538,F538),'MASTER PLAN'!$AB:$AB,'MASTER PLAN'!$M:$M,0,0)=0,"",XLOOKUP(CONCAT(E538,F538),'MASTER PLAN'!$AB:$AB,'MASTER PLAN'!$M:$M,0,0)),"")</f>
        <v>1.064</v>
      </c>
      <c r="K538" s="107">
        <f t="shared" si="237"/>
        <v>3192</v>
      </c>
      <c r="L538" s="107">
        <f t="shared" si="238"/>
        <v>0</v>
      </c>
      <c r="M538" s="105" t="s">
        <v>246</v>
      </c>
      <c r="AI538" s="42"/>
      <c r="BN538" s="42"/>
      <c r="CS538" s="42"/>
      <c r="DX538" s="42"/>
      <c r="FC538" s="42"/>
      <c r="GH538" s="42"/>
      <c r="HM538" s="42"/>
      <c r="IR538" s="42"/>
      <c r="JW538" s="42"/>
      <c r="LB538" s="42"/>
      <c r="MG538" s="42"/>
      <c r="NL538" s="42"/>
    </row>
    <row r="539" ht="15.75" customHeight="1">
      <c r="A539" s="42"/>
      <c r="B539" s="42"/>
      <c r="C539" s="42"/>
      <c r="D539" s="38">
        <f t="shared" ref="D539:D552" si="783">D538</f>
        <v>46003</v>
      </c>
      <c r="E539" s="31" t="str">
        <f t="shared" ref="E539:I539" si="782">FX5</f>
        <v/>
      </c>
      <c r="F539" s="31" t="str">
        <f t="shared" si="782"/>
        <v/>
      </c>
      <c r="G539" s="31" t="str">
        <f t="shared" si="782"/>
        <v/>
      </c>
      <c r="H539" s="13" t="str">
        <f t="shared" si="782"/>
        <v/>
      </c>
      <c r="I539" s="13" t="str">
        <f t="shared" si="782"/>
        <v/>
      </c>
      <c r="J539" s="107" t="str">
        <f t="array" ref="J539">IFERROR(IF(XLOOKUP(CONCAT(E539,F539),'MASTER PLAN'!$AB:$AB,'MASTER PLAN'!$M:$M,0,0)=0,"",XLOOKUP(CONCAT(E539,F539),'MASTER PLAN'!$AB:$AB,'MASTER PLAN'!$M:$M,0,0)),"")</f>
        <v/>
      </c>
      <c r="K539" s="107">
        <f t="shared" si="237"/>
        <v>0</v>
      </c>
      <c r="L539" s="107">
        <f t="shared" si="238"/>
        <v>0</v>
      </c>
      <c r="M539" s="105" t="s">
        <v>246</v>
      </c>
      <c r="AI539" s="42"/>
      <c r="BN539" s="42"/>
      <c r="CS539" s="42"/>
      <c r="DX539" s="42"/>
      <c r="FC539" s="42"/>
      <c r="GH539" s="42"/>
      <c r="HM539" s="42"/>
      <c r="IR539" s="42"/>
      <c r="JW539" s="42"/>
      <c r="LB539" s="42"/>
      <c r="MG539" s="42"/>
      <c r="NL539" s="42"/>
    </row>
    <row r="540" ht="15.75" customHeight="1">
      <c r="A540" s="42"/>
      <c r="B540" s="42"/>
      <c r="C540" s="42"/>
      <c r="D540" s="38">
        <f t="shared" si="783"/>
        <v>46003</v>
      </c>
      <c r="E540" s="31" t="str">
        <f t="shared" ref="E540:I540" si="784">FX6</f>
        <v/>
      </c>
      <c r="F540" s="31" t="str">
        <f t="shared" si="784"/>
        <v/>
      </c>
      <c r="G540" s="31" t="str">
        <f t="shared" si="784"/>
        <v/>
      </c>
      <c r="H540" s="13" t="str">
        <f t="shared" si="784"/>
        <v/>
      </c>
      <c r="I540" s="13" t="str">
        <f t="shared" si="784"/>
        <v/>
      </c>
      <c r="J540" s="107" t="str">
        <f t="array" ref="J540">IFERROR(IF(XLOOKUP(CONCAT(E540,F540),'MASTER PLAN'!$AB:$AB,'MASTER PLAN'!$M:$M,0,0)=0,"",XLOOKUP(CONCAT(E540,F540),'MASTER PLAN'!$AB:$AB,'MASTER PLAN'!$M:$M,0,0)),"")</f>
        <v/>
      </c>
      <c r="K540" s="107">
        <f t="shared" si="237"/>
        <v>0</v>
      </c>
      <c r="L540" s="107">
        <f t="shared" si="238"/>
        <v>0</v>
      </c>
      <c r="M540" s="105" t="s">
        <v>246</v>
      </c>
      <c r="AI540" s="42"/>
      <c r="BN540" s="42"/>
      <c r="CS540" s="42"/>
      <c r="DX540" s="42"/>
      <c r="FC540" s="42"/>
      <c r="GH540" s="42"/>
      <c r="HM540" s="42"/>
      <c r="IR540" s="42"/>
      <c r="JW540" s="42"/>
      <c r="LB540" s="42"/>
      <c r="MG540" s="42"/>
      <c r="NL540" s="42"/>
    </row>
    <row r="541" ht="15.75" customHeight="1">
      <c r="A541" s="42"/>
      <c r="B541" s="42"/>
      <c r="C541" s="42"/>
      <c r="D541" s="38">
        <f t="shared" si="783"/>
        <v>46003</v>
      </c>
      <c r="E541" s="31" t="str">
        <f t="shared" ref="E541:I541" si="785">FX7</f>
        <v/>
      </c>
      <c r="F541" s="31" t="str">
        <f t="shared" si="785"/>
        <v/>
      </c>
      <c r="G541" s="31" t="str">
        <f t="shared" si="785"/>
        <v/>
      </c>
      <c r="H541" s="13" t="str">
        <f t="shared" si="785"/>
        <v/>
      </c>
      <c r="I541" s="13" t="str">
        <f t="shared" si="785"/>
        <v/>
      </c>
      <c r="J541" s="107" t="str">
        <f t="array" ref="J541">IFERROR(IF(XLOOKUP(CONCAT(E541,F541),'MASTER PLAN'!$AB:$AB,'MASTER PLAN'!$M:$M,0,0)=0,"",XLOOKUP(CONCAT(E541,F541),'MASTER PLAN'!$AB:$AB,'MASTER PLAN'!$M:$M,0,0)),"")</f>
        <v/>
      </c>
      <c r="K541" s="107">
        <f t="shared" si="237"/>
        <v>0</v>
      </c>
      <c r="L541" s="107">
        <f t="shared" si="238"/>
        <v>0</v>
      </c>
      <c r="M541" s="105" t="s">
        <v>246</v>
      </c>
      <c r="AI541" s="42"/>
      <c r="BN541" s="42"/>
      <c r="CS541" s="42"/>
      <c r="DX541" s="42"/>
      <c r="FC541" s="42"/>
      <c r="GH541" s="42"/>
      <c r="HM541" s="42"/>
      <c r="IR541" s="42"/>
      <c r="JW541" s="42"/>
      <c r="LB541" s="42"/>
      <c r="MG541" s="42"/>
      <c r="NL541" s="42"/>
    </row>
    <row r="542" ht="15.75" customHeight="1">
      <c r="A542" s="42"/>
      <c r="B542" s="42"/>
      <c r="C542" s="42"/>
      <c r="D542" s="38">
        <f t="shared" si="783"/>
        <v>46003</v>
      </c>
      <c r="E542" s="31" t="str">
        <f t="shared" ref="E542:I542" si="786">FX8</f>
        <v/>
      </c>
      <c r="F542" s="31" t="str">
        <f t="shared" si="786"/>
        <v/>
      </c>
      <c r="G542" s="31" t="str">
        <f t="shared" si="786"/>
        <v/>
      </c>
      <c r="H542" s="13" t="str">
        <f t="shared" si="786"/>
        <v/>
      </c>
      <c r="I542" s="13" t="str">
        <f t="shared" si="786"/>
        <v/>
      </c>
      <c r="J542" s="107" t="str">
        <f t="array" ref="J542">IFERROR(IF(XLOOKUP(CONCAT(E542,F542),'MASTER PLAN'!$AB:$AB,'MASTER PLAN'!$M:$M,0,0)=0,"",XLOOKUP(CONCAT(E542,F542),'MASTER PLAN'!$AB:$AB,'MASTER PLAN'!$M:$M,0,0)),"")</f>
        <v/>
      </c>
      <c r="K542" s="107">
        <f t="shared" si="237"/>
        <v>0</v>
      </c>
      <c r="L542" s="107">
        <f t="shared" si="238"/>
        <v>0</v>
      </c>
      <c r="M542" s="105" t="s">
        <v>246</v>
      </c>
      <c r="AI542" s="42"/>
      <c r="BN542" s="42"/>
      <c r="CS542" s="42"/>
      <c r="DX542" s="42"/>
      <c r="FC542" s="42"/>
      <c r="GH542" s="42"/>
      <c r="HM542" s="42"/>
      <c r="IR542" s="42"/>
      <c r="JW542" s="42"/>
      <c r="LB542" s="42"/>
      <c r="MG542" s="42"/>
      <c r="NL542" s="42"/>
    </row>
    <row r="543" ht="15.75" customHeight="1">
      <c r="A543" s="42"/>
      <c r="B543" s="42"/>
      <c r="C543" s="42"/>
      <c r="D543" s="38">
        <f t="shared" si="783"/>
        <v>46003</v>
      </c>
      <c r="E543" s="31">
        <f t="shared" ref="E543:I543" si="787">FX12</f>
        <v>1402048632</v>
      </c>
      <c r="F543" s="31">
        <f t="shared" si="787"/>
        <v>10</v>
      </c>
      <c r="G543" s="31" t="str">
        <f t="shared" si="787"/>
        <v>BOLSA ROGERS ENTERPRISES 10"X4"X7-75"</v>
      </c>
      <c r="H543" s="13">
        <f t="shared" si="787"/>
        <v>700</v>
      </c>
      <c r="I543" s="13" t="str">
        <f t="shared" si="787"/>
        <v/>
      </c>
      <c r="J543" s="107">
        <f t="array" ref="J543">IFERROR(IF(XLOOKUP(CONCAT(E543,F543),'MASTER PLAN'!$AB:$AB,'MASTER PLAN'!$M:$M,0,0)=0,"",XLOOKUP(CONCAT(E543,F543),'MASTER PLAN'!$AB:$AB,'MASTER PLAN'!$M:$M,0,0)),"")</f>
        <v>1.064</v>
      </c>
      <c r="K543" s="107">
        <f t="shared" si="237"/>
        <v>744.8</v>
      </c>
      <c r="L543" s="107">
        <f t="shared" si="238"/>
        <v>0</v>
      </c>
      <c r="M543" s="105" t="s">
        <v>248</v>
      </c>
      <c r="AI543" s="42"/>
      <c r="BN543" s="42"/>
      <c r="CS543" s="42"/>
      <c r="DX543" s="42"/>
      <c r="FC543" s="42"/>
      <c r="GH543" s="42"/>
      <c r="HM543" s="42"/>
      <c r="IR543" s="42"/>
      <c r="JW543" s="42"/>
      <c r="LB543" s="42"/>
      <c r="MG543" s="42"/>
      <c r="NL543" s="42"/>
    </row>
    <row r="544" ht="15.75" customHeight="1">
      <c r="A544" s="42"/>
      <c r="B544" s="42"/>
      <c r="C544" s="42"/>
      <c r="D544" s="38">
        <f t="shared" si="783"/>
        <v>46003</v>
      </c>
      <c r="E544" s="31">
        <f t="shared" ref="E544:I544" si="788">FX13</f>
        <v>1402049318</v>
      </c>
      <c r="F544" s="31">
        <f t="shared" si="788"/>
        <v>10</v>
      </c>
      <c r="G544" s="31" t="str">
        <f t="shared" si="788"/>
        <v>BOLSA WATERFALL JEWELERS 6-5"X3-5"X6-5"</v>
      </c>
      <c r="H544" s="13">
        <f t="shared" si="788"/>
        <v>2200</v>
      </c>
      <c r="I544" s="13" t="str">
        <f t="shared" si="788"/>
        <v/>
      </c>
      <c r="J544" s="107">
        <f t="array" ref="J544">IFERROR(IF(XLOOKUP(CONCAT(E544,F544),'MASTER PLAN'!$AB:$AB,'MASTER PLAN'!$M:$M,0,0)=0,"",XLOOKUP(CONCAT(E544,F544),'MASTER PLAN'!$AB:$AB,'MASTER PLAN'!$M:$M,0,0)),"")</f>
        <v>2.376</v>
      </c>
      <c r="K544" s="107">
        <f t="shared" si="237"/>
        <v>5227.2</v>
      </c>
      <c r="L544" s="107">
        <f t="shared" si="238"/>
        <v>0</v>
      </c>
      <c r="M544" s="105" t="s">
        <v>248</v>
      </c>
      <c r="AI544" s="42"/>
      <c r="BN544" s="42"/>
      <c r="CS544" s="42"/>
      <c r="DX544" s="42"/>
      <c r="FC544" s="42"/>
      <c r="GH544" s="42"/>
      <c r="HM544" s="42"/>
      <c r="IR544" s="42"/>
      <c r="JW544" s="42"/>
      <c r="LB544" s="42"/>
      <c r="MG544" s="42"/>
      <c r="NL544" s="42"/>
    </row>
    <row r="545" ht="15.75" customHeight="1">
      <c r="A545" s="42"/>
      <c r="B545" s="42"/>
      <c r="C545" s="42"/>
      <c r="D545" s="38">
        <f t="shared" si="783"/>
        <v>46003</v>
      </c>
      <c r="E545" s="31" t="str">
        <f t="shared" ref="E545:I545" si="789">FX14</f>
        <v/>
      </c>
      <c r="F545" s="31" t="str">
        <f t="shared" si="789"/>
        <v/>
      </c>
      <c r="G545" s="31" t="str">
        <f t="shared" si="789"/>
        <v/>
      </c>
      <c r="H545" s="13" t="str">
        <f t="shared" si="789"/>
        <v/>
      </c>
      <c r="I545" s="13" t="str">
        <f t="shared" si="789"/>
        <v/>
      </c>
      <c r="J545" s="107" t="str">
        <f t="array" ref="J545">IFERROR(IF(XLOOKUP(CONCAT(E545,F545),'MASTER PLAN'!$AB:$AB,'MASTER PLAN'!$M:$M,0,0)=0,"",XLOOKUP(CONCAT(E545,F545),'MASTER PLAN'!$AB:$AB,'MASTER PLAN'!$M:$M,0,0)),"")</f>
        <v/>
      </c>
      <c r="K545" s="107">
        <f t="shared" si="237"/>
        <v>0</v>
      </c>
      <c r="L545" s="107">
        <f t="shared" si="238"/>
        <v>0</v>
      </c>
      <c r="M545" s="105" t="s">
        <v>248</v>
      </c>
      <c r="AI545" s="42"/>
      <c r="BN545" s="42"/>
      <c r="CS545" s="42"/>
      <c r="DX545" s="42"/>
      <c r="FC545" s="42"/>
      <c r="GH545" s="42"/>
      <c r="HM545" s="42"/>
      <c r="IR545" s="42"/>
      <c r="JW545" s="42"/>
      <c r="LB545" s="42"/>
      <c r="MG545" s="42"/>
      <c r="NL545" s="42"/>
    </row>
    <row r="546" ht="15.75" customHeight="1">
      <c r="A546" s="42"/>
      <c r="B546" s="42"/>
      <c r="C546" s="42"/>
      <c r="D546" s="38">
        <f t="shared" si="783"/>
        <v>46003</v>
      </c>
      <c r="E546" s="31" t="str">
        <f t="shared" ref="E546:I546" si="790">FX15</f>
        <v/>
      </c>
      <c r="F546" s="31" t="str">
        <f t="shared" si="790"/>
        <v/>
      </c>
      <c r="G546" s="31" t="str">
        <f t="shared" si="790"/>
        <v/>
      </c>
      <c r="H546" s="13" t="str">
        <f t="shared" si="790"/>
        <v/>
      </c>
      <c r="I546" s="13" t="str">
        <f t="shared" si="790"/>
        <v/>
      </c>
      <c r="J546" s="107" t="str">
        <f t="array" ref="J546">IFERROR(IF(XLOOKUP(CONCAT(E546,F546),'MASTER PLAN'!$AB:$AB,'MASTER PLAN'!$M:$M,0,0)=0,"",XLOOKUP(CONCAT(E546,F546),'MASTER PLAN'!$AB:$AB,'MASTER PLAN'!$M:$M,0,0)),"")</f>
        <v/>
      </c>
      <c r="K546" s="107">
        <f t="shared" si="237"/>
        <v>0</v>
      </c>
      <c r="L546" s="107">
        <f t="shared" si="238"/>
        <v>0</v>
      </c>
      <c r="M546" s="105" t="s">
        <v>248</v>
      </c>
      <c r="AI546" s="42"/>
      <c r="BN546" s="42"/>
      <c r="CS546" s="42"/>
      <c r="DX546" s="42"/>
      <c r="FC546" s="42"/>
      <c r="GH546" s="42"/>
      <c r="HM546" s="42"/>
      <c r="IR546" s="42"/>
      <c r="JW546" s="42"/>
      <c r="LB546" s="42"/>
      <c r="MG546" s="42"/>
      <c r="NL546" s="42"/>
    </row>
    <row r="547" ht="15.75" customHeight="1">
      <c r="A547" s="42"/>
      <c r="B547" s="42"/>
      <c r="C547" s="42"/>
      <c r="D547" s="38">
        <f t="shared" si="783"/>
        <v>46003</v>
      </c>
      <c r="E547" s="31" t="str">
        <f t="shared" ref="E547:I547" si="791">FX16</f>
        <v/>
      </c>
      <c r="F547" s="31" t="str">
        <f t="shared" si="791"/>
        <v/>
      </c>
      <c r="G547" s="31" t="str">
        <f t="shared" si="791"/>
        <v/>
      </c>
      <c r="H547" s="13" t="str">
        <f t="shared" si="791"/>
        <v/>
      </c>
      <c r="I547" s="13" t="str">
        <f t="shared" si="791"/>
        <v/>
      </c>
      <c r="J547" s="107" t="str">
        <f t="array" ref="J547">IFERROR(IF(XLOOKUP(CONCAT(E547,F547),'MASTER PLAN'!$AB:$AB,'MASTER PLAN'!$M:$M,0,0)=0,"",XLOOKUP(CONCAT(E547,F547),'MASTER PLAN'!$AB:$AB,'MASTER PLAN'!$M:$M,0,0)),"")</f>
        <v/>
      </c>
      <c r="K547" s="107">
        <f t="shared" si="237"/>
        <v>0</v>
      </c>
      <c r="L547" s="107">
        <f t="shared" si="238"/>
        <v>0</v>
      </c>
      <c r="M547" s="105" t="s">
        <v>248</v>
      </c>
      <c r="AI547" s="42"/>
      <c r="BN547" s="42"/>
      <c r="CS547" s="42"/>
      <c r="DX547" s="42"/>
      <c r="FC547" s="42"/>
      <c r="GH547" s="42"/>
      <c r="HM547" s="42"/>
      <c r="IR547" s="42"/>
      <c r="JW547" s="42"/>
      <c r="LB547" s="42"/>
      <c r="MG547" s="42"/>
      <c r="NL547" s="42"/>
    </row>
    <row r="548" ht="15.75" customHeight="1">
      <c r="A548" s="42"/>
      <c r="B548" s="42"/>
      <c r="C548" s="42"/>
      <c r="D548" s="38">
        <f t="shared" si="783"/>
        <v>46003</v>
      </c>
      <c r="E548" s="31" t="str">
        <f t="shared" ref="E548:I548" si="792">FX20</f>
        <v/>
      </c>
      <c r="F548" s="31" t="str">
        <f t="shared" si="792"/>
        <v/>
      </c>
      <c r="G548" s="31" t="str">
        <f t="shared" si="792"/>
        <v/>
      </c>
      <c r="H548" s="13" t="str">
        <f t="shared" si="792"/>
        <v/>
      </c>
      <c r="I548" s="13" t="str">
        <f t="shared" si="792"/>
        <v/>
      </c>
      <c r="J548" s="107" t="str">
        <f t="array" ref="J548">IFERROR(IF(XLOOKUP(CONCAT(E548,F548),'MASTER PLAN'!$AB:$AB,'MASTER PLAN'!$M:$M,0,0)=0,"",XLOOKUP(CONCAT(E548,F548),'MASTER PLAN'!$AB:$AB,'MASTER PLAN'!$M:$M,0,0)),"")</f>
        <v/>
      </c>
      <c r="K548" s="107">
        <f t="shared" si="237"/>
        <v>0</v>
      </c>
      <c r="L548" s="107">
        <f t="shared" si="238"/>
        <v>0</v>
      </c>
      <c r="M548" s="105" t="s">
        <v>249</v>
      </c>
      <c r="AI548" s="42"/>
      <c r="BN548" s="42"/>
      <c r="CS548" s="42"/>
      <c r="DX548" s="42"/>
      <c r="FC548" s="42"/>
      <c r="GH548" s="42"/>
      <c r="HM548" s="42"/>
      <c r="IR548" s="42"/>
      <c r="JW548" s="42"/>
      <c r="LB548" s="42"/>
      <c r="MG548" s="42"/>
      <c r="NL548" s="42"/>
    </row>
    <row r="549" ht="15.75" customHeight="1">
      <c r="A549" s="42"/>
      <c r="B549" s="42"/>
      <c r="C549" s="42"/>
      <c r="D549" s="38">
        <f t="shared" si="783"/>
        <v>46003</v>
      </c>
      <c r="E549" s="31" t="str">
        <f t="shared" ref="E549:I549" si="793">FX21</f>
        <v/>
      </c>
      <c r="F549" s="31" t="str">
        <f t="shared" si="793"/>
        <v/>
      </c>
      <c r="G549" s="31" t="str">
        <f t="shared" si="793"/>
        <v/>
      </c>
      <c r="H549" s="13" t="str">
        <f t="shared" si="793"/>
        <v/>
      </c>
      <c r="I549" s="13" t="str">
        <f t="shared" si="793"/>
        <v/>
      </c>
      <c r="J549" s="107" t="str">
        <f t="array" ref="J549">IFERROR(IF(XLOOKUP(CONCAT(E549,F549),'MASTER PLAN'!$AB:$AB,'MASTER PLAN'!$M:$M,0,0)=0,"",XLOOKUP(CONCAT(E549,F549),'MASTER PLAN'!$AB:$AB,'MASTER PLAN'!$M:$M,0,0)),"")</f>
        <v/>
      </c>
      <c r="K549" s="107">
        <f t="shared" si="237"/>
        <v>0</v>
      </c>
      <c r="L549" s="107">
        <f t="shared" si="238"/>
        <v>0</v>
      </c>
      <c r="M549" s="105" t="s">
        <v>249</v>
      </c>
      <c r="AI549" s="42"/>
      <c r="BN549" s="42"/>
      <c r="CS549" s="42"/>
      <c r="DX549" s="42"/>
      <c r="FC549" s="42"/>
      <c r="GH549" s="42"/>
      <c r="HM549" s="42"/>
      <c r="IR549" s="42"/>
      <c r="JW549" s="42"/>
      <c r="LB549" s="42"/>
      <c r="MG549" s="42"/>
      <c r="NL549" s="42"/>
    </row>
    <row r="550" ht="15.75" customHeight="1">
      <c r="A550" s="42"/>
      <c r="B550" s="42"/>
      <c r="C550" s="42"/>
      <c r="D550" s="38">
        <f t="shared" si="783"/>
        <v>46003</v>
      </c>
      <c r="E550" s="31" t="str">
        <f t="shared" ref="E550:I550" si="794">FX22</f>
        <v/>
      </c>
      <c r="F550" s="31" t="str">
        <f t="shared" si="794"/>
        <v/>
      </c>
      <c r="G550" s="31" t="str">
        <f t="shared" si="794"/>
        <v/>
      </c>
      <c r="H550" s="13" t="str">
        <f t="shared" si="794"/>
        <v/>
      </c>
      <c r="I550" s="13" t="str">
        <f t="shared" si="794"/>
        <v/>
      </c>
      <c r="J550" s="107" t="str">
        <f t="array" ref="J550">IFERROR(IF(XLOOKUP(CONCAT(E550,F550),'MASTER PLAN'!$AB:$AB,'MASTER PLAN'!$M:$M,0,0)=0,"",XLOOKUP(CONCAT(E550,F550),'MASTER PLAN'!$AB:$AB,'MASTER PLAN'!$M:$M,0,0)),"")</f>
        <v/>
      </c>
      <c r="K550" s="107">
        <f t="shared" si="237"/>
        <v>0</v>
      </c>
      <c r="L550" s="107">
        <f t="shared" si="238"/>
        <v>0</v>
      </c>
      <c r="M550" s="105" t="s">
        <v>249</v>
      </c>
      <c r="AI550" s="42"/>
      <c r="BN550" s="42"/>
      <c r="CS550" s="42"/>
      <c r="DX550" s="42"/>
      <c r="FC550" s="42"/>
      <c r="GH550" s="42"/>
      <c r="HM550" s="42"/>
      <c r="IR550" s="42"/>
      <c r="JW550" s="42"/>
      <c r="LB550" s="42"/>
      <c r="MG550" s="42"/>
      <c r="NL550" s="42"/>
    </row>
    <row r="551" ht="15.75" customHeight="1">
      <c r="A551" s="42"/>
      <c r="B551" s="42"/>
      <c r="C551" s="42"/>
      <c r="D551" s="38">
        <f t="shared" si="783"/>
        <v>46003</v>
      </c>
      <c r="E551" s="31" t="str">
        <f t="shared" ref="E551:I551" si="795">FX23</f>
        <v/>
      </c>
      <c r="F551" s="31" t="str">
        <f t="shared" si="795"/>
        <v/>
      </c>
      <c r="G551" s="31" t="str">
        <f t="shared" si="795"/>
        <v/>
      </c>
      <c r="H551" s="13" t="str">
        <f t="shared" si="795"/>
        <v/>
      </c>
      <c r="I551" s="13" t="str">
        <f t="shared" si="795"/>
        <v/>
      </c>
      <c r="J551" s="107" t="str">
        <f t="array" ref="J551">IFERROR(IF(XLOOKUP(CONCAT(E551,F551),'MASTER PLAN'!$AB:$AB,'MASTER PLAN'!$M:$M,0,0)=0,"",XLOOKUP(CONCAT(E551,F551),'MASTER PLAN'!$AB:$AB,'MASTER PLAN'!$M:$M,0,0)),"")</f>
        <v/>
      </c>
      <c r="K551" s="107">
        <f t="shared" si="237"/>
        <v>0</v>
      </c>
      <c r="L551" s="107">
        <f t="shared" si="238"/>
        <v>0</v>
      </c>
      <c r="M551" s="105" t="s">
        <v>249</v>
      </c>
      <c r="AI551" s="42"/>
      <c r="BN551" s="42"/>
      <c r="CS551" s="42"/>
      <c r="DX551" s="42"/>
      <c r="FC551" s="42"/>
      <c r="GH551" s="42"/>
      <c r="HM551" s="42"/>
      <c r="IR551" s="42"/>
      <c r="JW551" s="42"/>
      <c r="LB551" s="42"/>
      <c r="MG551" s="42"/>
      <c r="NL551" s="42"/>
    </row>
    <row r="552" ht="15.75" customHeight="1">
      <c r="A552" s="42"/>
      <c r="B552" s="42"/>
      <c r="C552" s="42"/>
      <c r="D552" s="38">
        <f t="shared" si="783"/>
        <v>46003</v>
      </c>
      <c r="E552" s="31" t="str">
        <f t="shared" ref="E552:I552" si="796">FX24</f>
        <v/>
      </c>
      <c r="F552" s="31" t="str">
        <f t="shared" si="796"/>
        <v/>
      </c>
      <c r="G552" s="31" t="str">
        <f t="shared" si="796"/>
        <v/>
      </c>
      <c r="H552" s="13" t="str">
        <f t="shared" si="796"/>
        <v/>
      </c>
      <c r="I552" s="13" t="str">
        <f t="shared" si="796"/>
        <v/>
      </c>
      <c r="J552" s="107" t="str">
        <f t="array" ref="J552">IFERROR(IF(XLOOKUP(CONCAT(E552,F552),'MASTER PLAN'!$AB:$AB,'MASTER PLAN'!$M:$M,0,0)=0,"",XLOOKUP(CONCAT(E552,F552),'MASTER PLAN'!$AB:$AB,'MASTER PLAN'!$M:$M,0,0)),"")</f>
        <v/>
      </c>
      <c r="K552" s="107">
        <f t="shared" si="237"/>
        <v>0</v>
      </c>
      <c r="L552" s="107">
        <f t="shared" si="238"/>
        <v>0</v>
      </c>
      <c r="M552" s="105" t="s">
        <v>249</v>
      </c>
      <c r="AI552" s="42"/>
      <c r="BN552" s="42"/>
      <c r="CS552" s="42"/>
      <c r="DX552" s="42"/>
      <c r="FC552" s="42"/>
      <c r="GH552" s="42"/>
      <c r="HM552" s="42"/>
      <c r="IR552" s="42"/>
      <c r="JW552" s="42"/>
      <c r="LB552" s="42"/>
      <c r="MG552" s="42"/>
      <c r="NL552" s="42"/>
    </row>
    <row r="553" ht="15.75" customHeight="1">
      <c r="A553" s="42"/>
      <c r="B553" s="42"/>
      <c r="C553" s="42"/>
      <c r="D553" s="38">
        <f>GC2</f>
        <v>46004</v>
      </c>
      <c r="E553" s="31" t="str">
        <f t="shared" ref="E553:I553" si="797">GC4</f>
        <v/>
      </c>
      <c r="F553" s="31" t="str">
        <f t="shared" si="797"/>
        <v/>
      </c>
      <c r="G553" s="31" t="str">
        <f t="shared" si="797"/>
        <v/>
      </c>
      <c r="H553" s="13" t="str">
        <f t="shared" si="797"/>
        <v/>
      </c>
      <c r="I553" s="13" t="str">
        <f t="shared" si="797"/>
        <v/>
      </c>
      <c r="J553" s="107" t="str">
        <f t="array" ref="J553">IFERROR(IF(XLOOKUP(CONCAT(E553,F553),'MASTER PLAN'!$AB:$AB,'MASTER PLAN'!$M:$M,0,0)=0,"",XLOOKUP(CONCAT(E553,F553),'MASTER PLAN'!$AB:$AB,'MASTER PLAN'!$M:$M,0,0)),"")</f>
        <v/>
      </c>
      <c r="K553" s="107">
        <f t="shared" si="237"/>
        <v>0</v>
      </c>
      <c r="L553" s="107">
        <f t="shared" si="238"/>
        <v>0</v>
      </c>
      <c r="M553" s="105" t="s">
        <v>246</v>
      </c>
      <c r="AI553" s="42"/>
      <c r="BN553" s="42"/>
      <c r="CS553" s="42"/>
      <c r="DX553" s="42"/>
      <c r="FC553" s="42"/>
      <c r="GH553" s="42"/>
      <c r="HM553" s="42"/>
      <c r="IR553" s="42"/>
      <c r="JW553" s="42"/>
      <c r="LB553" s="42"/>
      <c r="MG553" s="42"/>
      <c r="NL553" s="42"/>
    </row>
    <row r="554" ht="15.75" customHeight="1">
      <c r="A554" s="42"/>
      <c r="B554" s="42"/>
      <c r="C554" s="42"/>
      <c r="D554" s="38">
        <f t="shared" ref="D554:D567" si="799">D553</f>
        <v>46004</v>
      </c>
      <c r="E554" s="31" t="str">
        <f t="shared" ref="E554:I554" si="798">GC5</f>
        <v/>
      </c>
      <c r="F554" s="31" t="str">
        <f t="shared" si="798"/>
        <v/>
      </c>
      <c r="G554" s="31" t="str">
        <f t="shared" si="798"/>
        <v/>
      </c>
      <c r="H554" s="13" t="str">
        <f t="shared" si="798"/>
        <v/>
      </c>
      <c r="I554" s="13" t="str">
        <f t="shared" si="798"/>
        <v/>
      </c>
      <c r="J554" s="107" t="str">
        <f t="array" ref="J554">IFERROR(IF(XLOOKUP(CONCAT(E554,F554),'MASTER PLAN'!$AB:$AB,'MASTER PLAN'!$M:$M,0,0)=0,"",XLOOKUP(CONCAT(E554,F554),'MASTER PLAN'!$AB:$AB,'MASTER PLAN'!$M:$M,0,0)),"")</f>
        <v/>
      </c>
      <c r="K554" s="107">
        <f t="shared" si="237"/>
        <v>0</v>
      </c>
      <c r="L554" s="107">
        <f t="shared" si="238"/>
        <v>0</v>
      </c>
      <c r="M554" s="105" t="s">
        <v>246</v>
      </c>
      <c r="AI554" s="42"/>
      <c r="BN554" s="42"/>
      <c r="CS554" s="42"/>
      <c r="DX554" s="42"/>
      <c r="FC554" s="42"/>
      <c r="GH554" s="42"/>
      <c r="HM554" s="42"/>
      <c r="IR554" s="42"/>
      <c r="JW554" s="42"/>
      <c r="LB554" s="42"/>
      <c r="MG554" s="42"/>
      <c r="NL554" s="42"/>
    </row>
    <row r="555" ht="15.75" customHeight="1">
      <c r="A555" s="42"/>
      <c r="B555" s="42"/>
      <c r="C555" s="42"/>
      <c r="D555" s="38">
        <f t="shared" si="799"/>
        <v>46004</v>
      </c>
      <c r="E555" s="31" t="str">
        <f t="shared" ref="E555:I555" si="800">GC6</f>
        <v/>
      </c>
      <c r="F555" s="31" t="str">
        <f t="shared" si="800"/>
        <v/>
      </c>
      <c r="G555" s="31" t="str">
        <f t="shared" si="800"/>
        <v/>
      </c>
      <c r="H555" s="13" t="str">
        <f t="shared" si="800"/>
        <v/>
      </c>
      <c r="I555" s="13" t="str">
        <f t="shared" si="800"/>
        <v/>
      </c>
      <c r="J555" s="107" t="str">
        <f t="array" ref="J555">IFERROR(IF(XLOOKUP(CONCAT(E555,F555),'MASTER PLAN'!$AB:$AB,'MASTER PLAN'!$M:$M,0,0)=0,"",XLOOKUP(CONCAT(E555,F555),'MASTER PLAN'!$AB:$AB,'MASTER PLAN'!$M:$M,0,0)),"")</f>
        <v/>
      </c>
      <c r="K555" s="107">
        <f t="shared" si="237"/>
        <v>0</v>
      </c>
      <c r="L555" s="107">
        <f t="shared" si="238"/>
        <v>0</v>
      </c>
      <c r="M555" s="105" t="s">
        <v>246</v>
      </c>
      <c r="AI555" s="42"/>
      <c r="BN555" s="42"/>
      <c r="CS555" s="42"/>
      <c r="DX555" s="42"/>
      <c r="FC555" s="42"/>
      <c r="GH555" s="42"/>
      <c r="HM555" s="42"/>
      <c r="IR555" s="42"/>
      <c r="JW555" s="42"/>
      <c r="LB555" s="42"/>
      <c r="MG555" s="42"/>
      <c r="NL555" s="42"/>
    </row>
    <row r="556" ht="15.75" customHeight="1">
      <c r="A556" s="42"/>
      <c r="B556" s="42"/>
      <c r="C556" s="42"/>
      <c r="D556" s="38">
        <f t="shared" si="799"/>
        <v>46004</v>
      </c>
      <c r="E556" s="31" t="str">
        <f t="shared" ref="E556:I556" si="801">GC7</f>
        <v/>
      </c>
      <c r="F556" s="31" t="str">
        <f t="shared" si="801"/>
        <v/>
      </c>
      <c r="G556" s="31" t="str">
        <f t="shared" si="801"/>
        <v/>
      </c>
      <c r="H556" s="13" t="str">
        <f t="shared" si="801"/>
        <v/>
      </c>
      <c r="I556" s="13" t="str">
        <f t="shared" si="801"/>
        <v/>
      </c>
      <c r="J556" s="107" t="str">
        <f t="array" ref="J556">IFERROR(IF(XLOOKUP(CONCAT(E556,F556),'MASTER PLAN'!$AB:$AB,'MASTER PLAN'!$M:$M,0,0)=0,"",XLOOKUP(CONCAT(E556,F556),'MASTER PLAN'!$AB:$AB,'MASTER PLAN'!$M:$M,0,0)),"")</f>
        <v/>
      </c>
      <c r="K556" s="107">
        <f t="shared" si="237"/>
        <v>0</v>
      </c>
      <c r="L556" s="107">
        <f t="shared" si="238"/>
        <v>0</v>
      </c>
      <c r="M556" s="105" t="s">
        <v>246</v>
      </c>
      <c r="AI556" s="42"/>
      <c r="BN556" s="42"/>
      <c r="CS556" s="42"/>
      <c r="DX556" s="42"/>
      <c r="FC556" s="42"/>
      <c r="GH556" s="42"/>
      <c r="HM556" s="42"/>
      <c r="IR556" s="42"/>
      <c r="JW556" s="42"/>
      <c r="LB556" s="42"/>
      <c r="MG556" s="42"/>
      <c r="NL556" s="42"/>
    </row>
    <row r="557" ht="15.75" customHeight="1">
      <c r="A557" s="42"/>
      <c r="B557" s="42"/>
      <c r="C557" s="42"/>
      <c r="D557" s="38">
        <f t="shared" si="799"/>
        <v>46004</v>
      </c>
      <c r="E557" s="31" t="str">
        <f t="shared" ref="E557:I557" si="802">GC8</f>
        <v/>
      </c>
      <c r="F557" s="31" t="str">
        <f t="shared" si="802"/>
        <v/>
      </c>
      <c r="G557" s="31" t="str">
        <f t="shared" si="802"/>
        <v/>
      </c>
      <c r="H557" s="13" t="str">
        <f t="shared" si="802"/>
        <v/>
      </c>
      <c r="I557" s="13" t="str">
        <f t="shared" si="802"/>
        <v/>
      </c>
      <c r="J557" s="107" t="str">
        <f t="array" ref="J557">IFERROR(IF(XLOOKUP(CONCAT(E557,F557),'MASTER PLAN'!$AB:$AB,'MASTER PLAN'!$M:$M,0,0)=0,"",XLOOKUP(CONCAT(E557,F557),'MASTER PLAN'!$AB:$AB,'MASTER PLAN'!$M:$M,0,0)),"")</f>
        <v/>
      </c>
      <c r="K557" s="107">
        <f t="shared" si="237"/>
        <v>0</v>
      </c>
      <c r="L557" s="107">
        <f t="shared" si="238"/>
        <v>0</v>
      </c>
      <c r="M557" s="105" t="s">
        <v>246</v>
      </c>
      <c r="AI557" s="42"/>
      <c r="BN557" s="42"/>
      <c r="CS557" s="42"/>
      <c r="DX557" s="42"/>
      <c r="FC557" s="42"/>
      <c r="GH557" s="42"/>
      <c r="HM557" s="42"/>
      <c r="IR557" s="42"/>
      <c r="JW557" s="42"/>
      <c r="LB557" s="42"/>
      <c r="MG557" s="42"/>
      <c r="NL557" s="42"/>
    </row>
    <row r="558" ht="15.75" customHeight="1">
      <c r="A558" s="42"/>
      <c r="B558" s="42"/>
      <c r="C558" s="42"/>
      <c r="D558" s="38">
        <f t="shared" si="799"/>
        <v>46004</v>
      </c>
      <c r="E558" s="31" t="str">
        <f t="shared" ref="E558:I558" si="803">GC12</f>
        <v/>
      </c>
      <c r="F558" s="31" t="str">
        <f t="shared" si="803"/>
        <v/>
      </c>
      <c r="G558" s="31" t="str">
        <f t="shared" si="803"/>
        <v/>
      </c>
      <c r="H558" s="13" t="str">
        <f t="shared" si="803"/>
        <v/>
      </c>
      <c r="I558" s="13" t="str">
        <f t="shared" si="803"/>
        <v/>
      </c>
      <c r="J558" s="107" t="str">
        <f t="array" ref="J558">IFERROR(IF(XLOOKUP(CONCAT(E558,F558),'MASTER PLAN'!$AB:$AB,'MASTER PLAN'!$M:$M,0,0)=0,"",XLOOKUP(CONCAT(E558,F558),'MASTER PLAN'!$AB:$AB,'MASTER PLAN'!$M:$M,0,0)),"")</f>
        <v/>
      </c>
      <c r="K558" s="107">
        <f t="shared" si="237"/>
        <v>0</v>
      </c>
      <c r="L558" s="107">
        <f t="shared" si="238"/>
        <v>0</v>
      </c>
      <c r="M558" s="105" t="s">
        <v>248</v>
      </c>
      <c r="AI558" s="42"/>
      <c r="BN558" s="42"/>
      <c r="CS558" s="42"/>
      <c r="DX558" s="42"/>
      <c r="FC558" s="42"/>
      <c r="GH558" s="42"/>
      <c r="HM558" s="42"/>
      <c r="IR558" s="42"/>
      <c r="JW558" s="42"/>
      <c r="LB558" s="42"/>
      <c r="MG558" s="42"/>
      <c r="NL558" s="42"/>
    </row>
    <row r="559" ht="15.75" customHeight="1">
      <c r="A559" s="42"/>
      <c r="B559" s="42"/>
      <c r="C559" s="42"/>
      <c r="D559" s="38">
        <f t="shared" si="799"/>
        <v>46004</v>
      </c>
      <c r="E559" s="31" t="str">
        <f t="shared" ref="E559:I559" si="804">GC13</f>
        <v/>
      </c>
      <c r="F559" s="31" t="str">
        <f t="shared" si="804"/>
        <v/>
      </c>
      <c r="G559" s="31" t="str">
        <f t="shared" si="804"/>
        <v/>
      </c>
      <c r="H559" s="13" t="str">
        <f t="shared" si="804"/>
        <v/>
      </c>
      <c r="I559" s="13" t="str">
        <f t="shared" si="804"/>
        <v/>
      </c>
      <c r="J559" s="107" t="str">
        <f t="array" ref="J559">IFERROR(IF(XLOOKUP(CONCAT(E559,F559),'MASTER PLAN'!$AB:$AB,'MASTER PLAN'!$M:$M,0,0)=0,"",XLOOKUP(CONCAT(E559,F559),'MASTER PLAN'!$AB:$AB,'MASTER PLAN'!$M:$M,0,0)),"")</f>
        <v/>
      </c>
      <c r="K559" s="107">
        <f t="shared" si="237"/>
        <v>0</v>
      </c>
      <c r="L559" s="107">
        <f t="shared" si="238"/>
        <v>0</v>
      </c>
      <c r="M559" s="105" t="s">
        <v>248</v>
      </c>
      <c r="AI559" s="42"/>
      <c r="BN559" s="42"/>
      <c r="CS559" s="42"/>
      <c r="DX559" s="42"/>
      <c r="FC559" s="42"/>
      <c r="GH559" s="42"/>
      <c r="HM559" s="42"/>
      <c r="IR559" s="42"/>
      <c r="JW559" s="42"/>
      <c r="LB559" s="42"/>
      <c r="MG559" s="42"/>
      <c r="NL559" s="42"/>
    </row>
    <row r="560" ht="15.75" customHeight="1">
      <c r="A560" s="42"/>
      <c r="B560" s="42"/>
      <c r="C560" s="42"/>
      <c r="D560" s="38">
        <f t="shared" si="799"/>
        <v>46004</v>
      </c>
      <c r="E560" s="31" t="str">
        <f t="shared" ref="E560:I560" si="805">GC14</f>
        <v/>
      </c>
      <c r="F560" s="31" t="str">
        <f t="shared" si="805"/>
        <v/>
      </c>
      <c r="G560" s="31" t="str">
        <f t="shared" si="805"/>
        <v/>
      </c>
      <c r="H560" s="13" t="str">
        <f t="shared" si="805"/>
        <v/>
      </c>
      <c r="I560" s="13" t="str">
        <f t="shared" si="805"/>
        <v/>
      </c>
      <c r="J560" s="107" t="str">
        <f t="array" ref="J560">IFERROR(IF(XLOOKUP(CONCAT(E560,F560),'MASTER PLAN'!$AB:$AB,'MASTER PLAN'!$M:$M,0,0)=0,"",XLOOKUP(CONCAT(E560,F560),'MASTER PLAN'!$AB:$AB,'MASTER PLAN'!$M:$M,0,0)),"")</f>
        <v/>
      </c>
      <c r="K560" s="107">
        <f t="shared" si="237"/>
        <v>0</v>
      </c>
      <c r="L560" s="107">
        <f t="shared" si="238"/>
        <v>0</v>
      </c>
      <c r="M560" s="105" t="s">
        <v>248</v>
      </c>
      <c r="AI560" s="42"/>
      <c r="BN560" s="42"/>
      <c r="CS560" s="42"/>
      <c r="DX560" s="42"/>
      <c r="FC560" s="42"/>
      <c r="GH560" s="42"/>
      <c r="HM560" s="42"/>
      <c r="IR560" s="42"/>
      <c r="JW560" s="42"/>
      <c r="LB560" s="42"/>
      <c r="MG560" s="42"/>
      <c r="NL560" s="42"/>
    </row>
    <row r="561" ht="15.75" customHeight="1">
      <c r="A561" s="42"/>
      <c r="B561" s="42"/>
      <c r="C561" s="42"/>
      <c r="D561" s="38">
        <f t="shared" si="799"/>
        <v>46004</v>
      </c>
      <c r="E561" s="31" t="str">
        <f t="shared" ref="E561:I561" si="806">GC15</f>
        <v/>
      </c>
      <c r="F561" s="31" t="str">
        <f t="shared" si="806"/>
        <v/>
      </c>
      <c r="G561" s="31" t="str">
        <f t="shared" si="806"/>
        <v/>
      </c>
      <c r="H561" s="13" t="str">
        <f t="shared" si="806"/>
        <v/>
      </c>
      <c r="I561" s="13" t="str">
        <f t="shared" si="806"/>
        <v/>
      </c>
      <c r="J561" s="107" t="str">
        <f t="array" ref="J561">IFERROR(IF(XLOOKUP(CONCAT(E561,F561),'MASTER PLAN'!$AB:$AB,'MASTER PLAN'!$M:$M,0,0)=0,"",XLOOKUP(CONCAT(E561,F561),'MASTER PLAN'!$AB:$AB,'MASTER PLAN'!$M:$M,0,0)),"")</f>
        <v/>
      </c>
      <c r="K561" s="107">
        <f t="shared" si="237"/>
        <v>0</v>
      </c>
      <c r="L561" s="107">
        <f t="shared" si="238"/>
        <v>0</v>
      </c>
      <c r="M561" s="105" t="s">
        <v>248</v>
      </c>
      <c r="AI561" s="42"/>
      <c r="BN561" s="42"/>
      <c r="CS561" s="42"/>
      <c r="DX561" s="42"/>
      <c r="FC561" s="42"/>
      <c r="GH561" s="42"/>
      <c r="HM561" s="42"/>
      <c r="IR561" s="42"/>
      <c r="JW561" s="42"/>
      <c r="LB561" s="42"/>
      <c r="MG561" s="42"/>
      <c r="NL561" s="42"/>
    </row>
    <row r="562" ht="15.75" customHeight="1">
      <c r="A562" s="42"/>
      <c r="B562" s="42"/>
      <c r="C562" s="42"/>
      <c r="D562" s="38">
        <f t="shared" si="799"/>
        <v>46004</v>
      </c>
      <c r="E562" s="31" t="str">
        <f t="shared" ref="E562:I562" si="807">GC16</f>
        <v/>
      </c>
      <c r="F562" s="31" t="str">
        <f t="shared" si="807"/>
        <v/>
      </c>
      <c r="G562" s="31" t="str">
        <f t="shared" si="807"/>
        <v/>
      </c>
      <c r="H562" s="13" t="str">
        <f t="shared" si="807"/>
        <v/>
      </c>
      <c r="I562" s="13" t="str">
        <f t="shared" si="807"/>
        <v/>
      </c>
      <c r="J562" s="107" t="str">
        <f t="array" ref="J562">IFERROR(IF(XLOOKUP(CONCAT(E562,F562),'MASTER PLAN'!$AB:$AB,'MASTER PLAN'!$M:$M,0,0)=0,"",XLOOKUP(CONCAT(E562,F562),'MASTER PLAN'!$AB:$AB,'MASTER PLAN'!$M:$M,0,0)),"")</f>
        <v/>
      </c>
      <c r="K562" s="107">
        <f t="shared" si="237"/>
        <v>0</v>
      </c>
      <c r="L562" s="107">
        <f t="shared" si="238"/>
        <v>0</v>
      </c>
      <c r="M562" s="105" t="s">
        <v>248</v>
      </c>
      <c r="AI562" s="42"/>
      <c r="BN562" s="42"/>
      <c r="CS562" s="42"/>
      <c r="DX562" s="42"/>
      <c r="FC562" s="42"/>
      <c r="GH562" s="42"/>
      <c r="HM562" s="42"/>
      <c r="IR562" s="42"/>
      <c r="JW562" s="42"/>
      <c r="LB562" s="42"/>
      <c r="MG562" s="42"/>
      <c r="NL562" s="42"/>
    </row>
    <row r="563" ht="15.75" customHeight="1">
      <c r="A563" s="42"/>
      <c r="B563" s="42"/>
      <c r="C563" s="42"/>
      <c r="D563" s="38">
        <f t="shared" si="799"/>
        <v>46004</v>
      </c>
      <c r="E563" s="31" t="str">
        <f t="shared" ref="E563:I563" si="808">GC20</f>
        <v/>
      </c>
      <c r="F563" s="31" t="str">
        <f t="shared" si="808"/>
        <v/>
      </c>
      <c r="G563" s="31" t="str">
        <f t="shared" si="808"/>
        <v/>
      </c>
      <c r="H563" s="13" t="str">
        <f t="shared" si="808"/>
        <v/>
      </c>
      <c r="I563" s="13" t="str">
        <f t="shared" si="808"/>
        <v/>
      </c>
      <c r="J563" s="107" t="str">
        <f t="array" ref="J563">IFERROR(IF(XLOOKUP(CONCAT(E563,F563),'MASTER PLAN'!$AB:$AB,'MASTER PLAN'!$M:$M,0,0)=0,"",XLOOKUP(CONCAT(E563,F563),'MASTER PLAN'!$AB:$AB,'MASTER PLAN'!$M:$M,0,0)),"")</f>
        <v/>
      </c>
      <c r="K563" s="107">
        <f t="shared" si="237"/>
        <v>0</v>
      </c>
      <c r="L563" s="107">
        <f t="shared" si="238"/>
        <v>0</v>
      </c>
      <c r="M563" s="105" t="s">
        <v>249</v>
      </c>
      <c r="AI563" s="42"/>
      <c r="BN563" s="42"/>
      <c r="CS563" s="42"/>
      <c r="DX563" s="42"/>
      <c r="FC563" s="42"/>
      <c r="GH563" s="42"/>
      <c r="HM563" s="42"/>
      <c r="IR563" s="42"/>
      <c r="JW563" s="42"/>
      <c r="LB563" s="42"/>
      <c r="MG563" s="42"/>
      <c r="NL563" s="42"/>
    </row>
    <row r="564" ht="15.75" customHeight="1">
      <c r="A564" s="42"/>
      <c r="B564" s="42"/>
      <c r="C564" s="42"/>
      <c r="D564" s="38">
        <f t="shared" si="799"/>
        <v>46004</v>
      </c>
      <c r="E564" s="31" t="str">
        <f t="shared" ref="E564:I564" si="809">GC21</f>
        <v/>
      </c>
      <c r="F564" s="31" t="str">
        <f t="shared" si="809"/>
        <v/>
      </c>
      <c r="G564" s="31" t="str">
        <f t="shared" si="809"/>
        <v/>
      </c>
      <c r="H564" s="13" t="str">
        <f t="shared" si="809"/>
        <v/>
      </c>
      <c r="I564" s="13" t="str">
        <f t="shared" si="809"/>
        <v/>
      </c>
      <c r="J564" s="107" t="str">
        <f t="array" ref="J564">IFERROR(IF(XLOOKUP(CONCAT(E564,F564),'MASTER PLAN'!$AB:$AB,'MASTER PLAN'!$M:$M,0,0)=0,"",XLOOKUP(CONCAT(E564,F564),'MASTER PLAN'!$AB:$AB,'MASTER PLAN'!$M:$M,0,0)),"")</f>
        <v/>
      </c>
      <c r="K564" s="107">
        <f t="shared" si="237"/>
        <v>0</v>
      </c>
      <c r="L564" s="107">
        <f t="shared" si="238"/>
        <v>0</v>
      </c>
      <c r="M564" s="105" t="s">
        <v>249</v>
      </c>
      <c r="AI564" s="42"/>
      <c r="BN564" s="42"/>
      <c r="CS564" s="42"/>
      <c r="DX564" s="42"/>
      <c r="FC564" s="42"/>
      <c r="GH564" s="42"/>
      <c r="HM564" s="42"/>
      <c r="IR564" s="42"/>
      <c r="JW564" s="42"/>
      <c r="LB564" s="42"/>
      <c r="MG564" s="42"/>
      <c r="NL564" s="42"/>
    </row>
    <row r="565" ht="15.75" customHeight="1">
      <c r="A565" s="42"/>
      <c r="B565" s="42"/>
      <c r="C565" s="42"/>
      <c r="D565" s="38">
        <f t="shared" si="799"/>
        <v>46004</v>
      </c>
      <c r="E565" s="31" t="str">
        <f t="shared" ref="E565:I565" si="810">GC22</f>
        <v/>
      </c>
      <c r="F565" s="31" t="str">
        <f t="shared" si="810"/>
        <v/>
      </c>
      <c r="G565" s="31" t="str">
        <f t="shared" si="810"/>
        <v/>
      </c>
      <c r="H565" s="13" t="str">
        <f t="shared" si="810"/>
        <v/>
      </c>
      <c r="I565" s="13" t="str">
        <f t="shared" si="810"/>
        <v/>
      </c>
      <c r="J565" s="107" t="str">
        <f t="array" ref="J565">IFERROR(IF(XLOOKUP(CONCAT(E565,F565),'MASTER PLAN'!$AB:$AB,'MASTER PLAN'!$M:$M,0,0)=0,"",XLOOKUP(CONCAT(E565,F565),'MASTER PLAN'!$AB:$AB,'MASTER PLAN'!$M:$M,0,0)),"")</f>
        <v/>
      </c>
      <c r="K565" s="107">
        <f t="shared" si="237"/>
        <v>0</v>
      </c>
      <c r="L565" s="107">
        <f t="shared" si="238"/>
        <v>0</v>
      </c>
      <c r="M565" s="105" t="s">
        <v>249</v>
      </c>
      <c r="AI565" s="42"/>
      <c r="BN565" s="42"/>
      <c r="CS565" s="42"/>
      <c r="DX565" s="42"/>
      <c r="FC565" s="42"/>
      <c r="GH565" s="42"/>
      <c r="HM565" s="42"/>
      <c r="IR565" s="42"/>
      <c r="JW565" s="42"/>
      <c r="LB565" s="42"/>
      <c r="MG565" s="42"/>
      <c r="NL565" s="42"/>
    </row>
    <row r="566" ht="15.75" customHeight="1">
      <c r="A566" s="42"/>
      <c r="B566" s="42"/>
      <c r="C566" s="42"/>
      <c r="D566" s="38">
        <f t="shared" si="799"/>
        <v>46004</v>
      </c>
      <c r="E566" s="31" t="str">
        <f t="shared" ref="E566:I566" si="811">GC23</f>
        <v/>
      </c>
      <c r="F566" s="31" t="str">
        <f t="shared" si="811"/>
        <v/>
      </c>
      <c r="G566" s="31" t="str">
        <f t="shared" si="811"/>
        <v/>
      </c>
      <c r="H566" s="13" t="str">
        <f t="shared" si="811"/>
        <v/>
      </c>
      <c r="I566" s="13" t="str">
        <f t="shared" si="811"/>
        <v/>
      </c>
      <c r="J566" s="107" t="str">
        <f t="array" ref="J566">IFERROR(IF(XLOOKUP(CONCAT(E566,F566),'MASTER PLAN'!$AB:$AB,'MASTER PLAN'!$M:$M,0,0)=0,"",XLOOKUP(CONCAT(E566,F566),'MASTER PLAN'!$AB:$AB,'MASTER PLAN'!$M:$M,0,0)),"")</f>
        <v/>
      </c>
      <c r="K566" s="107">
        <f t="shared" si="237"/>
        <v>0</v>
      </c>
      <c r="L566" s="107">
        <f t="shared" si="238"/>
        <v>0</v>
      </c>
      <c r="M566" s="105" t="s">
        <v>249</v>
      </c>
      <c r="AI566" s="42"/>
      <c r="BN566" s="42"/>
      <c r="CS566" s="42"/>
      <c r="DX566" s="42"/>
      <c r="FC566" s="42"/>
      <c r="GH566" s="42"/>
      <c r="HM566" s="42"/>
      <c r="IR566" s="42"/>
      <c r="JW566" s="42"/>
      <c r="LB566" s="42"/>
      <c r="MG566" s="42"/>
      <c r="NL566" s="42"/>
    </row>
    <row r="567" ht="15.75" customHeight="1">
      <c r="A567" s="42"/>
      <c r="B567" s="42"/>
      <c r="C567" s="42"/>
      <c r="D567" s="38">
        <f t="shared" si="799"/>
        <v>46004</v>
      </c>
      <c r="E567" s="31" t="str">
        <f t="shared" ref="E567:I567" si="812">GC24</f>
        <v/>
      </c>
      <c r="F567" s="31" t="str">
        <f t="shared" si="812"/>
        <v/>
      </c>
      <c r="G567" s="31" t="str">
        <f t="shared" si="812"/>
        <v/>
      </c>
      <c r="H567" s="13" t="str">
        <f t="shared" si="812"/>
        <v/>
      </c>
      <c r="I567" s="13" t="str">
        <f t="shared" si="812"/>
        <v/>
      </c>
      <c r="J567" s="107" t="str">
        <f t="array" ref="J567">IFERROR(IF(XLOOKUP(CONCAT(E567,F567),'MASTER PLAN'!$AB:$AB,'MASTER PLAN'!$M:$M,0,0)=0,"",XLOOKUP(CONCAT(E567,F567),'MASTER PLAN'!$AB:$AB,'MASTER PLAN'!$M:$M,0,0)),"")</f>
        <v/>
      </c>
      <c r="K567" s="107">
        <f t="shared" si="237"/>
        <v>0</v>
      </c>
      <c r="L567" s="107">
        <f t="shared" si="238"/>
        <v>0</v>
      </c>
      <c r="M567" s="105" t="s">
        <v>249</v>
      </c>
      <c r="AI567" s="42"/>
      <c r="BN567" s="42"/>
      <c r="CS567" s="42"/>
      <c r="DX567" s="42"/>
      <c r="FC567" s="42"/>
      <c r="GH567" s="42"/>
      <c r="HM567" s="42"/>
      <c r="IR567" s="42"/>
      <c r="JW567" s="42"/>
      <c r="LB567" s="42"/>
      <c r="MG567" s="42"/>
      <c r="NL567" s="42"/>
    </row>
    <row r="568" ht="15.75" customHeight="1">
      <c r="A568" s="42"/>
      <c r="B568" s="42"/>
      <c r="C568" s="42"/>
      <c r="D568" s="38">
        <f>GI2</f>
        <v>46006</v>
      </c>
      <c r="E568" s="31">
        <f t="shared" ref="E568:I568" si="813">GI4</f>
        <v>1402049318</v>
      </c>
      <c r="F568" s="31">
        <f t="shared" si="813"/>
        <v>20</v>
      </c>
      <c r="G568" s="31" t="str">
        <f t="shared" si="813"/>
        <v>BOLSA WATERFALL JEWELERS 8"X4"X10"</v>
      </c>
      <c r="H568" s="13">
        <f t="shared" si="813"/>
        <v>3000</v>
      </c>
      <c r="I568" s="13" t="str">
        <f t="shared" si="813"/>
        <v/>
      </c>
      <c r="J568" s="107">
        <f t="array" ref="J568">IFERROR(IF(XLOOKUP(CONCAT(E568,F568),'MASTER PLAN'!$AB:$AB,'MASTER PLAN'!$M:$M,0,0)=0,"",XLOOKUP(CONCAT(E568,F568),'MASTER PLAN'!$AB:$AB,'MASTER PLAN'!$M:$M,0,0)),"")</f>
        <v>3.104</v>
      </c>
      <c r="K568" s="107">
        <f t="shared" si="237"/>
        <v>9312</v>
      </c>
      <c r="L568" s="107">
        <f t="shared" si="238"/>
        <v>0</v>
      </c>
      <c r="M568" s="105" t="s">
        <v>246</v>
      </c>
      <c r="AI568" s="42"/>
      <c r="BN568" s="42"/>
      <c r="CS568" s="42"/>
      <c r="DX568" s="42"/>
      <c r="FC568" s="42"/>
      <c r="GH568" s="42"/>
      <c r="HM568" s="42"/>
      <c r="IR568" s="42"/>
      <c r="JW568" s="42"/>
      <c r="LB568" s="42"/>
      <c r="MG568" s="42"/>
      <c r="NL568" s="42"/>
    </row>
    <row r="569" ht="15.75" customHeight="1">
      <c r="A569" s="42"/>
      <c r="B569" s="42"/>
      <c r="C569" s="42"/>
      <c r="D569" s="38">
        <f t="shared" ref="D569:D582" si="815">D568</f>
        <v>46006</v>
      </c>
      <c r="E569" s="31" t="str">
        <f t="shared" ref="E569:I569" si="814">GI5</f>
        <v/>
      </c>
      <c r="F569" s="31" t="str">
        <f t="shared" si="814"/>
        <v/>
      </c>
      <c r="G569" s="31" t="str">
        <f t="shared" si="814"/>
        <v/>
      </c>
      <c r="H569" s="13" t="str">
        <f t="shared" si="814"/>
        <v/>
      </c>
      <c r="I569" s="13" t="str">
        <f t="shared" si="814"/>
        <v/>
      </c>
      <c r="J569" s="107" t="str">
        <f t="array" ref="J569">IFERROR(IF(XLOOKUP(CONCAT(E569,F569),'MASTER PLAN'!$AB:$AB,'MASTER PLAN'!$M:$M,0,0)=0,"",XLOOKUP(CONCAT(E569,F569),'MASTER PLAN'!$AB:$AB,'MASTER PLAN'!$M:$M,0,0)),"")</f>
        <v/>
      </c>
      <c r="K569" s="107">
        <f t="shared" si="237"/>
        <v>0</v>
      </c>
      <c r="L569" s="107">
        <f t="shared" si="238"/>
        <v>0</v>
      </c>
      <c r="M569" s="105" t="s">
        <v>246</v>
      </c>
      <c r="AI569" s="42"/>
      <c r="BN569" s="42"/>
      <c r="CS569" s="42"/>
      <c r="DX569" s="42"/>
      <c r="FC569" s="42"/>
      <c r="GH569" s="42"/>
      <c r="HM569" s="42"/>
      <c r="IR569" s="42"/>
      <c r="JW569" s="42"/>
      <c r="LB569" s="42"/>
      <c r="MG569" s="42"/>
      <c r="NL569" s="42"/>
    </row>
    <row r="570" ht="15.75" customHeight="1">
      <c r="A570" s="42"/>
      <c r="B570" s="42"/>
      <c r="C570" s="42"/>
      <c r="D570" s="38">
        <f t="shared" si="815"/>
        <v>46006</v>
      </c>
      <c r="E570" s="31" t="str">
        <f t="shared" ref="E570:I570" si="816">GI6</f>
        <v/>
      </c>
      <c r="F570" s="31" t="str">
        <f t="shared" si="816"/>
        <v/>
      </c>
      <c r="G570" s="31" t="str">
        <f t="shared" si="816"/>
        <v/>
      </c>
      <c r="H570" s="13" t="str">
        <f t="shared" si="816"/>
        <v/>
      </c>
      <c r="I570" s="13" t="str">
        <f t="shared" si="816"/>
        <v/>
      </c>
      <c r="J570" s="107" t="str">
        <f t="array" ref="J570">IFERROR(IF(XLOOKUP(CONCAT(E570,F570),'MASTER PLAN'!$AB:$AB,'MASTER PLAN'!$M:$M,0,0)=0,"",XLOOKUP(CONCAT(E570,F570),'MASTER PLAN'!$AB:$AB,'MASTER PLAN'!$M:$M,0,0)),"")</f>
        <v/>
      </c>
      <c r="K570" s="107">
        <f t="shared" si="237"/>
        <v>0</v>
      </c>
      <c r="L570" s="107">
        <f t="shared" si="238"/>
        <v>0</v>
      </c>
      <c r="M570" s="105" t="s">
        <v>246</v>
      </c>
      <c r="AI570" s="42"/>
      <c r="BN570" s="42"/>
      <c r="CS570" s="42"/>
      <c r="DX570" s="42"/>
      <c r="FC570" s="42"/>
      <c r="GH570" s="42"/>
      <c r="HM570" s="42"/>
      <c r="IR570" s="42"/>
      <c r="JW570" s="42"/>
      <c r="LB570" s="42"/>
      <c r="MG570" s="42"/>
      <c r="NL570" s="42"/>
    </row>
    <row r="571" ht="15.75" customHeight="1">
      <c r="A571" s="42"/>
      <c r="B571" s="42"/>
      <c r="C571" s="42"/>
      <c r="D571" s="38">
        <f t="shared" si="815"/>
        <v>46006</v>
      </c>
      <c r="E571" s="31" t="str">
        <f t="shared" ref="E571:I571" si="817">GI7</f>
        <v/>
      </c>
      <c r="F571" s="31" t="str">
        <f t="shared" si="817"/>
        <v/>
      </c>
      <c r="G571" s="31" t="str">
        <f t="shared" si="817"/>
        <v/>
      </c>
      <c r="H571" s="13" t="str">
        <f t="shared" si="817"/>
        <v/>
      </c>
      <c r="I571" s="13" t="str">
        <f t="shared" si="817"/>
        <v/>
      </c>
      <c r="J571" s="107" t="str">
        <f t="array" ref="J571">IFERROR(IF(XLOOKUP(CONCAT(E571,F571),'MASTER PLAN'!$AB:$AB,'MASTER PLAN'!$M:$M,0,0)=0,"",XLOOKUP(CONCAT(E571,F571),'MASTER PLAN'!$AB:$AB,'MASTER PLAN'!$M:$M,0,0)),"")</f>
        <v/>
      </c>
      <c r="K571" s="107">
        <f t="shared" si="237"/>
        <v>0</v>
      </c>
      <c r="L571" s="107">
        <f t="shared" si="238"/>
        <v>0</v>
      </c>
      <c r="M571" s="105" t="s">
        <v>246</v>
      </c>
      <c r="AI571" s="42"/>
      <c r="BN571" s="42"/>
      <c r="CS571" s="42"/>
      <c r="DX571" s="42"/>
      <c r="FC571" s="42"/>
      <c r="GH571" s="42"/>
      <c r="HM571" s="42"/>
      <c r="IR571" s="42"/>
      <c r="JW571" s="42"/>
      <c r="LB571" s="42"/>
      <c r="MG571" s="42"/>
      <c r="NL571" s="42"/>
    </row>
    <row r="572" ht="15.75" customHeight="1">
      <c r="A572" s="42"/>
      <c r="B572" s="42"/>
      <c r="C572" s="42"/>
      <c r="D572" s="38">
        <f t="shared" si="815"/>
        <v>46006</v>
      </c>
      <c r="E572" s="31" t="str">
        <f t="shared" ref="E572:I572" si="818">GI8</f>
        <v/>
      </c>
      <c r="F572" s="31" t="str">
        <f t="shared" si="818"/>
        <v/>
      </c>
      <c r="G572" s="31" t="str">
        <f t="shared" si="818"/>
        <v/>
      </c>
      <c r="H572" s="13" t="str">
        <f t="shared" si="818"/>
        <v/>
      </c>
      <c r="I572" s="13" t="str">
        <f t="shared" si="818"/>
        <v/>
      </c>
      <c r="J572" s="107" t="str">
        <f t="array" ref="J572">IFERROR(IF(XLOOKUP(CONCAT(E572,F572),'MASTER PLAN'!$AB:$AB,'MASTER PLAN'!$M:$M,0,0)=0,"",XLOOKUP(CONCAT(E572,F572),'MASTER PLAN'!$AB:$AB,'MASTER PLAN'!$M:$M,0,0)),"")</f>
        <v/>
      </c>
      <c r="K572" s="107">
        <f t="shared" si="237"/>
        <v>0</v>
      </c>
      <c r="L572" s="107">
        <f t="shared" si="238"/>
        <v>0</v>
      </c>
      <c r="M572" s="105" t="s">
        <v>246</v>
      </c>
      <c r="AI572" s="42"/>
      <c r="BN572" s="42"/>
      <c r="CS572" s="42"/>
      <c r="DX572" s="42"/>
      <c r="FC572" s="42"/>
      <c r="GH572" s="42"/>
      <c r="HM572" s="42"/>
      <c r="IR572" s="42"/>
      <c r="JW572" s="42"/>
      <c r="LB572" s="42"/>
      <c r="MG572" s="42"/>
      <c r="NL572" s="42"/>
    </row>
    <row r="573" ht="15.75" customHeight="1">
      <c r="A573" s="42"/>
      <c r="B573" s="42"/>
      <c r="C573" s="42"/>
      <c r="D573" s="38">
        <f t="shared" si="815"/>
        <v>46006</v>
      </c>
      <c r="E573" s="31">
        <f t="shared" ref="E573:I573" si="819">GI12</f>
        <v>1402049318</v>
      </c>
      <c r="F573" s="31">
        <f t="shared" si="819"/>
        <v>10</v>
      </c>
      <c r="G573" s="31" t="str">
        <f t="shared" si="819"/>
        <v>BOLSA WATERFALL JEWELERS 6-5"X3-5"X6-5"</v>
      </c>
      <c r="H573" s="13">
        <f t="shared" si="819"/>
        <v>800</v>
      </c>
      <c r="I573" s="13" t="str">
        <f t="shared" si="819"/>
        <v/>
      </c>
      <c r="J573" s="107">
        <f t="array" ref="J573">IFERROR(IF(XLOOKUP(CONCAT(E573,F573),'MASTER PLAN'!$AB:$AB,'MASTER PLAN'!$M:$M,0,0)=0,"",XLOOKUP(CONCAT(E573,F573),'MASTER PLAN'!$AB:$AB,'MASTER PLAN'!$M:$M,0,0)),"")</f>
        <v>2.376</v>
      </c>
      <c r="K573" s="107">
        <f t="shared" si="237"/>
        <v>1900.8</v>
      </c>
      <c r="L573" s="107">
        <f t="shared" si="238"/>
        <v>0</v>
      </c>
      <c r="M573" s="105" t="s">
        <v>248</v>
      </c>
      <c r="AI573" s="42"/>
      <c r="BN573" s="42"/>
      <c r="CS573" s="42"/>
      <c r="DX573" s="42"/>
      <c r="FC573" s="42"/>
      <c r="GH573" s="42"/>
      <c r="HM573" s="42"/>
      <c r="IR573" s="42"/>
      <c r="JW573" s="42"/>
      <c r="LB573" s="42"/>
      <c r="MG573" s="42"/>
      <c r="NL573" s="42"/>
    </row>
    <row r="574" ht="15.75" customHeight="1">
      <c r="A574" s="42"/>
      <c r="B574" s="42"/>
      <c r="C574" s="42"/>
      <c r="D574" s="38">
        <f t="shared" si="815"/>
        <v>46006</v>
      </c>
      <c r="E574" s="31">
        <f t="shared" ref="E574:I574" si="820">GI13</f>
        <v>1402049351</v>
      </c>
      <c r="F574" s="31">
        <f t="shared" si="820"/>
        <v>10</v>
      </c>
      <c r="G574" s="31" t="str">
        <f t="shared" si="820"/>
        <v>BOLSA WATERFALL JEWELERS 6-5"X3-5"X6-5"</v>
      </c>
      <c r="H574" s="13">
        <f t="shared" si="820"/>
        <v>2000</v>
      </c>
      <c r="I574" s="13" t="str">
        <f t="shared" si="820"/>
        <v/>
      </c>
      <c r="J574" s="107">
        <f t="array" ref="J574">IFERROR(IF(XLOOKUP(CONCAT(E574,F574),'MASTER PLAN'!$AB:$AB,'MASTER PLAN'!$M:$M,0,0)=0,"",XLOOKUP(CONCAT(E574,F574),'MASTER PLAN'!$AB:$AB,'MASTER PLAN'!$M:$M,0,0)),"")</f>
        <v>2.376</v>
      </c>
      <c r="K574" s="107">
        <f t="shared" si="237"/>
        <v>4752</v>
      </c>
      <c r="L574" s="107">
        <f t="shared" si="238"/>
        <v>0</v>
      </c>
      <c r="M574" s="105" t="s">
        <v>248</v>
      </c>
      <c r="AI574" s="42"/>
      <c r="BN574" s="42"/>
      <c r="CS574" s="42"/>
      <c r="DX574" s="42"/>
      <c r="FC574" s="42"/>
      <c r="GH574" s="42"/>
      <c r="HM574" s="42"/>
      <c r="IR574" s="42"/>
      <c r="JW574" s="42"/>
      <c r="LB574" s="42"/>
      <c r="MG574" s="42"/>
      <c r="NL574" s="42"/>
    </row>
    <row r="575" ht="15.75" customHeight="1">
      <c r="A575" s="42"/>
      <c r="B575" s="42"/>
      <c r="C575" s="42"/>
      <c r="D575" s="38">
        <f t="shared" si="815"/>
        <v>46006</v>
      </c>
      <c r="E575" s="31" t="str">
        <f t="shared" ref="E575:I575" si="821">GI14</f>
        <v/>
      </c>
      <c r="F575" s="31" t="str">
        <f t="shared" si="821"/>
        <v/>
      </c>
      <c r="G575" s="31" t="str">
        <f t="shared" si="821"/>
        <v/>
      </c>
      <c r="H575" s="13" t="str">
        <f t="shared" si="821"/>
        <v/>
      </c>
      <c r="I575" s="13" t="str">
        <f t="shared" si="821"/>
        <v/>
      </c>
      <c r="J575" s="107" t="str">
        <f t="array" ref="J575">IFERROR(IF(XLOOKUP(CONCAT(E575,F575),'MASTER PLAN'!$AB:$AB,'MASTER PLAN'!$M:$M,0,0)=0,"",XLOOKUP(CONCAT(E575,F575),'MASTER PLAN'!$AB:$AB,'MASTER PLAN'!$M:$M,0,0)),"")</f>
        <v/>
      </c>
      <c r="K575" s="107">
        <f t="shared" si="237"/>
        <v>0</v>
      </c>
      <c r="L575" s="107">
        <f t="shared" si="238"/>
        <v>0</v>
      </c>
      <c r="M575" s="105" t="s">
        <v>248</v>
      </c>
      <c r="AI575" s="42"/>
      <c r="BN575" s="42"/>
      <c r="CS575" s="42"/>
      <c r="DX575" s="42"/>
      <c r="FC575" s="42"/>
      <c r="GH575" s="42"/>
      <c r="HM575" s="42"/>
      <c r="IR575" s="42"/>
      <c r="JW575" s="42"/>
      <c r="LB575" s="42"/>
      <c r="MG575" s="42"/>
      <c r="NL575" s="42"/>
    </row>
    <row r="576" ht="15.75" customHeight="1">
      <c r="A576" s="42"/>
      <c r="B576" s="42"/>
      <c r="C576" s="42"/>
      <c r="D576" s="38">
        <f t="shared" si="815"/>
        <v>46006</v>
      </c>
      <c r="E576" s="31" t="str">
        <f t="shared" ref="E576:I576" si="822">GI15</f>
        <v/>
      </c>
      <c r="F576" s="31" t="str">
        <f t="shared" si="822"/>
        <v/>
      </c>
      <c r="G576" s="31" t="str">
        <f t="shared" si="822"/>
        <v/>
      </c>
      <c r="H576" s="13" t="str">
        <f t="shared" si="822"/>
        <v/>
      </c>
      <c r="I576" s="13" t="str">
        <f t="shared" si="822"/>
        <v/>
      </c>
      <c r="J576" s="107" t="str">
        <f t="array" ref="J576">IFERROR(IF(XLOOKUP(CONCAT(E576,F576),'MASTER PLAN'!$AB:$AB,'MASTER PLAN'!$M:$M,0,0)=0,"",XLOOKUP(CONCAT(E576,F576),'MASTER PLAN'!$AB:$AB,'MASTER PLAN'!$M:$M,0,0)),"")</f>
        <v/>
      </c>
      <c r="K576" s="107">
        <f t="shared" si="237"/>
        <v>0</v>
      </c>
      <c r="L576" s="107">
        <f t="shared" si="238"/>
        <v>0</v>
      </c>
      <c r="M576" s="105" t="s">
        <v>248</v>
      </c>
      <c r="AI576" s="42"/>
      <c r="BN576" s="42"/>
      <c r="CS576" s="42"/>
      <c r="DX576" s="42"/>
      <c r="FC576" s="42"/>
      <c r="GH576" s="42"/>
      <c r="HM576" s="42"/>
      <c r="IR576" s="42"/>
      <c r="JW576" s="42"/>
      <c r="LB576" s="42"/>
      <c r="MG576" s="42"/>
      <c r="NL576" s="42"/>
    </row>
    <row r="577" ht="15.75" customHeight="1">
      <c r="A577" s="42"/>
      <c r="B577" s="42"/>
      <c r="C577" s="42"/>
      <c r="D577" s="38">
        <f t="shared" si="815"/>
        <v>46006</v>
      </c>
      <c r="E577" s="31" t="str">
        <f t="shared" ref="E577:I577" si="823">GI16</f>
        <v/>
      </c>
      <c r="F577" s="31" t="str">
        <f t="shared" si="823"/>
        <v/>
      </c>
      <c r="G577" s="31" t="str">
        <f t="shared" si="823"/>
        <v/>
      </c>
      <c r="H577" s="13" t="str">
        <f t="shared" si="823"/>
        <v/>
      </c>
      <c r="I577" s="13" t="str">
        <f t="shared" si="823"/>
        <v/>
      </c>
      <c r="J577" s="107" t="str">
        <f t="array" ref="J577">IFERROR(IF(XLOOKUP(CONCAT(E577,F577),'MASTER PLAN'!$AB:$AB,'MASTER PLAN'!$M:$M,0,0)=0,"",XLOOKUP(CONCAT(E577,F577),'MASTER PLAN'!$AB:$AB,'MASTER PLAN'!$M:$M,0,0)),"")</f>
        <v/>
      </c>
      <c r="K577" s="107">
        <f t="shared" si="237"/>
        <v>0</v>
      </c>
      <c r="L577" s="107">
        <f t="shared" si="238"/>
        <v>0</v>
      </c>
      <c r="M577" s="105" t="s">
        <v>248</v>
      </c>
      <c r="AI577" s="42"/>
      <c r="BN577" s="42"/>
      <c r="CS577" s="42"/>
      <c r="DX577" s="42"/>
      <c r="FC577" s="42"/>
      <c r="GH577" s="42"/>
      <c r="HM577" s="42"/>
      <c r="IR577" s="42"/>
      <c r="JW577" s="42"/>
      <c r="LB577" s="42"/>
      <c r="MG577" s="42"/>
      <c r="NL577" s="42"/>
    </row>
    <row r="578" ht="15.75" customHeight="1">
      <c r="A578" s="42"/>
      <c r="B578" s="42"/>
      <c r="C578" s="42"/>
      <c r="D578" s="38">
        <f t="shared" si="815"/>
        <v>46006</v>
      </c>
      <c r="E578" s="31" t="str">
        <f t="shared" ref="E578:I578" si="824">GI20</f>
        <v/>
      </c>
      <c r="F578" s="31" t="str">
        <f t="shared" si="824"/>
        <v/>
      </c>
      <c r="G578" s="31" t="str">
        <f t="shared" si="824"/>
        <v/>
      </c>
      <c r="H578" s="13" t="str">
        <f t="shared" si="824"/>
        <v/>
      </c>
      <c r="I578" s="13" t="str">
        <f t="shared" si="824"/>
        <v/>
      </c>
      <c r="J578" s="107" t="str">
        <f t="array" ref="J578">IFERROR(IF(XLOOKUP(CONCAT(E578,F578),'MASTER PLAN'!$AB:$AB,'MASTER PLAN'!$M:$M,0,0)=0,"",XLOOKUP(CONCAT(E578,F578),'MASTER PLAN'!$AB:$AB,'MASTER PLAN'!$M:$M,0,0)),"")</f>
        <v/>
      </c>
      <c r="K578" s="107">
        <f t="shared" si="237"/>
        <v>0</v>
      </c>
      <c r="L578" s="107">
        <f t="shared" si="238"/>
        <v>0</v>
      </c>
      <c r="M578" s="105" t="s">
        <v>249</v>
      </c>
      <c r="AI578" s="42"/>
      <c r="BN578" s="42"/>
      <c r="CS578" s="42"/>
      <c r="DX578" s="42"/>
      <c r="FC578" s="42"/>
      <c r="GH578" s="42"/>
      <c r="HM578" s="42"/>
      <c r="IR578" s="42"/>
      <c r="JW578" s="42"/>
      <c r="LB578" s="42"/>
      <c r="MG578" s="42"/>
      <c r="NL578" s="42"/>
    </row>
    <row r="579" ht="15.75" customHeight="1">
      <c r="A579" s="42"/>
      <c r="B579" s="42"/>
      <c r="C579" s="42"/>
      <c r="D579" s="38">
        <f t="shared" si="815"/>
        <v>46006</v>
      </c>
      <c r="E579" s="31" t="str">
        <f t="shared" ref="E579:I579" si="825">GI21</f>
        <v/>
      </c>
      <c r="F579" s="31" t="str">
        <f t="shared" si="825"/>
        <v/>
      </c>
      <c r="G579" s="31" t="str">
        <f t="shared" si="825"/>
        <v/>
      </c>
      <c r="H579" s="13" t="str">
        <f t="shared" si="825"/>
        <v/>
      </c>
      <c r="I579" s="13" t="str">
        <f t="shared" si="825"/>
        <v/>
      </c>
      <c r="J579" s="107" t="str">
        <f t="array" ref="J579">IFERROR(IF(XLOOKUP(CONCAT(E579,F579),'MASTER PLAN'!$AB:$AB,'MASTER PLAN'!$M:$M,0,0)=0,"",XLOOKUP(CONCAT(E579,F579),'MASTER PLAN'!$AB:$AB,'MASTER PLAN'!$M:$M,0,0)),"")</f>
        <v/>
      </c>
      <c r="K579" s="107">
        <f t="shared" si="237"/>
        <v>0</v>
      </c>
      <c r="L579" s="107">
        <f t="shared" si="238"/>
        <v>0</v>
      </c>
      <c r="M579" s="105" t="s">
        <v>249</v>
      </c>
      <c r="AI579" s="42"/>
      <c r="BN579" s="42"/>
      <c r="CS579" s="42"/>
      <c r="DX579" s="42"/>
      <c r="FC579" s="42"/>
      <c r="GH579" s="42"/>
      <c r="HM579" s="42"/>
      <c r="IR579" s="42"/>
      <c r="JW579" s="42"/>
      <c r="LB579" s="42"/>
      <c r="MG579" s="42"/>
      <c r="NL579" s="42"/>
    </row>
    <row r="580" ht="15.75" customHeight="1">
      <c r="A580" s="42"/>
      <c r="B580" s="42"/>
      <c r="C580" s="42"/>
      <c r="D580" s="38">
        <f t="shared" si="815"/>
        <v>46006</v>
      </c>
      <c r="E580" s="31" t="str">
        <f t="shared" ref="E580:I580" si="826">GI22</f>
        <v/>
      </c>
      <c r="F580" s="31" t="str">
        <f t="shared" si="826"/>
        <v/>
      </c>
      <c r="G580" s="31" t="str">
        <f t="shared" si="826"/>
        <v/>
      </c>
      <c r="H580" s="13" t="str">
        <f t="shared" si="826"/>
        <v/>
      </c>
      <c r="I580" s="13" t="str">
        <f t="shared" si="826"/>
        <v/>
      </c>
      <c r="J580" s="107" t="str">
        <f t="array" ref="J580">IFERROR(IF(XLOOKUP(CONCAT(E580,F580),'MASTER PLAN'!$AB:$AB,'MASTER PLAN'!$M:$M,0,0)=0,"",XLOOKUP(CONCAT(E580,F580),'MASTER PLAN'!$AB:$AB,'MASTER PLAN'!$M:$M,0,0)),"")</f>
        <v/>
      </c>
      <c r="K580" s="107">
        <f t="shared" si="237"/>
        <v>0</v>
      </c>
      <c r="L580" s="107">
        <f t="shared" si="238"/>
        <v>0</v>
      </c>
      <c r="M580" s="105" t="s">
        <v>249</v>
      </c>
      <c r="AI580" s="42"/>
      <c r="BN580" s="42"/>
      <c r="CS580" s="42"/>
      <c r="DX580" s="42"/>
      <c r="FC580" s="42"/>
      <c r="GH580" s="42"/>
      <c r="HM580" s="42"/>
      <c r="IR580" s="42"/>
      <c r="JW580" s="42"/>
      <c r="LB580" s="42"/>
      <c r="MG580" s="42"/>
      <c r="NL580" s="42"/>
    </row>
    <row r="581" ht="15.75" customHeight="1">
      <c r="A581" s="42"/>
      <c r="B581" s="42"/>
      <c r="C581" s="42"/>
      <c r="D581" s="38">
        <f t="shared" si="815"/>
        <v>46006</v>
      </c>
      <c r="E581" s="31" t="str">
        <f t="shared" ref="E581:I581" si="827">GI23</f>
        <v/>
      </c>
      <c r="F581" s="31" t="str">
        <f t="shared" si="827"/>
        <v/>
      </c>
      <c r="G581" s="31" t="str">
        <f t="shared" si="827"/>
        <v/>
      </c>
      <c r="H581" s="13" t="str">
        <f t="shared" si="827"/>
        <v/>
      </c>
      <c r="I581" s="13" t="str">
        <f t="shared" si="827"/>
        <v/>
      </c>
      <c r="J581" s="107" t="str">
        <f t="array" ref="J581">IFERROR(IF(XLOOKUP(CONCAT(E581,F581),'MASTER PLAN'!$AB:$AB,'MASTER PLAN'!$M:$M,0,0)=0,"",XLOOKUP(CONCAT(E581,F581),'MASTER PLAN'!$AB:$AB,'MASTER PLAN'!$M:$M,0,0)),"")</f>
        <v/>
      </c>
      <c r="K581" s="107">
        <f t="shared" si="237"/>
        <v>0</v>
      </c>
      <c r="L581" s="107">
        <f t="shared" si="238"/>
        <v>0</v>
      </c>
      <c r="M581" s="105" t="s">
        <v>249</v>
      </c>
      <c r="AI581" s="42"/>
      <c r="BN581" s="42"/>
      <c r="CS581" s="42"/>
      <c r="DX581" s="42"/>
      <c r="FC581" s="42"/>
      <c r="GH581" s="42"/>
      <c r="HM581" s="42"/>
      <c r="IR581" s="42"/>
      <c r="JW581" s="42"/>
      <c r="LB581" s="42"/>
      <c r="MG581" s="42"/>
      <c r="NL581" s="42"/>
    </row>
    <row r="582" ht="15.75" customHeight="1">
      <c r="A582" s="42"/>
      <c r="B582" s="42"/>
      <c r="C582" s="42"/>
      <c r="D582" s="38">
        <f t="shared" si="815"/>
        <v>46006</v>
      </c>
      <c r="E582" s="31" t="str">
        <f t="shared" ref="E582:I582" si="828">GI24</f>
        <v/>
      </c>
      <c r="F582" s="31" t="str">
        <f t="shared" si="828"/>
        <v/>
      </c>
      <c r="G582" s="31" t="str">
        <f t="shared" si="828"/>
        <v/>
      </c>
      <c r="H582" s="13" t="str">
        <f t="shared" si="828"/>
        <v/>
      </c>
      <c r="I582" s="13" t="str">
        <f t="shared" si="828"/>
        <v/>
      </c>
      <c r="J582" s="107" t="str">
        <f t="array" ref="J582">IFERROR(IF(XLOOKUP(CONCAT(E582,F582),'MASTER PLAN'!$AB:$AB,'MASTER PLAN'!$M:$M,0,0)=0,"",XLOOKUP(CONCAT(E582,F582),'MASTER PLAN'!$AB:$AB,'MASTER PLAN'!$M:$M,0,0)),"")</f>
        <v/>
      </c>
      <c r="K582" s="107">
        <f t="shared" si="237"/>
        <v>0</v>
      </c>
      <c r="L582" s="107">
        <f t="shared" si="238"/>
        <v>0</v>
      </c>
      <c r="M582" s="105" t="s">
        <v>249</v>
      </c>
      <c r="AI582" s="42"/>
      <c r="BN582" s="42"/>
      <c r="CS582" s="42"/>
      <c r="DX582" s="42"/>
      <c r="FC582" s="42"/>
      <c r="GH582" s="42"/>
      <c r="HM582" s="42"/>
      <c r="IR582" s="42"/>
      <c r="JW582" s="42"/>
      <c r="LB582" s="42"/>
      <c r="MG582" s="42"/>
      <c r="NL582" s="42"/>
    </row>
    <row r="583" ht="15.75" customHeight="1">
      <c r="A583" s="42"/>
      <c r="B583" s="42"/>
      <c r="C583" s="42"/>
      <c r="D583" s="38">
        <f>GN2</f>
        <v>46007</v>
      </c>
      <c r="E583" s="31">
        <f t="shared" ref="E583:I583" si="829">GN4</f>
        <v>1402049318</v>
      </c>
      <c r="F583" s="31">
        <f t="shared" si="829"/>
        <v>20</v>
      </c>
      <c r="G583" s="31" t="str">
        <f t="shared" si="829"/>
        <v>BOLSA WATERFALL JEWELERS 8"X4"X10"</v>
      </c>
      <c r="H583" s="13">
        <f t="shared" si="829"/>
        <v>1000</v>
      </c>
      <c r="I583" s="13" t="str">
        <f t="shared" si="829"/>
        <v/>
      </c>
      <c r="J583" s="107">
        <f t="array" ref="J583">IFERROR(IF(XLOOKUP(CONCAT(E583,F583),'MASTER PLAN'!$AB:$AB,'MASTER PLAN'!$M:$M,0,0)=0,"",XLOOKUP(CONCAT(E583,F583),'MASTER PLAN'!$AB:$AB,'MASTER PLAN'!$M:$M,0,0)),"")</f>
        <v>3.104</v>
      </c>
      <c r="K583" s="107">
        <f t="shared" si="237"/>
        <v>3104</v>
      </c>
      <c r="L583" s="107">
        <f t="shared" si="238"/>
        <v>0</v>
      </c>
      <c r="M583" s="105" t="s">
        <v>246</v>
      </c>
      <c r="AI583" s="42"/>
      <c r="BN583" s="42"/>
      <c r="CS583" s="42"/>
      <c r="DX583" s="42"/>
      <c r="FC583" s="42"/>
      <c r="GH583" s="42"/>
      <c r="HM583" s="42"/>
      <c r="IR583" s="42"/>
      <c r="JW583" s="42"/>
      <c r="LB583" s="42"/>
      <c r="MG583" s="42"/>
      <c r="NL583" s="42"/>
    </row>
    <row r="584" ht="15.75" customHeight="1">
      <c r="A584" s="42"/>
      <c r="B584" s="42"/>
      <c r="C584" s="42"/>
      <c r="D584" s="38">
        <f t="shared" ref="D584:D597" si="831">D583</f>
        <v>46007</v>
      </c>
      <c r="E584" s="31">
        <f t="shared" ref="E584:I584" si="830">GN5</f>
        <v>1402049351</v>
      </c>
      <c r="F584" s="31">
        <f t="shared" si="830"/>
        <v>20</v>
      </c>
      <c r="G584" s="31" t="str">
        <f t="shared" si="830"/>
        <v>BOLSA WATERFALL JEWELERS 8"X4"X10"</v>
      </c>
      <c r="H584" s="13">
        <f t="shared" si="830"/>
        <v>1000</v>
      </c>
      <c r="I584" s="13" t="str">
        <f t="shared" si="830"/>
        <v/>
      </c>
      <c r="J584" s="107">
        <f t="array" ref="J584">IFERROR(IF(XLOOKUP(CONCAT(E584,F584),'MASTER PLAN'!$AB:$AB,'MASTER PLAN'!$M:$M,0,0)=0,"",XLOOKUP(CONCAT(E584,F584),'MASTER PLAN'!$AB:$AB,'MASTER PLAN'!$M:$M,0,0)),"")</f>
        <v>3.104</v>
      </c>
      <c r="K584" s="107">
        <f t="shared" si="237"/>
        <v>3104</v>
      </c>
      <c r="L584" s="107">
        <f t="shared" si="238"/>
        <v>0</v>
      </c>
      <c r="M584" s="105" t="s">
        <v>246</v>
      </c>
      <c r="AI584" s="42"/>
      <c r="BN584" s="42"/>
      <c r="CS584" s="42"/>
      <c r="DX584" s="42"/>
      <c r="FC584" s="42"/>
      <c r="GH584" s="42"/>
      <c r="HM584" s="42"/>
      <c r="IR584" s="42"/>
      <c r="JW584" s="42"/>
      <c r="LB584" s="42"/>
      <c r="MG584" s="42"/>
      <c r="NL584" s="42"/>
    </row>
    <row r="585" ht="15.75" customHeight="1">
      <c r="A585" s="42"/>
      <c r="B585" s="42"/>
      <c r="C585" s="42"/>
      <c r="D585" s="38">
        <f t="shared" si="831"/>
        <v>46007</v>
      </c>
      <c r="E585" s="31">
        <f t="shared" ref="E585:I585" si="832">GN6</f>
        <v>1402049444</v>
      </c>
      <c r="F585" s="31">
        <f t="shared" si="832"/>
        <v>10</v>
      </c>
      <c r="G585" s="31" t="str">
        <f t="shared" si="832"/>
        <v>BOLSA AMERICUS DIAMOND 6-5X3-5X6-5</v>
      </c>
      <c r="H585" s="13">
        <f t="shared" si="832"/>
        <v>700</v>
      </c>
      <c r="I585" s="13" t="str">
        <f t="shared" si="832"/>
        <v/>
      </c>
      <c r="J585" s="107">
        <f t="array" ref="J585">IFERROR(IF(XLOOKUP(CONCAT(E585,F585),'MASTER PLAN'!$AB:$AB,'MASTER PLAN'!$M:$M,0,0)=0,"",XLOOKUP(CONCAT(E585,F585),'MASTER PLAN'!$AB:$AB,'MASTER PLAN'!$M:$M,0,0)),"")</f>
        <v>0.744</v>
      </c>
      <c r="K585" s="107">
        <f t="shared" si="237"/>
        <v>520.8</v>
      </c>
      <c r="L585" s="107">
        <f t="shared" si="238"/>
        <v>0</v>
      </c>
      <c r="M585" s="105" t="s">
        <v>246</v>
      </c>
      <c r="AI585" s="42"/>
      <c r="BN585" s="42"/>
      <c r="CS585" s="42"/>
      <c r="DX585" s="42"/>
      <c r="FC585" s="42"/>
      <c r="GH585" s="42"/>
      <c r="HM585" s="42"/>
      <c r="IR585" s="42"/>
      <c r="JW585" s="42"/>
      <c r="LB585" s="42"/>
      <c r="MG585" s="42"/>
      <c r="NL585" s="42"/>
    </row>
    <row r="586" ht="15.75" customHeight="1">
      <c r="A586" s="42"/>
      <c r="B586" s="42"/>
      <c r="C586" s="42"/>
      <c r="D586" s="38">
        <f t="shared" si="831"/>
        <v>46007</v>
      </c>
      <c r="E586" s="31" t="str">
        <f t="shared" ref="E586:I586" si="833">GN7</f>
        <v/>
      </c>
      <c r="F586" s="31" t="str">
        <f t="shared" si="833"/>
        <v/>
      </c>
      <c r="G586" s="31" t="str">
        <f t="shared" si="833"/>
        <v/>
      </c>
      <c r="H586" s="13" t="str">
        <f t="shared" si="833"/>
        <v/>
      </c>
      <c r="I586" s="13" t="str">
        <f t="shared" si="833"/>
        <v/>
      </c>
      <c r="J586" s="107" t="str">
        <f t="array" ref="J586">IFERROR(IF(XLOOKUP(CONCAT(E586,F586),'MASTER PLAN'!$AB:$AB,'MASTER PLAN'!$M:$M,0,0)=0,"",XLOOKUP(CONCAT(E586,F586),'MASTER PLAN'!$AB:$AB,'MASTER PLAN'!$M:$M,0,0)),"")</f>
        <v/>
      </c>
      <c r="K586" s="107">
        <f t="shared" si="237"/>
        <v>0</v>
      </c>
      <c r="L586" s="107">
        <f t="shared" si="238"/>
        <v>0</v>
      </c>
      <c r="M586" s="105" t="s">
        <v>246</v>
      </c>
      <c r="AI586" s="42"/>
      <c r="BN586" s="42"/>
      <c r="CS586" s="42"/>
      <c r="DX586" s="42"/>
      <c r="FC586" s="42"/>
      <c r="GH586" s="42"/>
      <c r="HM586" s="42"/>
      <c r="IR586" s="42"/>
      <c r="JW586" s="42"/>
      <c r="LB586" s="42"/>
      <c r="MG586" s="42"/>
      <c r="NL586" s="42"/>
    </row>
    <row r="587" ht="15.75" customHeight="1">
      <c r="A587" s="42"/>
      <c r="B587" s="42"/>
      <c r="C587" s="42"/>
      <c r="D587" s="38">
        <f t="shared" si="831"/>
        <v>46007</v>
      </c>
      <c r="E587" s="31" t="str">
        <f t="shared" ref="E587:I587" si="834">GN8</f>
        <v/>
      </c>
      <c r="F587" s="31" t="str">
        <f t="shared" si="834"/>
        <v/>
      </c>
      <c r="G587" s="31" t="str">
        <f t="shared" si="834"/>
        <v/>
      </c>
      <c r="H587" s="13" t="str">
        <f t="shared" si="834"/>
        <v/>
      </c>
      <c r="I587" s="13" t="str">
        <f t="shared" si="834"/>
        <v/>
      </c>
      <c r="J587" s="107" t="str">
        <f t="array" ref="J587">IFERROR(IF(XLOOKUP(CONCAT(E587,F587),'MASTER PLAN'!$AB:$AB,'MASTER PLAN'!$M:$M,0,0)=0,"",XLOOKUP(CONCAT(E587,F587),'MASTER PLAN'!$AB:$AB,'MASTER PLAN'!$M:$M,0,0)),"")</f>
        <v/>
      </c>
      <c r="K587" s="107">
        <f t="shared" si="237"/>
        <v>0</v>
      </c>
      <c r="L587" s="107">
        <f t="shared" si="238"/>
        <v>0</v>
      </c>
      <c r="M587" s="105" t="s">
        <v>246</v>
      </c>
      <c r="AI587" s="42"/>
      <c r="BN587" s="42"/>
      <c r="CS587" s="42"/>
      <c r="DX587" s="42"/>
      <c r="FC587" s="42"/>
      <c r="GH587" s="42"/>
      <c r="HM587" s="42"/>
      <c r="IR587" s="42"/>
      <c r="JW587" s="42"/>
      <c r="LB587" s="42"/>
      <c r="MG587" s="42"/>
      <c r="NL587" s="42"/>
    </row>
    <row r="588" ht="15.75" customHeight="1">
      <c r="A588" s="42"/>
      <c r="B588" s="42"/>
      <c r="C588" s="42"/>
      <c r="D588" s="38">
        <f t="shared" si="831"/>
        <v>46007</v>
      </c>
      <c r="E588" s="31">
        <f t="shared" ref="E588:I588" si="835">GN12</f>
        <v>1402049402</v>
      </c>
      <c r="F588" s="31">
        <f t="shared" si="835"/>
        <v>10</v>
      </c>
      <c r="G588" s="31" t="str">
        <f t="shared" si="835"/>
        <v>BOLSA LAWRENCE(GOLD CASTER)10-5"X5X8-25"</v>
      </c>
      <c r="H588" s="13">
        <f t="shared" si="835"/>
        <v>3000</v>
      </c>
      <c r="I588" s="13" t="str">
        <f t="shared" si="835"/>
        <v/>
      </c>
      <c r="J588" s="107">
        <f t="array" ref="J588">IFERROR(IF(XLOOKUP(CONCAT(E588,F588),'MASTER PLAN'!$AB:$AB,'MASTER PLAN'!$M:$M,0,0)=0,"",XLOOKUP(CONCAT(E588,F588),'MASTER PLAN'!$AB:$AB,'MASTER PLAN'!$M:$M,0,0)),"")</f>
        <v>1.648</v>
      </c>
      <c r="K588" s="107">
        <f t="shared" si="237"/>
        <v>4944</v>
      </c>
      <c r="L588" s="107">
        <f t="shared" si="238"/>
        <v>0</v>
      </c>
      <c r="M588" s="105" t="s">
        <v>248</v>
      </c>
      <c r="AI588" s="42"/>
      <c r="BN588" s="42"/>
      <c r="CS588" s="42"/>
      <c r="DX588" s="42"/>
      <c r="FC588" s="42"/>
      <c r="GH588" s="42"/>
      <c r="HM588" s="42"/>
      <c r="IR588" s="42"/>
      <c r="JW588" s="42"/>
      <c r="LB588" s="42"/>
      <c r="MG588" s="42"/>
      <c r="NL588" s="42"/>
    </row>
    <row r="589" ht="15.75" customHeight="1">
      <c r="A589" s="42"/>
      <c r="B589" s="42"/>
      <c r="C589" s="42"/>
      <c r="D589" s="38">
        <f t="shared" si="831"/>
        <v>46007</v>
      </c>
      <c r="E589" s="31" t="str">
        <f t="shared" ref="E589:I589" si="836">GN13</f>
        <v/>
      </c>
      <c r="F589" s="31" t="str">
        <f t="shared" si="836"/>
        <v/>
      </c>
      <c r="G589" s="31" t="str">
        <f t="shared" si="836"/>
        <v/>
      </c>
      <c r="H589" s="13" t="str">
        <f t="shared" si="836"/>
        <v/>
      </c>
      <c r="I589" s="13" t="str">
        <f t="shared" si="836"/>
        <v/>
      </c>
      <c r="J589" s="107" t="str">
        <f t="array" ref="J589">IFERROR(IF(XLOOKUP(CONCAT(E589,F589),'MASTER PLAN'!$AB:$AB,'MASTER PLAN'!$M:$M,0,0)=0,"",XLOOKUP(CONCAT(E589,F589),'MASTER PLAN'!$AB:$AB,'MASTER PLAN'!$M:$M,0,0)),"")</f>
        <v/>
      </c>
      <c r="K589" s="107">
        <f t="shared" si="237"/>
        <v>0</v>
      </c>
      <c r="L589" s="107">
        <f t="shared" si="238"/>
        <v>0</v>
      </c>
      <c r="M589" s="105" t="s">
        <v>248</v>
      </c>
      <c r="AI589" s="42"/>
      <c r="BN589" s="42"/>
      <c r="CS589" s="42"/>
      <c r="DX589" s="42"/>
      <c r="FC589" s="42"/>
      <c r="GH589" s="42"/>
      <c r="HM589" s="42"/>
      <c r="IR589" s="42"/>
      <c r="JW589" s="42"/>
      <c r="LB589" s="42"/>
      <c r="MG589" s="42"/>
      <c r="NL589" s="42"/>
    </row>
    <row r="590" ht="15.75" customHeight="1">
      <c r="A590" s="42"/>
      <c r="B590" s="42"/>
      <c r="C590" s="42"/>
      <c r="D590" s="38">
        <f t="shared" si="831"/>
        <v>46007</v>
      </c>
      <c r="E590" s="31" t="str">
        <f t="shared" ref="E590:I590" si="837">GN14</f>
        <v/>
      </c>
      <c r="F590" s="31" t="str">
        <f t="shared" si="837"/>
        <v/>
      </c>
      <c r="G590" s="31" t="str">
        <f t="shared" si="837"/>
        <v/>
      </c>
      <c r="H590" s="13" t="str">
        <f t="shared" si="837"/>
        <v/>
      </c>
      <c r="I590" s="13" t="str">
        <f t="shared" si="837"/>
        <v/>
      </c>
      <c r="J590" s="107" t="str">
        <f t="array" ref="J590">IFERROR(IF(XLOOKUP(CONCAT(E590,F590),'MASTER PLAN'!$AB:$AB,'MASTER PLAN'!$M:$M,0,0)=0,"",XLOOKUP(CONCAT(E590,F590),'MASTER PLAN'!$AB:$AB,'MASTER PLAN'!$M:$M,0,0)),"")</f>
        <v/>
      </c>
      <c r="K590" s="107">
        <f t="shared" si="237"/>
        <v>0</v>
      </c>
      <c r="L590" s="107">
        <f t="shared" si="238"/>
        <v>0</v>
      </c>
      <c r="M590" s="105" t="s">
        <v>248</v>
      </c>
      <c r="AI590" s="42"/>
      <c r="BN590" s="42"/>
      <c r="CS590" s="42"/>
      <c r="DX590" s="42"/>
      <c r="FC590" s="42"/>
      <c r="GH590" s="42"/>
      <c r="HM590" s="42"/>
      <c r="IR590" s="42"/>
      <c r="JW590" s="42"/>
      <c r="LB590" s="42"/>
      <c r="MG590" s="42"/>
      <c r="NL590" s="42"/>
    </row>
    <row r="591" ht="15.75" customHeight="1">
      <c r="A591" s="42"/>
      <c r="B591" s="42"/>
      <c r="C591" s="42"/>
      <c r="D591" s="38">
        <f t="shared" si="831"/>
        <v>46007</v>
      </c>
      <c r="E591" s="31" t="str">
        <f t="shared" ref="E591:I591" si="838">GN15</f>
        <v/>
      </c>
      <c r="F591" s="31" t="str">
        <f t="shared" si="838"/>
        <v/>
      </c>
      <c r="G591" s="31" t="str">
        <f t="shared" si="838"/>
        <v/>
      </c>
      <c r="H591" s="13" t="str">
        <f t="shared" si="838"/>
        <v/>
      </c>
      <c r="I591" s="13" t="str">
        <f t="shared" si="838"/>
        <v/>
      </c>
      <c r="J591" s="107" t="str">
        <f t="array" ref="J591">IFERROR(IF(XLOOKUP(CONCAT(E591,F591),'MASTER PLAN'!$AB:$AB,'MASTER PLAN'!$M:$M,0,0)=0,"",XLOOKUP(CONCAT(E591,F591),'MASTER PLAN'!$AB:$AB,'MASTER PLAN'!$M:$M,0,0)),"")</f>
        <v/>
      </c>
      <c r="K591" s="107">
        <f t="shared" si="237"/>
        <v>0</v>
      </c>
      <c r="L591" s="107">
        <f t="shared" si="238"/>
        <v>0</v>
      </c>
      <c r="M591" s="105" t="s">
        <v>248</v>
      </c>
      <c r="AI591" s="42"/>
      <c r="BN591" s="42"/>
      <c r="CS591" s="42"/>
      <c r="DX591" s="42"/>
      <c r="FC591" s="42"/>
      <c r="GH591" s="42"/>
      <c r="HM591" s="42"/>
      <c r="IR591" s="42"/>
      <c r="JW591" s="42"/>
      <c r="LB591" s="42"/>
      <c r="MG591" s="42"/>
      <c r="NL591" s="42"/>
    </row>
    <row r="592" ht="15.75" customHeight="1">
      <c r="A592" s="42"/>
      <c r="B592" s="42"/>
      <c r="C592" s="42"/>
      <c r="D592" s="38">
        <f t="shared" si="831"/>
        <v>46007</v>
      </c>
      <c r="E592" s="31" t="str">
        <f t="shared" ref="E592:I592" si="839">GN16</f>
        <v/>
      </c>
      <c r="F592" s="31" t="str">
        <f t="shared" si="839"/>
        <v/>
      </c>
      <c r="G592" s="31" t="str">
        <f t="shared" si="839"/>
        <v/>
      </c>
      <c r="H592" s="13" t="str">
        <f t="shared" si="839"/>
        <v/>
      </c>
      <c r="I592" s="13" t="str">
        <f t="shared" si="839"/>
        <v/>
      </c>
      <c r="J592" s="107" t="str">
        <f t="array" ref="J592">IFERROR(IF(XLOOKUP(CONCAT(E592,F592),'MASTER PLAN'!$AB:$AB,'MASTER PLAN'!$M:$M,0,0)=0,"",XLOOKUP(CONCAT(E592,F592),'MASTER PLAN'!$AB:$AB,'MASTER PLAN'!$M:$M,0,0)),"")</f>
        <v/>
      </c>
      <c r="K592" s="107">
        <f t="shared" si="237"/>
        <v>0</v>
      </c>
      <c r="L592" s="107">
        <f t="shared" si="238"/>
        <v>0</v>
      </c>
      <c r="M592" s="105" t="s">
        <v>248</v>
      </c>
      <c r="AI592" s="42"/>
      <c r="BN592" s="42"/>
      <c r="CS592" s="42"/>
      <c r="DX592" s="42"/>
      <c r="FC592" s="42"/>
      <c r="GH592" s="42"/>
      <c r="HM592" s="42"/>
      <c r="IR592" s="42"/>
      <c r="JW592" s="42"/>
      <c r="LB592" s="42"/>
      <c r="MG592" s="42"/>
      <c r="NL592" s="42"/>
    </row>
    <row r="593" ht="15.75" customHeight="1">
      <c r="A593" s="42"/>
      <c r="B593" s="42"/>
      <c r="C593" s="42"/>
      <c r="D593" s="38">
        <f t="shared" si="831"/>
        <v>46007</v>
      </c>
      <c r="E593" s="31" t="str">
        <f t="shared" ref="E593:I593" si="840">GN20</f>
        <v/>
      </c>
      <c r="F593" s="31" t="str">
        <f t="shared" si="840"/>
        <v/>
      </c>
      <c r="G593" s="31" t="str">
        <f t="shared" si="840"/>
        <v/>
      </c>
      <c r="H593" s="13" t="str">
        <f t="shared" si="840"/>
        <v/>
      </c>
      <c r="I593" s="13" t="str">
        <f t="shared" si="840"/>
        <v/>
      </c>
      <c r="J593" s="107" t="str">
        <f t="array" ref="J593">IFERROR(IF(XLOOKUP(CONCAT(E593,F593),'MASTER PLAN'!$AB:$AB,'MASTER PLAN'!$M:$M,0,0)=0,"",XLOOKUP(CONCAT(E593,F593),'MASTER PLAN'!$AB:$AB,'MASTER PLAN'!$M:$M,0,0)),"")</f>
        <v/>
      </c>
      <c r="K593" s="107">
        <f t="shared" si="237"/>
        <v>0</v>
      </c>
      <c r="L593" s="107">
        <f t="shared" si="238"/>
        <v>0</v>
      </c>
      <c r="M593" s="105" t="s">
        <v>249</v>
      </c>
      <c r="AI593" s="42"/>
      <c r="BN593" s="42"/>
      <c r="CS593" s="42"/>
      <c r="DX593" s="42"/>
      <c r="FC593" s="42"/>
      <c r="GH593" s="42"/>
      <c r="HM593" s="42"/>
      <c r="IR593" s="42"/>
      <c r="JW593" s="42"/>
      <c r="LB593" s="42"/>
      <c r="MG593" s="42"/>
      <c r="NL593" s="42"/>
    </row>
    <row r="594" ht="15.75" customHeight="1">
      <c r="A594" s="42"/>
      <c r="B594" s="42"/>
      <c r="C594" s="42"/>
      <c r="D594" s="38">
        <f t="shared" si="831"/>
        <v>46007</v>
      </c>
      <c r="E594" s="31" t="str">
        <f t="shared" ref="E594:I594" si="841">GN21</f>
        <v/>
      </c>
      <c r="F594" s="31" t="str">
        <f t="shared" si="841"/>
        <v/>
      </c>
      <c r="G594" s="31" t="str">
        <f t="shared" si="841"/>
        <v/>
      </c>
      <c r="H594" s="13" t="str">
        <f t="shared" si="841"/>
        <v/>
      </c>
      <c r="I594" s="13" t="str">
        <f t="shared" si="841"/>
        <v/>
      </c>
      <c r="J594" s="107" t="str">
        <f t="array" ref="J594">IFERROR(IF(XLOOKUP(CONCAT(E594,F594),'MASTER PLAN'!$AB:$AB,'MASTER PLAN'!$M:$M,0,0)=0,"",XLOOKUP(CONCAT(E594,F594),'MASTER PLAN'!$AB:$AB,'MASTER PLAN'!$M:$M,0,0)),"")</f>
        <v/>
      </c>
      <c r="K594" s="107">
        <f t="shared" si="237"/>
        <v>0</v>
      </c>
      <c r="L594" s="107">
        <f t="shared" si="238"/>
        <v>0</v>
      </c>
      <c r="M594" s="105" t="s">
        <v>249</v>
      </c>
      <c r="AI594" s="42"/>
      <c r="BN594" s="42"/>
      <c r="CS594" s="42"/>
      <c r="DX594" s="42"/>
      <c r="FC594" s="42"/>
      <c r="GH594" s="42"/>
      <c r="HM594" s="42"/>
      <c r="IR594" s="42"/>
      <c r="JW594" s="42"/>
      <c r="LB594" s="42"/>
      <c r="MG594" s="42"/>
      <c r="NL594" s="42"/>
    </row>
    <row r="595" ht="15.75" customHeight="1">
      <c r="A595" s="42"/>
      <c r="B595" s="42"/>
      <c r="C595" s="42"/>
      <c r="D595" s="38">
        <f t="shared" si="831"/>
        <v>46007</v>
      </c>
      <c r="E595" s="31" t="str">
        <f t="shared" ref="E595:I595" si="842">GN22</f>
        <v/>
      </c>
      <c r="F595" s="31" t="str">
        <f t="shared" si="842"/>
        <v/>
      </c>
      <c r="G595" s="31" t="str">
        <f t="shared" si="842"/>
        <v/>
      </c>
      <c r="H595" s="13" t="str">
        <f t="shared" si="842"/>
        <v/>
      </c>
      <c r="I595" s="13" t="str">
        <f t="shared" si="842"/>
        <v/>
      </c>
      <c r="J595" s="107" t="str">
        <f t="array" ref="J595">IFERROR(IF(XLOOKUP(CONCAT(E595,F595),'MASTER PLAN'!$AB:$AB,'MASTER PLAN'!$M:$M,0,0)=0,"",XLOOKUP(CONCAT(E595,F595),'MASTER PLAN'!$AB:$AB,'MASTER PLAN'!$M:$M,0,0)),"")</f>
        <v/>
      </c>
      <c r="K595" s="107">
        <f t="shared" si="237"/>
        <v>0</v>
      </c>
      <c r="L595" s="107">
        <f t="shared" si="238"/>
        <v>0</v>
      </c>
      <c r="M595" s="105" t="s">
        <v>249</v>
      </c>
      <c r="AI595" s="42"/>
      <c r="BN595" s="42"/>
      <c r="CS595" s="42"/>
      <c r="DX595" s="42"/>
      <c r="FC595" s="42"/>
      <c r="GH595" s="42"/>
      <c r="HM595" s="42"/>
      <c r="IR595" s="42"/>
      <c r="JW595" s="42"/>
      <c r="LB595" s="42"/>
      <c r="MG595" s="42"/>
      <c r="NL595" s="42"/>
    </row>
    <row r="596" ht="15.75" customHeight="1">
      <c r="A596" s="42"/>
      <c r="B596" s="42"/>
      <c r="C596" s="42"/>
      <c r="D596" s="38">
        <f t="shared" si="831"/>
        <v>46007</v>
      </c>
      <c r="E596" s="31" t="str">
        <f t="shared" ref="E596:I596" si="843">GN23</f>
        <v/>
      </c>
      <c r="F596" s="31" t="str">
        <f t="shared" si="843"/>
        <v/>
      </c>
      <c r="G596" s="31" t="str">
        <f t="shared" si="843"/>
        <v/>
      </c>
      <c r="H596" s="13" t="str">
        <f t="shared" si="843"/>
        <v/>
      </c>
      <c r="I596" s="13" t="str">
        <f t="shared" si="843"/>
        <v/>
      </c>
      <c r="J596" s="107" t="str">
        <f t="array" ref="J596">IFERROR(IF(XLOOKUP(CONCAT(E596,F596),'MASTER PLAN'!$AB:$AB,'MASTER PLAN'!$M:$M,0,0)=0,"",XLOOKUP(CONCAT(E596,F596),'MASTER PLAN'!$AB:$AB,'MASTER PLAN'!$M:$M,0,0)),"")</f>
        <v/>
      </c>
      <c r="K596" s="107">
        <f t="shared" si="237"/>
        <v>0</v>
      </c>
      <c r="L596" s="107">
        <f t="shared" si="238"/>
        <v>0</v>
      </c>
      <c r="M596" s="105" t="s">
        <v>249</v>
      </c>
      <c r="AI596" s="42"/>
      <c r="BN596" s="42"/>
      <c r="CS596" s="42"/>
      <c r="DX596" s="42"/>
      <c r="FC596" s="42"/>
      <c r="GH596" s="42"/>
      <c r="HM596" s="42"/>
      <c r="IR596" s="42"/>
      <c r="JW596" s="42"/>
      <c r="LB596" s="42"/>
      <c r="MG596" s="42"/>
      <c r="NL596" s="42"/>
    </row>
    <row r="597" ht="15.75" customHeight="1">
      <c r="A597" s="42"/>
      <c r="B597" s="42"/>
      <c r="C597" s="42"/>
      <c r="D597" s="38">
        <f t="shared" si="831"/>
        <v>46007</v>
      </c>
      <c r="E597" s="31" t="str">
        <f t="shared" ref="E597:I597" si="844">GN24</f>
        <v/>
      </c>
      <c r="F597" s="31" t="str">
        <f t="shared" si="844"/>
        <v/>
      </c>
      <c r="G597" s="31" t="str">
        <f t="shared" si="844"/>
        <v/>
      </c>
      <c r="H597" s="13" t="str">
        <f t="shared" si="844"/>
        <v/>
      </c>
      <c r="I597" s="13" t="str">
        <f t="shared" si="844"/>
        <v/>
      </c>
      <c r="J597" s="107" t="str">
        <f t="array" ref="J597">IFERROR(IF(XLOOKUP(CONCAT(E597,F597),'MASTER PLAN'!$AB:$AB,'MASTER PLAN'!$M:$M,0,0)=0,"",XLOOKUP(CONCAT(E597,F597),'MASTER PLAN'!$AB:$AB,'MASTER PLAN'!$M:$M,0,0)),"")</f>
        <v/>
      </c>
      <c r="K597" s="107">
        <f t="shared" si="237"/>
        <v>0</v>
      </c>
      <c r="L597" s="107">
        <f t="shared" si="238"/>
        <v>0</v>
      </c>
      <c r="M597" s="105" t="s">
        <v>249</v>
      </c>
      <c r="AI597" s="42"/>
      <c r="BN597" s="42"/>
      <c r="CS597" s="42"/>
      <c r="DX597" s="42"/>
      <c r="FC597" s="42"/>
      <c r="GH597" s="42"/>
      <c r="HM597" s="42"/>
      <c r="IR597" s="42"/>
      <c r="JW597" s="42"/>
      <c r="LB597" s="42"/>
      <c r="MG597" s="42"/>
      <c r="NL597" s="42"/>
    </row>
    <row r="598" ht="15.75" customHeight="1">
      <c r="A598" s="42"/>
      <c r="B598" s="42"/>
      <c r="C598" s="42"/>
      <c r="D598" s="38">
        <f>GS2</f>
        <v>46008</v>
      </c>
      <c r="E598" s="31">
        <f t="shared" ref="E598:I598" si="845">GS4</f>
        <v>1402049444</v>
      </c>
      <c r="F598" s="31">
        <f t="shared" si="845"/>
        <v>10</v>
      </c>
      <c r="G598" s="31" t="str">
        <f t="shared" si="845"/>
        <v>BOLSA AMERICUS DIAMOND 6-5X3-5X6-5</v>
      </c>
      <c r="H598" s="13">
        <f t="shared" si="845"/>
        <v>2300</v>
      </c>
      <c r="I598" s="13" t="str">
        <f t="shared" si="845"/>
        <v/>
      </c>
      <c r="J598" s="107">
        <f t="array" ref="J598">IFERROR(IF(XLOOKUP(CONCAT(E598,F598),'MASTER PLAN'!$AB:$AB,'MASTER PLAN'!$M:$M,0,0)=0,"",XLOOKUP(CONCAT(E598,F598),'MASTER PLAN'!$AB:$AB,'MASTER PLAN'!$M:$M,0,0)),"")</f>
        <v>0.744</v>
      </c>
      <c r="K598" s="107">
        <f t="shared" si="237"/>
        <v>1711.2</v>
      </c>
      <c r="L598" s="107">
        <f t="shared" si="238"/>
        <v>0</v>
      </c>
      <c r="M598" s="105" t="s">
        <v>246</v>
      </c>
      <c r="AI598" s="42"/>
      <c r="BN598" s="42"/>
      <c r="CS598" s="42"/>
      <c r="DX598" s="42"/>
      <c r="FC598" s="42"/>
      <c r="GH598" s="42"/>
      <c r="HM598" s="42"/>
      <c r="IR598" s="42"/>
      <c r="JW598" s="42"/>
      <c r="LB598" s="42"/>
      <c r="MG598" s="42"/>
      <c r="NL598" s="42"/>
    </row>
    <row r="599" ht="15.75" customHeight="1">
      <c r="A599" s="42"/>
      <c r="B599" s="42"/>
      <c r="C599" s="42"/>
      <c r="D599" s="38">
        <f t="shared" ref="D599:D612" si="847">D598</f>
        <v>46008</v>
      </c>
      <c r="E599" s="31">
        <f t="shared" ref="E599:I599" si="846">GS5</f>
        <v>1402049419</v>
      </c>
      <c r="F599" s="31">
        <f t="shared" si="846"/>
        <v>10</v>
      </c>
      <c r="G599" s="31" t="str">
        <f t="shared" si="846"/>
        <v>BOLSA COMERCIAL SORIA 10X4X8 IN FC</v>
      </c>
      <c r="H599" s="13">
        <f t="shared" si="846"/>
        <v>500</v>
      </c>
      <c r="I599" s="13" t="str">
        <f t="shared" si="846"/>
        <v/>
      </c>
      <c r="J599" s="107">
        <f t="array" ref="J599">IFERROR(IF(XLOOKUP(CONCAT(E599,F599),'MASTER PLAN'!$AB:$AB,'MASTER PLAN'!$M:$M,0,0)=0,"",XLOOKUP(CONCAT(E599,F599),'MASTER PLAN'!$AB:$AB,'MASTER PLAN'!$M:$M,0,0)),"")</f>
        <v>1.51</v>
      </c>
      <c r="K599" s="107">
        <f t="shared" si="237"/>
        <v>755</v>
      </c>
      <c r="L599" s="107">
        <f t="shared" si="238"/>
        <v>0</v>
      </c>
      <c r="M599" s="105" t="s">
        <v>246</v>
      </c>
      <c r="AI599" s="42"/>
      <c r="BN599" s="42"/>
      <c r="CS599" s="42"/>
      <c r="DX599" s="42"/>
      <c r="FC599" s="42"/>
      <c r="GH599" s="42"/>
      <c r="HM599" s="42"/>
      <c r="IR599" s="42"/>
      <c r="JW599" s="42"/>
      <c r="LB599" s="42"/>
      <c r="MG599" s="42"/>
      <c r="NL599" s="42"/>
    </row>
    <row r="600" ht="15.75" customHeight="1">
      <c r="A600" s="42"/>
      <c r="B600" s="42"/>
      <c r="C600" s="42"/>
      <c r="D600" s="38">
        <f t="shared" si="847"/>
        <v>46008</v>
      </c>
      <c r="E600" s="31" t="str">
        <f t="shared" ref="E600:I600" si="848">GS6</f>
        <v/>
      </c>
      <c r="F600" s="31" t="str">
        <f t="shared" si="848"/>
        <v/>
      </c>
      <c r="G600" s="31" t="str">
        <f t="shared" si="848"/>
        <v/>
      </c>
      <c r="H600" s="13" t="str">
        <f t="shared" si="848"/>
        <v/>
      </c>
      <c r="I600" s="13" t="str">
        <f t="shared" si="848"/>
        <v/>
      </c>
      <c r="J600" s="107" t="str">
        <f t="array" ref="J600">IFERROR(IF(XLOOKUP(CONCAT(E600,F600),'MASTER PLAN'!$AB:$AB,'MASTER PLAN'!$M:$M,0,0)=0,"",XLOOKUP(CONCAT(E600,F600),'MASTER PLAN'!$AB:$AB,'MASTER PLAN'!$M:$M,0,0)),"")</f>
        <v/>
      </c>
      <c r="K600" s="107">
        <f t="shared" si="237"/>
        <v>0</v>
      </c>
      <c r="L600" s="107">
        <f t="shared" si="238"/>
        <v>0</v>
      </c>
      <c r="M600" s="105" t="s">
        <v>246</v>
      </c>
      <c r="AI600" s="42"/>
      <c r="BN600" s="42"/>
      <c r="CS600" s="42"/>
      <c r="DX600" s="42"/>
      <c r="FC600" s="42"/>
      <c r="GH600" s="42"/>
      <c r="HM600" s="42"/>
      <c r="IR600" s="42"/>
      <c r="JW600" s="42"/>
      <c r="LB600" s="42"/>
      <c r="MG600" s="42"/>
      <c r="NL600" s="42"/>
    </row>
    <row r="601" ht="15.75" customHeight="1">
      <c r="A601" s="42"/>
      <c r="B601" s="42"/>
      <c r="C601" s="42"/>
      <c r="D601" s="38">
        <f t="shared" si="847"/>
        <v>46008</v>
      </c>
      <c r="E601" s="31" t="str">
        <f t="shared" ref="E601:I601" si="849">GS7</f>
        <v/>
      </c>
      <c r="F601" s="31" t="str">
        <f t="shared" si="849"/>
        <v/>
      </c>
      <c r="G601" s="31" t="str">
        <f t="shared" si="849"/>
        <v/>
      </c>
      <c r="H601" s="13" t="str">
        <f t="shared" si="849"/>
        <v/>
      </c>
      <c r="I601" s="13" t="str">
        <f t="shared" si="849"/>
        <v/>
      </c>
      <c r="J601" s="107" t="str">
        <f t="array" ref="J601">IFERROR(IF(XLOOKUP(CONCAT(E601,F601),'MASTER PLAN'!$AB:$AB,'MASTER PLAN'!$M:$M,0,0)=0,"",XLOOKUP(CONCAT(E601,F601),'MASTER PLAN'!$AB:$AB,'MASTER PLAN'!$M:$M,0,0)),"")</f>
        <v/>
      </c>
      <c r="K601" s="107">
        <f t="shared" si="237"/>
        <v>0</v>
      </c>
      <c r="L601" s="107">
        <f t="shared" si="238"/>
        <v>0</v>
      </c>
      <c r="M601" s="105" t="s">
        <v>246</v>
      </c>
      <c r="AI601" s="42"/>
      <c r="BN601" s="42"/>
      <c r="CS601" s="42"/>
      <c r="DX601" s="42"/>
      <c r="FC601" s="42"/>
      <c r="GH601" s="42"/>
      <c r="HM601" s="42"/>
      <c r="IR601" s="42"/>
      <c r="JW601" s="42"/>
      <c r="LB601" s="42"/>
      <c r="MG601" s="42"/>
      <c r="NL601" s="42"/>
    </row>
    <row r="602" ht="15.75" customHeight="1">
      <c r="A602" s="42"/>
      <c r="B602" s="42"/>
      <c r="C602" s="42"/>
      <c r="D602" s="38">
        <f t="shared" si="847"/>
        <v>46008</v>
      </c>
      <c r="E602" s="31" t="str">
        <f t="shared" ref="E602:I602" si="850">GS8</f>
        <v/>
      </c>
      <c r="F602" s="31" t="str">
        <f t="shared" si="850"/>
        <v/>
      </c>
      <c r="G602" s="31" t="str">
        <f t="shared" si="850"/>
        <v/>
      </c>
      <c r="H602" s="13" t="str">
        <f t="shared" si="850"/>
        <v/>
      </c>
      <c r="I602" s="13" t="str">
        <f t="shared" si="850"/>
        <v/>
      </c>
      <c r="J602" s="107" t="str">
        <f t="array" ref="J602">IFERROR(IF(XLOOKUP(CONCAT(E602,F602),'MASTER PLAN'!$AB:$AB,'MASTER PLAN'!$M:$M,0,0)=0,"",XLOOKUP(CONCAT(E602,F602),'MASTER PLAN'!$AB:$AB,'MASTER PLAN'!$M:$M,0,0)),"")</f>
        <v/>
      </c>
      <c r="K602" s="107">
        <f t="shared" si="237"/>
        <v>0</v>
      </c>
      <c r="L602" s="107">
        <f t="shared" si="238"/>
        <v>0</v>
      </c>
      <c r="M602" s="105" t="s">
        <v>246</v>
      </c>
      <c r="AI602" s="42"/>
      <c r="BN602" s="42"/>
      <c r="CS602" s="42"/>
      <c r="DX602" s="42"/>
      <c r="FC602" s="42"/>
      <c r="GH602" s="42"/>
      <c r="HM602" s="42"/>
      <c r="IR602" s="42"/>
      <c r="JW602" s="42"/>
      <c r="LB602" s="42"/>
      <c r="MG602" s="42"/>
      <c r="NL602" s="42"/>
    </row>
    <row r="603" ht="15.75" customHeight="1">
      <c r="A603" s="42"/>
      <c r="B603" s="42"/>
      <c r="C603" s="42"/>
      <c r="D603" s="38">
        <f t="shared" si="847"/>
        <v>46008</v>
      </c>
      <c r="E603" s="31">
        <f t="shared" ref="E603:I603" si="851">GS12</f>
        <v>1402049419</v>
      </c>
      <c r="F603" s="31">
        <f t="shared" si="851"/>
        <v>20</v>
      </c>
      <c r="G603" s="31" t="str">
        <f t="shared" si="851"/>
        <v>BOLSA COMERCIAL SORIA 6-5X3-5X6-5 IN FC</v>
      </c>
      <c r="H603" s="13">
        <f t="shared" si="851"/>
        <v>1500</v>
      </c>
      <c r="I603" s="13" t="str">
        <f t="shared" si="851"/>
        <v/>
      </c>
      <c r="J603" s="107">
        <f t="array" ref="J603">IFERROR(IF(XLOOKUP(CONCAT(E603,F603),'MASTER PLAN'!$AB:$AB,'MASTER PLAN'!$M:$M,0,0)=0,"",XLOOKUP(CONCAT(E603,F603),'MASTER PLAN'!$AB:$AB,'MASTER PLAN'!$M:$M,0,0)),"")</f>
        <v>1.11</v>
      </c>
      <c r="K603" s="107">
        <f t="shared" si="237"/>
        <v>1665</v>
      </c>
      <c r="L603" s="107">
        <f t="shared" si="238"/>
        <v>0</v>
      </c>
      <c r="M603" s="105" t="s">
        <v>248</v>
      </c>
      <c r="AI603" s="42"/>
      <c r="BN603" s="42"/>
      <c r="CS603" s="42"/>
      <c r="DX603" s="42"/>
      <c r="FC603" s="42"/>
      <c r="GH603" s="42"/>
      <c r="HM603" s="42"/>
      <c r="IR603" s="42"/>
      <c r="JW603" s="42"/>
      <c r="LB603" s="42"/>
      <c r="MG603" s="42"/>
      <c r="NL603" s="42"/>
    </row>
    <row r="604" ht="15.75" customHeight="1">
      <c r="A604" s="42"/>
      <c r="B604" s="42"/>
      <c r="C604" s="42"/>
      <c r="D604" s="38">
        <f t="shared" si="847"/>
        <v>46008</v>
      </c>
      <c r="E604" s="31">
        <f t="shared" ref="E604:I604" si="852">GS13</f>
        <v>1402049355</v>
      </c>
      <c r="F604" s="31">
        <f t="shared" si="852"/>
        <v>10</v>
      </c>
      <c r="G604" s="31" t="str">
        <f t="shared" si="852"/>
        <v>BOLSA WALKER CHRISTOPHER 6-5X3X9</v>
      </c>
      <c r="H604" s="13">
        <f t="shared" si="852"/>
        <v>1500</v>
      </c>
      <c r="I604" s="13" t="str">
        <f t="shared" si="852"/>
        <v/>
      </c>
      <c r="J604" s="107">
        <f t="array" ref="J604">IFERROR(IF(XLOOKUP(CONCAT(E604,F604),'MASTER PLAN'!$AB:$AB,'MASTER PLAN'!$M:$M,0,0)=0,"",XLOOKUP(CONCAT(E604,F604),'MASTER PLAN'!$AB:$AB,'MASTER PLAN'!$M:$M,0,0)),"")</f>
        <v>1.46</v>
      </c>
      <c r="K604" s="107">
        <f t="shared" si="237"/>
        <v>2190</v>
      </c>
      <c r="L604" s="107">
        <f t="shared" si="238"/>
        <v>0</v>
      </c>
      <c r="M604" s="105" t="s">
        <v>248</v>
      </c>
      <c r="AI604" s="42"/>
      <c r="BN604" s="42"/>
      <c r="CS604" s="42"/>
      <c r="DX604" s="42"/>
      <c r="FC604" s="42"/>
      <c r="GH604" s="42"/>
      <c r="HM604" s="42"/>
      <c r="IR604" s="42"/>
      <c r="JW604" s="42"/>
      <c r="LB604" s="42"/>
      <c r="MG604" s="42"/>
      <c r="NL604" s="42"/>
    </row>
    <row r="605" ht="15.75" customHeight="1">
      <c r="A605" s="42"/>
      <c r="B605" s="42"/>
      <c r="C605" s="42"/>
      <c r="D605" s="38">
        <f t="shared" si="847"/>
        <v>46008</v>
      </c>
      <c r="E605" s="31" t="str">
        <f t="shared" ref="E605:I605" si="853">GS14</f>
        <v/>
      </c>
      <c r="F605" s="31" t="str">
        <f t="shared" si="853"/>
        <v/>
      </c>
      <c r="G605" s="31" t="str">
        <f t="shared" si="853"/>
        <v/>
      </c>
      <c r="H605" s="13" t="str">
        <f t="shared" si="853"/>
        <v/>
      </c>
      <c r="I605" s="13" t="str">
        <f t="shared" si="853"/>
        <v/>
      </c>
      <c r="J605" s="107" t="str">
        <f t="array" ref="J605">IFERROR(IF(XLOOKUP(CONCAT(E605,F605),'MASTER PLAN'!$AB:$AB,'MASTER PLAN'!$M:$M,0,0)=0,"",XLOOKUP(CONCAT(E605,F605),'MASTER PLAN'!$AB:$AB,'MASTER PLAN'!$M:$M,0,0)),"")</f>
        <v/>
      </c>
      <c r="K605" s="107">
        <f t="shared" si="237"/>
        <v>0</v>
      </c>
      <c r="L605" s="107">
        <f t="shared" si="238"/>
        <v>0</v>
      </c>
      <c r="M605" s="105" t="s">
        <v>248</v>
      </c>
      <c r="AI605" s="42"/>
      <c r="BN605" s="42"/>
      <c r="CS605" s="42"/>
      <c r="DX605" s="42"/>
      <c r="FC605" s="42"/>
      <c r="GH605" s="42"/>
      <c r="HM605" s="42"/>
      <c r="IR605" s="42"/>
      <c r="JW605" s="42"/>
      <c r="LB605" s="42"/>
      <c r="MG605" s="42"/>
      <c r="NL605" s="42"/>
    </row>
    <row r="606" ht="15.75" customHeight="1">
      <c r="A606" s="42"/>
      <c r="B606" s="42"/>
      <c r="C606" s="42"/>
      <c r="D606" s="38">
        <f t="shared" si="847"/>
        <v>46008</v>
      </c>
      <c r="E606" s="31" t="str">
        <f t="shared" ref="E606:I606" si="854">GS15</f>
        <v/>
      </c>
      <c r="F606" s="31" t="str">
        <f t="shared" si="854"/>
        <v/>
      </c>
      <c r="G606" s="31" t="str">
        <f t="shared" si="854"/>
        <v/>
      </c>
      <c r="H606" s="13" t="str">
        <f t="shared" si="854"/>
        <v/>
      </c>
      <c r="I606" s="13" t="str">
        <f t="shared" si="854"/>
        <v/>
      </c>
      <c r="J606" s="107" t="str">
        <f t="array" ref="J606">IFERROR(IF(XLOOKUP(CONCAT(E606,F606),'MASTER PLAN'!$AB:$AB,'MASTER PLAN'!$M:$M,0,0)=0,"",XLOOKUP(CONCAT(E606,F606),'MASTER PLAN'!$AB:$AB,'MASTER PLAN'!$M:$M,0,0)),"")</f>
        <v/>
      </c>
      <c r="K606" s="107">
        <f t="shared" si="237"/>
        <v>0</v>
      </c>
      <c r="L606" s="107">
        <f t="shared" si="238"/>
        <v>0</v>
      </c>
      <c r="M606" s="105" t="s">
        <v>248</v>
      </c>
      <c r="AI606" s="42"/>
      <c r="BN606" s="42"/>
      <c r="CS606" s="42"/>
      <c r="DX606" s="42"/>
      <c r="FC606" s="42"/>
      <c r="GH606" s="42"/>
      <c r="HM606" s="42"/>
      <c r="IR606" s="42"/>
      <c r="JW606" s="42"/>
      <c r="LB606" s="42"/>
      <c r="MG606" s="42"/>
      <c r="NL606" s="42"/>
    </row>
    <row r="607" ht="15.75" customHeight="1">
      <c r="A607" s="42"/>
      <c r="B607" s="42"/>
      <c r="C607" s="42"/>
      <c r="D607" s="38">
        <f t="shared" si="847"/>
        <v>46008</v>
      </c>
      <c r="E607" s="31" t="str">
        <f t="shared" ref="E607:I607" si="855">GS16</f>
        <v/>
      </c>
      <c r="F607" s="31" t="str">
        <f t="shared" si="855"/>
        <v/>
      </c>
      <c r="G607" s="31" t="str">
        <f t="shared" si="855"/>
        <v/>
      </c>
      <c r="H607" s="13" t="str">
        <f t="shared" si="855"/>
        <v/>
      </c>
      <c r="I607" s="13" t="str">
        <f t="shared" si="855"/>
        <v/>
      </c>
      <c r="J607" s="107" t="str">
        <f t="array" ref="J607">IFERROR(IF(XLOOKUP(CONCAT(E607,F607),'MASTER PLAN'!$AB:$AB,'MASTER PLAN'!$M:$M,0,0)=0,"",XLOOKUP(CONCAT(E607,F607),'MASTER PLAN'!$AB:$AB,'MASTER PLAN'!$M:$M,0,0)),"")</f>
        <v/>
      </c>
      <c r="K607" s="107">
        <f t="shared" si="237"/>
        <v>0</v>
      </c>
      <c r="L607" s="107">
        <f t="shared" si="238"/>
        <v>0</v>
      </c>
      <c r="M607" s="105" t="s">
        <v>248</v>
      </c>
      <c r="AI607" s="42"/>
      <c r="BN607" s="42"/>
      <c r="CS607" s="42"/>
      <c r="DX607" s="42"/>
      <c r="FC607" s="42"/>
      <c r="GH607" s="42"/>
      <c r="HM607" s="42"/>
      <c r="IR607" s="42"/>
      <c r="JW607" s="42"/>
      <c r="LB607" s="42"/>
      <c r="MG607" s="42"/>
      <c r="NL607" s="42"/>
    </row>
    <row r="608" ht="15.75" customHeight="1">
      <c r="A608" s="42"/>
      <c r="B608" s="42"/>
      <c r="C608" s="42"/>
      <c r="D608" s="38">
        <f t="shared" si="847"/>
        <v>46008</v>
      </c>
      <c r="E608" s="31" t="str">
        <f t="shared" ref="E608:I608" si="856">GS20</f>
        <v/>
      </c>
      <c r="F608" s="31" t="str">
        <f t="shared" si="856"/>
        <v/>
      </c>
      <c r="G608" s="31" t="str">
        <f t="shared" si="856"/>
        <v/>
      </c>
      <c r="H608" s="13" t="str">
        <f t="shared" si="856"/>
        <v/>
      </c>
      <c r="I608" s="13" t="str">
        <f t="shared" si="856"/>
        <v/>
      </c>
      <c r="J608" s="107" t="str">
        <f t="array" ref="J608">IFERROR(IF(XLOOKUP(CONCAT(E608,F608),'MASTER PLAN'!$AB:$AB,'MASTER PLAN'!$M:$M,0,0)=0,"",XLOOKUP(CONCAT(E608,F608),'MASTER PLAN'!$AB:$AB,'MASTER PLAN'!$M:$M,0,0)),"")</f>
        <v/>
      </c>
      <c r="K608" s="107">
        <f t="shared" si="237"/>
        <v>0</v>
      </c>
      <c r="L608" s="107">
        <f t="shared" si="238"/>
        <v>0</v>
      </c>
      <c r="M608" s="105" t="s">
        <v>249</v>
      </c>
      <c r="AI608" s="42"/>
      <c r="BN608" s="42"/>
      <c r="CS608" s="42"/>
      <c r="DX608" s="42"/>
      <c r="FC608" s="42"/>
      <c r="GH608" s="42"/>
      <c r="HM608" s="42"/>
      <c r="IR608" s="42"/>
      <c r="JW608" s="42"/>
      <c r="LB608" s="42"/>
      <c r="MG608" s="42"/>
      <c r="NL608" s="42"/>
    </row>
    <row r="609" ht="15.75" customHeight="1">
      <c r="A609" s="42"/>
      <c r="B609" s="42"/>
      <c r="C609" s="42"/>
      <c r="D609" s="38">
        <f t="shared" si="847"/>
        <v>46008</v>
      </c>
      <c r="E609" s="31" t="str">
        <f t="shared" ref="E609:I609" si="857">GS21</f>
        <v/>
      </c>
      <c r="F609" s="31" t="str">
        <f t="shared" si="857"/>
        <v/>
      </c>
      <c r="G609" s="31" t="str">
        <f t="shared" si="857"/>
        <v/>
      </c>
      <c r="H609" s="13" t="str">
        <f t="shared" si="857"/>
        <v/>
      </c>
      <c r="I609" s="13" t="str">
        <f t="shared" si="857"/>
        <v/>
      </c>
      <c r="J609" s="107" t="str">
        <f t="array" ref="J609">IFERROR(IF(XLOOKUP(CONCAT(E609,F609),'MASTER PLAN'!$AB:$AB,'MASTER PLAN'!$M:$M,0,0)=0,"",XLOOKUP(CONCAT(E609,F609),'MASTER PLAN'!$AB:$AB,'MASTER PLAN'!$M:$M,0,0)),"")</f>
        <v/>
      </c>
      <c r="K609" s="107">
        <f t="shared" si="237"/>
        <v>0</v>
      </c>
      <c r="L609" s="107">
        <f t="shared" si="238"/>
        <v>0</v>
      </c>
      <c r="M609" s="105" t="s">
        <v>249</v>
      </c>
      <c r="AI609" s="42"/>
      <c r="BN609" s="42"/>
      <c r="CS609" s="42"/>
      <c r="DX609" s="42"/>
      <c r="FC609" s="42"/>
      <c r="GH609" s="42"/>
      <c r="HM609" s="42"/>
      <c r="IR609" s="42"/>
      <c r="JW609" s="42"/>
      <c r="LB609" s="42"/>
      <c r="MG609" s="42"/>
      <c r="NL609" s="42"/>
    </row>
    <row r="610" ht="15.75" customHeight="1">
      <c r="A610" s="42"/>
      <c r="B610" s="42"/>
      <c r="C610" s="42"/>
      <c r="D610" s="38">
        <f t="shared" si="847"/>
        <v>46008</v>
      </c>
      <c r="E610" s="31" t="str">
        <f t="shared" ref="E610:I610" si="858">GS22</f>
        <v/>
      </c>
      <c r="F610" s="31" t="str">
        <f t="shared" si="858"/>
        <v/>
      </c>
      <c r="G610" s="31" t="str">
        <f t="shared" si="858"/>
        <v/>
      </c>
      <c r="H610" s="13" t="str">
        <f t="shared" si="858"/>
        <v/>
      </c>
      <c r="I610" s="13" t="str">
        <f t="shared" si="858"/>
        <v/>
      </c>
      <c r="J610" s="107" t="str">
        <f t="array" ref="J610">IFERROR(IF(XLOOKUP(CONCAT(E610,F610),'MASTER PLAN'!$AB:$AB,'MASTER PLAN'!$M:$M,0,0)=0,"",XLOOKUP(CONCAT(E610,F610),'MASTER PLAN'!$AB:$AB,'MASTER PLAN'!$M:$M,0,0)),"")</f>
        <v/>
      </c>
      <c r="K610" s="107">
        <f t="shared" si="237"/>
        <v>0</v>
      </c>
      <c r="L610" s="107">
        <f t="shared" si="238"/>
        <v>0</v>
      </c>
      <c r="M610" s="105" t="s">
        <v>249</v>
      </c>
      <c r="AI610" s="42"/>
      <c r="BN610" s="42"/>
      <c r="CS610" s="42"/>
      <c r="DX610" s="42"/>
      <c r="FC610" s="42"/>
      <c r="GH610" s="42"/>
      <c r="HM610" s="42"/>
      <c r="IR610" s="42"/>
      <c r="JW610" s="42"/>
      <c r="LB610" s="42"/>
      <c r="MG610" s="42"/>
      <c r="NL610" s="42"/>
    </row>
    <row r="611" ht="15.75" customHeight="1">
      <c r="A611" s="42"/>
      <c r="B611" s="42"/>
      <c r="C611" s="42"/>
      <c r="D611" s="38">
        <f t="shared" si="847"/>
        <v>46008</v>
      </c>
      <c r="E611" s="31" t="str">
        <f t="shared" ref="E611:I611" si="859">GS23</f>
        <v/>
      </c>
      <c r="F611" s="31" t="str">
        <f t="shared" si="859"/>
        <v/>
      </c>
      <c r="G611" s="31" t="str">
        <f t="shared" si="859"/>
        <v/>
      </c>
      <c r="H611" s="13" t="str">
        <f t="shared" si="859"/>
        <v/>
      </c>
      <c r="I611" s="13" t="str">
        <f t="shared" si="859"/>
        <v/>
      </c>
      <c r="J611" s="107" t="str">
        <f t="array" ref="J611">IFERROR(IF(XLOOKUP(CONCAT(E611,F611),'MASTER PLAN'!$AB:$AB,'MASTER PLAN'!$M:$M,0,0)=0,"",XLOOKUP(CONCAT(E611,F611),'MASTER PLAN'!$AB:$AB,'MASTER PLAN'!$M:$M,0,0)),"")</f>
        <v/>
      </c>
      <c r="K611" s="107">
        <f t="shared" si="237"/>
        <v>0</v>
      </c>
      <c r="L611" s="107">
        <f t="shared" si="238"/>
        <v>0</v>
      </c>
      <c r="M611" s="105" t="s">
        <v>249</v>
      </c>
      <c r="AI611" s="42"/>
      <c r="BN611" s="42"/>
      <c r="CS611" s="42"/>
      <c r="DX611" s="42"/>
      <c r="FC611" s="42"/>
      <c r="GH611" s="42"/>
      <c r="HM611" s="42"/>
      <c r="IR611" s="42"/>
      <c r="JW611" s="42"/>
      <c r="LB611" s="42"/>
      <c r="MG611" s="42"/>
      <c r="NL611" s="42"/>
    </row>
    <row r="612" ht="15.75" customHeight="1">
      <c r="A612" s="42"/>
      <c r="B612" s="42"/>
      <c r="C612" s="42"/>
      <c r="D612" s="38">
        <f t="shared" si="847"/>
        <v>46008</v>
      </c>
      <c r="E612" s="31" t="str">
        <f t="shared" ref="E612:I612" si="860">GS24</f>
        <v/>
      </c>
      <c r="F612" s="31" t="str">
        <f t="shared" si="860"/>
        <v/>
      </c>
      <c r="G612" s="31" t="str">
        <f t="shared" si="860"/>
        <v/>
      </c>
      <c r="H612" s="13" t="str">
        <f t="shared" si="860"/>
        <v/>
      </c>
      <c r="I612" s="13" t="str">
        <f t="shared" si="860"/>
        <v/>
      </c>
      <c r="J612" s="107" t="str">
        <f t="array" ref="J612">IFERROR(IF(XLOOKUP(CONCAT(E612,F612),'MASTER PLAN'!$AB:$AB,'MASTER PLAN'!$M:$M,0,0)=0,"",XLOOKUP(CONCAT(E612,F612),'MASTER PLAN'!$AB:$AB,'MASTER PLAN'!$M:$M,0,0)),"")</f>
        <v/>
      </c>
      <c r="K612" s="107">
        <f t="shared" si="237"/>
        <v>0</v>
      </c>
      <c r="L612" s="107">
        <f t="shared" si="238"/>
        <v>0</v>
      </c>
      <c r="M612" s="105" t="s">
        <v>249</v>
      </c>
      <c r="AI612" s="42"/>
      <c r="BN612" s="42"/>
      <c r="CS612" s="42"/>
      <c r="DX612" s="42"/>
      <c r="FC612" s="42"/>
      <c r="GH612" s="42"/>
      <c r="HM612" s="42"/>
      <c r="IR612" s="42"/>
      <c r="JW612" s="42"/>
      <c r="LB612" s="42"/>
      <c r="MG612" s="42"/>
      <c r="NL612" s="42"/>
    </row>
    <row r="613" ht="15.75" customHeight="1">
      <c r="A613" s="42"/>
      <c r="B613" s="42"/>
      <c r="C613" s="42"/>
      <c r="D613" s="38">
        <f>GX2</f>
        <v>46009</v>
      </c>
      <c r="E613" s="31">
        <f t="shared" ref="E613:I613" si="861">GX4</f>
        <v>1402049419</v>
      </c>
      <c r="F613" s="31">
        <f t="shared" si="861"/>
        <v>10</v>
      </c>
      <c r="G613" s="31" t="str">
        <f t="shared" si="861"/>
        <v>BOLSA COMERCIAL SORIA 10X4X8 IN FC</v>
      </c>
      <c r="H613" s="13">
        <f t="shared" si="861"/>
        <v>1000</v>
      </c>
      <c r="I613" s="13" t="str">
        <f t="shared" si="861"/>
        <v/>
      </c>
      <c r="J613" s="107">
        <f t="array" ref="J613">IFERROR(IF(XLOOKUP(CONCAT(E613,F613),'MASTER PLAN'!$AB:$AB,'MASTER PLAN'!$M:$M,0,0)=0,"",XLOOKUP(CONCAT(E613,F613),'MASTER PLAN'!$AB:$AB,'MASTER PLAN'!$M:$M,0,0)),"")</f>
        <v>1.51</v>
      </c>
      <c r="K613" s="107">
        <f t="shared" si="237"/>
        <v>1510</v>
      </c>
      <c r="L613" s="107">
        <f t="shared" si="238"/>
        <v>0</v>
      </c>
      <c r="M613" s="105" t="s">
        <v>246</v>
      </c>
      <c r="AI613" s="42"/>
      <c r="BN613" s="42"/>
      <c r="CS613" s="42"/>
      <c r="DX613" s="42"/>
      <c r="FC613" s="42"/>
      <c r="GH613" s="42"/>
      <c r="HM613" s="42"/>
      <c r="IR613" s="42"/>
      <c r="JW613" s="42"/>
      <c r="LB613" s="42"/>
      <c r="MG613" s="42"/>
      <c r="NL613" s="42"/>
    </row>
    <row r="614" ht="15.75" customHeight="1">
      <c r="A614" s="42"/>
      <c r="B614" s="42"/>
      <c r="C614" s="42"/>
      <c r="D614" s="38">
        <f t="shared" ref="D614:D627" si="863">D613</f>
        <v>46009</v>
      </c>
      <c r="E614" s="31">
        <f t="shared" ref="E614:I614" si="862">GX5</f>
        <v>1402049490</v>
      </c>
      <c r="F614" s="31">
        <f t="shared" si="862"/>
        <v>10</v>
      </c>
      <c r="G614" s="31" t="str">
        <f t="shared" si="862"/>
        <v>BOLSA MAZZARESE 6-5"X3-5X6-5"</v>
      </c>
      <c r="H614" s="13">
        <f t="shared" si="862"/>
        <v>1500</v>
      </c>
      <c r="I614" s="13" t="str">
        <f t="shared" si="862"/>
        <v/>
      </c>
      <c r="J614" s="107">
        <f t="array" ref="J614">IFERROR(IF(XLOOKUP(CONCAT(E614,F614),'MASTER PLAN'!$AB:$AB,'MASTER PLAN'!$M:$M,0,0)=0,"",XLOOKUP(CONCAT(E614,F614),'MASTER PLAN'!$AB:$AB,'MASTER PLAN'!$M:$M,0,0)),"")</f>
        <v>0.968</v>
      </c>
      <c r="K614" s="107">
        <f t="shared" si="237"/>
        <v>1452</v>
      </c>
      <c r="L614" s="107">
        <f t="shared" si="238"/>
        <v>0</v>
      </c>
      <c r="M614" s="105" t="s">
        <v>246</v>
      </c>
      <c r="AI614" s="42"/>
      <c r="BN614" s="42"/>
      <c r="CS614" s="42"/>
      <c r="DX614" s="42"/>
      <c r="FC614" s="42"/>
      <c r="GH614" s="42"/>
      <c r="HM614" s="42"/>
      <c r="IR614" s="42"/>
      <c r="JW614" s="42"/>
      <c r="LB614" s="42"/>
      <c r="MG614" s="42"/>
      <c r="NL614" s="42"/>
    </row>
    <row r="615" ht="15.75" customHeight="1">
      <c r="A615" s="42"/>
      <c r="B615" s="42"/>
      <c r="C615" s="42"/>
      <c r="D615" s="38">
        <f t="shared" si="863"/>
        <v>46009</v>
      </c>
      <c r="E615" s="31" t="str">
        <f t="shared" ref="E615:I615" si="864">GX6</f>
        <v/>
      </c>
      <c r="F615" s="31" t="str">
        <f t="shared" si="864"/>
        <v/>
      </c>
      <c r="G615" s="31" t="str">
        <f t="shared" si="864"/>
        <v/>
      </c>
      <c r="H615" s="13" t="str">
        <f t="shared" si="864"/>
        <v/>
      </c>
      <c r="I615" s="13" t="str">
        <f t="shared" si="864"/>
        <v/>
      </c>
      <c r="J615" s="107" t="str">
        <f t="array" ref="J615">IFERROR(IF(XLOOKUP(CONCAT(E615,F615),'MASTER PLAN'!$AB:$AB,'MASTER PLAN'!$M:$M,0,0)=0,"",XLOOKUP(CONCAT(E615,F615),'MASTER PLAN'!$AB:$AB,'MASTER PLAN'!$M:$M,0,0)),"")</f>
        <v/>
      </c>
      <c r="K615" s="107">
        <f t="shared" si="237"/>
        <v>0</v>
      </c>
      <c r="L615" s="107">
        <f t="shared" si="238"/>
        <v>0</v>
      </c>
      <c r="M615" s="105" t="s">
        <v>246</v>
      </c>
      <c r="AI615" s="42"/>
      <c r="BN615" s="42"/>
      <c r="CS615" s="42"/>
      <c r="DX615" s="42"/>
      <c r="FC615" s="42"/>
      <c r="GH615" s="42"/>
      <c r="HM615" s="42"/>
      <c r="IR615" s="42"/>
      <c r="JW615" s="42"/>
      <c r="LB615" s="42"/>
      <c r="MG615" s="42"/>
      <c r="NL615" s="42"/>
    </row>
    <row r="616" ht="15.75" customHeight="1">
      <c r="A616" s="42"/>
      <c r="B616" s="42"/>
      <c r="C616" s="42"/>
      <c r="D616" s="38">
        <f t="shared" si="863"/>
        <v>46009</v>
      </c>
      <c r="E616" s="31" t="str">
        <f t="shared" ref="E616:I616" si="865">GX7</f>
        <v/>
      </c>
      <c r="F616" s="31" t="str">
        <f t="shared" si="865"/>
        <v/>
      </c>
      <c r="G616" s="31" t="str">
        <f t="shared" si="865"/>
        <v/>
      </c>
      <c r="H616" s="13" t="str">
        <f t="shared" si="865"/>
        <v/>
      </c>
      <c r="I616" s="13" t="str">
        <f t="shared" si="865"/>
        <v/>
      </c>
      <c r="J616" s="107" t="str">
        <f t="array" ref="J616">IFERROR(IF(XLOOKUP(CONCAT(E616,F616),'MASTER PLAN'!$AB:$AB,'MASTER PLAN'!$M:$M,0,0)=0,"",XLOOKUP(CONCAT(E616,F616),'MASTER PLAN'!$AB:$AB,'MASTER PLAN'!$M:$M,0,0)),"")</f>
        <v/>
      </c>
      <c r="K616" s="107">
        <f t="shared" si="237"/>
        <v>0</v>
      </c>
      <c r="L616" s="107">
        <f t="shared" si="238"/>
        <v>0</v>
      </c>
      <c r="M616" s="105" t="s">
        <v>246</v>
      </c>
      <c r="AI616" s="42"/>
      <c r="BN616" s="42"/>
      <c r="CS616" s="42"/>
      <c r="DX616" s="42"/>
      <c r="FC616" s="42"/>
      <c r="GH616" s="42"/>
      <c r="HM616" s="42"/>
      <c r="IR616" s="42"/>
      <c r="JW616" s="42"/>
      <c r="LB616" s="42"/>
      <c r="MG616" s="42"/>
      <c r="NL616" s="42"/>
    </row>
    <row r="617" ht="15.75" customHeight="1">
      <c r="A617" s="42"/>
      <c r="B617" s="42"/>
      <c r="C617" s="42"/>
      <c r="D617" s="38">
        <f t="shared" si="863"/>
        <v>46009</v>
      </c>
      <c r="E617" s="31" t="str">
        <f t="shared" ref="E617:I617" si="866">GX8</f>
        <v/>
      </c>
      <c r="F617" s="31" t="str">
        <f t="shared" si="866"/>
        <v/>
      </c>
      <c r="G617" s="31" t="str">
        <f t="shared" si="866"/>
        <v/>
      </c>
      <c r="H617" s="13" t="str">
        <f t="shared" si="866"/>
        <v/>
      </c>
      <c r="I617" s="13" t="str">
        <f t="shared" si="866"/>
        <v/>
      </c>
      <c r="J617" s="107" t="str">
        <f t="array" ref="J617">IFERROR(IF(XLOOKUP(CONCAT(E617,F617),'MASTER PLAN'!$AB:$AB,'MASTER PLAN'!$M:$M,0,0)=0,"",XLOOKUP(CONCAT(E617,F617),'MASTER PLAN'!$AB:$AB,'MASTER PLAN'!$M:$M,0,0)),"")</f>
        <v/>
      </c>
      <c r="K617" s="107">
        <f t="shared" si="237"/>
        <v>0</v>
      </c>
      <c r="L617" s="107">
        <f t="shared" si="238"/>
        <v>0</v>
      </c>
      <c r="M617" s="105" t="s">
        <v>246</v>
      </c>
      <c r="AI617" s="42"/>
      <c r="BN617" s="42"/>
      <c r="CS617" s="42"/>
      <c r="DX617" s="42"/>
      <c r="FC617" s="42"/>
      <c r="GH617" s="42"/>
      <c r="HM617" s="42"/>
      <c r="IR617" s="42"/>
      <c r="JW617" s="42"/>
      <c r="LB617" s="42"/>
      <c r="MG617" s="42"/>
      <c r="NL617" s="42"/>
    </row>
    <row r="618" ht="15.75" customHeight="1">
      <c r="A618" s="42"/>
      <c r="B618" s="42"/>
      <c r="C618" s="42"/>
      <c r="D618" s="38">
        <f t="shared" si="863"/>
        <v>46009</v>
      </c>
      <c r="E618" s="31">
        <f t="shared" ref="E618:I618" si="867">GX12</f>
        <v>1402049498</v>
      </c>
      <c r="F618" s="31">
        <f t="shared" si="867"/>
        <v>10</v>
      </c>
      <c r="G618" s="31" t="str">
        <f t="shared" si="867"/>
        <v>BOLSA ALBERTS JEWELERS 6-5"X3-5"X6-5"</v>
      </c>
      <c r="H618" s="13">
        <f t="shared" si="867"/>
        <v>3000</v>
      </c>
      <c r="I618" s="13" t="str">
        <f t="shared" si="867"/>
        <v/>
      </c>
      <c r="J618" s="107">
        <f t="array" ref="J618">IFERROR(IF(XLOOKUP(CONCAT(E618,F618),'MASTER PLAN'!$AB:$AB,'MASTER PLAN'!$M:$M,0,0)=0,"",XLOOKUP(CONCAT(E618,F618),'MASTER PLAN'!$AB:$AB,'MASTER PLAN'!$M:$M,0,0)),"")</f>
        <v>0.912</v>
      </c>
      <c r="K618" s="107">
        <f t="shared" si="237"/>
        <v>2736</v>
      </c>
      <c r="L618" s="107">
        <f t="shared" si="238"/>
        <v>0</v>
      </c>
      <c r="M618" s="105" t="s">
        <v>248</v>
      </c>
      <c r="AI618" s="42"/>
      <c r="BN618" s="42"/>
      <c r="CS618" s="42"/>
      <c r="DX618" s="42"/>
      <c r="FC618" s="42"/>
      <c r="GH618" s="42"/>
      <c r="HM618" s="42"/>
      <c r="IR618" s="42"/>
      <c r="JW618" s="42"/>
      <c r="LB618" s="42"/>
      <c r="MG618" s="42"/>
      <c r="NL618" s="42"/>
    </row>
    <row r="619" ht="15.75" customHeight="1">
      <c r="A619" s="42"/>
      <c r="B619" s="42"/>
      <c r="C619" s="42"/>
      <c r="D619" s="38">
        <f t="shared" si="863"/>
        <v>46009</v>
      </c>
      <c r="E619" s="31" t="str">
        <f t="shared" ref="E619:I619" si="868">GX13</f>
        <v/>
      </c>
      <c r="F619" s="31" t="str">
        <f t="shared" si="868"/>
        <v/>
      </c>
      <c r="G619" s="31" t="str">
        <f t="shared" si="868"/>
        <v/>
      </c>
      <c r="H619" s="13" t="str">
        <f t="shared" si="868"/>
        <v/>
      </c>
      <c r="I619" s="13" t="str">
        <f t="shared" si="868"/>
        <v/>
      </c>
      <c r="J619" s="107" t="str">
        <f t="array" ref="J619">IFERROR(IF(XLOOKUP(CONCAT(E619,F619),'MASTER PLAN'!$AB:$AB,'MASTER PLAN'!$M:$M,0,0)=0,"",XLOOKUP(CONCAT(E619,F619),'MASTER PLAN'!$AB:$AB,'MASTER PLAN'!$M:$M,0,0)),"")</f>
        <v/>
      </c>
      <c r="K619" s="107">
        <f t="shared" si="237"/>
        <v>0</v>
      </c>
      <c r="L619" s="107">
        <f t="shared" si="238"/>
        <v>0</v>
      </c>
      <c r="M619" s="105" t="s">
        <v>248</v>
      </c>
      <c r="AI619" s="42"/>
      <c r="BN619" s="42"/>
      <c r="CS619" s="42"/>
      <c r="DX619" s="42"/>
      <c r="FC619" s="42"/>
      <c r="GH619" s="42"/>
      <c r="HM619" s="42"/>
      <c r="IR619" s="42"/>
      <c r="JW619" s="42"/>
      <c r="LB619" s="42"/>
      <c r="MG619" s="42"/>
      <c r="NL619" s="42"/>
    </row>
    <row r="620" ht="15.75" customHeight="1">
      <c r="A620" s="42"/>
      <c r="B620" s="42"/>
      <c r="C620" s="42"/>
      <c r="D620" s="38">
        <f t="shared" si="863"/>
        <v>46009</v>
      </c>
      <c r="E620" s="31" t="str">
        <f t="shared" ref="E620:I620" si="869">GX14</f>
        <v/>
      </c>
      <c r="F620" s="31" t="str">
        <f t="shared" si="869"/>
        <v/>
      </c>
      <c r="G620" s="31" t="str">
        <f t="shared" si="869"/>
        <v/>
      </c>
      <c r="H620" s="13" t="str">
        <f t="shared" si="869"/>
        <v/>
      </c>
      <c r="I620" s="13" t="str">
        <f t="shared" si="869"/>
        <v/>
      </c>
      <c r="J620" s="107" t="str">
        <f t="array" ref="J620">IFERROR(IF(XLOOKUP(CONCAT(E620,F620),'MASTER PLAN'!$AB:$AB,'MASTER PLAN'!$M:$M,0,0)=0,"",XLOOKUP(CONCAT(E620,F620),'MASTER PLAN'!$AB:$AB,'MASTER PLAN'!$M:$M,0,0)),"")</f>
        <v/>
      </c>
      <c r="K620" s="107">
        <f t="shared" si="237"/>
        <v>0</v>
      </c>
      <c r="L620" s="107">
        <f t="shared" si="238"/>
        <v>0</v>
      </c>
      <c r="M620" s="105" t="s">
        <v>248</v>
      </c>
      <c r="AI620" s="42"/>
      <c r="BN620" s="42"/>
      <c r="CS620" s="42"/>
      <c r="DX620" s="42"/>
      <c r="FC620" s="42"/>
      <c r="GH620" s="42"/>
      <c r="HM620" s="42"/>
      <c r="IR620" s="42"/>
      <c r="JW620" s="42"/>
      <c r="LB620" s="42"/>
      <c r="MG620" s="42"/>
      <c r="NL620" s="42"/>
    </row>
    <row r="621" ht="15.75" customHeight="1">
      <c r="A621" s="42"/>
      <c r="B621" s="42"/>
      <c r="C621" s="42"/>
      <c r="D621" s="38">
        <f t="shared" si="863"/>
        <v>46009</v>
      </c>
      <c r="E621" s="31" t="str">
        <f t="shared" ref="E621:I621" si="870">GX15</f>
        <v/>
      </c>
      <c r="F621" s="31" t="str">
        <f t="shared" si="870"/>
        <v/>
      </c>
      <c r="G621" s="31" t="str">
        <f t="shared" si="870"/>
        <v/>
      </c>
      <c r="H621" s="13" t="str">
        <f t="shared" si="870"/>
        <v/>
      </c>
      <c r="I621" s="13" t="str">
        <f t="shared" si="870"/>
        <v/>
      </c>
      <c r="J621" s="107" t="str">
        <f t="array" ref="J621">IFERROR(IF(XLOOKUP(CONCAT(E621,F621),'MASTER PLAN'!$AB:$AB,'MASTER PLAN'!$M:$M,0,0)=0,"",XLOOKUP(CONCAT(E621,F621),'MASTER PLAN'!$AB:$AB,'MASTER PLAN'!$M:$M,0,0)),"")</f>
        <v/>
      </c>
      <c r="K621" s="107">
        <f t="shared" si="237"/>
        <v>0</v>
      </c>
      <c r="L621" s="107">
        <f t="shared" si="238"/>
        <v>0</v>
      </c>
      <c r="M621" s="105" t="s">
        <v>248</v>
      </c>
      <c r="AI621" s="42"/>
      <c r="BN621" s="42"/>
      <c r="CS621" s="42"/>
      <c r="DX621" s="42"/>
      <c r="FC621" s="42"/>
      <c r="GH621" s="42"/>
      <c r="HM621" s="42"/>
      <c r="IR621" s="42"/>
      <c r="JW621" s="42"/>
      <c r="LB621" s="42"/>
      <c r="MG621" s="42"/>
      <c r="NL621" s="42"/>
    </row>
    <row r="622" ht="15.75" customHeight="1">
      <c r="A622" s="42"/>
      <c r="B622" s="42"/>
      <c r="C622" s="42"/>
      <c r="D622" s="38">
        <f t="shared" si="863"/>
        <v>46009</v>
      </c>
      <c r="E622" s="31" t="str">
        <f t="shared" ref="E622:I622" si="871">GX16</f>
        <v/>
      </c>
      <c r="F622" s="31" t="str">
        <f t="shared" si="871"/>
        <v/>
      </c>
      <c r="G622" s="31" t="str">
        <f t="shared" si="871"/>
        <v/>
      </c>
      <c r="H622" s="13" t="str">
        <f t="shared" si="871"/>
        <v/>
      </c>
      <c r="I622" s="13" t="str">
        <f t="shared" si="871"/>
        <v/>
      </c>
      <c r="J622" s="107" t="str">
        <f t="array" ref="J622">IFERROR(IF(XLOOKUP(CONCAT(E622,F622),'MASTER PLAN'!$AB:$AB,'MASTER PLAN'!$M:$M,0,0)=0,"",XLOOKUP(CONCAT(E622,F622),'MASTER PLAN'!$AB:$AB,'MASTER PLAN'!$M:$M,0,0)),"")</f>
        <v/>
      </c>
      <c r="K622" s="107">
        <f t="shared" si="237"/>
        <v>0</v>
      </c>
      <c r="L622" s="107">
        <f t="shared" si="238"/>
        <v>0</v>
      </c>
      <c r="M622" s="105" t="s">
        <v>248</v>
      </c>
      <c r="AI622" s="42"/>
      <c r="BN622" s="42"/>
      <c r="CS622" s="42"/>
      <c r="DX622" s="42"/>
      <c r="FC622" s="42"/>
      <c r="GH622" s="42"/>
      <c r="HM622" s="42"/>
      <c r="IR622" s="42"/>
      <c r="JW622" s="42"/>
      <c r="LB622" s="42"/>
      <c r="MG622" s="42"/>
      <c r="NL622" s="42"/>
    </row>
    <row r="623" ht="15.75" customHeight="1">
      <c r="A623" s="42"/>
      <c r="B623" s="42"/>
      <c r="C623" s="42"/>
      <c r="D623" s="38">
        <f t="shared" si="863"/>
        <v>46009</v>
      </c>
      <c r="E623" s="31" t="str">
        <f t="shared" ref="E623:I623" si="872">GX20</f>
        <v/>
      </c>
      <c r="F623" s="31" t="str">
        <f t="shared" si="872"/>
        <v/>
      </c>
      <c r="G623" s="31" t="str">
        <f t="shared" si="872"/>
        <v/>
      </c>
      <c r="H623" s="13" t="str">
        <f t="shared" si="872"/>
        <v/>
      </c>
      <c r="I623" s="13" t="str">
        <f t="shared" si="872"/>
        <v/>
      </c>
      <c r="J623" s="107" t="str">
        <f t="array" ref="J623">IFERROR(IF(XLOOKUP(CONCAT(E623,F623),'MASTER PLAN'!$AB:$AB,'MASTER PLAN'!$M:$M,0,0)=0,"",XLOOKUP(CONCAT(E623,F623),'MASTER PLAN'!$AB:$AB,'MASTER PLAN'!$M:$M,0,0)),"")</f>
        <v/>
      </c>
      <c r="K623" s="107">
        <f t="shared" si="237"/>
        <v>0</v>
      </c>
      <c r="L623" s="107">
        <f t="shared" si="238"/>
        <v>0</v>
      </c>
      <c r="M623" s="105" t="s">
        <v>249</v>
      </c>
      <c r="AI623" s="42"/>
      <c r="BN623" s="42"/>
      <c r="CS623" s="42"/>
      <c r="DX623" s="42"/>
      <c r="FC623" s="42"/>
      <c r="GH623" s="42"/>
      <c r="HM623" s="42"/>
      <c r="IR623" s="42"/>
      <c r="JW623" s="42"/>
      <c r="LB623" s="42"/>
      <c r="MG623" s="42"/>
      <c r="NL623" s="42"/>
    </row>
    <row r="624" ht="15.75" customHeight="1">
      <c r="A624" s="42"/>
      <c r="B624" s="42"/>
      <c r="C624" s="42"/>
      <c r="D624" s="38">
        <f t="shared" si="863"/>
        <v>46009</v>
      </c>
      <c r="E624" s="31" t="str">
        <f t="shared" ref="E624:I624" si="873">GX21</f>
        <v/>
      </c>
      <c r="F624" s="31" t="str">
        <f t="shared" si="873"/>
        <v/>
      </c>
      <c r="G624" s="31" t="str">
        <f t="shared" si="873"/>
        <v/>
      </c>
      <c r="H624" s="13" t="str">
        <f t="shared" si="873"/>
        <v/>
      </c>
      <c r="I624" s="13" t="str">
        <f t="shared" si="873"/>
        <v/>
      </c>
      <c r="J624" s="107" t="str">
        <f t="array" ref="J624">IFERROR(IF(XLOOKUP(CONCAT(E624,F624),'MASTER PLAN'!$AB:$AB,'MASTER PLAN'!$M:$M,0,0)=0,"",XLOOKUP(CONCAT(E624,F624),'MASTER PLAN'!$AB:$AB,'MASTER PLAN'!$M:$M,0,0)),"")</f>
        <v/>
      </c>
      <c r="K624" s="107">
        <f t="shared" si="237"/>
        <v>0</v>
      </c>
      <c r="L624" s="107">
        <f t="shared" si="238"/>
        <v>0</v>
      </c>
      <c r="M624" s="105" t="s">
        <v>249</v>
      </c>
      <c r="AI624" s="42"/>
      <c r="BN624" s="42"/>
      <c r="CS624" s="42"/>
      <c r="DX624" s="42"/>
      <c r="FC624" s="42"/>
      <c r="GH624" s="42"/>
      <c r="HM624" s="42"/>
      <c r="IR624" s="42"/>
      <c r="JW624" s="42"/>
      <c r="LB624" s="42"/>
      <c r="MG624" s="42"/>
      <c r="NL624" s="42"/>
    </row>
    <row r="625" ht="15.75" customHeight="1">
      <c r="A625" s="42"/>
      <c r="B625" s="42"/>
      <c r="C625" s="42"/>
      <c r="D625" s="38">
        <f t="shared" si="863"/>
        <v>46009</v>
      </c>
      <c r="E625" s="31" t="str">
        <f t="shared" ref="E625:I625" si="874">GX22</f>
        <v/>
      </c>
      <c r="F625" s="31" t="str">
        <f t="shared" si="874"/>
        <v/>
      </c>
      <c r="G625" s="31" t="str">
        <f t="shared" si="874"/>
        <v/>
      </c>
      <c r="H625" s="13" t="str">
        <f t="shared" si="874"/>
        <v/>
      </c>
      <c r="I625" s="13" t="str">
        <f t="shared" si="874"/>
        <v/>
      </c>
      <c r="J625" s="107" t="str">
        <f t="array" ref="J625">IFERROR(IF(XLOOKUP(CONCAT(E625,F625),'MASTER PLAN'!$AB:$AB,'MASTER PLAN'!$M:$M,0,0)=0,"",XLOOKUP(CONCAT(E625,F625),'MASTER PLAN'!$AB:$AB,'MASTER PLAN'!$M:$M,0,0)),"")</f>
        <v/>
      </c>
      <c r="K625" s="107">
        <f t="shared" si="237"/>
        <v>0</v>
      </c>
      <c r="L625" s="107">
        <f t="shared" si="238"/>
        <v>0</v>
      </c>
      <c r="M625" s="105" t="s">
        <v>249</v>
      </c>
      <c r="AI625" s="42"/>
      <c r="BN625" s="42"/>
      <c r="CS625" s="42"/>
      <c r="DX625" s="42"/>
      <c r="FC625" s="42"/>
      <c r="GH625" s="42"/>
      <c r="HM625" s="42"/>
      <c r="IR625" s="42"/>
      <c r="JW625" s="42"/>
      <c r="LB625" s="42"/>
      <c r="MG625" s="42"/>
      <c r="NL625" s="42"/>
    </row>
    <row r="626" ht="15.75" customHeight="1">
      <c r="A626" s="42"/>
      <c r="B626" s="42"/>
      <c r="C626" s="42"/>
      <c r="D626" s="38">
        <f t="shared" si="863"/>
        <v>46009</v>
      </c>
      <c r="E626" s="31" t="str">
        <f t="shared" ref="E626:I626" si="875">GX23</f>
        <v/>
      </c>
      <c r="F626" s="31" t="str">
        <f t="shared" si="875"/>
        <v/>
      </c>
      <c r="G626" s="31" t="str">
        <f t="shared" si="875"/>
        <v/>
      </c>
      <c r="H626" s="13" t="str">
        <f t="shared" si="875"/>
        <v/>
      </c>
      <c r="I626" s="13" t="str">
        <f t="shared" si="875"/>
        <v/>
      </c>
      <c r="J626" s="107" t="str">
        <f t="array" ref="J626">IFERROR(IF(XLOOKUP(CONCAT(E626,F626),'MASTER PLAN'!$AB:$AB,'MASTER PLAN'!$M:$M,0,0)=0,"",XLOOKUP(CONCAT(E626,F626),'MASTER PLAN'!$AB:$AB,'MASTER PLAN'!$M:$M,0,0)),"")</f>
        <v/>
      </c>
      <c r="K626" s="107">
        <f t="shared" si="237"/>
        <v>0</v>
      </c>
      <c r="L626" s="107">
        <f t="shared" si="238"/>
        <v>0</v>
      </c>
      <c r="M626" s="105" t="s">
        <v>249</v>
      </c>
      <c r="AI626" s="42"/>
      <c r="BN626" s="42"/>
      <c r="CS626" s="42"/>
      <c r="DX626" s="42"/>
      <c r="FC626" s="42"/>
      <c r="GH626" s="42"/>
      <c r="HM626" s="42"/>
      <c r="IR626" s="42"/>
      <c r="JW626" s="42"/>
      <c r="LB626" s="42"/>
      <c r="MG626" s="42"/>
      <c r="NL626" s="42"/>
    </row>
    <row r="627" ht="15.75" customHeight="1">
      <c r="A627" s="42"/>
      <c r="B627" s="42"/>
      <c r="C627" s="42"/>
      <c r="D627" s="38">
        <f t="shared" si="863"/>
        <v>46009</v>
      </c>
      <c r="E627" s="31" t="str">
        <f t="shared" ref="E627:I627" si="876">GX24</f>
        <v/>
      </c>
      <c r="F627" s="31" t="str">
        <f t="shared" si="876"/>
        <v/>
      </c>
      <c r="G627" s="31" t="str">
        <f t="shared" si="876"/>
        <v/>
      </c>
      <c r="H627" s="13" t="str">
        <f t="shared" si="876"/>
        <v/>
      </c>
      <c r="I627" s="13" t="str">
        <f t="shared" si="876"/>
        <v/>
      </c>
      <c r="J627" s="107" t="str">
        <f t="array" ref="J627">IFERROR(IF(XLOOKUP(CONCAT(E627,F627),'MASTER PLAN'!$AB:$AB,'MASTER PLAN'!$M:$M,0,0)=0,"",XLOOKUP(CONCAT(E627,F627),'MASTER PLAN'!$AB:$AB,'MASTER PLAN'!$M:$M,0,0)),"")</f>
        <v/>
      </c>
      <c r="K627" s="107">
        <f t="shared" si="237"/>
        <v>0</v>
      </c>
      <c r="L627" s="107">
        <f t="shared" si="238"/>
        <v>0</v>
      </c>
      <c r="M627" s="105" t="s">
        <v>249</v>
      </c>
      <c r="AI627" s="42"/>
      <c r="BN627" s="42"/>
      <c r="CS627" s="42"/>
      <c r="DX627" s="42"/>
      <c r="FC627" s="42"/>
      <c r="GH627" s="42"/>
      <c r="HM627" s="42"/>
      <c r="IR627" s="42"/>
      <c r="JW627" s="42"/>
      <c r="LB627" s="42"/>
      <c r="MG627" s="42"/>
      <c r="NL627" s="42"/>
    </row>
    <row r="628" ht="15.75" customHeight="1">
      <c r="A628" s="42"/>
      <c r="B628" s="42"/>
      <c r="C628" s="42"/>
      <c r="D628" s="38">
        <f>HC2</f>
        <v>46010</v>
      </c>
      <c r="E628" s="31">
        <f t="shared" ref="E628:I628" si="877">HC4</f>
        <v>1402049507</v>
      </c>
      <c r="F628" s="31">
        <f t="shared" si="877"/>
        <v>10</v>
      </c>
      <c r="G628" s="31" t="str">
        <f t="shared" si="877"/>
        <v>BOLSA NA HOKU 159X90X210MM</v>
      </c>
      <c r="H628" s="13">
        <f t="shared" si="877"/>
        <v>3000</v>
      </c>
      <c r="I628" s="13" t="str">
        <f t="shared" si="877"/>
        <v/>
      </c>
      <c r="J628" s="107">
        <f t="array" ref="J628">IFERROR(IF(XLOOKUP(CONCAT(E628,F628),'MASTER PLAN'!$AB:$AB,'MASTER PLAN'!$M:$M,0,0)=0,"",XLOOKUP(CONCAT(E628,F628),'MASTER PLAN'!$AB:$AB,'MASTER PLAN'!$M:$M,0,0)),"")</f>
        <v>0.968</v>
      </c>
      <c r="K628" s="107">
        <f t="shared" si="237"/>
        <v>2904</v>
      </c>
      <c r="L628" s="107">
        <f t="shared" si="238"/>
        <v>0</v>
      </c>
      <c r="M628" s="105" t="s">
        <v>246</v>
      </c>
      <c r="AI628" s="42"/>
      <c r="BN628" s="42"/>
      <c r="CS628" s="42"/>
      <c r="DX628" s="42"/>
      <c r="FC628" s="42"/>
      <c r="GH628" s="42"/>
      <c r="HM628" s="42"/>
      <c r="IR628" s="42"/>
      <c r="JW628" s="42"/>
      <c r="LB628" s="42"/>
      <c r="MG628" s="42"/>
      <c r="NL628" s="42"/>
    </row>
    <row r="629" ht="15.75" customHeight="1">
      <c r="A629" s="42"/>
      <c r="B629" s="42"/>
      <c r="C629" s="42"/>
      <c r="D629" s="38">
        <f t="shared" ref="D629:D642" si="879">D628</f>
        <v>46010</v>
      </c>
      <c r="E629" s="31" t="str">
        <f t="shared" ref="E629:I629" si="878">HC5</f>
        <v/>
      </c>
      <c r="F629" s="31" t="str">
        <f t="shared" si="878"/>
        <v/>
      </c>
      <c r="G629" s="31" t="str">
        <f t="shared" si="878"/>
        <v/>
      </c>
      <c r="H629" s="13" t="str">
        <f t="shared" si="878"/>
        <v/>
      </c>
      <c r="I629" s="13" t="str">
        <f t="shared" si="878"/>
        <v/>
      </c>
      <c r="J629" s="107" t="str">
        <f t="array" ref="J629">IFERROR(IF(XLOOKUP(CONCAT(E629,F629),'MASTER PLAN'!$AB:$AB,'MASTER PLAN'!$M:$M,0,0)=0,"",XLOOKUP(CONCAT(E629,F629),'MASTER PLAN'!$AB:$AB,'MASTER PLAN'!$M:$M,0,0)),"")</f>
        <v/>
      </c>
      <c r="K629" s="107">
        <f t="shared" si="237"/>
        <v>0</v>
      </c>
      <c r="L629" s="107">
        <f t="shared" si="238"/>
        <v>0</v>
      </c>
      <c r="M629" s="105" t="s">
        <v>246</v>
      </c>
      <c r="AI629" s="42"/>
      <c r="BN629" s="42"/>
      <c r="CS629" s="42"/>
      <c r="DX629" s="42"/>
      <c r="FC629" s="42"/>
      <c r="GH629" s="42"/>
      <c r="HM629" s="42"/>
      <c r="IR629" s="42"/>
      <c r="JW629" s="42"/>
      <c r="LB629" s="42"/>
      <c r="MG629" s="42"/>
      <c r="NL629" s="42"/>
    </row>
    <row r="630" ht="15.75" customHeight="1">
      <c r="A630" s="42"/>
      <c r="B630" s="42"/>
      <c r="C630" s="42"/>
      <c r="D630" s="38">
        <f t="shared" si="879"/>
        <v>46010</v>
      </c>
      <c r="E630" s="31" t="str">
        <f t="shared" ref="E630:I630" si="880">HC6</f>
        <v/>
      </c>
      <c r="F630" s="31" t="str">
        <f t="shared" si="880"/>
        <v/>
      </c>
      <c r="G630" s="31" t="str">
        <f t="shared" si="880"/>
        <v/>
      </c>
      <c r="H630" s="13" t="str">
        <f t="shared" si="880"/>
        <v/>
      </c>
      <c r="I630" s="13" t="str">
        <f t="shared" si="880"/>
        <v/>
      </c>
      <c r="J630" s="107" t="str">
        <f t="array" ref="J630">IFERROR(IF(XLOOKUP(CONCAT(E630,F630),'MASTER PLAN'!$AB:$AB,'MASTER PLAN'!$M:$M,0,0)=0,"",XLOOKUP(CONCAT(E630,F630),'MASTER PLAN'!$AB:$AB,'MASTER PLAN'!$M:$M,0,0)),"")</f>
        <v/>
      </c>
      <c r="K630" s="107">
        <f t="shared" si="237"/>
        <v>0</v>
      </c>
      <c r="L630" s="107">
        <f t="shared" si="238"/>
        <v>0</v>
      </c>
      <c r="M630" s="105" t="s">
        <v>246</v>
      </c>
      <c r="AI630" s="42"/>
      <c r="BN630" s="42"/>
      <c r="CS630" s="42"/>
      <c r="DX630" s="42"/>
      <c r="FC630" s="42"/>
      <c r="GH630" s="42"/>
      <c r="HM630" s="42"/>
      <c r="IR630" s="42"/>
      <c r="JW630" s="42"/>
      <c r="LB630" s="42"/>
      <c r="MG630" s="42"/>
      <c r="NL630" s="42"/>
    </row>
    <row r="631" ht="15.75" customHeight="1">
      <c r="A631" s="42"/>
      <c r="B631" s="42"/>
      <c r="C631" s="42"/>
      <c r="D631" s="38">
        <f t="shared" si="879"/>
        <v>46010</v>
      </c>
      <c r="E631" s="31" t="str">
        <f t="shared" ref="E631:I631" si="881">HC7</f>
        <v/>
      </c>
      <c r="F631" s="31" t="str">
        <f t="shared" si="881"/>
        <v/>
      </c>
      <c r="G631" s="31" t="str">
        <f t="shared" si="881"/>
        <v/>
      </c>
      <c r="H631" s="13" t="str">
        <f t="shared" si="881"/>
        <v/>
      </c>
      <c r="I631" s="13" t="str">
        <f t="shared" si="881"/>
        <v/>
      </c>
      <c r="J631" s="107" t="str">
        <f t="array" ref="J631">IFERROR(IF(XLOOKUP(CONCAT(E631,F631),'MASTER PLAN'!$AB:$AB,'MASTER PLAN'!$M:$M,0,0)=0,"",XLOOKUP(CONCAT(E631,F631),'MASTER PLAN'!$AB:$AB,'MASTER PLAN'!$M:$M,0,0)),"")</f>
        <v/>
      </c>
      <c r="K631" s="107">
        <f t="shared" si="237"/>
        <v>0</v>
      </c>
      <c r="L631" s="107">
        <f t="shared" si="238"/>
        <v>0</v>
      </c>
      <c r="M631" s="105" t="s">
        <v>246</v>
      </c>
      <c r="AI631" s="42"/>
      <c r="BN631" s="42"/>
      <c r="CS631" s="42"/>
      <c r="DX631" s="42"/>
      <c r="FC631" s="42"/>
      <c r="GH631" s="42"/>
      <c r="HM631" s="42"/>
      <c r="IR631" s="42"/>
      <c r="JW631" s="42"/>
      <c r="LB631" s="42"/>
      <c r="MG631" s="42"/>
      <c r="NL631" s="42"/>
    </row>
    <row r="632" ht="15.75" customHeight="1">
      <c r="A632" s="42"/>
      <c r="B632" s="42"/>
      <c r="C632" s="42"/>
      <c r="D632" s="38">
        <f t="shared" si="879"/>
        <v>46010</v>
      </c>
      <c r="E632" s="31" t="str">
        <f t="shared" ref="E632:I632" si="882">HC8</f>
        <v/>
      </c>
      <c r="F632" s="31" t="str">
        <f t="shared" si="882"/>
        <v/>
      </c>
      <c r="G632" s="31" t="str">
        <f t="shared" si="882"/>
        <v/>
      </c>
      <c r="H632" s="13" t="str">
        <f t="shared" si="882"/>
        <v/>
      </c>
      <c r="I632" s="13" t="str">
        <f t="shared" si="882"/>
        <v/>
      </c>
      <c r="J632" s="107" t="str">
        <f t="array" ref="J632">IFERROR(IF(XLOOKUP(CONCAT(E632,F632),'MASTER PLAN'!$AB:$AB,'MASTER PLAN'!$M:$M,0,0)=0,"",XLOOKUP(CONCAT(E632,F632),'MASTER PLAN'!$AB:$AB,'MASTER PLAN'!$M:$M,0,0)),"")</f>
        <v/>
      </c>
      <c r="K632" s="107">
        <f t="shared" si="237"/>
        <v>0</v>
      </c>
      <c r="L632" s="107">
        <f t="shared" si="238"/>
        <v>0</v>
      </c>
      <c r="M632" s="105" t="s">
        <v>246</v>
      </c>
      <c r="AI632" s="42"/>
      <c r="BN632" s="42"/>
      <c r="CS632" s="42"/>
      <c r="DX632" s="42"/>
      <c r="FC632" s="42"/>
      <c r="GH632" s="42"/>
      <c r="HM632" s="42"/>
      <c r="IR632" s="42"/>
      <c r="JW632" s="42"/>
      <c r="LB632" s="42"/>
      <c r="MG632" s="42"/>
      <c r="NL632" s="42"/>
    </row>
    <row r="633" ht="15.75" customHeight="1">
      <c r="A633" s="42"/>
      <c r="B633" s="42"/>
      <c r="C633" s="42"/>
      <c r="D633" s="38">
        <f t="shared" si="879"/>
        <v>46010</v>
      </c>
      <c r="E633" s="31">
        <f t="shared" ref="E633:I633" si="883">HC12</f>
        <v>1402049498</v>
      </c>
      <c r="F633" s="31">
        <f t="shared" si="883"/>
        <v>10</v>
      </c>
      <c r="G633" s="31" t="str">
        <f t="shared" si="883"/>
        <v>BOLSA ALBERTS JEWELERS 6-5"X3-5"X6-5"</v>
      </c>
      <c r="H633" s="13">
        <f t="shared" si="883"/>
        <v>3000</v>
      </c>
      <c r="I633" s="13" t="str">
        <f t="shared" si="883"/>
        <v/>
      </c>
      <c r="J633" s="107">
        <f t="array" ref="J633">IFERROR(IF(XLOOKUP(CONCAT(E633,F633),'MASTER PLAN'!$AB:$AB,'MASTER PLAN'!$M:$M,0,0)=0,"",XLOOKUP(CONCAT(E633,F633),'MASTER PLAN'!$AB:$AB,'MASTER PLAN'!$M:$M,0,0)),"")</f>
        <v>0.912</v>
      </c>
      <c r="K633" s="107">
        <f t="shared" si="237"/>
        <v>2736</v>
      </c>
      <c r="L633" s="107">
        <f t="shared" si="238"/>
        <v>0</v>
      </c>
      <c r="M633" s="105" t="s">
        <v>248</v>
      </c>
      <c r="AI633" s="42"/>
      <c r="BN633" s="42"/>
      <c r="CS633" s="42"/>
      <c r="DX633" s="42"/>
      <c r="FC633" s="42"/>
      <c r="GH633" s="42"/>
      <c r="HM633" s="42"/>
      <c r="IR633" s="42"/>
      <c r="JW633" s="42"/>
      <c r="LB633" s="42"/>
      <c r="MG633" s="42"/>
      <c r="NL633" s="42"/>
    </row>
    <row r="634" ht="15.75" customHeight="1">
      <c r="A634" s="42"/>
      <c r="B634" s="42"/>
      <c r="C634" s="42"/>
      <c r="D634" s="38">
        <f t="shared" si="879"/>
        <v>46010</v>
      </c>
      <c r="E634" s="31" t="str">
        <f t="shared" ref="E634:I634" si="884">HC13</f>
        <v/>
      </c>
      <c r="F634" s="31" t="str">
        <f t="shared" si="884"/>
        <v/>
      </c>
      <c r="G634" s="31" t="str">
        <f t="shared" si="884"/>
        <v/>
      </c>
      <c r="H634" s="13" t="str">
        <f t="shared" si="884"/>
        <v/>
      </c>
      <c r="I634" s="13" t="str">
        <f t="shared" si="884"/>
        <v/>
      </c>
      <c r="J634" s="107" t="str">
        <f t="array" ref="J634">IFERROR(IF(XLOOKUP(CONCAT(E634,F634),'MASTER PLAN'!$AB:$AB,'MASTER PLAN'!$M:$M,0,0)=0,"",XLOOKUP(CONCAT(E634,F634),'MASTER PLAN'!$AB:$AB,'MASTER PLAN'!$M:$M,0,0)),"")</f>
        <v/>
      </c>
      <c r="K634" s="107">
        <f t="shared" si="237"/>
        <v>0</v>
      </c>
      <c r="L634" s="107">
        <f t="shared" si="238"/>
        <v>0</v>
      </c>
      <c r="M634" s="105" t="s">
        <v>248</v>
      </c>
      <c r="AI634" s="42"/>
      <c r="BN634" s="42"/>
      <c r="CS634" s="42"/>
      <c r="DX634" s="42"/>
      <c r="FC634" s="42"/>
      <c r="GH634" s="42"/>
      <c r="HM634" s="42"/>
      <c r="IR634" s="42"/>
      <c r="JW634" s="42"/>
      <c r="LB634" s="42"/>
      <c r="MG634" s="42"/>
      <c r="NL634" s="42"/>
    </row>
    <row r="635" ht="15.75" customHeight="1">
      <c r="A635" s="42"/>
      <c r="B635" s="42"/>
      <c r="C635" s="42"/>
      <c r="D635" s="38">
        <f t="shared" si="879"/>
        <v>46010</v>
      </c>
      <c r="E635" s="31" t="str">
        <f t="shared" ref="E635:I635" si="885">HC14</f>
        <v/>
      </c>
      <c r="F635" s="31" t="str">
        <f t="shared" si="885"/>
        <v/>
      </c>
      <c r="G635" s="31" t="str">
        <f t="shared" si="885"/>
        <v/>
      </c>
      <c r="H635" s="13" t="str">
        <f t="shared" si="885"/>
        <v/>
      </c>
      <c r="I635" s="13" t="str">
        <f t="shared" si="885"/>
        <v/>
      </c>
      <c r="J635" s="107" t="str">
        <f t="array" ref="J635">IFERROR(IF(XLOOKUP(CONCAT(E635,F635),'MASTER PLAN'!$AB:$AB,'MASTER PLAN'!$M:$M,0,0)=0,"",XLOOKUP(CONCAT(E635,F635),'MASTER PLAN'!$AB:$AB,'MASTER PLAN'!$M:$M,0,0)),"")</f>
        <v/>
      </c>
      <c r="K635" s="107">
        <f t="shared" si="237"/>
        <v>0</v>
      </c>
      <c r="L635" s="107">
        <f t="shared" si="238"/>
        <v>0</v>
      </c>
      <c r="M635" s="105" t="s">
        <v>248</v>
      </c>
      <c r="AI635" s="42"/>
      <c r="BN635" s="42"/>
      <c r="CS635" s="42"/>
      <c r="DX635" s="42"/>
      <c r="FC635" s="42"/>
      <c r="GH635" s="42"/>
      <c r="HM635" s="42"/>
      <c r="IR635" s="42"/>
      <c r="JW635" s="42"/>
      <c r="LB635" s="42"/>
      <c r="MG635" s="42"/>
      <c r="NL635" s="42"/>
    </row>
    <row r="636" ht="15.75" customHeight="1">
      <c r="A636" s="42"/>
      <c r="B636" s="42"/>
      <c r="C636" s="42"/>
      <c r="D636" s="38">
        <f t="shared" si="879"/>
        <v>46010</v>
      </c>
      <c r="E636" s="31" t="str">
        <f t="shared" ref="E636:I636" si="886">HC15</f>
        <v/>
      </c>
      <c r="F636" s="31" t="str">
        <f t="shared" si="886"/>
        <v/>
      </c>
      <c r="G636" s="31" t="str">
        <f t="shared" si="886"/>
        <v/>
      </c>
      <c r="H636" s="13" t="str">
        <f t="shared" si="886"/>
        <v/>
      </c>
      <c r="I636" s="13" t="str">
        <f t="shared" si="886"/>
        <v/>
      </c>
      <c r="J636" s="107" t="str">
        <f t="array" ref="J636">IFERROR(IF(XLOOKUP(CONCAT(E636,F636),'MASTER PLAN'!$AB:$AB,'MASTER PLAN'!$M:$M,0,0)=0,"",XLOOKUP(CONCAT(E636,F636),'MASTER PLAN'!$AB:$AB,'MASTER PLAN'!$M:$M,0,0)),"")</f>
        <v/>
      </c>
      <c r="K636" s="107">
        <f t="shared" si="237"/>
        <v>0</v>
      </c>
      <c r="L636" s="107">
        <f t="shared" si="238"/>
        <v>0</v>
      </c>
      <c r="M636" s="105" t="s">
        <v>248</v>
      </c>
      <c r="AI636" s="42"/>
      <c r="BN636" s="42"/>
      <c r="CS636" s="42"/>
      <c r="DX636" s="42"/>
      <c r="FC636" s="42"/>
      <c r="GH636" s="42"/>
      <c r="HM636" s="42"/>
      <c r="IR636" s="42"/>
      <c r="JW636" s="42"/>
      <c r="LB636" s="42"/>
      <c r="MG636" s="42"/>
      <c r="NL636" s="42"/>
    </row>
    <row r="637" ht="15.75" customHeight="1">
      <c r="A637" s="42"/>
      <c r="B637" s="42"/>
      <c r="C637" s="42"/>
      <c r="D637" s="38">
        <f t="shared" si="879"/>
        <v>46010</v>
      </c>
      <c r="E637" s="31" t="str">
        <f t="shared" ref="E637:I637" si="887">HC16</f>
        <v/>
      </c>
      <c r="F637" s="31" t="str">
        <f t="shared" si="887"/>
        <v/>
      </c>
      <c r="G637" s="31" t="str">
        <f t="shared" si="887"/>
        <v/>
      </c>
      <c r="H637" s="13" t="str">
        <f t="shared" si="887"/>
        <v/>
      </c>
      <c r="I637" s="13" t="str">
        <f t="shared" si="887"/>
        <v/>
      </c>
      <c r="J637" s="107" t="str">
        <f t="array" ref="J637">IFERROR(IF(XLOOKUP(CONCAT(E637,F637),'MASTER PLAN'!$AB:$AB,'MASTER PLAN'!$M:$M,0,0)=0,"",XLOOKUP(CONCAT(E637,F637),'MASTER PLAN'!$AB:$AB,'MASTER PLAN'!$M:$M,0,0)),"")</f>
        <v/>
      </c>
      <c r="K637" s="107">
        <f t="shared" si="237"/>
        <v>0</v>
      </c>
      <c r="L637" s="107">
        <f t="shared" si="238"/>
        <v>0</v>
      </c>
      <c r="M637" s="105" t="s">
        <v>248</v>
      </c>
      <c r="AI637" s="42"/>
      <c r="BN637" s="42"/>
      <c r="CS637" s="42"/>
      <c r="DX637" s="42"/>
      <c r="FC637" s="42"/>
      <c r="GH637" s="42"/>
      <c r="HM637" s="42"/>
      <c r="IR637" s="42"/>
      <c r="JW637" s="42"/>
      <c r="LB637" s="42"/>
      <c r="MG637" s="42"/>
      <c r="NL637" s="42"/>
    </row>
    <row r="638" ht="15.75" customHeight="1">
      <c r="A638" s="42"/>
      <c r="B638" s="42"/>
      <c r="C638" s="42"/>
      <c r="D638" s="38">
        <f t="shared" si="879"/>
        <v>46010</v>
      </c>
      <c r="E638" s="31" t="str">
        <f t="shared" ref="E638:I638" si="888">HC20</f>
        <v/>
      </c>
      <c r="F638" s="31" t="str">
        <f t="shared" si="888"/>
        <v/>
      </c>
      <c r="G638" s="31" t="str">
        <f t="shared" si="888"/>
        <v/>
      </c>
      <c r="H638" s="13" t="str">
        <f t="shared" si="888"/>
        <v/>
      </c>
      <c r="I638" s="13" t="str">
        <f t="shared" si="888"/>
        <v/>
      </c>
      <c r="J638" s="107" t="str">
        <f t="array" ref="J638">IFERROR(IF(XLOOKUP(CONCAT(E638,F638),'MASTER PLAN'!$AB:$AB,'MASTER PLAN'!$M:$M,0,0)=0,"",XLOOKUP(CONCAT(E638,F638),'MASTER PLAN'!$AB:$AB,'MASTER PLAN'!$M:$M,0,0)),"")</f>
        <v/>
      </c>
      <c r="K638" s="107">
        <f t="shared" si="237"/>
        <v>0</v>
      </c>
      <c r="L638" s="107">
        <f t="shared" si="238"/>
        <v>0</v>
      </c>
      <c r="M638" s="105" t="s">
        <v>249</v>
      </c>
      <c r="AI638" s="42"/>
      <c r="BN638" s="42"/>
      <c r="CS638" s="42"/>
      <c r="DX638" s="42"/>
      <c r="FC638" s="42"/>
      <c r="GH638" s="42"/>
      <c r="HM638" s="42"/>
      <c r="IR638" s="42"/>
      <c r="JW638" s="42"/>
      <c r="LB638" s="42"/>
      <c r="MG638" s="42"/>
      <c r="NL638" s="42"/>
    </row>
    <row r="639" ht="15.75" customHeight="1">
      <c r="A639" s="42"/>
      <c r="B639" s="42"/>
      <c r="C639" s="42"/>
      <c r="D639" s="38">
        <f t="shared" si="879"/>
        <v>46010</v>
      </c>
      <c r="E639" s="31" t="str">
        <f t="shared" ref="E639:I639" si="889">HC21</f>
        <v/>
      </c>
      <c r="F639" s="31" t="str">
        <f t="shared" si="889"/>
        <v/>
      </c>
      <c r="G639" s="31" t="str">
        <f t="shared" si="889"/>
        <v/>
      </c>
      <c r="H639" s="13" t="str">
        <f t="shared" si="889"/>
        <v/>
      </c>
      <c r="I639" s="13" t="str">
        <f t="shared" si="889"/>
        <v/>
      </c>
      <c r="J639" s="107" t="str">
        <f t="array" ref="J639">IFERROR(IF(XLOOKUP(CONCAT(E639,F639),'MASTER PLAN'!$AB:$AB,'MASTER PLAN'!$M:$M,0,0)=0,"",XLOOKUP(CONCAT(E639,F639),'MASTER PLAN'!$AB:$AB,'MASTER PLAN'!$M:$M,0,0)),"")</f>
        <v/>
      </c>
      <c r="K639" s="107">
        <f t="shared" si="237"/>
        <v>0</v>
      </c>
      <c r="L639" s="107">
        <f t="shared" si="238"/>
        <v>0</v>
      </c>
      <c r="M639" s="105" t="s">
        <v>249</v>
      </c>
      <c r="AI639" s="42"/>
      <c r="BN639" s="42"/>
      <c r="CS639" s="42"/>
      <c r="DX639" s="42"/>
      <c r="FC639" s="42"/>
      <c r="GH639" s="42"/>
      <c r="HM639" s="42"/>
      <c r="IR639" s="42"/>
      <c r="JW639" s="42"/>
      <c r="LB639" s="42"/>
      <c r="MG639" s="42"/>
      <c r="NL639" s="42"/>
    </row>
    <row r="640" ht="15.75" customHeight="1">
      <c r="A640" s="42"/>
      <c r="B640" s="42"/>
      <c r="C640" s="42"/>
      <c r="D640" s="38">
        <f t="shared" si="879"/>
        <v>46010</v>
      </c>
      <c r="E640" s="31" t="str">
        <f t="shared" ref="E640:I640" si="890">HC22</f>
        <v/>
      </c>
      <c r="F640" s="31" t="str">
        <f t="shared" si="890"/>
        <v/>
      </c>
      <c r="G640" s="31" t="str">
        <f t="shared" si="890"/>
        <v/>
      </c>
      <c r="H640" s="13" t="str">
        <f t="shared" si="890"/>
        <v/>
      </c>
      <c r="I640" s="13" t="str">
        <f t="shared" si="890"/>
        <v/>
      </c>
      <c r="J640" s="107" t="str">
        <f t="array" ref="J640">IFERROR(IF(XLOOKUP(CONCAT(E640,F640),'MASTER PLAN'!$AB:$AB,'MASTER PLAN'!$M:$M,0,0)=0,"",XLOOKUP(CONCAT(E640,F640),'MASTER PLAN'!$AB:$AB,'MASTER PLAN'!$M:$M,0,0)),"")</f>
        <v/>
      </c>
      <c r="K640" s="107">
        <f t="shared" si="237"/>
        <v>0</v>
      </c>
      <c r="L640" s="107">
        <f t="shared" si="238"/>
        <v>0</v>
      </c>
      <c r="M640" s="105" t="s">
        <v>249</v>
      </c>
      <c r="AI640" s="42"/>
      <c r="BN640" s="42"/>
      <c r="CS640" s="42"/>
      <c r="DX640" s="42"/>
      <c r="FC640" s="42"/>
      <c r="GH640" s="42"/>
      <c r="HM640" s="42"/>
      <c r="IR640" s="42"/>
      <c r="JW640" s="42"/>
      <c r="LB640" s="42"/>
      <c r="MG640" s="42"/>
      <c r="NL640" s="42"/>
    </row>
    <row r="641" ht="15.75" customHeight="1">
      <c r="A641" s="42"/>
      <c r="B641" s="42"/>
      <c r="C641" s="42"/>
      <c r="D641" s="38">
        <f t="shared" si="879"/>
        <v>46010</v>
      </c>
      <c r="E641" s="31" t="str">
        <f t="shared" ref="E641:I641" si="891">HC23</f>
        <v/>
      </c>
      <c r="F641" s="31" t="str">
        <f t="shared" si="891"/>
        <v/>
      </c>
      <c r="G641" s="31" t="str">
        <f t="shared" si="891"/>
        <v/>
      </c>
      <c r="H641" s="13" t="str">
        <f t="shared" si="891"/>
        <v/>
      </c>
      <c r="I641" s="13" t="str">
        <f t="shared" si="891"/>
        <v/>
      </c>
      <c r="J641" s="107" t="str">
        <f t="array" ref="J641">IFERROR(IF(XLOOKUP(CONCAT(E641,F641),'MASTER PLAN'!$AB:$AB,'MASTER PLAN'!$M:$M,0,0)=0,"",XLOOKUP(CONCAT(E641,F641),'MASTER PLAN'!$AB:$AB,'MASTER PLAN'!$M:$M,0,0)),"")</f>
        <v/>
      </c>
      <c r="K641" s="107">
        <f t="shared" si="237"/>
        <v>0</v>
      </c>
      <c r="L641" s="107">
        <f t="shared" si="238"/>
        <v>0</v>
      </c>
      <c r="M641" s="105" t="s">
        <v>249</v>
      </c>
      <c r="AI641" s="42"/>
      <c r="BN641" s="42"/>
      <c r="CS641" s="42"/>
      <c r="DX641" s="42"/>
      <c r="FC641" s="42"/>
      <c r="GH641" s="42"/>
      <c r="HM641" s="42"/>
      <c r="IR641" s="42"/>
      <c r="JW641" s="42"/>
      <c r="LB641" s="42"/>
      <c r="MG641" s="42"/>
      <c r="NL641" s="42"/>
    </row>
    <row r="642" ht="15.75" customHeight="1">
      <c r="A642" s="42"/>
      <c r="B642" s="42"/>
      <c r="C642" s="42"/>
      <c r="D642" s="38">
        <f t="shared" si="879"/>
        <v>46010</v>
      </c>
      <c r="E642" s="31" t="str">
        <f t="shared" ref="E642:I642" si="892">HC24</f>
        <v/>
      </c>
      <c r="F642" s="31" t="str">
        <f t="shared" si="892"/>
        <v/>
      </c>
      <c r="G642" s="31" t="str">
        <f t="shared" si="892"/>
        <v/>
      </c>
      <c r="H642" s="13" t="str">
        <f t="shared" si="892"/>
        <v/>
      </c>
      <c r="I642" s="13" t="str">
        <f t="shared" si="892"/>
        <v/>
      </c>
      <c r="J642" s="107" t="str">
        <f t="array" ref="J642">IFERROR(IF(XLOOKUP(CONCAT(E642,F642),'MASTER PLAN'!$AB:$AB,'MASTER PLAN'!$M:$M,0,0)=0,"",XLOOKUP(CONCAT(E642,F642),'MASTER PLAN'!$AB:$AB,'MASTER PLAN'!$M:$M,0,0)),"")</f>
        <v/>
      </c>
      <c r="K642" s="107">
        <f t="shared" si="237"/>
        <v>0</v>
      </c>
      <c r="L642" s="107">
        <f t="shared" si="238"/>
        <v>0</v>
      </c>
      <c r="M642" s="105" t="s">
        <v>249</v>
      </c>
      <c r="AI642" s="42"/>
      <c r="BN642" s="42"/>
      <c r="CS642" s="42"/>
      <c r="DX642" s="42"/>
      <c r="FC642" s="42"/>
      <c r="GH642" s="42"/>
      <c r="HM642" s="42"/>
      <c r="IR642" s="42"/>
      <c r="JW642" s="42"/>
      <c r="LB642" s="42"/>
      <c r="MG642" s="42"/>
      <c r="NL642" s="42"/>
    </row>
    <row r="643" ht="15.75" customHeight="1">
      <c r="A643" s="42"/>
      <c r="B643" s="42"/>
      <c r="C643" s="42"/>
      <c r="D643" s="38">
        <f>HH2</f>
        <v>46011</v>
      </c>
      <c r="E643" s="31" t="str">
        <f t="shared" ref="E643:I643" si="893">HH4</f>
        <v/>
      </c>
      <c r="F643" s="31" t="str">
        <f t="shared" si="893"/>
        <v/>
      </c>
      <c r="G643" s="31" t="str">
        <f t="shared" si="893"/>
        <v/>
      </c>
      <c r="H643" s="13" t="str">
        <f t="shared" si="893"/>
        <v/>
      </c>
      <c r="I643" s="13" t="str">
        <f t="shared" si="893"/>
        <v/>
      </c>
      <c r="J643" s="107" t="str">
        <f t="array" ref="J643">IFERROR(IF(XLOOKUP(CONCAT(E643,F643),'MASTER PLAN'!$AB:$AB,'MASTER PLAN'!$M:$M,0,0)=0,"",XLOOKUP(CONCAT(E643,F643),'MASTER PLAN'!$AB:$AB,'MASTER PLAN'!$M:$M,0,0)),"")</f>
        <v/>
      </c>
      <c r="K643" s="107">
        <f t="shared" si="237"/>
        <v>0</v>
      </c>
      <c r="L643" s="107">
        <f t="shared" si="238"/>
        <v>0</v>
      </c>
      <c r="M643" s="105" t="s">
        <v>246</v>
      </c>
      <c r="AI643" s="42"/>
      <c r="BN643" s="42"/>
      <c r="CS643" s="42"/>
      <c r="DX643" s="42"/>
      <c r="FC643" s="42"/>
      <c r="GH643" s="42"/>
      <c r="HM643" s="42"/>
      <c r="IR643" s="42"/>
      <c r="JW643" s="42"/>
      <c r="LB643" s="42"/>
      <c r="MG643" s="42"/>
      <c r="NL643" s="42"/>
    </row>
    <row r="644" ht="15.75" customHeight="1">
      <c r="A644" s="42"/>
      <c r="B644" s="42"/>
      <c r="C644" s="42"/>
      <c r="D644" s="38">
        <f t="shared" ref="D644:D657" si="895">D643</f>
        <v>46011</v>
      </c>
      <c r="E644" s="31" t="str">
        <f t="shared" ref="E644:I644" si="894">HH5</f>
        <v/>
      </c>
      <c r="F644" s="31" t="str">
        <f t="shared" si="894"/>
        <v/>
      </c>
      <c r="G644" s="31" t="str">
        <f t="shared" si="894"/>
        <v/>
      </c>
      <c r="H644" s="13" t="str">
        <f t="shared" si="894"/>
        <v/>
      </c>
      <c r="I644" s="13" t="str">
        <f t="shared" si="894"/>
        <v/>
      </c>
      <c r="J644" s="107" t="str">
        <f t="array" ref="J644">IFERROR(IF(XLOOKUP(CONCAT(E644,F644),'MASTER PLAN'!$AB:$AB,'MASTER PLAN'!$M:$M,0,0)=0,"",XLOOKUP(CONCAT(E644,F644),'MASTER PLAN'!$AB:$AB,'MASTER PLAN'!$M:$M,0,0)),"")</f>
        <v/>
      </c>
      <c r="K644" s="107">
        <f t="shared" si="237"/>
        <v>0</v>
      </c>
      <c r="L644" s="107">
        <f t="shared" si="238"/>
        <v>0</v>
      </c>
      <c r="M644" s="105" t="s">
        <v>246</v>
      </c>
      <c r="AI644" s="42"/>
      <c r="BN644" s="42"/>
      <c r="CS644" s="42"/>
      <c r="DX644" s="42"/>
      <c r="FC644" s="42"/>
      <c r="GH644" s="42"/>
      <c r="HM644" s="42"/>
      <c r="IR644" s="42"/>
      <c r="JW644" s="42"/>
      <c r="LB644" s="42"/>
      <c r="MG644" s="42"/>
      <c r="NL644" s="42"/>
    </row>
    <row r="645" ht="15.75" customHeight="1">
      <c r="A645" s="42"/>
      <c r="B645" s="42"/>
      <c r="C645" s="42"/>
      <c r="D645" s="38">
        <f t="shared" si="895"/>
        <v>46011</v>
      </c>
      <c r="E645" s="31" t="str">
        <f t="shared" ref="E645:I645" si="896">HH6</f>
        <v/>
      </c>
      <c r="F645" s="31" t="str">
        <f t="shared" si="896"/>
        <v/>
      </c>
      <c r="G645" s="31" t="str">
        <f t="shared" si="896"/>
        <v/>
      </c>
      <c r="H645" s="13" t="str">
        <f t="shared" si="896"/>
        <v/>
      </c>
      <c r="I645" s="13" t="str">
        <f t="shared" si="896"/>
        <v/>
      </c>
      <c r="J645" s="107" t="str">
        <f t="array" ref="J645">IFERROR(IF(XLOOKUP(CONCAT(E645,F645),'MASTER PLAN'!$AB:$AB,'MASTER PLAN'!$M:$M,0,0)=0,"",XLOOKUP(CONCAT(E645,F645),'MASTER PLAN'!$AB:$AB,'MASTER PLAN'!$M:$M,0,0)),"")</f>
        <v/>
      </c>
      <c r="K645" s="107">
        <f t="shared" si="237"/>
        <v>0</v>
      </c>
      <c r="L645" s="107">
        <f t="shared" si="238"/>
        <v>0</v>
      </c>
      <c r="M645" s="105" t="s">
        <v>246</v>
      </c>
      <c r="AI645" s="42"/>
      <c r="BN645" s="42"/>
      <c r="CS645" s="42"/>
      <c r="DX645" s="42"/>
      <c r="FC645" s="42"/>
      <c r="GH645" s="42"/>
      <c r="HM645" s="42"/>
      <c r="IR645" s="42"/>
      <c r="JW645" s="42"/>
      <c r="LB645" s="42"/>
      <c r="MG645" s="42"/>
      <c r="NL645" s="42"/>
    </row>
    <row r="646" ht="15.75" customHeight="1">
      <c r="A646" s="42"/>
      <c r="B646" s="42"/>
      <c r="C646" s="42"/>
      <c r="D646" s="38">
        <f t="shared" si="895"/>
        <v>46011</v>
      </c>
      <c r="E646" s="31" t="str">
        <f t="shared" ref="E646:I646" si="897">HH7</f>
        <v/>
      </c>
      <c r="F646" s="31" t="str">
        <f t="shared" si="897"/>
        <v/>
      </c>
      <c r="G646" s="31" t="str">
        <f t="shared" si="897"/>
        <v/>
      </c>
      <c r="H646" s="13" t="str">
        <f t="shared" si="897"/>
        <v/>
      </c>
      <c r="I646" s="13" t="str">
        <f t="shared" si="897"/>
        <v/>
      </c>
      <c r="J646" s="107" t="str">
        <f t="array" ref="J646">IFERROR(IF(XLOOKUP(CONCAT(E646,F646),'MASTER PLAN'!$AB:$AB,'MASTER PLAN'!$M:$M,0,0)=0,"",XLOOKUP(CONCAT(E646,F646),'MASTER PLAN'!$AB:$AB,'MASTER PLAN'!$M:$M,0,0)),"")</f>
        <v/>
      </c>
      <c r="K646" s="107">
        <f t="shared" si="237"/>
        <v>0</v>
      </c>
      <c r="L646" s="107">
        <f t="shared" si="238"/>
        <v>0</v>
      </c>
      <c r="M646" s="105" t="s">
        <v>246</v>
      </c>
      <c r="AI646" s="42"/>
      <c r="BN646" s="42"/>
      <c r="CS646" s="42"/>
      <c r="DX646" s="42"/>
      <c r="FC646" s="42"/>
      <c r="GH646" s="42"/>
      <c r="HM646" s="42"/>
      <c r="IR646" s="42"/>
      <c r="JW646" s="42"/>
      <c r="LB646" s="42"/>
      <c r="MG646" s="42"/>
      <c r="NL646" s="42"/>
    </row>
    <row r="647" ht="15.75" customHeight="1">
      <c r="A647" s="42"/>
      <c r="B647" s="42"/>
      <c r="C647" s="42"/>
      <c r="D647" s="38">
        <f t="shared" si="895"/>
        <v>46011</v>
      </c>
      <c r="E647" s="31" t="str">
        <f t="shared" ref="E647:I647" si="898">HH8</f>
        <v/>
      </c>
      <c r="F647" s="31" t="str">
        <f t="shared" si="898"/>
        <v/>
      </c>
      <c r="G647" s="31" t="str">
        <f t="shared" si="898"/>
        <v/>
      </c>
      <c r="H647" s="13" t="str">
        <f t="shared" si="898"/>
        <v/>
      </c>
      <c r="I647" s="13" t="str">
        <f t="shared" si="898"/>
        <v/>
      </c>
      <c r="J647" s="107" t="str">
        <f t="array" ref="J647">IFERROR(IF(XLOOKUP(CONCAT(E647,F647),'MASTER PLAN'!$AB:$AB,'MASTER PLAN'!$M:$M,0,0)=0,"",XLOOKUP(CONCAT(E647,F647),'MASTER PLAN'!$AB:$AB,'MASTER PLAN'!$M:$M,0,0)),"")</f>
        <v/>
      </c>
      <c r="K647" s="107">
        <f t="shared" si="237"/>
        <v>0</v>
      </c>
      <c r="L647" s="107">
        <f t="shared" si="238"/>
        <v>0</v>
      </c>
      <c r="M647" s="105" t="s">
        <v>246</v>
      </c>
      <c r="AI647" s="42"/>
      <c r="BN647" s="42"/>
      <c r="CS647" s="42"/>
      <c r="DX647" s="42"/>
      <c r="FC647" s="42"/>
      <c r="GH647" s="42"/>
      <c r="HM647" s="42"/>
      <c r="IR647" s="42"/>
      <c r="JW647" s="42"/>
      <c r="LB647" s="42"/>
      <c r="MG647" s="42"/>
      <c r="NL647" s="42"/>
    </row>
    <row r="648" ht="15.75" customHeight="1">
      <c r="A648" s="42"/>
      <c r="B648" s="42"/>
      <c r="C648" s="42"/>
      <c r="D648" s="38">
        <f t="shared" si="895"/>
        <v>46011</v>
      </c>
      <c r="E648" s="31" t="str">
        <f t="shared" ref="E648:I648" si="899">HH12</f>
        <v/>
      </c>
      <c r="F648" s="31" t="str">
        <f t="shared" si="899"/>
        <v/>
      </c>
      <c r="G648" s="31" t="str">
        <f t="shared" si="899"/>
        <v/>
      </c>
      <c r="H648" s="13" t="str">
        <f t="shared" si="899"/>
        <v/>
      </c>
      <c r="I648" s="13" t="str">
        <f t="shared" si="899"/>
        <v/>
      </c>
      <c r="J648" s="107" t="str">
        <f t="array" ref="J648">IFERROR(IF(XLOOKUP(CONCAT(E648,F648),'MASTER PLAN'!$AB:$AB,'MASTER PLAN'!$M:$M,0,0)=0,"",XLOOKUP(CONCAT(E648,F648),'MASTER PLAN'!$AB:$AB,'MASTER PLAN'!$M:$M,0,0)),"")</f>
        <v/>
      </c>
      <c r="K648" s="107">
        <f t="shared" si="237"/>
        <v>0</v>
      </c>
      <c r="L648" s="107">
        <f t="shared" si="238"/>
        <v>0</v>
      </c>
      <c r="M648" s="105" t="s">
        <v>248</v>
      </c>
      <c r="AI648" s="42"/>
      <c r="BN648" s="42"/>
      <c r="CS648" s="42"/>
      <c r="DX648" s="42"/>
      <c r="FC648" s="42"/>
      <c r="GH648" s="42"/>
      <c r="HM648" s="42"/>
      <c r="IR648" s="42"/>
      <c r="JW648" s="42"/>
      <c r="LB648" s="42"/>
      <c r="MG648" s="42"/>
      <c r="NL648" s="42"/>
    </row>
    <row r="649" ht="15.75" customHeight="1">
      <c r="A649" s="42"/>
      <c r="B649" s="42"/>
      <c r="C649" s="42"/>
      <c r="D649" s="38">
        <f t="shared" si="895"/>
        <v>46011</v>
      </c>
      <c r="E649" s="31" t="str">
        <f t="shared" ref="E649:I649" si="900">HH13</f>
        <v/>
      </c>
      <c r="F649" s="31" t="str">
        <f t="shared" si="900"/>
        <v/>
      </c>
      <c r="G649" s="31" t="str">
        <f t="shared" si="900"/>
        <v/>
      </c>
      <c r="H649" s="13" t="str">
        <f t="shared" si="900"/>
        <v/>
      </c>
      <c r="I649" s="13" t="str">
        <f t="shared" si="900"/>
        <v/>
      </c>
      <c r="J649" s="107" t="str">
        <f t="array" ref="J649">IFERROR(IF(XLOOKUP(CONCAT(E649,F649),'MASTER PLAN'!$AB:$AB,'MASTER PLAN'!$M:$M,0,0)=0,"",XLOOKUP(CONCAT(E649,F649),'MASTER PLAN'!$AB:$AB,'MASTER PLAN'!$M:$M,0,0)),"")</f>
        <v/>
      </c>
      <c r="K649" s="107">
        <f t="shared" si="237"/>
        <v>0</v>
      </c>
      <c r="L649" s="107">
        <f t="shared" si="238"/>
        <v>0</v>
      </c>
      <c r="M649" s="105" t="s">
        <v>248</v>
      </c>
      <c r="AI649" s="42"/>
      <c r="BN649" s="42"/>
      <c r="CS649" s="42"/>
      <c r="DX649" s="42"/>
      <c r="FC649" s="42"/>
      <c r="GH649" s="42"/>
      <c r="HM649" s="42"/>
      <c r="IR649" s="42"/>
      <c r="JW649" s="42"/>
      <c r="LB649" s="42"/>
      <c r="MG649" s="42"/>
      <c r="NL649" s="42"/>
    </row>
    <row r="650" ht="15.75" customHeight="1">
      <c r="A650" s="42"/>
      <c r="B650" s="42"/>
      <c r="C650" s="42"/>
      <c r="D650" s="38">
        <f t="shared" si="895"/>
        <v>46011</v>
      </c>
      <c r="E650" s="31" t="str">
        <f t="shared" ref="E650:I650" si="901">HH14</f>
        <v/>
      </c>
      <c r="F650" s="31" t="str">
        <f t="shared" si="901"/>
        <v/>
      </c>
      <c r="G650" s="31" t="str">
        <f t="shared" si="901"/>
        <v/>
      </c>
      <c r="H650" s="13" t="str">
        <f t="shared" si="901"/>
        <v/>
      </c>
      <c r="I650" s="13" t="str">
        <f t="shared" si="901"/>
        <v/>
      </c>
      <c r="J650" s="107" t="str">
        <f t="array" ref="J650">IFERROR(IF(XLOOKUP(CONCAT(E650,F650),'MASTER PLAN'!$AB:$AB,'MASTER PLAN'!$M:$M,0,0)=0,"",XLOOKUP(CONCAT(E650,F650),'MASTER PLAN'!$AB:$AB,'MASTER PLAN'!$M:$M,0,0)),"")</f>
        <v/>
      </c>
      <c r="K650" s="107">
        <f t="shared" si="237"/>
        <v>0</v>
      </c>
      <c r="L650" s="107">
        <f t="shared" si="238"/>
        <v>0</v>
      </c>
      <c r="M650" s="105" t="s">
        <v>248</v>
      </c>
      <c r="AI650" s="42"/>
      <c r="BN650" s="42"/>
      <c r="CS650" s="42"/>
      <c r="DX650" s="42"/>
      <c r="FC650" s="42"/>
      <c r="GH650" s="42"/>
      <c r="HM650" s="42"/>
      <c r="IR650" s="42"/>
      <c r="JW650" s="42"/>
      <c r="LB650" s="42"/>
      <c r="MG650" s="42"/>
      <c r="NL650" s="42"/>
    </row>
    <row r="651" ht="15.75" customHeight="1">
      <c r="A651" s="42"/>
      <c r="B651" s="42"/>
      <c r="C651" s="42"/>
      <c r="D651" s="38">
        <f t="shared" si="895"/>
        <v>46011</v>
      </c>
      <c r="E651" s="31" t="str">
        <f t="shared" ref="E651:I651" si="902">HH15</f>
        <v/>
      </c>
      <c r="F651" s="31" t="str">
        <f t="shared" si="902"/>
        <v/>
      </c>
      <c r="G651" s="31" t="str">
        <f t="shared" si="902"/>
        <v/>
      </c>
      <c r="H651" s="13" t="str">
        <f t="shared" si="902"/>
        <v/>
      </c>
      <c r="I651" s="13" t="str">
        <f t="shared" si="902"/>
        <v/>
      </c>
      <c r="J651" s="107" t="str">
        <f t="array" ref="J651">IFERROR(IF(XLOOKUP(CONCAT(E651,F651),'MASTER PLAN'!$AB:$AB,'MASTER PLAN'!$M:$M,0,0)=0,"",XLOOKUP(CONCAT(E651,F651),'MASTER PLAN'!$AB:$AB,'MASTER PLAN'!$M:$M,0,0)),"")</f>
        <v/>
      </c>
      <c r="K651" s="107">
        <f t="shared" si="237"/>
        <v>0</v>
      </c>
      <c r="L651" s="107">
        <f t="shared" si="238"/>
        <v>0</v>
      </c>
      <c r="M651" s="105" t="s">
        <v>248</v>
      </c>
      <c r="AI651" s="42"/>
      <c r="BN651" s="42"/>
      <c r="CS651" s="42"/>
      <c r="DX651" s="42"/>
      <c r="FC651" s="42"/>
      <c r="GH651" s="42"/>
      <c r="HM651" s="42"/>
      <c r="IR651" s="42"/>
      <c r="JW651" s="42"/>
      <c r="LB651" s="42"/>
      <c r="MG651" s="42"/>
      <c r="NL651" s="42"/>
    </row>
    <row r="652" ht="15.75" customHeight="1">
      <c r="A652" s="42"/>
      <c r="B652" s="42"/>
      <c r="C652" s="42"/>
      <c r="D652" s="38">
        <f t="shared" si="895"/>
        <v>46011</v>
      </c>
      <c r="E652" s="31" t="str">
        <f t="shared" ref="E652:I652" si="903">HH16</f>
        <v/>
      </c>
      <c r="F652" s="31" t="str">
        <f t="shared" si="903"/>
        <v/>
      </c>
      <c r="G652" s="31" t="str">
        <f t="shared" si="903"/>
        <v/>
      </c>
      <c r="H652" s="13" t="str">
        <f t="shared" si="903"/>
        <v/>
      </c>
      <c r="I652" s="13" t="str">
        <f t="shared" si="903"/>
        <v/>
      </c>
      <c r="J652" s="107" t="str">
        <f t="array" ref="J652">IFERROR(IF(XLOOKUP(CONCAT(E652,F652),'MASTER PLAN'!$AB:$AB,'MASTER PLAN'!$M:$M,0,0)=0,"",XLOOKUP(CONCAT(E652,F652),'MASTER PLAN'!$AB:$AB,'MASTER PLAN'!$M:$M,0,0)),"")</f>
        <v/>
      </c>
      <c r="K652" s="107">
        <f t="shared" si="237"/>
        <v>0</v>
      </c>
      <c r="L652" s="107">
        <f t="shared" si="238"/>
        <v>0</v>
      </c>
      <c r="M652" s="105" t="s">
        <v>248</v>
      </c>
      <c r="AI652" s="42"/>
      <c r="BN652" s="42"/>
      <c r="CS652" s="42"/>
      <c r="DX652" s="42"/>
      <c r="FC652" s="42"/>
      <c r="GH652" s="42"/>
      <c r="HM652" s="42"/>
      <c r="IR652" s="42"/>
      <c r="JW652" s="42"/>
      <c r="LB652" s="42"/>
      <c r="MG652" s="42"/>
      <c r="NL652" s="42"/>
    </row>
    <row r="653" ht="15.75" customHeight="1">
      <c r="A653" s="42"/>
      <c r="B653" s="42"/>
      <c r="C653" s="42"/>
      <c r="D653" s="38">
        <f t="shared" si="895"/>
        <v>46011</v>
      </c>
      <c r="E653" s="31" t="str">
        <f t="shared" ref="E653:I653" si="904">HH20</f>
        <v/>
      </c>
      <c r="F653" s="31" t="str">
        <f t="shared" si="904"/>
        <v/>
      </c>
      <c r="G653" s="31" t="str">
        <f t="shared" si="904"/>
        <v/>
      </c>
      <c r="H653" s="13" t="str">
        <f t="shared" si="904"/>
        <v/>
      </c>
      <c r="I653" s="13" t="str">
        <f t="shared" si="904"/>
        <v/>
      </c>
      <c r="J653" s="107" t="str">
        <f t="array" ref="J653">IFERROR(IF(XLOOKUP(CONCAT(E653,F653),'MASTER PLAN'!$AB:$AB,'MASTER PLAN'!$M:$M,0,0)=0,"",XLOOKUP(CONCAT(E653,F653),'MASTER PLAN'!$AB:$AB,'MASTER PLAN'!$M:$M,0,0)),"")</f>
        <v/>
      </c>
      <c r="K653" s="107">
        <f t="shared" si="237"/>
        <v>0</v>
      </c>
      <c r="L653" s="107">
        <f t="shared" si="238"/>
        <v>0</v>
      </c>
      <c r="M653" s="105" t="s">
        <v>249</v>
      </c>
      <c r="AI653" s="42"/>
      <c r="BN653" s="42"/>
      <c r="CS653" s="42"/>
      <c r="DX653" s="42"/>
      <c r="FC653" s="42"/>
      <c r="GH653" s="42"/>
      <c r="HM653" s="42"/>
      <c r="IR653" s="42"/>
      <c r="JW653" s="42"/>
      <c r="LB653" s="42"/>
      <c r="MG653" s="42"/>
      <c r="NL653" s="42"/>
    </row>
    <row r="654" ht="15.75" customHeight="1">
      <c r="A654" s="42"/>
      <c r="B654" s="42"/>
      <c r="C654" s="42"/>
      <c r="D654" s="38">
        <f t="shared" si="895"/>
        <v>46011</v>
      </c>
      <c r="E654" s="31" t="str">
        <f t="shared" ref="E654:I654" si="905">HH21</f>
        <v/>
      </c>
      <c r="F654" s="31" t="str">
        <f t="shared" si="905"/>
        <v/>
      </c>
      <c r="G654" s="31" t="str">
        <f t="shared" si="905"/>
        <v/>
      </c>
      <c r="H654" s="13" t="str">
        <f t="shared" si="905"/>
        <v/>
      </c>
      <c r="I654" s="13" t="str">
        <f t="shared" si="905"/>
        <v/>
      </c>
      <c r="J654" s="107" t="str">
        <f t="array" ref="J654">IFERROR(IF(XLOOKUP(CONCAT(E654,F654),'MASTER PLAN'!$AB:$AB,'MASTER PLAN'!$M:$M,0,0)=0,"",XLOOKUP(CONCAT(E654,F654),'MASTER PLAN'!$AB:$AB,'MASTER PLAN'!$M:$M,0,0)),"")</f>
        <v/>
      </c>
      <c r="K654" s="107">
        <f t="shared" si="237"/>
        <v>0</v>
      </c>
      <c r="L654" s="107">
        <f t="shared" si="238"/>
        <v>0</v>
      </c>
      <c r="M654" s="105" t="s">
        <v>249</v>
      </c>
      <c r="AI654" s="42"/>
      <c r="BN654" s="42"/>
      <c r="CS654" s="42"/>
      <c r="DX654" s="42"/>
      <c r="FC654" s="42"/>
      <c r="GH654" s="42"/>
      <c r="HM654" s="42"/>
      <c r="IR654" s="42"/>
      <c r="JW654" s="42"/>
      <c r="LB654" s="42"/>
      <c r="MG654" s="42"/>
      <c r="NL654" s="42"/>
    </row>
    <row r="655" ht="15.75" customHeight="1">
      <c r="A655" s="42"/>
      <c r="B655" s="42"/>
      <c r="C655" s="42"/>
      <c r="D655" s="38">
        <f t="shared" si="895"/>
        <v>46011</v>
      </c>
      <c r="E655" s="31" t="str">
        <f t="shared" ref="E655:I655" si="906">HH22</f>
        <v/>
      </c>
      <c r="F655" s="31" t="str">
        <f t="shared" si="906"/>
        <v/>
      </c>
      <c r="G655" s="31" t="str">
        <f t="shared" si="906"/>
        <v/>
      </c>
      <c r="H655" s="13" t="str">
        <f t="shared" si="906"/>
        <v/>
      </c>
      <c r="I655" s="13" t="str">
        <f t="shared" si="906"/>
        <v/>
      </c>
      <c r="J655" s="107" t="str">
        <f t="array" ref="J655">IFERROR(IF(XLOOKUP(CONCAT(E655,F655),'MASTER PLAN'!$AB:$AB,'MASTER PLAN'!$M:$M,0,0)=0,"",XLOOKUP(CONCAT(E655,F655),'MASTER PLAN'!$AB:$AB,'MASTER PLAN'!$M:$M,0,0)),"")</f>
        <v/>
      </c>
      <c r="K655" s="107">
        <f t="shared" si="237"/>
        <v>0</v>
      </c>
      <c r="L655" s="107">
        <f t="shared" si="238"/>
        <v>0</v>
      </c>
      <c r="M655" s="105" t="s">
        <v>249</v>
      </c>
      <c r="AI655" s="42"/>
      <c r="BN655" s="42"/>
      <c r="CS655" s="42"/>
      <c r="DX655" s="42"/>
      <c r="FC655" s="42"/>
      <c r="GH655" s="42"/>
      <c r="HM655" s="42"/>
      <c r="IR655" s="42"/>
      <c r="JW655" s="42"/>
      <c r="LB655" s="42"/>
      <c r="MG655" s="42"/>
      <c r="NL655" s="42"/>
    </row>
    <row r="656" ht="15.75" customHeight="1">
      <c r="A656" s="42"/>
      <c r="B656" s="42"/>
      <c r="C656" s="42"/>
      <c r="D656" s="38">
        <f t="shared" si="895"/>
        <v>46011</v>
      </c>
      <c r="E656" s="31" t="str">
        <f t="shared" ref="E656:I656" si="907">HH23</f>
        <v/>
      </c>
      <c r="F656" s="31" t="str">
        <f t="shared" si="907"/>
        <v/>
      </c>
      <c r="G656" s="31" t="str">
        <f t="shared" si="907"/>
        <v/>
      </c>
      <c r="H656" s="13" t="str">
        <f t="shared" si="907"/>
        <v/>
      </c>
      <c r="I656" s="13" t="str">
        <f t="shared" si="907"/>
        <v/>
      </c>
      <c r="J656" s="107" t="str">
        <f t="array" ref="J656">IFERROR(IF(XLOOKUP(CONCAT(E656,F656),'MASTER PLAN'!$AB:$AB,'MASTER PLAN'!$M:$M,0,0)=0,"",XLOOKUP(CONCAT(E656,F656),'MASTER PLAN'!$AB:$AB,'MASTER PLAN'!$M:$M,0,0)),"")</f>
        <v/>
      </c>
      <c r="K656" s="107">
        <f t="shared" si="237"/>
        <v>0</v>
      </c>
      <c r="L656" s="107">
        <f t="shared" si="238"/>
        <v>0</v>
      </c>
      <c r="M656" s="105" t="s">
        <v>249</v>
      </c>
      <c r="AI656" s="42"/>
      <c r="BN656" s="42"/>
      <c r="CS656" s="42"/>
      <c r="DX656" s="42"/>
      <c r="FC656" s="42"/>
      <c r="GH656" s="42"/>
      <c r="HM656" s="42"/>
      <c r="IR656" s="42"/>
      <c r="JW656" s="42"/>
      <c r="LB656" s="42"/>
      <c r="MG656" s="42"/>
      <c r="NL656" s="42"/>
    </row>
    <row r="657" ht="15.75" customHeight="1">
      <c r="A657" s="42"/>
      <c r="B657" s="42"/>
      <c r="C657" s="42"/>
      <c r="D657" s="38">
        <f t="shared" si="895"/>
        <v>46011</v>
      </c>
      <c r="E657" s="31" t="str">
        <f t="shared" ref="E657:I657" si="908">HH24</f>
        <v/>
      </c>
      <c r="F657" s="31" t="str">
        <f t="shared" si="908"/>
        <v/>
      </c>
      <c r="G657" s="31" t="str">
        <f t="shared" si="908"/>
        <v/>
      </c>
      <c r="H657" s="13" t="str">
        <f t="shared" si="908"/>
        <v/>
      </c>
      <c r="I657" s="13" t="str">
        <f t="shared" si="908"/>
        <v/>
      </c>
      <c r="J657" s="107" t="str">
        <f t="array" ref="J657">IFERROR(IF(XLOOKUP(CONCAT(E657,F657),'MASTER PLAN'!$AB:$AB,'MASTER PLAN'!$M:$M,0,0)=0,"",XLOOKUP(CONCAT(E657,F657),'MASTER PLAN'!$AB:$AB,'MASTER PLAN'!$M:$M,0,0)),"")</f>
        <v/>
      </c>
      <c r="K657" s="107">
        <f t="shared" si="237"/>
        <v>0</v>
      </c>
      <c r="L657" s="107">
        <f t="shared" si="238"/>
        <v>0</v>
      </c>
      <c r="M657" s="105" t="s">
        <v>249</v>
      </c>
      <c r="AI657" s="42"/>
      <c r="BN657" s="42"/>
      <c r="CS657" s="42"/>
      <c r="DX657" s="42"/>
      <c r="FC657" s="42"/>
      <c r="GH657" s="42"/>
      <c r="HM657" s="42"/>
      <c r="IR657" s="42"/>
      <c r="JW657" s="42"/>
      <c r="LB657" s="42"/>
      <c r="MG657" s="42"/>
      <c r="NL657" s="42"/>
    </row>
    <row r="658" ht="15.75" customHeight="1">
      <c r="A658" s="42"/>
      <c r="B658" s="42"/>
      <c r="C658" s="42"/>
      <c r="D658" s="38">
        <f>HN2</f>
        <v>46013</v>
      </c>
      <c r="E658" s="31">
        <f t="shared" ref="E658:I658" si="909">HN4</f>
        <v>1402049507</v>
      </c>
      <c r="F658" s="31">
        <f t="shared" si="909"/>
        <v>10</v>
      </c>
      <c r="G658" s="31" t="str">
        <f t="shared" si="909"/>
        <v>BOLSA NA HOKU 159X90X210MM</v>
      </c>
      <c r="H658" s="13">
        <f t="shared" si="909"/>
        <v>3000</v>
      </c>
      <c r="I658" s="13" t="str">
        <f t="shared" si="909"/>
        <v/>
      </c>
      <c r="J658" s="107">
        <f t="array" ref="J658">IFERROR(IF(XLOOKUP(CONCAT(E658,F658),'MASTER PLAN'!$AB:$AB,'MASTER PLAN'!$M:$M,0,0)=0,"",XLOOKUP(CONCAT(E658,F658),'MASTER PLAN'!$AB:$AB,'MASTER PLAN'!$M:$M,0,0)),"")</f>
        <v>0.968</v>
      </c>
      <c r="K658" s="107">
        <f t="shared" si="237"/>
        <v>2904</v>
      </c>
      <c r="L658" s="107">
        <f t="shared" si="238"/>
        <v>0</v>
      </c>
      <c r="M658" s="105" t="s">
        <v>246</v>
      </c>
      <c r="AI658" s="42"/>
      <c r="BN658" s="42"/>
      <c r="CS658" s="42"/>
      <c r="DX658" s="42"/>
      <c r="FC658" s="42"/>
      <c r="GH658" s="42"/>
      <c r="HM658" s="42"/>
      <c r="IR658" s="42"/>
      <c r="JW658" s="42"/>
      <c r="LB658" s="42"/>
      <c r="MG658" s="42"/>
      <c r="NL658" s="42"/>
    </row>
    <row r="659" ht="15.75" customHeight="1">
      <c r="A659" s="42"/>
      <c r="B659" s="42"/>
      <c r="C659" s="42"/>
      <c r="D659" s="38">
        <f t="shared" ref="D659:D672" si="911">D658</f>
        <v>46013</v>
      </c>
      <c r="E659" s="31" t="str">
        <f t="shared" ref="E659:I659" si="910">HN5</f>
        <v/>
      </c>
      <c r="F659" s="31" t="str">
        <f t="shared" si="910"/>
        <v/>
      </c>
      <c r="G659" s="31" t="str">
        <f t="shared" si="910"/>
        <v/>
      </c>
      <c r="H659" s="13" t="str">
        <f t="shared" si="910"/>
        <v/>
      </c>
      <c r="I659" s="13" t="str">
        <f t="shared" si="910"/>
        <v/>
      </c>
      <c r="J659" s="107" t="str">
        <f t="array" ref="J659">IFERROR(IF(XLOOKUP(CONCAT(E659,F659),'MASTER PLAN'!$AB:$AB,'MASTER PLAN'!$M:$M,0,0)=0,"",XLOOKUP(CONCAT(E659,F659),'MASTER PLAN'!$AB:$AB,'MASTER PLAN'!$M:$M,0,0)),"")</f>
        <v/>
      </c>
      <c r="K659" s="107">
        <f t="shared" si="237"/>
        <v>0</v>
      </c>
      <c r="L659" s="107">
        <f t="shared" si="238"/>
        <v>0</v>
      </c>
      <c r="M659" s="105" t="s">
        <v>246</v>
      </c>
      <c r="AI659" s="42"/>
      <c r="BN659" s="42"/>
      <c r="CS659" s="42"/>
      <c r="DX659" s="42"/>
      <c r="FC659" s="42"/>
      <c r="GH659" s="42"/>
      <c r="HM659" s="42"/>
      <c r="IR659" s="42"/>
      <c r="JW659" s="42"/>
      <c r="LB659" s="42"/>
      <c r="MG659" s="42"/>
      <c r="NL659" s="42"/>
    </row>
    <row r="660" ht="15.75" customHeight="1">
      <c r="A660" s="42"/>
      <c r="B660" s="42"/>
      <c r="C660" s="42"/>
      <c r="D660" s="38">
        <f t="shared" si="911"/>
        <v>46013</v>
      </c>
      <c r="E660" s="31" t="str">
        <f t="shared" ref="E660:I660" si="912">HN6</f>
        <v/>
      </c>
      <c r="F660" s="31" t="str">
        <f t="shared" si="912"/>
        <v/>
      </c>
      <c r="G660" s="31" t="str">
        <f t="shared" si="912"/>
        <v/>
      </c>
      <c r="H660" s="13" t="str">
        <f t="shared" si="912"/>
        <v/>
      </c>
      <c r="I660" s="13" t="str">
        <f t="shared" si="912"/>
        <v/>
      </c>
      <c r="J660" s="107" t="str">
        <f t="array" ref="J660">IFERROR(IF(XLOOKUP(CONCAT(E660,F660),'MASTER PLAN'!$AB:$AB,'MASTER PLAN'!$M:$M,0,0)=0,"",XLOOKUP(CONCAT(E660,F660),'MASTER PLAN'!$AB:$AB,'MASTER PLAN'!$M:$M,0,0)),"")</f>
        <v/>
      </c>
      <c r="K660" s="107">
        <f t="shared" si="237"/>
        <v>0</v>
      </c>
      <c r="L660" s="107">
        <f t="shared" si="238"/>
        <v>0</v>
      </c>
      <c r="M660" s="105" t="s">
        <v>246</v>
      </c>
      <c r="AI660" s="42"/>
      <c r="BN660" s="42"/>
      <c r="CS660" s="42"/>
      <c r="DX660" s="42"/>
      <c r="FC660" s="42"/>
      <c r="GH660" s="42"/>
      <c r="HM660" s="42"/>
      <c r="IR660" s="42"/>
      <c r="JW660" s="42"/>
      <c r="LB660" s="42"/>
      <c r="MG660" s="42"/>
      <c r="NL660" s="42"/>
    </row>
    <row r="661" ht="15.75" customHeight="1">
      <c r="A661" s="42"/>
      <c r="B661" s="42"/>
      <c r="C661" s="42"/>
      <c r="D661" s="38">
        <f t="shared" si="911"/>
        <v>46013</v>
      </c>
      <c r="E661" s="31" t="str">
        <f t="shared" ref="E661:I661" si="913">HN7</f>
        <v/>
      </c>
      <c r="F661" s="31" t="str">
        <f t="shared" si="913"/>
        <v/>
      </c>
      <c r="G661" s="31" t="str">
        <f t="shared" si="913"/>
        <v/>
      </c>
      <c r="H661" s="13" t="str">
        <f t="shared" si="913"/>
        <v/>
      </c>
      <c r="I661" s="13" t="str">
        <f t="shared" si="913"/>
        <v/>
      </c>
      <c r="J661" s="107" t="str">
        <f t="array" ref="J661">IFERROR(IF(XLOOKUP(CONCAT(E661,F661),'MASTER PLAN'!$AB:$AB,'MASTER PLAN'!$M:$M,0,0)=0,"",XLOOKUP(CONCAT(E661,F661),'MASTER PLAN'!$AB:$AB,'MASTER PLAN'!$M:$M,0,0)),"")</f>
        <v/>
      </c>
      <c r="K661" s="107">
        <f t="shared" si="237"/>
        <v>0</v>
      </c>
      <c r="L661" s="107">
        <f t="shared" si="238"/>
        <v>0</v>
      </c>
      <c r="M661" s="105" t="s">
        <v>246</v>
      </c>
      <c r="AI661" s="42"/>
      <c r="BN661" s="42"/>
      <c r="CS661" s="42"/>
      <c r="DX661" s="42"/>
      <c r="FC661" s="42"/>
      <c r="GH661" s="42"/>
      <c r="HM661" s="42"/>
      <c r="IR661" s="42"/>
      <c r="JW661" s="42"/>
      <c r="LB661" s="42"/>
      <c r="MG661" s="42"/>
      <c r="NL661" s="42"/>
    </row>
    <row r="662" ht="15.75" customHeight="1">
      <c r="A662" s="42"/>
      <c r="B662" s="42"/>
      <c r="C662" s="42"/>
      <c r="D662" s="38">
        <f t="shared" si="911"/>
        <v>46013</v>
      </c>
      <c r="E662" s="31" t="str">
        <f t="shared" ref="E662:I662" si="914">HN8</f>
        <v/>
      </c>
      <c r="F662" s="31" t="str">
        <f t="shared" si="914"/>
        <v/>
      </c>
      <c r="G662" s="31" t="str">
        <f t="shared" si="914"/>
        <v/>
      </c>
      <c r="H662" s="13" t="str">
        <f t="shared" si="914"/>
        <v/>
      </c>
      <c r="I662" s="13" t="str">
        <f t="shared" si="914"/>
        <v/>
      </c>
      <c r="J662" s="107" t="str">
        <f t="array" ref="J662">IFERROR(IF(XLOOKUP(CONCAT(E662,F662),'MASTER PLAN'!$AB:$AB,'MASTER PLAN'!$M:$M,0,0)=0,"",XLOOKUP(CONCAT(E662,F662),'MASTER PLAN'!$AB:$AB,'MASTER PLAN'!$M:$M,0,0)),"")</f>
        <v/>
      </c>
      <c r="K662" s="107">
        <f t="shared" si="237"/>
        <v>0</v>
      </c>
      <c r="L662" s="107">
        <f t="shared" si="238"/>
        <v>0</v>
      </c>
      <c r="M662" s="105" t="s">
        <v>246</v>
      </c>
      <c r="AI662" s="42"/>
      <c r="BN662" s="42"/>
      <c r="CS662" s="42"/>
      <c r="DX662" s="42"/>
      <c r="FC662" s="42"/>
      <c r="GH662" s="42"/>
      <c r="HM662" s="42"/>
      <c r="IR662" s="42"/>
      <c r="JW662" s="42"/>
      <c r="LB662" s="42"/>
      <c r="MG662" s="42"/>
      <c r="NL662" s="42"/>
    </row>
    <row r="663" ht="15.75" customHeight="1">
      <c r="A663" s="42"/>
      <c r="B663" s="42"/>
      <c r="C663" s="42"/>
      <c r="D663" s="38">
        <f t="shared" si="911"/>
        <v>46013</v>
      </c>
      <c r="E663" s="31">
        <f t="shared" ref="E663:I663" si="915">HN12</f>
        <v>1402049498</v>
      </c>
      <c r="F663" s="31">
        <f t="shared" si="915"/>
        <v>10</v>
      </c>
      <c r="G663" s="31" t="str">
        <f t="shared" si="915"/>
        <v>BOLSA ALBERTS JEWELERS 6-5"X3-5"X6-5"</v>
      </c>
      <c r="H663" s="13">
        <f t="shared" si="915"/>
        <v>1000</v>
      </c>
      <c r="I663" s="13" t="str">
        <f t="shared" si="915"/>
        <v/>
      </c>
      <c r="J663" s="107">
        <f t="array" ref="J663">IFERROR(IF(XLOOKUP(CONCAT(E663,F663),'MASTER PLAN'!$AB:$AB,'MASTER PLAN'!$M:$M,0,0)=0,"",XLOOKUP(CONCAT(E663,F663),'MASTER PLAN'!$AB:$AB,'MASTER PLAN'!$M:$M,0,0)),"")</f>
        <v>0.912</v>
      </c>
      <c r="K663" s="107">
        <f t="shared" si="237"/>
        <v>912</v>
      </c>
      <c r="L663" s="107">
        <f t="shared" si="238"/>
        <v>0</v>
      </c>
      <c r="M663" s="105" t="s">
        <v>248</v>
      </c>
      <c r="AI663" s="42"/>
      <c r="BN663" s="42"/>
      <c r="CS663" s="42"/>
      <c r="DX663" s="42"/>
      <c r="FC663" s="42"/>
      <c r="GH663" s="42"/>
      <c r="HM663" s="42"/>
      <c r="IR663" s="42"/>
      <c r="JW663" s="42"/>
      <c r="LB663" s="42"/>
      <c r="MG663" s="42"/>
      <c r="NL663" s="42"/>
    </row>
    <row r="664" ht="15.75" customHeight="1">
      <c r="A664" s="42"/>
      <c r="B664" s="42"/>
      <c r="C664" s="42"/>
      <c r="D664" s="38">
        <f t="shared" si="911"/>
        <v>46013</v>
      </c>
      <c r="E664" s="31">
        <f t="shared" ref="E664:I664" si="916">HN13</f>
        <v>1402049507</v>
      </c>
      <c r="F664" s="31">
        <f t="shared" si="916"/>
        <v>10</v>
      </c>
      <c r="G664" s="31" t="str">
        <f t="shared" si="916"/>
        <v>BOLSA NA HOKU 159X90X210MM</v>
      </c>
      <c r="H664" s="13">
        <f t="shared" si="916"/>
        <v>2000</v>
      </c>
      <c r="I664" s="13" t="str">
        <f t="shared" si="916"/>
        <v/>
      </c>
      <c r="J664" s="107">
        <f t="array" ref="J664">IFERROR(IF(XLOOKUP(CONCAT(E664,F664),'MASTER PLAN'!$AB:$AB,'MASTER PLAN'!$M:$M,0,0)=0,"",XLOOKUP(CONCAT(E664,F664),'MASTER PLAN'!$AB:$AB,'MASTER PLAN'!$M:$M,0,0)),"")</f>
        <v>0.968</v>
      </c>
      <c r="K664" s="107">
        <f t="shared" si="237"/>
        <v>1936</v>
      </c>
      <c r="L664" s="107">
        <f t="shared" si="238"/>
        <v>0</v>
      </c>
      <c r="M664" s="105" t="s">
        <v>248</v>
      </c>
      <c r="AI664" s="42"/>
      <c r="BN664" s="42"/>
      <c r="CS664" s="42"/>
      <c r="DX664" s="42"/>
      <c r="FC664" s="42"/>
      <c r="GH664" s="42"/>
      <c r="HM664" s="42"/>
      <c r="IR664" s="42"/>
      <c r="JW664" s="42"/>
      <c r="LB664" s="42"/>
      <c r="MG664" s="42"/>
      <c r="NL664" s="42"/>
    </row>
    <row r="665" ht="15.75" customHeight="1">
      <c r="A665" s="42"/>
      <c r="B665" s="42"/>
      <c r="C665" s="42"/>
      <c r="D665" s="38">
        <f t="shared" si="911"/>
        <v>46013</v>
      </c>
      <c r="E665" s="31" t="str">
        <f t="shared" ref="E665:I665" si="917">HN14</f>
        <v/>
      </c>
      <c r="F665" s="31" t="str">
        <f t="shared" si="917"/>
        <v/>
      </c>
      <c r="G665" s="31" t="str">
        <f t="shared" si="917"/>
        <v/>
      </c>
      <c r="H665" s="13" t="str">
        <f t="shared" si="917"/>
        <v/>
      </c>
      <c r="I665" s="13" t="str">
        <f t="shared" si="917"/>
        <v/>
      </c>
      <c r="J665" s="107" t="str">
        <f t="array" ref="J665">IFERROR(IF(XLOOKUP(CONCAT(E665,F665),'MASTER PLAN'!$AB:$AB,'MASTER PLAN'!$M:$M,0,0)=0,"",XLOOKUP(CONCAT(E665,F665),'MASTER PLAN'!$AB:$AB,'MASTER PLAN'!$M:$M,0,0)),"")</f>
        <v/>
      </c>
      <c r="K665" s="107">
        <f t="shared" si="237"/>
        <v>0</v>
      </c>
      <c r="L665" s="107">
        <f t="shared" si="238"/>
        <v>0</v>
      </c>
      <c r="M665" s="105" t="s">
        <v>248</v>
      </c>
      <c r="AI665" s="42"/>
      <c r="BN665" s="42"/>
      <c r="CS665" s="42"/>
      <c r="DX665" s="42"/>
      <c r="FC665" s="42"/>
      <c r="GH665" s="42"/>
      <c r="HM665" s="42"/>
      <c r="IR665" s="42"/>
      <c r="JW665" s="42"/>
      <c r="LB665" s="42"/>
      <c r="MG665" s="42"/>
      <c r="NL665" s="42"/>
    </row>
    <row r="666" ht="15.75" customHeight="1">
      <c r="A666" s="42"/>
      <c r="B666" s="42"/>
      <c r="C666" s="42"/>
      <c r="D666" s="38">
        <f t="shared" si="911"/>
        <v>46013</v>
      </c>
      <c r="E666" s="31" t="str">
        <f t="shared" ref="E666:I666" si="918">HN15</f>
        <v/>
      </c>
      <c r="F666" s="31" t="str">
        <f t="shared" si="918"/>
        <v/>
      </c>
      <c r="G666" s="31" t="str">
        <f t="shared" si="918"/>
        <v/>
      </c>
      <c r="H666" s="13" t="str">
        <f t="shared" si="918"/>
        <v/>
      </c>
      <c r="I666" s="13" t="str">
        <f t="shared" si="918"/>
        <v/>
      </c>
      <c r="J666" s="107" t="str">
        <f t="array" ref="J666">IFERROR(IF(XLOOKUP(CONCAT(E666,F666),'MASTER PLAN'!$AB:$AB,'MASTER PLAN'!$M:$M,0,0)=0,"",XLOOKUP(CONCAT(E666,F666),'MASTER PLAN'!$AB:$AB,'MASTER PLAN'!$M:$M,0,0)),"")</f>
        <v/>
      </c>
      <c r="K666" s="107">
        <f t="shared" si="237"/>
        <v>0</v>
      </c>
      <c r="L666" s="107">
        <f t="shared" si="238"/>
        <v>0</v>
      </c>
      <c r="M666" s="105" t="s">
        <v>248</v>
      </c>
      <c r="AI666" s="42"/>
      <c r="BN666" s="42"/>
      <c r="CS666" s="42"/>
      <c r="DX666" s="42"/>
      <c r="FC666" s="42"/>
      <c r="GH666" s="42"/>
      <c r="HM666" s="42"/>
      <c r="IR666" s="42"/>
      <c r="JW666" s="42"/>
      <c r="LB666" s="42"/>
      <c r="MG666" s="42"/>
      <c r="NL666" s="42"/>
    </row>
    <row r="667" ht="15.75" customHeight="1">
      <c r="A667" s="42"/>
      <c r="B667" s="42"/>
      <c r="C667" s="42"/>
      <c r="D667" s="38">
        <f t="shared" si="911"/>
        <v>46013</v>
      </c>
      <c r="E667" s="31" t="str">
        <f t="shared" ref="E667:I667" si="919">HN16</f>
        <v/>
      </c>
      <c r="F667" s="31" t="str">
        <f t="shared" si="919"/>
        <v/>
      </c>
      <c r="G667" s="31" t="str">
        <f t="shared" si="919"/>
        <v/>
      </c>
      <c r="H667" s="13" t="str">
        <f t="shared" si="919"/>
        <v/>
      </c>
      <c r="I667" s="13" t="str">
        <f t="shared" si="919"/>
        <v/>
      </c>
      <c r="J667" s="107" t="str">
        <f t="array" ref="J667">IFERROR(IF(XLOOKUP(CONCAT(E667,F667),'MASTER PLAN'!$AB:$AB,'MASTER PLAN'!$M:$M,0,0)=0,"",XLOOKUP(CONCAT(E667,F667),'MASTER PLAN'!$AB:$AB,'MASTER PLAN'!$M:$M,0,0)),"")</f>
        <v/>
      </c>
      <c r="K667" s="107">
        <f t="shared" si="237"/>
        <v>0</v>
      </c>
      <c r="L667" s="107">
        <f t="shared" si="238"/>
        <v>0</v>
      </c>
      <c r="M667" s="105" t="s">
        <v>248</v>
      </c>
      <c r="AI667" s="42"/>
      <c r="BN667" s="42"/>
      <c r="CS667" s="42"/>
      <c r="DX667" s="42"/>
      <c r="FC667" s="42"/>
      <c r="GH667" s="42"/>
      <c r="HM667" s="42"/>
      <c r="IR667" s="42"/>
      <c r="JW667" s="42"/>
      <c r="LB667" s="42"/>
      <c r="MG667" s="42"/>
      <c r="NL667" s="42"/>
    </row>
    <row r="668" ht="15.75" customHeight="1">
      <c r="A668" s="42"/>
      <c r="B668" s="42"/>
      <c r="C668" s="42"/>
      <c r="D668" s="38">
        <f t="shared" si="911"/>
        <v>46013</v>
      </c>
      <c r="E668" s="31" t="str">
        <f t="shared" ref="E668:I668" si="920">HN20</f>
        <v/>
      </c>
      <c r="F668" s="31" t="str">
        <f t="shared" si="920"/>
        <v/>
      </c>
      <c r="G668" s="31" t="str">
        <f t="shared" si="920"/>
        <v/>
      </c>
      <c r="H668" s="13" t="str">
        <f t="shared" si="920"/>
        <v/>
      </c>
      <c r="I668" s="13" t="str">
        <f t="shared" si="920"/>
        <v/>
      </c>
      <c r="J668" s="107" t="str">
        <f t="array" ref="J668">IFERROR(IF(XLOOKUP(CONCAT(E668,F668),'MASTER PLAN'!$AB:$AB,'MASTER PLAN'!$M:$M,0,0)=0,"",XLOOKUP(CONCAT(E668,F668),'MASTER PLAN'!$AB:$AB,'MASTER PLAN'!$M:$M,0,0)),"")</f>
        <v/>
      </c>
      <c r="K668" s="107">
        <f t="shared" si="237"/>
        <v>0</v>
      </c>
      <c r="L668" s="107">
        <f t="shared" si="238"/>
        <v>0</v>
      </c>
      <c r="M668" s="105" t="s">
        <v>249</v>
      </c>
      <c r="AI668" s="42"/>
      <c r="BN668" s="42"/>
      <c r="CS668" s="42"/>
      <c r="DX668" s="42"/>
      <c r="FC668" s="42"/>
      <c r="GH668" s="42"/>
      <c r="HM668" s="42"/>
      <c r="IR668" s="42"/>
      <c r="JW668" s="42"/>
      <c r="LB668" s="42"/>
      <c r="MG668" s="42"/>
      <c r="NL668" s="42"/>
    </row>
    <row r="669" ht="15.75" customHeight="1">
      <c r="A669" s="42"/>
      <c r="B669" s="42"/>
      <c r="C669" s="42"/>
      <c r="D669" s="38">
        <f t="shared" si="911"/>
        <v>46013</v>
      </c>
      <c r="E669" s="31" t="str">
        <f t="shared" ref="E669:I669" si="921">HN21</f>
        <v/>
      </c>
      <c r="F669" s="31" t="str">
        <f t="shared" si="921"/>
        <v/>
      </c>
      <c r="G669" s="31" t="str">
        <f t="shared" si="921"/>
        <v/>
      </c>
      <c r="H669" s="13" t="str">
        <f t="shared" si="921"/>
        <v/>
      </c>
      <c r="I669" s="13" t="str">
        <f t="shared" si="921"/>
        <v/>
      </c>
      <c r="J669" s="107" t="str">
        <f t="array" ref="J669">IFERROR(IF(XLOOKUP(CONCAT(E669,F669),'MASTER PLAN'!$AB:$AB,'MASTER PLAN'!$M:$M,0,0)=0,"",XLOOKUP(CONCAT(E669,F669),'MASTER PLAN'!$AB:$AB,'MASTER PLAN'!$M:$M,0,0)),"")</f>
        <v/>
      </c>
      <c r="K669" s="107">
        <f t="shared" si="237"/>
        <v>0</v>
      </c>
      <c r="L669" s="107">
        <f t="shared" si="238"/>
        <v>0</v>
      </c>
      <c r="M669" s="105" t="s">
        <v>249</v>
      </c>
      <c r="AI669" s="42"/>
      <c r="BN669" s="42"/>
      <c r="CS669" s="42"/>
      <c r="DX669" s="42"/>
      <c r="FC669" s="42"/>
      <c r="GH669" s="42"/>
      <c r="HM669" s="42"/>
      <c r="IR669" s="42"/>
      <c r="JW669" s="42"/>
      <c r="LB669" s="42"/>
      <c r="MG669" s="42"/>
      <c r="NL669" s="42"/>
    </row>
    <row r="670" ht="15.75" customHeight="1">
      <c r="A670" s="42"/>
      <c r="B670" s="42"/>
      <c r="C670" s="42"/>
      <c r="D670" s="38">
        <f t="shared" si="911"/>
        <v>46013</v>
      </c>
      <c r="E670" s="31" t="str">
        <f t="shared" ref="E670:I670" si="922">HN22</f>
        <v/>
      </c>
      <c r="F670" s="31" t="str">
        <f t="shared" si="922"/>
        <v/>
      </c>
      <c r="G670" s="31" t="str">
        <f t="shared" si="922"/>
        <v/>
      </c>
      <c r="H670" s="13" t="str">
        <f t="shared" si="922"/>
        <v/>
      </c>
      <c r="I670" s="13" t="str">
        <f t="shared" si="922"/>
        <v/>
      </c>
      <c r="J670" s="107" t="str">
        <f t="array" ref="J670">IFERROR(IF(XLOOKUP(CONCAT(E670,F670),'MASTER PLAN'!$AB:$AB,'MASTER PLAN'!$M:$M,0,0)=0,"",XLOOKUP(CONCAT(E670,F670),'MASTER PLAN'!$AB:$AB,'MASTER PLAN'!$M:$M,0,0)),"")</f>
        <v/>
      </c>
      <c r="K670" s="107">
        <f t="shared" si="237"/>
        <v>0</v>
      </c>
      <c r="L670" s="107">
        <f t="shared" si="238"/>
        <v>0</v>
      </c>
      <c r="M670" s="105" t="s">
        <v>249</v>
      </c>
      <c r="AI670" s="42"/>
      <c r="BN670" s="42"/>
      <c r="CS670" s="42"/>
      <c r="DX670" s="42"/>
      <c r="FC670" s="42"/>
      <c r="GH670" s="42"/>
      <c r="HM670" s="42"/>
      <c r="IR670" s="42"/>
      <c r="JW670" s="42"/>
      <c r="LB670" s="42"/>
      <c r="MG670" s="42"/>
      <c r="NL670" s="42"/>
    </row>
    <row r="671" ht="15.75" customHeight="1">
      <c r="A671" s="42"/>
      <c r="B671" s="42"/>
      <c r="C671" s="42"/>
      <c r="D671" s="38">
        <f t="shared" si="911"/>
        <v>46013</v>
      </c>
      <c r="E671" s="31" t="str">
        <f t="shared" ref="E671:I671" si="923">HN23</f>
        <v/>
      </c>
      <c r="F671" s="31" t="str">
        <f t="shared" si="923"/>
        <v/>
      </c>
      <c r="G671" s="31" t="str">
        <f t="shared" si="923"/>
        <v/>
      </c>
      <c r="H671" s="13" t="str">
        <f t="shared" si="923"/>
        <v/>
      </c>
      <c r="I671" s="13" t="str">
        <f t="shared" si="923"/>
        <v/>
      </c>
      <c r="J671" s="107" t="str">
        <f t="array" ref="J671">IFERROR(IF(XLOOKUP(CONCAT(E671,F671),'MASTER PLAN'!$AB:$AB,'MASTER PLAN'!$M:$M,0,0)=0,"",XLOOKUP(CONCAT(E671,F671),'MASTER PLAN'!$AB:$AB,'MASTER PLAN'!$M:$M,0,0)),"")</f>
        <v/>
      </c>
      <c r="K671" s="107">
        <f t="shared" si="237"/>
        <v>0</v>
      </c>
      <c r="L671" s="107">
        <f t="shared" si="238"/>
        <v>0</v>
      </c>
      <c r="M671" s="105" t="s">
        <v>249</v>
      </c>
      <c r="AI671" s="42"/>
      <c r="BN671" s="42"/>
      <c r="CS671" s="42"/>
      <c r="DX671" s="42"/>
      <c r="FC671" s="42"/>
      <c r="GH671" s="42"/>
      <c r="HM671" s="42"/>
      <c r="IR671" s="42"/>
      <c r="JW671" s="42"/>
      <c r="LB671" s="42"/>
      <c r="MG671" s="42"/>
      <c r="NL671" s="42"/>
    </row>
    <row r="672" ht="15.75" customHeight="1">
      <c r="A672" s="42"/>
      <c r="B672" s="42"/>
      <c r="C672" s="42"/>
      <c r="D672" s="38">
        <f t="shared" si="911"/>
        <v>46013</v>
      </c>
      <c r="E672" s="31" t="str">
        <f t="shared" ref="E672:I672" si="924">HN24</f>
        <v/>
      </c>
      <c r="F672" s="31" t="str">
        <f t="shared" si="924"/>
        <v/>
      </c>
      <c r="G672" s="31" t="str">
        <f t="shared" si="924"/>
        <v/>
      </c>
      <c r="H672" s="13" t="str">
        <f t="shared" si="924"/>
        <v/>
      </c>
      <c r="I672" s="13" t="str">
        <f t="shared" si="924"/>
        <v/>
      </c>
      <c r="J672" s="107" t="str">
        <f t="array" ref="J672">IFERROR(IF(XLOOKUP(CONCAT(E672,F672),'MASTER PLAN'!$AB:$AB,'MASTER PLAN'!$M:$M,0,0)=0,"",XLOOKUP(CONCAT(E672,F672),'MASTER PLAN'!$AB:$AB,'MASTER PLAN'!$M:$M,0,0)),"")</f>
        <v/>
      </c>
      <c r="K672" s="107">
        <f t="shared" si="237"/>
        <v>0</v>
      </c>
      <c r="L672" s="107">
        <f t="shared" si="238"/>
        <v>0</v>
      </c>
      <c r="M672" s="105" t="s">
        <v>249</v>
      </c>
      <c r="AI672" s="42"/>
      <c r="BN672" s="42"/>
      <c r="CS672" s="42"/>
      <c r="DX672" s="42"/>
      <c r="FC672" s="42"/>
      <c r="GH672" s="42"/>
      <c r="HM672" s="42"/>
      <c r="IR672" s="42"/>
      <c r="JW672" s="42"/>
      <c r="LB672" s="42"/>
      <c r="MG672" s="42"/>
      <c r="NL672" s="42"/>
    </row>
    <row r="673" ht="15.75" customHeight="1">
      <c r="A673" s="42"/>
      <c r="B673" s="42"/>
      <c r="C673" s="42"/>
      <c r="D673" s="38">
        <f>HS2</f>
        <v>46014</v>
      </c>
      <c r="E673" s="31">
        <f t="shared" ref="E673:I673" si="925">HS4</f>
        <v>1402049480</v>
      </c>
      <c r="F673" s="31">
        <f t="shared" si="925"/>
        <v>10</v>
      </c>
      <c r="G673" s="31" t="str">
        <f t="shared" si="925"/>
        <v>BOLSA LEE BRANT  8"X4"X10"</v>
      </c>
      <c r="H673" s="13">
        <f t="shared" si="925"/>
        <v>1000</v>
      </c>
      <c r="I673" s="13" t="str">
        <f t="shared" si="925"/>
        <v/>
      </c>
      <c r="J673" s="107">
        <f t="array" ref="J673">IFERROR(IF(XLOOKUP(CONCAT(E673,F673),'MASTER PLAN'!$AB:$AB,'MASTER PLAN'!$M:$M,0,0)=0,"",XLOOKUP(CONCAT(E673,F673),'MASTER PLAN'!$AB:$AB,'MASTER PLAN'!$M:$M,0,0)),"")</f>
        <v>1.32</v>
      </c>
      <c r="K673" s="107">
        <f t="shared" si="237"/>
        <v>1320</v>
      </c>
      <c r="L673" s="107">
        <f t="shared" si="238"/>
        <v>0</v>
      </c>
      <c r="M673" s="105" t="s">
        <v>246</v>
      </c>
      <c r="AI673" s="42"/>
      <c r="BN673" s="42"/>
      <c r="CS673" s="42"/>
      <c r="DX673" s="42"/>
      <c r="FC673" s="42"/>
      <c r="GH673" s="42"/>
      <c r="HM673" s="42"/>
      <c r="IR673" s="42"/>
      <c r="JW673" s="42"/>
      <c r="LB673" s="42"/>
      <c r="MG673" s="42"/>
      <c r="NL673" s="42"/>
    </row>
    <row r="674" ht="15.75" customHeight="1">
      <c r="A674" s="42"/>
      <c r="B674" s="42"/>
      <c r="C674" s="42"/>
      <c r="D674" s="38">
        <f t="shared" ref="D674:D687" si="927">D673</f>
        <v>46014</v>
      </c>
      <c r="E674" s="31">
        <f t="shared" ref="E674:I674" si="926">HS5</f>
        <v>1402049480</v>
      </c>
      <c r="F674" s="31">
        <f t="shared" si="926"/>
        <v>20</v>
      </c>
      <c r="G674" s="31" t="str">
        <f t="shared" si="926"/>
        <v>BOLSA LEE BRANT  8"X4"X10"</v>
      </c>
      <c r="H674" s="13">
        <f t="shared" si="926"/>
        <v>1000</v>
      </c>
      <c r="I674" s="13" t="str">
        <f t="shared" si="926"/>
        <v/>
      </c>
      <c r="J674" s="107">
        <f t="array" ref="J674">IFERROR(IF(XLOOKUP(CONCAT(E674,F674),'MASTER PLAN'!$AB:$AB,'MASTER PLAN'!$M:$M,0,0)=0,"",XLOOKUP(CONCAT(E674,F674),'MASTER PLAN'!$AB:$AB,'MASTER PLAN'!$M:$M,0,0)),"")</f>
        <v>1.32</v>
      </c>
      <c r="K674" s="107">
        <f t="shared" si="237"/>
        <v>1320</v>
      </c>
      <c r="L674" s="107">
        <f t="shared" si="238"/>
        <v>0</v>
      </c>
      <c r="M674" s="105" t="s">
        <v>246</v>
      </c>
      <c r="AI674" s="42"/>
      <c r="BN674" s="42"/>
      <c r="CS674" s="42"/>
      <c r="DX674" s="42"/>
      <c r="FC674" s="42"/>
      <c r="GH674" s="42"/>
      <c r="HM674" s="42"/>
      <c r="IR674" s="42"/>
      <c r="JW674" s="42"/>
      <c r="LB674" s="42"/>
      <c r="MG674" s="42"/>
      <c r="NL674" s="42"/>
    </row>
    <row r="675" ht="15.75" customHeight="1">
      <c r="A675" s="42"/>
      <c r="B675" s="42"/>
      <c r="C675" s="42"/>
      <c r="D675" s="38">
        <f t="shared" si="927"/>
        <v>46014</v>
      </c>
      <c r="E675" s="31">
        <f t="shared" ref="E675:I675" si="928">HS6</f>
        <v>1402049448</v>
      </c>
      <c r="F675" s="31">
        <f t="shared" si="928"/>
        <v>10</v>
      </c>
      <c r="G675" s="31" t="str">
        <f t="shared" si="928"/>
        <v>BOLSA CALDANI 6-5"X2-5"X5-5"</v>
      </c>
      <c r="H675" s="13">
        <f t="shared" si="928"/>
        <v>1000</v>
      </c>
      <c r="I675" s="13" t="str">
        <f t="shared" si="928"/>
        <v/>
      </c>
      <c r="J675" s="107">
        <f t="array" ref="J675">IFERROR(IF(XLOOKUP(CONCAT(E675,F675),'MASTER PLAN'!$AB:$AB,'MASTER PLAN'!$M:$M,0,0)=0,"",XLOOKUP(CONCAT(E675,F675),'MASTER PLAN'!$AB:$AB,'MASTER PLAN'!$M:$M,0,0)),"")</f>
        <v>0.663</v>
      </c>
      <c r="K675" s="107">
        <f t="shared" si="237"/>
        <v>663</v>
      </c>
      <c r="L675" s="107">
        <f t="shared" si="238"/>
        <v>0</v>
      </c>
      <c r="M675" s="105" t="s">
        <v>246</v>
      </c>
      <c r="AI675" s="42"/>
      <c r="BN675" s="42"/>
      <c r="CS675" s="42"/>
      <c r="DX675" s="42"/>
      <c r="FC675" s="42"/>
      <c r="GH675" s="42"/>
      <c r="HM675" s="42"/>
      <c r="IR675" s="42"/>
      <c r="JW675" s="42"/>
      <c r="LB675" s="42"/>
      <c r="MG675" s="42"/>
      <c r="NL675" s="42"/>
    </row>
    <row r="676" ht="15.75" customHeight="1">
      <c r="A676" s="42"/>
      <c r="B676" s="42"/>
      <c r="C676" s="42"/>
      <c r="D676" s="38">
        <f t="shared" si="927"/>
        <v>46014</v>
      </c>
      <c r="E676" s="31" t="str">
        <f t="shared" ref="E676:I676" si="929">HS7</f>
        <v/>
      </c>
      <c r="F676" s="31" t="str">
        <f t="shared" si="929"/>
        <v/>
      </c>
      <c r="G676" s="31" t="str">
        <f t="shared" si="929"/>
        <v/>
      </c>
      <c r="H676" s="13" t="str">
        <f t="shared" si="929"/>
        <v/>
      </c>
      <c r="I676" s="13" t="str">
        <f t="shared" si="929"/>
        <v/>
      </c>
      <c r="J676" s="107" t="str">
        <f t="array" ref="J676">IFERROR(IF(XLOOKUP(CONCAT(E676,F676),'MASTER PLAN'!$AB:$AB,'MASTER PLAN'!$M:$M,0,0)=0,"",XLOOKUP(CONCAT(E676,F676),'MASTER PLAN'!$AB:$AB,'MASTER PLAN'!$M:$M,0,0)),"")</f>
        <v/>
      </c>
      <c r="K676" s="107">
        <f t="shared" si="237"/>
        <v>0</v>
      </c>
      <c r="L676" s="107">
        <f t="shared" si="238"/>
        <v>0</v>
      </c>
      <c r="M676" s="105" t="s">
        <v>246</v>
      </c>
      <c r="AI676" s="42"/>
      <c r="BN676" s="42"/>
      <c r="CS676" s="42"/>
      <c r="DX676" s="42"/>
      <c r="FC676" s="42"/>
      <c r="GH676" s="42"/>
      <c r="HM676" s="42"/>
      <c r="IR676" s="42"/>
      <c r="JW676" s="42"/>
      <c r="LB676" s="42"/>
      <c r="MG676" s="42"/>
      <c r="NL676" s="42"/>
    </row>
    <row r="677" ht="15.75" customHeight="1">
      <c r="A677" s="42"/>
      <c r="B677" s="42"/>
      <c r="C677" s="42"/>
      <c r="D677" s="38">
        <f t="shared" si="927"/>
        <v>46014</v>
      </c>
      <c r="E677" s="31" t="str">
        <f t="shared" ref="E677:I677" si="930">HS8</f>
        <v/>
      </c>
      <c r="F677" s="31" t="str">
        <f t="shared" si="930"/>
        <v/>
      </c>
      <c r="G677" s="31" t="str">
        <f t="shared" si="930"/>
        <v/>
      </c>
      <c r="H677" s="13" t="str">
        <f t="shared" si="930"/>
        <v/>
      </c>
      <c r="I677" s="13" t="str">
        <f t="shared" si="930"/>
        <v/>
      </c>
      <c r="J677" s="107" t="str">
        <f t="array" ref="J677">IFERROR(IF(XLOOKUP(CONCAT(E677,F677),'MASTER PLAN'!$AB:$AB,'MASTER PLAN'!$M:$M,0,0)=0,"",XLOOKUP(CONCAT(E677,F677),'MASTER PLAN'!$AB:$AB,'MASTER PLAN'!$M:$M,0,0)),"")</f>
        <v/>
      </c>
      <c r="K677" s="107">
        <f t="shared" si="237"/>
        <v>0</v>
      </c>
      <c r="L677" s="107">
        <f t="shared" si="238"/>
        <v>0</v>
      </c>
      <c r="M677" s="105" t="s">
        <v>246</v>
      </c>
      <c r="AI677" s="42"/>
      <c r="BN677" s="42"/>
      <c r="CS677" s="42"/>
      <c r="DX677" s="42"/>
      <c r="FC677" s="42"/>
      <c r="GH677" s="42"/>
      <c r="HM677" s="42"/>
      <c r="IR677" s="42"/>
      <c r="JW677" s="42"/>
      <c r="LB677" s="42"/>
      <c r="MG677" s="42"/>
      <c r="NL677" s="42"/>
    </row>
    <row r="678" ht="15.75" customHeight="1">
      <c r="A678" s="42"/>
      <c r="B678" s="42"/>
      <c r="C678" s="42"/>
      <c r="D678" s="38">
        <f t="shared" si="927"/>
        <v>46014</v>
      </c>
      <c r="E678" s="31">
        <f t="shared" ref="E678:I678" si="931">HS12</f>
        <v>1402049507</v>
      </c>
      <c r="F678" s="31">
        <f t="shared" si="931"/>
        <v>10</v>
      </c>
      <c r="G678" s="31" t="str">
        <f t="shared" si="931"/>
        <v>BOLSA NA HOKU 159X90X210MM</v>
      </c>
      <c r="H678" s="13">
        <f t="shared" si="931"/>
        <v>2000</v>
      </c>
      <c r="I678" s="13" t="str">
        <f t="shared" si="931"/>
        <v/>
      </c>
      <c r="J678" s="107">
        <f t="array" ref="J678">IFERROR(IF(XLOOKUP(CONCAT(E678,F678),'MASTER PLAN'!$AB:$AB,'MASTER PLAN'!$M:$M,0,0)=0,"",XLOOKUP(CONCAT(E678,F678),'MASTER PLAN'!$AB:$AB,'MASTER PLAN'!$M:$M,0,0)),"")</f>
        <v>0.968</v>
      </c>
      <c r="K678" s="107">
        <f t="shared" si="237"/>
        <v>1936</v>
      </c>
      <c r="L678" s="107">
        <f t="shared" si="238"/>
        <v>0</v>
      </c>
      <c r="M678" s="105" t="s">
        <v>248</v>
      </c>
      <c r="AI678" s="42"/>
      <c r="BN678" s="42"/>
      <c r="CS678" s="42"/>
      <c r="DX678" s="42"/>
      <c r="FC678" s="42"/>
      <c r="GH678" s="42"/>
      <c r="HM678" s="42"/>
      <c r="IR678" s="42"/>
      <c r="JW678" s="42"/>
      <c r="LB678" s="42"/>
      <c r="MG678" s="42"/>
      <c r="NL678" s="42"/>
    </row>
    <row r="679" ht="15.75" customHeight="1">
      <c r="A679" s="42"/>
      <c r="B679" s="42"/>
      <c r="C679" s="42"/>
      <c r="D679" s="38">
        <f t="shared" si="927"/>
        <v>46014</v>
      </c>
      <c r="E679" s="31" t="str">
        <f t="shared" ref="E679:I679" si="932">HS13</f>
        <v/>
      </c>
      <c r="F679" s="31" t="str">
        <f t="shared" si="932"/>
        <v/>
      </c>
      <c r="G679" s="31" t="str">
        <f t="shared" si="932"/>
        <v/>
      </c>
      <c r="H679" s="13" t="str">
        <f t="shared" si="932"/>
        <v/>
      </c>
      <c r="I679" s="13" t="str">
        <f t="shared" si="932"/>
        <v/>
      </c>
      <c r="J679" s="107" t="str">
        <f t="array" ref="J679">IFERROR(IF(XLOOKUP(CONCAT(E679,F679),'MASTER PLAN'!$AB:$AB,'MASTER PLAN'!$M:$M,0,0)=0,"",XLOOKUP(CONCAT(E679,F679),'MASTER PLAN'!$AB:$AB,'MASTER PLAN'!$M:$M,0,0)),"")</f>
        <v/>
      </c>
      <c r="K679" s="107">
        <f t="shared" si="237"/>
        <v>0</v>
      </c>
      <c r="L679" s="107">
        <f t="shared" si="238"/>
        <v>0</v>
      </c>
      <c r="M679" s="105" t="s">
        <v>248</v>
      </c>
      <c r="AI679" s="42"/>
      <c r="BN679" s="42"/>
      <c r="CS679" s="42"/>
      <c r="DX679" s="42"/>
      <c r="FC679" s="42"/>
      <c r="GH679" s="42"/>
      <c r="HM679" s="42"/>
      <c r="IR679" s="42"/>
      <c r="JW679" s="42"/>
      <c r="LB679" s="42"/>
      <c r="MG679" s="42"/>
      <c r="NL679" s="42"/>
    </row>
    <row r="680" ht="15.75" customHeight="1">
      <c r="A680" s="42"/>
      <c r="B680" s="42"/>
      <c r="C680" s="42"/>
      <c r="D680" s="38">
        <f t="shared" si="927"/>
        <v>46014</v>
      </c>
      <c r="E680" s="31" t="str">
        <f t="shared" ref="E680:I680" si="933">HS14</f>
        <v/>
      </c>
      <c r="F680" s="31" t="str">
        <f t="shared" si="933"/>
        <v/>
      </c>
      <c r="G680" s="31" t="str">
        <f t="shared" si="933"/>
        <v/>
      </c>
      <c r="H680" s="13" t="str">
        <f t="shared" si="933"/>
        <v/>
      </c>
      <c r="I680" s="13" t="str">
        <f t="shared" si="933"/>
        <v/>
      </c>
      <c r="J680" s="107" t="str">
        <f t="array" ref="J680">IFERROR(IF(XLOOKUP(CONCAT(E680,F680),'MASTER PLAN'!$AB:$AB,'MASTER PLAN'!$M:$M,0,0)=0,"",XLOOKUP(CONCAT(E680,F680),'MASTER PLAN'!$AB:$AB,'MASTER PLAN'!$M:$M,0,0)),"")</f>
        <v/>
      </c>
      <c r="K680" s="107">
        <f t="shared" si="237"/>
        <v>0</v>
      </c>
      <c r="L680" s="107">
        <f t="shared" si="238"/>
        <v>0</v>
      </c>
      <c r="M680" s="105" t="s">
        <v>248</v>
      </c>
      <c r="AI680" s="42"/>
      <c r="BN680" s="42"/>
      <c r="CS680" s="42"/>
      <c r="DX680" s="42"/>
      <c r="FC680" s="42"/>
      <c r="GH680" s="42"/>
      <c r="HM680" s="42"/>
      <c r="IR680" s="42"/>
      <c r="JW680" s="42"/>
      <c r="LB680" s="42"/>
      <c r="MG680" s="42"/>
      <c r="NL680" s="42"/>
    </row>
    <row r="681" ht="15.75" customHeight="1">
      <c r="A681" s="42"/>
      <c r="B681" s="42"/>
      <c r="C681" s="42"/>
      <c r="D681" s="38">
        <f t="shared" si="927"/>
        <v>46014</v>
      </c>
      <c r="E681" s="31" t="str">
        <f t="shared" ref="E681:I681" si="934">HS15</f>
        <v/>
      </c>
      <c r="F681" s="31" t="str">
        <f t="shared" si="934"/>
        <v/>
      </c>
      <c r="G681" s="31" t="str">
        <f t="shared" si="934"/>
        <v/>
      </c>
      <c r="H681" s="13" t="str">
        <f t="shared" si="934"/>
        <v/>
      </c>
      <c r="I681" s="13" t="str">
        <f t="shared" si="934"/>
        <v/>
      </c>
      <c r="J681" s="107" t="str">
        <f t="array" ref="J681">IFERROR(IF(XLOOKUP(CONCAT(E681,F681),'MASTER PLAN'!$AB:$AB,'MASTER PLAN'!$M:$M,0,0)=0,"",XLOOKUP(CONCAT(E681,F681),'MASTER PLAN'!$AB:$AB,'MASTER PLAN'!$M:$M,0,0)),"")</f>
        <v/>
      </c>
      <c r="K681" s="107">
        <f t="shared" si="237"/>
        <v>0</v>
      </c>
      <c r="L681" s="107">
        <f t="shared" si="238"/>
        <v>0</v>
      </c>
      <c r="M681" s="105" t="s">
        <v>248</v>
      </c>
      <c r="AI681" s="42"/>
      <c r="BN681" s="42"/>
      <c r="CS681" s="42"/>
      <c r="DX681" s="42"/>
      <c r="FC681" s="42"/>
      <c r="GH681" s="42"/>
      <c r="HM681" s="42"/>
      <c r="IR681" s="42"/>
      <c r="JW681" s="42"/>
      <c r="LB681" s="42"/>
      <c r="MG681" s="42"/>
      <c r="NL681" s="42"/>
    </row>
    <row r="682" ht="15.75" customHeight="1">
      <c r="A682" s="42"/>
      <c r="B682" s="42"/>
      <c r="C682" s="42"/>
      <c r="D682" s="38">
        <f t="shared" si="927"/>
        <v>46014</v>
      </c>
      <c r="E682" s="31" t="str">
        <f t="shared" ref="E682:I682" si="935">HS16</f>
        <v/>
      </c>
      <c r="F682" s="31" t="str">
        <f t="shared" si="935"/>
        <v/>
      </c>
      <c r="G682" s="31" t="str">
        <f t="shared" si="935"/>
        <v/>
      </c>
      <c r="H682" s="13" t="str">
        <f t="shared" si="935"/>
        <v/>
      </c>
      <c r="I682" s="13" t="str">
        <f t="shared" si="935"/>
        <v/>
      </c>
      <c r="J682" s="107" t="str">
        <f t="array" ref="J682">IFERROR(IF(XLOOKUP(CONCAT(E682,F682),'MASTER PLAN'!$AB:$AB,'MASTER PLAN'!$M:$M,0,0)=0,"",XLOOKUP(CONCAT(E682,F682),'MASTER PLAN'!$AB:$AB,'MASTER PLAN'!$M:$M,0,0)),"")</f>
        <v/>
      </c>
      <c r="K682" s="107">
        <f t="shared" si="237"/>
        <v>0</v>
      </c>
      <c r="L682" s="107">
        <f t="shared" si="238"/>
        <v>0</v>
      </c>
      <c r="M682" s="105" t="s">
        <v>248</v>
      </c>
      <c r="AI682" s="42"/>
      <c r="BN682" s="42"/>
      <c r="CS682" s="42"/>
      <c r="DX682" s="42"/>
      <c r="FC682" s="42"/>
      <c r="GH682" s="42"/>
      <c r="HM682" s="42"/>
      <c r="IR682" s="42"/>
      <c r="JW682" s="42"/>
      <c r="LB682" s="42"/>
      <c r="MG682" s="42"/>
      <c r="NL682" s="42"/>
    </row>
    <row r="683" ht="15.75" customHeight="1">
      <c r="A683" s="42"/>
      <c r="B683" s="42"/>
      <c r="C683" s="42"/>
      <c r="D683" s="38">
        <f t="shared" si="927"/>
        <v>46014</v>
      </c>
      <c r="E683" s="31" t="str">
        <f t="shared" ref="E683:I683" si="936">HS20</f>
        <v/>
      </c>
      <c r="F683" s="31" t="str">
        <f t="shared" si="936"/>
        <v/>
      </c>
      <c r="G683" s="31" t="str">
        <f t="shared" si="936"/>
        <v/>
      </c>
      <c r="H683" s="13" t="str">
        <f t="shared" si="936"/>
        <v/>
      </c>
      <c r="I683" s="13" t="str">
        <f t="shared" si="936"/>
        <v/>
      </c>
      <c r="J683" s="107" t="str">
        <f t="array" ref="J683">IFERROR(IF(XLOOKUP(CONCAT(E683,F683),'MASTER PLAN'!$AB:$AB,'MASTER PLAN'!$M:$M,0,0)=0,"",XLOOKUP(CONCAT(E683,F683),'MASTER PLAN'!$AB:$AB,'MASTER PLAN'!$M:$M,0,0)),"")</f>
        <v/>
      </c>
      <c r="K683" s="107">
        <f t="shared" si="237"/>
        <v>0</v>
      </c>
      <c r="L683" s="107">
        <f t="shared" si="238"/>
        <v>0</v>
      </c>
      <c r="M683" s="105" t="s">
        <v>249</v>
      </c>
      <c r="AI683" s="42"/>
      <c r="BN683" s="42"/>
      <c r="CS683" s="42"/>
      <c r="DX683" s="42"/>
      <c r="FC683" s="42"/>
      <c r="GH683" s="42"/>
      <c r="HM683" s="42"/>
      <c r="IR683" s="42"/>
      <c r="JW683" s="42"/>
      <c r="LB683" s="42"/>
      <c r="MG683" s="42"/>
      <c r="NL683" s="42"/>
    </row>
    <row r="684" ht="15.75" customHeight="1">
      <c r="A684" s="42"/>
      <c r="B684" s="42"/>
      <c r="C684" s="42"/>
      <c r="D684" s="38">
        <f t="shared" si="927"/>
        <v>46014</v>
      </c>
      <c r="E684" s="31" t="str">
        <f t="shared" ref="E684:I684" si="937">HS21</f>
        <v/>
      </c>
      <c r="F684" s="31" t="str">
        <f t="shared" si="937"/>
        <v/>
      </c>
      <c r="G684" s="31" t="str">
        <f t="shared" si="937"/>
        <v/>
      </c>
      <c r="H684" s="13" t="str">
        <f t="shared" si="937"/>
        <v/>
      </c>
      <c r="I684" s="13" t="str">
        <f t="shared" si="937"/>
        <v/>
      </c>
      <c r="J684" s="107" t="str">
        <f t="array" ref="J684">IFERROR(IF(XLOOKUP(CONCAT(E684,F684),'MASTER PLAN'!$AB:$AB,'MASTER PLAN'!$M:$M,0,0)=0,"",XLOOKUP(CONCAT(E684,F684),'MASTER PLAN'!$AB:$AB,'MASTER PLAN'!$M:$M,0,0)),"")</f>
        <v/>
      </c>
      <c r="K684" s="107">
        <f t="shared" si="237"/>
        <v>0</v>
      </c>
      <c r="L684" s="107">
        <f t="shared" si="238"/>
        <v>0</v>
      </c>
      <c r="M684" s="105" t="s">
        <v>249</v>
      </c>
      <c r="AI684" s="42"/>
      <c r="BN684" s="42"/>
      <c r="CS684" s="42"/>
      <c r="DX684" s="42"/>
      <c r="FC684" s="42"/>
      <c r="GH684" s="42"/>
      <c r="HM684" s="42"/>
      <c r="IR684" s="42"/>
      <c r="JW684" s="42"/>
      <c r="LB684" s="42"/>
      <c r="MG684" s="42"/>
      <c r="NL684" s="42"/>
    </row>
    <row r="685" ht="15.75" customHeight="1">
      <c r="A685" s="42"/>
      <c r="B685" s="42"/>
      <c r="C685" s="42"/>
      <c r="D685" s="38">
        <f t="shared" si="927"/>
        <v>46014</v>
      </c>
      <c r="E685" s="31" t="str">
        <f t="shared" ref="E685:I685" si="938">HS22</f>
        <v/>
      </c>
      <c r="F685" s="31" t="str">
        <f t="shared" si="938"/>
        <v/>
      </c>
      <c r="G685" s="31" t="str">
        <f t="shared" si="938"/>
        <v/>
      </c>
      <c r="H685" s="13" t="str">
        <f t="shared" si="938"/>
        <v/>
      </c>
      <c r="I685" s="13" t="str">
        <f t="shared" si="938"/>
        <v/>
      </c>
      <c r="J685" s="107" t="str">
        <f t="array" ref="J685">IFERROR(IF(XLOOKUP(CONCAT(E685,F685),'MASTER PLAN'!$AB:$AB,'MASTER PLAN'!$M:$M,0,0)=0,"",XLOOKUP(CONCAT(E685,F685),'MASTER PLAN'!$AB:$AB,'MASTER PLAN'!$M:$M,0,0)),"")</f>
        <v/>
      </c>
      <c r="K685" s="107">
        <f t="shared" si="237"/>
        <v>0</v>
      </c>
      <c r="L685" s="107">
        <f t="shared" si="238"/>
        <v>0</v>
      </c>
      <c r="M685" s="105" t="s">
        <v>249</v>
      </c>
      <c r="AI685" s="42"/>
      <c r="BN685" s="42"/>
      <c r="CS685" s="42"/>
      <c r="DX685" s="42"/>
      <c r="FC685" s="42"/>
      <c r="GH685" s="42"/>
      <c r="HM685" s="42"/>
      <c r="IR685" s="42"/>
      <c r="JW685" s="42"/>
      <c r="LB685" s="42"/>
      <c r="MG685" s="42"/>
      <c r="NL685" s="42"/>
    </row>
    <row r="686" ht="15.75" customHeight="1">
      <c r="A686" s="42"/>
      <c r="B686" s="42"/>
      <c r="C686" s="42"/>
      <c r="D686" s="38">
        <f t="shared" si="927"/>
        <v>46014</v>
      </c>
      <c r="E686" s="31" t="str">
        <f t="shared" ref="E686:I686" si="939">HS23</f>
        <v/>
      </c>
      <c r="F686" s="31" t="str">
        <f t="shared" si="939"/>
        <v/>
      </c>
      <c r="G686" s="31" t="str">
        <f t="shared" si="939"/>
        <v/>
      </c>
      <c r="H686" s="13" t="str">
        <f t="shared" si="939"/>
        <v/>
      </c>
      <c r="I686" s="13" t="str">
        <f t="shared" si="939"/>
        <v/>
      </c>
      <c r="J686" s="107" t="str">
        <f t="array" ref="J686">IFERROR(IF(XLOOKUP(CONCAT(E686,F686),'MASTER PLAN'!$AB:$AB,'MASTER PLAN'!$M:$M,0,0)=0,"",XLOOKUP(CONCAT(E686,F686),'MASTER PLAN'!$AB:$AB,'MASTER PLAN'!$M:$M,0,0)),"")</f>
        <v/>
      </c>
      <c r="K686" s="107">
        <f t="shared" si="237"/>
        <v>0</v>
      </c>
      <c r="L686" s="107">
        <f t="shared" si="238"/>
        <v>0</v>
      </c>
      <c r="M686" s="105" t="s">
        <v>249</v>
      </c>
      <c r="AI686" s="42"/>
      <c r="BN686" s="42"/>
      <c r="CS686" s="42"/>
      <c r="DX686" s="42"/>
      <c r="FC686" s="42"/>
      <c r="GH686" s="42"/>
      <c r="HM686" s="42"/>
      <c r="IR686" s="42"/>
      <c r="JW686" s="42"/>
      <c r="LB686" s="42"/>
      <c r="MG686" s="42"/>
      <c r="NL686" s="42"/>
    </row>
    <row r="687" ht="15.75" customHeight="1">
      <c r="A687" s="42"/>
      <c r="B687" s="42"/>
      <c r="C687" s="42"/>
      <c r="D687" s="38">
        <f t="shared" si="927"/>
        <v>46014</v>
      </c>
      <c r="E687" s="31" t="str">
        <f t="shared" ref="E687:I687" si="940">HS24</f>
        <v/>
      </c>
      <c r="F687" s="31" t="str">
        <f t="shared" si="940"/>
        <v/>
      </c>
      <c r="G687" s="31" t="str">
        <f t="shared" si="940"/>
        <v/>
      </c>
      <c r="H687" s="13" t="str">
        <f t="shared" si="940"/>
        <v/>
      </c>
      <c r="I687" s="13" t="str">
        <f t="shared" si="940"/>
        <v/>
      </c>
      <c r="J687" s="107" t="str">
        <f t="array" ref="J687">IFERROR(IF(XLOOKUP(CONCAT(E687,F687),'MASTER PLAN'!$AB:$AB,'MASTER PLAN'!$M:$M,0,0)=0,"",XLOOKUP(CONCAT(E687,F687),'MASTER PLAN'!$AB:$AB,'MASTER PLAN'!$M:$M,0,0)),"")</f>
        <v/>
      </c>
      <c r="K687" s="107">
        <f t="shared" si="237"/>
        <v>0</v>
      </c>
      <c r="L687" s="107">
        <f t="shared" si="238"/>
        <v>0</v>
      </c>
      <c r="M687" s="105" t="s">
        <v>249</v>
      </c>
      <c r="AI687" s="42"/>
      <c r="BN687" s="42"/>
      <c r="CS687" s="42"/>
      <c r="DX687" s="42"/>
      <c r="FC687" s="42"/>
      <c r="GH687" s="42"/>
      <c r="HM687" s="42"/>
      <c r="IR687" s="42"/>
      <c r="JW687" s="42"/>
      <c r="LB687" s="42"/>
      <c r="MG687" s="42"/>
      <c r="NL687" s="42"/>
    </row>
    <row r="688" ht="15.75" customHeight="1">
      <c r="A688" s="42"/>
      <c r="B688" s="42"/>
      <c r="C688" s="42"/>
      <c r="D688" s="38">
        <f>HX2</f>
        <v>46015</v>
      </c>
      <c r="E688" s="31">
        <f t="shared" ref="E688:I688" si="941">HX4</f>
        <v>1402049448</v>
      </c>
      <c r="F688" s="31">
        <f t="shared" si="941"/>
        <v>10</v>
      </c>
      <c r="G688" s="31" t="str">
        <f t="shared" si="941"/>
        <v>BOLSA CALDANI 6-5"X2-5"X5-5"</v>
      </c>
      <c r="H688" s="13">
        <f t="shared" si="941"/>
        <v>1000</v>
      </c>
      <c r="I688" s="13" t="str">
        <f t="shared" si="941"/>
        <v/>
      </c>
      <c r="J688" s="107">
        <f t="array" ref="J688">IFERROR(IF(XLOOKUP(CONCAT(E688,F688),'MASTER PLAN'!$AB:$AB,'MASTER PLAN'!$M:$M,0,0)=0,"",XLOOKUP(CONCAT(E688,F688),'MASTER PLAN'!$AB:$AB,'MASTER PLAN'!$M:$M,0,0)),"")</f>
        <v>0.663</v>
      </c>
      <c r="K688" s="107">
        <f t="shared" si="237"/>
        <v>663</v>
      </c>
      <c r="L688" s="107">
        <f t="shared" si="238"/>
        <v>0</v>
      </c>
      <c r="M688" s="105" t="s">
        <v>246</v>
      </c>
      <c r="AI688" s="42"/>
      <c r="BN688" s="42"/>
      <c r="CS688" s="42"/>
      <c r="DX688" s="42"/>
      <c r="FC688" s="42"/>
      <c r="GH688" s="42"/>
      <c r="HM688" s="42"/>
      <c r="IR688" s="42"/>
      <c r="JW688" s="42"/>
      <c r="LB688" s="42"/>
      <c r="MG688" s="42"/>
      <c r="NL688" s="42"/>
    </row>
    <row r="689" ht="15.75" customHeight="1">
      <c r="A689" s="42"/>
      <c r="B689" s="42"/>
      <c r="C689" s="42"/>
      <c r="D689" s="38">
        <f t="shared" ref="D689:D702" si="943">D688</f>
        <v>46015</v>
      </c>
      <c r="E689" s="31" t="str">
        <f t="shared" ref="E689:I689" si="942">HX5</f>
        <v/>
      </c>
      <c r="F689" s="31" t="str">
        <f t="shared" si="942"/>
        <v/>
      </c>
      <c r="G689" s="31" t="str">
        <f t="shared" si="942"/>
        <v/>
      </c>
      <c r="H689" s="13" t="str">
        <f t="shared" si="942"/>
        <v/>
      </c>
      <c r="I689" s="13" t="str">
        <f t="shared" si="942"/>
        <v/>
      </c>
      <c r="J689" s="107" t="str">
        <f t="array" ref="J689">IFERROR(IF(XLOOKUP(CONCAT(E689,F689),'MASTER PLAN'!$AB:$AB,'MASTER PLAN'!$M:$M,0,0)=0,"",XLOOKUP(CONCAT(E689,F689),'MASTER PLAN'!$AB:$AB,'MASTER PLAN'!$M:$M,0,0)),"")</f>
        <v/>
      </c>
      <c r="K689" s="107">
        <f t="shared" si="237"/>
        <v>0</v>
      </c>
      <c r="L689" s="107">
        <f t="shared" si="238"/>
        <v>0</v>
      </c>
      <c r="M689" s="105" t="s">
        <v>246</v>
      </c>
      <c r="AI689" s="42"/>
      <c r="BN689" s="42"/>
      <c r="CS689" s="42"/>
      <c r="DX689" s="42"/>
      <c r="FC689" s="42"/>
      <c r="GH689" s="42"/>
      <c r="HM689" s="42"/>
      <c r="IR689" s="42"/>
      <c r="JW689" s="42"/>
      <c r="LB689" s="42"/>
      <c r="MG689" s="42"/>
      <c r="NL689" s="42"/>
    </row>
    <row r="690" ht="15.75" customHeight="1">
      <c r="A690" s="42"/>
      <c r="B690" s="42"/>
      <c r="C690" s="42"/>
      <c r="D690" s="38">
        <f t="shared" si="943"/>
        <v>46015</v>
      </c>
      <c r="E690" s="31" t="str">
        <f t="shared" ref="E690:I690" si="944">HX6</f>
        <v/>
      </c>
      <c r="F690" s="31" t="str">
        <f t="shared" si="944"/>
        <v/>
      </c>
      <c r="G690" s="31" t="str">
        <f t="shared" si="944"/>
        <v/>
      </c>
      <c r="H690" s="13" t="str">
        <f t="shared" si="944"/>
        <v/>
      </c>
      <c r="I690" s="13" t="str">
        <f t="shared" si="944"/>
        <v/>
      </c>
      <c r="J690" s="107" t="str">
        <f t="array" ref="J690">IFERROR(IF(XLOOKUP(CONCAT(E690,F690),'MASTER PLAN'!$AB:$AB,'MASTER PLAN'!$M:$M,0,0)=0,"",XLOOKUP(CONCAT(E690,F690),'MASTER PLAN'!$AB:$AB,'MASTER PLAN'!$M:$M,0,0)),"")</f>
        <v/>
      </c>
      <c r="K690" s="107">
        <f t="shared" si="237"/>
        <v>0</v>
      </c>
      <c r="L690" s="107">
        <f t="shared" si="238"/>
        <v>0</v>
      </c>
      <c r="M690" s="105" t="s">
        <v>246</v>
      </c>
      <c r="AI690" s="42"/>
      <c r="BN690" s="42"/>
      <c r="CS690" s="42"/>
      <c r="DX690" s="42"/>
      <c r="FC690" s="42"/>
      <c r="GH690" s="42"/>
      <c r="HM690" s="42"/>
      <c r="IR690" s="42"/>
      <c r="JW690" s="42"/>
      <c r="LB690" s="42"/>
      <c r="MG690" s="42"/>
      <c r="NL690" s="42"/>
    </row>
    <row r="691" ht="15.75" customHeight="1">
      <c r="A691" s="42"/>
      <c r="B691" s="42"/>
      <c r="C691" s="42"/>
      <c r="D691" s="38">
        <f t="shared" si="943"/>
        <v>46015</v>
      </c>
      <c r="E691" s="31" t="str">
        <f t="shared" ref="E691:I691" si="945">HX7</f>
        <v/>
      </c>
      <c r="F691" s="31" t="str">
        <f t="shared" si="945"/>
        <v/>
      </c>
      <c r="G691" s="31" t="str">
        <f t="shared" si="945"/>
        <v/>
      </c>
      <c r="H691" s="13" t="str">
        <f t="shared" si="945"/>
        <v/>
      </c>
      <c r="I691" s="13" t="str">
        <f t="shared" si="945"/>
        <v/>
      </c>
      <c r="J691" s="107" t="str">
        <f t="array" ref="J691">IFERROR(IF(XLOOKUP(CONCAT(E691,F691),'MASTER PLAN'!$AB:$AB,'MASTER PLAN'!$M:$M,0,0)=0,"",XLOOKUP(CONCAT(E691,F691),'MASTER PLAN'!$AB:$AB,'MASTER PLAN'!$M:$M,0,0)),"")</f>
        <v/>
      </c>
      <c r="K691" s="107">
        <f t="shared" si="237"/>
        <v>0</v>
      </c>
      <c r="L691" s="107">
        <f t="shared" si="238"/>
        <v>0</v>
      </c>
      <c r="M691" s="105" t="s">
        <v>246</v>
      </c>
      <c r="AI691" s="42"/>
      <c r="BN691" s="42"/>
      <c r="CS691" s="42"/>
      <c r="DX691" s="42"/>
      <c r="FC691" s="42"/>
      <c r="GH691" s="42"/>
      <c r="HM691" s="42"/>
      <c r="IR691" s="42"/>
      <c r="JW691" s="42"/>
      <c r="LB691" s="42"/>
      <c r="MG691" s="42"/>
      <c r="NL691" s="42"/>
    </row>
    <row r="692" ht="15.75" customHeight="1">
      <c r="A692" s="42"/>
      <c r="B692" s="42"/>
      <c r="C692" s="42"/>
      <c r="D692" s="38">
        <f t="shared" si="943"/>
        <v>46015</v>
      </c>
      <c r="E692" s="31" t="str">
        <f t="shared" ref="E692:I692" si="946">HX8</f>
        <v/>
      </c>
      <c r="F692" s="31" t="str">
        <f t="shared" si="946"/>
        <v/>
      </c>
      <c r="G692" s="31" t="str">
        <f t="shared" si="946"/>
        <v/>
      </c>
      <c r="H692" s="13" t="str">
        <f t="shared" si="946"/>
        <v/>
      </c>
      <c r="I692" s="13" t="str">
        <f t="shared" si="946"/>
        <v/>
      </c>
      <c r="J692" s="107" t="str">
        <f t="array" ref="J692">IFERROR(IF(XLOOKUP(CONCAT(E692,F692),'MASTER PLAN'!$AB:$AB,'MASTER PLAN'!$M:$M,0,0)=0,"",XLOOKUP(CONCAT(E692,F692),'MASTER PLAN'!$AB:$AB,'MASTER PLAN'!$M:$M,0,0)),"")</f>
        <v/>
      </c>
      <c r="K692" s="107">
        <f t="shared" si="237"/>
        <v>0</v>
      </c>
      <c r="L692" s="107">
        <f t="shared" si="238"/>
        <v>0</v>
      </c>
      <c r="M692" s="105" t="s">
        <v>246</v>
      </c>
      <c r="AI692" s="42"/>
      <c r="BN692" s="42"/>
      <c r="CS692" s="42"/>
      <c r="DX692" s="42"/>
      <c r="FC692" s="42"/>
      <c r="GH692" s="42"/>
      <c r="HM692" s="42"/>
      <c r="IR692" s="42"/>
      <c r="JW692" s="42"/>
      <c r="LB692" s="42"/>
      <c r="MG692" s="42"/>
      <c r="NL692" s="42"/>
    </row>
    <row r="693" ht="15.75" customHeight="1">
      <c r="A693" s="42"/>
      <c r="B693" s="42"/>
      <c r="C693" s="42"/>
      <c r="D693" s="38">
        <f t="shared" si="943"/>
        <v>46015</v>
      </c>
      <c r="E693" s="31">
        <f t="shared" ref="E693:I693" si="947">HX12</f>
        <v>1402049507</v>
      </c>
      <c r="F693" s="31">
        <f t="shared" si="947"/>
        <v>10</v>
      </c>
      <c r="G693" s="31" t="str">
        <f t="shared" si="947"/>
        <v>BOLSA NA HOKU 159X90X210MM</v>
      </c>
      <c r="H693" s="13">
        <f t="shared" si="947"/>
        <v>1200</v>
      </c>
      <c r="I693" s="13" t="str">
        <f t="shared" si="947"/>
        <v/>
      </c>
      <c r="J693" s="107">
        <f t="array" ref="J693">IFERROR(IF(XLOOKUP(CONCAT(E693,F693),'MASTER PLAN'!$AB:$AB,'MASTER PLAN'!$M:$M,0,0)=0,"",XLOOKUP(CONCAT(E693,F693),'MASTER PLAN'!$AB:$AB,'MASTER PLAN'!$M:$M,0,0)),"")</f>
        <v>0.968</v>
      </c>
      <c r="K693" s="107">
        <f t="shared" si="237"/>
        <v>1161.6</v>
      </c>
      <c r="L693" s="107">
        <f t="shared" si="238"/>
        <v>0</v>
      </c>
      <c r="M693" s="105" t="s">
        <v>248</v>
      </c>
      <c r="AI693" s="42"/>
      <c r="BN693" s="42"/>
      <c r="CS693" s="42"/>
      <c r="DX693" s="42"/>
      <c r="FC693" s="42"/>
      <c r="GH693" s="42"/>
      <c r="HM693" s="42"/>
      <c r="IR693" s="42"/>
      <c r="JW693" s="42"/>
      <c r="LB693" s="42"/>
      <c r="MG693" s="42"/>
      <c r="NL693" s="42"/>
    </row>
    <row r="694" ht="15.75" customHeight="1">
      <c r="A694" s="42"/>
      <c r="B694" s="42"/>
      <c r="C694" s="42"/>
      <c r="D694" s="38">
        <f t="shared" si="943"/>
        <v>46015</v>
      </c>
      <c r="E694" s="31" t="str">
        <f t="shared" ref="E694:I694" si="948">HX13</f>
        <v/>
      </c>
      <c r="F694" s="31" t="str">
        <f t="shared" si="948"/>
        <v/>
      </c>
      <c r="G694" s="31" t="str">
        <f t="shared" si="948"/>
        <v/>
      </c>
      <c r="H694" s="13" t="str">
        <f t="shared" si="948"/>
        <v/>
      </c>
      <c r="I694" s="13" t="str">
        <f t="shared" si="948"/>
        <v/>
      </c>
      <c r="J694" s="107" t="str">
        <f t="array" ref="J694">IFERROR(IF(XLOOKUP(CONCAT(E694,F694),'MASTER PLAN'!$AB:$AB,'MASTER PLAN'!$M:$M,0,0)=0,"",XLOOKUP(CONCAT(E694,F694),'MASTER PLAN'!$AB:$AB,'MASTER PLAN'!$M:$M,0,0)),"")</f>
        <v/>
      </c>
      <c r="K694" s="107">
        <f t="shared" si="237"/>
        <v>0</v>
      </c>
      <c r="L694" s="107">
        <f t="shared" si="238"/>
        <v>0</v>
      </c>
      <c r="M694" s="105" t="s">
        <v>248</v>
      </c>
      <c r="AI694" s="42"/>
      <c r="BN694" s="42"/>
      <c r="CS694" s="42"/>
      <c r="DX694" s="42"/>
      <c r="FC694" s="42"/>
      <c r="GH694" s="42"/>
      <c r="HM694" s="42"/>
      <c r="IR694" s="42"/>
      <c r="JW694" s="42"/>
      <c r="LB694" s="42"/>
      <c r="MG694" s="42"/>
      <c r="NL694" s="42"/>
    </row>
    <row r="695" ht="15.75" customHeight="1">
      <c r="A695" s="42"/>
      <c r="B695" s="42"/>
      <c r="C695" s="42"/>
      <c r="D695" s="38">
        <f t="shared" si="943"/>
        <v>46015</v>
      </c>
      <c r="E695" s="31" t="str">
        <f t="shared" ref="E695:I695" si="949">HX14</f>
        <v/>
      </c>
      <c r="F695" s="31" t="str">
        <f t="shared" si="949"/>
        <v/>
      </c>
      <c r="G695" s="31" t="str">
        <f t="shared" si="949"/>
        <v/>
      </c>
      <c r="H695" s="13" t="str">
        <f t="shared" si="949"/>
        <v/>
      </c>
      <c r="I695" s="13" t="str">
        <f t="shared" si="949"/>
        <v/>
      </c>
      <c r="J695" s="107" t="str">
        <f t="array" ref="J695">IFERROR(IF(XLOOKUP(CONCAT(E695,F695),'MASTER PLAN'!$AB:$AB,'MASTER PLAN'!$M:$M,0,0)=0,"",XLOOKUP(CONCAT(E695,F695),'MASTER PLAN'!$AB:$AB,'MASTER PLAN'!$M:$M,0,0)),"")</f>
        <v/>
      </c>
      <c r="K695" s="107">
        <f t="shared" si="237"/>
        <v>0</v>
      </c>
      <c r="L695" s="107">
        <f t="shared" si="238"/>
        <v>0</v>
      </c>
      <c r="M695" s="105" t="s">
        <v>248</v>
      </c>
      <c r="AI695" s="42"/>
      <c r="BN695" s="42"/>
      <c r="CS695" s="42"/>
      <c r="DX695" s="42"/>
      <c r="FC695" s="42"/>
      <c r="GH695" s="42"/>
      <c r="HM695" s="42"/>
      <c r="IR695" s="42"/>
      <c r="JW695" s="42"/>
      <c r="LB695" s="42"/>
      <c r="MG695" s="42"/>
      <c r="NL695" s="42"/>
    </row>
    <row r="696" ht="15.75" customHeight="1">
      <c r="A696" s="42"/>
      <c r="B696" s="42"/>
      <c r="C696" s="42"/>
      <c r="D696" s="38">
        <f t="shared" si="943"/>
        <v>46015</v>
      </c>
      <c r="E696" s="31" t="str">
        <f t="shared" ref="E696:I696" si="950">HX15</f>
        <v/>
      </c>
      <c r="F696" s="31" t="str">
        <f t="shared" si="950"/>
        <v/>
      </c>
      <c r="G696" s="31" t="str">
        <f t="shared" si="950"/>
        <v/>
      </c>
      <c r="H696" s="13" t="str">
        <f t="shared" si="950"/>
        <v/>
      </c>
      <c r="I696" s="13" t="str">
        <f t="shared" si="950"/>
        <v/>
      </c>
      <c r="J696" s="107" t="str">
        <f t="array" ref="J696">IFERROR(IF(XLOOKUP(CONCAT(E696,F696),'MASTER PLAN'!$AB:$AB,'MASTER PLAN'!$M:$M,0,0)=0,"",XLOOKUP(CONCAT(E696,F696),'MASTER PLAN'!$AB:$AB,'MASTER PLAN'!$M:$M,0,0)),"")</f>
        <v/>
      </c>
      <c r="K696" s="107">
        <f t="shared" si="237"/>
        <v>0</v>
      </c>
      <c r="L696" s="107">
        <f t="shared" si="238"/>
        <v>0</v>
      </c>
      <c r="M696" s="105" t="s">
        <v>248</v>
      </c>
      <c r="AI696" s="42"/>
      <c r="BN696" s="42"/>
      <c r="CS696" s="42"/>
      <c r="DX696" s="42"/>
      <c r="FC696" s="42"/>
      <c r="GH696" s="42"/>
      <c r="HM696" s="42"/>
      <c r="IR696" s="42"/>
      <c r="JW696" s="42"/>
      <c r="LB696" s="42"/>
      <c r="MG696" s="42"/>
      <c r="NL696" s="42"/>
    </row>
    <row r="697" ht="15.75" customHeight="1">
      <c r="A697" s="42"/>
      <c r="B697" s="42"/>
      <c r="C697" s="42"/>
      <c r="D697" s="38">
        <f t="shared" si="943"/>
        <v>46015</v>
      </c>
      <c r="E697" s="31" t="str">
        <f t="shared" ref="E697:I697" si="951">HX16</f>
        <v/>
      </c>
      <c r="F697" s="31" t="str">
        <f t="shared" si="951"/>
        <v/>
      </c>
      <c r="G697" s="31" t="str">
        <f t="shared" si="951"/>
        <v/>
      </c>
      <c r="H697" s="13" t="str">
        <f t="shared" si="951"/>
        <v/>
      </c>
      <c r="I697" s="13" t="str">
        <f t="shared" si="951"/>
        <v/>
      </c>
      <c r="J697" s="107" t="str">
        <f t="array" ref="J697">IFERROR(IF(XLOOKUP(CONCAT(E697,F697),'MASTER PLAN'!$AB:$AB,'MASTER PLAN'!$M:$M,0,0)=0,"",XLOOKUP(CONCAT(E697,F697),'MASTER PLAN'!$AB:$AB,'MASTER PLAN'!$M:$M,0,0)),"")</f>
        <v/>
      </c>
      <c r="K697" s="107">
        <f t="shared" si="237"/>
        <v>0</v>
      </c>
      <c r="L697" s="107">
        <f t="shared" si="238"/>
        <v>0</v>
      </c>
      <c r="M697" s="105" t="s">
        <v>248</v>
      </c>
      <c r="AI697" s="42"/>
      <c r="BN697" s="42"/>
      <c r="CS697" s="42"/>
      <c r="DX697" s="42"/>
      <c r="FC697" s="42"/>
      <c r="GH697" s="42"/>
      <c r="HM697" s="42"/>
      <c r="IR697" s="42"/>
      <c r="JW697" s="42"/>
      <c r="LB697" s="42"/>
      <c r="MG697" s="42"/>
      <c r="NL697" s="42"/>
    </row>
    <row r="698" ht="15.75" customHeight="1">
      <c r="A698" s="42"/>
      <c r="B698" s="42"/>
      <c r="C698" s="42"/>
      <c r="D698" s="38">
        <f t="shared" si="943"/>
        <v>46015</v>
      </c>
      <c r="E698" s="31" t="str">
        <f t="shared" ref="E698:I698" si="952">HX20</f>
        <v/>
      </c>
      <c r="F698" s="31" t="str">
        <f t="shared" si="952"/>
        <v/>
      </c>
      <c r="G698" s="31" t="str">
        <f t="shared" si="952"/>
        <v/>
      </c>
      <c r="H698" s="13" t="str">
        <f t="shared" si="952"/>
        <v/>
      </c>
      <c r="I698" s="13" t="str">
        <f t="shared" si="952"/>
        <v/>
      </c>
      <c r="J698" s="107" t="str">
        <f t="array" ref="J698">IFERROR(IF(XLOOKUP(CONCAT(E698,F698),'MASTER PLAN'!$AB:$AB,'MASTER PLAN'!$M:$M,0,0)=0,"",XLOOKUP(CONCAT(E698,F698),'MASTER PLAN'!$AB:$AB,'MASTER PLAN'!$M:$M,0,0)),"")</f>
        <v/>
      </c>
      <c r="K698" s="107">
        <f t="shared" si="237"/>
        <v>0</v>
      </c>
      <c r="L698" s="107">
        <f t="shared" si="238"/>
        <v>0</v>
      </c>
      <c r="M698" s="105" t="s">
        <v>249</v>
      </c>
      <c r="AI698" s="42"/>
      <c r="BN698" s="42"/>
      <c r="CS698" s="42"/>
      <c r="DX698" s="42"/>
      <c r="FC698" s="42"/>
      <c r="GH698" s="42"/>
      <c r="HM698" s="42"/>
      <c r="IR698" s="42"/>
      <c r="JW698" s="42"/>
      <c r="LB698" s="42"/>
      <c r="MG698" s="42"/>
      <c r="NL698" s="42"/>
    </row>
    <row r="699" ht="15.75" customHeight="1">
      <c r="A699" s="42"/>
      <c r="B699" s="42"/>
      <c r="C699" s="42"/>
      <c r="D699" s="38">
        <f t="shared" si="943"/>
        <v>46015</v>
      </c>
      <c r="E699" s="31" t="str">
        <f t="shared" ref="E699:I699" si="953">HX21</f>
        <v/>
      </c>
      <c r="F699" s="31" t="str">
        <f t="shared" si="953"/>
        <v/>
      </c>
      <c r="G699" s="31" t="str">
        <f t="shared" si="953"/>
        <v/>
      </c>
      <c r="H699" s="13" t="str">
        <f t="shared" si="953"/>
        <v/>
      </c>
      <c r="I699" s="13" t="str">
        <f t="shared" si="953"/>
        <v/>
      </c>
      <c r="J699" s="107" t="str">
        <f t="array" ref="J699">IFERROR(IF(XLOOKUP(CONCAT(E699,F699),'MASTER PLAN'!$AB:$AB,'MASTER PLAN'!$M:$M,0,0)=0,"",XLOOKUP(CONCAT(E699,F699),'MASTER PLAN'!$AB:$AB,'MASTER PLAN'!$M:$M,0,0)),"")</f>
        <v/>
      </c>
      <c r="K699" s="107">
        <f t="shared" si="237"/>
        <v>0</v>
      </c>
      <c r="L699" s="107">
        <f t="shared" si="238"/>
        <v>0</v>
      </c>
      <c r="M699" s="105" t="s">
        <v>249</v>
      </c>
      <c r="AI699" s="42"/>
      <c r="BN699" s="42"/>
      <c r="CS699" s="42"/>
      <c r="DX699" s="42"/>
      <c r="FC699" s="42"/>
      <c r="GH699" s="42"/>
      <c r="HM699" s="42"/>
      <c r="IR699" s="42"/>
      <c r="JW699" s="42"/>
      <c r="LB699" s="42"/>
      <c r="MG699" s="42"/>
      <c r="NL699" s="42"/>
    </row>
    <row r="700" ht="15.75" customHeight="1">
      <c r="A700" s="42"/>
      <c r="B700" s="42"/>
      <c r="C700" s="42"/>
      <c r="D700" s="38">
        <f t="shared" si="943"/>
        <v>46015</v>
      </c>
      <c r="E700" s="31" t="str">
        <f t="shared" ref="E700:I700" si="954">HX22</f>
        <v/>
      </c>
      <c r="F700" s="31" t="str">
        <f t="shared" si="954"/>
        <v/>
      </c>
      <c r="G700" s="31" t="str">
        <f t="shared" si="954"/>
        <v/>
      </c>
      <c r="H700" s="13" t="str">
        <f t="shared" si="954"/>
        <v/>
      </c>
      <c r="I700" s="13" t="str">
        <f t="shared" si="954"/>
        <v/>
      </c>
      <c r="J700" s="107" t="str">
        <f t="array" ref="J700">IFERROR(IF(XLOOKUP(CONCAT(E700,F700),'MASTER PLAN'!$AB:$AB,'MASTER PLAN'!$M:$M,0,0)=0,"",XLOOKUP(CONCAT(E700,F700),'MASTER PLAN'!$AB:$AB,'MASTER PLAN'!$M:$M,0,0)),"")</f>
        <v/>
      </c>
      <c r="K700" s="107">
        <f t="shared" si="237"/>
        <v>0</v>
      </c>
      <c r="L700" s="107">
        <f t="shared" si="238"/>
        <v>0</v>
      </c>
      <c r="M700" s="105" t="s">
        <v>249</v>
      </c>
      <c r="AI700" s="42"/>
      <c r="BN700" s="42"/>
      <c r="CS700" s="42"/>
      <c r="DX700" s="42"/>
      <c r="FC700" s="42"/>
      <c r="GH700" s="42"/>
      <c r="HM700" s="42"/>
      <c r="IR700" s="42"/>
      <c r="JW700" s="42"/>
      <c r="LB700" s="42"/>
      <c r="MG700" s="42"/>
      <c r="NL700" s="42"/>
    </row>
    <row r="701" ht="15.75" customHeight="1">
      <c r="A701" s="42"/>
      <c r="B701" s="42"/>
      <c r="C701" s="42"/>
      <c r="D701" s="38">
        <f t="shared" si="943"/>
        <v>46015</v>
      </c>
      <c r="E701" s="31" t="str">
        <f t="shared" ref="E701:I701" si="955">HX23</f>
        <v/>
      </c>
      <c r="F701" s="31" t="str">
        <f t="shared" si="955"/>
        <v/>
      </c>
      <c r="G701" s="31" t="str">
        <f t="shared" si="955"/>
        <v/>
      </c>
      <c r="H701" s="13" t="str">
        <f t="shared" si="955"/>
        <v/>
      </c>
      <c r="I701" s="13" t="str">
        <f t="shared" si="955"/>
        <v/>
      </c>
      <c r="J701" s="107" t="str">
        <f t="array" ref="J701">IFERROR(IF(XLOOKUP(CONCAT(E701,F701),'MASTER PLAN'!$AB:$AB,'MASTER PLAN'!$M:$M,0,0)=0,"",XLOOKUP(CONCAT(E701,F701),'MASTER PLAN'!$AB:$AB,'MASTER PLAN'!$M:$M,0,0)),"")</f>
        <v/>
      </c>
      <c r="K701" s="107">
        <f t="shared" si="237"/>
        <v>0</v>
      </c>
      <c r="L701" s="107">
        <f t="shared" si="238"/>
        <v>0</v>
      </c>
      <c r="M701" s="105" t="s">
        <v>249</v>
      </c>
      <c r="AI701" s="42"/>
      <c r="BN701" s="42"/>
      <c r="CS701" s="42"/>
      <c r="DX701" s="42"/>
      <c r="FC701" s="42"/>
      <c r="GH701" s="42"/>
      <c r="HM701" s="42"/>
      <c r="IR701" s="42"/>
      <c r="JW701" s="42"/>
      <c r="LB701" s="42"/>
      <c r="MG701" s="42"/>
      <c r="NL701" s="42"/>
    </row>
    <row r="702" ht="15.75" customHeight="1">
      <c r="A702" s="42"/>
      <c r="B702" s="42"/>
      <c r="C702" s="42"/>
      <c r="D702" s="38">
        <f t="shared" si="943"/>
        <v>46015</v>
      </c>
      <c r="E702" s="31" t="str">
        <f t="shared" ref="E702:I702" si="956">HX24</f>
        <v/>
      </c>
      <c r="F702" s="31" t="str">
        <f t="shared" si="956"/>
        <v/>
      </c>
      <c r="G702" s="31" t="str">
        <f t="shared" si="956"/>
        <v/>
      </c>
      <c r="H702" s="13" t="str">
        <f t="shared" si="956"/>
        <v/>
      </c>
      <c r="I702" s="13" t="str">
        <f t="shared" si="956"/>
        <v/>
      </c>
      <c r="J702" s="107" t="str">
        <f t="array" ref="J702">IFERROR(IF(XLOOKUP(CONCAT(E702,F702),'MASTER PLAN'!$AB:$AB,'MASTER PLAN'!$M:$M,0,0)=0,"",XLOOKUP(CONCAT(E702,F702),'MASTER PLAN'!$AB:$AB,'MASTER PLAN'!$M:$M,0,0)),"")</f>
        <v/>
      </c>
      <c r="K702" s="107">
        <f t="shared" si="237"/>
        <v>0</v>
      </c>
      <c r="L702" s="107">
        <f t="shared" si="238"/>
        <v>0</v>
      </c>
      <c r="M702" s="105" t="s">
        <v>249</v>
      </c>
      <c r="AI702" s="42"/>
      <c r="BN702" s="42"/>
      <c r="CS702" s="42"/>
      <c r="DX702" s="42"/>
      <c r="FC702" s="42"/>
      <c r="GH702" s="42"/>
      <c r="HM702" s="42"/>
      <c r="IR702" s="42"/>
      <c r="JW702" s="42"/>
      <c r="LB702" s="42"/>
      <c r="MG702" s="42"/>
      <c r="NL702" s="42"/>
    </row>
    <row r="703" ht="15.75" customHeight="1">
      <c r="A703" s="42"/>
      <c r="B703" s="42"/>
      <c r="C703" s="42"/>
      <c r="D703" s="38">
        <f>IC2</f>
        <v>46016</v>
      </c>
      <c r="E703" s="31" t="str">
        <f t="shared" ref="E703:I703" si="957">IC4</f>
        <v/>
      </c>
      <c r="F703" s="31" t="str">
        <f t="shared" si="957"/>
        <v/>
      </c>
      <c r="G703" s="31" t="str">
        <f t="shared" si="957"/>
        <v/>
      </c>
      <c r="H703" s="13" t="str">
        <f t="shared" si="957"/>
        <v/>
      </c>
      <c r="I703" s="13" t="str">
        <f t="shared" si="957"/>
        <v/>
      </c>
      <c r="J703" s="107" t="str">
        <f t="array" ref="J703">IFERROR(IF(XLOOKUP(CONCAT(E703,F703),'MASTER PLAN'!$AB:$AB,'MASTER PLAN'!$M:$M,0,0)=0,"",XLOOKUP(CONCAT(E703,F703),'MASTER PLAN'!$AB:$AB,'MASTER PLAN'!$M:$M,0,0)),"")</f>
        <v/>
      </c>
      <c r="K703" s="107">
        <f t="shared" si="237"/>
        <v>0</v>
      </c>
      <c r="L703" s="107">
        <f t="shared" si="238"/>
        <v>0</v>
      </c>
      <c r="M703" s="105" t="s">
        <v>246</v>
      </c>
      <c r="AI703" s="42"/>
      <c r="BN703" s="42"/>
      <c r="CS703" s="42"/>
      <c r="DX703" s="42"/>
      <c r="FC703" s="42"/>
      <c r="GH703" s="42"/>
      <c r="HM703" s="42"/>
      <c r="IR703" s="42"/>
      <c r="JW703" s="42"/>
      <c r="LB703" s="42"/>
      <c r="MG703" s="42"/>
      <c r="NL703" s="42"/>
    </row>
    <row r="704" ht="15.75" customHeight="1">
      <c r="A704" s="42"/>
      <c r="B704" s="42"/>
      <c r="C704" s="42"/>
      <c r="D704" s="38">
        <f t="shared" ref="D704:D717" si="959">D703</f>
        <v>46016</v>
      </c>
      <c r="E704" s="31" t="str">
        <f t="shared" ref="E704:I704" si="958">IC5</f>
        <v/>
      </c>
      <c r="F704" s="31" t="str">
        <f t="shared" si="958"/>
        <v/>
      </c>
      <c r="G704" s="31" t="str">
        <f t="shared" si="958"/>
        <v/>
      </c>
      <c r="H704" s="13" t="str">
        <f t="shared" si="958"/>
        <v/>
      </c>
      <c r="I704" s="13" t="str">
        <f t="shared" si="958"/>
        <v/>
      </c>
      <c r="J704" s="107" t="str">
        <f t="array" ref="J704">IFERROR(IF(XLOOKUP(CONCAT(E704,F704),'MASTER PLAN'!$AB:$AB,'MASTER PLAN'!$M:$M,0,0)=0,"",XLOOKUP(CONCAT(E704,F704),'MASTER PLAN'!$AB:$AB,'MASTER PLAN'!$M:$M,0,0)),"")</f>
        <v/>
      </c>
      <c r="K704" s="107">
        <f t="shared" si="237"/>
        <v>0</v>
      </c>
      <c r="L704" s="107">
        <f t="shared" si="238"/>
        <v>0</v>
      </c>
      <c r="M704" s="105" t="s">
        <v>246</v>
      </c>
      <c r="AI704" s="42"/>
      <c r="BN704" s="42"/>
      <c r="CS704" s="42"/>
      <c r="DX704" s="42"/>
      <c r="FC704" s="42"/>
      <c r="GH704" s="42"/>
      <c r="HM704" s="42"/>
      <c r="IR704" s="42"/>
      <c r="JW704" s="42"/>
      <c r="LB704" s="42"/>
      <c r="MG704" s="42"/>
      <c r="NL704" s="42"/>
    </row>
    <row r="705" ht="15.75" customHeight="1">
      <c r="A705" s="42"/>
      <c r="B705" s="42"/>
      <c r="C705" s="42"/>
      <c r="D705" s="38">
        <f t="shared" si="959"/>
        <v>46016</v>
      </c>
      <c r="E705" s="31" t="str">
        <f t="shared" ref="E705:I705" si="960">IC6</f>
        <v/>
      </c>
      <c r="F705" s="31" t="str">
        <f t="shared" si="960"/>
        <v/>
      </c>
      <c r="G705" s="31" t="str">
        <f t="shared" si="960"/>
        <v/>
      </c>
      <c r="H705" s="13" t="str">
        <f t="shared" si="960"/>
        <v/>
      </c>
      <c r="I705" s="13" t="str">
        <f t="shared" si="960"/>
        <v/>
      </c>
      <c r="J705" s="107" t="str">
        <f t="array" ref="J705">IFERROR(IF(XLOOKUP(CONCAT(E705,F705),'MASTER PLAN'!$AB:$AB,'MASTER PLAN'!$M:$M,0,0)=0,"",XLOOKUP(CONCAT(E705,F705),'MASTER PLAN'!$AB:$AB,'MASTER PLAN'!$M:$M,0,0)),"")</f>
        <v/>
      </c>
      <c r="K705" s="107">
        <f t="shared" si="237"/>
        <v>0</v>
      </c>
      <c r="L705" s="107">
        <f t="shared" si="238"/>
        <v>0</v>
      </c>
      <c r="M705" s="105" t="s">
        <v>246</v>
      </c>
      <c r="AI705" s="42"/>
      <c r="BN705" s="42"/>
      <c r="CS705" s="42"/>
      <c r="DX705" s="42"/>
      <c r="FC705" s="42"/>
      <c r="GH705" s="42"/>
      <c r="HM705" s="42"/>
      <c r="IR705" s="42"/>
      <c r="JW705" s="42"/>
      <c r="LB705" s="42"/>
      <c r="MG705" s="42"/>
      <c r="NL705" s="42"/>
    </row>
    <row r="706" ht="15.75" customHeight="1">
      <c r="A706" s="42"/>
      <c r="B706" s="42"/>
      <c r="C706" s="42"/>
      <c r="D706" s="38">
        <f t="shared" si="959"/>
        <v>46016</v>
      </c>
      <c r="E706" s="31" t="str">
        <f t="shared" ref="E706:I706" si="961">IC7</f>
        <v/>
      </c>
      <c r="F706" s="31" t="str">
        <f t="shared" si="961"/>
        <v/>
      </c>
      <c r="G706" s="31" t="str">
        <f t="shared" si="961"/>
        <v/>
      </c>
      <c r="H706" s="13" t="str">
        <f t="shared" si="961"/>
        <v/>
      </c>
      <c r="I706" s="13" t="str">
        <f t="shared" si="961"/>
        <v/>
      </c>
      <c r="J706" s="107" t="str">
        <f t="array" ref="J706">IFERROR(IF(XLOOKUP(CONCAT(E706,F706),'MASTER PLAN'!$AB:$AB,'MASTER PLAN'!$M:$M,0,0)=0,"",XLOOKUP(CONCAT(E706,F706),'MASTER PLAN'!$AB:$AB,'MASTER PLAN'!$M:$M,0,0)),"")</f>
        <v/>
      </c>
      <c r="K706" s="107">
        <f t="shared" si="237"/>
        <v>0</v>
      </c>
      <c r="L706" s="107">
        <f t="shared" si="238"/>
        <v>0</v>
      </c>
      <c r="M706" s="105" t="s">
        <v>246</v>
      </c>
      <c r="AI706" s="42"/>
      <c r="BN706" s="42"/>
      <c r="CS706" s="42"/>
      <c r="DX706" s="42"/>
      <c r="FC706" s="42"/>
      <c r="GH706" s="42"/>
      <c r="HM706" s="42"/>
      <c r="IR706" s="42"/>
      <c r="JW706" s="42"/>
      <c r="LB706" s="42"/>
      <c r="MG706" s="42"/>
      <c r="NL706" s="42"/>
    </row>
    <row r="707" ht="15.75" customHeight="1">
      <c r="A707" s="42"/>
      <c r="B707" s="42"/>
      <c r="C707" s="42"/>
      <c r="D707" s="38">
        <f t="shared" si="959"/>
        <v>46016</v>
      </c>
      <c r="E707" s="31" t="str">
        <f t="shared" ref="E707:I707" si="962">IC8</f>
        <v/>
      </c>
      <c r="F707" s="31" t="str">
        <f t="shared" si="962"/>
        <v/>
      </c>
      <c r="G707" s="31" t="str">
        <f t="shared" si="962"/>
        <v/>
      </c>
      <c r="H707" s="13" t="str">
        <f t="shared" si="962"/>
        <v/>
      </c>
      <c r="I707" s="13" t="str">
        <f t="shared" si="962"/>
        <v/>
      </c>
      <c r="J707" s="107" t="str">
        <f t="array" ref="J707">IFERROR(IF(XLOOKUP(CONCAT(E707,F707),'MASTER PLAN'!$AB:$AB,'MASTER PLAN'!$M:$M,0,0)=0,"",XLOOKUP(CONCAT(E707,F707),'MASTER PLAN'!$AB:$AB,'MASTER PLAN'!$M:$M,0,0)),"")</f>
        <v/>
      </c>
      <c r="K707" s="107">
        <f t="shared" si="237"/>
        <v>0</v>
      </c>
      <c r="L707" s="107">
        <f t="shared" si="238"/>
        <v>0</v>
      </c>
      <c r="M707" s="105" t="s">
        <v>246</v>
      </c>
      <c r="AI707" s="42"/>
      <c r="BN707" s="42"/>
      <c r="CS707" s="42"/>
      <c r="DX707" s="42"/>
      <c r="FC707" s="42"/>
      <c r="GH707" s="42"/>
      <c r="HM707" s="42"/>
      <c r="IR707" s="42"/>
      <c r="JW707" s="42"/>
      <c r="LB707" s="42"/>
      <c r="MG707" s="42"/>
      <c r="NL707" s="42"/>
    </row>
    <row r="708" ht="15.75" customHeight="1">
      <c r="A708" s="42"/>
      <c r="B708" s="42"/>
      <c r="C708" s="42"/>
      <c r="D708" s="38">
        <f t="shared" si="959"/>
        <v>46016</v>
      </c>
      <c r="E708" s="31" t="str">
        <f t="shared" ref="E708:I708" si="963">IC12</f>
        <v/>
      </c>
      <c r="F708" s="31" t="str">
        <f t="shared" si="963"/>
        <v/>
      </c>
      <c r="G708" s="31" t="str">
        <f t="shared" si="963"/>
        <v/>
      </c>
      <c r="H708" s="13" t="str">
        <f t="shared" si="963"/>
        <v/>
      </c>
      <c r="I708" s="13" t="str">
        <f t="shared" si="963"/>
        <v/>
      </c>
      <c r="J708" s="107" t="str">
        <f t="array" ref="J708">IFERROR(IF(XLOOKUP(CONCAT(E708,F708),'MASTER PLAN'!$AB:$AB,'MASTER PLAN'!$M:$M,0,0)=0,"",XLOOKUP(CONCAT(E708,F708),'MASTER PLAN'!$AB:$AB,'MASTER PLAN'!$M:$M,0,0)),"")</f>
        <v/>
      </c>
      <c r="K708" s="107">
        <f t="shared" si="237"/>
        <v>0</v>
      </c>
      <c r="L708" s="107">
        <f t="shared" si="238"/>
        <v>0</v>
      </c>
      <c r="M708" s="105" t="s">
        <v>248</v>
      </c>
      <c r="AI708" s="42"/>
      <c r="BN708" s="42"/>
      <c r="CS708" s="42"/>
      <c r="DX708" s="42"/>
      <c r="FC708" s="42"/>
      <c r="GH708" s="42"/>
      <c r="HM708" s="42"/>
      <c r="IR708" s="42"/>
      <c r="JW708" s="42"/>
      <c r="LB708" s="42"/>
      <c r="MG708" s="42"/>
      <c r="NL708" s="42"/>
    </row>
    <row r="709" ht="15.75" customHeight="1">
      <c r="A709" s="42"/>
      <c r="B709" s="42"/>
      <c r="C709" s="42"/>
      <c r="D709" s="38">
        <f t="shared" si="959"/>
        <v>46016</v>
      </c>
      <c r="E709" s="31" t="str">
        <f t="shared" ref="E709:I709" si="964">IC13</f>
        <v/>
      </c>
      <c r="F709" s="31" t="str">
        <f t="shared" si="964"/>
        <v/>
      </c>
      <c r="G709" s="31" t="str">
        <f t="shared" si="964"/>
        <v/>
      </c>
      <c r="H709" s="13" t="str">
        <f t="shared" si="964"/>
        <v/>
      </c>
      <c r="I709" s="13" t="str">
        <f t="shared" si="964"/>
        <v/>
      </c>
      <c r="J709" s="107" t="str">
        <f t="array" ref="J709">IFERROR(IF(XLOOKUP(CONCAT(E709,F709),'MASTER PLAN'!$AB:$AB,'MASTER PLAN'!$M:$M,0,0)=0,"",XLOOKUP(CONCAT(E709,F709),'MASTER PLAN'!$AB:$AB,'MASTER PLAN'!$M:$M,0,0)),"")</f>
        <v/>
      </c>
      <c r="K709" s="107">
        <f t="shared" si="237"/>
        <v>0</v>
      </c>
      <c r="L709" s="107">
        <f t="shared" si="238"/>
        <v>0</v>
      </c>
      <c r="M709" s="105" t="s">
        <v>248</v>
      </c>
      <c r="AI709" s="42"/>
      <c r="BN709" s="42"/>
      <c r="CS709" s="42"/>
      <c r="DX709" s="42"/>
      <c r="FC709" s="42"/>
      <c r="GH709" s="42"/>
      <c r="HM709" s="42"/>
      <c r="IR709" s="42"/>
      <c r="JW709" s="42"/>
      <c r="LB709" s="42"/>
      <c r="MG709" s="42"/>
      <c r="NL709" s="42"/>
    </row>
    <row r="710" ht="15.75" customHeight="1">
      <c r="A710" s="42"/>
      <c r="B710" s="42"/>
      <c r="C710" s="42"/>
      <c r="D710" s="38">
        <f t="shared" si="959"/>
        <v>46016</v>
      </c>
      <c r="E710" s="31" t="str">
        <f t="shared" ref="E710:I710" si="965">IC14</f>
        <v/>
      </c>
      <c r="F710" s="31" t="str">
        <f t="shared" si="965"/>
        <v/>
      </c>
      <c r="G710" s="31" t="str">
        <f t="shared" si="965"/>
        <v/>
      </c>
      <c r="H710" s="13" t="str">
        <f t="shared" si="965"/>
        <v/>
      </c>
      <c r="I710" s="13" t="str">
        <f t="shared" si="965"/>
        <v/>
      </c>
      <c r="J710" s="107" t="str">
        <f t="array" ref="J710">IFERROR(IF(XLOOKUP(CONCAT(E710,F710),'MASTER PLAN'!$AB:$AB,'MASTER PLAN'!$M:$M,0,0)=0,"",XLOOKUP(CONCAT(E710,F710),'MASTER PLAN'!$AB:$AB,'MASTER PLAN'!$M:$M,0,0)),"")</f>
        <v/>
      </c>
      <c r="K710" s="107">
        <f t="shared" si="237"/>
        <v>0</v>
      </c>
      <c r="L710" s="107">
        <f t="shared" si="238"/>
        <v>0</v>
      </c>
      <c r="M710" s="105" t="s">
        <v>248</v>
      </c>
      <c r="AI710" s="42"/>
      <c r="BN710" s="42"/>
      <c r="CS710" s="42"/>
      <c r="DX710" s="42"/>
      <c r="FC710" s="42"/>
      <c r="GH710" s="42"/>
      <c r="HM710" s="42"/>
      <c r="IR710" s="42"/>
      <c r="JW710" s="42"/>
      <c r="LB710" s="42"/>
      <c r="MG710" s="42"/>
      <c r="NL710" s="42"/>
    </row>
    <row r="711" ht="15.75" customHeight="1">
      <c r="A711" s="42"/>
      <c r="B711" s="42"/>
      <c r="C711" s="42"/>
      <c r="D711" s="38">
        <f t="shared" si="959"/>
        <v>46016</v>
      </c>
      <c r="E711" s="31" t="str">
        <f t="shared" ref="E711:I711" si="966">IC15</f>
        <v/>
      </c>
      <c r="F711" s="31" t="str">
        <f t="shared" si="966"/>
        <v/>
      </c>
      <c r="G711" s="31" t="str">
        <f t="shared" si="966"/>
        <v/>
      </c>
      <c r="H711" s="13" t="str">
        <f t="shared" si="966"/>
        <v/>
      </c>
      <c r="I711" s="13" t="str">
        <f t="shared" si="966"/>
        <v/>
      </c>
      <c r="J711" s="107" t="str">
        <f t="array" ref="J711">IFERROR(IF(XLOOKUP(CONCAT(E711,F711),'MASTER PLAN'!$AB:$AB,'MASTER PLAN'!$M:$M,0,0)=0,"",XLOOKUP(CONCAT(E711,F711),'MASTER PLAN'!$AB:$AB,'MASTER PLAN'!$M:$M,0,0)),"")</f>
        <v/>
      </c>
      <c r="K711" s="107">
        <f t="shared" si="237"/>
        <v>0</v>
      </c>
      <c r="L711" s="107">
        <f t="shared" si="238"/>
        <v>0</v>
      </c>
      <c r="M711" s="105" t="s">
        <v>248</v>
      </c>
      <c r="AI711" s="42"/>
      <c r="BN711" s="42"/>
      <c r="CS711" s="42"/>
      <c r="DX711" s="42"/>
      <c r="FC711" s="42"/>
      <c r="GH711" s="42"/>
      <c r="HM711" s="42"/>
      <c r="IR711" s="42"/>
      <c r="JW711" s="42"/>
      <c r="LB711" s="42"/>
      <c r="MG711" s="42"/>
      <c r="NL711" s="42"/>
    </row>
    <row r="712" ht="15.75" customHeight="1">
      <c r="A712" s="42"/>
      <c r="B712" s="42"/>
      <c r="C712" s="42"/>
      <c r="D712" s="38">
        <f t="shared" si="959"/>
        <v>46016</v>
      </c>
      <c r="E712" s="31" t="str">
        <f t="shared" ref="E712:I712" si="967">IC16</f>
        <v/>
      </c>
      <c r="F712" s="31" t="str">
        <f t="shared" si="967"/>
        <v/>
      </c>
      <c r="G712" s="31" t="str">
        <f t="shared" si="967"/>
        <v/>
      </c>
      <c r="H712" s="13" t="str">
        <f t="shared" si="967"/>
        <v/>
      </c>
      <c r="I712" s="13" t="str">
        <f t="shared" si="967"/>
        <v/>
      </c>
      <c r="J712" s="107" t="str">
        <f t="array" ref="J712">IFERROR(IF(XLOOKUP(CONCAT(E712,F712),'MASTER PLAN'!$AB:$AB,'MASTER PLAN'!$M:$M,0,0)=0,"",XLOOKUP(CONCAT(E712,F712),'MASTER PLAN'!$AB:$AB,'MASTER PLAN'!$M:$M,0,0)),"")</f>
        <v/>
      </c>
      <c r="K712" s="107">
        <f t="shared" si="237"/>
        <v>0</v>
      </c>
      <c r="L712" s="107">
        <f t="shared" si="238"/>
        <v>0</v>
      </c>
      <c r="M712" s="105" t="s">
        <v>248</v>
      </c>
      <c r="AI712" s="42"/>
      <c r="BN712" s="42"/>
      <c r="CS712" s="42"/>
      <c r="DX712" s="42"/>
      <c r="FC712" s="42"/>
      <c r="GH712" s="42"/>
      <c r="HM712" s="42"/>
      <c r="IR712" s="42"/>
      <c r="JW712" s="42"/>
      <c r="LB712" s="42"/>
      <c r="MG712" s="42"/>
      <c r="NL712" s="42"/>
    </row>
    <row r="713" ht="15.75" customHeight="1">
      <c r="A713" s="42"/>
      <c r="B713" s="42"/>
      <c r="C713" s="42"/>
      <c r="D713" s="38">
        <f t="shared" si="959"/>
        <v>46016</v>
      </c>
      <c r="E713" s="31" t="str">
        <f t="shared" ref="E713:I713" si="968">IC20</f>
        <v/>
      </c>
      <c r="F713" s="31" t="str">
        <f t="shared" si="968"/>
        <v/>
      </c>
      <c r="G713" s="31" t="str">
        <f t="shared" si="968"/>
        <v/>
      </c>
      <c r="H713" s="13" t="str">
        <f t="shared" si="968"/>
        <v/>
      </c>
      <c r="I713" s="13" t="str">
        <f t="shared" si="968"/>
        <v/>
      </c>
      <c r="J713" s="107" t="str">
        <f t="array" ref="J713">IFERROR(IF(XLOOKUP(CONCAT(E713,F713),'MASTER PLAN'!$AB:$AB,'MASTER PLAN'!$M:$M,0,0)=0,"",XLOOKUP(CONCAT(E713,F713),'MASTER PLAN'!$AB:$AB,'MASTER PLAN'!$M:$M,0,0)),"")</f>
        <v/>
      </c>
      <c r="K713" s="107">
        <f t="shared" si="237"/>
        <v>0</v>
      </c>
      <c r="L713" s="107">
        <f t="shared" si="238"/>
        <v>0</v>
      </c>
      <c r="M713" s="105" t="s">
        <v>249</v>
      </c>
      <c r="AI713" s="42"/>
      <c r="BN713" s="42"/>
      <c r="CS713" s="42"/>
      <c r="DX713" s="42"/>
      <c r="FC713" s="42"/>
      <c r="GH713" s="42"/>
      <c r="HM713" s="42"/>
      <c r="IR713" s="42"/>
      <c r="JW713" s="42"/>
      <c r="LB713" s="42"/>
      <c r="MG713" s="42"/>
      <c r="NL713" s="42"/>
    </row>
    <row r="714" ht="15.75" customHeight="1">
      <c r="A714" s="42"/>
      <c r="B714" s="42"/>
      <c r="C714" s="42"/>
      <c r="D714" s="38">
        <f t="shared" si="959"/>
        <v>46016</v>
      </c>
      <c r="E714" s="31" t="str">
        <f t="shared" ref="E714:I714" si="969">IC21</f>
        <v/>
      </c>
      <c r="F714" s="31" t="str">
        <f t="shared" si="969"/>
        <v/>
      </c>
      <c r="G714" s="31" t="str">
        <f t="shared" si="969"/>
        <v/>
      </c>
      <c r="H714" s="13" t="str">
        <f t="shared" si="969"/>
        <v/>
      </c>
      <c r="I714" s="13" t="str">
        <f t="shared" si="969"/>
        <v/>
      </c>
      <c r="J714" s="107" t="str">
        <f t="array" ref="J714">IFERROR(IF(XLOOKUP(CONCAT(E714,F714),'MASTER PLAN'!$AB:$AB,'MASTER PLAN'!$M:$M,0,0)=0,"",XLOOKUP(CONCAT(E714,F714),'MASTER PLAN'!$AB:$AB,'MASTER PLAN'!$M:$M,0,0)),"")</f>
        <v/>
      </c>
      <c r="K714" s="107">
        <f t="shared" si="237"/>
        <v>0</v>
      </c>
      <c r="L714" s="107">
        <f t="shared" si="238"/>
        <v>0</v>
      </c>
      <c r="M714" s="105" t="s">
        <v>249</v>
      </c>
      <c r="AI714" s="42"/>
      <c r="BN714" s="42"/>
      <c r="CS714" s="42"/>
      <c r="DX714" s="42"/>
      <c r="FC714" s="42"/>
      <c r="GH714" s="42"/>
      <c r="HM714" s="42"/>
      <c r="IR714" s="42"/>
      <c r="JW714" s="42"/>
      <c r="LB714" s="42"/>
      <c r="MG714" s="42"/>
      <c r="NL714" s="42"/>
    </row>
    <row r="715" ht="15.75" customHeight="1">
      <c r="A715" s="42"/>
      <c r="B715" s="42"/>
      <c r="C715" s="42"/>
      <c r="D715" s="38">
        <f t="shared" si="959"/>
        <v>46016</v>
      </c>
      <c r="E715" s="31" t="str">
        <f t="shared" ref="E715:I715" si="970">IC22</f>
        <v/>
      </c>
      <c r="F715" s="31" t="str">
        <f t="shared" si="970"/>
        <v/>
      </c>
      <c r="G715" s="31" t="str">
        <f t="shared" si="970"/>
        <v/>
      </c>
      <c r="H715" s="13" t="str">
        <f t="shared" si="970"/>
        <v/>
      </c>
      <c r="I715" s="13" t="str">
        <f t="shared" si="970"/>
        <v/>
      </c>
      <c r="J715" s="107" t="str">
        <f t="array" ref="J715">IFERROR(IF(XLOOKUP(CONCAT(E715,F715),'MASTER PLAN'!$AB:$AB,'MASTER PLAN'!$M:$M,0,0)=0,"",XLOOKUP(CONCAT(E715,F715),'MASTER PLAN'!$AB:$AB,'MASTER PLAN'!$M:$M,0,0)),"")</f>
        <v/>
      </c>
      <c r="K715" s="107">
        <f t="shared" si="237"/>
        <v>0</v>
      </c>
      <c r="L715" s="107">
        <f t="shared" si="238"/>
        <v>0</v>
      </c>
      <c r="M715" s="105" t="s">
        <v>249</v>
      </c>
      <c r="AI715" s="42"/>
      <c r="BN715" s="42"/>
      <c r="CS715" s="42"/>
      <c r="DX715" s="42"/>
      <c r="FC715" s="42"/>
      <c r="GH715" s="42"/>
      <c r="HM715" s="42"/>
      <c r="IR715" s="42"/>
      <c r="JW715" s="42"/>
      <c r="LB715" s="42"/>
      <c r="MG715" s="42"/>
      <c r="NL715" s="42"/>
    </row>
    <row r="716" ht="15.75" customHeight="1">
      <c r="A716" s="42"/>
      <c r="B716" s="42"/>
      <c r="C716" s="42"/>
      <c r="D716" s="38">
        <f t="shared" si="959"/>
        <v>46016</v>
      </c>
      <c r="E716" s="31" t="str">
        <f t="shared" ref="E716:I716" si="971">IC23</f>
        <v/>
      </c>
      <c r="F716" s="31" t="str">
        <f t="shared" si="971"/>
        <v/>
      </c>
      <c r="G716" s="31" t="str">
        <f t="shared" si="971"/>
        <v/>
      </c>
      <c r="H716" s="13" t="str">
        <f t="shared" si="971"/>
        <v/>
      </c>
      <c r="I716" s="13" t="str">
        <f t="shared" si="971"/>
        <v/>
      </c>
      <c r="J716" s="107" t="str">
        <f t="array" ref="J716">IFERROR(IF(XLOOKUP(CONCAT(E716,F716),'MASTER PLAN'!$AB:$AB,'MASTER PLAN'!$M:$M,0,0)=0,"",XLOOKUP(CONCAT(E716,F716),'MASTER PLAN'!$AB:$AB,'MASTER PLAN'!$M:$M,0,0)),"")</f>
        <v/>
      </c>
      <c r="K716" s="107">
        <f t="shared" si="237"/>
        <v>0</v>
      </c>
      <c r="L716" s="107">
        <f t="shared" si="238"/>
        <v>0</v>
      </c>
      <c r="M716" s="105" t="s">
        <v>249</v>
      </c>
      <c r="AI716" s="42"/>
      <c r="BN716" s="42"/>
      <c r="CS716" s="42"/>
      <c r="DX716" s="42"/>
      <c r="FC716" s="42"/>
      <c r="GH716" s="42"/>
      <c r="HM716" s="42"/>
      <c r="IR716" s="42"/>
      <c r="JW716" s="42"/>
      <c r="LB716" s="42"/>
      <c r="MG716" s="42"/>
      <c r="NL716" s="42"/>
    </row>
    <row r="717" ht="15.75" customHeight="1">
      <c r="A717" s="42"/>
      <c r="B717" s="42"/>
      <c r="C717" s="42"/>
      <c r="D717" s="38">
        <f t="shared" si="959"/>
        <v>46016</v>
      </c>
      <c r="E717" s="31" t="str">
        <f t="shared" ref="E717:I717" si="972">IC24</f>
        <v/>
      </c>
      <c r="F717" s="31" t="str">
        <f t="shared" si="972"/>
        <v/>
      </c>
      <c r="G717" s="31" t="str">
        <f t="shared" si="972"/>
        <v/>
      </c>
      <c r="H717" s="13" t="str">
        <f t="shared" si="972"/>
        <v/>
      </c>
      <c r="I717" s="13" t="str">
        <f t="shared" si="972"/>
        <v/>
      </c>
      <c r="J717" s="107" t="str">
        <f t="array" ref="J717">IFERROR(IF(XLOOKUP(CONCAT(E717,F717),'MASTER PLAN'!$AB:$AB,'MASTER PLAN'!$M:$M,0,0)=0,"",XLOOKUP(CONCAT(E717,F717),'MASTER PLAN'!$AB:$AB,'MASTER PLAN'!$M:$M,0,0)),"")</f>
        <v/>
      </c>
      <c r="K717" s="107">
        <f t="shared" si="237"/>
        <v>0</v>
      </c>
      <c r="L717" s="107">
        <f t="shared" si="238"/>
        <v>0</v>
      </c>
      <c r="M717" s="105" t="s">
        <v>249</v>
      </c>
      <c r="AI717" s="42"/>
      <c r="BN717" s="42"/>
      <c r="CS717" s="42"/>
      <c r="DX717" s="42"/>
      <c r="FC717" s="42"/>
      <c r="GH717" s="42"/>
      <c r="HM717" s="42"/>
      <c r="IR717" s="42"/>
      <c r="JW717" s="42"/>
      <c r="LB717" s="42"/>
      <c r="MG717" s="42"/>
      <c r="NL717" s="42"/>
    </row>
    <row r="718" ht="15.75" customHeight="1">
      <c r="A718" s="42"/>
      <c r="B718" s="42"/>
      <c r="C718" s="42"/>
      <c r="D718" s="38">
        <f>IH2</f>
        <v>46017</v>
      </c>
      <c r="E718" s="31">
        <f t="shared" ref="E718:I718" si="973">IH4</f>
        <v>1402049507</v>
      </c>
      <c r="F718" s="31">
        <f t="shared" si="973"/>
        <v>20</v>
      </c>
      <c r="G718" s="31" t="str">
        <f t="shared" si="973"/>
        <v>BOLSA PEARL FACTORY 159X90X210MM</v>
      </c>
      <c r="H718" s="13">
        <f t="shared" si="973"/>
        <v>3000</v>
      </c>
      <c r="I718" s="13" t="str">
        <f t="shared" si="973"/>
        <v/>
      </c>
      <c r="J718" s="107">
        <f t="array" ref="J718">IFERROR(IF(XLOOKUP(CONCAT(E718,F718),'MASTER PLAN'!$AB:$AB,'MASTER PLAN'!$M:$M,0,0)=0,"",XLOOKUP(CONCAT(E718,F718),'MASTER PLAN'!$AB:$AB,'MASTER PLAN'!$M:$M,0,0)),"")</f>
        <v>0.76</v>
      </c>
      <c r="K718" s="107">
        <f t="shared" si="237"/>
        <v>2280</v>
      </c>
      <c r="L718" s="107">
        <f t="shared" si="238"/>
        <v>0</v>
      </c>
      <c r="M718" s="105" t="s">
        <v>246</v>
      </c>
      <c r="AI718" s="42"/>
      <c r="BN718" s="42"/>
      <c r="CS718" s="42"/>
      <c r="DX718" s="42"/>
      <c r="FC718" s="42"/>
      <c r="GH718" s="42"/>
      <c r="HM718" s="42"/>
      <c r="IR718" s="42"/>
      <c r="JW718" s="42"/>
      <c r="LB718" s="42"/>
      <c r="MG718" s="42"/>
      <c r="NL718" s="42"/>
    </row>
    <row r="719" ht="15.75" customHeight="1">
      <c r="A719" s="42"/>
      <c r="B719" s="42"/>
      <c r="C719" s="42"/>
      <c r="D719" s="38">
        <f t="shared" ref="D719:D732" si="975">D718</f>
        <v>46017</v>
      </c>
      <c r="E719" s="31" t="str">
        <f t="shared" ref="E719:I719" si="974">IH5</f>
        <v/>
      </c>
      <c r="F719" s="31" t="str">
        <f t="shared" si="974"/>
        <v/>
      </c>
      <c r="G719" s="31" t="str">
        <f t="shared" si="974"/>
        <v/>
      </c>
      <c r="H719" s="13" t="str">
        <f t="shared" si="974"/>
        <v/>
      </c>
      <c r="I719" s="13" t="str">
        <f t="shared" si="974"/>
        <v/>
      </c>
      <c r="J719" s="107" t="str">
        <f t="array" ref="J719">IFERROR(IF(XLOOKUP(CONCAT(E719,F719),'MASTER PLAN'!$AB:$AB,'MASTER PLAN'!$M:$M,0,0)=0,"",XLOOKUP(CONCAT(E719,F719),'MASTER PLAN'!$AB:$AB,'MASTER PLAN'!$M:$M,0,0)),"")</f>
        <v/>
      </c>
      <c r="K719" s="107">
        <f t="shared" si="237"/>
        <v>0</v>
      </c>
      <c r="L719" s="107">
        <f t="shared" si="238"/>
        <v>0</v>
      </c>
      <c r="M719" s="105" t="s">
        <v>246</v>
      </c>
      <c r="AI719" s="42"/>
      <c r="BN719" s="42"/>
      <c r="CS719" s="42"/>
      <c r="DX719" s="42"/>
      <c r="FC719" s="42"/>
      <c r="GH719" s="42"/>
      <c r="HM719" s="42"/>
      <c r="IR719" s="42"/>
      <c r="JW719" s="42"/>
      <c r="LB719" s="42"/>
      <c r="MG719" s="42"/>
      <c r="NL719" s="42"/>
    </row>
    <row r="720" ht="15.75" customHeight="1">
      <c r="A720" s="42"/>
      <c r="B720" s="42"/>
      <c r="C720" s="42"/>
      <c r="D720" s="38">
        <f t="shared" si="975"/>
        <v>46017</v>
      </c>
      <c r="E720" s="31" t="str">
        <f t="shared" ref="E720:I720" si="976">IH6</f>
        <v/>
      </c>
      <c r="F720" s="31" t="str">
        <f t="shared" si="976"/>
        <v/>
      </c>
      <c r="G720" s="31" t="str">
        <f t="shared" si="976"/>
        <v/>
      </c>
      <c r="H720" s="13" t="str">
        <f t="shared" si="976"/>
        <v/>
      </c>
      <c r="I720" s="13" t="str">
        <f t="shared" si="976"/>
        <v/>
      </c>
      <c r="J720" s="107" t="str">
        <f t="array" ref="J720">IFERROR(IF(XLOOKUP(CONCAT(E720,F720),'MASTER PLAN'!$AB:$AB,'MASTER PLAN'!$M:$M,0,0)=0,"",XLOOKUP(CONCAT(E720,F720),'MASTER PLAN'!$AB:$AB,'MASTER PLAN'!$M:$M,0,0)),"")</f>
        <v/>
      </c>
      <c r="K720" s="107">
        <f t="shared" si="237"/>
        <v>0</v>
      </c>
      <c r="L720" s="107">
        <f t="shared" si="238"/>
        <v>0</v>
      </c>
      <c r="M720" s="105" t="s">
        <v>246</v>
      </c>
      <c r="AI720" s="42"/>
      <c r="BN720" s="42"/>
      <c r="CS720" s="42"/>
      <c r="DX720" s="42"/>
      <c r="FC720" s="42"/>
      <c r="GH720" s="42"/>
      <c r="HM720" s="42"/>
      <c r="IR720" s="42"/>
      <c r="JW720" s="42"/>
      <c r="LB720" s="42"/>
      <c r="MG720" s="42"/>
      <c r="NL720" s="42"/>
    </row>
    <row r="721" ht="15.75" customHeight="1">
      <c r="A721" s="42"/>
      <c r="B721" s="42"/>
      <c r="C721" s="42"/>
      <c r="D721" s="38">
        <f t="shared" si="975"/>
        <v>46017</v>
      </c>
      <c r="E721" s="31" t="str">
        <f t="shared" ref="E721:I721" si="977">IH7</f>
        <v/>
      </c>
      <c r="F721" s="31" t="str">
        <f t="shared" si="977"/>
        <v/>
      </c>
      <c r="G721" s="31" t="str">
        <f t="shared" si="977"/>
        <v/>
      </c>
      <c r="H721" s="13" t="str">
        <f t="shared" si="977"/>
        <v/>
      </c>
      <c r="I721" s="13" t="str">
        <f t="shared" si="977"/>
        <v/>
      </c>
      <c r="J721" s="107" t="str">
        <f t="array" ref="J721">IFERROR(IF(XLOOKUP(CONCAT(E721,F721),'MASTER PLAN'!$AB:$AB,'MASTER PLAN'!$M:$M,0,0)=0,"",XLOOKUP(CONCAT(E721,F721),'MASTER PLAN'!$AB:$AB,'MASTER PLAN'!$M:$M,0,0)),"")</f>
        <v/>
      </c>
      <c r="K721" s="107">
        <f t="shared" si="237"/>
        <v>0</v>
      </c>
      <c r="L721" s="107">
        <f t="shared" si="238"/>
        <v>0</v>
      </c>
      <c r="M721" s="105" t="s">
        <v>246</v>
      </c>
      <c r="AI721" s="42"/>
      <c r="BN721" s="42"/>
      <c r="CS721" s="42"/>
      <c r="DX721" s="42"/>
      <c r="FC721" s="42"/>
      <c r="GH721" s="42"/>
      <c r="HM721" s="42"/>
      <c r="IR721" s="42"/>
      <c r="JW721" s="42"/>
      <c r="LB721" s="42"/>
      <c r="MG721" s="42"/>
      <c r="NL721" s="42"/>
    </row>
    <row r="722" ht="15.75" customHeight="1">
      <c r="A722" s="42"/>
      <c r="B722" s="42"/>
      <c r="C722" s="42"/>
      <c r="D722" s="38">
        <f t="shared" si="975"/>
        <v>46017</v>
      </c>
      <c r="E722" s="31" t="str">
        <f t="shared" ref="E722:I722" si="978">IH8</f>
        <v/>
      </c>
      <c r="F722" s="31" t="str">
        <f t="shared" si="978"/>
        <v/>
      </c>
      <c r="G722" s="31" t="str">
        <f t="shared" si="978"/>
        <v/>
      </c>
      <c r="H722" s="13" t="str">
        <f t="shared" si="978"/>
        <v/>
      </c>
      <c r="I722" s="13" t="str">
        <f t="shared" si="978"/>
        <v/>
      </c>
      <c r="J722" s="107" t="str">
        <f t="array" ref="J722">IFERROR(IF(XLOOKUP(CONCAT(E722,F722),'MASTER PLAN'!$AB:$AB,'MASTER PLAN'!$M:$M,0,0)=0,"",XLOOKUP(CONCAT(E722,F722),'MASTER PLAN'!$AB:$AB,'MASTER PLAN'!$M:$M,0,0)),"")</f>
        <v/>
      </c>
      <c r="K722" s="107">
        <f t="shared" si="237"/>
        <v>0</v>
      </c>
      <c r="L722" s="107">
        <f t="shared" si="238"/>
        <v>0</v>
      </c>
      <c r="M722" s="105" t="s">
        <v>246</v>
      </c>
      <c r="AI722" s="42"/>
      <c r="BN722" s="42"/>
      <c r="CS722" s="42"/>
      <c r="DX722" s="42"/>
      <c r="FC722" s="42"/>
      <c r="GH722" s="42"/>
      <c r="HM722" s="42"/>
      <c r="IR722" s="42"/>
      <c r="JW722" s="42"/>
      <c r="LB722" s="42"/>
      <c r="MG722" s="42"/>
      <c r="NL722" s="42"/>
    </row>
    <row r="723" ht="15.75" customHeight="1">
      <c r="A723" s="42"/>
      <c r="B723" s="42"/>
      <c r="C723" s="42"/>
      <c r="D723" s="38">
        <f t="shared" si="975"/>
        <v>46017</v>
      </c>
      <c r="E723" s="31">
        <f t="shared" ref="E723:I723" si="979">IH12</f>
        <v>1402049507</v>
      </c>
      <c r="F723" s="31">
        <f t="shared" si="979"/>
        <v>10</v>
      </c>
      <c r="G723" s="31" t="str">
        <f t="shared" si="979"/>
        <v>BOLSA NA HOKU 159X90X210MM</v>
      </c>
      <c r="H723" s="13">
        <f t="shared" si="979"/>
        <v>3000</v>
      </c>
      <c r="I723" s="13" t="str">
        <f t="shared" si="979"/>
        <v/>
      </c>
      <c r="J723" s="107">
        <f t="array" ref="J723">IFERROR(IF(XLOOKUP(CONCAT(E723,F723),'MASTER PLAN'!$AB:$AB,'MASTER PLAN'!$M:$M,0,0)=0,"",XLOOKUP(CONCAT(E723,F723),'MASTER PLAN'!$AB:$AB,'MASTER PLAN'!$M:$M,0,0)),"")</f>
        <v>0.968</v>
      </c>
      <c r="K723" s="107">
        <f t="shared" si="237"/>
        <v>2904</v>
      </c>
      <c r="L723" s="107">
        <f t="shared" si="238"/>
        <v>0</v>
      </c>
      <c r="M723" s="105" t="s">
        <v>248</v>
      </c>
      <c r="AI723" s="42"/>
      <c r="BN723" s="42"/>
      <c r="CS723" s="42"/>
      <c r="DX723" s="42"/>
      <c r="FC723" s="42"/>
      <c r="GH723" s="42"/>
      <c r="HM723" s="42"/>
      <c r="IR723" s="42"/>
      <c r="JW723" s="42"/>
      <c r="LB723" s="42"/>
      <c r="MG723" s="42"/>
      <c r="NL723" s="42"/>
    </row>
    <row r="724" ht="15.75" customHeight="1">
      <c r="A724" s="42"/>
      <c r="B724" s="42"/>
      <c r="C724" s="42"/>
      <c r="D724" s="38">
        <f t="shared" si="975"/>
        <v>46017</v>
      </c>
      <c r="E724" s="31" t="str">
        <f t="shared" ref="E724:I724" si="980">IH13</f>
        <v/>
      </c>
      <c r="F724" s="31" t="str">
        <f t="shared" si="980"/>
        <v/>
      </c>
      <c r="G724" s="31" t="str">
        <f t="shared" si="980"/>
        <v/>
      </c>
      <c r="H724" s="13" t="str">
        <f t="shared" si="980"/>
        <v/>
      </c>
      <c r="I724" s="13" t="str">
        <f t="shared" si="980"/>
        <v/>
      </c>
      <c r="J724" s="107" t="str">
        <f t="array" ref="J724">IFERROR(IF(XLOOKUP(CONCAT(E724,F724),'MASTER PLAN'!$AB:$AB,'MASTER PLAN'!$M:$M,0,0)=0,"",XLOOKUP(CONCAT(E724,F724),'MASTER PLAN'!$AB:$AB,'MASTER PLAN'!$M:$M,0,0)),"")</f>
        <v/>
      </c>
      <c r="K724" s="107">
        <f t="shared" si="237"/>
        <v>0</v>
      </c>
      <c r="L724" s="107">
        <f t="shared" si="238"/>
        <v>0</v>
      </c>
      <c r="M724" s="105" t="s">
        <v>248</v>
      </c>
      <c r="AI724" s="42"/>
      <c r="BN724" s="42"/>
      <c r="CS724" s="42"/>
      <c r="DX724" s="42"/>
      <c r="FC724" s="42"/>
      <c r="GH724" s="42"/>
      <c r="HM724" s="42"/>
      <c r="IR724" s="42"/>
      <c r="JW724" s="42"/>
      <c r="LB724" s="42"/>
      <c r="MG724" s="42"/>
      <c r="NL724" s="42"/>
    </row>
    <row r="725" ht="15.75" customHeight="1">
      <c r="A725" s="42"/>
      <c r="B725" s="42"/>
      <c r="C725" s="42"/>
      <c r="D725" s="38">
        <f t="shared" si="975"/>
        <v>46017</v>
      </c>
      <c r="E725" s="31" t="str">
        <f t="shared" ref="E725:I725" si="981">IH14</f>
        <v/>
      </c>
      <c r="F725" s="31" t="str">
        <f t="shared" si="981"/>
        <v/>
      </c>
      <c r="G725" s="31" t="str">
        <f t="shared" si="981"/>
        <v/>
      </c>
      <c r="H725" s="13" t="str">
        <f t="shared" si="981"/>
        <v/>
      </c>
      <c r="I725" s="13" t="str">
        <f t="shared" si="981"/>
        <v/>
      </c>
      <c r="J725" s="107" t="str">
        <f t="array" ref="J725">IFERROR(IF(XLOOKUP(CONCAT(E725,F725),'MASTER PLAN'!$AB:$AB,'MASTER PLAN'!$M:$M,0,0)=0,"",XLOOKUP(CONCAT(E725,F725),'MASTER PLAN'!$AB:$AB,'MASTER PLAN'!$M:$M,0,0)),"")</f>
        <v/>
      </c>
      <c r="K725" s="107">
        <f t="shared" si="237"/>
        <v>0</v>
      </c>
      <c r="L725" s="107">
        <f t="shared" si="238"/>
        <v>0</v>
      </c>
      <c r="M725" s="105" t="s">
        <v>248</v>
      </c>
      <c r="AI725" s="42"/>
      <c r="BN725" s="42"/>
      <c r="CS725" s="42"/>
      <c r="DX725" s="42"/>
      <c r="FC725" s="42"/>
      <c r="GH725" s="42"/>
      <c r="HM725" s="42"/>
      <c r="IR725" s="42"/>
      <c r="JW725" s="42"/>
      <c r="LB725" s="42"/>
      <c r="MG725" s="42"/>
      <c r="NL725" s="42"/>
    </row>
    <row r="726" ht="15.75" customHeight="1">
      <c r="A726" s="42"/>
      <c r="B726" s="42"/>
      <c r="C726" s="42"/>
      <c r="D726" s="38">
        <f t="shared" si="975"/>
        <v>46017</v>
      </c>
      <c r="E726" s="31" t="str">
        <f t="shared" ref="E726:I726" si="982">IH15</f>
        <v/>
      </c>
      <c r="F726" s="31" t="str">
        <f t="shared" si="982"/>
        <v/>
      </c>
      <c r="G726" s="31" t="str">
        <f t="shared" si="982"/>
        <v/>
      </c>
      <c r="H726" s="13" t="str">
        <f t="shared" si="982"/>
        <v/>
      </c>
      <c r="I726" s="13" t="str">
        <f t="shared" si="982"/>
        <v/>
      </c>
      <c r="J726" s="107" t="str">
        <f t="array" ref="J726">IFERROR(IF(XLOOKUP(CONCAT(E726,F726),'MASTER PLAN'!$AB:$AB,'MASTER PLAN'!$M:$M,0,0)=0,"",XLOOKUP(CONCAT(E726,F726),'MASTER PLAN'!$AB:$AB,'MASTER PLAN'!$M:$M,0,0)),"")</f>
        <v/>
      </c>
      <c r="K726" s="107">
        <f t="shared" si="237"/>
        <v>0</v>
      </c>
      <c r="L726" s="107">
        <f t="shared" si="238"/>
        <v>0</v>
      </c>
      <c r="M726" s="105" t="s">
        <v>248</v>
      </c>
      <c r="AI726" s="42"/>
      <c r="BN726" s="42"/>
      <c r="CS726" s="42"/>
      <c r="DX726" s="42"/>
      <c r="FC726" s="42"/>
      <c r="GH726" s="42"/>
      <c r="HM726" s="42"/>
      <c r="IR726" s="42"/>
      <c r="JW726" s="42"/>
      <c r="LB726" s="42"/>
      <c r="MG726" s="42"/>
      <c r="NL726" s="42"/>
    </row>
    <row r="727" ht="15.75" customHeight="1">
      <c r="A727" s="42"/>
      <c r="B727" s="42"/>
      <c r="C727" s="42"/>
      <c r="D727" s="38">
        <f t="shared" si="975"/>
        <v>46017</v>
      </c>
      <c r="E727" s="31" t="str">
        <f t="shared" ref="E727:I727" si="983">IH16</f>
        <v/>
      </c>
      <c r="F727" s="31" t="str">
        <f t="shared" si="983"/>
        <v/>
      </c>
      <c r="G727" s="31" t="str">
        <f t="shared" si="983"/>
        <v/>
      </c>
      <c r="H727" s="13" t="str">
        <f t="shared" si="983"/>
        <v/>
      </c>
      <c r="I727" s="13" t="str">
        <f t="shared" si="983"/>
        <v/>
      </c>
      <c r="J727" s="107" t="str">
        <f t="array" ref="J727">IFERROR(IF(XLOOKUP(CONCAT(E727,F727),'MASTER PLAN'!$AB:$AB,'MASTER PLAN'!$M:$M,0,0)=0,"",XLOOKUP(CONCAT(E727,F727),'MASTER PLAN'!$AB:$AB,'MASTER PLAN'!$M:$M,0,0)),"")</f>
        <v/>
      </c>
      <c r="K727" s="107">
        <f t="shared" si="237"/>
        <v>0</v>
      </c>
      <c r="L727" s="107">
        <f t="shared" si="238"/>
        <v>0</v>
      </c>
      <c r="M727" s="105" t="s">
        <v>248</v>
      </c>
      <c r="AI727" s="42"/>
      <c r="BN727" s="42"/>
      <c r="CS727" s="42"/>
      <c r="DX727" s="42"/>
      <c r="FC727" s="42"/>
      <c r="GH727" s="42"/>
      <c r="HM727" s="42"/>
      <c r="IR727" s="42"/>
      <c r="JW727" s="42"/>
      <c r="LB727" s="42"/>
      <c r="MG727" s="42"/>
      <c r="NL727" s="42"/>
    </row>
    <row r="728" ht="15.75" customHeight="1">
      <c r="A728" s="42"/>
      <c r="B728" s="42"/>
      <c r="C728" s="42"/>
      <c r="D728" s="38">
        <f t="shared" si="975"/>
        <v>46017</v>
      </c>
      <c r="E728" s="31" t="str">
        <f t="shared" ref="E728:I728" si="984">IH20</f>
        <v/>
      </c>
      <c r="F728" s="31" t="str">
        <f t="shared" si="984"/>
        <v/>
      </c>
      <c r="G728" s="31" t="str">
        <f t="shared" si="984"/>
        <v/>
      </c>
      <c r="H728" s="13" t="str">
        <f t="shared" si="984"/>
        <v/>
      </c>
      <c r="I728" s="13" t="str">
        <f t="shared" si="984"/>
        <v/>
      </c>
      <c r="J728" s="107" t="str">
        <f t="array" ref="J728">IFERROR(IF(XLOOKUP(CONCAT(E728,F728),'MASTER PLAN'!$AB:$AB,'MASTER PLAN'!$M:$M,0,0)=0,"",XLOOKUP(CONCAT(E728,F728),'MASTER PLAN'!$AB:$AB,'MASTER PLAN'!$M:$M,0,0)),"")</f>
        <v/>
      </c>
      <c r="K728" s="107">
        <f t="shared" si="237"/>
        <v>0</v>
      </c>
      <c r="L728" s="107">
        <f t="shared" si="238"/>
        <v>0</v>
      </c>
      <c r="M728" s="105" t="s">
        <v>249</v>
      </c>
      <c r="AI728" s="42"/>
      <c r="BN728" s="42"/>
      <c r="CS728" s="42"/>
      <c r="DX728" s="42"/>
      <c r="FC728" s="42"/>
      <c r="GH728" s="42"/>
      <c r="HM728" s="42"/>
      <c r="IR728" s="42"/>
      <c r="JW728" s="42"/>
      <c r="LB728" s="42"/>
      <c r="MG728" s="42"/>
      <c r="NL728" s="42"/>
    </row>
    <row r="729" ht="15.75" customHeight="1">
      <c r="A729" s="42"/>
      <c r="B729" s="42"/>
      <c r="C729" s="42"/>
      <c r="D729" s="38">
        <f t="shared" si="975"/>
        <v>46017</v>
      </c>
      <c r="E729" s="31" t="str">
        <f t="shared" ref="E729:I729" si="985">IH21</f>
        <v/>
      </c>
      <c r="F729" s="31" t="str">
        <f t="shared" si="985"/>
        <v/>
      </c>
      <c r="G729" s="31" t="str">
        <f t="shared" si="985"/>
        <v/>
      </c>
      <c r="H729" s="13" t="str">
        <f t="shared" si="985"/>
        <v/>
      </c>
      <c r="I729" s="13" t="str">
        <f t="shared" si="985"/>
        <v/>
      </c>
      <c r="J729" s="107" t="str">
        <f t="array" ref="J729">IFERROR(IF(XLOOKUP(CONCAT(E729,F729),'MASTER PLAN'!$AB:$AB,'MASTER PLAN'!$M:$M,0,0)=0,"",XLOOKUP(CONCAT(E729,F729),'MASTER PLAN'!$AB:$AB,'MASTER PLAN'!$M:$M,0,0)),"")</f>
        <v/>
      </c>
      <c r="K729" s="107">
        <f t="shared" si="237"/>
        <v>0</v>
      </c>
      <c r="L729" s="107">
        <f t="shared" si="238"/>
        <v>0</v>
      </c>
      <c r="M729" s="105" t="s">
        <v>249</v>
      </c>
      <c r="AI729" s="42"/>
      <c r="BN729" s="42"/>
      <c r="CS729" s="42"/>
      <c r="DX729" s="42"/>
      <c r="FC729" s="42"/>
      <c r="GH729" s="42"/>
      <c r="HM729" s="42"/>
      <c r="IR729" s="42"/>
      <c r="JW729" s="42"/>
      <c r="LB729" s="42"/>
      <c r="MG729" s="42"/>
      <c r="NL729" s="42"/>
    </row>
    <row r="730" ht="15.75" customHeight="1">
      <c r="A730" s="42"/>
      <c r="B730" s="42"/>
      <c r="C730" s="42"/>
      <c r="D730" s="38">
        <f t="shared" si="975"/>
        <v>46017</v>
      </c>
      <c r="E730" s="31" t="str">
        <f t="shared" ref="E730:I730" si="986">IH22</f>
        <v/>
      </c>
      <c r="F730" s="31" t="str">
        <f t="shared" si="986"/>
        <v/>
      </c>
      <c r="G730" s="31" t="str">
        <f t="shared" si="986"/>
        <v/>
      </c>
      <c r="H730" s="13" t="str">
        <f t="shared" si="986"/>
        <v/>
      </c>
      <c r="I730" s="13" t="str">
        <f t="shared" si="986"/>
        <v/>
      </c>
      <c r="J730" s="107" t="str">
        <f t="array" ref="J730">IFERROR(IF(XLOOKUP(CONCAT(E730,F730),'MASTER PLAN'!$AB:$AB,'MASTER PLAN'!$M:$M,0,0)=0,"",XLOOKUP(CONCAT(E730,F730),'MASTER PLAN'!$AB:$AB,'MASTER PLAN'!$M:$M,0,0)),"")</f>
        <v/>
      </c>
      <c r="K730" s="107">
        <f t="shared" si="237"/>
        <v>0</v>
      </c>
      <c r="L730" s="107">
        <f t="shared" si="238"/>
        <v>0</v>
      </c>
      <c r="M730" s="105" t="s">
        <v>249</v>
      </c>
      <c r="AI730" s="42"/>
      <c r="BN730" s="42"/>
      <c r="CS730" s="42"/>
      <c r="DX730" s="42"/>
      <c r="FC730" s="42"/>
      <c r="GH730" s="42"/>
      <c r="HM730" s="42"/>
      <c r="IR730" s="42"/>
      <c r="JW730" s="42"/>
      <c r="LB730" s="42"/>
      <c r="MG730" s="42"/>
      <c r="NL730" s="42"/>
    </row>
    <row r="731" ht="15.75" customHeight="1">
      <c r="A731" s="42"/>
      <c r="B731" s="42"/>
      <c r="C731" s="42"/>
      <c r="D731" s="38">
        <f t="shared" si="975"/>
        <v>46017</v>
      </c>
      <c r="E731" s="31" t="str">
        <f t="shared" ref="E731:I731" si="987">IH23</f>
        <v/>
      </c>
      <c r="F731" s="31" t="str">
        <f t="shared" si="987"/>
        <v/>
      </c>
      <c r="G731" s="31" t="str">
        <f t="shared" si="987"/>
        <v/>
      </c>
      <c r="H731" s="13" t="str">
        <f t="shared" si="987"/>
        <v/>
      </c>
      <c r="I731" s="13" t="str">
        <f t="shared" si="987"/>
        <v/>
      </c>
      <c r="J731" s="107" t="str">
        <f t="array" ref="J731">IFERROR(IF(XLOOKUP(CONCAT(E731,F731),'MASTER PLAN'!$AB:$AB,'MASTER PLAN'!$M:$M,0,0)=0,"",XLOOKUP(CONCAT(E731,F731),'MASTER PLAN'!$AB:$AB,'MASTER PLAN'!$M:$M,0,0)),"")</f>
        <v/>
      </c>
      <c r="K731" s="107">
        <f t="shared" si="237"/>
        <v>0</v>
      </c>
      <c r="L731" s="107">
        <f t="shared" si="238"/>
        <v>0</v>
      </c>
      <c r="M731" s="105" t="s">
        <v>249</v>
      </c>
      <c r="AI731" s="42"/>
      <c r="BN731" s="42"/>
      <c r="CS731" s="42"/>
      <c r="DX731" s="42"/>
      <c r="FC731" s="42"/>
      <c r="GH731" s="42"/>
      <c r="HM731" s="42"/>
      <c r="IR731" s="42"/>
      <c r="JW731" s="42"/>
      <c r="LB731" s="42"/>
      <c r="MG731" s="42"/>
      <c r="NL731" s="42"/>
    </row>
    <row r="732" ht="15.75" customHeight="1">
      <c r="A732" s="42"/>
      <c r="B732" s="42"/>
      <c r="C732" s="42"/>
      <c r="D732" s="38">
        <f t="shared" si="975"/>
        <v>46017</v>
      </c>
      <c r="E732" s="31" t="str">
        <f t="shared" ref="E732:I732" si="988">IH24</f>
        <v/>
      </c>
      <c r="F732" s="31" t="str">
        <f t="shared" si="988"/>
        <v/>
      </c>
      <c r="G732" s="31" t="str">
        <f t="shared" si="988"/>
        <v/>
      </c>
      <c r="H732" s="13" t="str">
        <f t="shared" si="988"/>
        <v/>
      </c>
      <c r="I732" s="13" t="str">
        <f t="shared" si="988"/>
        <v/>
      </c>
      <c r="J732" s="107" t="str">
        <f t="array" ref="J732">IFERROR(IF(XLOOKUP(CONCAT(E732,F732),'MASTER PLAN'!$AB:$AB,'MASTER PLAN'!$M:$M,0,0)=0,"",XLOOKUP(CONCAT(E732,F732),'MASTER PLAN'!$AB:$AB,'MASTER PLAN'!$M:$M,0,0)),"")</f>
        <v/>
      </c>
      <c r="K732" s="107">
        <f t="shared" si="237"/>
        <v>0</v>
      </c>
      <c r="L732" s="107">
        <f t="shared" si="238"/>
        <v>0</v>
      </c>
      <c r="M732" s="105" t="s">
        <v>249</v>
      </c>
      <c r="AI732" s="42"/>
      <c r="BN732" s="42"/>
      <c r="CS732" s="42"/>
      <c r="DX732" s="42"/>
      <c r="FC732" s="42"/>
      <c r="GH732" s="42"/>
      <c r="HM732" s="42"/>
      <c r="IR732" s="42"/>
      <c r="JW732" s="42"/>
      <c r="LB732" s="42"/>
      <c r="MG732" s="42"/>
      <c r="NL732" s="42"/>
    </row>
    <row r="733" ht="15.75" customHeight="1">
      <c r="A733" s="42"/>
      <c r="B733" s="42"/>
      <c r="C733" s="42"/>
      <c r="D733" s="38">
        <f>IM2</f>
        <v>46018</v>
      </c>
      <c r="E733" s="31" t="str">
        <f t="shared" ref="E733:I733" si="989">IM4</f>
        <v/>
      </c>
      <c r="F733" s="31" t="str">
        <f t="shared" si="989"/>
        <v/>
      </c>
      <c r="G733" s="31" t="str">
        <f t="shared" si="989"/>
        <v/>
      </c>
      <c r="H733" s="13" t="str">
        <f t="shared" si="989"/>
        <v/>
      </c>
      <c r="I733" s="13" t="str">
        <f t="shared" si="989"/>
        <v/>
      </c>
      <c r="J733" s="107" t="str">
        <f t="array" ref="J733">IFERROR(IF(XLOOKUP(CONCAT(E733,F733),'MASTER PLAN'!$AB:$AB,'MASTER PLAN'!$M:$M,0,0)=0,"",XLOOKUP(CONCAT(E733,F733),'MASTER PLAN'!$AB:$AB,'MASTER PLAN'!$M:$M,0,0)),"")</f>
        <v/>
      </c>
      <c r="K733" s="107">
        <f t="shared" si="237"/>
        <v>0</v>
      </c>
      <c r="L733" s="107">
        <f t="shared" si="238"/>
        <v>0</v>
      </c>
      <c r="M733" s="105" t="s">
        <v>246</v>
      </c>
      <c r="AI733" s="42"/>
      <c r="BN733" s="42"/>
      <c r="CS733" s="42"/>
      <c r="DX733" s="42"/>
      <c r="FC733" s="42"/>
      <c r="GH733" s="42"/>
      <c r="HM733" s="42"/>
      <c r="IR733" s="42"/>
      <c r="JW733" s="42"/>
      <c r="LB733" s="42"/>
      <c r="MG733" s="42"/>
      <c r="NL733" s="42"/>
    </row>
    <row r="734" ht="15.75" customHeight="1">
      <c r="A734" s="42"/>
      <c r="B734" s="42"/>
      <c r="C734" s="42"/>
      <c r="D734" s="38">
        <f t="shared" ref="D734:D747" si="991">D733</f>
        <v>46018</v>
      </c>
      <c r="E734" s="31" t="str">
        <f t="shared" ref="E734:I734" si="990">IM5</f>
        <v/>
      </c>
      <c r="F734" s="31" t="str">
        <f t="shared" si="990"/>
        <v/>
      </c>
      <c r="G734" s="31" t="str">
        <f t="shared" si="990"/>
        <v/>
      </c>
      <c r="H734" s="13" t="str">
        <f t="shared" si="990"/>
        <v/>
      </c>
      <c r="I734" s="13" t="str">
        <f t="shared" si="990"/>
        <v/>
      </c>
      <c r="J734" s="107" t="str">
        <f t="array" ref="J734">IFERROR(IF(XLOOKUP(CONCAT(E734,F734),'MASTER PLAN'!$AB:$AB,'MASTER PLAN'!$M:$M,0,0)=0,"",XLOOKUP(CONCAT(E734,F734),'MASTER PLAN'!$AB:$AB,'MASTER PLAN'!$M:$M,0,0)),"")</f>
        <v/>
      </c>
      <c r="K734" s="107">
        <f t="shared" si="237"/>
        <v>0</v>
      </c>
      <c r="L734" s="107">
        <f t="shared" si="238"/>
        <v>0</v>
      </c>
      <c r="M734" s="105" t="s">
        <v>246</v>
      </c>
      <c r="AI734" s="42"/>
      <c r="BN734" s="42"/>
      <c r="CS734" s="42"/>
      <c r="DX734" s="42"/>
      <c r="FC734" s="42"/>
      <c r="GH734" s="42"/>
      <c r="HM734" s="42"/>
      <c r="IR734" s="42"/>
      <c r="JW734" s="42"/>
      <c r="LB734" s="42"/>
      <c r="MG734" s="42"/>
      <c r="NL734" s="42"/>
    </row>
    <row r="735" ht="15.75" customHeight="1">
      <c r="A735" s="42"/>
      <c r="B735" s="42"/>
      <c r="C735" s="42"/>
      <c r="D735" s="38">
        <f t="shared" si="991"/>
        <v>46018</v>
      </c>
      <c r="E735" s="31" t="str">
        <f t="shared" ref="E735:I735" si="992">IM6</f>
        <v/>
      </c>
      <c r="F735" s="31" t="str">
        <f t="shared" si="992"/>
        <v/>
      </c>
      <c r="G735" s="31" t="str">
        <f t="shared" si="992"/>
        <v/>
      </c>
      <c r="H735" s="13" t="str">
        <f t="shared" si="992"/>
        <v/>
      </c>
      <c r="I735" s="13" t="str">
        <f t="shared" si="992"/>
        <v/>
      </c>
      <c r="J735" s="107" t="str">
        <f t="array" ref="J735">IFERROR(IF(XLOOKUP(CONCAT(E735,F735),'MASTER PLAN'!$AB:$AB,'MASTER PLAN'!$M:$M,0,0)=0,"",XLOOKUP(CONCAT(E735,F735),'MASTER PLAN'!$AB:$AB,'MASTER PLAN'!$M:$M,0,0)),"")</f>
        <v/>
      </c>
      <c r="K735" s="107">
        <f t="shared" si="237"/>
        <v>0</v>
      </c>
      <c r="L735" s="107">
        <f t="shared" si="238"/>
        <v>0</v>
      </c>
      <c r="M735" s="105" t="s">
        <v>246</v>
      </c>
      <c r="AI735" s="42"/>
      <c r="BN735" s="42"/>
      <c r="CS735" s="42"/>
      <c r="DX735" s="42"/>
      <c r="FC735" s="42"/>
      <c r="GH735" s="42"/>
      <c r="HM735" s="42"/>
      <c r="IR735" s="42"/>
      <c r="JW735" s="42"/>
      <c r="LB735" s="42"/>
      <c r="MG735" s="42"/>
      <c r="NL735" s="42"/>
    </row>
    <row r="736" ht="15.75" customHeight="1">
      <c r="A736" s="42"/>
      <c r="B736" s="42"/>
      <c r="C736" s="42"/>
      <c r="D736" s="38">
        <f t="shared" si="991"/>
        <v>46018</v>
      </c>
      <c r="E736" s="31" t="str">
        <f t="shared" ref="E736:I736" si="993">IM7</f>
        <v/>
      </c>
      <c r="F736" s="31" t="str">
        <f t="shared" si="993"/>
        <v/>
      </c>
      <c r="G736" s="31" t="str">
        <f t="shared" si="993"/>
        <v/>
      </c>
      <c r="H736" s="13" t="str">
        <f t="shared" si="993"/>
        <v/>
      </c>
      <c r="I736" s="13" t="str">
        <f t="shared" si="993"/>
        <v/>
      </c>
      <c r="J736" s="107" t="str">
        <f t="array" ref="J736">IFERROR(IF(XLOOKUP(CONCAT(E736,F736),'MASTER PLAN'!$AB:$AB,'MASTER PLAN'!$M:$M,0,0)=0,"",XLOOKUP(CONCAT(E736,F736),'MASTER PLAN'!$AB:$AB,'MASTER PLAN'!$M:$M,0,0)),"")</f>
        <v/>
      </c>
      <c r="K736" s="107">
        <f t="shared" si="237"/>
        <v>0</v>
      </c>
      <c r="L736" s="107">
        <f t="shared" si="238"/>
        <v>0</v>
      </c>
      <c r="M736" s="105" t="s">
        <v>246</v>
      </c>
      <c r="AI736" s="42"/>
      <c r="BN736" s="42"/>
      <c r="CS736" s="42"/>
      <c r="DX736" s="42"/>
      <c r="FC736" s="42"/>
      <c r="GH736" s="42"/>
      <c r="HM736" s="42"/>
      <c r="IR736" s="42"/>
      <c r="JW736" s="42"/>
      <c r="LB736" s="42"/>
      <c r="MG736" s="42"/>
      <c r="NL736" s="42"/>
    </row>
    <row r="737" ht="15.75" customHeight="1">
      <c r="A737" s="42"/>
      <c r="B737" s="42"/>
      <c r="C737" s="42"/>
      <c r="D737" s="38">
        <f t="shared" si="991"/>
        <v>46018</v>
      </c>
      <c r="E737" s="31" t="str">
        <f t="shared" ref="E737:I737" si="994">IM8</f>
        <v/>
      </c>
      <c r="F737" s="31" t="str">
        <f t="shared" si="994"/>
        <v/>
      </c>
      <c r="G737" s="31" t="str">
        <f t="shared" si="994"/>
        <v/>
      </c>
      <c r="H737" s="13" t="str">
        <f t="shared" si="994"/>
        <v/>
      </c>
      <c r="I737" s="13" t="str">
        <f t="shared" si="994"/>
        <v/>
      </c>
      <c r="J737" s="107" t="str">
        <f t="array" ref="J737">IFERROR(IF(XLOOKUP(CONCAT(E737,F737),'MASTER PLAN'!$AB:$AB,'MASTER PLAN'!$M:$M,0,0)=0,"",XLOOKUP(CONCAT(E737,F737),'MASTER PLAN'!$AB:$AB,'MASTER PLAN'!$M:$M,0,0)),"")</f>
        <v/>
      </c>
      <c r="K737" s="107">
        <f t="shared" si="237"/>
        <v>0</v>
      </c>
      <c r="L737" s="107">
        <f t="shared" si="238"/>
        <v>0</v>
      </c>
      <c r="M737" s="105" t="s">
        <v>246</v>
      </c>
      <c r="AI737" s="42"/>
      <c r="BN737" s="42"/>
      <c r="CS737" s="42"/>
      <c r="DX737" s="42"/>
      <c r="FC737" s="42"/>
      <c r="GH737" s="42"/>
      <c r="HM737" s="42"/>
      <c r="IR737" s="42"/>
      <c r="JW737" s="42"/>
      <c r="LB737" s="42"/>
      <c r="MG737" s="42"/>
      <c r="NL737" s="42"/>
    </row>
    <row r="738" ht="15.75" customHeight="1">
      <c r="A738" s="42"/>
      <c r="B738" s="42"/>
      <c r="C738" s="42"/>
      <c r="D738" s="38">
        <f t="shared" si="991"/>
        <v>46018</v>
      </c>
      <c r="E738" s="31" t="str">
        <f t="shared" ref="E738:I738" si="995">IM12</f>
        <v/>
      </c>
      <c r="F738" s="31" t="str">
        <f t="shared" si="995"/>
        <v/>
      </c>
      <c r="G738" s="31" t="str">
        <f t="shared" si="995"/>
        <v/>
      </c>
      <c r="H738" s="13" t="str">
        <f t="shared" si="995"/>
        <v/>
      </c>
      <c r="I738" s="13" t="str">
        <f t="shared" si="995"/>
        <v/>
      </c>
      <c r="J738" s="107" t="str">
        <f t="array" ref="J738">IFERROR(IF(XLOOKUP(CONCAT(E738,F738),'MASTER PLAN'!$AB:$AB,'MASTER PLAN'!$M:$M,0,0)=0,"",XLOOKUP(CONCAT(E738,F738),'MASTER PLAN'!$AB:$AB,'MASTER PLAN'!$M:$M,0,0)),"")</f>
        <v/>
      </c>
      <c r="K738" s="107">
        <f t="shared" si="237"/>
        <v>0</v>
      </c>
      <c r="L738" s="107">
        <f t="shared" si="238"/>
        <v>0</v>
      </c>
      <c r="M738" s="105" t="s">
        <v>248</v>
      </c>
      <c r="AI738" s="42"/>
      <c r="BN738" s="42"/>
      <c r="CS738" s="42"/>
      <c r="DX738" s="42"/>
      <c r="FC738" s="42"/>
      <c r="GH738" s="42"/>
      <c r="HM738" s="42"/>
      <c r="IR738" s="42"/>
      <c r="JW738" s="42"/>
      <c r="LB738" s="42"/>
      <c r="MG738" s="42"/>
      <c r="NL738" s="42"/>
    </row>
    <row r="739" ht="15.75" customHeight="1">
      <c r="A739" s="42"/>
      <c r="B739" s="42"/>
      <c r="C739" s="42"/>
      <c r="D739" s="38">
        <f t="shared" si="991"/>
        <v>46018</v>
      </c>
      <c r="E739" s="31" t="str">
        <f t="shared" ref="E739:I739" si="996">IM13</f>
        <v/>
      </c>
      <c r="F739" s="31" t="str">
        <f t="shared" si="996"/>
        <v/>
      </c>
      <c r="G739" s="31" t="str">
        <f t="shared" si="996"/>
        <v/>
      </c>
      <c r="H739" s="13" t="str">
        <f t="shared" si="996"/>
        <v/>
      </c>
      <c r="I739" s="13" t="str">
        <f t="shared" si="996"/>
        <v/>
      </c>
      <c r="J739" s="107" t="str">
        <f t="array" ref="J739">IFERROR(IF(XLOOKUP(CONCAT(E739,F739),'MASTER PLAN'!$AB:$AB,'MASTER PLAN'!$M:$M,0,0)=0,"",XLOOKUP(CONCAT(E739,F739),'MASTER PLAN'!$AB:$AB,'MASTER PLAN'!$M:$M,0,0)),"")</f>
        <v/>
      </c>
      <c r="K739" s="107">
        <f t="shared" si="237"/>
        <v>0</v>
      </c>
      <c r="L739" s="107">
        <f t="shared" si="238"/>
        <v>0</v>
      </c>
      <c r="M739" s="105" t="s">
        <v>248</v>
      </c>
      <c r="AI739" s="42"/>
      <c r="BN739" s="42"/>
      <c r="CS739" s="42"/>
      <c r="DX739" s="42"/>
      <c r="FC739" s="42"/>
      <c r="GH739" s="42"/>
      <c r="HM739" s="42"/>
      <c r="IR739" s="42"/>
      <c r="JW739" s="42"/>
      <c r="LB739" s="42"/>
      <c r="MG739" s="42"/>
      <c r="NL739" s="42"/>
    </row>
    <row r="740" ht="15.75" customHeight="1">
      <c r="A740" s="42"/>
      <c r="B740" s="42"/>
      <c r="C740" s="42"/>
      <c r="D740" s="38">
        <f t="shared" si="991"/>
        <v>46018</v>
      </c>
      <c r="E740" s="31" t="str">
        <f t="shared" ref="E740:I740" si="997">IM14</f>
        <v/>
      </c>
      <c r="F740" s="31" t="str">
        <f t="shared" si="997"/>
        <v/>
      </c>
      <c r="G740" s="31" t="str">
        <f t="shared" si="997"/>
        <v/>
      </c>
      <c r="H740" s="13" t="str">
        <f t="shared" si="997"/>
        <v/>
      </c>
      <c r="I740" s="13" t="str">
        <f t="shared" si="997"/>
        <v/>
      </c>
      <c r="J740" s="107" t="str">
        <f t="array" ref="J740">IFERROR(IF(XLOOKUP(CONCAT(E740,F740),'MASTER PLAN'!$AB:$AB,'MASTER PLAN'!$M:$M,0,0)=0,"",XLOOKUP(CONCAT(E740,F740),'MASTER PLAN'!$AB:$AB,'MASTER PLAN'!$M:$M,0,0)),"")</f>
        <v/>
      </c>
      <c r="K740" s="107">
        <f t="shared" si="237"/>
        <v>0</v>
      </c>
      <c r="L740" s="107">
        <f t="shared" si="238"/>
        <v>0</v>
      </c>
      <c r="M740" s="105" t="s">
        <v>248</v>
      </c>
      <c r="AI740" s="42"/>
      <c r="BN740" s="42"/>
      <c r="CS740" s="42"/>
      <c r="DX740" s="42"/>
      <c r="FC740" s="42"/>
      <c r="GH740" s="42"/>
      <c r="HM740" s="42"/>
      <c r="IR740" s="42"/>
      <c r="JW740" s="42"/>
      <c r="LB740" s="42"/>
      <c r="MG740" s="42"/>
      <c r="NL740" s="42"/>
    </row>
    <row r="741" ht="15.75" customHeight="1">
      <c r="A741" s="42"/>
      <c r="B741" s="42"/>
      <c r="C741" s="42"/>
      <c r="D741" s="38">
        <f t="shared" si="991"/>
        <v>46018</v>
      </c>
      <c r="E741" s="31" t="str">
        <f t="shared" ref="E741:I741" si="998">IM15</f>
        <v/>
      </c>
      <c r="F741" s="31" t="str">
        <f t="shared" si="998"/>
        <v/>
      </c>
      <c r="G741" s="31" t="str">
        <f t="shared" si="998"/>
        <v/>
      </c>
      <c r="H741" s="13" t="str">
        <f t="shared" si="998"/>
        <v/>
      </c>
      <c r="I741" s="13" t="str">
        <f t="shared" si="998"/>
        <v/>
      </c>
      <c r="J741" s="107" t="str">
        <f t="array" ref="J741">IFERROR(IF(XLOOKUP(CONCAT(E741,F741),'MASTER PLAN'!$AB:$AB,'MASTER PLAN'!$M:$M,0,0)=0,"",XLOOKUP(CONCAT(E741,F741),'MASTER PLAN'!$AB:$AB,'MASTER PLAN'!$M:$M,0,0)),"")</f>
        <v/>
      </c>
      <c r="K741" s="107">
        <f t="shared" si="237"/>
        <v>0</v>
      </c>
      <c r="L741" s="107">
        <f t="shared" si="238"/>
        <v>0</v>
      </c>
      <c r="M741" s="105" t="s">
        <v>248</v>
      </c>
      <c r="AI741" s="42"/>
      <c r="BN741" s="42"/>
      <c r="CS741" s="42"/>
      <c r="DX741" s="42"/>
      <c r="FC741" s="42"/>
      <c r="GH741" s="42"/>
      <c r="HM741" s="42"/>
      <c r="IR741" s="42"/>
      <c r="JW741" s="42"/>
      <c r="LB741" s="42"/>
      <c r="MG741" s="42"/>
      <c r="NL741" s="42"/>
    </row>
    <row r="742" ht="15.75" customHeight="1">
      <c r="A742" s="42"/>
      <c r="B742" s="42"/>
      <c r="C742" s="42"/>
      <c r="D742" s="38">
        <f t="shared" si="991"/>
        <v>46018</v>
      </c>
      <c r="E742" s="31" t="str">
        <f t="shared" ref="E742:I742" si="999">IM16</f>
        <v/>
      </c>
      <c r="F742" s="31" t="str">
        <f t="shared" si="999"/>
        <v/>
      </c>
      <c r="G742" s="31" t="str">
        <f t="shared" si="999"/>
        <v/>
      </c>
      <c r="H742" s="13" t="str">
        <f t="shared" si="999"/>
        <v/>
      </c>
      <c r="I742" s="13" t="str">
        <f t="shared" si="999"/>
        <v/>
      </c>
      <c r="J742" s="107" t="str">
        <f t="array" ref="J742">IFERROR(IF(XLOOKUP(CONCAT(E742,F742),'MASTER PLAN'!$AB:$AB,'MASTER PLAN'!$M:$M,0,0)=0,"",XLOOKUP(CONCAT(E742,F742),'MASTER PLAN'!$AB:$AB,'MASTER PLAN'!$M:$M,0,0)),"")</f>
        <v/>
      </c>
      <c r="K742" s="107">
        <f t="shared" si="237"/>
        <v>0</v>
      </c>
      <c r="L742" s="107">
        <f t="shared" si="238"/>
        <v>0</v>
      </c>
      <c r="M742" s="105" t="s">
        <v>248</v>
      </c>
      <c r="AI742" s="42"/>
      <c r="BN742" s="42"/>
      <c r="CS742" s="42"/>
      <c r="DX742" s="42"/>
      <c r="FC742" s="42"/>
      <c r="GH742" s="42"/>
      <c r="HM742" s="42"/>
      <c r="IR742" s="42"/>
      <c r="JW742" s="42"/>
      <c r="LB742" s="42"/>
      <c r="MG742" s="42"/>
      <c r="NL742" s="42"/>
    </row>
    <row r="743" ht="15.75" customHeight="1">
      <c r="A743" s="42"/>
      <c r="B743" s="42"/>
      <c r="C743" s="42"/>
      <c r="D743" s="38">
        <f t="shared" si="991"/>
        <v>46018</v>
      </c>
      <c r="E743" s="31" t="str">
        <f t="shared" ref="E743:I743" si="1000">IM20</f>
        <v/>
      </c>
      <c r="F743" s="31" t="str">
        <f t="shared" si="1000"/>
        <v/>
      </c>
      <c r="G743" s="31" t="str">
        <f t="shared" si="1000"/>
        <v/>
      </c>
      <c r="H743" s="13" t="str">
        <f t="shared" si="1000"/>
        <v/>
      </c>
      <c r="I743" s="13" t="str">
        <f t="shared" si="1000"/>
        <v/>
      </c>
      <c r="J743" s="107" t="str">
        <f t="array" ref="J743">IFERROR(IF(XLOOKUP(CONCAT(E743,F743),'MASTER PLAN'!$AB:$AB,'MASTER PLAN'!$M:$M,0,0)=0,"",XLOOKUP(CONCAT(E743,F743),'MASTER PLAN'!$AB:$AB,'MASTER PLAN'!$M:$M,0,0)),"")</f>
        <v/>
      </c>
      <c r="K743" s="107">
        <f t="shared" si="237"/>
        <v>0</v>
      </c>
      <c r="L743" s="107">
        <f t="shared" si="238"/>
        <v>0</v>
      </c>
      <c r="M743" s="105" t="s">
        <v>249</v>
      </c>
      <c r="AI743" s="42"/>
      <c r="BN743" s="42"/>
      <c r="CS743" s="42"/>
      <c r="DX743" s="42"/>
      <c r="FC743" s="42"/>
      <c r="GH743" s="42"/>
      <c r="HM743" s="42"/>
      <c r="IR743" s="42"/>
      <c r="JW743" s="42"/>
      <c r="LB743" s="42"/>
      <c r="MG743" s="42"/>
      <c r="NL743" s="42"/>
    </row>
    <row r="744" ht="15.75" customHeight="1">
      <c r="A744" s="42"/>
      <c r="B744" s="42"/>
      <c r="C744" s="42"/>
      <c r="D744" s="38">
        <f t="shared" si="991"/>
        <v>46018</v>
      </c>
      <c r="E744" s="31" t="str">
        <f t="shared" ref="E744:I744" si="1001">IM21</f>
        <v/>
      </c>
      <c r="F744" s="31" t="str">
        <f t="shared" si="1001"/>
        <v/>
      </c>
      <c r="G744" s="31" t="str">
        <f t="shared" si="1001"/>
        <v/>
      </c>
      <c r="H744" s="13" t="str">
        <f t="shared" si="1001"/>
        <v/>
      </c>
      <c r="I744" s="13" t="str">
        <f t="shared" si="1001"/>
        <v/>
      </c>
      <c r="J744" s="107" t="str">
        <f t="array" ref="J744">IFERROR(IF(XLOOKUP(CONCAT(E744,F744),'MASTER PLAN'!$AB:$AB,'MASTER PLAN'!$M:$M,0,0)=0,"",XLOOKUP(CONCAT(E744,F744),'MASTER PLAN'!$AB:$AB,'MASTER PLAN'!$M:$M,0,0)),"")</f>
        <v/>
      </c>
      <c r="K744" s="107">
        <f t="shared" si="237"/>
        <v>0</v>
      </c>
      <c r="L744" s="107">
        <f t="shared" si="238"/>
        <v>0</v>
      </c>
      <c r="M744" s="105" t="s">
        <v>249</v>
      </c>
      <c r="AI744" s="42"/>
      <c r="BN744" s="42"/>
      <c r="CS744" s="42"/>
      <c r="DX744" s="42"/>
      <c r="FC744" s="42"/>
      <c r="GH744" s="42"/>
      <c r="HM744" s="42"/>
      <c r="IR744" s="42"/>
      <c r="JW744" s="42"/>
      <c r="LB744" s="42"/>
      <c r="MG744" s="42"/>
      <c r="NL744" s="42"/>
    </row>
    <row r="745" ht="15.75" customHeight="1">
      <c r="A745" s="42"/>
      <c r="B745" s="42"/>
      <c r="C745" s="42"/>
      <c r="D745" s="38">
        <f t="shared" si="991"/>
        <v>46018</v>
      </c>
      <c r="E745" s="31" t="str">
        <f t="shared" ref="E745:I745" si="1002">IM22</f>
        <v/>
      </c>
      <c r="F745" s="31" t="str">
        <f t="shared" si="1002"/>
        <v/>
      </c>
      <c r="G745" s="31" t="str">
        <f t="shared" si="1002"/>
        <v/>
      </c>
      <c r="H745" s="13" t="str">
        <f t="shared" si="1002"/>
        <v/>
      </c>
      <c r="I745" s="13" t="str">
        <f t="shared" si="1002"/>
        <v/>
      </c>
      <c r="J745" s="107" t="str">
        <f t="array" ref="J745">IFERROR(IF(XLOOKUP(CONCAT(E745,F745),'MASTER PLAN'!$AB:$AB,'MASTER PLAN'!$M:$M,0,0)=0,"",XLOOKUP(CONCAT(E745,F745),'MASTER PLAN'!$AB:$AB,'MASTER PLAN'!$M:$M,0,0)),"")</f>
        <v/>
      </c>
      <c r="K745" s="107">
        <f t="shared" si="237"/>
        <v>0</v>
      </c>
      <c r="L745" s="107">
        <f t="shared" si="238"/>
        <v>0</v>
      </c>
      <c r="M745" s="105" t="s">
        <v>249</v>
      </c>
      <c r="AI745" s="42"/>
      <c r="BN745" s="42"/>
      <c r="CS745" s="42"/>
      <c r="DX745" s="42"/>
      <c r="FC745" s="42"/>
      <c r="GH745" s="42"/>
      <c r="HM745" s="42"/>
      <c r="IR745" s="42"/>
      <c r="JW745" s="42"/>
      <c r="LB745" s="42"/>
      <c r="MG745" s="42"/>
      <c r="NL745" s="42"/>
    </row>
    <row r="746" ht="15.75" customHeight="1">
      <c r="A746" s="42"/>
      <c r="B746" s="42"/>
      <c r="C746" s="42"/>
      <c r="D746" s="38">
        <f t="shared" si="991"/>
        <v>46018</v>
      </c>
      <c r="E746" s="31" t="str">
        <f t="shared" ref="E746:I746" si="1003">IM23</f>
        <v/>
      </c>
      <c r="F746" s="31" t="str">
        <f t="shared" si="1003"/>
        <v/>
      </c>
      <c r="G746" s="31" t="str">
        <f t="shared" si="1003"/>
        <v/>
      </c>
      <c r="H746" s="13" t="str">
        <f t="shared" si="1003"/>
        <v/>
      </c>
      <c r="I746" s="13" t="str">
        <f t="shared" si="1003"/>
        <v/>
      </c>
      <c r="J746" s="107" t="str">
        <f t="array" ref="J746">IFERROR(IF(XLOOKUP(CONCAT(E746,F746),'MASTER PLAN'!$AB:$AB,'MASTER PLAN'!$M:$M,0,0)=0,"",XLOOKUP(CONCAT(E746,F746),'MASTER PLAN'!$AB:$AB,'MASTER PLAN'!$M:$M,0,0)),"")</f>
        <v/>
      </c>
      <c r="K746" s="107">
        <f t="shared" si="237"/>
        <v>0</v>
      </c>
      <c r="L746" s="107">
        <f t="shared" si="238"/>
        <v>0</v>
      </c>
      <c r="M746" s="105" t="s">
        <v>249</v>
      </c>
      <c r="AI746" s="42"/>
      <c r="BN746" s="42"/>
      <c r="CS746" s="42"/>
      <c r="DX746" s="42"/>
      <c r="FC746" s="42"/>
      <c r="GH746" s="42"/>
      <c r="HM746" s="42"/>
      <c r="IR746" s="42"/>
      <c r="JW746" s="42"/>
      <c r="LB746" s="42"/>
      <c r="MG746" s="42"/>
      <c r="NL746" s="42"/>
    </row>
    <row r="747" ht="15.75" customHeight="1">
      <c r="A747" s="42"/>
      <c r="B747" s="42"/>
      <c r="C747" s="42"/>
      <c r="D747" s="38">
        <f t="shared" si="991"/>
        <v>46018</v>
      </c>
      <c r="E747" s="31" t="str">
        <f t="shared" ref="E747:I747" si="1004">IM24</f>
        <v/>
      </c>
      <c r="F747" s="31" t="str">
        <f t="shared" si="1004"/>
        <v/>
      </c>
      <c r="G747" s="31" t="str">
        <f t="shared" si="1004"/>
        <v/>
      </c>
      <c r="H747" s="13" t="str">
        <f t="shared" si="1004"/>
        <v/>
      </c>
      <c r="I747" s="13" t="str">
        <f t="shared" si="1004"/>
        <v/>
      </c>
      <c r="J747" s="107" t="str">
        <f t="array" ref="J747">IFERROR(IF(XLOOKUP(CONCAT(E747,F747),'MASTER PLAN'!$AB:$AB,'MASTER PLAN'!$M:$M,0,0)=0,"",XLOOKUP(CONCAT(E747,F747),'MASTER PLAN'!$AB:$AB,'MASTER PLAN'!$M:$M,0,0)),"")</f>
        <v/>
      </c>
      <c r="K747" s="107">
        <f t="shared" si="237"/>
        <v>0</v>
      </c>
      <c r="L747" s="107">
        <f t="shared" si="238"/>
        <v>0</v>
      </c>
      <c r="M747" s="105" t="s">
        <v>249</v>
      </c>
      <c r="AI747" s="42"/>
      <c r="BN747" s="42"/>
      <c r="CS747" s="42"/>
      <c r="DX747" s="42"/>
      <c r="FC747" s="42"/>
      <c r="GH747" s="42"/>
      <c r="HM747" s="42"/>
      <c r="IR747" s="42"/>
      <c r="JW747" s="42"/>
      <c r="LB747" s="42"/>
      <c r="MG747" s="42"/>
      <c r="NL747" s="42"/>
    </row>
    <row r="748" ht="15.75" customHeight="1">
      <c r="A748" s="42"/>
      <c r="B748" s="42"/>
      <c r="C748" s="42"/>
      <c r="D748" s="38">
        <f>IS2</f>
        <v>46020</v>
      </c>
      <c r="E748" s="31">
        <f t="shared" ref="E748:I748" si="1005">IS4</f>
        <v>1402049507</v>
      </c>
      <c r="F748" s="31">
        <f t="shared" si="1005"/>
        <v>20</v>
      </c>
      <c r="G748" s="31" t="str">
        <f t="shared" si="1005"/>
        <v>BOLSA PEARL FACTORY 159X90X210MM</v>
      </c>
      <c r="H748" s="13">
        <f t="shared" si="1005"/>
        <v>3000</v>
      </c>
      <c r="I748" s="13" t="str">
        <f t="shared" si="1005"/>
        <v/>
      </c>
      <c r="J748" s="107">
        <f t="array" ref="J748">IFERROR(IF(XLOOKUP(CONCAT(E748,F748),'MASTER PLAN'!$AB:$AB,'MASTER PLAN'!$M:$M,0,0)=0,"",XLOOKUP(CONCAT(E748,F748),'MASTER PLAN'!$AB:$AB,'MASTER PLAN'!$M:$M,0,0)),"")</f>
        <v>0.76</v>
      </c>
      <c r="K748" s="107">
        <f t="shared" si="237"/>
        <v>2280</v>
      </c>
      <c r="L748" s="107">
        <f t="shared" si="238"/>
        <v>0</v>
      </c>
      <c r="M748" s="105" t="s">
        <v>246</v>
      </c>
      <c r="AI748" s="42"/>
      <c r="BN748" s="42"/>
      <c r="CS748" s="42"/>
      <c r="DX748" s="42"/>
      <c r="FC748" s="42"/>
      <c r="GH748" s="42"/>
      <c r="HM748" s="42"/>
      <c r="IR748" s="42"/>
      <c r="JW748" s="42"/>
      <c r="LB748" s="42"/>
      <c r="MG748" s="42"/>
      <c r="NL748" s="42"/>
    </row>
    <row r="749" ht="15.75" customHeight="1">
      <c r="A749" s="42"/>
      <c r="B749" s="42"/>
      <c r="C749" s="42"/>
      <c r="D749" s="38">
        <f t="shared" ref="D749:D762" si="1007">D748</f>
        <v>46020</v>
      </c>
      <c r="E749" s="31" t="str">
        <f t="shared" ref="E749:I749" si="1006">IS5</f>
        <v/>
      </c>
      <c r="F749" s="31" t="str">
        <f t="shared" si="1006"/>
        <v/>
      </c>
      <c r="G749" s="31" t="str">
        <f t="shared" si="1006"/>
        <v/>
      </c>
      <c r="H749" s="13" t="str">
        <f t="shared" si="1006"/>
        <v/>
      </c>
      <c r="I749" s="13" t="str">
        <f t="shared" si="1006"/>
        <v/>
      </c>
      <c r="J749" s="107" t="str">
        <f t="array" ref="J749">IFERROR(IF(XLOOKUP(CONCAT(E749,F749),'MASTER PLAN'!$AB:$AB,'MASTER PLAN'!$M:$M,0,0)=0,"",XLOOKUP(CONCAT(E749,F749),'MASTER PLAN'!$AB:$AB,'MASTER PLAN'!$M:$M,0,0)),"")</f>
        <v/>
      </c>
      <c r="K749" s="107">
        <f t="shared" si="237"/>
        <v>0</v>
      </c>
      <c r="L749" s="107">
        <f t="shared" si="238"/>
        <v>0</v>
      </c>
      <c r="M749" s="105" t="s">
        <v>246</v>
      </c>
      <c r="AI749" s="42"/>
      <c r="BN749" s="42"/>
      <c r="CS749" s="42"/>
      <c r="DX749" s="42"/>
      <c r="FC749" s="42"/>
      <c r="GH749" s="42"/>
      <c r="HM749" s="42"/>
      <c r="IR749" s="42"/>
      <c r="JW749" s="42"/>
      <c r="LB749" s="42"/>
      <c r="MG749" s="42"/>
      <c r="NL749" s="42"/>
    </row>
    <row r="750" ht="15.75" customHeight="1">
      <c r="A750" s="42"/>
      <c r="B750" s="42"/>
      <c r="C750" s="42"/>
      <c r="D750" s="38">
        <f t="shared" si="1007"/>
        <v>46020</v>
      </c>
      <c r="E750" s="31" t="str">
        <f t="shared" ref="E750:I750" si="1008">IS6</f>
        <v/>
      </c>
      <c r="F750" s="31" t="str">
        <f t="shared" si="1008"/>
        <v/>
      </c>
      <c r="G750" s="31" t="str">
        <f t="shared" si="1008"/>
        <v/>
      </c>
      <c r="H750" s="13" t="str">
        <f t="shared" si="1008"/>
        <v/>
      </c>
      <c r="I750" s="13" t="str">
        <f t="shared" si="1008"/>
        <v/>
      </c>
      <c r="J750" s="107" t="str">
        <f t="array" ref="J750">IFERROR(IF(XLOOKUP(CONCAT(E750,F750),'MASTER PLAN'!$AB:$AB,'MASTER PLAN'!$M:$M,0,0)=0,"",XLOOKUP(CONCAT(E750,F750),'MASTER PLAN'!$AB:$AB,'MASTER PLAN'!$M:$M,0,0)),"")</f>
        <v/>
      </c>
      <c r="K750" s="107">
        <f t="shared" si="237"/>
        <v>0</v>
      </c>
      <c r="L750" s="107">
        <f t="shared" si="238"/>
        <v>0</v>
      </c>
      <c r="M750" s="105" t="s">
        <v>246</v>
      </c>
      <c r="AI750" s="42"/>
      <c r="BN750" s="42"/>
      <c r="CS750" s="42"/>
      <c r="DX750" s="42"/>
      <c r="FC750" s="42"/>
      <c r="GH750" s="42"/>
      <c r="HM750" s="42"/>
      <c r="IR750" s="42"/>
      <c r="JW750" s="42"/>
      <c r="LB750" s="42"/>
      <c r="MG750" s="42"/>
      <c r="NL750" s="42"/>
    </row>
    <row r="751" ht="15.75" customHeight="1">
      <c r="A751" s="42"/>
      <c r="B751" s="42"/>
      <c r="C751" s="42"/>
      <c r="D751" s="38">
        <f t="shared" si="1007"/>
        <v>46020</v>
      </c>
      <c r="E751" s="31" t="str">
        <f t="shared" ref="E751:I751" si="1009">IS7</f>
        <v/>
      </c>
      <c r="F751" s="31" t="str">
        <f t="shared" si="1009"/>
        <v/>
      </c>
      <c r="G751" s="31" t="str">
        <f t="shared" si="1009"/>
        <v/>
      </c>
      <c r="H751" s="13" t="str">
        <f t="shared" si="1009"/>
        <v/>
      </c>
      <c r="I751" s="13" t="str">
        <f t="shared" si="1009"/>
        <v/>
      </c>
      <c r="J751" s="107" t="str">
        <f t="array" ref="J751">IFERROR(IF(XLOOKUP(CONCAT(E751,F751),'MASTER PLAN'!$AB:$AB,'MASTER PLAN'!$M:$M,0,0)=0,"",XLOOKUP(CONCAT(E751,F751),'MASTER PLAN'!$AB:$AB,'MASTER PLAN'!$M:$M,0,0)),"")</f>
        <v/>
      </c>
      <c r="K751" s="107">
        <f t="shared" si="237"/>
        <v>0</v>
      </c>
      <c r="L751" s="107">
        <f t="shared" si="238"/>
        <v>0</v>
      </c>
      <c r="M751" s="105" t="s">
        <v>246</v>
      </c>
      <c r="AI751" s="42"/>
      <c r="BN751" s="42"/>
      <c r="CS751" s="42"/>
      <c r="DX751" s="42"/>
      <c r="FC751" s="42"/>
      <c r="GH751" s="42"/>
      <c r="HM751" s="42"/>
      <c r="IR751" s="42"/>
      <c r="JW751" s="42"/>
      <c r="LB751" s="42"/>
      <c r="MG751" s="42"/>
      <c r="NL751" s="42"/>
    </row>
    <row r="752" ht="15.75" customHeight="1">
      <c r="A752" s="42"/>
      <c r="B752" s="42"/>
      <c r="C752" s="42"/>
      <c r="D752" s="38">
        <f t="shared" si="1007"/>
        <v>46020</v>
      </c>
      <c r="E752" s="31" t="str">
        <f t="shared" ref="E752:I752" si="1010">IS8</f>
        <v/>
      </c>
      <c r="F752" s="31" t="str">
        <f t="shared" si="1010"/>
        <v/>
      </c>
      <c r="G752" s="31" t="str">
        <f t="shared" si="1010"/>
        <v/>
      </c>
      <c r="H752" s="13" t="str">
        <f t="shared" si="1010"/>
        <v/>
      </c>
      <c r="I752" s="13" t="str">
        <f t="shared" si="1010"/>
        <v/>
      </c>
      <c r="J752" s="107" t="str">
        <f t="array" ref="J752">IFERROR(IF(XLOOKUP(CONCAT(E752,F752),'MASTER PLAN'!$AB:$AB,'MASTER PLAN'!$M:$M,0,0)=0,"",XLOOKUP(CONCAT(E752,F752),'MASTER PLAN'!$AB:$AB,'MASTER PLAN'!$M:$M,0,0)),"")</f>
        <v/>
      </c>
      <c r="K752" s="107">
        <f t="shared" si="237"/>
        <v>0</v>
      </c>
      <c r="L752" s="107">
        <f t="shared" si="238"/>
        <v>0</v>
      </c>
      <c r="M752" s="105" t="s">
        <v>246</v>
      </c>
      <c r="AI752" s="42"/>
      <c r="BN752" s="42"/>
      <c r="CS752" s="42"/>
      <c r="DX752" s="42"/>
      <c r="FC752" s="42"/>
      <c r="GH752" s="42"/>
      <c r="HM752" s="42"/>
      <c r="IR752" s="42"/>
      <c r="JW752" s="42"/>
      <c r="LB752" s="42"/>
      <c r="MG752" s="42"/>
      <c r="NL752" s="42"/>
    </row>
    <row r="753" ht="15.75" customHeight="1">
      <c r="A753" s="42"/>
      <c r="B753" s="42"/>
      <c r="C753" s="42"/>
      <c r="D753" s="38">
        <f t="shared" si="1007"/>
        <v>46020</v>
      </c>
      <c r="E753" s="31">
        <f t="shared" ref="E753:I753" si="1011">IS12</f>
        <v>1402049507</v>
      </c>
      <c r="F753" s="31">
        <f t="shared" si="1011"/>
        <v>10</v>
      </c>
      <c r="G753" s="31" t="str">
        <f t="shared" si="1011"/>
        <v>BOLSA NA HOKU 159X90X210MM</v>
      </c>
      <c r="H753" s="13">
        <f t="shared" si="1011"/>
        <v>3000</v>
      </c>
      <c r="I753" s="13" t="str">
        <f t="shared" si="1011"/>
        <v/>
      </c>
      <c r="J753" s="107">
        <f t="array" ref="J753">IFERROR(IF(XLOOKUP(CONCAT(E753,F753),'MASTER PLAN'!$AB:$AB,'MASTER PLAN'!$M:$M,0,0)=0,"",XLOOKUP(CONCAT(E753,F753),'MASTER PLAN'!$AB:$AB,'MASTER PLAN'!$M:$M,0,0)),"")</f>
        <v>0.968</v>
      </c>
      <c r="K753" s="107">
        <f t="shared" si="237"/>
        <v>2904</v>
      </c>
      <c r="L753" s="107">
        <f t="shared" si="238"/>
        <v>0</v>
      </c>
      <c r="M753" s="105" t="s">
        <v>248</v>
      </c>
      <c r="AI753" s="42"/>
      <c r="BN753" s="42"/>
      <c r="CS753" s="42"/>
      <c r="DX753" s="42"/>
      <c r="FC753" s="42"/>
      <c r="GH753" s="42"/>
      <c r="HM753" s="42"/>
      <c r="IR753" s="42"/>
      <c r="JW753" s="42"/>
      <c r="LB753" s="42"/>
      <c r="MG753" s="42"/>
      <c r="NL753" s="42"/>
    </row>
    <row r="754" ht="15.75" customHeight="1">
      <c r="A754" s="42"/>
      <c r="B754" s="42"/>
      <c r="C754" s="42"/>
      <c r="D754" s="38">
        <f t="shared" si="1007"/>
        <v>46020</v>
      </c>
      <c r="E754" s="31" t="str">
        <f t="shared" ref="E754:I754" si="1012">IS13</f>
        <v/>
      </c>
      <c r="F754" s="31" t="str">
        <f t="shared" si="1012"/>
        <v/>
      </c>
      <c r="G754" s="31" t="str">
        <f t="shared" si="1012"/>
        <v/>
      </c>
      <c r="H754" s="13" t="str">
        <f t="shared" si="1012"/>
        <v/>
      </c>
      <c r="I754" s="13" t="str">
        <f t="shared" si="1012"/>
        <v/>
      </c>
      <c r="J754" s="107" t="str">
        <f t="array" ref="J754">IFERROR(IF(XLOOKUP(CONCAT(E754,F754),'MASTER PLAN'!$AB:$AB,'MASTER PLAN'!$M:$M,0,0)=0,"",XLOOKUP(CONCAT(E754,F754),'MASTER PLAN'!$AB:$AB,'MASTER PLAN'!$M:$M,0,0)),"")</f>
        <v/>
      </c>
      <c r="K754" s="107">
        <f t="shared" si="237"/>
        <v>0</v>
      </c>
      <c r="L754" s="107">
        <f t="shared" si="238"/>
        <v>0</v>
      </c>
      <c r="M754" s="105" t="s">
        <v>248</v>
      </c>
      <c r="AI754" s="42"/>
      <c r="BN754" s="42"/>
      <c r="CS754" s="42"/>
      <c r="DX754" s="42"/>
      <c r="FC754" s="42"/>
      <c r="GH754" s="42"/>
      <c r="HM754" s="42"/>
      <c r="IR754" s="42"/>
      <c r="JW754" s="42"/>
      <c r="LB754" s="42"/>
      <c r="MG754" s="42"/>
      <c r="NL754" s="42"/>
    </row>
    <row r="755" ht="15.75" customHeight="1">
      <c r="A755" s="42"/>
      <c r="B755" s="42"/>
      <c r="C755" s="42"/>
      <c r="D755" s="38">
        <f t="shared" si="1007"/>
        <v>46020</v>
      </c>
      <c r="E755" s="31" t="str">
        <f t="shared" ref="E755:I755" si="1013">IS14</f>
        <v/>
      </c>
      <c r="F755" s="31" t="str">
        <f t="shared" si="1013"/>
        <v/>
      </c>
      <c r="G755" s="31" t="str">
        <f t="shared" si="1013"/>
        <v/>
      </c>
      <c r="H755" s="13" t="str">
        <f t="shared" si="1013"/>
        <v/>
      </c>
      <c r="I755" s="13" t="str">
        <f t="shared" si="1013"/>
        <v/>
      </c>
      <c r="J755" s="107" t="str">
        <f t="array" ref="J755">IFERROR(IF(XLOOKUP(CONCAT(E755,F755),'MASTER PLAN'!$AB:$AB,'MASTER PLAN'!$M:$M,0,0)=0,"",XLOOKUP(CONCAT(E755,F755),'MASTER PLAN'!$AB:$AB,'MASTER PLAN'!$M:$M,0,0)),"")</f>
        <v/>
      </c>
      <c r="K755" s="107">
        <f t="shared" si="237"/>
        <v>0</v>
      </c>
      <c r="L755" s="107">
        <f t="shared" si="238"/>
        <v>0</v>
      </c>
      <c r="M755" s="105" t="s">
        <v>248</v>
      </c>
      <c r="AI755" s="42"/>
      <c r="BN755" s="42"/>
      <c r="CS755" s="42"/>
      <c r="DX755" s="42"/>
      <c r="FC755" s="42"/>
      <c r="GH755" s="42"/>
      <c r="HM755" s="42"/>
      <c r="IR755" s="42"/>
      <c r="JW755" s="42"/>
      <c r="LB755" s="42"/>
      <c r="MG755" s="42"/>
      <c r="NL755" s="42"/>
    </row>
    <row r="756" ht="15.75" customHeight="1">
      <c r="A756" s="42"/>
      <c r="B756" s="42"/>
      <c r="C756" s="42"/>
      <c r="D756" s="38">
        <f t="shared" si="1007"/>
        <v>46020</v>
      </c>
      <c r="E756" s="31" t="str">
        <f t="shared" ref="E756:I756" si="1014">IS15</f>
        <v/>
      </c>
      <c r="F756" s="31" t="str">
        <f t="shared" si="1014"/>
        <v/>
      </c>
      <c r="G756" s="31" t="str">
        <f t="shared" si="1014"/>
        <v/>
      </c>
      <c r="H756" s="13" t="str">
        <f t="shared" si="1014"/>
        <v/>
      </c>
      <c r="I756" s="13" t="str">
        <f t="shared" si="1014"/>
        <v/>
      </c>
      <c r="J756" s="107" t="str">
        <f t="array" ref="J756">IFERROR(IF(XLOOKUP(CONCAT(E756,F756),'MASTER PLAN'!$AB:$AB,'MASTER PLAN'!$M:$M,0,0)=0,"",XLOOKUP(CONCAT(E756,F756),'MASTER PLAN'!$AB:$AB,'MASTER PLAN'!$M:$M,0,0)),"")</f>
        <v/>
      </c>
      <c r="K756" s="107">
        <f t="shared" si="237"/>
        <v>0</v>
      </c>
      <c r="L756" s="107">
        <f t="shared" si="238"/>
        <v>0</v>
      </c>
      <c r="M756" s="105" t="s">
        <v>248</v>
      </c>
      <c r="AI756" s="42"/>
      <c r="BN756" s="42"/>
      <c r="CS756" s="42"/>
      <c r="DX756" s="42"/>
      <c r="FC756" s="42"/>
      <c r="GH756" s="42"/>
      <c r="HM756" s="42"/>
      <c r="IR756" s="42"/>
      <c r="JW756" s="42"/>
      <c r="LB756" s="42"/>
      <c r="MG756" s="42"/>
      <c r="NL756" s="42"/>
    </row>
    <row r="757" ht="15.75" customHeight="1">
      <c r="A757" s="42"/>
      <c r="B757" s="42"/>
      <c r="C757" s="42"/>
      <c r="D757" s="38">
        <f t="shared" si="1007"/>
        <v>46020</v>
      </c>
      <c r="E757" s="31" t="str">
        <f t="shared" ref="E757:I757" si="1015">IS16</f>
        <v/>
      </c>
      <c r="F757" s="31" t="str">
        <f t="shared" si="1015"/>
        <v/>
      </c>
      <c r="G757" s="31" t="str">
        <f t="shared" si="1015"/>
        <v/>
      </c>
      <c r="H757" s="13" t="str">
        <f t="shared" si="1015"/>
        <v/>
      </c>
      <c r="I757" s="13" t="str">
        <f t="shared" si="1015"/>
        <v/>
      </c>
      <c r="J757" s="107" t="str">
        <f t="array" ref="J757">IFERROR(IF(XLOOKUP(CONCAT(E757,F757),'MASTER PLAN'!$AB:$AB,'MASTER PLAN'!$M:$M,0,0)=0,"",XLOOKUP(CONCAT(E757,F757),'MASTER PLAN'!$AB:$AB,'MASTER PLAN'!$M:$M,0,0)),"")</f>
        <v/>
      </c>
      <c r="K757" s="107">
        <f t="shared" si="237"/>
        <v>0</v>
      </c>
      <c r="L757" s="107">
        <f t="shared" si="238"/>
        <v>0</v>
      </c>
      <c r="M757" s="105" t="s">
        <v>248</v>
      </c>
      <c r="AI757" s="42"/>
      <c r="BN757" s="42"/>
      <c r="CS757" s="42"/>
      <c r="DX757" s="42"/>
      <c r="FC757" s="42"/>
      <c r="GH757" s="42"/>
      <c r="HM757" s="42"/>
      <c r="IR757" s="42"/>
      <c r="JW757" s="42"/>
      <c r="LB757" s="42"/>
      <c r="MG757" s="42"/>
      <c r="NL757" s="42"/>
    </row>
    <row r="758" ht="15.75" customHeight="1">
      <c r="A758" s="42"/>
      <c r="B758" s="42"/>
      <c r="C758" s="42"/>
      <c r="D758" s="38">
        <f t="shared" si="1007"/>
        <v>46020</v>
      </c>
      <c r="E758" s="31" t="str">
        <f t="shared" ref="E758:I758" si="1016">IS20</f>
        <v/>
      </c>
      <c r="F758" s="31" t="str">
        <f t="shared" si="1016"/>
        <v/>
      </c>
      <c r="G758" s="31" t="str">
        <f t="shared" si="1016"/>
        <v/>
      </c>
      <c r="H758" s="13" t="str">
        <f t="shared" si="1016"/>
        <v/>
      </c>
      <c r="I758" s="13" t="str">
        <f t="shared" si="1016"/>
        <v/>
      </c>
      <c r="J758" s="107" t="str">
        <f t="array" ref="J758">IFERROR(IF(XLOOKUP(CONCAT(E758,F758),'MASTER PLAN'!$AB:$AB,'MASTER PLAN'!$M:$M,0,0)=0,"",XLOOKUP(CONCAT(E758,F758),'MASTER PLAN'!$AB:$AB,'MASTER PLAN'!$M:$M,0,0)),"")</f>
        <v/>
      </c>
      <c r="K758" s="107">
        <f t="shared" si="237"/>
        <v>0</v>
      </c>
      <c r="L758" s="107">
        <f t="shared" si="238"/>
        <v>0</v>
      </c>
      <c r="M758" s="105" t="s">
        <v>249</v>
      </c>
      <c r="AI758" s="42"/>
      <c r="BN758" s="42"/>
      <c r="CS758" s="42"/>
      <c r="DX758" s="42"/>
      <c r="FC758" s="42"/>
      <c r="GH758" s="42"/>
      <c r="HM758" s="42"/>
      <c r="IR758" s="42"/>
      <c r="JW758" s="42"/>
      <c r="LB758" s="42"/>
      <c r="MG758" s="42"/>
      <c r="NL758" s="42"/>
    </row>
    <row r="759" ht="15.75" customHeight="1">
      <c r="A759" s="42"/>
      <c r="B759" s="42"/>
      <c r="C759" s="42"/>
      <c r="D759" s="38">
        <f t="shared" si="1007"/>
        <v>46020</v>
      </c>
      <c r="E759" s="31" t="str">
        <f t="shared" ref="E759:I759" si="1017">IS21</f>
        <v/>
      </c>
      <c r="F759" s="31" t="str">
        <f t="shared" si="1017"/>
        <v/>
      </c>
      <c r="G759" s="31" t="str">
        <f t="shared" si="1017"/>
        <v/>
      </c>
      <c r="H759" s="13" t="str">
        <f t="shared" si="1017"/>
        <v/>
      </c>
      <c r="I759" s="13" t="str">
        <f t="shared" si="1017"/>
        <v/>
      </c>
      <c r="J759" s="107" t="str">
        <f t="array" ref="J759">IFERROR(IF(XLOOKUP(CONCAT(E759,F759),'MASTER PLAN'!$AB:$AB,'MASTER PLAN'!$M:$M,0,0)=0,"",XLOOKUP(CONCAT(E759,F759),'MASTER PLAN'!$AB:$AB,'MASTER PLAN'!$M:$M,0,0)),"")</f>
        <v/>
      </c>
      <c r="K759" s="107">
        <f t="shared" si="237"/>
        <v>0</v>
      </c>
      <c r="L759" s="107">
        <f t="shared" si="238"/>
        <v>0</v>
      </c>
      <c r="M759" s="105" t="s">
        <v>249</v>
      </c>
      <c r="AI759" s="42"/>
      <c r="BN759" s="42"/>
      <c r="CS759" s="42"/>
      <c r="DX759" s="42"/>
      <c r="FC759" s="42"/>
      <c r="GH759" s="42"/>
      <c r="HM759" s="42"/>
      <c r="IR759" s="42"/>
      <c r="JW759" s="42"/>
      <c r="LB759" s="42"/>
      <c r="MG759" s="42"/>
      <c r="NL759" s="42"/>
    </row>
    <row r="760" ht="15.75" customHeight="1">
      <c r="A760" s="42"/>
      <c r="B760" s="42"/>
      <c r="C760" s="42"/>
      <c r="D760" s="38">
        <f t="shared" si="1007"/>
        <v>46020</v>
      </c>
      <c r="E760" s="31" t="str">
        <f t="shared" ref="E760:I760" si="1018">IS22</f>
        <v/>
      </c>
      <c r="F760" s="31" t="str">
        <f t="shared" si="1018"/>
        <v/>
      </c>
      <c r="G760" s="31" t="str">
        <f t="shared" si="1018"/>
        <v/>
      </c>
      <c r="H760" s="13" t="str">
        <f t="shared" si="1018"/>
        <v/>
      </c>
      <c r="I760" s="13" t="str">
        <f t="shared" si="1018"/>
        <v/>
      </c>
      <c r="J760" s="107" t="str">
        <f t="array" ref="J760">IFERROR(IF(XLOOKUP(CONCAT(E760,F760),'MASTER PLAN'!$AB:$AB,'MASTER PLAN'!$M:$M,0,0)=0,"",XLOOKUP(CONCAT(E760,F760),'MASTER PLAN'!$AB:$AB,'MASTER PLAN'!$M:$M,0,0)),"")</f>
        <v/>
      </c>
      <c r="K760" s="107">
        <f t="shared" si="237"/>
        <v>0</v>
      </c>
      <c r="L760" s="107">
        <f t="shared" si="238"/>
        <v>0</v>
      </c>
      <c r="M760" s="105" t="s">
        <v>249</v>
      </c>
      <c r="AI760" s="42"/>
      <c r="BN760" s="42"/>
      <c r="CS760" s="42"/>
      <c r="DX760" s="42"/>
      <c r="FC760" s="42"/>
      <c r="GH760" s="42"/>
      <c r="HM760" s="42"/>
      <c r="IR760" s="42"/>
      <c r="JW760" s="42"/>
      <c r="LB760" s="42"/>
      <c r="MG760" s="42"/>
      <c r="NL760" s="42"/>
    </row>
    <row r="761" ht="15.75" customHeight="1">
      <c r="A761" s="42"/>
      <c r="B761" s="42"/>
      <c r="C761" s="42"/>
      <c r="D761" s="38">
        <f t="shared" si="1007"/>
        <v>46020</v>
      </c>
      <c r="E761" s="31" t="str">
        <f t="shared" ref="E761:I761" si="1019">IS23</f>
        <v/>
      </c>
      <c r="F761" s="31" t="str">
        <f t="shared" si="1019"/>
        <v/>
      </c>
      <c r="G761" s="31" t="str">
        <f t="shared" si="1019"/>
        <v/>
      </c>
      <c r="H761" s="13" t="str">
        <f t="shared" si="1019"/>
        <v/>
      </c>
      <c r="I761" s="13" t="str">
        <f t="shared" si="1019"/>
        <v/>
      </c>
      <c r="J761" s="107" t="str">
        <f t="array" ref="J761">IFERROR(IF(XLOOKUP(CONCAT(E761,F761),'MASTER PLAN'!$AB:$AB,'MASTER PLAN'!$M:$M,0,0)=0,"",XLOOKUP(CONCAT(E761,F761),'MASTER PLAN'!$AB:$AB,'MASTER PLAN'!$M:$M,0,0)),"")</f>
        <v/>
      </c>
      <c r="K761" s="107">
        <f t="shared" si="237"/>
        <v>0</v>
      </c>
      <c r="L761" s="107">
        <f t="shared" si="238"/>
        <v>0</v>
      </c>
      <c r="M761" s="105" t="s">
        <v>249</v>
      </c>
      <c r="AI761" s="42"/>
      <c r="BN761" s="42"/>
      <c r="CS761" s="42"/>
      <c r="DX761" s="42"/>
      <c r="FC761" s="42"/>
      <c r="GH761" s="42"/>
      <c r="HM761" s="42"/>
      <c r="IR761" s="42"/>
      <c r="JW761" s="42"/>
      <c r="LB761" s="42"/>
      <c r="MG761" s="42"/>
      <c r="NL761" s="42"/>
    </row>
    <row r="762" ht="15.75" customHeight="1">
      <c r="A762" s="42"/>
      <c r="B762" s="42"/>
      <c r="C762" s="42"/>
      <c r="D762" s="38">
        <f t="shared" si="1007"/>
        <v>46020</v>
      </c>
      <c r="E762" s="31" t="str">
        <f t="shared" ref="E762:I762" si="1020">IS24</f>
        <v/>
      </c>
      <c r="F762" s="31" t="str">
        <f t="shared" si="1020"/>
        <v/>
      </c>
      <c r="G762" s="31" t="str">
        <f t="shared" si="1020"/>
        <v/>
      </c>
      <c r="H762" s="13" t="str">
        <f t="shared" si="1020"/>
        <v/>
      </c>
      <c r="I762" s="13" t="str">
        <f t="shared" si="1020"/>
        <v/>
      </c>
      <c r="J762" s="107" t="str">
        <f t="array" ref="J762">IFERROR(IF(XLOOKUP(CONCAT(E762,F762),'MASTER PLAN'!$AB:$AB,'MASTER PLAN'!$M:$M,0,0)=0,"",XLOOKUP(CONCAT(E762,F762),'MASTER PLAN'!$AB:$AB,'MASTER PLAN'!$M:$M,0,0)),"")</f>
        <v/>
      </c>
      <c r="K762" s="107">
        <f t="shared" si="237"/>
        <v>0</v>
      </c>
      <c r="L762" s="107">
        <f t="shared" si="238"/>
        <v>0</v>
      </c>
      <c r="M762" s="105" t="s">
        <v>249</v>
      </c>
      <c r="AI762" s="42"/>
      <c r="BN762" s="42"/>
      <c r="CS762" s="42"/>
      <c r="DX762" s="42"/>
      <c r="FC762" s="42"/>
      <c r="GH762" s="42"/>
      <c r="HM762" s="42"/>
      <c r="IR762" s="42"/>
      <c r="JW762" s="42"/>
      <c r="LB762" s="42"/>
      <c r="MG762" s="42"/>
      <c r="NL762" s="42"/>
    </row>
    <row r="763" ht="15.75" customHeight="1">
      <c r="A763" s="42"/>
      <c r="B763" s="42"/>
      <c r="C763" s="42"/>
      <c r="D763" s="38">
        <f>IX2</f>
        <v>46021</v>
      </c>
      <c r="E763" s="31">
        <f t="shared" ref="E763:I763" si="1021">IX4</f>
        <v>1402049507</v>
      </c>
      <c r="F763" s="31">
        <f t="shared" si="1021"/>
        <v>20</v>
      </c>
      <c r="G763" s="31" t="str">
        <f t="shared" si="1021"/>
        <v>BOLSA PEARL FACTORY 159X90X210MM</v>
      </c>
      <c r="H763" s="13">
        <f t="shared" si="1021"/>
        <v>3000</v>
      </c>
      <c r="I763" s="13" t="str">
        <f t="shared" si="1021"/>
        <v/>
      </c>
      <c r="J763" s="107">
        <f t="array" ref="J763">IFERROR(IF(XLOOKUP(CONCAT(E763,F763),'MASTER PLAN'!$AB:$AB,'MASTER PLAN'!$M:$M,0,0)=0,"",XLOOKUP(CONCAT(E763,F763),'MASTER PLAN'!$AB:$AB,'MASTER PLAN'!$M:$M,0,0)),"")</f>
        <v>0.76</v>
      </c>
      <c r="K763" s="107">
        <f t="shared" si="237"/>
        <v>2280</v>
      </c>
      <c r="L763" s="107">
        <f t="shared" si="238"/>
        <v>0</v>
      </c>
      <c r="M763" s="105" t="s">
        <v>246</v>
      </c>
      <c r="AI763" s="42"/>
      <c r="BN763" s="42"/>
      <c r="CS763" s="42"/>
      <c r="DX763" s="42"/>
      <c r="FC763" s="42"/>
      <c r="GH763" s="42"/>
      <c r="HM763" s="42"/>
      <c r="IR763" s="42"/>
      <c r="JW763" s="42"/>
      <c r="LB763" s="42"/>
      <c r="MG763" s="42"/>
      <c r="NL763" s="42"/>
    </row>
    <row r="764" ht="15.75" customHeight="1">
      <c r="A764" s="42"/>
      <c r="B764" s="42"/>
      <c r="C764" s="42"/>
      <c r="D764" s="38">
        <f t="shared" ref="D764:D777" si="1023">D763</f>
        <v>46021</v>
      </c>
      <c r="E764" s="31" t="str">
        <f t="shared" ref="E764:I764" si="1022">IX5</f>
        <v/>
      </c>
      <c r="F764" s="31" t="str">
        <f t="shared" si="1022"/>
        <v/>
      </c>
      <c r="G764" s="31" t="str">
        <f t="shared" si="1022"/>
        <v/>
      </c>
      <c r="H764" s="13" t="str">
        <f t="shared" si="1022"/>
        <v/>
      </c>
      <c r="I764" s="13" t="str">
        <f t="shared" si="1022"/>
        <v/>
      </c>
      <c r="J764" s="107" t="str">
        <f t="array" ref="J764">IFERROR(IF(XLOOKUP(CONCAT(E764,F764),'MASTER PLAN'!$AB:$AB,'MASTER PLAN'!$M:$M,0,0)=0,"",XLOOKUP(CONCAT(E764,F764),'MASTER PLAN'!$AB:$AB,'MASTER PLAN'!$M:$M,0,0)),"")</f>
        <v/>
      </c>
      <c r="K764" s="107">
        <f t="shared" si="237"/>
        <v>0</v>
      </c>
      <c r="L764" s="107">
        <f t="shared" si="238"/>
        <v>0</v>
      </c>
      <c r="M764" s="105" t="s">
        <v>246</v>
      </c>
      <c r="AI764" s="42"/>
      <c r="BN764" s="42"/>
      <c r="CS764" s="42"/>
      <c r="DX764" s="42"/>
      <c r="FC764" s="42"/>
      <c r="GH764" s="42"/>
      <c r="HM764" s="42"/>
      <c r="IR764" s="42"/>
      <c r="JW764" s="42"/>
      <c r="LB764" s="42"/>
      <c r="MG764" s="42"/>
      <c r="NL764" s="42"/>
    </row>
    <row r="765" ht="15.75" customHeight="1">
      <c r="A765" s="42"/>
      <c r="B765" s="42"/>
      <c r="C765" s="42"/>
      <c r="D765" s="38">
        <f t="shared" si="1023"/>
        <v>46021</v>
      </c>
      <c r="E765" s="31" t="str">
        <f t="shared" ref="E765:I765" si="1024">IX6</f>
        <v/>
      </c>
      <c r="F765" s="31" t="str">
        <f t="shared" si="1024"/>
        <v/>
      </c>
      <c r="G765" s="31" t="str">
        <f t="shared" si="1024"/>
        <v/>
      </c>
      <c r="H765" s="13" t="str">
        <f t="shared" si="1024"/>
        <v/>
      </c>
      <c r="I765" s="13" t="str">
        <f t="shared" si="1024"/>
        <v/>
      </c>
      <c r="J765" s="107" t="str">
        <f t="array" ref="J765">IFERROR(IF(XLOOKUP(CONCAT(E765,F765),'MASTER PLAN'!$AB:$AB,'MASTER PLAN'!$M:$M,0,0)=0,"",XLOOKUP(CONCAT(E765,F765),'MASTER PLAN'!$AB:$AB,'MASTER PLAN'!$M:$M,0,0)),"")</f>
        <v/>
      </c>
      <c r="K765" s="107">
        <f t="shared" si="237"/>
        <v>0</v>
      </c>
      <c r="L765" s="107">
        <f t="shared" si="238"/>
        <v>0</v>
      </c>
      <c r="M765" s="105" t="s">
        <v>246</v>
      </c>
      <c r="AI765" s="42"/>
      <c r="BN765" s="42"/>
      <c r="CS765" s="42"/>
      <c r="DX765" s="42"/>
      <c r="FC765" s="42"/>
      <c r="GH765" s="42"/>
      <c r="HM765" s="42"/>
      <c r="IR765" s="42"/>
      <c r="JW765" s="42"/>
      <c r="LB765" s="42"/>
      <c r="MG765" s="42"/>
      <c r="NL765" s="42"/>
    </row>
    <row r="766" ht="15.75" customHeight="1">
      <c r="A766" s="42"/>
      <c r="B766" s="42"/>
      <c r="C766" s="42"/>
      <c r="D766" s="38">
        <f t="shared" si="1023"/>
        <v>46021</v>
      </c>
      <c r="E766" s="31" t="str">
        <f t="shared" ref="E766:I766" si="1025">IX7</f>
        <v/>
      </c>
      <c r="F766" s="31" t="str">
        <f t="shared" si="1025"/>
        <v/>
      </c>
      <c r="G766" s="31" t="str">
        <f t="shared" si="1025"/>
        <v/>
      </c>
      <c r="H766" s="13" t="str">
        <f t="shared" si="1025"/>
        <v/>
      </c>
      <c r="I766" s="13" t="str">
        <f t="shared" si="1025"/>
        <v/>
      </c>
      <c r="J766" s="107" t="str">
        <f t="array" ref="J766">IFERROR(IF(XLOOKUP(CONCAT(E766,F766),'MASTER PLAN'!$AB:$AB,'MASTER PLAN'!$M:$M,0,0)=0,"",XLOOKUP(CONCAT(E766,F766),'MASTER PLAN'!$AB:$AB,'MASTER PLAN'!$M:$M,0,0)),"")</f>
        <v/>
      </c>
      <c r="K766" s="107">
        <f t="shared" si="237"/>
        <v>0</v>
      </c>
      <c r="L766" s="107">
        <f t="shared" si="238"/>
        <v>0</v>
      </c>
      <c r="M766" s="105" t="s">
        <v>246</v>
      </c>
      <c r="AI766" s="42"/>
      <c r="BN766" s="42"/>
      <c r="CS766" s="42"/>
      <c r="DX766" s="42"/>
      <c r="FC766" s="42"/>
      <c r="GH766" s="42"/>
      <c r="HM766" s="42"/>
      <c r="IR766" s="42"/>
      <c r="JW766" s="42"/>
      <c r="LB766" s="42"/>
      <c r="MG766" s="42"/>
      <c r="NL766" s="42"/>
    </row>
    <row r="767" ht="15.75" customHeight="1">
      <c r="A767" s="42"/>
      <c r="B767" s="42"/>
      <c r="C767" s="42"/>
      <c r="D767" s="38">
        <f t="shared" si="1023"/>
        <v>46021</v>
      </c>
      <c r="E767" s="31" t="str">
        <f t="shared" ref="E767:I767" si="1026">IX8</f>
        <v/>
      </c>
      <c r="F767" s="31" t="str">
        <f t="shared" si="1026"/>
        <v/>
      </c>
      <c r="G767" s="31" t="str">
        <f t="shared" si="1026"/>
        <v/>
      </c>
      <c r="H767" s="13" t="str">
        <f t="shared" si="1026"/>
        <v/>
      </c>
      <c r="I767" s="13" t="str">
        <f t="shared" si="1026"/>
        <v/>
      </c>
      <c r="J767" s="107" t="str">
        <f t="array" ref="J767">IFERROR(IF(XLOOKUP(CONCAT(E767,F767),'MASTER PLAN'!$AB:$AB,'MASTER PLAN'!$M:$M,0,0)=0,"",XLOOKUP(CONCAT(E767,F767),'MASTER PLAN'!$AB:$AB,'MASTER PLAN'!$M:$M,0,0)),"")</f>
        <v/>
      </c>
      <c r="K767" s="107">
        <f t="shared" si="237"/>
        <v>0</v>
      </c>
      <c r="L767" s="107">
        <f t="shared" si="238"/>
        <v>0</v>
      </c>
      <c r="M767" s="105" t="s">
        <v>246</v>
      </c>
      <c r="AI767" s="42"/>
      <c r="BN767" s="42"/>
      <c r="CS767" s="42"/>
      <c r="DX767" s="42"/>
      <c r="FC767" s="42"/>
      <c r="GH767" s="42"/>
      <c r="HM767" s="42"/>
      <c r="IR767" s="42"/>
      <c r="JW767" s="42"/>
      <c r="LB767" s="42"/>
      <c r="MG767" s="42"/>
      <c r="NL767" s="42"/>
    </row>
    <row r="768" ht="15.75" customHeight="1">
      <c r="A768" s="42"/>
      <c r="B768" s="42"/>
      <c r="C768" s="42"/>
      <c r="D768" s="38">
        <f t="shared" si="1023"/>
        <v>46021</v>
      </c>
      <c r="E768" s="31">
        <f t="shared" ref="E768:I768" si="1027">IX12</f>
        <v>1402049507</v>
      </c>
      <c r="F768" s="31">
        <f t="shared" si="1027"/>
        <v>10</v>
      </c>
      <c r="G768" s="31" t="str">
        <f t="shared" si="1027"/>
        <v>BOLSA NA HOKU 159X90X210MM</v>
      </c>
      <c r="H768" s="13">
        <f t="shared" si="1027"/>
        <v>2800</v>
      </c>
      <c r="I768" s="13" t="str">
        <f t="shared" si="1027"/>
        <v/>
      </c>
      <c r="J768" s="107">
        <f t="array" ref="J768">IFERROR(IF(XLOOKUP(CONCAT(E768,F768),'MASTER PLAN'!$AB:$AB,'MASTER PLAN'!$M:$M,0,0)=0,"",XLOOKUP(CONCAT(E768,F768),'MASTER PLAN'!$AB:$AB,'MASTER PLAN'!$M:$M,0,0)),"")</f>
        <v>0.968</v>
      </c>
      <c r="K768" s="107">
        <f t="shared" si="237"/>
        <v>2710.4</v>
      </c>
      <c r="L768" s="107">
        <f t="shared" si="238"/>
        <v>0</v>
      </c>
      <c r="M768" s="105" t="s">
        <v>248</v>
      </c>
      <c r="AI768" s="42"/>
      <c r="BN768" s="42"/>
      <c r="CS768" s="42"/>
      <c r="DX768" s="42"/>
      <c r="FC768" s="42"/>
      <c r="GH768" s="42"/>
      <c r="HM768" s="42"/>
      <c r="IR768" s="42"/>
      <c r="JW768" s="42"/>
      <c r="LB768" s="42"/>
      <c r="MG768" s="42"/>
      <c r="NL768" s="42"/>
    </row>
    <row r="769" ht="15.75" customHeight="1">
      <c r="A769" s="42"/>
      <c r="B769" s="42"/>
      <c r="C769" s="42"/>
      <c r="D769" s="38">
        <f t="shared" si="1023"/>
        <v>46021</v>
      </c>
      <c r="E769" s="31" t="str">
        <f t="shared" ref="E769:I769" si="1028">IX13</f>
        <v/>
      </c>
      <c r="F769" s="31" t="str">
        <f t="shared" si="1028"/>
        <v/>
      </c>
      <c r="G769" s="31" t="str">
        <f t="shared" si="1028"/>
        <v/>
      </c>
      <c r="H769" s="13" t="str">
        <f t="shared" si="1028"/>
        <v/>
      </c>
      <c r="I769" s="13" t="str">
        <f t="shared" si="1028"/>
        <v/>
      </c>
      <c r="J769" s="107" t="str">
        <f t="array" ref="J769">IFERROR(IF(XLOOKUP(CONCAT(E769,F769),'MASTER PLAN'!$AB:$AB,'MASTER PLAN'!$M:$M,0,0)=0,"",XLOOKUP(CONCAT(E769,F769),'MASTER PLAN'!$AB:$AB,'MASTER PLAN'!$M:$M,0,0)),"")</f>
        <v/>
      </c>
      <c r="K769" s="107">
        <f t="shared" si="237"/>
        <v>0</v>
      </c>
      <c r="L769" s="107">
        <f t="shared" si="238"/>
        <v>0</v>
      </c>
      <c r="M769" s="105" t="s">
        <v>248</v>
      </c>
      <c r="AI769" s="42"/>
      <c r="BN769" s="42"/>
      <c r="CS769" s="42"/>
      <c r="DX769" s="42"/>
      <c r="FC769" s="42"/>
      <c r="GH769" s="42"/>
      <c r="HM769" s="42"/>
      <c r="IR769" s="42"/>
      <c r="JW769" s="42"/>
      <c r="LB769" s="42"/>
      <c r="MG769" s="42"/>
      <c r="NL769" s="42"/>
    </row>
    <row r="770" ht="15.75" customHeight="1">
      <c r="A770" s="42"/>
      <c r="B770" s="42"/>
      <c r="C770" s="42"/>
      <c r="D770" s="38">
        <f t="shared" si="1023"/>
        <v>46021</v>
      </c>
      <c r="E770" s="31" t="str">
        <f t="shared" ref="E770:I770" si="1029">IX14</f>
        <v/>
      </c>
      <c r="F770" s="31" t="str">
        <f t="shared" si="1029"/>
        <v/>
      </c>
      <c r="G770" s="31" t="str">
        <f t="shared" si="1029"/>
        <v/>
      </c>
      <c r="H770" s="13" t="str">
        <f t="shared" si="1029"/>
        <v/>
      </c>
      <c r="I770" s="13" t="str">
        <f t="shared" si="1029"/>
        <v/>
      </c>
      <c r="J770" s="107" t="str">
        <f t="array" ref="J770">IFERROR(IF(XLOOKUP(CONCAT(E770,F770),'MASTER PLAN'!$AB:$AB,'MASTER PLAN'!$M:$M,0,0)=0,"",XLOOKUP(CONCAT(E770,F770),'MASTER PLAN'!$AB:$AB,'MASTER PLAN'!$M:$M,0,0)),"")</f>
        <v/>
      </c>
      <c r="K770" s="107">
        <f t="shared" si="237"/>
        <v>0</v>
      </c>
      <c r="L770" s="107">
        <f t="shared" si="238"/>
        <v>0</v>
      </c>
      <c r="M770" s="105" t="s">
        <v>248</v>
      </c>
      <c r="AI770" s="42"/>
      <c r="BN770" s="42"/>
      <c r="CS770" s="42"/>
      <c r="DX770" s="42"/>
      <c r="FC770" s="42"/>
      <c r="GH770" s="42"/>
      <c r="HM770" s="42"/>
      <c r="IR770" s="42"/>
      <c r="JW770" s="42"/>
      <c r="LB770" s="42"/>
      <c r="MG770" s="42"/>
      <c r="NL770" s="42"/>
    </row>
    <row r="771" ht="15.75" customHeight="1">
      <c r="A771" s="42"/>
      <c r="B771" s="42"/>
      <c r="C771" s="42"/>
      <c r="D771" s="38">
        <f t="shared" si="1023"/>
        <v>46021</v>
      </c>
      <c r="E771" s="31" t="str">
        <f t="shared" ref="E771:I771" si="1030">IX15</f>
        <v/>
      </c>
      <c r="F771" s="31" t="str">
        <f t="shared" si="1030"/>
        <v/>
      </c>
      <c r="G771" s="31" t="str">
        <f t="shared" si="1030"/>
        <v/>
      </c>
      <c r="H771" s="13" t="str">
        <f t="shared" si="1030"/>
        <v/>
      </c>
      <c r="I771" s="13" t="str">
        <f t="shared" si="1030"/>
        <v/>
      </c>
      <c r="J771" s="107" t="str">
        <f t="array" ref="J771">IFERROR(IF(XLOOKUP(CONCAT(E771,F771),'MASTER PLAN'!$AB:$AB,'MASTER PLAN'!$M:$M,0,0)=0,"",XLOOKUP(CONCAT(E771,F771),'MASTER PLAN'!$AB:$AB,'MASTER PLAN'!$M:$M,0,0)),"")</f>
        <v/>
      </c>
      <c r="K771" s="107">
        <f t="shared" si="237"/>
        <v>0</v>
      </c>
      <c r="L771" s="107">
        <f t="shared" si="238"/>
        <v>0</v>
      </c>
      <c r="M771" s="105" t="s">
        <v>248</v>
      </c>
      <c r="AI771" s="42"/>
      <c r="BN771" s="42"/>
      <c r="CS771" s="42"/>
      <c r="DX771" s="42"/>
      <c r="FC771" s="42"/>
      <c r="GH771" s="42"/>
      <c r="HM771" s="42"/>
      <c r="IR771" s="42"/>
      <c r="JW771" s="42"/>
      <c r="LB771" s="42"/>
      <c r="MG771" s="42"/>
      <c r="NL771" s="42"/>
    </row>
    <row r="772" ht="15.75" customHeight="1">
      <c r="A772" s="42"/>
      <c r="B772" s="42"/>
      <c r="C772" s="42"/>
      <c r="D772" s="38">
        <f t="shared" si="1023"/>
        <v>46021</v>
      </c>
      <c r="E772" s="31" t="str">
        <f t="shared" ref="E772:I772" si="1031">IX16</f>
        <v/>
      </c>
      <c r="F772" s="31" t="str">
        <f t="shared" si="1031"/>
        <v/>
      </c>
      <c r="G772" s="31" t="str">
        <f t="shared" si="1031"/>
        <v/>
      </c>
      <c r="H772" s="13" t="str">
        <f t="shared" si="1031"/>
        <v/>
      </c>
      <c r="I772" s="13" t="str">
        <f t="shared" si="1031"/>
        <v/>
      </c>
      <c r="J772" s="107" t="str">
        <f t="array" ref="J772">IFERROR(IF(XLOOKUP(CONCAT(E772,F772),'MASTER PLAN'!$AB:$AB,'MASTER PLAN'!$M:$M,0,0)=0,"",XLOOKUP(CONCAT(E772,F772),'MASTER PLAN'!$AB:$AB,'MASTER PLAN'!$M:$M,0,0)),"")</f>
        <v/>
      </c>
      <c r="K772" s="107">
        <f t="shared" si="237"/>
        <v>0</v>
      </c>
      <c r="L772" s="107">
        <f t="shared" si="238"/>
        <v>0</v>
      </c>
      <c r="M772" s="105" t="s">
        <v>248</v>
      </c>
      <c r="AI772" s="42"/>
      <c r="BN772" s="42"/>
      <c r="CS772" s="42"/>
      <c r="DX772" s="42"/>
      <c r="FC772" s="42"/>
      <c r="GH772" s="42"/>
      <c r="HM772" s="42"/>
      <c r="IR772" s="42"/>
      <c r="JW772" s="42"/>
      <c r="LB772" s="42"/>
      <c r="MG772" s="42"/>
      <c r="NL772" s="42"/>
    </row>
    <row r="773" ht="15.75" customHeight="1">
      <c r="A773" s="42"/>
      <c r="B773" s="42"/>
      <c r="C773" s="42"/>
      <c r="D773" s="38">
        <f t="shared" si="1023"/>
        <v>46021</v>
      </c>
      <c r="E773" s="31" t="str">
        <f t="shared" ref="E773:I773" si="1032">IX20</f>
        <v/>
      </c>
      <c r="F773" s="31" t="str">
        <f t="shared" si="1032"/>
        <v/>
      </c>
      <c r="G773" s="31" t="str">
        <f t="shared" si="1032"/>
        <v/>
      </c>
      <c r="H773" s="13" t="str">
        <f t="shared" si="1032"/>
        <v/>
      </c>
      <c r="I773" s="13" t="str">
        <f t="shared" si="1032"/>
        <v/>
      </c>
      <c r="J773" s="107" t="str">
        <f t="array" ref="J773">IFERROR(IF(XLOOKUP(CONCAT(E773,F773),'MASTER PLAN'!$AB:$AB,'MASTER PLAN'!$M:$M,0,0)=0,"",XLOOKUP(CONCAT(E773,F773),'MASTER PLAN'!$AB:$AB,'MASTER PLAN'!$M:$M,0,0)),"")</f>
        <v/>
      </c>
      <c r="K773" s="107">
        <f t="shared" si="237"/>
        <v>0</v>
      </c>
      <c r="L773" s="107">
        <f t="shared" si="238"/>
        <v>0</v>
      </c>
      <c r="M773" s="105" t="s">
        <v>249</v>
      </c>
      <c r="AI773" s="42"/>
      <c r="BN773" s="42"/>
      <c r="CS773" s="42"/>
      <c r="DX773" s="42"/>
      <c r="FC773" s="42"/>
      <c r="GH773" s="42"/>
      <c r="HM773" s="42"/>
      <c r="IR773" s="42"/>
      <c r="JW773" s="42"/>
      <c r="LB773" s="42"/>
      <c r="MG773" s="42"/>
      <c r="NL773" s="42"/>
    </row>
    <row r="774" ht="15.75" customHeight="1">
      <c r="A774" s="42"/>
      <c r="B774" s="42"/>
      <c r="C774" s="42"/>
      <c r="D774" s="38">
        <f t="shared" si="1023"/>
        <v>46021</v>
      </c>
      <c r="E774" s="31" t="str">
        <f t="shared" ref="E774:I774" si="1033">IX21</f>
        <v/>
      </c>
      <c r="F774" s="31" t="str">
        <f t="shared" si="1033"/>
        <v/>
      </c>
      <c r="G774" s="31" t="str">
        <f t="shared" si="1033"/>
        <v/>
      </c>
      <c r="H774" s="13" t="str">
        <f t="shared" si="1033"/>
        <v/>
      </c>
      <c r="I774" s="13" t="str">
        <f t="shared" si="1033"/>
        <v/>
      </c>
      <c r="J774" s="107" t="str">
        <f t="array" ref="J774">IFERROR(IF(XLOOKUP(CONCAT(E774,F774),'MASTER PLAN'!$AB:$AB,'MASTER PLAN'!$M:$M,0,0)=0,"",XLOOKUP(CONCAT(E774,F774),'MASTER PLAN'!$AB:$AB,'MASTER PLAN'!$M:$M,0,0)),"")</f>
        <v/>
      </c>
      <c r="K774" s="107">
        <f t="shared" si="237"/>
        <v>0</v>
      </c>
      <c r="L774" s="107">
        <f t="shared" si="238"/>
        <v>0</v>
      </c>
      <c r="M774" s="105" t="s">
        <v>249</v>
      </c>
      <c r="AI774" s="42"/>
      <c r="BN774" s="42"/>
      <c r="CS774" s="42"/>
      <c r="DX774" s="42"/>
      <c r="FC774" s="42"/>
      <c r="GH774" s="42"/>
      <c r="HM774" s="42"/>
      <c r="IR774" s="42"/>
      <c r="JW774" s="42"/>
      <c r="LB774" s="42"/>
      <c r="MG774" s="42"/>
      <c r="NL774" s="42"/>
    </row>
    <row r="775" ht="15.75" customHeight="1">
      <c r="A775" s="42"/>
      <c r="B775" s="42"/>
      <c r="C775" s="42"/>
      <c r="D775" s="38">
        <f t="shared" si="1023"/>
        <v>46021</v>
      </c>
      <c r="E775" s="31" t="str">
        <f t="shared" ref="E775:I775" si="1034">IX22</f>
        <v/>
      </c>
      <c r="F775" s="31" t="str">
        <f t="shared" si="1034"/>
        <v/>
      </c>
      <c r="G775" s="31" t="str">
        <f t="shared" si="1034"/>
        <v/>
      </c>
      <c r="H775" s="13" t="str">
        <f t="shared" si="1034"/>
        <v/>
      </c>
      <c r="I775" s="13" t="str">
        <f t="shared" si="1034"/>
        <v/>
      </c>
      <c r="J775" s="107" t="str">
        <f t="array" ref="J775">IFERROR(IF(XLOOKUP(CONCAT(E775,F775),'MASTER PLAN'!$AB:$AB,'MASTER PLAN'!$M:$M,0,0)=0,"",XLOOKUP(CONCAT(E775,F775),'MASTER PLAN'!$AB:$AB,'MASTER PLAN'!$M:$M,0,0)),"")</f>
        <v/>
      </c>
      <c r="K775" s="107">
        <f t="shared" si="237"/>
        <v>0</v>
      </c>
      <c r="L775" s="107">
        <f t="shared" si="238"/>
        <v>0</v>
      </c>
      <c r="M775" s="105" t="s">
        <v>249</v>
      </c>
      <c r="AI775" s="42"/>
      <c r="BN775" s="42"/>
      <c r="CS775" s="42"/>
      <c r="DX775" s="42"/>
      <c r="FC775" s="42"/>
      <c r="GH775" s="42"/>
      <c r="HM775" s="42"/>
      <c r="IR775" s="42"/>
      <c r="JW775" s="42"/>
      <c r="LB775" s="42"/>
      <c r="MG775" s="42"/>
      <c r="NL775" s="42"/>
    </row>
    <row r="776" ht="15.75" customHeight="1">
      <c r="A776" s="42"/>
      <c r="B776" s="42"/>
      <c r="C776" s="42"/>
      <c r="D776" s="38">
        <f t="shared" si="1023"/>
        <v>46021</v>
      </c>
      <c r="E776" s="31" t="str">
        <f t="shared" ref="E776:I776" si="1035">IX23</f>
        <v/>
      </c>
      <c r="F776" s="31" t="str">
        <f t="shared" si="1035"/>
        <v/>
      </c>
      <c r="G776" s="31" t="str">
        <f t="shared" si="1035"/>
        <v/>
      </c>
      <c r="H776" s="13" t="str">
        <f t="shared" si="1035"/>
        <v/>
      </c>
      <c r="I776" s="13" t="str">
        <f t="shared" si="1035"/>
        <v/>
      </c>
      <c r="J776" s="107" t="str">
        <f t="array" ref="J776">IFERROR(IF(XLOOKUP(CONCAT(E776,F776),'MASTER PLAN'!$AB:$AB,'MASTER PLAN'!$M:$M,0,0)=0,"",XLOOKUP(CONCAT(E776,F776),'MASTER PLAN'!$AB:$AB,'MASTER PLAN'!$M:$M,0,0)),"")</f>
        <v/>
      </c>
      <c r="K776" s="107">
        <f t="shared" si="237"/>
        <v>0</v>
      </c>
      <c r="L776" s="107">
        <f t="shared" si="238"/>
        <v>0</v>
      </c>
      <c r="M776" s="105" t="s">
        <v>249</v>
      </c>
      <c r="AI776" s="42"/>
      <c r="BN776" s="42"/>
      <c r="CS776" s="42"/>
      <c r="DX776" s="42"/>
      <c r="FC776" s="42"/>
      <c r="GH776" s="42"/>
      <c r="HM776" s="42"/>
      <c r="IR776" s="42"/>
      <c r="JW776" s="42"/>
      <c r="LB776" s="42"/>
      <c r="MG776" s="42"/>
      <c r="NL776" s="42"/>
    </row>
    <row r="777" ht="15.75" customHeight="1">
      <c r="A777" s="42"/>
      <c r="B777" s="42"/>
      <c r="C777" s="42"/>
      <c r="D777" s="38">
        <f t="shared" si="1023"/>
        <v>46021</v>
      </c>
      <c r="E777" s="31" t="str">
        <f t="shared" ref="E777:I777" si="1036">IX24</f>
        <v/>
      </c>
      <c r="F777" s="31" t="str">
        <f t="shared" si="1036"/>
        <v/>
      </c>
      <c r="G777" s="31" t="str">
        <f t="shared" si="1036"/>
        <v/>
      </c>
      <c r="H777" s="13" t="str">
        <f t="shared" si="1036"/>
        <v/>
      </c>
      <c r="I777" s="13" t="str">
        <f t="shared" si="1036"/>
        <v/>
      </c>
      <c r="J777" s="107" t="str">
        <f t="array" ref="J777">IFERROR(IF(XLOOKUP(CONCAT(E777,F777),'MASTER PLAN'!$AB:$AB,'MASTER PLAN'!$M:$M,0,0)=0,"",XLOOKUP(CONCAT(E777,F777),'MASTER PLAN'!$AB:$AB,'MASTER PLAN'!$M:$M,0,0)),"")</f>
        <v/>
      </c>
      <c r="K777" s="107">
        <f t="shared" si="237"/>
        <v>0</v>
      </c>
      <c r="L777" s="107">
        <f t="shared" si="238"/>
        <v>0</v>
      </c>
      <c r="M777" s="105" t="s">
        <v>249</v>
      </c>
      <c r="AI777" s="42"/>
      <c r="BN777" s="42"/>
      <c r="CS777" s="42"/>
      <c r="DX777" s="42"/>
      <c r="FC777" s="42"/>
      <c r="GH777" s="42"/>
      <c r="HM777" s="42"/>
      <c r="IR777" s="42"/>
      <c r="JW777" s="42"/>
      <c r="LB777" s="42"/>
      <c r="MG777" s="42"/>
      <c r="NL777" s="42"/>
    </row>
    <row r="778" ht="15.75" customHeight="1">
      <c r="A778" s="42"/>
      <c r="B778" s="42"/>
      <c r="C778" s="42"/>
      <c r="D778" s="38">
        <f>JC2</f>
        <v>46022</v>
      </c>
      <c r="E778" s="31">
        <f t="shared" ref="E778:I778" si="1037">JC4</f>
        <v>1402049507</v>
      </c>
      <c r="F778" s="31">
        <f t="shared" si="1037"/>
        <v>20</v>
      </c>
      <c r="G778" s="31" t="str">
        <f t="shared" si="1037"/>
        <v>BOLSA PEARL FACTORY 159X90X210MM</v>
      </c>
      <c r="H778" s="13">
        <f t="shared" si="1037"/>
        <v>1500</v>
      </c>
      <c r="I778" s="13" t="str">
        <f t="shared" si="1037"/>
        <v/>
      </c>
      <c r="J778" s="107">
        <f t="array" ref="J778">IFERROR(IF(XLOOKUP(CONCAT(E778,F778),'MASTER PLAN'!$AB:$AB,'MASTER PLAN'!$M:$M,0,0)=0,"",XLOOKUP(CONCAT(E778,F778),'MASTER PLAN'!$AB:$AB,'MASTER PLAN'!$M:$M,0,0)),"")</f>
        <v>0.76</v>
      </c>
      <c r="K778" s="107">
        <f t="shared" si="237"/>
        <v>1140</v>
      </c>
      <c r="L778" s="107">
        <f t="shared" si="238"/>
        <v>0</v>
      </c>
      <c r="M778" s="105" t="s">
        <v>246</v>
      </c>
      <c r="AI778" s="42"/>
      <c r="BN778" s="42"/>
      <c r="CS778" s="42"/>
      <c r="DX778" s="42"/>
      <c r="FC778" s="42"/>
      <c r="GH778" s="42"/>
      <c r="HM778" s="42"/>
      <c r="IR778" s="42"/>
      <c r="JW778" s="42"/>
      <c r="LB778" s="42"/>
      <c r="MG778" s="42"/>
      <c r="NL778" s="42"/>
    </row>
    <row r="779" ht="15.75" customHeight="1">
      <c r="A779" s="42"/>
      <c r="B779" s="42"/>
      <c r="C779" s="42"/>
      <c r="D779" s="38">
        <f t="shared" ref="D779:D792" si="1039">D778</f>
        <v>46022</v>
      </c>
      <c r="E779" s="31" t="str">
        <f t="shared" ref="E779:I779" si="1038">JC5</f>
        <v/>
      </c>
      <c r="F779" s="31" t="str">
        <f t="shared" si="1038"/>
        <v/>
      </c>
      <c r="G779" s="31" t="str">
        <f t="shared" si="1038"/>
        <v/>
      </c>
      <c r="H779" s="13" t="str">
        <f t="shared" si="1038"/>
        <v/>
      </c>
      <c r="I779" s="13" t="str">
        <f t="shared" si="1038"/>
        <v/>
      </c>
      <c r="J779" s="107" t="str">
        <f t="array" ref="J779">IFERROR(IF(XLOOKUP(CONCAT(E779,F779),'MASTER PLAN'!$AB:$AB,'MASTER PLAN'!$M:$M,0,0)=0,"",XLOOKUP(CONCAT(E779,F779),'MASTER PLAN'!$AB:$AB,'MASTER PLAN'!$M:$M,0,0)),"")</f>
        <v/>
      </c>
      <c r="K779" s="107">
        <f t="shared" si="237"/>
        <v>0</v>
      </c>
      <c r="L779" s="107">
        <f t="shared" si="238"/>
        <v>0</v>
      </c>
      <c r="M779" s="105" t="s">
        <v>246</v>
      </c>
      <c r="AI779" s="42"/>
      <c r="BN779" s="42"/>
      <c r="CS779" s="42"/>
      <c r="DX779" s="42"/>
      <c r="FC779" s="42"/>
      <c r="GH779" s="42"/>
      <c r="HM779" s="42"/>
      <c r="IR779" s="42"/>
      <c r="JW779" s="42"/>
      <c r="LB779" s="42"/>
      <c r="MG779" s="42"/>
      <c r="NL779" s="42"/>
    </row>
    <row r="780" ht="15.75" customHeight="1">
      <c r="A780" s="42"/>
      <c r="B780" s="42"/>
      <c r="C780" s="42"/>
      <c r="D780" s="38">
        <f t="shared" si="1039"/>
        <v>46022</v>
      </c>
      <c r="E780" s="31" t="str">
        <f t="shared" ref="E780:I780" si="1040">JC6</f>
        <v/>
      </c>
      <c r="F780" s="31" t="str">
        <f t="shared" si="1040"/>
        <v/>
      </c>
      <c r="G780" s="31" t="str">
        <f t="shared" si="1040"/>
        <v/>
      </c>
      <c r="H780" s="13" t="str">
        <f t="shared" si="1040"/>
        <v/>
      </c>
      <c r="I780" s="13" t="str">
        <f t="shared" si="1040"/>
        <v/>
      </c>
      <c r="J780" s="107" t="str">
        <f t="array" ref="J780">IFERROR(IF(XLOOKUP(CONCAT(E780,F780),'MASTER PLAN'!$AB:$AB,'MASTER PLAN'!$M:$M,0,0)=0,"",XLOOKUP(CONCAT(E780,F780),'MASTER PLAN'!$AB:$AB,'MASTER PLAN'!$M:$M,0,0)),"")</f>
        <v/>
      </c>
      <c r="K780" s="107">
        <f t="shared" si="237"/>
        <v>0</v>
      </c>
      <c r="L780" s="107">
        <f t="shared" si="238"/>
        <v>0</v>
      </c>
      <c r="M780" s="105" t="s">
        <v>246</v>
      </c>
      <c r="AI780" s="42"/>
      <c r="BN780" s="42"/>
      <c r="CS780" s="42"/>
      <c r="DX780" s="42"/>
      <c r="FC780" s="42"/>
      <c r="GH780" s="42"/>
      <c r="HM780" s="42"/>
      <c r="IR780" s="42"/>
      <c r="JW780" s="42"/>
      <c r="LB780" s="42"/>
      <c r="MG780" s="42"/>
      <c r="NL780" s="42"/>
    </row>
    <row r="781" ht="15.75" customHeight="1">
      <c r="A781" s="42"/>
      <c r="B781" s="42"/>
      <c r="C781" s="42"/>
      <c r="D781" s="38">
        <f t="shared" si="1039"/>
        <v>46022</v>
      </c>
      <c r="E781" s="31" t="str">
        <f t="shared" ref="E781:I781" si="1041">JC7</f>
        <v/>
      </c>
      <c r="F781" s="31" t="str">
        <f t="shared" si="1041"/>
        <v/>
      </c>
      <c r="G781" s="31" t="str">
        <f t="shared" si="1041"/>
        <v/>
      </c>
      <c r="H781" s="13" t="str">
        <f t="shared" si="1041"/>
        <v/>
      </c>
      <c r="I781" s="13" t="str">
        <f t="shared" si="1041"/>
        <v/>
      </c>
      <c r="J781" s="107" t="str">
        <f t="array" ref="J781">IFERROR(IF(XLOOKUP(CONCAT(E781,F781),'MASTER PLAN'!$AB:$AB,'MASTER PLAN'!$M:$M,0,0)=0,"",XLOOKUP(CONCAT(E781,F781),'MASTER PLAN'!$AB:$AB,'MASTER PLAN'!$M:$M,0,0)),"")</f>
        <v/>
      </c>
      <c r="K781" s="107">
        <f t="shared" si="237"/>
        <v>0</v>
      </c>
      <c r="L781" s="107">
        <f t="shared" si="238"/>
        <v>0</v>
      </c>
      <c r="M781" s="105" t="s">
        <v>246</v>
      </c>
      <c r="AI781" s="42"/>
      <c r="BN781" s="42"/>
      <c r="CS781" s="42"/>
      <c r="DX781" s="42"/>
      <c r="FC781" s="42"/>
      <c r="GH781" s="42"/>
      <c r="HM781" s="42"/>
      <c r="IR781" s="42"/>
      <c r="JW781" s="42"/>
      <c r="LB781" s="42"/>
      <c r="MG781" s="42"/>
      <c r="NL781" s="42"/>
    </row>
    <row r="782" ht="15.75" customHeight="1">
      <c r="A782" s="42"/>
      <c r="B782" s="42"/>
      <c r="C782" s="42"/>
      <c r="D782" s="38">
        <f t="shared" si="1039"/>
        <v>46022</v>
      </c>
      <c r="E782" s="31" t="str">
        <f t="shared" ref="E782:I782" si="1042">JC8</f>
        <v/>
      </c>
      <c r="F782" s="31" t="str">
        <f t="shared" si="1042"/>
        <v/>
      </c>
      <c r="G782" s="31" t="str">
        <f t="shared" si="1042"/>
        <v/>
      </c>
      <c r="H782" s="13" t="str">
        <f t="shared" si="1042"/>
        <v/>
      </c>
      <c r="I782" s="13" t="str">
        <f t="shared" si="1042"/>
        <v/>
      </c>
      <c r="J782" s="107" t="str">
        <f t="array" ref="J782">IFERROR(IF(XLOOKUP(CONCAT(E782,F782),'MASTER PLAN'!$AB:$AB,'MASTER PLAN'!$M:$M,0,0)=0,"",XLOOKUP(CONCAT(E782,F782),'MASTER PLAN'!$AB:$AB,'MASTER PLAN'!$M:$M,0,0)),"")</f>
        <v/>
      </c>
      <c r="K782" s="107">
        <f t="shared" si="237"/>
        <v>0</v>
      </c>
      <c r="L782" s="107">
        <f t="shared" si="238"/>
        <v>0</v>
      </c>
      <c r="M782" s="105" t="s">
        <v>246</v>
      </c>
      <c r="AI782" s="42"/>
      <c r="BN782" s="42"/>
      <c r="CS782" s="42"/>
      <c r="DX782" s="42"/>
      <c r="FC782" s="42"/>
      <c r="GH782" s="42"/>
      <c r="HM782" s="42"/>
      <c r="IR782" s="42"/>
      <c r="JW782" s="42"/>
      <c r="LB782" s="42"/>
      <c r="MG782" s="42"/>
      <c r="NL782" s="42"/>
    </row>
    <row r="783" ht="15.75" customHeight="1">
      <c r="A783" s="42"/>
      <c r="B783" s="42"/>
      <c r="C783" s="42"/>
      <c r="D783" s="38">
        <f t="shared" si="1039"/>
        <v>46022</v>
      </c>
      <c r="E783" s="31">
        <f t="shared" ref="E783:I783" si="1043">JC12</f>
        <v>1402049475</v>
      </c>
      <c r="F783" s="31">
        <f t="shared" si="1043"/>
        <v>10</v>
      </c>
      <c r="G783" s="31" t="str">
        <f t="shared" si="1043"/>
        <v>BOLSA ROTTERMOND 9-75"X4"X7"</v>
      </c>
      <c r="H783" s="13">
        <f t="shared" si="1043"/>
        <v>1500</v>
      </c>
      <c r="I783" s="13" t="str">
        <f t="shared" si="1043"/>
        <v/>
      </c>
      <c r="J783" s="107">
        <f t="array" ref="J783">IFERROR(IF(XLOOKUP(CONCAT(E783,F783),'MASTER PLAN'!$AB:$AB,'MASTER PLAN'!$M:$M,0,0)=0,"",XLOOKUP(CONCAT(E783,F783),'MASTER PLAN'!$AB:$AB,'MASTER PLAN'!$M:$M,0,0)),"")</f>
        <v>3.624</v>
      </c>
      <c r="K783" s="107">
        <f t="shared" si="237"/>
        <v>5436</v>
      </c>
      <c r="L783" s="107">
        <f t="shared" si="238"/>
        <v>0</v>
      </c>
      <c r="M783" s="105" t="s">
        <v>248</v>
      </c>
      <c r="AI783" s="42"/>
      <c r="BN783" s="42"/>
      <c r="CS783" s="42"/>
      <c r="DX783" s="42"/>
      <c r="FC783" s="42"/>
      <c r="GH783" s="42"/>
      <c r="HM783" s="42"/>
      <c r="IR783" s="42"/>
      <c r="JW783" s="42"/>
      <c r="LB783" s="42"/>
      <c r="MG783" s="42"/>
      <c r="NL783" s="42"/>
    </row>
    <row r="784" ht="15.75" customHeight="1">
      <c r="A784" s="42"/>
      <c r="B784" s="42"/>
      <c r="C784" s="42"/>
      <c r="D784" s="38">
        <f t="shared" si="1039"/>
        <v>46022</v>
      </c>
      <c r="E784" s="31" t="str">
        <f t="shared" ref="E784:I784" si="1044">JC13</f>
        <v/>
      </c>
      <c r="F784" s="31" t="str">
        <f t="shared" si="1044"/>
        <v/>
      </c>
      <c r="G784" s="31" t="str">
        <f t="shared" si="1044"/>
        <v/>
      </c>
      <c r="H784" s="13" t="str">
        <f t="shared" si="1044"/>
        <v/>
      </c>
      <c r="I784" s="13" t="str">
        <f t="shared" si="1044"/>
        <v/>
      </c>
      <c r="J784" s="107" t="str">
        <f t="array" ref="J784">IFERROR(IF(XLOOKUP(CONCAT(E784,F784),'MASTER PLAN'!$AB:$AB,'MASTER PLAN'!$M:$M,0,0)=0,"",XLOOKUP(CONCAT(E784,F784),'MASTER PLAN'!$AB:$AB,'MASTER PLAN'!$M:$M,0,0)),"")</f>
        <v/>
      </c>
      <c r="K784" s="107">
        <f t="shared" si="237"/>
        <v>0</v>
      </c>
      <c r="L784" s="107">
        <f t="shared" si="238"/>
        <v>0</v>
      </c>
      <c r="M784" s="105" t="s">
        <v>248</v>
      </c>
      <c r="AI784" s="42"/>
      <c r="BN784" s="42"/>
      <c r="CS784" s="42"/>
      <c r="DX784" s="42"/>
      <c r="FC784" s="42"/>
      <c r="GH784" s="42"/>
      <c r="HM784" s="42"/>
      <c r="IR784" s="42"/>
      <c r="JW784" s="42"/>
      <c r="LB784" s="42"/>
      <c r="MG784" s="42"/>
      <c r="NL784" s="42"/>
    </row>
    <row r="785" ht="15.75" customHeight="1">
      <c r="A785" s="42"/>
      <c r="B785" s="42"/>
      <c r="C785" s="42"/>
      <c r="D785" s="38">
        <f t="shared" si="1039"/>
        <v>46022</v>
      </c>
      <c r="E785" s="31" t="str">
        <f t="shared" ref="E785:I785" si="1045">JC14</f>
        <v/>
      </c>
      <c r="F785" s="31" t="str">
        <f t="shared" si="1045"/>
        <v/>
      </c>
      <c r="G785" s="31" t="str">
        <f t="shared" si="1045"/>
        <v/>
      </c>
      <c r="H785" s="13" t="str">
        <f t="shared" si="1045"/>
        <v/>
      </c>
      <c r="I785" s="13" t="str">
        <f t="shared" si="1045"/>
        <v/>
      </c>
      <c r="J785" s="107" t="str">
        <f t="array" ref="J785">IFERROR(IF(XLOOKUP(CONCAT(E785,F785),'MASTER PLAN'!$AB:$AB,'MASTER PLAN'!$M:$M,0,0)=0,"",XLOOKUP(CONCAT(E785,F785),'MASTER PLAN'!$AB:$AB,'MASTER PLAN'!$M:$M,0,0)),"")</f>
        <v/>
      </c>
      <c r="K785" s="107">
        <f t="shared" si="237"/>
        <v>0</v>
      </c>
      <c r="L785" s="107">
        <f t="shared" si="238"/>
        <v>0</v>
      </c>
      <c r="M785" s="105" t="s">
        <v>248</v>
      </c>
      <c r="AI785" s="42"/>
      <c r="BN785" s="42"/>
      <c r="CS785" s="42"/>
      <c r="DX785" s="42"/>
      <c r="FC785" s="42"/>
      <c r="GH785" s="42"/>
      <c r="HM785" s="42"/>
      <c r="IR785" s="42"/>
      <c r="JW785" s="42"/>
      <c r="LB785" s="42"/>
      <c r="MG785" s="42"/>
      <c r="NL785" s="42"/>
    </row>
    <row r="786" ht="15.75" customHeight="1">
      <c r="A786" s="42"/>
      <c r="B786" s="42"/>
      <c r="C786" s="42"/>
      <c r="D786" s="38">
        <f t="shared" si="1039"/>
        <v>46022</v>
      </c>
      <c r="E786" s="31" t="str">
        <f t="shared" ref="E786:I786" si="1046">JC15</f>
        <v/>
      </c>
      <c r="F786" s="31" t="str">
        <f t="shared" si="1046"/>
        <v/>
      </c>
      <c r="G786" s="31" t="str">
        <f t="shared" si="1046"/>
        <v/>
      </c>
      <c r="H786" s="13" t="str">
        <f t="shared" si="1046"/>
        <v/>
      </c>
      <c r="I786" s="13" t="str">
        <f t="shared" si="1046"/>
        <v/>
      </c>
      <c r="J786" s="107" t="str">
        <f t="array" ref="J786">IFERROR(IF(XLOOKUP(CONCAT(E786,F786),'MASTER PLAN'!$AB:$AB,'MASTER PLAN'!$M:$M,0,0)=0,"",XLOOKUP(CONCAT(E786,F786),'MASTER PLAN'!$AB:$AB,'MASTER PLAN'!$M:$M,0,0)),"")</f>
        <v/>
      </c>
      <c r="K786" s="107">
        <f t="shared" si="237"/>
        <v>0</v>
      </c>
      <c r="L786" s="107">
        <f t="shared" si="238"/>
        <v>0</v>
      </c>
      <c r="M786" s="105" t="s">
        <v>248</v>
      </c>
      <c r="AI786" s="42"/>
      <c r="BN786" s="42"/>
      <c r="CS786" s="42"/>
      <c r="DX786" s="42"/>
      <c r="FC786" s="42"/>
      <c r="GH786" s="42"/>
      <c r="HM786" s="42"/>
      <c r="IR786" s="42"/>
      <c r="JW786" s="42"/>
      <c r="LB786" s="42"/>
      <c r="MG786" s="42"/>
      <c r="NL786" s="42"/>
    </row>
    <row r="787" ht="15.75" customHeight="1">
      <c r="A787" s="42"/>
      <c r="B787" s="42"/>
      <c r="C787" s="42"/>
      <c r="D787" s="38">
        <f t="shared" si="1039"/>
        <v>46022</v>
      </c>
      <c r="E787" s="31" t="str">
        <f t="shared" ref="E787:I787" si="1047">JC16</f>
        <v/>
      </c>
      <c r="F787" s="31" t="str">
        <f t="shared" si="1047"/>
        <v/>
      </c>
      <c r="G787" s="31" t="str">
        <f t="shared" si="1047"/>
        <v/>
      </c>
      <c r="H787" s="13" t="str">
        <f t="shared" si="1047"/>
        <v/>
      </c>
      <c r="I787" s="13" t="str">
        <f t="shared" si="1047"/>
        <v/>
      </c>
      <c r="J787" s="107" t="str">
        <f t="array" ref="J787">IFERROR(IF(XLOOKUP(CONCAT(E787,F787),'MASTER PLAN'!$AB:$AB,'MASTER PLAN'!$M:$M,0,0)=0,"",XLOOKUP(CONCAT(E787,F787),'MASTER PLAN'!$AB:$AB,'MASTER PLAN'!$M:$M,0,0)),"")</f>
        <v/>
      </c>
      <c r="K787" s="107">
        <f t="shared" si="237"/>
        <v>0</v>
      </c>
      <c r="L787" s="107">
        <f t="shared" si="238"/>
        <v>0</v>
      </c>
      <c r="M787" s="105" t="s">
        <v>248</v>
      </c>
      <c r="AI787" s="42"/>
      <c r="BN787" s="42"/>
      <c r="CS787" s="42"/>
      <c r="DX787" s="42"/>
      <c r="FC787" s="42"/>
      <c r="GH787" s="42"/>
      <c r="HM787" s="42"/>
      <c r="IR787" s="42"/>
      <c r="JW787" s="42"/>
      <c r="LB787" s="42"/>
      <c r="MG787" s="42"/>
      <c r="NL787" s="42"/>
    </row>
    <row r="788" ht="15.75" customHeight="1">
      <c r="A788" s="42"/>
      <c r="B788" s="42"/>
      <c r="C788" s="42"/>
      <c r="D788" s="38">
        <f t="shared" si="1039"/>
        <v>46022</v>
      </c>
      <c r="E788" s="31" t="str">
        <f t="shared" ref="E788:I788" si="1048">JC20</f>
        <v/>
      </c>
      <c r="F788" s="31" t="str">
        <f t="shared" si="1048"/>
        <v/>
      </c>
      <c r="G788" s="31" t="str">
        <f t="shared" si="1048"/>
        <v/>
      </c>
      <c r="H788" s="13" t="str">
        <f t="shared" si="1048"/>
        <v/>
      </c>
      <c r="I788" s="13" t="str">
        <f t="shared" si="1048"/>
        <v/>
      </c>
      <c r="J788" s="107" t="str">
        <f t="array" ref="J788">IFERROR(IF(XLOOKUP(CONCAT(E788,F788),'MASTER PLAN'!$AB:$AB,'MASTER PLAN'!$M:$M,0,0)=0,"",XLOOKUP(CONCAT(E788,F788),'MASTER PLAN'!$AB:$AB,'MASTER PLAN'!$M:$M,0,0)),"")</f>
        <v/>
      </c>
      <c r="K788" s="107">
        <f t="shared" si="237"/>
        <v>0</v>
      </c>
      <c r="L788" s="107">
        <f t="shared" si="238"/>
        <v>0</v>
      </c>
      <c r="M788" s="105" t="s">
        <v>249</v>
      </c>
      <c r="AI788" s="42"/>
      <c r="BN788" s="42"/>
      <c r="CS788" s="42"/>
      <c r="DX788" s="42"/>
      <c r="FC788" s="42"/>
      <c r="GH788" s="42"/>
      <c r="HM788" s="42"/>
      <c r="IR788" s="42"/>
      <c r="JW788" s="42"/>
      <c r="LB788" s="42"/>
      <c r="MG788" s="42"/>
      <c r="NL788" s="42"/>
    </row>
    <row r="789" ht="15.75" customHeight="1">
      <c r="A789" s="42"/>
      <c r="B789" s="42"/>
      <c r="C789" s="42"/>
      <c r="D789" s="38">
        <f t="shared" si="1039"/>
        <v>46022</v>
      </c>
      <c r="E789" s="31" t="str">
        <f t="shared" ref="E789:I789" si="1049">JC21</f>
        <v/>
      </c>
      <c r="F789" s="31" t="str">
        <f t="shared" si="1049"/>
        <v/>
      </c>
      <c r="G789" s="31" t="str">
        <f t="shared" si="1049"/>
        <v/>
      </c>
      <c r="H789" s="13" t="str">
        <f t="shared" si="1049"/>
        <v/>
      </c>
      <c r="I789" s="13" t="str">
        <f t="shared" si="1049"/>
        <v/>
      </c>
      <c r="J789" s="107" t="str">
        <f t="array" ref="J789">IFERROR(IF(XLOOKUP(CONCAT(E789,F789),'MASTER PLAN'!$AB:$AB,'MASTER PLAN'!$M:$M,0,0)=0,"",XLOOKUP(CONCAT(E789,F789),'MASTER PLAN'!$AB:$AB,'MASTER PLAN'!$M:$M,0,0)),"")</f>
        <v/>
      </c>
      <c r="K789" s="107">
        <f t="shared" si="237"/>
        <v>0</v>
      </c>
      <c r="L789" s="107">
        <f t="shared" si="238"/>
        <v>0</v>
      </c>
      <c r="M789" s="105" t="s">
        <v>249</v>
      </c>
      <c r="AI789" s="42"/>
      <c r="BN789" s="42"/>
      <c r="CS789" s="42"/>
      <c r="DX789" s="42"/>
      <c r="FC789" s="42"/>
      <c r="GH789" s="42"/>
      <c r="HM789" s="42"/>
      <c r="IR789" s="42"/>
      <c r="JW789" s="42"/>
      <c r="LB789" s="42"/>
      <c r="MG789" s="42"/>
      <c r="NL789" s="42"/>
    </row>
    <row r="790" ht="15.75" customHeight="1">
      <c r="A790" s="42"/>
      <c r="B790" s="42"/>
      <c r="C790" s="42"/>
      <c r="D790" s="38">
        <f t="shared" si="1039"/>
        <v>46022</v>
      </c>
      <c r="E790" s="31" t="str">
        <f t="shared" ref="E790:I790" si="1050">JC22</f>
        <v/>
      </c>
      <c r="F790" s="31" t="str">
        <f t="shared" si="1050"/>
        <v/>
      </c>
      <c r="G790" s="31" t="str">
        <f t="shared" si="1050"/>
        <v/>
      </c>
      <c r="H790" s="13" t="str">
        <f t="shared" si="1050"/>
        <v/>
      </c>
      <c r="I790" s="13" t="str">
        <f t="shared" si="1050"/>
        <v/>
      </c>
      <c r="J790" s="107" t="str">
        <f t="array" ref="J790">IFERROR(IF(XLOOKUP(CONCAT(E790,F790),'MASTER PLAN'!$AB:$AB,'MASTER PLAN'!$M:$M,0,0)=0,"",XLOOKUP(CONCAT(E790,F790),'MASTER PLAN'!$AB:$AB,'MASTER PLAN'!$M:$M,0,0)),"")</f>
        <v/>
      </c>
      <c r="K790" s="107">
        <f t="shared" si="237"/>
        <v>0</v>
      </c>
      <c r="L790" s="107">
        <f t="shared" si="238"/>
        <v>0</v>
      </c>
      <c r="M790" s="105" t="s">
        <v>249</v>
      </c>
      <c r="AI790" s="42"/>
      <c r="BN790" s="42"/>
      <c r="CS790" s="42"/>
      <c r="DX790" s="42"/>
      <c r="FC790" s="42"/>
      <c r="GH790" s="42"/>
      <c r="HM790" s="42"/>
      <c r="IR790" s="42"/>
      <c r="JW790" s="42"/>
      <c r="LB790" s="42"/>
      <c r="MG790" s="42"/>
      <c r="NL790" s="42"/>
    </row>
    <row r="791" ht="15.75" customHeight="1">
      <c r="A791" s="42"/>
      <c r="B791" s="42"/>
      <c r="C791" s="42"/>
      <c r="D791" s="38">
        <f t="shared" si="1039"/>
        <v>46022</v>
      </c>
      <c r="E791" s="31" t="str">
        <f t="shared" ref="E791:I791" si="1051">JC23</f>
        <v/>
      </c>
      <c r="F791" s="31" t="str">
        <f t="shared" si="1051"/>
        <v/>
      </c>
      <c r="G791" s="31" t="str">
        <f t="shared" si="1051"/>
        <v/>
      </c>
      <c r="H791" s="13" t="str">
        <f t="shared" si="1051"/>
        <v/>
      </c>
      <c r="I791" s="13" t="str">
        <f t="shared" si="1051"/>
        <v/>
      </c>
      <c r="J791" s="107" t="str">
        <f t="array" ref="J791">IFERROR(IF(XLOOKUP(CONCAT(E791,F791),'MASTER PLAN'!$AB:$AB,'MASTER PLAN'!$M:$M,0,0)=0,"",XLOOKUP(CONCAT(E791,F791),'MASTER PLAN'!$AB:$AB,'MASTER PLAN'!$M:$M,0,0)),"")</f>
        <v/>
      </c>
      <c r="K791" s="107">
        <f t="shared" si="237"/>
        <v>0</v>
      </c>
      <c r="L791" s="107">
        <f t="shared" si="238"/>
        <v>0</v>
      </c>
      <c r="M791" s="105" t="s">
        <v>249</v>
      </c>
      <c r="AI791" s="42"/>
      <c r="BN791" s="42"/>
      <c r="CS791" s="42"/>
      <c r="DX791" s="42"/>
      <c r="FC791" s="42"/>
      <c r="GH791" s="42"/>
      <c r="HM791" s="42"/>
      <c r="IR791" s="42"/>
      <c r="JW791" s="42"/>
      <c r="LB791" s="42"/>
      <c r="MG791" s="42"/>
      <c r="NL791" s="42"/>
    </row>
    <row r="792" ht="15.75" customHeight="1">
      <c r="A792" s="42"/>
      <c r="B792" s="42"/>
      <c r="C792" s="42"/>
      <c r="D792" s="38">
        <f t="shared" si="1039"/>
        <v>46022</v>
      </c>
      <c r="E792" s="31" t="str">
        <f t="shared" ref="E792:I792" si="1052">JC24</f>
        <v/>
      </c>
      <c r="F792" s="31" t="str">
        <f t="shared" si="1052"/>
        <v/>
      </c>
      <c r="G792" s="31" t="str">
        <f t="shared" si="1052"/>
        <v/>
      </c>
      <c r="H792" s="13" t="str">
        <f t="shared" si="1052"/>
        <v/>
      </c>
      <c r="I792" s="13" t="str">
        <f t="shared" si="1052"/>
        <v/>
      </c>
      <c r="J792" s="107" t="str">
        <f t="array" ref="J792">IFERROR(IF(XLOOKUP(CONCAT(E792,F792),'MASTER PLAN'!$AB:$AB,'MASTER PLAN'!$M:$M,0,0)=0,"",XLOOKUP(CONCAT(E792,F792),'MASTER PLAN'!$AB:$AB,'MASTER PLAN'!$M:$M,0,0)),"")</f>
        <v/>
      </c>
      <c r="K792" s="107">
        <f t="shared" si="237"/>
        <v>0</v>
      </c>
      <c r="L792" s="107">
        <f t="shared" si="238"/>
        <v>0</v>
      </c>
      <c r="M792" s="105" t="s">
        <v>249</v>
      </c>
      <c r="AI792" s="42"/>
      <c r="BN792" s="42"/>
      <c r="CS792" s="42"/>
      <c r="DX792" s="42"/>
      <c r="FC792" s="42"/>
      <c r="GH792" s="42"/>
      <c r="HM792" s="42"/>
      <c r="IR792" s="42"/>
      <c r="JW792" s="42"/>
      <c r="LB792" s="42"/>
      <c r="MG792" s="42"/>
      <c r="NL792" s="42"/>
    </row>
    <row r="793" ht="15.75" customHeight="1">
      <c r="A793" s="42"/>
      <c r="B793" s="42"/>
      <c r="C793" s="42"/>
      <c r="D793" s="38">
        <f>JH2</f>
        <v>46023</v>
      </c>
      <c r="E793" s="31" t="str">
        <f t="shared" ref="E793:I793" si="1053">JH4</f>
        <v/>
      </c>
      <c r="F793" s="31" t="str">
        <f t="shared" si="1053"/>
        <v/>
      </c>
      <c r="G793" s="31" t="str">
        <f t="shared" si="1053"/>
        <v/>
      </c>
      <c r="H793" s="13" t="str">
        <f t="shared" si="1053"/>
        <v/>
      </c>
      <c r="I793" s="13" t="str">
        <f t="shared" si="1053"/>
        <v/>
      </c>
      <c r="J793" s="107" t="str">
        <f t="array" ref="J793">IFERROR(IF(XLOOKUP(CONCAT(E793,F793),'MASTER PLAN'!$AB:$AB,'MASTER PLAN'!$M:$M,0,0)=0,"",XLOOKUP(CONCAT(E793,F793),'MASTER PLAN'!$AB:$AB,'MASTER PLAN'!$M:$M,0,0)),"")</f>
        <v/>
      </c>
      <c r="K793" s="107">
        <f t="shared" si="237"/>
        <v>0</v>
      </c>
      <c r="L793" s="107">
        <f t="shared" si="238"/>
        <v>0</v>
      </c>
      <c r="M793" s="105" t="s">
        <v>246</v>
      </c>
      <c r="AI793" s="42"/>
      <c r="BN793" s="42"/>
      <c r="CS793" s="42"/>
      <c r="DX793" s="42"/>
      <c r="FC793" s="42"/>
      <c r="GH793" s="42"/>
      <c r="HM793" s="42"/>
      <c r="IR793" s="42"/>
      <c r="JW793" s="42"/>
      <c r="LB793" s="42"/>
      <c r="MG793" s="42"/>
      <c r="NL793" s="42"/>
    </row>
    <row r="794" ht="15.75" customHeight="1">
      <c r="A794" s="42"/>
      <c r="B794" s="42"/>
      <c r="C794" s="42"/>
      <c r="D794" s="38">
        <f t="shared" ref="D794:D807" si="1055">D793</f>
        <v>46023</v>
      </c>
      <c r="E794" s="31" t="str">
        <f t="shared" ref="E794:I794" si="1054">JH5</f>
        <v/>
      </c>
      <c r="F794" s="31" t="str">
        <f t="shared" si="1054"/>
        <v/>
      </c>
      <c r="G794" s="31" t="str">
        <f t="shared" si="1054"/>
        <v/>
      </c>
      <c r="H794" s="13" t="str">
        <f t="shared" si="1054"/>
        <v/>
      </c>
      <c r="I794" s="13" t="str">
        <f t="shared" si="1054"/>
        <v/>
      </c>
      <c r="J794" s="107" t="str">
        <f t="array" ref="J794">IFERROR(IF(XLOOKUP(CONCAT(E794,F794),'MASTER PLAN'!$AB:$AB,'MASTER PLAN'!$M:$M,0,0)=0,"",XLOOKUP(CONCAT(E794,F794),'MASTER PLAN'!$AB:$AB,'MASTER PLAN'!$M:$M,0,0)),"")</f>
        <v/>
      </c>
      <c r="K794" s="107">
        <f t="shared" si="237"/>
        <v>0</v>
      </c>
      <c r="L794" s="107">
        <f t="shared" si="238"/>
        <v>0</v>
      </c>
      <c r="M794" s="105" t="s">
        <v>246</v>
      </c>
      <c r="AI794" s="42"/>
      <c r="BN794" s="42"/>
      <c r="CS794" s="42"/>
      <c r="DX794" s="42"/>
      <c r="FC794" s="42"/>
      <c r="GH794" s="42"/>
      <c r="HM794" s="42"/>
      <c r="IR794" s="42"/>
      <c r="JW794" s="42"/>
      <c r="LB794" s="42"/>
      <c r="MG794" s="42"/>
      <c r="NL794" s="42"/>
    </row>
    <row r="795" ht="15.75" customHeight="1">
      <c r="A795" s="42"/>
      <c r="B795" s="42"/>
      <c r="C795" s="42"/>
      <c r="D795" s="38">
        <f t="shared" si="1055"/>
        <v>46023</v>
      </c>
      <c r="E795" s="31" t="str">
        <f t="shared" ref="E795:I795" si="1056">JH6</f>
        <v/>
      </c>
      <c r="F795" s="31" t="str">
        <f t="shared" si="1056"/>
        <v/>
      </c>
      <c r="G795" s="31" t="str">
        <f t="shared" si="1056"/>
        <v/>
      </c>
      <c r="H795" s="13" t="str">
        <f t="shared" si="1056"/>
        <v/>
      </c>
      <c r="I795" s="13" t="str">
        <f t="shared" si="1056"/>
        <v/>
      </c>
      <c r="J795" s="107" t="str">
        <f t="array" ref="J795">IFERROR(IF(XLOOKUP(CONCAT(E795,F795),'MASTER PLAN'!$AB:$AB,'MASTER PLAN'!$M:$M,0,0)=0,"",XLOOKUP(CONCAT(E795,F795),'MASTER PLAN'!$AB:$AB,'MASTER PLAN'!$M:$M,0,0)),"")</f>
        <v/>
      </c>
      <c r="K795" s="107">
        <f t="shared" si="237"/>
        <v>0</v>
      </c>
      <c r="L795" s="107">
        <f t="shared" si="238"/>
        <v>0</v>
      </c>
      <c r="M795" s="105" t="s">
        <v>246</v>
      </c>
      <c r="AI795" s="42"/>
      <c r="BN795" s="42"/>
      <c r="CS795" s="42"/>
      <c r="DX795" s="42"/>
      <c r="FC795" s="42"/>
      <c r="GH795" s="42"/>
      <c r="HM795" s="42"/>
      <c r="IR795" s="42"/>
      <c r="JW795" s="42"/>
      <c r="LB795" s="42"/>
      <c r="MG795" s="42"/>
      <c r="NL795" s="42"/>
    </row>
    <row r="796" ht="15.75" customHeight="1">
      <c r="A796" s="42"/>
      <c r="B796" s="42"/>
      <c r="C796" s="42"/>
      <c r="D796" s="38">
        <f t="shared" si="1055"/>
        <v>46023</v>
      </c>
      <c r="E796" s="31" t="str">
        <f t="shared" ref="E796:I796" si="1057">JH7</f>
        <v/>
      </c>
      <c r="F796" s="31" t="str">
        <f t="shared" si="1057"/>
        <v/>
      </c>
      <c r="G796" s="31" t="str">
        <f t="shared" si="1057"/>
        <v/>
      </c>
      <c r="H796" s="13" t="str">
        <f t="shared" si="1057"/>
        <v/>
      </c>
      <c r="I796" s="13" t="str">
        <f t="shared" si="1057"/>
        <v/>
      </c>
      <c r="J796" s="107" t="str">
        <f t="array" ref="J796">IFERROR(IF(XLOOKUP(CONCAT(E796,F796),'MASTER PLAN'!$AB:$AB,'MASTER PLAN'!$M:$M,0,0)=0,"",XLOOKUP(CONCAT(E796,F796),'MASTER PLAN'!$AB:$AB,'MASTER PLAN'!$M:$M,0,0)),"")</f>
        <v/>
      </c>
      <c r="K796" s="107">
        <f t="shared" si="237"/>
        <v>0</v>
      </c>
      <c r="L796" s="107">
        <f t="shared" si="238"/>
        <v>0</v>
      </c>
      <c r="M796" s="105" t="s">
        <v>246</v>
      </c>
      <c r="AI796" s="42"/>
      <c r="BN796" s="42"/>
      <c r="CS796" s="42"/>
      <c r="DX796" s="42"/>
      <c r="FC796" s="42"/>
      <c r="GH796" s="42"/>
      <c r="HM796" s="42"/>
      <c r="IR796" s="42"/>
      <c r="JW796" s="42"/>
      <c r="LB796" s="42"/>
      <c r="MG796" s="42"/>
      <c r="NL796" s="42"/>
    </row>
    <row r="797" ht="15.75" customHeight="1">
      <c r="A797" s="42"/>
      <c r="B797" s="42"/>
      <c r="C797" s="42"/>
      <c r="D797" s="38">
        <f t="shared" si="1055"/>
        <v>46023</v>
      </c>
      <c r="E797" s="31" t="str">
        <f t="shared" ref="E797:I797" si="1058">JH8</f>
        <v/>
      </c>
      <c r="F797" s="31" t="str">
        <f t="shared" si="1058"/>
        <v/>
      </c>
      <c r="G797" s="31" t="str">
        <f t="shared" si="1058"/>
        <v/>
      </c>
      <c r="H797" s="13" t="str">
        <f t="shared" si="1058"/>
        <v/>
      </c>
      <c r="I797" s="13" t="str">
        <f t="shared" si="1058"/>
        <v/>
      </c>
      <c r="J797" s="107" t="str">
        <f t="array" ref="J797">IFERROR(IF(XLOOKUP(CONCAT(E797,F797),'MASTER PLAN'!$AB:$AB,'MASTER PLAN'!$M:$M,0,0)=0,"",XLOOKUP(CONCAT(E797,F797),'MASTER PLAN'!$AB:$AB,'MASTER PLAN'!$M:$M,0,0)),"")</f>
        <v/>
      </c>
      <c r="K797" s="107">
        <f t="shared" si="237"/>
        <v>0</v>
      </c>
      <c r="L797" s="107">
        <f t="shared" si="238"/>
        <v>0</v>
      </c>
      <c r="M797" s="105" t="s">
        <v>246</v>
      </c>
      <c r="AI797" s="42"/>
      <c r="BN797" s="42"/>
      <c r="CS797" s="42"/>
      <c r="DX797" s="42"/>
      <c r="FC797" s="42"/>
      <c r="GH797" s="42"/>
      <c r="HM797" s="42"/>
      <c r="IR797" s="42"/>
      <c r="JW797" s="42"/>
      <c r="LB797" s="42"/>
      <c r="MG797" s="42"/>
      <c r="NL797" s="42"/>
    </row>
    <row r="798" ht="15.75" customHeight="1">
      <c r="A798" s="42"/>
      <c r="B798" s="42"/>
      <c r="C798" s="42"/>
      <c r="D798" s="38">
        <f t="shared" si="1055"/>
        <v>46023</v>
      </c>
      <c r="E798" s="31" t="str">
        <f t="shared" ref="E798:I798" si="1059">JH12</f>
        <v/>
      </c>
      <c r="F798" s="31" t="str">
        <f t="shared" si="1059"/>
        <v/>
      </c>
      <c r="G798" s="31" t="str">
        <f t="shared" si="1059"/>
        <v/>
      </c>
      <c r="H798" s="13" t="str">
        <f t="shared" si="1059"/>
        <v/>
      </c>
      <c r="I798" s="13" t="str">
        <f t="shared" si="1059"/>
        <v/>
      </c>
      <c r="J798" s="107" t="str">
        <f t="array" ref="J798">IFERROR(IF(XLOOKUP(CONCAT(E798,F798),'MASTER PLAN'!$AB:$AB,'MASTER PLAN'!$M:$M,0,0)=0,"",XLOOKUP(CONCAT(E798,F798),'MASTER PLAN'!$AB:$AB,'MASTER PLAN'!$M:$M,0,0)),"")</f>
        <v/>
      </c>
      <c r="K798" s="107">
        <f t="shared" si="237"/>
        <v>0</v>
      </c>
      <c r="L798" s="107">
        <f t="shared" si="238"/>
        <v>0</v>
      </c>
      <c r="M798" s="105" t="s">
        <v>248</v>
      </c>
      <c r="AI798" s="42"/>
      <c r="BN798" s="42"/>
      <c r="CS798" s="42"/>
      <c r="DX798" s="42"/>
      <c r="FC798" s="42"/>
      <c r="GH798" s="42"/>
      <c r="HM798" s="42"/>
      <c r="IR798" s="42"/>
      <c r="JW798" s="42"/>
      <c r="LB798" s="42"/>
      <c r="MG798" s="42"/>
      <c r="NL798" s="42"/>
    </row>
    <row r="799" ht="15.75" customHeight="1">
      <c r="A799" s="42"/>
      <c r="B799" s="42"/>
      <c r="C799" s="42"/>
      <c r="D799" s="38">
        <f t="shared" si="1055"/>
        <v>46023</v>
      </c>
      <c r="E799" s="31" t="str">
        <f t="shared" ref="E799:I799" si="1060">JH13</f>
        <v/>
      </c>
      <c r="F799" s="31" t="str">
        <f t="shared" si="1060"/>
        <v/>
      </c>
      <c r="G799" s="31" t="str">
        <f t="shared" si="1060"/>
        <v/>
      </c>
      <c r="H799" s="13" t="str">
        <f t="shared" si="1060"/>
        <v/>
      </c>
      <c r="I799" s="13" t="str">
        <f t="shared" si="1060"/>
        <v/>
      </c>
      <c r="J799" s="107" t="str">
        <f t="array" ref="J799">IFERROR(IF(XLOOKUP(CONCAT(E799,F799),'MASTER PLAN'!$AB:$AB,'MASTER PLAN'!$M:$M,0,0)=0,"",XLOOKUP(CONCAT(E799,F799),'MASTER PLAN'!$AB:$AB,'MASTER PLAN'!$M:$M,0,0)),"")</f>
        <v/>
      </c>
      <c r="K799" s="107">
        <f t="shared" si="237"/>
        <v>0</v>
      </c>
      <c r="L799" s="107">
        <f t="shared" si="238"/>
        <v>0</v>
      </c>
      <c r="M799" s="105" t="s">
        <v>248</v>
      </c>
      <c r="AI799" s="42"/>
      <c r="BN799" s="42"/>
      <c r="CS799" s="42"/>
      <c r="DX799" s="42"/>
      <c r="FC799" s="42"/>
      <c r="GH799" s="42"/>
      <c r="HM799" s="42"/>
      <c r="IR799" s="42"/>
      <c r="JW799" s="42"/>
      <c r="LB799" s="42"/>
      <c r="MG799" s="42"/>
      <c r="NL799" s="42"/>
    </row>
    <row r="800" ht="15.75" customHeight="1">
      <c r="A800" s="42"/>
      <c r="B800" s="42"/>
      <c r="C800" s="42"/>
      <c r="D800" s="38">
        <f t="shared" si="1055"/>
        <v>46023</v>
      </c>
      <c r="E800" s="31" t="str">
        <f t="shared" ref="E800:I800" si="1061">JH14</f>
        <v/>
      </c>
      <c r="F800" s="31" t="str">
        <f t="shared" si="1061"/>
        <v/>
      </c>
      <c r="G800" s="31" t="str">
        <f t="shared" si="1061"/>
        <v/>
      </c>
      <c r="H800" s="13" t="str">
        <f t="shared" si="1061"/>
        <v/>
      </c>
      <c r="I800" s="13" t="str">
        <f t="shared" si="1061"/>
        <v/>
      </c>
      <c r="J800" s="107" t="str">
        <f t="array" ref="J800">IFERROR(IF(XLOOKUP(CONCAT(E800,F800),'MASTER PLAN'!$AB:$AB,'MASTER PLAN'!$M:$M,0,0)=0,"",XLOOKUP(CONCAT(E800,F800),'MASTER PLAN'!$AB:$AB,'MASTER PLAN'!$M:$M,0,0)),"")</f>
        <v/>
      </c>
      <c r="K800" s="107">
        <f t="shared" si="237"/>
        <v>0</v>
      </c>
      <c r="L800" s="107">
        <f t="shared" si="238"/>
        <v>0</v>
      </c>
      <c r="M800" s="105" t="s">
        <v>248</v>
      </c>
      <c r="AI800" s="42"/>
      <c r="BN800" s="42"/>
      <c r="CS800" s="42"/>
      <c r="DX800" s="42"/>
      <c r="FC800" s="42"/>
      <c r="GH800" s="42"/>
      <c r="HM800" s="42"/>
      <c r="IR800" s="42"/>
      <c r="JW800" s="42"/>
      <c r="LB800" s="42"/>
      <c r="MG800" s="42"/>
      <c r="NL800" s="42"/>
    </row>
    <row r="801" ht="15.75" customHeight="1">
      <c r="A801" s="42"/>
      <c r="B801" s="42"/>
      <c r="C801" s="42"/>
      <c r="D801" s="38">
        <f t="shared" si="1055"/>
        <v>46023</v>
      </c>
      <c r="E801" s="31" t="str">
        <f t="shared" ref="E801:I801" si="1062">JH15</f>
        <v/>
      </c>
      <c r="F801" s="31" t="str">
        <f t="shared" si="1062"/>
        <v/>
      </c>
      <c r="G801" s="31" t="str">
        <f t="shared" si="1062"/>
        <v/>
      </c>
      <c r="H801" s="13" t="str">
        <f t="shared" si="1062"/>
        <v/>
      </c>
      <c r="I801" s="13" t="str">
        <f t="shared" si="1062"/>
        <v/>
      </c>
      <c r="J801" s="107" t="str">
        <f t="array" ref="J801">IFERROR(IF(XLOOKUP(CONCAT(E801,F801),'MASTER PLAN'!$AB:$AB,'MASTER PLAN'!$M:$M,0,0)=0,"",XLOOKUP(CONCAT(E801,F801),'MASTER PLAN'!$AB:$AB,'MASTER PLAN'!$M:$M,0,0)),"")</f>
        <v/>
      </c>
      <c r="K801" s="107">
        <f t="shared" si="237"/>
        <v>0</v>
      </c>
      <c r="L801" s="107">
        <f t="shared" si="238"/>
        <v>0</v>
      </c>
      <c r="M801" s="105" t="s">
        <v>248</v>
      </c>
      <c r="AI801" s="42"/>
      <c r="BN801" s="42"/>
      <c r="CS801" s="42"/>
      <c r="DX801" s="42"/>
      <c r="FC801" s="42"/>
      <c r="GH801" s="42"/>
      <c r="HM801" s="42"/>
      <c r="IR801" s="42"/>
      <c r="JW801" s="42"/>
      <c r="LB801" s="42"/>
      <c r="MG801" s="42"/>
      <c r="NL801" s="42"/>
    </row>
    <row r="802" ht="15.75" customHeight="1">
      <c r="A802" s="42"/>
      <c r="B802" s="42"/>
      <c r="C802" s="42"/>
      <c r="D802" s="38">
        <f t="shared" si="1055"/>
        <v>46023</v>
      </c>
      <c r="E802" s="31" t="str">
        <f t="shared" ref="E802:I802" si="1063">JH16</f>
        <v/>
      </c>
      <c r="F802" s="31" t="str">
        <f t="shared" si="1063"/>
        <v/>
      </c>
      <c r="G802" s="31" t="str">
        <f t="shared" si="1063"/>
        <v/>
      </c>
      <c r="H802" s="13" t="str">
        <f t="shared" si="1063"/>
        <v/>
      </c>
      <c r="I802" s="13" t="str">
        <f t="shared" si="1063"/>
        <v/>
      </c>
      <c r="J802" s="107" t="str">
        <f t="array" ref="J802">IFERROR(IF(XLOOKUP(CONCAT(E802,F802),'MASTER PLAN'!$AB:$AB,'MASTER PLAN'!$M:$M,0,0)=0,"",XLOOKUP(CONCAT(E802,F802),'MASTER PLAN'!$AB:$AB,'MASTER PLAN'!$M:$M,0,0)),"")</f>
        <v/>
      </c>
      <c r="K802" s="107">
        <f t="shared" si="237"/>
        <v>0</v>
      </c>
      <c r="L802" s="107">
        <f t="shared" si="238"/>
        <v>0</v>
      </c>
      <c r="M802" s="105" t="s">
        <v>248</v>
      </c>
      <c r="AI802" s="42"/>
      <c r="BN802" s="42"/>
      <c r="CS802" s="42"/>
      <c r="DX802" s="42"/>
      <c r="FC802" s="42"/>
      <c r="GH802" s="42"/>
      <c r="HM802" s="42"/>
      <c r="IR802" s="42"/>
      <c r="JW802" s="42"/>
      <c r="LB802" s="42"/>
      <c r="MG802" s="42"/>
      <c r="NL802" s="42"/>
    </row>
    <row r="803" ht="15.75" customHeight="1">
      <c r="A803" s="42"/>
      <c r="B803" s="42"/>
      <c r="C803" s="42"/>
      <c r="D803" s="38">
        <f t="shared" si="1055"/>
        <v>46023</v>
      </c>
      <c r="E803" s="31" t="str">
        <f t="shared" ref="E803:I803" si="1064">JH20</f>
        <v/>
      </c>
      <c r="F803" s="31" t="str">
        <f t="shared" si="1064"/>
        <v/>
      </c>
      <c r="G803" s="31" t="str">
        <f t="shared" si="1064"/>
        <v/>
      </c>
      <c r="H803" s="13" t="str">
        <f t="shared" si="1064"/>
        <v/>
      </c>
      <c r="I803" s="13" t="str">
        <f t="shared" si="1064"/>
        <v/>
      </c>
      <c r="J803" s="107" t="str">
        <f t="array" ref="J803">IFERROR(IF(XLOOKUP(CONCAT(E803,F803),'MASTER PLAN'!$AB:$AB,'MASTER PLAN'!$M:$M,0,0)=0,"",XLOOKUP(CONCAT(E803,F803),'MASTER PLAN'!$AB:$AB,'MASTER PLAN'!$M:$M,0,0)),"")</f>
        <v/>
      </c>
      <c r="K803" s="107">
        <f t="shared" si="237"/>
        <v>0</v>
      </c>
      <c r="L803" s="107">
        <f t="shared" si="238"/>
        <v>0</v>
      </c>
      <c r="M803" s="105" t="s">
        <v>249</v>
      </c>
      <c r="AI803" s="42"/>
      <c r="BN803" s="42"/>
      <c r="CS803" s="42"/>
      <c r="DX803" s="42"/>
      <c r="FC803" s="42"/>
      <c r="GH803" s="42"/>
      <c r="HM803" s="42"/>
      <c r="IR803" s="42"/>
      <c r="JW803" s="42"/>
      <c r="LB803" s="42"/>
      <c r="MG803" s="42"/>
      <c r="NL803" s="42"/>
    </row>
    <row r="804" ht="15.75" customHeight="1">
      <c r="A804" s="42"/>
      <c r="B804" s="42"/>
      <c r="C804" s="42"/>
      <c r="D804" s="38">
        <f t="shared" si="1055"/>
        <v>46023</v>
      </c>
      <c r="E804" s="31" t="str">
        <f t="shared" ref="E804:I804" si="1065">JH21</f>
        <v/>
      </c>
      <c r="F804" s="31" t="str">
        <f t="shared" si="1065"/>
        <v/>
      </c>
      <c r="G804" s="31" t="str">
        <f t="shared" si="1065"/>
        <v/>
      </c>
      <c r="H804" s="13" t="str">
        <f t="shared" si="1065"/>
        <v/>
      </c>
      <c r="I804" s="13" t="str">
        <f t="shared" si="1065"/>
        <v/>
      </c>
      <c r="J804" s="107" t="str">
        <f t="array" ref="J804">IFERROR(IF(XLOOKUP(CONCAT(E804,F804),'MASTER PLAN'!$AB:$AB,'MASTER PLAN'!$M:$M,0,0)=0,"",XLOOKUP(CONCAT(E804,F804),'MASTER PLAN'!$AB:$AB,'MASTER PLAN'!$M:$M,0,0)),"")</f>
        <v/>
      </c>
      <c r="K804" s="107">
        <f t="shared" si="237"/>
        <v>0</v>
      </c>
      <c r="L804" s="107">
        <f t="shared" si="238"/>
        <v>0</v>
      </c>
      <c r="M804" s="105" t="s">
        <v>249</v>
      </c>
      <c r="AI804" s="42"/>
      <c r="BN804" s="42"/>
      <c r="CS804" s="42"/>
      <c r="DX804" s="42"/>
      <c r="FC804" s="42"/>
      <c r="GH804" s="42"/>
      <c r="HM804" s="42"/>
      <c r="IR804" s="42"/>
      <c r="JW804" s="42"/>
      <c r="LB804" s="42"/>
      <c r="MG804" s="42"/>
      <c r="NL804" s="42"/>
    </row>
    <row r="805" ht="15.75" customHeight="1">
      <c r="A805" s="42"/>
      <c r="B805" s="42"/>
      <c r="C805" s="42"/>
      <c r="D805" s="38">
        <f t="shared" si="1055"/>
        <v>46023</v>
      </c>
      <c r="E805" s="31" t="str">
        <f t="shared" ref="E805:I805" si="1066">JH22</f>
        <v/>
      </c>
      <c r="F805" s="31" t="str">
        <f t="shared" si="1066"/>
        <v/>
      </c>
      <c r="G805" s="31" t="str">
        <f t="shared" si="1066"/>
        <v/>
      </c>
      <c r="H805" s="13" t="str">
        <f t="shared" si="1066"/>
        <v/>
      </c>
      <c r="I805" s="13" t="str">
        <f t="shared" si="1066"/>
        <v/>
      </c>
      <c r="J805" s="107" t="str">
        <f t="array" ref="J805">IFERROR(IF(XLOOKUP(CONCAT(E805,F805),'MASTER PLAN'!$AB:$AB,'MASTER PLAN'!$M:$M,0,0)=0,"",XLOOKUP(CONCAT(E805,F805),'MASTER PLAN'!$AB:$AB,'MASTER PLAN'!$M:$M,0,0)),"")</f>
        <v/>
      </c>
      <c r="K805" s="107">
        <f t="shared" si="237"/>
        <v>0</v>
      </c>
      <c r="L805" s="107">
        <f t="shared" si="238"/>
        <v>0</v>
      </c>
      <c r="M805" s="105" t="s">
        <v>249</v>
      </c>
      <c r="AI805" s="42"/>
      <c r="BN805" s="42"/>
      <c r="CS805" s="42"/>
      <c r="DX805" s="42"/>
      <c r="FC805" s="42"/>
      <c r="GH805" s="42"/>
      <c r="HM805" s="42"/>
      <c r="IR805" s="42"/>
      <c r="JW805" s="42"/>
      <c r="LB805" s="42"/>
      <c r="MG805" s="42"/>
      <c r="NL805" s="42"/>
    </row>
    <row r="806" ht="15.75" customHeight="1">
      <c r="A806" s="42"/>
      <c r="B806" s="42"/>
      <c r="C806" s="42"/>
      <c r="D806" s="38">
        <f t="shared" si="1055"/>
        <v>46023</v>
      </c>
      <c r="E806" s="31" t="str">
        <f t="shared" ref="E806:I806" si="1067">JH23</f>
        <v/>
      </c>
      <c r="F806" s="31" t="str">
        <f t="shared" si="1067"/>
        <v/>
      </c>
      <c r="G806" s="31" t="str">
        <f t="shared" si="1067"/>
        <v/>
      </c>
      <c r="H806" s="13" t="str">
        <f t="shared" si="1067"/>
        <v/>
      </c>
      <c r="I806" s="13" t="str">
        <f t="shared" si="1067"/>
        <v/>
      </c>
      <c r="J806" s="107" t="str">
        <f t="array" ref="J806">IFERROR(IF(XLOOKUP(CONCAT(E806,F806),'MASTER PLAN'!$AB:$AB,'MASTER PLAN'!$M:$M,0,0)=0,"",XLOOKUP(CONCAT(E806,F806),'MASTER PLAN'!$AB:$AB,'MASTER PLAN'!$M:$M,0,0)),"")</f>
        <v/>
      </c>
      <c r="K806" s="107">
        <f t="shared" si="237"/>
        <v>0</v>
      </c>
      <c r="L806" s="107">
        <f t="shared" si="238"/>
        <v>0</v>
      </c>
      <c r="M806" s="105" t="s">
        <v>249</v>
      </c>
      <c r="AI806" s="42"/>
      <c r="BN806" s="42"/>
      <c r="CS806" s="42"/>
      <c r="DX806" s="42"/>
      <c r="FC806" s="42"/>
      <c r="GH806" s="42"/>
      <c r="HM806" s="42"/>
      <c r="IR806" s="42"/>
      <c r="JW806" s="42"/>
      <c r="LB806" s="42"/>
      <c r="MG806" s="42"/>
      <c r="NL806" s="42"/>
    </row>
    <row r="807" ht="15.75" customHeight="1">
      <c r="A807" s="42"/>
      <c r="B807" s="42"/>
      <c r="C807" s="42"/>
      <c r="D807" s="38">
        <f t="shared" si="1055"/>
        <v>46023</v>
      </c>
      <c r="E807" s="31" t="str">
        <f t="shared" ref="E807:I807" si="1068">JH24</f>
        <v/>
      </c>
      <c r="F807" s="31" t="str">
        <f t="shared" si="1068"/>
        <v/>
      </c>
      <c r="G807" s="31" t="str">
        <f t="shared" si="1068"/>
        <v/>
      </c>
      <c r="H807" s="13" t="str">
        <f t="shared" si="1068"/>
        <v/>
      </c>
      <c r="I807" s="13" t="str">
        <f t="shared" si="1068"/>
        <v/>
      </c>
      <c r="J807" s="107" t="str">
        <f t="array" ref="J807">IFERROR(IF(XLOOKUP(CONCAT(E807,F807),'MASTER PLAN'!$AB:$AB,'MASTER PLAN'!$M:$M,0,0)=0,"",XLOOKUP(CONCAT(E807,F807),'MASTER PLAN'!$AB:$AB,'MASTER PLAN'!$M:$M,0,0)),"")</f>
        <v/>
      </c>
      <c r="K807" s="107">
        <f t="shared" si="237"/>
        <v>0</v>
      </c>
      <c r="L807" s="107">
        <f t="shared" si="238"/>
        <v>0</v>
      </c>
      <c r="M807" s="105" t="s">
        <v>249</v>
      </c>
      <c r="AI807" s="42"/>
      <c r="BN807" s="42"/>
      <c r="CS807" s="42"/>
      <c r="DX807" s="42"/>
      <c r="FC807" s="42"/>
      <c r="GH807" s="42"/>
      <c r="HM807" s="42"/>
      <c r="IR807" s="42"/>
      <c r="JW807" s="42"/>
      <c r="LB807" s="42"/>
      <c r="MG807" s="42"/>
      <c r="NL807" s="42"/>
    </row>
    <row r="808" ht="15.75" customHeight="1">
      <c r="A808" s="42"/>
      <c r="B808" s="42"/>
      <c r="C808" s="42"/>
      <c r="D808" s="38">
        <f>JM2</f>
        <v>46024</v>
      </c>
      <c r="E808" s="31">
        <f t="shared" ref="E808:I808" si="1069">JM4</f>
        <v>1402049507</v>
      </c>
      <c r="F808" s="31">
        <f t="shared" si="1069"/>
        <v>20</v>
      </c>
      <c r="G808" s="31" t="str">
        <f t="shared" si="1069"/>
        <v>BOLSA PEARL FACTORY 159X90X210MM</v>
      </c>
      <c r="H808" s="13">
        <f t="shared" si="1069"/>
        <v>3000</v>
      </c>
      <c r="I808" s="13" t="str">
        <f t="shared" si="1069"/>
        <v/>
      </c>
      <c r="J808" s="107">
        <f t="array" ref="J808">IFERROR(IF(XLOOKUP(CONCAT(E808,F808),'MASTER PLAN'!$AB:$AB,'MASTER PLAN'!$M:$M,0,0)=0,"",XLOOKUP(CONCAT(E808,F808),'MASTER PLAN'!$AB:$AB,'MASTER PLAN'!$M:$M,0,0)),"")</f>
        <v>0.76</v>
      </c>
      <c r="K808" s="107">
        <f t="shared" si="237"/>
        <v>2280</v>
      </c>
      <c r="L808" s="107">
        <f t="shared" si="238"/>
        <v>0</v>
      </c>
      <c r="M808" s="105" t="s">
        <v>246</v>
      </c>
      <c r="AI808" s="42"/>
      <c r="BN808" s="42"/>
      <c r="CS808" s="42"/>
      <c r="DX808" s="42"/>
      <c r="FC808" s="42"/>
      <c r="GH808" s="42"/>
      <c r="HM808" s="42"/>
      <c r="IR808" s="42"/>
      <c r="JW808" s="42"/>
      <c r="LB808" s="42"/>
      <c r="MG808" s="42"/>
      <c r="NL808" s="42"/>
    </row>
    <row r="809" ht="15.75" customHeight="1">
      <c r="A809" s="42"/>
      <c r="B809" s="42"/>
      <c r="C809" s="42"/>
      <c r="D809" s="38">
        <f t="shared" ref="D809:D822" si="1071">D808</f>
        <v>46024</v>
      </c>
      <c r="E809" s="31" t="str">
        <f t="shared" ref="E809:I809" si="1070">JM5</f>
        <v/>
      </c>
      <c r="F809" s="31" t="str">
        <f t="shared" si="1070"/>
        <v/>
      </c>
      <c r="G809" s="31" t="str">
        <f t="shared" si="1070"/>
        <v/>
      </c>
      <c r="H809" s="13" t="str">
        <f t="shared" si="1070"/>
        <v/>
      </c>
      <c r="I809" s="13" t="str">
        <f t="shared" si="1070"/>
        <v/>
      </c>
      <c r="J809" s="107" t="str">
        <f t="array" ref="J809">IFERROR(IF(XLOOKUP(CONCAT(E809,F809),'MASTER PLAN'!$AB:$AB,'MASTER PLAN'!$M:$M,0,0)=0,"",XLOOKUP(CONCAT(E809,F809),'MASTER PLAN'!$AB:$AB,'MASTER PLAN'!$M:$M,0,0)),"")</f>
        <v/>
      </c>
      <c r="K809" s="107">
        <f t="shared" si="237"/>
        <v>0</v>
      </c>
      <c r="L809" s="107">
        <f t="shared" si="238"/>
        <v>0</v>
      </c>
      <c r="M809" s="105" t="s">
        <v>246</v>
      </c>
      <c r="AI809" s="42"/>
      <c r="BN809" s="42"/>
      <c r="CS809" s="42"/>
      <c r="DX809" s="42"/>
      <c r="FC809" s="42"/>
      <c r="GH809" s="42"/>
      <c r="HM809" s="42"/>
      <c r="IR809" s="42"/>
      <c r="JW809" s="42"/>
      <c r="LB809" s="42"/>
      <c r="MG809" s="42"/>
      <c r="NL809" s="42"/>
    </row>
    <row r="810" ht="15.75" customHeight="1">
      <c r="A810" s="42"/>
      <c r="B810" s="42"/>
      <c r="C810" s="42"/>
      <c r="D810" s="38">
        <f t="shared" si="1071"/>
        <v>46024</v>
      </c>
      <c r="E810" s="31" t="str">
        <f t="shared" ref="E810:I810" si="1072">JM6</f>
        <v/>
      </c>
      <c r="F810" s="31" t="str">
        <f t="shared" si="1072"/>
        <v/>
      </c>
      <c r="G810" s="31" t="str">
        <f t="shared" si="1072"/>
        <v/>
      </c>
      <c r="H810" s="13" t="str">
        <f t="shared" si="1072"/>
        <v/>
      </c>
      <c r="I810" s="13" t="str">
        <f t="shared" si="1072"/>
        <v/>
      </c>
      <c r="J810" s="107" t="str">
        <f t="array" ref="J810">IFERROR(IF(XLOOKUP(CONCAT(E810,F810),'MASTER PLAN'!$AB:$AB,'MASTER PLAN'!$M:$M,0,0)=0,"",XLOOKUP(CONCAT(E810,F810),'MASTER PLAN'!$AB:$AB,'MASTER PLAN'!$M:$M,0,0)),"")</f>
        <v/>
      </c>
      <c r="K810" s="107">
        <f t="shared" si="237"/>
        <v>0</v>
      </c>
      <c r="L810" s="107">
        <f t="shared" si="238"/>
        <v>0</v>
      </c>
      <c r="M810" s="105" t="s">
        <v>246</v>
      </c>
      <c r="AI810" s="42"/>
      <c r="BN810" s="42"/>
      <c r="CS810" s="42"/>
      <c r="DX810" s="42"/>
      <c r="FC810" s="42"/>
      <c r="GH810" s="42"/>
      <c r="HM810" s="42"/>
      <c r="IR810" s="42"/>
      <c r="JW810" s="42"/>
      <c r="LB810" s="42"/>
      <c r="MG810" s="42"/>
      <c r="NL810" s="42"/>
    </row>
    <row r="811" ht="15.75" customHeight="1">
      <c r="A811" s="42"/>
      <c r="B811" s="42"/>
      <c r="C811" s="42"/>
      <c r="D811" s="38">
        <f t="shared" si="1071"/>
        <v>46024</v>
      </c>
      <c r="E811" s="31" t="str">
        <f t="shared" ref="E811:I811" si="1073">JM7</f>
        <v/>
      </c>
      <c r="F811" s="31" t="str">
        <f t="shared" si="1073"/>
        <v/>
      </c>
      <c r="G811" s="31" t="str">
        <f t="shared" si="1073"/>
        <v/>
      </c>
      <c r="H811" s="13" t="str">
        <f t="shared" si="1073"/>
        <v/>
      </c>
      <c r="I811" s="13" t="str">
        <f t="shared" si="1073"/>
        <v/>
      </c>
      <c r="J811" s="107" t="str">
        <f t="array" ref="J811">IFERROR(IF(XLOOKUP(CONCAT(E811,F811),'MASTER PLAN'!$AB:$AB,'MASTER PLAN'!$M:$M,0,0)=0,"",XLOOKUP(CONCAT(E811,F811),'MASTER PLAN'!$AB:$AB,'MASTER PLAN'!$M:$M,0,0)),"")</f>
        <v/>
      </c>
      <c r="K811" s="107">
        <f t="shared" si="237"/>
        <v>0</v>
      </c>
      <c r="L811" s="107">
        <f t="shared" si="238"/>
        <v>0</v>
      </c>
      <c r="M811" s="105" t="s">
        <v>246</v>
      </c>
      <c r="AI811" s="42"/>
      <c r="BN811" s="42"/>
      <c r="CS811" s="42"/>
      <c r="DX811" s="42"/>
      <c r="FC811" s="42"/>
      <c r="GH811" s="42"/>
      <c r="HM811" s="42"/>
      <c r="IR811" s="42"/>
      <c r="JW811" s="42"/>
      <c r="LB811" s="42"/>
      <c r="MG811" s="42"/>
      <c r="NL811" s="42"/>
    </row>
    <row r="812" ht="15.75" customHeight="1">
      <c r="A812" s="42"/>
      <c r="B812" s="42"/>
      <c r="C812" s="42"/>
      <c r="D812" s="38">
        <f t="shared" si="1071"/>
        <v>46024</v>
      </c>
      <c r="E812" s="31" t="str">
        <f t="shared" ref="E812:I812" si="1074">JM8</f>
        <v/>
      </c>
      <c r="F812" s="31" t="str">
        <f t="shared" si="1074"/>
        <v/>
      </c>
      <c r="G812" s="31" t="str">
        <f t="shared" si="1074"/>
        <v/>
      </c>
      <c r="H812" s="13" t="str">
        <f t="shared" si="1074"/>
        <v/>
      </c>
      <c r="I812" s="13" t="str">
        <f t="shared" si="1074"/>
        <v/>
      </c>
      <c r="J812" s="107" t="str">
        <f t="array" ref="J812">IFERROR(IF(XLOOKUP(CONCAT(E812,F812),'MASTER PLAN'!$AB:$AB,'MASTER PLAN'!$M:$M,0,0)=0,"",XLOOKUP(CONCAT(E812,F812),'MASTER PLAN'!$AB:$AB,'MASTER PLAN'!$M:$M,0,0)),"")</f>
        <v/>
      </c>
      <c r="K812" s="107">
        <f t="shared" si="237"/>
        <v>0</v>
      </c>
      <c r="L812" s="107">
        <f t="shared" si="238"/>
        <v>0</v>
      </c>
      <c r="M812" s="105" t="s">
        <v>246</v>
      </c>
      <c r="AI812" s="42"/>
      <c r="BN812" s="42"/>
      <c r="CS812" s="42"/>
      <c r="DX812" s="42"/>
      <c r="FC812" s="42"/>
      <c r="GH812" s="42"/>
      <c r="HM812" s="42"/>
      <c r="IR812" s="42"/>
      <c r="JW812" s="42"/>
      <c r="LB812" s="42"/>
      <c r="MG812" s="42"/>
      <c r="NL812" s="42"/>
    </row>
    <row r="813" ht="15.75" customHeight="1">
      <c r="A813" s="42"/>
      <c r="B813" s="42"/>
      <c r="C813" s="42"/>
      <c r="D813" s="38">
        <f t="shared" si="1071"/>
        <v>46024</v>
      </c>
      <c r="E813" s="31">
        <f t="shared" ref="E813:I813" si="1075">JM12</f>
        <v>1402049521</v>
      </c>
      <c r="F813" s="31">
        <f t="shared" si="1075"/>
        <v>10</v>
      </c>
      <c r="G813" s="31" t="str">
        <f t="shared" si="1075"/>
        <v>BOLSA THE GEM LAB 6-5X3-5X6-5</v>
      </c>
      <c r="H813" s="13">
        <f t="shared" si="1075"/>
        <v>2500</v>
      </c>
      <c r="I813" s="13" t="str">
        <f t="shared" si="1075"/>
        <v/>
      </c>
      <c r="J813" s="107">
        <f t="array" ref="J813">IFERROR(IF(XLOOKUP(CONCAT(E813,F813),'MASTER PLAN'!$AB:$AB,'MASTER PLAN'!$M:$M,0,0)=0,"",XLOOKUP(CONCAT(E813,F813),'MASTER PLAN'!$AB:$AB,'MASTER PLAN'!$M:$M,0,0)),"")</f>
        <v>0.704</v>
      </c>
      <c r="K813" s="107">
        <f t="shared" si="237"/>
        <v>1760</v>
      </c>
      <c r="L813" s="107">
        <f t="shared" si="238"/>
        <v>0</v>
      </c>
      <c r="M813" s="105" t="s">
        <v>248</v>
      </c>
      <c r="AI813" s="42"/>
      <c r="BN813" s="42"/>
      <c r="CS813" s="42"/>
      <c r="DX813" s="42"/>
      <c r="FC813" s="42"/>
      <c r="GH813" s="42"/>
      <c r="HM813" s="42"/>
      <c r="IR813" s="42"/>
      <c r="JW813" s="42"/>
      <c r="LB813" s="42"/>
      <c r="MG813" s="42"/>
      <c r="NL813" s="42"/>
    </row>
    <row r="814" ht="15.75" customHeight="1">
      <c r="A814" s="42"/>
      <c r="B814" s="42"/>
      <c r="C814" s="42"/>
      <c r="D814" s="38">
        <f t="shared" si="1071"/>
        <v>46024</v>
      </c>
      <c r="E814" s="31">
        <f t="shared" ref="E814:I814" si="1076">JM13</f>
        <v>1402049532</v>
      </c>
      <c r="F814" s="31">
        <f t="shared" si="1076"/>
        <v>10</v>
      </c>
      <c r="G814" s="31" t="str">
        <f t="shared" si="1076"/>
        <v>BOLSA CHARISMA JEWELERS 10"X 4"X 8"</v>
      </c>
      <c r="H814" s="13">
        <f t="shared" si="1076"/>
        <v>500</v>
      </c>
      <c r="I814" s="13" t="str">
        <f t="shared" si="1076"/>
        <v/>
      </c>
      <c r="J814" s="107">
        <f t="array" ref="J814">IFERROR(IF(XLOOKUP(CONCAT(E814,F814),'MASTER PLAN'!$AB:$AB,'MASTER PLAN'!$M:$M,0,0)=0,"",XLOOKUP(CONCAT(E814,F814),'MASTER PLAN'!$AB:$AB,'MASTER PLAN'!$M:$M,0,0)),"")</f>
        <v>1.2</v>
      </c>
      <c r="K814" s="107">
        <f t="shared" si="237"/>
        <v>600</v>
      </c>
      <c r="L814" s="107">
        <f t="shared" si="238"/>
        <v>0</v>
      </c>
      <c r="M814" s="105" t="s">
        <v>248</v>
      </c>
      <c r="AI814" s="42"/>
      <c r="BN814" s="42"/>
      <c r="CS814" s="42"/>
      <c r="DX814" s="42"/>
      <c r="FC814" s="42"/>
      <c r="GH814" s="42"/>
      <c r="HM814" s="42"/>
      <c r="IR814" s="42"/>
      <c r="JW814" s="42"/>
      <c r="LB814" s="42"/>
      <c r="MG814" s="42"/>
      <c r="NL814" s="42"/>
    </row>
    <row r="815" ht="15.75" customHeight="1">
      <c r="A815" s="42"/>
      <c r="B815" s="42"/>
      <c r="C815" s="42"/>
      <c r="D815" s="38">
        <f t="shared" si="1071"/>
        <v>46024</v>
      </c>
      <c r="E815" s="31" t="str">
        <f t="shared" ref="E815:I815" si="1077">JM14</f>
        <v/>
      </c>
      <c r="F815" s="31" t="str">
        <f t="shared" si="1077"/>
        <v/>
      </c>
      <c r="G815" s="31" t="str">
        <f t="shared" si="1077"/>
        <v/>
      </c>
      <c r="H815" s="13" t="str">
        <f t="shared" si="1077"/>
        <v/>
      </c>
      <c r="I815" s="13" t="str">
        <f t="shared" si="1077"/>
        <v/>
      </c>
      <c r="J815" s="107" t="str">
        <f t="array" ref="J815">IFERROR(IF(XLOOKUP(CONCAT(E815,F815),'MASTER PLAN'!$AB:$AB,'MASTER PLAN'!$M:$M,0,0)=0,"",XLOOKUP(CONCAT(E815,F815),'MASTER PLAN'!$AB:$AB,'MASTER PLAN'!$M:$M,0,0)),"")</f>
        <v/>
      </c>
      <c r="K815" s="107">
        <f t="shared" si="237"/>
        <v>0</v>
      </c>
      <c r="L815" s="107">
        <f t="shared" si="238"/>
        <v>0</v>
      </c>
      <c r="M815" s="105" t="s">
        <v>248</v>
      </c>
      <c r="AI815" s="42"/>
      <c r="BN815" s="42"/>
      <c r="CS815" s="42"/>
      <c r="DX815" s="42"/>
      <c r="FC815" s="42"/>
      <c r="GH815" s="42"/>
      <c r="HM815" s="42"/>
      <c r="IR815" s="42"/>
      <c r="JW815" s="42"/>
      <c r="LB815" s="42"/>
      <c r="MG815" s="42"/>
      <c r="NL815" s="42"/>
    </row>
    <row r="816" ht="15.75" customHeight="1">
      <c r="A816" s="42"/>
      <c r="B816" s="42"/>
      <c r="C816" s="42"/>
      <c r="D816" s="38">
        <f t="shared" si="1071"/>
        <v>46024</v>
      </c>
      <c r="E816" s="31" t="str">
        <f t="shared" ref="E816:I816" si="1078">JM15</f>
        <v/>
      </c>
      <c r="F816" s="31" t="str">
        <f t="shared" si="1078"/>
        <v/>
      </c>
      <c r="G816" s="31" t="str">
        <f t="shared" si="1078"/>
        <v/>
      </c>
      <c r="H816" s="13" t="str">
        <f t="shared" si="1078"/>
        <v/>
      </c>
      <c r="I816" s="13" t="str">
        <f t="shared" si="1078"/>
        <v/>
      </c>
      <c r="J816" s="107" t="str">
        <f t="array" ref="J816">IFERROR(IF(XLOOKUP(CONCAT(E816,F816),'MASTER PLAN'!$AB:$AB,'MASTER PLAN'!$M:$M,0,0)=0,"",XLOOKUP(CONCAT(E816,F816),'MASTER PLAN'!$AB:$AB,'MASTER PLAN'!$M:$M,0,0)),"")</f>
        <v/>
      </c>
      <c r="K816" s="107">
        <f t="shared" si="237"/>
        <v>0</v>
      </c>
      <c r="L816" s="107">
        <f t="shared" si="238"/>
        <v>0</v>
      </c>
      <c r="M816" s="105" t="s">
        <v>248</v>
      </c>
      <c r="AI816" s="42"/>
      <c r="BN816" s="42"/>
      <c r="CS816" s="42"/>
      <c r="DX816" s="42"/>
      <c r="FC816" s="42"/>
      <c r="GH816" s="42"/>
      <c r="HM816" s="42"/>
      <c r="IR816" s="42"/>
      <c r="JW816" s="42"/>
      <c r="LB816" s="42"/>
      <c r="MG816" s="42"/>
      <c r="NL816" s="42"/>
    </row>
    <row r="817" ht="15.75" customHeight="1">
      <c r="A817" s="42"/>
      <c r="B817" s="42"/>
      <c r="C817" s="42"/>
      <c r="D817" s="38">
        <f t="shared" si="1071"/>
        <v>46024</v>
      </c>
      <c r="E817" s="31" t="str">
        <f t="shared" ref="E817:I817" si="1079">JM16</f>
        <v/>
      </c>
      <c r="F817" s="31" t="str">
        <f t="shared" si="1079"/>
        <v/>
      </c>
      <c r="G817" s="31" t="str">
        <f t="shared" si="1079"/>
        <v/>
      </c>
      <c r="H817" s="13" t="str">
        <f t="shared" si="1079"/>
        <v/>
      </c>
      <c r="I817" s="13" t="str">
        <f t="shared" si="1079"/>
        <v/>
      </c>
      <c r="J817" s="107" t="str">
        <f t="array" ref="J817">IFERROR(IF(XLOOKUP(CONCAT(E817,F817),'MASTER PLAN'!$AB:$AB,'MASTER PLAN'!$M:$M,0,0)=0,"",XLOOKUP(CONCAT(E817,F817),'MASTER PLAN'!$AB:$AB,'MASTER PLAN'!$M:$M,0,0)),"")</f>
        <v/>
      </c>
      <c r="K817" s="107">
        <f t="shared" si="237"/>
        <v>0</v>
      </c>
      <c r="L817" s="107">
        <f t="shared" si="238"/>
        <v>0</v>
      </c>
      <c r="M817" s="105" t="s">
        <v>248</v>
      </c>
      <c r="AI817" s="42"/>
      <c r="BN817" s="42"/>
      <c r="CS817" s="42"/>
      <c r="DX817" s="42"/>
      <c r="FC817" s="42"/>
      <c r="GH817" s="42"/>
      <c r="HM817" s="42"/>
      <c r="IR817" s="42"/>
      <c r="JW817" s="42"/>
      <c r="LB817" s="42"/>
      <c r="MG817" s="42"/>
      <c r="NL817" s="42"/>
    </row>
    <row r="818" ht="15.75" customHeight="1">
      <c r="A818" s="42"/>
      <c r="B818" s="42"/>
      <c r="C818" s="42"/>
      <c r="D818" s="38">
        <f t="shared" si="1071"/>
        <v>46024</v>
      </c>
      <c r="E818" s="31" t="str">
        <f t="shared" ref="E818:I818" si="1080">JM20</f>
        <v/>
      </c>
      <c r="F818" s="31" t="str">
        <f t="shared" si="1080"/>
        <v/>
      </c>
      <c r="G818" s="31" t="str">
        <f t="shared" si="1080"/>
        <v/>
      </c>
      <c r="H818" s="13" t="str">
        <f t="shared" si="1080"/>
        <v/>
      </c>
      <c r="I818" s="13" t="str">
        <f t="shared" si="1080"/>
        <v/>
      </c>
      <c r="J818" s="107" t="str">
        <f t="array" ref="J818">IFERROR(IF(XLOOKUP(CONCAT(E818,F818),'MASTER PLAN'!$AB:$AB,'MASTER PLAN'!$M:$M,0,0)=0,"",XLOOKUP(CONCAT(E818,F818),'MASTER PLAN'!$AB:$AB,'MASTER PLAN'!$M:$M,0,0)),"")</f>
        <v/>
      </c>
      <c r="K818" s="107">
        <f t="shared" si="237"/>
        <v>0</v>
      </c>
      <c r="L818" s="107">
        <f t="shared" si="238"/>
        <v>0</v>
      </c>
      <c r="M818" s="105" t="s">
        <v>249</v>
      </c>
      <c r="AI818" s="42"/>
      <c r="BN818" s="42"/>
      <c r="CS818" s="42"/>
      <c r="DX818" s="42"/>
      <c r="FC818" s="42"/>
      <c r="GH818" s="42"/>
      <c r="HM818" s="42"/>
      <c r="IR818" s="42"/>
      <c r="JW818" s="42"/>
      <c r="LB818" s="42"/>
      <c r="MG818" s="42"/>
      <c r="NL818" s="42"/>
    </row>
    <row r="819" ht="15.75" customHeight="1">
      <c r="A819" s="42"/>
      <c r="B819" s="42"/>
      <c r="C819" s="42"/>
      <c r="D819" s="38">
        <f t="shared" si="1071"/>
        <v>46024</v>
      </c>
      <c r="E819" s="31" t="str">
        <f t="shared" ref="E819:I819" si="1081">JM21</f>
        <v/>
      </c>
      <c r="F819" s="31" t="str">
        <f t="shared" si="1081"/>
        <v/>
      </c>
      <c r="G819" s="31" t="str">
        <f t="shared" si="1081"/>
        <v/>
      </c>
      <c r="H819" s="13" t="str">
        <f t="shared" si="1081"/>
        <v/>
      </c>
      <c r="I819" s="13" t="str">
        <f t="shared" si="1081"/>
        <v/>
      </c>
      <c r="J819" s="107" t="str">
        <f t="array" ref="J819">IFERROR(IF(XLOOKUP(CONCAT(E819,F819),'MASTER PLAN'!$AB:$AB,'MASTER PLAN'!$M:$M,0,0)=0,"",XLOOKUP(CONCAT(E819,F819),'MASTER PLAN'!$AB:$AB,'MASTER PLAN'!$M:$M,0,0)),"")</f>
        <v/>
      </c>
      <c r="K819" s="107">
        <f t="shared" si="237"/>
        <v>0</v>
      </c>
      <c r="L819" s="107">
        <f t="shared" si="238"/>
        <v>0</v>
      </c>
      <c r="M819" s="105" t="s">
        <v>249</v>
      </c>
      <c r="AI819" s="42"/>
      <c r="BN819" s="42"/>
      <c r="CS819" s="42"/>
      <c r="DX819" s="42"/>
      <c r="FC819" s="42"/>
      <c r="GH819" s="42"/>
      <c r="HM819" s="42"/>
      <c r="IR819" s="42"/>
      <c r="JW819" s="42"/>
      <c r="LB819" s="42"/>
      <c r="MG819" s="42"/>
      <c r="NL819" s="42"/>
    </row>
    <row r="820" ht="15.75" customHeight="1">
      <c r="A820" s="42"/>
      <c r="B820" s="42"/>
      <c r="C820" s="42"/>
      <c r="D820" s="38">
        <f t="shared" si="1071"/>
        <v>46024</v>
      </c>
      <c r="E820" s="31" t="str">
        <f t="shared" ref="E820:I820" si="1082">JM22</f>
        <v/>
      </c>
      <c r="F820" s="31" t="str">
        <f t="shared" si="1082"/>
        <v/>
      </c>
      <c r="G820" s="31" t="str">
        <f t="shared" si="1082"/>
        <v/>
      </c>
      <c r="H820" s="13" t="str">
        <f t="shared" si="1082"/>
        <v/>
      </c>
      <c r="I820" s="13" t="str">
        <f t="shared" si="1082"/>
        <v/>
      </c>
      <c r="J820" s="107" t="str">
        <f t="array" ref="J820">IFERROR(IF(XLOOKUP(CONCAT(E820,F820),'MASTER PLAN'!$AB:$AB,'MASTER PLAN'!$M:$M,0,0)=0,"",XLOOKUP(CONCAT(E820,F820),'MASTER PLAN'!$AB:$AB,'MASTER PLAN'!$M:$M,0,0)),"")</f>
        <v/>
      </c>
      <c r="K820" s="107">
        <f t="shared" si="237"/>
        <v>0</v>
      </c>
      <c r="L820" s="107">
        <f t="shared" si="238"/>
        <v>0</v>
      </c>
      <c r="M820" s="105" t="s">
        <v>249</v>
      </c>
      <c r="AI820" s="42"/>
      <c r="BN820" s="42"/>
      <c r="CS820" s="42"/>
      <c r="DX820" s="42"/>
      <c r="FC820" s="42"/>
      <c r="GH820" s="42"/>
      <c r="HM820" s="42"/>
      <c r="IR820" s="42"/>
      <c r="JW820" s="42"/>
      <c r="LB820" s="42"/>
      <c r="MG820" s="42"/>
      <c r="NL820" s="42"/>
    </row>
    <row r="821" ht="15.75" customHeight="1">
      <c r="A821" s="42"/>
      <c r="B821" s="42"/>
      <c r="C821" s="42"/>
      <c r="D821" s="38">
        <f t="shared" si="1071"/>
        <v>46024</v>
      </c>
      <c r="E821" s="31" t="str">
        <f t="shared" ref="E821:I821" si="1083">JM23</f>
        <v/>
      </c>
      <c r="F821" s="31" t="str">
        <f t="shared" si="1083"/>
        <v/>
      </c>
      <c r="G821" s="31" t="str">
        <f t="shared" si="1083"/>
        <v/>
      </c>
      <c r="H821" s="13" t="str">
        <f t="shared" si="1083"/>
        <v/>
      </c>
      <c r="I821" s="13" t="str">
        <f t="shared" si="1083"/>
        <v/>
      </c>
      <c r="J821" s="107" t="str">
        <f t="array" ref="J821">IFERROR(IF(XLOOKUP(CONCAT(E821,F821),'MASTER PLAN'!$AB:$AB,'MASTER PLAN'!$M:$M,0,0)=0,"",XLOOKUP(CONCAT(E821,F821),'MASTER PLAN'!$AB:$AB,'MASTER PLAN'!$M:$M,0,0)),"")</f>
        <v/>
      </c>
      <c r="K821" s="107">
        <f t="shared" si="237"/>
        <v>0</v>
      </c>
      <c r="L821" s="107">
        <f t="shared" si="238"/>
        <v>0</v>
      </c>
      <c r="M821" s="105" t="s">
        <v>249</v>
      </c>
      <c r="AI821" s="42"/>
      <c r="BN821" s="42"/>
      <c r="CS821" s="42"/>
      <c r="DX821" s="42"/>
      <c r="FC821" s="42"/>
      <c r="GH821" s="42"/>
      <c r="HM821" s="42"/>
      <c r="IR821" s="42"/>
      <c r="JW821" s="42"/>
      <c r="LB821" s="42"/>
      <c r="MG821" s="42"/>
      <c r="NL821" s="42"/>
    </row>
    <row r="822" ht="15.75" customHeight="1">
      <c r="A822" s="42"/>
      <c r="B822" s="42"/>
      <c r="C822" s="42"/>
      <c r="D822" s="38">
        <f t="shared" si="1071"/>
        <v>46024</v>
      </c>
      <c r="E822" s="31" t="str">
        <f t="shared" ref="E822:I822" si="1084">JM24</f>
        <v/>
      </c>
      <c r="F822" s="31" t="str">
        <f t="shared" si="1084"/>
        <v/>
      </c>
      <c r="G822" s="31" t="str">
        <f t="shared" si="1084"/>
        <v/>
      </c>
      <c r="H822" s="13" t="str">
        <f t="shared" si="1084"/>
        <v/>
      </c>
      <c r="I822" s="13" t="str">
        <f t="shared" si="1084"/>
        <v/>
      </c>
      <c r="J822" s="107" t="str">
        <f t="array" ref="J822">IFERROR(IF(XLOOKUP(CONCAT(E822,F822),'MASTER PLAN'!$AB:$AB,'MASTER PLAN'!$M:$M,0,0)=0,"",XLOOKUP(CONCAT(E822,F822),'MASTER PLAN'!$AB:$AB,'MASTER PLAN'!$M:$M,0,0)),"")</f>
        <v/>
      </c>
      <c r="K822" s="107">
        <f t="shared" si="237"/>
        <v>0</v>
      </c>
      <c r="L822" s="107">
        <f t="shared" si="238"/>
        <v>0</v>
      </c>
      <c r="M822" s="105" t="s">
        <v>249</v>
      </c>
      <c r="AI822" s="42"/>
      <c r="BN822" s="42"/>
      <c r="CS822" s="42"/>
      <c r="DX822" s="42"/>
      <c r="FC822" s="42"/>
      <c r="GH822" s="42"/>
      <c r="HM822" s="42"/>
      <c r="IR822" s="42"/>
      <c r="JW822" s="42"/>
      <c r="LB822" s="42"/>
      <c r="MG822" s="42"/>
      <c r="NL822" s="42"/>
    </row>
    <row r="823" ht="15.75" customHeight="1">
      <c r="A823" s="42"/>
      <c r="B823" s="42"/>
      <c r="C823" s="42"/>
      <c r="D823" s="38">
        <f>JR2</f>
        <v>46025</v>
      </c>
      <c r="E823" s="31" t="str">
        <f t="shared" ref="E823:I823" si="1085">JR4</f>
        <v/>
      </c>
      <c r="F823" s="31" t="str">
        <f t="shared" si="1085"/>
        <v/>
      </c>
      <c r="G823" s="31" t="str">
        <f t="shared" si="1085"/>
        <v/>
      </c>
      <c r="H823" s="13" t="str">
        <f t="shared" si="1085"/>
        <v/>
      </c>
      <c r="I823" s="13" t="str">
        <f t="shared" si="1085"/>
        <v/>
      </c>
      <c r="J823" s="107" t="str">
        <f t="array" ref="J823">IFERROR(IF(XLOOKUP(CONCAT(E823,F823),'MASTER PLAN'!$AB:$AB,'MASTER PLAN'!$M:$M,0,0)=0,"",XLOOKUP(CONCAT(E823,F823),'MASTER PLAN'!$AB:$AB,'MASTER PLAN'!$M:$M,0,0)),"")</f>
        <v/>
      </c>
      <c r="K823" s="107">
        <f t="shared" si="237"/>
        <v>0</v>
      </c>
      <c r="L823" s="107">
        <f t="shared" si="238"/>
        <v>0</v>
      </c>
      <c r="M823" s="105" t="s">
        <v>246</v>
      </c>
      <c r="AI823" s="42"/>
      <c r="BN823" s="42"/>
      <c r="CS823" s="42"/>
      <c r="DX823" s="42"/>
      <c r="FC823" s="42"/>
      <c r="GH823" s="42"/>
      <c r="HM823" s="42"/>
      <c r="IR823" s="42"/>
      <c r="JW823" s="42"/>
      <c r="LB823" s="42"/>
      <c r="MG823" s="42"/>
      <c r="NL823" s="42"/>
    </row>
    <row r="824" ht="15.75" customHeight="1">
      <c r="A824" s="42"/>
      <c r="B824" s="42"/>
      <c r="C824" s="42"/>
      <c r="D824" s="38">
        <f t="shared" ref="D824:D837" si="1087">D823</f>
        <v>46025</v>
      </c>
      <c r="E824" s="31" t="str">
        <f t="shared" ref="E824:I824" si="1086">JR5</f>
        <v/>
      </c>
      <c r="F824" s="31" t="str">
        <f t="shared" si="1086"/>
        <v/>
      </c>
      <c r="G824" s="31" t="str">
        <f t="shared" si="1086"/>
        <v/>
      </c>
      <c r="H824" s="13" t="str">
        <f t="shared" si="1086"/>
        <v/>
      </c>
      <c r="I824" s="13" t="str">
        <f t="shared" si="1086"/>
        <v/>
      </c>
      <c r="J824" s="107" t="str">
        <f t="array" ref="J824">IFERROR(IF(XLOOKUP(CONCAT(E824,F824),'MASTER PLAN'!$AB:$AB,'MASTER PLAN'!$M:$M,0,0)=0,"",XLOOKUP(CONCAT(E824,F824),'MASTER PLAN'!$AB:$AB,'MASTER PLAN'!$M:$M,0,0)),"")</f>
        <v/>
      </c>
      <c r="K824" s="107">
        <f t="shared" si="237"/>
        <v>0</v>
      </c>
      <c r="L824" s="107">
        <f t="shared" si="238"/>
        <v>0</v>
      </c>
      <c r="M824" s="105" t="s">
        <v>246</v>
      </c>
      <c r="AI824" s="42"/>
      <c r="BN824" s="42"/>
      <c r="CS824" s="42"/>
      <c r="DX824" s="42"/>
      <c r="FC824" s="42"/>
      <c r="GH824" s="42"/>
      <c r="HM824" s="42"/>
      <c r="IR824" s="42"/>
      <c r="JW824" s="42"/>
      <c r="LB824" s="42"/>
      <c r="MG824" s="42"/>
      <c r="NL824" s="42"/>
    </row>
    <row r="825" ht="15.75" customHeight="1">
      <c r="A825" s="42"/>
      <c r="B825" s="42"/>
      <c r="C825" s="42"/>
      <c r="D825" s="38">
        <f t="shared" si="1087"/>
        <v>46025</v>
      </c>
      <c r="E825" s="31" t="str">
        <f t="shared" ref="E825:I825" si="1088">JR6</f>
        <v/>
      </c>
      <c r="F825" s="31" t="str">
        <f t="shared" si="1088"/>
        <v/>
      </c>
      <c r="G825" s="31" t="str">
        <f t="shared" si="1088"/>
        <v/>
      </c>
      <c r="H825" s="13" t="str">
        <f t="shared" si="1088"/>
        <v/>
      </c>
      <c r="I825" s="13" t="str">
        <f t="shared" si="1088"/>
        <v/>
      </c>
      <c r="J825" s="107" t="str">
        <f t="array" ref="J825">IFERROR(IF(XLOOKUP(CONCAT(E825,F825),'MASTER PLAN'!$AB:$AB,'MASTER PLAN'!$M:$M,0,0)=0,"",XLOOKUP(CONCAT(E825,F825),'MASTER PLAN'!$AB:$AB,'MASTER PLAN'!$M:$M,0,0)),"")</f>
        <v/>
      </c>
      <c r="K825" s="107">
        <f t="shared" si="237"/>
        <v>0</v>
      </c>
      <c r="L825" s="107">
        <f t="shared" si="238"/>
        <v>0</v>
      </c>
      <c r="M825" s="105" t="s">
        <v>246</v>
      </c>
      <c r="AI825" s="42"/>
      <c r="BN825" s="42"/>
      <c r="CS825" s="42"/>
      <c r="DX825" s="42"/>
      <c r="FC825" s="42"/>
      <c r="GH825" s="42"/>
      <c r="HM825" s="42"/>
      <c r="IR825" s="42"/>
      <c r="JW825" s="42"/>
      <c r="LB825" s="42"/>
      <c r="MG825" s="42"/>
      <c r="NL825" s="42"/>
    </row>
    <row r="826" ht="15.75" customHeight="1">
      <c r="A826" s="42"/>
      <c r="B826" s="42"/>
      <c r="C826" s="42"/>
      <c r="D826" s="38">
        <f t="shared" si="1087"/>
        <v>46025</v>
      </c>
      <c r="E826" s="31" t="str">
        <f t="shared" ref="E826:I826" si="1089">JR7</f>
        <v/>
      </c>
      <c r="F826" s="31" t="str">
        <f t="shared" si="1089"/>
        <v/>
      </c>
      <c r="G826" s="31" t="str">
        <f t="shared" si="1089"/>
        <v/>
      </c>
      <c r="H826" s="13" t="str">
        <f t="shared" si="1089"/>
        <v/>
      </c>
      <c r="I826" s="13" t="str">
        <f t="shared" si="1089"/>
        <v/>
      </c>
      <c r="J826" s="107" t="str">
        <f t="array" ref="J826">IFERROR(IF(XLOOKUP(CONCAT(E826,F826),'MASTER PLAN'!$AB:$AB,'MASTER PLAN'!$M:$M,0,0)=0,"",XLOOKUP(CONCAT(E826,F826),'MASTER PLAN'!$AB:$AB,'MASTER PLAN'!$M:$M,0,0)),"")</f>
        <v/>
      </c>
      <c r="K826" s="107">
        <f t="shared" si="237"/>
        <v>0</v>
      </c>
      <c r="L826" s="107">
        <f t="shared" si="238"/>
        <v>0</v>
      </c>
      <c r="M826" s="105" t="s">
        <v>246</v>
      </c>
      <c r="AI826" s="42"/>
      <c r="BN826" s="42"/>
      <c r="CS826" s="42"/>
      <c r="DX826" s="42"/>
      <c r="FC826" s="42"/>
      <c r="GH826" s="42"/>
      <c r="HM826" s="42"/>
      <c r="IR826" s="42"/>
      <c r="JW826" s="42"/>
      <c r="LB826" s="42"/>
      <c r="MG826" s="42"/>
      <c r="NL826" s="42"/>
    </row>
    <row r="827" ht="15.75" customHeight="1">
      <c r="A827" s="42"/>
      <c r="B827" s="42"/>
      <c r="C827" s="42"/>
      <c r="D827" s="38">
        <f t="shared" si="1087"/>
        <v>46025</v>
      </c>
      <c r="E827" s="31" t="str">
        <f t="shared" ref="E827:I827" si="1090">JR8</f>
        <v/>
      </c>
      <c r="F827" s="31" t="str">
        <f t="shared" si="1090"/>
        <v/>
      </c>
      <c r="G827" s="31" t="str">
        <f t="shared" si="1090"/>
        <v/>
      </c>
      <c r="H827" s="13" t="str">
        <f t="shared" si="1090"/>
        <v/>
      </c>
      <c r="I827" s="13" t="str">
        <f t="shared" si="1090"/>
        <v/>
      </c>
      <c r="J827" s="107" t="str">
        <f t="array" ref="J827">IFERROR(IF(XLOOKUP(CONCAT(E827,F827),'MASTER PLAN'!$AB:$AB,'MASTER PLAN'!$M:$M,0,0)=0,"",XLOOKUP(CONCAT(E827,F827),'MASTER PLAN'!$AB:$AB,'MASTER PLAN'!$M:$M,0,0)),"")</f>
        <v/>
      </c>
      <c r="K827" s="107">
        <f t="shared" si="237"/>
        <v>0</v>
      </c>
      <c r="L827" s="107">
        <f t="shared" si="238"/>
        <v>0</v>
      </c>
      <c r="M827" s="105" t="s">
        <v>246</v>
      </c>
      <c r="AI827" s="42"/>
      <c r="BN827" s="42"/>
      <c r="CS827" s="42"/>
      <c r="DX827" s="42"/>
      <c r="FC827" s="42"/>
      <c r="GH827" s="42"/>
      <c r="HM827" s="42"/>
      <c r="IR827" s="42"/>
      <c r="JW827" s="42"/>
      <c r="LB827" s="42"/>
      <c r="MG827" s="42"/>
      <c r="NL827" s="42"/>
    </row>
    <row r="828" ht="15.75" customHeight="1">
      <c r="A828" s="42"/>
      <c r="B828" s="42"/>
      <c r="C828" s="42"/>
      <c r="D828" s="38">
        <f t="shared" si="1087"/>
        <v>46025</v>
      </c>
      <c r="E828" s="31" t="str">
        <f t="shared" ref="E828:I828" si="1091">JR12</f>
        <v/>
      </c>
      <c r="F828" s="31" t="str">
        <f t="shared" si="1091"/>
        <v/>
      </c>
      <c r="G828" s="31" t="str">
        <f t="shared" si="1091"/>
        <v/>
      </c>
      <c r="H828" s="13" t="str">
        <f t="shared" si="1091"/>
        <v/>
      </c>
      <c r="I828" s="13" t="str">
        <f t="shared" si="1091"/>
        <v/>
      </c>
      <c r="J828" s="107" t="str">
        <f t="array" ref="J828">IFERROR(IF(XLOOKUP(CONCAT(E828,F828),'MASTER PLAN'!$AB:$AB,'MASTER PLAN'!$M:$M,0,0)=0,"",XLOOKUP(CONCAT(E828,F828),'MASTER PLAN'!$AB:$AB,'MASTER PLAN'!$M:$M,0,0)),"")</f>
        <v/>
      </c>
      <c r="K828" s="107">
        <f t="shared" si="237"/>
        <v>0</v>
      </c>
      <c r="L828" s="107">
        <f t="shared" si="238"/>
        <v>0</v>
      </c>
      <c r="M828" s="105" t="s">
        <v>248</v>
      </c>
      <c r="AI828" s="42"/>
      <c r="BN828" s="42"/>
      <c r="CS828" s="42"/>
      <c r="DX828" s="42"/>
      <c r="FC828" s="42"/>
      <c r="GH828" s="42"/>
      <c r="HM828" s="42"/>
      <c r="IR828" s="42"/>
      <c r="JW828" s="42"/>
      <c r="LB828" s="42"/>
      <c r="MG828" s="42"/>
      <c r="NL828" s="42"/>
    </row>
    <row r="829" ht="15.75" customHeight="1">
      <c r="A829" s="42"/>
      <c r="B829" s="42"/>
      <c r="C829" s="42"/>
      <c r="D829" s="38">
        <f t="shared" si="1087"/>
        <v>46025</v>
      </c>
      <c r="E829" s="31" t="str">
        <f t="shared" ref="E829:I829" si="1092">JR13</f>
        <v/>
      </c>
      <c r="F829" s="31" t="str">
        <f t="shared" si="1092"/>
        <v/>
      </c>
      <c r="G829" s="31" t="str">
        <f t="shared" si="1092"/>
        <v/>
      </c>
      <c r="H829" s="13" t="str">
        <f t="shared" si="1092"/>
        <v/>
      </c>
      <c r="I829" s="13" t="str">
        <f t="shared" si="1092"/>
        <v/>
      </c>
      <c r="J829" s="107" t="str">
        <f t="array" ref="J829">IFERROR(IF(XLOOKUP(CONCAT(E829,F829),'MASTER PLAN'!$AB:$AB,'MASTER PLAN'!$M:$M,0,0)=0,"",XLOOKUP(CONCAT(E829,F829),'MASTER PLAN'!$AB:$AB,'MASTER PLAN'!$M:$M,0,0)),"")</f>
        <v/>
      </c>
      <c r="K829" s="107">
        <f t="shared" si="237"/>
        <v>0</v>
      </c>
      <c r="L829" s="107">
        <f t="shared" si="238"/>
        <v>0</v>
      </c>
      <c r="M829" s="105" t="s">
        <v>248</v>
      </c>
      <c r="AI829" s="42"/>
      <c r="BN829" s="42"/>
      <c r="CS829" s="42"/>
      <c r="DX829" s="42"/>
      <c r="FC829" s="42"/>
      <c r="GH829" s="42"/>
      <c r="HM829" s="42"/>
      <c r="IR829" s="42"/>
      <c r="JW829" s="42"/>
      <c r="LB829" s="42"/>
      <c r="MG829" s="42"/>
      <c r="NL829" s="42"/>
    </row>
    <row r="830" ht="15.75" customHeight="1">
      <c r="A830" s="42"/>
      <c r="B830" s="42"/>
      <c r="C830" s="42"/>
      <c r="D830" s="38">
        <f t="shared" si="1087"/>
        <v>46025</v>
      </c>
      <c r="E830" s="31" t="str">
        <f t="shared" ref="E830:I830" si="1093">JR14</f>
        <v/>
      </c>
      <c r="F830" s="31" t="str">
        <f t="shared" si="1093"/>
        <v/>
      </c>
      <c r="G830" s="31" t="str">
        <f t="shared" si="1093"/>
        <v/>
      </c>
      <c r="H830" s="13" t="str">
        <f t="shared" si="1093"/>
        <v/>
      </c>
      <c r="I830" s="13" t="str">
        <f t="shared" si="1093"/>
        <v/>
      </c>
      <c r="J830" s="107" t="str">
        <f t="array" ref="J830">IFERROR(IF(XLOOKUP(CONCAT(E830,F830),'MASTER PLAN'!$AB:$AB,'MASTER PLAN'!$M:$M,0,0)=0,"",XLOOKUP(CONCAT(E830,F830),'MASTER PLAN'!$AB:$AB,'MASTER PLAN'!$M:$M,0,0)),"")</f>
        <v/>
      </c>
      <c r="K830" s="107">
        <f t="shared" si="237"/>
        <v>0</v>
      </c>
      <c r="L830" s="107">
        <f t="shared" si="238"/>
        <v>0</v>
      </c>
      <c r="M830" s="105" t="s">
        <v>248</v>
      </c>
      <c r="AI830" s="42"/>
      <c r="BN830" s="42"/>
      <c r="CS830" s="42"/>
      <c r="DX830" s="42"/>
      <c r="FC830" s="42"/>
      <c r="GH830" s="42"/>
      <c r="HM830" s="42"/>
      <c r="IR830" s="42"/>
      <c r="JW830" s="42"/>
      <c r="LB830" s="42"/>
      <c r="MG830" s="42"/>
      <c r="NL830" s="42"/>
    </row>
    <row r="831" ht="15.75" customHeight="1">
      <c r="A831" s="42"/>
      <c r="B831" s="42"/>
      <c r="C831" s="42"/>
      <c r="D831" s="38">
        <f t="shared" si="1087"/>
        <v>46025</v>
      </c>
      <c r="E831" s="31" t="str">
        <f t="shared" ref="E831:I831" si="1094">JR15</f>
        <v/>
      </c>
      <c r="F831" s="31" t="str">
        <f t="shared" si="1094"/>
        <v/>
      </c>
      <c r="G831" s="31" t="str">
        <f t="shared" si="1094"/>
        <v/>
      </c>
      <c r="H831" s="13" t="str">
        <f t="shared" si="1094"/>
        <v/>
      </c>
      <c r="I831" s="13" t="str">
        <f t="shared" si="1094"/>
        <v/>
      </c>
      <c r="J831" s="107" t="str">
        <f t="array" ref="J831">IFERROR(IF(XLOOKUP(CONCAT(E831,F831),'MASTER PLAN'!$AB:$AB,'MASTER PLAN'!$M:$M,0,0)=0,"",XLOOKUP(CONCAT(E831,F831),'MASTER PLAN'!$AB:$AB,'MASTER PLAN'!$M:$M,0,0)),"")</f>
        <v/>
      </c>
      <c r="K831" s="107">
        <f t="shared" si="237"/>
        <v>0</v>
      </c>
      <c r="L831" s="107">
        <f t="shared" si="238"/>
        <v>0</v>
      </c>
      <c r="M831" s="105" t="s">
        <v>248</v>
      </c>
      <c r="AI831" s="42"/>
      <c r="BN831" s="42"/>
      <c r="CS831" s="42"/>
      <c r="DX831" s="42"/>
      <c r="FC831" s="42"/>
      <c r="GH831" s="42"/>
      <c r="HM831" s="42"/>
      <c r="IR831" s="42"/>
      <c r="JW831" s="42"/>
      <c r="LB831" s="42"/>
      <c r="MG831" s="42"/>
      <c r="NL831" s="42"/>
    </row>
    <row r="832" ht="15.75" customHeight="1">
      <c r="A832" s="42"/>
      <c r="B832" s="42"/>
      <c r="C832" s="42"/>
      <c r="D832" s="38">
        <f t="shared" si="1087"/>
        <v>46025</v>
      </c>
      <c r="E832" s="31" t="str">
        <f t="shared" ref="E832:I832" si="1095">JR16</f>
        <v/>
      </c>
      <c r="F832" s="31" t="str">
        <f t="shared" si="1095"/>
        <v/>
      </c>
      <c r="G832" s="31" t="str">
        <f t="shared" si="1095"/>
        <v/>
      </c>
      <c r="H832" s="13" t="str">
        <f t="shared" si="1095"/>
        <v/>
      </c>
      <c r="I832" s="13" t="str">
        <f t="shared" si="1095"/>
        <v/>
      </c>
      <c r="J832" s="107" t="str">
        <f t="array" ref="J832">IFERROR(IF(XLOOKUP(CONCAT(E832,F832),'MASTER PLAN'!$AB:$AB,'MASTER PLAN'!$M:$M,0,0)=0,"",XLOOKUP(CONCAT(E832,F832),'MASTER PLAN'!$AB:$AB,'MASTER PLAN'!$M:$M,0,0)),"")</f>
        <v/>
      </c>
      <c r="K832" s="107">
        <f t="shared" si="237"/>
        <v>0</v>
      </c>
      <c r="L832" s="107">
        <f t="shared" si="238"/>
        <v>0</v>
      </c>
      <c r="M832" s="105" t="s">
        <v>248</v>
      </c>
      <c r="AI832" s="42"/>
      <c r="BN832" s="42"/>
      <c r="CS832" s="42"/>
      <c r="DX832" s="42"/>
      <c r="FC832" s="42"/>
      <c r="GH832" s="42"/>
      <c r="HM832" s="42"/>
      <c r="IR832" s="42"/>
      <c r="JW832" s="42"/>
      <c r="LB832" s="42"/>
      <c r="MG832" s="42"/>
      <c r="NL832" s="42"/>
    </row>
    <row r="833" ht="15.75" customHeight="1">
      <c r="A833" s="42"/>
      <c r="B833" s="42"/>
      <c r="C833" s="42"/>
      <c r="D833" s="38">
        <f t="shared" si="1087"/>
        <v>46025</v>
      </c>
      <c r="E833" s="31" t="str">
        <f t="shared" ref="E833:I833" si="1096">JR20</f>
        <v/>
      </c>
      <c r="F833" s="31" t="str">
        <f t="shared" si="1096"/>
        <v/>
      </c>
      <c r="G833" s="31" t="str">
        <f t="shared" si="1096"/>
        <v/>
      </c>
      <c r="H833" s="13" t="str">
        <f t="shared" si="1096"/>
        <v/>
      </c>
      <c r="I833" s="13" t="str">
        <f t="shared" si="1096"/>
        <v/>
      </c>
      <c r="J833" s="107" t="str">
        <f t="array" ref="J833">IFERROR(IF(XLOOKUP(CONCAT(E833,F833),'MASTER PLAN'!$AB:$AB,'MASTER PLAN'!$M:$M,0,0)=0,"",XLOOKUP(CONCAT(E833,F833),'MASTER PLAN'!$AB:$AB,'MASTER PLAN'!$M:$M,0,0)),"")</f>
        <v/>
      </c>
      <c r="K833" s="107">
        <f t="shared" si="237"/>
        <v>0</v>
      </c>
      <c r="L833" s="107">
        <f t="shared" si="238"/>
        <v>0</v>
      </c>
      <c r="M833" s="105" t="s">
        <v>249</v>
      </c>
      <c r="AI833" s="42"/>
      <c r="BN833" s="42"/>
      <c r="CS833" s="42"/>
      <c r="DX833" s="42"/>
      <c r="FC833" s="42"/>
      <c r="GH833" s="42"/>
      <c r="HM833" s="42"/>
      <c r="IR833" s="42"/>
      <c r="JW833" s="42"/>
      <c r="LB833" s="42"/>
      <c r="MG833" s="42"/>
      <c r="NL833" s="42"/>
    </row>
    <row r="834" ht="15.75" customHeight="1">
      <c r="A834" s="42"/>
      <c r="B834" s="42"/>
      <c r="C834" s="42"/>
      <c r="D834" s="38">
        <f t="shared" si="1087"/>
        <v>46025</v>
      </c>
      <c r="E834" s="31" t="str">
        <f t="shared" ref="E834:I834" si="1097">JR21</f>
        <v/>
      </c>
      <c r="F834" s="31" t="str">
        <f t="shared" si="1097"/>
        <v/>
      </c>
      <c r="G834" s="31" t="str">
        <f t="shared" si="1097"/>
        <v/>
      </c>
      <c r="H834" s="13" t="str">
        <f t="shared" si="1097"/>
        <v/>
      </c>
      <c r="I834" s="13" t="str">
        <f t="shared" si="1097"/>
        <v/>
      </c>
      <c r="J834" s="107" t="str">
        <f t="array" ref="J834">IFERROR(IF(XLOOKUP(CONCAT(E834,F834),'MASTER PLAN'!$AB:$AB,'MASTER PLAN'!$M:$M,0,0)=0,"",XLOOKUP(CONCAT(E834,F834),'MASTER PLAN'!$AB:$AB,'MASTER PLAN'!$M:$M,0,0)),"")</f>
        <v/>
      </c>
      <c r="K834" s="107">
        <f t="shared" si="237"/>
        <v>0</v>
      </c>
      <c r="L834" s="107">
        <f t="shared" si="238"/>
        <v>0</v>
      </c>
      <c r="M834" s="105" t="s">
        <v>249</v>
      </c>
      <c r="AI834" s="42"/>
      <c r="BN834" s="42"/>
      <c r="CS834" s="42"/>
      <c r="DX834" s="42"/>
      <c r="FC834" s="42"/>
      <c r="GH834" s="42"/>
      <c r="HM834" s="42"/>
      <c r="IR834" s="42"/>
      <c r="JW834" s="42"/>
      <c r="LB834" s="42"/>
      <c r="MG834" s="42"/>
      <c r="NL834" s="42"/>
    </row>
    <row r="835" ht="15.75" customHeight="1">
      <c r="A835" s="42"/>
      <c r="B835" s="42"/>
      <c r="C835" s="42"/>
      <c r="D835" s="38">
        <f t="shared" si="1087"/>
        <v>46025</v>
      </c>
      <c r="E835" s="31" t="str">
        <f t="shared" ref="E835:I835" si="1098">JR22</f>
        <v/>
      </c>
      <c r="F835" s="31" t="str">
        <f t="shared" si="1098"/>
        <v/>
      </c>
      <c r="G835" s="31" t="str">
        <f t="shared" si="1098"/>
        <v/>
      </c>
      <c r="H835" s="13" t="str">
        <f t="shared" si="1098"/>
        <v/>
      </c>
      <c r="I835" s="13" t="str">
        <f t="shared" si="1098"/>
        <v/>
      </c>
      <c r="J835" s="107" t="str">
        <f t="array" ref="J835">IFERROR(IF(XLOOKUP(CONCAT(E835,F835),'MASTER PLAN'!$AB:$AB,'MASTER PLAN'!$M:$M,0,0)=0,"",XLOOKUP(CONCAT(E835,F835),'MASTER PLAN'!$AB:$AB,'MASTER PLAN'!$M:$M,0,0)),"")</f>
        <v/>
      </c>
      <c r="K835" s="107">
        <f t="shared" si="237"/>
        <v>0</v>
      </c>
      <c r="L835" s="107">
        <f t="shared" si="238"/>
        <v>0</v>
      </c>
      <c r="M835" s="105" t="s">
        <v>249</v>
      </c>
      <c r="AI835" s="42"/>
      <c r="BN835" s="42"/>
      <c r="CS835" s="42"/>
      <c r="DX835" s="42"/>
      <c r="FC835" s="42"/>
      <c r="GH835" s="42"/>
      <c r="HM835" s="42"/>
      <c r="IR835" s="42"/>
      <c r="JW835" s="42"/>
      <c r="LB835" s="42"/>
      <c r="MG835" s="42"/>
      <c r="NL835" s="42"/>
    </row>
    <row r="836" ht="15.75" customHeight="1">
      <c r="A836" s="42"/>
      <c r="B836" s="42"/>
      <c r="C836" s="42"/>
      <c r="D836" s="38">
        <f t="shared" si="1087"/>
        <v>46025</v>
      </c>
      <c r="E836" s="31" t="str">
        <f t="shared" ref="E836:I836" si="1099">JR23</f>
        <v/>
      </c>
      <c r="F836" s="31" t="str">
        <f t="shared" si="1099"/>
        <v/>
      </c>
      <c r="G836" s="31" t="str">
        <f t="shared" si="1099"/>
        <v/>
      </c>
      <c r="H836" s="13" t="str">
        <f t="shared" si="1099"/>
        <v/>
      </c>
      <c r="I836" s="13" t="str">
        <f t="shared" si="1099"/>
        <v/>
      </c>
      <c r="J836" s="107" t="str">
        <f t="array" ref="J836">IFERROR(IF(XLOOKUP(CONCAT(E836,F836),'MASTER PLAN'!$AB:$AB,'MASTER PLAN'!$M:$M,0,0)=0,"",XLOOKUP(CONCAT(E836,F836),'MASTER PLAN'!$AB:$AB,'MASTER PLAN'!$M:$M,0,0)),"")</f>
        <v/>
      </c>
      <c r="K836" s="107">
        <f t="shared" si="237"/>
        <v>0</v>
      </c>
      <c r="L836" s="107">
        <f t="shared" si="238"/>
        <v>0</v>
      </c>
      <c r="M836" s="105" t="s">
        <v>249</v>
      </c>
      <c r="AI836" s="42"/>
      <c r="BN836" s="42"/>
      <c r="CS836" s="42"/>
      <c r="DX836" s="42"/>
      <c r="FC836" s="42"/>
      <c r="GH836" s="42"/>
      <c r="HM836" s="42"/>
      <c r="IR836" s="42"/>
      <c r="JW836" s="42"/>
      <c r="LB836" s="42"/>
      <c r="MG836" s="42"/>
      <c r="NL836" s="42"/>
    </row>
    <row r="837" ht="15.75" customHeight="1">
      <c r="A837" s="42"/>
      <c r="B837" s="42"/>
      <c r="C837" s="42"/>
      <c r="D837" s="38">
        <f t="shared" si="1087"/>
        <v>46025</v>
      </c>
      <c r="E837" s="31" t="str">
        <f t="shared" ref="E837:I837" si="1100">JR24</f>
        <v/>
      </c>
      <c r="F837" s="31" t="str">
        <f t="shared" si="1100"/>
        <v/>
      </c>
      <c r="G837" s="31" t="str">
        <f t="shared" si="1100"/>
        <v/>
      </c>
      <c r="H837" s="13" t="str">
        <f t="shared" si="1100"/>
        <v/>
      </c>
      <c r="I837" s="13" t="str">
        <f t="shared" si="1100"/>
        <v/>
      </c>
      <c r="J837" s="107" t="str">
        <f t="array" ref="J837">IFERROR(IF(XLOOKUP(CONCAT(E837,F837),'MASTER PLAN'!$AB:$AB,'MASTER PLAN'!$M:$M,0,0)=0,"",XLOOKUP(CONCAT(E837,F837),'MASTER PLAN'!$AB:$AB,'MASTER PLAN'!$M:$M,0,0)),"")</f>
        <v/>
      </c>
      <c r="K837" s="107">
        <f t="shared" si="237"/>
        <v>0</v>
      </c>
      <c r="L837" s="107">
        <f t="shared" si="238"/>
        <v>0</v>
      </c>
      <c r="M837" s="105" t="s">
        <v>249</v>
      </c>
      <c r="AI837" s="42"/>
      <c r="BN837" s="42"/>
      <c r="CS837" s="42"/>
      <c r="DX837" s="42"/>
      <c r="FC837" s="42"/>
      <c r="GH837" s="42"/>
      <c r="HM837" s="42"/>
      <c r="IR837" s="42"/>
      <c r="JW837" s="42"/>
      <c r="LB837" s="42"/>
      <c r="MG837" s="42"/>
      <c r="NL837" s="42"/>
    </row>
    <row r="838" ht="15.75" customHeight="1">
      <c r="A838" s="42"/>
      <c r="B838" s="42"/>
      <c r="C838" s="42"/>
      <c r="D838" s="38">
        <f>JX2</f>
        <v>46027</v>
      </c>
      <c r="E838" s="31">
        <f t="shared" ref="E838:I838" si="1101">JX4</f>
        <v>1402049507</v>
      </c>
      <c r="F838" s="31">
        <f t="shared" si="1101"/>
        <v>20</v>
      </c>
      <c r="G838" s="31" t="str">
        <f t="shared" si="1101"/>
        <v>BOLSA PEARL FACTORY 159X90X210MM</v>
      </c>
      <c r="H838" s="13">
        <f t="shared" si="1101"/>
        <v>3000</v>
      </c>
      <c r="I838" s="13" t="str">
        <f t="shared" si="1101"/>
        <v/>
      </c>
      <c r="J838" s="107">
        <f t="array" ref="J838">IFERROR(IF(XLOOKUP(CONCAT(E838,F838),'MASTER PLAN'!$AB:$AB,'MASTER PLAN'!$M:$M,0,0)=0,"",XLOOKUP(CONCAT(E838,F838),'MASTER PLAN'!$AB:$AB,'MASTER PLAN'!$M:$M,0,0)),"")</f>
        <v>0.76</v>
      </c>
      <c r="K838" s="107">
        <f t="shared" si="237"/>
        <v>2280</v>
      </c>
      <c r="L838" s="107">
        <f t="shared" si="238"/>
        <v>0</v>
      </c>
      <c r="M838" s="105" t="s">
        <v>246</v>
      </c>
      <c r="AI838" s="42"/>
      <c r="BN838" s="42"/>
      <c r="CS838" s="42"/>
      <c r="DX838" s="42"/>
      <c r="FC838" s="42"/>
      <c r="GH838" s="42"/>
      <c r="HM838" s="42"/>
      <c r="IR838" s="42"/>
      <c r="JW838" s="42"/>
      <c r="LB838" s="42"/>
      <c r="MG838" s="42"/>
      <c r="NL838" s="42"/>
    </row>
    <row r="839" ht="15.75" customHeight="1">
      <c r="A839" s="42"/>
      <c r="B839" s="42"/>
      <c r="C839" s="42"/>
      <c r="D839" s="38">
        <f t="shared" ref="D839:D852" si="1103">D838</f>
        <v>46027</v>
      </c>
      <c r="E839" s="31" t="str">
        <f t="shared" ref="E839:I839" si="1102">JX5</f>
        <v/>
      </c>
      <c r="F839" s="31" t="str">
        <f t="shared" si="1102"/>
        <v/>
      </c>
      <c r="G839" s="31" t="str">
        <f t="shared" si="1102"/>
        <v/>
      </c>
      <c r="H839" s="13" t="str">
        <f t="shared" si="1102"/>
        <v/>
      </c>
      <c r="I839" s="13" t="str">
        <f t="shared" si="1102"/>
        <v/>
      </c>
      <c r="J839" s="107" t="str">
        <f t="array" ref="J839">IFERROR(IF(XLOOKUP(CONCAT(E839,F839),'MASTER PLAN'!$AB:$AB,'MASTER PLAN'!$M:$M,0,0)=0,"",XLOOKUP(CONCAT(E839,F839),'MASTER PLAN'!$AB:$AB,'MASTER PLAN'!$M:$M,0,0)),"")</f>
        <v/>
      </c>
      <c r="K839" s="107">
        <f t="shared" si="237"/>
        <v>0</v>
      </c>
      <c r="L839" s="107">
        <f t="shared" si="238"/>
        <v>0</v>
      </c>
      <c r="M839" s="105" t="s">
        <v>246</v>
      </c>
      <c r="AI839" s="42"/>
      <c r="BN839" s="42"/>
      <c r="CS839" s="42"/>
      <c r="DX839" s="42"/>
      <c r="FC839" s="42"/>
      <c r="GH839" s="42"/>
      <c r="HM839" s="42"/>
      <c r="IR839" s="42"/>
      <c r="JW839" s="42"/>
      <c r="LB839" s="42"/>
      <c r="MG839" s="42"/>
      <c r="NL839" s="42"/>
    </row>
    <row r="840" ht="15.75" customHeight="1">
      <c r="A840" s="42"/>
      <c r="B840" s="42"/>
      <c r="C840" s="42"/>
      <c r="D840" s="38">
        <f t="shared" si="1103"/>
        <v>46027</v>
      </c>
      <c r="E840" s="31" t="str">
        <f t="shared" ref="E840:I840" si="1104">JX6</f>
        <v/>
      </c>
      <c r="F840" s="31" t="str">
        <f t="shared" si="1104"/>
        <v/>
      </c>
      <c r="G840" s="31" t="str">
        <f t="shared" si="1104"/>
        <v/>
      </c>
      <c r="H840" s="13" t="str">
        <f t="shared" si="1104"/>
        <v/>
      </c>
      <c r="I840" s="13" t="str">
        <f t="shared" si="1104"/>
        <v/>
      </c>
      <c r="J840" s="107" t="str">
        <f t="array" ref="J840">IFERROR(IF(XLOOKUP(CONCAT(E840,F840),'MASTER PLAN'!$AB:$AB,'MASTER PLAN'!$M:$M,0,0)=0,"",XLOOKUP(CONCAT(E840,F840),'MASTER PLAN'!$AB:$AB,'MASTER PLAN'!$M:$M,0,0)),"")</f>
        <v/>
      </c>
      <c r="K840" s="107">
        <f t="shared" si="237"/>
        <v>0</v>
      </c>
      <c r="L840" s="107">
        <f t="shared" si="238"/>
        <v>0</v>
      </c>
      <c r="M840" s="105" t="s">
        <v>246</v>
      </c>
      <c r="AI840" s="42"/>
      <c r="BN840" s="42"/>
      <c r="CS840" s="42"/>
      <c r="DX840" s="42"/>
      <c r="FC840" s="42"/>
      <c r="GH840" s="42"/>
      <c r="HM840" s="42"/>
      <c r="IR840" s="42"/>
      <c r="JW840" s="42"/>
      <c r="LB840" s="42"/>
      <c r="MG840" s="42"/>
      <c r="NL840" s="42"/>
    </row>
    <row r="841" ht="15.75" customHeight="1">
      <c r="A841" s="42"/>
      <c r="B841" s="42"/>
      <c r="C841" s="42"/>
      <c r="D841" s="38">
        <f t="shared" si="1103"/>
        <v>46027</v>
      </c>
      <c r="E841" s="31" t="str">
        <f t="shared" ref="E841:I841" si="1105">JX7</f>
        <v/>
      </c>
      <c r="F841" s="31" t="str">
        <f t="shared" si="1105"/>
        <v/>
      </c>
      <c r="G841" s="31" t="str">
        <f t="shared" si="1105"/>
        <v/>
      </c>
      <c r="H841" s="13" t="str">
        <f t="shared" si="1105"/>
        <v/>
      </c>
      <c r="I841" s="13" t="str">
        <f t="shared" si="1105"/>
        <v/>
      </c>
      <c r="J841" s="107" t="str">
        <f t="array" ref="J841">IFERROR(IF(XLOOKUP(CONCAT(E841,F841),'MASTER PLAN'!$AB:$AB,'MASTER PLAN'!$M:$M,0,0)=0,"",XLOOKUP(CONCAT(E841,F841),'MASTER PLAN'!$AB:$AB,'MASTER PLAN'!$M:$M,0,0)),"")</f>
        <v/>
      </c>
      <c r="K841" s="107">
        <f t="shared" si="237"/>
        <v>0</v>
      </c>
      <c r="L841" s="107">
        <f t="shared" si="238"/>
        <v>0</v>
      </c>
      <c r="M841" s="105" t="s">
        <v>246</v>
      </c>
      <c r="AI841" s="42"/>
      <c r="BN841" s="42"/>
      <c r="CS841" s="42"/>
      <c r="DX841" s="42"/>
      <c r="FC841" s="42"/>
      <c r="GH841" s="42"/>
      <c r="HM841" s="42"/>
      <c r="IR841" s="42"/>
      <c r="JW841" s="42"/>
      <c r="LB841" s="42"/>
      <c r="MG841" s="42"/>
      <c r="NL841" s="42"/>
    </row>
    <row r="842" ht="15.75" customHeight="1">
      <c r="A842" s="42"/>
      <c r="B842" s="42"/>
      <c r="C842" s="42"/>
      <c r="D842" s="38">
        <f t="shared" si="1103"/>
        <v>46027</v>
      </c>
      <c r="E842" s="31" t="str">
        <f t="shared" ref="E842:I842" si="1106">JX8</f>
        <v/>
      </c>
      <c r="F842" s="31" t="str">
        <f t="shared" si="1106"/>
        <v/>
      </c>
      <c r="G842" s="31" t="str">
        <f t="shared" si="1106"/>
        <v/>
      </c>
      <c r="H842" s="13" t="str">
        <f t="shared" si="1106"/>
        <v/>
      </c>
      <c r="I842" s="13" t="str">
        <f t="shared" si="1106"/>
        <v/>
      </c>
      <c r="J842" s="107" t="str">
        <f t="array" ref="J842">IFERROR(IF(XLOOKUP(CONCAT(E842,F842),'MASTER PLAN'!$AB:$AB,'MASTER PLAN'!$M:$M,0,0)=0,"",XLOOKUP(CONCAT(E842,F842),'MASTER PLAN'!$AB:$AB,'MASTER PLAN'!$M:$M,0,0)),"")</f>
        <v/>
      </c>
      <c r="K842" s="107">
        <f t="shared" si="237"/>
        <v>0</v>
      </c>
      <c r="L842" s="107">
        <f t="shared" si="238"/>
        <v>0</v>
      </c>
      <c r="M842" s="105" t="s">
        <v>246</v>
      </c>
      <c r="AI842" s="42"/>
      <c r="BN842" s="42"/>
      <c r="CS842" s="42"/>
      <c r="DX842" s="42"/>
      <c r="FC842" s="42"/>
      <c r="GH842" s="42"/>
      <c r="HM842" s="42"/>
      <c r="IR842" s="42"/>
      <c r="JW842" s="42"/>
      <c r="LB842" s="42"/>
      <c r="MG842" s="42"/>
      <c r="NL842" s="42"/>
    </row>
    <row r="843" ht="15.75" customHeight="1">
      <c r="A843" s="42"/>
      <c r="B843" s="42"/>
      <c r="C843" s="42"/>
      <c r="D843" s="38">
        <f t="shared" si="1103"/>
        <v>46027</v>
      </c>
      <c r="E843" s="31">
        <f t="shared" ref="E843:I843" si="1107">JX12</f>
        <v>1402049532</v>
      </c>
      <c r="F843" s="31">
        <f t="shared" si="1107"/>
        <v>10</v>
      </c>
      <c r="G843" s="31" t="str">
        <f t="shared" si="1107"/>
        <v>BOLSA CHARISMA JEWELERS 10"X 4"X 8"</v>
      </c>
      <c r="H843" s="13">
        <f t="shared" si="1107"/>
        <v>1500</v>
      </c>
      <c r="I843" s="13" t="str">
        <f t="shared" si="1107"/>
        <v/>
      </c>
      <c r="J843" s="107">
        <f t="array" ref="J843">IFERROR(IF(XLOOKUP(CONCAT(E843,F843),'MASTER PLAN'!$AB:$AB,'MASTER PLAN'!$M:$M,0,0)=0,"",XLOOKUP(CONCAT(E843,F843),'MASTER PLAN'!$AB:$AB,'MASTER PLAN'!$M:$M,0,0)),"")</f>
        <v>1.2</v>
      </c>
      <c r="K843" s="107">
        <f t="shared" si="237"/>
        <v>1800</v>
      </c>
      <c r="L843" s="107">
        <f t="shared" si="238"/>
        <v>0</v>
      </c>
      <c r="M843" s="105" t="s">
        <v>248</v>
      </c>
      <c r="AI843" s="42"/>
      <c r="BN843" s="42"/>
      <c r="CS843" s="42"/>
      <c r="DX843" s="42"/>
      <c r="FC843" s="42"/>
      <c r="GH843" s="42"/>
      <c r="HM843" s="42"/>
      <c r="IR843" s="42"/>
      <c r="JW843" s="42"/>
      <c r="LB843" s="42"/>
      <c r="MG843" s="42"/>
      <c r="NL843" s="42"/>
    </row>
    <row r="844" ht="15.75" customHeight="1">
      <c r="A844" s="42"/>
      <c r="B844" s="42"/>
      <c r="C844" s="42"/>
      <c r="D844" s="38">
        <f t="shared" si="1103"/>
        <v>46027</v>
      </c>
      <c r="E844" s="31">
        <f t="shared" ref="E844:I844" si="1108">JX13</f>
        <v>1402049358</v>
      </c>
      <c r="F844" s="31">
        <f t="shared" si="1108"/>
        <v>10</v>
      </c>
      <c r="G844" s="31" t="str">
        <f t="shared" si="1108"/>
        <v>BOLSA JON'S FINE JEWELRY 5"X4"X7"</v>
      </c>
      <c r="H844" s="13">
        <f t="shared" si="1108"/>
        <v>2000</v>
      </c>
      <c r="I844" s="13" t="str">
        <f t="shared" si="1108"/>
        <v/>
      </c>
      <c r="J844" s="107">
        <f t="array" ref="J844">IFERROR(IF(XLOOKUP(CONCAT(E844,F844),'MASTER PLAN'!$AB:$AB,'MASTER PLAN'!$M:$M,0,0)=0,"",XLOOKUP(CONCAT(E844,F844),'MASTER PLAN'!$AB:$AB,'MASTER PLAN'!$M:$M,0,0)),"")</f>
        <v>1.672</v>
      </c>
      <c r="K844" s="107">
        <f t="shared" si="237"/>
        <v>3344</v>
      </c>
      <c r="L844" s="107">
        <f t="shared" si="238"/>
        <v>0</v>
      </c>
      <c r="M844" s="105" t="s">
        <v>248</v>
      </c>
      <c r="AI844" s="42"/>
      <c r="BN844" s="42"/>
      <c r="CS844" s="42"/>
      <c r="DX844" s="42"/>
      <c r="FC844" s="42"/>
      <c r="GH844" s="42"/>
      <c r="HM844" s="42"/>
      <c r="IR844" s="42"/>
      <c r="JW844" s="42"/>
      <c r="LB844" s="42"/>
      <c r="MG844" s="42"/>
      <c r="NL844" s="42"/>
    </row>
    <row r="845" ht="15.75" customHeight="1">
      <c r="A845" s="42"/>
      <c r="B845" s="42"/>
      <c r="C845" s="42"/>
      <c r="D845" s="38">
        <f t="shared" si="1103"/>
        <v>46027</v>
      </c>
      <c r="E845" s="31" t="str">
        <f t="shared" ref="E845:I845" si="1109">JX14</f>
        <v/>
      </c>
      <c r="F845" s="31" t="str">
        <f t="shared" si="1109"/>
        <v/>
      </c>
      <c r="G845" s="31" t="str">
        <f t="shared" si="1109"/>
        <v/>
      </c>
      <c r="H845" s="13" t="str">
        <f t="shared" si="1109"/>
        <v/>
      </c>
      <c r="I845" s="13" t="str">
        <f t="shared" si="1109"/>
        <v/>
      </c>
      <c r="J845" s="107" t="str">
        <f t="array" ref="J845">IFERROR(IF(XLOOKUP(CONCAT(E845,F845),'MASTER PLAN'!$AB:$AB,'MASTER PLAN'!$M:$M,0,0)=0,"",XLOOKUP(CONCAT(E845,F845),'MASTER PLAN'!$AB:$AB,'MASTER PLAN'!$M:$M,0,0)),"")</f>
        <v/>
      </c>
      <c r="K845" s="107">
        <f t="shared" si="237"/>
        <v>0</v>
      </c>
      <c r="L845" s="107">
        <f t="shared" si="238"/>
        <v>0</v>
      </c>
      <c r="M845" s="105" t="s">
        <v>248</v>
      </c>
      <c r="AI845" s="42"/>
      <c r="BN845" s="42"/>
      <c r="CS845" s="42"/>
      <c r="DX845" s="42"/>
      <c r="FC845" s="42"/>
      <c r="GH845" s="42"/>
      <c r="HM845" s="42"/>
      <c r="IR845" s="42"/>
      <c r="JW845" s="42"/>
      <c r="LB845" s="42"/>
      <c r="MG845" s="42"/>
      <c r="NL845" s="42"/>
    </row>
    <row r="846" ht="15.75" customHeight="1">
      <c r="A846" s="42"/>
      <c r="B846" s="42"/>
      <c r="C846" s="42"/>
      <c r="D846" s="38">
        <f t="shared" si="1103"/>
        <v>46027</v>
      </c>
      <c r="E846" s="31" t="str">
        <f t="shared" ref="E846:I846" si="1110">JX15</f>
        <v/>
      </c>
      <c r="F846" s="31" t="str">
        <f t="shared" si="1110"/>
        <v/>
      </c>
      <c r="G846" s="31" t="str">
        <f t="shared" si="1110"/>
        <v/>
      </c>
      <c r="H846" s="13" t="str">
        <f t="shared" si="1110"/>
        <v/>
      </c>
      <c r="I846" s="13" t="str">
        <f t="shared" si="1110"/>
        <v/>
      </c>
      <c r="J846" s="107" t="str">
        <f t="array" ref="J846">IFERROR(IF(XLOOKUP(CONCAT(E846,F846),'MASTER PLAN'!$AB:$AB,'MASTER PLAN'!$M:$M,0,0)=0,"",XLOOKUP(CONCAT(E846,F846),'MASTER PLAN'!$AB:$AB,'MASTER PLAN'!$M:$M,0,0)),"")</f>
        <v/>
      </c>
      <c r="K846" s="107">
        <f t="shared" si="237"/>
        <v>0</v>
      </c>
      <c r="L846" s="107">
        <f t="shared" si="238"/>
        <v>0</v>
      </c>
      <c r="M846" s="105" t="s">
        <v>248</v>
      </c>
      <c r="AI846" s="42"/>
      <c r="BN846" s="42"/>
      <c r="CS846" s="42"/>
      <c r="DX846" s="42"/>
      <c r="FC846" s="42"/>
      <c r="GH846" s="42"/>
      <c r="HM846" s="42"/>
      <c r="IR846" s="42"/>
      <c r="JW846" s="42"/>
      <c r="LB846" s="42"/>
      <c r="MG846" s="42"/>
      <c r="NL846" s="42"/>
    </row>
    <row r="847" ht="15.75" customHeight="1">
      <c r="A847" s="42"/>
      <c r="B847" s="42"/>
      <c r="C847" s="42"/>
      <c r="D847" s="38">
        <f t="shared" si="1103"/>
        <v>46027</v>
      </c>
      <c r="E847" s="31" t="str">
        <f t="shared" ref="E847:I847" si="1111">JX16</f>
        <v/>
      </c>
      <c r="F847" s="31" t="str">
        <f t="shared" si="1111"/>
        <v/>
      </c>
      <c r="G847" s="31" t="str">
        <f t="shared" si="1111"/>
        <v/>
      </c>
      <c r="H847" s="13" t="str">
        <f t="shared" si="1111"/>
        <v/>
      </c>
      <c r="I847" s="13" t="str">
        <f t="shared" si="1111"/>
        <v/>
      </c>
      <c r="J847" s="107" t="str">
        <f t="array" ref="J847">IFERROR(IF(XLOOKUP(CONCAT(E847,F847),'MASTER PLAN'!$AB:$AB,'MASTER PLAN'!$M:$M,0,0)=0,"",XLOOKUP(CONCAT(E847,F847),'MASTER PLAN'!$AB:$AB,'MASTER PLAN'!$M:$M,0,0)),"")</f>
        <v/>
      </c>
      <c r="K847" s="107">
        <f t="shared" si="237"/>
        <v>0</v>
      </c>
      <c r="L847" s="107">
        <f t="shared" si="238"/>
        <v>0</v>
      </c>
      <c r="M847" s="105" t="s">
        <v>248</v>
      </c>
      <c r="AI847" s="42"/>
      <c r="BN847" s="42"/>
      <c r="CS847" s="42"/>
      <c r="DX847" s="42"/>
      <c r="FC847" s="42"/>
      <c r="GH847" s="42"/>
      <c r="HM847" s="42"/>
      <c r="IR847" s="42"/>
      <c r="JW847" s="42"/>
      <c r="LB847" s="42"/>
      <c r="MG847" s="42"/>
      <c r="NL847" s="42"/>
    </row>
    <row r="848" ht="15.75" customHeight="1">
      <c r="A848" s="42"/>
      <c r="B848" s="42"/>
      <c r="C848" s="42"/>
      <c r="D848" s="38">
        <f t="shared" si="1103"/>
        <v>46027</v>
      </c>
      <c r="E848" s="31" t="str">
        <f t="shared" ref="E848:I848" si="1112">JX20</f>
        <v/>
      </c>
      <c r="F848" s="31" t="str">
        <f t="shared" si="1112"/>
        <v/>
      </c>
      <c r="G848" s="31" t="str">
        <f t="shared" si="1112"/>
        <v/>
      </c>
      <c r="H848" s="13" t="str">
        <f t="shared" si="1112"/>
        <v/>
      </c>
      <c r="I848" s="13" t="str">
        <f t="shared" si="1112"/>
        <v/>
      </c>
      <c r="J848" s="107" t="str">
        <f t="array" ref="J848">IFERROR(IF(XLOOKUP(CONCAT(E848,F848),'MASTER PLAN'!$AB:$AB,'MASTER PLAN'!$M:$M,0,0)=0,"",XLOOKUP(CONCAT(E848,F848),'MASTER PLAN'!$AB:$AB,'MASTER PLAN'!$M:$M,0,0)),"")</f>
        <v/>
      </c>
      <c r="K848" s="107">
        <f t="shared" si="237"/>
        <v>0</v>
      </c>
      <c r="L848" s="107">
        <f t="shared" si="238"/>
        <v>0</v>
      </c>
      <c r="M848" s="105" t="s">
        <v>249</v>
      </c>
      <c r="AI848" s="42"/>
      <c r="BN848" s="42"/>
      <c r="CS848" s="42"/>
      <c r="DX848" s="42"/>
      <c r="FC848" s="42"/>
      <c r="GH848" s="42"/>
      <c r="HM848" s="42"/>
      <c r="IR848" s="42"/>
      <c r="JW848" s="42"/>
      <c r="LB848" s="42"/>
      <c r="MG848" s="42"/>
      <c r="NL848" s="42"/>
    </row>
    <row r="849" ht="15.75" customHeight="1">
      <c r="A849" s="42"/>
      <c r="B849" s="42"/>
      <c r="C849" s="42"/>
      <c r="D849" s="38">
        <f t="shared" si="1103"/>
        <v>46027</v>
      </c>
      <c r="E849" s="31" t="str">
        <f t="shared" ref="E849:I849" si="1113">JX21</f>
        <v/>
      </c>
      <c r="F849" s="31" t="str">
        <f t="shared" si="1113"/>
        <v/>
      </c>
      <c r="G849" s="31" t="str">
        <f t="shared" si="1113"/>
        <v/>
      </c>
      <c r="H849" s="13" t="str">
        <f t="shared" si="1113"/>
        <v/>
      </c>
      <c r="I849" s="13" t="str">
        <f t="shared" si="1113"/>
        <v/>
      </c>
      <c r="J849" s="107" t="str">
        <f t="array" ref="J849">IFERROR(IF(XLOOKUP(CONCAT(E849,F849),'MASTER PLAN'!$AB:$AB,'MASTER PLAN'!$M:$M,0,0)=0,"",XLOOKUP(CONCAT(E849,F849),'MASTER PLAN'!$AB:$AB,'MASTER PLAN'!$M:$M,0,0)),"")</f>
        <v/>
      </c>
      <c r="K849" s="107">
        <f t="shared" si="237"/>
        <v>0</v>
      </c>
      <c r="L849" s="107">
        <f t="shared" si="238"/>
        <v>0</v>
      </c>
      <c r="M849" s="105" t="s">
        <v>249</v>
      </c>
      <c r="AI849" s="42"/>
      <c r="BN849" s="42"/>
      <c r="CS849" s="42"/>
      <c r="DX849" s="42"/>
      <c r="FC849" s="42"/>
      <c r="GH849" s="42"/>
      <c r="HM849" s="42"/>
      <c r="IR849" s="42"/>
      <c r="JW849" s="42"/>
      <c r="LB849" s="42"/>
      <c r="MG849" s="42"/>
      <c r="NL849" s="42"/>
    </row>
    <row r="850" ht="15.75" customHeight="1">
      <c r="A850" s="42"/>
      <c r="B850" s="42"/>
      <c r="C850" s="42"/>
      <c r="D850" s="38">
        <f t="shared" si="1103"/>
        <v>46027</v>
      </c>
      <c r="E850" s="31" t="str">
        <f t="shared" ref="E850:I850" si="1114">JX22</f>
        <v/>
      </c>
      <c r="F850" s="31" t="str">
        <f t="shared" si="1114"/>
        <v/>
      </c>
      <c r="G850" s="31" t="str">
        <f t="shared" si="1114"/>
        <v/>
      </c>
      <c r="H850" s="13" t="str">
        <f t="shared" si="1114"/>
        <v/>
      </c>
      <c r="I850" s="13" t="str">
        <f t="shared" si="1114"/>
        <v/>
      </c>
      <c r="J850" s="107" t="str">
        <f t="array" ref="J850">IFERROR(IF(XLOOKUP(CONCAT(E850,F850),'MASTER PLAN'!$AB:$AB,'MASTER PLAN'!$M:$M,0,0)=0,"",XLOOKUP(CONCAT(E850,F850),'MASTER PLAN'!$AB:$AB,'MASTER PLAN'!$M:$M,0,0)),"")</f>
        <v/>
      </c>
      <c r="K850" s="107">
        <f t="shared" si="237"/>
        <v>0</v>
      </c>
      <c r="L850" s="107">
        <f t="shared" si="238"/>
        <v>0</v>
      </c>
      <c r="M850" s="105" t="s">
        <v>249</v>
      </c>
      <c r="AI850" s="42"/>
      <c r="BN850" s="42"/>
      <c r="CS850" s="42"/>
      <c r="DX850" s="42"/>
      <c r="FC850" s="42"/>
      <c r="GH850" s="42"/>
      <c r="HM850" s="42"/>
      <c r="IR850" s="42"/>
      <c r="JW850" s="42"/>
      <c r="LB850" s="42"/>
      <c r="MG850" s="42"/>
      <c r="NL850" s="42"/>
    </row>
    <row r="851" ht="15.75" customHeight="1">
      <c r="A851" s="42"/>
      <c r="B851" s="42"/>
      <c r="C851" s="42"/>
      <c r="D851" s="38">
        <f t="shared" si="1103"/>
        <v>46027</v>
      </c>
      <c r="E851" s="31" t="str">
        <f t="shared" ref="E851:I851" si="1115">JX23</f>
        <v/>
      </c>
      <c r="F851" s="31" t="str">
        <f t="shared" si="1115"/>
        <v/>
      </c>
      <c r="G851" s="31" t="str">
        <f t="shared" si="1115"/>
        <v/>
      </c>
      <c r="H851" s="13" t="str">
        <f t="shared" si="1115"/>
        <v/>
      </c>
      <c r="I851" s="13" t="str">
        <f t="shared" si="1115"/>
        <v/>
      </c>
      <c r="J851" s="107" t="str">
        <f t="array" ref="J851">IFERROR(IF(XLOOKUP(CONCAT(E851,F851),'MASTER PLAN'!$AB:$AB,'MASTER PLAN'!$M:$M,0,0)=0,"",XLOOKUP(CONCAT(E851,F851),'MASTER PLAN'!$AB:$AB,'MASTER PLAN'!$M:$M,0,0)),"")</f>
        <v/>
      </c>
      <c r="K851" s="107">
        <f t="shared" si="237"/>
        <v>0</v>
      </c>
      <c r="L851" s="107">
        <f t="shared" si="238"/>
        <v>0</v>
      </c>
      <c r="M851" s="105" t="s">
        <v>249</v>
      </c>
      <c r="AI851" s="42"/>
      <c r="BN851" s="42"/>
      <c r="CS851" s="42"/>
      <c r="DX851" s="42"/>
      <c r="FC851" s="42"/>
      <c r="GH851" s="42"/>
      <c r="HM851" s="42"/>
      <c r="IR851" s="42"/>
      <c r="JW851" s="42"/>
      <c r="LB851" s="42"/>
      <c r="MG851" s="42"/>
      <c r="NL851" s="42"/>
    </row>
    <row r="852" ht="15.75" customHeight="1">
      <c r="A852" s="42"/>
      <c r="B852" s="42"/>
      <c r="C852" s="42"/>
      <c r="D852" s="38">
        <f t="shared" si="1103"/>
        <v>46027</v>
      </c>
      <c r="E852" s="31" t="str">
        <f t="shared" ref="E852:I852" si="1116">JX24</f>
        <v/>
      </c>
      <c r="F852" s="31" t="str">
        <f t="shared" si="1116"/>
        <v/>
      </c>
      <c r="G852" s="31" t="str">
        <f t="shared" si="1116"/>
        <v/>
      </c>
      <c r="H852" s="13" t="str">
        <f t="shared" si="1116"/>
        <v/>
      </c>
      <c r="I852" s="13" t="str">
        <f t="shared" si="1116"/>
        <v/>
      </c>
      <c r="J852" s="107" t="str">
        <f t="array" ref="J852">IFERROR(IF(XLOOKUP(CONCAT(E852,F852),'MASTER PLAN'!$AB:$AB,'MASTER PLAN'!$M:$M,0,0)=0,"",XLOOKUP(CONCAT(E852,F852),'MASTER PLAN'!$AB:$AB,'MASTER PLAN'!$M:$M,0,0)),"")</f>
        <v/>
      </c>
      <c r="K852" s="107">
        <f t="shared" si="237"/>
        <v>0</v>
      </c>
      <c r="L852" s="107">
        <f t="shared" si="238"/>
        <v>0</v>
      </c>
      <c r="M852" s="105" t="s">
        <v>249</v>
      </c>
      <c r="AI852" s="42"/>
      <c r="BN852" s="42"/>
      <c r="CS852" s="42"/>
      <c r="DX852" s="42"/>
      <c r="FC852" s="42"/>
      <c r="GH852" s="42"/>
      <c r="HM852" s="42"/>
      <c r="IR852" s="42"/>
      <c r="JW852" s="42"/>
      <c r="LB852" s="42"/>
      <c r="MG852" s="42"/>
      <c r="NL852" s="42"/>
    </row>
    <row r="853" ht="15.75" customHeight="1">
      <c r="A853" s="42"/>
      <c r="B853" s="42"/>
      <c r="C853" s="42"/>
      <c r="D853" s="38">
        <f>KC2</f>
        <v>46028</v>
      </c>
      <c r="E853" s="31">
        <f t="shared" ref="E853:I853" si="1117">KC4</f>
        <v>1402049507</v>
      </c>
      <c r="F853" s="31">
        <f t="shared" si="1117"/>
        <v>20</v>
      </c>
      <c r="G853" s="31" t="str">
        <f t="shared" si="1117"/>
        <v>BOLSA PEARL FACTORY 159X90X210MM</v>
      </c>
      <c r="H853" s="13">
        <f t="shared" si="1117"/>
        <v>3000</v>
      </c>
      <c r="I853" s="13" t="str">
        <f t="shared" si="1117"/>
        <v/>
      </c>
      <c r="J853" s="107">
        <f t="array" ref="J853">IFERROR(IF(XLOOKUP(CONCAT(E853,F853),'MASTER PLAN'!$AB:$AB,'MASTER PLAN'!$M:$M,0,0)=0,"",XLOOKUP(CONCAT(E853,F853),'MASTER PLAN'!$AB:$AB,'MASTER PLAN'!$M:$M,0,0)),"")</f>
        <v>0.76</v>
      </c>
      <c r="K853" s="107">
        <f t="shared" si="237"/>
        <v>2280</v>
      </c>
      <c r="L853" s="107">
        <f t="shared" si="238"/>
        <v>0</v>
      </c>
      <c r="M853" s="105" t="s">
        <v>246</v>
      </c>
      <c r="AI853" s="42"/>
      <c r="BN853" s="42"/>
      <c r="CS853" s="42"/>
      <c r="DX853" s="42"/>
      <c r="FC853" s="42"/>
      <c r="GH853" s="42"/>
      <c r="HM853" s="42"/>
      <c r="IR853" s="42"/>
      <c r="JW853" s="42"/>
      <c r="LB853" s="42"/>
      <c r="MG853" s="42"/>
      <c r="NL853" s="42"/>
    </row>
    <row r="854" ht="15.75" customHeight="1">
      <c r="A854" s="42"/>
      <c r="B854" s="42"/>
      <c r="C854" s="42"/>
      <c r="D854" s="38">
        <f t="shared" ref="D854:D867" si="1119">D853</f>
        <v>46028</v>
      </c>
      <c r="E854" s="31" t="str">
        <f t="shared" ref="E854:I854" si="1118">KC5</f>
        <v/>
      </c>
      <c r="F854" s="31" t="str">
        <f t="shared" si="1118"/>
        <v/>
      </c>
      <c r="G854" s="31" t="str">
        <f t="shared" si="1118"/>
        <v/>
      </c>
      <c r="H854" s="13" t="str">
        <f t="shared" si="1118"/>
        <v/>
      </c>
      <c r="I854" s="13" t="str">
        <f t="shared" si="1118"/>
        <v/>
      </c>
      <c r="J854" s="107" t="str">
        <f t="array" ref="J854">IFERROR(IF(XLOOKUP(CONCAT(E854,F854),'MASTER PLAN'!$AB:$AB,'MASTER PLAN'!$M:$M,0,0)=0,"",XLOOKUP(CONCAT(E854,F854),'MASTER PLAN'!$AB:$AB,'MASTER PLAN'!$M:$M,0,0)),"")</f>
        <v/>
      </c>
      <c r="K854" s="107">
        <f t="shared" si="237"/>
        <v>0</v>
      </c>
      <c r="L854" s="107">
        <f t="shared" si="238"/>
        <v>0</v>
      </c>
      <c r="M854" s="105" t="s">
        <v>246</v>
      </c>
      <c r="AI854" s="42"/>
      <c r="BN854" s="42"/>
      <c r="CS854" s="42"/>
      <c r="DX854" s="42"/>
      <c r="FC854" s="42"/>
      <c r="GH854" s="42"/>
      <c r="HM854" s="42"/>
      <c r="IR854" s="42"/>
      <c r="JW854" s="42"/>
      <c r="LB854" s="42"/>
      <c r="MG854" s="42"/>
      <c r="NL854" s="42"/>
    </row>
    <row r="855" ht="15.75" customHeight="1">
      <c r="A855" s="42"/>
      <c r="B855" s="42"/>
      <c r="C855" s="42"/>
      <c r="D855" s="38">
        <f t="shared" si="1119"/>
        <v>46028</v>
      </c>
      <c r="E855" s="31" t="str">
        <f t="shared" ref="E855:I855" si="1120">KC6</f>
        <v/>
      </c>
      <c r="F855" s="31" t="str">
        <f t="shared" si="1120"/>
        <v/>
      </c>
      <c r="G855" s="31" t="str">
        <f t="shared" si="1120"/>
        <v/>
      </c>
      <c r="H855" s="13" t="str">
        <f t="shared" si="1120"/>
        <v/>
      </c>
      <c r="I855" s="13" t="str">
        <f t="shared" si="1120"/>
        <v/>
      </c>
      <c r="J855" s="107" t="str">
        <f t="array" ref="J855">IFERROR(IF(XLOOKUP(CONCAT(E855,F855),'MASTER PLAN'!$AB:$AB,'MASTER PLAN'!$M:$M,0,0)=0,"",XLOOKUP(CONCAT(E855,F855),'MASTER PLAN'!$AB:$AB,'MASTER PLAN'!$M:$M,0,0)),"")</f>
        <v/>
      </c>
      <c r="K855" s="107">
        <f t="shared" si="237"/>
        <v>0</v>
      </c>
      <c r="L855" s="107">
        <f t="shared" si="238"/>
        <v>0</v>
      </c>
      <c r="M855" s="105" t="s">
        <v>246</v>
      </c>
      <c r="AI855" s="42"/>
      <c r="BN855" s="42"/>
      <c r="CS855" s="42"/>
      <c r="DX855" s="42"/>
      <c r="FC855" s="42"/>
      <c r="GH855" s="42"/>
      <c r="HM855" s="42"/>
      <c r="IR855" s="42"/>
      <c r="JW855" s="42"/>
      <c r="LB855" s="42"/>
      <c r="MG855" s="42"/>
      <c r="NL855" s="42"/>
    </row>
    <row r="856" ht="15.75" customHeight="1">
      <c r="A856" s="42"/>
      <c r="B856" s="42"/>
      <c r="C856" s="42"/>
      <c r="D856" s="38">
        <f t="shared" si="1119"/>
        <v>46028</v>
      </c>
      <c r="E856" s="31" t="str">
        <f t="shared" ref="E856:I856" si="1121">KC7</f>
        <v/>
      </c>
      <c r="F856" s="31" t="str">
        <f t="shared" si="1121"/>
        <v/>
      </c>
      <c r="G856" s="31" t="str">
        <f t="shared" si="1121"/>
        <v/>
      </c>
      <c r="H856" s="13" t="str">
        <f t="shared" si="1121"/>
        <v/>
      </c>
      <c r="I856" s="13" t="str">
        <f t="shared" si="1121"/>
        <v/>
      </c>
      <c r="J856" s="107" t="str">
        <f t="array" ref="J856">IFERROR(IF(XLOOKUP(CONCAT(E856,F856),'MASTER PLAN'!$AB:$AB,'MASTER PLAN'!$M:$M,0,0)=0,"",XLOOKUP(CONCAT(E856,F856),'MASTER PLAN'!$AB:$AB,'MASTER PLAN'!$M:$M,0,0)),"")</f>
        <v/>
      </c>
      <c r="K856" s="107">
        <f t="shared" si="237"/>
        <v>0</v>
      </c>
      <c r="L856" s="107">
        <f t="shared" si="238"/>
        <v>0</v>
      </c>
      <c r="M856" s="105" t="s">
        <v>246</v>
      </c>
      <c r="AI856" s="42"/>
      <c r="BN856" s="42"/>
      <c r="CS856" s="42"/>
      <c r="DX856" s="42"/>
      <c r="FC856" s="42"/>
      <c r="GH856" s="42"/>
      <c r="HM856" s="42"/>
      <c r="IR856" s="42"/>
      <c r="JW856" s="42"/>
      <c r="LB856" s="42"/>
      <c r="MG856" s="42"/>
      <c r="NL856" s="42"/>
    </row>
    <row r="857" ht="15.75" customHeight="1">
      <c r="A857" s="42"/>
      <c r="B857" s="42"/>
      <c r="C857" s="42"/>
      <c r="D857" s="38">
        <f t="shared" si="1119"/>
        <v>46028</v>
      </c>
      <c r="E857" s="31" t="str">
        <f t="shared" ref="E857:I857" si="1122">KC8</f>
        <v/>
      </c>
      <c r="F857" s="31" t="str">
        <f t="shared" si="1122"/>
        <v/>
      </c>
      <c r="G857" s="31" t="str">
        <f t="shared" si="1122"/>
        <v/>
      </c>
      <c r="H857" s="13" t="str">
        <f t="shared" si="1122"/>
        <v/>
      </c>
      <c r="I857" s="13" t="str">
        <f t="shared" si="1122"/>
        <v/>
      </c>
      <c r="J857" s="107" t="str">
        <f t="array" ref="J857">IFERROR(IF(XLOOKUP(CONCAT(E857,F857),'MASTER PLAN'!$AB:$AB,'MASTER PLAN'!$M:$M,0,0)=0,"",XLOOKUP(CONCAT(E857,F857),'MASTER PLAN'!$AB:$AB,'MASTER PLAN'!$M:$M,0,0)),"")</f>
        <v/>
      </c>
      <c r="K857" s="107">
        <f t="shared" si="237"/>
        <v>0</v>
      </c>
      <c r="L857" s="107">
        <f t="shared" si="238"/>
        <v>0</v>
      </c>
      <c r="M857" s="105" t="s">
        <v>246</v>
      </c>
      <c r="AI857" s="42"/>
      <c r="BN857" s="42"/>
      <c r="CS857" s="42"/>
      <c r="DX857" s="42"/>
      <c r="FC857" s="42"/>
      <c r="GH857" s="42"/>
      <c r="HM857" s="42"/>
      <c r="IR857" s="42"/>
      <c r="JW857" s="42"/>
      <c r="LB857" s="42"/>
      <c r="MG857" s="42"/>
      <c r="NL857" s="42"/>
    </row>
    <row r="858" ht="15.75" customHeight="1">
      <c r="A858" s="42"/>
      <c r="B858" s="42"/>
      <c r="C858" s="42"/>
      <c r="D858" s="38">
        <f t="shared" si="1119"/>
        <v>46028</v>
      </c>
      <c r="E858" s="31">
        <f t="shared" ref="E858:I858" si="1123">KC12</f>
        <v>1402049543</v>
      </c>
      <c r="F858" s="31">
        <f t="shared" si="1123"/>
        <v>10</v>
      </c>
      <c r="G858" s="31" t="str">
        <f t="shared" si="1123"/>
        <v>BOLSA J-C- JEWELERS 10"X4"X8" -BLUE</v>
      </c>
      <c r="H858" s="13">
        <f t="shared" si="1123"/>
        <v>1500</v>
      </c>
      <c r="I858" s="13" t="str">
        <f t="shared" si="1123"/>
        <v/>
      </c>
      <c r="J858" s="107">
        <f t="array" ref="J858">IFERROR(IF(XLOOKUP(CONCAT(E858,F858),'MASTER PLAN'!$AB:$AB,'MASTER PLAN'!$M:$M,0,0)=0,"",XLOOKUP(CONCAT(E858,F858),'MASTER PLAN'!$AB:$AB,'MASTER PLAN'!$M:$M,0,0)),"")</f>
        <v>3.29</v>
      </c>
      <c r="K858" s="107">
        <f t="shared" si="237"/>
        <v>4935</v>
      </c>
      <c r="L858" s="107">
        <f t="shared" si="238"/>
        <v>0</v>
      </c>
      <c r="M858" s="105" t="s">
        <v>248</v>
      </c>
      <c r="AI858" s="42"/>
      <c r="BN858" s="42"/>
      <c r="CS858" s="42"/>
      <c r="DX858" s="42"/>
      <c r="FC858" s="42"/>
      <c r="GH858" s="42"/>
      <c r="HM858" s="42"/>
      <c r="IR858" s="42"/>
      <c r="JW858" s="42"/>
      <c r="LB858" s="42"/>
      <c r="MG858" s="42"/>
      <c r="NL858" s="42"/>
    </row>
    <row r="859" ht="15.75" customHeight="1">
      <c r="A859" s="42"/>
      <c r="B859" s="42"/>
      <c r="C859" s="42"/>
      <c r="D859" s="38">
        <f t="shared" si="1119"/>
        <v>46028</v>
      </c>
      <c r="E859" s="31">
        <f t="shared" ref="E859:I859" si="1124">KC13</f>
        <v>1402049466</v>
      </c>
      <c r="F859" s="31">
        <f t="shared" si="1124"/>
        <v>10</v>
      </c>
      <c r="G859" s="31" t="str">
        <f t="shared" si="1124"/>
        <v>BOLSA ROGERS ENTERPRISES 10"X4"X7-75"</v>
      </c>
      <c r="H859" s="13">
        <f t="shared" si="1124"/>
        <v>1500</v>
      </c>
      <c r="I859" s="13" t="str">
        <f t="shared" si="1124"/>
        <v/>
      </c>
      <c r="J859" s="107">
        <f t="array" ref="J859">IFERROR(IF(XLOOKUP(CONCAT(E859,F859),'MASTER PLAN'!$AB:$AB,'MASTER PLAN'!$M:$M,0,0)=0,"",XLOOKUP(CONCAT(E859,F859),'MASTER PLAN'!$AB:$AB,'MASTER PLAN'!$M:$M,0,0)),"")</f>
        <v>1.064</v>
      </c>
      <c r="K859" s="107">
        <f t="shared" si="237"/>
        <v>1596</v>
      </c>
      <c r="L859" s="107">
        <f t="shared" si="238"/>
        <v>0</v>
      </c>
      <c r="M859" s="105" t="s">
        <v>248</v>
      </c>
      <c r="AI859" s="42"/>
      <c r="BN859" s="42"/>
      <c r="CS859" s="42"/>
      <c r="DX859" s="42"/>
      <c r="FC859" s="42"/>
      <c r="GH859" s="42"/>
      <c r="HM859" s="42"/>
      <c r="IR859" s="42"/>
      <c r="JW859" s="42"/>
      <c r="LB859" s="42"/>
      <c r="MG859" s="42"/>
      <c r="NL859" s="42"/>
    </row>
    <row r="860" ht="15.75" customHeight="1">
      <c r="A860" s="42"/>
      <c r="B860" s="42"/>
      <c r="C860" s="42"/>
      <c r="D860" s="38">
        <f t="shared" si="1119"/>
        <v>46028</v>
      </c>
      <c r="E860" s="31" t="str">
        <f t="shared" ref="E860:I860" si="1125">KC14</f>
        <v/>
      </c>
      <c r="F860" s="31" t="str">
        <f t="shared" si="1125"/>
        <v/>
      </c>
      <c r="G860" s="31" t="str">
        <f t="shared" si="1125"/>
        <v/>
      </c>
      <c r="H860" s="13" t="str">
        <f t="shared" si="1125"/>
        <v/>
      </c>
      <c r="I860" s="13" t="str">
        <f t="shared" si="1125"/>
        <v/>
      </c>
      <c r="J860" s="107" t="str">
        <f t="array" ref="J860">IFERROR(IF(XLOOKUP(CONCAT(E860,F860),'MASTER PLAN'!$AB:$AB,'MASTER PLAN'!$M:$M,0,0)=0,"",XLOOKUP(CONCAT(E860,F860),'MASTER PLAN'!$AB:$AB,'MASTER PLAN'!$M:$M,0,0)),"")</f>
        <v/>
      </c>
      <c r="K860" s="107">
        <f t="shared" si="237"/>
        <v>0</v>
      </c>
      <c r="L860" s="107">
        <f t="shared" si="238"/>
        <v>0</v>
      </c>
      <c r="M860" s="105" t="s">
        <v>248</v>
      </c>
      <c r="AI860" s="42"/>
      <c r="BN860" s="42"/>
      <c r="CS860" s="42"/>
      <c r="DX860" s="42"/>
      <c r="FC860" s="42"/>
      <c r="GH860" s="42"/>
      <c r="HM860" s="42"/>
      <c r="IR860" s="42"/>
      <c r="JW860" s="42"/>
      <c r="LB860" s="42"/>
      <c r="MG860" s="42"/>
      <c r="NL860" s="42"/>
    </row>
    <row r="861" ht="15.75" customHeight="1">
      <c r="A861" s="42"/>
      <c r="B861" s="42"/>
      <c r="C861" s="42"/>
      <c r="D861" s="38">
        <f t="shared" si="1119"/>
        <v>46028</v>
      </c>
      <c r="E861" s="31" t="str">
        <f t="shared" ref="E861:I861" si="1126">KC15</f>
        <v/>
      </c>
      <c r="F861" s="31" t="str">
        <f t="shared" si="1126"/>
        <v/>
      </c>
      <c r="G861" s="31" t="str">
        <f t="shared" si="1126"/>
        <v/>
      </c>
      <c r="H861" s="13" t="str">
        <f t="shared" si="1126"/>
        <v/>
      </c>
      <c r="I861" s="13" t="str">
        <f t="shared" si="1126"/>
        <v/>
      </c>
      <c r="J861" s="107" t="str">
        <f t="array" ref="J861">IFERROR(IF(XLOOKUP(CONCAT(E861,F861),'MASTER PLAN'!$AB:$AB,'MASTER PLAN'!$M:$M,0,0)=0,"",XLOOKUP(CONCAT(E861,F861),'MASTER PLAN'!$AB:$AB,'MASTER PLAN'!$M:$M,0,0)),"")</f>
        <v/>
      </c>
      <c r="K861" s="107">
        <f t="shared" si="237"/>
        <v>0</v>
      </c>
      <c r="L861" s="107">
        <f t="shared" si="238"/>
        <v>0</v>
      </c>
      <c r="M861" s="105" t="s">
        <v>248</v>
      </c>
      <c r="AI861" s="42"/>
      <c r="BN861" s="42"/>
      <c r="CS861" s="42"/>
      <c r="DX861" s="42"/>
      <c r="FC861" s="42"/>
      <c r="GH861" s="42"/>
      <c r="HM861" s="42"/>
      <c r="IR861" s="42"/>
      <c r="JW861" s="42"/>
      <c r="LB861" s="42"/>
      <c r="MG861" s="42"/>
      <c r="NL861" s="42"/>
    </row>
    <row r="862" ht="15.75" customHeight="1">
      <c r="A862" s="42"/>
      <c r="B862" s="42"/>
      <c r="C862" s="42"/>
      <c r="D862" s="38">
        <f t="shared" si="1119"/>
        <v>46028</v>
      </c>
      <c r="E862" s="31" t="str">
        <f t="shared" ref="E862:I862" si="1127">KC16</f>
        <v/>
      </c>
      <c r="F862" s="31" t="str">
        <f t="shared" si="1127"/>
        <v/>
      </c>
      <c r="G862" s="31" t="str">
        <f t="shared" si="1127"/>
        <v/>
      </c>
      <c r="H862" s="13" t="str">
        <f t="shared" si="1127"/>
        <v/>
      </c>
      <c r="I862" s="13" t="str">
        <f t="shared" si="1127"/>
        <v/>
      </c>
      <c r="J862" s="107" t="str">
        <f t="array" ref="J862">IFERROR(IF(XLOOKUP(CONCAT(E862,F862),'MASTER PLAN'!$AB:$AB,'MASTER PLAN'!$M:$M,0,0)=0,"",XLOOKUP(CONCAT(E862,F862),'MASTER PLAN'!$AB:$AB,'MASTER PLAN'!$M:$M,0,0)),"")</f>
        <v/>
      </c>
      <c r="K862" s="107">
        <f t="shared" si="237"/>
        <v>0</v>
      </c>
      <c r="L862" s="107">
        <f t="shared" si="238"/>
        <v>0</v>
      </c>
      <c r="M862" s="105" t="s">
        <v>248</v>
      </c>
      <c r="AI862" s="42"/>
      <c r="BN862" s="42"/>
      <c r="CS862" s="42"/>
      <c r="DX862" s="42"/>
      <c r="FC862" s="42"/>
      <c r="GH862" s="42"/>
      <c r="HM862" s="42"/>
      <c r="IR862" s="42"/>
      <c r="JW862" s="42"/>
      <c r="LB862" s="42"/>
      <c r="MG862" s="42"/>
      <c r="NL862" s="42"/>
    </row>
    <row r="863" ht="15.75" customHeight="1">
      <c r="A863" s="42"/>
      <c r="B863" s="42"/>
      <c r="C863" s="42"/>
      <c r="D863" s="38">
        <f t="shared" si="1119"/>
        <v>46028</v>
      </c>
      <c r="E863" s="31" t="str">
        <f t="shared" ref="E863:I863" si="1128">KC20</f>
        <v/>
      </c>
      <c r="F863" s="31" t="str">
        <f t="shared" si="1128"/>
        <v/>
      </c>
      <c r="G863" s="31" t="str">
        <f t="shared" si="1128"/>
        <v/>
      </c>
      <c r="H863" s="13" t="str">
        <f t="shared" si="1128"/>
        <v/>
      </c>
      <c r="I863" s="13" t="str">
        <f t="shared" si="1128"/>
        <v/>
      </c>
      <c r="J863" s="107" t="str">
        <f t="array" ref="J863">IFERROR(IF(XLOOKUP(CONCAT(E863,F863),'MASTER PLAN'!$AB:$AB,'MASTER PLAN'!$M:$M,0,0)=0,"",XLOOKUP(CONCAT(E863,F863),'MASTER PLAN'!$AB:$AB,'MASTER PLAN'!$M:$M,0,0)),"")</f>
        <v/>
      </c>
      <c r="K863" s="107">
        <f t="shared" si="237"/>
        <v>0</v>
      </c>
      <c r="L863" s="107">
        <f t="shared" si="238"/>
        <v>0</v>
      </c>
      <c r="M863" s="105" t="s">
        <v>249</v>
      </c>
      <c r="AI863" s="42"/>
      <c r="BN863" s="42"/>
      <c r="CS863" s="42"/>
      <c r="DX863" s="42"/>
      <c r="FC863" s="42"/>
      <c r="GH863" s="42"/>
      <c r="HM863" s="42"/>
      <c r="IR863" s="42"/>
      <c r="JW863" s="42"/>
      <c r="LB863" s="42"/>
      <c r="MG863" s="42"/>
      <c r="NL863" s="42"/>
    </row>
    <row r="864" ht="15.75" customHeight="1">
      <c r="A864" s="42"/>
      <c r="B864" s="42"/>
      <c r="C864" s="42"/>
      <c r="D864" s="38">
        <f t="shared" si="1119"/>
        <v>46028</v>
      </c>
      <c r="E864" s="31" t="str">
        <f t="shared" ref="E864:I864" si="1129">KC21</f>
        <v/>
      </c>
      <c r="F864" s="31" t="str">
        <f t="shared" si="1129"/>
        <v/>
      </c>
      <c r="G864" s="31" t="str">
        <f t="shared" si="1129"/>
        <v/>
      </c>
      <c r="H864" s="13" t="str">
        <f t="shared" si="1129"/>
        <v/>
      </c>
      <c r="I864" s="13" t="str">
        <f t="shared" si="1129"/>
        <v/>
      </c>
      <c r="J864" s="107" t="str">
        <f t="array" ref="J864">IFERROR(IF(XLOOKUP(CONCAT(E864,F864),'MASTER PLAN'!$AB:$AB,'MASTER PLAN'!$M:$M,0,0)=0,"",XLOOKUP(CONCAT(E864,F864),'MASTER PLAN'!$AB:$AB,'MASTER PLAN'!$M:$M,0,0)),"")</f>
        <v/>
      </c>
      <c r="K864" s="107">
        <f t="shared" si="237"/>
        <v>0</v>
      </c>
      <c r="L864" s="107">
        <f t="shared" si="238"/>
        <v>0</v>
      </c>
      <c r="M864" s="105" t="s">
        <v>249</v>
      </c>
      <c r="AI864" s="42"/>
      <c r="BN864" s="42"/>
      <c r="CS864" s="42"/>
      <c r="DX864" s="42"/>
      <c r="FC864" s="42"/>
      <c r="GH864" s="42"/>
      <c r="HM864" s="42"/>
      <c r="IR864" s="42"/>
      <c r="JW864" s="42"/>
      <c r="LB864" s="42"/>
      <c r="MG864" s="42"/>
      <c r="NL864" s="42"/>
    </row>
    <row r="865" ht="15.75" customHeight="1">
      <c r="A865" s="42"/>
      <c r="B865" s="42"/>
      <c r="C865" s="42"/>
      <c r="D865" s="38">
        <f t="shared" si="1119"/>
        <v>46028</v>
      </c>
      <c r="E865" s="31" t="str">
        <f t="shared" ref="E865:I865" si="1130">KC22</f>
        <v/>
      </c>
      <c r="F865" s="31" t="str">
        <f t="shared" si="1130"/>
        <v/>
      </c>
      <c r="G865" s="31" t="str">
        <f t="shared" si="1130"/>
        <v/>
      </c>
      <c r="H865" s="13" t="str">
        <f t="shared" si="1130"/>
        <v/>
      </c>
      <c r="I865" s="13" t="str">
        <f t="shared" si="1130"/>
        <v/>
      </c>
      <c r="J865" s="107" t="str">
        <f t="array" ref="J865">IFERROR(IF(XLOOKUP(CONCAT(E865,F865),'MASTER PLAN'!$AB:$AB,'MASTER PLAN'!$M:$M,0,0)=0,"",XLOOKUP(CONCAT(E865,F865),'MASTER PLAN'!$AB:$AB,'MASTER PLAN'!$M:$M,0,0)),"")</f>
        <v/>
      </c>
      <c r="K865" s="107">
        <f t="shared" si="237"/>
        <v>0</v>
      </c>
      <c r="L865" s="107">
        <f t="shared" si="238"/>
        <v>0</v>
      </c>
      <c r="M865" s="105" t="s">
        <v>249</v>
      </c>
      <c r="AI865" s="42"/>
      <c r="BN865" s="42"/>
      <c r="CS865" s="42"/>
      <c r="DX865" s="42"/>
      <c r="FC865" s="42"/>
      <c r="GH865" s="42"/>
      <c r="HM865" s="42"/>
      <c r="IR865" s="42"/>
      <c r="JW865" s="42"/>
      <c r="LB865" s="42"/>
      <c r="MG865" s="42"/>
      <c r="NL865" s="42"/>
    </row>
    <row r="866" ht="15.75" customHeight="1">
      <c r="A866" s="42"/>
      <c r="B866" s="42"/>
      <c r="C866" s="42"/>
      <c r="D866" s="38">
        <f t="shared" si="1119"/>
        <v>46028</v>
      </c>
      <c r="E866" s="31" t="str">
        <f t="shared" ref="E866:I866" si="1131">KC23</f>
        <v/>
      </c>
      <c r="F866" s="31" t="str">
        <f t="shared" si="1131"/>
        <v/>
      </c>
      <c r="G866" s="31" t="str">
        <f t="shared" si="1131"/>
        <v/>
      </c>
      <c r="H866" s="13" t="str">
        <f t="shared" si="1131"/>
        <v/>
      </c>
      <c r="I866" s="13" t="str">
        <f t="shared" si="1131"/>
        <v/>
      </c>
      <c r="J866" s="107" t="str">
        <f t="array" ref="J866">IFERROR(IF(XLOOKUP(CONCAT(E866,F866),'MASTER PLAN'!$AB:$AB,'MASTER PLAN'!$M:$M,0,0)=0,"",XLOOKUP(CONCAT(E866,F866),'MASTER PLAN'!$AB:$AB,'MASTER PLAN'!$M:$M,0,0)),"")</f>
        <v/>
      </c>
      <c r="K866" s="107">
        <f t="shared" si="237"/>
        <v>0</v>
      </c>
      <c r="L866" s="107">
        <f t="shared" si="238"/>
        <v>0</v>
      </c>
      <c r="M866" s="105" t="s">
        <v>249</v>
      </c>
      <c r="AI866" s="42"/>
      <c r="BN866" s="42"/>
      <c r="CS866" s="42"/>
      <c r="DX866" s="42"/>
      <c r="FC866" s="42"/>
      <c r="GH866" s="42"/>
      <c r="HM866" s="42"/>
      <c r="IR866" s="42"/>
      <c r="JW866" s="42"/>
      <c r="LB866" s="42"/>
      <c r="MG866" s="42"/>
      <c r="NL866" s="42"/>
    </row>
    <row r="867" ht="15.75" customHeight="1">
      <c r="A867" s="42"/>
      <c r="B867" s="42"/>
      <c r="C867" s="42"/>
      <c r="D867" s="38">
        <f t="shared" si="1119"/>
        <v>46028</v>
      </c>
      <c r="E867" s="31" t="str">
        <f t="shared" ref="E867:I867" si="1132">KC24</f>
        <v/>
      </c>
      <c r="F867" s="31" t="str">
        <f t="shared" si="1132"/>
        <v/>
      </c>
      <c r="G867" s="31" t="str">
        <f t="shared" si="1132"/>
        <v/>
      </c>
      <c r="H867" s="13" t="str">
        <f t="shared" si="1132"/>
        <v/>
      </c>
      <c r="I867" s="13" t="str">
        <f t="shared" si="1132"/>
        <v/>
      </c>
      <c r="J867" s="107" t="str">
        <f t="array" ref="J867">IFERROR(IF(XLOOKUP(CONCAT(E867,F867),'MASTER PLAN'!$AB:$AB,'MASTER PLAN'!$M:$M,0,0)=0,"",XLOOKUP(CONCAT(E867,F867),'MASTER PLAN'!$AB:$AB,'MASTER PLAN'!$M:$M,0,0)),"")</f>
        <v/>
      </c>
      <c r="K867" s="107">
        <f t="shared" si="237"/>
        <v>0</v>
      </c>
      <c r="L867" s="107">
        <f t="shared" si="238"/>
        <v>0</v>
      </c>
      <c r="M867" s="105" t="s">
        <v>249</v>
      </c>
      <c r="AI867" s="42"/>
      <c r="BN867" s="42"/>
      <c r="CS867" s="42"/>
      <c r="DX867" s="42"/>
      <c r="FC867" s="42"/>
      <c r="GH867" s="42"/>
      <c r="HM867" s="42"/>
      <c r="IR867" s="42"/>
      <c r="JW867" s="42"/>
      <c r="LB867" s="42"/>
      <c r="MG867" s="42"/>
      <c r="NL867" s="42"/>
    </row>
    <row r="868" ht="15.75" customHeight="1">
      <c r="A868" s="42"/>
      <c r="B868" s="42"/>
      <c r="C868" s="42"/>
      <c r="D868" s="38">
        <f>KH2</f>
        <v>46029</v>
      </c>
      <c r="E868" s="31">
        <f t="shared" ref="E868:I868" si="1133">KH4</f>
        <v>1402049507</v>
      </c>
      <c r="F868" s="31">
        <f t="shared" si="1133"/>
        <v>20</v>
      </c>
      <c r="G868" s="31" t="str">
        <f t="shared" si="1133"/>
        <v>BOLSA PEARL FACTORY 159X90X210MM</v>
      </c>
      <c r="H868" s="13">
        <f t="shared" si="1133"/>
        <v>500</v>
      </c>
      <c r="I868" s="13" t="str">
        <f t="shared" si="1133"/>
        <v/>
      </c>
      <c r="J868" s="107">
        <f t="array" ref="J868">IFERROR(IF(XLOOKUP(CONCAT(E868,F868),'MASTER PLAN'!$AB:$AB,'MASTER PLAN'!$M:$M,0,0)=0,"",XLOOKUP(CONCAT(E868,F868),'MASTER PLAN'!$AB:$AB,'MASTER PLAN'!$M:$M,0,0)),"")</f>
        <v>0.76</v>
      </c>
      <c r="K868" s="107">
        <f t="shared" si="237"/>
        <v>380</v>
      </c>
      <c r="L868" s="107">
        <f t="shared" si="238"/>
        <v>0</v>
      </c>
      <c r="M868" s="105" t="s">
        <v>246</v>
      </c>
      <c r="AI868" s="42"/>
      <c r="BN868" s="42"/>
      <c r="CS868" s="42"/>
      <c r="DX868" s="42"/>
      <c r="FC868" s="42"/>
      <c r="GH868" s="42"/>
      <c r="HM868" s="42"/>
      <c r="IR868" s="42"/>
      <c r="JW868" s="42"/>
      <c r="LB868" s="42"/>
      <c r="MG868" s="42"/>
      <c r="NL868" s="42"/>
    </row>
    <row r="869" ht="15.75" customHeight="1">
      <c r="A869" s="42"/>
      <c r="B869" s="42"/>
      <c r="C869" s="42"/>
      <c r="D869" s="38">
        <f t="shared" ref="D869:D882" si="1135">D868</f>
        <v>46029</v>
      </c>
      <c r="E869" s="31">
        <f t="shared" ref="E869:I869" si="1134">KH5</f>
        <v>1402049466</v>
      </c>
      <c r="F869" s="31">
        <f t="shared" si="1134"/>
        <v>10</v>
      </c>
      <c r="G869" s="31" t="str">
        <f t="shared" si="1134"/>
        <v>BOLSA ROGERS ENTERPRISES 10"X4"X7-75"</v>
      </c>
      <c r="H869" s="13">
        <f t="shared" si="1134"/>
        <v>2500</v>
      </c>
      <c r="I869" s="13" t="str">
        <f t="shared" si="1134"/>
        <v/>
      </c>
      <c r="J869" s="107">
        <f t="array" ref="J869">IFERROR(IF(XLOOKUP(CONCAT(E869,F869),'MASTER PLAN'!$AB:$AB,'MASTER PLAN'!$M:$M,0,0)=0,"",XLOOKUP(CONCAT(E869,F869),'MASTER PLAN'!$AB:$AB,'MASTER PLAN'!$M:$M,0,0)),"")</f>
        <v>1.064</v>
      </c>
      <c r="K869" s="107">
        <f t="shared" si="237"/>
        <v>2660</v>
      </c>
      <c r="L869" s="107">
        <f t="shared" si="238"/>
        <v>0</v>
      </c>
      <c r="M869" s="105" t="s">
        <v>246</v>
      </c>
      <c r="AI869" s="42"/>
      <c r="BN869" s="42"/>
      <c r="CS869" s="42"/>
      <c r="DX869" s="42"/>
      <c r="FC869" s="42"/>
      <c r="GH869" s="42"/>
      <c r="HM869" s="42"/>
      <c r="IR869" s="42"/>
      <c r="JW869" s="42"/>
      <c r="LB869" s="42"/>
      <c r="MG869" s="42"/>
      <c r="NL869" s="42"/>
    </row>
    <row r="870" ht="15.75" customHeight="1">
      <c r="A870" s="42"/>
      <c r="B870" s="42"/>
      <c r="C870" s="42"/>
      <c r="D870" s="38">
        <f t="shared" si="1135"/>
        <v>46029</v>
      </c>
      <c r="E870" s="31" t="str">
        <f t="shared" ref="E870:I870" si="1136">KH6</f>
        <v/>
      </c>
      <c r="F870" s="31" t="str">
        <f t="shared" si="1136"/>
        <v/>
      </c>
      <c r="G870" s="31" t="str">
        <f t="shared" si="1136"/>
        <v/>
      </c>
      <c r="H870" s="13" t="str">
        <f t="shared" si="1136"/>
        <v/>
      </c>
      <c r="I870" s="13" t="str">
        <f t="shared" si="1136"/>
        <v/>
      </c>
      <c r="J870" s="107" t="str">
        <f t="array" ref="J870">IFERROR(IF(XLOOKUP(CONCAT(E870,F870),'MASTER PLAN'!$AB:$AB,'MASTER PLAN'!$M:$M,0,0)=0,"",XLOOKUP(CONCAT(E870,F870),'MASTER PLAN'!$AB:$AB,'MASTER PLAN'!$M:$M,0,0)),"")</f>
        <v/>
      </c>
      <c r="K870" s="107">
        <f t="shared" si="237"/>
        <v>0</v>
      </c>
      <c r="L870" s="107">
        <f t="shared" si="238"/>
        <v>0</v>
      </c>
      <c r="M870" s="105" t="s">
        <v>246</v>
      </c>
      <c r="AI870" s="42"/>
      <c r="BN870" s="42"/>
      <c r="CS870" s="42"/>
      <c r="DX870" s="42"/>
      <c r="FC870" s="42"/>
      <c r="GH870" s="42"/>
      <c r="HM870" s="42"/>
      <c r="IR870" s="42"/>
      <c r="JW870" s="42"/>
      <c r="LB870" s="42"/>
      <c r="MG870" s="42"/>
      <c r="NL870" s="42"/>
    </row>
    <row r="871" ht="15.75" customHeight="1">
      <c r="A871" s="42"/>
      <c r="B871" s="42"/>
      <c r="C871" s="42"/>
      <c r="D871" s="38">
        <f t="shared" si="1135"/>
        <v>46029</v>
      </c>
      <c r="E871" s="31" t="str">
        <f t="shared" ref="E871:I871" si="1137">KH7</f>
        <v/>
      </c>
      <c r="F871" s="31" t="str">
        <f t="shared" si="1137"/>
        <v/>
      </c>
      <c r="G871" s="31" t="str">
        <f t="shared" si="1137"/>
        <v/>
      </c>
      <c r="H871" s="13" t="str">
        <f t="shared" si="1137"/>
        <v/>
      </c>
      <c r="I871" s="13" t="str">
        <f t="shared" si="1137"/>
        <v/>
      </c>
      <c r="J871" s="107" t="str">
        <f t="array" ref="J871">IFERROR(IF(XLOOKUP(CONCAT(E871,F871),'MASTER PLAN'!$AB:$AB,'MASTER PLAN'!$M:$M,0,0)=0,"",XLOOKUP(CONCAT(E871,F871),'MASTER PLAN'!$AB:$AB,'MASTER PLAN'!$M:$M,0,0)),"")</f>
        <v/>
      </c>
      <c r="K871" s="107">
        <f t="shared" si="237"/>
        <v>0</v>
      </c>
      <c r="L871" s="107">
        <f t="shared" si="238"/>
        <v>0</v>
      </c>
      <c r="M871" s="105" t="s">
        <v>246</v>
      </c>
      <c r="AI871" s="42"/>
      <c r="BN871" s="42"/>
      <c r="CS871" s="42"/>
      <c r="DX871" s="42"/>
      <c r="FC871" s="42"/>
      <c r="GH871" s="42"/>
      <c r="HM871" s="42"/>
      <c r="IR871" s="42"/>
      <c r="JW871" s="42"/>
      <c r="LB871" s="42"/>
      <c r="MG871" s="42"/>
      <c r="NL871" s="42"/>
    </row>
    <row r="872" ht="15.75" customHeight="1">
      <c r="A872" s="42"/>
      <c r="B872" s="42"/>
      <c r="C872" s="42"/>
      <c r="D872" s="38">
        <f t="shared" si="1135"/>
        <v>46029</v>
      </c>
      <c r="E872" s="31" t="str">
        <f t="shared" ref="E872:I872" si="1138">KH8</f>
        <v/>
      </c>
      <c r="F872" s="31" t="str">
        <f t="shared" si="1138"/>
        <v/>
      </c>
      <c r="G872" s="31" t="str">
        <f t="shared" si="1138"/>
        <v/>
      </c>
      <c r="H872" s="13" t="str">
        <f t="shared" si="1138"/>
        <v/>
      </c>
      <c r="I872" s="13" t="str">
        <f t="shared" si="1138"/>
        <v/>
      </c>
      <c r="J872" s="107" t="str">
        <f t="array" ref="J872">IFERROR(IF(XLOOKUP(CONCAT(E872,F872),'MASTER PLAN'!$AB:$AB,'MASTER PLAN'!$M:$M,0,0)=0,"",XLOOKUP(CONCAT(E872,F872),'MASTER PLAN'!$AB:$AB,'MASTER PLAN'!$M:$M,0,0)),"")</f>
        <v/>
      </c>
      <c r="K872" s="107">
        <f t="shared" si="237"/>
        <v>0</v>
      </c>
      <c r="L872" s="107">
        <f t="shared" si="238"/>
        <v>0</v>
      </c>
      <c r="M872" s="105" t="s">
        <v>246</v>
      </c>
      <c r="AI872" s="42"/>
      <c r="BN872" s="42"/>
      <c r="CS872" s="42"/>
      <c r="DX872" s="42"/>
      <c r="FC872" s="42"/>
      <c r="GH872" s="42"/>
      <c r="HM872" s="42"/>
      <c r="IR872" s="42"/>
      <c r="JW872" s="42"/>
      <c r="LB872" s="42"/>
      <c r="MG872" s="42"/>
      <c r="NL872" s="42"/>
    </row>
    <row r="873" ht="15.75" customHeight="1">
      <c r="A873" s="42"/>
      <c r="B873" s="42"/>
      <c r="C873" s="42"/>
      <c r="D873" s="38">
        <f t="shared" si="1135"/>
        <v>46029</v>
      </c>
      <c r="E873" s="31">
        <f t="shared" ref="E873:I873" si="1139">KH12</f>
        <v>1402049466</v>
      </c>
      <c r="F873" s="31">
        <f t="shared" si="1139"/>
        <v>10</v>
      </c>
      <c r="G873" s="31" t="str">
        <f t="shared" si="1139"/>
        <v>BOLSA ROGERS ENTERPRISES 10"X4"X7-75"</v>
      </c>
      <c r="H873" s="13">
        <f t="shared" si="1139"/>
        <v>3000</v>
      </c>
      <c r="I873" s="13" t="str">
        <f t="shared" si="1139"/>
        <v/>
      </c>
      <c r="J873" s="107">
        <f t="array" ref="J873">IFERROR(IF(XLOOKUP(CONCAT(E873,F873),'MASTER PLAN'!$AB:$AB,'MASTER PLAN'!$M:$M,0,0)=0,"",XLOOKUP(CONCAT(E873,F873),'MASTER PLAN'!$AB:$AB,'MASTER PLAN'!$M:$M,0,0)),"")</f>
        <v>1.064</v>
      </c>
      <c r="K873" s="107">
        <f t="shared" si="237"/>
        <v>3192</v>
      </c>
      <c r="L873" s="107">
        <f t="shared" si="238"/>
        <v>0</v>
      </c>
      <c r="M873" s="105" t="s">
        <v>248</v>
      </c>
      <c r="AI873" s="42"/>
      <c r="BN873" s="42"/>
      <c r="CS873" s="42"/>
      <c r="DX873" s="42"/>
      <c r="FC873" s="42"/>
      <c r="GH873" s="42"/>
      <c r="HM873" s="42"/>
      <c r="IR873" s="42"/>
      <c r="JW873" s="42"/>
      <c r="LB873" s="42"/>
      <c r="MG873" s="42"/>
      <c r="NL873" s="42"/>
    </row>
    <row r="874" ht="15.75" customHeight="1">
      <c r="A874" s="42"/>
      <c r="B874" s="42"/>
      <c r="C874" s="42"/>
      <c r="D874" s="38">
        <f t="shared" si="1135"/>
        <v>46029</v>
      </c>
      <c r="E874" s="31" t="str">
        <f t="shared" ref="E874:I874" si="1140">KH13</f>
        <v/>
      </c>
      <c r="F874" s="31" t="str">
        <f t="shared" si="1140"/>
        <v/>
      </c>
      <c r="G874" s="31" t="str">
        <f t="shared" si="1140"/>
        <v/>
      </c>
      <c r="H874" s="13" t="str">
        <f t="shared" si="1140"/>
        <v/>
      </c>
      <c r="I874" s="13" t="str">
        <f t="shared" si="1140"/>
        <v/>
      </c>
      <c r="J874" s="107" t="str">
        <f t="array" ref="J874">IFERROR(IF(XLOOKUP(CONCAT(E874,F874),'MASTER PLAN'!$AB:$AB,'MASTER PLAN'!$M:$M,0,0)=0,"",XLOOKUP(CONCAT(E874,F874),'MASTER PLAN'!$AB:$AB,'MASTER PLAN'!$M:$M,0,0)),"")</f>
        <v/>
      </c>
      <c r="K874" s="107">
        <f t="shared" si="237"/>
        <v>0</v>
      </c>
      <c r="L874" s="107">
        <f t="shared" si="238"/>
        <v>0</v>
      </c>
      <c r="M874" s="105" t="s">
        <v>248</v>
      </c>
      <c r="AI874" s="42"/>
      <c r="BN874" s="42"/>
      <c r="CS874" s="42"/>
      <c r="DX874" s="42"/>
      <c r="FC874" s="42"/>
      <c r="GH874" s="42"/>
      <c r="HM874" s="42"/>
      <c r="IR874" s="42"/>
      <c r="JW874" s="42"/>
      <c r="LB874" s="42"/>
      <c r="MG874" s="42"/>
      <c r="NL874" s="42"/>
    </row>
    <row r="875" ht="15.75" customHeight="1">
      <c r="A875" s="42"/>
      <c r="B875" s="42"/>
      <c r="C875" s="42"/>
      <c r="D875" s="38">
        <f t="shared" si="1135"/>
        <v>46029</v>
      </c>
      <c r="E875" s="31" t="str">
        <f t="shared" ref="E875:I875" si="1141">KH14</f>
        <v/>
      </c>
      <c r="F875" s="31" t="str">
        <f t="shared" si="1141"/>
        <v/>
      </c>
      <c r="G875" s="31" t="str">
        <f t="shared" si="1141"/>
        <v/>
      </c>
      <c r="H875" s="13" t="str">
        <f t="shared" si="1141"/>
        <v/>
      </c>
      <c r="I875" s="13" t="str">
        <f t="shared" si="1141"/>
        <v/>
      </c>
      <c r="J875" s="107" t="str">
        <f t="array" ref="J875">IFERROR(IF(XLOOKUP(CONCAT(E875,F875),'MASTER PLAN'!$AB:$AB,'MASTER PLAN'!$M:$M,0,0)=0,"",XLOOKUP(CONCAT(E875,F875),'MASTER PLAN'!$AB:$AB,'MASTER PLAN'!$M:$M,0,0)),"")</f>
        <v/>
      </c>
      <c r="K875" s="107">
        <f t="shared" si="237"/>
        <v>0</v>
      </c>
      <c r="L875" s="107">
        <f t="shared" si="238"/>
        <v>0</v>
      </c>
      <c r="M875" s="105" t="s">
        <v>248</v>
      </c>
      <c r="AI875" s="42"/>
      <c r="BN875" s="42"/>
      <c r="CS875" s="42"/>
      <c r="DX875" s="42"/>
      <c r="FC875" s="42"/>
      <c r="GH875" s="42"/>
      <c r="HM875" s="42"/>
      <c r="IR875" s="42"/>
      <c r="JW875" s="42"/>
      <c r="LB875" s="42"/>
      <c r="MG875" s="42"/>
      <c r="NL875" s="42"/>
    </row>
    <row r="876" ht="15.75" customHeight="1">
      <c r="A876" s="42"/>
      <c r="B876" s="42"/>
      <c r="C876" s="42"/>
      <c r="D876" s="38">
        <f t="shared" si="1135"/>
        <v>46029</v>
      </c>
      <c r="E876" s="31" t="str">
        <f t="shared" ref="E876:I876" si="1142">KH15</f>
        <v/>
      </c>
      <c r="F876" s="31" t="str">
        <f t="shared" si="1142"/>
        <v/>
      </c>
      <c r="G876" s="31" t="str">
        <f t="shared" si="1142"/>
        <v/>
      </c>
      <c r="H876" s="13" t="str">
        <f t="shared" si="1142"/>
        <v/>
      </c>
      <c r="I876" s="13" t="str">
        <f t="shared" si="1142"/>
        <v/>
      </c>
      <c r="J876" s="107" t="str">
        <f t="array" ref="J876">IFERROR(IF(XLOOKUP(CONCAT(E876,F876),'MASTER PLAN'!$AB:$AB,'MASTER PLAN'!$M:$M,0,0)=0,"",XLOOKUP(CONCAT(E876,F876),'MASTER PLAN'!$AB:$AB,'MASTER PLAN'!$M:$M,0,0)),"")</f>
        <v/>
      </c>
      <c r="K876" s="107">
        <f t="shared" si="237"/>
        <v>0</v>
      </c>
      <c r="L876" s="107">
        <f t="shared" si="238"/>
        <v>0</v>
      </c>
      <c r="M876" s="105" t="s">
        <v>248</v>
      </c>
      <c r="AI876" s="42"/>
      <c r="BN876" s="42"/>
      <c r="CS876" s="42"/>
      <c r="DX876" s="42"/>
      <c r="FC876" s="42"/>
      <c r="GH876" s="42"/>
      <c r="HM876" s="42"/>
      <c r="IR876" s="42"/>
      <c r="JW876" s="42"/>
      <c r="LB876" s="42"/>
      <c r="MG876" s="42"/>
      <c r="NL876" s="42"/>
    </row>
    <row r="877" ht="15.75" customHeight="1">
      <c r="A877" s="42"/>
      <c r="B877" s="42"/>
      <c r="C877" s="42"/>
      <c r="D877" s="38">
        <f t="shared" si="1135"/>
        <v>46029</v>
      </c>
      <c r="E877" s="31" t="str">
        <f t="shared" ref="E877:I877" si="1143">KH16</f>
        <v/>
      </c>
      <c r="F877" s="31" t="str">
        <f t="shared" si="1143"/>
        <v/>
      </c>
      <c r="G877" s="31" t="str">
        <f t="shared" si="1143"/>
        <v/>
      </c>
      <c r="H877" s="13" t="str">
        <f t="shared" si="1143"/>
        <v/>
      </c>
      <c r="I877" s="13" t="str">
        <f t="shared" si="1143"/>
        <v/>
      </c>
      <c r="J877" s="107" t="str">
        <f t="array" ref="J877">IFERROR(IF(XLOOKUP(CONCAT(E877,F877),'MASTER PLAN'!$AB:$AB,'MASTER PLAN'!$M:$M,0,0)=0,"",XLOOKUP(CONCAT(E877,F877),'MASTER PLAN'!$AB:$AB,'MASTER PLAN'!$M:$M,0,0)),"")</f>
        <v/>
      </c>
      <c r="K877" s="107">
        <f t="shared" si="237"/>
        <v>0</v>
      </c>
      <c r="L877" s="107">
        <f t="shared" si="238"/>
        <v>0</v>
      </c>
      <c r="M877" s="105" t="s">
        <v>248</v>
      </c>
      <c r="AI877" s="42"/>
      <c r="BN877" s="42"/>
      <c r="CS877" s="42"/>
      <c r="DX877" s="42"/>
      <c r="FC877" s="42"/>
      <c r="GH877" s="42"/>
      <c r="HM877" s="42"/>
      <c r="IR877" s="42"/>
      <c r="JW877" s="42"/>
      <c r="LB877" s="42"/>
      <c r="MG877" s="42"/>
      <c r="NL877" s="42"/>
    </row>
    <row r="878" ht="15.75" customHeight="1">
      <c r="A878" s="42"/>
      <c r="B878" s="42"/>
      <c r="C878" s="42"/>
      <c r="D878" s="38">
        <f t="shared" si="1135"/>
        <v>46029</v>
      </c>
      <c r="E878" s="31" t="str">
        <f t="shared" ref="E878:I878" si="1144">KH20</f>
        <v/>
      </c>
      <c r="F878" s="31" t="str">
        <f t="shared" si="1144"/>
        <v/>
      </c>
      <c r="G878" s="31" t="str">
        <f t="shared" si="1144"/>
        <v/>
      </c>
      <c r="H878" s="13" t="str">
        <f t="shared" si="1144"/>
        <v/>
      </c>
      <c r="I878" s="13" t="str">
        <f t="shared" si="1144"/>
        <v/>
      </c>
      <c r="J878" s="107" t="str">
        <f t="array" ref="J878">IFERROR(IF(XLOOKUP(CONCAT(E878,F878),'MASTER PLAN'!$AB:$AB,'MASTER PLAN'!$M:$M,0,0)=0,"",XLOOKUP(CONCAT(E878,F878),'MASTER PLAN'!$AB:$AB,'MASTER PLAN'!$M:$M,0,0)),"")</f>
        <v/>
      </c>
      <c r="K878" s="107">
        <f t="shared" si="237"/>
        <v>0</v>
      </c>
      <c r="L878" s="107">
        <f t="shared" si="238"/>
        <v>0</v>
      </c>
      <c r="M878" s="105" t="s">
        <v>249</v>
      </c>
      <c r="AI878" s="42"/>
      <c r="BN878" s="42"/>
      <c r="CS878" s="42"/>
      <c r="DX878" s="42"/>
      <c r="FC878" s="42"/>
      <c r="GH878" s="42"/>
      <c r="HM878" s="42"/>
      <c r="IR878" s="42"/>
      <c r="JW878" s="42"/>
      <c r="LB878" s="42"/>
      <c r="MG878" s="42"/>
      <c r="NL878" s="42"/>
    </row>
    <row r="879" ht="15.75" customHeight="1">
      <c r="A879" s="42"/>
      <c r="B879" s="42"/>
      <c r="C879" s="42"/>
      <c r="D879" s="38">
        <f t="shared" si="1135"/>
        <v>46029</v>
      </c>
      <c r="E879" s="31" t="str">
        <f t="shared" ref="E879:I879" si="1145">KH21</f>
        <v/>
      </c>
      <c r="F879" s="31" t="str">
        <f t="shared" si="1145"/>
        <v/>
      </c>
      <c r="G879" s="31" t="str">
        <f t="shared" si="1145"/>
        <v/>
      </c>
      <c r="H879" s="13" t="str">
        <f t="shared" si="1145"/>
        <v/>
      </c>
      <c r="I879" s="13" t="str">
        <f t="shared" si="1145"/>
        <v/>
      </c>
      <c r="J879" s="107" t="str">
        <f t="array" ref="J879">IFERROR(IF(XLOOKUP(CONCAT(E879,F879),'MASTER PLAN'!$AB:$AB,'MASTER PLAN'!$M:$M,0,0)=0,"",XLOOKUP(CONCAT(E879,F879),'MASTER PLAN'!$AB:$AB,'MASTER PLAN'!$M:$M,0,0)),"")</f>
        <v/>
      </c>
      <c r="K879" s="107">
        <f t="shared" si="237"/>
        <v>0</v>
      </c>
      <c r="L879" s="107">
        <f t="shared" si="238"/>
        <v>0</v>
      </c>
      <c r="M879" s="105" t="s">
        <v>249</v>
      </c>
      <c r="AI879" s="42"/>
      <c r="BN879" s="42"/>
      <c r="CS879" s="42"/>
      <c r="DX879" s="42"/>
      <c r="FC879" s="42"/>
      <c r="GH879" s="42"/>
      <c r="HM879" s="42"/>
      <c r="IR879" s="42"/>
      <c r="JW879" s="42"/>
      <c r="LB879" s="42"/>
      <c r="MG879" s="42"/>
      <c r="NL879" s="42"/>
    </row>
    <row r="880" ht="15.75" customHeight="1">
      <c r="A880" s="42"/>
      <c r="B880" s="42"/>
      <c r="C880" s="42"/>
      <c r="D880" s="38">
        <f t="shared" si="1135"/>
        <v>46029</v>
      </c>
      <c r="E880" s="31" t="str">
        <f t="shared" ref="E880:I880" si="1146">KH22</f>
        <v/>
      </c>
      <c r="F880" s="31" t="str">
        <f t="shared" si="1146"/>
        <v/>
      </c>
      <c r="G880" s="31" t="str">
        <f t="shared" si="1146"/>
        <v/>
      </c>
      <c r="H880" s="13" t="str">
        <f t="shared" si="1146"/>
        <v/>
      </c>
      <c r="I880" s="13" t="str">
        <f t="shared" si="1146"/>
        <v/>
      </c>
      <c r="J880" s="107" t="str">
        <f t="array" ref="J880">IFERROR(IF(XLOOKUP(CONCAT(E880,F880),'MASTER PLAN'!$AB:$AB,'MASTER PLAN'!$M:$M,0,0)=0,"",XLOOKUP(CONCAT(E880,F880),'MASTER PLAN'!$AB:$AB,'MASTER PLAN'!$M:$M,0,0)),"")</f>
        <v/>
      </c>
      <c r="K880" s="107">
        <f t="shared" si="237"/>
        <v>0</v>
      </c>
      <c r="L880" s="107">
        <f t="shared" si="238"/>
        <v>0</v>
      </c>
      <c r="M880" s="105" t="s">
        <v>249</v>
      </c>
      <c r="AI880" s="42"/>
      <c r="BN880" s="42"/>
      <c r="CS880" s="42"/>
      <c r="DX880" s="42"/>
      <c r="FC880" s="42"/>
      <c r="GH880" s="42"/>
      <c r="HM880" s="42"/>
      <c r="IR880" s="42"/>
      <c r="JW880" s="42"/>
      <c r="LB880" s="42"/>
      <c r="MG880" s="42"/>
      <c r="NL880" s="42"/>
    </row>
    <row r="881" ht="15.75" customHeight="1">
      <c r="A881" s="42"/>
      <c r="B881" s="42"/>
      <c r="C881" s="42"/>
      <c r="D881" s="38">
        <f t="shared" si="1135"/>
        <v>46029</v>
      </c>
      <c r="E881" s="31" t="str">
        <f t="shared" ref="E881:I881" si="1147">KH23</f>
        <v/>
      </c>
      <c r="F881" s="31" t="str">
        <f t="shared" si="1147"/>
        <v/>
      </c>
      <c r="G881" s="31" t="str">
        <f t="shared" si="1147"/>
        <v/>
      </c>
      <c r="H881" s="13" t="str">
        <f t="shared" si="1147"/>
        <v/>
      </c>
      <c r="I881" s="13" t="str">
        <f t="shared" si="1147"/>
        <v/>
      </c>
      <c r="J881" s="107" t="str">
        <f t="array" ref="J881">IFERROR(IF(XLOOKUP(CONCAT(E881,F881),'MASTER PLAN'!$AB:$AB,'MASTER PLAN'!$M:$M,0,0)=0,"",XLOOKUP(CONCAT(E881,F881),'MASTER PLAN'!$AB:$AB,'MASTER PLAN'!$M:$M,0,0)),"")</f>
        <v/>
      </c>
      <c r="K881" s="107">
        <f t="shared" si="237"/>
        <v>0</v>
      </c>
      <c r="L881" s="107">
        <f t="shared" si="238"/>
        <v>0</v>
      </c>
      <c r="M881" s="105" t="s">
        <v>249</v>
      </c>
      <c r="AI881" s="42"/>
      <c r="BN881" s="42"/>
      <c r="CS881" s="42"/>
      <c r="DX881" s="42"/>
      <c r="FC881" s="42"/>
      <c r="GH881" s="42"/>
      <c r="HM881" s="42"/>
      <c r="IR881" s="42"/>
      <c r="JW881" s="42"/>
      <c r="LB881" s="42"/>
      <c r="MG881" s="42"/>
      <c r="NL881" s="42"/>
    </row>
    <row r="882" ht="15.75" customHeight="1">
      <c r="A882" s="42"/>
      <c r="B882" s="42"/>
      <c r="C882" s="42"/>
      <c r="D882" s="38">
        <f t="shared" si="1135"/>
        <v>46029</v>
      </c>
      <c r="E882" s="31" t="str">
        <f t="shared" ref="E882:I882" si="1148">KH24</f>
        <v/>
      </c>
      <c r="F882" s="31" t="str">
        <f t="shared" si="1148"/>
        <v/>
      </c>
      <c r="G882" s="31" t="str">
        <f t="shared" si="1148"/>
        <v/>
      </c>
      <c r="H882" s="13" t="str">
        <f t="shared" si="1148"/>
        <v/>
      </c>
      <c r="I882" s="13" t="str">
        <f t="shared" si="1148"/>
        <v/>
      </c>
      <c r="J882" s="107" t="str">
        <f t="array" ref="J882">IFERROR(IF(XLOOKUP(CONCAT(E882,F882),'MASTER PLAN'!$AB:$AB,'MASTER PLAN'!$M:$M,0,0)=0,"",XLOOKUP(CONCAT(E882,F882),'MASTER PLAN'!$AB:$AB,'MASTER PLAN'!$M:$M,0,0)),"")</f>
        <v/>
      </c>
      <c r="K882" s="107">
        <f t="shared" si="237"/>
        <v>0</v>
      </c>
      <c r="L882" s="107">
        <f t="shared" si="238"/>
        <v>0</v>
      </c>
      <c r="M882" s="105" t="s">
        <v>249</v>
      </c>
      <c r="AI882" s="42"/>
      <c r="BN882" s="42"/>
      <c r="CS882" s="42"/>
      <c r="DX882" s="42"/>
      <c r="FC882" s="42"/>
      <c r="GH882" s="42"/>
      <c r="HM882" s="42"/>
      <c r="IR882" s="42"/>
      <c r="JW882" s="42"/>
      <c r="LB882" s="42"/>
      <c r="MG882" s="42"/>
      <c r="NL882" s="42"/>
    </row>
    <row r="883" ht="15.75" customHeight="1">
      <c r="A883" s="42"/>
      <c r="B883" s="42"/>
      <c r="C883" s="42"/>
      <c r="D883" s="38">
        <f>KM2</f>
        <v>46030</v>
      </c>
      <c r="E883" s="31">
        <f t="shared" ref="E883:I883" si="1149">KM4</f>
        <v>1402049466</v>
      </c>
      <c r="F883" s="31">
        <f t="shared" si="1149"/>
        <v>10</v>
      </c>
      <c r="G883" s="31" t="str">
        <f t="shared" si="1149"/>
        <v>BOLSA ROGERS ENTERPRISES 10"X4"X7-75"</v>
      </c>
      <c r="H883" s="13">
        <f t="shared" si="1149"/>
        <v>3000</v>
      </c>
      <c r="I883" s="13" t="str">
        <f t="shared" si="1149"/>
        <v/>
      </c>
      <c r="J883" s="107">
        <f t="array" ref="J883">IFERROR(IF(XLOOKUP(CONCAT(E883,F883),'MASTER PLAN'!$AB:$AB,'MASTER PLAN'!$M:$M,0,0)=0,"",XLOOKUP(CONCAT(E883,F883),'MASTER PLAN'!$AB:$AB,'MASTER PLAN'!$M:$M,0,0)),"")</f>
        <v>1.064</v>
      </c>
      <c r="K883" s="107">
        <f t="shared" si="237"/>
        <v>3192</v>
      </c>
      <c r="L883" s="107">
        <f t="shared" si="238"/>
        <v>0</v>
      </c>
      <c r="M883" s="105" t="s">
        <v>246</v>
      </c>
      <c r="AI883" s="42"/>
      <c r="BN883" s="42"/>
      <c r="CS883" s="42"/>
      <c r="DX883" s="42"/>
      <c r="FC883" s="42"/>
      <c r="GH883" s="42"/>
      <c r="HM883" s="42"/>
      <c r="IR883" s="42"/>
      <c r="JW883" s="42"/>
      <c r="LB883" s="42"/>
      <c r="MG883" s="42"/>
      <c r="NL883" s="42"/>
    </row>
    <row r="884" ht="15.75" customHeight="1">
      <c r="A884" s="42"/>
      <c r="B884" s="42"/>
      <c r="C884" s="42"/>
      <c r="D884" s="38">
        <f t="shared" ref="D884:D897" si="1151">D883</f>
        <v>46030</v>
      </c>
      <c r="E884" s="31" t="str">
        <f t="shared" ref="E884:I884" si="1150">KM5</f>
        <v/>
      </c>
      <c r="F884" s="31" t="str">
        <f t="shared" si="1150"/>
        <v/>
      </c>
      <c r="G884" s="31" t="str">
        <f t="shared" si="1150"/>
        <v/>
      </c>
      <c r="H884" s="13" t="str">
        <f t="shared" si="1150"/>
        <v/>
      </c>
      <c r="I884" s="13" t="str">
        <f t="shared" si="1150"/>
        <v/>
      </c>
      <c r="J884" s="107" t="str">
        <f t="array" ref="J884">IFERROR(IF(XLOOKUP(CONCAT(E884,F884),'MASTER PLAN'!$AB:$AB,'MASTER PLAN'!$M:$M,0,0)=0,"",XLOOKUP(CONCAT(E884,F884),'MASTER PLAN'!$AB:$AB,'MASTER PLAN'!$M:$M,0,0)),"")</f>
        <v/>
      </c>
      <c r="K884" s="107">
        <f t="shared" si="237"/>
        <v>0</v>
      </c>
      <c r="L884" s="107">
        <f t="shared" si="238"/>
        <v>0</v>
      </c>
      <c r="M884" s="105" t="s">
        <v>246</v>
      </c>
      <c r="AI884" s="42"/>
      <c r="BN884" s="42"/>
      <c r="CS884" s="42"/>
      <c r="DX884" s="42"/>
      <c r="FC884" s="42"/>
      <c r="GH884" s="42"/>
      <c r="HM884" s="42"/>
      <c r="IR884" s="42"/>
      <c r="JW884" s="42"/>
      <c r="LB884" s="42"/>
      <c r="MG884" s="42"/>
      <c r="NL884" s="42"/>
    </row>
    <row r="885" ht="15.75" customHeight="1">
      <c r="A885" s="42"/>
      <c r="B885" s="42"/>
      <c r="C885" s="42"/>
      <c r="D885" s="38">
        <f t="shared" si="1151"/>
        <v>46030</v>
      </c>
      <c r="E885" s="31" t="str">
        <f t="shared" ref="E885:I885" si="1152">KM6</f>
        <v/>
      </c>
      <c r="F885" s="31" t="str">
        <f t="shared" si="1152"/>
        <v/>
      </c>
      <c r="G885" s="31" t="str">
        <f t="shared" si="1152"/>
        <v/>
      </c>
      <c r="H885" s="13" t="str">
        <f t="shared" si="1152"/>
        <v/>
      </c>
      <c r="I885" s="13" t="str">
        <f t="shared" si="1152"/>
        <v/>
      </c>
      <c r="J885" s="107" t="str">
        <f t="array" ref="J885">IFERROR(IF(XLOOKUP(CONCAT(E885,F885),'MASTER PLAN'!$AB:$AB,'MASTER PLAN'!$M:$M,0,0)=0,"",XLOOKUP(CONCAT(E885,F885),'MASTER PLAN'!$AB:$AB,'MASTER PLAN'!$M:$M,0,0)),"")</f>
        <v/>
      </c>
      <c r="K885" s="107">
        <f t="shared" si="237"/>
        <v>0</v>
      </c>
      <c r="L885" s="107">
        <f t="shared" si="238"/>
        <v>0</v>
      </c>
      <c r="M885" s="105" t="s">
        <v>246</v>
      </c>
      <c r="AI885" s="42"/>
      <c r="BN885" s="42"/>
      <c r="CS885" s="42"/>
      <c r="DX885" s="42"/>
      <c r="FC885" s="42"/>
      <c r="GH885" s="42"/>
      <c r="HM885" s="42"/>
      <c r="IR885" s="42"/>
      <c r="JW885" s="42"/>
      <c r="LB885" s="42"/>
      <c r="MG885" s="42"/>
      <c r="NL885" s="42"/>
    </row>
    <row r="886" ht="15.75" customHeight="1">
      <c r="A886" s="42"/>
      <c r="B886" s="42"/>
      <c r="C886" s="42"/>
      <c r="D886" s="38">
        <f t="shared" si="1151"/>
        <v>46030</v>
      </c>
      <c r="E886" s="31" t="str">
        <f t="shared" ref="E886:I886" si="1153">KM7</f>
        <v/>
      </c>
      <c r="F886" s="31" t="str">
        <f t="shared" si="1153"/>
        <v/>
      </c>
      <c r="G886" s="31" t="str">
        <f t="shared" si="1153"/>
        <v/>
      </c>
      <c r="H886" s="13" t="str">
        <f t="shared" si="1153"/>
        <v/>
      </c>
      <c r="I886" s="13" t="str">
        <f t="shared" si="1153"/>
        <v/>
      </c>
      <c r="J886" s="107" t="str">
        <f t="array" ref="J886">IFERROR(IF(XLOOKUP(CONCAT(E886,F886),'MASTER PLAN'!$AB:$AB,'MASTER PLAN'!$M:$M,0,0)=0,"",XLOOKUP(CONCAT(E886,F886),'MASTER PLAN'!$AB:$AB,'MASTER PLAN'!$M:$M,0,0)),"")</f>
        <v/>
      </c>
      <c r="K886" s="107">
        <f t="shared" si="237"/>
        <v>0</v>
      </c>
      <c r="L886" s="107">
        <f t="shared" si="238"/>
        <v>0</v>
      </c>
      <c r="M886" s="105" t="s">
        <v>246</v>
      </c>
      <c r="AI886" s="42"/>
      <c r="BN886" s="42"/>
      <c r="CS886" s="42"/>
      <c r="DX886" s="42"/>
      <c r="FC886" s="42"/>
      <c r="GH886" s="42"/>
      <c r="HM886" s="42"/>
      <c r="IR886" s="42"/>
      <c r="JW886" s="42"/>
      <c r="LB886" s="42"/>
      <c r="MG886" s="42"/>
      <c r="NL886" s="42"/>
    </row>
    <row r="887" ht="15.75" customHeight="1">
      <c r="A887" s="42"/>
      <c r="B887" s="42"/>
      <c r="C887" s="42"/>
      <c r="D887" s="38">
        <f t="shared" si="1151"/>
        <v>46030</v>
      </c>
      <c r="E887" s="31" t="str">
        <f t="shared" ref="E887:I887" si="1154">KM8</f>
        <v/>
      </c>
      <c r="F887" s="31" t="str">
        <f t="shared" si="1154"/>
        <v/>
      </c>
      <c r="G887" s="31" t="str">
        <f t="shared" si="1154"/>
        <v/>
      </c>
      <c r="H887" s="13" t="str">
        <f t="shared" si="1154"/>
        <v/>
      </c>
      <c r="I887" s="13" t="str">
        <f t="shared" si="1154"/>
        <v/>
      </c>
      <c r="J887" s="107" t="str">
        <f t="array" ref="J887">IFERROR(IF(XLOOKUP(CONCAT(E887,F887),'MASTER PLAN'!$AB:$AB,'MASTER PLAN'!$M:$M,0,0)=0,"",XLOOKUP(CONCAT(E887,F887),'MASTER PLAN'!$AB:$AB,'MASTER PLAN'!$M:$M,0,0)),"")</f>
        <v/>
      </c>
      <c r="K887" s="107">
        <f t="shared" si="237"/>
        <v>0</v>
      </c>
      <c r="L887" s="107">
        <f t="shared" si="238"/>
        <v>0</v>
      </c>
      <c r="M887" s="105" t="s">
        <v>246</v>
      </c>
      <c r="AI887" s="42"/>
      <c r="BN887" s="42"/>
      <c r="CS887" s="42"/>
      <c r="DX887" s="42"/>
      <c r="FC887" s="42"/>
      <c r="GH887" s="42"/>
      <c r="HM887" s="42"/>
      <c r="IR887" s="42"/>
      <c r="JW887" s="42"/>
      <c r="LB887" s="42"/>
      <c r="MG887" s="42"/>
      <c r="NL887" s="42"/>
    </row>
    <row r="888" ht="15.75" customHeight="1">
      <c r="A888" s="42"/>
      <c r="B888" s="42"/>
      <c r="C888" s="42"/>
      <c r="D888" s="38">
        <f t="shared" si="1151"/>
        <v>46030</v>
      </c>
      <c r="E888" s="31">
        <f t="shared" ref="E888:I888" si="1155">KM12</f>
        <v>1402049466</v>
      </c>
      <c r="F888" s="31">
        <f t="shared" si="1155"/>
        <v>10</v>
      </c>
      <c r="G888" s="31" t="str">
        <f t="shared" si="1155"/>
        <v>BOLSA ROGERS ENTERPRISES 10"X4"X7-75"</v>
      </c>
      <c r="H888" s="13">
        <f t="shared" si="1155"/>
        <v>3000</v>
      </c>
      <c r="I888" s="13" t="str">
        <f t="shared" si="1155"/>
        <v/>
      </c>
      <c r="J888" s="107">
        <f t="array" ref="J888">IFERROR(IF(XLOOKUP(CONCAT(E888,F888),'MASTER PLAN'!$AB:$AB,'MASTER PLAN'!$M:$M,0,0)=0,"",XLOOKUP(CONCAT(E888,F888),'MASTER PLAN'!$AB:$AB,'MASTER PLAN'!$M:$M,0,0)),"")</f>
        <v>1.064</v>
      </c>
      <c r="K888" s="107">
        <f t="shared" si="237"/>
        <v>3192</v>
      </c>
      <c r="L888" s="107">
        <f t="shared" si="238"/>
        <v>0</v>
      </c>
      <c r="M888" s="105" t="s">
        <v>248</v>
      </c>
      <c r="AI888" s="42"/>
      <c r="BN888" s="42"/>
      <c r="CS888" s="42"/>
      <c r="DX888" s="42"/>
      <c r="FC888" s="42"/>
      <c r="GH888" s="42"/>
      <c r="HM888" s="42"/>
      <c r="IR888" s="42"/>
      <c r="JW888" s="42"/>
      <c r="LB888" s="42"/>
      <c r="MG888" s="42"/>
      <c r="NL888" s="42"/>
    </row>
    <row r="889" ht="15.75" customHeight="1">
      <c r="A889" s="42"/>
      <c r="B889" s="42"/>
      <c r="C889" s="42"/>
      <c r="D889" s="38">
        <f t="shared" si="1151"/>
        <v>46030</v>
      </c>
      <c r="E889" s="31" t="str">
        <f t="shared" ref="E889:I889" si="1156">KM13</f>
        <v/>
      </c>
      <c r="F889" s="31" t="str">
        <f t="shared" si="1156"/>
        <v/>
      </c>
      <c r="G889" s="31" t="str">
        <f t="shared" si="1156"/>
        <v/>
      </c>
      <c r="H889" s="13" t="str">
        <f t="shared" si="1156"/>
        <v/>
      </c>
      <c r="I889" s="13" t="str">
        <f t="shared" si="1156"/>
        <v/>
      </c>
      <c r="J889" s="107" t="str">
        <f t="array" ref="J889">IFERROR(IF(XLOOKUP(CONCAT(E889,F889),'MASTER PLAN'!$AB:$AB,'MASTER PLAN'!$M:$M,0,0)=0,"",XLOOKUP(CONCAT(E889,F889),'MASTER PLAN'!$AB:$AB,'MASTER PLAN'!$M:$M,0,0)),"")</f>
        <v/>
      </c>
      <c r="K889" s="107">
        <f t="shared" si="237"/>
        <v>0</v>
      </c>
      <c r="L889" s="107">
        <f t="shared" si="238"/>
        <v>0</v>
      </c>
      <c r="M889" s="105" t="s">
        <v>248</v>
      </c>
      <c r="AI889" s="42"/>
      <c r="BN889" s="42"/>
      <c r="CS889" s="42"/>
      <c r="DX889" s="42"/>
      <c r="FC889" s="42"/>
      <c r="GH889" s="42"/>
      <c r="HM889" s="42"/>
      <c r="IR889" s="42"/>
      <c r="JW889" s="42"/>
      <c r="LB889" s="42"/>
      <c r="MG889" s="42"/>
      <c r="NL889" s="42"/>
    </row>
    <row r="890" ht="15.75" customHeight="1">
      <c r="A890" s="42"/>
      <c r="B890" s="42"/>
      <c r="C890" s="42"/>
      <c r="D890" s="38">
        <f t="shared" si="1151"/>
        <v>46030</v>
      </c>
      <c r="E890" s="31" t="str">
        <f t="shared" ref="E890:I890" si="1157">KM14</f>
        <v/>
      </c>
      <c r="F890" s="31" t="str">
        <f t="shared" si="1157"/>
        <v/>
      </c>
      <c r="G890" s="31" t="str">
        <f t="shared" si="1157"/>
        <v/>
      </c>
      <c r="H890" s="13" t="str">
        <f t="shared" si="1157"/>
        <v/>
      </c>
      <c r="I890" s="13" t="str">
        <f t="shared" si="1157"/>
        <v/>
      </c>
      <c r="J890" s="107" t="str">
        <f t="array" ref="J890">IFERROR(IF(XLOOKUP(CONCAT(E890,F890),'MASTER PLAN'!$AB:$AB,'MASTER PLAN'!$M:$M,0,0)=0,"",XLOOKUP(CONCAT(E890,F890),'MASTER PLAN'!$AB:$AB,'MASTER PLAN'!$M:$M,0,0)),"")</f>
        <v/>
      </c>
      <c r="K890" s="107">
        <f t="shared" si="237"/>
        <v>0</v>
      </c>
      <c r="L890" s="107">
        <f t="shared" si="238"/>
        <v>0</v>
      </c>
      <c r="M890" s="105" t="s">
        <v>248</v>
      </c>
      <c r="AI890" s="42"/>
      <c r="BN890" s="42"/>
      <c r="CS890" s="42"/>
      <c r="DX890" s="42"/>
      <c r="FC890" s="42"/>
      <c r="GH890" s="42"/>
      <c r="HM890" s="42"/>
      <c r="IR890" s="42"/>
      <c r="JW890" s="42"/>
      <c r="LB890" s="42"/>
      <c r="MG890" s="42"/>
      <c r="NL890" s="42"/>
    </row>
    <row r="891" ht="15.75" customHeight="1">
      <c r="A891" s="42"/>
      <c r="B891" s="42"/>
      <c r="C891" s="42"/>
      <c r="D891" s="38">
        <f t="shared" si="1151"/>
        <v>46030</v>
      </c>
      <c r="E891" s="31" t="str">
        <f t="shared" ref="E891:I891" si="1158">KM15</f>
        <v/>
      </c>
      <c r="F891" s="31" t="str">
        <f t="shared" si="1158"/>
        <v/>
      </c>
      <c r="G891" s="31" t="str">
        <f t="shared" si="1158"/>
        <v/>
      </c>
      <c r="H891" s="13" t="str">
        <f t="shared" si="1158"/>
        <v/>
      </c>
      <c r="I891" s="13" t="str">
        <f t="shared" si="1158"/>
        <v/>
      </c>
      <c r="J891" s="107" t="str">
        <f t="array" ref="J891">IFERROR(IF(XLOOKUP(CONCAT(E891,F891),'MASTER PLAN'!$AB:$AB,'MASTER PLAN'!$M:$M,0,0)=0,"",XLOOKUP(CONCAT(E891,F891),'MASTER PLAN'!$AB:$AB,'MASTER PLAN'!$M:$M,0,0)),"")</f>
        <v/>
      </c>
      <c r="K891" s="107">
        <f t="shared" si="237"/>
        <v>0</v>
      </c>
      <c r="L891" s="107">
        <f t="shared" si="238"/>
        <v>0</v>
      </c>
      <c r="M891" s="105" t="s">
        <v>248</v>
      </c>
      <c r="AI891" s="42"/>
      <c r="BN891" s="42"/>
      <c r="CS891" s="42"/>
      <c r="DX891" s="42"/>
      <c r="FC891" s="42"/>
      <c r="GH891" s="42"/>
      <c r="HM891" s="42"/>
      <c r="IR891" s="42"/>
      <c r="JW891" s="42"/>
      <c r="LB891" s="42"/>
      <c r="MG891" s="42"/>
      <c r="NL891" s="42"/>
    </row>
    <row r="892" ht="15.75" customHeight="1">
      <c r="A892" s="42"/>
      <c r="B892" s="42"/>
      <c r="C892" s="42"/>
      <c r="D892" s="38">
        <f t="shared" si="1151"/>
        <v>46030</v>
      </c>
      <c r="E892" s="31" t="str">
        <f t="shared" ref="E892:I892" si="1159">KM16</f>
        <v/>
      </c>
      <c r="F892" s="31" t="str">
        <f t="shared" si="1159"/>
        <v/>
      </c>
      <c r="G892" s="31" t="str">
        <f t="shared" si="1159"/>
        <v/>
      </c>
      <c r="H892" s="13" t="str">
        <f t="shared" si="1159"/>
        <v/>
      </c>
      <c r="I892" s="13" t="str">
        <f t="shared" si="1159"/>
        <v/>
      </c>
      <c r="J892" s="107" t="str">
        <f t="array" ref="J892">IFERROR(IF(XLOOKUP(CONCAT(E892,F892),'MASTER PLAN'!$AB:$AB,'MASTER PLAN'!$M:$M,0,0)=0,"",XLOOKUP(CONCAT(E892,F892),'MASTER PLAN'!$AB:$AB,'MASTER PLAN'!$M:$M,0,0)),"")</f>
        <v/>
      </c>
      <c r="K892" s="107">
        <f t="shared" si="237"/>
        <v>0</v>
      </c>
      <c r="L892" s="107">
        <f t="shared" si="238"/>
        <v>0</v>
      </c>
      <c r="M892" s="105" t="s">
        <v>248</v>
      </c>
      <c r="AI892" s="42"/>
      <c r="BN892" s="42"/>
      <c r="CS892" s="42"/>
      <c r="DX892" s="42"/>
      <c r="FC892" s="42"/>
      <c r="GH892" s="42"/>
      <c r="HM892" s="42"/>
      <c r="IR892" s="42"/>
      <c r="JW892" s="42"/>
      <c r="LB892" s="42"/>
      <c r="MG892" s="42"/>
      <c r="NL892" s="42"/>
    </row>
    <row r="893" ht="15.75" customHeight="1">
      <c r="A893" s="42"/>
      <c r="B893" s="42"/>
      <c r="C893" s="42"/>
      <c r="D893" s="38">
        <f t="shared" si="1151"/>
        <v>46030</v>
      </c>
      <c r="E893" s="31" t="str">
        <f t="shared" ref="E893:I893" si="1160">KM20</f>
        <v/>
      </c>
      <c r="F893" s="31" t="str">
        <f t="shared" si="1160"/>
        <v/>
      </c>
      <c r="G893" s="31" t="str">
        <f t="shared" si="1160"/>
        <v/>
      </c>
      <c r="H893" s="13" t="str">
        <f t="shared" si="1160"/>
        <v/>
      </c>
      <c r="I893" s="13" t="str">
        <f t="shared" si="1160"/>
        <v/>
      </c>
      <c r="J893" s="107" t="str">
        <f t="array" ref="J893">IFERROR(IF(XLOOKUP(CONCAT(E893,F893),'MASTER PLAN'!$AB:$AB,'MASTER PLAN'!$M:$M,0,0)=0,"",XLOOKUP(CONCAT(E893,F893),'MASTER PLAN'!$AB:$AB,'MASTER PLAN'!$M:$M,0,0)),"")</f>
        <v/>
      </c>
      <c r="K893" s="107">
        <f t="shared" si="237"/>
        <v>0</v>
      </c>
      <c r="L893" s="107">
        <f t="shared" si="238"/>
        <v>0</v>
      </c>
      <c r="M893" s="105" t="s">
        <v>249</v>
      </c>
      <c r="AI893" s="42"/>
      <c r="BN893" s="42"/>
      <c r="CS893" s="42"/>
      <c r="DX893" s="42"/>
      <c r="FC893" s="42"/>
      <c r="GH893" s="42"/>
      <c r="HM893" s="42"/>
      <c r="IR893" s="42"/>
      <c r="JW893" s="42"/>
      <c r="LB893" s="42"/>
      <c r="MG893" s="42"/>
      <c r="NL893" s="42"/>
    </row>
    <row r="894" ht="15.75" customHeight="1">
      <c r="A894" s="42"/>
      <c r="B894" s="42"/>
      <c r="C894" s="42"/>
      <c r="D894" s="38">
        <f t="shared" si="1151"/>
        <v>46030</v>
      </c>
      <c r="E894" s="31" t="str">
        <f t="shared" ref="E894:I894" si="1161">KM21</f>
        <v/>
      </c>
      <c r="F894" s="31" t="str">
        <f t="shared" si="1161"/>
        <v/>
      </c>
      <c r="G894" s="31" t="str">
        <f t="shared" si="1161"/>
        <v/>
      </c>
      <c r="H894" s="13" t="str">
        <f t="shared" si="1161"/>
        <v/>
      </c>
      <c r="I894" s="13" t="str">
        <f t="shared" si="1161"/>
        <v/>
      </c>
      <c r="J894" s="107" t="str">
        <f t="array" ref="J894">IFERROR(IF(XLOOKUP(CONCAT(E894,F894),'MASTER PLAN'!$AB:$AB,'MASTER PLAN'!$M:$M,0,0)=0,"",XLOOKUP(CONCAT(E894,F894),'MASTER PLAN'!$AB:$AB,'MASTER PLAN'!$M:$M,0,0)),"")</f>
        <v/>
      </c>
      <c r="K894" s="107">
        <f t="shared" si="237"/>
        <v>0</v>
      </c>
      <c r="L894" s="107">
        <f t="shared" si="238"/>
        <v>0</v>
      </c>
      <c r="M894" s="105" t="s">
        <v>249</v>
      </c>
      <c r="AI894" s="42"/>
      <c r="BN894" s="42"/>
      <c r="CS894" s="42"/>
      <c r="DX894" s="42"/>
      <c r="FC894" s="42"/>
      <c r="GH894" s="42"/>
      <c r="HM894" s="42"/>
      <c r="IR894" s="42"/>
      <c r="JW894" s="42"/>
      <c r="LB894" s="42"/>
      <c r="MG894" s="42"/>
      <c r="NL894" s="42"/>
    </row>
    <row r="895" ht="15.75" customHeight="1">
      <c r="A895" s="42"/>
      <c r="B895" s="42"/>
      <c r="C895" s="42"/>
      <c r="D895" s="38">
        <f t="shared" si="1151"/>
        <v>46030</v>
      </c>
      <c r="E895" s="31" t="str">
        <f t="shared" ref="E895:I895" si="1162">KM22</f>
        <v/>
      </c>
      <c r="F895" s="31" t="str">
        <f t="shared" si="1162"/>
        <v/>
      </c>
      <c r="G895" s="31" t="str">
        <f t="shared" si="1162"/>
        <v/>
      </c>
      <c r="H895" s="13" t="str">
        <f t="shared" si="1162"/>
        <v/>
      </c>
      <c r="I895" s="13" t="str">
        <f t="shared" si="1162"/>
        <v/>
      </c>
      <c r="J895" s="107" t="str">
        <f t="array" ref="J895">IFERROR(IF(XLOOKUP(CONCAT(E895,F895),'MASTER PLAN'!$AB:$AB,'MASTER PLAN'!$M:$M,0,0)=0,"",XLOOKUP(CONCAT(E895,F895),'MASTER PLAN'!$AB:$AB,'MASTER PLAN'!$M:$M,0,0)),"")</f>
        <v/>
      </c>
      <c r="K895" s="107">
        <f t="shared" si="237"/>
        <v>0</v>
      </c>
      <c r="L895" s="107">
        <f t="shared" si="238"/>
        <v>0</v>
      </c>
      <c r="M895" s="105" t="s">
        <v>249</v>
      </c>
      <c r="AI895" s="42"/>
      <c r="BN895" s="42"/>
      <c r="CS895" s="42"/>
      <c r="DX895" s="42"/>
      <c r="FC895" s="42"/>
      <c r="GH895" s="42"/>
      <c r="HM895" s="42"/>
      <c r="IR895" s="42"/>
      <c r="JW895" s="42"/>
      <c r="LB895" s="42"/>
      <c r="MG895" s="42"/>
      <c r="NL895" s="42"/>
    </row>
    <row r="896" ht="15.75" customHeight="1">
      <c r="A896" s="42"/>
      <c r="B896" s="42"/>
      <c r="C896" s="42"/>
      <c r="D896" s="38">
        <f t="shared" si="1151"/>
        <v>46030</v>
      </c>
      <c r="E896" s="31" t="str">
        <f t="shared" ref="E896:I896" si="1163">KM23</f>
        <v/>
      </c>
      <c r="F896" s="31" t="str">
        <f t="shared" si="1163"/>
        <v/>
      </c>
      <c r="G896" s="31" t="str">
        <f t="shared" si="1163"/>
        <v/>
      </c>
      <c r="H896" s="13" t="str">
        <f t="shared" si="1163"/>
        <v/>
      </c>
      <c r="I896" s="13" t="str">
        <f t="shared" si="1163"/>
        <v/>
      </c>
      <c r="J896" s="107" t="str">
        <f t="array" ref="J896">IFERROR(IF(XLOOKUP(CONCAT(E896,F896),'MASTER PLAN'!$AB:$AB,'MASTER PLAN'!$M:$M,0,0)=0,"",XLOOKUP(CONCAT(E896,F896),'MASTER PLAN'!$AB:$AB,'MASTER PLAN'!$M:$M,0,0)),"")</f>
        <v/>
      </c>
      <c r="K896" s="107">
        <f t="shared" si="237"/>
        <v>0</v>
      </c>
      <c r="L896" s="107">
        <f t="shared" si="238"/>
        <v>0</v>
      </c>
      <c r="M896" s="105" t="s">
        <v>249</v>
      </c>
      <c r="AI896" s="42"/>
      <c r="BN896" s="42"/>
      <c r="CS896" s="42"/>
      <c r="DX896" s="42"/>
      <c r="FC896" s="42"/>
      <c r="GH896" s="42"/>
      <c r="HM896" s="42"/>
      <c r="IR896" s="42"/>
      <c r="JW896" s="42"/>
      <c r="LB896" s="42"/>
      <c r="MG896" s="42"/>
      <c r="NL896" s="42"/>
    </row>
    <row r="897" ht="15.75" customHeight="1">
      <c r="A897" s="42"/>
      <c r="B897" s="42"/>
      <c r="C897" s="42"/>
      <c r="D897" s="38">
        <f t="shared" si="1151"/>
        <v>46030</v>
      </c>
      <c r="E897" s="31" t="str">
        <f t="shared" ref="E897:I897" si="1164">KM24</f>
        <v/>
      </c>
      <c r="F897" s="31" t="str">
        <f t="shared" si="1164"/>
        <v/>
      </c>
      <c r="G897" s="31" t="str">
        <f t="shared" si="1164"/>
        <v/>
      </c>
      <c r="H897" s="13" t="str">
        <f t="shared" si="1164"/>
        <v/>
      </c>
      <c r="I897" s="13" t="str">
        <f t="shared" si="1164"/>
        <v/>
      </c>
      <c r="J897" s="107" t="str">
        <f t="array" ref="J897">IFERROR(IF(XLOOKUP(CONCAT(E897,F897),'MASTER PLAN'!$AB:$AB,'MASTER PLAN'!$M:$M,0,0)=0,"",XLOOKUP(CONCAT(E897,F897),'MASTER PLAN'!$AB:$AB,'MASTER PLAN'!$M:$M,0,0)),"")</f>
        <v/>
      </c>
      <c r="K897" s="107">
        <f t="shared" si="237"/>
        <v>0</v>
      </c>
      <c r="L897" s="107">
        <f t="shared" si="238"/>
        <v>0</v>
      </c>
      <c r="M897" s="105" t="s">
        <v>249</v>
      </c>
      <c r="AI897" s="42"/>
      <c r="BN897" s="42"/>
      <c r="CS897" s="42"/>
      <c r="DX897" s="42"/>
      <c r="FC897" s="42"/>
      <c r="GH897" s="42"/>
      <c r="HM897" s="42"/>
      <c r="IR897" s="42"/>
      <c r="JW897" s="42"/>
      <c r="LB897" s="42"/>
      <c r="MG897" s="42"/>
      <c r="NL897" s="42"/>
    </row>
    <row r="898" ht="15.75" customHeight="1">
      <c r="A898" s="42"/>
      <c r="B898" s="42"/>
      <c r="C898" s="42"/>
      <c r="D898" s="38">
        <f>KR2</f>
        <v>46031</v>
      </c>
      <c r="E898" s="31">
        <f t="shared" ref="E898:I898" si="1165">KR4</f>
        <v>1402049466</v>
      </c>
      <c r="F898" s="31">
        <f t="shared" si="1165"/>
        <v>10</v>
      </c>
      <c r="G898" s="31" t="str">
        <f t="shared" si="1165"/>
        <v>BOLSA ROGERS ENTERPRISES 10"X4"X7-75"</v>
      </c>
      <c r="H898" s="13">
        <f t="shared" si="1165"/>
        <v>3000</v>
      </c>
      <c r="I898" s="13" t="str">
        <f t="shared" si="1165"/>
        <v/>
      </c>
      <c r="J898" s="107">
        <f t="array" ref="J898">IFERROR(IF(XLOOKUP(CONCAT(E898,F898),'MASTER PLAN'!$AB:$AB,'MASTER PLAN'!$M:$M,0,0)=0,"",XLOOKUP(CONCAT(E898,F898),'MASTER PLAN'!$AB:$AB,'MASTER PLAN'!$M:$M,0,0)),"")</f>
        <v>1.064</v>
      </c>
      <c r="K898" s="107">
        <f t="shared" si="237"/>
        <v>3192</v>
      </c>
      <c r="L898" s="107">
        <f t="shared" si="238"/>
        <v>0</v>
      </c>
      <c r="M898" s="105" t="s">
        <v>246</v>
      </c>
      <c r="AI898" s="42"/>
      <c r="BN898" s="42"/>
      <c r="CS898" s="42"/>
      <c r="DX898" s="42"/>
      <c r="FC898" s="42"/>
      <c r="GH898" s="42"/>
      <c r="HM898" s="42"/>
      <c r="IR898" s="42"/>
      <c r="JW898" s="42"/>
      <c r="LB898" s="42"/>
      <c r="MG898" s="42"/>
      <c r="NL898" s="42"/>
    </row>
    <row r="899" ht="15.75" customHeight="1">
      <c r="A899" s="42"/>
      <c r="B899" s="42"/>
      <c r="C899" s="42"/>
      <c r="D899" s="38">
        <f t="shared" ref="D899:D912" si="1167">D898</f>
        <v>46031</v>
      </c>
      <c r="E899" s="31" t="str">
        <f t="shared" ref="E899:I899" si="1166">KR5</f>
        <v/>
      </c>
      <c r="F899" s="31" t="str">
        <f t="shared" si="1166"/>
        <v/>
      </c>
      <c r="G899" s="31" t="str">
        <f t="shared" si="1166"/>
        <v/>
      </c>
      <c r="H899" s="13" t="str">
        <f t="shared" si="1166"/>
        <v/>
      </c>
      <c r="I899" s="13" t="str">
        <f t="shared" si="1166"/>
        <v/>
      </c>
      <c r="J899" s="107" t="str">
        <f t="array" ref="J899">IFERROR(IF(XLOOKUP(CONCAT(E899,F899),'MASTER PLAN'!$AB:$AB,'MASTER PLAN'!$M:$M,0,0)=0,"",XLOOKUP(CONCAT(E899,F899),'MASTER PLAN'!$AB:$AB,'MASTER PLAN'!$M:$M,0,0)),"")</f>
        <v/>
      </c>
      <c r="K899" s="107">
        <f t="shared" si="237"/>
        <v>0</v>
      </c>
      <c r="L899" s="107">
        <f t="shared" si="238"/>
        <v>0</v>
      </c>
      <c r="M899" s="105" t="s">
        <v>246</v>
      </c>
      <c r="AI899" s="42"/>
      <c r="BN899" s="42"/>
      <c r="CS899" s="42"/>
      <c r="DX899" s="42"/>
      <c r="FC899" s="42"/>
      <c r="GH899" s="42"/>
      <c r="HM899" s="42"/>
      <c r="IR899" s="42"/>
      <c r="JW899" s="42"/>
      <c r="LB899" s="42"/>
      <c r="MG899" s="42"/>
      <c r="NL899" s="42"/>
    </row>
    <row r="900" ht="15.75" customHeight="1">
      <c r="A900" s="42"/>
      <c r="B900" s="42"/>
      <c r="C900" s="42"/>
      <c r="D900" s="38">
        <f t="shared" si="1167"/>
        <v>46031</v>
      </c>
      <c r="E900" s="31" t="str">
        <f t="shared" ref="E900:I900" si="1168">KR6</f>
        <v/>
      </c>
      <c r="F900" s="31" t="str">
        <f t="shared" si="1168"/>
        <v/>
      </c>
      <c r="G900" s="31" t="str">
        <f t="shared" si="1168"/>
        <v/>
      </c>
      <c r="H900" s="13" t="str">
        <f t="shared" si="1168"/>
        <v/>
      </c>
      <c r="I900" s="13" t="str">
        <f t="shared" si="1168"/>
        <v/>
      </c>
      <c r="J900" s="107" t="str">
        <f t="array" ref="J900">IFERROR(IF(XLOOKUP(CONCAT(E900,F900),'MASTER PLAN'!$AB:$AB,'MASTER PLAN'!$M:$M,0,0)=0,"",XLOOKUP(CONCAT(E900,F900),'MASTER PLAN'!$AB:$AB,'MASTER PLAN'!$M:$M,0,0)),"")</f>
        <v/>
      </c>
      <c r="K900" s="107">
        <f t="shared" si="237"/>
        <v>0</v>
      </c>
      <c r="L900" s="107">
        <f t="shared" si="238"/>
        <v>0</v>
      </c>
      <c r="M900" s="105" t="s">
        <v>246</v>
      </c>
      <c r="AI900" s="42"/>
      <c r="BN900" s="42"/>
      <c r="CS900" s="42"/>
      <c r="DX900" s="42"/>
      <c r="FC900" s="42"/>
      <c r="GH900" s="42"/>
      <c r="HM900" s="42"/>
      <c r="IR900" s="42"/>
      <c r="JW900" s="42"/>
      <c r="LB900" s="42"/>
      <c r="MG900" s="42"/>
      <c r="NL900" s="42"/>
    </row>
    <row r="901" ht="15.75" customHeight="1">
      <c r="A901" s="42"/>
      <c r="B901" s="42"/>
      <c r="C901" s="42"/>
      <c r="D901" s="38">
        <f t="shared" si="1167"/>
        <v>46031</v>
      </c>
      <c r="E901" s="31" t="str">
        <f t="shared" ref="E901:I901" si="1169">KR7</f>
        <v/>
      </c>
      <c r="F901" s="31" t="str">
        <f t="shared" si="1169"/>
        <v/>
      </c>
      <c r="G901" s="31" t="str">
        <f t="shared" si="1169"/>
        <v/>
      </c>
      <c r="H901" s="13" t="str">
        <f t="shared" si="1169"/>
        <v/>
      </c>
      <c r="I901" s="13" t="str">
        <f t="shared" si="1169"/>
        <v/>
      </c>
      <c r="J901" s="107" t="str">
        <f t="array" ref="J901">IFERROR(IF(XLOOKUP(CONCAT(E901,F901),'MASTER PLAN'!$AB:$AB,'MASTER PLAN'!$M:$M,0,0)=0,"",XLOOKUP(CONCAT(E901,F901),'MASTER PLAN'!$AB:$AB,'MASTER PLAN'!$M:$M,0,0)),"")</f>
        <v/>
      </c>
      <c r="K901" s="107">
        <f t="shared" si="237"/>
        <v>0</v>
      </c>
      <c r="L901" s="107">
        <f t="shared" si="238"/>
        <v>0</v>
      </c>
      <c r="M901" s="105" t="s">
        <v>246</v>
      </c>
      <c r="AI901" s="42"/>
      <c r="BN901" s="42"/>
      <c r="CS901" s="42"/>
      <c r="DX901" s="42"/>
      <c r="FC901" s="42"/>
      <c r="GH901" s="42"/>
      <c r="HM901" s="42"/>
      <c r="IR901" s="42"/>
      <c r="JW901" s="42"/>
      <c r="LB901" s="42"/>
      <c r="MG901" s="42"/>
      <c r="NL901" s="42"/>
    </row>
    <row r="902" ht="15.75" customHeight="1">
      <c r="A902" s="42"/>
      <c r="B902" s="42"/>
      <c r="C902" s="42"/>
      <c r="D902" s="38">
        <f t="shared" si="1167"/>
        <v>46031</v>
      </c>
      <c r="E902" s="31" t="str">
        <f t="shared" ref="E902:I902" si="1170">KR8</f>
        <v/>
      </c>
      <c r="F902" s="31" t="str">
        <f t="shared" si="1170"/>
        <v/>
      </c>
      <c r="G902" s="31" t="str">
        <f t="shared" si="1170"/>
        <v/>
      </c>
      <c r="H902" s="13" t="str">
        <f t="shared" si="1170"/>
        <v/>
      </c>
      <c r="I902" s="13" t="str">
        <f t="shared" si="1170"/>
        <v/>
      </c>
      <c r="J902" s="107" t="str">
        <f t="array" ref="J902">IFERROR(IF(XLOOKUP(CONCAT(E902,F902),'MASTER PLAN'!$AB:$AB,'MASTER PLAN'!$M:$M,0,0)=0,"",XLOOKUP(CONCAT(E902,F902),'MASTER PLAN'!$AB:$AB,'MASTER PLAN'!$M:$M,0,0)),"")</f>
        <v/>
      </c>
      <c r="K902" s="107">
        <f t="shared" si="237"/>
        <v>0</v>
      </c>
      <c r="L902" s="107">
        <f t="shared" si="238"/>
        <v>0</v>
      </c>
      <c r="M902" s="105" t="s">
        <v>246</v>
      </c>
      <c r="AI902" s="42"/>
      <c r="BN902" s="42"/>
      <c r="CS902" s="42"/>
      <c r="DX902" s="42"/>
      <c r="FC902" s="42"/>
      <c r="GH902" s="42"/>
      <c r="HM902" s="42"/>
      <c r="IR902" s="42"/>
      <c r="JW902" s="42"/>
      <c r="LB902" s="42"/>
      <c r="MG902" s="42"/>
      <c r="NL902" s="42"/>
    </row>
    <row r="903" ht="15.75" customHeight="1">
      <c r="A903" s="42"/>
      <c r="B903" s="42"/>
      <c r="C903" s="42"/>
      <c r="D903" s="38">
        <f t="shared" si="1167"/>
        <v>46031</v>
      </c>
      <c r="E903" s="31">
        <f t="shared" ref="E903:I903" si="1171">KR12</f>
        <v>1402049466</v>
      </c>
      <c r="F903" s="31">
        <f t="shared" si="1171"/>
        <v>10</v>
      </c>
      <c r="G903" s="31" t="str">
        <f t="shared" si="1171"/>
        <v>BOLSA ROGERS ENTERPRISES 10"X4"X7-75"</v>
      </c>
      <c r="H903" s="13">
        <f t="shared" si="1171"/>
        <v>3000</v>
      </c>
      <c r="I903" s="13" t="str">
        <f t="shared" si="1171"/>
        <v/>
      </c>
      <c r="J903" s="107">
        <f t="array" ref="J903">IFERROR(IF(XLOOKUP(CONCAT(E903,F903),'MASTER PLAN'!$AB:$AB,'MASTER PLAN'!$M:$M,0,0)=0,"",XLOOKUP(CONCAT(E903,F903),'MASTER PLAN'!$AB:$AB,'MASTER PLAN'!$M:$M,0,0)),"")</f>
        <v>1.064</v>
      </c>
      <c r="K903" s="107">
        <f t="shared" si="237"/>
        <v>3192</v>
      </c>
      <c r="L903" s="107">
        <f t="shared" si="238"/>
        <v>0</v>
      </c>
      <c r="M903" s="105" t="s">
        <v>248</v>
      </c>
      <c r="AI903" s="42"/>
      <c r="BN903" s="42"/>
      <c r="CS903" s="42"/>
      <c r="DX903" s="42"/>
      <c r="FC903" s="42"/>
      <c r="GH903" s="42"/>
      <c r="HM903" s="42"/>
      <c r="IR903" s="42"/>
      <c r="JW903" s="42"/>
      <c r="LB903" s="42"/>
      <c r="MG903" s="42"/>
      <c r="NL903" s="42"/>
    </row>
    <row r="904" ht="15.75" customHeight="1">
      <c r="A904" s="42"/>
      <c r="B904" s="42"/>
      <c r="C904" s="42"/>
      <c r="D904" s="38">
        <f t="shared" si="1167"/>
        <v>46031</v>
      </c>
      <c r="E904" s="31" t="str">
        <f t="shared" ref="E904:I904" si="1172">KR13</f>
        <v/>
      </c>
      <c r="F904" s="31" t="str">
        <f t="shared" si="1172"/>
        <v/>
      </c>
      <c r="G904" s="31" t="str">
        <f t="shared" si="1172"/>
        <v/>
      </c>
      <c r="H904" s="13" t="str">
        <f t="shared" si="1172"/>
        <v/>
      </c>
      <c r="I904" s="13" t="str">
        <f t="shared" si="1172"/>
        <v/>
      </c>
      <c r="J904" s="107" t="str">
        <f t="array" ref="J904">IFERROR(IF(XLOOKUP(CONCAT(E904,F904),'MASTER PLAN'!$AB:$AB,'MASTER PLAN'!$M:$M,0,0)=0,"",XLOOKUP(CONCAT(E904,F904),'MASTER PLAN'!$AB:$AB,'MASTER PLAN'!$M:$M,0,0)),"")</f>
        <v/>
      </c>
      <c r="K904" s="107">
        <f t="shared" si="237"/>
        <v>0</v>
      </c>
      <c r="L904" s="107">
        <f t="shared" si="238"/>
        <v>0</v>
      </c>
      <c r="M904" s="105" t="s">
        <v>248</v>
      </c>
      <c r="AI904" s="42"/>
      <c r="BN904" s="42"/>
      <c r="CS904" s="42"/>
      <c r="DX904" s="42"/>
      <c r="FC904" s="42"/>
      <c r="GH904" s="42"/>
      <c r="HM904" s="42"/>
      <c r="IR904" s="42"/>
      <c r="JW904" s="42"/>
      <c r="LB904" s="42"/>
      <c r="MG904" s="42"/>
      <c r="NL904" s="42"/>
    </row>
    <row r="905" ht="15.75" customHeight="1">
      <c r="A905" s="42"/>
      <c r="B905" s="42"/>
      <c r="C905" s="42"/>
      <c r="D905" s="38">
        <f t="shared" si="1167"/>
        <v>46031</v>
      </c>
      <c r="E905" s="31" t="str">
        <f t="shared" ref="E905:I905" si="1173">KR14</f>
        <v/>
      </c>
      <c r="F905" s="31" t="str">
        <f t="shared" si="1173"/>
        <v/>
      </c>
      <c r="G905" s="31" t="str">
        <f t="shared" si="1173"/>
        <v/>
      </c>
      <c r="H905" s="13" t="str">
        <f t="shared" si="1173"/>
        <v/>
      </c>
      <c r="I905" s="13" t="str">
        <f t="shared" si="1173"/>
        <v/>
      </c>
      <c r="J905" s="107" t="str">
        <f t="array" ref="J905">IFERROR(IF(XLOOKUP(CONCAT(E905,F905),'MASTER PLAN'!$AB:$AB,'MASTER PLAN'!$M:$M,0,0)=0,"",XLOOKUP(CONCAT(E905,F905),'MASTER PLAN'!$AB:$AB,'MASTER PLAN'!$M:$M,0,0)),"")</f>
        <v/>
      </c>
      <c r="K905" s="107">
        <f t="shared" si="237"/>
        <v>0</v>
      </c>
      <c r="L905" s="107">
        <f t="shared" si="238"/>
        <v>0</v>
      </c>
      <c r="M905" s="105" t="s">
        <v>248</v>
      </c>
      <c r="AI905" s="42"/>
      <c r="BN905" s="42"/>
      <c r="CS905" s="42"/>
      <c r="DX905" s="42"/>
      <c r="FC905" s="42"/>
      <c r="GH905" s="42"/>
      <c r="HM905" s="42"/>
      <c r="IR905" s="42"/>
      <c r="JW905" s="42"/>
      <c r="LB905" s="42"/>
      <c r="MG905" s="42"/>
      <c r="NL905" s="42"/>
    </row>
    <row r="906" ht="15.75" customHeight="1">
      <c r="A906" s="42"/>
      <c r="B906" s="42"/>
      <c r="C906" s="42"/>
      <c r="D906" s="38">
        <f t="shared" si="1167"/>
        <v>46031</v>
      </c>
      <c r="E906" s="31" t="str">
        <f t="shared" ref="E906:I906" si="1174">KR15</f>
        <v/>
      </c>
      <c r="F906" s="31" t="str">
        <f t="shared" si="1174"/>
        <v/>
      </c>
      <c r="G906" s="31" t="str">
        <f t="shared" si="1174"/>
        <v/>
      </c>
      <c r="H906" s="13" t="str">
        <f t="shared" si="1174"/>
        <v/>
      </c>
      <c r="I906" s="13" t="str">
        <f t="shared" si="1174"/>
        <v/>
      </c>
      <c r="J906" s="107" t="str">
        <f t="array" ref="J906">IFERROR(IF(XLOOKUP(CONCAT(E906,F906),'MASTER PLAN'!$AB:$AB,'MASTER PLAN'!$M:$M,0,0)=0,"",XLOOKUP(CONCAT(E906,F906),'MASTER PLAN'!$AB:$AB,'MASTER PLAN'!$M:$M,0,0)),"")</f>
        <v/>
      </c>
      <c r="K906" s="107">
        <f t="shared" si="237"/>
        <v>0</v>
      </c>
      <c r="L906" s="107">
        <f t="shared" si="238"/>
        <v>0</v>
      </c>
      <c r="M906" s="105" t="s">
        <v>248</v>
      </c>
      <c r="AI906" s="42"/>
      <c r="BN906" s="42"/>
      <c r="CS906" s="42"/>
      <c r="DX906" s="42"/>
      <c r="FC906" s="42"/>
      <c r="GH906" s="42"/>
      <c r="HM906" s="42"/>
      <c r="IR906" s="42"/>
      <c r="JW906" s="42"/>
      <c r="LB906" s="42"/>
      <c r="MG906" s="42"/>
      <c r="NL906" s="42"/>
    </row>
    <row r="907" ht="15.75" customHeight="1">
      <c r="A907" s="42"/>
      <c r="B907" s="42"/>
      <c r="C907" s="42"/>
      <c r="D907" s="38">
        <f t="shared" si="1167"/>
        <v>46031</v>
      </c>
      <c r="E907" s="31" t="str">
        <f t="shared" ref="E907:I907" si="1175">KR16</f>
        <v/>
      </c>
      <c r="F907" s="31" t="str">
        <f t="shared" si="1175"/>
        <v/>
      </c>
      <c r="G907" s="31" t="str">
        <f t="shared" si="1175"/>
        <v/>
      </c>
      <c r="H907" s="13" t="str">
        <f t="shared" si="1175"/>
        <v/>
      </c>
      <c r="I907" s="13" t="str">
        <f t="shared" si="1175"/>
        <v/>
      </c>
      <c r="J907" s="107" t="str">
        <f t="array" ref="J907">IFERROR(IF(XLOOKUP(CONCAT(E907,F907),'MASTER PLAN'!$AB:$AB,'MASTER PLAN'!$M:$M,0,0)=0,"",XLOOKUP(CONCAT(E907,F907),'MASTER PLAN'!$AB:$AB,'MASTER PLAN'!$M:$M,0,0)),"")</f>
        <v/>
      </c>
      <c r="K907" s="107">
        <f t="shared" si="237"/>
        <v>0</v>
      </c>
      <c r="L907" s="107">
        <f t="shared" si="238"/>
        <v>0</v>
      </c>
      <c r="M907" s="105" t="s">
        <v>248</v>
      </c>
      <c r="AI907" s="42"/>
      <c r="BN907" s="42"/>
      <c r="CS907" s="42"/>
      <c r="DX907" s="42"/>
      <c r="FC907" s="42"/>
      <c r="GH907" s="42"/>
      <c r="HM907" s="42"/>
      <c r="IR907" s="42"/>
      <c r="JW907" s="42"/>
      <c r="LB907" s="42"/>
      <c r="MG907" s="42"/>
      <c r="NL907" s="42"/>
    </row>
    <row r="908" ht="15.75" customHeight="1">
      <c r="A908" s="42"/>
      <c r="B908" s="42"/>
      <c r="C908" s="42"/>
      <c r="D908" s="38">
        <f t="shared" si="1167"/>
        <v>46031</v>
      </c>
      <c r="E908" s="31" t="str">
        <f t="shared" ref="E908:I908" si="1176">KR20</f>
        <v/>
      </c>
      <c r="F908" s="31" t="str">
        <f t="shared" si="1176"/>
        <v/>
      </c>
      <c r="G908" s="31" t="str">
        <f t="shared" si="1176"/>
        <v/>
      </c>
      <c r="H908" s="13" t="str">
        <f t="shared" si="1176"/>
        <v/>
      </c>
      <c r="I908" s="13" t="str">
        <f t="shared" si="1176"/>
        <v/>
      </c>
      <c r="J908" s="107" t="str">
        <f t="array" ref="J908">IFERROR(IF(XLOOKUP(CONCAT(E908,F908),'MASTER PLAN'!$AB:$AB,'MASTER PLAN'!$M:$M,0,0)=0,"",XLOOKUP(CONCAT(E908,F908),'MASTER PLAN'!$AB:$AB,'MASTER PLAN'!$M:$M,0,0)),"")</f>
        <v/>
      </c>
      <c r="K908" s="107">
        <f t="shared" si="237"/>
        <v>0</v>
      </c>
      <c r="L908" s="107">
        <f t="shared" si="238"/>
        <v>0</v>
      </c>
      <c r="M908" s="105" t="s">
        <v>249</v>
      </c>
      <c r="AI908" s="42"/>
      <c r="BN908" s="42"/>
      <c r="CS908" s="42"/>
      <c r="DX908" s="42"/>
      <c r="FC908" s="42"/>
      <c r="GH908" s="42"/>
      <c r="HM908" s="42"/>
      <c r="IR908" s="42"/>
      <c r="JW908" s="42"/>
      <c r="LB908" s="42"/>
      <c r="MG908" s="42"/>
      <c r="NL908" s="42"/>
    </row>
    <row r="909" ht="15.75" customHeight="1">
      <c r="A909" s="42"/>
      <c r="B909" s="42"/>
      <c r="C909" s="42"/>
      <c r="D909" s="38">
        <f t="shared" si="1167"/>
        <v>46031</v>
      </c>
      <c r="E909" s="31" t="str">
        <f t="shared" ref="E909:I909" si="1177">KR21</f>
        <v/>
      </c>
      <c r="F909" s="31" t="str">
        <f t="shared" si="1177"/>
        <v/>
      </c>
      <c r="G909" s="31" t="str">
        <f t="shared" si="1177"/>
        <v/>
      </c>
      <c r="H909" s="13" t="str">
        <f t="shared" si="1177"/>
        <v/>
      </c>
      <c r="I909" s="13" t="str">
        <f t="shared" si="1177"/>
        <v/>
      </c>
      <c r="J909" s="107" t="str">
        <f t="array" ref="J909">IFERROR(IF(XLOOKUP(CONCAT(E909,F909),'MASTER PLAN'!$AB:$AB,'MASTER PLAN'!$M:$M,0,0)=0,"",XLOOKUP(CONCAT(E909,F909),'MASTER PLAN'!$AB:$AB,'MASTER PLAN'!$M:$M,0,0)),"")</f>
        <v/>
      </c>
      <c r="K909" s="107">
        <f t="shared" si="237"/>
        <v>0</v>
      </c>
      <c r="L909" s="107">
        <f t="shared" si="238"/>
        <v>0</v>
      </c>
      <c r="M909" s="105" t="s">
        <v>249</v>
      </c>
      <c r="AI909" s="42"/>
      <c r="BN909" s="42"/>
      <c r="CS909" s="42"/>
      <c r="DX909" s="42"/>
      <c r="FC909" s="42"/>
      <c r="GH909" s="42"/>
      <c r="HM909" s="42"/>
      <c r="IR909" s="42"/>
      <c r="JW909" s="42"/>
      <c r="LB909" s="42"/>
      <c r="MG909" s="42"/>
      <c r="NL909" s="42"/>
    </row>
    <row r="910" ht="15.75" customHeight="1">
      <c r="A910" s="42"/>
      <c r="B910" s="42"/>
      <c r="C910" s="42"/>
      <c r="D910" s="38">
        <f t="shared" si="1167"/>
        <v>46031</v>
      </c>
      <c r="E910" s="31" t="str">
        <f t="shared" ref="E910:I910" si="1178">KR22</f>
        <v/>
      </c>
      <c r="F910" s="31" t="str">
        <f t="shared" si="1178"/>
        <v/>
      </c>
      <c r="G910" s="31" t="str">
        <f t="shared" si="1178"/>
        <v/>
      </c>
      <c r="H910" s="13" t="str">
        <f t="shared" si="1178"/>
        <v/>
      </c>
      <c r="I910" s="13" t="str">
        <f t="shared" si="1178"/>
        <v/>
      </c>
      <c r="J910" s="107" t="str">
        <f t="array" ref="J910">IFERROR(IF(XLOOKUP(CONCAT(E910,F910),'MASTER PLAN'!$AB:$AB,'MASTER PLAN'!$M:$M,0,0)=0,"",XLOOKUP(CONCAT(E910,F910),'MASTER PLAN'!$AB:$AB,'MASTER PLAN'!$M:$M,0,0)),"")</f>
        <v/>
      </c>
      <c r="K910" s="107">
        <f t="shared" si="237"/>
        <v>0</v>
      </c>
      <c r="L910" s="107">
        <f t="shared" si="238"/>
        <v>0</v>
      </c>
      <c r="M910" s="105" t="s">
        <v>249</v>
      </c>
      <c r="AI910" s="42"/>
      <c r="BN910" s="42"/>
      <c r="CS910" s="42"/>
      <c r="DX910" s="42"/>
      <c r="FC910" s="42"/>
      <c r="GH910" s="42"/>
      <c r="HM910" s="42"/>
      <c r="IR910" s="42"/>
      <c r="JW910" s="42"/>
      <c r="LB910" s="42"/>
      <c r="MG910" s="42"/>
      <c r="NL910" s="42"/>
    </row>
    <row r="911" ht="15.75" customHeight="1">
      <c r="A911" s="42"/>
      <c r="B911" s="42"/>
      <c r="C911" s="42"/>
      <c r="D911" s="38">
        <f t="shared" si="1167"/>
        <v>46031</v>
      </c>
      <c r="E911" s="31" t="str">
        <f t="shared" ref="E911:I911" si="1179">KR23</f>
        <v/>
      </c>
      <c r="F911" s="31" t="str">
        <f t="shared" si="1179"/>
        <v/>
      </c>
      <c r="G911" s="31" t="str">
        <f t="shared" si="1179"/>
        <v/>
      </c>
      <c r="H911" s="13" t="str">
        <f t="shared" si="1179"/>
        <v/>
      </c>
      <c r="I911" s="13" t="str">
        <f t="shared" si="1179"/>
        <v/>
      </c>
      <c r="J911" s="107" t="str">
        <f t="array" ref="J911">IFERROR(IF(XLOOKUP(CONCAT(E911,F911),'MASTER PLAN'!$AB:$AB,'MASTER PLAN'!$M:$M,0,0)=0,"",XLOOKUP(CONCAT(E911,F911),'MASTER PLAN'!$AB:$AB,'MASTER PLAN'!$M:$M,0,0)),"")</f>
        <v/>
      </c>
      <c r="K911" s="107">
        <f t="shared" si="237"/>
        <v>0</v>
      </c>
      <c r="L911" s="107">
        <f t="shared" si="238"/>
        <v>0</v>
      </c>
      <c r="M911" s="105" t="s">
        <v>249</v>
      </c>
      <c r="AI911" s="42"/>
      <c r="BN911" s="42"/>
      <c r="CS911" s="42"/>
      <c r="DX911" s="42"/>
      <c r="FC911" s="42"/>
      <c r="GH911" s="42"/>
      <c r="HM911" s="42"/>
      <c r="IR911" s="42"/>
      <c r="JW911" s="42"/>
      <c r="LB911" s="42"/>
      <c r="MG911" s="42"/>
      <c r="NL911" s="42"/>
    </row>
    <row r="912" ht="15.75" customHeight="1">
      <c r="A912" s="42"/>
      <c r="B912" s="42"/>
      <c r="C912" s="42"/>
      <c r="D912" s="38">
        <f t="shared" si="1167"/>
        <v>46031</v>
      </c>
      <c r="E912" s="31" t="str">
        <f t="shared" ref="E912:I912" si="1180">KR24</f>
        <v/>
      </c>
      <c r="F912" s="31" t="str">
        <f t="shared" si="1180"/>
        <v/>
      </c>
      <c r="G912" s="31" t="str">
        <f t="shared" si="1180"/>
        <v/>
      </c>
      <c r="H912" s="13" t="str">
        <f t="shared" si="1180"/>
        <v/>
      </c>
      <c r="I912" s="13" t="str">
        <f t="shared" si="1180"/>
        <v/>
      </c>
      <c r="J912" s="107" t="str">
        <f t="array" ref="J912">IFERROR(IF(XLOOKUP(CONCAT(E912,F912),'MASTER PLAN'!$AB:$AB,'MASTER PLAN'!$M:$M,0,0)=0,"",XLOOKUP(CONCAT(E912,F912),'MASTER PLAN'!$AB:$AB,'MASTER PLAN'!$M:$M,0,0)),"")</f>
        <v/>
      </c>
      <c r="K912" s="107">
        <f t="shared" si="237"/>
        <v>0</v>
      </c>
      <c r="L912" s="107">
        <f t="shared" si="238"/>
        <v>0</v>
      </c>
      <c r="M912" s="105" t="s">
        <v>249</v>
      </c>
      <c r="AI912" s="42"/>
      <c r="BN912" s="42"/>
      <c r="CS912" s="42"/>
      <c r="DX912" s="42"/>
      <c r="FC912" s="42"/>
      <c r="GH912" s="42"/>
      <c r="HM912" s="42"/>
      <c r="IR912" s="42"/>
      <c r="JW912" s="42"/>
      <c r="LB912" s="42"/>
      <c r="MG912" s="42"/>
      <c r="NL912" s="42"/>
    </row>
    <row r="913" ht="15.75" customHeight="1">
      <c r="A913" s="42"/>
      <c r="B913" s="42"/>
      <c r="C913" s="42"/>
      <c r="D913" s="38">
        <f>KW2</f>
        <v>46032</v>
      </c>
      <c r="E913" s="31" t="str">
        <f t="shared" ref="E913:I913" si="1181">KW4</f>
        <v/>
      </c>
      <c r="F913" s="31" t="str">
        <f t="shared" si="1181"/>
        <v/>
      </c>
      <c r="G913" s="31" t="str">
        <f t="shared" si="1181"/>
        <v/>
      </c>
      <c r="H913" s="13" t="str">
        <f t="shared" si="1181"/>
        <v/>
      </c>
      <c r="I913" s="13" t="str">
        <f t="shared" si="1181"/>
        <v/>
      </c>
      <c r="J913" s="107" t="str">
        <f t="array" ref="J913">IFERROR(IF(XLOOKUP(CONCAT(E913,F913),'MASTER PLAN'!$AB:$AB,'MASTER PLAN'!$M:$M,0,0)=0,"",XLOOKUP(CONCAT(E913,F913),'MASTER PLAN'!$AB:$AB,'MASTER PLAN'!$M:$M,0,0)),"")</f>
        <v/>
      </c>
      <c r="K913" s="107">
        <f t="shared" si="237"/>
        <v>0</v>
      </c>
      <c r="L913" s="107">
        <f t="shared" si="238"/>
        <v>0</v>
      </c>
      <c r="M913" s="105" t="s">
        <v>246</v>
      </c>
      <c r="AI913" s="42"/>
      <c r="BN913" s="42"/>
      <c r="CS913" s="42"/>
      <c r="DX913" s="42"/>
      <c r="FC913" s="42"/>
      <c r="GH913" s="42"/>
      <c r="HM913" s="42"/>
      <c r="IR913" s="42"/>
      <c r="JW913" s="42"/>
      <c r="LB913" s="42"/>
      <c r="MG913" s="42"/>
      <c r="NL913" s="42"/>
    </row>
    <row r="914" ht="15.75" customHeight="1">
      <c r="A914" s="42"/>
      <c r="B914" s="42"/>
      <c r="C914" s="42"/>
      <c r="D914" s="38">
        <f t="shared" ref="D914:D927" si="1183">D913</f>
        <v>46032</v>
      </c>
      <c r="E914" s="31" t="str">
        <f t="shared" ref="E914:I914" si="1182">KW5</f>
        <v/>
      </c>
      <c r="F914" s="31" t="str">
        <f t="shared" si="1182"/>
        <v/>
      </c>
      <c r="G914" s="31" t="str">
        <f t="shared" si="1182"/>
        <v/>
      </c>
      <c r="H914" s="13" t="str">
        <f t="shared" si="1182"/>
        <v/>
      </c>
      <c r="I914" s="13" t="str">
        <f t="shared" si="1182"/>
        <v/>
      </c>
      <c r="J914" s="107" t="str">
        <f t="array" ref="J914">IFERROR(IF(XLOOKUP(CONCAT(E914,F914),'MASTER PLAN'!$AB:$AB,'MASTER PLAN'!$M:$M,0,0)=0,"",XLOOKUP(CONCAT(E914,F914),'MASTER PLAN'!$AB:$AB,'MASTER PLAN'!$M:$M,0,0)),"")</f>
        <v/>
      </c>
      <c r="K914" s="107">
        <f t="shared" si="237"/>
        <v>0</v>
      </c>
      <c r="L914" s="107">
        <f t="shared" si="238"/>
        <v>0</v>
      </c>
      <c r="M914" s="105" t="s">
        <v>246</v>
      </c>
      <c r="AI914" s="42"/>
      <c r="BN914" s="42"/>
      <c r="CS914" s="42"/>
      <c r="DX914" s="42"/>
      <c r="FC914" s="42"/>
      <c r="GH914" s="42"/>
      <c r="HM914" s="42"/>
      <c r="IR914" s="42"/>
      <c r="JW914" s="42"/>
      <c r="LB914" s="42"/>
      <c r="MG914" s="42"/>
      <c r="NL914" s="42"/>
    </row>
    <row r="915" ht="15.75" customHeight="1">
      <c r="A915" s="42"/>
      <c r="B915" s="42"/>
      <c r="C915" s="42"/>
      <c r="D915" s="38">
        <f t="shared" si="1183"/>
        <v>46032</v>
      </c>
      <c r="E915" s="31" t="str">
        <f t="shared" ref="E915:I915" si="1184">KW6</f>
        <v/>
      </c>
      <c r="F915" s="31" t="str">
        <f t="shared" si="1184"/>
        <v/>
      </c>
      <c r="G915" s="31" t="str">
        <f t="shared" si="1184"/>
        <v/>
      </c>
      <c r="H915" s="13" t="str">
        <f t="shared" si="1184"/>
        <v/>
      </c>
      <c r="I915" s="13" t="str">
        <f t="shared" si="1184"/>
        <v/>
      </c>
      <c r="J915" s="107" t="str">
        <f t="array" ref="J915">IFERROR(IF(XLOOKUP(CONCAT(E915,F915),'MASTER PLAN'!$AB:$AB,'MASTER PLAN'!$M:$M,0,0)=0,"",XLOOKUP(CONCAT(E915,F915),'MASTER PLAN'!$AB:$AB,'MASTER PLAN'!$M:$M,0,0)),"")</f>
        <v/>
      </c>
      <c r="K915" s="107">
        <f t="shared" si="237"/>
        <v>0</v>
      </c>
      <c r="L915" s="107">
        <f t="shared" si="238"/>
        <v>0</v>
      </c>
      <c r="M915" s="105" t="s">
        <v>246</v>
      </c>
      <c r="AI915" s="42"/>
      <c r="BN915" s="42"/>
      <c r="CS915" s="42"/>
      <c r="DX915" s="42"/>
      <c r="FC915" s="42"/>
      <c r="GH915" s="42"/>
      <c r="HM915" s="42"/>
      <c r="IR915" s="42"/>
      <c r="JW915" s="42"/>
      <c r="LB915" s="42"/>
      <c r="MG915" s="42"/>
      <c r="NL915" s="42"/>
    </row>
    <row r="916" ht="15.75" customHeight="1">
      <c r="A916" s="42"/>
      <c r="B916" s="42"/>
      <c r="C916" s="42"/>
      <c r="D916" s="38">
        <f t="shared" si="1183"/>
        <v>46032</v>
      </c>
      <c r="E916" s="31" t="str">
        <f t="shared" ref="E916:I916" si="1185">KW7</f>
        <v/>
      </c>
      <c r="F916" s="31" t="str">
        <f t="shared" si="1185"/>
        <v/>
      </c>
      <c r="G916" s="31" t="str">
        <f t="shared" si="1185"/>
        <v/>
      </c>
      <c r="H916" s="13" t="str">
        <f t="shared" si="1185"/>
        <v/>
      </c>
      <c r="I916" s="13" t="str">
        <f t="shared" si="1185"/>
        <v/>
      </c>
      <c r="J916" s="107" t="str">
        <f t="array" ref="J916">IFERROR(IF(XLOOKUP(CONCAT(E916,F916),'MASTER PLAN'!$AB:$AB,'MASTER PLAN'!$M:$M,0,0)=0,"",XLOOKUP(CONCAT(E916,F916),'MASTER PLAN'!$AB:$AB,'MASTER PLAN'!$M:$M,0,0)),"")</f>
        <v/>
      </c>
      <c r="K916" s="107">
        <f t="shared" si="237"/>
        <v>0</v>
      </c>
      <c r="L916" s="107">
        <f t="shared" si="238"/>
        <v>0</v>
      </c>
      <c r="M916" s="105" t="s">
        <v>246</v>
      </c>
      <c r="AI916" s="42"/>
      <c r="BN916" s="42"/>
      <c r="CS916" s="42"/>
      <c r="DX916" s="42"/>
      <c r="FC916" s="42"/>
      <c r="GH916" s="42"/>
      <c r="HM916" s="42"/>
      <c r="IR916" s="42"/>
      <c r="JW916" s="42"/>
      <c r="LB916" s="42"/>
      <c r="MG916" s="42"/>
      <c r="NL916" s="42"/>
    </row>
    <row r="917" ht="15.75" customHeight="1">
      <c r="A917" s="42"/>
      <c r="B917" s="42"/>
      <c r="C917" s="42"/>
      <c r="D917" s="38">
        <f t="shared" si="1183"/>
        <v>46032</v>
      </c>
      <c r="E917" s="31" t="str">
        <f t="shared" ref="E917:I917" si="1186">KW8</f>
        <v/>
      </c>
      <c r="F917" s="31" t="str">
        <f t="shared" si="1186"/>
        <v/>
      </c>
      <c r="G917" s="31" t="str">
        <f t="shared" si="1186"/>
        <v/>
      </c>
      <c r="H917" s="13" t="str">
        <f t="shared" si="1186"/>
        <v/>
      </c>
      <c r="I917" s="13" t="str">
        <f t="shared" si="1186"/>
        <v/>
      </c>
      <c r="J917" s="107" t="str">
        <f t="array" ref="J917">IFERROR(IF(XLOOKUP(CONCAT(E917,F917),'MASTER PLAN'!$AB:$AB,'MASTER PLAN'!$M:$M,0,0)=0,"",XLOOKUP(CONCAT(E917,F917),'MASTER PLAN'!$AB:$AB,'MASTER PLAN'!$M:$M,0,0)),"")</f>
        <v/>
      </c>
      <c r="K917" s="107">
        <f t="shared" si="237"/>
        <v>0</v>
      </c>
      <c r="L917" s="107">
        <f t="shared" si="238"/>
        <v>0</v>
      </c>
      <c r="M917" s="105" t="s">
        <v>246</v>
      </c>
      <c r="AI917" s="42"/>
      <c r="BN917" s="42"/>
      <c r="CS917" s="42"/>
      <c r="DX917" s="42"/>
      <c r="FC917" s="42"/>
      <c r="GH917" s="42"/>
      <c r="HM917" s="42"/>
      <c r="IR917" s="42"/>
      <c r="JW917" s="42"/>
      <c r="LB917" s="42"/>
      <c r="MG917" s="42"/>
      <c r="NL917" s="42"/>
    </row>
    <row r="918" ht="15.75" customHeight="1">
      <c r="A918" s="42"/>
      <c r="B918" s="42"/>
      <c r="C918" s="42"/>
      <c r="D918" s="38">
        <f t="shared" si="1183"/>
        <v>46032</v>
      </c>
      <c r="E918" s="31" t="str">
        <f t="shared" ref="E918:I918" si="1187">KW12</f>
        <v/>
      </c>
      <c r="F918" s="31" t="str">
        <f t="shared" si="1187"/>
        <v/>
      </c>
      <c r="G918" s="31" t="str">
        <f t="shared" si="1187"/>
        <v/>
      </c>
      <c r="H918" s="13" t="str">
        <f t="shared" si="1187"/>
        <v/>
      </c>
      <c r="I918" s="13" t="str">
        <f t="shared" si="1187"/>
        <v/>
      </c>
      <c r="J918" s="107" t="str">
        <f t="array" ref="J918">IFERROR(IF(XLOOKUP(CONCAT(E918,F918),'MASTER PLAN'!$AB:$AB,'MASTER PLAN'!$M:$M,0,0)=0,"",XLOOKUP(CONCAT(E918,F918),'MASTER PLAN'!$AB:$AB,'MASTER PLAN'!$M:$M,0,0)),"")</f>
        <v/>
      </c>
      <c r="K918" s="107">
        <f t="shared" si="237"/>
        <v>0</v>
      </c>
      <c r="L918" s="107">
        <f t="shared" si="238"/>
        <v>0</v>
      </c>
      <c r="M918" s="105" t="s">
        <v>248</v>
      </c>
      <c r="AI918" s="42"/>
      <c r="BN918" s="42"/>
      <c r="CS918" s="42"/>
      <c r="DX918" s="42"/>
      <c r="FC918" s="42"/>
      <c r="GH918" s="42"/>
      <c r="HM918" s="42"/>
      <c r="IR918" s="42"/>
      <c r="JW918" s="42"/>
      <c r="LB918" s="42"/>
      <c r="MG918" s="42"/>
      <c r="NL918" s="42"/>
    </row>
    <row r="919" ht="15.75" customHeight="1">
      <c r="A919" s="42"/>
      <c r="B919" s="42"/>
      <c r="C919" s="42"/>
      <c r="D919" s="38">
        <f t="shared" si="1183"/>
        <v>46032</v>
      </c>
      <c r="E919" s="31" t="str">
        <f t="shared" ref="E919:I919" si="1188">KW13</f>
        <v/>
      </c>
      <c r="F919" s="31" t="str">
        <f t="shared" si="1188"/>
        <v/>
      </c>
      <c r="G919" s="31" t="str">
        <f t="shared" si="1188"/>
        <v/>
      </c>
      <c r="H919" s="13" t="str">
        <f t="shared" si="1188"/>
        <v/>
      </c>
      <c r="I919" s="13" t="str">
        <f t="shared" si="1188"/>
        <v/>
      </c>
      <c r="J919" s="107" t="str">
        <f t="array" ref="J919">IFERROR(IF(XLOOKUP(CONCAT(E919,F919),'MASTER PLAN'!$AB:$AB,'MASTER PLAN'!$M:$M,0,0)=0,"",XLOOKUP(CONCAT(E919,F919),'MASTER PLAN'!$AB:$AB,'MASTER PLAN'!$M:$M,0,0)),"")</f>
        <v/>
      </c>
      <c r="K919" s="107">
        <f t="shared" si="237"/>
        <v>0</v>
      </c>
      <c r="L919" s="107">
        <f t="shared" si="238"/>
        <v>0</v>
      </c>
      <c r="M919" s="105" t="s">
        <v>248</v>
      </c>
      <c r="AI919" s="42"/>
      <c r="BN919" s="42"/>
      <c r="CS919" s="42"/>
      <c r="DX919" s="42"/>
      <c r="FC919" s="42"/>
      <c r="GH919" s="42"/>
      <c r="HM919" s="42"/>
      <c r="IR919" s="42"/>
      <c r="JW919" s="42"/>
      <c r="LB919" s="42"/>
      <c r="MG919" s="42"/>
      <c r="NL919" s="42"/>
    </row>
    <row r="920" ht="15.75" customHeight="1">
      <c r="A920" s="42"/>
      <c r="B920" s="42"/>
      <c r="C920" s="42"/>
      <c r="D920" s="38">
        <f t="shared" si="1183"/>
        <v>46032</v>
      </c>
      <c r="E920" s="31" t="str">
        <f t="shared" ref="E920:I920" si="1189">KW14</f>
        <v/>
      </c>
      <c r="F920" s="31" t="str">
        <f t="shared" si="1189"/>
        <v/>
      </c>
      <c r="G920" s="31" t="str">
        <f t="shared" si="1189"/>
        <v/>
      </c>
      <c r="H920" s="13" t="str">
        <f t="shared" si="1189"/>
        <v/>
      </c>
      <c r="I920" s="13" t="str">
        <f t="shared" si="1189"/>
        <v/>
      </c>
      <c r="J920" s="107" t="str">
        <f t="array" ref="J920">IFERROR(IF(XLOOKUP(CONCAT(E920,F920),'MASTER PLAN'!$AB:$AB,'MASTER PLAN'!$M:$M,0,0)=0,"",XLOOKUP(CONCAT(E920,F920),'MASTER PLAN'!$AB:$AB,'MASTER PLAN'!$M:$M,0,0)),"")</f>
        <v/>
      </c>
      <c r="K920" s="107">
        <f t="shared" si="237"/>
        <v>0</v>
      </c>
      <c r="L920" s="107">
        <f t="shared" si="238"/>
        <v>0</v>
      </c>
      <c r="M920" s="105" t="s">
        <v>248</v>
      </c>
      <c r="AI920" s="42"/>
      <c r="BN920" s="42"/>
      <c r="CS920" s="42"/>
      <c r="DX920" s="42"/>
      <c r="FC920" s="42"/>
      <c r="GH920" s="42"/>
      <c r="HM920" s="42"/>
      <c r="IR920" s="42"/>
      <c r="JW920" s="42"/>
      <c r="LB920" s="42"/>
      <c r="MG920" s="42"/>
      <c r="NL920" s="42"/>
    </row>
    <row r="921" ht="15.75" customHeight="1">
      <c r="A921" s="42"/>
      <c r="B921" s="42"/>
      <c r="C921" s="42"/>
      <c r="D921" s="38">
        <f t="shared" si="1183"/>
        <v>46032</v>
      </c>
      <c r="E921" s="31" t="str">
        <f t="shared" ref="E921:I921" si="1190">KW15</f>
        <v/>
      </c>
      <c r="F921" s="31" t="str">
        <f t="shared" si="1190"/>
        <v/>
      </c>
      <c r="G921" s="31" t="str">
        <f t="shared" si="1190"/>
        <v/>
      </c>
      <c r="H921" s="13" t="str">
        <f t="shared" si="1190"/>
        <v/>
      </c>
      <c r="I921" s="13" t="str">
        <f t="shared" si="1190"/>
        <v/>
      </c>
      <c r="J921" s="107" t="str">
        <f t="array" ref="J921">IFERROR(IF(XLOOKUP(CONCAT(E921,F921),'MASTER PLAN'!$AB:$AB,'MASTER PLAN'!$M:$M,0,0)=0,"",XLOOKUP(CONCAT(E921,F921),'MASTER PLAN'!$AB:$AB,'MASTER PLAN'!$M:$M,0,0)),"")</f>
        <v/>
      </c>
      <c r="K921" s="107">
        <f t="shared" si="237"/>
        <v>0</v>
      </c>
      <c r="L921" s="107">
        <f t="shared" si="238"/>
        <v>0</v>
      </c>
      <c r="M921" s="105" t="s">
        <v>248</v>
      </c>
      <c r="AI921" s="42"/>
      <c r="BN921" s="42"/>
      <c r="CS921" s="42"/>
      <c r="DX921" s="42"/>
      <c r="FC921" s="42"/>
      <c r="GH921" s="42"/>
      <c r="HM921" s="42"/>
      <c r="IR921" s="42"/>
      <c r="JW921" s="42"/>
      <c r="LB921" s="42"/>
      <c r="MG921" s="42"/>
      <c r="NL921" s="42"/>
    </row>
    <row r="922" ht="15.75" customHeight="1">
      <c r="A922" s="42"/>
      <c r="B922" s="42"/>
      <c r="C922" s="42"/>
      <c r="D922" s="38">
        <f t="shared" si="1183"/>
        <v>46032</v>
      </c>
      <c r="E922" s="31" t="str">
        <f t="shared" ref="E922:I922" si="1191">KW16</f>
        <v/>
      </c>
      <c r="F922" s="31" t="str">
        <f t="shared" si="1191"/>
        <v/>
      </c>
      <c r="G922" s="31" t="str">
        <f t="shared" si="1191"/>
        <v/>
      </c>
      <c r="H922" s="13" t="str">
        <f t="shared" si="1191"/>
        <v/>
      </c>
      <c r="I922" s="13" t="str">
        <f t="shared" si="1191"/>
        <v/>
      </c>
      <c r="J922" s="107" t="str">
        <f t="array" ref="J922">IFERROR(IF(XLOOKUP(CONCAT(E922,F922),'MASTER PLAN'!$AB:$AB,'MASTER PLAN'!$M:$M,0,0)=0,"",XLOOKUP(CONCAT(E922,F922),'MASTER PLAN'!$AB:$AB,'MASTER PLAN'!$M:$M,0,0)),"")</f>
        <v/>
      </c>
      <c r="K922" s="107">
        <f t="shared" si="237"/>
        <v>0</v>
      </c>
      <c r="L922" s="107">
        <f t="shared" si="238"/>
        <v>0</v>
      </c>
      <c r="M922" s="105" t="s">
        <v>248</v>
      </c>
      <c r="AI922" s="42"/>
      <c r="BN922" s="42"/>
      <c r="CS922" s="42"/>
      <c r="DX922" s="42"/>
      <c r="FC922" s="42"/>
      <c r="GH922" s="42"/>
      <c r="HM922" s="42"/>
      <c r="IR922" s="42"/>
      <c r="JW922" s="42"/>
      <c r="LB922" s="42"/>
      <c r="MG922" s="42"/>
      <c r="NL922" s="42"/>
    </row>
    <row r="923" ht="15.75" customHeight="1">
      <c r="A923" s="42"/>
      <c r="B923" s="42"/>
      <c r="C923" s="42"/>
      <c r="D923" s="38">
        <f t="shared" si="1183"/>
        <v>46032</v>
      </c>
      <c r="E923" s="31" t="str">
        <f t="shared" ref="E923:I923" si="1192">KW20</f>
        <v/>
      </c>
      <c r="F923" s="31" t="str">
        <f t="shared" si="1192"/>
        <v/>
      </c>
      <c r="G923" s="31" t="str">
        <f t="shared" si="1192"/>
        <v/>
      </c>
      <c r="H923" s="13" t="str">
        <f t="shared" si="1192"/>
        <v/>
      </c>
      <c r="I923" s="13" t="str">
        <f t="shared" si="1192"/>
        <v/>
      </c>
      <c r="J923" s="107" t="str">
        <f t="array" ref="J923">IFERROR(IF(XLOOKUP(CONCAT(E923,F923),'MASTER PLAN'!$AB:$AB,'MASTER PLAN'!$M:$M,0,0)=0,"",XLOOKUP(CONCAT(E923,F923),'MASTER PLAN'!$AB:$AB,'MASTER PLAN'!$M:$M,0,0)),"")</f>
        <v/>
      </c>
      <c r="K923" s="107">
        <f t="shared" si="237"/>
        <v>0</v>
      </c>
      <c r="L923" s="107">
        <f t="shared" si="238"/>
        <v>0</v>
      </c>
      <c r="M923" s="105" t="s">
        <v>249</v>
      </c>
      <c r="AI923" s="42"/>
      <c r="BN923" s="42"/>
      <c r="CS923" s="42"/>
      <c r="DX923" s="42"/>
      <c r="FC923" s="42"/>
      <c r="GH923" s="42"/>
      <c r="HM923" s="42"/>
      <c r="IR923" s="42"/>
      <c r="JW923" s="42"/>
      <c r="LB923" s="42"/>
      <c r="MG923" s="42"/>
      <c r="NL923" s="42"/>
    </row>
    <row r="924" ht="15.75" customHeight="1">
      <c r="A924" s="42"/>
      <c r="B924" s="42"/>
      <c r="C924" s="42"/>
      <c r="D924" s="38">
        <f t="shared" si="1183"/>
        <v>46032</v>
      </c>
      <c r="E924" s="31" t="str">
        <f t="shared" ref="E924:I924" si="1193">KW21</f>
        <v/>
      </c>
      <c r="F924" s="31" t="str">
        <f t="shared" si="1193"/>
        <v/>
      </c>
      <c r="G924" s="31" t="str">
        <f t="shared" si="1193"/>
        <v/>
      </c>
      <c r="H924" s="13" t="str">
        <f t="shared" si="1193"/>
        <v/>
      </c>
      <c r="I924" s="13" t="str">
        <f t="shared" si="1193"/>
        <v/>
      </c>
      <c r="J924" s="107" t="str">
        <f t="array" ref="J924">IFERROR(IF(XLOOKUP(CONCAT(E924,F924),'MASTER PLAN'!$AB:$AB,'MASTER PLAN'!$M:$M,0,0)=0,"",XLOOKUP(CONCAT(E924,F924),'MASTER PLAN'!$AB:$AB,'MASTER PLAN'!$M:$M,0,0)),"")</f>
        <v/>
      </c>
      <c r="K924" s="107">
        <f t="shared" si="237"/>
        <v>0</v>
      </c>
      <c r="L924" s="107">
        <f t="shared" si="238"/>
        <v>0</v>
      </c>
      <c r="M924" s="105" t="s">
        <v>249</v>
      </c>
      <c r="AI924" s="42"/>
      <c r="BN924" s="42"/>
      <c r="CS924" s="42"/>
      <c r="DX924" s="42"/>
      <c r="FC924" s="42"/>
      <c r="GH924" s="42"/>
      <c r="HM924" s="42"/>
      <c r="IR924" s="42"/>
      <c r="JW924" s="42"/>
      <c r="LB924" s="42"/>
      <c r="MG924" s="42"/>
      <c r="NL924" s="42"/>
    </row>
    <row r="925" ht="15.75" customHeight="1">
      <c r="A925" s="42"/>
      <c r="B925" s="42"/>
      <c r="C925" s="42"/>
      <c r="D925" s="38">
        <f t="shared" si="1183"/>
        <v>46032</v>
      </c>
      <c r="E925" s="31" t="str">
        <f t="shared" ref="E925:I925" si="1194">KW22</f>
        <v/>
      </c>
      <c r="F925" s="31" t="str">
        <f t="shared" si="1194"/>
        <v/>
      </c>
      <c r="G925" s="31" t="str">
        <f t="shared" si="1194"/>
        <v/>
      </c>
      <c r="H925" s="13" t="str">
        <f t="shared" si="1194"/>
        <v/>
      </c>
      <c r="I925" s="13" t="str">
        <f t="shared" si="1194"/>
        <v/>
      </c>
      <c r="J925" s="107" t="str">
        <f t="array" ref="J925">IFERROR(IF(XLOOKUP(CONCAT(E925,F925),'MASTER PLAN'!$AB:$AB,'MASTER PLAN'!$M:$M,0,0)=0,"",XLOOKUP(CONCAT(E925,F925),'MASTER PLAN'!$AB:$AB,'MASTER PLAN'!$M:$M,0,0)),"")</f>
        <v/>
      </c>
      <c r="K925" s="107">
        <f t="shared" si="237"/>
        <v>0</v>
      </c>
      <c r="L925" s="107">
        <f t="shared" si="238"/>
        <v>0</v>
      </c>
      <c r="M925" s="105" t="s">
        <v>249</v>
      </c>
      <c r="AI925" s="42"/>
      <c r="BN925" s="42"/>
      <c r="CS925" s="42"/>
      <c r="DX925" s="42"/>
      <c r="FC925" s="42"/>
      <c r="GH925" s="42"/>
      <c r="HM925" s="42"/>
      <c r="IR925" s="42"/>
      <c r="JW925" s="42"/>
      <c r="LB925" s="42"/>
      <c r="MG925" s="42"/>
      <c r="NL925" s="42"/>
    </row>
    <row r="926" ht="15.75" customHeight="1">
      <c r="A926" s="42"/>
      <c r="B926" s="42"/>
      <c r="C926" s="42"/>
      <c r="D926" s="38">
        <f t="shared" si="1183"/>
        <v>46032</v>
      </c>
      <c r="E926" s="31" t="str">
        <f t="shared" ref="E926:I926" si="1195">KW23</f>
        <v/>
      </c>
      <c r="F926" s="31" t="str">
        <f t="shared" si="1195"/>
        <v/>
      </c>
      <c r="G926" s="31" t="str">
        <f t="shared" si="1195"/>
        <v/>
      </c>
      <c r="H926" s="13" t="str">
        <f t="shared" si="1195"/>
        <v/>
      </c>
      <c r="I926" s="13" t="str">
        <f t="shared" si="1195"/>
        <v/>
      </c>
      <c r="J926" s="107" t="str">
        <f t="array" ref="J926">IFERROR(IF(XLOOKUP(CONCAT(E926,F926),'MASTER PLAN'!$AB:$AB,'MASTER PLAN'!$M:$M,0,0)=0,"",XLOOKUP(CONCAT(E926,F926),'MASTER PLAN'!$AB:$AB,'MASTER PLAN'!$M:$M,0,0)),"")</f>
        <v/>
      </c>
      <c r="K926" s="107">
        <f t="shared" si="237"/>
        <v>0</v>
      </c>
      <c r="L926" s="107">
        <f t="shared" si="238"/>
        <v>0</v>
      </c>
      <c r="M926" s="105" t="s">
        <v>249</v>
      </c>
      <c r="AI926" s="42"/>
      <c r="BN926" s="42"/>
      <c r="CS926" s="42"/>
      <c r="DX926" s="42"/>
      <c r="FC926" s="42"/>
      <c r="GH926" s="42"/>
      <c r="HM926" s="42"/>
      <c r="IR926" s="42"/>
      <c r="JW926" s="42"/>
      <c r="LB926" s="42"/>
      <c r="MG926" s="42"/>
      <c r="NL926" s="42"/>
    </row>
    <row r="927" ht="15.75" customHeight="1">
      <c r="A927" s="42"/>
      <c r="B927" s="42"/>
      <c r="C927" s="42"/>
      <c r="D927" s="38">
        <f t="shared" si="1183"/>
        <v>46032</v>
      </c>
      <c r="E927" s="31" t="str">
        <f t="shared" ref="E927:I927" si="1196">KW24</f>
        <v/>
      </c>
      <c r="F927" s="31" t="str">
        <f t="shared" si="1196"/>
        <v/>
      </c>
      <c r="G927" s="31" t="str">
        <f t="shared" si="1196"/>
        <v/>
      </c>
      <c r="H927" s="13" t="str">
        <f t="shared" si="1196"/>
        <v/>
      </c>
      <c r="I927" s="13" t="str">
        <f t="shared" si="1196"/>
        <v/>
      </c>
      <c r="J927" s="107" t="str">
        <f t="array" ref="J927">IFERROR(IF(XLOOKUP(CONCAT(E927,F927),'MASTER PLAN'!$AB:$AB,'MASTER PLAN'!$M:$M,0,0)=0,"",XLOOKUP(CONCAT(E927,F927),'MASTER PLAN'!$AB:$AB,'MASTER PLAN'!$M:$M,0,0)),"")</f>
        <v/>
      </c>
      <c r="K927" s="107">
        <f t="shared" si="237"/>
        <v>0</v>
      </c>
      <c r="L927" s="107">
        <f t="shared" si="238"/>
        <v>0</v>
      </c>
      <c r="M927" s="105" t="s">
        <v>249</v>
      </c>
      <c r="AI927" s="42"/>
      <c r="BN927" s="42"/>
      <c r="CS927" s="42"/>
      <c r="DX927" s="42"/>
      <c r="FC927" s="42"/>
      <c r="GH927" s="42"/>
      <c r="HM927" s="42"/>
      <c r="IR927" s="42"/>
      <c r="JW927" s="42"/>
      <c r="LB927" s="42"/>
      <c r="MG927" s="42"/>
      <c r="NL927" s="42"/>
    </row>
    <row r="928" ht="15.75" customHeight="1">
      <c r="A928" s="42"/>
      <c r="B928" s="42"/>
      <c r="C928" s="42"/>
      <c r="D928" s="38">
        <f>LC2</f>
        <v>46034</v>
      </c>
      <c r="E928" s="31">
        <f t="shared" ref="E928:I928" si="1197">LC4</f>
        <v>1402049466</v>
      </c>
      <c r="F928" s="31">
        <f t="shared" si="1197"/>
        <v>10</v>
      </c>
      <c r="G928" s="31" t="str">
        <f t="shared" si="1197"/>
        <v>BOLSA ROGERS ENTERPRISES 10"X4"X7-75"</v>
      </c>
      <c r="H928" s="13">
        <f t="shared" si="1197"/>
        <v>3000</v>
      </c>
      <c r="I928" s="13" t="str">
        <f t="shared" si="1197"/>
        <v/>
      </c>
      <c r="J928" s="107">
        <f t="array" ref="J928">IFERROR(IF(XLOOKUP(CONCAT(E928,F928),'MASTER PLAN'!$AB:$AB,'MASTER PLAN'!$M:$M,0,0)=0,"",XLOOKUP(CONCAT(E928,F928),'MASTER PLAN'!$AB:$AB,'MASTER PLAN'!$M:$M,0,0)),"")</f>
        <v>1.064</v>
      </c>
      <c r="K928" s="107">
        <f t="shared" si="237"/>
        <v>3192</v>
      </c>
      <c r="L928" s="107">
        <f t="shared" si="238"/>
        <v>0</v>
      </c>
      <c r="M928" s="105" t="s">
        <v>246</v>
      </c>
      <c r="AI928" s="42"/>
      <c r="BN928" s="42"/>
      <c r="CS928" s="42"/>
      <c r="DX928" s="42"/>
      <c r="FC928" s="42"/>
      <c r="GH928" s="42"/>
      <c r="HM928" s="42"/>
      <c r="IR928" s="42"/>
      <c r="JW928" s="42"/>
      <c r="LB928" s="42"/>
      <c r="MG928" s="42"/>
      <c r="NL928" s="42"/>
    </row>
    <row r="929" ht="15.75" customHeight="1">
      <c r="A929" s="42"/>
      <c r="B929" s="42"/>
      <c r="C929" s="42"/>
      <c r="D929" s="38">
        <f t="shared" ref="D929:D942" si="1199">D928</f>
        <v>46034</v>
      </c>
      <c r="E929" s="31" t="str">
        <f t="shared" ref="E929:I929" si="1198">LC5</f>
        <v/>
      </c>
      <c r="F929" s="31" t="str">
        <f t="shared" si="1198"/>
        <v/>
      </c>
      <c r="G929" s="31" t="str">
        <f t="shared" si="1198"/>
        <v/>
      </c>
      <c r="H929" s="13" t="str">
        <f t="shared" si="1198"/>
        <v/>
      </c>
      <c r="I929" s="13" t="str">
        <f t="shared" si="1198"/>
        <v/>
      </c>
      <c r="J929" s="107" t="str">
        <f t="array" ref="J929">IFERROR(IF(XLOOKUP(CONCAT(E929,F929),'MASTER PLAN'!$AB:$AB,'MASTER PLAN'!$M:$M,0,0)=0,"",XLOOKUP(CONCAT(E929,F929),'MASTER PLAN'!$AB:$AB,'MASTER PLAN'!$M:$M,0,0)),"")</f>
        <v/>
      </c>
      <c r="K929" s="107">
        <f t="shared" si="237"/>
        <v>0</v>
      </c>
      <c r="L929" s="107">
        <f t="shared" si="238"/>
        <v>0</v>
      </c>
      <c r="M929" s="105" t="s">
        <v>246</v>
      </c>
      <c r="AI929" s="42"/>
      <c r="BN929" s="42"/>
      <c r="CS929" s="42"/>
      <c r="DX929" s="42"/>
      <c r="FC929" s="42"/>
      <c r="GH929" s="42"/>
      <c r="HM929" s="42"/>
      <c r="IR929" s="42"/>
      <c r="JW929" s="42"/>
      <c r="LB929" s="42"/>
      <c r="MG929" s="42"/>
      <c r="NL929" s="42"/>
    </row>
    <row r="930" ht="15.75" customHeight="1">
      <c r="A930" s="42"/>
      <c r="B930" s="42"/>
      <c r="C930" s="42"/>
      <c r="D930" s="38">
        <f t="shared" si="1199"/>
        <v>46034</v>
      </c>
      <c r="E930" s="31" t="str">
        <f t="shared" ref="E930:I930" si="1200">LC6</f>
        <v/>
      </c>
      <c r="F930" s="31" t="str">
        <f t="shared" si="1200"/>
        <v/>
      </c>
      <c r="G930" s="31" t="str">
        <f t="shared" si="1200"/>
        <v/>
      </c>
      <c r="H930" s="13" t="str">
        <f t="shared" si="1200"/>
        <v/>
      </c>
      <c r="I930" s="13" t="str">
        <f t="shared" si="1200"/>
        <v/>
      </c>
      <c r="J930" s="107" t="str">
        <f t="array" ref="J930">IFERROR(IF(XLOOKUP(CONCAT(E930,F930),'MASTER PLAN'!$AB:$AB,'MASTER PLAN'!$M:$M,0,0)=0,"",XLOOKUP(CONCAT(E930,F930),'MASTER PLAN'!$AB:$AB,'MASTER PLAN'!$M:$M,0,0)),"")</f>
        <v/>
      </c>
      <c r="K930" s="107">
        <f t="shared" si="237"/>
        <v>0</v>
      </c>
      <c r="L930" s="107">
        <f t="shared" si="238"/>
        <v>0</v>
      </c>
      <c r="M930" s="105" t="s">
        <v>246</v>
      </c>
      <c r="AI930" s="42"/>
      <c r="BN930" s="42"/>
      <c r="CS930" s="42"/>
      <c r="DX930" s="42"/>
      <c r="FC930" s="42"/>
      <c r="GH930" s="42"/>
      <c r="HM930" s="42"/>
      <c r="IR930" s="42"/>
      <c r="JW930" s="42"/>
      <c r="LB930" s="42"/>
      <c r="MG930" s="42"/>
      <c r="NL930" s="42"/>
    </row>
    <row r="931" ht="15.75" customHeight="1">
      <c r="A931" s="42"/>
      <c r="B931" s="42"/>
      <c r="C931" s="42"/>
      <c r="D931" s="38">
        <f t="shared" si="1199"/>
        <v>46034</v>
      </c>
      <c r="E931" s="31" t="str">
        <f t="shared" ref="E931:I931" si="1201">LC7</f>
        <v/>
      </c>
      <c r="F931" s="31" t="str">
        <f t="shared" si="1201"/>
        <v/>
      </c>
      <c r="G931" s="31" t="str">
        <f t="shared" si="1201"/>
        <v/>
      </c>
      <c r="H931" s="13" t="str">
        <f t="shared" si="1201"/>
        <v/>
      </c>
      <c r="I931" s="13" t="str">
        <f t="shared" si="1201"/>
        <v/>
      </c>
      <c r="J931" s="107" t="str">
        <f t="array" ref="J931">IFERROR(IF(XLOOKUP(CONCAT(E931,F931),'MASTER PLAN'!$AB:$AB,'MASTER PLAN'!$M:$M,0,0)=0,"",XLOOKUP(CONCAT(E931,F931),'MASTER PLAN'!$AB:$AB,'MASTER PLAN'!$M:$M,0,0)),"")</f>
        <v/>
      </c>
      <c r="K931" s="107">
        <f t="shared" si="237"/>
        <v>0</v>
      </c>
      <c r="L931" s="107">
        <f t="shared" si="238"/>
        <v>0</v>
      </c>
      <c r="M931" s="105" t="s">
        <v>246</v>
      </c>
      <c r="AI931" s="42"/>
      <c r="BN931" s="42"/>
      <c r="CS931" s="42"/>
      <c r="DX931" s="42"/>
      <c r="FC931" s="42"/>
      <c r="GH931" s="42"/>
      <c r="HM931" s="42"/>
      <c r="IR931" s="42"/>
      <c r="JW931" s="42"/>
      <c r="LB931" s="42"/>
      <c r="MG931" s="42"/>
      <c r="NL931" s="42"/>
    </row>
    <row r="932" ht="15.75" customHeight="1">
      <c r="A932" s="42"/>
      <c r="B932" s="42"/>
      <c r="C932" s="42"/>
      <c r="D932" s="38">
        <f t="shared" si="1199"/>
        <v>46034</v>
      </c>
      <c r="E932" s="31" t="str">
        <f t="shared" ref="E932:I932" si="1202">LC8</f>
        <v/>
      </c>
      <c r="F932" s="31" t="str">
        <f t="shared" si="1202"/>
        <v/>
      </c>
      <c r="G932" s="31" t="str">
        <f t="shared" si="1202"/>
        <v/>
      </c>
      <c r="H932" s="13" t="str">
        <f t="shared" si="1202"/>
        <v/>
      </c>
      <c r="I932" s="13" t="str">
        <f t="shared" si="1202"/>
        <v/>
      </c>
      <c r="J932" s="107" t="str">
        <f t="array" ref="J932">IFERROR(IF(XLOOKUP(CONCAT(E932,F932),'MASTER PLAN'!$AB:$AB,'MASTER PLAN'!$M:$M,0,0)=0,"",XLOOKUP(CONCAT(E932,F932),'MASTER PLAN'!$AB:$AB,'MASTER PLAN'!$M:$M,0,0)),"")</f>
        <v/>
      </c>
      <c r="K932" s="107">
        <f t="shared" si="237"/>
        <v>0</v>
      </c>
      <c r="L932" s="107">
        <f t="shared" si="238"/>
        <v>0</v>
      </c>
      <c r="M932" s="105" t="s">
        <v>246</v>
      </c>
      <c r="AI932" s="42"/>
      <c r="BN932" s="42"/>
      <c r="CS932" s="42"/>
      <c r="DX932" s="42"/>
      <c r="FC932" s="42"/>
      <c r="GH932" s="42"/>
      <c r="HM932" s="42"/>
      <c r="IR932" s="42"/>
      <c r="JW932" s="42"/>
      <c r="LB932" s="42"/>
      <c r="MG932" s="42"/>
      <c r="NL932" s="42"/>
    </row>
    <row r="933" ht="15.75" customHeight="1">
      <c r="A933" s="42"/>
      <c r="B933" s="42"/>
      <c r="C933" s="42"/>
      <c r="D933" s="38">
        <f t="shared" si="1199"/>
        <v>46034</v>
      </c>
      <c r="E933" s="31">
        <f t="shared" ref="E933:I933" si="1203">LC12</f>
        <v>1402049466</v>
      </c>
      <c r="F933" s="31">
        <f t="shared" si="1203"/>
        <v>10</v>
      </c>
      <c r="G933" s="31" t="str">
        <f t="shared" si="1203"/>
        <v>BOLSA ROGERS ENTERPRISES 10"X4"X7-75"</v>
      </c>
      <c r="H933" s="13">
        <f t="shared" si="1203"/>
        <v>3000</v>
      </c>
      <c r="I933" s="13" t="str">
        <f t="shared" si="1203"/>
        <v/>
      </c>
      <c r="J933" s="107">
        <f t="array" ref="J933">IFERROR(IF(XLOOKUP(CONCAT(E933,F933),'MASTER PLAN'!$AB:$AB,'MASTER PLAN'!$M:$M,0,0)=0,"",XLOOKUP(CONCAT(E933,F933),'MASTER PLAN'!$AB:$AB,'MASTER PLAN'!$M:$M,0,0)),"")</f>
        <v>1.064</v>
      </c>
      <c r="K933" s="107">
        <f t="shared" si="237"/>
        <v>3192</v>
      </c>
      <c r="L933" s="107">
        <f t="shared" si="238"/>
        <v>0</v>
      </c>
      <c r="M933" s="105" t="s">
        <v>248</v>
      </c>
      <c r="AI933" s="42"/>
      <c r="BN933" s="42"/>
      <c r="CS933" s="42"/>
      <c r="DX933" s="42"/>
      <c r="FC933" s="42"/>
      <c r="GH933" s="42"/>
      <c r="HM933" s="42"/>
      <c r="IR933" s="42"/>
      <c r="JW933" s="42"/>
      <c r="LB933" s="42"/>
      <c r="MG933" s="42"/>
      <c r="NL933" s="42"/>
    </row>
    <row r="934" ht="15.75" customHeight="1">
      <c r="A934" s="42"/>
      <c r="B934" s="42"/>
      <c r="C934" s="42"/>
      <c r="D934" s="38">
        <f t="shared" si="1199"/>
        <v>46034</v>
      </c>
      <c r="E934" s="31" t="str">
        <f t="shared" ref="E934:I934" si="1204">LC13</f>
        <v/>
      </c>
      <c r="F934" s="31" t="str">
        <f t="shared" si="1204"/>
        <v/>
      </c>
      <c r="G934" s="31" t="str">
        <f t="shared" si="1204"/>
        <v/>
      </c>
      <c r="H934" s="13" t="str">
        <f t="shared" si="1204"/>
        <v/>
      </c>
      <c r="I934" s="13" t="str">
        <f t="shared" si="1204"/>
        <v/>
      </c>
      <c r="J934" s="107" t="str">
        <f t="array" ref="J934">IFERROR(IF(XLOOKUP(CONCAT(E934,F934),'MASTER PLAN'!$AB:$AB,'MASTER PLAN'!$M:$M,0,0)=0,"",XLOOKUP(CONCAT(E934,F934),'MASTER PLAN'!$AB:$AB,'MASTER PLAN'!$M:$M,0,0)),"")</f>
        <v/>
      </c>
      <c r="K934" s="107">
        <f t="shared" si="237"/>
        <v>0</v>
      </c>
      <c r="L934" s="107">
        <f t="shared" si="238"/>
        <v>0</v>
      </c>
      <c r="M934" s="105" t="s">
        <v>248</v>
      </c>
      <c r="AI934" s="42"/>
      <c r="BN934" s="42"/>
      <c r="CS934" s="42"/>
      <c r="DX934" s="42"/>
      <c r="FC934" s="42"/>
      <c r="GH934" s="42"/>
      <c r="HM934" s="42"/>
      <c r="IR934" s="42"/>
      <c r="JW934" s="42"/>
      <c r="LB934" s="42"/>
      <c r="MG934" s="42"/>
      <c r="NL934" s="42"/>
    </row>
    <row r="935" ht="15.75" customHeight="1">
      <c r="A935" s="42"/>
      <c r="B935" s="42"/>
      <c r="C935" s="42"/>
      <c r="D935" s="38">
        <f t="shared" si="1199"/>
        <v>46034</v>
      </c>
      <c r="E935" s="31" t="str">
        <f t="shared" ref="E935:I935" si="1205">LC14</f>
        <v/>
      </c>
      <c r="F935" s="31" t="str">
        <f t="shared" si="1205"/>
        <v/>
      </c>
      <c r="G935" s="31" t="str">
        <f t="shared" si="1205"/>
        <v/>
      </c>
      <c r="H935" s="13" t="str">
        <f t="shared" si="1205"/>
        <v/>
      </c>
      <c r="I935" s="13" t="str">
        <f t="shared" si="1205"/>
        <v/>
      </c>
      <c r="J935" s="107" t="str">
        <f t="array" ref="J935">IFERROR(IF(XLOOKUP(CONCAT(E935,F935),'MASTER PLAN'!$AB:$AB,'MASTER PLAN'!$M:$M,0,0)=0,"",XLOOKUP(CONCAT(E935,F935),'MASTER PLAN'!$AB:$AB,'MASTER PLAN'!$M:$M,0,0)),"")</f>
        <v/>
      </c>
      <c r="K935" s="107">
        <f t="shared" si="237"/>
        <v>0</v>
      </c>
      <c r="L935" s="107">
        <f t="shared" si="238"/>
        <v>0</v>
      </c>
      <c r="M935" s="105" t="s">
        <v>248</v>
      </c>
      <c r="AI935" s="42"/>
      <c r="BN935" s="42"/>
      <c r="CS935" s="42"/>
      <c r="DX935" s="42"/>
      <c r="FC935" s="42"/>
      <c r="GH935" s="42"/>
      <c r="HM935" s="42"/>
      <c r="IR935" s="42"/>
      <c r="JW935" s="42"/>
      <c r="LB935" s="42"/>
      <c r="MG935" s="42"/>
      <c r="NL935" s="42"/>
    </row>
    <row r="936" ht="15.75" customHeight="1">
      <c r="A936" s="42"/>
      <c r="B936" s="42"/>
      <c r="C936" s="42"/>
      <c r="D936" s="38">
        <f t="shared" si="1199"/>
        <v>46034</v>
      </c>
      <c r="E936" s="31" t="str">
        <f t="shared" ref="E936:I936" si="1206">LC15</f>
        <v/>
      </c>
      <c r="F936" s="31" t="str">
        <f t="shared" si="1206"/>
        <v/>
      </c>
      <c r="G936" s="31" t="str">
        <f t="shared" si="1206"/>
        <v/>
      </c>
      <c r="H936" s="13" t="str">
        <f t="shared" si="1206"/>
        <v/>
      </c>
      <c r="I936" s="13" t="str">
        <f t="shared" si="1206"/>
        <v/>
      </c>
      <c r="J936" s="107" t="str">
        <f t="array" ref="J936">IFERROR(IF(XLOOKUP(CONCAT(E936,F936),'MASTER PLAN'!$AB:$AB,'MASTER PLAN'!$M:$M,0,0)=0,"",XLOOKUP(CONCAT(E936,F936),'MASTER PLAN'!$AB:$AB,'MASTER PLAN'!$M:$M,0,0)),"")</f>
        <v/>
      </c>
      <c r="K936" s="107">
        <f t="shared" si="237"/>
        <v>0</v>
      </c>
      <c r="L936" s="107">
        <f t="shared" si="238"/>
        <v>0</v>
      </c>
      <c r="M936" s="105" t="s">
        <v>248</v>
      </c>
      <c r="AI936" s="42"/>
      <c r="BN936" s="42"/>
      <c r="CS936" s="42"/>
      <c r="DX936" s="42"/>
      <c r="FC936" s="42"/>
      <c r="GH936" s="42"/>
      <c r="HM936" s="42"/>
      <c r="IR936" s="42"/>
      <c r="JW936" s="42"/>
      <c r="LB936" s="42"/>
      <c r="MG936" s="42"/>
      <c r="NL936" s="42"/>
    </row>
    <row r="937" ht="15.75" customHeight="1">
      <c r="A937" s="42"/>
      <c r="B937" s="42"/>
      <c r="C937" s="42"/>
      <c r="D937" s="38">
        <f t="shared" si="1199"/>
        <v>46034</v>
      </c>
      <c r="E937" s="31" t="str">
        <f t="shared" ref="E937:I937" si="1207">LC16</f>
        <v/>
      </c>
      <c r="F937" s="31" t="str">
        <f t="shared" si="1207"/>
        <v/>
      </c>
      <c r="G937" s="31" t="str">
        <f t="shared" si="1207"/>
        <v/>
      </c>
      <c r="H937" s="13" t="str">
        <f t="shared" si="1207"/>
        <v/>
      </c>
      <c r="I937" s="13" t="str">
        <f t="shared" si="1207"/>
        <v/>
      </c>
      <c r="J937" s="107" t="str">
        <f t="array" ref="J937">IFERROR(IF(XLOOKUP(CONCAT(E937,F937),'MASTER PLAN'!$AB:$AB,'MASTER PLAN'!$M:$M,0,0)=0,"",XLOOKUP(CONCAT(E937,F937),'MASTER PLAN'!$AB:$AB,'MASTER PLAN'!$M:$M,0,0)),"")</f>
        <v/>
      </c>
      <c r="K937" s="107">
        <f t="shared" si="237"/>
        <v>0</v>
      </c>
      <c r="L937" s="107">
        <f t="shared" si="238"/>
        <v>0</v>
      </c>
      <c r="M937" s="105" t="s">
        <v>248</v>
      </c>
      <c r="AI937" s="42"/>
      <c r="BN937" s="42"/>
      <c r="CS937" s="42"/>
      <c r="DX937" s="42"/>
      <c r="FC937" s="42"/>
      <c r="GH937" s="42"/>
      <c r="HM937" s="42"/>
      <c r="IR937" s="42"/>
      <c r="JW937" s="42"/>
      <c r="LB937" s="42"/>
      <c r="MG937" s="42"/>
      <c r="NL937" s="42"/>
    </row>
    <row r="938" ht="15.75" customHeight="1">
      <c r="A938" s="42"/>
      <c r="B938" s="42"/>
      <c r="C938" s="42"/>
      <c r="D938" s="38">
        <f t="shared" si="1199"/>
        <v>46034</v>
      </c>
      <c r="E938" s="31" t="str">
        <f t="shared" ref="E938:I938" si="1208">LC20</f>
        <v/>
      </c>
      <c r="F938" s="31" t="str">
        <f t="shared" si="1208"/>
        <v/>
      </c>
      <c r="G938" s="31" t="str">
        <f t="shared" si="1208"/>
        <v/>
      </c>
      <c r="H938" s="13" t="str">
        <f t="shared" si="1208"/>
        <v/>
      </c>
      <c r="I938" s="13" t="str">
        <f t="shared" si="1208"/>
        <v/>
      </c>
      <c r="J938" s="107" t="str">
        <f t="array" ref="J938">IFERROR(IF(XLOOKUP(CONCAT(E938,F938),'MASTER PLAN'!$AB:$AB,'MASTER PLAN'!$M:$M,0,0)=0,"",XLOOKUP(CONCAT(E938,F938),'MASTER PLAN'!$AB:$AB,'MASTER PLAN'!$M:$M,0,0)),"")</f>
        <v/>
      </c>
      <c r="K938" s="107">
        <f t="shared" si="237"/>
        <v>0</v>
      </c>
      <c r="L938" s="107">
        <f t="shared" si="238"/>
        <v>0</v>
      </c>
      <c r="M938" s="105" t="s">
        <v>249</v>
      </c>
      <c r="AI938" s="42"/>
      <c r="BN938" s="42"/>
      <c r="CS938" s="42"/>
      <c r="DX938" s="42"/>
      <c r="FC938" s="42"/>
      <c r="GH938" s="42"/>
      <c r="HM938" s="42"/>
      <c r="IR938" s="42"/>
      <c r="JW938" s="42"/>
      <c r="LB938" s="42"/>
      <c r="MG938" s="42"/>
      <c r="NL938" s="42"/>
    </row>
    <row r="939" ht="15.75" customHeight="1">
      <c r="A939" s="42"/>
      <c r="B939" s="42"/>
      <c r="C939" s="42"/>
      <c r="D939" s="38">
        <f t="shared" si="1199"/>
        <v>46034</v>
      </c>
      <c r="E939" s="31" t="str">
        <f t="shared" ref="E939:I939" si="1209">LC21</f>
        <v/>
      </c>
      <c r="F939" s="31" t="str">
        <f t="shared" si="1209"/>
        <v/>
      </c>
      <c r="G939" s="31" t="str">
        <f t="shared" si="1209"/>
        <v/>
      </c>
      <c r="H939" s="13" t="str">
        <f t="shared" si="1209"/>
        <v/>
      </c>
      <c r="I939" s="13" t="str">
        <f t="shared" si="1209"/>
        <v/>
      </c>
      <c r="J939" s="107" t="str">
        <f t="array" ref="J939">IFERROR(IF(XLOOKUP(CONCAT(E939,F939),'MASTER PLAN'!$AB:$AB,'MASTER PLAN'!$M:$M,0,0)=0,"",XLOOKUP(CONCAT(E939,F939),'MASTER PLAN'!$AB:$AB,'MASTER PLAN'!$M:$M,0,0)),"")</f>
        <v/>
      </c>
      <c r="K939" s="107">
        <f t="shared" si="237"/>
        <v>0</v>
      </c>
      <c r="L939" s="107">
        <f t="shared" si="238"/>
        <v>0</v>
      </c>
      <c r="M939" s="105" t="s">
        <v>249</v>
      </c>
      <c r="AI939" s="42"/>
      <c r="BN939" s="42"/>
      <c r="CS939" s="42"/>
      <c r="DX939" s="42"/>
      <c r="FC939" s="42"/>
      <c r="GH939" s="42"/>
      <c r="HM939" s="42"/>
      <c r="IR939" s="42"/>
      <c r="JW939" s="42"/>
      <c r="LB939" s="42"/>
      <c r="MG939" s="42"/>
      <c r="NL939" s="42"/>
    </row>
    <row r="940" ht="15.75" customHeight="1">
      <c r="A940" s="42"/>
      <c r="B940" s="42"/>
      <c r="C940" s="42"/>
      <c r="D940" s="38">
        <f t="shared" si="1199"/>
        <v>46034</v>
      </c>
      <c r="E940" s="31" t="str">
        <f t="shared" ref="E940:I940" si="1210">LC22</f>
        <v/>
      </c>
      <c r="F940" s="31" t="str">
        <f t="shared" si="1210"/>
        <v/>
      </c>
      <c r="G940" s="31" t="str">
        <f t="shared" si="1210"/>
        <v/>
      </c>
      <c r="H940" s="13" t="str">
        <f t="shared" si="1210"/>
        <v/>
      </c>
      <c r="I940" s="13" t="str">
        <f t="shared" si="1210"/>
        <v/>
      </c>
      <c r="J940" s="107" t="str">
        <f t="array" ref="J940">IFERROR(IF(XLOOKUP(CONCAT(E940,F940),'MASTER PLAN'!$AB:$AB,'MASTER PLAN'!$M:$M,0,0)=0,"",XLOOKUP(CONCAT(E940,F940),'MASTER PLAN'!$AB:$AB,'MASTER PLAN'!$M:$M,0,0)),"")</f>
        <v/>
      </c>
      <c r="K940" s="107">
        <f t="shared" si="237"/>
        <v>0</v>
      </c>
      <c r="L940" s="107">
        <f t="shared" si="238"/>
        <v>0</v>
      </c>
      <c r="M940" s="105" t="s">
        <v>249</v>
      </c>
      <c r="AI940" s="42"/>
      <c r="BN940" s="42"/>
      <c r="CS940" s="42"/>
      <c r="DX940" s="42"/>
      <c r="FC940" s="42"/>
      <c r="GH940" s="42"/>
      <c r="HM940" s="42"/>
      <c r="IR940" s="42"/>
      <c r="JW940" s="42"/>
      <c r="LB940" s="42"/>
      <c r="MG940" s="42"/>
      <c r="NL940" s="42"/>
    </row>
    <row r="941" ht="15.75" customHeight="1">
      <c r="A941" s="42"/>
      <c r="B941" s="42"/>
      <c r="C941" s="42"/>
      <c r="D941" s="38">
        <f t="shared" si="1199"/>
        <v>46034</v>
      </c>
      <c r="E941" s="31" t="str">
        <f t="shared" ref="E941:I941" si="1211">LC23</f>
        <v/>
      </c>
      <c r="F941" s="31" t="str">
        <f t="shared" si="1211"/>
        <v/>
      </c>
      <c r="G941" s="31" t="str">
        <f t="shared" si="1211"/>
        <v/>
      </c>
      <c r="H941" s="13" t="str">
        <f t="shared" si="1211"/>
        <v/>
      </c>
      <c r="I941" s="13" t="str">
        <f t="shared" si="1211"/>
        <v/>
      </c>
      <c r="J941" s="107" t="str">
        <f t="array" ref="J941">IFERROR(IF(XLOOKUP(CONCAT(E941,F941),'MASTER PLAN'!$AB:$AB,'MASTER PLAN'!$M:$M,0,0)=0,"",XLOOKUP(CONCAT(E941,F941),'MASTER PLAN'!$AB:$AB,'MASTER PLAN'!$M:$M,0,0)),"")</f>
        <v/>
      </c>
      <c r="K941" s="107">
        <f t="shared" si="237"/>
        <v>0</v>
      </c>
      <c r="L941" s="107">
        <f t="shared" si="238"/>
        <v>0</v>
      </c>
      <c r="M941" s="105" t="s">
        <v>249</v>
      </c>
      <c r="AI941" s="42"/>
      <c r="BN941" s="42"/>
      <c r="CS941" s="42"/>
      <c r="DX941" s="42"/>
      <c r="FC941" s="42"/>
      <c r="GH941" s="42"/>
      <c r="HM941" s="42"/>
      <c r="IR941" s="42"/>
      <c r="JW941" s="42"/>
      <c r="LB941" s="42"/>
      <c r="MG941" s="42"/>
      <c r="NL941" s="42"/>
    </row>
    <row r="942" ht="15.75" customHeight="1">
      <c r="A942" s="42"/>
      <c r="B942" s="42"/>
      <c r="C942" s="42"/>
      <c r="D942" s="38">
        <f t="shared" si="1199"/>
        <v>46034</v>
      </c>
      <c r="E942" s="31" t="str">
        <f t="shared" ref="E942:I942" si="1212">LC24</f>
        <v/>
      </c>
      <c r="F942" s="31" t="str">
        <f t="shared" si="1212"/>
        <v/>
      </c>
      <c r="G942" s="31" t="str">
        <f t="shared" si="1212"/>
        <v/>
      </c>
      <c r="H942" s="13" t="str">
        <f t="shared" si="1212"/>
        <v/>
      </c>
      <c r="I942" s="13" t="str">
        <f t="shared" si="1212"/>
        <v/>
      </c>
      <c r="J942" s="107" t="str">
        <f t="array" ref="J942">IFERROR(IF(XLOOKUP(CONCAT(E942,F942),'MASTER PLAN'!$AB:$AB,'MASTER PLAN'!$M:$M,0,0)=0,"",XLOOKUP(CONCAT(E942,F942),'MASTER PLAN'!$AB:$AB,'MASTER PLAN'!$M:$M,0,0)),"")</f>
        <v/>
      </c>
      <c r="K942" s="107">
        <f t="shared" si="237"/>
        <v>0</v>
      </c>
      <c r="L942" s="107">
        <f t="shared" si="238"/>
        <v>0</v>
      </c>
      <c r="M942" s="105" t="s">
        <v>249</v>
      </c>
      <c r="AI942" s="42"/>
      <c r="BN942" s="42"/>
      <c r="CS942" s="42"/>
      <c r="DX942" s="42"/>
      <c r="FC942" s="42"/>
      <c r="GH942" s="42"/>
      <c r="HM942" s="42"/>
      <c r="IR942" s="42"/>
      <c r="JW942" s="42"/>
      <c r="LB942" s="42"/>
      <c r="MG942" s="42"/>
      <c r="NL942" s="42"/>
    </row>
    <row r="943" ht="15.75" customHeight="1">
      <c r="A943" s="42"/>
      <c r="B943" s="42"/>
      <c r="C943" s="42"/>
      <c r="D943" s="38">
        <f>LH2</f>
        <v>46035</v>
      </c>
      <c r="E943" s="31">
        <f t="shared" ref="E943:I943" si="1213">LH4</f>
        <v>1402049466</v>
      </c>
      <c r="F943" s="31">
        <f t="shared" si="1213"/>
        <v>10</v>
      </c>
      <c r="G943" s="31" t="str">
        <f t="shared" si="1213"/>
        <v>BOLSA ROGERS ENTERPRISES 10"X4"X7-75"</v>
      </c>
      <c r="H943" s="13">
        <f t="shared" si="1213"/>
        <v>3000</v>
      </c>
      <c r="I943" s="13" t="str">
        <f t="shared" si="1213"/>
        <v/>
      </c>
      <c r="J943" s="107">
        <f t="array" ref="J943">IFERROR(IF(XLOOKUP(CONCAT(E943,F943),'MASTER PLAN'!$AB:$AB,'MASTER PLAN'!$M:$M,0,0)=0,"",XLOOKUP(CONCAT(E943,F943),'MASTER PLAN'!$AB:$AB,'MASTER PLAN'!$M:$M,0,0)),"")</f>
        <v>1.064</v>
      </c>
      <c r="K943" s="107">
        <f t="shared" si="237"/>
        <v>3192</v>
      </c>
      <c r="L943" s="107">
        <f t="shared" si="238"/>
        <v>0</v>
      </c>
      <c r="M943" s="105" t="s">
        <v>246</v>
      </c>
      <c r="AI943" s="42"/>
      <c r="BN943" s="42"/>
      <c r="CS943" s="42"/>
      <c r="DX943" s="42"/>
      <c r="FC943" s="42"/>
      <c r="GH943" s="42"/>
      <c r="HM943" s="42"/>
      <c r="IR943" s="42"/>
      <c r="JW943" s="42"/>
      <c r="LB943" s="42"/>
      <c r="MG943" s="42"/>
      <c r="NL943" s="42"/>
    </row>
    <row r="944" ht="15.75" customHeight="1">
      <c r="A944" s="42"/>
      <c r="B944" s="42"/>
      <c r="C944" s="42"/>
      <c r="D944" s="38">
        <f t="shared" ref="D944:D957" si="1215">D943</f>
        <v>46035</v>
      </c>
      <c r="E944" s="31" t="str">
        <f t="shared" ref="E944:I944" si="1214">LH5</f>
        <v/>
      </c>
      <c r="F944" s="31" t="str">
        <f t="shared" si="1214"/>
        <v/>
      </c>
      <c r="G944" s="31" t="str">
        <f t="shared" si="1214"/>
        <v/>
      </c>
      <c r="H944" s="13" t="str">
        <f t="shared" si="1214"/>
        <v/>
      </c>
      <c r="I944" s="13" t="str">
        <f t="shared" si="1214"/>
        <v/>
      </c>
      <c r="J944" s="107" t="str">
        <f t="array" ref="J944">IFERROR(IF(XLOOKUP(CONCAT(E944,F944),'MASTER PLAN'!$AB:$AB,'MASTER PLAN'!$M:$M,0,0)=0,"",XLOOKUP(CONCAT(E944,F944),'MASTER PLAN'!$AB:$AB,'MASTER PLAN'!$M:$M,0,0)),"")</f>
        <v/>
      </c>
      <c r="K944" s="107">
        <f t="shared" si="237"/>
        <v>0</v>
      </c>
      <c r="L944" s="107">
        <f t="shared" si="238"/>
        <v>0</v>
      </c>
      <c r="M944" s="105" t="s">
        <v>246</v>
      </c>
      <c r="AI944" s="42"/>
      <c r="BN944" s="42"/>
      <c r="CS944" s="42"/>
      <c r="DX944" s="42"/>
      <c r="FC944" s="42"/>
      <c r="GH944" s="42"/>
      <c r="HM944" s="42"/>
      <c r="IR944" s="42"/>
      <c r="JW944" s="42"/>
      <c r="LB944" s="42"/>
      <c r="MG944" s="42"/>
      <c r="NL944" s="42"/>
    </row>
    <row r="945" ht="15.75" customHeight="1">
      <c r="A945" s="42"/>
      <c r="B945" s="42"/>
      <c r="C945" s="42"/>
      <c r="D945" s="38">
        <f t="shared" si="1215"/>
        <v>46035</v>
      </c>
      <c r="E945" s="31" t="str">
        <f t="shared" ref="E945:I945" si="1216">LH6</f>
        <v/>
      </c>
      <c r="F945" s="31" t="str">
        <f t="shared" si="1216"/>
        <v/>
      </c>
      <c r="G945" s="31" t="str">
        <f t="shared" si="1216"/>
        <v/>
      </c>
      <c r="H945" s="13" t="str">
        <f t="shared" si="1216"/>
        <v/>
      </c>
      <c r="I945" s="13" t="str">
        <f t="shared" si="1216"/>
        <v/>
      </c>
      <c r="J945" s="107" t="str">
        <f t="array" ref="J945">IFERROR(IF(XLOOKUP(CONCAT(E945,F945),'MASTER PLAN'!$AB:$AB,'MASTER PLAN'!$M:$M,0,0)=0,"",XLOOKUP(CONCAT(E945,F945),'MASTER PLAN'!$AB:$AB,'MASTER PLAN'!$M:$M,0,0)),"")</f>
        <v/>
      </c>
      <c r="K945" s="107">
        <f t="shared" si="237"/>
        <v>0</v>
      </c>
      <c r="L945" s="107">
        <f t="shared" si="238"/>
        <v>0</v>
      </c>
      <c r="M945" s="105" t="s">
        <v>246</v>
      </c>
      <c r="AI945" s="42"/>
      <c r="BN945" s="42"/>
      <c r="CS945" s="42"/>
      <c r="DX945" s="42"/>
      <c r="FC945" s="42"/>
      <c r="GH945" s="42"/>
      <c r="HM945" s="42"/>
      <c r="IR945" s="42"/>
      <c r="JW945" s="42"/>
      <c r="LB945" s="42"/>
      <c r="MG945" s="42"/>
      <c r="NL945" s="42"/>
    </row>
    <row r="946" ht="15.75" customHeight="1">
      <c r="A946" s="42"/>
      <c r="B946" s="42"/>
      <c r="C946" s="42"/>
      <c r="D946" s="38">
        <f t="shared" si="1215"/>
        <v>46035</v>
      </c>
      <c r="E946" s="31" t="str">
        <f t="shared" ref="E946:I946" si="1217">LH7</f>
        <v/>
      </c>
      <c r="F946" s="31" t="str">
        <f t="shared" si="1217"/>
        <v/>
      </c>
      <c r="G946" s="31" t="str">
        <f t="shared" si="1217"/>
        <v/>
      </c>
      <c r="H946" s="13" t="str">
        <f t="shared" si="1217"/>
        <v/>
      </c>
      <c r="I946" s="13" t="str">
        <f t="shared" si="1217"/>
        <v/>
      </c>
      <c r="J946" s="107" t="str">
        <f t="array" ref="J946">IFERROR(IF(XLOOKUP(CONCAT(E946,F946),'MASTER PLAN'!$AB:$AB,'MASTER PLAN'!$M:$M,0,0)=0,"",XLOOKUP(CONCAT(E946,F946),'MASTER PLAN'!$AB:$AB,'MASTER PLAN'!$M:$M,0,0)),"")</f>
        <v/>
      </c>
      <c r="K946" s="107">
        <f t="shared" si="237"/>
        <v>0</v>
      </c>
      <c r="L946" s="107">
        <f t="shared" si="238"/>
        <v>0</v>
      </c>
      <c r="M946" s="105" t="s">
        <v>246</v>
      </c>
      <c r="AI946" s="42"/>
      <c r="BN946" s="42"/>
      <c r="CS946" s="42"/>
      <c r="DX946" s="42"/>
      <c r="FC946" s="42"/>
      <c r="GH946" s="42"/>
      <c r="HM946" s="42"/>
      <c r="IR946" s="42"/>
      <c r="JW946" s="42"/>
      <c r="LB946" s="42"/>
      <c r="MG946" s="42"/>
      <c r="NL946" s="42"/>
    </row>
    <row r="947" ht="15.75" customHeight="1">
      <c r="A947" s="42"/>
      <c r="B947" s="42"/>
      <c r="C947" s="42"/>
      <c r="D947" s="38">
        <f t="shared" si="1215"/>
        <v>46035</v>
      </c>
      <c r="E947" s="31" t="str">
        <f t="shared" ref="E947:I947" si="1218">LH8</f>
        <v/>
      </c>
      <c r="F947" s="31" t="str">
        <f t="shared" si="1218"/>
        <v/>
      </c>
      <c r="G947" s="31" t="str">
        <f t="shared" si="1218"/>
        <v/>
      </c>
      <c r="H947" s="13" t="str">
        <f t="shared" si="1218"/>
        <v/>
      </c>
      <c r="I947" s="13" t="str">
        <f t="shared" si="1218"/>
        <v/>
      </c>
      <c r="J947" s="107" t="str">
        <f t="array" ref="J947">IFERROR(IF(XLOOKUP(CONCAT(E947,F947),'MASTER PLAN'!$AB:$AB,'MASTER PLAN'!$M:$M,0,0)=0,"",XLOOKUP(CONCAT(E947,F947),'MASTER PLAN'!$AB:$AB,'MASTER PLAN'!$M:$M,0,0)),"")</f>
        <v/>
      </c>
      <c r="K947" s="107">
        <f t="shared" si="237"/>
        <v>0</v>
      </c>
      <c r="L947" s="107">
        <f t="shared" si="238"/>
        <v>0</v>
      </c>
      <c r="M947" s="105" t="s">
        <v>246</v>
      </c>
      <c r="AI947" s="42"/>
      <c r="BN947" s="42"/>
      <c r="CS947" s="42"/>
      <c r="DX947" s="42"/>
      <c r="FC947" s="42"/>
      <c r="GH947" s="42"/>
      <c r="HM947" s="42"/>
      <c r="IR947" s="42"/>
      <c r="JW947" s="42"/>
      <c r="LB947" s="42"/>
      <c r="MG947" s="42"/>
      <c r="NL947" s="42"/>
    </row>
    <row r="948" ht="15.75" customHeight="1">
      <c r="A948" s="42"/>
      <c r="B948" s="42"/>
      <c r="C948" s="42"/>
      <c r="D948" s="38">
        <f t="shared" si="1215"/>
        <v>46035</v>
      </c>
      <c r="E948" s="31">
        <f t="shared" ref="E948:I948" si="1219">LH12</f>
        <v>1402049466</v>
      </c>
      <c r="F948" s="31">
        <f t="shared" si="1219"/>
        <v>10</v>
      </c>
      <c r="G948" s="31" t="str">
        <f t="shared" si="1219"/>
        <v>BOLSA ROGERS ENTERPRISES 10"X4"X7-75"</v>
      </c>
      <c r="H948" s="13">
        <f t="shared" si="1219"/>
        <v>2000</v>
      </c>
      <c r="I948" s="13" t="str">
        <f t="shared" si="1219"/>
        <v/>
      </c>
      <c r="J948" s="107">
        <f t="array" ref="J948">IFERROR(IF(XLOOKUP(CONCAT(E948,F948),'MASTER PLAN'!$AB:$AB,'MASTER PLAN'!$M:$M,0,0)=0,"",XLOOKUP(CONCAT(E948,F948),'MASTER PLAN'!$AB:$AB,'MASTER PLAN'!$M:$M,0,0)),"")</f>
        <v>1.064</v>
      </c>
      <c r="K948" s="107">
        <f t="shared" si="237"/>
        <v>2128</v>
      </c>
      <c r="L948" s="107">
        <f t="shared" si="238"/>
        <v>0</v>
      </c>
      <c r="M948" s="105" t="s">
        <v>248</v>
      </c>
      <c r="AI948" s="42"/>
      <c r="BN948" s="42"/>
      <c r="CS948" s="42"/>
      <c r="DX948" s="42"/>
      <c r="FC948" s="42"/>
      <c r="GH948" s="42"/>
      <c r="HM948" s="42"/>
      <c r="IR948" s="42"/>
      <c r="JW948" s="42"/>
      <c r="LB948" s="42"/>
      <c r="MG948" s="42"/>
      <c r="NL948" s="42"/>
    </row>
    <row r="949" ht="15.75" customHeight="1">
      <c r="A949" s="42"/>
      <c r="B949" s="42"/>
      <c r="C949" s="42"/>
      <c r="D949" s="38">
        <f t="shared" si="1215"/>
        <v>46035</v>
      </c>
      <c r="E949" s="31" t="str">
        <f t="shared" ref="E949:I949" si="1220">LH13</f>
        <v/>
      </c>
      <c r="F949" s="31" t="str">
        <f t="shared" si="1220"/>
        <v/>
      </c>
      <c r="G949" s="31" t="str">
        <f t="shared" si="1220"/>
        <v/>
      </c>
      <c r="H949" s="13" t="str">
        <f t="shared" si="1220"/>
        <v/>
      </c>
      <c r="I949" s="13" t="str">
        <f t="shared" si="1220"/>
        <v/>
      </c>
      <c r="J949" s="107" t="str">
        <f t="array" ref="J949">IFERROR(IF(XLOOKUP(CONCAT(E949,F949),'MASTER PLAN'!$AB:$AB,'MASTER PLAN'!$M:$M,0,0)=0,"",XLOOKUP(CONCAT(E949,F949),'MASTER PLAN'!$AB:$AB,'MASTER PLAN'!$M:$M,0,0)),"")</f>
        <v/>
      </c>
      <c r="K949" s="107">
        <f t="shared" si="237"/>
        <v>0</v>
      </c>
      <c r="L949" s="107">
        <f t="shared" si="238"/>
        <v>0</v>
      </c>
      <c r="M949" s="105" t="s">
        <v>248</v>
      </c>
      <c r="AI949" s="42"/>
      <c r="BN949" s="42"/>
      <c r="CS949" s="42"/>
      <c r="DX949" s="42"/>
      <c r="FC949" s="42"/>
      <c r="GH949" s="42"/>
      <c r="HM949" s="42"/>
      <c r="IR949" s="42"/>
      <c r="JW949" s="42"/>
      <c r="LB949" s="42"/>
      <c r="MG949" s="42"/>
      <c r="NL949" s="42"/>
    </row>
    <row r="950" ht="15.75" customHeight="1">
      <c r="A950" s="42"/>
      <c r="B950" s="42"/>
      <c r="C950" s="42"/>
      <c r="D950" s="38">
        <f t="shared" si="1215"/>
        <v>46035</v>
      </c>
      <c r="E950" s="31" t="str">
        <f t="shared" ref="E950:I950" si="1221">LH14</f>
        <v/>
      </c>
      <c r="F950" s="31" t="str">
        <f t="shared" si="1221"/>
        <v/>
      </c>
      <c r="G950" s="31" t="str">
        <f t="shared" si="1221"/>
        <v/>
      </c>
      <c r="H950" s="13" t="str">
        <f t="shared" si="1221"/>
        <v/>
      </c>
      <c r="I950" s="13" t="str">
        <f t="shared" si="1221"/>
        <v/>
      </c>
      <c r="J950" s="107" t="str">
        <f t="array" ref="J950">IFERROR(IF(XLOOKUP(CONCAT(E950,F950),'MASTER PLAN'!$AB:$AB,'MASTER PLAN'!$M:$M,0,0)=0,"",XLOOKUP(CONCAT(E950,F950),'MASTER PLAN'!$AB:$AB,'MASTER PLAN'!$M:$M,0,0)),"")</f>
        <v/>
      </c>
      <c r="K950" s="107">
        <f t="shared" si="237"/>
        <v>0</v>
      </c>
      <c r="L950" s="107">
        <f t="shared" si="238"/>
        <v>0</v>
      </c>
      <c r="M950" s="105" t="s">
        <v>248</v>
      </c>
      <c r="AI950" s="42"/>
      <c r="BN950" s="42"/>
      <c r="CS950" s="42"/>
      <c r="DX950" s="42"/>
      <c r="FC950" s="42"/>
      <c r="GH950" s="42"/>
      <c r="HM950" s="42"/>
      <c r="IR950" s="42"/>
      <c r="JW950" s="42"/>
      <c r="LB950" s="42"/>
      <c r="MG950" s="42"/>
      <c r="NL950" s="42"/>
    </row>
    <row r="951" ht="15.75" customHeight="1">
      <c r="A951" s="42"/>
      <c r="B951" s="42"/>
      <c r="C951" s="42"/>
      <c r="D951" s="38">
        <f t="shared" si="1215"/>
        <v>46035</v>
      </c>
      <c r="E951" s="31" t="str">
        <f t="shared" ref="E951:I951" si="1222">LH15</f>
        <v/>
      </c>
      <c r="F951" s="31" t="str">
        <f t="shared" si="1222"/>
        <v/>
      </c>
      <c r="G951" s="31" t="str">
        <f t="shared" si="1222"/>
        <v/>
      </c>
      <c r="H951" s="13" t="str">
        <f t="shared" si="1222"/>
        <v/>
      </c>
      <c r="I951" s="13" t="str">
        <f t="shared" si="1222"/>
        <v/>
      </c>
      <c r="J951" s="107" t="str">
        <f t="array" ref="J951">IFERROR(IF(XLOOKUP(CONCAT(E951,F951),'MASTER PLAN'!$AB:$AB,'MASTER PLAN'!$M:$M,0,0)=0,"",XLOOKUP(CONCAT(E951,F951),'MASTER PLAN'!$AB:$AB,'MASTER PLAN'!$M:$M,0,0)),"")</f>
        <v/>
      </c>
      <c r="K951" s="107">
        <f t="shared" si="237"/>
        <v>0</v>
      </c>
      <c r="L951" s="107">
        <f t="shared" si="238"/>
        <v>0</v>
      </c>
      <c r="M951" s="105" t="s">
        <v>248</v>
      </c>
      <c r="AI951" s="42"/>
      <c r="BN951" s="42"/>
      <c r="CS951" s="42"/>
      <c r="DX951" s="42"/>
      <c r="FC951" s="42"/>
      <c r="GH951" s="42"/>
      <c r="HM951" s="42"/>
      <c r="IR951" s="42"/>
      <c r="JW951" s="42"/>
      <c r="LB951" s="42"/>
      <c r="MG951" s="42"/>
      <c r="NL951" s="42"/>
    </row>
    <row r="952" ht="15.75" customHeight="1">
      <c r="A952" s="42"/>
      <c r="D952" s="38">
        <f t="shared" si="1215"/>
        <v>46035</v>
      </c>
      <c r="E952" s="31" t="str">
        <f t="shared" ref="E952:I952" si="1223">LH16</f>
        <v/>
      </c>
      <c r="F952" s="31" t="str">
        <f t="shared" si="1223"/>
        <v/>
      </c>
      <c r="G952" s="31" t="str">
        <f t="shared" si="1223"/>
        <v/>
      </c>
      <c r="H952" s="13" t="str">
        <f t="shared" si="1223"/>
        <v/>
      </c>
      <c r="I952" s="13" t="str">
        <f t="shared" si="1223"/>
        <v/>
      </c>
      <c r="J952" s="107" t="str">
        <f t="array" ref="J952">IFERROR(IF(XLOOKUP(CONCAT(E952,F952),'MASTER PLAN'!$AB:$AB,'MASTER PLAN'!$M:$M,0,0)=0,"",XLOOKUP(CONCAT(E952,F952),'MASTER PLAN'!$AB:$AB,'MASTER PLAN'!$M:$M,0,0)),"")</f>
        <v/>
      </c>
      <c r="K952" s="107">
        <f t="shared" si="237"/>
        <v>0</v>
      </c>
      <c r="L952" s="107">
        <f t="shared" si="238"/>
        <v>0</v>
      </c>
      <c r="M952" s="105" t="s">
        <v>248</v>
      </c>
      <c r="AI952" s="42"/>
      <c r="BN952" s="42"/>
      <c r="CS952" s="42"/>
      <c r="DX952" s="42"/>
      <c r="FC952" s="42"/>
      <c r="GH952" s="42"/>
      <c r="HM952" s="42"/>
      <c r="IR952" s="42"/>
      <c r="JW952" s="42"/>
      <c r="LB952" s="42"/>
      <c r="MG952" s="42"/>
      <c r="NL952" s="42"/>
    </row>
    <row r="953" ht="15.75" customHeight="1">
      <c r="A953" s="42"/>
      <c r="D953" s="38">
        <f t="shared" si="1215"/>
        <v>46035</v>
      </c>
      <c r="E953" s="31" t="str">
        <f t="shared" ref="E953:I953" si="1224">LH20</f>
        <v/>
      </c>
      <c r="F953" s="31" t="str">
        <f t="shared" si="1224"/>
        <v/>
      </c>
      <c r="G953" s="31" t="str">
        <f t="shared" si="1224"/>
        <v/>
      </c>
      <c r="H953" s="13" t="str">
        <f t="shared" si="1224"/>
        <v/>
      </c>
      <c r="I953" s="13" t="str">
        <f t="shared" si="1224"/>
        <v/>
      </c>
      <c r="J953" s="107" t="str">
        <f t="array" ref="J953">IFERROR(IF(XLOOKUP(CONCAT(E953,F953),'MASTER PLAN'!$AB:$AB,'MASTER PLAN'!$M:$M,0,0)=0,"",XLOOKUP(CONCAT(E953,F953),'MASTER PLAN'!$AB:$AB,'MASTER PLAN'!$M:$M,0,0)),"")</f>
        <v/>
      </c>
      <c r="K953" s="107">
        <f t="shared" si="237"/>
        <v>0</v>
      </c>
      <c r="L953" s="107">
        <f t="shared" si="238"/>
        <v>0</v>
      </c>
      <c r="M953" s="105" t="s">
        <v>249</v>
      </c>
      <c r="AI953" s="42"/>
      <c r="BN953" s="42"/>
      <c r="CS953" s="42"/>
      <c r="DX953" s="42"/>
      <c r="FC953" s="42"/>
      <c r="GH953" s="42"/>
      <c r="HM953" s="42"/>
      <c r="IR953" s="42"/>
      <c r="JW953" s="42"/>
      <c r="LB953" s="42"/>
      <c r="MG953" s="42"/>
      <c r="NL953" s="42"/>
    </row>
    <row r="954" ht="15.75" customHeight="1">
      <c r="A954" s="42"/>
      <c r="D954" s="38">
        <f t="shared" si="1215"/>
        <v>46035</v>
      </c>
      <c r="E954" s="31" t="str">
        <f t="shared" ref="E954:I954" si="1225">LH21</f>
        <v/>
      </c>
      <c r="F954" s="31" t="str">
        <f t="shared" si="1225"/>
        <v/>
      </c>
      <c r="G954" s="31" t="str">
        <f t="shared" si="1225"/>
        <v/>
      </c>
      <c r="H954" s="13" t="str">
        <f t="shared" si="1225"/>
        <v/>
      </c>
      <c r="I954" s="13" t="str">
        <f t="shared" si="1225"/>
        <v/>
      </c>
      <c r="J954" s="107" t="str">
        <f t="array" ref="J954">IFERROR(IF(XLOOKUP(CONCAT(E954,F954),'MASTER PLAN'!$AB:$AB,'MASTER PLAN'!$M:$M,0,0)=0,"",XLOOKUP(CONCAT(E954,F954),'MASTER PLAN'!$AB:$AB,'MASTER PLAN'!$M:$M,0,0)),"")</f>
        <v/>
      </c>
      <c r="K954" s="107">
        <f t="shared" si="237"/>
        <v>0</v>
      </c>
      <c r="L954" s="107">
        <f t="shared" si="238"/>
        <v>0</v>
      </c>
      <c r="M954" s="105" t="s">
        <v>249</v>
      </c>
      <c r="AI954" s="42"/>
      <c r="BN954" s="42"/>
      <c r="CS954" s="42"/>
      <c r="DX954" s="42"/>
      <c r="FC954" s="42"/>
      <c r="GH954" s="42"/>
      <c r="HM954" s="42"/>
      <c r="IR954" s="42"/>
      <c r="JW954" s="42"/>
      <c r="LB954" s="42"/>
      <c r="MG954" s="42"/>
      <c r="NL954" s="42"/>
    </row>
    <row r="955" ht="15.75" customHeight="1">
      <c r="A955" s="42"/>
      <c r="D955" s="38">
        <f t="shared" si="1215"/>
        <v>46035</v>
      </c>
      <c r="E955" s="31" t="str">
        <f t="shared" ref="E955:I955" si="1226">LH22</f>
        <v/>
      </c>
      <c r="F955" s="31" t="str">
        <f t="shared" si="1226"/>
        <v/>
      </c>
      <c r="G955" s="31" t="str">
        <f t="shared" si="1226"/>
        <v/>
      </c>
      <c r="H955" s="13" t="str">
        <f t="shared" si="1226"/>
        <v/>
      </c>
      <c r="I955" s="13" t="str">
        <f t="shared" si="1226"/>
        <v/>
      </c>
      <c r="J955" s="107" t="str">
        <f t="array" ref="J955">IFERROR(IF(XLOOKUP(CONCAT(E955,F955),'MASTER PLAN'!$AB:$AB,'MASTER PLAN'!$M:$M,0,0)=0,"",XLOOKUP(CONCAT(E955,F955),'MASTER PLAN'!$AB:$AB,'MASTER PLAN'!$M:$M,0,0)),"")</f>
        <v/>
      </c>
      <c r="K955" s="107">
        <f t="shared" si="237"/>
        <v>0</v>
      </c>
      <c r="L955" s="107">
        <f t="shared" si="238"/>
        <v>0</v>
      </c>
      <c r="M955" s="105" t="s">
        <v>249</v>
      </c>
      <c r="AI955" s="42"/>
      <c r="BN955" s="42"/>
      <c r="CS955" s="42"/>
      <c r="DX955" s="42"/>
      <c r="FC955" s="42"/>
      <c r="GH955" s="42"/>
      <c r="HM955" s="42"/>
      <c r="IR955" s="42"/>
      <c r="JW955" s="42"/>
      <c r="LB955" s="42"/>
      <c r="MG955" s="42"/>
      <c r="NL955" s="42"/>
    </row>
    <row r="956" ht="15.75" customHeight="1">
      <c r="A956" s="42"/>
      <c r="D956" s="38">
        <f t="shared" si="1215"/>
        <v>46035</v>
      </c>
      <c r="E956" s="31" t="str">
        <f t="shared" ref="E956:I956" si="1227">LH23</f>
        <v/>
      </c>
      <c r="F956" s="31" t="str">
        <f t="shared" si="1227"/>
        <v/>
      </c>
      <c r="G956" s="31" t="str">
        <f t="shared" si="1227"/>
        <v/>
      </c>
      <c r="H956" s="13" t="str">
        <f t="shared" si="1227"/>
        <v/>
      </c>
      <c r="I956" s="13" t="str">
        <f t="shared" si="1227"/>
        <v/>
      </c>
      <c r="J956" s="107" t="str">
        <f t="array" ref="J956">IFERROR(IF(XLOOKUP(CONCAT(E956,F956),'MASTER PLAN'!$AB:$AB,'MASTER PLAN'!$M:$M,0,0)=0,"",XLOOKUP(CONCAT(E956,F956),'MASTER PLAN'!$AB:$AB,'MASTER PLAN'!$M:$M,0,0)),"")</f>
        <v/>
      </c>
      <c r="K956" s="107">
        <f t="shared" si="237"/>
        <v>0</v>
      </c>
      <c r="L956" s="107">
        <f t="shared" si="238"/>
        <v>0</v>
      </c>
      <c r="M956" s="105" t="s">
        <v>249</v>
      </c>
      <c r="AI956" s="42"/>
      <c r="BN956" s="42"/>
      <c r="CS956" s="42"/>
      <c r="DX956" s="42"/>
      <c r="FC956" s="42"/>
      <c r="GH956" s="42"/>
      <c r="HM956" s="42"/>
      <c r="IR956" s="42"/>
      <c r="JW956" s="42"/>
      <c r="LB956" s="42"/>
      <c r="MG956" s="42"/>
      <c r="NL956" s="42"/>
    </row>
    <row r="957" ht="15.75" customHeight="1">
      <c r="A957" s="42"/>
      <c r="D957" s="38">
        <f t="shared" si="1215"/>
        <v>46035</v>
      </c>
      <c r="E957" s="31" t="str">
        <f t="shared" ref="E957:I957" si="1228">LH24</f>
        <v/>
      </c>
      <c r="F957" s="31" t="str">
        <f t="shared" si="1228"/>
        <v/>
      </c>
      <c r="G957" s="31" t="str">
        <f t="shared" si="1228"/>
        <v/>
      </c>
      <c r="H957" s="13" t="str">
        <f t="shared" si="1228"/>
        <v/>
      </c>
      <c r="I957" s="13" t="str">
        <f t="shared" si="1228"/>
        <v/>
      </c>
      <c r="J957" s="107" t="str">
        <f t="array" ref="J957">IFERROR(IF(XLOOKUP(CONCAT(E957,F957),'MASTER PLAN'!$AB:$AB,'MASTER PLAN'!$M:$M,0,0)=0,"",XLOOKUP(CONCAT(E957,F957),'MASTER PLAN'!$AB:$AB,'MASTER PLAN'!$M:$M,0,0)),"")</f>
        <v/>
      </c>
      <c r="K957" s="107">
        <f t="shared" si="237"/>
        <v>0</v>
      </c>
      <c r="L957" s="107">
        <f t="shared" si="238"/>
        <v>0</v>
      </c>
      <c r="M957" s="105" t="s">
        <v>249</v>
      </c>
      <c r="AI957" s="42"/>
      <c r="BN957" s="42"/>
      <c r="CS957" s="42"/>
      <c r="DX957" s="42"/>
      <c r="FC957" s="42"/>
      <c r="GH957" s="42"/>
      <c r="HM957" s="42"/>
      <c r="IR957" s="42"/>
      <c r="JW957" s="42"/>
      <c r="LB957" s="42"/>
      <c r="MG957" s="42"/>
      <c r="NL957" s="42"/>
    </row>
    <row r="958" ht="15.75" customHeight="1">
      <c r="A958" s="42"/>
      <c r="D958" s="38">
        <f>LM2</f>
        <v>46036</v>
      </c>
      <c r="E958" s="31">
        <f t="shared" ref="E958:I958" si="1229">LM4</f>
        <v>1402049559</v>
      </c>
      <c r="F958" s="31">
        <f t="shared" si="1229"/>
        <v>10</v>
      </c>
      <c r="G958" s="31" t="str">
        <f t="shared" si="1229"/>
        <v>BOLSA JOYERIA GARZON 4.75"X3.5"X6"</v>
      </c>
      <c r="H958" s="13">
        <f t="shared" si="1229"/>
        <v>2000</v>
      </c>
      <c r="I958" s="13" t="str">
        <f t="shared" si="1229"/>
        <v/>
      </c>
      <c r="J958" s="107">
        <f t="array" ref="J958">IFERROR(IF(XLOOKUP(CONCAT(E958,F958),'MASTER PLAN'!$AB:$AB,'MASTER PLAN'!$M:$M,0,0)=0,"",XLOOKUP(CONCAT(E958,F958),'MASTER PLAN'!$AB:$AB,'MASTER PLAN'!$M:$M,0,0)),"")</f>
        <v>0.8</v>
      </c>
      <c r="K958" s="107">
        <f t="shared" si="237"/>
        <v>1600</v>
      </c>
      <c r="L958" s="107">
        <f t="shared" si="238"/>
        <v>0</v>
      </c>
      <c r="M958" s="105" t="s">
        <v>246</v>
      </c>
      <c r="AI958" s="42"/>
      <c r="BN958" s="42"/>
      <c r="CS958" s="42"/>
      <c r="DX958" s="42"/>
      <c r="FC958" s="42"/>
      <c r="GH958" s="42"/>
      <c r="HM958" s="42"/>
      <c r="IR958" s="42"/>
      <c r="JW958" s="42"/>
      <c r="LB958" s="42"/>
      <c r="MG958" s="42"/>
      <c r="NL958" s="42"/>
    </row>
    <row r="959" ht="15.75" customHeight="1">
      <c r="A959" s="42"/>
      <c r="D959" s="38">
        <f t="shared" ref="D959:D972" si="1231">D958</f>
        <v>46036</v>
      </c>
      <c r="E959" s="31" t="str">
        <f t="shared" ref="E959:I959" si="1230">LM5</f>
        <v/>
      </c>
      <c r="F959" s="31" t="str">
        <f t="shared" si="1230"/>
        <v/>
      </c>
      <c r="G959" s="31" t="str">
        <f t="shared" si="1230"/>
        <v/>
      </c>
      <c r="H959" s="13" t="str">
        <f t="shared" si="1230"/>
        <v/>
      </c>
      <c r="I959" s="13" t="str">
        <f t="shared" si="1230"/>
        <v/>
      </c>
      <c r="J959" s="107" t="str">
        <f t="array" ref="J959">IFERROR(IF(XLOOKUP(CONCAT(E959,F959),'MASTER PLAN'!$AB:$AB,'MASTER PLAN'!$M:$M,0,0)=0,"",XLOOKUP(CONCAT(E959,F959),'MASTER PLAN'!$AB:$AB,'MASTER PLAN'!$M:$M,0,0)),"")</f>
        <v/>
      </c>
      <c r="K959" s="107">
        <f t="shared" si="237"/>
        <v>0</v>
      </c>
      <c r="L959" s="107">
        <f t="shared" si="238"/>
        <v>0</v>
      </c>
      <c r="M959" s="105" t="s">
        <v>246</v>
      </c>
      <c r="AI959" s="42"/>
      <c r="BN959" s="42"/>
      <c r="CS959" s="42"/>
      <c r="DX959" s="42"/>
      <c r="FC959" s="42"/>
      <c r="GH959" s="42"/>
      <c r="HM959" s="42"/>
      <c r="IR959" s="42"/>
      <c r="JW959" s="42"/>
      <c r="LB959" s="42"/>
      <c r="MG959" s="42"/>
      <c r="NL959" s="42"/>
    </row>
    <row r="960" ht="15.75" customHeight="1">
      <c r="A960" s="42"/>
      <c r="D960" s="38">
        <f t="shared" si="1231"/>
        <v>46036</v>
      </c>
      <c r="E960" s="31" t="str">
        <f t="shared" ref="E960:I960" si="1232">LM6</f>
        <v/>
      </c>
      <c r="F960" s="31" t="str">
        <f t="shared" si="1232"/>
        <v/>
      </c>
      <c r="G960" s="31" t="str">
        <f t="shared" si="1232"/>
        <v/>
      </c>
      <c r="H960" s="13" t="str">
        <f t="shared" si="1232"/>
        <v/>
      </c>
      <c r="I960" s="13" t="str">
        <f t="shared" si="1232"/>
        <v/>
      </c>
      <c r="J960" s="107" t="str">
        <f t="array" ref="J960">IFERROR(IF(XLOOKUP(CONCAT(E960,F960),'MASTER PLAN'!$AB:$AB,'MASTER PLAN'!$M:$M,0,0)=0,"",XLOOKUP(CONCAT(E960,F960),'MASTER PLAN'!$AB:$AB,'MASTER PLAN'!$M:$M,0,0)),"")</f>
        <v/>
      </c>
      <c r="K960" s="107">
        <f t="shared" si="237"/>
        <v>0</v>
      </c>
      <c r="L960" s="107">
        <f t="shared" si="238"/>
        <v>0</v>
      </c>
      <c r="M960" s="105" t="s">
        <v>246</v>
      </c>
      <c r="AI960" s="42"/>
      <c r="BN960" s="42"/>
      <c r="CS960" s="42"/>
      <c r="DX960" s="42"/>
      <c r="FC960" s="42"/>
      <c r="GH960" s="42"/>
      <c r="HM960" s="42"/>
      <c r="IR960" s="42"/>
      <c r="JW960" s="42"/>
      <c r="LB960" s="42"/>
      <c r="MG960" s="42"/>
      <c r="NL960" s="42"/>
    </row>
    <row r="961" ht="15.75" customHeight="1">
      <c r="A961" s="42"/>
      <c r="D961" s="38">
        <f t="shared" si="1231"/>
        <v>46036</v>
      </c>
      <c r="E961" s="31" t="str">
        <f t="shared" ref="E961:I961" si="1233">LM7</f>
        <v/>
      </c>
      <c r="F961" s="31" t="str">
        <f t="shared" si="1233"/>
        <v/>
      </c>
      <c r="G961" s="31" t="str">
        <f t="shared" si="1233"/>
        <v/>
      </c>
      <c r="H961" s="13" t="str">
        <f t="shared" si="1233"/>
        <v/>
      </c>
      <c r="I961" s="13" t="str">
        <f t="shared" si="1233"/>
        <v/>
      </c>
      <c r="J961" s="107" t="str">
        <f t="array" ref="J961">IFERROR(IF(XLOOKUP(CONCAT(E961,F961),'MASTER PLAN'!$AB:$AB,'MASTER PLAN'!$M:$M,0,0)=0,"",XLOOKUP(CONCAT(E961,F961),'MASTER PLAN'!$AB:$AB,'MASTER PLAN'!$M:$M,0,0)),"")</f>
        <v/>
      </c>
      <c r="K961" s="107">
        <f t="shared" si="237"/>
        <v>0</v>
      </c>
      <c r="L961" s="107">
        <f t="shared" si="238"/>
        <v>0</v>
      </c>
      <c r="M961" s="105" t="s">
        <v>246</v>
      </c>
      <c r="AI961" s="42"/>
      <c r="BN961" s="42"/>
      <c r="CS961" s="42"/>
      <c r="DX961" s="42"/>
      <c r="FC961" s="42"/>
      <c r="GH961" s="42"/>
      <c r="HM961" s="42"/>
      <c r="IR961" s="42"/>
      <c r="JW961" s="42"/>
      <c r="LB961" s="42"/>
      <c r="MG961" s="42"/>
      <c r="NL961" s="42"/>
    </row>
    <row r="962" ht="15.75" customHeight="1">
      <c r="A962" s="42"/>
      <c r="D962" s="38">
        <f t="shared" si="1231"/>
        <v>46036</v>
      </c>
      <c r="E962" s="31" t="str">
        <f t="shared" ref="E962:I962" si="1234">LM8</f>
        <v/>
      </c>
      <c r="F962" s="31" t="str">
        <f t="shared" si="1234"/>
        <v/>
      </c>
      <c r="G962" s="31" t="str">
        <f t="shared" si="1234"/>
        <v/>
      </c>
      <c r="H962" s="13" t="str">
        <f t="shared" si="1234"/>
        <v/>
      </c>
      <c r="I962" s="13" t="str">
        <f t="shared" si="1234"/>
        <v/>
      </c>
      <c r="J962" s="107" t="str">
        <f t="array" ref="J962">IFERROR(IF(XLOOKUP(CONCAT(E962,F962),'MASTER PLAN'!$AB:$AB,'MASTER PLAN'!$M:$M,0,0)=0,"",XLOOKUP(CONCAT(E962,F962),'MASTER PLAN'!$AB:$AB,'MASTER PLAN'!$M:$M,0,0)),"")</f>
        <v/>
      </c>
      <c r="K962" s="107">
        <f t="shared" si="237"/>
        <v>0</v>
      </c>
      <c r="L962" s="107">
        <f t="shared" si="238"/>
        <v>0</v>
      </c>
      <c r="M962" s="105" t="s">
        <v>246</v>
      </c>
      <c r="AI962" s="42"/>
      <c r="BN962" s="42"/>
      <c r="CS962" s="42"/>
      <c r="DX962" s="42"/>
      <c r="FC962" s="42"/>
      <c r="GH962" s="42"/>
      <c r="HM962" s="42"/>
      <c r="IR962" s="42"/>
      <c r="JW962" s="42"/>
      <c r="LB962" s="42"/>
      <c r="MG962" s="42"/>
      <c r="NL962" s="42"/>
    </row>
    <row r="963" ht="15.75" customHeight="1">
      <c r="A963" s="42"/>
      <c r="D963" s="38">
        <f t="shared" si="1231"/>
        <v>46036</v>
      </c>
      <c r="E963" s="31">
        <f t="shared" ref="E963:I963" si="1235">LM12</f>
        <v>1402049568</v>
      </c>
      <c r="F963" s="31">
        <f t="shared" si="1235"/>
        <v>10</v>
      </c>
      <c r="G963" s="31" t="str">
        <f t="shared" si="1235"/>
        <v>BOLSA SILEO 10X4X8 IN</v>
      </c>
      <c r="H963" s="13">
        <f t="shared" si="1235"/>
        <v>2000</v>
      </c>
      <c r="I963" s="13" t="str">
        <f t="shared" si="1235"/>
        <v/>
      </c>
      <c r="J963" s="107">
        <f t="array" ref="J963">IFERROR(IF(XLOOKUP(CONCAT(E963,F963),'MASTER PLAN'!$AB:$AB,'MASTER PLAN'!$M:$M,0,0)=0,"",XLOOKUP(CONCAT(E963,F963),'MASTER PLAN'!$AB:$AB,'MASTER PLAN'!$M:$M,0,0)),"")</f>
        <v>1.98</v>
      </c>
      <c r="K963" s="107">
        <f t="shared" si="237"/>
        <v>3960</v>
      </c>
      <c r="L963" s="107">
        <f t="shared" si="238"/>
        <v>0</v>
      </c>
      <c r="M963" s="105" t="s">
        <v>248</v>
      </c>
      <c r="AI963" s="42"/>
      <c r="BN963" s="42"/>
      <c r="CS963" s="42"/>
      <c r="DX963" s="42"/>
      <c r="FC963" s="42"/>
      <c r="GH963" s="42"/>
      <c r="HM963" s="42"/>
      <c r="IR963" s="42"/>
      <c r="JW963" s="42"/>
      <c r="LB963" s="42"/>
      <c r="MG963" s="42"/>
      <c r="NL963" s="42"/>
    </row>
    <row r="964" ht="15.75" customHeight="1">
      <c r="A964" s="42"/>
      <c r="D964" s="38">
        <f t="shared" si="1231"/>
        <v>46036</v>
      </c>
      <c r="E964" s="31" t="str">
        <f t="shared" ref="E964:I964" si="1236">LM13</f>
        <v/>
      </c>
      <c r="F964" s="31" t="str">
        <f t="shared" si="1236"/>
        <v/>
      </c>
      <c r="G964" s="31" t="str">
        <f t="shared" si="1236"/>
        <v/>
      </c>
      <c r="H964" s="13" t="str">
        <f t="shared" si="1236"/>
        <v/>
      </c>
      <c r="I964" s="13" t="str">
        <f t="shared" si="1236"/>
        <v/>
      </c>
      <c r="J964" s="107" t="str">
        <f t="array" ref="J964">IFERROR(IF(XLOOKUP(CONCAT(E964,F964),'MASTER PLAN'!$AB:$AB,'MASTER PLAN'!$M:$M,0,0)=0,"",XLOOKUP(CONCAT(E964,F964),'MASTER PLAN'!$AB:$AB,'MASTER PLAN'!$M:$M,0,0)),"")</f>
        <v/>
      </c>
      <c r="K964" s="107">
        <f t="shared" si="237"/>
        <v>0</v>
      </c>
      <c r="L964" s="107">
        <f t="shared" si="238"/>
        <v>0</v>
      </c>
      <c r="M964" s="105" t="s">
        <v>248</v>
      </c>
      <c r="AI964" s="42"/>
      <c r="BN964" s="42"/>
      <c r="CS964" s="42"/>
      <c r="DX964" s="42"/>
      <c r="FC964" s="42"/>
      <c r="GH964" s="42"/>
      <c r="HM964" s="42"/>
      <c r="IR964" s="42"/>
      <c r="JW964" s="42"/>
      <c r="LB964" s="42"/>
      <c r="MG964" s="42"/>
      <c r="NL964" s="42"/>
    </row>
    <row r="965" ht="15.75" customHeight="1">
      <c r="A965" s="42"/>
      <c r="D965" s="38">
        <f t="shared" si="1231"/>
        <v>46036</v>
      </c>
      <c r="E965" s="31" t="str">
        <f t="shared" ref="E965:I965" si="1237">LM14</f>
        <v/>
      </c>
      <c r="F965" s="31" t="str">
        <f t="shared" si="1237"/>
        <v/>
      </c>
      <c r="G965" s="31" t="str">
        <f t="shared" si="1237"/>
        <v/>
      </c>
      <c r="H965" s="13" t="str">
        <f t="shared" si="1237"/>
        <v/>
      </c>
      <c r="I965" s="13" t="str">
        <f t="shared" si="1237"/>
        <v/>
      </c>
      <c r="J965" s="107" t="str">
        <f t="array" ref="J965">IFERROR(IF(XLOOKUP(CONCAT(E965,F965),'MASTER PLAN'!$AB:$AB,'MASTER PLAN'!$M:$M,0,0)=0,"",XLOOKUP(CONCAT(E965,F965),'MASTER PLAN'!$AB:$AB,'MASTER PLAN'!$M:$M,0,0)),"")</f>
        <v/>
      </c>
      <c r="K965" s="107">
        <f t="shared" si="237"/>
        <v>0</v>
      </c>
      <c r="L965" s="107">
        <f t="shared" si="238"/>
        <v>0</v>
      </c>
      <c r="M965" s="105" t="s">
        <v>248</v>
      </c>
      <c r="AI965" s="42"/>
      <c r="BN965" s="42"/>
      <c r="CS965" s="42"/>
      <c r="DX965" s="42"/>
      <c r="FC965" s="42"/>
      <c r="GH965" s="42"/>
      <c r="HM965" s="42"/>
      <c r="IR965" s="42"/>
      <c r="JW965" s="42"/>
      <c r="LB965" s="42"/>
      <c r="MG965" s="42"/>
      <c r="NL965" s="42"/>
    </row>
    <row r="966" ht="15.75" customHeight="1">
      <c r="A966" s="42"/>
      <c r="D966" s="38">
        <f t="shared" si="1231"/>
        <v>46036</v>
      </c>
      <c r="E966" s="31" t="str">
        <f t="shared" ref="E966:I966" si="1238">LM15</f>
        <v/>
      </c>
      <c r="F966" s="31" t="str">
        <f t="shared" si="1238"/>
        <v/>
      </c>
      <c r="G966" s="31" t="str">
        <f t="shared" si="1238"/>
        <v/>
      </c>
      <c r="H966" s="13" t="str">
        <f t="shared" si="1238"/>
        <v/>
      </c>
      <c r="I966" s="13" t="str">
        <f t="shared" si="1238"/>
        <v/>
      </c>
      <c r="J966" s="107" t="str">
        <f t="array" ref="J966">IFERROR(IF(XLOOKUP(CONCAT(E966,F966),'MASTER PLAN'!$AB:$AB,'MASTER PLAN'!$M:$M,0,0)=0,"",XLOOKUP(CONCAT(E966,F966),'MASTER PLAN'!$AB:$AB,'MASTER PLAN'!$M:$M,0,0)),"")</f>
        <v/>
      </c>
      <c r="K966" s="107">
        <f t="shared" si="237"/>
        <v>0</v>
      </c>
      <c r="L966" s="107">
        <f t="shared" si="238"/>
        <v>0</v>
      </c>
      <c r="M966" s="105" t="s">
        <v>248</v>
      </c>
      <c r="AI966" s="42"/>
      <c r="BN966" s="42"/>
      <c r="CS966" s="42"/>
      <c r="DX966" s="42"/>
      <c r="FC966" s="42"/>
      <c r="GH966" s="42"/>
      <c r="HM966" s="42"/>
      <c r="IR966" s="42"/>
      <c r="JW966" s="42"/>
      <c r="LB966" s="42"/>
      <c r="MG966" s="42"/>
      <c r="NL966" s="42"/>
    </row>
    <row r="967" ht="15.75" customHeight="1">
      <c r="A967" s="42"/>
      <c r="D967" s="38">
        <f t="shared" si="1231"/>
        <v>46036</v>
      </c>
      <c r="E967" s="31" t="str">
        <f t="shared" ref="E967:I967" si="1239">LM16</f>
        <v/>
      </c>
      <c r="F967" s="31" t="str">
        <f t="shared" si="1239"/>
        <v/>
      </c>
      <c r="G967" s="31" t="str">
        <f t="shared" si="1239"/>
        <v/>
      </c>
      <c r="H967" s="13" t="str">
        <f t="shared" si="1239"/>
        <v/>
      </c>
      <c r="I967" s="13" t="str">
        <f t="shared" si="1239"/>
        <v/>
      </c>
      <c r="J967" s="107" t="str">
        <f t="array" ref="J967">IFERROR(IF(XLOOKUP(CONCAT(E967,F967),'MASTER PLAN'!$AB:$AB,'MASTER PLAN'!$M:$M,0,0)=0,"",XLOOKUP(CONCAT(E967,F967),'MASTER PLAN'!$AB:$AB,'MASTER PLAN'!$M:$M,0,0)),"")</f>
        <v/>
      </c>
      <c r="K967" s="107">
        <f t="shared" si="237"/>
        <v>0</v>
      </c>
      <c r="L967" s="107">
        <f t="shared" si="238"/>
        <v>0</v>
      </c>
      <c r="M967" s="105" t="s">
        <v>248</v>
      </c>
      <c r="AI967" s="42"/>
      <c r="BN967" s="42"/>
      <c r="CS967" s="42"/>
      <c r="DX967" s="42"/>
      <c r="FC967" s="42"/>
      <c r="GH967" s="42"/>
      <c r="HM967" s="42"/>
      <c r="IR967" s="42"/>
      <c r="JW967" s="42"/>
      <c r="LB967" s="42"/>
      <c r="MG967" s="42"/>
      <c r="NL967" s="42"/>
    </row>
    <row r="968" ht="15.75" customHeight="1">
      <c r="A968" s="42"/>
      <c r="D968" s="38">
        <f t="shared" si="1231"/>
        <v>46036</v>
      </c>
      <c r="E968" s="31" t="str">
        <f t="shared" ref="E968:I968" si="1240">LM20</f>
        <v/>
      </c>
      <c r="F968" s="31" t="str">
        <f t="shared" si="1240"/>
        <v/>
      </c>
      <c r="G968" s="31" t="str">
        <f t="shared" si="1240"/>
        <v/>
      </c>
      <c r="H968" s="13" t="str">
        <f t="shared" si="1240"/>
        <v/>
      </c>
      <c r="I968" s="13" t="str">
        <f t="shared" si="1240"/>
        <v/>
      </c>
      <c r="J968" s="107" t="str">
        <f t="array" ref="J968">IFERROR(IF(XLOOKUP(CONCAT(E968,F968),'MASTER PLAN'!$AB:$AB,'MASTER PLAN'!$M:$M,0,0)=0,"",XLOOKUP(CONCAT(E968,F968),'MASTER PLAN'!$AB:$AB,'MASTER PLAN'!$M:$M,0,0)),"")</f>
        <v/>
      </c>
      <c r="K968" s="107">
        <f t="shared" si="237"/>
        <v>0</v>
      </c>
      <c r="L968" s="107">
        <f t="shared" si="238"/>
        <v>0</v>
      </c>
      <c r="M968" s="105" t="s">
        <v>249</v>
      </c>
      <c r="AI968" s="42"/>
      <c r="BN968" s="42"/>
      <c r="CS968" s="42"/>
      <c r="DX968" s="42"/>
      <c r="FC968" s="42"/>
      <c r="GH968" s="42"/>
      <c r="HM968" s="42"/>
      <c r="IR968" s="42"/>
      <c r="JW968" s="42"/>
      <c r="LB968" s="42"/>
      <c r="MG968" s="42"/>
      <c r="NL968" s="42"/>
    </row>
    <row r="969" ht="15.75" customHeight="1">
      <c r="A969" s="42"/>
      <c r="D969" s="38">
        <f t="shared" si="1231"/>
        <v>46036</v>
      </c>
      <c r="E969" s="31" t="str">
        <f t="shared" ref="E969:I969" si="1241">LM21</f>
        <v/>
      </c>
      <c r="F969" s="31" t="str">
        <f t="shared" si="1241"/>
        <v/>
      </c>
      <c r="G969" s="31" t="str">
        <f t="shared" si="1241"/>
        <v/>
      </c>
      <c r="H969" s="13" t="str">
        <f t="shared" si="1241"/>
        <v/>
      </c>
      <c r="I969" s="13" t="str">
        <f t="shared" si="1241"/>
        <v/>
      </c>
      <c r="J969" s="107" t="str">
        <f t="array" ref="J969">IFERROR(IF(XLOOKUP(CONCAT(E969,F969),'MASTER PLAN'!$AB:$AB,'MASTER PLAN'!$M:$M,0,0)=0,"",XLOOKUP(CONCAT(E969,F969),'MASTER PLAN'!$AB:$AB,'MASTER PLAN'!$M:$M,0,0)),"")</f>
        <v/>
      </c>
      <c r="K969" s="107">
        <f t="shared" si="237"/>
        <v>0</v>
      </c>
      <c r="L969" s="107">
        <f t="shared" si="238"/>
        <v>0</v>
      </c>
      <c r="M969" s="105" t="s">
        <v>249</v>
      </c>
      <c r="AI969" s="42"/>
      <c r="BN969" s="42"/>
      <c r="CS969" s="42"/>
      <c r="DX969" s="42"/>
      <c r="FC969" s="42"/>
      <c r="GH969" s="42"/>
      <c r="HM969" s="42"/>
      <c r="IR969" s="42"/>
      <c r="JW969" s="42"/>
      <c r="LB969" s="42"/>
      <c r="MG969" s="42"/>
      <c r="NL969" s="42"/>
    </row>
    <row r="970" ht="15.75" customHeight="1">
      <c r="A970" s="42"/>
      <c r="D970" s="38">
        <f t="shared" si="1231"/>
        <v>46036</v>
      </c>
      <c r="E970" s="31" t="str">
        <f t="shared" ref="E970:I970" si="1242">LM22</f>
        <v/>
      </c>
      <c r="F970" s="31" t="str">
        <f t="shared" si="1242"/>
        <v/>
      </c>
      <c r="G970" s="31" t="str">
        <f t="shared" si="1242"/>
        <v/>
      </c>
      <c r="H970" s="13" t="str">
        <f t="shared" si="1242"/>
        <v/>
      </c>
      <c r="I970" s="13" t="str">
        <f t="shared" si="1242"/>
        <v/>
      </c>
      <c r="J970" s="107" t="str">
        <f t="array" ref="J970">IFERROR(IF(XLOOKUP(CONCAT(E970,F970),'MASTER PLAN'!$AB:$AB,'MASTER PLAN'!$M:$M,0,0)=0,"",XLOOKUP(CONCAT(E970,F970),'MASTER PLAN'!$AB:$AB,'MASTER PLAN'!$M:$M,0,0)),"")</f>
        <v/>
      </c>
      <c r="K970" s="107">
        <f t="shared" si="237"/>
        <v>0</v>
      </c>
      <c r="L970" s="107">
        <f t="shared" si="238"/>
        <v>0</v>
      </c>
      <c r="M970" s="105" t="s">
        <v>249</v>
      </c>
      <c r="AI970" s="42"/>
      <c r="BN970" s="42"/>
      <c r="CS970" s="42"/>
      <c r="DX970" s="42"/>
      <c r="FC970" s="42"/>
      <c r="GH970" s="42"/>
      <c r="HM970" s="42"/>
      <c r="IR970" s="42"/>
      <c r="JW970" s="42"/>
      <c r="LB970" s="42"/>
      <c r="MG970" s="42"/>
      <c r="NL970" s="42"/>
    </row>
    <row r="971" ht="15.75" customHeight="1">
      <c r="A971" s="42"/>
      <c r="D971" s="38">
        <f t="shared" si="1231"/>
        <v>46036</v>
      </c>
      <c r="E971" s="31" t="str">
        <f t="shared" ref="E971:I971" si="1243">LM23</f>
        <v/>
      </c>
      <c r="F971" s="31" t="str">
        <f t="shared" si="1243"/>
        <v/>
      </c>
      <c r="G971" s="31" t="str">
        <f t="shared" si="1243"/>
        <v/>
      </c>
      <c r="H971" s="13" t="str">
        <f t="shared" si="1243"/>
        <v/>
      </c>
      <c r="I971" s="13" t="str">
        <f t="shared" si="1243"/>
        <v/>
      </c>
      <c r="J971" s="107" t="str">
        <f t="array" ref="J971">IFERROR(IF(XLOOKUP(CONCAT(E971,F971),'MASTER PLAN'!$AB:$AB,'MASTER PLAN'!$M:$M,0,0)=0,"",XLOOKUP(CONCAT(E971,F971),'MASTER PLAN'!$AB:$AB,'MASTER PLAN'!$M:$M,0,0)),"")</f>
        <v/>
      </c>
      <c r="K971" s="107">
        <f t="shared" si="237"/>
        <v>0</v>
      </c>
      <c r="L971" s="107">
        <f t="shared" si="238"/>
        <v>0</v>
      </c>
      <c r="M971" s="105" t="s">
        <v>249</v>
      </c>
      <c r="AI971" s="42"/>
      <c r="BN971" s="42"/>
      <c r="CS971" s="42"/>
      <c r="DX971" s="42"/>
      <c r="FC971" s="42"/>
      <c r="GH971" s="42"/>
      <c r="HM971" s="42"/>
      <c r="IR971" s="42"/>
      <c r="JW971" s="42"/>
      <c r="LB971" s="42"/>
      <c r="MG971" s="42"/>
      <c r="NL971" s="42"/>
    </row>
    <row r="972" ht="15.75" customHeight="1">
      <c r="A972" s="42"/>
      <c r="D972" s="38">
        <f t="shared" si="1231"/>
        <v>46036</v>
      </c>
      <c r="E972" s="31" t="str">
        <f t="shared" ref="E972:I972" si="1244">LM24</f>
        <v/>
      </c>
      <c r="F972" s="31" t="str">
        <f t="shared" si="1244"/>
        <v/>
      </c>
      <c r="G972" s="31" t="str">
        <f t="shared" si="1244"/>
        <v/>
      </c>
      <c r="H972" s="13" t="str">
        <f t="shared" si="1244"/>
        <v/>
      </c>
      <c r="I972" s="13" t="str">
        <f t="shared" si="1244"/>
        <v/>
      </c>
      <c r="J972" s="107" t="str">
        <f t="array" ref="J972">IFERROR(IF(XLOOKUP(CONCAT(E972,F972),'MASTER PLAN'!$AB:$AB,'MASTER PLAN'!$M:$M,0,0)=0,"",XLOOKUP(CONCAT(E972,F972),'MASTER PLAN'!$AB:$AB,'MASTER PLAN'!$M:$M,0,0)),"")</f>
        <v/>
      </c>
      <c r="K972" s="107">
        <f t="shared" si="237"/>
        <v>0</v>
      </c>
      <c r="L972" s="107">
        <f t="shared" si="238"/>
        <v>0</v>
      </c>
      <c r="M972" s="105" t="s">
        <v>249</v>
      </c>
      <c r="AI972" s="42"/>
      <c r="BN972" s="42"/>
      <c r="CS972" s="42"/>
      <c r="DX972" s="42"/>
      <c r="FC972" s="42"/>
      <c r="GH972" s="42"/>
      <c r="HM972" s="42"/>
      <c r="IR972" s="42"/>
      <c r="JW972" s="42"/>
      <c r="LB972" s="42"/>
      <c r="MG972" s="42"/>
      <c r="NL972" s="42"/>
    </row>
    <row r="973" ht="15.75" customHeight="1">
      <c r="A973" s="42"/>
      <c r="D973" s="38">
        <f>LR2</f>
        <v>46037</v>
      </c>
      <c r="E973" s="31" t="str">
        <f t="shared" ref="E973:I973" si="1245">LR4</f>
        <v/>
      </c>
      <c r="F973" s="31" t="str">
        <f t="shared" si="1245"/>
        <v/>
      </c>
      <c r="G973" s="31" t="str">
        <f t="shared" si="1245"/>
        <v/>
      </c>
      <c r="H973" s="13" t="str">
        <f t="shared" si="1245"/>
        <v/>
      </c>
      <c r="I973" s="13" t="str">
        <f t="shared" si="1245"/>
        <v/>
      </c>
      <c r="J973" s="107" t="str">
        <f t="array" ref="J973">IFERROR(IF(XLOOKUP(CONCAT(E973,F973),'MASTER PLAN'!$AB:$AB,'MASTER PLAN'!$M:$M,0,0)=0,"",XLOOKUP(CONCAT(E973,F973),'MASTER PLAN'!$AB:$AB,'MASTER PLAN'!$M:$M,0,0)),"")</f>
        <v/>
      </c>
      <c r="K973" s="107">
        <f t="shared" si="237"/>
        <v>0</v>
      </c>
      <c r="L973" s="107">
        <f t="shared" si="238"/>
        <v>0</v>
      </c>
      <c r="M973" s="105" t="s">
        <v>246</v>
      </c>
      <c r="AI973" s="42"/>
      <c r="BN973" s="42"/>
      <c r="CS973" s="42"/>
      <c r="DX973" s="42"/>
      <c r="FC973" s="42"/>
      <c r="GH973" s="42"/>
      <c r="HM973" s="42"/>
      <c r="IR973" s="42"/>
      <c r="JW973" s="42"/>
      <c r="LB973" s="42"/>
      <c r="MG973" s="42"/>
      <c r="NL973" s="42"/>
    </row>
    <row r="974" ht="15.75" customHeight="1">
      <c r="A974" s="42"/>
      <c r="D974" s="38">
        <f t="shared" ref="D974:D987" si="1247">D973</f>
        <v>46037</v>
      </c>
      <c r="E974" s="31" t="str">
        <f t="shared" ref="E974:I974" si="1246">LR5</f>
        <v/>
      </c>
      <c r="F974" s="31" t="str">
        <f t="shared" si="1246"/>
        <v/>
      </c>
      <c r="G974" s="31" t="str">
        <f t="shared" si="1246"/>
        <v/>
      </c>
      <c r="H974" s="13" t="str">
        <f t="shared" si="1246"/>
        <v/>
      </c>
      <c r="I974" s="13" t="str">
        <f t="shared" si="1246"/>
        <v/>
      </c>
      <c r="J974" s="107" t="str">
        <f t="array" ref="J974">IFERROR(IF(XLOOKUP(CONCAT(E974,F974),'MASTER PLAN'!$AB:$AB,'MASTER PLAN'!$M:$M,0,0)=0,"",XLOOKUP(CONCAT(E974,F974),'MASTER PLAN'!$AB:$AB,'MASTER PLAN'!$M:$M,0,0)),"")</f>
        <v/>
      </c>
      <c r="K974" s="107">
        <f t="shared" si="237"/>
        <v>0</v>
      </c>
      <c r="L974" s="107">
        <f t="shared" si="238"/>
        <v>0</v>
      </c>
      <c r="M974" s="105" t="s">
        <v>246</v>
      </c>
      <c r="AI974" s="42"/>
      <c r="BN974" s="42"/>
      <c r="CS974" s="42"/>
      <c r="DX974" s="42"/>
      <c r="FC974" s="42"/>
      <c r="GH974" s="42"/>
      <c r="HM974" s="42"/>
      <c r="IR974" s="42"/>
      <c r="JW974" s="42"/>
      <c r="LB974" s="42"/>
      <c r="MG974" s="42"/>
      <c r="NL974" s="42"/>
    </row>
    <row r="975" ht="15.75" customHeight="1">
      <c r="A975" s="42"/>
      <c r="D975" s="38">
        <f t="shared" si="1247"/>
        <v>46037</v>
      </c>
      <c r="E975" s="31" t="str">
        <f t="shared" ref="E975:I975" si="1248">LR6</f>
        <v/>
      </c>
      <c r="F975" s="31" t="str">
        <f t="shared" si="1248"/>
        <v/>
      </c>
      <c r="G975" s="31" t="str">
        <f t="shared" si="1248"/>
        <v/>
      </c>
      <c r="H975" s="13" t="str">
        <f t="shared" si="1248"/>
        <v/>
      </c>
      <c r="I975" s="13" t="str">
        <f t="shared" si="1248"/>
        <v/>
      </c>
      <c r="J975" s="107" t="str">
        <f t="array" ref="J975">IFERROR(IF(XLOOKUP(CONCAT(E975,F975),'MASTER PLAN'!$AB:$AB,'MASTER PLAN'!$M:$M,0,0)=0,"",XLOOKUP(CONCAT(E975,F975),'MASTER PLAN'!$AB:$AB,'MASTER PLAN'!$M:$M,0,0)),"")</f>
        <v/>
      </c>
      <c r="K975" s="107">
        <f t="shared" si="237"/>
        <v>0</v>
      </c>
      <c r="L975" s="107">
        <f t="shared" si="238"/>
        <v>0</v>
      </c>
      <c r="M975" s="105" t="s">
        <v>246</v>
      </c>
      <c r="AI975" s="42"/>
      <c r="BN975" s="42"/>
      <c r="CS975" s="42"/>
      <c r="DX975" s="42"/>
      <c r="FC975" s="42"/>
      <c r="GH975" s="42"/>
      <c r="HM975" s="42"/>
      <c r="IR975" s="42"/>
      <c r="JW975" s="42"/>
      <c r="LB975" s="42"/>
      <c r="MG975" s="42"/>
      <c r="NL975" s="42"/>
    </row>
    <row r="976" ht="15.75" customHeight="1">
      <c r="A976" s="42"/>
      <c r="D976" s="38">
        <f t="shared" si="1247"/>
        <v>46037</v>
      </c>
      <c r="E976" s="31" t="str">
        <f t="shared" ref="E976:I976" si="1249">LR7</f>
        <v/>
      </c>
      <c r="F976" s="31" t="str">
        <f t="shared" si="1249"/>
        <v/>
      </c>
      <c r="G976" s="31" t="str">
        <f t="shared" si="1249"/>
        <v/>
      </c>
      <c r="H976" s="13" t="str">
        <f t="shared" si="1249"/>
        <v/>
      </c>
      <c r="I976" s="13" t="str">
        <f t="shared" si="1249"/>
        <v/>
      </c>
      <c r="J976" s="107" t="str">
        <f t="array" ref="J976">IFERROR(IF(XLOOKUP(CONCAT(E976,F976),'MASTER PLAN'!$AB:$AB,'MASTER PLAN'!$M:$M,0,0)=0,"",XLOOKUP(CONCAT(E976,F976),'MASTER PLAN'!$AB:$AB,'MASTER PLAN'!$M:$M,0,0)),"")</f>
        <v/>
      </c>
      <c r="K976" s="107">
        <f t="shared" si="237"/>
        <v>0</v>
      </c>
      <c r="L976" s="107">
        <f t="shared" si="238"/>
        <v>0</v>
      </c>
      <c r="M976" s="105" t="s">
        <v>246</v>
      </c>
      <c r="AI976" s="42"/>
      <c r="BN976" s="42"/>
      <c r="CS976" s="42"/>
      <c r="DX976" s="42"/>
      <c r="FC976" s="42"/>
      <c r="GH976" s="42"/>
      <c r="HM976" s="42"/>
      <c r="IR976" s="42"/>
      <c r="JW976" s="42"/>
      <c r="LB976" s="42"/>
      <c r="MG976" s="42"/>
      <c r="NL976" s="42"/>
    </row>
    <row r="977" ht="15.75" customHeight="1">
      <c r="A977" s="42"/>
      <c r="D977" s="38">
        <f t="shared" si="1247"/>
        <v>46037</v>
      </c>
      <c r="E977" s="31" t="str">
        <f t="shared" ref="E977:I977" si="1250">LR8</f>
        <v/>
      </c>
      <c r="F977" s="31" t="str">
        <f t="shared" si="1250"/>
        <v/>
      </c>
      <c r="G977" s="31" t="str">
        <f t="shared" si="1250"/>
        <v/>
      </c>
      <c r="H977" s="13" t="str">
        <f t="shared" si="1250"/>
        <v/>
      </c>
      <c r="I977" s="13" t="str">
        <f t="shared" si="1250"/>
        <v/>
      </c>
      <c r="J977" s="107" t="str">
        <f t="array" ref="J977">IFERROR(IF(XLOOKUP(CONCAT(E977,F977),'MASTER PLAN'!$AB:$AB,'MASTER PLAN'!$M:$M,0,0)=0,"",XLOOKUP(CONCAT(E977,F977),'MASTER PLAN'!$AB:$AB,'MASTER PLAN'!$M:$M,0,0)),"")</f>
        <v/>
      </c>
      <c r="K977" s="107">
        <f t="shared" si="237"/>
        <v>0</v>
      </c>
      <c r="L977" s="107">
        <f t="shared" si="238"/>
        <v>0</v>
      </c>
      <c r="M977" s="105" t="s">
        <v>246</v>
      </c>
      <c r="AI977" s="42"/>
      <c r="BN977" s="42"/>
      <c r="CS977" s="42"/>
      <c r="DX977" s="42"/>
      <c r="FC977" s="42"/>
      <c r="GH977" s="42"/>
      <c r="HM977" s="42"/>
      <c r="IR977" s="42"/>
      <c r="JW977" s="42"/>
      <c r="LB977" s="42"/>
      <c r="MG977" s="42"/>
      <c r="NL977" s="42"/>
    </row>
    <row r="978" ht="15.75" customHeight="1">
      <c r="A978" s="42"/>
      <c r="D978" s="38">
        <f t="shared" si="1247"/>
        <v>46037</v>
      </c>
      <c r="E978" s="31" t="str">
        <f t="shared" ref="E978:I978" si="1251">LR12</f>
        <v/>
      </c>
      <c r="F978" s="31" t="str">
        <f t="shared" si="1251"/>
        <v/>
      </c>
      <c r="G978" s="31" t="str">
        <f t="shared" si="1251"/>
        <v/>
      </c>
      <c r="H978" s="13" t="str">
        <f t="shared" si="1251"/>
        <v/>
      </c>
      <c r="I978" s="13" t="str">
        <f t="shared" si="1251"/>
        <v/>
      </c>
      <c r="J978" s="107" t="str">
        <f t="array" ref="J978">IFERROR(IF(XLOOKUP(CONCAT(E978,F978),'MASTER PLAN'!$AB:$AB,'MASTER PLAN'!$M:$M,0,0)=0,"",XLOOKUP(CONCAT(E978,F978),'MASTER PLAN'!$AB:$AB,'MASTER PLAN'!$M:$M,0,0)),"")</f>
        <v/>
      </c>
      <c r="K978" s="107">
        <f t="shared" si="237"/>
        <v>0</v>
      </c>
      <c r="L978" s="107">
        <f t="shared" si="238"/>
        <v>0</v>
      </c>
      <c r="M978" s="105" t="s">
        <v>248</v>
      </c>
      <c r="AI978" s="42"/>
      <c r="BN978" s="42"/>
      <c r="CS978" s="42"/>
      <c r="DX978" s="42"/>
      <c r="FC978" s="42"/>
      <c r="GH978" s="42"/>
      <c r="HM978" s="42"/>
      <c r="IR978" s="42"/>
      <c r="JW978" s="42"/>
      <c r="LB978" s="42"/>
      <c r="MG978" s="42"/>
      <c r="NL978" s="42"/>
    </row>
    <row r="979" ht="15.75" customHeight="1">
      <c r="A979" s="42"/>
      <c r="D979" s="38">
        <f t="shared" si="1247"/>
        <v>46037</v>
      </c>
      <c r="E979" s="31" t="str">
        <f t="shared" ref="E979:I979" si="1252">LR13</f>
        <v/>
      </c>
      <c r="F979" s="31" t="str">
        <f t="shared" si="1252"/>
        <v/>
      </c>
      <c r="G979" s="31" t="str">
        <f t="shared" si="1252"/>
        <v/>
      </c>
      <c r="H979" s="13" t="str">
        <f t="shared" si="1252"/>
        <v/>
      </c>
      <c r="I979" s="13" t="str">
        <f t="shared" si="1252"/>
        <v/>
      </c>
      <c r="J979" s="107" t="str">
        <f t="array" ref="J979">IFERROR(IF(XLOOKUP(CONCAT(E979,F979),'MASTER PLAN'!$AB:$AB,'MASTER PLAN'!$M:$M,0,0)=0,"",XLOOKUP(CONCAT(E979,F979),'MASTER PLAN'!$AB:$AB,'MASTER PLAN'!$M:$M,0,0)),"")</f>
        <v/>
      </c>
      <c r="K979" s="107">
        <f t="shared" si="237"/>
        <v>0</v>
      </c>
      <c r="L979" s="107">
        <f t="shared" si="238"/>
        <v>0</v>
      </c>
      <c r="M979" s="105" t="s">
        <v>248</v>
      </c>
      <c r="AI979" s="42"/>
      <c r="BN979" s="42"/>
      <c r="CS979" s="42"/>
      <c r="DX979" s="42"/>
      <c r="FC979" s="42"/>
      <c r="GH979" s="42"/>
      <c r="HM979" s="42"/>
      <c r="IR979" s="42"/>
      <c r="JW979" s="42"/>
      <c r="LB979" s="42"/>
      <c r="MG979" s="42"/>
      <c r="NL979" s="42"/>
    </row>
    <row r="980" ht="15.75" customHeight="1">
      <c r="A980" s="42"/>
      <c r="D980" s="38">
        <f t="shared" si="1247"/>
        <v>46037</v>
      </c>
      <c r="E980" s="31" t="str">
        <f t="shared" ref="E980:I980" si="1253">LR14</f>
        <v/>
      </c>
      <c r="F980" s="31" t="str">
        <f t="shared" si="1253"/>
        <v/>
      </c>
      <c r="G980" s="31" t="str">
        <f t="shared" si="1253"/>
        <v/>
      </c>
      <c r="H980" s="13" t="str">
        <f t="shared" si="1253"/>
        <v/>
      </c>
      <c r="I980" s="13" t="str">
        <f t="shared" si="1253"/>
        <v/>
      </c>
      <c r="J980" s="107" t="str">
        <f t="array" ref="J980">IFERROR(IF(XLOOKUP(CONCAT(E980,F980),'MASTER PLAN'!$AB:$AB,'MASTER PLAN'!$M:$M,0,0)=0,"",XLOOKUP(CONCAT(E980,F980),'MASTER PLAN'!$AB:$AB,'MASTER PLAN'!$M:$M,0,0)),"")</f>
        <v/>
      </c>
      <c r="K980" s="107">
        <f t="shared" si="237"/>
        <v>0</v>
      </c>
      <c r="L980" s="107">
        <f t="shared" si="238"/>
        <v>0</v>
      </c>
      <c r="M980" s="105" t="s">
        <v>248</v>
      </c>
      <c r="AI980" s="42"/>
      <c r="BN980" s="42"/>
      <c r="CS980" s="42"/>
      <c r="DX980" s="42"/>
      <c r="FC980" s="42"/>
      <c r="GH980" s="42"/>
      <c r="HM980" s="42"/>
      <c r="IR980" s="42"/>
      <c r="JW980" s="42"/>
      <c r="LB980" s="42"/>
      <c r="MG980" s="42"/>
      <c r="NL980" s="42"/>
    </row>
    <row r="981" ht="15.75" customHeight="1">
      <c r="A981" s="42"/>
      <c r="D981" s="38">
        <f t="shared" si="1247"/>
        <v>46037</v>
      </c>
      <c r="E981" s="31" t="str">
        <f t="shared" ref="E981:I981" si="1254">LR15</f>
        <v/>
      </c>
      <c r="F981" s="31" t="str">
        <f t="shared" si="1254"/>
        <v/>
      </c>
      <c r="G981" s="31" t="str">
        <f t="shared" si="1254"/>
        <v/>
      </c>
      <c r="H981" s="13" t="str">
        <f t="shared" si="1254"/>
        <v/>
      </c>
      <c r="I981" s="13" t="str">
        <f t="shared" si="1254"/>
        <v/>
      </c>
      <c r="J981" s="107" t="str">
        <f t="array" ref="J981">IFERROR(IF(XLOOKUP(CONCAT(E981,F981),'MASTER PLAN'!$AB:$AB,'MASTER PLAN'!$M:$M,0,0)=0,"",XLOOKUP(CONCAT(E981,F981),'MASTER PLAN'!$AB:$AB,'MASTER PLAN'!$M:$M,0,0)),"")</f>
        <v/>
      </c>
      <c r="K981" s="107">
        <f t="shared" si="237"/>
        <v>0</v>
      </c>
      <c r="L981" s="107">
        <f t="shared" si="238"/>
        <v>0</v>
      </c>
      <c r="M981" s="105" t="s">
        <v>248</v>
      </c>
      <c r="AI981" s="42"/>
      <c r="BN981" s="42"/>
      <c r="CS981" s="42"/>
      <c r="DX981" s="42"/>
      <c r="FC981" s="42"/>
      <c r="GH981" s="42"/>
      <c r="HM981" s="42"/>
      <c r="IR981" s="42"/>
      <c r="JW981" s="42"/>
      <c r="LB981" s="42"/>
      <c r="MG981" s="42"/>
      <c r="NL981" s="42"/>
    </row>
    <row r="982" ht="15.75" customHeight="1">
      <c r="A982" s="42"/>
      <c r="D982" s="38">
        <f t="shared" si="1247"/>
        <v>46037</v>
      </c>
      <c r="E982" s="31" t="str">
        <f t="shared" ref="E982:I982" si="1255">LR16</f>
        <v/>
      </c>
      <c r="F982" s="31" t="str">
        <f t="shared" si="1255"/>
        <v/>
      </c>
      <c r="G982" s="31" t="str">
        <f t="shared" si="1255"/>
        <v/>
      </c>
      <c r="H982" s="13" t="str">
        <f t="shared" si="1255"/>
        <v/>
      </c>
      <c r="I982" s="13" t="str">
        <f t="shared" si="1255"/>
        <v/>
      </c>
      <c r="J982" s="107" t="str">
        <f t="array" ref="J982">IFERROR(IF(XLOOKUP(CONCAT(E982,F982),'MASTER PLAN'!$AB:$AB,'MASTER PLAN'!$M:$M,0,0)=0,"",XLOOKUP(CONCAT(E982,F982),'MASTER PLAN'!$AB:$AB,'MASTER PLAN'!$M:$M,0,0)),"")</f>
        <v/>
      </c>
      <c r="K982" s="107">
        <f t="shared" si="237"/>
        <v>0</v>
      </c>
      <c r="L982" s="107">
        <f t="shared" si="238"/>
        <v>0</v>
      </c>
      <c r="M982" s="105" t="s">
        <v>248</v>
      </c>
      <c r="AI982" s="42"/>
      <c r="BN982" s="42"/>
      <c r="CS982" s="42"/>
      <c r="DX982" s="42"/>
      <c r="FC982" s="42"/>
      <c r="GH982" s="42"/>
      <c r="HM982" s="42"/>
      <c r="IR982" s="42"/>
      <c r="JW982" s="42"/>
      <c r="LB982" s="42"/>
      <c r="MG982" s="42"/>
      <c r="NL982" s="42"/>
    </row>
    <row r="983" ht="15.75" customHeight="1">
      <c r="A983" s="42"/>
      <c r="D983" s="38">
        <f t="shared" si="1247"/>
        <v>46037</v>
      </c>
      <c r="E983" s="31" t="str">
        <f t="shared" ref="E983:I983" si="1256">LR20</f>
        <v/>
      </c>
      <c r="F983" s="31" t="str">
        <f t="shared" si="1256"/>
        <v/>
      </c>
      <c r="G983" s="31" t="str">
        <f t="shared" si="1256"/>
        <v/>
      </c>
      <c r="H983" s="13" t="str">
        <f t="shared" si="1256"/>
        <v/>
      </c>
      <c r="I983" s="13" t="str">
        <f t="shared" si="1256"/>
        <v/>
      </c>
      <c r="J983" s="107" t="str">
        <f t="array" ref="J983">IFERROR(IF(XLOOKUP(CONCAT(E983,F983),'MASTER PLAN'!$AB:$AB,'MASTER PLAN'!$M:$M,0,0)=0,"",XLOOKUP(CONCAT(E983,F983),'MASTER PLAN'!$AB:$AB,'MASTER PLAN'!$M:$M,0,0)),"")</f>
        <v/>
      </c>
      <c r="K983" s="107">
        <f t="shared" si="237"/>
        <v>0</v>
      </c>
      <c r="L983" s="107">
        <f t="shared" si="238"/>
        <v>0</v>
      </c>
      <c r="M983" s="105" t="s">
        <v>249</v>
      </c>
      <c r="AI983" s="42"/>
      <c r="BN983" s="42"/>
      <c r="CS983" s="42"/>
      <c r="DX983" s="42"/>
      <c r="FC983" s="42"/>
      <c r="GH983" s="42"/>
      <c r="HM983" s="42"/>
      <c r="IR983" s="42"/>
      <c r="JW983" s="42"/>
      <c r="LB983" s="42"/>
      <c r="MG983" s="42"/>
      <c r="NL983" s="42"/>
    </row>
    <row r="984" ht="15.75" customHeight="1">
      <c r="A984" s="42"/>
      <c r="D984" s="38">
        <f t="shared" si="1247"/>
        <v>46037</v>
      </c>
      <c r="E984" s="31" t="str">
        <f t="shared" ref="E984:I984" si="1257">LR21</f>
        <v/>
      </c>
      <c r="F984" s="31" t="str">
        <f t="shared" si="1257"/>
        <v/>
      </c>
      <c r="G984" s="31" t="str">
        <f t="shared" si="1257"/>
        <v/>
      </c>
      <c r="H984" s="13" t="str">
        <f t="shared" si="1257"/>
        <v/>
      </c>
      <c r="I984" s="13" t="str">
        <f t="shared" si="1257"/>
        <v/>
      </c>
      <c r="J984" s="107" t="str">
        <f t="array" ref="J984">IFERROR(IF(XLOOKUP(CONCAT(E984,F984),'MASTER PLAN'!$AB:$AB,'MASTER PLAN'!$M:$M,0,0)=0,"",XLOOKUP(CONCAT(E984,F984),'MASTER PLAN'!$AB:$AB,'MASTER PLAN'!$M:$M,0,0)),"")</f>
        <v/>
      </c>
      <c r="K984" s="107">
        <f t="shared" si="237"/>
        <v>0</v>
      </c>
      <c r="L984" s="107">
        <f t="shared" si="238"/>
        <v>0</v>
      </c>
      <c r="M984" s="105" t="s">
        <v>249</v>
      </c>
      <c r="AI984" s="42"/>
      <c r="BN984" s="42"/>
      <c r="CS984" s="42"/>
      <c r="DX984" s="42"/>
      <c r="FC984" s="42"/>
      <c r="GH984" s="42"/>
      <c r="HM984" s="42"/>
      <c r="IR984" s="42"/>
      <c r="JW984" s="42"/>
      <c r="LB984" s="42"/>
      <c r="MG984" s="42"/>
      <c r="NL984" s="42"/>
    </row>
    <row r="985" ht="15.75" customHeight="1">
      <c r="A985" s="42"/>
      <c r="D985" s="38">
        <f t="shared" si="1247"/>
        <v>46037</v>
      </c>
      <c r="E985" s="31" t="str">
        <f t="shared" ref="E985:I985" si="1258">LR22</f>
        <v/>
      </c>
      <c r="F985" s="31" t="str">
        <f t="shared" si="1258"/>
        <v/>
      </c>
      <c r="G985" s="31" t="str">
        <f t="shared" si="1258"/>
        <v/>
      </c>
      <c r="H985" s="13" t="str">
        <f t="shared" si="1258"/>
        <v/>
      </c>
      <c r="I985" s="13" t="str">
        <f t="shared" si="1258"/>
        <v/>
      </c>
      <c r="J985" s="107" t="str">
        <f t="array" ref="J985">IFERROR(IF(XLOOKUP(CONCAT(E985,F985),'MASTER PLAN'!$AB:$AB,'MASTER PLAN'!$M:$M,0,0)=0,"",XLOOKUP(CONCAT(E985,F985),'MASTER PLAN'!$AB:$AB,'MASTER PLAN'!$M:$M,0,0)),"")</f>
        <v/>
      </c>
      <c r="K985" s="107">
        <f t="shared" si="237"/>
        <v>0</v>
      </c>
      <c r="L985" s="107">
        <f t="shared" si="238"/>
        <v>0</v>
      </c>
      <c r="M985" s="105" t="s">
        <v>249</v>
      </c>
      <c r="AI985" s="42"/>
      <c r="BN985" s="42"/>
      <c r="CS985" s="42"/>
      <c r="DX985" s="42"/>
      <c r="FC985" s="42"/>
      <c r="GH985" s="42"/>
      <c r="HM985" s="42"/>
      <c r="IR985" s="42"/>
      <c r="JW985" s="42"/>
      <c r="LB985" s="42"/>
      <c r="MG985" s="42"/>
      <c r="NL985" s="42"/>
    </row>
    <row r="986" ht="15.75" customHeight="1">
      <c r="A986" s="42"/>
      <c r="D986" s="38">
        <f t="shared" si="1247"/>
        <v>46037</v>
      </c>
      <c r="E986" s="31" t="str">
        <f t="shared" ref="E986:I986" si="1259">LR23</f>
        <v/>
      </c>
      <c r="F986" s="31" t="str">
        <f t="shared" si="1259"/>
        <v/>
      </c>
      <c r="G986" s="31" t="str">
        <f t="shared" si="1259"/>
        <v/>
      </c>
      <c r="H986" s="13" t="str">
        <f t="shared" si="1259"/>
        <v/>
      </c>
      <c r="I986" s="13" t="str">
        <f t="shared" si="1259"/>
        <v/>
      </c>
      <c r="J986" s="107" t="str">
        <f t="array" ref="J986">IFERROR(IF(XLOOKUP(CONCAT(E986,F986),'MASTER PLAN'!$AB:$AB,'MASTER PLAN'!$M:$M,0,0)=0,"",XLOOKUP(CONCAT(E986,F986),'MASTER PLAN'!$AB:$AB,'MASTER PLAN'!$M:$M,0,0)),"")</f>
        <v/>
      </c>
      <c r="K986" s="107">
        <f t="shared" si="237"/>
        <v>0</v>
      </c>
      <c r="L986" s="107">
        <f t="shared" si="238"/>
        <v>0</v>
      </c>
      <c r="M986" s="105" t="s">
        <v>249</v>
      </c>
      <c r="AI986" s="42"/>
      <c r="BN986" s="42"/>
      <c r="CS986" s="42"/>
      <c r="DX986" s="42"/>
      <c r="FC986" s="42"/>
      <c r="GH986" s="42"/>
      <c r="HM986" s="42"/>
      <c r="IR986" s="42"/>
      <c r="JW986" s="42"/>
      <c r="LB986" s="42"/>
      <c r="MG986" s="42"/>
      <c r="NL986" s="42"/>
    </row>
    <row r="987" ht="15.75" customHeight="1">
      <c r="A987" s="42"/>
      <c r="D987" s="38">
        <f t="shared" si="1247"/>
        <v>46037</v>
      </c>
      <c r="E987" s="31" t="str">
        <f t="shared" ref="E987:I987" si="1260">LR24</f>
        <v/>
      </c>
      <c r="F987" s="31" t="str">
        <f t="shared" si="1260"/>
        <v/>
      </c>
      <c r="G987" s="31" t="str">
        <f t="shared" si="1260"/>
        <v/>
      </c>
      <c r="H987" s="13" t="str">
        <f t="shared" si="1260"/>
        <v/>
      </c>
      <c r="I987" s="13" t="str">
        <f t="shared" si="1260"/>
        <v/>
      </c>
      <c r="J987" s="107" t="str">
        <f t="array" ref="J987">IFERROR(IF(XLOOKUP(CONCAT(E987,F987),'MASTER PLAN'!$AB:$AB,'MASTER PLAN'!$M:$M,0,0)=0,"",XLOOKUP(CONCAT(E987,F987),'MASTER PLAN'!$AB:$AB,'MASTER PLAN'!$M:$M,0,0)),"")</f>
        <v/>
      </c>
      <c r="K987" s="107">
        <f t="shared" si="237"/>
        <v>0</v>
      </c>
      <c r="L987" s="107">
        <f t="shared" si="238"/>
        <v>0</v>
      </c>
      <c r="M987" s="105" t="s">
        <v>249</v>
      </c>
      <c r="AI987" s="42"/>
      <c r="BN987" s="42"/>
      <c r="CS987" s="42"/>
      <c r="DX987" s="42"/>
      <c r="FC987" s="42"/>
      <c r="GH987" s="42"/>
      <c r="HM987" s="42"/>
      <c r="IR987" s="42"/>
      <c r="JW987" s="42"/>
      <c r="LB987" s="42"/>
      <c r="MG987" s="42"/>
      <c r="NL987" s="42"/>
    </row>
    <row r="988" ht="15.75" customHeight="1">
      <c r="A988" s="42"/>
      <c r="D988" s="38">
        <f>LW2</f>
        <v>46038</v>
      </c>
      <c r="E988" s="31" t="str">
        <f t="shared" ref="E988:I988" si="1261">LW4</f>
        <v/>
      </c>
      <c r="F988" s="31" t="str">
        <f t="shared" si="1261"/>
        <v/>
      </c>
      <c r="G988" s="31" t="str">
        <f t="shared" si="1261"/>
        <v/>
      </c>
      <c r="H988" s="13" t="str">
        <f t="shared" si="1261"/>
        <v/>
      </c>
      <c r="I988" s="13" t="str">
        <f t="shared" si="1261"/>
        <v/>
      </c>
      <c r="J988" s="107" t="str">
        <f t="array" ref="J988">IFERROR(IF(XLOOKUP(CONCAT(E988,F988),'MASTER PLAN'!$AB:$AB,'MASTER PLAN'!$M:$M,0,0)=0,"",XLOOKUP(CONCAT(E988,F988),'MASTER PLAN'!$AB:$AB,'MASTER PLAN'!$M:$M,0,0)),"")</f>
        <v/>
      </c>
      <c r="K988" s="107">
        <f t="shared" si="237"/>
        <v>0</v>
      </c>
      <c r="L988" s="107">
        <f t="shared" si="238"/>
        <v>0</v>
      </c>
      <c r="M988" s="105" t="s">
        <v>246</v>
      </c>
      <c r="AI988" s="42"/>
      <c r="BN988" s="42"/>
      <c r="CS988" s="42"/>
      <c r="DX988" s="42"/>
      <c r="FC988" s="42"/>
      <c r="GH988" s="42"/>
      <c r="HM988" s="42"/>
      <c r="IR988" s="42"/>
      <c r="JW988" s="42"/>
      <c r="LB988" s="42"/>
      <c r="MG988" s="42"/>
      <c r="NL988" s="42"/>
    </row>
    <row r="989" ht="15.75" customHeight="1">
      <c r="A989" s="42"/>
      <c r="D989" s="38">
        <f t="shared" ref="D989:D1002" si="1263">D988</f>
        <v>46038</v>
      </c>
      <c r="E989" s="31" t="str">
        <f t="shared" ref="E989:I989" si="1262">LW5</f>
        <v/>
      </c>
      <c r="F989" s="31" t="str">
        <f t="shared" si="1262"/>
        <v/>
      </c>
      <c r="G989" s="31" t="str">
        <f t="shared" si="1262"/>
        <v/>
      </c>
      <c r="H989" s="13" t="str">
        <f t="shared" si="1262"/>
        <v/>
      </c>
      <c r="I989" s="13" t="str">
        <f t="shared" si="1262"/>
        <v/>
      </c>
      <c r="J989" s="107" t="str">
        <f t="array" ref="J989">IFERROR(IF(XLOOKUP(CONCAT(E989,F989),'MASTER PLAN'!$AB:$AB,'MASTER PLAN'!$M:$M,0,0)=0,"",XLOOKUP(CONCAT(E989,F989),'MASTER PLAN'!$AB:$AB,'MASTER PLAN'!$M:$M,0,0)),"")</f>
        <v/>
      </c>
      <c r="K989" s="107">
        <f t="shared" si="237"/>
        <v>0</v>
      </c>
      <c r="L989" s="107">
        <f t="shared" si="238"/>
        <v>0</v>
      </c>
      <c r="M989" s="105" t="s">
        <v>246</v>
      </c>
      <c r="AI989" s="42"/>
      <c r="BN989" s="42"/>
      <c r="CS989" s="42"/>
      <c r="DX989" s="42"/>
      <c r="FC989" s="42"/>
      <c r="GH989" s="42"/>
      <c r="HM989" s="42"/>
      <c r="IR989" s="42"/>
      <c r="JW989" s="42"/>
      <c r="LB989" s="42"/>
      <c r="MG989" s="42"/>
      <c r="NL989" s="42"/>
    </row>
    <row r="990" ht="15.75" customHeight="1">
      <c r="A990" s="42"/>
      <c r="D990" s="38">
        <f t="shared" si="1263"/>
        <v>46038</v>
      </c>
      <c r="E990" s="31" t="str">
        <f t="shared" ref="E990:I990" si="1264">LW6</f>
        <v/>
      </c>
      <c r="F990" s="31" t="str">
        <f t="shared" si="1264"/>
        <v/>
      </c>
      <c r="G990" s="31" t="str">
        <f t="shared" si="1264"/>
        <v/>
      </c>
      <c r="H990" s="13" t="str">
        <f t="shared" si="1264"/>
        <v/>
      </c>
      <c r="I990" s="13" t="str">
        <f t="shared" si="1264"/>
        <v/>
      </c>
      <c r="J990" s="107" t="str">
        <f t="array" ref="J990">IFERROR(IF(XLOOKUP(CONCAT(E990,F990),'MASTER PLAN'!$AB:$AB,'MASTER PLAN'!$M:$M,0,0)=0,"",XLOOKUP(CONCAT(E990,F990),'MASTER PLAN'!$AB:$AB,'MASTER PLAN'!$M:$M,0,0)),"")</f>
        <v/>
      </c>
      <c r="K990" s="107">
        <f t="shared" si="237"/>
        <v>0</v>
      </c>
      <c r="L990" s="107">
        <f t="shared" si="238"/>
        <v>0</v>
      </c>
      <c r="M990" s="105" t="s">
        <v>246</v>
      </c>
      <c r="AI990" s="42"/>
      <c r="BN990" s="42"/>
      <c r="CS990" s="42"/>
      <c r="DX990" s="42"/>
      <c r="FC990" s="42"/>
      <c r="GH990" s="42"/>
      <c r="HM990" s="42"/>
      <c r="IR990" s="42"/>
      <c r="JW990" s="42"/>
      <c r="LB990" s="42"/>
      <c r="MG990" s="42"/>
      <c r="NL990" s="42"/>
    </row>
    <row r="991" ht="15.75" customHeight="1">
      <c r="A991" s="42"/>
      <c r="D991" s="38">
        <f t="shared" si="1263"/>
        <v>46038</v>
      </c>
      <c r="E991" s="31" t="str">
        <f t="shared" ref="E991:I991" si="1265">LW7</f>
        <v/>
      </c>
      <c r="F991" s="31" t="str">
        <f t="shared" si="1265"/>
        <v/>
      </c>
      <c r="G991" s="31" t="str">
        <f t="shared" si="1265"/>
        <v/>
      </c>
      <c r="H991" s="13" t="str">
        <f t="shared" si="1265"/>
        <v/>
      </c>
      <c r="I991" s="13" t="str">
        <f t="shared" si="1265"/>
        <v/>
      </c>
      <c r="J991" s="107" t="str">
        <f t="array" ref="J991">IFERROR(IF(XLOOKUP(CONCAT(E991,F991),'MASTER PLAN'!$AB:$AB,'MASTER PLAN'!$M:$M,0,0)=0,"",XLOOKUP(CONCAT(E991,F991),'MASTER PLAN'!$AB:$AB,'MASTER PLAN'!$M:$M,0,0)),"")</f>
        <v/>
      </c>
      <c r="K991" s="107">
        <f t="shared" si="237"/>
        <v>0</v>
      </c>
      <c r="L991" s="107">
        <f t="shared" si="238"/>
        <v>0</v>
      </c>
      <c r="M991" s="105" t="s">
        <v>246</v>
      </c>
      <c r="AI991" s="42"/>
      <c r="BN991" s="42"/>
      <c r="CS991" s="42"/>
      <c r="DX991" s="42"/>
      <c r="FC991" s="42"/>
      <c r="GH991" s="42"/>
      <c r="HM991" s="42"/>
      <c r="IR991" s="42"/>
      <c r="JW991" s="42"/>
      <c r="LB991" s="42"/>
      <c r="MG991" s="42"/>
      <c r="NL991" s="42"/>
    </row>
    <row r="992" ht="15.75" customHeight="1">
      <c r="A992" s="42"/>
      <c r="D992" s="38">
        <f t="shared" si="1263"/>
        <v>46038</v>
      </c>
      <c r="E992" s="31" t="str">
        <f t="shared" ref="E992:I992" si="1266">LW8</f>
        <v/>
      </c>
      <c r="F992" s="31" t="str">
        <f t="shared" si="1266"/>
        <v/>
      </c>
      <c r="G992" s="31" t="str">
        <f t="shared" si="1266"/>
        <v/>
      </c>
      <c r="H992" s="13" t="str">
        <f t="shared" si="1266"/>
        <v/>
      </c>
      <c r="I992" s="13" t="str">
        <f t="shared" si="1266"/>
        <v/>
      </c>
      <c r="J992" s="107" t="str">
        <f t="array" ref="J992">IFERROR(IF(XLOOKUP(CONCAT(E992,F992),'MASTER PLAN'!$AB:$AB,'MASTER PLAN'!$M:$M,0,0)=0,"",XLOOKUP(CONCAT(E992,F992),'MASTER PLAN'!$AB:$AB,'MASTER PLAN'!$M:$M,0,0)),"")</f>
        <v/>
      </c>
      <c r="K992" s="107">
        <f t="shared" si="237"/>
        <v>0</v>
      </c>
      <c r="L992" s="107">
        <f t="shared" si="238"/>
        <v>0</v>
      </c>
      <c r="M992" s="105" t="s">
        <v>246</v>
      </c>
      <c r="AI992" s="42"/>
      <c r="BN992" s="42"/>
      <c r="CS992" s="42"/>
      <c r="DX992" s="42"/>
      <c r="FC992" s="42"/>
      <c r="GH992" s="42"/>
      <c r="HM992" s="42"/>
      <c r="IR992" s="42"/>
      <c r="JW992" s="42"/>
      <c r="LB992" s="42"/>
      <c r="MG992" s="42"/>
      <c r="NL992" s="42"/>
    </row>
    <row r="993" ht="15.75" customHeight="1">
      <c r="A993" s="42"/>
      <c r="D993" s="38">
        <f t="shared" si="1263"/>
        <v>46038</v>
      </c>
      <c r="E993" s="31" t="str">
        <f t="shared" ref="E993:I993" si="1267">LW12</f>
        <v/>
      </c>
      <c r="F993" s="31" t="str">
        <f t="shared" si="1267"/>
        <v/>
      </c>
      <c r="G993" s="31" t="str">
        <f t="shared" si="1267"/>
        <v/>
      </c>
      <c r="H993" s="13" t="str">
        <f t="shared" si="1267"/>
        <v/>
      </c>
      <c r="I993" s="13" t="str">
        <f t="shared" si="1267"/>
        <v/>
      </c>
      <c r="J993" s="107" t="str">
        <f t="array" ref="J993">IFERROR(IF(XLOOKUP(CONCAT(E993,F993),'MASTER PLAN'!$AB:$AB,'MASTER PLAN'!$M:$M,0,0)=0,"",XLOOKUP(CONCAT(E993,F993),'MASTER PLAN'!$AB:$AB,'MASTER PLAN'!$M:$M,0,0)),"")</f>
        <v/>
      </c>
      <c r="K993" s="107">
        <f t="shared" si="237"/>
        <v>0</v>
      </c>
      <c r="L993" s="107">
        <f t="shared" si="238"/>
        <v>0</v>
      </c>
      <c r="M993" s="105" t="s">
        <v>248</v>
      </c>
      <c r="AI993" s="42"/>
      <c r="BN993" s="42"/>
      <c r="CS993" s="42"/>
      <c r="DX993" s="42"/>
      <c r="FC993" s="42"/>
      <c r="GH993" s="42"/>
      <c r="HM993" s="42"/>
      <c r="IR993" s="42"/>
      <c r="JW993" s="42"/>
      <c r="LB993" s="42"/>
      <c r="MG993" s="42"/>
      <c r="NL993" s="42"/>
    </row>
    <row r="994" ht="15.75" customHeight="1">
      <c r="A994" s="42"/>
      <c r="D994" s="38">
        <f t="shared" si="1263"/>
        <v>46038</v>
      </c>
      <c r="E994" s="31" t="str">
        <f t="shared" ref="E994:I994" si="1268">LW13</f>
        <v/>
      </c>
      <c r="F994" s="31" t="str">
        <f t="shared" si="1268"/>
        <v/>
      </c>
      <c r="G994" s="31" t="str">
        <f t="shared" si="1268"/>
        <v/>
      </c>
      <c r="H994" s="13" t="str">
        <f t="shared" si="1268"/>
        <v/>
      </c>
      <c r="I994" s="13" t="str">
        <f t="shared" si="1268"/>
        <v/>
      </c>
      <c r="J994" s="107" t="str">
        <f t="array" ref="J994">IFERROR(IF(XLOOKUP(CONCAT(E994,F994),'MASTER PLAN'!$AB:$AB,'MASTER PLAN'!$M:$M,0,0)=0,"",XLOOKUP(CONCAT(E994,F994),'MASTER PLAN'!$AB:$AB,'MASTER PLAN'!$M:$M,0,0)),"")</f>
        <v/>
      </c>
      <c r="K994" s="107">
        <f t="shared" si="237"/>
        <v>0</v>
      </c>
      <c r="L994" s="107">
        <f t="shared" si="238"/>
        <v>0</v>
      </c>
      <c r="M994" s="105" t="s">
        <v>248</v>
      </c>
      <c r="AI994" s="42"/>
      <c r="BN994" s="42"/>
      <c r="CS994" s="42"/>
      <c r="DX994" s="42"/>
      <c r="FC994" s="42"/>
      <c r="GH994" s="42"/>
      <c r="HM994" s="42"/>
      <c r="IR994" s="42"/>
      <c r="JW994" s="42"/>
      <c r="LB994" s="42"/>
      <c r="MG994" s="42"/>
      <c r="NL994" s="42"/>
    </row>
    <row r="995" ht="15.75" customHeight="1">
      <c r="A995" s="42"/>
      <c r="D995" s="38">
        <f t="shared" si="1263"/>
        <v>46038</v>
      </c>
      <c r="E995" s="31" t="str">
        <f t="shared" ref="E995:I995" si="1269">LW14</f>
        <v/>
      </c>
      <c r="F995" s="31" t="str">
        <f t="shared" si="1269"/>
        <v/>
      </c>
      <c r="G995" s="31" t="str">
        <f t="shared" si="1269"/>
        <v/>
      </c>
      <c r="H995" s="13" t="str">
        <f t="shared" si="1269"/>
        <v/>
      </c>
      <c r="I995" s="13" t="str">
        <f t="shared" si="1269"/>
        <v/>
      </c>
      <c r="J995" s="107" t="str">
        <f t="array" ref="J995">IFERROR(IF(XLOOKUP(CONCAT(E995,F995),'MASTER PLAN'!$AB:$AB,'MASTER PLAN'!$M:$M,0,0)=0,"",XLOOKUP(CONCAT(E995,F995),'MASTER PLAN'!$AB:$AB,'MASTER PLAN'!$M:$M,0,0)),"")</f>
        <v/>
      </c>
      <c r="K995" s="107">
        <f t="shared" si="237"/>
        <v>0</v>
      </c>
      <c r="L995" s="107">
        <f t="shared" si="238"/>
        <v>0</v>
      </c>
      <c r="M995" s="105" t="s">
        <v>248</v>
      </c>
      <c r="AI995" s="42"/>
      <c r="BN995" s="42"/>
      <c r="CS995" s="42"/>
      <c r="DX995" s="42"/>
      <c r="FC995" s="42"/>
      <c r="GH995" s="42"/>
      <c r="HM995" s="42"/>
      <c r="IR995" s="42"/>
      <c r="JW995" s="42"/>
      <c r="LB995" s="42"/>
      <c r="MG995" s="42"/>
      <c r="NL995" s="42"/>
    </row>
    <row r="996" ht="15.75" customHeight="1">
      <c r="A996" s="42"/>
      <c r="D996" s="38">
        <f t="shared" si="1263"/>
        <v>46038</v>
      </c>
      <c r="E996" s="31" t="str">
        <f t="shared" ref="E996:I996" si="1270">LW15</f>
        <v/>
      </c>
      <c r="F996" s="31" t="str">
        <f t="shared" si="1270"/>
        <v/>
      </c>
      <c r="G996" s="31" t="str">
        <f t="shared" si="1270"/>
        <v/>
      </c>
      <c r="H996" s="13" t="str">
        <f t="shared" si="1270"/>
        <v/>
      </c>
      <c r="I996" s="13" t="str">
        <f t="shared" si="1270"/>
        <v/>
      </c>
      <c r="J996" s="107" t="str">
        <f t="array" ref="J996">IFERROR(IF(XLOOKUP(CONCAT(E996,F996),'MASTER PLAN'!$AB:$AB,'MASTER PLAN'!$M:$M,0,0)=0,"",XLOOKUP(CONCAT(E996,F996),'MASTER PLAN'!$AB:$AB,'MASTER PLAN'!$M:$M,0,0)),"")</f>
        <v/>
      </c>
      <c r="K996" s="107">
        <f t="shared" si="237"/>
        <v>0</v>
      </c>
      <c r="L996" s="107">
        <f t="shared" si="238"/>
        <v>0</v>
      </c>
      <c r="M996" s="105" t="s">
        <v>248</v>
      </c>
      <c r="AI996" s="42"/>
      <c r="BN996" s="42"/>
      <c r="CS996" s="42"/>
      <c r="DX996" s="42"/>
      <c r="FC996" s="42"/>
      <c r="GH996" s="42"/>
      <c r="HM996" s="42"/>
      <c r="IR996" s="42"/>
      <c r="JW996" s="42"/>
      <c r="LB996" s="42"/>
      <c r="MG996" s="42"/>
      <c r="NL996" s="42"/>
    </row>
    <row r="997" ht="15.75" customHeight="1">
      <c r="A997" s="42"/>
      <c r="D997" s="38">
        <f t="shared" si="1263"/>
        <v>46038</v>
      </c>
      <c r="E997" s="31" t="str">
        <f t="shared" ref="E997:I997" si="1271">LW16</f>
        <v/>
      </c>
      <c r="F997" s="31" t="str">
        <f t="shared" si="1271"/>
        <v/>
      </c>
      <c r="G997" s="31" t="str">
        <f t="shared" si="1271"/>
        <v/>
      </c>
      <c r="H997" s="13" t="str">
        <f t="shared" si="1271"/>
        <v/>
      </c>
      <c r="I997" s="13" t="str">
        <f t="shared" si="1271"/>
        <v/>
      </c>
      <c r="J997" s="107" t="str">
        <f t="array" ref="J997">IFERROR(IF(XLOOKUP(CONCAT(E997,F997),'MASTER PLAN'!$AB:$AB,'MASTER PLAN'!$M:$M,0,0)=0,"",XLOOKUP(CONCAT(E997,F997),'MASTER PLAN'!$AB:$AB,'MASTER PLAN'!$M:$M,0,0)),"")</f>
        <v/>
      </c>
      <c r="K997" s="107">
        <f t="shared" si="237"/>
        <v>0</v>
      </c>
      <c r="L997" s="107">
        <f t="shared" si="238"/>
        <v>0</v>
      </c>
      <c r="M997" s="105" t="s">
        <v>248</v>
      </c>
      <c r="AI997" s="42"/>
      <c r="BN997" s="42"/>
      <c r="CS997" s="42"/>
      <c r="DX997" s="42"/>
      <c r="FC997" s="42"/>
      <c r="GH997" s="42"/>
      <c r="HM997" s="42"/>
      <c r="IR997" s="42"/>
      <c r="JW997" s="42"/>
      <c r="LB997" s="42"/>
      <c r="MG997" s="42"/>
      <c r="NL997" s="42"/>
    </row>
    <row r="998" ht="15.75" customHeight="1">
      <c r="A998" s="42"/>
      <c r="D998" s="38">
        <f t="shared" si="1263"/>
        <v>46038</v>
      </c>
      <c r="E998" s="31" t="str">
        <f t="shared" ref="E998:I998" si="1272">LW20</f>
        <v/>
      </c>
      <c r="F998" s="31" t="str">
        <f t="shared" si="1272"/>
        <v/>
      </c>
      <c r="G998" s="31" t="str">
        <f t="shared" si="1272"/>
        <v/>
      </c>
      <c r="H998" s="13" t="str">
        <f t="shared" si="1272"/>
        <v/>
      </c>
      <c r="I998" s="13" t="str">
        <f t="shared" si="1272"/>
        <v/>
      </c>
      <c r="J998" s="107" t="str">
        <f t="array" ref="J998">IFERROR(IF(XLOOKUP(CONCAT(E998,F998),'MASTER PLAN'!$AB:$AB,'MASTER PLAN'!$M:$M,0,0)=0,"",XLOOKUP(CONCAT(E998,F998),'MASTER PLAN'!$AB:$AB,'MASTER PLAN'!$M:$M,0,0)),"")</f>
        <v/>
      </c>
      <c r="K998" s="107">
        <f t="shared" si="237"/>
        <v>0</v>
      </c>
      <c r="L998" s="107">
        <f t="shared" si="238"/>
        <v>0</v>
      </c>
      <c r="M998" s="105" t="s">
        <v>249</v>
      </c>
      <c r="AI998" s="42"/>
      <c r="BN998" s="42"/>
      <c r="CS998" s="42"/>
      <c r="DX998" s="42"/>
      <c r="FC998" s="42"/>
      <c r="GH998" s="42"/>
      <c r="HM998" s="42"/>
      <c r="IR998" s="42"/>
      <c r="JW998" s="42"/>
      <c r="LB998" s="42"/>
      <c r="MG998" s="42"/>
      <c r="NL998" s="42"/>
    </row>
    <row r="999" ht="15.75" customHeight="1">
      <c r="A999" s="42"/>
      <c r="D999" s="38">
        <f t="shared" si="1263"/>
        <v>46038</v>
      </c>
      <c r="E999" s="31" t="str">
        <f t="shared" ref="E999:I999" si="1273">LW21</f>
        <v/>
      </c>
      <c r="F999" s="31" t="str">
        <f t="shared" si="1273"/>
        <v/>
      </c>
      <c r="G999" s="31" t="str">
        <f t="shared" si="1273"/>
        <v/>
      </c>
      <c r="H999" s="13" t="str">
        <f t="shared" si="1273"/>
        <v/>
      </c>
      <c r="I999" s="13" t="str">
        <f t="shared" si="1273"/>
        <v/>
      </c>
      <c r="J999" s="107" t="str">
        <f t="array" ref="J999">IFERROR(IF(XLOOKUP(CONCAT(E999,F999),'MASTER PLAN'!$AB:$AB,'MASTER PLAN'!$M:$M,0,0)=0,"",XLOOKUP(CONCAT(E999,F999),'MASTER PLAN'!$AB:$AB,'MASTER PLAN'!$M:$M,0,0)),"")</f>
        <v/>
      </c>
      <c r="K999" s="107">
        <f t="shared" si="237"/>
        <v>0</v>
      </c>
      <c r="L999" s="107">
        <f t="shared" si="238"/>
        <v>0</v>
      </c>
      <c r="M999" s="105" t="s">
        <v>249</v>
      </c>
      <c r="AI999" s="42"/>
      <c r="BN999" s="42"/>
      <c r="CS999" s="42"/>
      <c r="DX999" s="42"/>
      <c r="FC999" s="42"/>
      <c r="GH999" s="42"/>
      <c r="HM999" s="42"/>
      <c r="IR999" s="42"/>
      <c r="JW999" s="42"/>
      <c r="LB999" s="42"/>
      <c r="MG999" s="42"/>
      <c r="NL999" s="42"/>
    </row>
    <row r="1000" ht="15.75" customHeight="1">
      <c r="A1000" s="42"/>
      <c r="D1000" s="38">
        <f t="shared" si="1263"/>
        <v>46038</v>
      </c>
      <c r="E1000" s="31" t="str">
        <f t="shared" ref="E1000:I1000" si="1274">LW22</f>
        <v/>
      </c>
      <c r="F1000" s="31" t="str">
        <f t="shared" si="1274"/>
        <v/>
      </c>
      <c r="G1000" s="31" t="str">
        <f t="shared" si="1274"/>
        <v/>
      </c>
      <c r="H1000" s="13" t="str">
        <f t="shared" si="1274"/>
        <v/>
      </c>
      <c r="I1000" s="13" t="str">
        <f t="shared" si="1274"/>
        <v/>
      </c>
      <c r="J1000" s="107" t="str">
        <f t="array" ref="J1000">IFERROR(IF(XLOOKUP(CONCAT(E1000,F1000),'MASTER PLAN'!$AB:$AB,'MASTER PLAN'!$M:$M,0,0)=0,"",XLOOKUP(CONCAT(E1000,F1000),'MASTER PLAN'!$AB:$AB,'MASTER PLAN'!$M:$M,0,0)),"")</f>
        <v/>
      </c>
      <c r="K1000" s="107">
        <f t="shared" si="237"/>
        <v>0</v>
      </c>
      <c r="L1000" s="107">
        <f t="shared" si="238"/>
        <v>0</v>
      </c>
      <c r="M1000" s="105" t="s">
        <v>249</v>
      </c>
      <c r="AI1000" s="42"/>
      <c r="BN1000" s="42"/>
      <c r="CS1000" s="42"/>
      <c r="DX1000" s="42"/>
      <c r="FC1000" s="42"/>
      <c r="GH1000" s="42"/>
      <c r="HM1000" s="42"/>
      <c r="IR1000" s="42"/>
      <c r="JW1000" s="42"/>
      <c r="LB1000" s="42"/>
      <c r="MG1000" s="42"/>
      <c r="NL1000" s="42"/>
    </row>
    <row r="1001" ht="15.75" customHeight="1">
      <c r="A1001" s="42"/>
      <c r="D1001" s="38">
        <f t="shared" si="1263"/>
        <v>46038</v>
      </c>
      <c r="E1001" s="31" t="str">
        <f t="shared" ref="E1001:I1001" si="1275">LW23</f>
        <v/>
      </c>
      <c r="F1001" s="31" t="str">
        <f t="shared" si="1275"/>
        <v/>
      </c>
      <c r="G1001" s="31" t="str">
        <f t="shared" si="1275"/>
        <v/>
      </c>
      <c r="H1001" s="13" t="str">
        <f t="shared" si="1275"/>
        <v/>
      </c>
      <c r="I1001" s="13" t="str">
        <f t="shared" si="1275"/>
        <v/>
      </c>
      <c r="J1001" s="107" t="str">
        <f t="array" ref="J1001">IFERROR(IF(XLOOKUP(CONCAT(E1001,F1001),'MASTER PLAN'!$AB:$AB,'MASTER PLAN'!$M:$M,0,0)=0,"",XLOOKUP(CONCAT(E1001,F1001),'MASTER PLAN'!$AB:$AB,'MASTER PLAN'!$M:$M,0,0)),"")</f>
        <v/>
      </c>
      <c r="K1001" s="107">
        <f t="shared" si="237"/>
        <v>0</v>
      </c>
      <c r="L1001" s="107">
        <f t="shared" si="238"/>
        <v>0</v>
      </c>
      <c r="M1001" s="105" t="s">
        <v>249</v>
      </c>
      <c r="AI1001" s="42"/>
      <c r="BN1001" s="42"/>
      <c r="CS1001" s="42"/>
      <c r="DX1001" s="42"/>
      <c r="FC1001" s="42"/>
      <c r="GH1001" s="42"/>
      <c r="HM1001" s="42"/>
      <c r="IR1001" s="42"/>
      <c r="JW1001" s="42"/>
      <c r="LB1001" s="42"/>
      <c r="MG1001" s="42"/>
      <c r="NL1001" s="42"/>
    </row>
    <row r="1002" ht="15.75" customHeight="1">
      <c r="A1002" s="42"/>
      <c r="D1002" s="38">
        <f t="shared" si="1263"/>
        <v>46038</v>
      </c>
      <c r="E1002" s="31" t="str">
        <f t="shared" ref="E1002:I1002" si="1276">LW24</f>
        <v/>
      </c>
      <c r="F1002" s="31" t="str">
        <f t="shared" si="1276"/>
        <v/>
      </c>
      <c r="G1002" s="31" t="str">
        <f t="shared" si="1276"/>
        <v/>
      </c>
      <c r="H1002" s="13" t="str">
        <f t="shared" si="1276"/>
        <v/>
      </c>
      <c r="I1002" s="13" t="str">
        <f t="shared" si="1276"/>
        <v/>
      </c>
      <c r="J1002" s="107" t="str">
        <f t="array" ref="J1002">IFERROR(IF(XLOOKUP(CONCAT(E1002,F1002),'MASTER PLAN'!$AB:$AB,'MASTER PLAN'!$M:$M,0,0)=0,"",XLOOKUP(CONCAT(E1002,F1002),'MASTER PLAN'!$AB:$AB,'MASTER PLAN'!$M:$M,0,0)),"")</f>
        <v/>
      </c>
      <c r="K1002" s="107">
        <f t="shared" si="237"/>
        <v>0</v>
      </c>
      <c r="L1002" s="107">
        <f t="shared" si="238"/>
        <v>0</v>
      </c>
      <c r="M1002" s="105" t="s">
        <v>249</v>
      </c>
      <c r="AI1002" s="42"/>
      <c r="BN1002" s="42"/>
      <c r="CS1002" s="42"/>
      <c r="DX1002" s="42"/>
      <c r="FC1002" s="42"/>
      <c r="GH1002" s="42"/>
      <c r="HM1002" s="42"/>
      <c r="IR1002" s="42"/>
      <c r="JW1002" s="42"/>
      <c r="LB1002" s="42"/>
      <c r="MG1002" s="42"/>
      <c r="NL1002" s="42"/>
    </row>
    <row r="1003" ht="15.75" customHeight="1">
      <c r="A1003" s="42"/>
      <c r="D1003" s="38">
        <f>MB2</f>
        <v>46039</v>
      </c>
      <c r="E1003" s="31" t="str">
        <f t="shared" ref="E1003:I1003" si="1277">MB4</f>
        <v/>
      </c>
      <c r="F1003" s="31" t="str">
        <f t="shared" si="1277"/>
        <v/>
      </c>
      <c r="G1003" s="31" t="str">
        <f t="shared" si="1277"/>
        <v/>
      </c>
      <c r="H1003" s="13" t="str">
        <f t="shared" si="1277"/>
        <v/>
      </c>
      <c r="I1003" s="13" t="str">
        <f t="shared" si="1277"/>
        <v/>
      </c>
      <c r="J1003" s="107" t="str">
        <f t="array" ref="J1003">IFERROR(IF(XLOOKUP(CONCAT(E1003,F1003),'MASTER PLAN'!$AB:$AB,'MASTER PLAN'!$M:$M,0,0)=0,"",XLOOKUP(CONCAT(E1003,F1003),'MASTER PLAN'!$AB:$AB,'MASTER PLAN'!$M:$M,0,0)),"")</f>
        <v/>
      </c>
      <c r="K1003" s="107">
        <f t="shared" si="237"/>
        <v>0</v>
      </c>
      <c r="L1003" s="107">
        <f t="shared" si="238"/>
        <v>0</v>
      </c>
      <c r="M1003" s="105" t="s">
        <v>246</v>
      </c>
      <c r="AI1003" s="42"/>
      <c r="BN1003" s="42"/>
      <c r="CS1003" s="42"/>
      <c r="DX1003" s="42"/>
      <c r="FC1003" s="42"/>
      <c r="GH1003" s="42"/>
      <c r="HM1003" s="42"/>
      <c r="IR1003" s="42"/>
      <c r="JW1003" s="42"/>
      <c r="LB1003" s="42"/>
      <c r="MG1003" s="42"/>
      <c r="NL1003" s="42"/>
    </row>
    <row r="1004" ht="15.75" customHeight="1">
      <c r="A1004" s="42"/>
      <c r="D1004" s="38">
        <f t="shared" ref="D1004:D1017" si="1279">D1003</f>
        <v>46039</v>
      </c>
      <c r="E1004" s="31" t="str">
        <f t="shared" ref="E1004:I1004" si="1278">MB5</f>
        <v/>
      </c>
      <c r="F1004" s="31" t="str">
        <f t="shared" si="1278"/>
        <v/>
      </c>
      <c r="G1004" s="31" t="str">
        <f t="shared" si="1278"/>
        <v/>
      </c>
      <c r="H1004" s="13" t="str">
        <f t="shared" si="1278"/>
        <v/>
      </c>
      <c r="I1004" s="13" t="str">
        <f t="shared" si="1278"/>
        <v/>
      </c>
      <c r="J1004" s="107" t="str">
        <f t="array" ref="J1004">IFERROR(IF(XLOOKUP(CONCAT(E1004,F1004),'MASTER PLAN'!$AB:$AB,'MASTER PLAN'!$M:$M,0,0)=0,"",XLOOKUP(CONCAT(E1004,F1004),'MASTER PLAN'!$AB:$AB,'MASTER PLAN'!$M:$M,0,0)),"")</f>
        <v/>
      </c>
      <c r="K1004" s="107">
        <f t="shared" si="237"/>
        <v>0</v>
      </c>
      <c r="L1004" s="107">
        <f t="shared" si="238"/>
        <v>0</v>
      </c>
      <c r="M1004" s="105" t="s">
        <v>246</v>
      </c>
      <c r="AI1004" s="42"/>
      <c r="BN1004" s="42"/>
      <c r="CS1004" s="42"/>
      <c r="DX1004" s="42"/>
      <c r="FC1004" s="42"/>
      <c r="GH1004" s="42"/>
      <c r="HM1004" s="42"/>
      <c r="IR1004" s="42"/>
      <c r="JW1004" s="42"/>
      <c r="LB1004" s="42"/>
      <c r="MG1004" s="42"/>
      <c r="NL1004" s="42"/>
    </row>
    <row r="1005" ht="15.75" customHeight="1">
      <c r="A1005" s="42"/>
      <c r="D1005" s="38">
        <f t="shared" si="1279"/>
        <v>46039</v>
      </c>
      <c r="E1005" s="31" t="str">
        <f t="shared" ref="E1005:I1005" si="1280">MB6</f>
        <v/>
      </c>
      <c r="F1005" s="31" t="str">
        <f t="shared" si="1280"/>
        <v/>
      </c>
      <c r="G1005" s="31" t="str">
        <f t="shared" si="1280"/>
        <v/>
      </c>
      <c r="H1005" s="13" t="str">
        <f t="shared" si="1280"/>
        <v/>
      </c>
      <c r="I1005" s="13" t="str">
        <f t="shared" si="1280"/>
        <v/>
      </c>
      <c r="J1005" s="107" t="str">
        <f t="array" ref="J1005">IFERROR(IF(XLOOKUP(CONCAT(E1005,F1005),'MASTER PLAN'!$AB:$AB,'MASTER PLAN'!$M:$M,0,0)=0,"",XLOOKUP(CONCAT(E1005,F1005),'MASTER PLAN'!$AB:$AB,'MASTER PLAN'!$M:$M,0,0)),"")</f>
        <v/>
      </c>
      <c r="K1005" s="107">
        <f t="shared" si="237"/>
        <v>0</v>
      </c>
      <c r="L1005" s="107">
        <f t="shared" si="238"/>
        <v>0</v>
      </c>
      <c r="M1005" s="105" t="s">
        <v>246</v>
      </c>
      <c r="AI1005" s="42"/>
      <c r="BN1005" s="42"/>
      <c r="CS1005" s="42"/>
      <c r="DX1005" s="42"/>
      <c r="FC1005" s="42"/>
      <c r="GH1005" s="42"/>
      <c r="HM1005" s="42"/>
      <c r="IR1005" s="42"/>
      <c r="JW1005" s="42"/>
      <c r="LB1005" s="42"/>
      <c r="MG1005" s="42"/>
      <c r="NL1005" s="42"/>
    </row>
    <row r="1006" ht="15.75" customHeight="1">
      <c r="A1006" s="42"/>
      <c r="D1006" s="38">
        <f t="shared" si="1279"/>
        <v>46039</v>
      </c>
      <c r="E1006" s="31" t="str">
        <f t="shared" ref="E1006:I1006" si="1281">MB7</f>
        <v/>
      </c>
      <c r="F1006" s="31" t="str">
        <f t="shared" si="1281"/>
        <v/>
      </c>
      <c r="G1006" s="31" t="str">
        <f t="shared" si="1281"/>
        <v/>
      </c>
      <c r="H1006" s="13" t="str">
        <f t="shared" si="1281"/>
        <v/>
      </c>
      <c r="I1006" s="13" t="str">
        <f t="shared" si="1281"/>
        <v/>
      </c>
      <c r="J1006" s="107" t="str">
        <f t="array" ref="J1006">IFERROR(IF(XLOOKUP(CONCAT(E1006,F1006),'MASTER PLAN'!$AB:$AB,'MASTER PLAN'!$M:$M,0,0)=0,"",XLOOKUP(CONCAT(E1006,F1006),'MASTER PLAN'!$AB:$AB,'MASTER PLAN'!$M:$M,0,0)),"")</f>
        <v/>
      </c>
      <c r="K1006" s="107">
        <f t="shared" si="237"/>
        <v>0</v>
      </c>
      <c r="L1006" s="107">
        <f t="shared" si="238"/>
        <v>0</v>
      </c>
      <c r="M1006" s="105" t="s">
        <v>246</v>
      </c>
      <c r="AI1006" s="42"/>
      <c r="BN1006" s="42"/>
      <c r="CS1006" s="42"/>
      <c r="DX1006" s="42"/>
      <c r="FC1006" s="42"/>
      <c r="GH1006" s="42"/>
      <c r="HM1006" s="42"/>
      <c r="IR1006" s="42"/>
      <c r="JW1006" s="42"/>
      <c r="LB1006" s="42"/>
      <c r="MG1006" s="42"/>
      <c r="NL1006" s="42"/>
    </row>
    <row r="1007" ht="15.75" customHeight="1">
      <c r="A1007" s="42"/>
      <c r="D1007" s="38">
        <f t="shared" si="1279"/>
        <v>46039</v>
      </c>
      <c r="E1007" s="31" t="str">
        <f t="shared" ref="E1007:I1007" si="1282">MB8</f>
        <v/>
      </c>
      <c r="F1007" s="31" t="str">
        <f t="shared" si="1282"/>
        <v/>
      </c>
      <c r="G1007" s="31" t="str">
        <f t="shared" si="1282"/>
        <v/>
      </c>
      <c r="H1007" s="13" t="str">
        <f t="shared" si="1282"/>
        <v/>
      </c>
      <c r="I1007" s="13" t="str">
        <f t="shared" si="1282"/>
        <v/>
      </c>
      <c r="J1007" s="107" t="str">
        <f t="array" ref="J1007">IFERROR(IF(XLOOKUP(CONCAT(E1007,F1007),'MASTER PLAN'!$AB:$AB,'MASTER PLAN'!$M:$M,0,0)=0,"",XLOOKUP(CONCAT(E1007,F1007),'MASTER PLAN'!$AB:$AB,'MASTER PLAN'!$M:$M,0,0)),"")</f>
        <v/>
      </c>
      <c r="K1007" s="107">
        <f t="shared" si="237"/>
        <v>0</v>
      </c>
      <c r="L1007" s="107">
        <f t="shared" si="238"/>
        <v>0</v>
      </c>
      <c r="M1007" s="105" t="s">
        <v>246</v>
      </c>
      <c r="AI1007" s="42"/>
      <c r="BN1007" s="42"/>
      <c r="CS1007" s="42"/>
      <c r="DX1007" s="42"/>
      <c r="FC1007" s="42"/>
      <c r="GH1007" s="42"/>
      <c r="HM1007" s="42"/>
      <c r="IR1007" s="42"/>
      <c r="JW1007" s="42"/>
      <c r="LB1007" s="42"/>
      <c r="MG1007" s="42"/>
      <c r="NL1007" s="42"/>
    </row>
    <row r="1008" ht="15.75" customHeight="1">
      <c r="A1008" s="42"/>
      <c r="D1008" s="38">
        <f t="shared" si="1279"/>
        <v>46039</v>
      </c>
      <c r="E1008" s="31" t="str">
        <f t="shared" ref="E1008:I1008" si="1283">MB12</f>
        <v/>
      </c>
      <c r="F1008" s="31" t="str">
        <f t="shared" si="1283"/>
        <v/>
      </c>
      <c r="G1008" s="31" t="str">
        <f t="shared" si="1283"/>
        <v/>
      </c>
      <c r="H1008" s="13" t="str">
        <f t="shared" si="1283"/>
        <v/>
      </c>
      <c r="I1008" s="13" t="str">
        <f t="shared" si="1283"/>
        <v/>
      </c>
      <c r="J1008" s="107" t="str">
        <f t="array" ref="J1008">IFERROR(IF(XLOOKUP(CONCAT(E1008,F1008),'MASTER PLAN'!$AB:$AB,'MASTER PLAN'!$M:$M,0,0)=0,"",XLOOKUP(CONCAT(E1008,F1008),'MASTER PLAN'!$AB:$AB,'MASTER PLAN'!$M:$M,0,0)),"")</f>
        <v/>
      </c>
      <c r="K1008" s="107">
        <f t="shared" si="237"/>
        <v>0</v>
      </c>
      <c r="L1008" s="107">
        <f t="shared" si="238"/>
        <v>0</v>
      </c>
      <c r="M1008" s="105" t="s">
        <v>248</v>
      </c>
      <c r="AI1008" s="42"/>
      <c r="BN1008" s="42"/>
      <c r="CS1008" s="42"/>
      <c r="DX1008" s="42"/>
      <c r="FC1008" s="42"/>
      <c r="GH1008" s="42"/>
      <c r="HM1008" s="42"/>
      <c r="IR1008" s="42"/>
      <c r="JW1008" s="42"/>
      <c r="LB1008" s="42"/>
      <c r="MG1008" s="42"/>
      <c r="NL1008" s="42"/>
    </row>
    <row r="1009" ht="15.75" customHeight="1">
      <c r="A1009" s="42"/>
      <c r="D1009" s="38">
        <f t="shared" si="1279"/>
        <v>46039</v>
      </c>
      <c r="E1009" s="31" t="str">
        <f t="shared" ref="E1009:I1009" si="1284">MB13</f>
        <v/>
      </c>
      <c r="F1009" s="31" t="str">
        <f t="shared" si="1284"/>
        <v/>
      </c>
      <c r="G1009" s="31" t="str">
        <f t="shared" si="1284"/>
        <v/>
      </c>
      <c r="H1009" s="13" t="str">
        <f t="shared" si="1284"/>
        <v/>
      </c>
      <c r="I1009" s="13" t="str">
        <f t="shared" si="1284"/>
        <v/>
      </c>
      <c r="J1009" s="107" t="str">
        <f t="array" ref="J1009">IFERROR(IF(XLOOKUP(CONCAT(E1009,F1009),'MASTER PLAN'!$AB:$AB,'MASTER PLAN'!$M:$M,0,0)=0,"",XLOOKUP(CONCAT(E1009,F1009),'MASTER PLAN'!$AB:$AB,'MASTER PLAN'!$M:$M,0,0)),"")</f>
        <v/>
      </c>
      <c r="K1009" s="107">
        <f t="shared" si="237"/>
        <v>0</v>
      </c>
      <c r="L1009" s="107">
        <f t="shared" si="238"/>
        <v>0</v>
      </c>
      <c r="M1009" s="105" t="s">
        <v>248</v>
      </c>
      <c r="AI1009" s="42"/>
      <c r="BN1009" s="42"/>
      <c r="CS1009" s="42"/>
      <c r="DX1009" s="42"/>
      <c r="FC1009" s="42"/>
      <c r="GH1009" s="42"/>
      <c r="HM1009" s="42"/>
      <c r="IR1009" s="42"/>
      <c r="JW1009" s="42"/>
      <c r="LB1009" s="42"/>
      <c r="MG1009" s="42"/>
      <c r="NL1009" s="42"/>
    </row>
    <row r="1010" ht="15.75" customHeight="1">
      <c r="A1010" s="42"/>
      <c r="D1010" s="38">
        <f t="shared" si="1279"/>
        <v>46039</v>
      </c>
      <c r="E1010" s="31" t="str">
        <f t="shared" ref="E1010:I1010" si="1285">MB14</f>
        <v/>
      </c>
      <c r="F1010" s="31" t="str">
        <f t="shared" si="1285"/>
        <v/>
      </c>
      <c r="G1010" s="31" t="str">
        <f t="shared" si="1285"/>
        <v/>
      </c>
      <c r="H1010" s="13" t="str">
        <f t="shared" si="1285"/>
        <v/>
      </c>
      <c r="I1010" s="13" t="str">
        <f t="shared" si="1285"/>
        <v/>
      </c>
      <c r="J1010" s="107" t="str">
        <f t="array" ref="J1010">IFERROR(IF(XLOOKUP(CONCAT(E1010,F1010),'MASTER PLAN'!$AB:$AB,'MASTER PLAN'!$M:$M,0,0)=0,"",XLOOKUP(CONCAT(E1010,F1010),'MASTER PLAN'!$AB:$AB,'MASTER PLAN'!$M:$M,0,0)),"")</f>
        <v/>
      </c>
      <c r="K1010" s="107">
        <f t="shared" si="237"/>
        <v>0</v>
      </c>
      <c r="L1010" s="107">
        <f t="shared" si="238"/>
        <v>0</v>
      </c>
      <c r="M1010" s="105" t="s">
        <v>248</v>
      </c>
      <c r="AI1010" s="42"/>
      <c r="BN1010" s="42"/>
      <c r="CS1010" s="42"/>
      <c r="DX1010" s="42"/>
      <c r="FC1010" s="42"/>
      <c r="GH1010" s="42"/>
      <c r="HM1010" s="42"/>
      <c r="IR1010" s="42"/>
      <c r="JW1010" s="42"/>
      <c r="LB1010" s="42"/>
      <c r="MG1010" s="42"/>
      <c r="NL1010" s="42"/>
    </row>
    <row r="1011" ht="15.75" customHeight="1">
      <c r="A1011" s="42"/>
      <c r="D1011" s="38">
        <f t="shared" si="1279"/>
        <v>46039</v>
      </c>
      <c r="E1011" s="31" t="str">
        <f t="shared" ref="E1011:I1011" si="1286">MB15</f>
        <v/>
      </c>
      <c r="F1011" s="31" t="str">
        <f t="shared" si="1286"/>
        <v/>
      </c>
      <c r="G1011" s="31" t="str">
        <f t="shared" si="1286"/>
        <v/>
      </c>
      <c r="H1011" s="13" t="str">
        <f t="shared" si="1286"/>
        <v/>
      </c>
      <c r="I1011" s="13" t="str">
        <f t="shared" si="1286"/>
        <v/>
      </c>
      <c r="J1011" s="107" t="str">
        <f t="array" ref="J1011">IFERROR(IF(XLOOKUP(CONCAT(E1011,F1011),'MASTER PLAN'!$AB:$AB,'MASTER PLAN'!$M:$M,0,0)=0,"",XLOOKUP(CONCAT(E1011,F1011),'MASTER PLAN'!$AB:$AB,'MASTER PLAN'!$M:$M,0,0)),"")</f>
        <v/>
      </c>
      <c r="K1011" s="107">
        <f t="shared" si="237"/>
        <v>0</v>
      </c>
      <c r="L1011" s="107">
        <f t="shared" si="238"/>
        <v>0</v>
      </c>
      <c r="M1011" s="105" t="s">
        <v>248</v>
      </c>
      <c r="AI1011" s="42"/>
      <c r="BN1011" s="42"/>
      <c r="CS1011" s="42"/>
      <c r="DX1011" s="42"/>
      <c r="FC1011" s="42"/>
      <c r="GH1011" s="42"/>
      <c r="HM1011" s="42"/>
      <c r="IR1011" s="42"/>
      <c r="JW1011" s="42"/>
      <c r="LB1011" s="42"/>
      <c r="MG1011" s="42"/>
      <c r="NL1011" s="42"/>
    </row>
    <row r="1012" ht="15.75" customHeight="1">
      <c r="A1012" s="42"/>
      <c r="D1012" s="38">
        <f t="shared" si="1279"/>
        <v>46039</v>
      </c>
      <c r="E1012" s="31" t="str">
        <f t="shared" ref="E1012:I1012" si="1287">MB16</f>
        <v/>
      </c>
      <c r="F1012" s="31" t="str">
        <f t="shared" si="1287"/>
        <v/>
      </c>
      <c r="G1012" s="31" t="str">
        <f t="shared" si="1287"/>
        <v/>
      </c>
      <c r="H1012" s="13" t="str">
        <f t="shared" si="1287"/>
        <v/>
      </c>
      <c r="I1012" s="13" t="str">
        <f t="shared" si="1287"/>
        <v/>
      </c>
      <c r="J1012" s="107" t="str">
        <f t="array" ref="J1012">IFERROR(IF(XLOOKUP(CONCAT(E1012,F1012),'MASTER PLAN'!$AB:$AB,'MASTER PLAN'!$M:$M,0,0)=0,"",XLOOKUP(CONCAT(E1012,F1012),'MASTER PLAN'!$AB:$AB,'MASTER PLAN'!$M:$M,0,0)),"")</f>
        <v/>
      </c>
      <c r="K1012" s="107">
        <f t="shared" si="237"/>
        <v>0</v>
      </c>
      <c r="L1012" s="107">
        <f t="shared" si="238"/>
        <v>0</v>
      </c>
      <c r="M1012" s="105" t="s">
        <v>248</v>
      </c>
      <c r="AI1012" s="42"/>
      <c r="BN1012" s="42"/>
      <c r="CS1012" s="42"/>
      <c r="DX1012" s="42"/>
      <c r="FC1012" s="42"/>
      <c r="GH1012" s="42"/>
      <c r="HM1012" s="42"/>
      <c r="IR1012" s="42"/>
      <c r="JW1012" s="42"/>
      <c r="LB1012" s="42"/>
      <c r="MG1012" s="42"/>
      <c r="NL1012" s="42"/>
    </row>
    <row r="1013" ht="15.75" customHeight="1">
      <c r="A1013" s="42"/>
      <c r="D1013" s="38">
        <f t="shared" si="1279"/>
        <v>46039</v>
      </c>
      <c r="E1013" s="31" t="str">
        <f t="shared" ref="E1013:I1013" si="1288">MB20</f>
        <v/>
      </c>
      <c r="F1013" s="31" t="str">
        <f t="shared" si="1288"/>
        <v/>
      </c>
      <c r="G1013" s="31" t="str">
        <f t="shared" si="1288"/>
        <v/>
      </c>
      <c r="H1013" s="13" t="str">
        <f t="shared" si="1288"/>
        <v/>
      </c>
      <c r="I1013" s="13" t="str">
        <f t="shared" si="1288"/>
        <v/>
      </c>
      <c r="J1013" s="107" t="str">
        <f t="array" ref="J1013">IFERROR(IF(XLOOKUP(CONCAT(E1013,F1013),'MASTER PLAN'!$AB:$AB,'MASTER PLAN'!$M:$M,0,0)=0,"",XLOOKUP(CONCAT(E1013,F1013),'MASTER PLAN'!$AB:$AB,'MASTER PLAN'!$M:$M,0,0)),"")</f>
        <v/>
      </c>
      <c r="K1013" s="107">
        <f t="shared" si="237"/>
        <v>0</v>
      </c>
      <c r="L1013" s="107">
        <f t="shared" si="238"/>
        <v>0</v>
      </c>
      <c r="M1013" s="105" t="s">
        <v>249</v>
      </c>
      <c r="AI1013" s="42"/>
      <c r="BN1013" s="42"/>
      <c r="CS1013" s="42"/>
      <c r="DX1013" s="42"/>
      <c r="FC1013" s="42"/>
      <c r="GH1013" s="42"/>
      <c r="HM1013" s="42"/>
      <c r="IR1013" s="42"/>
      <c r="JW1013" s="42"/>
      <c r="LB1013" s="42"/>
      <c r="MG1013" s="42"/>
      <c r="NL1013" s="42"/>
    </row>
    <row r="1014" ht="15.75" customHeight="1">
      <c r="A1014" s="42"/>
      <c r="D1014" s="38">
        <f t="shared" si="1279"/>
        <v>46039</v>
      </c>
      <c r="E1014" s="31" t="str">
        <f t="shared" ref="E1014:I1014" si="1289">MB21</f>
        <v/>
      </c>
      <c r="F1014" s="31" t="str">
        <f t="shared" si="1289"/>
        <v/>
      </c>
      <c r="G1014" s="31" t="str">
        <f t="shared" si="1289"/>
        <v/>
      </c>
      <c r="H1014" s="13" t="str">
        <f t="shared" si="1289"/>
        <v/>
      </c>
      <c r="I1014" s="13" t="str">
        <f t="shared" si="1289"/>
        <v/>
      </c>
      <c r="J1014" s="107" t="str">
        <f t="array" ref="J1014">IFERROR(IF(XLOOKUP(CONCAT(E1014,F1014),'MASTER PLAN'!$AB:$AB,'MASTER PLAN'!$M:$M,0,0)=0,"",XLOOKUP(CONCAT(E1014,F1014),'MASTER PLAN'!$AB:$AB,'MASTER PLAN'!$M:$M,0,0)),"")</f>
        <v/>
      </c>
      <c r="K1014" s="107">
        <f t="shared" si="237"/>
        <v>0</v>
      </c>
      <c r="L1014" s="107">
        <f t="shared" si="238"/>
        <v>0</v>
      </c>
      <c r="M1014" s="105" t="s">
        <v>249</v>
      </c>
      <c r="AI1014" s="42"/>
      <c r="BN1014" s="42"/>
      <c r="CS1014" s="42"/>
      <c r="DX1014" s="42"/>
      <c r="FC1014" s="42"/>
      <c r="GH1014" s="42"/>
      <c r="HM1014" s="42"/>
      <c r="IR1014" s="42"/>
      <c r="JW1014" s="42"/>
      <c r="LB1014" s="42"/>
      <c r="MG1014" s="42"/>
      <c r="NL1014" s="42"/>
    </row>
    <row r="1015" ht="15.75" customHeight="1">
      <c r="A1015" s="42"/>
      <c r="D1015" s="38">
        <f t="shared" si="1279"/>
        <v>46039</v>
      </c>
      <c r="E1015" s="31" t="str">
        <f t="shared" ref="E1015:I1015" si="1290">MB22</f>
        <v/>
      </c>
      <c r="F1015" s="31" t="str">
        <f t="shared" si="1290"/>
        <v/>
      </c>
      <c r="G1015" s="31" t="str">
        <f t="shared" si="1290"/>
        <v/>
      </c>
      <c r="H1015" s="13" t="str">
        <f t="shared" si="1290"/>
        <v/>
      </c>
      <c r="I1015" s="13" t="str">
        <f t="shared" si="1290"/>
        <v/>
      </c>
      <c r="J1015" s="107" t="str">
        <f t="array" ref="J1015">IFERROR(IF(XLOOKUP(CONCAT(E1015,F1015),'MASTER PLAN'!$AB:$AB,'MASTER PLAN'!$M:$M,0,0)=0,"",XLOOKUP(CONCAT(E1015,F1015),'MASTER PLAN'!$AB:$AB,'MASTER PLAN'!$M:$M,0,0)),"")</f>
        <v/>
      </c>
      <c r="K1015" s="107">
        <f t="shared" si="237"/>
        <v>0</v>
      </c>
      <c r="L1015" s="107">
        <f t="shared" si="238"/>
        <v>0</v>
      </c>
      <c r="M1015" s="105" t="s">
        <v>249</v>
      </c>
      <c r="AI1015" s="42"/>
      <c r="BN1015" s="42"/>
      <c r="CS1015" s="42"/>
      <c r="DX1015" s="42"/>
      <c r="FC1015" s="42"/>
      <c r="GH1015" s="42"/>
      <c r="HM1015" s="42"/>
      <c r="IR1015" s="42"/>
      <c r="JW1015" s="42"/>
      <c r="LB1015" s="42"/>
      <c r="MG1015" s="42"/>
      <c r="NL1015" s="42"/>
    </row>
    <row r="1016" ht="15.75" customHeight="1">
      <c r="A1016" s="42"/>
      <c r="D1016" s="38">
        <f t="shared" si="1279"/>
        <v>46039</v>
      </c>
      <c r="E1016" s="31" t="str">
        <f t="shared" ref="E1016:I1016" si="1291">MB23</f>
        <v/>
      </c>
      <c r="F1016" s="31" t="str">
        <f t="shared" si="1291"/>
        <v/>
      </c>
      <c r="G1016" s="31" t="str">
        <f t="shared" si="1291"/>
        <v/>
      </c>
      <c r="H1016" s="13" t="str">
        <f t="shared" si="1291"/>
        <v/>
      </c>
      <c r="I1016" s="13" t="str">
        <f t="shared" si="1291"/>
        <v/>
      </c>
      <c r="J1016" s="107" t="str">
        <f t="array" ref="J1016">IFERROR(IF(XLOOKUP(CONCAT(E1016,F1016),'MASTER PLAN'!$AB:$AB,'MASTER PLAN'!$M:$M,0,0)=0,"",XLOOKUP(CONCAT(E1016,F1016),'MASTER PLAN'!$AB:$AB,'MASTER PLAN'!$M:$M,0,0)),"")</f>
        <v/>
      </c>
      <c r="K1016" s="107">
        <f t="shared" si="237"/>
        <v>0</v>
      </c>
      <c r="L1016" s="107">
        <f t="shared" si="238"/>
        <v>0</v>
      </c>
      <c r="M1016" s="105" t="s">
        <v>249</v>
      </c>
      <c r="AI1016" s="42"/>
      <c r="BN1016" s="42"/>
      <c r="CS1016" s="42"/>
      <c r="DX1016" s="42"/>
      <c r="FC1016" s="42"/>
      <c r="GH1016" s="42"/>
      <c r="HM1016" s="42"/>
      <c r="IR1016" s="42"/>
      <c r="JW1016" s="42"/>
      <c r="LB1016" s="42"/>
      <c r="MG1016" s="42"/>
      <c r="NL1016" s="42"/>
    </row>
    <row r="1017" ht="15.75" customHeight="1">
      <c r="A1017" s="42"/>
      <c r="D1017" s="38">
        <f t="shared" si="1279"/>
        <v>46039</v>
      </c>
      <c r="E1017" s="31" t="str">
        <f t="shared" ref="E1017:I1017" si="1292">MB24</f>
        <v/>
      </c>
      <c r="F1017" s="31" t="str">
        <f t="shared" si="1292"/>
        <v/>
      </c>
      <c r="G1017" s="31" t="str">
        <f t="shared" si="1292"/>
        <v/>
      </c>
      <c r="H1017" s="13" t="str">
        <f t="shared" si="1292"/>
        <v/>
      </c>
      <c r="I1017" s="13" t="str">
        <f t="shared" si="1292"/>
        <v/>
      </c>
      <c r="J1017" s="107" t="str">
        <f t="array" ref="J1017">IFERROR(IF(XLOOKUP(CONCAT(E1017,F1017),'MASTER PLAN'!$AB:$AB,'MASTER PLAN'!$M:$M,0,0)=0,"",XLOOKUP(CONCAT(E1017,F1017),'MASTER PLAN'!$AB:$AB,'MASTER PLAN'!$M:$M,0,0)),"")</f>
        <v/>
      </c>
      <c r="K1017" s="107">
        <f t="shared" si="237"/>
        <v>0</v>
      </c>
      <c r="L1017" s="107">
        <f t="shared" si="238"/>
        <v>0</v>
      </c>
      <c r="M1017" s="105" t="s">
        <v>249</v>
      </c>
      <c r="AI1017" s="42"/>
      <c r="BN1017" s="42"/>
      <c r="CS1017" s="42"/>
      <c r="DX1017" s="42"/>
      <c r="FC1017" s="42"/>
      <c r="GH1017" s="42"/>
      <c r="HM1017" s="42"/>
      <c r="IR1017" s="42"/>
      <c r="JW1017" s="42"/>
      <c r="LB1017" s="42"/>
      <c r="MG1017" s="42"/>
      <c r="NL1017" s="42"/>
    </row>
    <row r="1018" ht="15.75" customHeight="1">
      <c r="A1018" s="42"/>
      <c r="D1018" s="38">
        <f>MH2</f>
        <v>46041</v>
      </c>
      <c r="E1018" s="31" t="str">
        <f t="shared" ref="E1018:I1018" si="1293">MH4</f>
        <v/>
      </c>
      <c r="F1018" s="31" t="str">
        <f t="shared" si="1293"/>
        <v/>
      </c>
      <c r="G1018" s="31" t="str">
        <f t="shared" si="1293"/>
        <v/>
      </c>
      <c r="H1018" s="13" t="str">
        <f t="shared" si="1293"/>
        <v/>
      </c>
      <c r="I1018" s="13" t="str">
        <f t="shared" si="1293"/>
        <v/>
      </c>
      <c r="J1018" s="107" t="str">
        <f t="array" ref="J1018">IFERROR(IF(XLOOKUP(CONCAT(E1018,F1018),'MASTER PLAN'!$AB:$AB,'MASTER PLAN'!$M:$M,0,0)=0,"",XLOOKUP(CONCAT(E1018,F1018),'MASTER PLAN'!$AB:$AB,'MASTER PLAN'!$M:$M,0,0)),"")</f>
        <v/>
      </c>
      <c r="K1018" s="107">
        <f t="shared" si="237"/>
        <v>0</v>
      </c>
      <c r="L1018" s="107">
        <f t="shared" si="238"/>
        <v>0</v>
      </c>
      <c r="M1018" s="105" t="s">
        <v>246</v>
      </c>
      <c r="AI1018" s="42"/>
      <c r="BN1018" s="42"/>
      <c r="CS1018" s="42"/>
      <c r="DX1018" s="42"/>
      <c r="FC1018" s="42"/>
      <c r="GH1018" s="42"/>
      <c r="HM1018" s="42"/>
      <c r="IR1018" s="42"/>
      <c r="JW1018" s="42"/>
      <c r="LB1018" s="42"/>
      <c r="MG1018" s="42"/>
      <c r="NL1018" s="42"/>
    </row>
    <row r="1019" ht="15.75" customHeight="1">
      <c r="A1019" s="42"/>
      <c r="D1019" s="38">
        <f t="shared" ref="D1019:D1032" si="1295">D1018</f>
        <v>46041</v>
      </c>
      <c r="E1019" s="31" t="str">
        <f t="shared" ref="E1019:I1019" si="1294">MH5</f>
        <v/>
      </c>
      <c r="F1019" s="31" t="str">
        <f t="shared" si="1294"/>
        <v/>
      </c>
      <c r="G1019" s="31" t="str">
        <f t="shared" si="1294"/>
        <v/>
      </c>
      <c r="H1019" s="13" t="str">
        <f t="shared" si="1294"/>
        <v/>
      </c>
      <c r="I1019" s="13" t="str">
        <f t="shared" si="1294"/>
        <v/>
      </c>
      <c r="J1019" s="107" t="str">
        <f t="array" ref="J1019">IFERROR(IF(XLOOKUP(CONCAT(E1019,F1019),'MASTER PLAN'!$AB:$AB,'MASTER PLAN'!$M:$M,0,0)=0,"",XLOOKUP(CONCAT(E1019,F1019),'MASTER PLAN'!$AB:$AB,'MASTER PLAN'!$M:$M,0,0)),"")</f>
        <v/>
      </c>
      <c r="K1019" s="107">
        <f t="shared" si="237"/>
        <v>0</v>
      </c>
      <c r="L1019" s="107">
        <f t="shared" si="238"/>
        <v>0</v>
      </c>
      <c r="M1019" s="105" t="s">
        <v>246</v>
      </c>
      <c r="AI1019" s="42"/>
      <c r="BN1019" s="42"/>
      <c r="CS1019" s="42"/>
      <c r="DX1019" s="42"/>
      <c r="FC1019" s="42"/>
      <c r="GH1019" s="42"/>
      <c r="HM1019" s="42"/>
      <c r="IR1019" s="42"/>
      <c r="JW1019" s="42"/>
      <c r="LB1019" s="42"/>
      <c r="MG1019" s="42"/>
      <c r="NL1019" s="42"/>
    </row>
    <row r="1020" ht="15.75" customHeight="1">
      <c r="A1020" s="42"/>
      <c r="D1020" s="38">
        <f t="shared" si="1295"/>
        <v>46041</v>
      </c>
      <c r="E1020" s="31" t="str">
        <f t="shared" ref="E1020:I1020" si="1296">MH6</f>
        <v/>
      </c>
      <c r="F1020" s="31" t="str">
        <f t="shared" si="1296"/>
        <v/>
      </c>
      <c r="G1020" s="31" t="str">
        <f t="shared" si="1296"/>
        <v/>
      </c>
      <c r="H1020" s="13" t="str">
        <f t="shared" si="1296"/>
        <v/>
      </c>
      <c r="I1020" s="13" t="str">
        <f t="shared" si="1296"/>
        <v/>
      </c>
      <c r="J1020" s="107" t="str">
        <f t="array" ref="J1020">IFERROR(IF(XLOOKUP(CONCAT(E1020,F1020),'MASTER PLAN'!$AB:$AB,'MASTER PLAN'!$M:$M,0,0)=0,"",XLOOKUP(CONCAT(E1020,F1020),'MASTER PLAN'!$AB:$AB,'MASTER PLAN'!$M:$M,0,0)),"")</f>
        <v/>
      </c>
      <c r="K1020" s="107">
        <f t="shared" si="237"/>
        <v>0</v>
      </c>
      <c r="L1020" s="107">
        <f t="shared" si="238"/>
        <v>0</v>
      </c>
      <c r="M1020" s="105" t="s">
        <v>246</v>
      </c>
      <c r="AI1020" s="42"/>
      <c r="BN1020" s="42"/>
      <c r="CS1020" s="42"/>
      <c r="DX1020" s="42"/>
      <c r="FC1020" s="42"/>
      <c r="GH1020" s="42"/>
      <c r="HM1020" s="42"/>
      <c r="IR1020" s="42"/>
      <c r="JW1020" s="42"/>
      <c r="LB1020" s="42"/>
      <c r="MG1020" s="42"/>
      <c r="NL1020" s="42"/>
    </row>
    <row r="1021" ht="15.75" customHeight="1">
      <c r="A1021" s="42"/>
      <c r="D1021" s="38">
        <f t="shared" si="1295"/>
        <v>46041</v>
      </c>
      <c r="E1021" s="31" t="str">
        <f t="shared" ref="E1021:I1021" si="1297">MH7</f>
        <v/>
      </c>
      <c r="F1021" s="31" t="str">
        <f t="shared" si="1297"/>
        <v/>
      </c>
      <c r="G1021" s="31" t="str">
        <f t="shared" si="1297"/>
        <v/>
      </c>
      <c r="H1021" s="13" t="str">
        <f t="shared" si="1297"/>
        <v/>
      </c>
      <c r="I1021" s="13" t="str">
        <f t="shared" si="1297"/>
        <v/>
      </c>
      <c r="J1021" s="107" t="str">
        <f t="array" ref="J1021">IFERROR(IF(XLOOKUP(CONCAT(E1021,F1021),'MASTER PLAN'!$AB:$AB,'MASTER PLAN'!$M:$M,0,0)=0,"",XLOOKUP(CONCAT(E1021,F1021),'MASTER PLAN'!$AB:$AB,'MASTER PLAN'!$M:$M,0,0)),"")</f>
        <v/>
      </c>
      <c r="K1021" s="107">
        <f t="shared" si="237"/>
        <v>0</v>
      </c>
      <c r="L1021" s="107">
        <f t="shared" si="238"/>
        <v>0</v>
      </c>
      <c r="M1021" s="105" t="s">
        <v>246</v>
      </c>
      <c r="AI1021" s="42"/>
      <c r="BN1021" s="42"/>
      <c r="CS1021" s="42"/>
      <c r="DX1021" s="42"/>
      <c r="FC1021" s="42"/>
      <c r="GH1021" s="42"/>
      <c r="HM1021" s="42"/>
      <c r="IR1021" s="42"/>
      <c r="JW1021" s="42"/>
      <c r="LB1021" s="42"/>
      <c r="MG1021" s="42"/>
      <c r="NL1021" s="42"/>
    </row>
    <row r="1022" ht="15.75" customHeight="1">
      <c r="A1022" s="42"/>
      <c r="D1022" s="38">
        <f t="shared" si="1295"/>
        <v>46041</v>
      </c>
      <c r="E1022" s="31" t="str">
        <f t="shared" ref="E1022:I1022" si="1298">MH8</f>
        <v/>
      </c>
      <c r="F1022" s="31" t="str">
        <f t="shared" si="1298"/>
        <v/>
      </c>
      <c r="G1022" s="31" t="str">
        <f t="shared" si="1298"/>
        <v/>
      </c>
      <c r="H1022" s="13" t="str">
        <f t="shared" si="1298"/>
        <v/>
      </c>
      <c r="I1022" s="13" t="str">
        <f t="shared" si="1298"/>
        <v/>
      </c>
      <c r="J1022" s="107" t="str">
        <f t="array" ref="J1022">IFERROR(IF(XLOOKUP(CONCAT(E1022,F1022),'MASTER PLAN'!$AB:$AB,'MASTER PLAN'!$M:$M,0,0)=0,"",XLOOKUP(CONCAT(E1022,F1022),'MASTER PLAN'!$AB:$AB,'MASTER PLAN'!$M:$M,0,0)),"")</f>
        <v/>
      </c>
      <c r="K1022" s="107">
        <f t="shared" si="237"/>
        <v>0</v>
      </c>
      <c r="L1022" s="107">
        <f t="shared" si="238"/>
        <v>0</v>
      </c>
      <c r="M1022" s="105" t="s">
        <v>246</v>
      </c>
      <c r="AI1022" s="42"/>
      <c r="BN1022" s="42"/>
      <c r="CS1022" s="42"/>
      <c r="DX1022" s="42"/>
      <c r="FC1022" s="42"/>
      <c r="GH1022" s="42"/>
      <c r="HM1022" s="42"/>
      <c r="IR1022" s="42"/>
      <c r="JW1022" s="42"/>
      <c r="LB1022" s="42"/>
      <c r="MG1022" s="42"/>
      <c r="NL1022" s="42"/>
    </row>
    <row r="1023" ht="15.75" customHeight="1">
      <c r="A1023" s="42"/>
      <c r="D1023" s="38">
        <f t="shared" si="1295"/>
        <v>46041</v>
      </c>
      <c r="E1023" s="31" t="str">
        <f t="shared" ref="E1023:I1023" si="1299">MH12</f>
        <v/>
      </c>
      <c r="F1023" s="31" t="str">
        <f t="shared" si="1299"/>
        <v/>
      </c>
      <c r="G1023" s="31" t="str">
        <f t="shared" si="1299"/>
        <v/>
      </c>
      <c r="H1023" s="13" t="str">
        <f t="shared" si="1299"/>
        <v/>
      </c>
      <c r="I1023" s="13" t="str">
        <f t="shared" si="1299"/>
        <v/>
      </c>
      <c r="J1023" s="107" t="str">
        <f t="array" ref="J1023">IFERROR(IF(XLOOKUP(CONCAT(E1023,F1023),'MASTER PLAN'!$AB:$AB,'MASTER PLAN'!$M:$M,0,0)=0,"",XLOOKUP(CONCAT(E1023,F1023),'MASTER PLAN'!$AB:$AB,'MASTER PLAN'!$M:$M,0,0)),"")</f>
        <v/>
      </c>
      <c r="K1023" s="107">
        <f t="shared" si="237"/>
        <v>0</v>
      </c>
      <c r="L1023" s="107">
        <f t="shared" si="238"/>
        <v>0</v>
      </c>
      <c r="M1023" s="105" t="s">
        <v>248</v>
      </c>
      <c r="AI1023" s="42"/>
      <c r="BN1023" s="42"/>
      <c r="CS1023" s="42"/>
      <c r="DX1023" s="42"/>
      <c r="FC1023" s="42"/>
      <c r="GH1023" s="42"/>
      <c r="HM1023" s="42"/>
      <c r="IR1023" s="42"/>
      <c r="JW1023" s="42"/>
      <c r="LB1023" s="42"/>
      <c r="MG1023" s="42"/>
      <c r="NL1023" s="42"/>
    </row>
    <row r="1024" ht="15.75" customHeight="1">
      <c r="A1024" s="42"/>
      <c r="D1024" s="38">
        <f t="shared" si="1295"/>
        <v>46041</v>
      </c>
      <c r="E1024" s="31" t="str">
        <f t="shared" ref="E1024:I1024" si="1300">MH13</f>
        <v/>
      </c>
      <c r="F1024" s="31" t="str">
        <f t="shared" si="1300"/>
        <v/>
      </c>
      <c r="G1024" s="31" t="str">
        <f t="shared" si="1300"/>
        <v/>
      </c>
      <c r="H1024" s="13" t="str">
        <f t="shared" si="1300"/>
        <v/>
      </c>
      <c r="I1024" s="13" t="str">
        <f t="shared" si="1300"/>
        <v/>
      </c>
      <c r="J1024" s="107" t="str">
        <f t="array" ref="J1024">IFERROR(IF(XLOOKUP(CONCAT(E1024,F1024),'MASTER PLAN'!$AB:$AB,'MASTER PLAN'!$M:$M,0,0)=0,"",XLOOKUP(CONCAT(E1024,F1024),'MASTER PLAN'!$AB:$AB,'MASTER PLAN'!$M:$M,0,0)),"")</f>
        <v/>
      </c>
      <c r="K1024" s="107">
        <f t="shared" si="237"/>
        <v>0</v>
      </c>
      <c r="L1024" s="107">
        <f t="shared" si="238"/>
        <v>0</v>
      </c>
      <c r="M1024" s="105" t="s">
        <v>248</v>
      </c>
      <c r="AI1024" s="42"/>
      <c r="BN1024" s="42"/>
      <c r="CS1024" s="42"/>
      <c r="DX1024" s="42"/>
      <c r="FC1024" s="42"/>
      <c r="GH1024" s="42"/>
      <c r="HM1024" s="42"/>
      <c r="IR1024" s="42"/>
      <c r="JW1024" s="42"/>
      <c r="LB1024" s="42"/>
      <c r="MG1024" s="42"/>
      <c r="NL1024" s="42"/>
    </row>
    <row r="1025" ht="15.75" customHeight="1">
      <c r="A1025" s="42"/>
      <c r="D1025" s="38">
        <f t="shared" si="1295"/>
        <v>46041</v>
      </c>
      <c r="E1025" s="31" t="str">
        <f t="shared" ref="E1025:I1025" si="1301">MH14</f>
        <v/>
      </c>
      <c r="F1025" s="31" t="str">
        <f t="shared" si="1301"/>
        <v/>
      </c>
      <c r="G1025" s="31" t="str">
        <f t="shared" si="1301"/>
        <v/>
      </c>
      <c r="H1025" s="13" t="str">
        <f t="shared" si="1301"/>
        <v/>
      </c>
      <c r="I1025" s="13" t="str">
        <f t="shared" si="1301"/>
        <v/>
      </c>
      <c r="J1025" s="107" t="str">
        <f t="array" ref="J1025">IFERROR(IF(XLOOKUP(CONCAT(E1025,F1025),'MASTER PLAN'!$AB:$AB,'MASTER PLAN'!$M:$M,0,0)=0,"",XLOOKUP(CONCAT(E1025,F1025),'MASTER PLAN'!$AB:$AB,'MASTER PLAN'!$M:$M,0,0)),"")</f>
        <v/>
      </c>
      <c r="K1025" s="107">
        <f t="shared" si="237"/>
        <v>0</v>
      </c>
      <c r="L1025" s="107">
        <f t="shared" si="238"/>
        <v>0</v>
      </c>
      <c r="M1025" s="105" t="s">
        <v>248</v>
      </c>
      <c r="AI1025" s="42"/>
      <c r="BN1025" s="42"/>
      <c r="CS1025" s="42"/>
      <c r="DX1025" s="42"/>
      <c r="FC1025" s="42"/>
      <c r="GH1025" s="42"/>
      <c r="HM1025" s="42"/>
      <c r="IR1025" s="42"/>
      <c r="JW1025" s="42"/>
      <c r="LB1025" s="42"/>
      <c r="MG1025" s="42"/>
      <c r="NL1025" s="42"/>
    </row>
    <row r="1026" ht="15.75" customHeight="1">
      <c r="A1026" s="42"/>
      <c r="D1026" s="38">
        <f t="shared" si="1295"/>
        <v>46041</v>
      </c>
      <c r="E1026" s="31" t="str">
        <f t="shared" ref="E1026:I1026" si="1302">MH15</f>
        <v/>
      </c>
      <c r="F1026" s="31" t="str">
        <f t="shared" si="1302"/>
        <v/>
      </c>
      <c r="G1026" s="31" t="str">
        <f t="shared" si="1302"/>
        <v/>
      </c>
      <c r="H1026" s="13" t="str">
        <f t="shared" si="1302"/>
        <v/>
      </c>
      <c r="I1026" s="13" t="str">
        <f t="shared" si="1302"/>
        <v/>
      </c>
      <c r="J1026" s="107" t="str">
        <f t="array" ref="J1026">IFERROR(IF(XLOOKUP(CONCAT(E1026,F1026),'MASTER PLAN'!$AB:$AB,'MASTER PLAN'!$M:$M,0,0)=0,"",XLOOKUP(CONCAT(E1026,F1026),'MASTER PLAN'!$AB:$AB,'MASTER PLAN'!$M:$M,0,0)),"")</f>
        <v/>
      </c>
      <c r="K1026" s="107">
        <f t="shared" si="237"/>
        <v>0</v>
      </c>
      <c r="L1026" s="107">
        <f t="shared" si="238"/>
        <v>0</v>
      </c>
      <c r="M1026" s="105" t="s">
        <v>248</v>
      </c>
      <c r="AI1026" s="42"/>
      <c r="BN1026" s="42"/>
      <c r="CS1026" s="42"/>
      <c r="DX1026" s="42"/>
      <c r="FC1026" s="42"/>
      <c r="GH1026" s="42"/>
      <c r="HM1026" s="42"/>
      <c r="IR1026" s="42"/>
      <c r="JW1026" s="42"/>
      <c r="LB1026" s="42"/>
      <c r="MG1026" s="42"/>
      <c r="NL1026" s="42"/>
    </row>
    <row r="1027" ht="15.75" customHeight="1">
      <c r="A1027" s="42"/>
      <c r="D1027" s="38">
        <f t="shared" si="1295"/>
        <v>46041</v>
      </c>
      <c r="E1027" s="31" t="str">
        <f t="shared" ref="E1027:I1027" si="1303">MH16</f>
        <v/>
      </c>
      <c r="F1027" s="31" t="str">
        <f t="shared" si="1303"/>
        <v/>
      </c>
      <c r="G1027" s="31" t="str">
        <f t="shared" si="1303"/>
        <v/>
      </c>
      <c r="H1027" s="13" t="str">
        <f t="shared" si="1303"/>
        <v/>
      </c>
      <c r="I1027" s="13" t="str">
        <f t="shared" si="1303"/>
        <v/>
      </c>
      <c r="J1027" s="107" t="str">
        <f t="array" ref="J1027">IFERROR(IF(XLOOKUP(CONCAT(E1027,F1027),'MASTER PLAN'!$AB:$AB,'MASTER PLAN'!$M:$M,0,0)=0,"",XLOOKUP(CONCAT(E1027,F1027),'MASTER PLAN'!$AB:$AB,'MASTER PLAN'!$M:$M,0,0)),"")</f>
        <v/>
      </c>
      <c r="K1027" s="107">
        <f t="shared" si="237"/>
        <v>0</v>
      </c>
      <c r="L1027" s="107">
        <f t="shared" si="238"/>
        <v>0</v>
      </c>
      <c r="M1027" s="105" t="s">
        <v>248</v>
      </c>
      <c r="AI1027" s="42"/>
      <c r="BN1027" s="42"/>
      <c r="CS1027" s="42"/>
      <c r="DX1027" s="42"/>
      <c r="FC1027" s="42"/>
      <c r="GH1027" s="42"/>
      <c r="HM1027" s="42"/>
      <c r="IR1027" s="42"/>
      <c r="JW1027" s="42"/>
      <c r="LB1027" s="42"/>
      <c r="MG1027" s="42"/>
      <c r="NL1027" s="42"/>
    </row>
    <row r="1028" ht="15.75" customHeight="1">
      <c r="A1028" s="42"/>
      <c r="D1028" s="38">
        <f t="shared" si="1295"/>
        <v>46041</v>
      </c>
      <c r="E1028" s="31" t="str">
        <f t="shared" ref="E1028:I1028" si="1304">MH20</f>
        <v/>
      </c>
      <c r="F1028" s="31" t="str">
        <f t="shared" si="1304"/>
        <v/>
      </c>
      <c r="G1028" s="31" t="str">
        <f t="shared" si="1304"/>
        <v/>
      </c>
      <c r="H1028" s="13" t="str">
        <f t="shared" si="1304"/>
        <v/>
      </c>
      <c r="I1028" s="13" t="str">
        <f t="shared" si="1304"/>
        <v/>
      </c>
      <c r="J1028" s="107" t="str">
        <f t="array" ref="J1028">IFERROR(IF(XLOOKUP(CONCAT(E1028,F1028),'MASTER PLAN'!$AB:$AB,'MASTER PLAN'!$M:$M,0,0)=0,"",XLOOKUP(CONCAT(E1028,F1028),'MASTER PLAN'!$AB:$AB,'MASTER PLAN'!$M:$M,0,0)),"")</f>
        <v/>
      </c>
      <c r="K1028" s="107">
        <f t="shared" si="237"/>
        <v>0</v>
      </c>
      <c r="L1028" s="107">
        <f t="shared" si="238"/>
        <v>0</v>
      </c>
      <c r="M1028" s="105" t="s">
        <v>249</v>
      </c>
      <c r="AI1028" s="42"/>
      <c r="BN1028" s="42"/>
      <c r="CS1028" s="42"/>
      <c r="DX1028" s="42"/>
      <c r="FC1028" s="42"/>
      <c r="GH1028" s="42"/>
      <c r="HM1028" s="42"/>
      <c r="IR1028" s="42"/>
      <c r="JW1028" s="42"/>
      <c r="LB1028" s="42"/>
      <c r="MG1028" s="42"/>
      <c r="NL1028" s="42"/>
    </row>
    <row r="1029" ht="15.75" customHeight="1">
      <c r="A1029" s="42"/>
      <c r="D1029" s="38">
        <f t="shared" si="1295"/>
        <v>46041</v>
      </c>
      <c r="E1029" s="31" t="str">
        <f t="shared" ref="E1029:I1029" si="1305">MH21</f>
        <v/>
      </c>
      <c r="F1029" s="31" t="str">
        <f t="shared" si="1305"/>
        <v/>
      </c>
      <c r="G1029" s="31" t="str">
        <f t="shared" si="1305"/>
        <v/>
      </c>
      <c r="H1029" s="13" t="str">
        <f t="shared" si="1305"/>
        <v/>
      </c>
      <c r="I1029" s="13" t="str">
        <f t="shared" si="1305"/>
        <v/>
      </c>
      <c r="J1029" s="107" t="str">
        <f t="array" ref="J1029">IFERROR(IF(XLOOKUP(CONCAT(E1029,F1029),'MASTER PLAN'!$AB:$AB,'MASTER PLAN'!$M:$M,0,0)=0,"",XLOOKUP(CONCAT(E1029,F1029),'MASTER PLAN'!$AB:$AB,'MASTER PLAN'!$M:$M,0,0)),"")</f>
        <v/>
      </c>
      <c r="K1029" s="107">
        <f t="shared" si="237"/>
        <v>0</v>
      </c>
      <c r="L1029" s="107">
        <f t="shared" si="238"/>
        <v>0</v>
      </c>
      <c r="M1029" s="105" t="s">
        <v>249</v>
      </c>
      <c r="AI1029" s="42"/>
      <c r="BN1029" s="42"/>
      <c r="CS1029" s="42"/>
      <c r="DX1029" s="42"/>
      <c r="FC1029" s="42"/>
      <c r="GH1029" s="42"/>
      <c r="HM1029" s="42"/>
      <c r="IR1029" s="42"/>
      <c r="JW1029" s="42"/>
      <c r="LB1029" s="42"/>
      <c r="MG1029" s="42"/>
      <c r="NL1029" s="42"/>
    </row>
    <row r="1030" ht="15.75" customHeight="1">
      <c r="A1030" s="42"/>
      <c r="D1030" s="38">
        <f t="shared" si="1295"/>
        <v>46041</v>
      </c>
      <c r="E1030" s="31" t="str">
        <f t="shared" ref="E1030:I1030" si="1306">MH22</f>
        <v/>
      </c>
      <c r="F1030" s="31" t="str">
        <f t="shared" si="1306"/>
        <v/>
      </c>
      <c r="G1030" s="31" t="str">
        <f t="shared" si="1306"/>
        <v/>
      </c>
      <c r="H1030" s="13" t="str">
        <f t="shared" si="1306"/>
        <v/>
      </c>
      <c r="I1030" s="13" t="str">
        <f t="shared" si="1306"/>
        <v/>
      </c>
      <c r="J1030" s="107" t="str">
        <f t="array" ref="J1030">IFERROR(IF(XLOOKUP(CONCAT(E1030,F1030),'MASTER PLAN'!$AB:$AB,'MASTER PLAN'!$M:$M,0,0)=0,"",XLOOKUP(CONCAT(E1030,F1030),'MASTER PLAN'!$AB:$AB,'MASTER PLAN'!$M:$M,0,0)),"")</f>
        <v/>
      </c>
      <c r="K1030" s="107">
        <f t="shared" si="237"/>
        <v>0</v>
      </c>
      <c r="L1030" s="107">
        <f t="shared" si="238"/>
        <v>0</v>
      </c>
      <c r="M1030" s="105" t="s">
        <v>249</v>
      </c>
      <c r="AI1030" s="42"/>
      <c r="BN1030" s="42"/>
      <c r="CS1030" s="42"/>
      <c r="DX1030" s="42"/>
      <c r="FC1030" s="42"/>
      <c r="GH1030" s="42"/>
      <c r="HM1030" s="42"/>
      <c r="IR1030" s="42"/>
      <c r="JW1030" s="42"/>
      <c r="LB1030" s="42"/>
      <c r="MG1030" s="42"/>
      <c r="NL1030" s="42"/>
    </row>
    <row r="1031" ht="15.75" customHeight="1">
      <c r="A1031" s="42"/>
      <c r="D1031" s="38">
        <f t="shared" si="1295"/>
        <v>46041</v>
      </c>
      <c r="E1031" s="31" t="str">
        <f t="shared" ref="E1031:I1031" si="1307">MH23</f>
        <v/>
      </c>
      <c r="F1031" s="31" t="str">
        <f t="shared" si="1307"/>
        <v/>
      </c>
      <c r="G1031" s="31" t="str">
        <f t="shared" si="1307"/>
        <v/>
      </c>
      <c r="H1031" s="13" t="str">
        <f t="shared" si="1307"/>
        <v/>
      </c>
      <c r="I1031" s="13" t="str">
        <f t="shared" si="1307"/>
        <v/>
      </c>
      <c r="J1031" s="107" t="str">
        <f t="array" ref="J1031">IFERROR(IF(XLOOKUP(CONCAT(E1031,F1031),'MASTER PLAN'!$AB:$AB,'MASTER PLAN'!$M:$M,0,0)=0,"",XLOOKUP(CONCAT(E1031,F1031),'MASTER PLAN'!$AB:$AB,'MASTER PLAN'!$M:$M,0,0)),"")</f>
        <v/>
      </c>
      <c r="K1031" s="107">
        <f t="shared" si="237"/>
        <v>0</v>
      </c>
      <c r="L1031" s="107">
        <f t="shared" si="238"/>
        <v>0</v>
      </c>
      <c r="M1031" s="105" t="s">
        <v>249</v>
      </c>
      <c r="AI1031" s="42"/>
      <c r="BN1031" s="42"/>
      <c r="CS1031" s="42"/>
      <c r="DX1031" s="42"/>
      <c r="FC1031" s="42"/>
      <c r="GH1031" s="42"/>
      <c r="HM1031" s="42"/>
      <c r="IR1031" s="42"/>
      <c r="JW1031" s="42"/>
      <c r="LB1031" s="42"/>
      <c r="MG1031" s="42"/>
      <c r="NL1031" s="42"/>
    </row>
    <row r="1032" ht="15.75" customHeight="1">
      <c r="A1032" s="42"/>
      <c r="D1032" s="38">
        <f t="shared" si="1295"/>
        <v>46041</v>
      </c>
      <c r="E1032" s="31" t="str">
        <f t="shared" ref="E1032:I1032" si="1308">MH24</f>
        <v/>
      </c>
      <c r="F1032" s="31" t="str">
        <f t="shared" si="1308"/>
        <v/>
      </c>
      <c r="G1032" s="31" t="str">
        <f t="shared" si="1308"/>
        <v/>
      </c>
      <c r="H1032" s="13" t="str">
        <f t="shared" si="1308"/>
        <v/>
      </c>
      <c r="I1032" s="13" t="str">
        <f t="shared" si="1308"/>
        <v/>
      </c>
      <c r="J1032" s="107" t="str">
        <f t="array" ref="J1032">IFERROR(IF(XLOOKUP(CONCAT(E1032,F1032),'MASTER PLAN'!$AB:$AB,'MASTER PLAN'!$M:$M,0,0)=0,"",XLOOKUP(CONCAT(E1032,F1032),'MASTER PLAN'!$AB:$AB,'MASTER PLAN'!$M:$M,0,0)),"")</f>
        <v/>
      </c>
      <c r="K1032" s="107">
        <f t="shared" si="237"/>
        <v>0</v>
      </c>
      <c r="L1032" s="107">
        <f t="shared" si="238"/>
        <v>0</v>
      </c>
      <c r="M1032" s="105" t="s">
        <v>249</v>
      </c>
      <c r="AI1032" s="42"/>
      <c r="BN1032" s="42"/>
      <c r="CS1032" s="42"/>
      <c r="DX1032" s="42"/>
      <c r="FC1032" s="42"/>
      <c r="GH1032" s="42"/>
      <c r="HM1032" s="42"/>
      <c r="IR1032" s="42"/>
      <c r="JW1032" s="42"/>
      <c r="LB1032" s="42"/>
      <c r="MG1032" s="42"/>
      <c r="NL1032" s="42"/>
    </row>
    <row r="1033" ht="15.75" customHeight="1">
      <c r="A1033" s="42"/>
      <c r="D1033" s="38">
        <f>MM2</f>
        <v>46042</v>
      </c>
      <c r="E1033" s="31" t="str">
        <f t="shared" ref="E1033:I1033" si="1309">MM4</f>
        <v/>
      </c>
      <c r="F1033" s="31" t="str">
        <f t="shared" si="1309"/>
        <v/>
      </c>
      <c r="G1033" s="31" t="str">
        <f t="shared" si="1309"/>
        <v/>
      </c>
      <c r="H1033" s="13" t="str">
        <f t="shared" si="1309"/>
        <v/>
      </c>
      <c r="I1033" s="13" t="str">
        <f t="shared" si="1309"/>
        <v/>
      </c>
      <c r="J1033" s="107" t="str">
        <f t="array" ref="J1033">IFERROR(IF(XLOOKUP(CONCAT(E1033,F1033),'MASTER PLAN'!$AB:$AB,'MASTER PLAN'!$M:$M,0,0)=0,"",XLOOKUP(CONCAT(E1033,F1033),'MASTER PLAN'!$AB:$AB,'MASTER PLAN'!$M:$M,0,0)),"")</f>
        <v/>
      </c>
      <c r="K1033" s="107">
        <f t="shared" si="237"/>
        <v>0</v>
      </c>
      <c r="L1033" s="107">
        <f t="shared" si="238"/>
        <v>0</v>
      </c>
      <c r="M1033" s="105" t="s">
        <v>246</v>
      </c>
      <c r="AI1033" s="42"/>
      <c r="BN1033" s="42"/>
      <c r="CS1033" s="42"/>
      <c r="DX1033" s="42"/>
      <c r="FC1033" s="42"/>
      <c r="GH1033" s="42"/>
      <c r="HM1033" s="42"/>
      <c r="IR1033" s="42"/>
      <c r="JW1033" s="42"/>
      <c r="LB1033" s="42"/>
      <c r="MG1033" s="42"/>
      <c r="NL1033" s="42"/>
    </row>
    <row r="1034" ht="15.75" customHeight="1">
      <c r="A1034" s="42"/>
      <c r="D1034" s="38">
        <f t="shared" ref="D1034:D1047" si="1311">D1033</f>
        <v>46042</v>
      </c>
      <c r="E1034" s="31" t="str">
        <f t="shared" ref="E1034:I1034" si="1310">MM5</f>
        <v/>
      </c>
      <c r="F1034" s="31" t="str">
        <f t="shared" si="1310"/>
        <v/>
      </c>
      <c r="G1034" s="31" t="str">
        <f t="shared" si="1310"/>
        <v/>
      </c>
      <c r="H1034" s="13" t="str">
        <f t="shared" si="1310"/>
        <v/>
      </c>
      <c r="I1034" s="13" t="str">
        <f t="shared" si="1310"/>
        <v/>
      </c>
      <c r="J1034" s="107" t="str">
        <f t="array" ref="J1034">IFERROR(IF(XLOOKUP(CONCAT(E1034,F1034),'MASTER PLAN'!$AB:$AB,'MASTER PLAN'!$M:$M,0,0)=0,"",XLOOKUP(CONCAT(E1034,F1034),'MASTER PLAN'!$AB:$AB,'MASTER PLAN'!$M:$M,0,0)),"")</f>
        <v/>
      </c>
      <c r="K1034" s="107">
        <f t="shared" si="237"/>
        <v>0</v>
      </c>
      <c r="L1034" s="107">
        <f t="shared" si="238"/>
        <v>0</v>
      </c>
      <c r="M1034" s="105" t="s">
        <v>246</v>
      </c>
      <c r="AI1034" s="42"/>
      <c r="BN1034" s="42"/>
      <c r="CS1034" s="42"/>
      <c r="DX1034" s="42"/>
      <c r="FC1034" s="42"/>
      <c r="GH1034" s="42"/>
      <c r="HM1034" s="42"/>
      <c r="IR1034" s="42"/>
      <c r="JW1034" s="42"/>
      <c r="LB1034" s="42"/>
      <c r="MG1034" s="42"/>
      <c r="NL1034" s="42"/>
    </row>
    <row r="1035" ht="15.75" customHeight="1">
      <c r="A1035" s="42"/>
      <c r="D1035" s="38">
        <f t="shared" si="1311"/>
        <v>46042</v>
      </c>
      <c r="E1035" s="31" t="str">
        <f t="shared" ref="E1035:I1035" si="1312">MM6</f>
        <v/>
      </c>
      <c r="F1035" s="31" t="str">
        <f t="shared" si="1312"/>
        <v/>
      </c>
      <c r="G1035" s="31" t="str">
        <f t="shared" si="1312"/>
        <v/>
      </c>
      <c r="H1035" s="13" t="str">
        <f t="shared" si="1312"/>
        <v/>
      </c>
      <c r="I1035" s="13" t="str">
        <f t="shared" si="1312"/>
        <v/>
      </c>
      <c r="J1035" s="107" t="str">
        <f t="array" ref="J1035">IFERROR(IF(XLOOKUP(CONCAT(E1035,F1035),'MASTER PLAN'!$AB:$AB,'MASTER PLAN'!$M:$M,0,0)=0,"",XLOOKUP(CONCAT(E1035,F1035),'MASTER PLAN'!$AB:$AB,'MASTER PLAN'!$M:$M,0,0)),"")</f>
        <v/>
      </c>
      <c r="K1035" s="107">
        <f t="shared" si="237"/>
        <v>0</v>
      </c>
      <c r="L1035" s="107">
        <f t="shared" si="238"/>
        <v>0</v>
      </c>
      <c r="M1035" s="105" t="s">
        <v>246</v>
      </c>
      <c r="AI1035" s="42"/>
      <c r="BN1035" s="42"/>
      <c r="CS1035" s="42"/>
      <c r="DX1035" s="42"/>
      <c r="FC1035" s="42"/>
      <c r="GH1035" s="42"/>
      <c r="HM1035" s="42"/>
      <c r="IR1035" s="42"/>
      <c r="JW1035" s="42"/>
      <c r="LB1035" s="42"/>
      <c r="MG1035" s="42"/>
      <c r="NL1035" s="42"/>
    </row>
    <row r="1036" ht="15.75" customHeight="1">
      <c r="A1036" s="42"/>
      <c r="D1036" s="38">
        <f t="shared" si="1311"/>
        <v>46042</v>
      </c>
      <c r="E1036" s="31" t="str">
        <f t="shared" ref="E1036:I1036" si="1313">MM7</f>
        <v/>
      </c>
      <c r="F1036" s="31" t="str">
        <f t="shared" si="1313"/>
        <v/>
      </c>
      <c r="G1036" s="31" t="str">
        <f t="shared" si="1313"/>
        <v/>
      </c>
      <c r="H1036" s="13" t="str">
        <f t="shared" si="1313"/>
        <v/>
      </c>
      <c r="I1036" s="13" t="str">
        <f t="shared" si="1313"/>
        <v/>
      </c>
      <c r="J1036" s="107" t="str">
        <f t="array" ref="J1036">IFERROR(IF(XLOOKUP(CONCAT(E1036,F1036),'MASTER PLAN'!$AB:$AB,'MASTER PLAN'!$M:$M,0,0)=0,"",XLOOKUP(CONCAT(E1036,F1036),'MASTER PLAN'!$AB:$AB,'MASTER PLAN'!$M:$M,0,0)),"")</f>
        <v/>
      </c>
      <c r="K1036" s="107">
        <f t="shared" si="237"/>
        <v>0</v>
      </c>
      <c r="L1036" s="107">
        <f t="shared" si="238"/>
        <v>0</v>
      </c>
      <c r="M1036" s="105" t="s">
        <v>246</v>
      </c>
      <c r="AI1036" s="42"/>
      <c r="BN1036" s="42"/>
      <c r="CS1036" s="42"/>
      <c r="DX1036" s="42"/>
      <c r="FC1036" s="42"/>
      <c r="GH1036" s="42"/>
      <c r="HM1036" s="42"/>
      <c r="IR1036" s="42"/>
      <c r="JW1036" s="42"/>
      <c r="LB1036" s="42"/>
      <c r="MG1036" s="42"/>
      <c r="NL1036" s="42"/>
    </row>
    <row r="1037" ht="15.75" customHeight="1">
      <c r="A1037" s="42"/>
      <c r="D1037" s="38">
        <f t="shared" si="1311"/>
        <v>46042</v>
      </c>
      <c r="E1037" s="31" t="str">
        <f t="shared" ref="E1037:I1037" si="1314">MM8</f>
        <v/>
      </c>
      <c r="F1037" s="31" t="str">
        <f t="shared" si="1314"/>
        <v/>
      </c>
      <c r="G1037" s="31" t="str">
        <f t="shared" si="1314"/>
        <v/>
      </c>
      <c r="H1037" s="13" t="str">
        <f t="shared" si="1314"/>
        <v/>
      </c>
      <c r="I1037" s="13" t="str">
        <f t="shared" si="1314"/>
        <v/>
      </c>
      <c r="J1037" s="107" t="str">
        <f t="array" ref="J1037">IFERROR(IF(XLOOKUP(CONCAT(E1037,F1037),'MASTER PLAN'!$AB:$AB,'MASTER PLAN'!$M:$M,0,0)=0,"",XLOOKUP(CONCAT(E1037,F1037),'MASTER PLAN'!$AB:$AB,'MASTER PLAN'!$M:$M,0,0)),"")</f>
        <v/>
      </c>
      <c r="K1037" s="107">
        <f t="shared" si="237"/>
        <v>0</v>
      </c>
      <c r="L1037" s="107">
        <f t="shared" si="238"/>
        <v>0</v>
      </c>
      <c r="M1037" s="105" t="s">
        <v>246</v>
      </c>
      <c r="AI1037" s="42"/>
      <c r="BN1037" s="42"/>
      <c r="CS1037" s="42"/>
      <c r="DX1037" s="42"/>
      <c r="FC1037" s="42"/>
      <c r="GH1037" s="42"/>
      <c r="HM1037" s="42"/>
      <c r="IR1037" s="42"/>
      <c r="JW1037" s="42"/>
      <c r="LB1037" s="42"/>
      <c r="MG1037" s="42"/>
      <c r="NL1037" s="42"/>
    </row>
    <row r="1038" ht="15.75" customHeight="1">
      <c r="A1038" s="42"/>
      <c r="D1038" s="38">
        <f t="shared" si="1311"/>
        <v>46042</v>
      </c>
      <c r="E1038" s="31" t="str">
        <f t="shared" ref="E1038:I1038" si="1315">MM12</f>
        <v/>
      </c>
      <c r="F1038" s="31" t="str">
        <f t="shared" si="1315"/>
        <v/>
      </c>
      <c r="G1038" s="31" t="str">
        <f t="shared" si="1315"/>
        <v/>
      </c>
      <c r="H1038" s="13" t="str">
        <f t="shared" si="1315"/>
        <v/>
      </c>
      <c r="I1038" s="13" t="str">
        <f t="shared" si="1315"/>
        <v/>
      </c>
      <c r="J1038" s="107" t="str">
        <f t="array" ref="J1038">IFERROR(IF(XLOOKUP(CONCAT(E1038,F1038),'MASTER PLAN'!$AB:$AB,'MASTER PLAN'!$M:$M,0,0)=0,"",XLOOKUP(CONCAT(E1038,F1038),'MASTER PLAN'!$AB:$AB,'MASTER PLAN'!$M:$M,0,0)),"")</f>
        <v/>
      </c>
      <c r="K1038" s="107">
        <f t="shared" si="237"/>
        <v>0</v>
      </c>
      <c r="L1038" s="107">
        <f t="shared" si="238"/>
        <v>0</v>
      </c>
      <c r="M1038" s="105" t="s">
        <v>248</v>
      </c>
      <c r="AI1038" s="42"/>
      <c r="BN1038" s="42"/>
      <c r="CS1038" s="42"/>
      <c r="DX1038" s="42"/>
      <c r="FC1038" s="42"/>
      <c r="GH1038" s="42"/>
      <c r="HM1038" s="42"/>
      <c r="IR1038" s="42"/>
      <c r="JW1038" s="42"/>
      <c r="LB1038" s="42"/>
      <c r="MG1038" s="42"/>
      <c r="NL1038" s="42"/>
    </row>
    <row r="1039" ht="15.75" customHeight="1">
      <c r="A1039" s="42"/>
      <c r="D1039" s="38">
        <f t="shared" si="1311"/>
        <v>46042</v>
      </c>
      <c r="E1039" s="31" t="str">
        <f t="shared" ref="E1039:I1039" si="1316">MM13</f>
        <v/>
      </c>
      <c r="F1039" s="31" t="str">
        <f t="shared" si="1316"/>
        <v/>
      </c>
      <c r="G1039" s="31" t="str">
        <f t="shared" si="1316"/>
        <v/>
      </c>
      <c r="H1039" s="13" t="str">
        <f t="shared" si="1316"/>
        <v/>
      </c>
      <c r="I1039" s="13" t="str">
        <f t="shared" si="1316"/>
        <v/>
      </c>
      <c r="J1039" s="107" t="str">
        <f t="array" ref="J1039">IFERROR(IF(XLOOKUP(CONCAT(E1039,F1039),'MASTER PLAN'!$AB:$AB,'MASTER PLAN'!$M:$M,0,0)=0,"",XLOOKUP(CONCAT(E1039,F1039),'MASTER PLAN'!$AB:$AB,'MASTER PLAN'!$M:$M,0,0)),"")</f>
        <v/>
      </c>
      <c r="K1039" s="107">
        <f t="shared" si="237"/>
        <v>0</v>
      </c>
      <c r="L1039" s="107">
        <f t="shared" si="238"/>
        <v>0</v>
      </c>
      <c r="M1039" s="105" t="s">
        <v>248</v>
      </c>
      <c r="AI1039" s="42"/>
      <c r="BN1039" s="42"/>
      <c r="CS1039" s="42"/>
      <c r="DX1039" s="42"/>
      <c r="FC1039" s="42"/>
      <c r="GH1039" s="42"/>
      <c r="HM1039" s="42"/>
      <c r="IR1039" s="42"/>
      <c r="JW1039" s="42"/>
      <c r="LB1039" s="42"/>
      <c r="MG1039" s="42"/>
      <c r="NL1039" s="42"/>
    </row>
    <row r="1040" ht="15.75" customHeight="1">
      <c r="A1040" s="42"/>
      <c r="D1040" s="38">
        <f t="shared" si="1311"/>
        <v>46042</v>
      </c>
      <c r="E1040" s="31" t="str">
        <f t="shared" ref="E1040:I1040" si="1317">MM14</f>
        <v/>
      </c>
      <c r="F1040" s="31" t="str">
        <f t="shared" si="1317"/>
        <v/>
      </c>
      <c r="G1040" s="31" t="str">
        <f t="shared" si="1317"/>
        <v/>
      </c>
      <c r="H1040" s="13" t="str">
        <f t="shared" si="1317"/>
        <v/>
      </c>
      <c r="I1040" s="13" t="str">
        <f t="shared" si="1317"/>
        <v/>
      </c>
      <c r="J1040" s="107" t="str">
        <f t="array" ref="J1040">IFERROR(IF(XLOOKUP(CONCAT(E1040,F1040),'MASTER PLAN'!$AB:$AB,'MASTER PLAN'!$M:$M,0,0)=0,"",XLOOKUP(CONCAT(E1040,F1040),'MASTER PLAN'!$AB:$AB,'MASTER PLAN'!$M:$M,0,0)),"")</f>
        <v/>
      </c>
      <c r="K1040" s="107">
        <f t="shared" si="237"/>
        <v>0</v>
      </c>
      <c r="L1040" s="107">
        <f t="shared" si="238"/>
        <v>0</v>
      </c>
      <c r="M1040" s="105" t="s">
        <v>248</v>
      </c>
      <c r="AI1040" s="42"/>
      <c r="BN1040" s="42"/>
      <c r="CS1040" s="42"/>
      <c r="DX1040" s="42"/>
      <c r="FC1040" s="42"/>
      <c r="GH1040" s="42"/>
      <c r="HM1040" s="42"/>
      <c r="IR1040" s="42"/>
      <c r="JW1040" s="42"/>
      <c r="LB1040" s="42"/>
      <c r="MG1040" s="42"/>
      <c r="NL1040" s="42"/>
    </row>
    <row r="1041" ht="15.75" customHeight="1">
      <c r="A1041" s="42"/>
      <c r="D1041" s="38">
        <f t="shared" si="1311"/>
        <v>46042</v>
      </c>
      <c r="E1041" s="31" t="str">
        <f t="shared" ref="E1041:I1041" si="1318">MM15</f>
        <v/>
      </c>
      <c r="F1041" s="31" t="str">
        <f t="shared" si="1318"/>
        <v/>
      </c>
      <c r="G1041" s="31" t="str">
        <f t="shared" si="1318"/>
        <v/>
      </c>
      <c r="H1041" s="13" t="str">
        <f t="shared" si="1318"/>
        <v/>
      </c>
      <c r="I1041" s="13" t="str">
        <f t="shared" si="1318"/>
        <v/>
      </c>
      <c r="J1041" s="107" t="str">
        <f t="array" ref="J1041">IFERROR(IF(XLOOKUP(CONCAT(E1041,F1041),'MASTER PLAN'!$AB:$AB,'MASTER PLAN'!$M:$M,0,0)=0,"",XLOOKUP(CONCAT(E1041,F1041),'MASTER PLAN'!$AB:$AB,'MASTER PLAN'!$M:$M,0,0)),"")</f>
        <v/>
      </c>
      <c r="K1041" s="107">
        <f t="shared" si="237"/>
        <v>0</v>
      </c>
      <c r="L1041" s="107">
        <f t="shared" si="238"/>
        <v>0</v>
      </c>
      <c r="M1041" s="105" t="s">
        <v>248</v>
      </c>
      <c r="AI1041" s="42"/>
      <c r="BN1041" s="42"/>
      <c r="CS1041" s="42"/>
      <c r="DX1041" s="42"/>
      <c r="FC1041" s="42"/>
      <c r="GH1041" s="42"/>
      <c r="HM1041" s="42"/>
      <c r="IR1041" s="42"/>
      <c r="JW1041" s="42"/>
      <c r="LB1041" s="42"/>
      <c r="MG1041" s="42"/>
      <c r="NL1041" s="42"/>
    </row>
    <row r="1042" ht="15.75" customHeight="1">
      <c r="A1042" s="42"/>
      <c r="D1042" s="38">
        <f t="shared" si="1311"/>
        <v>46042</v>
      </c>
      <c r="E1042" s="31" t="str">
        <f t="shared" ref="E1042:I1042" si="1319">MM16</f>
        <v/>
      </c>
      <c r="F1042" s="31" t="str">
        <f t="shared" si="1319"/>
        <v/>
      </c>
      <c r="G1042" s="31" t="str">
        <f t="shared" si="1319"/>
        <v/>
      </c>
      <c r="H1042" s="13" t="str">
        <f t="shared" si="1319"/>
        <v/>
      </c>
      <c r="I1042" s="13" t="str">
        <f t="shared" si="1319"/>
        <v/>
      </c>
      <c r="J1042" s="107" t="str">
        <f t="array" ref="J1042">IFERROR(IF(XLOOKUP(CONCAT(E1042,F1042),'MASTER PLAN'!$AB:$AB,'MASTER PLAN'!$M:$M,0,0)=0,"",XLOOKUP(CONCAT(E1042,F1042),'MASTER PLAN'!$AB:$AB,'MASTER PLAN'!$M:$M,0,0)),"")</f>
        <v/>
      </c>
      <c r="K1042" s="107">
        <f t="shared" si="237"/>
        <v>0</v>
      </c>
      <c r="L1042" s="107">
        <f t="shared" si="238"/>
        <v>0</v>
      </c>
      <c r="M1042" s="105" t="s">
        <v>248</v>
      </c>
      <c r="AI1042" s="42"/>
      <c r="BN1042" s="42"/>
      <c r="CS1042" s="42"/>
      <c r="DX1042" s="42"/>
      <c r="FC1042" s="42"/>
      <c r="GH1042" s="42"/>
      <c r="HM1042" s="42"/>
      <c r="IR1042" s="42"/>
      <c r="JW1042" s="42"/>
      <c r="LB1042" s="42"/>
      <c r="MG1042" s="42"/>
      <c r="NL1042" s="42"/>
    </row>
    <row r="1043" ht="15.75" customHeight="1">
      <c r="A1043" s="42"/>
      <c r="D1043" s="38">
        <f t="shared" si="1311"/>
        <v>46042</v>
      </c>
      <c r="E1043" s="31" t="str">
        <f t="shared" ref="E1043:I1043" si="1320">MM20</f>
        <v/>
      </c>
      <c r="F1043" s="31" t="str">
        <f t="shared" si="1320"/>
        <v/>
      </c>
      <c r="G1043" s="31" t="str">
        <f t="shared" si="1320"/>
        <v/>
      </c>
      <c r="H1043" s="13" t="str">
        <f t="shared" si="1320"/>
        <v/>
      </c>
      <c r="I1043" s="13" t="str">
        <f t="shared" si="1320"/>
        <v/>
      </c>
      <c r="J1043" s="107" t="str">
        <f t="array" ref="J1043">IFERROR(IF(XLOOKUP(CONCAT(E1043,F1043),'MASTER PLAN'!$AB:$AB,'MASTER PLAN'!$M:$M,0,0)=0,"",XLOOKUP(CONCAT(E1043,F1043),'MASTER PLAN'!$AB:$AB,'MASTER PLAN'!$M:$M,0,0)),"")</f>
        <v/>
      </c>
      <c r="K1043" s="107">
        <f t="shared" si="237"/>
        <v>0</v>
      </c>
      <c r="L1043" s="107">
        <f t="shared" si="238"/>
        <v>0</v>
      </c>
      <c r="M1043" s="105" t="s">
        <v>249</v>
      </c>
      <c r="AI1043" s="42"/>
      <c r="BN1043" s="42"/>
      <c r="CS1043" s="42"/>
      <c r="DX1043" s="42"/>
      <c r="FC1043" s="42"/>
      <c r="GH1043" s="42"/>
      <c r="HM1043" s="42"/>
      <c r="IR1043" s="42"/>
      <c r="JW1043" s="42"/>
      <c r="LB1043" s="42"/>
      <c r="MG1043" s="42"/>
      <c r="NL1043" s="42"/>
    </row>
    <row r="1044" ht="15.75" customHeight="1">
      <c r="A1044" s="42"/>
      <c r="D1044" s="38">
        <f t="shared" si="1311"/>
        <v>46042</v>
      </c>
      <c r="E1044" s="31" t="str">
        <f t="shared" ref="E1044:I1044" si="1321">MM21</f>
        <v/>
      </c>
      <c r="F1044" s="31" t="str">
        <f t="shared" si="1321"/>
        <v/>
      </c>
      <c r="G1044" s="31" t="str">
        <f t="shared" si="1321"/>
        <v/>
      </c>
      <c r="H1044" s="13" t="str">
        <f t="shared" si="1321"/>
        <v/>
      </c>
      <c r="I1044" s="13" t="str">
        <f t="shared" si="1321"/>
        <v/>
      </c>
      <c r="J1044" s="107" t="str">
        <f t="array" ref="J1044">IFERROR(IF(XLOOKUP(CONCAT(E1044,F1044),'MASTER PLAN'!$AB:$AB,'MASTER PLAN'!$M:$M,0,0)=0,"",XLOOKUP(CONCAT(E1044,F1044),'MASTER PLAN'!$AB:$AB,'MASTER PLAN'!$M:$M,0,0)),"")</f>
        <v/>
      </c>
      <c r="K1044" s="107">
        <f t="shared" si="237"/>
        <v>0</v>
      </c>
      <c r="L1044" s="107">
        <f t="shared" si="238"/>
        <v>0</v>
      </c>
      <c r="M1044" s="105" t="s">
        <v>249</v>
      </c>
      <c r="AI1044" s="42"/>
      <c r="BN1044" s="42"/>
      <c r="CS1044" s="42"/>
      <c r="DX1044" s="42"/>
      <c r="FC1044" s="42"/>
      <c r="GH1044" s="42"/>
      <c r="HM1044" s="42"/>
      <c r="IR1044" s="42"/>
      <c r="JW1044" s="42"/>
      <c r="LB1044" s="42"/>
      <c r="MG1044" s="42"/>
      <c r="NL1044" s="42"/>
    </row>
    <row r="1045" ht="15.75" customHeight="1">
      <c r="A1045" s="42"/>
      <c r="D1045" s="38">
        <f t="shared" si="1311"/>
        <v>46042</v>
      </c>
      <c r="E1045" s="31" t="str">
        <f t="shared" ref="E1045:I1045" si="1322">MM22</f>
        <v/>
      </c>
      <c r="F1045" s="31" t="str">
        <f t="shared" si="1322"/>
        <v/>
      </c>
      <c r="G1045" s="31" t="str">
        <f t="shared" si="1322"/>
        <v/>
      </c>
      <c r="H1045" s="13" t="str">
        <f t="shared" si="1322"/>
        <v/>
      </c>
      <c r="I1045" s="13" t="str">
        <f t="shared" si="1322"/>
        <v/>
      </c>
      <c r="J1045" s="107" t="str">
        <f t="array" ref="J1045">IFERROR(IF(XLOOKUP(CONCAT(E1045,F1045),'MASTER PLAN'!$AB:$AB,'MASTER PLAN'!$M:$M,0,0)=0,"",XLOOKUP(CONCAT(E1045,F1045),'MASTER PLAN'!$AB:$AB,'MASTER PLAN'!$M:$M,0,0)),"")</f>
        <v/>
      </c>
      <c r="K1045" s="107">
        <f t="shared" si="237"/>
        <v>0</v>
      </c>
      <c r="L1045" s="107">
        <f t="shared" si="238"/>
        <v>0</v>
      </c>
      <c r="M1045" s="105" t="s">
        <v>249</v>
      </c>
      <c r="AI1045" s="42"/>
      <c r="BN1045" s="42"/>
      <c r="CS1045" s="42"/>
      <c r="DX1045" s="42"/>
      <c r="FC1045" s="42"/>
      <c r="GH1045" s="42"/>
      <c r="HM1045" s="42"/>
      <c r="IR1045" s="42"/>
      <c r="JW1045" s="42"/>
      <c r="LB1045" s="42"/>
      <c r="MG1045" s="42"/>
      <c r="NL1045" s="42"/>
    </row>
    <row r="1046" ht="15.75" customHeight="1">
      <c r="A1046" s="42"/>
      <c r="D1046" s="38">
        <f t="shared" si="1311"/>
        <v>46042</v>
      </c>
      <c r="E1046" s="31" t="str">
        <f t="shared" ref="E1046:I1046" si="1323">MM23</f>
        <v/>
      </c>
      <c r="F1046" s="31" t="str">
        <f t="shared" si="1323"/>
        <v/>
      </c>
      <c r="G1046" s="31" t="str">
        <f t="shared" si="1323"/>
        <v/>
      </c>
      <c r="H1046" s="13" t="str">
        <f t="shared" si="1323"/>
        <v/>
      </c>
      <c r="I1046" s="13" t="str">
        <f t="shared" si="1323"/>
        <v/>
      </c>
      <c r="J1046" s="107" t="str">
        <f t="array" ref="J1046">IFERROR(IF(XLOOKUP(CONCAT(E1046,F1046),'MASTER PLAN'!$AB:$AB,'MASTER PLAN'!$M:$M,0,0)=0,"",XLOOKUP(CONCAT(E1046,F1046),'MASTER PLAN'!$AB:$AB,'MASTER PLAN'!$M:$M,0,0)),"")</f>
        <v/>
      </c>
      <c r="K1046" s="107">
        <f t="shared" si="237"/>
        <v>0</v>
      </c>
      <c r="L1046" s="107">
        <f t="shared" si="238"/>
        <v>0</v>
      </c>
      <c r="M1046" s="105" t="s">
        <v>249</v>
      </c>
      <c r="AI1046" s="42"/>
      <c r="BN1046" s="42"/>
      <c r="CS1046" s="42"/>
      <c r="DX1046" s="42"/>
      <c r="FC1046" s="42"/>
      <c r="GH1046" s="42"/>
      <c r="HM1046" s="42"/>
      <c r="IR1046" s="42"/>
      <c r="JW1046" s="42"/>
      <c r="LB1046" s="42"/>
      <c r="MG1046" s="42"/>
      <c r="NL1046" s="42"/>
    </row>
    <row r="1047" ht="15.75" customHeight="1">
      <c r="A1047" s="42"/>
      <c r="D1047" s="38">
        <f t="shared" si="1311"/>
        <v>46042</v>
      </c>
      <c r="E1047" s="31" t="str">
        <f t="shared" ref="E1047:I1047" si="1324">MM24</f>
        <v/>
      </c>
      <c r="F1047" s="31" t="str">
        <f t="shared" si="1324"/>
        <v/>
      </c>
      <c r="G1047" s="31" t="str">
        <f t="shared" si="1324"/>
        <v/>
      </c>
      <c r="H1047" s="13" t="str">
        <f t="shared" si="1324"/>
        <v/>
      </c>
      <c r="I1047" s="13" t="str">
        <f t="shared" si="1324"/>
        <v/>
      </c>
      <c r="J1047" s="107" t="str">
        <f t="array" ref="J1047">IFERROR(IF(XLOOKUP(CONCAT(E1047,F1047),'MASTER PLAN'!$AB:$AB,'MASTER PLAN'!$M:$M,0,0)=0,"",XLOOKUP(CONCAT(E1047,F1047),'MASTER PLAN'!$AB:$AB,'MASTER PLAN'!$M:$M,0,0)),"")</f>
        <v/>
      </c>
      <c r="K1047" s="107">
        <f t="shared" si="237"/>
        <v>0</v>
      </c>
      <c r="L1047" s="107">
        <f t="shared" si="238"/>
        <v>0</v>
      </c>
      <c r="M1047" s="105" t="s">
        <v>249</v>
      </c>
      <c r="AI1047" s="42"/>
      <c r="BN1047" s="42"/>
      <c r="CS1047" s="42"/>
      <c r="DX1047" s="42"/>
      <c r="FC1047" s="42"/>
      <c r="GH1047" s="42"/>
      <c r="HM1047" s="42"/>
      <c r="IR1047" s="42"/>
      <c r="JW1047" s="42"/>
      <c r="LB1047" s="42"/>
      <c r="MG1047" s="42"/>
      <c r="NL1047" s="42"/>
    </row>
    <row r="1048" ht="15.75" customHeight="1">
      <c r="A1048" s="42"/>
      <c r="D1048" s="38">
        <f>MR2</f>
        <v>46043</v>
      </c>
      <c r="E1048" s="31" t="str">
        <f t="shared" ref="E1048:I1048" si="1325">MR4</f>
        <v/>
      </c>
      <c r="F1048" s="31" t="str">
        <f t="shared" si="1325"/>
        <v/>
      </c>
      <c r="G1048" s="31" t="str">
        <f t="shared" si="1325"/>
        <v/>
      </c>
      <c r="H1048" s="13" t="str">
        <f t="shared" si="1325"/>
        <v/>
      </c>
      <c r="I1048" s="13" t="str">
        <f t="shared" si="1325"/>
        <v/>
      </c>
      <c r="J1048" s="107" t="str">
        <f t="array" ref="J1048">IFERROR(IF(XLOOKUP(CONCAT(E1048,F1048),'MASTER PLAN'!$AB:$AB,'MASTER PLAN'!$M:$M,0,0)=0,"",XLOOKUP(CONCAT(E1048,F1048),'MASTER PLAN'!$AB:$AB,'MASTER PLAN'!$M:$M,0,0)),"")</f>
        <v/>
      </c>
      <c r="K1048" s="107">
        <f t="shared" si="237"/>
        <v>0</v>
      </c>
      <c r="L1048" s="107">
        <f t="shared" si="238"/>
        <v>0</v>
      </c>
      <c r="M1048" s="105" t="s">
        <v>246</v>
      </c>
      <c r="AI1048" s="42"/>
      <c r="BN1048" s="42"/>
      <c r="CS1048" s="42"/>
      <c r="DX1048" s="42"/>
      <c r="FC1048" s="42"/>
      <c r="GH1048" s="42"/>
      <c r="HM1048" s="42"/>
      <c r="IR1048" s="42"/>
      <c r="JW1048" s="42"/>
      <c r="LB1048" s="42"/>
      <c r="MG1048" s="42"/>
      <c r="NL1048" s="42"/>
    </row>
    <row r="1049" ht="15.75" customHeight="1">
      <c r="A1049" s="42"/>
      <c r="D1049" s="38">
        <f t="shared" ref="D1049:D1062" si="1327">D1048</f>
        <v>46043</v>
      </c>
      <c r="E1049" s="31" t="str">
        <f t="shared" ref="E1049:I1049" si="1326">MR5</f>
        <v/>
      </c>
      <c r="F1049" s="31" t="str">
        <f t="shared" si="1326"/>
        <v/>
      </c>
      <c r="G1049" s="31" t="str">
        <f t="shared" si="1326"/>
        <v/>
      </c>
      <c r="H1049" s="13" t="str">
        <f t="shared" si="1326"/>
        <v/>
      </c>
      <c r="I1049" s="13" t="str">
        <f t="shared" si="1326"/>
        <v/>
      </c>
      <c r="J1049" s="107" t="str">
        <f t="array" ref="J1049">IFERROR(IF(XLOOKUP(CONCAT(E1049,F1049),'MASTER PLAN'!$AB:$AB,'MASTER PLAN'!$M:$M,0,0)=0,"",XLOOKUP(CONCAT(E1049,F1049),'MASTER PLAN'!$AB:$AB,'MASTER PLAN'!$M:$M,0,0)),"")</f>
        <v/>
      </c>
      <c r="K1049" s="107">
        <f t="shared" si="237"/>
        <v>0</v>
      </c>
      <c r="L1049" s="107">
        <f t="shared" si="238"/>
        <v>0</v>
      </c>
      <c r="M1049" s="105" t="s">
        <v>246</v>
      </c>
      <c r="AI1049" s="42"/>
      <c r="BN1049" s="42"/>
      <c r="CS1049" s="42"/>
      <c r="DX1049" s="42"/>
      <c r="FC1049" s="42"/>
      <c r="GH1049" s="42"/>
      <c r="HM1049" s="42"/>
      <c r="IR1049" s="42"/>
      <c r="JW1049" s="42"/>
      <c r="LB1049" s="42"/>
      <c r="MG1049" s="42"/>
      <c r="NL1049" s="42"/>
    </row>
    <row r="1050" ht="15.75" customHeight="1">
      <c r="A1050" s="42"/>
      <c r="D1050" s="38">
        <f t="shared" si="1327"/>
        <v>46043</v>
      </c>
      <c r="E1050" s="31" t="str">
        <f t="shared" ref="E1050:I1050" si="1328">MR6</f>
        <v/>
      </c>
      <c r="F1050" s="31" t="str">
        <f t="shared" si="1328"/>
        <v/>
      </c>
      <c r="G1050" s="31" t="str">
        <f t="shared" si="1328"/>
        <v/>
      </c>
      <c r="H1050" s="13" t="str">
        <f t="shared" si="1328"/>
        <v/>
      </c>
      <c r="I1050" s="13" t="str">
        <f t="shared" si="1328"/>
        <v/>
      </c>
      <c r="J1050" s="107" t="str">
        <f t="array" ref="J1050">IFERROR(IF(XLOOKUP(CONCAT(E1050,F1050),'MASTER PLAN'!$AB:$AB,'MASTER PLAN'!$M:$M,0,0)=0,"",XLOOKUP(CONCAT(E1050,F1050),'MASTER PLAN'!$AB:$AB,'MASTER PLAN'!$M:$M,0,0)),"")</f>
        <v/>
      </c>
      <c r="K1050" s="107">
        <f t="shared" si="237"/>
        <v>0</v>
      </c>
      <c r="L1050" s="107">
        <f t="shared" si="238"/>
        <v>0</v>
      </c>
      <c r="M1050" s="105" t="s">
        <v>246</v>
      </c>
      <c r="AI1050" s="42"/>
      <c r="BN1050" s="42"/>
      <c r="CS1050" s="42"/>
      <c r="DX1050" s="42"/>
      <c r="FC1050" s="42"/>
      <c r="GH1050" s="42"/>
      <c r="HM1050" s="42"/>
      <c r="IR1050" s="42"/>
      <c r="JW1050" s="42"/>
      <c r="LB1050" s="42"/>
      <c r="MG1050" s="42"/>
      <c r="NL1050" s="42"/>
    </row>
    <row r="1051" ht="15.75" customHeight="1">
      <c r="A1051" s="42"/>
      <c r="D1051" s="38">
        <f t="shared" si="1327"/>
        <v>46043</v>
      </c>
      <c r="E1051" s="31" t="str">
        <f t="shared" ref="E1051:I1051" si="1329">MR7</f>
        <v/>
      </c>
      <c r="F1051" s="31" t="str">
        <f t="shared" si="1329"/>
        <v/>
      </c>
      <c r="G1051" s="31" t="str">
        <f t="shared" si="1329"/>
        <v/>
      </c>
      <c r="H1051" s="13" t="str">
        <f t="shared" si="1329"/>
        <v/>
      </c>
      <c r="I1051" s="13" t="str">
        <f t="shared" si="1329"/>
        <v/>
      </c>
      <c r="J1051" s="107" t="str">
        <f t="array" ref="J1051">IFERROR(IF(XLOOKUP(CONCAT(E1051,F1051),'MASTER PLAN'!$AB:$AB,'MASTER PLAN'!$M:$M,0,0)=0,"",XLOOKUP(CONCAT(E1051,F1051),'MASTER PLAN'!$AB:$AB,'MASTER PLAN'!$M:$M,0,0)),"")</f>
        <v/>
      </c>
      <c r="K1051" s="107">
        <f t="shared" si="237"/>
        <v>0</v>
      </c>
      <c r="L1051" s="107">
        <f t="shared" si="238"/>
        <v>0</v>
      </c>
      <c r="M1051" s="105" t="s">
        <v>246</v>
      </c>
      <c r="AI1051" s="42"/>
      <c r="BN1051" s="42"/>
      <c r="CS1051" s="42"/>
      <c r="DX1051" s="42"/>
      <c r="FC1051" s="42"/>
      <c r="GH1051" s="42"/>
      <c r="HM1051" s="42"/>
      <c r="IR1051" s="42"/>
      <c r="JW1051" s="42"/>
      <c r="LB1051" s="42"/>
      <c r="MG1051" s="42"/>
      <c r="NL1051" s="42"/>
    </row>
    <row r="1052" ht="15.75" customHeight="1">
      <c r="A1052" s="42"/>
      <c r="D1052" s="38">
        <f t="shared" si="1327"/>
        <v>46043</v>
      </c>
      <c r="E1052" s="31" t="str">
        <f t="shared" ref="E1052:I1052" si="1330">MR8</f>
        <v/>
      </c>
      <c r="F1052" s="31" t="str">
        <f t="shared" si="1330"/>
        <v/>
      </c>
      <c r="G1052" s="31" t="str">
        <f t="shared" si="1330"/>
        <v/>
      </c>
      <c r="H1052" s="13" t="str">
        <f t="shared" si="1330"/>
        <v/>
      </c>
      <c r="I1052" s="13" t="str">
        <f t="shared" si="1330"/>
        <v/>
      </c>
      <c r="J1052" s="107" t="str">
        <f t="array" ref="J1052">IFERROR(IF(XLOOKUP(CONCAT(E1052,F1052),'MASTER PLAN'!$AB:$AB,'MASTER PLAN'!$M:$M,0,0)=0,"",XLOOKUP(CONCAT(E1052,F1052),'MASTER PLAN'!$AB:$AB,'MASTER PLAN'!$M:$M,0,0)),"")</f>
        <v/>
      </c>
      <c r="K1052" s="107">
        <f t="shared" si="237"/>
        <v>0</v>
      </c>
      <c r="L1052" s="107">
        <f t="shared" si="238"/>
        <v>0</v>
      </c>
      <c r="M1052" s="105" t="s">
        <v>246</v>
      </c>
      <c r="AI1052" s="42"/>
      <c r="BN1052" s="42"/>
      <c r="CS1052" s="42"/>
      <c r="DX1052" s="42"/>
      <c r="FC1052" s="42"/>
      <c r="GH1052" s="42"/>
      <c r="HM1052" s="42"/>
      <c r="IR1052" s="42"/>
      <c r="JW1052" s="42"/>
      <c r="LB1052" s="42"/>
      <c r="MG1052" s="42"/>
      <c r="NL1052" s="42"/>
    </row>
    <row r="1053" ht="15.75" customHeight="1">
      <c r="A1053" s="42"/>
      <c r="D1053" s="38">
        <f t="shared" si="1327"/>
        <v>46043</v>
      </c>
      <c r="E1053" s="31" t="str">
        <f t="shared" ref="E1053:I1053" si="1331">MR12</f>
        <v/>
      </c>
      <c r="F1053" s="31" t="str">
        <f t="shared" si="1331"/>
        <v/>
      </c>
      <c r="G1053" s="31" t="str">
        <f t="shared" si="1331"/>
        <v/>
      </c>
      <c r="H1053" s="13" t="str">
        <f t="shared" si="1331"/>
        <v/>
      </c>
      <c r="I1053" s="13" t="str">
        <f t="shared" si="1331"/>
        <v/>
      </c>
      <c r="J1053" s="107" t="str">
        <f t="array" ref="J1053">IFERROR(IF(XLOOKUP(CONCAT(E1053,F1053),'MASTER PLAN'!$AB:$AB,'MASTER PLAN'!$M:$M,0,0)=0,"",XLOOKUP(CONCAT(E1053,F1053),'MASTER PLAN'!$AB:$AB,'MASTER PLAN'!$M:$M,0,0)),"")</f>
        <v/>
      </c>
      <c r="K1053" s="107">
        <f t="shared" si="237"/>
        <v>0</v>
      </c>
      <c r="L1053" s="107">
        <f t="shared" si="238"/>
        <v>0</v>
      </c>
      <c r="M1053" s="105" t="s">
        <v>248</v>
      </c>
      <c r="AI1053" s="42"/>
      <c r="BN1053" s="42"/>
      <c r="CS1053" s="42"/>
      <c r="DX1053" s="42"/>
      <c r="FC1053" s="42"/>
      <c r="GH1053" s="42"/>
      <c r="HM1053" s="42"/>
      <c r="IR1053" s="42"/>
      <c r="JW1053" s="42"/>
      <c r="LB1053" s="42"/>
      <c r="MG1053" s="42"/>
      <c r="NL1053" s="42"/>
    </row>
    <row r="1054" ht="15.75" customHeight="1">
      <c r="A1054" s="42"/>
      <c r="D1054" s="38">
        <f t="shared" si="1327"/>
        <v>46043</v>
      </c>
      <c r="E1054" s="31" t="str">
        <f t="shared" ref="E1054:I1054" si="1332">MR13</f>
        <v/>
      </c>
      <c r="F1054" s="31" t="str">
        <f t="shared" si="1332"/>
        <v/>
      </c>
      <c r="G1054" s="31" t="str">
        <f t="shared" si="1332"/>
        <v/>
      </c>
      <c r="H1054" s="13" t="str">
        <f t="shared" si="1332"/>
        <v/>
      </c>
      <c r="I1054" s="13" t="str">
        <f t="shared" si="1332"/>
        <v/>
      </c>
      <c r="J1054" s="107" t="str">
        <f t="array" ref="J1054">IFERROR(IF(XLOOKUP(CONCAT(E1054,F1054),'MASTER PLAN'!$AB:$AB,'MASTER PLAN'!$M:$M,0,0)=0,"",XLOOKUP(CONCAT(E1054,F1054),'MASTER PLAN'!$AB:$AB,'MASTER PLAN'!$M:$M,0,0)),"")</f>
        <v/>
      </c>
      <c r="K1054" s="107">
        <f t="shared" si="237"/>
        <v>0</v>
      </c>
      <c r="L1054" s="107">
        <f t="shared" si="238"/>
        <v>0</v>
      </c>
      <c r="M1054" s="105" t="s">
        <v>248</v>
      </c>
      <c r="AI1054" s="42"/>
      <c r="BN1054" s="42"/>
      <c r="CS1054" s="42"/>
      <c r="DX1054" s="42"/>
      <c r="FC1054" s="42"/>
      <c r="GH1054" s="42"/>
      <c r="HM1054" s="42"/>
      <c r="IR1054" s="42"/>
      <c r="JW1054" s="42"/>
      <c r="LB1054" s="42"/>
      <c r="MG1054" s="42"/>
      <c r="NL1054" s="42"/>
    </row>
    <row r="1055" ht="15.75" customHeight="1">
      <c r="A1055" s="42"/>
      <c r="D1055" s="38">
        <f t="shared" si="1327"/>
        <v>46043</v>
      </c>
      <c r="E1055" s="31" t="str">
        <f t="shared" ref="E1055:I1055" si="1333">MR14</f>
        <v/>
      </c>
      <c r="F1055" s="31" t="str">
        <f t="shared" si="1333"/>
        <v/>
      </c>
      <c r="G1055" s="31" t="str">
        <f t="shared" si="1333"/>
        <v/>
      </c>
      <c r="H1055" s="13" t="str">
        <f t="shared" si="1333"/>
        <v/>
      </c>
      <c r="I1055" s="13" t="str">
        <f t="shared" si="1333"/>
        <v/>
      </c>
      <c r="J1055" s="107" t="str">
        <f t="array" ref="J1055">IFERROR(IF(XLOOKUP(CONCAT(E1055,F1055),'MASTER PLAN'!$AB:$AB,'MASTER PLAN'!$M:$M,0,0)=0,"",XLOOKUP(CONCAT(E1055,F1055),'MASTER PLAN'!$AB:$AB,'MASTER PLAN'!$M:$M,0,0)),"")</f>
        <v/>
      </c>
      <c r="K1055" s="107">
        <f t="shared" si="237"/>
        <v>0</v>
      </c>
      <c r="L1055" s="107">
        <f t="shared" si="238"/>
        <v>0</v>
      </c>
      <c r="M1055" s="105" t="s">
        <v>248</v>
      </c>
      <c r="AI1055" s="42"/>
      <c r="BN1055" s="42"/>
      <c r="CS1055" s="42"/>
      <c r="DX1055" s="42"/>
      <c r="FC1055" s="42"/>
      <c r="GH1055" s="42"/>
      <c r="HM1055" s="42"/>
      <c r="IR1055" s="42"/>
      <c r="JW1055" s="42"/>
      <c r="LB1055" s="42"/>
      <c r="MG1055" s="42"/>
      <c r="NL1055" s="42"/>
    </row>
    <row r="1056" ht="15.75" customHeight="1">
      <c r="A1056" s="42"/>
      <c r="D1056" s="38">
        <f t="shared" si="1327"/>
        <v>46043</v>
      </c>
      <c r="E1056" s="31" t="str">
        <f t="shared" ref="E1056:I1056" si="1334">MR15</f>
        <v/>
      </c>
      <c r="F1056" s="31" t="str">
        <f t="shared" si="1334"/>
        <v/>
      </c>
      <c r="G1056" s="31" t="str">
        <f t="shared" si="1334"/>
        <v/>
      </c>
      <c r="H1056" s="13" t="str">
        <f t="shared" si="1334"/>
        <v/>
      </c>
      <c r="I1056" s="13" t="str">
        <f t="shared" si="1334"/>
        <v/>
      </c>
      <c r="J1056" s="107" t="str">
        <f t="array" ref="J1056">IFERROR(IF(XLOOKUP(CONCAT(E1056,F1056),'MASTER PLAN'!$AB:$AB,'MASTER PLAN'!$M:$M,0,0)=0,"",XLOOKUP(CONCAT(E1056,F1056),'MASTER PLAN'!$AB:$AB,'MASTER PLAN'!$M:$M,0,0)),"")</f>
        <v/>
      </c>
      <c r="K1056" s="107">
        <f t="shared" si="237"/>
        <v>0</v>
      </c>
      <c r="L1056" s="107">
        <f t="shared" si="238"/>
        <v>0</v>
      </c>
      <c r="M1056" s="105" t="s">
        <v>248</v>
      </c>
      <c r="AI1056" s="42"/>
      <c r="BN1056" s="42"/>
      <c r="CS1056" s="42"/>
      <c r="DX1056" s="42"/>
      <c r="FC1056" s="42"/>
      <c r="GH1056" s="42"/>
      <c r="HM1056" s="42"/>
      <c r="IR1056" s="42"/>
      <c r="JW1056" s="42"/>
      <c r="LB1056" s="42"/>
      <c r="MG1056" s="42"/>
      <c r="NL1056" s="42"/>
    </row>
    <row r="1057" ht="15.75" customHeight="1">
      <c r="A1057" s="42"/>
      <c r="D1057" s="38">
        <f t="shared" si="1327"/>
        <v>46043</v>
      </c>
      <c r="E1057" s="31" t="str">
        <f t="shared" ref="E1057:I1057" si="1335">MR16</f>
        <v/>
      </c>
      <c r="F1057" s="31" t="str">
        <f t="shared" si="1335"/>
        <v/>
      </c>
      <c r="G1057" s="31" t="str">
        <f t="shared" si="1335"/>
        <v/>
      </c>
      <c r="H1057" s="13" t="str">
        <f t="shared" si="1335"/>
        <v/>
      </c>
      <c r="I1057" s="13" t="str">
        <f t="shared" si="1335"/>
        <v/>
      </c>
      <c r="J1057" s="107" t="str">
        <f t="array" ref="J1057">IFERROR(IF(XLOOKUP(CONCAT(E1057,F1057),'MASTER PLAN'!$AB:$AB,'MASTER PLAN'!$M:$M,0,0)=0,"",XLOOKUP(CONCAT(E1057,F1057),'MASTER PLAN'!$AB:$AB,'MASTER PLAN'!$M:$M,0,0)),"")</f>
        <v/>
      </c>
      <c r="K1057" s="107">
        <f t="shared" si="237"/>
        <v>0</v>
      </c>
      <c r="L1057" s="107">
        <f t="shared" si="238"/>
        <v>0</v>
      </c>
      <c r="M1057" s="105" t="s">
        <v>248</v>
      </c>
      <c r="AI1057" s="42"/>
      <c r="BN1057" s="42"/>
      <c r="CS1057" s="42"/>
      <c r="DX1057" s="42"/>
      <c r="FC1057" s="42"/>
      <c r="GH1057" s="42"/>
      <c r="HM1057" s="42"/>
      <c r="IR1057" s="42"/>
      <c r="JW1057" s="42"/>
      <c r="LB1057" s="42"/>
      <c r="MG1057" s="42"/>
      <c r="NL1057" s="42"/>
    </row>
    <row r="1058" ht="15.75" customHeight="1">
      <c r="A1058" s="42"/>
      <c r="D1058" s="38">
        <f t="shared" si="1327"/>
        <v>46043</v>
      </c>
      <c r="E1058" s="31" t="str">
        <f t="shared" ref="E1058:I1058" si="1336">MR20</f>
        <v/>
      </c>
      <c r="F1058" s="31" t="str">
        <f t="shared" si="1336"/>
        <v/>
      </c>
      <c r="G1058" s="31" t="str">
        <f t="shared" si="1336"/>
        <v/>
      </c>
      <c r="H1058" s="13" t="str">
        <f t="shared" si="1336"/>
        <v/>
      </c>
      <c r="I1058" s="13" t="str">
        <f t="shared" si="1336"/>
        <v/>
      </c>
      <c r="J1058" s="107" t="str">
        <f t="array" ref="J1058">IFERROR(IF(XLOOKUP(CONCAT(E1058,F1058),'MASTER PLAN'!$AB:$AB,'MASTER PLAN'!$M:$M,0,0)=0,"",XLOOKUP(CONCAT(E1058,F1058),'MASTER PLAN'!$AB:$AB,'MASTER PLAN'!$M:$M,0,0)),"")</f>
        <v/>
      </c>
      <c r="K1058" s="107">
        <f t="shared" si="237"/>
        <v>0</v>
      </c>
      <c r="L1058" s="107">
        <f t="shared" si="238"/>
        <v>0</v>
      </c>
      <c r="M1058" s="105" t="s">
        <v>249</v>
      </c>
      <c r="AI1058" s="42"/>
      <c r="BN1058" s="42"/>
      <c r="CS1058" s="42"/>
      <c r="DX1058" s="42"/>
      <c r="FC1058" s="42"/>
      <c r="GH1058" s="42"/>
      <c r="HM1058" s="42"/>
      <c r="IR1058" s="42"/>
      <c r="JW1058" s="42"/>
      <c r="LB1058" s="42"/>
      <c r="MG1058" s="42"/>
      <c r="NL1058" s="42"/>
    </row>
    <row r="1059" ht="15.75" customHeight="1">
      <c r="A1059" s="42"/>
      <c r="D1059" s="38">
        <f t="shared" si="1327"/>
        <v>46043</v>
      </c>
      <c r="E1059" s="31" t="str">
        <f t="shared" ref="E1059:I1059" si="1337">MR21</f>
        <v/>
      </c>
      <c r="F1059" s="31" t="str">
        <f t="shared" si="1337"/>
        <v/>
      </c>
      <c r="G1059" s="31" t="str">
        <f t="shared" si="1337"/>
        <v/>
      </c>
      <c r="H1059" s="13" t="str">
        <f t="shared" si="1337"/>
        <v/>
      </c>
      <c r="I1059" s="13" t="str">
        <f t="shared" si="1337"/>
        <v/>
      </c>
      <c r="J1059" s="107" t="str">
        <f t="array" ref="J1059">IFERROR(IF(XLOOKUP(CONCAT(E1059,F1059),'MASTER PLAN'!$AB:$AB,'MASTER PLAN'!$M:$M,0,0)=0,"",XLOOKUP(CONCAT(E1059,F1059),'MASTER PLAN'!$AB:$AB,'MASTER PLAN'!$M:$M,0,0)),"")</f>
        <v/>
      </c>
      <c r="K1059" s="107">
        <f t="shared" si="237"/>
        <v>0</v>
      </c>
      <c r="L1059" s="107">
        <f t="shared" si="238"/>
        <v>0</v>
      </c>
      <c r="M1059" s="105" t="s">
        <v>249</v>
      </c>
      <c r="AI1059" s="42"/>
      <c r="BN1059" s="42"/>
      <c r="CS1059" s="42"/>
      <c r="DX1059" s="42"/>
      <c r="FC1059" s="42"/>
      <c r="GH1059" s="42"/>
      <c r="HM1059" s="42"/>
      <c r="IR1059" s="42"/>
      <c r="JW1059" s="42"/>
      <c r="LB1059" s="42"/>
      <c r="MG1059" s="42"/>
      <c r="NL1059" s="42"/>
    </row>
    <row r="1060" ht="15.75" customHeight="1">
      <c r="A1060" s="42"/>
      <c r="D1060" s="38">
        <f t="shared" si="1327"/>
        <v>46043</v>
      </c>
      <c r="E1060" s="31" t="str">
        <f t="shared" ref="E1060:I1060" si="1338">MR22</f>
        <v/>
      </c>
      <c r="F1060" s="31" t="str">
        <f t="shared" si="1338"/>
        <v/>
      </c>
      <c r="G1060" s="31" t="str">
        <f t="shared" si="1338"/>
        <v/>
      </c>
      <c r="H1060" s="13" t="str">
        <f t="shared" si="1338"/>
        <v/>
      </c>
      <c r="I1060" s="13" t="str">
        <f t="shared" si="1338"/>
        <v/>
      </c>
      <c r="J1060" s="107" t="str">
        <f t="array" ref="J1060">IFERROR(IF(XLOOKUP(CONCAT(E1060,F1060),'MASTER PLAN'!$AB:$AB,'MASTER PLAN'!$M:$M,0,0)=0,"",XLOOKUP(CONCAT(E1060,F1060),'MASTER PLAN'!$AB:$AB,'MASTER PLAN'!$M:$M,0,0)),"")</f>
        <v/>
      </c>
      <c r="K1060" s="107">
        <f t="shared" si="237"/>
        <v>0</v>
      </c>
      <c r="L1060" s="107">
        <f t="shared" si="238"/>
        <v>0</v>
      </c>
      <c r="M1060" s="105" t="s">
        <v>249</v>
      </c>
      <c r="AI1060" s="42"/>
      <c r="BN1060" s="42"/>
      <c r="CS1060" s="42"/>
      <c r="DX1060" s="42"/>
      <c r="FC1060" s="42"/>
      <c r="GH1060" s="42"/>
      <c r="HM1060" s="42"/>
      <c r="IR1060" s="42"/>
      <c r="JW1060" s="42"/>
      <c r="LB1060" s="42"/>
      <c r="MG1060" s="42"/>
      <c r="NL1060" s="42"/>
    </row>
    <row r="1061" ht="15.75" customHeight="1">
      <c r="A1061" s="42"/>
      <c r="D1061" s="38">
        <f t="shared" si="1327"/>
        <v>46043</v>
      </c>
      <c r="E1061" s="31" t="str">
        <f t="shared" ref="E1061:I1061" si="1339">MR23</f>
        <v/>
      </c>
      <c r="F1061" s="31" t="str">
        <f t="shared" si="1339"/>
        <v/>
      </c>
      <c r="G1061" s="31" t="str">
        <f t="shared" si="1339"/>
        <v/>
      </c>
      <c r="H1061" s="13" t="str">
        <f t="shared" si="1339"/>
        <v/>
      </c>
      <c r="I1061" s="13" t="str">
        <f t="shared" si="1339"/>
        <v/>
      </c>
      <c r="J1061" s="107" t="str">
        <f t="array" ref="J1061">IFERROR(IF(XLOOKUP(CONCAT(E1061,F1061),'MASTER PLAN'!$AB:$AB,'MASTER PLAN'!$M:$M,0,0)=0,"",XLOOKUP(CONCAT(E1061,F1061),'MASTER PLAN'!$AB:$AB,'MASTER PLAN'!$M:$M,0,0)),"")</f>
        <v/>
      </c>
      <c r="K1061" s="107">
        <f t="shared" si="237"/>
        <v>0</v>
      </c>
      <c r="L1061" s="107">
        <f t="shared" si="238"/>
        <v>0</v>
      </c>
      <c r="M1061" s="105" t="s">
        <v>249</v>
      </c>
      <c r="AI1061" s="42"/>
      <c r="BN1061" s="42"/>
      <c r="CS1061" s="42"/>
      <c r="DX1061" s="42"/>
      <c r="FC1061" s="42"/>
      <c r="GH1061" s="42"/>
      <c r="HM1061" s="42"/>
      <c r="IR1061" s="42"/>
      <c r="JW1061" s="42"/>
      <c r="LB1061" s="42"/>
      <c r="MG1061" s="42"/>
      <c r="NL1061" s="42"/>
    </row>
    <row r="1062" ht="15.75" customHeight="1">
      <c r="A1062" s="42"/>
      <c r="D1062" s="38">
        <f t="shared" si="1327"/>
        <v>46043</v>
      </c>
      <c r="E1062" s="31" t="str">
        <f t="shared" ref="E1062:I1062" si="1340">MR24</f>
        <v/>
      </c>
      <c r="F1062" s="31" t="str">
        <f t="shared" si="1340"/>
        <v/>
      </c>
      <c r="G1062" s="31" t="str">
        <f t="shared" si="1340"/>
        <v/>
      </c>
      <c r="H1062" s="13" t="str">
        <f t="shared" si="1340"/>
        <v/>
      </c>
      <c r="I1062" s="13" t="str">
        <f t="shared" si="1340"/>
        <v/>
      </c>
      <c r="J1062" s="107" t="str">
        <f t="array" ref="J1062">IFERROR(IF(XLOOKUP(CONCAT(E1062,F1062),'MASTER PLAN'!$AB:$AB,'MASTER PLAN'!$M:$M,0,0)=0,"",XLOOKUP(CONCAT(E1062,F1062),'MASTER PLAN'!$AB:$AB,'MASTER PLAN'!$M:$M,0,0)),"")</f>
        <v/>
      </c>
      <c r="K1062" s="107">
        <f t="shared" si="237"/>
        <v>0</v>
      </c>
      <c r="L1062" s="107">
        <f t="shared" si="238"/>
        <v>0</v>
      </c>
      <c r="M1062" s="105" t="s">
        <v>249</v>
      </c>
      <c r="AI1062" s="42"/>
      <c r="BN1062" s="42"/>
      <c r="CS1062" s="42"/>
      <c r="DX1062" s="42"/>
      <c r="FC1062" s="42"/>
      <c r="GH1062" s="42"/>
      <c r="HM1062" s="42"/>
      <c r="IR1062" s="42"/>
      <c r="JW1062" s="42"/>
      <c r="LB1062" s="42"/>
      <c r="MG1062" s="42"/>
      <c r="NL1062" s="42"/>
    </row>
    <row r="1063" ht="15.75" customHeight="1">
      <c r="A1063" s="42"/>
      <c r="D1063" s="38">
        <f>MW2</f>
        <v>46044</v>
      </c>
      <c r="E1063" s="31" t="str">
        <f t="shared" ref="E1063:I1063" si="1341">MW4</f>
        <v/>
      </c>
      <c r="F1063" s="31" t="str">
        <f t="shared" si="1341"/>
        <v/>
      </c>
      <c r="G1063" s="31" t="str">
        <f t="shared" si="1341"/>
        <v/>
      </c>
      <c r="H1063" s="13" t="str">
        <f t="shared" si="1341"/>
        <v/>
      </c>
      <c r="I1063" s="13" t="str">
        <f t="shared" si="1341"/>
        <v/>
      </c>
      <c r="J1063" s="107" t="str">
        <f t="array" ref="J1063">IFERROR(IF(XLOOKUP(CONCAT(E1063,F1063),'MASTER PLAN'!$AB:$AB,'MASTER PLAN'!$M:$M,0,0)=0,"",XLOOKUP(CONCAT(E1063,F1063),'MASTER PLAN'!$AB:$AB,'MASTER PLAN'!$M:$M,0,0)),"")</f>
        <v/>
      </c>
      <c r="K1063" s="107">
        <f t="shared" si="237"/>
        <v>0</v>
      </c>
      <c r="L1063" s="107">
        <f t="shared" si="238"/>
        <v>0</v>
      </c>
      <c r="M1063" s="105" t="s">
        <v>246</v>
      </c>
      <c r="AI1063" s="42"/>
      <c r="BN1063" s="42"/>
      <c r="CS1063" s="42"/>
      <c r="DX1063" s="42"/>
      <c r="FC1063" s="42"/>
      <c r="GH1063" s="42"/>
      <c r="HM1063" s="42"/>
      <c r="IR1063" s="42"/>
      <c r="JW1063" s="42"/>
      <c r="LB1063" s="42"/>
      <c r="MG1063" s="42"/>
      <c r="NL1063" s="42"/>
    </row>
    <row r="1064" ht="15.75" customHeight="1">
      <c r="A1064" s="42"/>
      <c r="D1064" s="38">
        <f t="shared" ref="D1064:D1077" si="1343">D1063</f>
        <v>46044</v>
      </c>
      <c r="E1064" s="31" t="str">
        <f t="shared" ref="E1064:I1064" si="1342">MW5</f>
        <v/>
      </c>
      <c r="F1064" s="31" t="str">
        <f t="shared" si="1342"/>
        <v/>
      </c>
      <c r="G1064" s="31" t="str">
        <f t="shared" si="1342"/>
        <v/>
      </c>
      <c r="H1064" s="13" t="str">
        <f t="shared" si="1342"/>
        <v/>
      </c>
      <c r="I1064" s="13" t="str">
        <f t="shared" si="1342"/>
        <v/>
      </c>
      <c r="J1064" s="107" t="str">
        <f t="array" ref="J1064">IFERROR(IF(XLOOKUP(CONCAT(E1064,F1064),'MASTER PLAN'!$AB:$AB,'MASTER PLAN'!$M:$M,0,0)=0,"",XLOOKUP(CONCAT(E1064,F1064),'MASTER PLAN'!$AB:$AB,'MASTER PLAN'!$M:$M,0,0)),"")</f>
        <v/>
      </c>
      <c r="K1064" s="107">
        <f t="shared" si="237"/>
        <v>0</v>
      </c>
      <c r="L1064" s="107">
        <f t="shared" si="238"/>
        <v>0</v>
      </c>
      <c r="M1064" s="105" t="s">
        <v>246</v>
      </c>
      <c r="AI1064" s="42"/>
      <c r="BN1064" s="42"/>
      <c r="CS1064" s="42"/>
      <c r="DX1064" s="42"/>
      <c r="FC1064" s="42"/>
      <c r="GH1064" s="42"/>
      <c r="HM1064" s="42"/>
      <c r="IR1064" s="42"/>
      <c r="JW1064" s="42"/>
      <c r="LB1064" s="42"/>
      <c r="MG1064" s="42"/>
      <c r="NL1064" s="42"/>
    </row>
    <row r="1065" ht="15.75" customHeight="1">
      <c r="A1065" s="42"/>
      <c r="D1065" s="38">
        <f t="shared" si="1343"/>
        <v>46044</v>
      </c>
      <c r="E1065" s="31" t="str">
        <f t="shared" ref="E1065:I1065" si="1344">MW6</f>
        <v/>
      </c>
      <c r="F1065" s="31" t="str">
        <f t="shared" si="1344"/>
        <v/>
      </c>
      <c r="G1065" s="31" t="str">
        <f t="shared" si="1344"/>
        <v/>
      </c>
      <c r="H1065" s="13" t="str">
        <f t="shared" si="1344"/>
        <v/>
      </c>
      <c r="I1065" s="13" t="str">
        <f t="shared" si="1344"/>
        <v/>
      </c>
      <c r="J1065" s="107" t="str">
        <f t="array" ref="J1065">IFERROR(IF(XLOOKUP(CONCAT(E1065,F1065),'MASTER PLAN'!$AB:$AB,'MASTER PLAN'!$M:$M,0,0)=0,"",XLOOKUP(CONCAT(E1065,F1065),'MASTER PLAN'!$AB:$AB,'MASTER PLAN'!$M:$M,0,0)),"")</f>
        <v/>
      </c>
      <c r="K1065" s="107">
        <f t="shared" si="237"/>
        <v>0</v>
      </c>
      <c r="L1065" s="107">
        <f t="shared" si="238"/>
        <v>0</v>
      </c>
      <c r="M1065" s="105" t="s">
        <v>246</v>
      </c>
      <c r="AI1065" s="42"/>
      <c r="BN1065" s="42"/>
      <c r="CS1065" s="42"/>
      <c r="DX1065" s="42"/>
      <c r="FC1065" s="42"/>
      <c r="GH1065" s="42"/>
      <c r="HM1065" s="42"/>
      <c r="IR1065" s="42"/>
      <c r="JW1065" s="42"/>
      <c r="LB1065" s="42"/>
      <c r="MG1065" s="42"/>
      <c r="NL1065" s="42"/>
    </row>
    <row r="1066" ht="15.75" customHeight="1">
      <c r="A1066" s="42"/>
      <c r="D1066" s="38">
        <f t="shared" si="1343"/>
        <v>46044</v>
      </c>
      <c r="E1066" s="31" t="str">
        <f t="shared" ref="E1066:I1066" si="1345">MW7</f>
        <v/>
      </c>
      <c r="F1066" s="31" t="str">
        <f t="shared" si="1345"/>
        <v/>
      </c>
      <c r="G1066" s="31" t="str">
        <f t="shared" si="1345"/>
        <v/>
      </c>
      <c r="H1066" s="13" t="str">
        <f t="shared" si="1345"/>
        <v/>
      </c>
      <c r="I1066" s="13" t="str">
        <f t="shared" si="1345"/>
        <v/>
      </c>
      <c r="J1066" s="107" t="str">
        <f t="array" ref="J1066">IFERROR(IF(XLOOKUP(CONCAT(E1066,F1066),'MASTER PLAN'!$AB:$AB,'MASTER PLAN'!$M:$M,0,0)=0,"",XLOOKUP(CONCAT(E1066,F1066),'MASTER PLAN'!$AB:$AB,'MASTER PLAN'!$M:$M,0,0)),"")</f>
        <v/>
      </c>
      <c r="K1066" s="107">
        <f t="shared" si="237"/>
        <v>0</v>
      </c>
      <c r="L1066" s="107">
        <f t="shared" si="238"/>
        <v>0</v>
      </c>
      <c r="M1066" s="105" t="s">
        <v>246</v>
      </c>
      <c r="AI1066" s="42"/>
      <c r="BN1066" s="42"/>
      <c r="CS1066" s="42"/>
      <c r="DX1066" s="42"/>
      <c r="FC1066" s="42"/>
      <c r="GH1066" s="42"/>
      <c r="HM1066" s="42"/>
      <c r="IR1066" s="42"/>
      <c r="JW1066" s="42"/>
      <c r="LB1066" s="42"/>
      <c r="MG1066" s="42"/>
      <c r="NL1066" s="42"/>
    </row>
    <row r="1067" ht="15.75" customHeight="1">
      <c r="A1067" s="42"/>
      <c r="D1067" s="38">
        <f t="shared" si="1343"/>
        <v>46044</v>
      </c>
      <c r="E1067" s="31" t="str">
        <f t="shared" ref="E1067:I1067" si="1346">MW8</f>
        <v/>
      </c>
      <c r="F1067" s="31" t="str">
        <f t="shared" si="1346"/>
        <v/>
      </c>
      <c r="G1067" s="31" t="str">
        <f t="shared" si="1346"/>
        <v/>
      </c>
      <c r="H1067" s="13" t="str">
        <f t="shared" si="1346"/>
        <v/>
      </c>
      <c r="I1067" s="13" t="str">
        <f t="shared" si="1346"/>
        <v/>
      </c>
      <c r="J1067" s="107" t="str">
        <f t="array" ref="J1067">IFERROR(IF(XLOOKUP(CONCAT(E1067,F1067),'MASTER PLAN'!$AB:$AB,'MASTER PLAN'!$M:$M,0,0)=0,"",XLOOKUP(CONCAT(E1067,F1067),'MASTER PLAN'!$AB:$AB,'MASTER PLAN'!$M:$M,0,0)),"")</f>
        <v/>
      </c>
      <c r="K1067" s="107">
        <f t="shared" si="237"/>
        <v>0</v>
      </c>
      <c r="L1067" s="107">
        <f t="shared" si="238"/>
        <v>0</v>
      </c>
      <c r="M1067" s="105" t="s">
        <v>246</v>
      </c>
      <c r="AI1067" s="42"/>
      <c r="BN1067" s="42"/>
      <c r="CS1067" s="42"/>
      <c r="DX1067" s="42"/>
      <c r="FC1067" s="42"/>
      <c r="GH1067" s="42"/>
      <c r="HM1067" s="42"/>
      <c r="IR1067" s="42"/>
      <c r="JW1067" s="42"/>
      <c r="LB1067" s="42"/>
      <c r="MG1067" s="42"/>
      <c r="NL1067" s="42"/>
    </row>
    <row r="1068" ht="15.75" customHeight="1">
      <c r="A1068" s="42"/>
      <c r="D1068" s="38">
        <f t="shared" si="1343"/>
        <v>46044</v>
      </c>
      <c r="E1068" s="31" t="str">
        <f t="shared" ref="E1068:I1068" si="1347">MW12</f>
        <v/>
      </c>
      <c r="F1068" s="31" t="str">
        <f t="shared" si="1347"/>
        <v/>
      </c>
      <c r="G1068" s="31" t="str">
        <f t="shared" si="1347"/>
        <v/>
      </c>
      <c r="H1068" s="13" t="str">
        <f t="shared" si="1347"/>
        <v/>
      </c>
      <c r="I1068" s="13" t="str">
        <f t="shared" si="1347"/>
        <v/>
      </c>
      <c r="J1068" s="107" t="str">
        <f t="array" ref="J1068">IFERROR(IF(XLOOKUP(CONCAT(E1068,F1068),'MASTER PLAN'!$AB:$AB,'MASTER PLAN'!$M:$M,0,0)=0,"",XLOOKUP(CONCAT(E1068,F1068),'MASTER PLAN'!$AB:$AB,'MASTER PLAN'!$M:$M,0,0)),"")</f>
        <v/>
      </c>
      <c r="K1068" s="107">
        <f t="shared" si="237"/>
        <v>0</v>
      </c>
      <c r="L1068" s="107">
        <f t="shared" si="238"/>
        <v>0</v>
      </c>
      <c r="M1068" s="105" t="s">
        <v>248</v>
      </c>
      <c r="AI1068" s="42"/>
      <c r="BN1068" s="42"/>
      <c r="CS1068" s="42"/>
      <c r="DX1068" s="42"/>
      <c r="FC1068" s="42"/>
      <c r="GH1068" s="42"/>
      <c r="HM1068" s="42"/>
      <c r="IR1068" s="42"/>
      <c r="JW1068" s="42"/>
      <c r="LB1068" s="42"/>
      <c r="MG1068" s="42"/>
      <c r="NL1068" s="42"/>
    </row>
    <row r="1069" ht="15.75" customHeight="1">
      <c r="A1069" s="42"/>
      <c r="D1069" s="38">
        <f t="shared" si="1343"/>
        <v>46044</v>
      </c>
      <c r="E1069" s="31" t="str">
        <f t="shared" ref="E1069:I1069" si="1348">MW13</f>
        <v/>
      </c>
      <c r="F1069" s="31" t="str">
        <f t="shared" si="1348"/>
        <v/>
      </c>
      <c r="G1069" s="31" t="str">
        <f t="shared" si="1348"/>
        <v/>
      </c>
      <c r="H1069" s="13" t="str">
        <f t="shared" si="1348"/>
        <v/>
      </c>
      <c r="I1069" s="13" t="str">
        <f t="shared" si="1348"/>
        <v/>
      </c>
      <c r="J1069" s="107" t="str">
        <f t="array" ref="J1069">IFERROR(IF(XLOOKUP(CONCAT(E1069,F1069),'MASTER PLAN'!$AB:$AB,'MASTER PLAN'!$M:$M,0,0)=0,"",XLOOKUP(CONCAT(E1069,F1069),'MASTER PLAN'!$AB:$AB,'MASTER PLAN'!$M:$M,0,0)),"")</f>
        <v/>
      </c>
      <c r="K1069" s="107">
        <f t="shared" si="237"/>
        <v>0</v>
      </c>
      <c r="L1069" s="107">
        <f t="shared" si="238"/>
        <v>0</v>
      </c>
      <c r="M1069" s="105" t="s">
        <v>248</v>
      </c>
      <c r="AI1069" s="42"/>
      <c r="BN1069" s="42"/>
      <c r="CS1069" s="42"/>
      <c r="DX1069" s="42"/>
      <c r="FC1069" s="42"/>
      <c r="GH1069" s="42"/>
      <c r="HM1069" s="42"/>
      <c r="IR1069" s="42"/>
      <c r="JW1069" s="42"/>
      <c r="LB1069" s="42"/>
      <c r="MG1069" s="42"/>
      <c r="NL1069" s="42"/>
    </row>
    <row r="1070" ht="15.75" customHeight="1">
      <c r="A1070" s="42"/>
      <c r="D1070" s="38">
        <f t="shared" si="1343"/>
        <v>46044</v>
      </c>
      <c r="E1070" s="31" t="str">
        <f t="shared" ref="E1070:I1070" si="1349">MW14</f>
        <v/>
      </c>
      <c r="F1070" s="31" t="str">
        <f t="shared" si="1349"/>
        <v/>
      </c>
      <c r="G1070" s="31" t="str">
        <f t="shared" si="1349"/>
        <v/>
      </c>
      <c r="H1070" s="13" t="str">
        <f t="shared" si="1349"/>
        <v/>
      </c>
      <c r="I1070" s="13" t="str">
        <f t="shared" si="1349"/>
        <v/>
      </c>
      <c r="J1070" s="107" t="str">
        <f t="array" ref="J1070">IFERROR(IF(XLOOKUP(CONCAT(E1070,F1070),'MASTER PLAN'!$AB:$AB,'MASTER PLAN'!$M:$M,0,0)=0,"",XLOOKUP(CONCAT(E1070,F1070),'MASTER PLAN'!$AB:$AB,'MASTER PLAN'!$M:$M,0,0)),"")</f>
        <v/>
      </c>
      <c r="K1070" s="107">
        <f t="shared" si="237"/>
        <v>0</v>
      </c>
      <c r="L1070" s="107">
        <f t="shared" si="238"/>
        <v>0</v>
      </c>
      <c r="M1070" s="105" t="s">
        <v>248</v>
      </c>
      <c r="AI1070" s="42"/>
      <c r="BN1070" s="42"/>
      <c r="CS1070" s="42"/>
      <c r="DX1070" s="42"/>
      <c r="FC1070" s="42"/>
      <c r="GH1070" s="42"/>
      <c r="HM1070" s="42"/>
      <c r="IR1070" s="42"/>
      <c r="JW1070" s="42"/>
      <c r="LB1070" s="42"/>
      <c r="MG1070" s="42"/>
      <c r="NL1070" s="42"/>
    </row>
    <row r="1071" ht="15.75" customHeight="1">
      <c r="A1071" s="42"/>
      <c r="D1071" s="38">
        <f t="shared" si="1343"/>
        <v>46044</v>
      </c>
      <c r="E1071" s="31" t="str">
        <f t="shared" ref="E1071:I1071" si="1350">MW15</f>
        <v/>
      </c>
      <c r="F1071" s="31" t="str">
        <f t="shared" si="1350"/>
        <v/>
      </c>
      <c r="G1071" s="31" t="str">
        <f t="shared" si="1350"/>
        <v/>
      </c>
      <c r="H1071" s="13" t="str">
        <f t="shared" si="1350"/>
        <v/>
      </c>
      <c r="I1071" s="13" t="str">
        <f t="shared" si="1350"/>
        <v/>
      </c>
      <c r="J1071" s="107" t="str">
        <f t="array" ref="J1071">IFERROR(IF(XLOOKUP(CONCAT(E1071,F1071),'MASTER PLAN'!$AB:$AB,'MASTER PLAN'!$M:$M,0,0)=0,"",XLOOKUP(CONCAT(E1071,F1071),'MASTER PLAN'!$AB:$AB,'MASTER PLAN'!$M:$M,0,0)),"")</f>
        <v/>
      </c>
      <c r="K1071" s="107">
        <f t="shared" si="237"/>
        <v>0</v>
      </c>
      <c r="L1071" s="107">
        <f t="shared" si="238"/>
        <v>0</v>
      </c>
      <c r="M1071" s="105" t="s">
        <v>248</v>
      </c>
      <c r="AI1071" s="42"/>
      <c r="BN1071" s="42"/>
      <c r="CS1071" s="42"/>
      <c r="DX1071" s="42"/>
      <c r="FC1071" s="42"/>
      <c r="GH1071" s="42"/>
      <c r="HM1071" s="42"/>
      <c r="IR1071" s="42"/>
      <c r="JW1071" s="42"/>
      <c r="LB1071" s="42"/>
      <c r="MG1071" s="42"/>
      <c r="NL1071" s="42"/>
    </row>
    <row r="1072" ht="15.75" customHeight="1">
      <c r="A1072" s="42"/>
      <c r="D1072" s="38">
        <f t="shared" si="1343"/>
        <v>46044</v>
      </c>
      <c r="E1072" s="31" t="str">
        <f t="shared" ref="E1072:I1072" si="1351">MW16</f>
        <v/>
      </c>
      <c r="F1072" s="31" t="str">
        <f t="shared" si="1351"/>
        <v/>
      </c>
      <c r="G1072" s="31" t="str">
        <f t="shared" si="1351"/>
        <v/>
      </c>
      <c r="H1072" s="13" t="str">
        <f t="shared" si="1351"/>
        <v/>
      </c>
      <c r="I1072" s="13" t="str">
        <f t="shared" si="1351"/>
        <v/>
      </c>
      <c r="J1072" s="107" t="str">
        <f t="array" ref="J1072">IFERROR(IF(XLOOKUP(CONCAT(E1072,F1072),'MASTER PLAN'!$AB:$AB,'MASTER PLAN'!$M:$M,0,0)=0,"",XLOOKUP(CONCAT(E1072,F1072),'MASTER PLAN'!$AB:$AB,'MASTER PLAN'!$M:$M,0,0)),"")</f>
        <v/>
      </c>
      <c r="K1072" s="107">
        <f t="shared" si="237"/>
        <v>0</v>
      </c>
      <c r="L1072" s="107">
        <f t="shared" si="238"/>
        <v>0</v>
      </c>
      <c r="M1072" s="105" t="s">
        <v>248</v>
      </c>
      <c r="AI1072" s="42"/>
      <c r="BN1072" s="42"/>
      <c r="CS1072" s="42"/>
      <c r="DX1072" s="42"/>
      <c r="FC1072" s="42"/>
      <c r="GH1072" s="42"/>
      <c r="HM1072" s="42"/>
      <c r="IR1072" s="42"/>
      <c r="JW1072" s="42"/>
      <c r="LB1072" s="42"/>
      <c r="MG1072" s="42"/>
      <c r="NL1072" s="42"/>
    </row>
    <row r="1073" ht="15.75" customHeight="1">
      <c r="A1073" s="42"/>
      <c r="D1073" s="38">
        <f t="shared" si="1343"/>
        <v>46044</v>
      </c>
      <c r="E1073" s="31" t="str">
        <f t="shared" ref="E1073:I1073" si="1352">MW20</f>
        <v/>
      </c>
      <c r="F1073" s="31" t="str">
        <f t="shared" si="1352"/>
        <v/>
      </c>
      <c r="G1073" s="31" t="str">
        <f t="shared" si="1352"/>
        <v/>
      </c>
      <c r="H1073" s="13" t="str">
        <f t="shared" si="1352"/>
        <v/>
      </c>
      <c r="I1073" s="13" t="str">
        <f t="shared" si="1352"/>
        <v/>
      </c>
      <c r="J1073" s="107" t="str">
        <f t="array" ref="J1073">IFERROR(IF(XLOOKUP(CONCAT(E1073,F1073),'MASTER PLAN'!$AB:$AB,'MASTER PLAN'!$M:$M,0,0)=0,"",XLOOKUP(CONCAT(E1073,F1073),'MASTER PLAN'!$AB:$AB,'MASTER PLAN'!$M:$M,0,0)),"")</f>
        <v/>
      </c>
      <c r="K1073" s="107">
        <f t="shared" si="237"/>
        <v>0</v>
      </c>
      <c r="L1073" s="107">
        <f t="shared" si="238"/>
        <v>0</v>
      </c>
      <c r="M1073" s="105" t="s">
        <v>249</v>
      </c>
      <c r="AI1073" s="42"/>
      <c r="BN1073" s="42"/>
      <c r="CS1073" s="42"/>
      <c r="DX1073" s="42"/>
      <c r="FC1073" s="42"/>
      <c r="GH1073" s="42"/>
      <c r="HM1073" s="42"/>
      <c r="IR1073" s="42"/>
      <c r="JW1073" s="42"/>
      <c r="LB1073" s="42"/>
      <c r="MG1073" s="42"/>
      <c r="NL1073" s="42"/>
    </row>
    <row r="1074" ht="15.75" customHeight="1">
      <c r="A1074" s="42"/>
      <c r="D1074" s="38">
        <f t="shared" si="1343"/>
        <v>46044</v>
      </c>
      <c r="E1074" s="31" t="str">
        <f t="shared" ref="E1074:I1074" si="1353">MW21</f>
        <v/>
      </c>
      <c r="F1074" s="31" t="str">
        <f t="shared" si="1353"/>
        <v/>
      </c>
      <c r="G1074" s="31" t="str">
        <f t="shared" si="1353"/>
        <v/>
      </c>
      <c r="H1074" s="13" t="str">
        <f t="shared" si="1353"/>
        <v/>
      </c>
      <c r="I1074" s="13" t="str">
        <f t="shared" si="1353"/>
        <v/>
      </c>
      <c r="J1074" s="107" t="str">
        <f t="array" ref="J1074">IFERROR(IF(XLOOKUP(CONCAT(E1074,F1074),'MASTER PLAN'!$AB:$AB,'MASTER PLAN'!$M:$M,0,0)=0,"",XLOOKUP(CONCAT(E1074,F1074),'MASTER PLAN'!$AB:$AB,'MASTER PLAN'!$M:$M,0,0)),"")</f>
        <v/>
      </c>
      <c r="K1074" s="107">
        <f t="shared" si="237"/>
        <v>0</v>
      </c>
      <c r="L1074" s="107">
        <f t="shared" si="238"/>
        <v>0</v>
      </c>
      <c r="M1074" s="105" t="s">
        <v>249</v>
      </c>
      <c r="AI1074" s="42"/>
      <c r="BN1074" s="42"/>
      <c r="CS1074" s="42"/>
      <c r="DX1074" s="42"/>
      <c r="FC1074" s="42"/>
      <c r="GH1074" s="42"/>
      <c r="HM1074" s="42"/>
      <c r="IR1074" s="42"/>
      <c r="JW1074" s="42"/>
      <c r="LB1074" s="42"/>
      <c r="MG1074" s="42"/>
      <c r="NL1074" s="42"/>
    </row>
    <row r="1075" ht="15.75" customHeight="1">
      <c r="A1075" s="42"/>
      <c r="D1075" s="38">
        <f t="shared" si="1343"/>
        <v>46044</v>
      </c>
      <c r="E1075" s="31" t="str">
        <f t="shared" ref="E1075:I1075" si="1354">MW22</f>
        <v/>
      </c>
      <c r="F1075" s="31" t="str">
        <f t="shared" si="1354"/>
        <v/>
      </c>
      <c r="G1075" s="31" t="str">
        <f t="shared" si="1354"/>
        <v/>
      </c>
      <c r="H1075" s="13" t="str">
        <f t="shared" si="1354"/>
        <v/>
      </c>
      <c r="I1075" s="13" t="str">
        <f t="shared" si="1354"/>
        <v/>
      </c>
      <c r="J1075" s="107" t="str">
        <f t="array" ref="J1075">IFERROR(IF(XLOOKUP(CONCAT(E1075,F1075),'MASTER PLAN'!$AB:$AB,'MASTER PLAN'!$M:$M,0,0)=0,"",XLOOKUP(CONCAT(E1075,F1075),'MASTER PLAN'!$AB:$AB,'MASTER PLAN'!$M:$M,0,0)),"")</f>
        <v/>
      </c>
      <c r="K1075" s="107">
        <f t="shared" si="237"/>
        <v>0</v>
      </c>
      <c r="L1075" s="107">
        <f t="shared" si="238"/>
        <v>0</v>
      </c>
      <c r="M1075" s="105" t="s">
        <v>249</v>
      </c>
      <c r="AI1075" s="42"/>
      <c r="BN1075" s="42"/>
      <c r="CS1075" s="42"/>
      <c r="DX1075" s="42"/>
      <c r="FC1075" s="42"/>
      <c r="GH1075" s="42"/>
      <c r="HM1075" s="42"/>
      <c r="IR1075" s="42"/>
      <c r="JW1075" s="42"/>
      <c r="LB1075" s="42"/>
      <c r="MG1075" s="42"/>
      <c r="NL1075" s="42"/>
    </row>
    <row r="1076" ht="15.75" customHeight="1">
      <c r="A1076" s="42"/>
      <c r="D1076" s="38">
        <f t="shared" si="1343"/>
        <v>46044</v>
      </c>
      <c r="E1076" s="31" t="str">
        <f t="shared" ref="E1076:I1076" si="1355">MW23</f>
        <v/>
      </c>
      <c r="F1076" s="31" t="str">
        <f t="shared" si="1355"/>
        <v/>
      </c>
      <c r="G1076" s="31" t="str">
        <f t="shared" si="1355"/>
        <v/>
      </c>
      <c r="H1076" s="13" t="str">
        <f t="shared" si="1355"/>
        <v/>
      </c>
      <c r="I1076" s="13" t="str">
        <f t="shared" si="1355"/>
        <v/>
      </c>
      <c r="J1076" s="107" t="str">
        <f t="array" ref="J1076">IFERROR(IF(XLOOKUP(CONCAT(E1076,F1076),'MASTER PLAN'!$AB:$AB,'MASTER PLAN'!$M:$M,0,0)=0,"",XLOOKUP(CONCAT(E1076,F1076),'MASTER PLAN'!$AB:$AB,'MASTER PLAN'!$M:$M,0,0)),"")</f>
        <v/>
      </c>
      <c r="K1076" s="107">
        <f t="shared" si="237"/>
        <v>0</v>
      </c>
      <c r="L1076" s="107">
        <f t="shared" si="238"/>
        <v>0</v>
      </c>
      <c r="M1076" s="105" t="s">
        <v>249</v>
      </c>
      <c r="AI1076" s="42"/>
      <c r="BN1076" s="42"/>
      <c r="CS1076" s="42"/>
      <c r="DX1076" s="42"/>
      <c r="FC1076" s="42"/>
      <c r="GH1076" s="42"/>
      <c r="HM1076" s="42"/>
      <c r="IR1076" s="42"/>
      <c r="JW1076" s="42"/>
      <c r="LB1076" s="42"/>
      <c r="MG1076" s="42"/>
      <c r="NL1076" s="42"/>
    </row>
    <row r="1077" ht="15.75" customHeight="1">
      <c r="A1077" s="42"/>
      <c r="D1077" s="38">
        <f t="shared" si="1343"/>
        <v>46044</v>
      </c>
      <c r="E1077" s="31" t="str">
        <f t="shared" ref="E1077:I1077" si="1356">MW24</f>
        <v/>
      </c>
      <c r="F1077" s="31" t="str">
        <f t="shared" si="1356"/>
        <v/>
      </c>
      <c r="G1077" s="31" t="str">
        <f t="shared" si="1356"/>
        <v/>
      </c>
      <c r="H1077" s="13" t="str">
        <f t="shared" si="1356"/>
        <v/>
      </c>
      <c r="I1077" s="13" t="str">
        <f t="shared" si="1356"/>
        <v/>
      </c>
      <c r="J1077" s="107" t="str">
        <f t="array" ref="J1077">IFERROR(IF(XLOOKUP(CONCAT(E1077,F1077),'MASTER PLAN'!$AB:$AB,'MASTER PLAN'!$M:$M,0,0)=0,"",XLOOKUP(CONCAT(E1077,F1077),'MASTER PLAN'!$AB:$AB,'MASTER PLAN'!$M:$M,0,0)),"")</f>
        <v/>
      </c>
      <c r="K1077" s="107">
        <f t="shared" si="237"/>
        <v>0</v>
      </c>
      <c r="L1077" s="107">
        <f t="shared" si="238"/>
        <v>0</v>
      </c>
      <c r="M1077" s="105" t="s">
        <v>249</v>
      </c>
      <c r="AI1077" s="42"/>
      <c r="BN1077" s="42"/>
      <c r="CS1077" s="42"/>
      <c r="DX1077" s="42"/>
      <c r="FC1077" s="42"/>
      <c r="GH1077" s="42"/>
      <c r="HM1077" s="42"/>
      <c r="IR1077" s="42"/>
      <c r="JW1077" s="42"/>
      <c r="LB1077" s="42"/>
      <c r="MG1077" s="42"/>
      <c r="NL1077" s="42"/>
    </row>
    <row r="1078" ht="15.75" customHeight="1">
      <c r="A1078" s="42"/>
      <c r="D1078" s="38">
        <f>NB2</f>
        <v>46045</v>
      </c>
      <c r="E1078" s="31" t="str">
        <f t="shared" ref="E1078:I1078" si="1357">NB4</f>
        <v/>
      </c>
      <c r="F1078" s="31" t="str">
        <f t="shared" si="1357"/>
        <v/>
      </c>
      <c r="G1078" s="31" t="str">
        <f t="shared" si="1357"/>
        <v/>
      </c>
      <c r="H1078" s="13" t="str">
        <f t="shared" si="1357"/>
        <v/>
      </c>
      <c r="I1078" s="13" t="str">
        <f t="shared" si="1357"/>
        <v/>
      </c>
      <c r="J1078" s="107" t="str">
        <f t="array" ref="J1078">IFERROR(IF(XLOOKUP(CONCAT(E1078,F1078),'MASTER PLAN'!$AB:$AB,'MASTER PLAN'!$M:$M,0,0)=0,"",XLOOKUP(CONCAT(E1078,F1078),'MASTER PLAN'!$AB:$AB,'MASTER PLAN'!$M:$M,0,0)),"")</f>
        <v/>
      </c>
      <c r="K1078" s="107">
        <f t="shared" si="237"/>
        <v>0</v>
      </c>
      <c r="L1078" s="107">
        <f t="shared" si="238"/>
        <v>0</v>
      </c>
      <c r="M1078" s="105" t="s">
        <v>246</v>
      </c>
      <c r="AI1078" s="42"/>
      <c r="BN1078" s="42"/>
      <c r="CS1078" s="42"/>
      <c r="DX1078" s="42"/>
      <c r="FC1078" s="42"/>
      <c r="GH1078" s="42"/>
      <c r="HM1078" s="42"/>
      <c r="IR1078" s="42"/>
      <c r="JW1078" s="42"/>
      <c r="LB1078" s="42"/>
      <c r="MG1078" s="42"/>
      <c r="NL1078" s="42"/>
    </row>
    <row r="1079" ht="15.75" customHeight="1">
      <c r="A1079" s="42"/>
      <c r="D1079" s="38">
        <f t="shared" ref="D1079:D1092" si="1359">D1078</f>
        <v>46045</v>
      </c>
      <c r="E1079" s="31" t="str">
        <f t="shared" ref="E1079:I1079" si="1358">NB5</f>
        <v/>
      </c>
      <c r="F1079" s="31" t="str">
        <f t="shared" si="1358"/>
        <v/>
      </c>
      <c r="G1079" s="31" t="str">
        <f t="shared" si="1358"/>
        <v/>
      </c>
      <c r="H1079" s="13" t="str">
        <f t="shared" si="1358"/>
        <v/>
      </c>
      <c r="I1079" s="13" t="str">
        <f t="shared" si="1358"/>
        <v/>
      </c>
      <c r="J1079" s="107" t="str">
        <f t="array" ref="J1079">IFERROR(IF(XLOOKUP(CONCAT(E1079,F1079),'MASTER PLAN'!$AB:$AB,'MASTER PLAN'!$M:$M,0,0)=0,"",XLOOKUP(CONCAT(E1079,F1079),'MASTER PLAN'!$AB:$AB,'MASTER PLAN'!$M:$M,0,0)),"")</f>
        <v/>
      </c>
      <c r="K1079" s="107">
        <f t="shared" si="237"/>
        <v>0</v>
      </c>
      <c r="L1079" s="107">
        <f t="shared" si="238"/>
        <v>0</v>
      </c>
      <c r="M1079" s="105" t="s">
        <v>246</v>
      </c>
      <c r="AI1079" s="42"/>
      <c r="BN1079" s="42"/>
      <c r="CS1079" s="42"/>
      <c r="DX1079" s="42"/>
      <c r="FC1079" s="42"/>
      <c r="GH1079" s="42"/>
      <c r="HM1079" s="42"/>
      <c r="IR1079" s="42"/>
      <c r="JW1079" s="42"/>
      <c r="LB1079" s="42"/>
      <c r="MG1079" s="42"/>
      <c r="NL1079" s="42"/>
    </row>
    <row r="1080" ht="15.75" customHeight="1">
      <c r="A1080" s="42"/>
      <c r="D1080" s="38">
        <f t="shared" si="1359"/>
        <v>46045</v>
      </c>
      <c r="E1080" s="31" t="str">
        <f t="shared" ref="E1080:I1080" si="1360">NB6</f>
        <v/>
      </c>
      <c r="F1080" s="31" t="str">
        <f t="shared" si="1360"/>
        <v/>
      </c>
      <c r="G1080" s="31" t="str">
        <f t="shared" si="1360"/>
        <v/>
      </c>
      <c r="H1080" s="13" t="str">
        <f t="shared" si="1360"/>
        <v/>
      </c>
      <c r="I1080" s="13" t="str">
        <f t="shared" si="1360"/>
        <v/>
      </c>
      <c r="J1080" s="107" t="str">
        <f t="array" ref="J1080">IFERROR(IF(XLOOKUP(CONCAT(E1080,F1080),'MASTER PLAN'!$AB:$AB,'MASTER PLAN'!$M:$M,0,0)=0,"",XLOOKUP(CONCAT(E1080,F1080),'MASTER PLAN'!$AB:$AB,'MASTER PLAN'!$M:$M,0,0)),"")</f>
        <v/>
      </c>
      <c r="K1080" s="107">
        <f t="shared" si="237"/>
        <v>0</v>
      </c>
      <c r="L1080" s="107">
        <f t="shared" si="238"/>
        <v>0</v>
      </c>
      <c r="M1080" s="105" t="s">
        <v>246</v>
      </c>
      <c r="AI1080" s="42"/>
      <c r="BN1080" s="42"/>
      <c r="CS1080" s="42"/>
      <c r="DX1080" s="42"/>
      <c r="FC1080" s="42"/>
      <c r="GH1080" s="42"/>
      <c r="HM1080" s="42"/>
      <c r="IR1080" s="42"/>
      <c r="JW1080" s="42"/>
      <c r="LB1080" s="42"/>
      <c r="MG1080" s="42"/>
      <c r="NL1080" s="42"/>
    </row>
    <row r="1081" ht="15.75" customHeight="1">
      <c r="A1081" s="42"/>
      <c r="D1081" s="38">
        <f t="shared" si="1359"/>
        <v>46045</v>
      </c>
      <c r="E1081" s="31" t="str">
        <f t="shared" ref="E1081:I1081" si="1361">NB7</f>
        <v/>
      </c>
      <c r="F1081" s="31" t="str">
        <f t="shared" si="1361"/>
        <v/>
      </c>
      <c r="G1081" s="31" t="str">
        <f t="shared" si="1361"/>
        <v/>
      </c>
      <c r="H1081" s="13" t="str">
        <f t="shared" si="1361"/>
        <v/>
      </c>
      <c r="I1081" s="13" t="str">
        <f t="shared" si="1361"/>
        <v/>
      </c>
      <c r="J1081" s="107" t="str">
        <f t="array" ref="J1081">IFERROR(IF(XLOOKUP(CONCAT(E1081,F1081),'MASTER PLAN'!$AB:$AB,'MASTER PLAN'!$M:$M,0,0)=0,"",XLOOKUP(CONCAT(E1081,F1081),'MASTER PLAN'!$AB:$AB,'MASTER PLAN'!$M:$M,0,0)),"")</f>
        <v/>
      </c>
      <c r="K1081" s="107">
        <f t="shared" si="237"/>
        <v>0</v>
      </c>
      <c r="L1081" s="107">
        <f t="shared" si="238"/>
        <v>0</v>
      </c>
      <c r="M1081" s="105" t="s">
        <v>246</v>
      </c>
      <c r="AI1081" s="42"/>
      <c r="BN1081" s="42"/>
      <c r="CS1081" s="42"/>
      <c r="DX1081" s="42"/>
      <c r="FC1081" s="42"/>
      <c r="GH1081" s="42"/>
      <c r="HM1081" s="42"/>
      <c r="IR1081" s="42"/>
      <c r="JW1081" s="42"/>
      <c r="LB1081" s="42"/>
      <c r="MG1081" s="42"/>
      <c r="NL1081" s="42"/>
    </row>
    <row r="1082" ht="15.75" customHeight="1">
      <c r="A1082" s="42"/>
      <c r="D1082" s="38">
        <f t="shared" si="1359"/>
        <v>46045</v>
      </c>
      <c r="E1082" s="31" t="str">
        <f t="shared" ref="E1082:I1082" si="1362">NB8</f>
        <v/>
      </c>
      <c r="F1082" s="31" t="str">
        <f t="shared" si="1362"/>
        <v/>
      </c>
      <c r="G1082" s="31" t="str">
        <f t="shared" si="1362"/>
        <v/>
      </c>
      <c r="H1082" s="13" t="str">
        <f t="shared" si="1362"/>
        <v/>
      </c>
      <c r="I1082" s="13" t="str">
        <f t="shared" si="1362"/>
        <v/>
      </c>
      <c r="J1082" s="107" t="str">
        <f t="array" ref="J1082">IFERROR(IF(XLOOKUP(CONCAT(E1082,F1082),'MASTER PLAN'!$AB:$AB,'MASTER PLAN'!$M:$M,0,0)=0,"",XLOOKUP(CONCAT(E1082,F1082),'MASTER PLAN'!$AB:$AB,'MASTER PLAN'!$M:$M,0,0)),"")</f>
        <v/>
      </c>
      <c r="K1082" s="107">
        <f t="shared" si="237"/>
        <v>0</v>
      </c>
      <c r="L1082" s="107">
        <f t="shared" si="238"/>
        <v>0</v>
      </c>
      <c r="M1082" s="105" t="s">
        <v>246</v>
      </c>
      <c r="AI1082" s="42"/>
      <c r="BN1082" s="42"/>
      <c r="CS1082" s="42"/>
      <c r="DX1082" s="42"/>
      <c r="FC1082" s="42"/>
      <c r="GH1082" s="42"/>
      <c r="HM1082" s="42"/>
      <c r="IR1082" s="42"/>
      <c r="JW1082" s="42"/>
      <c r="LB1082" s="42"/>
      <c r="MG1082" s="42"/>
      <c r="NL1082" s="42"/>
    </row>
    <row r="1083" ht="15.75" customHeight="1">
      <c r="A1083" s="42"/>
      <c r="D1083" s="38">
        <f t="shared" si="1359"/>
        <v>46045</v>
      </c>
      <c r="E1083" s="31" t="str">
        <f t="shared" ref="E1083:I1083" si="1363">NB12</f>
        <v/>
      </c>
      <c r="F1083" s="31" t="str">
        <f t="shared" si="1363"/>
        <v/>
      </c>
      <c r="G1083" s="31" t="str">
        <f t="shared" si="1363"/>
        <v/>
      </c>
      <c r="H1083" s="13" t="str">
        <f t="shared" si="1363"/>
        <v/>
      </c>
      <c r="I1083" s="13" t="str">
        <f t="shared" si="1363"/>
        <v/>
      </c>
      <c r="J1083" s="107" t="str">
        <f t="array" ref="J1083">IFERROR(IF(XLOOKUP(CONCAT(E1083,F1083),'MASTER PLAN'!$AB:$AB,'MASTER PLAN'!$M:$M,0,0)=0,"",XLOOKUP(CONCAT(E1083,F1083),'MASTER PLAN'!$AB:$AB,'MASTER PLAN'!$M:$M,0,0)),"")</f>
        <v/>
      </c>
      <c r="K1083" s="107">
        <f t="shared" si="237"/>
        <v>0</v>
      </c>
      <c r="L1083" s="107">
        <f t="shared" si="238"/>
        <v>0</v>
      </c>
      <c r="M1083" s="105" t="s">
        <v>248</v>
      </c>
      <c r="AI1083" s="42"/>
      <c r="BN1083" s="42"/>
      <c r="CS1083" s="42"/>
      <c r="DX1083" s="42"/>
      <c r="FC1083" s="42"/>
      <c r="GH1083" s="42"/>
      <c r="HM1083" s="42"/>
      <c r="IR1083" s="42"/>
      <c r="JW1083" s="42"/>
      <c r="LB1083" s="42"/>
      <c r="MG1083" s="42"/>
      <c r="NL1083" s="42"/>
    </row>
    <row r="1084" ht="15.75" customHeight="1">
      <c r="A1084" s="42"/>
      <c r="D1084" s="38">
        <f t="shared" si="1359"/>
        <v>46045</v>
      </c>
      <c r="E1084" s="31" t="str">
        <f t="shared" ref="E1084:I1084" si="1364">NB13</f>
        <v/>
      </c>
      <c r="F1084" s="31" t="str">
        <f t="shared" si="1364"/>
        <v/>
      </c>
      <c r="G1084" s="31" t="str">
        <f t="shared" si="1364"/>
        <v/>
      </c>
      <c r="H1084" s="13" t="str">
        <f t="shared" si="1364"/>
        <v/>
      </c>
      <c r="I1084" s="13" t="str">
        <f t="shared" si="1364"/>
        <v/>
      </c>
      <c r="J1084" s="107" t="str">
        <f t="array" ref="J1084">IFERROR(IF(XLOOKUP(CONCAT(E1084,F1084),'MASTER PLAN'!$AB:$AB,'MASTER PLAN'!$M:$M,0,0)=0,"",XLOOKUP(CONCAT(E1084,F1084),'MASTER PLAN'!$AB:$AB,'MASTER PLAN'!$M:$M,0,0)),"")</f>
        <v/>
      </c>
      <c r="K1084" s="107">
        <f t="shared" si="237"/>
        <v>0</v>
      </c>
      <c r="L1084" s="107">
        <f t="shared" si="238"/>
        <v>0</v>
      </c>
      <c r="M1084" s="105" t="s">
        <v>248</v>
      </c>
      <c r="AI1084" s="42"/>
      <c r="BN1084" s="42"/>
      <c r="CS1084" s="42"/>
      <c r="DX1084" s="42"/>
      <c r="FC1084" s="42"/>
      <c r="GH1084" s="42"/>
      <c r="HM1084" s="42"/>
      <c r="IR1084" s="42"/>
      <c r="JW1084" s="42"/>
      <c r="LB1084" s="42"/>
      <c r="MG1084" s="42"/>
      <c r="NL1084" s="42"/>
    </row>
    <row r="1085" ht="15.75" customHeight="1">
      <c r="A1085" s="42"/>
      <c r="D1085" s="38">
        <f t="shared" si="1359"/>
        <v>46045</v>
      </c>
      <c r="E1085" s="31" t="str">
        <f t="shared" ref="E1085:I1085" si="1365">NB14</f>
        <v/>
      </c>
      <c r="F1085" s="31" t="str">
        <f t="shared" si="1365"/>
        <v/>
      </c>
      <c r="G1085" s="31" t="str">
        <f t="shared" si="1365"/>
        <v/>
      </c>
      <c r="H1085" s="13" t="str">
        <f t="shared" si="1365"/>
        <v/>
      </c>
      <c r="I1085" s="13" t="str">
        <f t="shared" si="1365"/>
        <v/>
      </c>
      <c r="J1085" s="107" t="str">
        <f t="array" ref="J1085">IFERROR(IF(XLOOKUP(CONCAT(E1085,F1085),'MASTER PLAN'!$AB:$AB,'MASTER PLAN'!$M:$M,0,0)=0,"",XLOOKUP(CONCAT(E1085,F1085),'MASTER PLAN'!$AB:$AB,'MASTER PLAN'!$M:$M,0,0)),"")</f>
        <v/>
      </c>
      <c r="K1085" s="107">
        <f t="shared" si="237"/>
        <v>0</v>
      </c>
      <c r="L1085" s="107">
        <f t="shared" si="238"/>
        <v>0</v>
      </c>
      <c r="M1085" s="105" t="s">
        <v>248</v>
      </c>
      <c r="AI1085" s="42"/>
      <c r="BN1085" s="42"/>
      <c r="CS1085" s="42"/>
      <c r="DX1085" s="42"/>
      <c r="FC1085" s="42"/>
      <c r="GH1085" s="42"/>
      <c r="HM1085" s="42"/>
      <c r="IR1085" s="42"/>
      <c r="JW1085" s="42"/>
      <c r="LB1085" s="42"/>
      <c r="MG1085" s="42"/>
      <c r="NL1085" s="42"/>
    </row>
    <row r="1086" ht="15.75" customHeight="1">
      <c r="A1086" s="42"/>
      <c r="D1086" s="38">
        <f t="shared" si="1359"/>
        <v>46045</v>
      </c>
      <c r="E1086" s="31" t="str">
        <f t="shared" ref="E1086:I1086" si="1366">NB15</f>
        <v/>
      </c>
      <c r="F1086" s="31" t="str">
        <f t="shared" si="1366"/>
        <v/>
      </c>
      <c r="G1086" s="31" t="str">
        <f t="shared" si="1366"/>
        <v/>
      </c>
      <c r="H1086" s="13" t="str">
        <f t="shared" si="1366"/>
        <v/>
      </c>
      <c r="I1086" s="13" t="str">
        <f t="shared" si="1366"/>
        <v/>
      </c>
      <c r="J1086" s="107" t="str">
        <f t="array" ref="J1086">IFERROR(IF(XLOOKUP(CONCAT(E1086,F1086),'MASTER PLAN'!$AB:$AB,'MASTER PLAN'!$M:$M,0,0)=0,"",XLOOKUP(CONCAT(E1086,F1086),'MASTER PLAN'!$AB:$AB,'MASTER PLAN'!$M:$M,0,0)),"")</f>
        <v/>
      </c>
      <c r="K1086" s="107">
        <f t="shared" si="237"/>
        <v>0</v>
      </c>
      <c r="L1086" s="107">
        <f t="shared" si="238"/>
        <v>0</v>
      </c>
      <c r="M1086" s="105" t="s">
        <v>248</v>
      </c>
      <c r="AI1086" s="42"/>
      <c r="BN1086" s="42"/>
      <c r="CS1086" s="42"/>
      <c r="DX1086" s="42"/>
      <c r="FC1086" s="42"/>
      <c r="GH1086" s="42"/>
      <c r="HM1086" s="42"/>
      <c r="IR1086" s="42"/>
      <c r="JW1086" s="42"/>
      <c r="LB1086" s="42"/>
      <c r="MG1086" s="42"/>
      <c r="NL1086" s="42"/>
    </row>
    <row r="1087" ht="15.75" customHeight="1">
      <c r="A1087" s="42"/>
      <c r="D1087" s="38">
        <f t="shared" si="1359"/>
        <v>46045</v>
      </c>
      <c r="E1087" s="31" t="str">
        <f t="shared" ref="E1087:I1087" si="1367">NB16</f>
        <v/>
      </c>
      <c r="F1087" s="31" t="str">
        <f t="shared" si="1367"/>
        <v/>
      </c>
      <c r="G1087" s="31" t="str">
        <f t="shared" si="1367"/>
        <v/>
      </c>
      <c r="H1087" s="13" t="str">
        <f t="shared" si="1367"/>
        <v/>
      </c>
      <c r="I1087" s="13" t="str">
        <f t="shared" si="1367"/>
        <v/>
      </c>
      <c r="J1087" s="107" t="str">
        <f t="array" ref="J1087">IFERROR(IF(XLOOKUP(CONCAT(E1087,F1087),'MASTER PLAN'!$AB:$AB,'MASTER PLAN'!$M:$M,0,0)=0,"",XLOOKUP(CONCAT(E1087,F1087),'MASTER PLAN'!$AB:$AB,'MASTER PLAN'!$M:$M,0,0)),"")</f>
        <v/>
      </c>
      <c r="K1087" s="107">
        <f t="shared" si="237"/>
        <v>0</v>
      </c>
      <c r="L1087" s="107">
        <f t="shared" si="238"/>
        <v>0</v>
      </c>
      <c r="M1087" s="105" t="s">
        <v>248</v>
      </c>
      <c r="AI1087" s="42"/>
      <c r="BN1087" s="42"/>
      <c r="CS1087" s="42"/>
      <c r="DX1087" s="42"/>
      <c r="FC1087" s="42"/>
      <c r="GH1087" s="42"/>
      <c r="HM1087" s="42"/>
      <c r="IR1087" s="42"/>
      <c r="JW1087" s="42"/>
      <c r="LB1087" s="42"/>
      <c r="MG1087" s="42"/>
      <c r="NL1087" s="42"/>
    </row>
    <row r="1088" ht="15.75" customHeight="1">
      <c r="A1088" s="42"/>
      <c r="D1088" s="38">
        <f t="shared" si="1359"/>
        <v>46045</v>
      </c>
      <c r="E1088" s="31" t="str">
        <f t="shared" ref="E1088:I1088" si="1368">NB20</f>
        <v/>
      </c>
      <c r="F1088" s="31" t="str">
        <f t="shared" si="1368"/>
        <v/>
      </c>
      <c r="G1088" s="31" t="str">
        <f t="shared" si="1368"/>
        <v/>
      </c>
      <c r="H1088" s="13" t="str">
        <f t="shared" si="1368"/>
        <v/>
      </c>
      <c r="I1088" s="13" t="str">
        <f t="shared" si="1368"/>
        <v/>
      </c>
      <c r="J1088" s="107" t="str">
        <f t="array" ref="J1088">IFERROR(IF(XLOOKUP(CONCAT(E1088,F1088),'MASTER PLAN'!$AB:$AB,'MASTER PLAN'!$M:$M,0,0)=0,"",XLOOKUP(CONCAT(E1088,F1088),'MASTER PLAN'!$AB:$AB,'MASTER PLAN'!$M:$M,0,0)),"")</f>
        <v/>
      </c>
      <c r="K1088" s="107">
        <f t="shared" si="237"/>
        <v>0</v>
      </c>
      <c r="L1088" s="107">
        <f t="shared" si="238"/>
        <v>0</v>
      </c>
      <c r="M1088" s="105" t="s">
        <v>249</v>
      </c>
      <c r="AI1088" s="42"/>
      <c r="BN1088" s="42"/>
      <c r="CS1088" s="42"/>
      <c r="DX1088" s="42"/>
      <c r="FC1088" s="42"/>
      <c r="GH1088" s="42"/>
      <c r="HM1088" s="42"/>
      <c r="IR1088" s="42"/>
      <c r="JW1088" s="42"/>
      <c r="LB1088" s="42"/>
      <c r="MG1088" s="42"/>
      <c r="NL1088" s="42"/>
    </row>
    <row r="1089" ht="15.75" customHeight="1">
      <c r="A1089" s="42"/>
      <c r="D1089" s="38">
        <f t="shared" si="1359"/>
        <v>46045</v>
      </c>
      <c r="E1089" s="31" t="str">
        <f t="shared" ref="E1089:I1089" si="1369">NB21</f>
        <v/>
      </c>
      <c r="F1089" s="31" t="str">
        <f t="shared" si="1369"/>
        <v/>
      </c>
      <c r="G1089" s="31" t="str">
        <f t="shared" si="1369"/>
        <v/>
      </c>
      <c r="H1089" s="13" t="str">
        <f t="shared" si="1369"/>
        <v/>
      </c>
      <c r="I1089" s="13" t="str">
        <f t="shared" si="1369"/>
        <v/>
      </c>
      <c r="J1089" s="107" t="str">
        <f t="array" ref="J1089">IFERROR(IF(XLOOKUP(CONCAT(E1089,F1089),'MASTER PLAN'!$AB:$AB,'MASTER PLAN'!$M:$M,0,0)=0,"",XLOOKUP(CONCAT(E1089,F1089),'MASTER PLAN'!$AB:$AB,'MASTER PLAN'!$M:$M,0,0)),"")</f>
        <v/>
      </c>
      <c r="K1089" s="107">
        <f t="shared" si="237"/>
        <v>0</v>
      </c>
      <c r="L1089" s="107">
        <f t="shared" si="238"/>
        <v>0</v>
      </c>
      <c r="M1089" s="105" t="s">
        <v>249</v>
      </c>
      <c r="AI1089" s="42"/>
      <c r="BN1089" s="42"/>
      <c r="CS1089" s="42"/>
      <c r="DX1089" s="42"/>
      <c r="FC1089" s="42"/>
      <c r="GH1089" s="42"/>
      <c r="HM1089" s="42"/>
      <c r="IR1089" s="42"/>
      <c r="JW1089" s="42"/>
      <c r="LB1089" s="42"/>
      <c r="MG1089" s="42"/>
      <c r="NL1089" s="42"/>
    </row>
    <row r="1090" ht="15.75" customHeight="1">
      <c r="A1090" s="42"/>
      <c r="D1090" s="38">
        <f t="shared" si="1359"/>
        <v>46045</v>
      </c>
      <c r="E1090" s="31" t="str">
        <f t="shared" ref="E1090:I1090" si="1370">NB22</f>
        <v/>
      </c>
      <c r="F1090" s="31" t="str">
        <f t="shared" si="1370"/>
        <v/>
      </c>
      <c r="G1090" s="31" t="str">
        <f t="shared" si="1370"/>
        <v/>
      </c>
      <c r="H1090" s="13" t="str">
        <f t="shared" si="1370"/>
        <v/>
      </c>
      <c r="I1090" s="13" t="str">
        <f t="shared" si="1370"/>
        <v/>
      </c>
      <c r="J1090" s="107" t="str">
        <f t="array" ref="J1090">IFERROR(IF(XLOOKUP(CONCAT(E1090,F1090),'MASTER PLAN'!$AB:$AB,'MASTER PLAN'!$M:$M,0,0)=0,"",XLOOKUP(CONCAT(E1090,F1090),'MASTER PLAN'!$AB:$AB,'MASTER PLAN'!$M:$M,0,0)),"")</f>
        <v/>
      </c>
      <c r="K1090" s="107">
        <f t="shared" si="237"/>
        <v>0</v>
      </c>
      <c r="L1090" s="107">
        <f t="shared" si="238"/>
        <v>0</v>
      </c>
      <c r="M1090" s="105" t="s">
        <v>249</v>
      </c>
      <c r="AI1090" s="42"/>
      <c r="BN1090" s="42"/>
      <c r="CS1090" s="42"/>
      <c r="DX1090" s="42"/>
      <c r="FC1090" s="42"/>
      <c r="GH1090" s="42"/>
      <c r="HM1090" s="42"/>
      <c r="IR1090" s="42"/>
      <c r="JW1090" s="42"/>
      <c r="LB1090" s="42"/>
      <c r="MG1090" s="42"/>
      <c r="NL1090" s="42"/>
    </row>
    <row r="1091" ht="15.75" customHeight="1">
      <c r="A1091" s="42"/>
      <c r="D1091" s="38">
        <f t="shared" si="1359"/>
        <v>46045</v>
      </c>
      <c r="E1091" s="31" t="str">
        <f t="shared" ref="E1091:I1091" si="1371">NB23</f>
        <v/>
      </c>
      <c r="F1091" s="31" t="str">
        <f t="shared" si="1371"/>
        <v/>
      </c>
      <c r="G1091" s="31" t="str">
        <f t="shared" si="1371"/>
        <v/>
      </c>
      <c r="H1091" s="13" t="str">
        <f t="shared" si="1371"/>
        <v/>
      </c>
      <c r="I1091" s="13" t="str">
        <f t="shared" si="1371"/>
        <v/>
      </c>
      <c r="J1091" s="107" t="str">
        <f t="array" ref="J1091">IFERROR(IF(XLOOKUP(CONCAT(E1091,F1091),'MASTER PLAN'!$AB:$AB,'MASTER PLAN'!$M:$M,0,0)=0,"",XLOOKUP(CONCAT(E1091,F1091),'MASTER PLAN'!$AB:$AB,'MASTER PLAN'!$M:$M,0,0)),"")</f>
        <v/>
      </c>
      <c r="K1091" s="107">
        <f t="shared" si="237"/>
        <v>0</v>
      </c>
      <c r="L1091" s="107">
        <f t="shared" si="238"/>
        <v>0</v>
      </c>
      <c r="M1091" s="105" t="s">
        <v>249</v>
      </c>
      <c r="AI1091" s="42"/>
      <c r="BN1091" s="42"/>
      <c r="CS1091" s="42"/>
      <c r="DX1091" s="42"/>
      <c r="FC1091" s="42"/>
      <c r="GH1091" s="42"/>
      <c r="HM1091" s="42"/>
      <c r="IR1091" s="42"/>
      <c r="JW1091" s="42"/>
      <c r="LB1091" s="42"/>
      <c r="MG1091" s="42"/>
      <c r="NL1091" s="42"/>
    </row>
    <row r="1092" ht="15.75" customHeight="1">
      <c r="A1092" s="42"/>
      <c r="D1092" s="38">
        <f t="shared" si="1359"/>
        <v>46045</v>
      </c>
      <c r="E1092" s="31" t="str">
        <f t="shared" ref="E1092:I1092" si="1372">NB24</f>
        <v/>
      </c>
      <c r="F1092" s="31" t="str">
        <f t="shared" si="1372"/>
        <v/>
      </c>
      <c r="G1092" s="31" t="str">
        <f t="shared" si="1372"/>
        <v/>
      </c>
      <c r="H1092" s="13" t="str">
        <f t="shared" si="1372"/>
        <v/>
      </c>
      <c r="I1092" s="13" t="str">
        <f t="shared" si="1372"/>
        <v/>
      </c>
      <c r="J1092" s="107" t="str">
        <f t="array" ref="J1092">IFERROR(IF(XLOOKUP(CONCAT(E1092,F1092),'MASTER PLAN'!$AB:$AB,'MASTER PLAN'!$M:$M,0,0)=0,"",XLOOKUP(CONCAT(E1092,F1092),'MASTER PLAN'!$AB:$AB,'MASTER PLAN'!$M:$M,0,0)),"")</f>
        <v/>
      </c>
      <c r="K1092" s="107">
        <f t="shared" si="237"/>
        <v>0</v>
      </c>
      <c r="L1092" s="107">
        <f t="shared" si="238"/>
        <v>0</v>
      </c>
      <c r="M1092" s="105" t="s">
        <v>249</v>
      </c>
      <c r="AI1092" s="42"/>
      <c r="BN1092" s="42"/>
      <c r="CS1092" s="42"/>
      <c r="DX1092" s="42"/>
      <c r="FC1092" s="42"/>
      <c r="GH1092" s="42"/>
      <c r="HM1092" s="42"/>
      <c r="IR1092" s="42"/>
      <c r="JW1092" s="42"/>
      <c r="LB1092" s="42"/>
      <c r="MG1092" s="42"/>
      <c r="NL1092" s="42"/>
    </row>
    <row r="1093" ht="15.75" customHeight="1">
      <c r="A1093" s="42"/>
      <c r="D1093" s="38">
        <f>NG2</f>
        <v>46046</v>
      </c>
      <c r="E1093" s="31" t="str">
        <f t="shared" ref="E1093:I1093" si="1373">NG4</f>
        <v/>
      </c>
      <c r="F1093" s="31" t="str">
        <f t="shared" si="1373"/>
        <v/>
      </c>
      <c r="G1093" s="31" t="str">
        <f t="shared" si="1373"/>
        <v/>
      </c>
      <c r="H1093" s="13" t="str">
        <f t="shared" si="1373"/>
        <v/>
      </c>
      <c r="I1093" s="13" t="str">
        <f t="shared" si="1373"/>
        <v/>
      </c>
      <c r="J1093" s="107" t="str">
        <f t="array" ref="J1093">IFERROR(IF(XLOOKUP(CONCAT(E1093,F1093),'MASTER PLAN'!$AB:$AB,'MASTER PLAN'!$M:$M,0,0)=0,"",XLOOKUP(CONCAT(E1093,F1093),'MASTER PLAN'!$AB:$AB,'MASTER PLAN'!$M:$M,0,0)),"")</f>
        <v/>
      </c>
      <c r="K1093" s="107">
        <f t="shared" si="237"/>
        <v>0</v>
      </c>
      <c r="L1093" s="107">
        <f t="shared" si="238"/>
        <v>0</v>
      </c>
      <c r="M1093" s="105" t="s">
        <v>246</v>
      </c>
      <c r="AI1093" s="42"/>
      <c r="BN1093" s="42"/>
      <c r="CS1093" s="42"/>
      <c r="DX1093" s="42"/>
      <c r="FC1093" s="42"/>
      <c r="GH1093" s="42"/>
      <c r="HM1093" s="42"/>
      <c r="IR1093" s="42"/>
      <c r="JW1093" s="42"/>
      <c r="LB1093" s="42"/>
      <c r="MG1093" s="42"/>
      <c r="NL1093" s="42"/>
    </row>
    <row r="1094" ht="15.75" customHeight="1">
      <c r="A1094" s="42"/>
      <c r="D1094" s="38">
        <f t="shared" ref="D1094:D1107" si="1375">D1093</f>
        <v>46046</v>
      </c>
      <c r="E1094" s="31" t="str">
        <f t="shared" ref="E1094:I1094" si="1374">NG5</f>
        <v/>
      </c>
      <c r="F1094" s="31" t="str">
        <f t="shared" si="1374"/>
        <v/>
      </c>
      <c r="G1094" s="31" t="str">
        <f t="shared" si="1374"/>
        <v/>
      </c>
      <c r="H1094" s="13" t="str">
        <f t="shared" si="1374"/>
        <v/>
      </c>
      <c r="I1094" s="13" t="str">
        <f t="shared" si="1374"/>
        <v/>
      </c>
      <c r="J1094" s="107" t="str">
        <f t="array" ref="J1094">IFERROR(IF(XLOOKUP(CONCAT(E1094,F1094),'MASTER PLAN'!$AB:$AB,'MASTER PLAN'!$M:$M,0,0)=0,"",XLOOKUP(CONCAT(E1094,F1094),'MASTER PLAN'!$AB:$AB,'MASTER PLAN'!$M:$M,0,0)),"")</f>
        <v/>
      </c>
      <c r="K1094" s="107">
        <f t="shared" si="237"/>
        <v>0</v>
      </c>
      <c r="L1094" s="107">
        <f t="shared" si="238"/>
        <v>0</v>
      </c>
      <c r="M1094" s="105" t="s">
        <v>246</v>
      </c>
      <c r="AI1094" s="42"/>
      <c r="BN1094" s="42"/>
      <c r="CS1094" s="42"/>
      <c r="DX1094" s="42"/>
      <c r="FC1094" s="42"/>
      <c r="GH1094" s="42"/>
      <c r="HM1094" s="42"/>
      <c r="IR1094" s="42"/>
      <c r="JW1094" s="42"/>
      <c r="LB1094" s="42"/>
      <c r="MG1094" s="42"/>
      <c r="NL1094" s="42"/>
    </row>
    <row r="1095" ht="15.75" customHeight="1">
      <c r="A1095" s="42"/>
      <c r="D1095" s="38">
        <f t="shared" si="1375"/>
        <v>46046</v>
      </c>
      <c r="E1095" s="31" t="str">
        <f t="shared" ref="E1095:I1095" si="1376">NG6</f>
        <v/>
      </c>
      <c r="F1095" s="31" t="str">
        <f t="shared" si="1376"/>
        <v/>
      </c>
      <c r="G1095" s="31" t="str">
        <f t="shared" si="1376"/>
        <v/>
      </c>
      <c r="H1095" s="13" t="str">
        <f t="shared" si="1376"/>
        <v/>
      </c>
      <c r="I1095" s="13" t="str">
        <f t="shared" si="1376"/>
        <v/>
      </c>
      <c r="J1095" s="107" t="str">
        <f t="array" ref="J1095">IFERROR(IF(XLOOKUP(CONCAT(E1095,F1095),'MASTER PLAN'!$AB:$AB,'MASTER PLAN'!$M:$M,0,0)=0,"",XLOOKUP(CONCAT(E1095,F1095),'MASTER PLAN'!$AB:$AB,'MASTER PLAN'!$M:$M,0,0)),"")</f>
        <v/>
      </c>
      <c r="K1095" s="107">
        <f t="shared" si="237"/>
        <v>0</v>
      </c>
      <c r="L1095" s="107">
        <f t="shared" si="238"/>
        <v>0</v>
      </c>
      <c r="M1095" s="105" t="s">
        <v>246</v>
      </c>
      <c r="AI1095" s="42"/>
      <c r="BN1095" s="42"/>
      <c r="CS1095" s="42"/>
      <c r="DX1095" s="42"/>
      <c r="FC1095" s="42"/>
      <c r="GH1095" s="42"/>
      <c r="HM1095" s="42"/>
      <c r="IR1095" s="42"/>
      <c r="JW1095" s="42"/>
      <c r="LB1095" s="42"/>
      <c r="MG1095" s="42"/>
      <c r="NL1095" s="42"/>
    </row>
    <row r="1096" ht="15.75" customHeight="1">
      <c r="A1096" s="42"/>
      <c r="D1096" s="38">
        <f t="shared" si="1375"/>
        <v>46046</v>
      </c>
      <c r="E1096" s="31" t="str">
        <f t="shared" ref="E1096:I1096" si="1377">NG7</f>
        <v/>
      </c>
      <c r="F1096" s="31" t="str">
        <f t="shared" si="1377"/>
        <v/>
      </c>
      <c r="G1096" s="31" t="str">
        <f t="shared" si="1377"/>
        <v/>
      </c>
      <c r="H1096" s="13" t="str">
        <f t="shared" si="1377"/>
        <v/>
      </c>
      <c r="I1096" s="13" t="str">
        <f t="shared" si="1377"/>
        <v/>
      </c>
      <c r="J1096" s="107" t="str">
        <f t="array" ref="J1096">IFERROR(IF(XLOOKUP(CONCAT(E1096,F1096),'MASTER PLAN'!$AB:$AB,'MASTER PLAN'!$M:$M,0,0)=0,"",XLOOKUP(CONCAT(E1096,F1096),'MASTER PLAN'!$AB:$AB,'MASTER PLAN'!$M:$M,0,0)),"")</f>
        <v/>
      </c>
      <c r="K1096" s="107">
        <f t="shared" si="237"/>
        <v>0</v>
      </c>
      <c r="L1096" s="107">
        <f t="shared" si="238"/>
        <v>0</v>
      </c>
      <c r="M1096" s="105" t="s">
        <v>246</v>
      </c>
      <c r="AI1096" s="42"/>
      <c r="BN1096" s="42"/>
      <c r="CS1096" s="42"/>
      <c r="DX1096" s="42"/>
      <c r="FC1096" s="42"/>
      <c r="GH1096" s="42"/>
      <c r="HM1096" s="42"/>
      <c r="IR1096" s="42"/>
      <c r="JW1096" s="42"/>
      <c r="LB1096" s="42"/>
      <c r="MG1096" s="42"/>
      <c r="NL1096" s="42"/>
    </row>
    <row r="1097" ht="15.75" customHeight="1">
      <c r="A1097" s="42"/>
      <c r="D1097" s="38">
        <f t="shared" si="1375"/>
        <v>46046</v>
      </c>
      <c r="E1097" s="31" t="str">
        <f t="shared" ref="E1097:I1097" si="1378">NG8</f>
        <v/>
      </c>
      <c r="F1097" s="31" t="str">
        <f t="shared" si="1378"/>
        <v/>
      </c>
      <c r="G1097" s="31" t="str">
        <f t="shared" si="1378"/>
        <v/>
      </c>
      <c r="H1097" s="13" t="str">
        <f t="shared" si="1378"/>
        <v/>
      </c>
      <c r="I1097" s="13" t="str">
        <f t="shared" si="1378"/>
        <v/>
      </c>
      <c r="J1097" s="107" t="str">
        <f t="array" ref="J1097">IFERROR(IF(XLOOKUP(CONCAT(E1097,F1097),'MASTER PLAN'!$AB:$AB,'MASTER PLAN'!$M:$M,0,0)=0,"",XLOOKUP(CONCAT(E1097,F1097),'MASTER PLAN'!$AB:$AB,'MASTER PLAN'!$M:$M,0,0)),"")</f>
        <v/>
      </c>
      <c r="K1097" s="107">
        <f t="shared" si="237"/>
        <v>0</v>
      </c>
      <c r="L1097" s="107">
        <f t="shared" si="238"/>
        <v>0</v>
      </c>
      <c r="M1097" s="105" t="s">
        <v>246</v>
      </c>
      <c r="AI1097" s="42"/>
      <c r="BN1097" s="42"/>
      <c r="CS1097" s="42"/>
      <c r="DX1097" s="42"/>
      <c r="FC1097" s="42"/>
      <c r="GH1097" s="42"/>
      <c r="HM1097" s="42"/>
      <c r="IR1097" s="42"/>
      <c r="JW1097" s="42"/>
      <c r="LB1097" s="42"/>
      <c r="MG1097" s="42"/>
      <c r="NL1097" s="42"/>
    </row>
    <row r="1098" ht="15.75" customHeight="1">
      <c r="A1098" s="42"/>
      <c r="D1098" s="38">
        <f t="shared" si="1375"/>
        <v>46046</v>
      </c>
      <c r="E1098" s="31" t="str">
        <f t="shared" ref="E1098:I1098" si="1379">NG12</f>
        <v/>
      </c>
      <c r="F1098" s="31" t="str">
        <f t="shared" si="1379"/>
        <v/>
      </c>
      <c r="G1098" s="31" t="str">
        <f t="shared" si="1379"/>
        <v/>
      </c>
      <c r="H1098" s="13" t="str">
        <f t="shared" si="1379"/>
        <v/>
      </c>
      <c r="I1098" s="13" t="str">
        <f t="shared" si="1379"/>
        <v/>
      </c>
      <c r="J1098" s="107" t="str">
        <f t="array" ref="J1098">IFERROR(IF(XLOOKUP(CONCAT(E1098,F1098),'MASTER PLAN'!$AB:$AB,'MASTER PLAN'!$M:$M,0,0)=0,"",XLOOKUP(CONCAT(E1098,F1098),'MASTER PLAN'!$AB:$AB,'MASTER PLAN'!$M:$M,0,0)),"")</f>
        <v/>
      </c>
      <c r="K1098" s="107">
        <f t="shared" si="237"/>
        <v>0</v>
      </c>
      <c r="L1098" s="107">
        <f t="shared" si="238"/>
        <v>0</v>
      </c>
      <c r="M1098" s="105" t="s">
        <v>248</v>
      </c>
      <c r="AI1098" s="42"/>
      <c r="BN1098" s="42"/>
      <c r="CS1098" s="42"/>
      <c r="DX1098" s="42"/>
      <c r="FC1098" s="42"/>
      <c r="GH1098" s="42"/>
      <c r="HM1098" s="42"/>
      <c r="IR1098" s="42"/>
      <c r="JW1098" s="42"/>
      <c r="LB1098" s="42"/>
      <c r="MG1098" s="42"/>
      <c r="NL1098" s="42"/>
    </row>
    <row r="1099" ht="15.75" customHeight="1">
      <c r="A1099" s="42"/>
      <c r="D1099" s="38">
        <f t="shared" si="1375"/>
        <v>46046</v>
      </c>
      <c r="E1099" s="31" t="str">
        <f t="shared" ref="E1099:I1099" si="1380">NG13</f>
        <v/>
      </c>
      <c r="F1099" s="31" t="str">
        <f t="shared" si="1380"/>
        <v/>
      </c>
      <c r="G1099" s="31" t="str">
        <f t="shared" si="1380"/>
        <v/>
      </c>
      <c r="H1099" s="13" t="str">
        <f t="shared" si="1380"/>
        <v/>
      </c>
      <c r="I1099" s="13" t="str">
        <f t="shared" si="1380"/>
        <v/>
      </c>
      <c r="J1099" s="107" t="str">
        <f t="array" ref="J1099">IFERROR(IF(XLOOKUP(CONCAT(E1099,F1099),'MASTER PLAN'!$AB:$AB,'MASTER PLAN'!$M:$M,0,0)=0,"",XLOOKUP(CONCAT(E1099,F1099),'MASTER PLAN'!$AB:$AB,'MASTER PLAN'!$M:$M,0,0)),"")</f>
        <v/>
      </c>
      <c r="K1099" s="107">
        <f t="shared" si="237"/>
        <v>0</v>
      </c>
      <c r="L1099" s="107">
        <f t="shared" si="238"/>
        <v>0</v>
      </c>
      <c r="M1099" s="105" t="s">
        <v>248</v>
      </c>
      <c r="AI1099" s="42"/>
      <c r="BN1099" s="42"/>
      <c r="CS1099" s="42"/>
      <c r="DX1099" s="42"/>
      <c r="FC1099" s="42"/>
      <c r="GH1099" s="42"/>
      <c r="HM1099" s="42"/>
      <c r="IR1099" s="42"/>
      <c r="JW1099" s="42"/>
      <c r="LB1099" s="42"/>
      <c r="MG1099" s="42"/>
      <c r="NL1099" s="42"/>
    </row>
    <row r="1100" ht="15.75" customHeight="1">
      <c r="A1100" s="42"/>
      <c r="D1100" s="38">
        <f t="shared" si="1375"/>
        <v>46046</v>
      </c>
      <c r="E1100" s="31" t="str">
        <f t="shared" ref="E1100:I1100" si="1381">NG14</f>
        <v/>
      </c>
      <c r="F1100" s="31" t="str">
        <f t="shared" si="1381"/>
        <v/>
      </c>
      <c r="G1100" s="31" t="str">
        <f t="shared" si="1381"/>
        <v/>
      </c>
      <c r="H1100" s="13" t="str">
        <f t="shared" si="1381"/>
        <v/>
      </c>
      <c r="I1100" s="13" t="str">
        <f t="shared" si="1381"/>
        <v/>
      </c>
      <c r="J1100" s="107" t="str">
        <f t="array" ref="J1100">IFERROR(IF(XLOOKUP(CONCAT(E1100,F1100),'MASTER PLAN'!$AB:$AB,'MASTER PLAN'!$M:$M,0,0)=0,"",XLOOKUP(CONCAT(E1100,F1100),'MASTER PLAN'!$AB:$AB,'MASTER PLAN'!$M:$M,0,0)),"")</f>
        <v/>
      </c>
      <c r="K1100" s="107">
        <f t="shared" si="237"/>
        <v>0</v>
      </c>
      <c r="L1100" s="107">
        <f t="shared" si="238"/>
        <v>0</v>
      </c>
      <c r="M1100" s="105" t="s">
        <v>248</v>
      </c>
      <c r="AI1100" s="42"/>
      <c r="BN1100" s="42"/>
      <c r="CS1100" s="42"/>
      <c r="DX1100" s="42"/>
      <c r="FC1100" s="42"/>
      <c r="GH1100" s="42"/>
      <c r="HM1100" s="42"/>
      <c r="IR1100" s="42"/>
      <c r="JW1100" s="42"/>
      <c r="LB1100" s="42"/>
      <c r="MG1100" s="42"/>
      <c r="NL1100" s="42"/>
    </row>
    <row r="1101" ht="15.75" customHeight="1">
      <c r="A1101" s="42"/>
      <c r="D1101" s="38">
        <f t="shared" si="1375"/>
        <v>46046</v>
      </c>
      <c r="E1101" s="31" t="str">
        <f t="shared" ref="E1101:I1101" si="1382">NG15</f>
        <v/>
      </c>
      <c r="F1101" s="31" t="str">
        <f t="shared" si="1382"/>
        <v/>
      </c>
      <c r="G1101" s="31" t="str">
        <f t="shared" si="1382"/>
        <v/>
      </c>
      <c r="H1101" s="13" t="str">
        <f t="shared" si="1382"/>
        <v/>
      </c>
      <c r="I1101" s="13" t="str">
        <f t="shared" si="1382"/>
        <v/>
      </c>
      <c r="J1101" s="107" t="str">
        <f t="array" ref="J1101">IFERROR(IF(XLOOKUP(CONCAT(E1101,F1101),'MASTER PLAN'!$AB:$AB,'MASTER PLAN'!$M:$M,0,0)=0,"",XLOOKUP(CONCAT(E1101,F1101),'MASTER PLAN'!$AB:$AB,'MASTER PLAN'!$M:$M,0,0)),"")</f>
        <v/>
      </c>
      <c r="K1101" s="107">
        <f t="shared" si="237"/>
        <v>0</v>
      </c>
      <c r="L1101" s="107">
        <f t="shared" si="238"/>
        <v>0</v>
      </c>
      <c r="M1101" s="105" t="s">
        <v>248</v>
      </c>
      <c r="AI1101" s="42"/>
      <c r="BN1101" s="42"/>
      <c r="CS1101" s="42"/>
      <c r="DX1101" s="42"/>
      <c r="FC1101" s="42"/>
      <c r="GH1101" s="42"/>
      <c r="HM1101" s="42"/>
      <c r="IR1101" s="42"/>
      <c r="JW1101" s="42"/>
      <c r="LB1101" s="42"/>
      <c r="MG1101" s="42"/>
      <c r="NL1101" s="42"/>
    </row>
    <row r="1102" ht="15.75" customHeight="1">
      <c r="A1102" s="42"/>
      <c r="D1102" s="38">
        <f t="shared" si="1375"/>
        <v>46046</v>
      </c>
      <c r="E1102" s="31" t="str">
        <f t="shared" ref="E1102:I1102" si="1383">NG16</f>
        <v/>
      </c>
      <c r="F1102" s="31" t="str">
        <f t="shared" si="1383"/>
        <v/>
      </c>
      <c r="G1102" s="31" t="str">
        <f t="shared" si="1383"/>
        <v/>
      </c>
      <c r="H1102" s="13" t="str">
        <f t="shared" si="1383"/>
        <v/>
      </c>
      <c r="I1102" s="13" t="str">
        <f t="shared" si="1383"/>
        <v/>
      </c>
      <c r="J1102" s="107" t="str">
        <f t="array" ref="J1102">IFERROR(IF(XLOOKUP(CONCAT(E1102,F1102),'MASTER PLAN'!$AB:$AB,'MASTER PLAN'!$M:$M,0,0)=0,"",XLOOKUP(CONCAT(E1102,F1102),'MASTER PLAN'!$AB:$AB,'MASTER PLAN'!$M:$M,0,0)),"")</f>
        <v/>
      </c>
      <c r="K1102" s="107">
        <f t="shared" si="237"/>
        <v>0</v>
      </c>
      <c r="L1102" s="107">
        <f t="shared" si="238"/>
        <v>0</v>
      </c>
      <c r="M1102" s="105" t="s">
        <v>248</v>
      </c>
      <c r="AI1102" s="42"/>
      <c r="BN1102" s="42"/>
      <c r="CS1102" s="42"/>
      <c r="DX1102" s="42"/>
      <c r="FC1102" s="42"/>
      <c r="GH1102" s="42"/>
      <c r="HM1102" s="42"/>
      <c r="IR1102" s="42"/>
      <c r="JW1102" s="42"/>
      <c r="LB1102" s="42"/>
      <c r="MG1102" s="42"/>
      <c r="NL1102" s="42"/>
    </row>
    <row r="1103" ht="15.75" customHeight="1">
      <c r="A1103" s="42"/>
      <c r="D1103" s="38">
        <f t="shared" si="1375"/>
        <v>46046</v>
      </c>
      <c r="E1103" s="31" t="str">
        <f t="shared" ref="E1103:I1103" si="1384">NG20</f>
        <v/>
      </c>
      <c r="F1103" s="31" t="str">
        <f t="shared" si="1384"/>
        <v/>
      </c>
      <c r="G1103" s="31" t="str">
        <f t="shared" si="1384"/>
        <v/>
      </c>
      <c r="H1103" s="13" t="str">
        <f t="shared" si="1384"/>
        <v/>
      </c>
      <c r="I1103" s="13" t="str">
        <f t="shared" si="1384"/>
        <v/>
      </c>
      <c r="J1103" s="107" t="str">
        <f t="array" ref="J1103">IFERROR(IF(XLOOKUP(CONCAT(E1103,F1103),'MASTER PLAN'!$AB:$AB,'MASTER PLAN'!$M:$M,0,0)=0,"",XLOOKUP(CONCAT(E1103,F1103),'MASTER PLAN'!$AB:$AB,'MASTER PLAN'!$M:$M,0,0)),"")</f>
        <v/>
      </c>
      <c r="K1103" s="107">
        <f t="shared" si="237"/>
        <v>0</v>
      </c>
      <c r="L1103" s="107">
        <f t="shared" si="238"/>
        <v>0</v>
      </c>
      <c r="M1103" s="105" t="s">
        <v>249</v>
      </c>
      <c r="AI1103" s="42"/>
      <c r="BN1103" s="42"/>
      <c r="CS1103" s="42"/>
      <c r="DX1103" s="42"/>
      <c r="FC1103" s="42"/>
      <c r="GH1103" s="42"/>
      <c r="HM1103" s="42"/>
      <c r="IR1103" s="42"/>
      <c r="JW1103" s="42"/>
      <c r="LB1103" s="42"/>
      <c r="MG1103" s="42"/>
      <c r="NL1103" s="42"/>
    </row>
    <row r="1104" ht="15.75" customHeight="1">
      <c r="A1104" s="42"/>
      <c r="D1104" s="38">
        <f t="shared" si="1375"/>
        <v>46046</v>
      </c>
      <c r="E1104" s="31" t="str">
        <f t="shared" ref="E1104:I1104" si="1385">NG21</f>
        <v/>
      </c>
      <c r="F1104" s="31" t="str">
        <f t="shared" si="1385"/>
        <v/>
      </c>
      <c r="G1104" s="31" t="str">
        <f t="shared" si="1385"/>
        <v/>
      </c>
      <c r="H1104" s="13" t="str">
        <f t="shared" si="1385"/>
        <v/>
      </c>
      <c r="I1104" s="13" t="str">
        <f t="shared" si="1385"/>
        <v/>
      </c>
      <c r="J1104" s="107" t="str">
        <f t="array" ref="J1104">IFERROR(IF(XLOOKUP(CONCAT(E1104,F1104),'MASTER PLAN'!$AB:$AB,'MASTER PLAN'!$M:$M,0,0)=0,"",XLOOKUP(CONCAT(E1104,F1104),'MASTER PLAN'!$AB:$AB,'MASTER PLAN'!$M:$M,0,0)),"")</f>
        <v/>
      </c>
      <c r="K1104" s="107">
        <f t="shared" si="237"/>
        <v>0</v>
      </c>
      <c r="L1104" s="107">
        <f t="shared" si="238"/>
        <v>0</v>
      </c>
      <c r="M1104" s="105" t="s">
        <v>249</v>
      </c>
      <c r="AI1104" s="42"/>
      <c r="BN1104" s="42"/>
      <c r="CS1104" s="42"/>
      <c r="DX1104" s="42"/>
      <c r="FC1104" s="42"/>
      <c r="GH1104" s="42"/>
      <c r="HM1104" s="42"/>
      <c r="IR1104" s="42"/>
      <c r="JW1104" s="42"/>
      <c r="LB1104" s="42"/>
      <c r="MG1104" s="42"/>
      <c r="NL1104" s="42"/>
    </row>
    <row r="1105" ht="15.75" customHeight="1">
      <c r="A1105" s="42"/>
      <c r="D1105" s="38">
        <f t="shared" si="1375"/>
        <v>46046</v>
      </c>
      <c r="E1105" s="31" t="str">
        <f t="shared" ref="E1105:I1105" si="1386">NG22</f>
        <v/>
      </c>
      <c r="F1105" s="31" t="str">
        <f t="shared" si="1386"/>
        <v/>
      </c>
      <c r="G1105" s="31" t="str">
        <f t="shared" si="1386"/>
        <v/>
      </c>
      <c r="H1105" s="13" t="str">
        <f t="shared" si="1386"/>
        <v/>
      </c>
      <c r="I1105" s="13" t="str">
        <f t="shared" si="1386"/>
        <v/>
      </c>
      <c r="J1105" s="107" t="str">
        <f t="array" ref="J1105">IFERROR(IF(XLOOKUP(CONCAT(E1105,F1105),'MASTER PLAN'!$AB:$AB,'MASTER PLAN'!$M:$M,0,0)=0,"",XLOOKUP(CONCAT(E1105,F1105),'MASTER PLAN'!$AB:$AB,'MASTER PLAN'!$M:$M,0,0)),"")</f>
        <v/>
      </c>
      <c r="K1105" s="107">
        <f t="shared" si="237"/>
        <v>0</v>
      </c>
      <c r="L1105" s="107">
        <f t="shared" si="238"/>
        <v>0</v>
      </c>
      <c r="M1105" s="105" t="s">
        <v>249</v>
      </c>
      <c r="AI1105" s="42"/>
      <c r="BN1105" s="42"/>
      <c r="CS1105" s="42"/>
      <c r="DX1105" s="42"/>
      <c r="FC1105" s="42"/>
      <c r="GH1105" s="42"/>
      <c r="HM1105" s="42"/>
      <c r="IR1105" s="42"/>
      <c r="JW1105" s="42"/>
      <c r="LB1105" s="42"/>
      <c r="MG1105" s="42"/>
      <c r="NL1105" s="42"/>
    </row>
    <row r="1106" ht="15.75" customHeight="1">
      <c r="A1106" s="42"/>
      <c r="D1106" s="38">
        <f t="shared" si="1375"/>
        <v>46046</v>
      </c>
      <c r="E1106" s="31" t="str">
        <f t="shared" ref="E1106:I1106" si="1387">NG23</f>
        <v/>
      </c>
      <c r="F1106" s="31" t="str">
        <f t="shared" si="1387"/>
        <v/>
      </c>
      <c r="G1106" s="31" t="str">
        <f t="shared" si="1387"/>
        <v/>
      </c>
      <c r="H1106" s="13" t="str">
        <f t="shared" si="1387"/>
        <v/>
      </c>
      <c r="I1106" s="13" t="str">
        <f t="shared" si="1387"/>
        <v/>
      </c>
      <c r="J1106" s="107" t="str">
        <f t="array" ref="J1106">IFERROR(IF(XLOOKUP(CONCAT(E1106,F1106),'MASTER PLAN'!$AB:$AB,'MASTER PLAN'!$M:$M,0,0)=0,"",XLOOKUP(CONCAT(E1106,F1106),'MASTER PLAN'!$AB:$AB,'MASTER PLAN'!$M:$M,0,0)),"")</f>
        <v/>
      </c>
      <c r="K1106" s="107">
        <f t="shared" si="237"/>
        <v>0</v>
      </c>
      <c r="L1106" s="107">
        <f t="shared" si="238"/>
        <v>0</v>
      </c>
      <c r="M1106" s="105" t="s">
        <v>249</v>
      </c>
      <c r="AI1106" s="42"/>
      <c r="BN1106" s="42"/>
      <c r="CS1106" s="42"/>
      <c r="DX1106" s="42"/>
      <c r="FC1106" s="42"/>
      <c r="GH1106" s="42"/>
      <c r="HM1106" s="42"/>
      <c r="IR1106" s="42"/>
      <c r="JW1106" s="42"/>
      <c r="LB1106" s="42"/>
      <c r="MG1106" s="42"/>
      <c r="NL1106" s="42"/>
    </row>
    <row r="1107" ht="15.75" customHeight="1">
      <c r="A1107" s="42"/>
      <c r="D1107" s="38">
        <f t="shared" si="1375"/>
        <v>46046</v>
      </c>
      <c r="E1107" s="31" t="str">
        <f t="shared" ref="E1107:I1107" si="1388">NG24</f>
        <v/>
      </c>
      <c r="F1107" s="31" t="str">
        <f t="shared" si="1388"/>
        <v/>
      </c>
      <c r="G1107" s="31" t="str">
        <f t="shared" si="1388"/>
        <v/>
      </c>
      <c r="H1107" s="13" t="str">
        <f t="shared" si="1388"/>
        <v/>
      </c>
      <c r="I1107" s="13" t="str">
        <f t="shared" si="1388"/>
        <v/>
      </c>
      <c r="J1107" s="107" t="str">
        <f t="array" ref="J1107">IFERROR(IF(XLOOKUP(CONCAT(E1107,F1107),'MASTER PLAN'!$AB:$AB,'MASTER PLAN'!$M:$M,0,0)=0,"",XLOOKUP(CONCAT(E1107,F1107),'MASTER PLAN'!$AB:$AB,'MASTER PLAN'!$M:$M,0,0)),"")</f>
        <v/>
      </c>
      <c r="K1107" s="107">
        <f t="shared" si="237"/>
        <v>0</v>
      </c>
      <c r="L1107" s="107">
        <f t="shared" si="238"/>
        <v>0</v>
      </c>
      <c r="M1107" s="105" t="s">
        <v>249</v>
      </c>
      <c r="AI1107" s="42"/>
      <c r="BN1107" s="42"/>
      <c r="CS1107" s="42"/>
      <c r="DX1107" s="42"/>
      <c r="FC1107" s="42"/>
      <c r="GH1107" s="42"/>
      <c r="HM1107" s="42"/>
      <c r="IR1107" s="42"/>
      <c r="JW1107" s="42"/>
      <c r="LB1107" s="42"/>
      <c r="MG1107" s="42"/>
      <c r="NL1107" s="42"/>
    </row>
    <row r="1108" ht="15.75" customHeight="1">
      <c r="A1108" s="42"/>
      <c r="D1108" s="38">
        <f>NM2</f>
        <v>46048</v>
      </c>
      <c r="E1108" s="31" t="str">
        <f t="shared" ref="E1108:I1108" si="1389">NM4</f>
        <v/>
      </c>
      <c r="F1108" s="31" t="str">
        <f t="shared" si="1389"/>
        <v/>
      </c>
      <c r="G1108" s="31" t="str">
        <f t="shared" si="1389"/>
        <v/>
      </c>
      <c r="H1108" s="13" t="str">
        <f t="shared" si="1389"/>
        <v/>
      </c>
      <c r="I1108" s="13" t="str">
        <f t="shared" si="1389"/>
        <v/>
      </c>
      <c r="J1108" s="107" t="str">
        <f t="array" ref="J1108">IFERROR(IF(XLOOKUP(CONCAT(E1108,F1108),'MASTER PLAN'!$AB:$AB,'MASTER PLAN'!$M:$M,0,0)=0,"",XLOOKUP(CONCAT(E1108,F1108),'MASTER PLAN'!$AB:$AB,'MASTER PLAN'!$M:$M,0,0)),"")</f>
        <v/>
      </c>
      <c r="K1108" s="107">
        <f t="shared" si="237"/>
        <v>0</v>
      </c>
      <c r="L1108" s="107">
        <f t="shared" si="238"/>
        <v>0</v>
      </c>
      <c r="M1108" s="105" t="s">
        <v>246</v>
      </c>
      <c r="AI1108" s="42"/>
      <c r="BN1108" s="42"/>
      <c r="CS1108" s="42"/>
      <c r="DX1108" s="42"/>
      <c r="FC1108" s="42"/>
      <c r="GH1108" s="42"/>
      <c r="HM1108" s="42"/>
      <c r="IR1108" s="42"/>
      <c r="JW1108" s="42"/>
      <c r="LB1108" s="42"/>
      <c r="MG1108" s="42"/>
      <c r="NL1108" s="42"/>
    </row>
    <row r="1109" ht="15.75" customHeight="1">
      <c r="A1109" s="42"/>
      <c r="D1109" s="38">
        <f t="shared" ref="D1109:D1122" si="1391">D1108</f>
        <v>46048</v>
      </c>
      <c r="E1109" s="31" t="str">
        <f t="shared" ref="E1109:I1109" si="1390">NM5</f>
        <v/>
      </c>
      <c r="F1109" s="31" t="str">
        <f t="shared" si="1390"/>
        <v/>
      </c>
      <c r="G1109" s="31" t="str">
        <f t="shared" si="1390"/>
        <v/>
      </c>
      <c r="H1109" s="13" t="str">
        <f t="shared" si="1390"/>
        <v/>
      </c>
      <c r="I1109" s="13" t="str">
        <f t="shared" si="1390"/>
        <v/>
      </c>
      <c r="J1109" s="107" t="str">
        <f t="array" ref="J1109">IFERROR(IF(XLOOKUP(CONCAT(E1109,F1109),'MASTER PLAN'!$AB:$AB,'MASTER PLAN'!$M:$M,0,0)=0,"",XLOOKUP(CONCAT(E1109,F1109),'MASTER PLAN'!$AB:$AB,'MASTER PLAN'!$M:$M,0,0)),"")</f>
        <v/>
      </c>
      <c r="K1109" s="107">
        <f t="shared" si="237"/>
        <v>0</v>
      </c>
      <c r="L1109" s="107">
        <f t="shared" si="238"/>
        <v>0</v>
      </c>
      <c r="M1109" s="105" t="s">
        <v>246</v>
      </c>
      <c r="AI1109" s="42"/>
      <c r="BN1109" s="42"/>
      <c r="CS1109" s="42"/>
      <c r="DX1109" s="42"/>
      <c r="FC1109" s="42"/>
      <c r="GH1109" s="42"/>
      <c r="HM1109" s="42"/>
      <c r="IR1109" s="42"/>
      <c r="JW1109" s="42"/>
      <c r="LB1109" s="42"/>
      <c r="MG1109" s="42"/>
      <c r="NL1109" s="42"/>
    </row>
    <row r="1110" ht="15.75" customHeight="1">
      <c r="A1110" s="42"/>
      <c r="D1110" s="38">
        <f t="shared" si="1391"/>
        <v>46048</v>
      </c>
      <c r="E1110" s="31" t="str">
        <f t="shared" ref="E1110:I1110" si="1392">NM6</f>
        <v/>
      </c>
      <c r="F1110" s="31" t="str">
        <f t="shared" si="1392"/>
        <v/>
      </c>
      <c r="G1110" s="31" t="str">
        <f t="shared" si="1392"/>
        <v/>
      </c>
      <c r="H1110" s="13" t="str">
        <f t="shared" si="1392"/>
        <v/>
      </c>
      <c r="I1110" s="13" t="str">
        <f t="shared" si="1392"/>
        <v/>
      </c>
      <c r="J1110" s="107" t="str">
        <f t="array" ref="J1110">IFERROR(IF(XLOOKUP(CONCAT(E1110,F1110),'MASTER PLAN'!$AB:$AB,'MASTER PLAN'!$M:$M,0,0)=0,"",XLOOKUP(CONCAT(E1110,F1110),'MASTER PLAN'!$AB:$AB,'MASTER PLAN'!$M:$M,0,0)),"")</f>
        <v/>
      </c>
      <c r="K1110" s="107">
        <f t="shared" si="237"/>
        <v>0</v>
      </c>
      <c r="L1110" s="107">
        <f t="shared" si="238"/>
        <v>0</v>
      </c>
      <c r="M1110" s="105" t="s">
        <v>246</v>
      </c>
      <c r="AI1110" s="42"/>
      <c r="BN1110" s="42"/>
      <c r="CS1110" s="42"/>
      <c r="DX1110" s="42"/>
      <c r="FC1110" s="42"/>
      <c r="GH1110" s="42"/>
      <c r="HM1110" s="42"/>
      <c r="IR1110" s="42"/>
      <c r="JW1110" s="42"/>
      <c r="LB1110" s="42"/>
      <c r="MG1110" s="42"/>
      <c r="NL1110" s="42"/>
    </row>
    <row r="1111" ht="15.75" customHeight="1">
      <c r="A1111" s="42"/>
      <c r="D1111" s="38">
        <f t="shared" si="1391"/>
        <v>46048</v>
      </c>
      <c r="E1111" s="31" t="str">
        <f t="shared" ref="E1111:I1111" si="1393">NM7</f>
        <v/>
      </c>
      <c r="F1111" s="31" t="str">
        <f t="shared" si="1393"/>
        <v/>
      </c>
      <c r="G1111" s="31" t="str">
        <f t="shared" si="1393"/>
        <v/>
      </c>
      <c r="H1111" s="13" t="str">
        <f t="shared" si="1393"/>
        <v/>
      </c>
      <c r="I1111" s="13" t="str">
        <f t="shared" si="1393"/>
        <v/>
      </c>
      <c r="J1111" s="107" t="str">
        <f t="array" ref="J1111">IFERROR(IF(XLOOKUP(CONCAT(E1111,F1111),'MASTER PLAN'!$AB:$AB,'MASTER PLAN'!$M:$M,0,0)=0,"",XLOOKUP(CONCAT(E1111,F1111),'MASTER PLAN'!$AB:$AB,'MASTER PLAN'!$M:$M,0,0)),"")</f>
        <v/>
      </c>
      <c r="K1111" s="107">
        <f t="shared" si="237"/>
        <v>0</v>
      </c>
      <c r="L1111" s="107">
        <f t="shared" si="238"/>
        <v>0</v>
      </c>
      <c r="M1111" s="105" t="s">
        <v>246</v>
      </c>
      <c r="AI1111" s="42"/>
      <c r="BN1111" s="42"/>
      <c r="CS1111" s="42"/>
      <c r="DX1111" s="42"/>
      <c r="FC1111" s="42"/>
      <c r="GH1111" s="42"/>
      <c r="HM1111" s="42"/>
      <c r="IR1111" s="42"/>
      <c r="JW1111" s="42"/>
      <c r="LB1111" s="42"/>
      <c r="MG1111" s="42"/>
      <c r="NL1111" s="42"/>
    </row>
    <row r="1112" ht="15.75" customHeight="1">
      <c r="A1112" s="42"/>
      <c r="D1112" s="38">
        <f t="shared" si="1391"/>
        <v>46048</v>
      </c>
      <c r="E1112" s="31" t="str">
        <f t="shared" ref="E1112:I1112" si="1394">NM8</f>
        <v/>
      </c>
      <c r="F1112" s="31" t="str">
        <f t="shared" si="1394"/>
        <v/>
      </c>
      <c r="G1112" s="31" t="str">
        <f t="shared" si="1394"/>
        <v/>
      </c>
      <c r="H1112" s="13" t="str">
        <f t="shared" si="1394"/>
        <v/>
      </c>
      <c r="I1112" s="13" t="str">
        <f t="shared" si="1394"/>
        <v/>
      </c>
      <c r="J1112" s="107" t="str">
        <f t="array" ref="J1112">IFERROR(IF(XLOOKUP(CONCAT(E1112,F1112),'MASTER PLAN'!$AB:$AB,'MASTER PLAN'!$M:$M,0,0)=0,"",XLOOKUP(CONCAT(E1112,F1112),'MASTER PLAN'!$AB:$AB,'MASTER PLAN'!$M:$M,0,0)),"")</f>
        <v/>
      </c>
      <c r="K1112" s="107">
        <f t="shared" si="237"/>
        <v>0</v>
      </c>
      <c r="L1112" s="107">
        <f t="shared" si="238"/>
        <v>0</v>
      </c>
      <c r="M1112" s="105" t="s">
        <v>246</v>
      </c>
      <c r="AI1112" s="42"/>
      <c r="BN1112" s="42"/>
      <c r="CS1112" s="42"/>
      <c r="DX1112" s="42"/>
      <c r="FC1112" s="42"/>
      <c r="GH1112" s="42"/>
      <c r="HM1112" s="42"/>
      <c r="IR1112" s="42"/>
      <c r="JW1112" s="42"/>
      <c r="LB1112" s="42"/>
      <c r="MG1112" s="42"/>
      <c r="NL1112" s="42"/>
    </row>
    <row r="1113" ht="15.75" customHeight="1">
      <c r="A1113" s="42"/>
      <c r="D1113" s="38">
        <f t="shared" si="1391"/>
        <v>46048</v>
      </c>
      <c r="E1113" s="31" t="str">
        <f t="shared" ref="E1113:I1113" si="1395">NM12</f>
        <v/>
      </c>
      <c r="F1113" s="31" t="str">
        <f t="shared" si="1395"/>
        <v/>
      </c>
      <c r="G1113" s="31" t="str">
        <f t="shared" si="1395"/>
        <v/>
      </c>
      <c r="H1113" s="13" t="str">
        <f t="shared" si="1395"/>
        <v/>
      </c>
      <c r="I1113" s="13" t="str">
        <f t="shared" si="1395"/>
        <v/>
      </c>
      <c r="J1113" s="107" t="str">
        <f t="array" ref="J1113">IFERROR(IF(XLOOKUP(CONCAT(E1113,F1113),'MASTER PLAN'!$AB:$AB,'MASTER PLAN'!$M:$M,0,0)=0,"",XLOOKUP(CONCAT(E1113,F1113),'MASTER PLAN'!$AB:$AB,'MASTER PLAN'!$M:$M,0,0)),"")</f>
        <v/>
      </c>
      <c r="K1113" s="107">
        <f t="shared" si="237"/>
        <v>0</v>
      </c>
      <c r="L1113" s="107">
        <f t="shared" si="238"/>
        <v>0</v>
      </c>
      <c r="M1113" s="105" t="s">
        <v>248</v>
      </c>
      <c r="AI1113" s="42"/>
      <c r="BN1113" s="42"/>
      <c r="CS1113" s="42"/>
      <c r="DX1113" s="42"/>
      <c r="FC1113" s="42"/>
      <c r="GH1113" s="42"/>
      <c r="HM1113" s="42"/>
      <c r="IR1113" s="42"/>
      <c r="JW1113" s="42"/>
      <c r="LB1113" s="42"/>
      <c r="MG1113" s="42"/>
      <c r="NL1113" s="42"/>
    </row>
    <row r="1114" ht="15.75" customHeight="1">
      <c r="A1114" s="42"/>
      <c r="D1114" s="38">
        <f t="shared" si="1391"/>
        <v>46048</v>
      </c>
      <c r="E1114" s="31" t="str">
        <f t="shared" ref="E1114:I1114" si="1396">NM13</f>
        <v/>
      </c>
      <c r="F1114" s="31" t="str">
        <f t="shared" si="1396"/>
        <v/>
      </c>
      <c r="G1114" s="31" t="str">
        <f t="shared" si="1396"/>
        <v/>
      </c>
      <c r="H1114" s="13" t="str">
        <f t="shared" si="1396"/>
        <v/>
      </c>
      <c r="I1114" s="13" t="str">
        <f t="shared" si="1396"/>
        <v/>
      </c>
      <c r="J1114" s="107" t="str">
        <f t="array" ref="J1114">IFERROR(IF(XLOOKUP(CONCAT(E1114,F1114),'MASTER PLAN'!$AB:$AB,'MASTER PLAN'!$M:$M,0,0)=0,"",XLOOKUP(CONCAT(E1114,F1114),'MASTER PLAN'!$AB:$AB,'MASTER PLAN'!$M:$M,0,0)),"")</f>
        <v/>
      </c>
      <c r="K1114" s="107">
        <f t="shared" si="237"/>
        <v>0</v>
      </c>
      <c r="L1114" s="107">
        <f t="shared" si="238"/>
        <v>0</v>
      </c>
      <c r="M1114" s="105" t="s">
        <v>248</v>
      </c>
      <c r="AI1114" s="42"/>
      <c r="BN1114" s="42"/>
      <c r="CS1114" s="42"/>
      <c r="DX1114" s="42"/>
      <c r="FC1114" s="42"/>
      <c r="GH1114" s="42"/>
      <c r="HM1114" s="42"/>
      <c r="IR1114" s="42"/>
      <c r="JW1114" s="42"/>
      <c r="LB1114" s="42"/>
      <c r="MG1114" s="42"/>
      <c r="NL1114" s="42"/>
    </row>
    <row r="1115" ht="15.75" customHeight="1">
      <c r="A1115" s="42"/>
      <c r="D1115" s="38">
        <f t="shared" si="1391"/>
        <v>46048</v>
      </c>
      <c r="E1115" s="31" t="str">
        <f t="shared" ref="E1115:I1115" si="1397">NM14</f>
        <v/>
      </c>
      <c r="F1115" s="31" t="str">
        <f t="shared" si="1397"/>
        <v/>
      </c>
      <c r="G1115" s="31" t="str">
        <f t="shared" si="1397"/>
        <v/>
      </c>
      <c r="H1115" s="13" t="str">
        <f t="shared" si="1397"/>
        <v/>
      </c>
      <c r="I1115" s="13" t="str">
        <f t="shared" si="1397"/>
        <v/>
      </c>
      <c r="J1115" s="107" t="str">
        <f t="array" ref="J1115">IFERROR(IF(XLOOKUP(CONCAT(E1115,F1115),'MASTER PLAN'!$AB:$AB,'MASTER PLAN'!$M:$M,0,0)=0,"",XLOOKUP(CONCAT(E1115,F1115),'MASTER PLAN'!$AB:$AB,'MASTER PLAN'!$M:$M,0,0)),"")</f>
        <v/>
      </c>
      <c r="K1115" s="107">
        <f t="shared" si="237"/>
        <v>0</v>
      </c>
      <c r="L1115" s="107">
        <f t="shared" si="238"/>
        <v>0</v>
      </c>
      <c r="M1115" s="105" t="s">
        <v>248</v>
      </c>
      <c r="AI1115" s="42"/>
      <c r="BN1115" s="42"/>
      <c r="CS1115" s="42"/>
      <c r="DX1115" s="42"/>
      <c r="FC1115" s="42"/>
      <c r="GH1115" s="42"/>
      <c r="HM1115" s="42"/>
      <c r="IR1115" s="42"/>
      <c r="JW1115" s="42"/>
      <c r="LB1115" s="42"/>
      <c r="MG1115" s="42"/>
      <c r="NL1115" s="42"/>
    </row>
    <row r="1116" ht="15.75" customHeight="1">
      <c r="A1116" s="42"/>
      <c r="D1116" s="38">
        <f t="shared" si="1391"/>
        <v>46048</v>
      </c>
      <c r="E1116" s="31" t="str">
        <f t="shared" ref="E1116:I1116" si="1398">NM15</f>
        <v/>
      </c>
      <c r="F1116" s="31" t="str">
        <f t="shared" si="1398"/>
        <v/>
      </c>
      <c r="G1116" s="31" t="str">
        <f t="shared" si="1398"/>
        <v/>
      </c>
      <c r="H1116" s="13" t="str">
        <f t="shared" si="1398"/>
        <v/>
      </c>
      <c r="I1116" s="13" t="str">
        <f t="shared" si="1398"/>
        <v/>
      </c>
      <c r="J1116" s="107" t="str">
        <f t="array" ref="J1116">IFERROR(IF(XLOOKUP(CONCAT(E1116,F1116),'MASTER PLAN'!$AB:$AB,'MASTER PLAN'!$M:$M,0,0)=0,"",XLOOKUP(CONCAT(E1116,F1116),'MASTER PLAN'!$AB:$AB,'MASTER PLAN'!$M:$M,0,0)),"")</f>
        <v/>
      </c>
      <c r="K1116" s="107">
        <f t="shared" si="237"/>
        <v>0</v>
      </c>
      <c r="L1116" s="107">
        <f t="shared" si="238"/>
        <v>0</v>
      </c>
      <c r="M1116" s="105" t="s">
        <v>248</v>
      </c>
      <c r="AI1116" s="42"/>
      <c r="BN1116" s="42"/>
      <c r="CS1116" s="42"/>
      <c r="DX1116" s="42"/>
      <c r="FC1116" s="42"/>
      <c r="GH1116" s="42"/>
      <c r="HM1116" s="42"/>
      <c r="IR1116" s="42"/>
      <c r="JW1116" s="42"/>
      <c r="LB1116" s="42"/>
      <c r="MG1116" s="42"/>
      <c r="NL1116" s="42"/>
    </row>
    <row r="1117" ht="15.75" customHeight="1">
      <c r="A1117" s="42"/>
      <c r="D1117" s="38">
        <f t="shared" si="1391"/>
        <v>46048</v>
      </c>
      <c r="E1117" s="31" t="str">
        <f t="shared" ref="E1117:I1117" si="1399">NM16</f>
        <v/>
      </c>
      <c r="F1117" s="31" t="str">
        <f t="shared" si="1399"/>
        <v/>
      </c>
      <c r="G1117" s="31" t="str">
        <f t="shared" si="1399"/>
        <v/>
      </c>
      <c r="H1117" s="13" t="str">
        <f t="shared" si="1399"/>
        <v/>
      </c>
      <c r="I1117" s="13" t="str">
        <f t="shared" si="1399"/>
        <v/>
      </c>
      <c r="J1117" s="107" t="str">
        <f t="array" ref="J1117">IFERROR(IF(XLOOKUP(CONCAT(E1117,F1117),'MASTER PLAN'!$AB:$AB,'MASTER PLAN'!$M:$M,0,0)=0,"",XLOOKUP(CONCAT(E1117,F1117),'MASTER PLAN'!$AB:$AB,'MASTER PLAN'!$M:$M,0,0)),"")</f>
        <v/>
      </c>
      <c r="K1117" s="107">
        <f t="shared" si="237"/>
        <v>0</v>
      </c>
      <c r="L1117" s="107">
        <f t="shared" si="238"/>
        <v>0</v>
      </c>
      <c r="M1117" s="105" t="s">
        <v>248</v>
      </c>
      <c r="AI1117" s="42"/>
      <c r="BN1117" s="42"/>
      <c r="CS1117" s="42"/>
      <c r="DX1117" s="42"/>
      <c r="FC1117" s="42"/>
      <c r="GH1117" s="42"/>
      <c r="HM1117" s="42"/>
      <c r="IR1117" s="42"/>
      <c r="JW1117" s="42"/>
      <c r="LB1117" s="42"/>
      <c r="MG1117" s="42"/>
      <c r="NL1117" s="42"/>
    </row>
    <row r="1118" ht="15.75" customHeight="1">
      <c r="A1118" s="42"/>
      <c r="D1118" s="38">
        <f t="shared" si="1391"/>
        <v>46048</v>
      </c>
      <c r="E1118" s="31" t="str">
        <f t="shared" ref="E1118:I1118" si="1400">NM20</f>
        <v/>
      </c>
      <c r="F1118" s="31" t="str">
        <f t="shared" si="1400"/>
        <v/>
      </c>
      <c r="G1118" s="31" t="str">
        <f t="shared" si="1400"/>
        <v/>
      </c>
      <c r="H1118" s="13" t="str">
        <f t="shared" si="1400"/>
        <v/>
      </c>
      <c r="I1118" s="13" t="str">
        <f t="shared" si="1400"/>
        <v/>
      </c>
      <c r="J1118" s="107" t="str">
        <f t="array" ref="J1118">IFERROR(IF(XLOOKUP(CONCAT(E1118,F1118),'MASTER PLAN'!$AB:$AB,'MASTER PLAN'!$M:$M,0,0)=0,"",XLOOKUP(CONCAT(E1118,F1118),'MASTER PLAN'!$AB:$AB,'MASTER PLAN'!$M:$M,0,0)),"")</f>
        <v/>
      </c>
      <c r="K1118" s="107">
        <f t="shared" si="237"/>
        <v>0</v>
      </c>
      <c r="L1118" s="107">
        <f t="shared" si="238"/>
        <v>0</v>
      </c>
      <c r="M1118" s="105" t="s">
        <v>249</v>
      </c>
      <c r="AI1118" s="42"/>
      <c r="BN1118" s="42"/>
      <c r="CS1118" s="42"/>
      <c r="DX1118" s="42"/>
      <c r="FC1118" s="42"/>
      <c r="GH1118" s="42"/>
      <c r="HM1118" s="42"/>
      <c r="IR1118" s="42"/>
      <c r="JW1118" s="42"/>
      <c r="LB1118" s="42"/>
      <c r="MG1118" s="42"/>
      <c r="NL1118" s="42"/>
    </row>
    <row r="1119" ht="15.75" customHeight="1">
      <c r="A1119" s="42"/>
      <c r="D1119" s="38">
        <f t="shared" si="1391"/>
        <v>46048</v>
      </c>
      <c r="E1119" s="31" t="str">
        <f t="shared" ref="E1119:I1119" si="1401">NM21</f>
        <v/>
      </c>
      <c r="F1119" s="31" t="str">
        <f t="shared" si="1401"/>
        <v/>
      </c>
      <c r="G1119" s="31" t="str">
        <f t="shared" si="1401"/>
        <v/>
      </c>
      <c r="H1119" s="13" t="str">
        <f t="shared" si="1401"/>
        <v/>
      </c>
      <c r="I1119" s="13" t="str">
        <f t="shared" si="1401"/>
        <v/>
      </c>
      <c r="J1119" s="107" t="str">
        <f t="array" ref="J1119">IFERROR(IF(XLOOKUP(CONCAT(E1119,F1119),'MASTER PLAN'!$AB:$AB,'MASTER PLAN'!$M:$M,0,0)=0,"",XLOOKUP(CONCAT(E1119,F1119),'MASTER PLAN'!$AB:$AB,'MASTER PLAN'!$M:$M,0,0)),"")</f>
        <v/>
      </c>
      <c r="K1119" s="107">
        <f t="shared" si="237"/>
        <v>0</v>
      </c>
      <c r="L1119" s="107">
        <f t="shared" si="238"/>
        <v>0</v>
      </c>
      <c r="M1119" s="105" t="s">
        <v>249</v>
      </c>
      <c r="AI1119" s="42"/>
      <c r="BN1119" s="42"/>
      <c r="CS1119" s="42"/>
      <c r="DX1119" s="42"/>
      <c r="FC1119" s="42"/>
      <c r="GH1119" s="42"/>
      <c r="HM1119" s="42"/>
      <c r="IR1119" s="42"/>
      <c r="JW1119" s="42"/>
      <c r="LB1119" s="42"/>
      <c r="MG1119" s="42"/>
      <c r="NL1119" s="42"/>
    </row>
    <row r="1120" ht="15.75" customHeight="1">
      <c r="A1120" s="42"/>
      <c r="D1120" s="38">
        <f t="shared" si="1391"/>
        <v>46048</v>
      </c>
      <c r="E1120" s="31" t="str">
        <f t="shared" ref="E1120:I1120" si="1402">NM22</f>
        <v/>
      </c>
      <c r="F1120" s="31" t="str">
        <f t="shared" si="1402"/>
        <v/>
      </c>
      <c r="G1120" s="31" t="str">
        <f t="shared" si="1402"/>
        <v/>
      </c>
      <c r="H1120" s="13" t="str">
        <f t="shared" si="1402"/>
        <v/>
      </c>
      <c r="I1120" s="13" t="str">
        <f t="shared" si="1402"/>
        <v/>
      </c>
      <c r="J1120" s="107" t="str">
        <f t="array" ref="J1120">IFERROR(IF(XLOOKUP(CONCAT(E1120,F1120),'MASTER PLAN'!$AB:$AB,'MASTER PLAN'!$M:$M,0,0)=0,"",XLOOKUP(CONCAT(E1120,F1120),'MASTER PLAN'!$AB:$AB,'MASTER PLAN'!$M:$M,0,0)),"")</f>
        <v/>
      </c>
      <c r="K1120" s="107">
        <f t="shared" si="237"/>
        <v>0</v>
      </c>
      <c r="L1120" s="107">
        <f t="shared" si="238"/>
        <v>0</v>
      </c>
      <c r="M1120" s="105" t="s">
        <v>249</v>
      </c>
      <c r="AI1120" s="42"/>
      <c r="BN1120" s="42"/>
      <c r="CS1120" s="42"/>
      <c r="DX1120" s="42"/>
      <c r="FC1120" s="42"/>
      <c r="GH1120" s="42"/>
      <c r="HM1120" s="42"/>
      <c r="IR1120" s="42"/>
      <c r="JW1120" s="42"/>
      <c r="LB1120" s="42"/>
      <c r="MG1120" s="42"/>
      <c r="NL1120" s="42"/>
    </row>
    <row r="1121" ht="15.75" customHeight="1">
      <c r="A1121" s="42"/>
      <c r="D1121" s="38">
        <f t="shared" si="1391"/>
        <v>46048</v>
      </c>
      <c r="E1121" s="31" t="str">
        <f t="shared" ref="E1121:I1121" si="1403">NM23</f>
        <v/>
      </c>
      <c r="F1121" s="31" t="str">
        <f t="shared" si="1403"/>
        <v/>
      </c>
      <c r="G1121" s="31" t="str">
        <f t="shared" si="1403"/>
        <v/>
      </c>
      <c r="H1121" s="13" t="str">
        <f t="shared" si="1403"/>
        <v/>
      </c>
      <c r="I1121" s="13" t="str">
        <f t="shared" si="1403"/>
        <v/>
      </c>
      <c r="J1121" s="107" t="str">
        <f t="array" ref="J1121">IFERROR(IF(XLOOKUP(CONCAT(E1121,F1121),'MASTER PLAN'!$AB:$AB,'MASTER PLAN'!$M:$M,0,0)=0,"",XLOOKUP(CONCAT(E1121,F1121),'MASTER PLAN'!$AB:$AB,'MASTER PLAN'!$M:$M,0,0)),"")</f>
        <v/>
      </c>
      <c r="K1121" s="107">
        <f t="shared" si="237"/>
        <v>0</v>
      </c>
      <c r="L1121" s="107">
        <f t="shared" si="238"/>
        <v>0</v>
      </c>
      <c r="M1121" s="105" t="s">
        <v>249</v>
      </c>
      <c r="AI1121" s="42"/>
      <c r="BN1121" s="42"/>
      <c r="CS1121" s="42"/>
      <c r="DX1121" s="42"/>
      <c r="FC1121" s="42"/>
      <c r="GH1121" s="42"/>
      <c r="HM1121" s="42"/>
      <c r="IR1121" s="42"/>
      <c r="JW1121" s="42"/>
      <c r="LB1121" s="42"/>
      <c r="MG1121" s="42"/>
      <c r="NL1121" s="42"/>
    </row>
    <row r="1122" ht="15.75" customHeight="1">
      <c r="A1122" s="42"/>
      <c r="D1122" s="38">
        <f t="shared" si="1391"/>
        <v>46048</v>
      </c>
      <c r="E1122" s="31" t="str">
        <f t="shared" ref="E1122:I1122" si="1404">NM24</f>
        <v/>
      </c>
      <c r="F1122" s="31" t="str">
        <f t="shared" si="1404"/>
        <v/>
      </c>
      <c r="G1122" s="31" t="str">
        <f t="shared" si="1404"/>
        <v/>
      </c>
      <c r="H1122" s="13" t="str">
        <f t="shared" si="1404"/>
        <v/>
      </c>
      <c r="I1122" s="13" t="str">
        <f t="shared" si="1404"/>
        <v/>
      </c>
      <c r="J1122" s="107" t="str">
        <f t="array" ref="J1122">IFERROR(IF(XLOOKUP(CONCAT(E1122,F1122),'MASTER PLAN'!$AB:$AB,'MASTER PLAN'!$M:$M,0,0)=0,"",XLOOKUP(CONCAT(E1122,F1122),'MASTER PLAN'!$AB:$AB,'MASTER PLAN'!$M:$M,0,0)),"")</f>
        <v/>
      </c>
      <c r="K1122" s="107">
        <f t="shared" si="237"/>
        <v>0</v>
      </c>
      <c r="L1122" s="107">
        <f t="shared" si="238"/>
        <v>0</v>
      </c>
      <c r="M1122" s="105" t="s">
        <v>249</v>
      </c>
      <c r="AI1122" s="42"/>
      <c r="BN1122" s="42"/>
      <c r="CS1122" s="42"/>
      <c r="DX1122" s="42"/>
      <c r="FC1122" s="42"/>
      <c r="GH1122" s="42"/>
      <c r="HM1122" s="42"/>
      <c r="IR1122" s="42"/>
      <c r="JW1122" s="42"/>
      <c r="LB1122" s="42"/>
      <c r="MG1122" s="42"/>
      <c r="NL1122" s="42"/>
    </row>
    <row r="1123" ht="15.75" customHeight="1">
      <c r="A1123" s="42"/>
      <c r="D1123" s="38">
        <f>NR2</f>
        <v>46049</v>
      </c>
      <c r="E1123" s="31" t="str">
        <f t="shared" ref="E1123:I1123" si="1405">NR4</f>
        <v/>
      </c>
      <c r="F1123" s="31" t="str">
        <f t="shared" si="1405"/>
        <v/>
      </c>
      <c r="G1123" s="31" t="str">
        <f t="shared" si="1405"/>
        <v/>
      </c>
      <c r="H1123" s="13" t="str">
        <f t="shared" si="1405"/>
        <v/>
      </c>
      <c r="I1123" s="13" t="str">
        <f t="shared" si="1405"/>
        <v/>
      </c>
      <c r="J1123" s="107" t="str">
        <f t="array" ref="J1123">IFERROR(IF(XLOOKUP(CONCAT(E1123,F1123),'MASTER PLAN'!$AB:$AB,'MASTER PLAN'!$M:$M,0,0)=0,"",XLOOKUP(CONCAT(E1123,F1123),'MASTER PLAN'!$AB:$AB,'MASTER PLAN'!$M:$M,0,0)),"")</f>
        <v/>
      </c>
      <c r="K1123" s="107">
        <f t="shared" si="237"/>
        <v>0</v>
      </c>
      <c r="L1123" s="107">
        <f t="shared" si="238"/>
        <v>0</v>
      </c>
      <c r="M1123" s="105" t="s">
        <v>246</v>
      </c>
      <c r="AI1123" s="42"/>
      <c r="BN1123" s="42"/>
      <c r="CS1123" s="42"/>
      <c r="DX1123" s="42"/>
      <c r="FC1123" s="42"/>
      <c r="GH1123" s="42"/>
      <c r="HM1123" s="42"/>
      <c r="IR1123" s="42"/>
      <c r="JW1123" s="42"/>
      <c r="LB1123" s="42"/>
      <c r="MG1123" s="42"/>
      <c r="NL1123" s="42"/>
    </row>
    <row r="1124" ht="15.75" customHeight="1">
      <c r="A1124" s="42"/>
      <c r="D1124" s="38">
        <f t="shared" ref="D1124:D1137" si="1407">D1123</f>
        <v>46049</v>
      </c>
      <c r="E1124" s="31" t="str">
        <f t="shared" ref="E1124:I1124" si="1406">NR5</f>
        <v/>
      </c>
      <c r="F1124" s="31" t="str">
        <f t="shared" si="1406"/>
        <v/>
      </c>
      <c r="G1124" s="31" t="str">
        <f t="shared" si="1406"/>
        <v/>
      </c>
      <c r="H1124" s="13" t="str">
        <f t="shared" si="1406"/>
        <v/>
      </c>
      <c r="I1124" s="13" t="str">
        <f t="shared" si="1406"/>
        <v/>
      </c>
      <c r="J1124" s="107" t="str">
        <f t="array" ref="J1124">IFERROR(IF(XLOOKUP(CONCAT(E1124,F1124),'MASTER PLAN'!$AB:$AB,'MASTER PLAN'!$M:$M,0,0)=0,"",XLOOKUP(CONCAT(E1124,F1124),'MASTER PLAN'!$AB:$AB,'MASTER PLAN'!$M:$M,0,0)),"")</f>
        <v/>
      </c>
      <c r="K1124" s="107">
        <f t="shared" si="237"/>
        <v>0</v>
      </c>
      <c r="L1124" s="107">
        <f t="shared" si="238"/>
        <v>0</v>
      </c>
      <c r="M1124" s="105" t="s">
        <v>246</v>
      </c>
      <c r="AI1124" s="42"/>
      <c r="BN1124" s="42"/>
      <c r="CS1124" s="42"/>
      <c r="DX1124" s="42"/>
      <c r="FC1124" s="42"/>
      <c r="GH1124" s="42"/>
      <c r="HM1124" s="42"/>
      <c r="IR1124" s="42"/>
      <c r="JW1124" s="42"/>
      <c r="LB1124" s="42"/>
      <c r="MG1124" s="42"/>
      <c r="NL1124" s="42"/>
    </row>
    <row r="1125" ht="15.75" customHeight="1">
      <c r="A1125" s="42"/>
      <c r="D1125" s="38">
        <f t="shared" si="1407"/>
        <v>46049</v>
      </c>
      <c r="E1125" s="31" t="str">
        <f t="shared" ref="E1125:I1125" si="1408">NR6</f>
        <v/>
      </c>
      <c r="F1125" s="31" t="str">
        <f t="shared" si="1408"/>
        <v/>
      </c>
      <c r="G1125" s="31" t="str">
        <f t="shared" si="1408"/>
        <v/>
      </c>
      <c r="H1125" s="13" t="str">
        <f t="shared" si="1408"/>
        <v/>
      </c>
      <c r="I1125" s="13" t="str">
        <f t="shared" si="1408"/>
        <v/>
      </c>
      <c r="J1125" s="107" t="str">
        <f t="array" ref="J1125">IFERROR(IF(XLOOKUP(CONCAT(E1125,F1125),'MASTER PLAN'!$AB:$AB,'MASTER PLAN'!$M:$M,0,0)=0,"",XLOOKUP(CONCAT(E1125,F1125),'MASTER PLAN'!$AB:$AB,'MASTER PLAN'!$M:$M,0,0)),"")</f>
        <v/>
      </c>
      <c r="K1125" s="107">
        <f t="shared" si="237"/>
        <v>0</v>
      </c>
      <c r="L1125" s="107">
        <f t="shared" si="238"/>
        <v>0</v>
      </c>
      <c r="M1125" s="105" t="s">
        <v>246</v>
      </c>
      <c r="AI1125" s="42"/>
      <c r="BN1125" s="42"/>
      <c r="CS1125" s="42"/>
      <c r="DX1125" s="42"/>
      <c r="FC1125" s="42"/>
      <c r="GH1125" s="42"/>
      <c r="HM1125" s="42"/>
      <c r="IR1125" s="42"/>
      <c r="JW1125" s="42"/>
      <c r="LB1125" s="42"/>
      <c r="MG1125" s="42"/>
      <c r="NL1125" s="42"/>
    </row>
    <row r="1126" ht="15.75" customHeight="1">
      <c r="A1126" s="42"/>
      <c r="D1126" s="38">
        <f t="shared" si="1407"/>
        <v>46049</v>
      </c>
      <c r="E1126" s="31" t="str">
        <f t="shared" ref="E1126:I1126" si="1409">NR7</f>
        <v/>
      </c>
      <c r="F1126" s="31" t="str">
        <f t="shared" si="1409"/>
        <v/>
      </c>
      <c r="G1126" s="31" t="str">
        <f t="shared" si="1409"/>
        <v/>
      </c>
      <c r="H1126" s="13" t="str">
        <f t="shared" si="1409"/>
        <v/>
      </c>
      <c r="I1126" s="13" t="str">
        <f t="shared" si="1409"/>
        <v/>
      </c>
      <c r="J1126" s="107" t="str">
        <f t="array" ref="J1126">IFERROR(IF(XLOOKUP(CONCAT(E1126,F1126),'MASTER PLAN'!$AB:$AB,'MASTER PLAN'!$M:$M,0,0)=0,"",XLOOKUP(CONCAT(E1126,F1126),'MASTER PLAN'!$AB:$AB,'MASTER PLAN'!$M:$M,0,0)),"")</f>
        <v/>
      </c>
      <c r="K1126" s="107">
        <f t="shared" si="237"/>
        <v>0</v>
      </c>
      <c r="L1126" s="107">
        <f t="shared" si="238"/>
        <v>0</v>
      </c>
      <c r="M1126" s="105" t="s">
        <v>246</v>
      </c>
      <c r="AI1126" s="42"/>
      <c r="BN1126" s="42"/>
      <c r="CS1126" s="42"/>
      <c r="DX1126" s="42"/>
      <c r="FC1126" s="42"/>
      <c r="GH1126" s="42"/>
      <c r="HM1126" s="42"/>
      <c r="IR1126" s="42"/>
      <c r="JW1126" s="42"/>
      <c r="LB1126" s="42"/>
      <c r="MG1126" s="42"/>
      <c r="NL1126" s="42"/>
    </row>
    <row r="1127" ht="15.75" customHeight="1">
      <c r="A1127" s="42"/>
      <c r="D1127" s="38">
        <f t="shared" si="1407"/>
        <v>46049</v>
      </c>
      <c r="E1127" s="31" t="str">
        <f t="shared" ref="E1127:I1127" si="1410">NR8</f>
        <v/>
      </c>
      <c r="F1127" s="31" t="str">
        <f t="shared" si="1410"/>
        <v/>
      </c>
      <c r="G1127" s="31" t="str">
        <f t="shared" si="1410"/>
        <v/>
      </c>
      <c r="H1127" s="13" t="str">
        <f t="shared" si="1410"/>
        <v/>
      </c>
      <c r="I1127" s="13" t="str">
        <f t="shared" si="1410"/>
        <v/>
      </c>
      <c r="J1127" s="107" t="str">
        <f t="array" ref="J1127">IFERROR(IF(XLOOKUP(CONCAT(E1127,F1127),'MASTER PLAN'!$AB:$AB,'MASTER PLAN'!$M:$M,0,0)=0,"",XLOOKUP(CONCAT(E1127,F1127),'MASTER PLAN'!$AB:$AB,'MASTER PLAN'!$M:$M,0,0)),"")</f>
        <v/>
      </c>
      <c r="K1127" s="107">
        <f t="shared" si="237"/>
        <v>0</v>
      </c>
      <c r="L1127" s="107">
        <f t="shared" si="238"/>
        <v>0</v>
      </c>
      <c r="M1127" s="105" t="s">
        <v>246</v>
      </c>
      <c r="AI1127" s="42"/>
      <c r="BN1127" s="42"/>
      <c r="CS1127" s="42"/>
      <c r="DX1127" s="42"/>
      <c r="FC1127" s="42"/>
      <c r="GH1127" s="42"/>
      <c r="HM1127" s="42"/>
      <c r="IR1127" s="42"/>
      <c r="JW1127" s="42"/>
      <c r="LB1127" s="42"/>
      <c r="MG1127" s="42"/>
      <c r="NL1127" s="42"/>
    </row>
    <row r="1128" ht="15.75" customHeight="1">
      <c r="A1128" s="42"/>
      <c r="D1128" s="38">
        <f t="shared" si="1407"/>
        <v>46049</v>
      </c>
      <c r="E1128" s="31" t="str">
        <f t="shared" ref="E1128:I1128" si="1411">NR12</f>
        <v/>
      </c>
      <c r="F1128" s="31" t="str">
        <f t="shared" si="1411"/>
        <v/>
      </c>
      <c r="G1128" s="31" t="str">
        <f t="shared" si="1411"/>
        <v/>
      </c>
      <c r="H1128" s="13" t="str">
        <f t="shared" si="1411"/>
        <v/>
      </c>
      <c r="I1128" s="13" t="str">
        <f t="shared" si="1411"/>
        <v/>
      </c>
      <c r="J1128" s="107" t="str">
        <f t="array" ref="J1128">IFERROR(IF(XLOOKUP(CONCAT(E1128,F1128),'MASTER PLAN'!$AB:$AB,'MASTER PLAN'!$M:$M,0,0)=0,"",XLOOKUP(CONCAT(E1128,F1128),'MASTER PLAN'!$AB:$AB,'MASTER PLAN'!$M:$M,0,0)),"")</f>
        <v/>
      </c>
      <c r="K1128" s="107">
        <f t="shared" si="237"/>
        <v>0</v>
      </c>
      <c r="L1128" s="107">
        <f t="shared" si="238"/>
        <v>0</v>
      </c>
      <c r="M1128" s="105" t="s">
        <v>248</v>
      </c>
      <c r="AI1128" s="42"/>
      <c r="BN1128" s="42"/>
      <c r="CS1128" s="42"/>
      <c r="DX1128" s="42"/>
      <c r="FC1128" s="42"/>
      <c r="GH1128" s="42"/>
      <c r="HM1128" s="42"/>
      <c r="IR1128" s="42"/>
      <c r="JW1128" s="42"/>
      <c r="LB1128" s="42"/>
      <c r="MG1128" s="42"/>
      <c r="NL1128" s="42"/>
    </row>
    <row r="1129" ht="15.75" customHeight="1">
      <c r="A1129" s="42"/>
      <c r="D1129" s="38">
        <f t="shared" si="1407"/>
        <v>46049</v>
      </c>
      <c r="E1129" s="31" t="str">
        <f t="shared" ref="E1129:I1129" si="1412">NR13</f>
        <v/>
      </c>
      <c r="F1129" s="31" t="str">
        <f t="shared" si="1412"/>
        <v/>
      </c>
      <c r="G1129" s="31" t="str">
        <f t="shared" si="1412"/>
        <v/>
      </c>
      <c r="H1129" s="13" t="str">
        <f t="shared" si="1412"/>
        <v/>
      </c>
      <c r="I1129" s="13" t="str">
        <f t="shared" si="1412"/>
        <v/>
      </c>
      <c r="J1129" s="107" t="str">
        <f t="array" ref="J1129">IFERROR(IF(XLOOKUP(CONCAT(E1129,F1129),'MASTER PLAN'!$AB:$AB,'MASTER PLAN'!$M:$M,0,0)=0,"",XLOOKUP(CONCAT(E1129,F1129),'MASTER PLAN'!$AB:$AB,'MASTER PLAN'!$M:$M,0,0)),"")</f>
        <v/>
      </c>
      <c r="K1129" s="107">
        <f t="shared" si="237"/>
        <v>0</v>
      </c>
      <c r="L1129" s="107">
        <f t="shared" si="238"/>
        <v>0</v>
      </c>
      <c r="M1129" s="105" t="s">
        <v>248</v>
      </c>
      <c r="AI1129" s="42"/>
      <c r="BN1129" s="42"/>
      <c r="CS1129" s="42"/>
      <c r="DX1129" s="42"/>
      <c r="FC1129" s="42"/>
      <c r="GH1129" s="42"/>
      <c r="HM1129" s="42"/>
      <c r="IR1129" s="42"/>
      <c r="JW1129" s="42"/>
      <c r="LB1129" s="42"/>
      <c r="MG1129" s="42"/>
      <c r="NL1129" s="42"/>
    </row>
    <row r="1130" ht="15.75" customHeight="1">
      <c r="A1130" s="42"/>
      <c r="D1130" s="38">
        <f t="shared" si="1407"/>
        <v>46049</v>
      </c>
      <c r="E1130" s="31" t="str">
        <f t="shared" ref="E1130:I1130" si="1413">NR14</f>
        <v/>
      </c>
      <c r="F1130" s="31" t="str">
        <f t="shared" si="1413"/>
        <v/>
      </c>
      <c r="G1130" s="31" t="str">
        <f t="shared" si="1413"/>
        <v/>
      </c>
      <c r="H1130" s="13" t="str">
        <f t="shared" si="1413"/>
        <v/>
      </c>
      <c r="I1130" s="13" t="str">
        <f t="shared" si="1413"/>
        <v/>
      </c>
      <c r="J1130" s="107" t="str">
        <f t="array" ref="J1130">IFERROR(IF(XLOOKUP(CONCAT(E1130,F1130),'MASTER PLAN'!$AB:$AB,'MASTER PLAN'!$M:$M,0,0)=0,"",XLOOKUP(CONCAT(E1130,F1130),'MASTER PLAN'!$AB:$AB,'MASTER PLAN'!$M:$M,0,0)),"")</f>
        <v/>
      </c>
      <c r="K1130" s="107">
        <f t="shared" si="237"/>
        <v>0</v>
      </c>
      <c r="L1130" s="107">
        <f t="shared" si="238"/>
        <v>0</v>
      </c>
      <c r="M1130" s="105" t="s">
        <v>248</v>
      </c>
      <c r="AI1130" s="42"/>
      <c r="BN1130" s="42"/>
      <c r="CS1130" s="42"/>
      <c r="DX1130" s="42"/>
      <c r="FC1130" s="42"/>
      <c r="GH1130" s="42"/>
      <c r="HM1130" s="42"/>
      <c r="IR1130" s="42"/>
      <c r="JW1130" s="42"/>
      <c r="LB1130" s="42"/>
      <c r="MG1130" s="42"/>
      <c r="NL1130" s="42"/>
    </row>
    <row r="1131" ht="15.75" customHeight="1">
      <c r="A1131" s="42"/>
      <c r="D1131" s="38">
        <f t="shared" si="1407"/>
        <v>46049</v>
      </c>
      <c r="E1131" s="31" t="str">
        <f t="shared" ref="E1131:I1131" si="1414">NR15</f>
        <v/>
      </c>
      <c r="F1131" s="31" t="str">
        <f t="shared" si="1414"/>
        <v/>
      </c>
      <c r="G1131" s="31" t="str">
        <f t="shared" si="1414"/>
        <v/>
      </c>
      <c r="H1131" s="13" t="str">
        <f t="shared" si="1414"/>
        <v/>
      </c>
      <c r="I1131" s="13" t="str">
        <f t="shared" si="1414"/>
        <v/>
      </c>
      <c r="J1131" s="107" t="str">
        <f t="array" ref="J1131">IFERROR(IF(XLOOKUP(CONCAT(E1131,F1131),'MASTER PLAN'!$AB:$AB,'MASTER PLAN'!$M:$M,0,0)=0,"",XLOOKUP(CONCAT(E1131,F1131),'MASTER PLAN'!$AB:$AB,'MASTER PLAN'!$M:$M,0,0)),"")</f>
        <v/>
      </c>
      <c r="K1131" s="107">
        <f t="shared" si="237"/>
        <v>0</v>
      </c>
      <c r="L1131" s="107">
        <f t="shared" si="238"/>
        <v>0</v>
      </c>
      <c r="M1131" s="105" t="s">
        <v>248</v>
      </c>
      <c r="AI1131" s="42"/>
      <c r="BN1131" s="42"/>
      <c r="CS1131" s="42"/>
      <c r="DX1131" s="42"/>
      <c r="FC1131" s="42"/>
      <c r="GH1131" s="42"/>
      <c r="HM1131" s="42"/>
      <c r="IR1131" s="42"/>
      <c r="JW1131" s="42"/>
      <c r="LB1131" s="42"/>
      <c r="MG1131" s="42"/>
      <c r="NL1131" s="42"/>
    </row>
    <row r="1132" ht="15.75" customHeight="1">
      <c r="A1132" s="42"/>
      <c r="D1132" s="38">
        <f t="shared" si="1407"/>
        <v>46049</v>
      </c>
      <c r="E1132" s="31" t="str">
        <f t="shared" ref="E1132:I1132" si="1415">NR16</f>
        <v/>
      </c>
      <c r="F1132" s="31" t="str">
        <f t="shared" si="1415"/>
        <v/>
      </c>
      <c r="G1132" s="31" t="str">
        <f t="shared" si="1415"/>
        <v/>
      </c>
      <c r="H1132" s="13" t="str">
        <f t="shared" si="1415"/>
        <v/>
      </c>
      <c r="I1132" s="13" t="str">
        <f t="shared" si="1415"/>
        <v/>
      </c>
      <c r="J1132" s="107" t="str">
        <f t="array" ref="J1132">IFERROR(IF(XLOOKUP(CONCAT(E1132,F1132),'MASTER PLAN'!$AB:$AB,'MASTER PLAN'!$M:$M,0,0)=0,"",XLOOKUP(CONCAT(E1132,F1132),'MASTER PLAN'!$AB:$AB,'MASTER PLAN'!$M:$M,0,0)),"")</f>
        <v/>
      </c>
      <c r="K1132" s="107">
        <f t="shared" si="237"/>
        <v>0</v>
      </c>
      <c r="L1132" s="107">
        <f t="shared" si="238"/>
        <v>0</v>
      </c>
      <c r="M1132" s="105" t="s">
        <v>248</v>
      </c>
      <c r="AI1132" s="42"/>
      <c r="BN1132" s="42"/>
      <c r="CS1132" s="42"/>
      <c r="DX1132" s="42"/>
      <c r="FC1132" s="42"/>
      <c r="GH1132" s="42"/>
      <c r="HM1132" s="42"/>
      <c r="IR1132" s="42"/>
      <c r="JW1132" s="42"/>
      <c r="LB1132" s="42"/>
      <c r="MG1132" s="42"/>
      <c r="NL1132" s="42"/>
    </row>
    <row r="1133" ht="15.75" customHeight="1">
      <c r="A1133" s="42"/>
      <c r="D1133" s="38">
        <f t="shared" si="1407"/>
        <v>46049</v>
      </c>
      <c r="E1133" s="31" t="str">
        <f t="shared" ref="E1133:I1133" si="1416">NR20</f>
        <v/>
      </c>
      <c r="F1133" s="31" t="str">
        <f t="shared" si="1416"/>
        <v/>
      </c>
      <c r="G1133" s="31" t="str">
        <f t="shared" si="1416"/>
        <v/>
      </c>
      <c r="H1133" s="13" t="str">
        <f t="shared" si="1416"/>
        <v/>
      </c>
      <c r="I1133" s="13" t="str">
        <f t="shared" si="1416"/>
        <v/>
      </c>
      <c r="J1133" s="107" t="str">
        <f t="array" ref="J1133">IFERROR(IF(XLOOKUP(CONCAT(E1133,F1133),'MASTER PLAN'!$AB:$AB,'MASTER PLAN'!$M:$M,0,0)=0,"",XLOOKUP(CONCAT(E1133,F1133),'MASTER PLAN'!$AB:$AB,'MASTER PLAN'!$M:$M,0,0)),"")</f>
        <v/>
      </c>
      <c r="K1133" s="107">
        <f t="shared" si="237"/>
        <v>0</v>
      </c>
      <c r="L1133" s="107">
        <f t="shared" si="238"/>
        <v>0</v>
      </c>
      <c r="M1133" s="105" t="s">
        <v>249</v>
      </c>
      <c r="AI1133" s="42"/>
      <c r="BN1133" s="42"/>
      <c r="CS1133" s="42"/>
      <c r="DX1133" s="42"/>
      <c r="FC1133" s="42"/>
      <c r="GH1133" s="42"/>
      <c r="HM1133" s="42"/>
      <c r="IR1133" s="42"/>
      <c r="JW1133" s="42"/>
      <c r="LB1133" s="42"/>
      <c r="MG1133" s="42"/>
      <c r="NL1133" s="42"/>
    </row>
    <row r="1134" ht="15.75" customHeight="1">
      <c r="A1134" s="42"/>
      <c r="D1134" s="38">
        <f t="shared" si="1407"/>
        <v>46049</v>
      </c>
      <c r="E1134" s="31" t="str">
        <f t="shared" ref="E1134:I1134" si="1417">NR21</f>
        <v/>
      </c>
      <c r="F1134" s="31" t="str">
        <f t="shared" si="1417"/>
        <v/>
      </c>
      <c r="G1134" s="31" t="str">
        <f t="shared" si="1417"/>
        <v/>
      </c>
      <c r="H1134" s="13" t="str">
        <f t="shared" si="1417"/>
        <v/>
      </c>
      <c r="I1134" s="13" t="str">
        <f t="shared" si="1417"/>
        <v/>
      </c>
      <c r="J1134" s="107" t="str">
        <f t="array" ref="J1134">IFERROR(IF(XLOOKUP(CONCAT(E1134,F1134),'MASTER PLAN'!$AB:$AB,'MASTER PLAN'!$M:$M,0,0)=0,"",XLOOKUP(CONCAT(E1134,F1134),'MASTER PLAN'!$AB:$AB,'MASTER PLAN'!$M:$M,0,0)),"")</f>
        <v/>
      </c>
      <c r="K1134" s="107">
        <f t="shared" si="237"/>
        <v>0</v>
      </c>
      <c r="L1134" s="107">
        <f t="shared" si="238"/>
        <v>0</v>
      </c>
      <c r="M1134" s="105" t="s">
        <v>249</v>
      </c>
      <c r="AI1134" s="42"/>
      <c r="BN1134" s="42"/>
      <c r="CS1134" s="42"/>
      <c r="DX1134" s="42"/>
      <c r="FC1134" s="42"/>
      <c r="GH1134" s="42"/>
      <c r="HM1134" s="42"/>
      <c r="IR1134" s="42"/>
      <c r="JW1134" s="42"/>
      <c r="LB1134" s="42"/>
      <c r="MG1134" s="42"/>
      <c r="NL1134" s="42"/>
    </row>
    <row r="1135" ht="15.75" customHeight="1">
      <c r="A1135" s="42"/>
      <c r="D1135" s="38">
        <f t="shared" si="1407"/>
        <v>46049</v>
      </c>
      <c r="E1135" s="31" t="str">
        <f t="shared" ref="E1135:I1135" si="1418">NR22</f>
        <v/>
      </c>
      <c r="F1135" s="31" t="str">
        <f t="shared" si="1418"/>
        <v/>
      </c>
      <c r="G1135" s="31" t="str">
        <f t="shared" si="1418"/>
        <v/>
      </c>
      <c r="H1135" s="13" t="str">
        <f t="shared" si="1418"/>
        <v/>
      </c>
      <c r="I1135" s="13" t="str">
        <f t="shared" si="1418"/>
        <v/>
      </c>
      <c r="J1135" s="107" t="str">
        <f t="array" ref="J1135">IFERROR(IF(XLOOKUP(CONCAT(E1135,F1135),'MASTER PLAN'!$AB:$AB,'MASTER PLAN'!$M:$M,0,0)=0,"",XLOOKUP(CONCAT(E1135,F1135),'MASTER PLAN'!$AB:$AB,'MASTER PLAN'!$M:$M,0,0)),"")</f>
        <v/>
      </c>
      <c r="K1135" s="107">
        <f t="shared" si="237"/>
        <v>0</v>
      </c>
      <c r="L1135" s="107">
        <f t="shared" si="238"/>
        <v>0</v>
      </c>
      <c r="M1135" s="105" t="s">
        <v>249</v>
      </c>
      <c r="AI1135" s="42"/>
      <c r="BN1135" s="42"/>
      <c r="CS1135" s="42"/>
      <c r="DX1135" s="42"/>
      <c r="FC1135" s="42"/>
      <c r="GH1135" s="42"/>
      <c r="HM1135" s="42"/>
      <c r="IR1135" s="42"/>
      <c r="JW1135" s="42"/>
      <c r="LB1135" s="42"/>
      <c r="MG1135" s="42"/>
      <c r="NL1135" s="42"/>
    </row>
    <row r="1136" ht="15.75" customHeight="1">
      <c r="A1136" s="42"/>
      <c r="D1136" s="38">
        <f t="shared" si="1407"/>
        <v>46049</v>
      </c>
      <c r="E1136" s="31" t="str">
        <f t="shared" ref="E1136:I1136" si="1419">NR23</f>
        <v/>
      </c>
      <c r="F1136" s="31" t="str">
        <f t="shared" si="1419"/>
        <v/>
      </c>
      <c r="G1136" s="31" t="str">
        <f t="shared" si="1419"/>
        <v/>
      </c>
      <c r="H1136" s="13" t="str">
        <f t="shared" si="1419"/>
        <v/>
      </c>
      <c r="I1136" s="13" t="str">
        <f t="shared" si="1419"/>
        <v/>
      </c>
      <c r="J1136" s="107" t="str">
        <f t="array" ref="J1136">IFERROR(IF(XLOOKUP(CONCAT(E1136,F1136),'MASTER PLAN'!$AB:$AB,'MASTER PLAN'!$M:$M,0,0)=0,"",XLOOKUP(CONCAT(E1136,F1136),'MASTER PLAN'!$AB:$AB,'MASTER PLAN'!$M:$M,0,0)),"")</f>
        <v/>
      </c>
      <c r="K1136" s="107">
        <f t="shared" si="237"/>
        <v>0</v>
      </c>
      <c r="L1136" s="107">
        <f t="shared" si="238"/>
        <v>0</v>
      </c>
      <c r="M1136" s="105" t="s">
        <v>249</v>
      </c>
      <c r="AI1136" s="42"/>
      <c r="BN1136" s="42"/>
      <c r="CS1136" s="42"/>
      <c r="DX1136" s="42"/>
      <c r="FC1136" s="42"/>
      <c r="GH1136" s="42"/>
      <c r="HM1136" s="42"/>
      <c r="IR1136" s="42"/>
      <c r="JW1136" s="42"/>
      <c r="LB1136" s="42"/>
      <c r="MG1136" s="42"/>
      <c r="NL1136" s="42"/>
    </row>
    <row r="1137" ht="15.75" customHeight="1">
      <c r="A1137" s="42"/>
      <c r="D1137" s="38">
        <f t="shared" si="1407"/>
        <v>46049</v>
      </c>
      <c r="E1137" s="31" t="str">
        <f t="shared" ref="E1137:I1137" si="1420">NR24</f>
        <v/>
      </c>
      <c r="F1137" s="31" t="str">
        <f t="shared" si="1420"/>
        <v/>
      </c>
      <c r="G1137" s="31" t="str">
        <f t="shared" si="1420"/>
        <v/>
      </c>
      <c r="H1137" s="13" t="str">
        <f t="shared" si="1420"/>
        <v/>
      </c>
      <c r="I1137" s="13" t="str">
        <f t="shared" si="1420"/>
        <v/>
      </c>
      <c r="J1137" s="107" t="str">
        <f t="array" ref="J1137">IFERROR(IF(XLOOKUP(CONCAT(E1137,F1137),'MASTER PLAN'!$AB:$AB,'MASTER PLAN'!$M:$M,0,0)=0,"",XLOOKUP(CONCAT(E1137,F1137),'MASTER PLAN'!$AB:$AB,'MASTER PLAN'!$M:$M,0,0)),"")</f>
        <v/>
      </c>
      <c r="K1137" s="107">
        <f t="shared" si="237"/>
        <v>0</v>
      </c>
      <c r="L1137" s="107">
        <f t="shared" si="238"/>
        <v>0</v>
      </c>
      <c r="M1137" s="105" t="s">
        <v>249</v>
      </c>
      <c r="AI1137" s="42"/>
      <c r="BN1137" s="42"/>
      <c r="CS1137" s="42"/>
      <c r="DX1137" s="42"/>
      <c r="FC1137" s="42"/>
      <c r="GH1137" s="42"/>
      <c r="HM1137" s="42"/>
      <c r="IR1137" s="42"/>
      <c r="JW1137" s="42"/>
      <c r="LB1137" s="42"/>
      <c r="MG1137" s="42"/>
      <c r="NL1137" s="42"/>
    </row>
    <row r="1138" ht="15.75" customHeight="1">
      <c r="A1138" s="42"/>
      <c r="D1138" s="38">
        <f>NW2</f>
        <v>46050</v>
      </c>
      <c r="E1138" s="31" t="str">
        <f t="shared" ref="E1138:I1138" si="1421">NW4</f>
        <v/>
      </c>
      <c r="F1138" s="31" t="str">
        <f t="shared" si="1421"/>
        <v/>
      </c>
      <c r="G1138" s="31" t="str">
        <f t="shared" si="1421"/>
        <v/>
      </c>
      <c r="H1138" s="13" t="str">
        <f t="shared" si="1421"/>
        <v/>
      </c>
      <c r="I1138" s="13" t="str">
        <f t="shared" si="1421"/>
        <v/>
      </c>
      <c r="J1138" s="107" t="str">
        <f t="array" ref="J1138">IFERROR(IF(XLOOKUP(CONCAT(E1138,F1138),'MASTER PLAN'!$AB:$AB,'MASTER PLAN'!$M:$M,0,0)=0,"",XLOOKUP(CONCAT(E1138,F1138),'MASTER PLAN'!$AB:$AB,'MASTER PLAN'!$M:$M,0,0)),"")</f>
        <v/>
      </c>
      <c r="K1138" s="107">
        <f t="shared" si="237"/>
        <v>0</v>
      </c>
      <c r="L1138" s="107">
        <f t="shared" si="238"/>
        <v>0</v>
      </c>
      <c r="M1138" s="105" t="s">
        <v>246</v>
      </c>
      <c r="AI1138" s="42"/>
      <c r="BN1138" s="42"/>
      <c r="CS1138" s="42"/>
      <c r="DX1138" s="42"/>
      <c r="FC1138" s="42"/>
      <c r="GH1138" s="42"/>
      <c r="HM1138" s="42"/>
      <c r="IR1138" s="42"/>
      <c r="JW1138" s="42"/>
      <c r="LB1138" s="42"/>
      <c r="MG1138" s="42"/>
      <c r="NL1138" s="42"/>
    </row>
    <row r="1139" ht="15.75" customHeight="1">
      <c r="A1139" s="42"/>
      <c r="D1139" s="38">
        <f t="shared" ref="D1139:D1152" si="1423">D1138</f>
        <v>46050</v>
      </c>
      <c r="E1139" s="31" t="str">
        <f t="shared" ref="E1139:I1139" si="1422">NW5</f>
        <v/>
      </c>
      <c r="F1139" s="31" t="str">
        <f t="shared" si="1422"/>
        <v/>
      </c>
      <c r="G1139" s="31" t="str">
        <f t="shared" si="1422"/>
        <v/>
      </c>
      <c r="H1139" s="13" t="str">
        <f t="shared" si="1422"/>
        <v/>
      </c>
      <c r="I1139" s="13" t="str">
        <f t="shared" si="1422"/>
        <v/>
      </c>
      <c r="J1139" s="107" t="str">
        <f t="array" ref="J1139">IFERROR(IF(XLOOKUP(CONCAT(E1139,F1139),'MASTER PLAN'!$AB:$AB,'MASTER PLAN'!$M:$M,0,0)=0,"",XLOOKUP(CONCAT(E1139,F1139),'MASTER PLAN'!$AB:$AB,'MASTER PLAN'!$M:$M,0,0)),"")</f>
        <v/>
      </c>
      <c r="K1139" s="107">
        <f t="shared" si="237"/>
        <v>0</v>
      </c>
      <c r="L1139" s="107">
        <f t="shared" si="238"/>
        <v>0</v>
      </c>
      <c r="M1139" s="105" t="s">
        <v>246</v>
      </c>
      <c r="AI1139" s="42"/>
      <c r="BN1139" s="42"/>
      <c r="CS1139" s="42"/>
      <c r="DX1139" s="42"/>
      <c r="FC1139" s="42"/>
      <c r="GH1139" s="42"/>
      <c r="HM1139" s="42"/>
      <c r="IR1139" s="42"/>
      <c r="JW1139" s="42"/>
      <c r="LB1139" s="42"/>
      <c r="MG1139" s="42"/>
      <c r="NL1139" s="42"/>
    </row>
    <row r="1140" ht="15.75" customHeight="1">
      <c r="A1140" s="42"/>
      <c r="D1140" s="38">
        <f t="shared" si="1423"/>
        <v>46050</v>
      </c>
      <c r="E1140" s="31" t="str">
        <f t="shared" ref="E1140:I1140" si="1424">NW6</f>
        <v/>
      </c>
      <c r="F1140" s="31" t="str">
        <f t="shared" si="1424"/>
        <v/>
      </c>
      <c r="G1140" s="31" t="str">
        <f t="shared" si="1424"/>
        <v/>
      </c>
      <c r="H1140" s="13" t="str">
        <f t="shared" si="1424"/>
        <v/>
      </c>
      <c r="I1140" s="13" t="str">
        <f t="shared" si="1424"/>
        <v/>
      </c>
      <c r="J1140" s="107" t="str">
        <f t="array" ref="J1140">IFERROR(IF(XLOOKUP(CONCAT(E1140,F1140),'MASTER PLAN'!$AB:$AB,'MASTER PLAN'!$M:$M,0,0)=0,"",XLOOKUP(CONCAT(E1140,F1140),'MASTER PLAN'!$AB:$AB,'MASTER PLAN'!$M:$M,0,0)),"")</f>
        <v/>
      </c>
      <c r="K1140" s="107">
        <f t="shared" si="237"/>
        <v>0</v>
      </c>
      <c r="L1140" s="107">
        <f t="shared" si="238"/>
        <v>0</v>
      </c>
      <c r="M1140" s="105" t="s">
        <v>246</v>
      </c>
      <c r="AI1140" s="42"/>
      <c r="BN1140" s="42"/>
      <c r="CS1140" s="42"/>
      <c r="DX1140" s="42"/>
      <c r="FC1140" s="42"/>
      <c r="GH1140" s="42"/>
      <c r="HM1140" s="42"/>
      <c r="IR1140" s="42"/>
      <c r="JW1140" s="42"/>
      <c r="LB1140" s="42"/>
      <c r="MG1140" s="42"/>
      <c r="NL1140" s="42"/>
    </row>
    <row r="1141" ht="15.75" customHeight="1">
      <c r="A1141" s="42"/>
      <c r="D1141" s="38">
        <f t="shared" si="1423"/>
        <v>46050</v>
      </c>
      <c r="E1141" s="31" t="str">
        <f t="shared" ref="E1141:I1141" si="1425">NW7</f>
        <v/>
      </c>
      <c r="F1141" s="31" t="str">
        <f t="shared" si="1425"/>
        <v/>
      </c>
      <c r="G1141" s="31" t="str">
        <f t="shared" si="1425"/>
        <v/>
      </c>
      <c r="H1141" s="13" t="str">
        <f t="shared" si="1425"/>
        <v/>
      </c>
      <c r="I1141" s="13" t="str">
        <f t="shared" si="1425"/>
        <v/>
      </c>
      <c r="J1141" s="107" t="str">
        <f t="array" ref="J1141">IFERROR(IF(XLOOKUP(CONCAT(E1141,F1141),'MASTER PLAN'!$AB:$AB,'MASTER PLAN'!$M:$M,0,0)=0,"",XLOOKUP(CONCAT(E1141,F1141),'MASTER PLAN'!$AB:$AB,'MASTER PLAN'!$M:$M,0,0)),"")</f>
        <v/>
      </c>
      <c r="K1141" s="107">
        <f t="shared" si="237"/>
        <v>0</v>
      </c>
      <c r="L1141" s="107">
        <f t="shared" si="238"/>
        <v>0</v>
      </c>
      <c r="M1141" s="105" t="s">
        <v>246</v>
      </c>
      <c r="AI1141" s="42"/>
      <c r="BN1141" s="42"/>
      <c r="CS1141" s="42"/>
      <c r="DX1141" s="42"/>
      <c r="FC1141" s="42"/>
      <c r="GH1141" s="42"/>
      <c r="HM1141" s="42"/>
      <c r="IR1141" s="42"/>
      <c r="JW1141" s="42"/>
      <c r="LB1141" s="42"/>
      <c r="MG1141" s="42"/>
      <c r="NL1141" s="42"/>
    </row>
    <row r="1142" ht="15.75" customHeight="1">
      <c r="A1142" s="42"/>
      <c r="D1142" s="38">
        <f t="shared" si="1423"/>
        <v>46050</v>
      </c>
      <c r="E1142" s="31" t="str">
        <f t="shared" ref="E1142:I1142" si="1426">NW8</f>
        <v/>
      </c>
      <c r="F1142" s="31" t="str">
        <f t="shared" si="1426"/>
        <v/>
      </c>
      <c r="G1142" s="31" t="str">
        <f t="shared" si="1426"/>
        <v/>
      </c>
      <c r="H1142" s="13" t="str">
        <f t="shared" si="1426"/>
        <v/>
      </c>
      <c r="I1142" s="13" t="str">
        <f t="shared" si="1426"/>
        <v/>
      </c>
      <c r="J1142" s="107" t="str">
        <f t="array" ref="J1142">IFERROR(IF(XLOOKUP(CONCAT(E1142,F1142),'MASTER PLAN'!$AB:$AB,'MASTER PLAN'!$M:$M,0,0)=0,"",XLOOKUP(CONCAT(E1142,F1142),'MASTER PLAN'!$AB:$AB,'MASTER PLAN'!$M:$M,0,0)),"")</f>
        <v/>
      </c>
      <c r="K1142" s="107">
        <f t="shared" si="237"/>
        <v>0</v>
      </c>
      <c r="L1142" s="107">
        <f t="shared" si="238"/>
        <v>0</v>
      </c>
      <c r="M1142" s="105" t="s">
        <v>246</v>
      </c>
      <c r="AI1142" s="42"/>
      <c r="BN1142" s="42"/>
      <c r="CS1142" s="42"/>
      <c r="DX1142" s="42"/>
      <c r="FC1142" s="42"/>
      <c r="GH1142" s="42"/>
      <c r="HM1142" s="42"/>
      <c r="IR1142" s="42"/>
      <c r="JW1142" s="42"/>
      <c r="LB1142" s="42"/>
      <c r="MG1142" s="42"/>
      <c r="NL1142" s="42"/>
    </row>
    <row r="1143" ht="15.75" customHeight="1">
      <c r="A1143" s="42"/>
      <c r="D1143" s="38">
        <f t="shared" si="1423"/>
        <v>46050</v>
      </c>
      <c r="E1143" s="31" t="str">
        <f t="shared" ref="E1143:I1143" si="1427">NW12</f>
        <v/>
      </c>
      <c r="F1143" s="31" t="str">
        <f t="shared" si="1427"/>
        <v/>
      </c>
      <c r="G1143" s="31" t="str">
        <f t="shared" si="1427"/>
        <v/>
      </c>
      <c r="H1143" s="13" t="str">
        <f t="shared" si="1427"/>
        <v/>
      </c>
      <c r="I1143" s="13" t="str">
        <f t="shared" si="1427"/>
        <v/>
      </c>
      <c r="J1143" s="107" t="str">
        <f t="array" ref="J1143">IFERROR(IF(XLOOKUP(CONCAT(E1143,F1143),'MASTER PLAN'!$AB:$AB,'MASTER PLAN'!$M:$M,0,0)=0,"",XLOOKUP(CONCAT(E1143,F1143),'MASTER PLAN'!$AB:$AB,'MASTER PLAN'!$M:$M,0,0)),"")</f>
        <v/>
      </c>
      <c r="K1143" s="107">
        <f t="shared" si="237"/>
        <v>0</v>
      </c>
      <c r="L1143" s="107">
        <f t="shared" si="238"/>
        <v>0</v>
      </c>
      <c r="M1143" s="105" t="s">
        <v>248</v>
      </c>
      <c r="AI1143" s="42"/>
      <c r="BN1143" s="42"/>
      <c r="CS1143" s="42"/>
      <c r="DX1143" s="42"/>
      <c r="FC1143" s="42"/>
      <c r="GH1143" s="42"/>
      <c r="HM1143" s="42"/>
      <c r="IR1143" s="42"/>
      <c r="JW1143" s="42"/>
      <c r="LB1143" s="42"/>
      <c r="MG1143" s="42"/>
      <c r="NL1143" s="42"/>
    </row>
    <row r="1144" ht="15.75" customHeight="1">
      <c r="A1144" s="42"/>
      <c r="D1144" s="38">
        <f t="shared" si="1423"/>
        <v>46050</v>
      </c>
      <c r="E1144" s="31" t="str">
        <f t="shared" ref="E1144:I1144" si="1428">NW13</f>
        <v/>
      </c>
      <c r="F1144" s="31" t="str">
        <f t="shared" si="1428"/>
        <v/>
      </c>
      <c r="G1144" s="31" t="str">
        <f t="shared" si="1428"/>
        <v/>
      </c>
      <c r="H1144" s="13" t="str">
        <f t="shared" si="1428"/>
        <v/>
      </c>
      <c r="I1144" s="13" t="str">
        <f t="shared" si="1428"/>
        <v/>
      </c>
      <c r="J1144" s="107" t="str">
        <f t="array" ref="J1144">IFERROR(IF(XLOOKUP(CONCAT(E1144,F1144),'MASTER PLAN'!$AB:$AB,'MASTER PLAN'!$M:$M,0,0)=0,"",XLOOKUP(CONCAT(E1144,F1144),'MASTER PLAN'!$AB:$AB,'MASTER PLAN'!$M:$M,0,0)),"")</f>
        <v/>
      </c>
      <c r="K1144" s="107">
        <f t="shared" si="237"/>
        <v>0</v>
      </c>
      <c r="L1144" s="107">
        <f t="shared" si="238"/>
        <v>0</v>
      </c>
      <c r="M1144" s="105" t="s">
        <v>248</v>
      </c>
      <c r="AI1144" s="42"/>
      <c r="BN1144" s="42"/>
      <c r="CS1144" s="42"/>
      <c r="DX1144" s="42"/>
      <c r="FC1144" s="42"/>
      <c r="GH1144" s="42"/>
      <c r="HM1144" s="42"/>
      <c r="IR1144" s="42"/>
      <c r="JW1144" s="42"/>
      <c r="LB1144" s="42"/>
      <c r="MG1144" s="42"/>
      <c r="NL1144" s="42"/>
    </row>
    <row r="1145" ht="15.75" customHeight="1">
      <c r="A1145" s="42"/>
      <c r="D1145" s="38">
        <f t="shared" si="1423"/>
        <v>46050</v>
      </c>
      <c r="E1145" s="31" t="str">
        <f t="shared" ref="E1145:I1145" si="1429">NW14</f>
        <v/>
      </c>
      <c r="F1145" s="31" t="str">
        <f t="shared" si="1429"/>
        <v/>
      </c>
      <c r="G1145" s="31" t="str">
        <f t="shared" si="1429"/>
        <v/>
      </c>
      <c r="H1145" s="13" t="str">
        <f t="shared" si="1429"/>
        <v/>
      </c>
      <c r="I1145" s="13" t="str">
        <f t="shared" si="1429"/>
        <v/>
      </c>
      <c r="J1145" s="107" t="str">
        <f t="array" ref="J1145">IFERROR(IF(XLOOKUP(CONCAT(E1145,F1145),'MASTER PLAN'!$AB:$AB,'MASTER PLAN'!$M:$M,0,0)=0,"",XLOOKUP(CONCAT(E1145,F1145),'MASTER PLAN'!$AB:$AB,'MASTER PLAN'!$M:$M,0,0)),"")</f>
        <v/>
      </c>
      <c r="K1145" s="107">
        <f t="shared" si="237"/>
        <v>0</v>
      </c>
      <c r="L1145" s="107">
        <f t="shared" si="238"/>
        <v>0</v>
      </c>
      <c r="M1145" s="105" t="s">
        <v>248</v>
      </c>
      <c r="AI1145" s="42"/>
      <c r="BN1145" s="42"/>
      <c r="CS1145" s="42"/>
      <c r="DX1145" s="42"/>
      <c r="FC1145" s="42"/>
      <c r="GH1145" s="42"/>
      <c r="HM1145" s="42"/>
      <c r="IR1145" s="42"/>
      <c r="JW1145" s="42"/>
      <c r="LB1145" s="42"/>
      <c r="MG1145" s="42"/>
      <c r="NL1145" s="42"/>
    </row>
    <row r="1146" ht="15.75" customHeight="1">
      <c r="A1146" s="42"/>
      <c r="D1146" s="38">
        <f t="shared" si="1423"/>
        <v>46050</v>
      </c>
      <c r="E1146" s="31" t="str">
        <f t="shared" ref="E1146:I1146" si="1430">NW15</f>
        <v/>
      </c>
      <c r="F1146" s="31" t="str">
        <f t="shared" si="1430"/>
        <v/>
      </c>
      <c r="G1146" s="31" t="str">
        <f t="shared" si="1430"/>
        <v/>
      </c>
      <c r="H1146" s="13" t="str">
        <f t="shared" si="1430"/>
        <v/>
      </c>
      <c r="I1146" s="13" t="str">
        <f t="shared" si="1430"/>
        <v/>
      </c>
      <c r="J1146" s="107" t="str">
        <f t="array" ref="J1146">IFERROR(IF(XLOOKUP(CONCAT(E1146,F1146),'MASTER PLAN'!$AB:$AB,'MASTER PLAN'!$M:$M,0,0)=0,"",XLOOKUP(CONCAT(E1146,F1146),'MASTER PLAN'!$AB:$AB,'MASTER PLAN'!$M:$M,0,0)),"")</f>
        <v/>
      </c>
      <c r="K1146" s="107">
        <f t="shared" si="237"/>
        <v>0</v>
      </c>
      <c r="L1146" s="107">
        <f t="shared" si="238"/>
        <v>0</v>
      </c>
      <c r="M1146" s="105" t="s">
        <v>248</v>
      </c>
      <c r="AI1146" s="42"/>
      <c r="BN1146" s="42"/>
      <c r="CS1146" s="42"/>
      <c r="DX1146" s="42"/>
      <c r="FC1146" s="42"/>
      <c r="GH1146" s="42"/>
      <c r="HM1146" s="42"/>
      <c r="IR1146" s="42"/>
      <c r="JW1146" s="42"/>
      <c r="LB1146" s="42"/>
      <c r="MG1146" s="42"/>
      <c r="NL1146" s="42"/>
    </row>
    <row r="1147" ht="15.75" customHeight="1">
      <c r="A1147" s="42"/>
      <c r="D1147" s="38">
        <f t="shared" si="1423"/>
        <v>46050</v>
      </c>
      <c r="E1147" s="31" t="str">
        <f t="shared" ref="E1147:I1147" si="1431">NW16</f>
        <v/>
      </c>
      <c r="F1147" s="31" t="str">
        <f t="shared" si="1431"/>
        <v/>
      </c>
      <c r="G1147" s="31" t="str">
        <f t="shared" si="1431"/>
        <v/>
      </c>
      <c r="H1147" s="13" t="str">
        <f t="shared" si="1431"/>
        <v/>
      </c>
      <c r="I1147" s="13" t="str">
        <f t="shared" si="1431"/>
        <v/>
      </c>
      <c r="J1147" s="107" t="str">
        <f t="array" ref="J1147">IFERROR(IF(XLOOKUP(CONCAT(E1147,F1147),'MASTER PLAN'!$AB:$AB,'MASTER PLAN'!$M:$M,0,0)=0,"",XLOOKUP(CONCAT(E1147,F1147),'MASTER PLAN'!$AB:$AB,'MASTER PLAN'!$M:$M,0,0)),"")</f>
        <v/>
      </c>
      <c r="K1147" s="107">
        <f t="shared" si="237"/>
        <v>0</v>
      </c>
      <c r="L1147" s="107">
        <f t="shared" si="238"/>
        <v>0</v>
      </c>
      <c r="M1147" s="105" t="s">
        <v>248</v>
      </c>
      <c r="AI1147" s="42"/>
      <c r="BN1147" s="42"/>
      <c r="CS1147" s="42"/>
      <c r="DX1147" s="42"/>
      <c r="FC1147" s="42"/>
      <c r="GH1147" s="42"/>
      <c r="HM1147" s="42"/>
      <c r="IR1147" s="42"/>
      <c r="JW1147" s="42"/>
      <c r="LB1147" s="42"/>
      <c r="MG1147" s="42"/>
      <c r="NL1147" s="42"/>
    </row>
    <row r="1148" ht="15.75" customHeight="1">
      <c r="A1148" s="42"/>
      <c r="D1148" s="38">
        <f t="shared" si="1423"/>
        <v>46050</v>
      </c>
      <c r="E1148" s="31" t="str">
        <f t="shared" ref="E1148:I1148" si="1432">NW20</f>
        <v/>
      </c>
      <c r="F1148" s="31" t="str">
        <f t="shared" si="1432"/>
        <v/>
      </c>
      <c r="G1148" s="31" t="str">
        <f t="shared" si="1432"/>
        <v/>
      </c>
      <c r="H1148" s="13" t="str">
        <f t="shared" si="1432"/>
        <v/>
      </c>
      <c r="I1148" s="13" t="str">
        <f t="shared" si="1432"/>
        <v/>
      </c>
      <c r="J1148" s="107" t="str">
        <f t="array" ref="J1148">IFERROR(IF(XLOOKUP(CONCAT(E1148,F1148),'MASTER PLAN'!$AB:$AB,'MASTER PLAN'!$M:$M,0,0)=0,"",XLOOKUP(CONCAT(E1148,F1148),'MASTER PLAN'!$AB:$AB,'MASTER PLAN'!$M:$M,0,0)),"")</f>
        <v/>
      </c>
      <c r="K1148" s="107">
        <f t="shared" si="237"/>
        <v>0</v>
      </c>
      <c r="L1148" s="107">
        <f t="shared" si="238"/>
        <v>0</v>
      </c>
      <c r="M1148" s="105" t="s">
        <v>249</v>
      </c>
      <c r="AI1148" s="42"/>
      <c r="BN1148" s="42"/>
      <c r="CS1148" s="42"/>
      <c r="DX1148" s="42"/>
      <c r="FC1148" s="42"/>
      <c r="GH1148" s="42"/>
      <c r="HM1148" s="42"/>
      <c r="IR1148" s="42"/>
      <c r="JW1148" s="42"/>
      <c r="LB1148" s="42"/>
      <c r="MG1148" s="42"/>
      <c r="NL1148" s="42"/>
    </row>
    <row r="1149" ht="15.75" customHeight="1">
      <c r="A1149" s="42"/>
      <c r="D1149" s="38">
        <f t="shared" si="1423"/>
        <v>46050</v>
      </c>
      <c r="E1149" s="31" t="str">
        <f t="shared" ref="E1149:I1149" si="1433">NW21</f>
        <v/>
      </c>
      <c r="F1149" s="31" t="str">
        <f t="shared" si="1433"/>
        <v/>
      </c>
      <c r="G1149" s="31" t="str">
        <f t="shared" si="1433"/>
        <v/>
      </c>
      <c r="H1149" s="13" t="str">
        <f t="shared" si="1433"/>
        <v/>
      </c>
      <c r="I1149" s="13" t="str">
        <f t="shared" si="1433"/>
        <v/>
      </c>
      <c r="J1149" s="107" t="str">
        <f t="array" ref="J1149">IFERROR(IF(XLOOKUP(CONCAT(E1149,F1149),'MASTER PLAN'!$AB:$AB,'MASTER PLAN'!$M:$M,0,0)=0,"",XLOOKUP(CONCAT(E1149,F1149),'MASTER PLAN'!$AB:$AB,'MASTER PLAN'!$M:$M,0,0)),"")</f>
        <v/>
      </c>
      <c r="K1149" s="107">
        <f t="shared" si="237"/>
        <v>0</v>
      </c>
      <c r="L1149" s="107">
        <f t="shared" si="238"/>
        <v>0</v>
      </c>
      <c r="M1149" s="105" t="s">
        <v>249</v>
      </c>
      <c r="AI1149" s="42"/>
      <c r="BN1149" s="42"/>
      <c r="CS1149" s="42"/>
      <c r="DX1149" s="42"/>
      <c r="FC1149" s="42"/>
      <c r="GH1149" s="42"/>
      <c r="HM1149" s="42"/>
      <c r="IR1149" s="42"/>
      <c r="JW1149" s="42"/>
      <c r="LB1149" s="42"/>
      <c r="MG1149" s="42"/>
      <c r="NL1149" s="42"/>
    </row>
    <row r="1150" ht="15.75" customHeight="1">
      <c r="A1150" s="42"/>
      <c r="D1150" s="38">
        <f t="shared" si="1423"/>
        <v>46050</v>
      </c>
      <c r="E1150" s="31" t="str">
        <f t="shared" ref="E1150:I1150" si="1434">NW22</f>
        <v/>
      </c>
      <c r="F1150" s="31" t="str">
        <f t="shared" si="1434"/>
        <v/>
      </c>
      <c r="G1150" s="31" t="str">
        <f t="shared" si="1434"/>
        <v/>
      </c>
      <c r="H1150" s="13" t="str">
        <f t="shared" si="1434"/>
        <v/>
      </c>
      <c r="I1150" s="13" t="str">
        <f t="shared" si="1434"/>
        <v/>
      </c>
      <c r="J1150" s="107" t="str">
        <f t="array" ref="J1150">IFERROR(IF(XLOOKUP(CONCAT(E1150,F1150),'MASTER PLAN'!$AB:$AB,'MASTER PLAN'!$M:$M,0,0)=0,"",XLOOKUP(CONCAT(E1150,F1150),'MASTER PLAN'!$AB:$AB,'MASTER PLAN'!$M:$M,0,0)),"")</f>
        <v/>
      </c>
      <c r="K1150" s="107">
        <f t="shared" si="237"/>
        <v>0</v>
      </c>
      <c r="L1150" s="107">
        <f t="shared" si="238"/>
        <v>0</v>
      </c>
      <c r="M1150" s="105" t="s">
        <v>249</v>
      </c>
      <c r="AI1150" s="42"/>
      <c r="BN1150" s="42"/>
      <c r="CS1150" s="42"/>
      <c r="DX1150" s="42"/>
      <c r="FC1150" s="42"/>
      <c r="GH1150" s="42"/>
      <c r="HM1150" s="42"/>
      <c r="IR1150" s="42"/>
      <c r="JW1150" s="42"/>
      <c r="LB1150" s="42"/>
      <c r="MG1150" s="42"/>
      <c r="NL1150" s="42"/>
    </row>
    <row r="1151" ht="15.75" customHeight="1">
      <c r="A1151" s="42"/>
      <c r="D1151" s="38">
        <f t="shared" si="1423"/>
        <v>46050</v>
      </c>
      <c r="E1151" s="31" t="str">
        <f t="shared" ref="E1151:I1151" si="1435">NW23</f>
        <v/>
      </c>
      <c r="F1151" s="31" t="str">
        <f t="shared" si="1435"/>
        <v/>
      </c>
      <c r="G1151" s="31" t="str">
        <f t="shared" si="1435"/>
        <v/>
      </c>
      <c r="H1151" s="13" t="str">
        <f t="shared" si="1435"/>
        <v/>
      </c>
      <c r="I1151" s="13" t="str">
        <f t="shared" si="1435"/>
        <v/>
      </c>
      <c r="J1151" s="107" t="str">
        <f t="array" ref="J1151">IFERROR(IF(XLOOKUP(CONCAT(E1151,F1151),'MASTER PLAN'!$AB:$AB,'MASTER PLAN'!$M:$M,0,0)=0,"",XLOOKUP(CONCAT(E1151,F1151),'MASTER PLAN'!$AB:$AB,'MASTER PLAN'!$M:$M,0,0)),"")</f>
        <v/>
      </c>
      <c r="K1151" s="107">
        <f t="shared" si="237"/>
        <v>0</v>
      </c>
      <c r="L1151" s="107">
        <f t="shared" si="238"/>
        <v>0</v>
      </c>
      <c r="M1151" s="105" t="s">
        <v>249</v>
      </c>
      <c r="AI1151" s="42"/>
      <c r="BN1151" s="42"/>
      <c r="CS1151" s="42"/>
      <c r="DX1151" s="42"/>
      <c r="FC1151" s="42"/>
      <c r="GH1151" s="42"/>
      <c r="HM1151" s="42"/>
      <c r="IR1151" s="42"/>
      <c r="JW1151" s="42"/>
      <c r="LB1151" s="42"/>
      <c r="MG1151" s="42"/>
      <c r="NL1151" s="42"/>
    </row>
    <row r="1152" ht="15.75" customHeight="1">
      <c r="A1152" s="42"/>
      <c r="D1152" s="38">
        <f t="shared" si="1423"/>
        <v>46050</v>
      </c>
      <c r="E1152" s="31" t="str">
        <f t="shared" ref="E1152:I1152" si="1436">NW24</f>
        <v/>
      </c>
      <c r="F1152" s="31" t="str">
        <f t="shared" si="1436"/>
        <v/>
      </c>
      <c r="G1152" s="31" t="str">
        <f t="shared" si="1436"/>
        <v/>
      </c>
      <c r="H1152" s="13" t="str">
        <f t="shared" si="1436"/>
        <v/>
      </c>
      <c r="I1152" s="13" t="str">
        <f t="shared" si="1436"/>
        <v/>
      </c>
      <c r="J1152" s="107" t="str">
        <f t="array" ref="J1152">IFERROR(IF(XLOOKUP(CONCAT(E1152,F1152),'MASTER PLAN'!$AB:$AB,'MASTER PLAN'!$M:$M,0,0)=0,"",XLOOKUP(CONCAT(E1152,F1152),'MASTER PLAN'!$AB:$AB,'MASTER PLAN'!$M:$M,0,0)),"")</f>
        <v/>
      </c>
      <c r="K1152" s="107">
        <f t="shared" si="237"/>
        <v>0</v>
      </c>
      <c r="L1152" s="107">
        <f t="shared" si="238"/>
        <v>0</v>
      </c>
      <c r="M1152" s="105" t="s">
        <v>249</v>
      </c>
      <c r="AI1152" s="42"/>
      <c r="BN1152" s="42"/>
      <c r="CS1152" s="42"/>
      <c r="DX1152" s="42"/>
      <c r="FC1152" s="42"/>
      <c r="GH1152" s="42"/>
      <c r="HM1152" s="42"/>
      <c r="IR1152" s="42"/>
      <c r="JW1152" s="42"/>
      <c r="LB1152" s="42"/>
      <c r="MG1152" s="42"/>
      <c r="NL1152" s="42"/>
    </row>
    <row r="1153" ht="15.75" customHeight="1">
      <c r="A1153" s="42"/>
      <c r="D1153" s="38">
        <f>OB2</f>
        <v>46051</v>
      </c>
      <c r="E1153" s="31" t="str">
        <f t="shared" ref="E1153:I1153" si="1437">OB4</f>
        <v/>
      </c>
      <c r="F1153" s="31" t="str">
        <f t="shared" si="1437"/>
        <v/>
      </c>
      <c r="G1153" s="31" t="str">
        <f t="shared" si="1437"/>
        <v/>
      </c>
      <c r="H1153" s="13" t="str">
        <f t="shared" si="1437"/>
        <v/>
      </c>
      <c r="I1153" s="13" t="str">
        <f t="shared" si="1437"/>
        <v/>
      </c>
      <c r="J1153" s="107" t="str">
        <f t="array" ref="J1153">IFERROR(IF(XLOOKUP(CONCAT(E1153,F1153),'MASTER PLAN'!$AB:$AB,'MASTER PLAN'!$M:$M,0,0)=0,"",XLOOKUP(CONCAT(E1153,F1153),'MASTER PLAN'!$AB:$AB,'MASTER PLAN'!$M:$M,0,0)),"")</f>
        <v/>
      </c>
      <c r="K1153" s="107">
        <f t="shared" si="237"/>
        <v>0</v>
      </c>
      <c r="L1153" s="107">
        <f t="shared" si="238"/>
        <v>0</v>
      </c>
      <c r="M1153" s="105" t="s">
        <v>246</v>
      </c>
      <c r="AI1153" s="42"/>
      <c r="BN1153" s="42"/>
      <c r="CS1153" s="42"/>
      <c r="DX1153" s="42"/>
      <c r="FC1153" s="42"/>
      <c r="GH1153" s="42"/>
      <c r="HM1153" s="42"/>
      <c r="IR1153" s="42"/>
      <c r="JW1153" s="42"/>
      <c r="LB1153" s="42"/>
      <c r="MG1153" s="42"/>
      <c r="NL1153" s="42"/>
    </row>
    <row r="1154" ht="15.75" customHeight="1">
      <c r="A1154" s="42"/>
      <c r="D1154" s="38">
        <f t="shared" ref="D1154:D1167" si="1439">D1153</f>
        <v>46051</v>
      </c>
      <c r="E1154" s="31" t="str">
        <f t="shared" ref="E1154:I1154" si="1438">OB5</f>
        <v/>
      </c>
      <c r="F1154" s="31" t="str">
        <f t="shared" si="1438"/>
        <v/>
      </c>
      <c r="G1154" s="31" t="str">
        <f t="shared" si="1438"/>
        <v/>
      </c>
      <c r="H1154" s="13" t="str">
        <f t="shared" si="1438"/>
        <v/>
      </c>
      <c r="I1154" s="13" t="str">
        <f t="shared" si="1438"/>
        <v/>
      </c>
      <c r="J1154" s="107" t="str">
        <f t="array" ref="J1154">IFERROR(IF(XLOOKUP(CONCAT(E1154,F1154),'MASTER PLAN'!$AB:$AB,'MASTER PLAN'!$M:$M,0,0)=0,"",XLOOKUP(CONCAT(E1154,F1154),'MASTER PLAN'!$AB:$AB,'MASTER PLAN'!$M:$M,0,0)),"")</f>
        <v/>
      </c>
      <c r="K1154" s="107">
        <f t="shared" si="237"/>
        <v>0</v>
      </c>
      <c r="L1154" s="107">
        <f t="shared" si="238"/>
        <v>0</v>
      </c>
      <c r="M1154" s="105" t="s">
        <v>246</v>
      </c>
      <c r="AI1154" s="42"/>
      <c r="BN1154" s="42"/>
      <c r="CS1154" s="42"/>
      <c r="DX1154" s="42"/>
      <c r="FC1154" s="42"/>
      <c r="GH1154" s="42"/>
      <c r="HM1154" s="42"/>
      <c r="IR1154" s="42"/>
      <c r="JW1154" s="42"/>
      <c r="LB1154" s="42"/>
      <c r="MG1154" s="42"/>
      <c r="NL1154" s="42"/>
    </row>
    <row r="1155" ht="15.75" customHeight="1">
      <c r="A1155" s="42"/>
      <c r="D1155" s="38">
        <f t="shared" si="1439"/>
        <v>46051</v>
      </c>
      <c r="E1155" s="31" t="str">
        <f t="shared" ref="E1155:I1155" si="1440">OB6</f>
        <v/>
      </c>
      <c r="F1155" s="31" t="str">
        <f t="shared" si="1440"/>
        <v/>
      </c>
      <c r="G1155" s="31" t="str">
        <f t="shared" si="1440"/>
        <v/>
      </c>
      <c r="H1155" s="13" t="str">
        <f t="shared" si="1440"/>
        <v/>
      </c>
      <c r="I1155" s="13" t="str">
        <f t="shared" si="1440"/>
        <v/>
      </c>
      <c r="J1155" s="107" t="str">
        <f t="array" ref="J1155">IFERROR(IF(XLOOKUP(CONCAT(E1155,F1155),'MASTER PLAN'!$AB:$AB,'MASTER PLAN'!$M:$M,0,0)=0,"",XLOOKUP(CONCAT(E1155,F1155),'MASTER PLAN'!$AB:$AB,'MASTER PLAN'!$M:$M,0,0)),"")</f>
        <v/>
      </c>
      <c r="K1155" s="107">
        <f t="shared" si="237"/>
        <v>0</v>
      </c>
      <c r="L1155" s="107">
        <f t="shared" si="238"/>
        <v>0</v>
      </c>
      <c r="M1155" s="105" t="s">
        <v>246</v>
      </c>
      <c r="AI1155" s="42"/>
      <c r="BN1155" s="42"/>
      <c r="CS1155" s="42"/>
      <c r="DX1155" s="42"/>
      <c r="FC1155" s="42"/>
      <c r="GH1155" s="42"/>
      <c r="HM1155" s="42"/>
      <c r="IR1155" s="42"/>
      <c r="JW1155" s="42"/>
      <c r="LB1155" s="42"/>
      <c r="MG1155" s="42"/>
      <c r="NL1155" s="42"/>
    </row>
    <row r="1156" ht="15.75" customHeight="1">
      <c r="A1156" s="42"/>
      <c r="D1156" s="38">
        <f t="shared" si="1439"/>
        <v>46051</v>
      </c>
      <c r="E1156" s="31" t="str">
        <f t="shared" ref="E1156:I1156" si="1441">OB7</f>
        <v/>
      </c>
      <c r="F1156" s="31" t="str">
        <f t="shared" si="1441"/>
        <v/>
      </c>
      <c r="G1156" s="31" t="str">
        <f t="shared" si="1441"/>
        <v/>
      </c>
      <c r="H1156" s="13" t="str">
        <f t="shared" si="1441"/>
        <v/>
      </c>
      <c r="I1156" s="13" t="str">
        <f t="shared" si="1441"/>
        <v/>
      </c>
      <c r="J1156" s="107" t="str">
        <f t="array" ref="J1156">IFERROR(IF(XLOOKUP(CONCAT(E1156,F1156),'MASTER PLAN'!$AB:$AB,'MASTER PLAN'!$M:$M,0,0)=0,"",XLOOKUP(CONCAT(E1156,F1156),'MASTER PLAN'!$AB:$AB,'MASTER PLAN'!$M:$M,0,0)),"")</f>
        <v/>
      </c>
      <c r="K1156" s="107">
        <f t="shared" si="237"/>
        <v>0</v>
      </c>
      <c r="L1156" s="107">
        <f t="shared" si="238"/>
        <v>0</v>
      </c>
      <c r="M1156" s="105" t="s">
        <v>246</v>
      </c>
      <c r="AI1156" s="42"/>
      <c r="BN1156" s="42"/>
      <c r="CS1156" s="42"/>
      <c r="DX1156" s="42"/>
      <c r="FC1156" s="42"/>
      <c r="GH1156" s="42"/>
      <c r="HM1156" s="42"/>
      <c r="IR1156" s="42"/>
      <c r="JW1156" s="42"/>
      <c r="LB1156" s="42"/>
      <c r="MG1156" s="42"/>
      <c r="NL1156" s="42"/>
    </row>
    <row r="1157" ht="15.75" customHeight="1">
      <c r="A1157" s="42"/>
      <c r="D1157" s="38">
        <f t="shared" si="1439"/>
        <v>46051</v>
      </c>
      <c r="E1157" s="31" t="str">
        <f t="shared" ref="E1157:I1157" si="1442">OB8</f>
        <v/>
      </c>
      <c r="F1157" s="31" t="str">
        <f t="shared" si="1442"/>
        <v/>
      </c>
      <c r="G1157" s="31" t="str">
        <f t="shared" si="1442"/>
        <v/>
      </c>
      <c r="H1157" s="13" t="str">
        <f t="shared" si="1442"/>
        <v/>
      </c>
      <c r="I1157" s="13" t="str">
        <f t="shared" si="1442"/>
        <v/>
      </c>
      <c r="J1157" s="107" t="str">
        <f t="array" ref="J1157">IFERROR(IF(XLOOKUP(CONCAT(E1157,F1157),'MASTER PLAN'!$AB:$AB,'MASTER PLAN'!$M:$M,0,0)=0,"",XLOOKUP(CONCAT(E1157,F1157),'MASTER PLAN'!$AB:$AB,'MASTER PLAN'!$M:$M,0,0)),"")</f>
        <v/>
      </c>
      <c r="K1157" s="107">
        <f t="shared" si="237"/>
        <v>0</v>
      </c>
      <c r="L1157" s="107">
        <f t="shared" si="238"/>
        <v>0</v>
      </c>
      <c r="M1157" s="105" t="s">
        <v>246</v>
      </c>
      <c r="AI1157" s="42"/>
      <c r="BN1157" s="42"/>
      <c r="CS1157" s="42"/>
      <c r="DX1157" s="42"/>
      <c r="FC1157" s="42"/>
      <c r="GH1157" s="42"/>
      <c r="HM1157" s="42"/>
      <c r="IR1157" s="42"/>
      <c r="JW1157" s="42"/>
      <c r="LB1157" s="42"/>
      <c r="MG1157" s="42"/>
      <c r="NL1157" s="42"/>
    </row>
    <row r="1158" ht="15.75" customHeight="1">
      <c r="A1158" s="42"/>
      <c r="D1158" s="38">
        <f t="shared" si="1439"/>
        <v>46051</v>
      </c>
      <c r="E1158" s="31" t="str">
        <f t="shared" ref="E1158:I1158" si="1443">OB12</f>
        <v/>
      </c>
      <c r="F1158" s="31" t="str">
        <f t="shared" si="1443"/>
        <v/>
      </c>
      <c r="G1158" s="31" t="str">
        <f t="shared" si="1443"/>
        <v/>
      </c>
      <c r="H1158" s="13" t="str">
        <f t="shared" si="1443"/>
        <v/>
      </c>
      <c r="I1158" s="13" t="str">
        <f t="shared" si="1443"/>
        <v/>
      </c>
      <c r="J1158" s="107" t="str">
        <f t="array" ref="J1158">IFERROR(IF(XLOOKUP(CONCAT(E1158,F1158),'MASTER PLAN'!$AB:$AB,'MASTER PLAN'!$M:$M,0,0)=0,"",XLOOKUP(CONCAT(E1158,F1158),'MASTER PLAN'!$AB:$AB,'MASTER PLAN'!$M:$M,0,0)),"")</f>
        <v/>
      </c>
      <c r="K1158" s="107">
        <f t="shared" si="237"/>
        <v>0</v>
      </c>
      <c r="L1158" s="107">
        <f t="shared" si="238"/>
        <v>0</v>
      </c>
      <c r="M1158" s="105" t="s">
        <v>248</v>
      </c>
      <c r="AI1158" s="42"/>
      <c r="BN1158" s="42"/>
      <c r="CS1158" s="42"/>
      <c r="DX1158" s="42"/>
      <c r="FC1158" s="42"/>
      <c r="GH1158" s="42"/>
      <c r="HM1158" s="42"/>
      <c r="IR1158" s="42"/>
      <c r="JW1158" s="42"/>
      <c r="LB1158" s="42"/>
      <c r="MG1158" s="42"/>
      <c r="NL1158" s="42"/>
    </row>
    <row r="1159" ht="15.75" customHeight="1">
      <c r="A1159" s="42"/>
      <c r="D1159" s="38">
        <f t="shared" si="1439"/>
        <v>46051</v>
      </c>
      <c r="E1159" s="31" t="str">
        <f t="shared" ref="E1159:I1159" si="1444">OB13</f>
        <v/>
      </c>
      <c r="F1159" s="31" t="str">
        <f t="shared" si="1444"/>
        <v/>
      </c>
      <c r="G1159" s="31" t="str">
        <f t="shared" si="1444"/>
        <v/>
      </c>
      <c r="H1159" s="13" t="str">
        <f t="shared" si="1444"/>
        <v/>
      </c>
      <c r="I1159" s="13" t="str">
        <f t="shared" si="1444"/>
        <v/>
      </c>
      <c r="J1159" s="107" t="str">
        <f t="array" ref="J1159">IFERROR(IF(XLOOKUP(CONCAT(E1159,F1159),'MASTER PLAN'!$AB:$AB,'MASTER PLAN'!$M:$M,0,0)=0,"",XLOOKUP(CONCAT(E1159,F1159),'MASTER PLAN'!$AB:$AB,'MASTER PLAN'!$M:$M,0,0)),"")</f>
        <v/>
      </c>
      <c r="K1159" s="107">
        <f t="shared" si="237"/>
        <v>0</v>
      </c>
      <c r="L1159" s="107">
        <f t="shared" si="238"/>
        <v>0</v>
      </c>
      <c r="M1159" s="105" t="s">
        <v>248</v>
      </c>
      <c r="AI1159" s="42"/>
      <c r="BN1159" s="42"/>
      <c r="CS1159" s="42"/>
      <c r="DX1159" s="42"/>
      <c r="FC1159" s="42"/>
      <c r="GH1159" s="42"/>
      <c r="HM1159" s="42"/>
      <c r="IR1159" s="42"/>
      <c r="JW1159" s="42"/>
      <c r="LB1159" s="42"/>
      <c r="MG1159" s="42"/>
      <c r="NL1159" s="42"/>
    </row>
    <row r="1160" ht="15.75" customHeight="1">
      <c r="A1160" s="42"/>
      <c r="D1160" s="38">
        <f t="shared" si="1439"/>
        <v>46051</v>
      </c>
      <c r="E1160" s="31" t="str">
        <f t="shared" ref="E1160:I1160" si="1445">OB14</f>
        <v/>
      </c>
      <c r="F1160" s="31" t="str">
        <f t="shared" si="1445"/>
        <v/>
      </c>
      <c r="G1160" s="31" t="str">
        <f t="shared" si="1445"/>
        <v/>
      </c>
      <c r="H1160" s="13" t="str">
        <f t="shared" si="1445"/>
        <v/>
      </c>
      <c r="I1160" s="13" t="str">
        <f t="shared" si="1445"/>
        <v/>
      </c>
      <c r="J1160" s="107" t="str">
        <f t="array" ref="J1160">IFERROR(IF(XLOOKUP(CONCAT(E1160,F1160),'MASTER PLAN'!$AB:$AB,'MASTER PLAN'!$M:$M,0,0)=0,"",XLOOKUP(CONCAT(E1160,F1160),'MASTER PLAN'!$AB:$AB,'MASTER PLAN'!$M:$M,0,0)),"")</f>
        <v/>
      </c>
      <c r="K1160" s="107">
        <f t="shared" si="237"/>
        <v>0</v>
      </c>
      <c r="L1160" s="107">
        <f t="shared" si="238"/>
        <v>0</v>
      </c>
      <c r="M1160" s="105" t="s">
        <v>248</v>
      </c>
      <c r="AI1160" s="42"/>
      <c r="BN1160" s="42"/>
      <c r="CS1160" s="42"/>
      <c r="DX1160" s="42"/>
      <c r="FC1160" s="42"/>
      <c r="GH1160" s="42"/>
      <c r="HM1160" s="42"/>
      <c r="IR1160" s="42"/>
      <c r="JW1160" s="42"/>
      <c r="LB1160" s="42"/>
      <c r="MG1160" s="42"/>
      <c r="NL1160" s="42"/>
    </row>
    <row r="1161" ht="15.75" customHeight="1">
      <c r="A1161" s="42"/>
      <c r="D1161" s="38">
        <f t="shared" si="1439"/>
        <v>46051</v>
      </c>
      <c r="E1161" s="31" t="str">
        <f t="shared" ref="E1161:I1161" si="1446">OB15</f>
        <v/>
      </c>
      <c r="F1161" s="31" t="str">
        <f t="shared" si="1446"/>
        <v/>
      </c>
      <c r="G1161" s="31" t="str">
        <f t="shared" si="1446"/>
        <v/>
      </c>
      <c r="H1161" s="13" t="str">
        <f t="shared" si="1446"/>
        <v/>
      </c>
      <c r="I1161" s="13" t="str">
        <f t="shared" si="1446"/>
        <v/>
      </c>
      <c r="J1161" s="107" t="str">
        <f t="array" ref="J1161">IFERROR(IF(XLOOKUP(CONCAT(E1161,F1161),'MASTER PLAN'!$AB:$AB,'MASTER PLAN'!$M:$M,0,0)=0,"",XLOOKUP(CONCAT(E1161,F1161),'MASTER PLAN'!$AB:$AB,'MASTER PLAN'!$M:$M,0,0)),"")</f>
        <v/>
      </c>
      <c r="K1161" s="107">
        <f t="shared" si="237"/>
        <v>0</v>
      </c>
      <c r="L1161" s="107">
        <f t="shared" si="238"/>
        <v>0</v>
      </c>
      <c r="M1161" s="105" t="s">
        <v>248</v>
      </c>
      <c r="AI1161" s="42"/>
      <c r="BN1161" s="42"/>
      <c r="CS1161" s="42"/>
      <c r="DX1161" s="42"/>
      <c r="FC1161" s="42"/>
      <c r="GH1161" s="42"/>
      <c r="HM1161" s="42"/>
      <c r="IR1161" s="42"/>
      <c r="JW1161" s="42"/>
      <c r="LB1161" s="42"/>
      <c r="MG1161" s="42"/>
      <c r="NL1161" s="42"/>
    </row>
    <row r="1162" ht="15.75" customHeight="1">
      <c r="A1162" s="42"/>
      <c r="D1162" s="38">
        <f t="shared" si="1439"/>
        <v>46051</v>
      </c>
      <c r="E1162" s="31" t="str">
        <f t="shared" ref="E1162:I1162" si="1447">OB16</f>
        <v/>
      </c>
      <c r="F1162" s="31" t="str">
        <f t="shared" si="1447"/>
        <v/>
      </c>
      <c r="G1162" s="31" t="str">
        <f t="shared" si="1447"/>
        <v/>
      </c>
      <c r="H1162" s="13" t="str">
        <f t="shared" si="1447"/>
        <v/>
      </c>
      <c r="I1162" s="13" t="str">
        <f t="shared" si="1447"/>
        <v/>
      </c>
      <c r="J1162" s="107" t="str">
        <f t="array" ref="J1162">IFERROR(IF(XLOOKUP(CONCAT(E1162,F1162),'MASTER PLAN'!$AB:$AB,'MASTER PLAN'!$M:$M,0,0)=0,"",XLOOKUP(CONCAT(E1162,F1162),'MASTER PLAN'!$AB:$AB,'MASTER PLAN'!$M:$M,0,0)),"")</f>
        <v/>
      </c>
      <c r="K1162" s="107">
        <f t="shared" si="237"/>
        <v>0</v>
      </c>
      <c r="L1162" s="107">
        <f t="shared" si="238"/>
        <v>0</v>
      </c>
      <c r="M1162" s="105" t="s">
        <v>248</v>
      </c>
      <c r="AI1162" s="42"/>
      <c r="BN1162" s="42"/>
      <c r="CS1162" s="42"/>
      <c r="DX1162" s="42"/>
      <c r="FC1162" s="42"/>
      <c r="GH1162" s="42"/>
      <c r="HM1162" s="42"/>
      <c r="IR1162" s="42"/>
      <c r="JW1162" s="42"/>
      <c r="LB1162" s="42"/>
      <c r="MG1162" s="42"/>
      <c r="NL1162" s="42"/>
    </row>
    <row r="1163" ht="15.75" customHeight="1">
      <c r="A1163" s="42"/>
      <c r="D1163" s="38">
        <f t="shared" si="1439"/>
        <v>46051</v>
      </c>
      <c r="E1163" s="31" t="str">
        <f t="shared" ref="E1163:I1163" si="1448">OB20</f>
        <v/>
      </c>
      <c r="F1163" s="31" t="str">
        <f t="shared" si="1448"/>
        <v/>
      </c>
      <c r="G1163" s="31" t="str">
        <f t="shared" si="1448"/>
        <v/>
      </c>
      <c r="H1163" s="13" t="str">
        <f t="shared" si="1448"/>
        <v/>
      </c>
      <c r="I1163" s="13" t="str">
        <f t="shared" si="1448"/>
        <v/>
      </c>
      <c r="J1163" s="107" t="str">
        <f t="array" ref="J1163">IFERROR(IF(XLOOKUP(CONCAT(E1163,F1163),'MASTER PLAN'!$AB:$AB,'MASTER PLAN'!$M:$M,0,0)=0,"",XLOOKUP(CONCAT(E1163,F1163),'MASTER PLAN'!$AB:$AB,'MASTER PLAN'!$M:$M,0,0)),"")</f>
        <v/>
      </c>
      <c r="K1163" s="107">
        <f t="shared" si="237"/>
        <v>0</v>
      </c>
      <c r="L1163" s="107">
        <f t="shared" si="238"/>
        <v>0</v>
      </c>
      <c r="M1163" s="105" t="s">
        <v>249</v>
      </c>
      <c r="AI1163" s="42"/>
      <c r="BN1163" s="42"/>
      <c r="CS1163" s="42"/>
      <c r="DX1163" s="42"/>
      <c r="FC1163" s="42"/>
      <c r="GH1163" s="42"/>
      <c r="HM1163" s="42"/>
      <c r="IR1163" s="42"/>
      <c r="JW1163" s="42"/>
      <c r="LB1163" s="42"/>
      <c r="MG1163" s="42"/>
      <c r="NL1163" s="42"/>
    </row>
    <row r="1164" ht="15.75" customHeight="1">
      <c r="A1164" s="42"/>
      <c r="D1164" s="38">
        <f t="shared" si="1439"/>
        <v>46051</v>
      </c>
      <c r="E1164" s="31" t="str">
        <f t="shared" ref="E1164:I1164" si="1449">OB21</f>
        <v/>
      </c>
      <c r="F1164" s="31" t="str">
        <f t="shared" si="1449"/>
        <v/>
      </c>
      <c r="G1164" s="31" t="str">
        <f t="shared" si="1449"/>
        <v/>
      </c>
      <c r="H1164" s="13" t="str">
        <f t="shared" si="1449"/>
        <v/>
      </c>
      <c r="I1164" s="13" t="str">
        <f t="shared" si="1449"/>
        <v/>
      </c>
      <c r="J1164" s="107" t="str">
        <f t="array" ref="J1164">IFERROR(IF(XLOOKUP(CONCAT(E1164,F1164),'MASTER PLAN'!$AB:$AB,'MASTER PLAN'!$M:$M,0,0)=0,"",XLOOKUP(CONCAT(E1164,F1164),'MASTER PLAN'!$AB:$AB,'MASTER PLAN'!$M:$M,0,0)),"")</f>
        <v/>
      </c>
      <c r="K1164" s="107">
        <f t="shared" si="237"/>
        <v>0</v>
      </c>
      <c r="L1164" s="107">
        <f t="shared" si="238"/>
        <v>0</v>
      </c>
      <c r="M1164" s="105" t="s">
        <v>249</v>
      </c>
      <c r="AI1164" s="42"/>
      <c r="BN1164" s="42"/>
      <c r="CS1164" s="42"/>
      <c r="DX1164" s="42"/>
      <c r="FC1164" s="42"/>
      <c r="GH1164" s="42"/>
      <c r="HM1164" s="42"/>
      <c r="IR1164" s="42"/>
      <c r="JW1164" s="42"/>
      <c r="LB1164" s="42"/>
      <c r="MG1164" s="42"/>
      <c r="NL1164" s="42"/>
    </row>
    <row r="1165" ht="15.75" customHeight="1">
      <c r="A1165" s="42"/>
      <c r="D1165" s="38">
        <f t="shared" si="1439"/>
        <v>46051</v>
      </c>
      <c r="E1165" s="31" t="str">
        <f t="shared" ref="E1165:I1165" si="1450">OB22</f>
        <v/>
      </c>
      <c r="F1165" s="31" t="str">
        <f t="shared" si="1450"/>
        <v/>
      </c>
      <c r="G1165" s="31" t="str">
        <f t="shared" si="1450"/>
        <v/>
      </c>
      <c r="H1165" s="13" t="str">
        <f t="shared" si="1450"/>
        <v/>
      </c>
      <c r="I1165" s="13" t="str">
        <f t="shared" si="1450"/>
        <v/>
      </c>
      <c r="J1165" s="107" t="str">
        <f t="array" ref="J1165">IFERROR(IF(XLOOKUP(CONCAT(E1165,F1165),'MASTER PLAN'!$AB:$AB,'MASTER PLAN'!$M:$M,0,0)=0,"",XLOOKUP(CONCAT(E1165,F1165),'MASTER PLAN'!$AB:$AB,'MASTER PLAN'!$M:$M,0,0)),"")</f>
        <v/>
      </c>
      <c r="K1165" s="107">
        <f t="shared" si="237"/>
        <v>0</v>
      </c>
      <c r="L1165" s="107">
        <f t="shared" si="238"/>
        <v>0</v>
      </c>
      <c r="M1165" s="105" t="s">
        <v>249</v>
      </c>
      <c r="AI1165" s="42"/>
      <c r="BN1165" s="42"/>
      <c r="CS1165" s="42"/>
      <c r="DX1165" s="42"/>
      <c r="FC1165" s="42"/>
      <c r="GH1165" s="42"/>
      <c r="HM1165" s="42"/>
      <c r="IR1165" s="42"/>
      <c r="JW1165" s="42"/>
      <c r="LB1165" s="42"/>
      <c r="MG1165" s="42"/>
      <c r="NL1165" s="42"/>
    </row>
    <row r="1166" ht="15.75" customHeight="1">
      <c r="A1166" s="42"/>
      <c r="D1166" s="38">
        <f t="shared" si="1439"/>
        <v>46051</v>
      </c>
      <c r="E1166" s="31" t="str">
        <f t="shared" ref="E1166:I1166" si="1451">OB23</f>
        <v/>
      </c>
      <c r="F1166" s="31" t="str">
        <f t="shared" si="1451"/>
        <v/>
      </c>
      <c r="G1166" s="31" t="str">
        <f t="shared" si="1451"/>
        <v/>
      </c>
      <c r="H1166" s="13" t="str">
        <f t="shared" si="1451"/>
        <v/>
      </c>
      <c r="I1166" s="13" t="str">
        <f t="shared" si="1451"/>
        <v/>
      </c>
      <c r="J1166" s="107" t="str">
        <f t="array" ref="J1166">IFERROR(IF(XLOOKUP(CONCAT(E1166,F1166),'MASTER PLAN'!$AB:$AB,'MASTER PLAN'!$M:$M,0,0)=0,"",XLOOKUP(CONCAT(E1166,F1166),'MASTER PLAN'!$AB:$AB,'MASTER PLAN'!$M:$M,0,0)),"")</f>
        <v/>
      </c>
      <c r="K1166" s="107">
        <f t="shared" si="237"/>
        <v>0</v>
      </c>
      <c r="L1166" s="107">
        <f t="shared" si="238"/>
        <v>0</v>
      </c>
      <c r="M1166" s="105" t="s">
        <v>249</v>
      </c>
      <c r="AI1166" s="42"/>
      <c r="BN1166" s="42"/>
      <c r="CS1166" s="42"/>
      <c r="DX1166" s="42"/>
      <c r="FC1166" s="42"/>
      <c r="GH1166" s="42"/>
      <c r="HM1166" s="42"/>
      <c r="IR1166" s="42"/>
      <c r="JW1166" s="42"/>
      <c r="LB1166" s="42"/>
      <c r="MG1166" s="42"/>
      <c r="NL1166" s="42"/>
    </row>
    <row r="1167" ht="15.75" customHeight="1">
      <c r="A1167" s="42"/>
      <c r="D1167" s="38">
        <f t="shared" si="1439"/>
        <v>46051</v>
      </c>
      <c r="E1167" s="31" t="str">
        <f t="shared" ref="E1167:I1167" si="1452">OB24</f>
        <v/>
      </c>
      <c r="F1167" s="31" t="str">
        <f t="shared" si="1452"/>
        <v/>
      </c>
      <c r="G1167" s="31" t="str">
        <f t="shared" si="1452"/>
        <v/>
      </c>
      <c r="H1167" s="13" t="str">
        <f t="shared" si="1452"/>
        <v/>
      </c>
      <c r="I1167" s="13" t="str">
        <f t="shared" si="1452"/>
        <v/>
      </c>
      <c r="J1167" s="107" t="str">
        <f t="array" ref="J1167">IFERROR(IF(XLOOKUP(CONCAT(E1167,F1167),'MASTER PLAN'!$AB:$AB,'MASTER PLAN'!$M:$M,0,0)=0,"",XLOOKUP(CONCAT(E1167,F1167),'MASTER PLAN'!$AB:$AB,'MASTER PLAN'!$M:$M,0,0)),"")</f>
        <v/>
      </c>
      <c r="K1167" s="107">
        <f t="shared" si="237"/>
        <v>0</v>
      </c>
      <c r="L1167" s="107">
        <f t="shared" si="238"/>
        <v>0</v>
      </c>
      <c r="M1167" s="105" t="s">
        <v>249</v>
      </c>
      <c r="AI1167" s="42"/>
      <c r="BN1167" s="42"/>
      <c r="CS1167" s="42"/>
      <c r="DX1167" s="42"/>
      <c r="FC1167" s="42"/>
      <c r="GH1167" s="42"/>
      <c r="HM1167" s="42"/>
      <c r="IR1167" s="42"/>
      <c r="JW1167" s="42"/>
      <c r="LB1167" s="42"/>
      <c r="MG1167" s="42"/>
      <c r="NL1167" s="42"/>
    </row>
    <row r="1168" ht="15.75" customHeight="1">
      <c r="A1168" s="42"/>
      <c r="D1168" s="38">
        <f>OG2</f>
        <v>46052</v>
      </c>
      <c r="E1168" s="31" t="str">
        <f t="shared" ref="E1168:I1168" si="1453">OG4</f>
        <v/>
      </c>
      <c r="F1168" s="31" t="str">
        <f t="shared" si="1453"/>
        <v/>
      </c>
      <c r="G1168" s="31" t="str">
        <f t="shared" si="1453"/>
        <v/>
      </c>
      <c r="H1168" s="13" t="str">
        <f t="shared" si="1453"/>
        <v/>
      </c>
      <c r="I1168" s="13" t="str">
        <f t="shared" si="1453"/>
        <v/>
      </c>
      <c r="J1168" s="107" t="str">
        <f t="array" ref="J1168">IFERROR(IF(XLOOKUP(CONCAT(E1168,F1168),'MASTER PLAN'!$AB:$AB,'MASTER PLAN'!$M:$M,0,0)=0,"",XLOOKUP(CONCAT(E1168,F1168),'MASTER PLAN'!$AB:$AB,'MASTER PLAN'!$M:$M,0,0)),"")</f>
        <v/>
      </c>
      <c r="K1168" s="107">
        <f t="shared" si="237"/>
        <v>0</v>
      </c>
      <c r="L1168" s="107">
        <f t="shared" si="238"/>
        <v>0</v>
      </c>
      <c r="M1168" s="105" t="s">
        <v>246</v>
      </c>
      <c r="AI1168" s="42"/>
      <c r="BN1168" s="42"/>
      <c r="CS1168" s="42"/>
      <c r="DX1168" s="42"/>
      <c r="FC1168" s="42"/>
      <c r="GH1168" s="42"/>
      <c r="HM1168" s="42"/>
      <c r="IR1168" s="42"/>
      <c r="JW1168" s="42"/>
      <c r="LB1168" s="42"/>
      <c r="MG1168" s="42"/>
      <c r="NL1168" s="42"/>
    </row>
    <row r="1169" ht="15.75" customHeight="1">
      <c r="A1169" s="42"/>
      <c r="D1169" s="38">
        <f t="shared" ref="D1169:D1182" si="1455">D1168</f>
        <v>46052</v>
      </c>
      <c r="E1169" s="31" t="str">
        <f t="shared" ref="E1169:I1169" si="1454">OG5</f>
        <v/>
      </c>
      <c r="F1169" s="31" t="str">
        <f t="shared" si="1454"/>
        <v/>
      </c>
      <c r="G1169" s="31" t="str">
        <f t="shared" si="1454"/>
        <v/>
      </c>
      <c r="H1169" s="13" t="str">
        <f t="shared" si="1454"/>
        <v/>
      </c>
      <c r="I1169" s="13" t="str">
        <f t="shared" si="1454"/>
        <v/>
      </c>
      <c r="J1169" s="107" t="str">
        <f t="array" ref="J1169">IFERROR(IF(XLOOKUP(CONCAT(E1169,F1169),'MASTER PLAN'!$AB:$AB,'MASTER PLAN'!$M:$M,0,0)=0,"",XLOOKUP(CONCAT(E1169,F1169),'MASTER PLAN'!$AB:$AB,'MASTER PLAN'!$M:$M,0,0)),"")</f>
        <v/>
      </c>
      <c r="K1169" s="107">
        <f t="shared" si="237"/>
        <v>0</v>
      </c>
      <c r="L1169" s="107">
        <f t="shared" si="238"/>
        <v>0</v>
      </c>
      <c r="M1169" s="105" t="s">
        <v>246</v>
      </c>
      <c r="AI1169" s="42"/>
      <c r="BN1169" s="42"/>
      <c r="CS1169" s="42"/>
      <c r="DX1169" s="42"/>
      <c r="FC1169" s="42"/>
      <c r="GH1169" s="42"/>
      <c r="HM1169" s="42"/>
      <c r="IR1169" s="42"/>
      <c r="JW1169" s="42"/>
      <c r="LB1169" s="42"/>
      <c r="MG1169" s="42"/>
      <c r="NL1169" s="42"/>
    </row>
    <row r="1170" ht="15.75" customHeight="1">
      <c r="A1170" s="42"/>
      <c r="D1170" s="38">
        <f t="shared" si="1455"/>
        <v>46052</v>
      </c>
      <c r="E1170" s="31" t="str">
        <f t="shared" ref="E1170:I1170" si="1456">OG6</f>
        <v/>
      </c>
      <c r="F1170" s="31" t="str">
        <f t="shared" si="1456"/>
        <v/>
      </c>
      <c r="G1170" s="31" t="str">
        <f t="shared" si="1456"/>
        <v/>
      </c>
      <c r="H1170" s="13" t="str">
        <f t="shared" si="1456"/>
        <v/>
      </c>
      <c r="I1170" s="13" t="str">
        <f t="shared" si="1456"/>
        <v/>
      </c>
      <c r="J1170" s="107" t="str">
        <f t="array" ref="J1170">IFERROR(IF(XLOOKUP(CONCAT(E1170,F1170),'MASTER PLAN'!$AB:$AB,'MASTER PLAN'!$M:$M,0,0)=0,"",XLOOKUP(CONCAT(E1170,F1170),'MASTER PLAN'!$AB:$AB,'MASTER PLAN'!$M:$M,0,0)),"")</f>
        <v/>
      </c>
      <c r="K1170" s="107">
        <f t="shared" si="237"/>
        <v>0</v>
      </c>
      <c r="L1170" s="107">
        <f t="shared" si="238"/>
        <v>0</v>
      </c>
      <c r="M1170" s="105" t="s">
        <v>246</v>
      </c>
      <c r="AI1170" s="42"/>
      <c r="BN1170" s="42"/>
      <c r="CS1170" s="42"/>
      <c r="DX1170" s="42"/>
      <c r="FC1170" s="42"/>
      <c r="GH1170" s="42"/>
      <c r="HM1170" s="42"/>
      <c r="IR1170" s="42"/>
      <c r="JW1170" s="42"/>
      <c r="LB1170" s="42"/>
      <c r="MG1170" s="42"/>
      <c r="NL1170" s="42"/>
    </row>
    <row r="1171" ht="15.75" customHeight="1">
      <c r="A1171" s="42"/>
      <c r="D1171" s="38">
        <f t="shared" si="1455"/>
        <v>46052</v>
      </c>
      <c r="E1171" s="31" t="str">
        <f t="shared" ref="E1171:I1171" si="1457">OG7</f>
        <v/>
      </c>
      <c r="F1171" s="31" t="str">
        <f t="shared" si="1457"/>
        <v/>
      </c>
      <c r="G1171" s="31" t="str">
        <f t="shared" si="1457"/>
        <v/>
      </c>
      <c r="H1171" s="13" t="str">
        <f t="shared" si="1457"/>
        <v/>
      </c>
      <c r="I1171" s="13" t="str">
        <f t="shared" si="1457"/>
        <v/>
      </c>
      <c r="J1171" s="107" t="str">
        <f t="array" ref="J1171">IFERROR(IF(XLOOKUP(CONCAT(E1171,F1171),'MASTER PLAN'!$AB:$AB,'MASTER PLAN'!$M:$M,0,0)=0,"",XLOOKUP(CONCAT(E1171,F1171),'MASTER PLAN'!$AB:$AB,'MASTER PLAN'!$M:$M,0,0)),"")</f>
        <v/>
      </c>
      <c r="K1171" s="107">
        <f t="shared" si="237"/>
        <v>0</v>
      </c>
      <c r="L1171" s="107">
        <f t="shared" si="238"/>
        <v>0</v>
      </c>
      <c r="M1171" s="105" t="s">
        <v>246</v>
      </c>
      <c r="AI1171" s="42"/>
      <c r="BN1171" s="42"/>
      <c r="CS1171" s="42"/>
      <c r="DX1171" s="42"/>
      <c r="FC1171" s="42"/>
      <c r="GH1171" s="42"/>
      <c r="HM1171" s="42"/>
      <c r="IR1171" s="42"/>
      <c r="JW1171" s="42"/>
      <c r="LB1171" s="42"/>
      <c r="MG1171" s="42"/>
      <c r="NL1171" s="42"/>
    </row>
    <row r="1172" ht="15.75" customHeight="1">
      <c r="A1172" s="42"/>
      <c r="D1172" s="38">
        <f t="shared" si="1455"/>
        <v>46052</v>
      </c>
      <c r="E1172" s="31" t="str">
        <f t="shared" ref="E1172:I1172" si="1458">OG8</f>
        <v/>
      </c>
      <c r="F1172" s="31" t="str">
        <f t="shared" si="1458"/>
        <v/>
      </c>
      <c r="G1172" s="31" t="str">
        <f t="shared" si="1458"/>
        <v/>
      </c>
      <c r="H1172" s="13" t="str">
        <f t="shared" si="1458"/>
        <v/>
      </c>
      <c r="I1172" s="13" t="str">
        <f t="shared" si="1458"/>
        <v/>
      </c>
      <c r="J1172" s="107" t="str">
        <f t="array" ref="J1172">IFERROR(IF(XLOOKUP(CONCAT(E1172,F1172),'MASTER PLAN'!$AB:$AB,'MASTER PLAN'!$M:$M,0,0)=0,"",XLOOKUP(CONCAT(E1172,F1172),'MASTER PLAN'!$AB:$AB,'MASTER PLAN'!$M:$M,0,0)),"")</f>
        <v/>
      </c>
      <c r="K1172" s="107">
        <f t="shared" si="237"/>
        <v>0</v>
      </c>
      <c r="L1172" s="107">
        <f t="shared" si="238"/>
        <v>0</v>
      </c>
      <c r="M1172" s="105" t="s">
        <v>246</v>
      </c>
      <c r="AI1172" s="42"/>
      <c r="BN1172" s="42"/>
      <c r="CS1172" s="42"/>
      <c r="DX1172" s="42"/>
      <c r="FC1172" s="42"/>
      <c r="GH1172" s="42"/>
      <c r="HM1172" s="42"/>
      <c r="IR1172" s="42"/>
      <c r="JW1172" s="42"/>
      <c r="LB1172" s="42"/>
      <c r="MG1172" s="42"/>
      <c r="NL1172" s="42"/>
    </row>
    <row r="1173" ht="15.75" customHeight="1">
      <c r="A1173" s="42"/>
      <c r="D1173" s="38">
        <f t="shared" si="1455"/>
        <v>46052</v>
      </c>
      <c r="E1173" s="31" t="str">
        <f t="shared" ref="E1173:I1173" si="1459">OG12</f>
        <v/>
      </c>
      <c r="F1173" s="31" t="str">
        <f t="shared" si="1459"/>
        <v/>
      </c>
      <c r="G1173" s="31" t="str">
        <f t="shared" si="1459"/>
        <v/>
      </c>
      <c r="H1173" s="13" t="str">
        <f t="shared" si="1459"/>
        <v/>
      </c>
      <c r="I1173" s="13" t="str">
        <f t="shared" si="1459"/>
        <v/>
      </c>
      <c r="J1173" s="107" t="str">
        <f t="array" ref="J1173">IFERROR(IF(XLOOKUP(CONCAT(E1173,F1173),'MASTER PLAN'!$AB:$AB,'MASTER PLAN'!$M:$M,0,0)=0,"",XLOOKUP(CONCAT(E1173,F1173),'MASTER PLAN'!$AB:$AB,'MASTER PLAN'!$M:$M,0,0)),"")</f>
        <v/>
      </c>
      <c r="K1173" s="107">
        <f t="shared" si="237"/>
        <v>0</v>
      </c>
      <c r="L1173" s="107">
        <f t="shared" si="238"/>
        <v>0</v>
      </c>
      <c r="M1173" s="105" t="s">
        <v>248</v>
      </c>
      <c r="AI1173" s="42"/>
      <c r="BN1173" s="42"/>
      <c r="CS1173" s="42"/>
      <c r="DX1173" s="42"/>
      <c r="FC1173" s="42"/>
      <c r="GH1173" s="42"/>
      <c r="HM1173" s="42"/>
      <c r="IR1173" s="42"/>
      <c r="JW1173" s="42"/>
      <c r="LB1173" s="42"/>
      <c r="MG1173" s="42"/>
      <c r="NL1173" s="42"/>
    </row>
    <row r="1174" ht="15.75" customHeight="1">
      <c r="A1174" s="42"/>
      <c r="D1174" s="38">
        <f t="shared" si="1455"/>
        <v>46052</v>
      </c>
      <c r="E1174" s="31" t="str">
        <f t="shared" ref="E1174:I1174" si="1460">OG13</f>
        <v/>
      </c>
      <c r="F1174" s="31" t="str">
        <f t="shared" si="1460"/>
        <v/>
      </c>
      <c r="G1174" s="31" t="str">
        <f t="shared" si="1460"/>
        <v/>
      </c>
      <c r="H1174" s="13" t="str">
        <f t="shared" si="1460"/>
        <v/>
      </c>
      <c r="I1174" s="13" t="str">
        <f t="shared" si="1460"/>
        <v/>
      </c>
      <c r="J1174" s="107" t="str">
        <f t="array" ref="J1174">IFERROR(IF(XLOOKUP(CONCAT(E1174,F1174),'MASTER PLAN'!$AB:$AB,'MASTER PLAN'!$M:$M,0,0)=0,"",XLOOKUP(CONCAT(E1174,F1174),'MASTER PLAN'!$AB:$AB,'MASTER PLAN'!$M:$M,0,0)),"")</f>
        <v/>
      </c>
      <c r="K1174" s="107">
        <f t="shared" si="237"/>
        <v>0</v>
      </c>
      <c r="L1174" s="107">
        <f t="shared" si="238"/>
        <v>0</v>
      </c>
      <c r="M1174" s="105" t="s">
        <v>248</v>
      </c>
      <c r="AI1174" s="42"/>
      <c r="BN1174" s="42"/>
      <c r="CS1174" s="42"/>
      <c r="DX1174" s="42"/>
      <c r="FC1174" s="42"/>
      <c r="GH1174" s="42"/>
      <c r="HM1174" s="42"/>
      <c r="IR1174" s="42"/>
      <c r="JW1174" s="42"/>
      <c r="LB1174" s="42"/>
      <c r="MG1174" s="42"/>
      <c r="NL1174" s="42"/>
    </row>
    <row r="1175" ht="15.75" customHeight="1">
      <c r="A1175" s="42"/>
      <c r="D1175" s="38">
        <f t="shared" si="1455"/>
        <v>46052</v>
      </c>
      <c r="E1175" s="31" t="str">
        <f t="shared" ref="E1175:I1175" si="1461">OG14</f>
        <v/>
      </c>
      <c r="F1175" s="31" t="str">
        <f t="shared" si="1461"/>
        <v/>
      </c>
      <c r="G1175" s="31" t="str">
        <f t="shared" si="1461"/>
        <v/>
      </c>
      <c r="H1175" s="13" t="str">
        <f t="shared" si="1461"/>
        <v/>
      </c>
      <c r="I1175" s="13" t="str">
        <f t="shared" si="1461"/>
        <v/>
      </c>
      <c r="J1175" s="107" t="str">
        <f t="array" ref="J1175">IFERROR(IF(XLOOKUP(CONCAT(E1175,F1175),'MASTER PLAN'!$AB:$AB,'MASTER PLAN'!$M:$M,0,0)=0,"",XLOOKUP(CONCAT(E1175,F1175),'MASTER PLAN'!$AB:$AB,'MASTER PLAN'!$M:$M,0,0)),"")</f>
        <v/>
      </c>
      <c r="K1175" s="107">
        <f t="shared" si="237"/>
        <v>0</v>
      </c>
      <c r="L1175" s="107">
        <f t="shared" si="238"/>
        <v>0</v>
      </c>
      <c r="M1175" s="105" t="s">
        <v>248</v>
      </c>
      <c r="AI1175" s="42"/>
      <c r="BN1175" s="42"/>
      <c r="CS1175" s="42"/>
      <c r="DX1175" s="42"/>
      <c r="FC1175" s="42"/>
      <c r="GH1175" s="42"/>
      <c r="HM1175" s="42"/>
      <c r="IR1175" s="42"/>
      <c r="JW1175" s="42"/>
      <c r="LB1175" s="42"/>
      <c r="MG1175" s="42"/>
      <c r="NL1175" s="42"/>
    </row>
    <row r="1176" ht="15.75" customHeight="1">
      <c r="A1176" s="42"/>
      <c r="D1176" s="38">
        <f t="shared" si="1455"/>
        <v>46052</v>
      </c>
      <c r="E1176" s="31" t="str">
        <f t="shared" ref="E1176:I1176" si="1462">OG15</f>
        <v/>
      </c>
      <c r="F1176" s="31" t="str">
        <f t="shared" si="1462"/>
        <v/>
      </c>
      <c r="G1176" s="31" t="str">
        <f t="shared" si="1462"/>
        <v/>
      </c>
      <c r="H1176" s="13" t="str">
        <f t="shared" si="1462"/>
        <v/>
      </c>
      <c r="I1176" s="13" t="str">
        <f t="shared" si="1462"/>
        <v/>
      </c>
      <c r="J1176" s="107" t="str">
        <f t="array" ref="J1176">IFERROR(IF(XLOOKUP(CONCAT(E1176,F1176),'MASTER PLAN'!$AB:$AB,'MASTER PLAN'!$M:$M,0,0)=0,"",XLOOKUP(CONCAT(E1176,F1176),'MASTER PLAN'!$AB:$AB,'MASTER PLAN'!$M:$M,0,0)),"")</f>
        <v/>
      </c>
      <c r="K1176" s="107">
        <f t="shared" si="237"/>
        <v>0</v>
      </c>
      <c r="L1176" s="107">
        <f t="shared" si="238"/>
        <v>0</v>
      </c>
      <c r="M1176" s="105" t="s">
        <v>248</v>
      </c>
      <c r="AI1176" s="42"/>
      <c r="BN1176" s="42"/>
      <c r="CS1176" s="42"/>
      <c r="DX1176" s="42"/>
      <c r="FC1176" s="42"/>
      <c r="GH1176" s="42"/>
      <c r="HM1176" s="42"/>
      <c r="IR1176" s="42"/>
      <c r="JW1176" s="42"/>
      <c r="LB1176" s="42"/>
      <c r="MG1176" s="42"/>
      <c r="NL1176" s="42"/>
    </row>
    <row r="1177" ht="15.75" customHeight="1">
      <c r="A1177" s="42"/>
      <c r="D1177" s="38">
        <f t="shared" si="1455"/>
        <v>46052</v>
      </c>
      <c r="E1177" s="31" t="str">
        <f t="shared" ref="E1177:I1177" si="1463">OG16</f>
        <v/>
      </c>
      <c r="F1177" s="31" t="str">
        <f t="shared" si="1463"/>
        <v/>
      </c>
      <c r="G1177" s="31" t="str">
        <f t="shared" si="1463"/>
        <v/>
      </c>
      <c r="H1177" s="13" t="str">
        <f t="shared" si="1463"/>
        <v/>
      </c>
      <c r="I1177" s="13" t="str">
        <f t="shared" si="1463"/>
        <v/>
      </c>
      <c r="J1177" s="107" t="str">
        <f t="array" ref="J1177">IFERROR(IF(XLOOKUP(CONCAT(E1177,F1177),'MASTER PLAN'!$AB:$AB,'MASTER PLAN'!$M:$M,0,0)=0,"",XLOOKUP(CONCAT(E1177,F1177),'MASTER PLAN'!$AB:$AB,'MASTER PLAN'!$M:$M,0,0)),"")</f>
        <v/>
      </c>
      <c r="K1177" s="107">
        <f t="shared" si="237"/>
        <v>0</v>
      </c>
      <c r="L1177" s="107">
        <f t="shared" si="238"/>
        <v>0</v>
      </c>
      <c r="M1177" s="105" t="s">
        <v>248</v>
      </c>
      <c r="AI1177" s="42"/>
      <c r="BN1177" s="42"/>
      <c r="CS1177" s="42"/>
      <c r="DX1177" s="42"/>
      <c r="FC1177" s="42"/>
      <c r="GH1177" s="42"/>
      <c r="HM1177" s="42"/>
      <c r="IR1177" s="42"/>
      <c r="JW1177" s="42"/>
      <c r="LB1177" s="42"/>
      <c r="MG1177" s="42"/>
      <c r="NL1177" s="42"/>
    </row>
    <row r="1178" ht="15.75" customHeight="1">
      <c r="A1178" s="42"/>
      <c r="D1178" s="38">
        <f t="shared" si="1455"/>
        <v>46052</v>
      </c>
      <c r="E1178" s="31" t="str">
        <f t="shared" ref="E1178:I1178" si="1464">OG20</f>
        <v/>
      </c>
      <c r="F1178" s="31" t="str">
        <f t="shared" si="1464"/>
        <v/>
      </c>
      <c r="G1178" s="31" t="str">
        <f t="shared" si="1464"/>
        <v/>
      </c>
      <c r="H1178" s="13" t="str">
        <f t="shared" si="1464"/>
        <v/>
      </c>
      <c r="I1178" s="13" t="str">
        <f t="shared" si="1464"/>
        <v/>
      </c>
      <c r="J1178" s="107" t="str">
        <f t="array" ref="J1178">IFERROR(IF(XLOOKUP(CONCAT(E1178,F1178),'MASTER PLAN'!$AB:$AB,'MASTER PLAN'!$M:$M,0,0)=0,"",XLOOKUP(CONCAT(E1178,F1178),'MASTER PLAN'!$AB:$AB,'MASTER PLAN'!$M:$M,0,0)),"")</f>
        <v/>
      </c>
      <c r="K1178" s="107">
        <f t="shared" si="237"/>
        <v>0</v>
      </c>
      <c r="L1178" s="107">
        <f t="shared" si="238"/>
        <v>0</v>
      </c>
      <c r="M1178" s="105" t="s">
        <v>249</v>
      </c>
      <c r="AI1178" s="42"/>
      <c r="BN1178" s="42"/>
      <c r="CS1178" s="42"/>
      <c r="DX1178" s="42"/>
      <c r="FC1178" s="42"/>
      <c r="GH1178" s="42"/>
      <c r="HM1178" s="42"/>
      <c r="IR1178" s="42"/>
      <c r="JW1178" s="42"/>
      <c r="LB1178" s="42"/>
      <c r="MG1178" s="42"/>
      <c r="NL1178" s="42"/>
    </row>
    <row r="1179" ht="15.75" customHeight="1">
      <c r="A1179" s="42"/>
      <c r="D1179" s="38">
        <f t="shared" si="1455"/>
        <v>46052</v>
      </c>
      <c r="E1179" s="31" t="str">
        <f t="shared" ref="E1179:I1179" si="1465">OG21</f>
        <v/>
      </c>
      <c r="F1179" s="31" t="str">
        <f t="shared" si="1465"/>
        <v/>
      </c>
      <c r="G1179" s="31" t="str">
        <f t="shared" si="1465"/>
        <v/>
      </c>
      <c r="H1179" s="13" t="str">
        <f t="shared" si="1465"/>
        <v/>
      </c>
      <c r="I1179" s="13" t="str">
        <f t="shared" si="1465"/>
        <v/>
      </c>
      <c r="J1179" s="107" t="str">
        <f t="array" ref="J1179">IFERROR(IF(XLOOKUP(CONCAT(E1179,F1179),'MASTER PLAN'!$AB:$AB,'MASTER PLAN'!$M:$M,0,0)=0,"",XLOOKUP(CONCAT(E1179,F1179),'MASTER PLAN'!$AB:$AB,'MASTER PLAN'!$M:$M,0,0)),"")</f>
        <v/>
      </c>
      <c r="K1179" s="107">
        <f t="shared" si="237"/>
        <v>0</v>
      </c>
      <c r="L1179" s="107">
        <f t="shared" si="238"/>
        <v>0</v>
      </c>
      <c r="M1179" s="105" t="s">
        <v>249</v>
      </c>
      <c r="AI1179" s="42"/>
      <c r="BN1179" s="42"/>
      <c r="CS1179" s="42"/>
      <c r="DX1179" s="42"/>
      <c r="FC1179" s="42"/>
      <c r="GH1179" s="42"/>
      <c r="HM1179" s="42"/>
      <c r="IR1179" s="42"/>
      <c r="JW1179" s="42"/>
      <c r="LB1179" s="42"/>
      <c r="MG1179" s="42"/>
      <c r="NL1179" s="42"/>
    </row>
    <row r="1180" ht="15.75" customHeight="1">
      <c r="A1180" s="42"/>
      <c r="D1180" s="38">
        <f t="shared" si="1455"/>
        <v>46052</v>
      </c>
      <c r="E1180" s="31" t="str">
        <f t="shared" ref="E1180:I1180" si="1466">OG22</f>
        <v/>
      </c>
      <c r="F1180" s="31" t="str">
        <f t="shared" si="1466"/>
        <v/>
      </c>
      <c r="G1180" s="31" t="str">
        <f t="shared" si="1466"/>
        <v/>
      </c>
      <c r="H1180" s="13" t="str">
        <f t="shared" si="1466"/>
        <v/>
      </c>
      <c r="I1180" s="13" t="str">
        <f t="shared" si="1466"/>
        <v/>
      </c>
      <c r="J1180" s="107" t="str">
        <f t="array" ref="J1180">IFERROR(IF(XLOOKUP(CONCAT(E1180,F1180),'MASTER PLAN'!$AB:$AB,'MASTER PLAN'!$M:$M,0,0)=0,"",XLOOKUP(CONCAT(E1180,F1180),'MASTER PLAN'!$AB:$AB,'MASTER PLAN'!$M:$M,0,0)),"")</f>
        <v/>
      </c>
      <c r="K1180" s="107">
        <f t="shared" si="237"/>
        <v>0</v>
      </c>
      <c r="L1180" s="107">
        <f t="shared" si="238"/>
        <v>0</v>
      </c>
      <c r="M1180" s="105" t="s">
        <v>249</v>
      </c>
      <c r="AI1180" s="42"/>
      <c r="BN1180" s="42"/>
      <c r="CS1180" s="42"/>
      <c r="DX1180" s="42"/>
      <c r="FC1180" s="42"/>
      <c r="GH1180" s="42"/>
      <c r="HM1180" s="42"/>
      <c r="IR1180" s="42"/>
      <c r="JW1180" s="42"/>
      <c r="LB1180" s="42"/>
      <c r="MG1180" s="42"/>
      <c r="NL1180" s="42"/>
    </row>
    <row r="1181" ht="15.75" customHeight="1">
      <c r="A1181" s="42"/>
      <c r="D1181" s="38">
        <f t="shared" si="1455"/>
        <v>46052</v>
      </c>
      <c r="E1181" s="31" t="str">
        <f t="shared" ref="E1181:I1181" si="1467">OG23</f>
        <v/>
      </c>
      <c r="F1181" s="31" t="str">
        <f t="shared" si="1467"/>
        <v/>
      </c>
      <c r="G1181" s="31" t="str">
        <f t="shared" si="1467"/>
        <v/>
      </c>
      <c r="H1181" s="13" t="str">
        <f t="shared" si="1467"/>
        <v/>
      </c>
      <c r="I1181" s="13" t="str">
        <f t="shared" si="1467"/>
        <v/>
      </c>
      <c r="J1181" s="107" t="str">
        <f t="array" ref="J1181">IFERROR(IF(XLOOKUP(CONCAT(E1181,F1181),'MASTER PLAN'!$AB:$AB,'MASTER PLAN'!$M:$M,0,0)=0,"",XLOOKUP(CONCAT(E1181,F1181),'MASTER PLAN'!$AB:$AB,'MASTER PLAN'!$M:$M,0,0)),"")</f>
        <v/>
      </c>
      <c r="K1181" s="107">
        <f t="shared" si="237"/>
        <v>0</v>
      </c>
      <c r="L1181" s="107">
        <f t="shared" si="238"/>
        <v>0</v>
      </c>
      <c r="M1181" s="105" t="s">
        <v>249</v>
      </c>
      <c r="AI1181" s="42"/>
      <c r="BN1181" s="42"/>
      <c r="CS1181" s="42"/>
      <c r="DX1181" s="42"/>
      <c r="FC1181" s="42"/>
      <c r="GH1181" s="42"/>
      <c r="HM1181" s="42"/>
      <c r="IR1181" s="42"/>
      <c r="JW1181" s="42"/>
      <c r="LB1181" s="42"/>
      <c r="MG1181" s="42"/>
      <c r="NL1181" s="42"/>
    </row>
    <row r="1182" ht="15.75" customHeight="1">
      <c r="A1182" s="42"/>
      <c r="D1182" s="38">
        <f t="shared" si="1455"/>
        <v>46052</v>
      </c>
      <c r="E1182" s="31" t="str">
        <f t="shared" ref="E1182:I1182" si="1468">OG24</f>
        <v/>
      </c>
      <c r="F1182" s="31" t="str">
        <f t="shared" si="1468"/>
        <v/>
      </c>
      <c r="G1182" s="31" t="str">
        <f t="shared" si="1468"/>
        <v/>
      </c>
      <c r="H1182" s="13" t="str">
        <f t="shared" si="1468"/>
        <v/>
      </c>
      <c r="I1182" s="13" t="str">
        <f t="shared" si="1468"/>
        <v/>
      </c>
      <c r="J1182" s="107" t="str">
        <f t="array" ref="J1182">IFERROR(IF(XLOOKUP(CONCAT(E1182,F1182),'MASTER PLAN'!$AB:$AB,'MASTER PLAN'!$M:$M,0,0)=0,"",XLOOKUP(CONCAT(E1182,F1182),'MASTER PLAN'!$AB:$AB,'MASTER PLAN'!$M:$M,0,0)),"")</f>
        <v/>
      </c>
      <c r="K1182" s="107">
        <f t="shared" si="237"/>
        <v>0</v>
      </c>
      <c r="L1182" s="107">
        <f t="shared" si="238"/>
        <v>0</v>
      </c>
      <c r="M1182" s="105" t="s">
        <v>249</v>
      </c>
      <c r="AI1182" s="42"/>
      <c r="BN1182" s="42"/>
      <c r="CS1182" s="42"/>
      <c r="DX1182" s="42"/>
      <c r="FC1182" s="42"/>
      <c r="GH1182" s="42"/>
      <c r="HM1182" s="42"/>
      <c r="IR1182" s="42"/>
      <c r="JW1182" s="42"/>
      <c r="LB1182" s="42"/>
      <c r="MG1182" s="42"/>
      <c r="NL1182" s="42"/>
    </row>
    <row r="1183" ht="15.75" customHeight="1">
      <c r="A1183" s="42"/>
      <c r="D1183" s="38">
        <f>OL2</f>
        <v>46053</v>
      </c>
      <c r="E1183" s="31" t="str">
        <f t="shared" ref="E1183:I1183" si="1469">OL4</f>
        <v/>
      </c>
      <c r="F1183" s="31" t="str">
        <f t="shared" si="1469"/>
        <v/>
      </c>
      <c r="G1183" s="31" t="str">
        <f t="shared" si="1469"/>
        <v/>
      </c>
      <c r="H1183" s="13" t="str">
        <f t="shared" si="1469"/>
        <v/>
      </c>
      <c r="I1183" s="13" t="str">
        <f t="shared" si="1469"/>
        <v/>
      </c>
      <c r="J1183" s="107" t="str">
        <f t="array" ref="J1183">IFERROR(IF(XLOOKUP(CONCAT(E1183,F1183),'MASTER PLAN'!$AB:$AB,'MASTER PLAN'!$M:$M,0,0)=0,"",XLOOKUP(CONCAT(E1183,F1183),'MASTER PLAN'!$AB:$AB,'MASTER PLAN'!$M:$M,0,0)),"")</f>
        <v/>
      </c>
      <c r="K1183" s="107">
        <f t="shared" si="237"/>
        <v>0</v>
      </c>
      <c r="L1183" s="107">
        <f t="shared" si="238"/>
        <v>0</v>
      </c>
      <c r="M1183" s="105" t="s">
        <v>246</v>
      </c>
      <c r="AI1183" s="42"/>
      <c r="BN1183" s="42"/>
      <c r="CS1183" s="42"/>
      <c r="DX1183" s="42"/>
      <c r="FC1183" s="42"/>
      <c r="GH1183" s="42"/>
      <c r="HM1183" s="42"/>
      <c r="IR1183" s="42"/>
      <c r="JW1183" s="42"/>
      <c r="LB1183" s="42"/>
      <c r="MG1183" s="42"/>
      <c r="NL1183" s="42"/>
    </row>
    <row r="1184" ht="15.75" customHeight="1">
      <c r="A1184" s="42"/>
      <c r="D1184" s="38">
        <f t="shared" ref="D1184:D1197" si="1471">D1183</f>
        <v>46053</v>
      </c>
      <c r="E1184" s="31" t="str">
        <f t="shared" ref="E1184:I1184" si="1470">OL5</f>
        <v/>
      </c>
      <c r="F1184" s="31" t="str">
        <f t="shared" si="1470"/>
        <v/>
      </c>
      <c r="G1184" s="31" t="str">
        <f t="shared" si="1470"/>
        <v/>
      </c>
      <c r="H1184" s="13" t="str">
        <f t="shared" si="1470"/>
        <v/>
      </c>
      <c r="I1184" s="13" t="str">
        <f t="shared" si="1470"/>
        <v/>
      </c>
      <c r="J1184" s="107" t="str">
        <f t="array" ref="J1184">IFERROR(IF(XLOOKUP(CONCAT(E1184,F1184),'MASTER PLAN'!$AB:$AB,'MASTER PLAN'!$M:$M,0,0)=0,"",XLOOKUP(CONCAT(E1184,F1184),'MASTER PLAN'!$AB:$AB,'MASTER PLAN'!$M:$M,0,0)),"")</f>
        <v/>
      </c>
      <c r="K1184" s="107">
        <f t="shared" si="237"/>
        <v>0</v>
      </c>
      <c r="L1184" s="107">
        <f t="shared" si="238"/>
        <v>0</v>
      </c>
      <c r="M1184" s="105" t="s">
        <v>246</v>
      </c>
      <c r="AI1184" s="42"/>
      <c r="BN1184" s="42"/>
      <c r="CS1184" s="42"/>
      <c r="DX1184" s="42"/>
      <c r="FC1184" s="42"/>
      <c r="GH1184" s="42"/>
      <c r="HM1184" s="42"/>
      <c r="IR1184" s="42"/>
      <c r="JW1184" s="42"/>
      <c r="LB1184" s="42"/>
      <c r="MG1184" s="42"/>
      <c r="NL1184" s="42"/>
    </row>
    <row r="1185" ht="15.75" customHeight="1">
      <c r="A1185" s="42"/>
      <c r="D1185" s="38">
        <f t="shared" si="1471"/>
        <v>46053</v>
      </c>
      <c r="E1185" s="31" t="str">
        <f t="shared" ref="E1185:I1185" si="1472">OL6</f>
        <v/>
      </c>
      <c r="F1185" s="31" t="str">
        <f t="shared" si="1472"/>
        <v/>
      </c>
      <c r="G1185" s="31" t="str">
        <f t="shared" si="1472"/>
        <v/>
      </c>
      <c r="H1185" s="13" t="str">
        <f t="shared" si="1472"/>
        <v/>
      </c>
      <c r="I1185" s="13" t="str">
        <f t="shared" si="1472"/>
        <v/>
      </c>
      <c r="J1185" s="107" t="str">
        <f t="array" ref="J1185">IFERROR(IF(XLOOKUP(CONCAT(E1185,F1185),'MASTER PLAN'!$AB:$AB,'MASTER PLAN'!$M:$M,0,0)=0,"",XLOOKUP(CONCAT(E1185,F1185),'MASTER PLAN'!$AB:$AB,'MASTER PLAN'!$M:$M,0,0)),"")</f>
        <v/>
      </c>
      <c r="K1185" s="107">
        <f t="shared" si="237"/>
        <v>0</v>
      </c>
      <c r="L1185" s="107">
        <f t="shared" si="238"/>
        <v>0</v>
      </c>
      <c r="M1185" s="105" t="s">
        <v>246</v>
      </c>
      <c r="AI1185" s="42"/>
      <c r="BN1185" s="42"/>
      <c r="CS1185" s="42"/>
      <c r="DX1185" s="42"/>
      <c r="FC1185" s="42"/>
      <c r="GH1185" s="42"/>
      <c r="HM1185" s="42"/>
      <c r="IR1185" s="42"/>
      <c r="JW1185" s="42"/>
      <c r="LB1185" s="42"/>
      <c r="MG1185" s="42"/>
      <c r="NL1185" s="42"/>
    </row>
    <row r="1186" ht="15.75" customHeight="1">
      <c r="A1186" s="42"/>
      <c r="D1186" s="38">
        <f t="shared" si="1471"/>
        <v>46053</v>
      </c>
      <c r="E1186" s="31" t="str">
        <f t="shared" ref="E1186:I1186" si="1473">OL7</f>
        <v/>
      </c>
      <c r="F1186" s="31" t="str">
        <f t="shared" si="1473"/>
        <v/>
      </c>
      <c r="G1186" s="31" t="str">
        <f t="shared" si="1473"/>
        <v/>
      </c>
      <c r="H1186" s="13" t="str">
        <f t="shared" si="1473"/>
        <v/>
      </c>
      <c r="I1186" s="13" t="str">
        <f t="shared" si="1473"/>
        <v/>
      </c>
      <c r="J1186" s="107" t="str">
        <f t="array" ref="J1186">IFERROR(IF(XLOOKUP(CONCAT(E1186,F1186),'MASTER PLAN'!$AB:$AB,'MASTER PLAN'!$M:$M,0,0)=0,"",XLOOKUP(CONCAT(E1186,F1186),'MASTER PLAN'!$AB:$AB,'MASTER PLAN'!$M:$M,0,0)),"")</f>
        <v/>
      </c>
      <c r="K1186" s="107">
        <f t="shared" si="237"/>
        <v>0</v>
      </c>
      <c r="L1186" s="107">
        <f t="shared" si="238"/>
        <v>0</v>
      </c>
      <c r="M1186" s="105" t="s">
        <v>246</v>
      </c>
      <c r="AI1186" s="42"/>
      <c r="BN1186" s="42"/>
      <c r="CS1186" s="42"/>
      <c r="DX1186" s="42"/>
      <c r="FC1186" s="42"/>
      <c r="GH1186" s="42"/>
      <c r="HM1186" s="42"/>
      <c r="IR1186" s="42"/>
      <c r="JW1186" s="42"/>
      <c r="LB1186" s="42"/>
      <c r="MG1186" s="42"/>
      <c r="NL1186" s="42"/>
    </row>
    <row r="1187" ht="15.75" customHeight="1">
      <c r="A1187" s="42"/>
      <c r="D1187" s="38">
        <f t="shared" si="1471"/>
        <v>46053</v>
      </c>
      <c r="E1187" s="31" t="str">
        <f t="shared" ref="E1187:I1187" si="1474">OL8</f>
        <v/>
      </c>
      <c r="F1187" s="31" t="str">
        <f t="shared" si="1474"/>
        <v/>
      </c>
      <c r="G1187" s="31" t="str">
        <f t="shared" si="1474"/>
        <v/>
      </c>
      <c r="H1187" s="13" t="str">
        <f t="shared" si="1474"/>
        <v/>
      </c>
      <c r="I1187" s="13" t="str">
        <f t="shared" si="1474"/>
        <v/>
      </c>
      <c r="J1187" s="107" t="str">
        <f t="array" ref="J1187">IFERROR(IF(XLOOKUP(CONCAT(E1187,F1187),'MASTER PLAN'!$AB:$AB,'MASTER PLAN'!$M:$M,0,0)=0,"",XLOOKUP(CONCAT(E1187,F1187),'MASTER PLAN'!$AB:$AB,'MASTER PLAN'!$M:$M,0,0)),"")</f>
        <v/>
      </c>
      <c r="K1187" s="107">
        <f t="shared" si="237"/>
        <v>0</v>
      </c>
      <c r="L1187" s="107">
        <f t="shared" si="238"/>
        <v>0</v>
      </c>
      <c r="M1187" s="105" t="s">
        <v>246</v>
      </c>
      <c r="AI1187" s="42"/>
      <c r="BN1187" s="42"/>
      <c r="CS1187" s="42"/>
      <c r="DX1187" s="42"/>
      <c r="FC1187" s="42"/>
      <c r="GH1187" s="42"/>
      <c r="HM1187" s="42"/>
      <c r="IR1187" s="42"/>
      <c r="JW1187" s="42"/>
      <c r="LB1187" s="42"/>
      <c r="MG1187" s="42"/>
      <c r="NL1187" s="42"/>
    </row>
    <row r="1188" ht="15.75" customHeight="1">
      <c r="A1188" s="42"/>
      <c r="D1188" s="38">
        <f t="shared" si="1471"/>
        <v>46053</v>
      </c>
      <c r="E1188" s="31" t="str">
        <f t="shared" ref="E1188:I1188" si="1475">OL12</f>
        <v/>
      </c>
      <c r="F1188" s="31" t="str">
        <f t="shared" si="1475"/>
        <v/>
      </c>
      <c r="G1188" s="31" t="str">
        <f t="shared" si="1475"/>
        <v/>
      </c>
      <c r="H1188" s="13" t="str">
        <f t="shared" si="1475"/>
        <v/>
      </c>
      <c r="I1188" s="13" t="str">
        <f t="shared" si="1475"/>
        <v/>
      </c>
      <c r="J1188" s="107" t="str">
        <f t="array" ref="J1188">IFERROR(IF(XLOOKUP(CONCAT(E1188,F1188),'MASTER PLAN'!$AB:$AB,'MASTER PLAN'!$M:$M,0,0)=0,"",XLOOKUP(CONCAT(E1188,F1188),'MASTER PLAN'!$AB:$AB,'MASTER PLAN'!$M:$M,0,0)),"")</f>
        <v/>
      </c>
      <c r="K1188" s="107">
        <f t="shared" si="237"/>
        <v>0</v>
      </c>
      <c r="L1188" s="107">
        <f t="shared" si="238"/>
        <v>0</v>
      </c>
      <c r="M1188" s="105" t="s">
        <v>248</v>
      </c>
      <c r="AI1188" s="42"/>
      <c r="BN1188" s="42"/>
      <c r="CS1188" s="42"/>
      <c r="DX1188" s="42"/>
      <c r="FC1188" s="42"/>
      <c r="GH1188" s="42"/>
      <c r="HM1188" s="42"/>
      <c r="IR1188" s="42"/>
      <c r="JW1188" s="42"/>
      <c r="LB1188" s="42"/>
      <c r="MG1188" s="42"/>
      <c r="NL1188" s="42"/>
    </row>
    <row r="1189" ht="15.75" customHeight="1">
      <c r="A1189" s="42"/>
      <c r="D1189" s="38">
        <f t="shared" si="1471"/>
        <v>46053</v>
      </c>
      <c r="E1189" s="31" t="str">
        <f t="shared" ref="E1189:I1189" si="1476">OL13</f>
        <v/>
      </c>
      <c r="F1189" s="31" t="str">
        <f t="shared" si="1476"/>
        <v/>
      </c>
      <c r="G1189" s="31" t="str">
        <f t="shared" si="1476"/>
        <v/>
      </c>
      <c r="H1189" s="13" t="str">
        <f t="shared" si="1476"/>
        <v/>
      </c>
      <c r="I1189" s="13" t="str">
        <f t="shared" si="1476"/>
        <v/>
      </c>
      <c r="J1189" s="107" t="str">
        <f t="array" ref="J1189">IFERROR(IF(XLOOKUP(CONCAT(E1189,F1189),'MASTER PLAN'!$AB:$AB,'MASTER PLAN'!$M:$M,0,0)=0,"",XLOOKUP(CONCAT(E1189,F1189),'MASTER PLAN'!$AB:$AB,'MASTER PLAN'!$M:$M,0,0)),"")</f>
        <v/>
      </c>
      <c r="K1189" s="107">
        <f t="shared" si="237"/>
        <v>0</v>
      </c>
      <c r="L1189" s="107">
        <f t="shared" si="238"/>
        <v>0</v>
      </c>
      <c r="M1189" s="105" t="s">
        <v>248</v>
      </c>
      <c r="AI1189" s="42"/>
      <c r="BN1189" s="42"/>
      <c r="CS1189" s="42"/>
      <c r="DX1189" s="42"/>
      <c r="FC1189" s="42"/>
      <c r="GH1189" s="42"/>
      <c r="HM1189" s="42"/>
      <c r="IR1189" s="42"/>
      <c r="JW1189" s="42"/>
      <c r="LB1189" s="42"/>
      <c r="MG1189" s="42"/>
      <c r="NL1189" s="42"/>
    </row>
    <row r="1190" ht="15.75" customHeight="1">
      <c r="A1190" s="42"/>
      <c r="D1190" s="38">
        <f t="shared" si="1471"/>
        <v>46053</v>
      </c>
      <c r="E1190" s="31" t="str">
        <f t="shared" ref="E1190:I1190" si="1477">OL14</f>
        <v/>
      </c>
      <c r="F1190" s="31" t="str">
        <f t="shared" si="1477"/>
        <v/>
      </c>
      <c r="G1190" s="31" t="str">
        <f t="shared" si="1477"/>
        <v/>
      </c>
      <c r="H1190" s="13" t="str">
        <f t="shared" si="1477"/>
        <v/>
      </c>
      <c r="I1190" s="13" t="str">
        <f t="shared" si="1477"/>
        <v/>
      </c>
      <c r="J1190" s="107" t="str">
        <f t="array" ref="J1190">IFERROR(IF(XLOOKUP(CONCAT(E1190,F1190),'MASTER PLAN'!$AB:$AB,'MASTER PLAN'!$M:$M,0,0)=0,"",XLOOKUP(CONCAT(E1190,F1190),'MASTER PLAN'!$AB:$AB,'MASTER PLAN'!$M:$M,0,0)),"")</f>
        <v/>
      </c>
      <c r="K1190" s="107">
        <f t="shared" si="237"/>
        <v>0</v>
      </c>
      <c r="L1190" s="107">
        <f t="shared" si="238"/>
        <v>0</v>
      </c>
      <c r="M1190" s="105" t="s">
        <v>248</v>
      </c>
      <c r="AI1190" s="42"/>
      <c r="BN1190" s="42"/>
      <c r="CS1190" s="42"/>
      <c r="DX1190" s="42"/>
      <c r="FC1190" s="42"/>
      <c r="GH1190" s="42"/>
      <c r="HM1190" s="42"/>
      <c r="IR1190" s="42"/>
      <c r="JW1190" s="42"/>
      <c r="LB1190" s="42"/>
      <c r="MG1190" s="42"/>
      <c r="NL1190" s="42"/>
    </row>
    <row r="1191" ht="15.75" customHeight="1">
      <c r="A1191" s="42"/>
      <c r="D1191" s="38">
        <f t="shared" si="1471"/>
        <v>46053</v>
      </c>
      <c r="E1191" s="31" t="str">
        <f t="shared" ref="E1191:I1191" si="1478">OL15</f>
        <v/>
      </c>
      <c r="F1191" s="31" t="str">
        <f t="shared" si="1478"/>
        <v/>
      </c>
      <c r="G1191" s="31" t="str">
        <f t="shared" si="1478"/>
        <v/>
      </c>
      <c r="H1191" s="13" t="str">
        <f t="shared" si="1478"/>
        <v/>
      </c>
      <c r="I1191" s="13" t="str">
        <f t="shared" si="1478"/>
        <v/>
      </c>
      <c r="J1191" s="107" t="str">
        <f t="array" ref="J1191">IFERROR(IF(XLOOKUP(CONCAT(E1191,F1191),'MASTER PLAN'!$AB:$AB,'MASTER PLAN'!$M:$M,0,0)=0,"",XLOOKUP(CONCAT(E1191,F1191),'MASTER PLAN'!$AB:$AB,'MASTER PLAN'!$M:$M,0,0)),"")</f>
        <v/>
      </c>
      <c r="K1191" s="107">
        <f t="shared" si="237"/>
        <v>0</v>
      </c>
      <c r="L1191" s="107">
        <f t="shared" si="238"/>
        <v>0</v>
      </c>
      <c r="M1191" s="105" t="s">
        <v>248</v>
      </c>
      <c r="AI1191" s="42"/>
      <c r="BN1191" s="42"/>
      <c r="CS1191" s="42"/>
      <c r="DX1191" s="42"/>
      <c r="FC1191" s="42"/>
      <c r="GH1191" s="42"/>
      <c r="HM1191" s="42"/>
      <c r="IR1191" s="42"/>
      <c r="JW1191" s="42"/>
      <c r="LB1191" s="42"/>
      <c r="MG1191" s="42"/>
      <c r="NL1191" s="42"/>
    </row>
    <row r="1192" ht="15.75" customHeight="1">
      <c r="A1192" s="42"/>
      <c r="D1192" s="38">
        <f t="shared" si="1471"/>
        <v>46053</v>
      </c>
      <c r="E1192" s="31" t="str">
        <f t="shared" ref="E1192:I1192" si="1479">OL16</f>
        <v/>
      </c>
      <c r="F1192" s="31" t="str">
        <f t="shared" si="1479"/>
        <v/>
      </c>
      <c r="G1192" s="31" t="str">
        <f t="shared" si="1479"/>
        <v/>
      </c>
      <c r="H1192" s="13" t="str">
        <f t="shared" si="1479"/>
        <v/>
      </c>
      <c r="I1192" s="13" t="str">
        <f t="shared" si="1479"/>
        <v/>
      </c>
      <c r="J1192" s="107" t="str">
        <f t="array" ref="J1192">IFERROR(IF(XLOOKUP(CONCAT(E1192,F1192),'MASTER PLAN'!$AB:$AB,'MASTER PLAN'!$M:$M,0,0)=0,"",XLOOKUP(CONCAT(E1192,F1192),'MASTER PLAN'!$AB:$AB,'MASTER PLAN'!$M:$M,0,0)),"")</f>
        <v/>
      </c>
      <c r="K1192" s="107">
        <f t="shared" si="237"/>
        <v>0</v>
      </c>
      <c r="L1192" s="107">
        <f t="shared" si="238"/>
        <v>0</v>
      </c>
      <c r="M1192" s="105" t="s">
        <v>248</v>
      </c>
      <c r="AI1192" s="42"/>
      <c r="BN1192" s="42"/>
      <c r="CS1192" s="42"/>
      <c r="DX1192" s="42"/>
      <c r="FC1192" s="42"/>
      <c r="GH1192" s="42"/>
      <c r="HM1192" s="42"/>
      <c r="IR1192" s="42"/>
      <c r="JW1192" s="42"/>
      <c r="LB1192" s="42"/>
      <c r="MG1192" s="42"/>
      <c r="NL1192" s="42"/>
    </row>
    <row r="1193" ht="15.75" customHeight="1">
      <c r="A1193" s="42"/>
      <c r="D1193" s="38">
        <f t="shared" si="1471"/>
        <v>46053</v>
      </c>
      <c r="E1193" s="31" t="str">
        <f t="shared" ref="E1193:I1193" si="1480">OL20</f>
        <v/>
      </c>
      <c r="F1193" s="31" t="str">
        <f t="shared" si="1480"/>
        <v/>
      </c>
      <c r="G1193" s="31" t="str">
        <f t="shared" si="1480"/>
        <v/>
      </c>
      <c r="H1193" s="13" t="str">
        <f t="shared" si="1480"/>
        <v/>
      </c>
      <c r="I1193" s="13" t="str">
        <f t="shared" si="1480"/>
        <v/>
      </c>
      <c r="J1193" s="107" t="str">
        <f t="array" ref="J1193">IFERROR(IF(XLOOKUP(CONCAT(E1193,F1193),'MASTER PLAN'!$AB:$AB,'MASTER PLAN'!$M:$M,0,0)=0,"",XLOOKUP(CONCAT(E1193,F1193),'MASTER PLAN'!$AB:$AB,'MASTER PLAN'!$M:$M,0,0)),"")</f>
        <v/>
      </c>
      <c r="K1193" s="107">
        <f t="shared" si="237"/>
        <v>0</v>
      </c>
      <c r="L1193" s="107">
        <f t="shared" si="238"/>
        <v>0</v>
      </c>
      <c r="M1193" s="105" t="s">
        <v>249</v>
      </c>
      <c r="AI1193" s="42"/>
      <c r="BN1193" s="42"/>
      <c r="CS1193" s="42"/>
      <c r="DX1193" s="42"/>
      <c r="FC1193" s="42"/>
      <c r="GH1193" s="42"/>
      <c r="HM1193" s="42"/>
      <c r="IR1193" s="42"/>
      <c r="JW1193" s="42"/>
      <c r="LB1193" s="42"/>
      <c r="MG1193" s="42"/>
      <c r="NL1193" s="42"/>
    </row>
    <row r="1194" ht="15.75" customHeight="1">
      <c r="A1194" s="42"/>
      <c r="D1194" s="38">
        <f t="shared" si="1471"/>
        <v>46053</v>
      </c>
      <c r="E1194" s="31" t="str">
        <f t="shared" ref="E1194:I1194" si="1481">OL21</f>
        <v/>
      </c>
      <c r="F1194" s="31" t="str">
        <f t="shared" si="1481"/>
        <v/>
      </c>
      <c r="G1194" s="31" t="str">
        <f t="shared" si="1481"/>
        <v/>
      </c>
      <c r="H1194" s="13" t="str">
        <f t="shared" si="1481"/>
        <v/>
      </c>
      <c r="I1194" s="13" t="str">
        <f t="shared" si="1481"/>
        <v/>
      </c>
      <c r="J1194" s="107" t="str">
        <f t="array" ref="J1194">IFERROR(IF(XLOOKUP(CONCAT(E1194,F1194),'MASTER PLAN'!$AB:$AB,'MASTER PLAN'!$M:$M,0,0)=0,"",XLOOKUP(CONCAT(E1194,F1194),'MASTER PLAN'!$AB:$AB,'MASTER PLAN'!$M:$M,0,0)),"")</f>
        <v/>
      </c>
      <c r="K1194" s="107">
        <f t="shared" si="237"/>
        <v>0</v>
      </c>
      <c r="L1194" s="107">
        <f t="shared" si="238"/>
        <v>0</v>
      </c>
      <c r="M1194" s="105" t="s">
        <v>249</v>
      </c>
      <c r="AI1194" s="42"/>
      <c r="BN1194" s="42"/>
      <c r="CS1194" s="42"/>
      <c r="DX1194" s="42"/>
      <c r="FC1194" s="42"/>
      <c r="GH1194" s="42"/>
      <c r="HM1194" s="42"/>
      <c r="IR1194" s="42"/>
      <c r="JW1194" s="42"/>
      <c r="LB1194" s="42"/>
      <c r="MG1194" s="42"/>
      <c r="NL1194" s="42"/>
    </row>
    <row r="1195" ht="15.75" customHeight="1">
      <c r="A1195" s="42"/>
      <c r="D1195" s="38">
        <f t="shared" si="1471"/>
        <v>46053</v>
      </c>
      <c r="E1195" s="31" t="str">
        <f t="shared" ref="E1195:I1195" si="1482">OL22</f>
        <v/>
      </c>
      <c r="F1195" s="31" t="str">
        <f t="shared" si="1482"/>
        <v/>
      </c>
      <c r="G1195" s="31" t="str">
        <f t="shared" si="1482"/>
        <v/>
      </c>
      <c r="H1195" s="13" t="str">
        <f t="shared" si="1482"/>
        <v/>
      </c>
      <c r="I1195" s="13" t="str">
        <f t="shared" si="1482"/>
        <v/>
      </c>
      <c r="J1195" s="107" t="str">
        <f t="array" ref="J1195">IFERROR(IF(XLOOKUP(CONCAT(E1195,F1195),'MASTER PLAN'!$AB:$AB,'MASTER PLAN'!$M:$M,0,0)=0,"",XLOOKUP(CONCAT(E1195,F1195),'MASTER PLAN'!$AB:$AB,'MASTER PLAN'!$M:$M,0,0)),"")</f>
        <v/>
      </c>
      <c r="K1195" s="107">
        <f t="shared" si="237"/>
        <v>0</v>
      </c>
      <c r="L1195" s="107">
        <f t="shared" si="238"/>
        <v>0</v>
      </c>
      <c r="M1195" s="105" t="s">
        <v>249</v>
      </c>
      <c r="AI1195" s="42"/>
      <c r="BN1195" s="42"/>
      <c r="CS1195" s="42"/>
      <c r="DX1195" s="42"/>
      <c r="FC1195" s="42"/>
      <c r="GH1195" s="42"/>
      <c r="HM1195" s="42"/>
      <c r="IR1195" s="42"/>
      <c r="JW1195" s="42"/>
      <c r="LB1195" s="42"/>
      <c r="MG1195" s="42"/>
      <c r="NL1195" s="42"/>
    </row>
    <row r="1196" ht="15.75" customHeight="1">
      <c r="A1196" s="42"/>
      <c r="D1196" s="38">
        <f t="shared" si="1471"/>
        <v>46053</v>
      </c>
      <c r="E1196" s="31" t="str">
        <f t="shared" ref="E1196:I1196" si="1483">OL23</f>
        <v/>
      </c>
      <c r="F1196" s="31" t="str">
        <f t="shared" si="1483"/>
        <v/>
      </c>
      <c r="G1196" s="31" t="str">
        <f t="shared" si="1483"/>
        <v/>
      </c>
      <c r="H1196" s="13" t="str">
        <f t="shared" si="1483"/>
        <v/>
      </c>
      <c r="I1196" s="13" t="str">
        <f t="shared" si="1483"/>
        <v/>
      </c>
      <c r="J1196" s="107" t="str">
        <f t="array" ref="J1196">IFERROR(IF(XLOOKUP(CONCAT(E1196,F1196),'MASTER PLAN'!$AB:$AB,'MASTER PLAN'!$M:$M,0,0)=0,"",XLOOKUP(CONCAT(E1196,F1196),'MASTER PLAN'!$AB:$AB,'MASTER PLAN'!$M:$M,0,0)),"")</f>
        <v/>
      </c>
      <c r="K1196" s="107">
        <f t="shared" si="237"/>
        <v>0</v>
      </c>
      <c r="L1196" s="107">
        <f t="shared" si="238"/>
        <v>0</v>
      </c>
      <c r="M1196" s="105" t="s">
        <v>249</v>
      </c>
      <c r="AI1196" s="42"/>
      <c r="BN1196" s="42"/>
      <c r="CS1196" s="42"/>
      <c r="DX1196" s="42"/>
      <c r="FC1196" s="42"/>
      <c r="GH1196" s="42"/>
      <c r="HM1196" s="42"/>
      <c r="IR1196" s="42"/>
      <c r="JW1196" s="42"/>
      <c r="LB1196" s="42"/>
      <c r="MG1196" s="42"/>
      <c r="NL1196" s="42"/>
    </row>
    <row r="1197" ht="15.75" customHeight="1">
      <c r="A1197" s="42"/>
      <c r="D1197" s="38">
        <f t="shared" si="1471"/>
        <v>46053</v>
      </c>
      <c r="E1197" s="31" t="str">
        <f t="shared" ref="E1197:I1197" si="1484">OL24</f>
        <v/>
      </c>
      <c r="F1197" s="31" t="str">
        <f t="shared" si="1484"/>
        <v/>
      </c>
      <c r="G1197" s="31" t="str">
        <f t="shared" si="1484"/>
        <v/>
      </c>
      <c r="H1197" s="13" t="str">
        <f t="shared" si="1484"/>
        <v/>
      </c>
      <c r="I1197" s="13" t="str">
        <f t="shared" si="1484"/>
        <v/>
      </c>
      <c r="J1197" s="107" t="str">
        <f t="array" ref="J1197">IFERROR(IF(XLOOKUP(CONCAT(E1197,F1197),'MASTER PLAN'!$AB:$AB,'MASTER PLAN'!$M:$M,0,0)=0,"",XLOOKUP(CONCAT(E1197,F1197),'MASTER PLAN'!$AB:$AB,'MASTER PLAN'!$M:$M,0,0)),"")</f>
        <v/>
      </c>
      <c r="K1197" s="107">
        <f t="shared" si="237"/>
        <v>0</v>
      </c>
      <c r="L1197" s="107">
        <f t="shared" si="238"/>
        <v>0</v>
      </c>
      <c r="M1197" s="105" t="s">
        <v>249</v>
      </c>
      <c r="AI1197" s="42"/>
      <c r="BN1197" s="42"/>
      <c r="CS1197" s="42"/>
      <c r="DX1197" s="42"/>
      <c r="FC1197" s="42"/>
      <c r="GH1197" s="42"/>
      <c r="HM1197" s="42"/>
      <c r="IR1197" s="42"/>
      <c r="JW1197" s="42"/>
      <c r="LB1197" s="42"/>
      <c r="MG1197" s="42"/>
      <c r="NL1197" s="42"/>
    </row>
    <row r="1198" ht="15.75" customHeight="1">
      <c r="A1198" s="42"/>
      <c r="D1198" s="42"/>
      <c r="AI1198" s="42"/>
      <c r="BN1198" s="42"/>
      <c r="CS1198" s="42"/>
      <c r="DX1198" s="42"/>
      <c r="FC1198" s="42"/>
      <c r="GH1198" s="42"/>
      <c r="HM1198" s="42"/>
      <c r="IR1198" s="42"/>
      <c r="JW1198" s="42"/>
      <c r="LB1198" s="42"/>
      <c r="MG1198" s="42"/>
      <c r="NL1198" s="42"/>
    </row>
    <row r="1199" ht="15.75" customHeight="1">
      <c r="A1199" s="42"/>
      <c r="D1199" s="42"/>
      <c r="AI1199" s="42"/>
      <c r="BN1199" s="42"/>
      <c r="CS1199" s="42"/>
      <c r="DX1199" s="42"/>
      <c r="FC1199" s="42"/>
      <c r="GH1199" s="42"/>
      <c r="HM1199" s="42"/>
      <c r="IR1199" s="42"/>
      <c r="JW1199" s="42"/>
      <c r="LB1199" s="42"/>
      <c r="MG1199" s="42"/>
      <c r="NL1199" s="42"/>
    </row>
    <row r="1200" ht="15.75" customHeight="1">
      <c r="A1200" s="42"/>
      <c r="D1200" s="42"/>
      <c r="AI1200" s="42"/>
      <c r="BN1200" s="42"/>
      <c r="CS1200" s="42"/>
      <c r="DX1200" s="42"/>
      <c r="FC1200" s="42"/>
      <c r="GH1200" s="42"/>
      <c r="HM1200" s="42"/>
      <c r="IR1200" s="42"/>
      <c r="JW1200" s="42"/>
      <c r="LB1200" s="42"/>
      <c r="MG1200" s="42"/>
      <c r="NL1200" s="42"/>
    </row>
    <row r="1201" ht="15.75" customHeight="1">
      <c r="A1201" s="42"/>
      <c r="D1201" s="42"/>
      <c r="AI1201" s="42"/>
      <c r="BN1201" s="42"/>
      <c r="CS1201" s="42"/>
      <c r="DX1201" s="42"/>
      <c r="FC1201" s="42"/>
      <c r="GH1201" s="42"/>
      <c r="HM1201" s="42"/>
      <c r="IR1201" s="42"/>
      <c r="JW1201" s="42"/>
      <c r="LB1201" s="42"/>
      <c r="MG1201" s="42"/>
      <c r="NL1201" s="42"/>
    </row>
    <row r="1202" ht="15.75" customHeight="1">
      <c r="A1202" s="42"/>
      <c r="D1202" s="42"/>
      <c r="AI1202" s="42"/>
      <c r="BN1202" s="42"/>
      <c r="CS1202" s="42"/>
      <c r="DX1202" s="42"/>
      <c r="FC1202" s="42"/>
      <c r="GH1202" s="42"/>
      <c r="HM1202" s="42"/>
      <c r="IR1202" s="42"/>
      <c r="JW1202" s="42"/>
      <c r="LB1202" s="42"/>
      <c r="MG1202" s="42"/>
      <c r="NL1202" s="42"/>
    </row>
    <row r="1203" ht="15.75" customHeight="1">
      <c r="A1203" s="42"/>
      <c r="D1203" s="42"/>
      <c r="AI1203" s="42"/>
      <c r="BN1203" s="42"/>
      <c r="CS1203" s="42"/>
      <c r="DX1203" s="42"/>
      <c r="FC1203" s="42"/>
      <c r="GH1203" s="42"/>
      <c r="HM1203" s="42"/>
      <c r="IR1203" s="42"/>
      <c r="JW1203" s="42"/>
      <c r="LB1203" s="42"/>
      <c r="MG1203" s="42"/>
      <c r="NL1203" s="42"/>
    </row>
    <row r="1204" ht="15.75" customHeight="1">
      <c r="A1204" s="42"/>
      <c r="D1204" s="42"/>
      <c r="AI1204" s="42"/>
      <c r="BN1204" s="42"/>
      <c r="CS1204" s="42"/>
      <c r="DX1204" s="42"/>
      <c r="FC1204" s="42"/>
      <c r="GH1204" s="42"/>
      <c r="HM1204" s="42"/>
      <c r="IR1204" s="42"/>
      <c r="JW1204" s="42"/>
      <c r="LB1204" s="42"/>
      <c r="MG1204" s="42"/>
      <c r="NL1204" s="42"/>
    </row>
    <row r="1205" ht="15.75" customHeight="1">
      <c r="A1205" s="42"/>
      <c r="D1205" s="42"/>
      <c r="AI1205" s="42"/>
      <c r="BN1205" s="42"/>
      <c r="CS1205" s="42"/>
      <c r="DX1205" s="42"/>
      <c r="FC1205" s="42"/>
      <c r="GH1205" s="42"/>
      <c r="HM1205" s="42"/>
      <c r="IR1205" s="42"/>
      <c r="JW1205" s="42"/>
      <c r="LB1205" s="42"/>
      <c r="MG1205" s="42"/>
      <c r="NL1205" s="42"/>
    </row>
    <row r="1206" ht="15.75" customHeight="1">
      <c r="A1206" s="42"/>
      <c r="D1206" s="42"/>
      <c r="AI1206" s="42"/>
      <c r="BN1206" s="42"/>
      <c r="CS1206" s="42"/>
      <c r="DX1206" s="42"/>
      <c r="FC1206" s="42"/>
      <c r="GH1206" s="42"/>
      <c r="HM1206" s="42"/>
      <c r="IR1206" s="42"/>
      <c r="JW1206" s="42"/>
      <c r="LB1206" s="42"/>
      <c r="MG1206" s="42"/>
      <c r="NL1206" s="42"/>
    </row>
    <row r="1207" ht="15.75" customHeight="1">
      <c r="A1207" s="42"/>
      <c r="D1207" s="42"/>
      <c r="AI1207" s="42"/>
      <c r="BN1207" s="42"/>
      <c r="CS1207" s="42"/>
      <c r="DX1207" s="42"/>
      <c r="FC1207" s="42"/>
      <c r="GH1207" s="42"/>
      <c r="HM1207" s="42"/>
      <c r="IR1207" s="42"/>
      <c r="JW1207" s="42"/>
      <c r="LB1207" s="42"/>
      <c r="MG1207" s="42"/>
      <c r="NL1207" s="42"/>
    </row>
    <row r="1208" ht="15.75" customHeight="1">
      <c r="A1208" s="42"/>
      <c r="D1208" s="42"/>
      <c r="AI1208" s="42"/>
      <c r="BN1208" s="42"/>
      <c r="CS1208" s="42"/>
      <c r="DX1208" s="42"/>
      <c r="FC1208" s="42"/>
      <c r="GH1208" s="42"/>
      <c r="HM1208" s="42"/>
      <c r="IR1208" s="42"/>
      <c r="JW1208" s="42"/>
      <c r="LB1208" s="42"/>
      <c r="MG1208" s="42"/>
      <c r="NL1208" s="42"/>
    </row>
    <row r="1209" ht="15.75" customHeight="1">
      <c r="A1209" s="42"/>
      <c r="D1209" s="42"/>
      <c r="AI1209" s="42"/>
      <c r="BN1209" s="42"/>
      <c r="CS1209" s="42"/>
      <c r="DX1209" s="42"/>
      <c r="FC1209" s="42"/>
      <c r="GH1209" s="42"/>
      <c r="HM1209" s="42"/>
      <c r="IR1209" s="42"/>
      <c r="JW1209" s="42"/>
      <c r="LB1209" s="42"/>
      <c r="MG1209" s="42"/>
      <c r="NL1209" s="42"/>
    </row>
    <row r="1210" ht="15.75" customHeight="1">
      <c r="A1210" s="42"/>
      <c r="D1210" s="42"/>
      <c r="AI1210" s="42"/>
      <c r="BN1210" s="42"/>
      <c r="CS1210" s="42"/>
      <c r="DX1210" s="42"/>
      <c r="FC1210" s="42"/>
      <c r="GH1210" s="42"/>
      <c r="HM1210" s="42"/>
      <c r="IR1210" s="42"/>
      <c r="JW1210" s="42"/>
      <c r="LB1210" s="42"/>
      <c r="MG1210" s="42"/>
      <c r="NL1210" s="42"/>
    </row>
    <row r="1211" ht="15.75" customHeight="1">
      <c r="A1211" s="42"/>
      <c r="D1211" s="42"/>
      <c r="AI1211" s="42"/>
      <c r="BN1211" s="42"/>
      <c r="CS1211" s="42"/>
      <c r="DX1211" s="42"/>
      <c r="FC1211" s="42"/>
      <c r="GH1211" s="42"/>
      <c r="HM1211" s="42"/>
      <c r="IR1211" s="42"/>
      <c r="JW1211" s="42"/>
      <c r="LB1211" s="42"/>
      <c r="MG1211" s="42"/>
      <c r="NL1211" s="42"/>
    </row>
    <row r="1212" ht="15.75" customHeight="1">
      <c r="A1212" s="42"/>
      <c r="D1212" s="42"/>
      <c r="AI1212" s="42"/>
      <c r="BN1212" s="42"/>
      <c r="CS1212" s="42"/>
      <c r="DX1212" s="42"/>
      <c r="FC1212" s="42"/>
      <c r="GH1212" s="42"/>
      <c r="HM1212" s="42"/>
      <c r="IR1212" s="42"/>
      <c r="JW1212" s="42"/>
      <c r="LB1212" s="42"/>
      <c r="MG1212" s="42"/>
      <c r="NL1212" s="42"/>
    </row>
    <row r="1213" ht="15.75" customHeight="1">
      <c r="A1213" s="42"/>
      <c r="D1213" s="42"/>
      <c r="AI1213" s="42"/>
      <c r="BN1213" s="42"/>
      <c r="CS1213" s="42"/>
      <c r="DX1213" s="42"/>
      <c r="FC1213" s="42"/>
      <c r="GH1213" s="42"/>
      <c r="HM1213" s="42"/>
      <c r="IR1213" s="42"/>
      <c r="JW1213" s="42"/>
      <c r="LB1213" s="42"/>
      <c r="MG1213" s="42"/>
      <c r="NL1213" s="42"/>
    </row>
    <row r="1214" ht="15.75" customHeight="1">
      <c r="A1214" s="42"/>
      <c r="D1214" s="42"/>
      <c r="AI1214" s="42"/>
      <c r="BN1214" s="42"/>
      <c r="CS1214" s="42"/>
      <c r="DX1214" s="42"/>
      <c r="FC1214" s="42"/>
      <c r="GH1214" s="42"/>
      <c r="HM1214" s="42"/>
      <c r="IR1214" s="42"/>
      <c r="JW1214" s="42"/>
      <c r="LB1214" s="42"/>
      <c r="MG1214" s="42"/>
      <c r="NL1214" s="42"/>
    </row>
    <row r="1215" ht="15.75" customHeight="1">
      <c r="A1215" s="42"/>
      <c r="D1215" s="42"/>
      <c r="AI1215" s="42"/>
      <c r="BN1215" s="42"/>
      <c r="CS1215" s="42"/>
      <c r="DX1215" s="42"/>
      <c r="FC1215" s="42"/>
      <c r="GH1215" s="42"/>
      <c r="HM1215" s="42"/>
      <c r="IR1215" s="42"/>
      <c r="JW1215" s="42"/>
      <c r="LB1215" s="42"/>
      <c r="MG1215" s="42"/>
      <c r="NL1215" s="42"/>
    </row>
    <row r="1216" ht="15.75" customHeight="1">
      <c r="A1216" s="42"/>
      <c r="D1216" s="42"/>
      <c r="AI1216" s="42"/>
      <c r="BN1216" s="42"/>
      <c r="CS1216" s="42"/>
      <c r="DX1216" s="42"/>
      <c r="FC1216" s="42"/>
      <c r="GH1216" s="42"/>
      <c r="HM1216" s="42"/>
      <c r="IR1216" s="42"/>
      <c r="JW1216" s="42"/>
      <c r="LB1216" s="42"/>
      <c r="MG1216" s="42"/>
      <c r="NL1216" s="42"/>
    </row>
    <row r="1217" ht="15.75" customHeight="1">
      <c r="A1217" s="42"/>
      <c r="D1217" s="42"/>
      <c r="AI1217" s="42"/>
      <c r="BN1217" s="42"/>
      <c r="CS1217" s="42"/>
      <c r="DX1217" s="42"/>
      <c r="FC1217" s="42"/>
      <c r="GH1217" s="42"/>
      <c r="HM1217" s="42"/>
      <c r="IR1217" s="42"/>
      <c r="JW1217" s="42"/>
      <c r="LB1217" s="42"/>
      <c r="MG1217" s="42"/>
      <c r="NL1217" s="42"/>
    </row>
    <row r="1218" ht="15.75" customHeight="1">
      <c r="A1218" s="42"/>
      <c r="D1218" s="42"/>
      <c r="AI1218" s="42"/>
      <c r="BN1218" s="42"/>
      <c r="CS1218" s="42"/>
      <c r="DX1218" s="42"/>
      <c r="FC1218" s="42"/>
      <c r="GH1218" s="42"/>
      <c r="HM1218" s="42"/>
      <c r="IR1218" s="42"/>
      <c r="JW1218" s="42"/>
      <c r="LB1218" s="42"/>
      <c r="MG1218" s="42"/>
      <c r="NL1218" s="42"/>
    </row>
    <row r="1219" ht="15.75" customHeight="1">
      <c r="A1219" s="42"/>
      <c r="D1219" s="42"/>
      <c r="AI1219" s="42"/>
      <c r="BN1219" s="42"/>
      <c r="CS1219" s="42"/>
      <c r="DX1219" s="42"/>
      <c r="FC1219" s="42"/>
      <c r="GH1219" s="42"/>
      <c r="HM1219" s="42"/>
      <c r="IR1219" s="42"/>
      <c r="JW1219" s="42"/>
      <c r="LB1219" s="42"/>
      <c r="MG1219" s="42"/>
      <c r="NL1219" s="42"/>
    </row>
    <row r="1220" ht="15.75" customHeight="1">
      <c r="A1220" s="42"/>
      <c r="D1220" s="42"/>
      <c r="AI1220" s="42"/>
      <c r="BN1220" s="42"/>
      <c r="CS1220" s="42"/>
      <c r="DX1220" s="42"/>
      <c r="FC1220" s="42"/>
      <c r="GH1220" s="42"/>
      <c r="HM1220" s="42"/>
      <c r="IR1220" s="42"/>
      <c r="JW1220" s="42"/>
      <c r="LB1220" s="42"/>
      <c r="MG1220" s="42"/>
      <c r="NL1220" s="42"/>
    </row>
    <row r="1221" ht="15.75" customHeight="1">
      <c r="A1221" s="42"/>
      <c r="D1221" s="42"/>
      <c r="AI1221" s="42"/>
      <c r="BN1221" s="42"/>
      <c r="CS1221" s="42"/>
      <c r="DX1221" s="42"/>
      <c r="FC1221" s="42"/>
      <c r="GH1221" s="42"/>
      <c r="HM1221" s="42"/>
      <c r="IR1221" s="42"/>
      <c r="JW1221" s="42"/>
      <c r="LB1221" s="42"/>
      <c r="MG1221" s="42"/>
      <c r="NL1221" s="42"/>
    </row>
    <row r="1222" ht="15.75" customHeight="1">
      <c r="A1222" s="42"/>
      <c r="D1222" s="42"/>
      <c r="AI1222" s="42"/>
      <c r="BN1222" s="42"/>
      <c r="CS1222" s="42"/>
      <c r="DX1222" s="42"/>
      <c r="FC1222" s="42"/>
      <c r="GH1222" s="42"/>
      <c r="HM1222" s="42"/>
      <c r="IR1222" s="42"/>
      <c r="JW1222" s="42"/>
      <c r="LB1222" s="42"/>
      <c r="MG1222" s="42"/>
      <c r="NL1222" s="42"/>
    </row>
    <row r="1223" ht="15.75" customHeight="1">
      <c r="A1223" s="42"/>
      <c r="D1223" s="42"/>
      <c r="AI1223" s="42"/>
      <c r="BN1223" s="42"/>
      <c r="CS1223" s="42"/>
      <c r="DX1223" s="42"/>
      <c r="FC1223" s="42"/>
      <c r="GH1223" s="42"/>
      <c r="HM1223" s="42"/>
      <c r="IR1223" s="42"/>
      <c r="JW1223" s="42"/>
      <c r="LB1223" s="42"/>
      <c r="MG1223" s="42"/>
      <c r="NL1223" s="42"/>
    </row>
    <row r="1224" ht="15.75" customHeight="1">
      <c r="A1224" s="42"/>
      <c r="D1224" s="42"/>
      <c r="AI1224" s="42"/>
      <c r="BN1224" s="42"/>
      <c r="CS1224" s="42"/>
      <c r="DX1224" s="42"/>
      <c r="FC1224" s="42"/>
      <c r="GH1224" s="42"/>
      <c r="HM1224" s="42"/>
      <c r="IR1224" s="42"/>
      <c r="JW1224" s="42"/>
      <c r="LB1224" s="42"/>
      <c r="MG1224" s="42"/>
      <c r="NL1224" s="42"/>
    </row>
    <row r="1225" ht="15.75" customHeight="1">
      <c r="A1225" s="42"/>
      <c r="D1225" s="42"/>
      <c r="AI1225" s="42"/>
      <c r="BN1225" s="42"/>
      <c r="CS1225" s="42"/>
      <c r="DX1225" s="42"/>
      <c r="FC1225" s="42"/>
      <c r="GH1225" s="42"/>
      <c r="HM1225" s="42"/>
      <c r="IR1225" s="42"/>
      <c r="JW1225" s="42"/>
      <c r="LB1225" s="42"/>
      <c r="MG1225" s="42"/>
      <c r="NL1225" s="42"/>
    </row>
    <row r="1226" ht="15.75" customHeight="1">
      <c r="A1226" s="42"/>
      <c r="D1226" s="42"/>
      <c r="AI1226" s="42"/>
      <c r="BN1226" s="42"/>
      <c r="CS1226" s="42"/>
      <c r="DX1226" s="42"/>
      <c r="FC1226" s="42"/>
      <c r="GH1226" s="42"/>
      <c r="HM1226" s="42"/>
      <c r="IR1226" s="42"/>
      <c r="JW1226" s="42"/>
      <c r="LB1226" s="42"/>
      <c r="MG1226" s="42"/>
      <c r="NL1226" s="42"/>
    </row>
    <row r="1227" ht="15.75" customHeight="1">
      <c r="A1227" s="42"/>
      <c r="D1227" s="42"/>
      <c r="AI1227" s="42"/>
      <c r="BN1227" s="42"/>
      <c r="CS1227" s="42"/>
      <c r="DX1227" s="42"/>
      <c r="FC1227" s="42"/>
      <c r="GH1227" s="42"/>
      <c r="HM1227" s="42"/>
      <c r="IR1227" s="42"/>
      <c r="JW1227" s="42"/>
      <c r="LB1227" s="42"/>
      <c r="MG1227" s="42"/>
      <c r="NL1227" s="42"/>
    </row>
    <row r="1228" ht="15.75" customHeight="1">
      <c r="A1228" s="42"/>
      <c r="D1228" s="42"/>
      <c r="AI1228" s="42"/>
      <c r="BN1228" s="42"/>
      <c r="CS1228" s="42"/>
      <c r="DX1228" s="42"/>
      <c r="FC1228" s="42"/>
      <c r="GH1228" s="42"/>
      <c r="HM1228" s="42"/>
      <c r="IR1228" s="42"/>
      <c r="JW1228" s="42"/>
      <c r="LB1228" s="42"/>
      <c r="MG1228" s="42"/>
      <c r="NL1228" s="42"/>
    </row>
    <row r="1229" ht="15.75" customHeight="1">
      <c r="A1229" s="42"/>
      <c r="D1229" s="42"/>
      <c r="AI1229" s="42"/>
      <c r="BN1229" s="42"/>
      <c r="CS1229" s="42"/>
      <c r="DX1229" s="42"/>
      <c r="FC1229" s="42"/>
      <c r="GH1229" s="42"/>
      <c r="HM1229" s="42"/>
      <c r="IR1229" s="42"/>
      <c r="JW1229" s="42"/>
      <c r="LB1229" s="42"/>
      <c r="MG1229" s="42"/>
      <c r="NL1229" s="42"/>
    </row>
    <row r="1230" ht="15.75" customHeight="1">
      <c r="A1230" s="42"/>
      <c r="D1230" s="42"/>
      <c r="AI1230" s="42"/>
      <c r="BN1230" s="42"/>
      <c r="CS1230" s="42"/>
      <c r="DX1230" s="42"/>
      <c r="FC1230" s="42"/>
      <c r="GH1230" s="42"/>
      <c r="HM1230" s="42"/>
      <c r="IR1230" s="42"/>
      <c r="JW1230" s="42"/>
      <c r="LB1230" s="42"/>
      <c r="MG1230" s="42"/>
      <c r="NL1230" s="42"/>
    </row>
    <row r="1231" ht="15.75" customHeight="1">
      <c r="A1231" s="42"/>
      <c r="D1231" s="42"/>
      <c r="AI1231" s="42"/>
      <c r="BN1231" s="42"/>
      <c r="CS1231" s="42"/>
      <c r="DX1231" s="42"/>
      <c r="FC1231" s="42"/>
      <c r="GH1231" s="42"/>
      <c r="HM1231" s="42"/>
      <c r="IR1231" s="42"/>
      <c r="JW1231" s="42"/>
      <c r="LB1231" s="42"/>
      <c r="MG1231" s="42"/>
      <c r="NL1231" s="42"/>
    </row>
    <row r="1232" ht="15.75" customHeight="1">
      <c r="A1232" s="42"/>
      <c r="D1232" s="42"/>
      <c r="AI1232" s="42"/>
      <c r="BN1232" s="42"/>
      <c r="CS1232" s="42"/>
      <c r="DX1232" s="42"/>
      <c r="FC1232" s="42"/>
      <c r="GH1232" s="42"/>
      <c r="HM1232" s="42"/>
      <c r="IR1232" s="42"/>
      <c r="JW1232" s="42"/>
      <c r="LB1232" s="42"/>
      <c r="MG1232" s="42"/>
      <c r="NL1232" s="42"/>
    </row>
    <row r="1233" ht="15.75" customHeight="1">
      <c r="A1233" s="42"/>
      <c r="D1233" s="42"/>
      <c r="AI1233" s="42"/>
      <c r="BN1233" s="42"/>
      <c r="CS1233" s="42"/>
      <c r="DX1233" s="42"/>
      <c r="FC1233" s="42"/>
      <c r="GH1233" s="42"/>
      <c r="HM1233" s="42"/>
      <c r="IR1233" s="42"/>
      <c r="JW1233" s="42"/>
      <c r="LB1233" s="42"/>
      <c r="MG1233" s="42"/>
      <c r="NL1233" s="42"/>
    </row>
    <row r="1234" ht="15.75" customHeight="1">
      <c r="A1234" s="42"/>
      <c r="D1234" s="42"/>
      <c r="AI1234" s="42"/>
      <c r="BN1234" s="42"/>
      <c r="CS1234" s="42"/>
      <c r="DX1234" s="42"/>
      <c r="FC1234" s="42"/>
      <c r="GH1234" s="42"/>
      <c r="HM1234" s="42"/>
      <c r="IR1234" s="42"/>
      <c r="JW1234" s="42"/>
      <c r="LB1234" s="42"/>
      <c r="MG1234" s="42"/>
      <c r="NL1234" s="42"/>
    </row>
    <row r="1235" ht="15.75" customHeight="1">
      <c r="A1235" s="42"/>
      <c r="D1235" s="42"/>
      <c r="AI1235" s="42"/>
      <c r="BN1235" s="42"/>
      <c r="CS1235" s="42"/>
      <c r="DX1235" s="42"/>
      <c r="FC1235" s="42"/>
      <c r="GH1235" s="42"/>
      <c r="HM1235" s="42"/>
      <c r="IR1235" s="42"/>
      <c r="JW1235" s="42"/>
      <c r="LB1235" s="42"/>
      <c r="MG1235" s="42"/>
      <c r="NL1235" s="42"/>
    </row>
    <row r="1236" ht="15.75" customHeight="1">
      <c r="A1236" s="42"/>
      <c r="D1236" s="42"/>
      <c r="AI1236" s="42"/>
      <c r="BN1236" s="42"/>
      <c r="CS1236" s="42"/>
      <c r="DX1236" s="42"/>
      <c r="FC1236" s="42"/>
      <c r="GH1236" s="42"/>
      <c r="HM1236" s="42"/>
      <c r="IR1236" s="42"/>
      <c r="JW1236" s="42"/>
      <c r="LB1236" s="42"/>
      <c r="MG1236" s="42"/>
      <c r="NL1236" s="42"/>
    </row>
    <row r="1237" ht="15.75" customHeight="1">
      <c r="A1237" s="42"/>
      <c r="D1237" s="42"/>
      <c r="AI1237" s="42"/>
      <c r="BN1237" s="42"/>
      <c r="CS1237" s="42"/>
      <c r="DX1237" s="42"/>
      <c r="FC1237" s="42"/>
      <c r="GH1237" s="42"/>
      <c r="HM1237" s="42"/>
      <c r="IR1237" s="42"/>
      <c r="JW1237" s="42"/>
      <c r="LB1237" s="42"/>
      <c r="MG1237" s="42"/>
      <c r="NL1237" s="42"/>
    </row>
    <row r="1238" ht="15.75" customHeight="1">
      <c r="A1238" s="42"/>
      <c r="D1238" s="42"/>
      <c r="AI1238" s="42"/>
      <c r="BN1238" s="42"/>
      <c r="CS1238" s="42"/>
      <c r="DX1238" s="42"/>
      <c r="FC1238" s="42"/>
      <c r="GH1238" s="42"/>
      <c r="HM1238" s="42"/>
      <c r="IR1238" s="42"/>
      <c r="JW1238" s="42"/>
      <c r="LB1238" s="42"/>
      <c r="MG1238" s="42"/>
      <c r="NL1238" s="42"/>
    </row>
    <row r="1239" ht="15.75" customHeight="1">
      <c r="A1239" s="42"/>
      <c r="D1239" s="42"/>
      <c r="AI1239" s="42"/>
      <c r="BN1239" s="42"/>
      <c r="CS1239" s="42"/>
      <c r="DX1239" s="42"/>
      <c r="FC1239" s="42"/>
      <c r="GH1239" s="42"/>
      <c r="HM1239" s="42"/>
      <c r="IR1239" s="42"/>
      <c r="JW1239" s="42"/>
      <c r="LB1239" s="42"/>
      <c r="MG1239" s="42"/>
      <c r="NL1239" s="42"/>
    </row>
    <row r="1240" ht="15.75" customHeight="1">
      <c r="A1240" s="42"/>
      <c r="D1240" s="42"/>
      <c r="AI1240" s="42"/>
      <c r="BN1240" s="42"/>
      <c r="CS1240" s="42"/>
      <c r="DX1240" s="42"/>
      <c r="FC1240" s="42"/>
      <c r="GH1240" s="42"/>
      <c r="HM1240" s="42"/>
      <c r="IR1240" s="42"/>
      <c r="JW1240" s="42"/>
      <c r="LB1240" s="42"/>
      <c r="MG1240" s="42"/>
      <c r="NL1240" s="42"/>
    </row>
    <row r="1241" ht="15.75" customHeight="1">
      <c r="A1241" s="42"/>
      <c r="D1241" s="42"/>
      <c r="AI1241" s="42"/>
      <c r="BN1241" s="42"/>
      <c r="CS1241" s="42"/>
      <c r="DX1241" s="42"/>
      <c r="FC1241" s="42"/>
      <c r="GH1241" s="42"/>
      <c r="HM1241" s="42"/>
      <c r="IR1241" s="42"/>
      <c r="JW1241" s="42"/>
      <c r="LB1241" s="42"/>
      <c r="MG1241" s="42"/>
      <c r="NL1241" s="42"/>
    </row>
    <row r="1242" ht="15.75" customHeight="1">
      <c r="A1242" s="42"/>
      <c r="D1242" s="42"/>
      <c r="AI1242" s="42"/>
      <c r="BN1242" s="42"/>
      <c r="CS1242" s="42"/>
      <c r="DX1242" s="42"/>
      <c r="FC1242" s="42"/>
      <c r="GH1242" s="42"/>
      <c r="HM1242" s="42"/>
      <c r="IR1242" s="42"/>
      <c r="JW1242" s="42"/>
      <c r="LB1242" s="42"/>
      <c r="MG1242" s="42"/>
      <c r="NL1242" s="42"/>
    </row>
    <row r="1243" ht="15.75" customHeight="1">
      <c r="A1243" s="42"/>
      <c r="D1243" s="42"/>
      <c r="AI1243" s="42"/>
      <c r="BN1243" s="42"/>
      <c r="CS1243" s="42"/>
      <c r="DX1243" s="42"/>
      <c r="FC1243" s="42"/>
      <c r="GH1243" s="42"/>
      <c r="HM1243" s="42"/>
      <c r="IR1243" s="42"/>
      <c r="JW1243" s="42"/>
      <c r="LB1243" s="42"/>
      <c r="MG1243" s="42"/>
      <c r="NL1243" s="42"/>
    </row>
    <row r="1244" ht="15.75" customHeight="1">
      <c r="A1244" s="42"/>
      <c r="D1244" s="42"/>
      <c r="AI1244" s="42"/>
      <c r="BN1244" s="42"/>
      <c r="CS1244" s="42"/>
      <c r="DX1244" s="42"/>
      <c r="FC1244" s="42"/>
      <c r="GH1244" s="42"/>
      <c r="HM1244" s="42"/>
      <c r="IR1244" s="42"/>
      <c r="JW1244" s="42"/>
      <c r="LB1244" s="42"/>
      <c r="MG1244" s="42"/>
      <c r="NL1244" s="42"/>
    </row>
    <row r="1245" ht="15.75" customHeight="1">
      <c r="A1245" s="42"/>
      <c r="D1245" s="42"/>
      <c r="AI1245" s="42"/>
      <c r="BN1245" s="42"/>
      <c r="CS1245" s="42"/>
      <c r="DX1245" s="42"/>
      <c r="FC1245" s="42"/>
      <c r="GH1245" s="42"/>
      <c r="HM1245" s="42"/>
      <c r="IR1245" s="42"/>
      <c r="JW1245" s="42"/>
      <c r="LB1245" s="42"/>
      <c r="MG1245" s="42"/>
      <c r="NL1245" s="42"/>
    </row>
    <row r="1246" ht="15.75" customHeight="1">
      <c r="A1246" s="42"/>
      <c r="D1246" s="42"/>
      <c r="AI1246" s="42"/>
      <c r="BN1246" s="42"/>
      <c r="CS1246" s="42"/>
      <c r="DX1246" s="42"/>
      <c r="FC1246" s="42"/>
      <c r="GH1246" s="42"/>
      <c r="HM1246" s="42"/>
      <c r="IR1246" s="42"/>
      <c r="JW1246" s="42"/>
      <c r="LB1246" s="42"/>
      <c r="MG1246" s="42"/>
      <c r="NL1246" s="42"/>
    </row>
    <row r="1247" ht="15.75" customHeight="1">
      <c r="A1247" s="42"/>
      <c r="D1247" s="42"/>
      <c r="AI1247" s="42"/>
      <c r="BN1247" s="42"/>
      <c r="CS1247" s="42"/>
      <c r="DX1247" s="42"/>
      <c r="FC1247" s="42"/>
      <c r="GH1247" s="42"/>
      <c r="HM1247" s="42"/>
      <c r="IR1247" s="42"/>
      <c r="JW1247" s="42"/>
      <c r="LB1247" s="42"/>
      <c r="MG1247" s="42"/>
      <c r="NL1247" s="42"/>
    </row>
    <row r="1248" ht="15.75" customHeight="1">
      <c r="A1248" s="42"/>
      <c r="D1248" s="42"/>
      <c r="AI1248" s="42"/>
      <c r="BN1248" s="42"/>
      <c r="CS1248" s="42"/>
      <c r="DX1248" s="42"/>
      <c r="FC1248" s="42"/>
      <c r="GH1248" s="42"/>
      <c r="HM1248" s="42"/>
      <c r="IR1248" s="42"/>
      <c r="JW1248" s="42"/>
      <c r="LB1248" s="42"/>
      <c r="MG1248" s="42"/>
      <c r="NL1248" s="42"/>
    </row>
    <row r="1249" ht="15.75" customHeight="1">
      <c r="A1249" s="42"/>
      <c r="D1249" s="42"/>
      <c r="AI1249" s="42"/>
      <c r="BN1249" s="42"/>
      <c r="CS1249" s="42"/>
      <c r="DX1249" s="42"/>
      <c r="FC1249" s="42"/>
      <c r="GH1249" s="42"/>
      <c r="HM1249" s="42"/>
      <c r="IR1249" s="42"/>
      <c r="JW1249" s="42"/>
      <c r="LB1249" s="42"/>
      <c r="MG1249" s="42"/>
      <c r="NL1249" s="42"/>
    </row>
    <row r="1250" ht="15.75" customHeight="1">
      <c r="A1250" s="42"/>
      <c r="D1250" s="42"/>
      <c r="AI1250" s="42"/>
      <c r="BN1250" s="42"/>
      <c r="CS1250" s="42"/>
      <c r="DX1250" s="42"/>
      <c r="FC1250" s="42"/>
      <c r="GH1250" s="42"/>
      <c r="HM1250" s="42"/>
      <c r="IR1250" s="42"/>
      <c r="JW1250" s="42"/>
      <c r="LB1250" s="42"/>
      <c r="MG1250" s="42"/>
      <c r="NL1250" s="42"/>
    </row>
    <row r="1251" ht="15.75" customHeight="1">
      <c r="A1251" s="42"/>
      <c r="D1251" s="42"/>
      <c r="AI1251" s="42"/>
      <c r="BN1251" s="42"/>
      <c r="CS1251" s="42"/>
      <c r="DX1251" s="42"/>
      <c r="FC1251" s="42"/>
      <c r="GH1251" s="42"/>
      <c r="HM1251" s="42"/>
      <c r="IR1251" s="42"/>
      <c r="JW1251" s="42"/>
      <c r="LB1251" s="42"/>
      <c r="MG1251" s="42"/>
      <c r="NL1251" s="42"/>
    </row>
    <row r="1252" ht="15.75" customHeight="1">
      <c r="A1252" s="42"/>
      <c r="D1252" s="42"/>
      <c r="AI1252" s="42"/>
      <c r="BN1252" s="42"/>
      <c r="CS1252" s="42"/>
      <c r="DX1252" s="42"/>
      <c r="FC1252" s="42"/>
      <c r="GH1252" s="42"/>
      <c r="HM1252" s="42"/>
      <c r="IR1252" s="42"/>
      <c r="JW1252" s="42"/>
      <c r="LB1252" s="42"/>
      <c r="MG1252" s="42"/>
      <c r="NL1252" s="42"/>
    </row>
    <row r="1253" ht="15.75" customHeight="1">
      <c r="A1253" s="42"/>
      <c r="D1253" s="42"/>
      <c r="AI1253" s="42"/>
      <c r="BN1253" s="42"/>
      <c r="CS1253" s="42"/>
      <c r="DX1253" s="42"/>
      <c r="FC1253" s="42"/>
      <c r="GH1253" s="42"/>
      <c r="HM1253" s="42"/>
      <c r="IR1253" s="42"/>
      <c r="JW1253" s="42"/>
      <c r="LB1253" s="42"/>
      <c r="MG1253" s="42"/>
      <c r="NL1253" s="42"/>
    </row>
    <row r="1254" ht="15.75" customHeight="1">
      <c r="A1254" s="42"/>
      <c r="D1254" s="42"/>
      <c r="AI1254" s="42"/>
      <c r="BN1254" s="42"/>
      <c r="CS1254" s="42"/>
      <c r="DX1254" s="42"/>
      <c r="FC1254" s="42"/>
      <c r="GH1254" s="42"/>
      <c r="HM1254" s="42"/>
      <c r="IR1254" s="42"/>
      <c r="JW1254" s="42"/>
      <c r="LB1254" s="42"/>
      <c r="MG1254" s="42"/>
      <c r="NL1254" s="42"/>
    </row>
    <row r="1255" ht="15.75" customHeight="1">
      <c r="A1255" s="42"/>
      <c r="D1255" s="42"/>
      <c r="AI1255" s="42"/>
      <c r="BN1255" s="42"/>
      <c r="CS1255" s="42"/>
      <c r="DX1255" s="42"/>
      <c r="FC1255" s="42"/>
      <c r="GH1255" s="42"/>
      <c r="HM1255" s="42"/>
      <c r="IR1255" s="42"/>
      <c r="JW1255" s="42"/>
      <c r="LB1255" s="42"/>
      <c r="MG1255" s="42"/>
      <c r="NL1255" s="42"/>
    </row>
    <row r="1256" ht="15.75" customHeight="1">
      <c r="A1256" s="42"/>
      <c r="D1256" s="42"/>
      <c r="AI1256" s="42"/>
      <c r="BN1256" s="42"/>
      <c r="CS1256" s="42"/>
      <c r="DX1256" s="42"/>
      <c r="FC1256" s="42"/>
      <c r="GH1256" s="42"/>
      <c r="HM1256" s="42"/>
      <c r="IR1256" s="42"/>
      <c r="JW1256" s="42"/>
      <c r="LB1256" s="42"/>
      <c r="MG1256" s="42"/>
      <c r="NL1256" s="42"/>
    </row>
    <row r="1257" ht="15.75" customHeight="1">
      <c r="A1257" s="42"/>
      <c r="D1257" s="42"/>
      <c r="AI1257" s="42"/>
      <c r="BN1257" s="42"/>
      <c r="CS1257" s="42"/>
      <c r="DX1257" s="42"/>
      <c r="FC1257" s="42"/>
      <c r="GH1257" s="42"/>
      <c r="HM1257" s="42"/>
      <c r="IR1257" s="42"/>
      <c r="JW1257" s="42"/>
      <c r="LB1257" s="42"/>
      <c r="MG1257" s="42"/>
      <c r="NL1257" s="42"/>
    </row>
    <row r="1258" ht="15.75" customHeight="1">
      <c r="A1258" s="42"/>
      <c r="D1258" s="42"/>
      <c r="AI1258" s="42"/>
      <c r="BN1258" s="42"/>
      <c r="CS1258" s="42"/>
      <c r="DX1258" s="42"/>
      <c r="FC1258" s="42"/>
      <c r="GH1258" s="42"/>
      <c r="HM1258" s="42"/>
      <c r="IR1258" s="42"/>
      <c r="JW1258" s="42"/>
      <c r="LB1258" s="42"/>
      <c r="MG1258" s="42"/>
      <c r="NL1258" s="42"/>
    </row>
    <row r="1259" ht="15.75" customHeight="1">
      <c r="A1259" s="42"/>
      <c r="D1259" s="42"/>
      <c r="AI1259" s="42"/>
      <c r="BN1259" s="42"/>
      <c r="CS1259" s="42"/>
      <c r="DX1259" s="42"/>
      <c r="FC1259" s="42"/>
      <c r="GH1259" s="42"/>
      <c r="HM1259" s="42"/>
      <c r="IR1259" s="42"/>
      <c r="JW1259" s="42"/>
      <c r="LB1259" s="42"/>
      <c r="MG1259" s="42"/>
      <c r="NL1259" s="42"/>
    </row>
    <row r="1260" ht="15.75" customHeight="1">
      <c r="A1260" s="42"/>
      <c r="D1260" s="42"/>
      <c r="AI1260" s="42"/>
      <c r="BN1260" s="42"/>
      <c r="CS1260" s="42"/>
      <c r="DX1260" s="42"/>
      <c r="FC1260" s="42"/>
      <c r="GH1260" s="42"/>
      <c r="HM1260" s="42"/>
      <c r="IR1260" s="42"/>
      <c r="JW1260" s="42"/>
      <c r="LB1260" s="42"/>
      <c r="MG1260" s="42"/>
      <c r="NL1260" s="42"/>
    </row>
    <row r="1261" ht="15.75" customHeight="1">
      <c r="A1261" s="42"/>
      <c r="D1261" s="42"/>
      <c r="AI1261" s="42"/>
      <c r="BN1261" s="42"/>
      <c r="CS1261" s="42"/>
      <c r="DX1261" s="42"/>
      <c r="FC1261" s="42"/>
      <c r="GH1261" s="42"/>
      <c r="HM1261" s="42"/>
      <c r="IR1261" s="42"/>
      <c r="JW1261" s="42"/>
      <c r="LB1261" s="42"/>
      <c r="MG1261" s="42"/>
      <c r="NL1261" s="42"/>
    </row>
    <row r="1262" ht="15.75" customHeight="1">
      <c r="A1262" s="42"/>
      <c r="D1262" s="42"/>
      <c r="AI1262" s="42"/>
      <c r="BN1262" s="42"/>
      <c r="CS1262" s="42"/>
      <c r="DX1262" s="42"/>
      <c r="FC1262" s="42"/>
      <c r="GH1262" s="42"/>
      <c r="HM1262" s="42"/>
      <c r="IR1262" s="42"/>
      <c r="JW1262" s="42"/>
      <c r="LB1262" s="42"/>
      <c r="MG1262" s="42"/>
      <c r="NL1262" s="42"/>
    </row>
    <row r="1263" ht="15.75" customHeight="1">
      <c r="A1263" s="42"/>
      <c r="D1263" s="42"/>
      <c r="AI1263" s="42"/>
      <c r="BN1263" s="42"/>
      <c r="CS1263" s="42"/>
      <c r="DX1263" s="42"/>
      <c r="FC1263" s="42"/>
      <c r="GH1263" s="42"/>
      <c r="HM1263" s="42"/>
      <c r="IR1263" s="42"/>
      <c r="JW1263" s="42"/>
      <c r="LB1263" s="42"/>
      <c r="MG1263" s="42"/>
      <c r="NL1263" s="42"/>
    </row>
    <row r="1264" ht="15.75" customHeight="1">
      <c r="A1264" s="42"/>
      <c r="D1264" s="42"/>
      <c r="AI1264" s="42"/>
      <c r="BN1264" s="42"/>
      <c r="CS1264" s="42"/>
      <c r="DX1264" s="42"/>
      <c r="FC1264" s="42"/>
      <c r="GH1264" s="42"/>
      <c r="HM1264" s="42"/>
      <c r="IR1264" s="42"/>
      <c r="JW1264" s="42"/>
      <c r="LB1264" s="42"/>
      <c r="MG1264" s="42"/>
      <c r="NL1264" s="42"/>
    </row>
    <row r="1265" ht="15.75" customHeight="1">
      <c r="A1265" s="42"/>
      <c r="D1265" s="42"/>
      <c r="AI1265" s="42"/>
      <c r="BN1265" s="42"/>
      <c r="CS1265" s="42"/>
      <c r="DX1265" s="42"/>
      <c r="FC1265" s="42"/>
      <c r="GH1265" s="42"/>
      <c r="HM1265" s="42"/>
      <c r="IR1265" s="42"/>
      <c r="JW1265" s="42"/>
      <c r="LB1265" s="42"/>
      <c r="MG1265" s="42"/>
      <c r="NL1265" s="42"/>
    </row>
    <row r="1266" ht="15.75" customHeight="1">
      <c r="A1266" s="42"/>
      <c r="D1266" s="42"/>
      <c r="AI1266" s="42"/>
      <c r="BN1266" s="42"/>
      <c r="CS1266" s="42"/>
      <c r="DX1266" s="42"/>
      <c r="FC1266" s="42"/>
      <c r="GH1266" s="42"/>
      <c r="HM1266" s="42"/>
      <c r="IR1266" s="42"/>
      <c r="JW1266" s="42"/>
      <c r="LB1266" s="42"/>
      <c r="MG1266" s="42"/>
      <c r="NL1266" s="42"/>
    </row>
    <row r="1267" ht="15.75" customHeight="1">
      <c r="A1267" s="42"/>
      <c r="D1267" s="42"/>
      <c r="AI1267" s="42"/>
      <c r="BN1267" s="42"/>
      <c r="CS1267" s="42"/>
      <c r="DX1267" s="42"/>
      <c r="FC1267" s="42"/>
      <c r="GH1267" s="42"/>
      <c r="HM1267" s="42"/>
      <c r="IR1267" s="42"/>
      <c r="JW1267" s="42"/>
      <c r="LB1267" s="42"/>
      <c r="MG1267" s="42"/>
      <c r="NL1267" s="42"/>
    </row>
    <row r="1268" ht="15.75" customHeight="1">
      <c r="A1268" s="42"/>
      <c r="D1268" s="42"/>
      <c r="AI1268" s="42"/>
      <c r="BN1268" s="42"/>
      <c r="CS1268" s="42"/>
      <c r="DX1268" s="42"/>
      <c r="FC1268" s="42"/>
      <c r="GH1268" s="42"/>
      <c r="HM1268" s="42"/>
      <c r="IR1268" s="42"/>
      <c r="JW1268" s="42"/>
      <c r="LB1268" s="42"/>
      <c r="MG1268" s="42"/>
      <c r="NL1268" s="42"/>
    </row>
    <row r="1269" ht="15.75" customHeight="1">
      <c r="A1269" s="42"/>
      <c r="D1269" s="42"/>
      <c r="AI1269" s="42"/>
      <c r="BN1269" s="42"/>
      <c r="CS1269" s="42"/>
      <c r="DX1269" s="42"/>
      <c r="FC1269" s="42"/>
      <c r="GH1269" s="42"/>
      <c r="HM1269" s="42"/>
      <c r="IR1269" s="42"/>
      <c r="JW1269" s="42"/>
      <c r="LB1269" s="42"/>
      <c r="MG1269" s="42"/>
      <c r="NL1269" s="42"/>
    </row>
    <row r="1270" ht="15.75" customHeight="1">
      <c r="A1270" s="42"/>
      <c r="D1270" s="42"/>
      <c r="AI1270" s="42"/>
      <c r="BN1270" s="42"/>
      <c r="CS1270" s="42"/>
      <c r="DX1270" s="42"/>
      <c r="FC1270" s="42"/>
      <c r="GH1270" s="42"/>
      <c r="HM1270" s="42"/>
      <c r="IR1270" s="42"/>
      <c r="JW1270" s="42"/>
      <c r="LB1270" s="42"/>
      <c r="MG1270" s="42"/>
      <c r="NL1270" s="42"/>
    </row>
    <row r="1271" ht="15.75" customHeight="1">
      <c r="A1271" s="42"/>
      <c r="D1271" s="42"/>
      <c r="AI1271" s="42"/>
      <c r="BN1271" s="42"/>
      <c r="CS1271" s="42"/>
      <c r="DX1271" s="42"/>
      <c r="FC1271" s="42"/>
      <c r="GH1271" s="42"/>
      <c r="HM1271" s="42"/>
      <c r="IR1271" s="42"/>
      <c r="JW1271" s="42"/>
      <c r="LB1271" s="42"/>
      <c r="MG1271" s="42"/>
      <c r="NL1271" s="42"/>
    </row>
    <row r="1272" ht="15.75" customHeight="1">
      <c r="A1272" s="42"/>
      <c r="D1272" s="42"/>
      <c r="AI1272" s="42"/>
      <c r="BN1272" s="42"/>
      <c r="CS1272" s="42"/>
      <c r="DX1272" s="42"/>
      <c r="FC1272" s="42"/>
      <c r="GH1272" s="42"/>
      <c r="HM1272" s="42"/>
      <c r="IR1272" s="42"/>
      <c r="JW1272" s="42"/>
      <c r="LB1272" s="42"/>
      <c r="MG1272" s="42"/>
      <c r="NL1272" s="42"/>
    </row>
    <row r="1273" ht="15.75" customHeight="1">
      <c r="A1273" s="42"/>
      <c r="D1273" s="42"/>
      <c r="AI1273" s="42"/>
      <c r="BN1273" s="42"/>
      <c r="CS1273" s="42"/>
      <c r="DX1273" s="42"/>
      <c r="FC1273" s="42"/>
      <c r="GH1273" s="42"/>
      <c r="HM1273" s="42"/>
      <c r="IR1273" s="42"/>
      <c r="JW1273" s="42"/>
      <c r="LB1273" s="42"/>
      <c r="MG1273" s="42"/>
      <c r="NL1273" s="42"/>
    </row>
    <row r="1274" ht="15.75" customHeight="1">
      <c r="A1274" s="42"/>
      <c r="D1274" s="42"/>
      <c r="AI1274" s="42"/>
      <c r="BN1274" s="42"/>
      <c r="CS1274" s="42"/>
      <c r="DX1274" s="42"/>
      <c r="FC1274" s="42"/>
      <c r="GH1274" s="42"/>
      <c r="HM1274" s="42"/>
      <c r="IR1274" s="42"/>
      <c r="JW1274" s="42"/>
      <c r="LB1274" s="42"/>
      <c r="MG1274" s="42"/>
      <c r="NL1274" s="42"/>
    </row>
    <row r="1275" ht="15.75" customHeight="1">
      <c r="A1275" s="42"/>
      <c r="D1275" s="42"/>
      <c r="AI1275" s="42"/>
      <c r="BN1275" s="42"/>
      <c r="CS1275" s="42"/>
      <c r="DX1275" s="42"/>
      <c r="FC1275" s="42"/>
      <c r="GH1275" s="42"/>
      <c r="HM1275" s="42"/>
      <c r="IR1275" s="42"/>
      <c r="JW1275" s="42"/>
      <c r="LB1275" s="42"/>
      <c r="MG1275" s="42"/>
      <c r="NL1275" s="42"/>
    </row>
    <row r="1276" ht="15.75" customHeight="1">
      <c r="A1276" s="42"/>
      <c r="D1276" s="42"/>
      <c r="AI1276" s="42"/>
      <c r="BN1276" s="42"/>
      <c r="CS1276" s="42"/>
      <c r="DX1276" s="42"/>
      <c r="FC1276" s="42"/>
      <c r="GH1276" s="42"/>
      <c r="HM1276" s="42"/>
      <c r="IR1276" s="42"/>
      <c r="JW1276" s="42"/>
      <c r="LB1276" s="42"/>
      <c r="MG1276" s="42"/>
      <c r="NL1276" s="42"/>
    </row>
    <row r="1277" ht="15.75" customHeight="1">
      <c r="A1277" s="42"/>
      <c r="D1277" s="42"/>
      <c r="AI1277" s="42"/>
      <c r="BN1277" s="42"/>
      <c r="CS1277" s="42"/>
      <c r="DX1277" s="42"/>
      <c r="FC1277" s="42"/>
      <c r="GH1277" s="42"/>
      <c r="HM1277" s="42"/>
      <c r="IR1277" s="42"/>
      <c r="JW1277" s="42"/>
      <c r="LB1277" s="42"/>
      <c r="MG1277" s="42"/>
      <c r="NL1277" s="42"/>
    </row>
    <row r="1278" ht="15.75" customHeight="1">
      <c r="A1278" s="42"/>
      <c r="D1278" s="42"/>
      <c r="AI1278" s="42"/>
      <c r="BN1278" s="42"/>
      <c r="CS1278" s="42"/>
      <c r="DX1278" s="42"/>
      <c r="FC1278" s="42"/>
      <c r="GH1278" s="42"/>
      <c r="HM1278" s="42"/>
      <c r="IR1278" s="42"/>
      <c r="JW1278" s="42"/>
      <c r="LB1278" s="42"/>
      <c r="MG1278" s="42"/>
      <c r="NL1278" s="42"/>
    </row>
    <row r="1279" ht="15.75" customHeight="1">
      <c r="A1279" s="42"/>
      <c r="D1279" s="42"/>
      <c r="AI1279" s="42"/>
      <c r="BN1279" s="42"/>
      <c r="CS1279" s="42"/>
      <c r="DX1279" s="42"/>
      <c r="FC1279" s="42"/>
      <c r="GH1279" s="42"/>
      <c r="HM1279" s="42"/>
      <c r="IR1279" s="42"/>
      <c r="JW1279" s="42"/>
      <c r="LB1279" s="42"/>
      <c r="MG1279" s="42"/>
      <c r="NL1279" s="42"/>
    </row>
    <row r="1280" ht="15.75" customHeight="1">
      <c r="A1280" s="42"/>
      <c r="D1280" s="42"/>
      <c r="AI1280" s="42"/>
      <c r="BN1280" s="42"/>
      <c r="CS1280" s="42"/>
      <c r="DX1280" s="42"/>
      <c r="FC1280" s="42"/>
      <c r="GH1280" s="42"/>
      <c r="HM1280" s="42"/>
      <c r="IR1280" s="42"/>
      <c r="JW1280" s="42"/>
      <c r="LB1280" s="42"/>
      <c r="MG1280" s="42"/>
      <c r="NL1280" s="42"/>
    </row>
    <row r="1281" ht="15.75" customHeight="1">
      <c r="A1281" s="42"/>
      <c r="D1281" s="42"/>
      <c r="AI1281" s="42"/>
      <c r="BN1281" s="42"/>
      <c r="CS1281" s="42"/>
      <c r="DX1281" s="42"/>
      <c r="FC1281" s="42"/>
      <c r="GH1281" s="42"/>
      <c r="HM1281" s="42"/>
      <c r="IR1281" s="42"/>
      <c r="JW1281" s="42"/>
      <c r="LB1281" s="42"/>
      <c r="MG1281" s="42"/>
      <c r="NL1281" s="42"/>
    </row>
    <row r="1282" ht="15.75" customHeight="1">
      <c r="A1282" s="42"/>
      <c r="D1282" s="42"/>
      <c r="AI1282" s="42"/>
      <c r="BN1282" s="42"/>
      <c r="CS1282" s="42"/>
      <c r="DX1282" s="42"/>
      <c r="FC1282" s="42"/>
      <c r="GH1282" s="42"/>
      <c r="HM1282" s="42"/>
      <c r="IR1282" s="42"/>
      <c r="JW1282" s="42"/>
      <c r="LB1282" s="42"/>
      <c r="MG1282" s="42"/>
      <c r="NL1282" s="42"/>
    </row>
    <row r="1283" ht="15.75" customHeight="1">
      <c r="A1283" s="42"/>
      <c r="D1283" s="42"/>
      <c r="AI1283" s="42"/>
      <c r="BN1283" s="42"/>
      <c r="CS1283" s="42"/>
      <c r="DX1283" s="42"/>
      <c r="FC1283" s="42"/>
      <c r="GH1283" s="42"/>
      <c r="HM1283" s="42"/>
      <c r="IR1283" s="42"/>
      <c r="JW1283" s="42"/>
      <c r="LB1283" s="42"/>
      <c r="MG1283" s="42"/>
      <c r="NL1283" s="42"/>
    </row>
    <row r="1284" ht="15.75" customHeight="1">
      <c r="A1284" s="42"/>
      <c r="D1284" s="42"/>
      <c r="AI1284" s="42"/>
      <c r="BN1284" s="42"/>
      <c r="CS1284" s="42"/>
      <c r="DX1284" s="42"/>
      <c r="FC1284" s="42"/>
      <c r="GH1284" s="42"/>
      <c r="HM1284" s="42"/>
      <c r="IR1284" s="42"/>
      <c r="JW1284" s="42"/>
      <c r="LB1284" s="42"/>
      <c r="MG1284" s="42"/>
      <c r="NL1284" s="42"/>
    </row>
    <row r="1285" ht="15.75" customHeight="1">
      <c r="A1285" s="42"/>
      <c r="D1285" s="42"/>
      <c r="AI1285" s="42"/>
      <c r="BN1285" s="42"/>
      <c r="CS1285" s="42"/>
      <c r="DX1285" s="42"/>
      <c r="FC1285" s="42"/>
      <c r="GH1285" s="42"/>
      <c r="HM1285" s="42"/>
      <c r="IR1285" s="42"/>
      <c r="JW1285" s="42"/>
      <c r="LB1285" s="42"/>
      <c r="MG1285" s="42"/>
      <c r="NL1285" s="42"/>
    </row>
    <row r="1286" ht="15.75" customHeight="1">
      <c r="A1286" s="42"/>
      <c r="D1286" s="42"/>
      <c r="AI1286" s="42"/>
      <c r="BN1286" s="42"/>
      <c r="CS1286" s="42"/>
      <c r="DX1286" s="42"/>
      <c r="FC1286" s="42"/>
      <c r="GH1286" s="42"/>
      <c r="HM1286" s="42"/>
      <c r="IR1286" s="42"/>
      <c r="JW1286" s="42"/>
      <c r="LB1286" s="42"/>
      <c r="MG1286" s="42"/>
      <c r="NL1286" s="42"/>
    </row>
    <row r="1287" ht="15.75" customHeight="1">
      <c r="A1287" s="42"/>
      <c r="D1287" s="42"/>
      <c r="AI1287" s="42"/>
      <c r="BN1287" s="42"/>
      <c r="CS1287" s="42"/>
      <c r="DX1287" s="42"/>
      <c r="FC1287" s="42"/>
      <c r="GH1287" s="42"/>
      <c r="HM1287" s="42"/>
      <c r="IR1287" s="42"/>
      <c r="JW1287" s="42"/>
      <c r="LB1287" s="42"/>
      <c r="MG1287" s="42"/>
      <c r="NL1287" s="42"/>
    </row>
    <row r="1288" ht="15.75" customHeight="1">
      <c r="A1288" s="42"/>
      <c r="D1288" s="42"/>
      <c r="AI1288" s="42"/>
      <c r="BN1288" s="42"/>
      <c r="CS1288" s="42"/>
      <c r="DX1288" s="42"/>
      <c r="FC1288" s="42"/>
      <c r="GH1288" s="42"/>
      <c r="HM1288" s="42"/>
      <c r="IR1288" s="42"/>
      <c r="JW1288" s="42"/>
      <c r="LB1288" s="42"/>
      <c r="MG1288" s="42"/>
      <c r="NL1288" s="42"/>
    </row>
    <row r="1289" ht="15.75" customHeight="1">
      <c r="A1289" s="42"/>
      <c r="D1289" s="42"/>
      <c r="AI1289" s="42"/>
      <c r="BN1289" s="42"/>
      <c r="CS1289" s="42"/>
      <c r="DX1289" s="42"/>
      <c r="FC1289" s="42"/>
      <c r="GH1289" s="42"/>
      <c r="HM1289" s="42"/>
      <c r="IR1289" s="42"/>
      <c r="JW1289" s="42"/>
      <c r="LB1289" s="42"/>
      <c r="MG1289" s="42"/>
      <c r="NL1289" s="42"/>
    </row>
    <row r="1290" ht="15.75" customHeight="1">
      <c r="A1290" s="42"/>
      <c r="D1290" s="42"/>
      <c r="AI1290" s="42"/>
      <c r="BN1290" s="42"/>
      <c r="CS1290" s="42"/>
      <c r="DX1290" s="42"/>
      <c r="FC1290" s="42"/>
      <c r="GH1290" s="42"/>
      <c r="HM1290" s="42"/>
      <c r="IR1290" s="42"/>
      <c r="JW1290" s="42"/>
      <c r="LB1290" s="42"/>
      <c r="MG1290" s="42"/>
      <c r="NL1290" s="42"/>
    </row>
    <row r="1291" ht="15.75" customHeight="1">
      <c r="A1291" s="42"/>
      <c r="D1291" s="42"/>
      <c r="AI1291" s="42"/>
      <c r="BN1291" s="42"/>
      <c r="CS1291" s="42"/>
      <c r="DX1291" s="42"/>
      <c r="FC1291" s="42"/>
      <c r="GH1291" s="42"/>
      <c r="HM1291" s="42"/>
      <c r="IR1291" s="42"/>
      <c r="JW1291" s="42"/>
      <c r="LB1291" s="42"/>
      <c r="MG1291" s="42"/>
      <c r="NL1291" s="42"/>
    </row>
    <row r="1292" ht="15.75" customHeight="1">
      <c r="A1292" s="42"/>
      <c r="D1292" s="42"/>
      <c r="AI1292" s="42"/>
      <c r="BN1292" s="42"/>
      <c r="CS1292" s="42"/>
      <c r="DX1292" s="42"/>
      <c r="FC1292" s="42"/>
      <c r="GH1292" s="42"/>
      <c r="HM1292" s="42"/>
      <c r="IR1292" s="42"/>
      <c r="JW1292" s="42"/>
      <c r="LB1292" s="42"/>
      <c r="MG1292" s="42"/>
      <c r="NL1292" s="42"/>
    </row>
    <row r="1293" ht="15.75" customHeight="1">
      <c r="A1293" s="42"/>
      <c r="D1293" s="42"/>
      <c r="AI1293" s="42"/>
      <c r="BN1293" s="42"/>
      <c r="CS1293" s="42"/>
      <c r="DX1293" s="42"/>
      <c r="FC1293" s="42"/>
      <c r="GH1293" s="42"/>
      <c r="HM1293" s="42"/>
      <c r="IR1293" s="42"/>
      <c r="JW1293" s="42"/>
      <c r="LB1293" s="42"/>
      <c r="MG1293" s="42"/>
      <c r="NL1293" s="42"/>
    </row>
    <row r="1294" ht="15.75" customHeight="1">
      <c r="A1294" s="42"/>
      <c r="D1294" s="42"/>
      <c r="AI1294" s="42"/>
      <c r="BN1294" s="42"/>
      <c r="CS1294" s="42"/>
      <c r="DX1294" s="42"/>
      <c r="FC1294" s="42"/>
      <c r="GH1294" s="42"/>
      <c r="HM1294" s="42"/>
      <c r="IR1294" s="42"/>
      <c r="JW1294" s="42"/>
      <c r="LB1294" s="42"/>
      <c r="MG1294" s="42"/>
      <c r="NL1294" s="42"/>
    </row>
    <row r="1295" ht="15.75" customHeight="1">
      <c r="A1295" s="42"/>
      <c r="D1295" s="42"/>
      <c r="AI1295" s="42"/>
      <c r="BN1295" s="42"/>
      <c r="CS1295" s="42"/>
      <c r="DX1295" s="42"/>
      <c r="FC1295" s="42"/>
      <c r="GH1295" s="42"/>
      <c r="HM1295" s="42"/>
      <c r="IR1295" s="42"/>
      <c r="JW1295" s="42"/>
      <c r="LB1295" s="42"/>
      <c r="MG1295" s="42"/>
      <c r="NL1295" s="42"/>
    </row>
    <row r="1296" ht="15.75" customHeight="1">
      <c r="A1296" s="42"/>
      <c r="D1296" s="42"/>
      <c r="AI1296" s="42"/>
      <c r="BN1296" s="42"/>
      <c r="CS1296" s="42"/>
      <c r="DX1296" s="42"/>
      <c r="FC1296" s="42"/>
      <c r="GH1296" s="42"/>
      <c r="HM1296" s="42"/>
      <c r="IR1296" s="42"/>
      <c r="JW1296" s="42"/>
      <c r="LB1296" s="42"/>
      <c r="MG1296" s="42"/>
      <c r="NL1296" s="42"/>
    </row>
    <row r="1297" ht="15.75" customHeight="1">
      <c r="A1297" s="42"/>
      <c r="D1297" s="42"/>
      <c r="AI1297" s="42"/>
      <c r="BN1297" s="42"/>
      <c r="CS1297" s="42"/>
      <c r="DX1297" s="42"/>
      <c r="FC1297" s="42"/>
      <c r="GH1297" s="42"/>
      <c r="HM1297" s="42"/>
      <c r="IR1297" s="42"/>
      <c r="JW1297" s="42"/>
      <c r="LB1297" s="42"/>
      <c r="MG1297" s="42"/>
      <c r="NL1297" s="42"/>
    </row>
    <row r="1298" ht="15.75" customHeight="1">
      <c r="A1298" s="42"/>
      <c r="D1298" s="42"/>
      <c r="AI1298" s="42"/>
      <c r="BN1298" s="42"/>
      <c r="CS1298" s="42"/>
      <c r="DX1298" s="42"/>
      <c r="FC1298" s="42"/>
      <c r="GH1298" s="42"/>
      <c r="HM1298" s="42"/>
      <c r="IR1298" s="42"/>
      <c r="JW1298" s="42"/>
      <c r="LB1298" s="42"/>
      <c r="MG1298" s="42"/>
      <c r="NL1298" s="42"/>
    </row>
    <row r="1299" ht="15.75" customHeight="1">
      <c r="A1299" s="42"/>
      <c r="D1299" s="42"/>
      <c r="AI1299" s="42"/>
      <c r="BN1299" s="42"/>
      <c r="CS1299" s="42"/>
      <c r="DX1299" s="42"/>
      <c r="FC1299" s="42"/>
      <c r="GH1299" s="42"/>
      <c r="HM1299" s="42"/>
      <c r="IR1299" s="42"/>
      <c r="JW1299" s="42"/>
      <c r="LB1299" s="42"/>
      <c r="MG1299" s="42"/>
      <c r="NL1299" s="42"/>
    </row>
    <row r="1300" ht="15.75" customHeight="1">
      <c r="A1300" s="42"/>
      <c r="D1300" s="42"/>
      <c r="AI1300" s="42"/>
      <c r="BN1300" s="42"/>
      <c r="CS1300" s="42"/>
      <c r="DX1300" s="42"/>
      <c r="FC1300" s="42"/>
      <c r="GH1300" s="42"/>
      <c r="HM1300" s="42"/>
      <c r="IR1300" s="42"/>
      <c r="JW1300" s="42"/>
      <c r="LB1300" s="42"/>
      <c r="MG1300" s="42"/>
      <c r="NL1300" s="42"/>
    </row>
    <row r="1301" ht="15.75" customHeight="1">
      <c r="A1301" s="42"/>
      <c r="D1301" s="42"/>
      <c r="AI1301" s="42"/>
      <c r="BN1301" s="42"/>
      <c r="CS1301" s="42"/>
      <c r="DX1301" s="42"/>
      <c r="FC1301" s="42"/>
      <c r="GH1301" s="42"/>
      <c r="HM1301" s="42"/>
      <c r="IR1301" s="42"/>
      <c r="JW1301" s="42"/>
      <c r="LB1301" s="42"/>
      <c r="MG1301" s="42"/>
      <c r="NL1301" s="42"/>
    </row>
    <row r="1302" ht="15.75" customHeight="1">
      <c r="A1302" s="42"/>
      <c r="D1302" s="42"/>
      <c r="AI1302" s="42"/>
      <c r="BN1302" s="42"/>
      <c r="CS1302" s="42"/>
      <c r="DX1302" s="42"/>
      <c r="FC1302" s="42"/>
      <c r="GH1302" s="42"/>
      <c r="HM1302" s="42"/>
      <c r="IR1302" s="42"/>
      <c r="JW1302" s="42"/>
      <c r="LB1302" s="42"/>
      <c r="MG1302" s="42"/>
      <c r="NL1302" s="42"/>
    </row>
    <row r="1303" ht="15.75" customHeight="1">
      <c r="A1303" s="42"/>
      <c r="D1303" s="42"/>
      <c r="AI1303" s="42"/>
      <c r="BN1303" s="42"/>
      <c r="CS1303" s="42"/>
      <c r="DX1303" s="42"/>
      <c r="FC1303" s="42"/>
      <c r="GH1303" s="42"/>
      <c r="HM1303" s="42"/>
      <c r="IR1303" s="42"/>
      <c r="JW1303" s="42"/>
      <c r="LB1303" s="42"/>
      <c r="MG1303" s="42"/>
      <c r="NL1303" s="42"/>
    </row>
    <row r="1304" ht="15.75" customHeight="1">
      <c r="A1304" s="42"/>
      <c r="D1304" s="42"/>
      <c r="AI1304" s="42"/>
      <c r="BN1304" s="42"/>
      <c r="CS1304" s="42"/>
      <c r="DX1304" s="42"/>
      <c r="FC1304" s="42"/>
      <c r="GH1304" s="42"/>
      <c r="HM1304" s="42"/>
      <c r="IR1304" s="42"/>
      <c r="JW1304" s="42"/>
      <c r="LB1304" s="42"/>
      <c r="MG1304" s="42"/>
      <c r="NL1304" s="42"/>
    </row>
    <row r="1305" ht="15.75" customHeight="1">
      <c r="A1305" s="42"/>
      <c r="D1305" s="42"/>
      <c r="AI1305" s="42"/>
      <c r="BN1305" s="42"/>
      <c r="CS1305" s="42"/>
      <c r="DX1305" s="42"/>
      <c r="FC1305" s="42"/>
      <c r="GH1305" s="42"/>
      <c r="HM1305" s="42"/>
      <c r="IR1305" s="42"/>
      <c r="JW1305" s="42"/>
      <c r="LB1305" s="42"/>
      <c r="MG1305" s="42"/>
      <c r="NL1305" s="42"/>
    </row>
    <row r="1306" ht="15.75" customHeight="1">
      <c r="A1306" s="42"/>
      <c r="D1306" s="42"/>
      <c r="AI1306" s="42"/>
      <c r="BN1306" s="42"/>
      <c r="CS1306" s="42"/>
      <c r="DX1306" s="42"/>
      <c r="FC1306" s="42"/>
      <c r="GH1306" s="42"/>
      <c r="HM1306" s="42"/>
      <c r="IR1306" s="42"/>
      <c r="JW1306" s="42"/>
      <c r="LB1306" s="42"/>
      <c r="MG1306" s="42"/>
      <c r="NL1306" s="42"/>
    </row>
    <row r="1307" ht="15.75" customHeight="1">
      <c r="A1307" s="42"/>
      <c r="D1307" s="42"/>
      <c r="AI1307" s="42"/>
      <c r="BN1307" s="42"/>
      <c r="CS1307" s="42"/>
      <c r="DX1307" s="42"/>
      <c r="FC1307" s="42"/>
      <c r="GH1307" s="42"/>
      <c r="HM1307" s="42"/>
      <c r="IR1307" s="42"/>
      <c r="JW1307" s="42"/>
      <c r="LB1307" s="42"/>
      <c r="MG1307" s="42"/>
      <c r="NL1307" s="42"/>
    </row>
    <row r="1308" ht="15.75" customHeight="1">
      <c r="A1308" s="42"/>
      <c r="D1308" s="42"/>
      <c r="AI1308" s="42"/>
      <c r="BN1308" s="42"/>
      <c r="CS1308" s="42"/>
      <c r="DX1308" s="42"/>
      <c r="FC1308" s="42"/>
      <c r="GH1308" s="42"/>
      <c r="HM1308" s="42"/>
      <c r="IR1308" s="42"/>
      <c r="JW1308" s="42"/>
      <c r="LB1308" s="42"/>
      <c r="MG1308" s="42"/>
      <c r="NL1308" s="42"/>
    </row>
    <row r="1309" ht="15.75" customHeight="1">
      <c r="A1309" s="42"/>
      <c r="D1309" s="42"/>
      <c r="AI1309" s="42"/>
      <c r="BN1309" s="42"/>
      <c r="CS1309" s="42"/>
      <c r="DX1309" s="42"/>
      <c r="FC1309" s="42"/>
      <c r="GH1309" s="42"/>
      <c r="HM1309" s="42"/>
      <c r="IR1309" s="42"/>
      <c r="JW1309" s="42"/>
      <c r="LB1309" s="42"/>
      <c r="MG1309" s="42"/>
      <c r="NL1309" s="42"/>
    </row>
    <row r="1310" ht="15.75" customHeight="1">
      <c r="A1310" s="42"/>
      <c r="D1310" s="42"/>
      <c r="AI1310" s="42"/>
      <c r="BN1310" s="42"/>
      <c r="CS1310" s="42"/>
      <c r="DX1310" s="42"/>
      <c r="FC1310" s="42"/>
      <c r="GH1310" s="42"/>
      <c r="HM1310" s="42"/>
      <c r="IR1310" s="42"/>
      <c r="JW1310" s="42"/>
      <c r="LB1310" s="42"/>
      <c r="MG1310" s="42"/>
      <c r="NL1310" s="42"/>
    </row>
    <row r="1311" ht="15.75" customHeight="1">
      <c r="A1311" s="42"/>
      <c r="D1311" s="42"/>
      <c r="AI1311" s="42"/>
      <c r="BN1311" s="42"/>
      <c r="CS1311" s="42"/>
      <c r="DX1311" s="42"/>
      <c r="FC1311" s="42"/>
      <c r="GH1311" s="42"/>
      <c r="HM1311" s="42"/>
      <c r="IR1311" s="42"/>
      <c r="JW1311" s="42"/>
      <c r="LB1311" s="42"/>
      <c r="MG1311" s="42"/>
      <c r="NL1311" s="42"/>
    </row>
    <row r="1312" ht="15.75" customHeight="1">
      <c r="A1312" s="42"/>
      <c r="D1312" s="42"/>
      <c r="AI1312" s="42"/>
      <c r="BN1312" s="42"/>
      <c r="CS1312" s="42"/>
      <c r="DX1312" s="42"/>
      <c r="FC1312" s="42"/>
      <c r="GH1312" s="42"/>
      <c r="HM1312" s="42"/>
      <c r="IR1312" s="42"/>
      <c r="JW1312" s="42"/>
      <c r="LB1312" s="42"/>
      <c r="MG1312" s="42"/>
      <c r="NL1312" s="42"/>
    </row>
    <row r="1313" ht="15.75" customHeight="1">
      <c r="A1313" s="42"/>
      <c r="D1313" s="42"/>
      <c r="AI1313" s="42"/>
      <c r="BN1313" s="42"/>
      <c r="CS1313" s="42"/>
      <c r="DX1313" s="42"/>
      <c r="FC1313" s="42"/>
      <c r="GH1313" s="42"/>
      <c r="HM1313" s="42"/>
      <c r="IR1313" s="42"/>
      <c r="JW1313" s="42"/>
      <c r="LB1313" s="42"/>
      <c r="MG1313" s="42"/>
      <c r="NL1313" s="42"/>
    </row>
    <row r="1314" ht="15.75" customHeight="1">
      <c r="A1314" s="42"/>
      <c r="D1314" s="42"/>
      <c r="AI1314" s="42"/>
      <c r="BN1314" s="42"/>
      <c r="CS1314" s="42"/>
      <c r="DX1314" s="42"/>
      <c r="FC1314" s="42"/>
      <c r="GH1314" s="42"/>
      <c r="HM1314" s="42"/>
      <c r="IR1314" s="42"/>
      <c r="JW1314" s="42"/>
      <c r="LB1314" s="42"/>
      <c r="MG1314" s="42"/>
      <c r="NL1314" s="42"/>
    </row>
    <row r="1315" ht="15.75" customHeight="1">
      <c r="A1315" s="42"/>
      <c r="D1315" s="42"/>
      <c r="AI1315" s="42"/>
      <c r="BN1315" s="42"/>
      <c r="CS1315" s="42"/>
      <c r="DX1315" s="42"/>
      <c r="FC1315" s="42"/>
      <c r="GH1315" s="42"/>
      <c r="HM1315" s="42"/>
      <c r="IR1315" s="42"/>
      <c r="JW1315" s="42"/>
      <c r="LB1315" s="42"/>
      <c r="MG1315" s="42"/>
      <c r="NL1315" s="42"/>
    </row>
    <row r="1316" ht="15.75" customHeight="1">
      <c r="A1316" s="42"/>
      <c r="D1316" s="42"/>
      <c r="AI1316" s="42"/>
      <c r="BN1316" s="42"/>
      <c r="CS1316" s="42"/>
      <c r="DX1316" s="42"/>
      <c r="FC1316" s="42"/>
      <c r="GH1316" s="42"/>
      <c r="HM1316" s="42"/>
      <c r="IR1316" s="42"/>
      <c r="JW1316" s="42"/>
      <c r="LB1316" s="42"/>
      <c r="MG1316" s="42"/>
      <c r="NL1316" s="42"/>
    </row>
    <row r="1317" ht="15.75" customHeight="1">
      <c r="A1317" s="42"/>
      <c r="D1317" s="42"/>
      <c r="AI1317" s="42"/>
      <c r="BN1317" s="42"/>
      <c r="CS1317" s="42"/>
      <c r="DX1317" s="42"/>
      <c r="FC1317" s="42"/>
      <c r="GH1317" s="42"/>
      <c r="HM1317" s="42"/>
      <c r="IR1317" s="42"/>
      <c r="JW1317" s="42"/>
      <c r="LB1317" s="42"/>
      <c r="MG1317" s="42"/>
      <c r="NL1317" s="42"/>
    </row>
    <row r="1318" ht="15.75" customHeight="1">
      <c r="A1318" s="42"/>
      <c r="D1318" s="42"/>
      <c r="AI1318" s="42"/>
      <c r="BN1318" s="42"/>
      <c r="CS1318" s="42"/>
      <c r="DX1318" s="42"/>
      <c r="FC1318" s="42"/>
      <c r="GH1318" s="42"/>
      <c r="HM1318" s="42"/>
      <c r="IR1318" s="42"/>
      <c r="JW1318" s="42"/>
      <c r="LB1318" s="42"/>
      <c r="MG1318" s="42"/>
      <c r="NL1318" s="42"/>
    </row>
    <row r="1319" ht="15.75" customHeight="1">
      <c r="A1319" s="42"/>
      <c r="D1319" s="42"/>
      <c r="AI1319" s="42"/>
      <c r="BN1319" s="42"/>
      <c r="CS1319" s="42"/>
      <c r="DX1319" s="42"/>
      <c r="FC1319" s="42"/>
      <c r="GH1319" s="42"/>
      <c r="HM1319" s="42"/>
      <c r="IR1319" s="42"/>
      <c r="JW1319" s="42"/>
      <c r="LB1319" s="42"/>
      <c r="MG1319" s="42"/>
      <c r="NL1319" s="42"/>
    </row>
    <row r="1320" ht="15.75" customHeight="1">
      <c r="A1320" s="42"/>
      <c r="D1320" s="42"/>
      <c r="AI1320" s="42"/>
      <c r="BN1320" s="42"/>
      <c r="CS1320" s="42"/>
      <c r="DX1320" s="42"/>
      <c r="FC1320" s="42"/>
      <c r="GH1320" s="42"/>
      <c r="HM1320" s="42"/>
      <c r="IR1320" s="42"/>
      <c r="JW1320" s="42"/>
      <c r="LB1320" s="42"/>
      <c r="MG1320" s="42"/>
      <c r="NL1320" s="42"/>
    </row>
    <row r="1321" ht="15.75" customHeight="1">
      <c r="A1321" s="42"/>
      <c r="D1321" s="42"/>
      <c r="AI1321" s="42"/>
      <c r="BN1321" s="42"/>
      <c r="CS1321" s="42"/>
      <c r="DX1321" s="42"/>
      <c r="FC1321" s="42"/>
      <c r="GH1321" s="42"/>
      <c r="HM1321" s="42"/>
      <c r="IR1321" s="42"/>
      <c r="JW1321" s="42"/>
      <c r="LB1321" s="42"/>
      <c r="MG1321" s="42"/>
      <c r="NL1321" s="42"/>
    </row>
    <row r="1322" ht="15.75" customHeight="1">
      <c r="A1322" s="42"/>
      <c r="D1322" s="42"/>
      <c r="AI1322" s="42"/>
      <c r="BN1322" s="42"/>
      <c r="CS1322" s="42"/>
      <c r="DX1322" s="42"/>
      <c r="FC1322" s="42"/>
      <c r="GH1322" s="42"/>
      <c r="HM1322" s="42"/>
      <c r="IR1322" s="42"/>
      <c r="JW1322" s="42"/>
      <c r="LB1322" s="42"/>
      <c r="MG1322" s="42"/>
      <c r="NL1322" s="42"/>
    </row>
    <row r="1323" ht="15.75" customHeight="1">
      <c r="A1323" s="42"/>
      <c r="D1323" s="42"/>
      <c r="AI1323" s="42"/>
      <c r="BN1323" s="42"/>
      <c r="CS1323" s="42"/>
      <c r="DX1323" s="42"/>
      <c r="FC1323" s="42"/>
      <c r="GH1323" s="42"/>
      <c r="HM1323" s="42"/>
      <c r="IR1323" s="42"/>
      <c r="JW1323" s="42"/>
      <c r="LB1323" s="42"/>
      <c r="MG1323" s="42"/>
      <c r="NL1323" s="42"/>
    </row>
    <row r="1324" ht="15.75" customHeight="1">
      <c r="A1324" s="42"/>
      <c r="D1324" s="42"/>
      <c r="AI1324" s="42"/>
      <c r="BN1324" s="42"/>
      <c r="CS1324" s="42"/>
      <c r="DX1324" s="42"/>
      <c r="FC1324" s="42"/>
      <c r="GH1324" s="42"/>
      <c r="HM1324" s="42"/>
      <c r="IR1324" s="42"/>
      <c r="JW1324" s="42"/>
      <c r="LB1324" s="42"/>
      <c r="MG1324" s="42"/>
      <c r="NL1324" s="42"/>
    </row>
    <row r="1325" ht="15.75" customHeight="1">
      <c r="A1325" s="42"/>
      <c r="D1325" s="42"/>
      <c r="AI1325" s="42"/>
      <c r="BN1325" s="42"/>
      <c r="CS1325" s="42"/>
      <c r="DX1325" s="42"/>
      <c r="FC1325" s="42"/>
      <c r="GH1325" s="42"/>
      <c r="HM1325" s="42"/>
      <c r="IR1325" s="42"/>
      <c r="JW1325" s="42"/>
      <c r="LB1325" s="42"/>
      <c r="MG1325" s="42"/>
      <c r="NL1325" s="42"/>
    </row>
    <row r="1326" ht="15.75" customHeight="1">
      <c r="A1326" s="42"/>
      <c r="D1326" s="42"/>
      <c r="AI1326" s="42"/>
      <c r="BN1326" s="42"/>
      <c r="CS1326" s="42"/>
      <c r="DX1326" s="42"/>
      <c r="FC1326" s="42"/>
      <c r="GH1326" s="42"/>
      <c r="HM1326" s="42"/>
      <c r="IR1326" s="42"/>
      <c r="JW1326" s="42"/>
      <c r="LB1326" s="42"/>
      <c r="MG1326" s="42"/>
      <c r="NL1326" s="42"/>
    </row>
    <row r="1327" ht="15.75" customHeight="1">
      <c r="A1327" s="42"/>
      <c r="D1327" s="42"/>
      <c r="AI1327" s="42"/>
      <c r="BN1327" s="42"/>
      <c r="CS1327" s="42"/>
      <c r="DX1327" s="42"/>
      <c r="FC1327" s="42"/>
      <c r="GH1327" s="42"/>
      <c r="HM1327" s="42"/>
      <c r="IR1327" s="42"/>
      <c r="JW1327" s="42"/>
      <c r="LB1327" s="42"/>
      <c r="MG1327" s="42"/>
      <c r="NL1327" s="42"/>
    </row>
    <row r="1328" ht="15.75" customHeight="1">
      <c r="A1328" s="42"/>
      <c r="D1328" s="42"/>
      <c r="AI1328" s="42"/>
      <c r="BN1328" s="42"/>
      <c r="CS1328" s="42"/>
      <c r="DX1328" s="42"/>
      <c r="FC1328" s="42"/>
      <c r="GH1328" s="42"/>
      <c r="HM1328" s="42"/>
      <c r="IR1328" s="42"/>
      <c r="JW1328" s="42"/>
      <c r="LB1328" s="42"/>
      <c r="MG1328" s="42"/>
      <c r="NL1328" s="42"/>
    </row>
    <row r="1329" ht="15.75" customHeight="1">
      <c r="A1329" s="42"/>
      <c r="D1329" s="42"/>
      <c r="AI1329" s="42"/>
      <c r="BN1329" s="42"/>
      <c r="CS1329" s="42"/>
      <c r="DX1329" s="42"/>
      <c r="FC1329" s="42"/>
      <c r="GH1329" s="42"/>
      <c r="HM1329" s="42"/>
      <c r="IR1329" s="42"/>
      <c r="JW1329" s="42"/>
      <c r="LB1329" s="42"/>
      <c r="MG1329" s="42"/>
      <c r="NL1329" s="42"/>
    </row>
    <row r="1330" ht="15.75" customHeight="1">
      <c r="A1330" s="42"/>
      <c r="D1330" s="42"/>
      <c r="AI1330" s="42"/>
      <c r="BN1330" s="42"/>
      <c r="CS1330" s="42"/>
      <c r="DX1330" s="42"/>
      <c r="FC1330" s="42"/>
      <c r="GH1330" s="42"/>
      <c r="HM1330" s="42"/>
      <c r="IR1330" s="42"/>
      <c r="JW1330" s="42"/>
      <c r="LB1330" s="42"/>
      <c r="MG1330" s="42"/>
      <c r="NL1330" s="42"/>
    </row>
    <row r="1331" ht="15.75" customHeight="1">
      <c r="A1331" s="42"/>
      <c r="D1331" s="42"/>
      <c r="AI1331" s="42"/>
      <c r="BN1331" s="42"/>
      <c r="CS1331" s="42"/>
      <c r="DX1331" s="42"/>
      <c r="FC1331" s="42"/>
      <c r="GH1331" s="42"/>
      <c r="HM1331" s="42"/>
      <c r="IR1331" s="42"/>
      <c r="JW1331" s="42"/>
      <c r="LB1331" s="42"/>
      <c r="MG1331" s="42"/>
      <c r="NL1331" s="42"/>
    </row>
    <row r="1332" ht="15.75" customHeight="1">
      <c r="A1332" s="42"/>
      <c r="D1332" s="42"/>
      <c r="AI1332" s="42"/>
      <c r="BN1332" s="42"/>
      <c r="CS1332" s="42"/>
      <c r="DX1332" s="42"/>
      <c r="FC1332" s="42"/>
      <c r="GH1332" s="42"/>
      <c r="HM1332" s="42"/>
      <c r="IR1332" s="42"/>
      <c r="JW1332" s="42"/>
      <c r="LB1332" s="42"/>
      <c r="MG1332" s="42"/>
      <c r="NL1332" s="42"/>
    </row>
    <row r="1333" ht="15.75" customHeight="1">
      <c r="A1333" s="42"/>
      <c r="D1333" s="42"/>
      <c r="AI1333" s="42"/>
      <c r="BN1333" s="42"/>
      <c r="CS1333" s="42"/>
      <c r="DX1333" s="42"/>
      <c r="FC1333" s="42"/>
      <c r="GH1333" s="42"/>
      <c r="HM1333" s="42"/>
      <c r="IR1333" s="42"/>
      <c r="JW1333" s="42"/>
      <c r="LB1333" s="42"/>
      <c r="MG1333" s="42"/>
      <c r="NL1333" s="42"/>
    </row>
    <row r="1334" ht="15.75" customHeight="1">
      <c r="A1334" s="42"/>
      <c r="D1334" s="42"/>
      <c r="AI1334" s="42"/>
      <c r="BN1334" s="42"/>
      <c r="CS1334" s="42"/>
      <c r="DX1334" s="42"/>
      <c r="FC1334" s="42"/>
      <c r="GH1334" s="42"/>
      <c r="HM1334" s="42"/>
      <c r="IR1334" s="42"/>
      <c r="JW1334" s="42"/>
      <c r="LB1334" s="42"/>
      <c r="MG1334" s="42"/>
      <c r="NL1334" s="42"/>
    </row>
    <row r="1335" ht="15.75" customHeight="1">
      <c r="A1335" s="42"/>
      <c r="D1335" s="42"/>
      <c r="AI1335" s="42"/>
      <c r="BN1335" s="42"/>
      <c r="CS1335" s="42"/>
      <c r="DX1335" s="42"/>
      <c r="FC1335" s="42"/>
      <c r="GH1335" s="42"/>
      <c r="HM1335" s="42"/>
      <c r="IR1335" s="42"/>
      <c r="JW1335" s="42"/>
      <c r="LB1335" s="42"/>
      <c r="MG1335" s="42"/>
      <c r="NL1335" s="42"/>
    </row>
    <row r="1336" ht="15.75" customHeight="1">
      <c r="A1336" s="42"/>
      <c r="D1336" s="42"/>
      <c r="AI1336" s="42"/>
      <c r="BN1336" s="42"/>
      <c r="CS1336" s="42"/>
      <c r="DX1336" s="42"/>
      <c r="FC1336" s="42"/>
      <c r="GH1336" s="42"/>
      <c r="HM1336" s="42"/>
      <c r="IR1336" s="42"/>
      <c r="JW1336" s="42"/>
      <c r="LB1336" s="42"/>
      <c r="MG1336" s="42"/>
      <c r="NL1336" s="42"/>
    </row>
    <row r="1337" ht="15.75" customHeight="1">
      <c r="A1337" s="42"/>
      <c r="D1337" s="42"/>
      <c r="AI1337" s="42"/>
      <c r="BN1337" s="42"/>
      <c r="CS1337" s="42"/>
      <c r="DX1337" s="42"/>
      <c r="FC1337" s="42"/>
      <c r="GH1337" s="42"/>
      <c r="HM1337" s="42"/>
      <c r="IR1337" s="42"/>
      <c r="JW1337" s="42"/>
      <c r="LB1337" s="42"/>
      <c r="MG1337" s="42"/>
      <c r="NL1337" s="42"/>
    </row>
    <row r="1338" ht="15.75" customHeight="1">
      <c r="A1338" s="42"/>
      <c r="D1338" s="42"/>
      <c r="AI1338" s="42"/>
      <c r="BN1338" s="42"/>
      <c r="CS1338" s="42"/>
      <c r="DX1338" s="42"/>
      <c r="FC1338" s="42"/>
      <c r="GH1338" s="42"/>
      <c r="HM1338" s="42"/>
      <c r="IR1338" s="42"/>
      <c r="JW1338" s="42"/>
      <c r="LB1338" s="42"/>
      <c r="MG1338" s="42"/>
      <c r="NL1338" s="42"/>
    </row>
    <row r="1339" ht="15.75" customHeight="1">
      <c r="A1339" s="42"/>
      <c r="D1339" s="42"/>
      <c r="AI1339" s="42"/>
      <c r="BN1339" s="42"/>
      <c r="CS1339" s="42"/>
      <c r="DX1339" s="42"/>
      <c r="FC1339" s="42"/>
      <c r="GH1339" s="42"/>
      <c r="HM1339" s="42"/>
      <c r="IR1339" s="42"/>
      <c r="JW1339" s="42"/>
      <c r="LB1339" s="42"/>
      <c r="MG1339" s="42"/>
      <c r="NL1339" s="42"/>
    </row>
    <row r="1340" ht="15.75" customHeight="1">
      <c r="A1340" s="42"/>
      <c r="D1340" s="42"/>
      <c r="AI1340" s="42"/>
      <c r="BN1340" s="42"/>
      <c r="CS1340" s="42"/>
      <c r="DX1340" s="42"/>
      <c r="FC1340" s="42"/>
      <c r="GH1340" s="42"/>
      <c r="HM1340" s="42"/>
      <c r="IR1340" s="42"/>
      <c r="JW1340" s="42"/>
      <c r="LB1340" s="42"/>
      <c r="MG1340" s="42"/>
      <c r="NL1340" s="42"/>
    </row>
    <row r="1341" ht="15.75" customHeight="1">
      <c r="A1341" s="42"/>
      <c r="D1341" s="42"/>
      <c r="AI1341" s="42"/>
      <c r="BN1341" s="42"/>
      <c r="CS1341" s="42"/>
      <c r="DX1341" s="42"/>
      <c r="FC1341" s="42"/>
      <c r="GH1341" s="42"/>
      <c r="HM1341" s="42"/>
      <c r="IR1341" s="42"/>
      <c r="JW1341" s="42"/>
      <c r="LB1341" s="42"/>
      <c r="MG1341" s="42"/>
      <c r="NL1341" s="42"/>
    </row>
    <row r="1342" ht="15.75" customHeight="1">
      <c r="A1342" s="42"/>
      <c r="D1342" s="42"/>
      <c r="AI1342" s="42"/>
      <c r="BN1342" s="42"/>
      <c r="CS1342" s="42"/>
      <c r="DX1342" s="42"/>
      <c r="FC1342" s="42"/>
      <c r="GH1342" s="42"/>
      <c r="HM1342" s="42"/>
      <c r="IR1342" s="42"/>
      <c r="JW1342" s="42"/>
      <c r="LB1342" s="42"/>
      <c r="MG1342" s="42"/>
      <c r="NL1342" s="42"/>
    </row>
    <row r="1343" ht="15.75" customHeight="1">
      <c r="A1343" s="42"/>
      <c r="D1343" s="42"/>
      <c r="AI1343" s="42"/>
      <c r="BN1343" s="42"/>
      <c r="CS1343" s="42"/>
      <c r="DX1343" s="42"/>
      <c r="FC1343" s="42"/>
      <c r="GH1343" s="42"/>
      <c r="HM1343" s="42"/>
      <c r="IR1343" s="42"/>
      <c r="JW1343" s="42"/>
      <c r="LB1343" s="42"/>
      <c r="MG1343" s="42"/>
      <c r="NL1343" s="42"/>
    </row>
    <row r="1344" ht="15.75" customHeight="1">
      <c r="A1344" s="42"/>
      <c r="D1344" s="42"/>
      <c r="AI1344" s="42"/>
      <c r="BN1344" s="42"/>
      <c r="CS1344" s="42"/>
      <c r="DX1344" s="42"/>
      <c r="FC1344" s="42"/>
      <c r="GH1344" s="42"/>
      <c r="HM1344" s="42"/>
      <c r="IR1344" s="42"/>
      <c r="JW1344" s="42"/>
      <c r="LB1344" s="42"/>
      <c r="MG1344" s="42"/>
      <c r="NL1344" s="42"/>
    </row>
    <row r="1345" ht="15.75" customHeight="1">
      <c r="A1345" s="42"/>
      <c r="D1345" s="42"/>
      <c r="AI1345" s="42"/>
      <c r="BN1345" s="42"/>
      <c r="CS1345" s="42"/>
      <c r="DX1345" s="42"/>
      <c r="FC1345" s="42"/>
      <c r="GH1345" s="42"/>
      <c r="HM1345" s="42"/>
      <c r="IR1345" s="42"/>
      <c r="JW1345" s="42"/>
      <c r="LB1345" s="42"/>
      <c r="MG1345" s="42"/>
      <c r="NL1345" s="42"/>
    </row>
    <row r="1346" ht="15.75" customHeight="1">
      <c r="A1346" s="42"/>
      <c r="D1346" s="42"/>
      <c r="AI1346" s="42"/>
      <c r="BN1346" s="42"/>
      <c r="CS1346" s="42"/>
      <c r="DX1346" s="42"/>
      <c r="FC1346" s="42"/>
      <c r="GH1346" s="42"/>
      <c r="HM1346" s="42"/>
      <c r="IR1346" s="42"/>
      <c r="JW1346" s="42"/>
      <c r="LB1346" s="42"/>
      <c r="MG1346" s="42"/>
      <c r="NL1346" s="42"/>
    </row>
    <row r="1347" ht="15.75" customHeight="1">
      <c r="A1347" s="42"/>
      <c r="D1347" s="42"/>
      <c r="AI1347" s="42"/>
      <c r="BN1347" s="42"/>
      <c r="CS1347" s="42"/>
      <c r="DX1347" s="42"/>
      <c r="FC1347" s="42"/>
      <c r="GH1347" s="42"/>
      <c r="HM1347" s="42"/>
      <c r="IR1347" s="42"/>
      <c r="JW1347" s="42"/>
      <c r="LB1347" s="42"/>
      <c r="MG1347" s="42"/>
      <c r="NL1347" s="42"/>
    </row>
    <row r="1348" ht="15.75" customHeight="1">
      <c r="A1348" s="42"/>
      <c r="D1348" s="42"/>
      <c r="AI1348" s="42"/>
      <c r="BN1348" s="42"/>
      <c r="CS1348" s="42"/>
      <c r="DX1348" s="42"/>
      <c r="FC1348" s="42"/>
      <c r="GH1348" s="42"/>
      <c r="HM1348" s="42"/>
      <c r="IR1348" s="42"/>
      <c r="JW1348" s="42"/>
      <c r="LB1348" s="42"/>
      <c r="MG1348" s="42"/>
      <c r="NL1348" s="42"/>
    </row>
    <row r="1349" ht="15.75" customHeight="1">
      <c r="A1349" s="42"/>
      <c r="D1349" s="42"/>
      <c r="AI1349" s="42"/>
      <c r="BN1349" s="42"/>
      <c r="CS1349" s="42"/>
      <c r="DX1349" s="42"/>
      <c r="FC1349" s="42"/>
      <c r="GH1349" s="42"/>
      <c r="HM1349" s="42"/>
      <c r="IR1349" s="42"/>
      <c r="JW1349" s="42"/>
      <c r="LB1349" s="42"/>
      <c r="MG1349" s="42"/>
      <c r="NL1349" s="42"/>
    </row>
    <row r="1350" ht="15.75" customHeight="1">
      <c r="A1350" s="42"/>
      <c r="D1350" s="42"/>
      <c r="AI1350" s="42"/>
      <c r="BN1350" s="42"/>
      <c r="CS1350" s="42"/>
      <c r="DX1350" s="42"/>
      <c r="FC1350" s="42"/>
      <c r="GH1350" s="42"/>
      <c r="HM1350" s="42"/>
      <c r="IR1350" s="42"/>
      <c r="JW1350" s="42"/>
      <c r="LB1350" s="42"/>
      <c r="MG1350" s="42"/>
      <c r="NL1350" s="42"/>
    </row>
    <row r="1351" ht="15.75" customHeight="1">
      <c r="A1351" s="42"/>
      <c r="D1351" s="42"/>
      <c r="AI1351" s="42"/>
      <c r="BN1351" s="42"/>
      <c r="CS1351" s="42"/>
      <c r="DX1351" s="42"/>
      <c r="FC1351" s="42"/>
      <c r="GH1351" s="42"/>
      <c r="HM1351" s="42"/>
      <c r="IR1351" s="42"/>
      <c r="JW1351" s="42"/>
      <c r="LB1351" s="42"/>
      <c r="MG1351" s="42"/>
      <c r="NL1351" s="42"/>
    </row>
    <row r="1352" ht="15.75" customHeight="1">
      <c r="A1352" s="42"/>
      <c r="D1352" s="42"/>
      <c r="AI1352" s="42"/>
      <c r="BN1352" s="42"/>
      <c r="CS1352" s="42"/>
      <c r="DX1352" s="42"/>
      <c r="FC1352" s="42"/>
      <c r="GH1352" s="42"/>
      <c r="HM1352" s="42"/>
      <c r="IR1352" s="42"/>
      <c r="JW1352" s="42"/>
      <c r="LB1352" s="42"/>
      <c r="MG1352" s="42"/>
      <c r="NL1352" s="42"/>
    </row>
    <row r="1353" ht="15.75" customHeight="1">
      <c r="A1353" s="42"/>
      <c r="D1353" s="42"/>
      <c r="AI1353" s="42"/>
      <c r="BN1353" s="42"/>
      <c r="CS1353" s="42"/>
      <c r="DX1353" s="42"/>
      <c r="FC1353" s="42"/>
      <c r="GH1353" s="42"/>
      <c r="HM1353" s="42"/>
      <c r="IR1353" s="42"/>
      <c r="JW1353" s="42"/>
      <c r="LB1353" s="42"/>
      <c r="MG1353" s="42"/>
      <c r="NL1353" s="42"/>
    </row>
    <row r="1354" ht="15.75" customHeight="1">
      <c r="A1354" s="42"/>
      <c r="D1354" s="42"/>
      <c r="AI1354" s="42"/>
      <c r="BN1354" s="42"/>
      <c r="CS1354" s="42"/>
      <c r="DX1354" s="42"/>
      <c r="FC1354" s="42"/>
      <c r="GH1354" s="42"/>
      <c r="HM1354" s="42"/>
      <c r="IR1354" s="42"/>
      <c r="JW1354" s="42"/>
      <c r="LB1354" s="42"/>
      <c r="MG1354" s="42"/>
      <c r="NL1354" s="42"/>
    </row>
    <row r="1355" ht="15.75" customHeight="1">
      <c r="A1355" s="42"/>
      <c r="D1355" s="42"/>
      <c r="AI1355" s="42"/>
      <c r="BN1355" s="42"/>
      <c r="CS1355" s="42"/>
      <c r="DX1355" s="42"/>
      <c r="FC1355" s="42"/>
      <c r="GH1355" s="42"/>
      <c r="HM1355" s="42"/>
      <c r="IR1355" s="42"/>
      <c r="JW1355" s="42"/>
      <c r="LB1355" s="42"/>
      <c r="MG1355" s="42"/>
      <c r="NL1355" s="42"/>
    </row>
    <row r="1356" ht="15.75" customHeight="1">
      <c r="A1356" s="42"/>
      <c r="D1356" s="42"/>
      <c r="AI1356" s="42"/>
      <c r="BN1356" s="42"/>
      <c r="CS1356" s="42"/>
      <c r="DX1356" s="42"/>
      <c r="FC1356" s="42"/>
      <c r="GH1356" s="42"/>
      <c r="HM1356" s="42"/>
      <c r="IR1356" s="42"/>
      <c r="JW1356" s="42"/>
      <c r="LB1356" s="42"/>
      <c r="MG1356" s="42"/>
      <c r="NL1356" s="42"/>
    </row>
    <row r="1357" ht="15.75" customHeight="1">
      <c r="A1357" s="42"/>
      <c r="D1357" s="42"/>
      <c r="AI1357" s="42"/>
      <c r="BN1357" s="42"/>
      <c r="CS1357" s="42"/>
      <c r="DX1357" s="42"/>
      <c r="FC1357" s="42"/>
      <c r="GH1357" s="42"/>
      <c r="HM1357" s="42"/>
      <c r="IR1357" s="42"/>
      <c r="JW1357" s="42"/>
      <c r="LB1357" s="42"/>
      <c r="MG1357" s="42"/>
      <c r="NL1357" s="42"/>
    </row>
    <row r="1358" ht="15.75" customHeight="1">
      <c r="A1358" s="42"/>
      <c r="D1358" s="42"/>
      <c r="AI1358" s="42"/>
      <c r="BN1358" s="42"/>
      <c r="CS1358" s="42"/>
      <c r="DX1358" s="42"/>
      <c r="FC1358" s="42"/>
      <c r="GH1358" s="42"/>
      <c r="HM1358" s="42"/>
      <c r="IR1358" s="42"/>
      <c r="JW1358" s="42"/>
      <c r="LB1358" s="42"/>
      <c r="MG1358" s="42"/>
      <c r="NL1358" s="42"/>
    </row>
    <row r="1359" ht="15.75" customHeight="1">
      <c r="A1359" s="42"/>
      <c r="D1359" s="42"/>
      <c r="AI1359" s="42"/>
      <c r="BN1359" s="42"/>
      <c r="CS1359" s="42"/>
      <c r="DX1359" s="42"/>
      <c r="FC1359" s="42"/>
      <c r="GH1359" s="42"/>
      <c r="HM1359" s="42"/>
      <c r="IR1359" s="42"/>
      <c r="JW1359" s="42"/>
      <c r="LB1359" s="42"/>
      <c r="MG1359" s="42"/>
      <c r="NL1359" s="42"/>
    </row>
    <row r="1360" ht="15.75" customHeight="1">
      <c r="A1360" s="42"/>
      <c r="D1360" s="42"/>
      <c r="AI1360" s="42"/>
      <c r="BN1360" s="42"/>
      <c r="CS1360" s="42"/>
      <c r="DX1360" s="42"/>
      <c r="FC1360" s="42"/>
      <c r="GH1360" s="42"/>
      <c r="HM1360" s="42"/>
      <c r="IR1360" s="42"/>
      <c r="JW1360" s="42"/>
      <c r="LB1360" s="42"/>
      <c r="MG1360" s="42"/>
      <c r="NL1360" s="42"/>
    </row>
    <row r="1361" ht="15.75" customHeight="1">
      <c r="A1361" s="42"/>
      <c r="D1361" s="42"/>
      <c r="AI1361" s="42"/>
      <c r="BN1361" s="42"/>
      <c r="CS1361" s="42"/>
      <c r="DX1361" s="42"/>
      <c r="FC1361" s="42"/>
      <c r="GH1361" s="42"/>
      <c r="HM1361" s="42"/>
      <c r="IR1361" s="42"/>
      <c r="JW1361" s="42"/>
      <c r="LB1361" s="42"/>
      <c r="MG1361" s="42"/>
      <c r="NL1361" s="42"/>
    </row>
    <row r="1362" ht="15.75" customHeight="1">
      <c r="A1362" s="42"/>
      <c r="D1362" s="42"/>
      <c r="AI1362" s="42"/>
      <c r="BN1362" s="42"/>
      <c r="CS1362" s="42"/>
      <c r="DX1362" s="42"/>
      <c r="FC1362" s="42"/>
      <c r="GH1362" s="42"/>
      <c r="HM1362" s="42"/>
      <c r="IR1362" s="42"/>
      <c r="JW1362" s="42"/>
      <c r="LB1362" s="42"/>
      <c r="MG1362" s="42"/>
      <c r="NL1362" s="42"/>
    </row>
    <row r="1363" ht="15.75" customHeight="1">
      <c r="A1363" s="42"/>
      <c r="D1363" s="42"/>
      <c r="AI1363" s="42"/>
      <c r="BN1363" s="42"/>
      <c r="CS1363" s="42"/>
      <c r="DX1363" s="42"/>
      <c r="FC1363" s="42"/>
      <c r="GH1363" s="42"/>
      <c r="HM1363" s="42"/>
      <c r="IR1363" s="42"/>
      <c r="JW1363" s="42"/>
      <c r="LB1363" s="42"/>
      <c r="MG1363" s="42"/>
      <c r="NL1363" s="42"/>
    </row>
    <row r="1364" ht="15.75" customHeight="1">
      <c r="A1364" s="42"/>
      <c r="D1364" s="42"/>
      <c r="AI1364" s="42"/>
      <c r="BN1364" s="42"/>
      <c r="CS1364" s="42"/>
      <c r="DX1364" s="42"/>
      <c r="FC1364" s="42"/>
      <c r="GH1364" s="42"/>
      <c r="HM1364" s="42"/>
      <c r="IR1364" s="42"/>
      <c r="JW1364" s="42"/>
      <c r="LB1364" s="42"/>
      <c r="MG1364" s="42"/>
      <c r="NL1364" s="42"/>
    </row>
    <row r="1365" ht="15.75" customHeight="1">
      <c r="A1365" s="42"/>
      <c r="D1365" s="42"/>
      <c r="AI1365" s="42"/>
      <c r="BN1365" s="42"/>
      <c r="CS1365" s="42"/>
      <c r="DX1365" s="42"/>
      <c r="FC1365" s="42"/>
      <c r="GH1365" s="42"/>
      <c r="HM1365" s="42"/>
      <c r="IR1365" s="42"/>
      <c r="JW1365" s="42"/>
      <c r="LB1365" s="42"/>
      <c r="MG1365" s="42"/>
      <c r="NL1365" s="42"/>
    </row>
    <row r="1366" ht="15.75" customHeight="1">
      <c r="A1366" s="42"/>
      <c r="D1366" s="42"/>
      <c r="AI1366" s="42"/>
      <c r="BN1366" s="42"/>
      <c r="CS1366" s="42"/>
      <c r="DX1366" s="42"/>
      <c r="FC1366" s="42"/>
      <c r="GH1366" s="42"/>
      <c r="HM1366" s="42"/>
      <c r="IR1366" s="42"/>
      <c r="JW1366" s="42"/>
      <c r="LB1366" s="42"/>
      <c r="MG1366" s="42"/>
      <c r="NL1366" s="42"/>
    </row>
    <row r="1367" ht="15.75" customHeight="1">
      <c r="A1367" s="42"/>
      <c r="D1367" s="42"/>
      <c r="AI1367" s="42"/>
      <c r="BN1367" s="42"/>
      <c r="CS1367" s="42"/>
      <c r="DX1367" s="42"/>
      <c r="FC1367" s="42"/>
      <c r="GH1367" s="42"/>
      <c r="HM1367" s="42"/>
      <c r="IR1367" s="42"/>
      <c r="JW1367" s="42"/>
      <c r="LB1367" s="42"/>
      <c r="MG1367" s="42"/>
      <c r="NL1367" s="42"/>
    </row>
    <row r="1368" ht="15.75" customHeight="1">
      <c r="A1368" s="42"/>
      <c r="D1368" s="42"/>
      <c r="AI1368" s="42"/>
      <c r="BN1368" s="42"/>
      <c r="CS1368" s="42"/>
      <c r="DX1368" s="42"/>
      <c r="FC1368" s="42"/>
      <c r="GH1368" s="42"/>
      <c r="HM1368" s="42"/>
      <c r="IR1368" s="42"/>
      <c r="JW1368" s="42"/>
      <c r="LB1368" s="42"/>
      <c r="MG1368" s="42"/>
      <c r="NL1368" s="42"/>
    </row>
    <row r="1369" ht="15.75" customHeight="1">
      <c r="A1369" s="42"/>
      <c r="D1369" s="42"/>
      <c r="AI1369" s="42"/>
      <c r="BN1369" s="42"/>
      <c r="CS1369" s="42"/>
      <c r="DX1369" s="42"/>
      <c r="FC1369" s="42"/>
      <c r="GH1369" s="42"/>
      <c r="HM1369" s="42"/>
      <c r="IR1369" s="42"/>
      <c r="JW1369" s="42"/>
      <c r="LB1369" s="42"/>
      <c r="MG1369" s="42"/>
      <c r="NL1369" s="42"/>
    </row>
    <row r="1370" ht="15.75" customHeight="1">
      <c r="A1370" s="42"/>
      <c r="D1370" s="42"/>
      <c r="AI1370" s="42"/>
      <c r="BN1370" s="42"/>
      <c r="CS1370" s="42"/>
      <c r="DX1370" s="42"/>
      <c r="FC1370" s="42"/>
      <c r="GH1370" s="42"/>
      <c r="HM1370" s="42"/>
      <c r="IR1370" s="42"/>
      <c r="JW1370" s="42"/>
      <c r="LB1370" s="42"/>
      <c r="MG1370" s="42"/>
      <c r="NL1370" s="42"/>
    </row>
    <row r="1371" ht="15.75" customHeight="1">
      <c r="A1371" s="42"/>
      <c r="D1371" s="42"/>
      <c r="AI1371" s="42"/>
      <c r="BN1371" s="42"/>
      <c r="CS1371" s="42"/>
      <c r="DX1371" s="42"/>
      <c r="FC1371" s="42"/>
      <c r="GH1371" s="42"/>
      <c r="HM1371" s="42"/>
      <c r="IR1371" s="42"/>
      <c r="JW1371" s="42"/>
      <c r="LB1371" s="42"/>
      <c r="MG1371" s="42"/>
      <c r="NL1371" s="42"/>
    </row>
    <row r="1372" ht="15.75" customHeight="1">
      <c r="A1372" s="42"/>
      <c r="D1372" s="42"/>
      <c r="AI1372" s="42"/>
      <c r="BN1372" s="42"/>
      <c r="CS1372" s="42"/>
      <c r="DX1372" s="42"/>
      <c r="FC1372" s="42"/>
      <c r="GH1372" s="42"/>
      <c r="HM1372" s="42"/>
      <c r="IR1372" s="42"/>
      <c r="JW1372" s="42"/>
      <c r="LB1372" s="42"/>
      <c r="MG1372" s="42"/>
      <c r="NL1372" s="42"/>
    </row>
    <row r="1373" ht="15.75" customHeight="1">
      <c r="A1373" s="42"/>
      <c r="D1373" s="42"/>
      <c r="AI1373" s="42"/>
      <c r="BN1373" s="42"/>
      <c r="CS1373" s="42"/>
      <c r="DX1373" s="42"/>
      <c r="FC1373" s="42"/>
      <c r="GH1373" s="42"/>
      <c r="HM1373" s="42"/>
      <c r="IR1373" s="42"/>
      <c r="JW1373" s="42"/>
      <c r="LB1373" s="42"/>
      <c r="MG1373" s="42"/>
      <c r="NL1373" s="42"/>
    </row>
    <row r="1374" ht="15.75" customHeight="1">
      <c r="A1374" s="42"/>
      <c r="D1374" s="42"/>
      <c r="AI1374" s="42"/>
      <c r="BN1374" s="42"/>
      <c r="CS1374" s="42"/>
      <c r="DX1374" s="42"/>
      <c r="FC1374" s="42"/>
      <c r="GH1374" s="42"/>
      <c r="HM1374" s="42"/>
      <c r="IR1374" s="42"/>
      <c r="JW1374" s="42"/>
      <c r="LB1374" s="42"/>
      <c r="MG1374" s="42"/>
      <c r="NL1374" s="42"/>
    </row>
    <row r="1375" ht="15.75" customHeight="1">
      <c r="A1375" s="42"/>
      <c r="D1375" s="42"/>
      <c r="AI1375" s="42"/>
      <c r="BN1375" s="42"/>
      <c r="CS1375" s="42"/>
      <c r="DX1375" s="42"/>
      <c r="FC1375" s="42"/>
      <c r="GH1375" s="42"/>
      <c r="HM1375" s="42"/>
      <c r="IR1375" s="42"/>
      <c r="JW1375" s="42"/>
      <c r="LB1375" s="42"/>
      <c r="MG1375" s="42"/>
      <c r="NL1375" s="42"/>
    </row>
    <row r="1376" ht="15.75" customHeight="1">
      <c r="A1376" s="42"/>
      <c r="D1376" s="42"/>
      <c r="AI1376" s="42"/>
      <c r="BN1376" s="42"/>
      <c r="CS1376" s="42"/>
      <c r="DX1376" s="42"/>
      <c r="FC1376" s="42"/>
      <c r="GH1376" s="42"/>
      <c r="HM1376" s="42"/>
      <c r="IR1376" s="42"/>
      <c r="JW1376" s="42"/>
      <c r="LB1376" s="42"/>
      <c r="MG1376" s="42"/>
      <c r="NL1376" s="42"/>
    </row>
    <row r="1377" ht="15.75" customHeight="1">
      <c r="A1377" s="42"/>
      <c r="D1377" s="42"/>
      <c r="AI1377" s="42"/>
      <c r="BN1377" s="42"/>
      <c r="CS1377" s="42"/>
      <c r="DX1377" s="42"/>
      <c r="FC1377" s="42"/>
      <c r="GH1377" s="42"/>
      <c r="HM1377" s="42"/>
      <c r="IR1377" s="42"/>
      <c r="JW1377" s="42"/>
      <c r="LB1377" s="42"/>
      <c r="MG1377" s="42"/>
      <c r="NL1377" s="42"/>
    </row>
    <row r="1378" ht="15.75" customHeight="1">
      <c r="A1378" s="42"/>
      <c r="D1378" s="42"/>
      <c r="AI1378" s="42"/>
      <c r="BN1378" s="42"/>
      <c r="CS1378" s="42"/>
      <c r="DX1378" s="42"/>
      <c r="FC1378" s="42"/>
      <c r="GH1378" s="42"/>
      <c r="HM1378" s="42"/>
      <c r="IR1378" s="42"/>
      <c r="JW1378" s="42"/>
      <c r="LB1378" s="42"/>
      <c r="MG1378" s="42"/>
      <c r="NL1378" s="42"/>
    </row>
    <row r="1379" ht="15.75" customHeight="1">
      <c r="A1379" s="42"/>
      <c r="D1379" s="42"/>
      <c r="AI1379" s="42"/>
      <c r="BN1379" s="42"/>
      <c r="CS1379" s="42"/>
      <c r="DX1379" s="42"/>
      <c r="FC1379" s="42"/>
      <c r="GH1379" s="42"/>
      <c r="HM1379" s="42"/>
      <c r="IR1379" s="42"/>
      <c r="JW1379" s="42"/>
      <c r="LB1379" s="42"/>
      <c r="MG1379" s="42"/>
      <c r="NL1379" s="42"/>
    </row>
    <row r="1380" ht="15.75" customHeight="1">
      <c r="A1380" s="42"/>
      <c r="D1380" s="42"/>
      <c r="AI1380" s="42"/>
      <c r="BN1380" s="42"/>
      <c r="CS1380" s="42"/>
      <c r="DX1380" s="42"/>
      <c r="FC1380" s="42"/>
      <c r="GH1380" s="42"/>
      <c r="HM1380" s="42"/>
      <c r="IR1380" s="42"/>
      <c r="JW1380" s="42"/>
      <c r="LB1380" s="42"/>
      <c r="MG1380" s="42"/>
      <c r="NL1380" s="42"/>
    </row>
    <row r="1381" ht="15.75" customHeight="1">
      <c r="A1381" s="42"/>
      <c r="D1381" s="42"/>
      <c r="AI1381" s="42"/>
      <c r="BN1381" s="42"/>
      <c r="CS1381" s="42"/>
      <c r="DX1381" s="42"/>
      <c r="FC1381" s="42"/>
      <c r="GH1381" s="42"/>
      <c r="HM1381" s="42"/>
      <c r="IR1381" s="42"/>
      <c r="JW1381" s="42"/>
      <c r="LB1381" s="42"/>
      <c r="MG1381" s="42"/>
      <c r="NL1381" s="42"/>
    </row>
    <row r="1382" ht="15.75" customHeight="1">
      <c r="A1382" s="42"/>
      <c r="D1382" s="42"/>
      <c r="AI1382" s="42"/>
      <c r="BN1382" s="42"/>
      <c r="CS1382" s="42"/>
      <c r="DX1382" s="42"/>
      <c r="FC1382" s="42"/>
      <c r="GH1382" s="42"/>
      <c r="HM1382" s="42"/>
      <c r="IR1382" s="42"/>
      <c r="JW1382" s="42"/>
      <c r="LB1382" s="42"/>
      <c r="MG1382" s="42"/>
      <c r="NL1382" s="42"/>
    </row>
    <row r="1383" ht="15.75" customHeight="1">
      <c r="A1383" s="42"/>
      <c r="D1383" s="42"/>
      <c r="AI1383" s="42"/>
      <c r="BN1383" s="42"/>
      <c r="CS1383" s="42"/>
      <c r="DX1383" s="42"/>
      <c r="FC1383" s="42"/>
      <c r="GH1383" s="42"/>
      <c r="HM1383" s="42"/>
      <c r="IR1383" s="42"/>
      <c r="JW1383" s="42"/>
      <c r="LB1383" s="42"/>
      <c r="MG1383" s="42"/>
      <c r="NL1383" s="42"/>
    </row>
    <row r="1384" ht="15.75" customHeight="1">
      <c r="A1384" s="42"/>
      <c r="D1384" s="42"/>
      <c r="AI1384" s="42"/>
      <c r="BN1384" s="42"/>
      <c r="CS1384" s="42"/>
      <c r="DX1384" s="42"/>
      <c r="FC1384" s="42"/>
      <c r="GH1384" s="42"/>
      <c r="HM1384" s="42"/>
      <c r="IR1384" s="42"/>
      <c r="JW1384" s="42"/>
      <c r="LB1384" s="42"/>
      <c r="MG1384" s="42"/>
      <c r="NL1384" s="42"/>
    </row>
    <row r="1385" ht="15.75" customHeight="1">
      <c r="A1385" s="42"/>
      <c r="D1385" s="42"/>
      <c r="AI1385" s="42"/>
      <c r="BN1385" s="42"/>
      <c r="CS1385" s="42"/>
      <c r="DX1385" s="42"/>
      <c r="FC1385" s="42"/>
      <c r="GH1385" s="42"/>
      <c r="HM1385" s="42"/>
      <c r="IR1385" s="42"/>
      <c r="JW1385" s="42"/>
      <c r="LB1385" s="42"/>
      <c r="MG1385" s="42"/>
      <c r="NL1385" s="42"/>
    </row>
    <row r="1386" ht="15.75" customHeight="1">
      <c r="A1386" s="42"/>
      <c r="D1386" s="42"/>
      <c r="AI1386" s="42"/>
      <c r="BN1386" s="42"/>
      <c r="CS1386" s="42"/>
      <c r="DX1386" s="42"/>
      <c r="FC1386" s="42"/>
      <c r="GH1386" s="42"/>
      <c r="HM1386" s="42"/>
      <c r="IR1386" s="42"/>
      <c r="JW1386" s="42"/>
      <c r="LB1386" s="42"/>
      <c r="MG1386" s="42"/>
      <c r="NL1386" s="42"/>
    </row>
    <row r="1387" ht="15.75" customHeight="1">
      <c r="A1387" s="42"/>
      <c r="D1387" s="42"/>
      <c r="AI1387" s="42"/>
      <c r="BN1387" s="42"/>
      <c r="CS1387" s="42"/>
      <c r="DX1387" s="42"/>
      <c r="FC1387" s="42"/>
      <c r="GH1387" s="42"/>
      <c r="HM1387" s="42"/>
      <c r="IR1387" s="42"/>
      <c r="JW1387" s="42"/>
      <c r="LB1387" s="42"/>
      <c r="MG1387" s="42"/>
      <c r="NL1387" s="42"/>
    </row>
    <row r="1388" ht="15.75" customHeight="1">
      <c r="A1388" s="42"/>
      <c r="D1388" s="42"/>
      <c r="AI1388" s="42"/>
      <c r="BN1388" s="42"/>
      <c r="CS1388" s="42"/>
      <c r="DX1388" s="42"/>
      <c r="FC1388" s="42"/>
      <c r="GH1388" s="42"/>
      <c r="HM1388" s="42"/>
      <c r="IR1388" s="42"/>
      <c r="JW1388" s="42"/>
      <c r="LB1388" s="42"/>
      <c r="MG1388" s="42"/>
      <c r="NL1388" s="42"/>
    </row>
    <row r="1389" ht="15.75" customHeight="1">
      <c r="A1389" s="42"/>
      <c r="D1389" s="42"/>
      <c r="AI1389" s="42"/>
      <c r="BN1389" s="42"/>
      <c r="CS1389" s="42"/>
      <c r="DX1389" s="42"/>
      <c r="FC1389" s="42"/>
      <c r="GH1389" s="42"/>
      <c r="HM1389" s="42"/>
      <c r="IR1389" s="42"/>
      <c r="JW1389" s="42"/>
      <c r="LB1389" s="42"/>
      <c r="MG1389" s="42"/>
      <c r="NL1389" s="42"/>
    </row>
    <row r="1390" ht="15.75" customHeight="1">
      <c r="A1390" s="42"/>
      <c r="D1390" s="42"/>
      <c r="AI1390" s="42"/>
      <c r="BN1390" s="42"/>
      <c r="CS1390" s="42"/>
      <c r="DX1390" s="42"/>
      <c r="FC1390" s="42"/>
      <c r="GH1390" s="42"/>
      <c r="HM1390" s="42"/>
      <c r="IR1390" s="42"/>
      <c r="JW1390" s="42"/>
      <c r="LB1390" s="42"/>
      <c r="MG1390" s="42"/>
      <c r="NL1390" s="42"/>
    </row>
    <row r="1391" ht="15.75" customHeight="1">
      <c r="A1391" s="42"/>
      <c r="D1391" s="42"/>
      <c r="AI1391" s="42"/>
      <c r="BN1391" s="42"/>
      <c r="CS1391" s="42"/>
      <c r="DX1391" s="42"/>
      <c r="FC1391" s="42"/>
      <c r="GH1391" s="42"/>
      <c r="HM1391" s="42"/>
      <c r="IR1391" s="42"/>
      <c r="JW1391" s="42"/>
      <c r="LB1391" s="42"/>
      <c r="MG1391" s="42"/>
      <c r="NL1391" s="42"/>
    </row>
    <row r="1392" ht="15.75" customHeight="1">
      <c r="A1392" s="42"/>
      <c r="D1392" s="42"/>
      <c r="AI1392" s="42"/>
      <c r="BN1392" s="42"/>
      <c r="CS1392" s="42"/>
      <c r="DX1392" s="42"/>
      <c r="FC1392" s="42"/>
      <c r="GH1392" s="42"/>
      <c r="HM1392" s="42"/>
      <c r="IR1392" s="42"/>
      <c r="JW1392" s="42"/>
      <c r="LB1392" s="42"/>
      <c r="MG1392" s="42"/>
      <c r="NL1392" s="42"/>
    </row>
    <row r="1393" ht="15.75" customHeight="1">
      <c r="A1393" s="42"/>
      <c r="D1393" s="42"/>
      <c r="AI1393" s="42"/>
      <c r="BN1393" s="42"/>
      <c r="CS1393" s="42"/>
      <c r="DX1393" s="42"/>
      <c r="FC1393" s="42"/>
      <c r="GH1393" s="42"/>
      <c r="HM1393" s="42"/>
      <c r="IR1393" s="42"/>
      <c r="JW1393" s="42"/>
      <c r="LB1393" s="42"/>
      <c r="MG1393" s="42"/>
      <c r="NL1393" s="42"/>
    </row>
    <row r="1394" ht="15.75" customHeight="1">
      <c r="A1394" s="42"/>
      <c r="D1394" s="42"/>
      <c r="AI1394" s="42"/>
      <c r="BN1394" s="42"/>
      <c r="CS1394" s="42"/>
      <c r="DX1394" s="42"/>
      <c r="FC1394" s="42"/>
      <c r="GH1394" s="42"/>
      <c r="HM1394" s="42"/>
      <c r="IR1394" s="42"/>
      <c r="JW1394" s="42"/>
      <c r="LB1394" s="42"/>
      <c r="MG1394" s="42"/>
      <c r="NL1394" s="42"/>
    </row>
    <row r="1395" ht="15.75" customHeight="1">
      <c r="A1395" s="42"/>
      <c r="D1395" s="42"/>
      <c r="AI1395" s="42"/>
      <c r="BN1395" s="42"/>
      <c r="CS1395" s="42"/>
      <c r="DX1395" s="42"/>
      <c r="FC1395" s="42"/>
      <c r="GH1395" s="42"/>
      <c r="HM1395" s="42"/>
      <c r="IR1395" s="42"/>
      <c r="JW1395" s="42"/>
      <c r="LB1395" s="42"/>
      <c r="MG1395" s="42"/>
      <c r="NL1395" s="42"/>
    </row>
    <row r="1396" ht="15.75" customHeight="1">
      <c r="A1396" s="42"/>
      <c r="D1396" s="42"/>
      <c r="AI1396" s="42"/>
      <c r="BN1396" s="42"/>
      <c r="CS1396" s="42"/>
      <c r="DX1396" s="42"/>
      <c r="FC1396" s="42"/>
      <c r="GH1396" s="42"/>
      <c r="HM1396" s="42"/>
      <c r="IR1396" s="42"/>
      <c r="JW1396" s="42"/>
      <c r="LB1396" s="42"/>
      <c r="MG1396" s="42"/>
      <c r="NL1396" s="42"/>
    </row>
    <row r="1397" ht="15.75" customHeight="1">
      <c r="A1397" s="42"/>
      <c r="D1397" s="42"/>
      <c r="AI1397" s="42"/>
      <c r="BN1397" s="42"/>
      <c r="CS1397" s="42"/>
      <c r="DX1397" s="42"/>
      <c r="FC1397" s="42"/>
      <c r="GH1397" s="42"/>
      <c r="HM1397" s="42"/>
      <c r="IR1397" s="42"/>
      <c r="JW1397" s="42"/>
      <c r="LB1397" s="42"/>
      <c r="MG1397" s="42"/>
      <c r="NL1397" s="42"/>
    </row>
  </sheetData>
  <customSheetViews>
    <customSheetView guid="{B4FFDF87-16C3-483D-A8B3-FE09960C6A3D}" filter="1" showAutoFilter="1">
      <autoFilter ref="$D$27:$M$1203"/>
      <extLst>
        <ext uri="GoogleSheetsCustomDataVersion1">
          <go:sheetsCustomData xmlns:go="http://customooxmlschemas.google.com/" filterViewId="1398881417"/>
        </ext>
      </extLst>
    </customSheetView>
    <customSheetView guid="{B4FFDF87-16C3-483D-A8B3-FE09960C6A3D}" filter="1" showAutoFilter="1">
      <autoFilter ref="$D$27:$M$1203"/>
      <extLst>
        <ext uri="GoogleSheetsCustomDataVersion1">
          <go:sheetsCustomData xmlns:go="http://customooxmlschemas.google.com/" filterViewId="2024317784"/>
        </ext>
      </extLst>
    </customSheetView>
    <customSheetView guid="{D19056F8-E614-47AF-9B87-717BE2A9A417}" filter="1" showAutoFilter="1">
      <autoFilter ref="$D$27:$M$1203"/>
      <extLst>
        <ext uri="GoogleSheetsCustomDataVersion1">
          <go:sheetsCustomData xmlns:go="http://customooxmlschemas.google.com/" filterViewId="989819158"/>
        </ext>
      </extLst>
    </customSheetView>
  </customSheetViews>
  <mergeCells count="97">
    <mergeCell ref="EI2:EM2"/>
    <mergeCell ref="EN2:ER2"/>
    <mergeCell ref="D1:D3"/>
    <mergeCell ref="AI1:AI3"/>
    <mergeCell ref="BN1:BN3"/>
    <mergeCell ref="CS1:CS3"/>
    <mergeCell ref="DX1:DX3"/>
    <mergeCell ref="FC1:FC3"/>
    <mergeCell ref="GH1:GH3"/>
    <mergeCell ref="B3:C3"/>
    <mergeCell ref="BO2:BS2"/>
    <mergeCell ref="BT2:BX2"/>
    <mergeCell ref="B4:C8"/>
    <mergeCell ref="B11:C11"/>
    <mergeCell ref="B12:C16"/>
    <mergeCell ref="B19:C19"/>
    <mergeCell ref="B20:C24"/>
    <mergeCell ref="BY2:CC2"/>
    <mergeCell ref="CD2:CH2"/>
    <mergeCell ref="CI2:CM2"/>
    <mergeCell ref="CN2:CR2"/>
    <mergeCell ref="CT2:CX2"/>
    <mergeCell ref="CY2:DC2"/>
    <mergeCell ref="DD2:DH2"/>
    <mergeCell ref="DI2:DM2"/>
    <mergeCell ref="DN2:DR2"/>
    <mergeCell ref="DS2:DW2"/>
    <mergeCell ref="DY2:EC2"/>
    <mergeCell ref="ED2:EH2"/>
    <mergeCell ref="HC2:HG2"/>
    <mergeCell ref="HH2:HL2"/>
    <mergeCell ref="FS2:FW2"/>
    <mergeCell ref="FX2:GB2"/>
    <mergeCell ref="GC2:GG2"/>
    <mergeCell ref="GI2:GM2"/>
    <mergeCell ref="GN2:GR2"/>
    <mergeCell ref="GS2:GW2"/>
    <mergeCell ref="GX2:HB2"/>
    <mergeCell ref="E2:I2"/>
    <mergeCell ref="J2:N2"/>
    <mergeCell ref="O2:S2"/>
    <mergeCell ref="T2:X2"/>
    <mergeCell ref="Y2:AC2"/>
    <mergeCell ref="AD2:AH2"/>
    <mergeCell ref="AJ2:AN2"/>
    <mergeCell ref="AO2:AS2"/>
    <mergeCell ref="AT2:AX2"/>
    <mergeCell ref="AY2:BC2"/>
    <mergeCell ref="BD2:BH2"/>
    <mergeCell ref="BI2:BM2"/>
    <mergeCell ref="ES2:EW2"/>
    <mergeCell ref="EX2:FB2"/>
    <mergeCell ref="FD2:FH2"/>
    <mergeCell ref="FI2:FM2"/>
    <mergeCell ref="FN2:FR2"/>
    <mergeCell ref="HS2:HW2"/>
    <mergeCell ref="HX2:IB2"/>
    <mergeCell ref="KW2:LA2"/>
    <mergeCell ref="LC2:LG2"/>
    <mergeCell ref="LH2:LL2"/>
    <mergeCell ref="LM2:LQ2"/>
    <mergeCell ref="LR2:LV2"/>
    <mergeCell ref="LW2:MA2"/>
    <mergeCell ref="MB2:MF2"/>
    <mergeCell ref="MH2:ML2"/>
    <mergeCell ref="MM2:MQ2"/>
    <mergeCell ref="MR2:MV2"/>
    <mergeCell ref="MW2:NA2"/>
    <mergeCell ref="NB2:NF2"/>
    <mergeCell ref="NM2:NQ2"/>
    <mergeCell ref="NR2:NV2"/>
    <mergeCell ref="NW2:OA2"/>
    <mergeCell ref="OB2:OF2"/>
    <mergeCell ref="OG2:OK2"/>
    <mergeCell ref="OL2:OP2"/>
    <mergeCell ref="HM1:HM3"/>
    <mergeCell ref="IR1:IR3"/>
    <mergeCell ref="JW1:JW3"/>
    <mergeCell ref="LB1:LB3"/>
    <mergeCell ref="MG1:MG3"/>
    <mergeCell ref="NL1:NL3"/>
    <mergeCell ref="HN2:HR2"/>
    <mergeCell ref="NG2:NK2"/>
    <mergeCell ref="IC2:IG2"/>
    <mergeCell ref="IH2:IL2"/>
    <mergeCell ref="IM2:IQ2"/>
    <mergeCell ref="IS2:IW2"/>
    <mergeCell ref="IX2:JB2"/>
    <mergeCell ref="JC2:JG2"/>
    <mergeCell ref="JH2:JL2"/>
    <mergeCell ref="JM2:JQ2"/>
    <mergeCell ref="JR2:JV2"/>
    <mergeCell ref="JX2:KB2"/>
    <mergeCell ref="KC2:KG2"/>
    <mergeCell ref="KH2:KL2"/>
    <mergeCell ref="KM2:KQ2"/>
    <mergeCell ref="KR2:KV2"/>
  </mergeCells>
  <conditionalFormatting sqref="H9 M9 R9 W9 AB9 AG9 AM9 AR9 AW9 BB9 BG9 BL9 BR9 BW9 CB9 CG9 CL9 CQ9 CW9 DB9 DG9 DL9 DQ9 DV9 EB9 EG9 EL9 EQ9 EV9 FA9 FG9 FL9 FQ9 FV9 GA9 GF9 GL9 GQ9 GV9 HA9 HF9 HK9 HQ9 HV9 IA9 IF9 IK9 IP9 IV9 JA9 JF9 JK9 JP9 JU9 KA9 KF9 KK9 KP9 KU9 KZ9 LF9 LK9 LP9 LU9 LZ9 ME9 MK9 MP9 MU9 MZ9 NE9 NJ9 NP9 NU9 NZ9 OE9 OJ9 OO9">
    <cfRule type="cellIs" dxfId="6" priority="1" operator="greaterThan">
      <formula>$B$9</formula>
    </cfRule>
  </conditionalFormatting>
  <conditionalFormatting sqref="D17 D25 AI17 AI25 BN17 BN25 CS17 CS25 DX17 DX25 FC17 FC25 GH17 GH25 HM17 HM25 IR17 IR25 JW17 JW25 LB17 LB25 MG17 MG25 NL17 NL25">
    <cfRule type="cellIs" dxfId="6" priority="2" operator="greaterThan">
      <formula>$B$17</formula>
    </cfRule>
  </conditionalFormatting>
  <conditionalFormatting sqref="H25 M25 R25 W25 AB25 AG25 AM25 AR25 AW25 BB25 BG25 BL25 BR25 BW25 CB25 CG25 CL25 CQ25 CW25 DB25 DG25 DL25 DQ25 DV25 EB25 EG25 EL25 EQ25 EV25 FA25 FG25 FL25 FQ25 FV25 GA25 GF25 GL25 GQ25 GV25 HA25 HF25 HK25 HQ25 HV25 IA25 IF25 IK25 IP25 IV25 JA25 JF25 JK25 JP25 JU25 KA25 KF25 KK25 KP25 KU25 KZ25 LF25 LK25 LP25 LU25 LZ25 ME25 MK25 MP25 MU25 MZ25 NE25 NJ25 NP25 NU25 NZ25 OE25 OJ25 OO25">
    <cfRule type="cellIs" dxfId="6" priority="3" operator="greaterThan">
      <formula>$B$25</formula>
    </cfRule>
  </conditionalFormatting>
  <conditionalFormatting sqref="FC16">
    <cfRule type="notContainsBlanks" dxfId="4" priority="4">
      <formula>LEN(TRIM(FC16))&gt;0</formula>
    </cfRule>
  </conditionalFormatting>
  <drawing r:id="rId1"/>
  <tableParts count="7">
    <tablePart r:id="rId9"/>
    <tablePart r:id="rId10"/>
    <tablePart r:id="rId11"/>
    <tablePart r:id="rId12"/>
    <tablePart r:id="rId13"/>
    <tablePart r:id="rId14"/>
    <tablePart r:id="rId1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4.57"/>
    <col customWidth="1" min="3" max="3" width="42.14"/>
    <col customWidth="1" min="4" max="4" width="11.86"/>
    <col customWidth="1" min="5" max="6" width="10.14"/>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19056F8-E614-47AF-9B87-717BE2A9A417}" filter="1" showAutoFilter="1">
      <autoFilter ref="$B$4:$F$53">
        <filterColumn colId="0">
          <filters>
            <filter val="1402049346"/>
            <filter val="1402049444"/>
            <filter val="1402049466"/>
            <filter val="1402048632"/>
            <filter val="1402049402"/>
            <filter val="1402049342"/>
            <filter val="1402049364"/>
            <filter val="1402049286"/>
            <filter val="1402049363"/>
            <filter val="1402049321"/>
            <filter val="1402049507"/>
            <filter val="1402049207"/>
            <filter val="1402048833"/>
            <filter val="1402049349"/>
            <filter val="1402049448"/>
            <filter val="1402049194"/>
            <filter val="1402049351"/>
            <filter val="1402049350"/>
            <filter val="1402049490"/>
            <filter val="1402049237"/>
            <filter val="1402049358"/>
            <filter val="1402049355"/>
            <filter val="1402049498"/>
            <filter val="1402049277"/>
            <filter val="1402049475"/>
            <filter val="1402049419"/>
            <filter val="1402049318"/>
            <filter val="PEDIDO"/>
            <filter val="1402049480"/>
            <filter val="1402049263"/>
            <filter val="1402049362"/>
            <filter val="1402049281"/>
          </filters>
        </filterColumn>
      </autoFilter>
      <extLst>
        <ext uri="GoogleSheetsCustomDataVersion1">
          <go:sheetsCustomData xmlns:go="http://customooxmlschemas.google.com/" filterViewId="143347316"/>
        </ext>
      </extLst>
    </customSheetView>
    <customSheetView guid="{B4FFDF87-16C3-483D-A8B3-FE09960C6A3D}" filter="1" showAutoFilter="1">
      <autoFilter ref="$D$5:$E$6"/>
      <extLst>
        <ext uri="GoogleSheetsCustomDataVersion1">
          <go:sheetsCustomData xmlns:go="http://customooxmlschemas.google.com/" filterViewId="1817192769"/>
        </ext>
      </extLst>
    </customSheetView>
  </customSheetViews>
  <printOptions/>
  <pageMargins bottom="0.75" footer="0.0" header="0.0" left="0.7" right="0.7" top="0.75"/>
  <pageSetup orientation="landscape"/>
  <drawing r:id="rId2"/>
  <extLst>
    <ext uri="{3A4CF648-6AED-40f4-86FF-DC5316D8AED3}">
      <x14:slicerList>
        <x14:slicer r:id="rId3"/>
      </x14:slicerList>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71"/>
    <col customWidth="1" min="2" max="2" width="20.29"/>
    <col customWidth="1" min="3" max="3" width="9.57"/>
    <col customWidth="1" min="4" max="5" width="14.43"/>
    <col customWidth="1" min="6" max="6" width="9.57"/>
  </cols>
  <sheetData>
    <row r="1">
      <c r="A1" s="111" t="s">
        <v>112</v>
      </c>
      <c r="B1" s="111" t="s">
        <v>113</v>
      </c>
      <c r="D1" s="111" t="s">
        <v>299</v>
      </c>
      <c r="E1" s="111" t="s">
        <v>300</v>
      </c>
      <c r="G1" s="111" t="s">
        <v>300</v>
      </c>
      <c r="H1" s="111" t="s">
        <v>301</v>
      </c>
    </row>
    <row r="2">
      <c r="A2" s="31" t="s">
        <v>159</v>
      </c>
      <c r="B2" s="31" t="s">
        <v>302</v>
      </c>
      <c r="D2" s="31">
        <v>1.0</v>
      </c>
      <c r="E2" s="31" t="s">
        <v>303</v>
      </c>
      <c r="G2" s="31" t="s">
        <v>303</v>
      </c>
      <c r="H2" s="107"/>
    </row>
    <row r="3">
      <c r="A3" s="31" t="s">
        <v>180</v>
      </c>
      <c r="B3" s="31" t="s">
        <v>304</v>
      </c>
      <c r="D3" s="31">
        <v>2.0</v>
      </c>
      <c r="E3" s="31" t="s">
        <v>305</v>
      </c>
      <c r="G3" s="31" t="s">
        <v>305</v>
      </c>
      <c r="H3" s="107"/>
    </row>
    <row r="4">
      <c r="A4" s="31" t="s">
        <v>176</v>
      </c>
      <c r="B4" s="31" t="s">
        <v>304</v>
      </c>
      <c r="D4" s="31">
        <v>3.0</v>
      </c>
      <c r="E4" s="31" t="s">
        <v>306</v>
      </c>
      <c r="G4" s="31" t="s">
        <v>306</v>
      </c>
      <c r="H4" s="107"/>
    </row>
    <row r="5">
      <c r="A5" s="31" t="s">
        <v>143</v>
      </c>
      <c r="B5" s="31" t="s">
        <v>307</v>
      </c>
      <c r="D5" s="31">
        <v>4.0</v>
      </c>
      <c r="E5" s="31" t="s">
        <v>308</v>
      </c>
      <c r="G5" s="31" t="s">
        <v>308</v>
      </c>
      <c r="H5" s="107"/>
    </row>
    <row r="6">
      <c r="A6" s="31" t="s">
        <v>309</v>
      </c>
      <c r="B6" s="31" t="s">
        <v>310</v>
      </c>
      <c r="D6" s="31">
        <v>5.0</v>
      </c>
      <c r="E6" s="31" t="s">
        <v>311</v>
      </c>
      <c r="G6" s="31" t="s">
        <v>311</v>
      </c>
      <c r="H6" s="107"/>
    </row>
    <row r="7">
      <c r="A7" s="31" t="s">
        <v>139</v>
      </c>
      <c r="B7" s="31" t="s">
        <v>312</v>
      </c>
      <c r="D7" s="31">
        <v>6.0</v>
      </c>
      <c r="E7" s="31" t="s">
        <v>313</v>
      </c>
      <c r="G7" s="31" t="s">
        <v>313</v>
      </c>
      <c r="H7" s="107"/>
    </row>
    <row r="8">
      <c r="A8" s="31" t="s">
        <v>152</v>
      </c>
      <c r="B8" s="31" t="s">
        <v>314</v>
      </c>
      <c r="D8" s="31">
        <v>7.0</v>
      </c>
      <c r="E8" s="31" t="s">
        <v>315</v>
      </c>
      <c r="G8" s="31" t="s">
        <v>315</v>
      </c>
      <c r="H8" s="107"/>
    </row>
    <row r="9">
      <c r="A9" s="31" t="s">
        <v>173</v>
      </c>
      <c r="B9" s="31" t="s">
        <v>314</v>
      </c>
      <c r="D9" s="31">
        <v>8.0</v>
      </c>
      <c r="E9" s="31" t="s">
        <v>316</v>
      </c>
      <c r="G9" s="31" t="s">
        <v>316</v>
      </c>
      <c r="H9" s="107"/>
    </row>
    <row r="10">
      <c r="A10" s="31" t="s">
        <v>145</v>
      </c>
      <c r="B10" s="31" t="s">
        <v>317</v>
      </c>
      <c r="D10" s="31">
        <v>9.0</v>
      </c>
      <c r="E10" s="31" t="s">
        <v>318</v>
      </c>
      <c r="G10" s="31" t="s">
        <v>318</v>
      </c>
      <c r="H10" s="107"/>
    </row>
    <row r="11">
      <c r="A11" s="31" t="s">
        <v>319</v>
      </c>
      <c r="B11" s="31" t="s">
        <v>320</v>
      </c>
      <c r="D11" s="31">
        <v>10.0</v>
      </c>
      <c r="E11" s="31" t="s">
        <v>321</v>
      </c>
      <c r="G11" s="31" t="s">
        <v>321</v>
      </c>
      <c r="H11" s="107"/>
    </row>
    <row r="12">
      <c r="A12" s="31" t="s">
        <v>322</v>
      </c>
      <c r="B12" s="31" t="s">
        <v>323</v>
      </c>
      <c r="D12" s="31">
        <v>11.0</v>
      </c>
      <c r="E12" s="31" t="s">
        <v>324</v>
      </c>
      <c r="G12" s="31" t="s">
        <v>324</v>
      </c>
      <c r="H12" s="107">
        <v>592002.6</v>
      </c>
    </row>
    <row r="13">
      <c r="A13" s="31" t="s">
        <v>137</v>
      </c>
      <c r="B13" s="31" t="s">
        <v>314</v>
      </c>
      <c r="D13" s="31">
        <v>12.0</v>
      </c>
      <c r="E13" s="31" t="s">
        <v>325</v>
      </c>
      <c r="G13" s="31" t="s">
        <v>325</v>
      </c>
      <c r="H13" s="107"/>
    </row>
    <row r="14">
      <c r="A14" s="31" t="s">
        <v>160</v>
      </c>
      <c r="B14" s="31" t="s">
        <v>312</v>
      </c>
    </row>
    <row r="15">
      <c r="A15" s="31" t="s">
        <v>134</v>
      </c>
      <c r="B15" s="31" t="s">
        <v>310</v>
      </c>
    </row>
    <row r="16">
      <c r="A16" s="31" t="s">
        <v>151</v>
      </c>
      <c r="B16" s="31" t="s">
        <v>326</v>
      </c>
    </row>
    <row r="17">
      <c r="A17" s="31" t="s">
        <v>148</v>
      </c>
      <c r="B17" s="31" t="s">
        <v>307</v>
      </c>
    </row>
    <row r="18">
      <c r="A18" s="31" t="s">
        <v>140</v>
      </c>
      <c r="B18" s="31" t="s">
        <v>323</v>
      </c>
    </row>
    <row r="19">
      <c r="A19" s="31" t="s">
        <v>327</v>
      </c>
      <c r="B19" s="31" t="s">
        <v>320</v>
      </c>
    </row>
    <row r="20">
      <c r="A20" s="31" t="s">
        <v>187</v>
      </c>
      <c r="B20" s="31" t="s">
        <v>320</v>
      </c>
    </row>
    <row r="21" ht="15.75" customHeight="1">
      <c r="A21" s="31" t="s">
        <v>328</v>
      </c>
      <c r="B21" s="31" t="s">
        <v>320</v>
      </c>
    </row>
    <row r="22" ht="15.75" customHeight="1">
      <c r="A22" s="31" t="s">
        <v>329</v>
      </c>
      <c r="B22" s="31" t="s">
        <v>320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